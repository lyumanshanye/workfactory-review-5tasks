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Portfolio Trend" sheetId="3" state="visible" r:id="rId3"/>
    <sheet xmlns:r="http://schemas.openxmlformats.org/officeDocument/2006/relationships" name="Change Attribution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Bank Latest" sheetId="6" state="visible" r:id="rId6"/>
    <sheet xmlns:r="http://schemas.openxmlformats.org/officeDocument/2006/relationships" name="Quarterly Detail" sheetId="7" state="visible" r:id="rId7"/>
    <sheet xmlns:r="http://schemas.openxmlformats.org/officeDocument/2006/relationships" name="Institution Map" sheetId="8" state="visible" r:id="rId8"/>
    <sheet xmlns:r="http://schemas.openxmlformats.org/officeDocument/2006/relationships" name="Definitions" sheetId="9" state="visible" r:id="rId9"/>
    <sheet xmlns:r="http://schemas.openxmlformats.org/officeDocument/2006/relationships" name="Sources &amp; Limits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 h:mm:ss"/>
    <numFmt numFmtId="166" formatCode="yyyy-mm-dd"/>
    <numFmt numFmtId="167" formatCode="0.000"/>
    <numFmt numFmtId="168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color rgb="001F2937"/>
      <sz val="10"/>
    </font>
    <font>
      <b val="1"/>
      <color rgb="0016324F"/>
      <sz val="11"/>
    </font>
    <font>
      <sz val="10"/>
    </font>
    <font>
      <b val="1"/>
      <color rgb="00FFFFFF"/>
    </font>
    <font>
      <b val="1"/>
      <color rgb="0016324F"/>
      <sz val="18"/>
    </font>
    <font>
      <b val="1"/>
      <color rgb="0016324F"/>
      <sz val="13"/>
    </font>
    <font>
      <b val="1"/>
      <color rgb="0016324F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EF4F7"/>
      </patternFill>
    </fill>
    <fill>
      <patternFill patternType="solid">
        <fgColor rgb="002F6690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/>
    </xf>
    <xf numFmtId="1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8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 and credit quality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Trend'!D4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Trend'!$A$5:$A$18</f>
            </numRef>
          </cat>
          <val>
            <numRef>
              <f>'Portfolio Trend'!$D$5:$D$18</f>
            </numRef>
          </val>
        </ser>
        <ser>
          <idx val="1"/>
          <order val="1"/>
          <tx>
            <strRef>
              <f>'Portfolio Trend'!E4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Trend'!$A$5:$A$18</f>
            </numRef>
          </cat>
          <val>
            <numRef>
              <f>'Portfolio Trend'!$E$5:$E$18</f>
            </numRef>
          </val>
        </ser>
        <ser>
          <idx val="2"/>
          <order val="2"/>
          <tx>
            <strRef>
              <f>'Portfolio Trend'!F4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Trend'!$A$5:$A$18</f>
            </numRef>
          </cat>
          <val>
            <numRef>
              <f>'Portfolio Trend'!$F$5:$F$18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and funding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Trend'!G4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Trend'!$A$5:$A$18</f>
            </numRef>
          </cat>
          <val>
            <numRef>
              <f>'Portfolio Trend'!$G$5:$G$18</f>
            </numRef>
          </val>
        </ser>
        <ser>
          <idx val="1"/>
          <order val="1"/>
          <tx>
            <strRef>
              <f>'Portfolio Trend'!K4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Trend'!$A$5:$A$18</f>
            </numRef>
          </cat>
          <val>
            <numRef>
              <f>'Portfolio Trend'!$K$5:$K$18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15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Priority" displayName="DashboardPriority" ref="A21:L28" headerRowCount="1">
  <autoFilter ref="A21:L28"/>
  <tableColumns count="12">
    <tableColumn id="1" name="Tier"/>
    <tableColumn id="2" name="CERT"/>
    <tableColumn id="3" name="Institution"/>
    <tableColumn id="4" name="Assets $mm"/>
    <tableColumn id="5" name="Score"/>
    <tableColumn id="6" name="ROA %"/>
    <tableColumn id="7" name="NPA %"/>
    <tableColumn id="8" name="NCO %"/>
    <tableColumn id="9" name="RBC %"/>
    <tableColumn id="10" name="EQ/A %"/>
    <tableColumn id="11" name="L/D %"/>
    <tableColumn id="12" name="Basi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PortfolioTrendTable" displayName="PortfolioTrendTable" ref="A4:N18" headerRowCount="1">
  <autoFilter ref="A4:N18"/>
  <tableColumns count="14">
    <tableColumn id="1" name="Date"/>
    <tableColumn id="2" name="Institutions"/>
    <tableColumn id="3" name="Assets"/>
    <tableColumn id="4" name="ROA"/>
    <tableColumn id="5" name="NPA Rate"/>
    <tableColumn id="6" name="NCO Rate"/>
    <tableColumn id="7" name="Total RBC"/>
    <tableColumn id="8" name="RBC Reporters"/>
    <tableColumn id="9" name="Equity/Assets"/>
    <tableColumn id="10" name="NIM"/>
    <tableColumn id="11" name="Loans/Deposits"/>
    <tableColumn id="12" name="Loans/Assets"/>
    <tableColumn id="13" name="RE Loan Share"/>
    <tableColumn id="14" name="Asset QoQ Growth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AttributionTable" displayName="AttributionTable" ref="A4:K8" headerRowCount="1">
  <autoFilter ref="A4:K8"/>
  <tableColumns count="11">
    <tableColumn id="1" name="Metric"/>
    <tableColumn id="2" name="Start"/>
    <tableColumn id="3" name="End"/>
    <tableColumn id="4" name="Total Change"/>
    <tableColumn id="5" name="Start Sample to Persistent"/>
    <tableColumn id="6" name="Institution Performance"/>
    <tableColumn id="7" name="Weight Shift"/>
    <tableColumn id="8" name="Interaction"/>
    <tableColumn id="9" name="Persistent to End Sample"/>
    <tableColumn id="10" name="Persistent Institutions"/>
    <tableColumn id="11" name="Reconciliation Check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PriorityTable" displayName="PriorityTable" ref="A4:Y56" headerRowCount="1">
  <autoFilter ref="A4:Y56"/>
  <tableColumns count="25">
    <tableColumn id="1" name="Rank"/>
    <tableColumn id="2" name="CERT"/>
    <tableColumn id="3" name="Institution"/>
    <tableColumn id="4" name="State"/>
    <tableColumn id="5" name="Assets $000"/>
    <tableColumn id="6" name="Asset weight %"/>
    <tableColumn id="7" name="Peer group"/>
    <tableColumn id="8" name="Composite"/>
    <tableColumn id="9" name="Profit risk"/>
    <tableColumn id="10" name="Credit risk"/>
    <tableColumn id="11" name="Capital risk"/>
    <tableColumn id="12" name="Funding risk"/>
    <tableColumn id="13" name="Growth risk"/>
    <tableColumn id="14" name="Concentration risk"/>
    <tableColumn id="15" name="ROA %"/>
    <tableColumn id="16" name="NPA %"/>
    <tableColumn id="17" name="NCO %"/>
    <tableColumn id="18" name="RBC %"/>
    <tableColumn id="19" name="RBC reported"/>
    <tableColumn id="20" name="EQ/A %"/>
    <tableColumn id="21" name="NIM %"/>
    <tableColumn id="22" name="L/D %"/>
    <tableColumn id="23" name="YoY asset growth %"/>
    <tableColumn id="24" name="RE loan share %"/>
    <tableColumn id="25" name="Selected tier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LatestTable" displayName="LatestTable" ref="A4:AC56" headerRowCount="1">
  <autoFilter ref="A4:AC56"/>
  <tableColumns count="29">
    <tableColumn id="1" name="CERT"/>
    <tableColumn id="2" name="Institution"/>
    <tableColumn id="3" name="State"/>
    <tableColumn id="4" name="Assets $000"/>
    <tableColumn id="5" name="Deposits $000"/>
    <tableColumn id="6" name="Net loans $000"/>
    <tableColumn id="7" name="ROA %"/>
    <tableColumn id="8" name="ROE %"/>
    <tableColumn id="9" name="NIM %"/>
    <tableColumn id="10" name="NPA %"/>
    <tableColumn id="11" name="Past due %"/>
    <tableColumn id="12" name="NCO %"/>
    <tableColumn id="13" name="RBC %"/>
    <tableColumn id="14" name="RBC reported"/>
    <tableColumn id="15" name="EQ/A %"/>
    <tableColumn id="16" name="L/D %"/>
    <tableColumn id="17" name="Loans/assets %"/>
    <tableColumn id="18" name="YoY asset growth %"/>
    <tableColumn id="19" name="YoY loan growth %"/>
    <tableColumn id="20" name="YoY deposit growth %"/>
    <tableColumn id="21" name="RE share %"/>
    <tableColumn id="22" name="C&amp;I share %"/>
    <tableColumn id="23" name="Consumer share %"/>
    <tableColumn id="24" name="Peer group"/>
    <tableColumn id="25" name="Peer ROA med."/>
    <tableColumn id="26" name="Peer NPA med."/>
    <tableColumn id="27" name="Peer NCO med."/>
    <tableColumn id="28" name="Peer EQ/A med."/>
    <tableColumn id="29" name="Peer L/D med.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QuarterlyDetailTable" displayName="QuarterlyDetailTable" ref="A4:AH750" headerRowCount="1">
  <autoFilter ref="A4:AH750"/>
  <tableColumns count="34">
    <tableColumn id="1" name="REPDTE"/>
    <tableColumn id="2" name="CERT"/>
    <tableColumn id="3" name="NAMEFULL"/>
    <tableColumn id="4" name="STALP"/>
    <tableColumn id="5" name="ASSET"/>
    <tableColumn id="6" name="DEP"/>
    <tableColumn id="7" name="EQ"/>
    <tableColumn id="8" name="ROA"/>
    <tableColumn id="9" name="ROE"/>
    <tableColumn id="10" name="NIMY"/>
    <tableColumn id="11" name="NAASSET"/>
    <tableColumn id="12" name="NTLNLS"/>
    <tableColumn id="13" name="NCLNLSR"/>
    <tableColumn id="14" name="P3ASSET"/>
    <tableColumn id="15" name="P9ASSET"/>
    <tableColumn id="16" name="RBCRWAJ"/>
    <tableColumn id="17" name="LNLSGR"/>
    <tableColumn id="18" name="LNLSNET"/>
    <tableColumn id="19" name="LNRE"/>
    <tableColumn id="20" name="LNCI"/>
    <tableColumn id="21" name="LNCON"/>
    <tableColumn id="22" name="LNATRESR"/>
    <tableColumn id="23" name="ELNATRY"/>
    <tableColumn id="24" name="NPA %"/>
    <tableColumn id="25" name="Past due %"/>
    <tableColumn id="26" name="L/D %"/>
    <tableColumn id="27" name="Loans/assets %"/>
    <tableColumn id="28" name="RE share %"/>
    <tableColumn id="29" name="C&amp;I share %"/>
    <tableColumn id="30" name="Consumer share %"/>
    <tableColumn id="31" name="YoY asset growth %"/>
    <tableColumn id="32" name="YoY loan growth %"/>
    <tableColumn id="33" name="YoY deposit growth %"/>
    <tableColumn id="34" name="RBC reported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InstitutionMapTable" displayName="InstitutionMapTable" ref="A4:T58" headerRowCount="1">
  <autoFilter ref="A4:T58"/>
  <tableColumns count="20">
    <tableColumn id="1" name="CERT"/>
    <tableColumn id="2" name="Financial-series name"/>
    <tableColumn id="3" name="Financial state"/>
    <tableColumn id="4" name="First report"/>
    <tableColumn id="5" name="Last report"/>
    <tableColumn id="6" name="Quarter count"/>
    <tableColumn id="7" name="Current snapshot name"/>
    <tableColumn id="8" name="Active"/>
    <tableColumn id="9" name="Metadata report date"/>
    <tableColumn id="10" name="City"/>
    <tableColumn id="11" name="Class"/>
    <tableColumn id="12" name="Regulator"/>
    <tableColumn id="13" name="Community bank"/>
    <tableColumn id="14" name="Specialization"/>
    <tableColumn id="15" name="Change 1"/>
    <tableColumn id="16" name="Change 2"/>
    <tableColumn id="17" name="New CERT"/>
    <tableColumn id="18" name="Ultimate CERT"/>
    <tableColumn id="19" name="Effective date"/>
    <tableColumn id="20" name="End date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DefinitionsTable" displayName="DefinitionsTable" ref="A4:E20" headerRowCount="1">
  <autoFilter ref="A4:E20"/>
  <tableColumns count="5">
    <tableColumn id="1" name="Metric / field"/>
    <tableColumn id="2" name="Definition / formula"/>
    <tableColumn id="3" name="Unit"/>
    <tableColumn id="4" name="Type"/>
    <tableColumn id="5" name="Interpretation note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SourcesTable" displayName="SourcesTable" ref="A4:C10" headerRowCount="1">
  <autoFilter ref="A4:C10"/>
  <tableColumns count="3">
    <tableColumn id="1" name="Category"/>
    <tableColumn id="2" name="Source"/>
    <tableColumn id="3" name="Use / caveat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Regional Bank Risk Model</t>
        </is>
      </c>
    </row>
    <row r="2" ht="34" customHeight="1">
      <c r="A2" s="2" t="inlineStr">
        <is>
          <t>VT–NH–ME sample | 2022-03-31 to 2025-06-30 | Internal management use</t>
        </is>
      </c>
    </row>
    <row r="4" ht="42" customHeight="1">
      <c r="A4" s="3" t="inlineStr">
        <is>
          <t>Purpose</t>
        </is>
      </c>
      <c r="B4" s="4" t="inlineStr">
        <is>
          <t>Quarterly, auditable screening model for profitability, capital capacity, credit quality, funding, loan structure, growth, peer comparison, sample coverage, change attribution and management follow-up.</t>
        </is>
      </c>
    </row>
    <row r="5" ht="42" customHeight="1">
      <c r="A5" s="3" t="inlineStr">
        <is>
          <t>Decision use</t>
        </is>
      </c>
      <c r="B5" s="4" t="inlineStr">
        <is>
          <t>Prioritize limited review resources; this is not a supervisory rating, valuation, forecast, causal study or nationwide banking conclusion.</t>
        </is>
      </c>
    </row>
    <row r="6" ht="42" customHeight="1">
      <c r="A6" s="3" t="inlineStr">
        <is>
          <t>Primary key</t>
        </is>
      </c>
      <c r="B6" s="4" t="inlineStr">
        <is>
          <t>FDIC certificate number (CERT) + report date (REPDTE). Financial names are period-end names; the institution snapshot supplies current structural metadata.</t>
        </is>
      </c>
    </row>
    <row r="7" ht="42" customHeight="1">
      <c r="A7" s="3" t="inlineStr">
        <is>
          <t>Core portfolio weighting</t>
        </is>
      </c>
      <c r="B7" s="4" t="inlineStr">
        <is>
          <t>ROA, NIM and reported total risk-based capital are asset-weighted; nonaccrual rate is total nonaccrual assets / total assets; NCO rate is gross-loan-weighted; loans/deposits uses aggregate amounts.</t>
        </is>
      </c>
    </row>
    <row r="8" ht="42" customHeight="1">
      <c r="A8" s="3" t="inlineStr">
        <is>
          <t>RBC treatment</t>
        </is>
      </c>
      <c r="B8" s="4" t="inlineStr">
        <is>
          <t>RBCRWAJ=0 is treated as not reported/not applicable, not as zero capital. The 2025-06-30 portfolio RBC of 14.25% covers 37 of 52 institutions and 79.0% of sample assets.</t>
        </is>
      </c>
    </row>
    <row r="9" ht="42" customHeight="1">
      <c r="A9" s="3" t="inlineStr">
        <is>
          <t>Priority score</t>
        </is>
      </c>
      <c r="B9" s="4" t="inlineStr">
        <is>
          <t>Relative screening indicator: profitability 25%, credit 25%, capital 15%, funding 15%, growth 10%, concentration 10%. Percentile-based; missing RBC does not receive a zero-capital penalty.</t>
        </is>
      </c>
    </row>
    <row r="10" ht="42" customHeight="1">
      <c r="A10" s="3" t="inlineStr">
        <is>
          <t>Selected scope</t>
        </is>
      </c>
      <c r="B10" s="4" t="inlineStr">
        <is>
          <t>Tier 1: Bangor Savings Bank, Union Bank, Walden Mutual Bank, Bar Harbor S&amp;L, First Federal S&amp;L of Bath. Tier 2: Salem Co-operative Bank and Saco &amp; Biddeford Savings Institution.</t>
        </is>
      </c>
    </row>
    <row r="11" ht="42" customHeight="1">
      <c r="A11" s="3" t="inlineStr">
        <is>
          <t>Change attribution</t>
        </is>
      </c>
      <c r="B11" s="4" t="inlineStr">
        <is>
          <t>Beginning-to-end bridge uses institutions present at both dates. Performance holds beginning weights; weight shift holds beginning metrics; interaction captures simultaneous changes; entry/exit bridges reconcile sample composition.</t>
        </is>
      </c>
    </row>
    <row r="12" ht="42" customHeight="1">
      <c r="A12" s="3" t="inlineStr">
        <is>
          <t>Important limitation</t>
        </is>
      </c>
      <c r="B12" s="4" t="inlineStr">
        <is>
          <t>Public aggregate call-report data cannot establish underwriting quality, borrower-level concentration, deposit beta/stability, liquidity capacity, ACL adequacy, unrealized securities losses, duration risk or causality. Institution metadata snapshot extends beyond the analysis date.</t>
        </is>
      </c>
    </row>
    <row r="13" ht="42" customHeight="1">
      <c r="A13" s="3" t="inlineStr">
        <is>
          <t>Workbook navigation</t>
        </is>
      </c>
      <c r="B13" s="4" t="inlineStr">
        <is>
          <t>Executive Dashboard → Portfolio Trend → Change Attribution → Priority → Bank Latest → Quarterly Detail → Institution Map → Definitions → Sources &amp; Limits.</t>
        </is>
      </c>
    </row>
  </sheetData>
  <mergeCells count="12">
    <mergeCell ref="B7:J7"/>
    <mergeCell ref="A1:J1"/>
    <mergeCell ref="B11:J11"/>
    <mergeCell ref="B5:J5"/>
    <mergeCell ref="B10:J10"/>
    <mergeCell ref="B9:J9"/>
    <mergeCell ref="B8:J8"/>
    <mergeCell ref="B4:J4"/>
    <mergeCell ref="A2:J2"/>
    <mergeCell ref="B12:J12"/>
    <mergeCell ref="B13:J13"/>
    <mergeCell ref="B6:J6"/>
  </mergeCells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58" customWidth="1" min="12" max="12"/>
  </cols>
  <sheetData>
    <row r="1" ht="30" customHeight="1">
      <c r="A1" s="1" t="inlineStr">
        <is>
          <t>Executive Dashboard</t>
        </is>
      </c>
    </row>
    <row r="2" ht="34" customHeight="1">
      <c r="A2" s="2" t="inlineStr">
        <is>
          <t>Portfolio status as of 2025-06-30; percentages are weighted/aggregated as described below</t>
        </is>
      </c>
    </row>
    <row r="4">
      <c r="A4" s="5" t="inlineStr">
        <is>
          <t>Institutions</t>
        </is>
      </c>
      <c r="D4" s="5" t="inlineStr">
        <is>
          <t>Assets ($bn)</t>
        </is>
      </c>
      <c r="G4" s="5" t="inlineStr">
        <is>
          <t>ROA (%)</t>
        </is>
      </c>
      <c r="J4" s="5" t="inlineStr">
        <is>
          <t>Nonaccrual asset rate (%)</t>
        </is>
      </c>
    </row>
    <row r="5">
      <c r="A5" s="6" t="n">
        <v>52</v>
      </c>
      <c r="D5" s="7" t="n">
        <v>71.266944</v>
      </c>
      <c r="G5" s="8" t="n">
        <v>0.7617103547368322</v>
      </c>
      <c r="J5" s="8" t="n">
        <v>0.3529700950836338</v>
      </c>
    </row>
    <row r="6"/>
    <row r="7">
      <c r="A7" t="inlineStr">
        <is>
          <t>YoY Δ</t>
        </is>
      </c>
      <c r="B7" s="9" t="n">
        <v>-2</v>
      </c>
      <c r="D7" t="inlineStr">
        <is>
          <t>YoY Δ</t>
        </is>
      </c>
      <c r="E7" s="9" t="n">
        <v>3.09250999999999</v>
      </c>
      <c r="G7" t="inlineStr">
        <is>
          <t>YoY Δ</t>
        </is>
      </c>
      <c r="H7" s="9" t="n">
        <v>0.1043135220937161</v>
      </c>
      <c r="J7" t="inlineStr">
        <is>
          <t>YoY Δ</t>
        </is>
      </c>
      <c r="K7" s="9" t="n">
        <v>0.05749129433554101</v>
      </c>
    </row>
    <row r="8">
      <c r="A8" s="5" t="inlineStr">
        <is>
          <t>Net charge-off rate (%)</t>
        </is>
      </c>
      <c r="D8" s="5" t="inlineStr">
        <is>
          <t>Total RBC ratio (%)</t>
        </is>
      </c>
      <c r="G8" s="5" t="inlineStr">
        <is>
          <t>Equity / assets (%)</t>
        </is>
      </c>
      <c r="J8" s="5" t="inlineStr">
        <is>
          <t>Loans / deposits (%)</t>
        </is>
      </c>
    </row>
    <row r="9">
      <c r="A9" s="8" t="n">
        <v>0.4780848762281273</v>
      </c>
      <c r="D9" s="8" t="n">
        <v>14.25146815057991</v>
      </c>
      <c r="G9" s="8" t="n">
        <v>9.944830804026058</v>
      </c>
      <c r="J9" s="7" t="n">
        <v>93.78222665081164</v>
      </c>
    </row>
    <row r="10"/>
    <row r="11">
      <c r="A11" t="inlineStr">
        <is>
          <t>YoY Δ</t>
        </is>
      </c>
      <c r="B11" s="9" t="n">
        <v>0.08901514333911059</v>
      </c>
      <c r="D11" t="inlineStr">
        <is>
          <t>YoY Δ</t>
        </is>
      </c>
      <c r="E11" s="9" t="n">
        <v>-0.2980258743604942</v>
      </c>
      <c r="G11" t="inlineStr">
        <is>
          <t>YoY Δ</t>
        </is>
      </c>
      <c r="H11" s="9" t="n">
        <v>0.4586413037215884</v>
      </c>
      <c r="J11" t="inlineStr">
        <is>
          <t>YoY Δ</t>
        </is>
      </c>
      <c r="K11" s="9" t="n">
        <v>-1.693921136123592</v>
      </c>
    </row>
    <row r="13">
      <c r="A13" s="10" t="inlineStr">
        <is>
          <t>Management diagnosis</t>
        </is>
      </c>
    </row>
    <row r="14" ht="30" customHeight="1">
      <c r="A14" s="11" t="inlineStr">
        <is>
          <t>• Credit deterioration is the clearest adverse signal: nonaccrual assets rose to 0.353% and net charge-offs to 0.478%; both are above June 2024 and March 2022.</t>
        </is>
      </c>
    </row>
    <row r="15" ht="30" customHeight="1">
      <c r="A15" s="11" t="inlineStr">
        <is>
          <t>• ROA recovered to 0.762% in 2Q25 from 0.657% a year earlier, but remains below 0.809% at the start. Margin recovery supports repricing/deposit-cost relief, while persistent weak earners remain.</t>
        </is>
      </c>
    </row>
    <row r="16" ht="30" customHeight="1">
      <c r="A16" s="11" t="inlineStr">
        <is>
          <t>• Reported total RBC declined to 14.251% from 15.199% at the start. Coverage is incomplete, so equity/assets and institution-specific capital schedules are necessary cross-checks.</t>
        </is>
      </c>
    </row>
    <row r="17" ht="30" customHeight="1">
      <c r="A17" s="11" t="inlineStr">
        <is>
          <t>• Loans/deposits rose from 80.5% to 93.8%, evidencing tighter on-balance-sheet funding. The 2024 peak eased, but several institutions remain above 100%.</t>
        </is>
      </c>
    </row>
    <row r="18" ht="30" customHeight="1">
      <c r="A18" s="11" t="inlineStr">
        <is>
          <t>• Attribution indicates that persistent institutions—not sample entry/exit—explain most credit deterioration and the reported capital decline. Weight shifts partly softened the ROA decline.</t>
        </is>
      </c>
    </row>
    <row r="20">
      <c r="A20" s="10" t="inlineStr">
        <is>
          <t>Selected follow-up institutions</t>
        </is>
      </c>
    </row>
    <row r="21">
      <c r="A21" s="12" t="inlineStr">
        <is>
          <t>Tier</t>
        </is>
      </c>
      <c r="B21" s="12" t="inlineStr">
        <is>
          <t>CERT</t>
        </is>
      </c>
      <c r="C21" s="12" t="inlineStr">
        <is>
          <t>Institution</t>
        </is>
      </c>
      <c r="D21" s="12" t="inlineStr">
        <is>
          <t>Assets $mm</t>
        </is>
      </c>
      <c r="E21" s="12" t="inlineStr">
        <is>
          <t>Score</t>
        </is>
      </c>
      <c r="F21" s="12" t="inlineStr">
        <is>
          <t>ROA %</t>
        </is>
      </c>
      <c r="G21" s="12" t="inlineStr">
        <is>
          <t>NPA %</t>
        </is>
      </c>
      <c r="H21" s="12" t="inlineStr">
        <is>
          <t>NCO %</t>
        </is>
      </c>
      <c r="I21" s="12" t="inlineStr">
        <is>
          <t>RBC %</t>
        </is>
      </c>
      <c r="J21" s="12" t="inlineStr">
        <is>
          <t>EQ/A %</t>
        </is>
      </c>
      <c r="K21" s="12" t="inlineStr">
        <is>
          <t>L/D %</t>
        </is>
      </c>
      <c r="L21" s="12" t="inlineStr">
        <is>
          <t>Basis</t>
        </is>
      </c>
    </row>
    <row r="22" ht="36" customHeight="1">
      <c r="A22" t="inlineStr">
        <is>
          <t>Tier 1</t>
        </is>
      </c>
      <c r="B22" t="n">
        <v>30878</v>
      </c>
      <c r="C22" t="inlineStr">
        <is>
          <t>BAR HARBOR SAVINGS AND LOAN ASSOCIATION</t>
        </is>
      </c>
      <c r="D22" s="9" t="n">
        <v>98.90900000000001</v>
      </c>
      <c r="E22" s="9" t="n">
        <v>76.92307692307692</v>
      </c>
      <c r="F22" s="9" t="n">
        <v>0.0020154179472968</v>
      </c>
      <c r="G22" s="9" t="n">
        <v>1.367924051400782</v>
      </c>
      <c r="H22" s="9" t="n">
        <v>1.572597517318332</v>
      </c>
      <c r="I22" s="9" t="n"/>
      <c r="J22" s="9" t="n">
        <v>12.02216178507517</v>
      </c>
      <c r="K22" s="9" t="n">
        <v>117.3709178411825</v>
      </c>
      <c r="L22" s="13" t="inlineStr">
        <is>
          <t>Persistent elevated credit metrics; very high LTD and mortgage concentration; near-zero ROA</t>
        </is>
      </c>
    </row>
    <row r="23" ht="36" customHeight="1">
      <c r="A23" t="inlineStr">
        <is>
          <t>Tier 1</t>
        </is>
      </c>
      <c r="B23" t="n">
        <v>29636</v>
      </c>
      <c r="C23" t="inlineStr">
        <is>
          <t>FIRST FEDERAL SAVINGS AND LOAN ASSOCIATION OF BATH</t>
        </is>
      </c>
      <c r="D23" s="9" t="n">
        <v>185.573</v>
      </c>
      <c r="E23" s="9" t="n">
        <v>68.05335595776772</v>
      </c>
      <c r="F23" s="9" t="n">
        <v>0.2346191133487824</v>
      </c>
      <c r="G23" s="9" t="n">
        <v>1.671579378465617</v>
      </c>
      <c r="H23" s="9" t="n">
        <v>2.11141060197664</v>
      </c>
      <c r="I23" s="9" t="n">
        <v>27.16721387016877</v>
      </c>
      <c r="J23" s="9" t="n">
        <v>14.89764135946501</v>
      </c>
      <c r="K23" s="9" t="n">
        <v>103.7894842349437</v>
      </c>
      <c r="L23" s="13" t="inlineStr">
        <is>
          <t>Persistent elevated NPA/NCO and mortgage concentration; LTD moved above 100%</t>
        </is>
      </c>
    </row>
    <row r="24" ht="36" customHeight="1">
      <c r="A24" t="inlineStr">
        <is>
          <t>Tier 1</t>
        </is>
      </c>
      <c r="B24" t="n">
        <v>14158</v>
      </c>
      <c r="C24" t="inlineStr">
        <is>
          <t>UNION BANK</t>
        </is>
      </c>
      <c r="D24" s="9" t="n">
        <v>1479.452</v>
      </c>
      <c r="E24" s="9" t="n">
        <v>66.96259324935795</v>
      </c>
      <c r="F24" s="9" t="n">
        <v>0.7048692654886182</v>
      </c>
      <c r="G24" s="9" t="n">
        <v>1.026663926913479</v>
      </c>
      <c r="H24" s="9" t="n">
        <v>1.370033952351798</v>
      </c>
      <c r="I24" s="9" t="n">
        <v>12.62343324030092</v>
      </c>
      <c r="J24" s="9" t="n">
        <v>5.848178920302924</v>
      </c>
      <c r="K24" s="9" t="n">
        <v>99.82754215059452</v>
      </c>
      <c r="L24" s="13" t="inlineStr">
        <is>
          <t>Abrupt NPA/NCO increase; low equity/assets and modest reported RBC buffer</t>
        </is>
      </c>
    </row>
    <row r="25" ht="36" customHeight="1">
      <c r="A25" t="inlineStr">
        <is>
          <t>Tier 1</t>
        </is>
      </c>
      <c r="B25" t="n">
        <v>59289</v>
      </c>
      <c r="C25" t="inlineStr">
        <is>
          <t>WALDEN MUTUAL BANK</t>
        </is>
      </c>
      <c r="D25" s="9" t="n">
        <v>145.991</v>
      </c>
      <c r="E25" s="9" t="n">
        <v>66.5422322775264</v>
      </c>
      <c r="F25" s="9" t="n">
        <v>-0.2399886005414742</v>
      </c>
      <c r="G25" s="9" t="n">
        <v>1.941900528114747</v>
      </c>
      <c r="H25" s="9" t="n">
        <v>2.669390983390456</v>
      </c>
      <c r="I25" s="9" t="n"/>
      <c r="J25" s="9" t="n">
        <v>10.75271763327876</v>
      </c>
      <c r="K25" s="9" t="n">
        <v>81.7195804087451</v>
      </c>
      <c r="L25" s="13" t="inlineStr">
        <is>
          <t>Rapid growth; recurring losses; elevated credit metrics; declining equity/assets</t>
        </is>
      </c>
    </row>
    <row r="26" ht="36" customHeight="1">
      <c r="A26" t="inlineStr">
        <is>
          <t>Tier 1</t>
        </is>
      </c>
      <c r="B26" t="n">
        <v>18408</v>
      </c>
      <c r="C26" t="inlineStr">
        <is>
          <t>BANGOR SAVINGS BANK</t>
        </is>
      </c>
      <c r="D26" s="9" t="n">
        <v>7335.916</v>
      </c>
      <c r="E26" s="9" t="n">
        <v>61.7656230891525</v>
      </c>
      <c r="F26" s="9" t="n">
        <v>0.1062775417506632</v>
      </c>
      <c r="G26" s="9" t="n">
        <v>0.4571344601001429</v>
      </c>
      <c r="H26" s="9" t="n">
        <v>0.6613649657809945</v>
      </c>
      <c r="I26" s="9" t="n">
        <v>11.14890025183202</v>
      </c>
      <c r="J26" s="9" t="n">
        <v>6.374650418570769</v>
      </c>
      <c r="K26" s="9" t="n">
        <v>85.07303992051125</v>
      </c>
      <c r="L26" s="13" t="inlineStr">
        <is>
          <t>Material exposure; 2Q25 credit deterioration; thin capital ratios versus sample</t>
        </is>
      </c>
    </row>
    <row r="27" ht="36" customHeight="1">
      <c r="A27" t="inlineStr">
        <is>
          <t>Tier 2</t>
        </is>
      </c>
      <c r="B27" t="n">
        <v>27824</v>
      </c>
      <c r="C27" t="inlineStr">
        <is>
          <t>SALEM CO-OPERATIVE BANK</t>
        </is>
      </c>
      <c r="D27" s="9" t="n">
        <v>571.65</v>
      </c>
      <c r="E27" s="9" t="n">
        <v>67.23711834005951</v>
      </c>
      <c r="F27" s="9" t="n">
        <v>-0.3059045885688285</v>
      </c>
      <c r="G27" s="9" t="n">
        <v>0.3575614449400857</v>
      </c>
      <c r="H27" s="9" t="n">
        <v>0.4335744437138069</v>
      </c>
      <c r="I27" s="9" t="n">
        <v>18.95901440034583</v>
      </c>
      <c r="J27" s="9" t="n">
        <v>10.86958803463658</v>
      </c>
      <c r="K27" s="9" t="n">
        <v>120.678729301693</v>
      </c>
      <c r="L27" s="13" t="inlineStr">
        <is>
          <t>Persistent losses; highest LTD; narrow margin and rising RE concentration</t>
        </is>
      </c>
    </row>
    <row r="28" ht="36" customHeight="1">
      <c r="A28" t="inlineStr">
        <is>
          <t>Tier 2</t>
        </is>
      </c>
      <c r="B28" t="n">
        <v>17743</v>
      </c>
      <c r="C28" t="inlineStr">
        <is>
          <t>SACO &amp; BIDDEFORD SAVINGS INSTITUTION</t>
        </is>
      </c>
      <c r="D28" s="9" t="n">
        <v>1439.697</v>
      </c>
      <c r="E28" s="9" t="n">
        <v>62.67722473604827</v>
      </c>
      <c r="F28" s="9" t="n">
        <v>0.06741044417162979</v>
      </c>
      <c r="G28" s="9" t="n">
        <v>0.02826983733382788</v>
      </c>
      <c r="H28" s="9" t="n">
        <v>0.0352716873212583</v>
      </c>
      <c r="I28" s="9" t="n"/>
      <c r="J28" s="9" t="n">
        <v>8.794558855092426</v>
      </c>
      <c r="K28" s="9" t="n">
        <v>112.8809200334393</v>
      </c>
      <c r="L28" s="13" t="inlineStr">
        <is>
          <t>Persistent weak earnings; high LTD and RE concentration despite benign current credit metrics</t>
        </is>
      </c>
    </row>
  </sheetData>
  <mergeCells count="23">
    <mergeCell ref="A16:L16"/>
    <mergeCell ref="A5:B6"/>
    <mergeCell ref="G5:H6"/>
    <mergeCell ref="A18:L18"/>
    <mergeCell ref="G8:H8"/>
    <mergeCell ref="D9:E10"/>
    <mergeCell ref="A2:L2"/>
    <mergeCell ref="D5:E6"/>
    <mergeCell ref="A14:L14"/>
    <mergeCell ref="A17:L17"/>
    <mergeCell ref="J5:K6"/>
    <mergeCell ref="A9:B10"/>
    <mergeCell ref="G9:H10"/>
    <mergeCell ref="J4:K4"/>
    <mergeCell ref="D4:E4"/>
    <mergeCell ref="A8:B8"/>
    <mergeCell ref="A4:B4"/>
    <mergeCell ref="G4:H4"/>
    <mergeCell ref="D8:E8"/>
    <mergeCell ref="J9:K10"/>
    <mergeCell ref="A15:L15"/>
    <mergeCell ref="A1:L1"/>
    <mergeCell ref="J8:K8"/>
  </mergeCells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6" customWidth="1" min="14" max="14"/>
  </cols>
  <sheetData>
    <row r="1" ht="30" customHeight="1">
      <c r="A1" s="1" t="inlineStr">
        <is>
          <t>Portfolio Quarterly Trend</t>
        </is>
      </c>
    </row>
    <row r="2" ht="34" customHeight="1">
      <c r="A2" s="2" t="inlineStr">
        <is>
          <t>Weighted/aggregate sample metrics; source snapshot covers 14 quarter-ends</t>
        </is>
      </c>
    </row>
    <row r="4">
      <c r="A4" s="12" t="inlineStr">
        <is>
          <t>Date</t>
        </is>
      </c>
      <c r="B4" s="12" t="inlineStr">
        <is>
          <t>Institutions</t>
        </is>
      </c>
      <c r="C4" s="12" t="inlineStr">
        <is>
          <t>Assets</t>
        </is>
      </c>
      <c r="D4" s="12" t="inlineStr">
        <is>
          <t>ROA</t>
        </is>
      </c>
      <c r="E4" s="12" t="inlineStr">
        <is>
          <t>NPA Rate</t>
        </is>
      </c>
      <c r="F4" s="12" t="inlineStr">
        <is>
          <t>NCO Rate</t>
        </is>
      </c>
      <c r="G4" s="12" t="inlineStr">
        <is>
          <t>Total RBC</t>
        </is>
      </c>
      <c r="H4" s="12" t="inlineStr">
        <is>
          <t>RBC Reporters</t>
        </is>
      </c>
      <c r="I4" s="12" t="inlineStr">
        <is>
          <t>Equity/Assets</t>
        </is>
      </c>
      <c r="J4" s="12" t="inlineStr">
        <is>
          <t>NIM</t>
        </is>
      </c>
      <c r="K4" s="12" t="inlineStr">
        <is>
          <t>Loans/Deposits</t>
        </is>
      </c>
      <c r="L4" s="12" t="inlineStr">
        <is>
          <t>Loans/Assets</t>
        </is>
      </c>
      <c r="M4" s="12" t="inlineStr">
        <is>
          <t>RE Loan Share</t>
        </is>
      </c>
      <c r="N4" s="12" t="inlineStr">
        <is>
          <t>Asset QoQ Growth</t>
        </is>
      </c>
    </row>
    <row r="5">
      <c r="A5" s="14" t="n">
        <v>44651</v>
      </c>
      <c r="B5" t="n">
        <v>51</v>
      </c>
      <c r="C5" s="15" t="n">
        <v>59852474</v>
      </c>
      <c r="D5" s="16" t="n">
        <v>0.8091772381818029</v>
      </c>
      <c r="E5" s="16" t="n">
        <v>0.2197937548914018</v>
      </c>
      <c r="F5" s="16" t="n">
        <v>0.32343055222508</v>
      </c>
      <c r="G5" s="16" t="n">
        <v>15.1990836068572</v>
      </c>
      <c r="H5" s="16" t="n">
        <v>35</v>
      </c>
      <c r="I5" s="16" t="n">
        <v>9.877371150940228</v>
      </c>
      <c r="J5" s="16" t="n">
        <v>3.155280497830378</v>
      </c>
      <c r="K5" s="16" t="n">
        <v>80.52202448333749</v>
      </c>
      <c r="L5" s="16" t="n">
        <v>68.87583794781817</v>
      </c>
      <c r="M5" s="16" t="n">
        <v>87.30742612919884</v>
      </c>
      <c r="N5" s="16" t="n"/>
    </row>
    <row r="6">
      <c r="A6" s="14" t="n">
        <v>44742</v>
      </c>
      <c r="B6" t="n">
        <v>52</v>
      </c>
      <c r="C6" s="15" t="n">
        <v>60747875</v>
      </c>
      <c r="D6" s="16" t="n">
        <v>0.7504777063233062</v>
      </c>
      <c r="E6" s="16" t="n">
        <v>0.1847274493140706</v>
      </c>
      <c r="F6" s="16" t="n">
        <v>0.2635990800410076</v>
      </c>
      <c r="G6" s="16" t="n">
        <v>14.75414023010801</v>
      </c>
      <c r="H6" s="16" t="n">
        <v>35</v>
      </c>
      <c r="I6" s="16" t="n">
        <v>9.37566622700794</v>
      </c>
      <c r="J6" s="16" t="n">
        <v>3.21215440277638</v>
      </c>
      <c r="K6" s="16" t="n">
        <v>83.52208595562635</v>
      </c>
      <c r="L6" s="16" t="n">
        <v>70.74267042262795</v>
      </c>
      <c r="M6" s="16" t="n">
        <v>87.45659831310135</v>
      </c>
      <c r="N6" s="16" t="n">
        <v>1.496013347752334</v>
      </c>
    </row>
    <row r="7">
      <c r="A7" s="14" t="n">
        <v>44834</v>
      </c>
      <c r="B7" t="n">
        <v>53</v>
      </c>
      <c r="C7" s="15" t="n">
        <v>62354271</v>
      </c>
      <c r="D7" s="16" t="n">
        <v>0.8090684508436272</v>
      </c>
      <c r="E7" s="16" t="n">
        <v>0.1677415168561589</v>
      </c>
      <c r="F7" s="16" t="n">
        <v>0.2362275178698118</v>
      </c>
      <c r="G7" s="16" t="n">
        <v>14.42003464485722</v>
      </c>
      <c r="H7" s="16" t="n">
        <v>36</v>
      </c>
      <c r="I7" s="16" t="n">
        <v>8.750279511727433</v>
      </c>
      <c r="J7" s="16" t="n">
        <v>3.269515316916461</v>
      </c>
      <c r="K7" s="16" t="n">
        <v>85.13182657048797</v>
      </c>
      <c r="L7" s="16" t="n">
        <v>72.03434228266417</v>
      </c>
      <c r="M7" s="16" t="n">
        <v>87.45495944828929</v>
      </c>
      <c r="N7" s="16" t="n">
        <v>2.64436574941922</v>
      </c>
    </row>
    <row r="8">
      <c r="A8" s="14" t="n">
        <v>44926</v>
      </c>
      <c r="B8" t="n">
        <v>54</v>
      </c>
      <c r="C8" s="15" t="n">
        <v>64502953</v>
      </c>
      <c r="D8" s="16" t="n">
        <v>0.8987511457440874</v>
      </c>
      <c r="E8" s="16" t="n">
        <v>0.1834536164569086</v>
      </c>
      <c r="F8" s="16" t="n">
        <v>0.253531102927497</v>
      </c>
      <c r="G8" s="16" t="n">
        <v>14.03429125020797</v>
      </c>
      <c r="H8" s="16" t="n">
        <v>36</v>
      </c>
      <c r="I8" s="16" t="n">
        <v>8.86780640880116</v>
      </c>
      <c r="J8" s="16" t="n">
        <v>3.313906525490347</v>
      </c>
      <c r="K8" s="16" t="n">
        <v>87.74023513607368</v>
      </c>
      <c r="L8" s="16" t="n">
        <v>73.26100868591242</v>
      </c>
      <c r="M8" s="16" t="n">
        <v>87.78214872573673</v>
      </c>
      <c r="N8" s="16" t="n">
        <v>3.445925941464378</v>
      </c>
    </row>
    <row r="9">
      <c r="A9" s="14" t="n">
        <v>45016</v>
      </c>
      <c r="B9" t="n">
        <v>54</v>
      </c>
      <c r="C9" s="15" t="n">
        <v>65286835</v>
      </c>
      <c r="D9" s="16" t="n">
        <v>0.76854804308949</v>
      </c>
      <c r="E9" s="16" t="n">
        <v>0.1905146726748203</v>
      </c>
      <c r="F9" s="16" t="n">
        <v>0.2567523344763087</v>
      </c>
      <c r="G9" s="16" t="n">
        <v>14.18763575983223</v>
      </c>
      <c r="H9" s="16" t="n">
        <v>36</v>
      </c>
      <c r="I9" s="16" t="n">
        <v>9.140357317060936</v>
      </c>
      <c r="J9" s="16" t="n">
        <v>3.083130119720573</v>
      </c>
      <c r="K9" s="16" t="n">
        <v>89.62080062269575</v>
      </c>
      <c r="L9" s="16" t="n">
        <v>73.50637383478615</v>
      </c>
      <c r="M9" s="16" t="n">
        <v>87.73323287903409</v>
      </c>
      <c r="N9" s="16" t="n">
        <v>1.215265291807643</v>
      </c>
    </row>
    <row r="10">
      <c r="A10" s="14" t="n">
        <v>45107</v>
      </c>
      <c r="B10" t="n">
        <v>54</v>
      </c>
      <c r="C10" s="15" t="n">
        <v>66103367</v>
      </c>
      <c r="D10" s="16" t="n">
        <v>0.7326203672754303</v>
      </c>
      <c r="E10" s="16" t="n">
        <v>0.2028701503207847</v>
      </c>
      <c r="F10" s="16" t="n">
        <v>0.2769683501864218</v>
      </c>
      <c r="G10" s="16" t="n">
        <v>14.1925525074673</v>
      </c>
      <c r="H10" s="16" t="n">
        <v>37</v>
      </c>
      <c r="I10" s="16" t="n">
        <v>9.053121303185661</v>
      </c>
      <c r="J10" s="16" t="n">
        <v>2.996821516504175</v>
      </c>
      <c r="K10" s="16" t="n">
        <v>92.51917370191248</v>
      </c>
      <c r="L10" s="16" t="n">
        <v>73.96373016823787</v>
      </c>
      <c r="M10" s="16" t="n">
        <v>87.69046400676245</v>
      </c>
      <c r="N10" s="16" t="n">
        <v>1.250684000840296</v>
      </c>
    </row>
    <row r="11">
      <c r="A11" s="14" t="n">
        <v>45199</v>
      </c>
      <c r="B11" t="n">
        <v>54</v>
      </c>
      <c r="C11" s="15" t="n">
        <v>66427421</v>
      </c>
      <c r="D11" s="16" t="n">
        <v>0.702164948672613</v>
      </c>
      <c r="E11" s="16" t="n">
        <v>0.2071283182889186</v>
      </c>
      <c r="F11" s="16" t="n">
        <v>0.2838938984048095</v>
      </c>
      <c r="G11" s="16" t="n">
        <v>14.39644622249789</v>
      </c>
      <c r="H11" s="16" t="n">
        <v>38</v>
      </c>
      <c r="I11" s="16" t="n">
        <v>8.787500571488392</v>
      </c>
      <c r="J11" s="16" t="n">
        <v>2.973838527893948</v>
      </c>
      <c r="K11" s="16" t="n">
        <v>92.26179494740219</v>
      </c>
      <c r="L11" s="16" t="n">
        <v>74.59187524380933</v>
      </c>
      <c r="M11" s="16" t="n">
        <v>87.57900205771686</v>
      </c>
      <c r="N11" s="16" t="n">
        <v>0.4902231379530164</v>
      </c>
    </row>
    <row r="12">
      <c r="A12" s="14" t="n">
        <v>45291</v>
      </c>
      <c r="B12" t="n">
        <v>54</v>
      </c>
      <c r="C12" s="15" t="n">
        <v>67228962</v>
      </c>
      <c r="D12" s="16" t="n">
        <v>0.7141554004508993</v>
      </c>
      <c r="E12" s="16" t="n">
        <v>0.2301433718402494</v>
      </c>
      <c r="F12" s="16" t="n">
        <v>0.3101826507383759</v>
      </c>
      <c r="G12" s="16" t="n">
        <v>14.52614293081759</v>
      </c>
      <c r="H12" s="16" t="n">
        <v>38</v>
      </c>
      <c r="I12" s="16" t="n">
        <v>9.392621590676947</v>
      </c>
      <c r="J12" s="16" t="n">
        <v>2.949282602174197</v>
      </c>
      <c r="K12" s="16" t="n">
        <v>93.41168714309944</v>
      </c>
      <c r="L12" s="16" t="n">
        <v>74.48410850073812</v>
      </c>
      <c r="M12" s="16" t="n">
        <v>87.71030087699313</v>
      </c>
      <c r="N12" s="16" t="n">
        <v>1.206641757174354</v>
      </c>
    </row>
    <row r="13">
      <c r="A13" s="14" t="n">
        <v>45382</v>
      </c>
      <c r="B13" t="n">
        <v>54</v>
      </c>
      <c r="C13" s="15" t="n">
        <v>67408258</v>
      </c>
      <c r="D13" s="16" t="n">
        <v>0.6641453976164023</v>
      </c>
      <c r="E13" s="16" t="n">
        <v>0.2920206007993857</v>
      </c>
      <c r="F13" s="16" t="n">
        <v>0.3884576118234677</v>
      </c>
      <c r="G13" s="16" t="n">
        <v>14.57714748282557</v>
      </c>
      <c r="H13" s="16" t="n">
        <v>39</v>
      </c>
      <c r="I13" s="16" t="n">
        <v>9.430804457222438</v>
      </c>
      <c r="J13" s="16" t="n">
        <v>2.748606402077092</v>
      </c>
      <c r="K13" s="16" t="n">
        <v>94.47129509226744</v>
      </c>
      <c r="L13" s="16" t="n">
        <v>74.87484100241842</v>
      </c>
      <c r="M13" s="16" t="n">
        <v>87.46177221725243</v>
      </c>
      <c r="N13" s="16" t="n">
        <v>0.2666945832065615</v>
      </c>
    </row>
    <row r="14">
      <c r="A14" s="14" t="n">
        <v>45473</v>
      </c>
      <c r="B14" t="n">
        <v>54</v>
      </c>
      <c r="C14" s="15" t="n">
        <v>68174434</v>
      </c>
      <c r="D14" s="16" t="n">
        <v>0.6573968326431161</v>
      </c>
      <c r="E14" s="16" t="n">
        <v>0.2954788007480927</v>
      </c>
      <c r="F14" s="16" t="n">
        <v>0.3890697328890167</v>
      </c>
      <c r="G14" s="16" t="n">
        <v>14.54949402494041</v>
      </c>
      <c r="H14" s="16" t="n">
        <v>38</v>
      </c>
      <c r="I14" s="16" t="n">
        <v>9.486189500304469</v>
      </c>
      <c r="J14" s="16" t="n">
        <v>2.761815527619786</v>
      </c>
      <c r="K14" s="16" t="n">
        <v>95.47614778693523</v>
      </c>
      <c r="L14" s="16" t="n">
        <v>75.33689388605706</v>
      </c>
      <c r="M14" s="16" t="n">
        <v>87.41583292973068</v>
      </c>
      <c r="N14" s="16" t="n">
        <v>1.136620382624343</v>
      </c>
    </row>
    <row r="15">
      <c r="A15" s="14" t="n">
        <v>45565</v>
      </c>
      <c r="B15" t="n">
        <v>54</v>
      </c>
      <c r="C15" s="15" t="n">
        <v>69727725</v>
      </c>
      <c r="D15" s="16" t="n">
        <v>0.7144349198640905</v>
      </c>
      <c r="E15" s="16" t="n">
        <v>0.2775165832529313</v>
      </c>
      <c r="F15" s="16" t="n">
        <v>0.3799107468408202</v>
      </c>
      <c r="G15" s="16" t="n">
        <v>14.49936243817748</v>
      </c>
      <c r="H15" s="16" t="n">
        <v>38</v>
      </c>
      <c r="I15" s="16" t="n">
        <v>9.765712275855838</v>
      </c>
      <c r="J15" s="16" t="n">
        <v>2.808309294048034</v>
      </c>
      <c r="K15" s="16" t="n">
        <v>93.76795768596942</v>
      </c>
      <c r="L15" s="16" t="n">
        <v>75.38223282058894</v>
      </c>
      <c r="M15" s="16" t="n">
        <v>87.42959249674391</v>
      </c>
      <c r="N15" s="16" t="n">
        <v>2.278406887837159</v>
      </c>
    </row>
    <row r="16">
      <c r="A16" s="14" t="n">
        <v>45657</v>
      </c>
      <c r="B16" t="n">
        <v>54</v>
      </c>
      <c r="C16" s="15" t="n">
        <v>70110166</v>
      </c>
      <c r="D16" s="16" t="n">
        <v>0.7231808970462268</v>
      </c>
      <c r="E16" s="16" t="n">
        <v>0.2761339917523516</v>
      </c>
      <c r="F16" s="16" t="n">
        <v>0.3649058605349748</v>
      </c>
      <c r="G16" s="16" t="n">
        <v>14.46385039748821</v>
      </c>
      <c r="H16" s="16" t="n">
        <v>39</v>
      </c>
      <c r="I16" s="16" t="n">
        <v>9.549719223314918</v>
      </c>
      <c r="J16" s="16" t="n">
        <v>2.859710356963588</v>
      </c>
      <c r="K16" s="16" t="n">
        <v>92.91207757752464</v>
      </c>
      <c r="L16" s="16" t="n">
        <v>75.98144326173754</v>
      </c>
      <c r="M16" s="16" t="n">
        <v>87.31808749599843</v>
      </c>
      <c r="N16" s="16" t="n">
        <v>0.5484776679577585</v>
      </c>
    </row>
    <row r="17">
      <c r="A17" s="14" t="n">
        <v>45747</v>
      </c>
      <c r="B17" t="n">
        <v>52</v>
      </c>
      <c r="C17" s="15" t="n">
        <v>70509303</v>
      </c>
      <c r="D17" s="16" t="n">
        <v>0.6509218699668595</v>
      </c>
      <c r="E17" s="16" t="n">
        <v>0.2896397940566793</v>
      </c>
      <c r="F17" s="16" t="n">
        <v>0.380870743211647</v>
      </c>
      <c r="G17" s="16" t="n">
        <v>14.20114733737472</v>
      </c>
      <c r="H17" s="16" t="n">
        <v>37</v>
      </c>
      <c r="I17" s="16" t="n">
        <v>9.780588811096317</v>
      </c>
      <c r="J17" s="16" t="n">
        <v>3.127361199268044</v>
      </c>
      <c r="K17" s="16" t="n">
        <v>92.63759969500582</v>
      </c>
      <c r="L17" s="16" t="n">
        <v>76.16770796897538</v>
      </c>
      <c r="M17" s="16" t="n">
        <v>87.23641274428853</v>
      </c>
      <c r="N17" s="16" t="n">
        <v>0.5692997503386366</v>
      </c>
    </row>
    <row r="18">
      <c r="A18" s="14" t="n">
        <v>45838</v>
      </c>
      <c r="B18" t="n">
        <v>52</v>
      </c>
      <c r="C18" s="15" t="n">
        <v>71266944</v>
      </c>
      <c r="D18" s="16" t="n">
        <v>0.7617103547368322</v>
      </c>
      <c r="E18" s="16" t="n">
        <v>0.3529700950836338</v>
      </c>
      <c r="F18" s="16" t="n">
        <v>0.4780848762281273</v>
      </c>
      <c r="G18" s="16" t="n">
        <v>14.25146815057991</v>
      </c>
      <c r="H18" s="16" t="n">
        <v>37</v>
      </c>
      <c r="I18" s="16" t="n">
        <v>9.944830804026058</v>
      </c>
      <c r="J18" s="16" t="n">
        <v>3.167853769365263</v>
      </c>
      <c r="K18" s="16" t="n">
        <v>93.78222665081164</v>
      </c>
      <c r="L18" s="16" t="n">
        <v>76.29469701970103</v>
      </c>
      <c r="M18" s="16" t="n">
        <v>87.34720492305046</v>
      </c>
      <c r="N18" s="16" t="n">
        <v>1.074526293360178</v>
      </c>
    </row>
  </sheetData>
  <mergeCells count="2">
    <mergeCell ref="A2:N2"/>
    <mergeCell ref="A1:N1"/>
  </mergeCells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5" customWidth="1" min="4" max="4"/>
    <col width="20" customWidth="1" min="5" max="5"/>
    <col width="20" customWidth="1" min="6" max="6"/>
    <col width="16" customWidth="1" min="7" max="7"/>
    <col width="14" customWidth="1" min="8" max="8"/>
    <col width="20" customWidth="1" min="9" max="9"/>
    <col width="15" customWidth="1" min="10" max="10"/>
    <col width="18" customWidth="1" min="11" max="11"/>
  </cols>
  <sheetData>
    <row r="1" ht="30" customHeight="1">
      <c r="A1" s="1" t="inlineStr">
        <is>
          <t>Portfolio Change Attribution</t>
        </is>
      </c>
    </row>
    <row r="2" ht="34" customHeight="1">
      <c r="A2" s="2" t="inlineStr">
        <is>
          <t>Bridge from 2022-03-31 to 2025-06-30; percentage-point contributions</t>
        </is>
      </c>
    </row>
    <row r="4">
      <c r="A4" s="12" t="inlineStr">
        <is>
          <t>Metric</t>
        </is>
      </c>
      <c r="B4" s="12" t="inlineStr">
        <is>
          <t>Start</t>
        </is>
      </c>
      <c r="C4" s="12" t="inlineStr">
        <is>
          <t>End</t>
        </is>
      </c>
      <c r="D4" s="12" t="inlineStr">
        <is>
          <t>Total Change</t>
        </is>
      </c>
      <c r="E4" s="12" t="inlineStr">
        <is>
          <t>Start Sample to Persistent</t>
        </is>
      </c>
      <c r="F4" s="12" t="inlineStr">
        <is>
          <t>Institution Performance</t>
        </is>
      </c>
      <c r="G4" s="12" t="inlineStr">
        <is>
          <t>Weight Shift</t>
        </is>
      </c>
      <c r="H4" s="12" t="inlineStr">
        <is>
          <t>Interaction</t>
        </is>
      </c>
      <c r="I4" s="12" t="inlineStr">
        <is>
          <t>Persistent to End Sample</t>
        </is>
      </c>
      <c r="J4" s="12" t="inlineStr">
        <is>
          <t>Persistent Institutions</t>
        </is>
      </c>
      <c r="K4" s="12" t="inlineStr">
        <is>
          <t>Reconciliation Check</t>
        </is>
      </c>
    </row>
    <row r="5">
      <c r="A5" t="inlineStr">
        <is>
          <t>ROA (%)</t>
        </is>
      </c>
      <c r="B5" s="16" t="n">
        <v>0.8091772381818029</v>
      </c>
      <c r="C5" s="16" t="n">
        <v>0.7617103547368322</v>
      </c>
      <c r="D5" s="16" t="n">
        <v>-0.04746688344497063</v>
      </c>
      <c r="E5" s="16" t="n">
        <v>0.04606213990789121</v>
      </c>
      <c r="F5" s="16" t="n">
        <v>-0.1804150928736865</v>
      </c>
      <c r="G5" s="16" t="n">
        <v>0.07512496380551331</v>
      </c>
      <c r="H5" s="16" t="n">
        <v>-0.01194680503466066</v>
      </c>
      <c r="I5" s="16" t="n">
        <v>0.02370791074997203</v>
      </c>
      <c r="J5" s="16" t="n">
        <v>49</v>
      </c>
      <c r="K5" s="16">
        <f>SUM(E5:I5)-D5</f>
        <v/>
      </c>
    </row>
    <row r="6">
      <c r="A6" t="inlineStr">
        <is>
          <t>Nonaccrual assets / assets (%)</t>
        </is>
      </c>
      <c r="B6" s="16" t="n">
        <v>0.2197937548914018</v>
      </c>
      <c r="C6" s="16" t="n">
        <v>0.3529700950836338</v>
      </c>
      <c r="D6" s="16" t="n">
        <v>0.1331763401922319</v>
      </c>
      <c r="E6" s="16" t="n">
        <v>-0.006805513627075627</v>
      </c>
      <c r="F6" s="16" t="n">
        <v>0.1182041363260243</v>
      </c>
      <c r="G6" s="16" t="n">
        <v>0.02958724150560626</v>
      </c>
      <c r="H6" s="16" t="n">
        <v>-0.009380940286946195</v>
      </c>
      <c r="I6" s="16" t="n">
        <v>0.00157141627462315</v>
      </c>
      <c r="J6" s="16" t="n">
        <v>49</v>
      </c>
      <c r="K6" s="16">
        <f>SUM(E6:I6)-D6</f>
        <v/>
      </c>
    </row>
    <row r="7">
      <c r="A7" t="inlineStr">
        <is>
          <t>Net charge-offs / gross loans (%)</t>
        </is>
      </c>
      <c r="B7" s="16" t="n">
        <v>0.32343055222508</v>
      </c>
      <c r="C7" s="16" t="n">
        <v>0.4780848762281273</v>
      </c>
      <c r="D7" s="16" t="n">
        <v>0.1546543240030473</v>
      </c>
      <c r="E7" s="16" t="n">
        <v>-0.009146306952525052</v>
      </c>
      <c r="F7" s="16" t="n">
        <v>0.134100313197976</v>
      </c>
      <c r="G7" s="16" t="n">
        <v>0.04057103531957491</v>
      </c>
      <c r="H7" s="16" t="n">
        <v>-0.01381603801063292</v>
      </c>
      <c r="I7" s="16" t="n">
        <v>0.002945320448654309</v>
      </c>
      <c r="J7" s="16" t="n">
        <v>49</v>
      </c>
      <c r="K7" s="16">
        <f>SUM(E7:I7)-D7</f>
        <v/>
      </c>
    </row>
    <row r="8">
      <c r="A8" t="inlineStr">
        <is>
          <t>Total risk-based capital (%)</t>
        </is>
      </c>
      <c r="B8" s="16" t="n">
        <v>15.1990836068572</v>
      </c>
      <c r="C8" s="16" t="n">
        <v>14.25146815057991</v>
      </c>
      <c r="D8" s="16" t="n">
        <v>-0.9476154562772834</v>
      </c>
      <c r="E8" s="16" t="n">
        <v>-0.01299746588427553</v>
      </c>
      <c r="F8" s="16" t="n">
        <v>-1.121018025765366</v>
      </c>
      <c r="G8" s="16" t="n">
        <v>0.2722944937746185</v>
      </c>
      <c r="H8" s="16" t="n">
        <v>-0.2477141514829302</v>
      </c>
      <c r="I8" s="16" t="n">
        <v>0.1618196930806679</v>
      </c>
      <c r="J8" s="16" t="n">
        <v>33</v>
      </c>
      <c r="K8" s="16">
        <f>SUM(E8:I8)-D8</f>
        <v/>
      </c>
    </row>
    <row r="11">
      <c r="A11" s="10" t="inlineStr">
        <is>
          <t>Interpretation</t>
        </is>
      </c>
    </row>
    <row r="12" ht="28" customHeight="1">
      <c r="A12" s="13" t="inlineStr">
        <is>
          <t>• ROA: total −0.047 pp. Persistent-bank performance contributed −0.180 pp; weight shifts +0.075 pp and composition bridges partly offset it.</t>
        </is>
      </c>
    </row>
    <row r="13" ht="28" customHeight="1">
      <c r="A13" s="13" t="inlineStr">
        <is>
          <t>• Nonaccrual rate: total +0.133 pp. Persistent-bank performance (+0.118 pp) is the dominant adverse driver; weight shift added +0.030 pp.</t>
        </is>
      </c>
    </row>
    <row r="14" ht="28" customHeight="1">
      <c r="A14" s="13" t="inlineStr">
        <is>
          <t>• NCO rate: total +0.155 pp. Persistent-bank performance (+0.134 pp) dominates; weight shift added +0.041 pp.</t>
        </is>
      </c>
    </row>
    <row r="15" ht="28" customHeight="1">
      <c r="A15" s="13" t="inlineStr">
        <is>
          <t>• Reported RBC: total −0.948 pp. Persistent reporter performance contributed −1.121 pp; entry/exit and weight effects partly offset. Reporter sets differ, so interpret cautiously.</t>
        </is>
      </c>
    </row>
    <row r="18">
      <c r="A18" s="17" t="inlineStr">
        <is>
          <t>Formula</t>
        </is>
      </c>
      <c r="B18" t="inlineStr">
        <is>
          <t>Total change = start-sample bridge + institution performance + weight shift + interaction + end-sample bridge.</t>
        </is>
      </c>
    </row>
    <row r="19">
      <c r="A19" s="17" t="inlineStr">
        <is>
          <t>Performance</t>
        </is>
      </c>
      <c r="B19" t="inlineStr">
        <is>
          <t>Σ beginning persistent weights × (ending metric − beginning metric).</t>
        </is>
      </c>
    </row>
    <row r="20">
      <c r="A20" s="17" t="inlineStr">
        <is>
          <t>Weight shift</t>
        </is>
      </c>
      <c r="B20" t="inlineStr">
        <is>
          <t>Σ (ending weight − beginning weight) × beginning metric.</t>
        </is>
      </c>
    </row>
    <row r="21">
      <c r="A21" s="17" t="inlineStr">
        <is>
          <t>Interaction</t>
        </is>
      </c>
      <c r="B21" t="inlineStr">
        <is>
          <t>Σ (ending weight − beginning weight) × (ending metric − beginning metric).</t>
        </is>
      </c>
    </row>
  </sheetData>
  <mergeCells count="10">
    <mergeCell ref="A12:K12"/>
    <mergeCell ref="B20:K20"/>
    <mergeCell ref="A15:K15"/>
    <mergeCell ref="B18:K18"/>
    <mergeCell ref="B21:K21"/>
    <mergeCell ref="A2:K2"/>
    <mergeCell ref="A13:K13"/>
    <mergeCell ref="A14:K14"/>
    <mergeCell ref="A1:K1"/>
    <mergeCell ref="B19:K19"/>
  </mergeCells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56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43" customWidth="1" min="3" max="3"/>
    <col width="8" customWidth="1" min="4" max="4"/>
    <col width="14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1" t="inlineStr">
        <is>
          <t>Priority Screening and Follow-up Selection</t>
        </is>
      </c>
    </row>
    <row r="2" ht="34" customHeight="1">
      <c r="A2" s="2" t="inlineStr">
        <is>
          <t>Relative ranking supports—not replaces—management judgment; selected scope is separately flagged</t>
        </is>
      </c>
    </row>
    <row r="4">
      <c r="A4" s="12" t="inlineStr">
        <is>
          <t>Rank</t>
        </is>
      </c>
      <c r="B4" s="12" t="inlineStr">
        <is>
          <t>CERT</t>
        </is>
      </c>
      <c r="C4" s="12" t="inlineStr">
        <is>
          <t>Institution</t>
        </is>
      </c>
      <c r="D4" s="12" t="inlineStr">
        <is>
          <t>State</t>
        </is>
      </c>
      <c r="E4" s="12" t="inlineStr">
        <is>
          <t>Assets $000</t>
        </is>
      </c>
      <c r="F4" s="12" t="inlineStr">
        <is>
          <t>Asset weight %</t>
        </is>
      </c>
      <c r="G4" s="12" t="inlineStr">
        <is>
          <t>Peer group</t>
        </is>
      </c>
      <c r="H4" s="12" t="inlineStr">
        <is>
          <t>Composite</t>
        </is>
      </c>
      <c r="I4" s="12" t="inlineStr">
        <is>
          <t>Profit risk</t>
        </is>
      </c>
      <c r="J4" s="12" t="inlineStr">
        <is>
          <t>Credit risk</t>
        </is>
      </c>
      <c r="K4" s="12" t="inlineStr">
        <is>
          <t>Capital risk</t>
        </is>
      </c>
      <c r="L4" s="12" t="inlineStr">
        <is>
          <t>Funding risk</t>
        </is>
      </c>
      <c r="M4" s="12" t="inlineStr">
        <is>
          <t>Growth risk</t>
        </is>
      </c>
      <c r="N4" s="12" t="inlineStr">
        <is>
          <t>Concentration risk</t>
        </is>
      </c>
      <c r="O4" s="12" t="inlineStr">
        <is>
          <t>ROA %</t>
        </is>
      </c>
      <c r="P4" s="12" t="inlineStr">
        <is>
          <t>NPA %</t>
        </is>
      </c>
      <c r="Q4" s="12" t="inlineStr">
        <is>
          <t>NCO %</t>
        </is>
      </c>
      <c r="R4" s="12" t="inlineStr">
        <is>
          <t>RBC %</t>
        </is>
      </c>
      <c r="S4" s="12" t="inlineStr">
        <is>
          <t>RBC reported</t>
        </is>
      </c>
      <c r="T4" s="12" t="inlineStr">
        <is>
          <t>EQ/A %</t>
        </is>
      </c>
      <c r="U4" s="12" t="inlineStr">
        <is>
          <t>NIM %</t>
        </is>
      </c>
      <c r="V4" s="12" t="inlineStr">
        <is>
          <t>L/D %</t>
        </is>
      </c>
      <c r="W4" s="12" t="inlineStr">
        <is>
          <t>YoY asset growth %</t>
        </is>
      </c>
      <c r="X4" s="12" t="inlineStr">
        <is>
          <t>RE loan share %</t>
        </is>
      </c>
      <c r="Y4" s="12" t="inlineStr">
        <is>
          <t>Selected tier</t>
        </is>
      </c>
    </row>
    <row r="5">
      <c r="A5" t="n">
        <v>1</v>
      </c>
      <c r="B5" t="n">
        <v>30878</v>
      </c>
      <c r="C5" t="inlineStr">
        <is>
          <t>BAR HARBOR SAVINGS AND LOAN ASSOCIATION</t>
        </is>
      </c>
      <c r="D5" t="inlineStr">
        <is>
          <t>ME</t>
        </is>
      </c>
      <c r="E5" t="n">
        <v>98909</v>
      </c>
      <c r="F5" s="9" t="n">
        <v>0.1387866441979047</v>
      </c>
      <c r="G5" s="9" t="inlineStr">
        <is>
          <t>ME / Small</t>
        </is>
      </c>
      <c r="H5" s="9" t="n">
        <v>76.92307692307692</v>
      </c>
      <c r="I5" s="9" t="n">
        <v>86.53846153846153</v>
      </c>
      <c r="J5" s="9" t="n">
        <v>92.30769230769231</v>
      </c>
      <c r="K5" s="9" t="n">
        <v>19.23076923076923</v>
      </c>
      <c r="L5" s="9" t="n">
        <v>98.07692307692307</v>
      </c>
      <c r="M5" s="9" t="n">
        <v>46.15384615384615</v>
      </c>
      <c r="N5" s="9" t="n">
        <v>100</v>
      </c>
      <c r="O5" s="9" t="n">
        <v>0.0020154179472968</v>
      </c>
      <c r="P5" s="9" t="n">
        <v>1.367924051400782</v>
      </c>
      <c r="Q5" s="9" t="n">
        <v>1.572597517318332</v>
      </c>
      <c r="S5" t="b">
        <v>0</v>
      </c>
      <c r="T5" s="9" t="n">
        <v>12.02216178507517</v>
      </c>
      <c r="U5" s="9" t="n">
        <v>1.492266204641675</v>
      </c>
      <c r="V5" s="9" t="n">
        <v>117.3709178411825</v>
      </c>
      <c r="W5" s="9" t="n">
        <v>-3.897201710066067</v>
      </c>
      <c r="X5" s="9" t="n">
        <v>99.79543446929192</v>
      </c>
      <c r="Y5" t="inlineStr">
        <is>
          <t>Tier 1</t>
        </is>
      </c>
    </row>
    <row r="6">
      <c r="A6" t="n">
        <v>2</v>
      </c>
      <c r="B6" t="n">
        <v>29636</v>
      </c>
      <c r="C6" t="inlineStr">
        <is>
          <t>FIRST FEDERAL SAVINGS AND LOAN ASSOCIATION OF BATH</t>
        </is>
      </c>
      <c r="D6" t="inlineStr">
        <is>
          <t>ME</t>
        </is>
      </c>
      <c r="E6" t="n">
        <v>185573</v>
      </c>
      <c r="F6" s="9" t="n">
        <v>0.2603914095151884</v>
      </c>
      <c r="G6" s="9" t="inlineStr">
        <is>
          <t>ME / Small</t>
        </is>
      </c>
      <c r="H6" s="9" t="n">
        <v>68.05335595776772</v>
      </c>
      <c r="I6" s="9" t="n">
        <v>73.07692307692308</v>
      </c>
      <c r="J6" s="9" t="n">
        <v>97.43589743589742</v>
      </c>
      <c r="K6" s="9" t="n">
        <v>2.884615384615387</v>
      </c>
      <c r="L6" s="9" t="n">
        <v>76.92307692307693</v>
      </c>
      <c r="M6" s="9" t="n">
        <v>38.46153846153847</v>
      </c>
      <c r="N6" s="9" t="n">
        <v>96.07843137254902</v>
      </c>
      <c r="O6" s="9" t="n">
        <v>0.2346191133487824</v>
      </c>
      <c r="P6" s="9" t="n">
        <v>1.671579378465617</v>
      </c>
      <c r="Q6" s="9" t="n">
        <v>2.11141060197664</v>
      </c>
      <c r="R6" t="n">
        <v>27.16721387016877</v>
      </c>
      <c r="S6" t="b">
        <v>1</v>
      </c>
      <c r="T6" s="9" t="n">
        <v>14.89764135946501</v>
      </c>
      <c r="U6" s="9" t="n">
        <v>3.507245167404793</v>
      </c>
      <c r="V6" s="9" t="n">
        <v>103.7894842349437</v>
      </c>
      <c r="W6" s="9" t="n">
        <v>2.950264902499233</v>
      </c>
      <c r="X6" s="9" t="n">
        <v>97.76334776334777</v>
      </c>
      <c r="Y6" t="inlineStr">
        <is>
          <t>Tier 1</t>
        </is>
      </c>
    </row>
    <row r="7">
      <c r="A7" t="n">
        <v>3</v>
      </c>
      <c r="B7" t="n">
        <v>27824</v>
      </c>
      <c r="C7" t="inlineStr">
        <is>
          <t>SALEM CO-OPERATIVE BANK</t>
        </is>
      </c>
      <c r="D7" t="inlineStr">
        <is>
          <t>NH</t>
        </is>
      </c>
      <c r="E7" t="n">
        <v>571650</v>
      </c>
      <c r="F7" s="9" t="n">
        <v>0.8021250356967741</v>
      </c>
      <c r="G7" s="9" t="inlineStr">
        <is>
          <t>NH / Small</t>
        </is>
      </c>
      <c r="H7" s="9" t="n">
        <v>67.23711834005951</v>
      </c>
      <c r="I7" s="9" t="n">
        <v>94.23076923076923</v>
      </c>
      <c r="J7" s="9" t="n">
        <v>66.02564102564102</v>
      </c>
      <c r="K7" s="9" t="n">
        <v>24.06444906444906</v>
      </c>
      <c r="L7" s="9" t="n">
        <v>100</v>
      </c>
      <c r="M7" s="9" t="n">
        <v>32.69230769230769</v>
      </c>
      <c r="N7" s="9" t="n">
        <v>52.94117647058824</v>
      </c>
      <c r="O7" s="9" t="n">
        <v>-0.3059045885688285</v>
      </c>
      <c r="P7" s="9" t="n">
        <v>0.3575614449400857</v>
      </c>
      <c r="Q7" s="9" t="n">
        <v>0.4335744437138069</v>
      </c>
      <c r="R7" t="n">
        <v>18.95901440034583</v>
      </c>
      <c r="S7" t="b">
        <v>1</v>
      </c>
      <c r="T7" s="9" t="n">
        <v>10.86958803463658</v>
      </c>
      <c r="U7" s="9" t="n">
        <v>1.915056440131239</v>
      </c>
      <c r="V7" s="9" t="n">
        <v>120.678729301693</v>
      </c>
      <c r="W7" s="9" t="n">
        <v>2.599216035378915</v>
      </c>
      <c r="X7" s="9" t="n">
        <v>89.37997157584371</v>
      </c>
      <c r="Y7" t="inlineStr">
        <is>
          <t>Tier 2</t>
        </is>
      </c>
    </row>
    <row r="8">
      <c r="A8" t="n">
        <v>4</v>
      </c>
      <c r="B8" t="n">
        <v>14158</v>
      </c>
      <c r="C8" t="inlineStr">
        <is>
          <t>UNION BANK</t>
        </is>
      </c>
      <c r="D8" t="inlineStr">
        <is>
          <t>VT</t>
        </is>
      </c>
      <c r="E8" t="n">
        <v>1479452</v>
      </c>
      <c r="F8" s="9" t="n">
        <v>2.075930181600042</v>
      </c>
      <c r="G8" s="9" t="inlineStr">
        <is>
          <t>VT / Large</t>
        </is>
      </c>
      <c r="H8" s="9" t="n">
        <v>66.96259324935795</v>
      </c>
      <c r="I8" s="9" t="n">
        <v>44.23076923076923</v>
      </c>
      <c r="J8" s="9" t="n">
        <v>67.94871794871794</v>
      </c>
      <c r="K8" s="9" t="n">
        <v>94.98440748440748</v>
      </c>
      <c r="L8" s="9" t="n">
        <v>67.30769230769231</v>
      </c>
      <c r="M8" s="9" t="n">
        <v>67.30769230769231</v>
      </c>
      <c r="N8" s="9" t="n">
        <v>78.43137254901961</v>
      </c>
      <c r="O8" s="9" t="n">
        <v>0.7048692654886182</v>
      </c>
      <c r="P8" s="9" t="n">
        <v>1.026663926913479</v>
      </c>
      <c r="Q8" s="9" t="n">
        <v>1.370033952351798</v>
      </c>
      <c r="R8" t="n">
        <v>12.62343324030092</v>
      </c>
      <c r="S8" t="b">
        <v>1</v>
      </c>
      <c r="T8" s="9" t="n">
        <v>5.848178920302924</v>
      </c>
      <c r="U8" s="9" t="n">
        <v>2.998673507124366</v>
      </c>
      <c r="V8" s="9" t="n">
        <v>99.82754215059452</v>
      </c>
      <c r="W8" s="9" t="n">
        <v>5.83911789050322</v>
      </c>
      <c r="X8" s="9" t="n">
        <v>92.58515468878208</v>
      </c>
      <c r="Y8" t="inlineStr">
        <is>
          <t>Tier 1</t>
        </is>
      </c>
    </row>
    <row r="9">
      <c r="A9" t="n">
        <v>5</v>
      </c>
      <c r="B9" t="n">
        <v>59289</v>
      </c>
      <c r="C9" t="inlineStr">
        <is>
          <t>WALDEN MUTUAL BANK</t>
        </is>
      </c>
      <c r="D9" t="inlineStr">
        <is>
          <t>NH</t>
        </is>
      </c>
      <c r="E9" t="n">
        <v>145991</v>
      </c>
      <c r="F9" s="9" t="n">
        <v>0.2048509334145154</v>
      </c>
      <c r="G9" s="9" t="inlineStr">
        <is>
          <t>NH / Small</t>
        </is>
      </c>
      <c r="H9" s="9" t="n">
        <v>66.5422322775264</v>
      </c>
      <c r="I9" s="9" t="n">
        <v>90.38461538461539</v>
      </c>
      <c r="J9" s="9" t="n">
        <v>100</v>
      </c>
      <c r="K9" s="9" t="n">
        <v>36.53846153846154</v>
      </c>
      <c r="L9" s="9" t="n">
        <v>23.07692307692308</v>
      </c>
      <c r="M9" s="9" t="n">
        <v>98.07692307692307</v>
      </c>
      <c r="N9" s="9" t="n">
        <v>1.96078431372549</v>
      </c>
      <c r="O9" s="9" t="n">
        <v>-0.2399886005414742</v>
      </c>
      <c r="P9" s="9" t="n">
        <v>1.941900528114747</v>
      </c>
      <c r="Q9" s="9" t="n">
        <v>2.669390983390456</v>
      </c>
      <c r="S9" t="b">
        <v>0</v>
      </c>
      <c r="T9" s="9" t="n">
        <v>10.75271763327876</v>
      </c>
      <c r="U9" s="9" t="n">
        <v>3.992186546209254</v>
      </c>
      <c r="V9" s="9" t="n">
        <v>81.7195804087451</v>
      </c>
      <c r="W9" s="9" t="n">
        <v>37.83268346566717</v>
      </c>
      <c r="X9" s="9" t="n">
        <v>36.17566193363715</v>
      </c>
      <c r="Y9" t="inlineStr">
        <is>
          <t>Tier 1</t>
        </is>
      </c>
    </row>
    <row r="10">
      <c r="A10" t="n">
        <v>6</v>
      </c>
      <c r="B10" t="n">
        <v>17743</v>
      </c>
      <c r="C10" t="inlineStr">
        <is>
          <t>SACO &amp; BIDDEFORD SAVINGS INSTITUTION</t>
        </is>
      </c>
      <c r="D10" t="inlineStr">
        <is>
          <t>ME</t>
        </is>
      </c>
      <c r="E10" t="n">
        <v>1439697</v>
      </c>
      <c r="F10" s="9" t="n">
        <v>2.020146956210161</v>
      </c>
      <c r="G10" s="9" t="inlineStr">
        <is>
          <t>ME / Medium</t>
        </is>
      </c>
      <c r="H10" s="9" t="n">
        <v>62.67722473604827</v>
      </c>
      <c r="I10" s="9" t="n">
        <v>82.69230769230769</v>
      </c>
      <c r="J10" s="9" t="n">
        <v>19.23076923076923</v>
      </c>
      <c r="K10" s="9" t="n">
        <v>71.15384615384616</v>
      </c>
      <c r="L10" s="9" t="n">
        <v>96.15384615384616</v>
      </c>
      <c r="M10" s="9" t="n">
        <v>28.84615384615384</v>
      </c>
      <c r="N10" s="9" t="n">
        <v>92.15686274509804</v>
      </c>
      <c r="O10" s="9" t="n">
        <v>0.06741044417162979</v>
      </c>
      <c r="P10" s="9" t="n">
        <v>0.02826983733382788</v>
      </c>
      <c r="Q10" s="9" t="n">
        <v>0.0352716873212583</v>
      </c>
      <c r="S10" t="b">
        <v>0</v>
      </c>
      <c r="T10" s="9" t="n">
        <v>8.794558855092426</v>
      </c>
      <c r="U10" s="9" t="n">
        <v>2.070110876045204</v>
      </c>
      <c r="V10" s="9" t="n">
        <v>112.8809200334393</v>
      </c>
      <c r="W10" s="9" t="n">
        <v>2.512877330344643</v>
      </c>
      <c r="X10" s="9" t="n">
        <v>96.28061357136667</v>
      </c>
      <c r="Y10" t="inlineStr">
        <is>
          <t>Tier 2</t>
        </is>
      </c>
    </row>
    <row r="11">
      <c r="A11" t="n">
        <v>7</v>
      </c>
      <c r="B11" t="n">
        <v>17960</v>
      </c>
      <c r="C11" t="inlineStr">
        <is>
          <t>MERRIMACK COUNTY SAVINGS BANK</t>
        </is>
      </c>
      <c r="D11" t="inlineStr">
        <is>
          <t>NH</t>
        </is>
      </c>
      <c r="E11" t="n">
        <v>1351508</v>
      </c>
      <c r="F11" s="9" t="n">
        <v>1.896402348892637</v>
      </c>
      <c r="G11" s="9" t="inlineStr">
        <is>
          <t>NH / Medium</t>
        </is>
      </c>
      <c r="H11" s="9" t="n">
        <v>61.89454160042395</v>
      </c>
      <c r="I11" s="9" t="n">
        <v>69.23076923076923</v>
      </c>
      <c r="J11" s="9" t="n">
        <v>77.56410256410257</v>
      </c>
      <c r="K11" s="9" t="n">
        <v>71.1018711018711</v>
      </c>
      <c r="L11" s="9" t="n">
        <v>75</v>
      </c>
      <c r="M11" s="9" t="n">
        <v>26.92307692307692</v>
      </c>
      <c r="N11" s="9" t="n">
        <v>5.88235294117647</v>
      </c>
      <c r="O11" s="9" t="n">
        <v>0.2627821804713526</v>
      </c>
      <c r="P11" s="9" t="n">
        <v>0.5680321537127416</v>
      </c>
      <c r="Q11" s="9" t="n">
        <v>0.6694939421132358</v>
      </c>
      <c r="R11" t="n">
        <v>13.79771295716439</v>
      </c>
      <c r="S11" t="b">
        <v>1</v>
      </c>
      <c r="T11" s="9" t="n">
        <v>8.828360616437344</v>
      </c>
      <c r="U11" s="9" t="n">
        <v>2.954187899121759</v>
      </c>
      <c r="V11" s="9" t="n">
        <v>103.0862788915325</v>
      </c>
      <c r="W11" s="9" t="n">
        <v>-2.370120160252198</v>
      </c>
      <c r="X11" s="9" t="n">
        <v>70.42915808760368</v>
      </c>
      <c r="Y11" t="inlineStr"/>
    </row>
    <row r="12">
      <c r="A12" t="n">
        <v>8</v>
      </c>
      <c r="B12" t="n">
        <v>18408</v>
      </c>
      <c r="C12" t="inlineStr">
        <is>
          <t>BANGOR SAVINGS BANK</t>
        </is>
      </c>
      <c r="D12" t="inlineStr">
        <is>
          <t>ME</t>
        </is>
      </c>
      <c r="E12" t="n">
        <v>7335916</v>
      </c>
      <c r="F12" s="9" t="n">
        <v>10.29357453576233</v>
      </c>
      <c r="G12" s="9" t="inlineStr">
        <is>
          <t>ME / Large</t>
        </is>
      </c>
      <c r="H12" s="9" t="n">
        <v>61.7656230891525</v>
      </c>
      <c r="I12" s="9" t="n">
        <v>78.84615384615384</v>
      </c>
      <c r="J12" s="9" t="n">
        <v>64.74358974358974</v>
      </c>
      <c r="K12" s="9" t="n">
        <v>94.80249480249481</v>
      </c>
      <c r="L12" s="9" t="n">
        <v>26.92307692307692</v>
      </c>
      <c r="M12" s="9" t="n">
        <v>19.23076923076923</v>
      </c>
      <c r="N12" s="9" t="n">
        <v>56.86274509803921</v>
      </c>
      <c r="O12" s="9" t="n">
        <v>0.1062775417506632</v>
      </c>
      <c r="P12" s="9" t="n">
        <v>0.4571344601001429</v>
      </c>
      <c r="Q12" s="9" t="n">
        <v>0.6613649657809945</v>
      </c>
      <c r="R12" t="n">
        <v>11.14890025183202</v>
      </c>
      <c r="S12" t="b">
        <v>1</v>
      </c>
      <c r="T12" s="9" t="n">
        <v>6.374650418570769</v>
      </c>
      <c r="U12" s="9" t="n">
        <v>2.418524645581098</v>
      </c>
      <c r="V12" s="9" t="n">
        <v>85.07303992051125</v>
      </c>
      <c r="W12" s="9" t="n">
        <v>1.576882852792272</v>
      </c>
      <c r="X12" s="9" t="n">
        <v>90.051579959192</v>
      </c>
      <c r="Y12" t="inlineStr">
        <is>
          <t>Tier 1</t>
        </is>
      </c>
    </row>
    <row r="13">
      <c r="A13" t="n">
        <v>9</v>
      </c>
      <c r="B13" t="n">
        <v>17741</v>
      </c>
      <c r="C13" t="inlineStr">
        <is>
          <t>MAINE COMMUNITY BANK</t>
        </is>
      </c>
      <c r="D13" t="inlineStr">
        <is>
          <t>ME</t>
        </is>
      </c>
      <c r="E13" t="n">
        <v>2758302</v>
      </c>
      <c r="F13" s="9" t="n">
        <v>3.870380635375638</v>
      </c>
      <c r="G13" s="9" t="inlineStr">
        <is>
          <t>ME / Large</t>
        </is>
      </c>
      <c r="H13" s="9" t="n">
        <v>60.31108597285068</v>
      </c>
      <c r="I13" s="9" t="n">
        <v>32.69230769230769</v>
      </c>
      <c r="J13" s="9" t="n">
        <v>68.58974358974359</v>
      </c>
      <c r="K13" s="9" t="n">
        <v>65.38461538461539</v>
      </c>
      <c r="L13" s="9" t="n">
        <v>71.15384615384616</v>
      </c>
      <c r="M13" s="9" t="n">
        <v>100</v>
      </c>
      <c r="N13" s="9" t="n">
        <v>45.09803921568628</v>
      </c>
      <c r="O13" s="9" t="n">
        <v>0.8058628946888448</v>
      </c>
      <c r="P13" s="9" t="n">
        <v>0.5152445236235916</v>
      </c>
      <c r="Q13" s="9" t="n">
        <v>0.6240342770980913</v>
      </c>
      <c r="S13" t="b">
        <v>0</v>
      </c>
      <c r="T13" s="9" t="n">
        <v>9.098786137268508</v>
      </c>
      <c r="U13" s="9" t="n">
        <v>4.424594575961685</v>
      </c>
      <c r="V13" s="9" t="n">
        <v>100.35488091054</v>
      </c>
      <c r="W13" s="9" t="n">
        <v>137.6545597883917</v>
      </c>
      <c r="X13" s="9" t="n">
        <v>88.52237096141764</v>
      </c>
      <c r="Y13" t="inlineStr"/>
    </row>
    <row r="14">
      <c r="A14" t="n">
        <v>10</v>
      </c>
      <c r="B14" t="n">
        <v>18038</v>
      </c>
      <c r="C14" t="inlineStr">
        <is>
          <t>CLAREMONT SAVINGS BANK</t>
        </is>
      </c>
      <c r="D14" t="inlineStr">
        <is>
          <t>NH</t>
        </is>
      </c>
      <c r="E14" t="n">
        <v>597834</v>
      </c>
      <c r="F14" s="9" t="n">
        <v>0.8388657720471359</v>
      </c>
      <c r="G14" s="9" t="inlineStr">
        <is>
          <t>NH / Medium</t>
        </is>
      </c>
      <c r="H14" s="9" t="n">
        <v>60.10369532428356</v>
      </c>
      <c r="I14" s="9" t="n">
        <v>61.53846153846153</v>
      </c>
      <c r="J14" s="9" t="n">
        <v>60.25641025641026</v>
      </c>
      <c r="K14" s="9" t="n">
        <v>21.15384615384616</v>
      </c>
      <c r="L14" s="9" t="n">
        <v>73.07692307692307</v>
      </c>
      <c r="M14" s="9" t="n">
        <v>84.61538461538461</v>
      </c>
      <c r="N14" s="9" t="n">
        <v>70.58823529411765</v>
      </c>
      <c r="O14" s="9" t="n">
        <v>0.425956323893033</v>
      </c>
      <c r="P14" s="9" t="n">
        <v>0.3669915060033387</v>
      </c>
      <c r="Q14" s="9" t="n">
        <v>0.478485595271847</v>
      </c>
      <c r="S14" t="b">
        <v>0</v>
      </c>
      <c r="T14" s="9" t="n">
        <v>11.62111890591703</v>
      </c>
      <c r="U14" s="9" t="n">
        <v>2.89442109724558</v>
      </c>
      <c r="V14" s="9" t="n">
        <v>101.4791400182604</v>
      </c>
      <c r="W14" s="9" t="n">
        <v>13.18433533070174</v>
      </c>
      <c r="X14" s="9" t="n">
        <v>91.70545002508015</v>
      </c>
      <c r="Y14" t="inlineStr"/>
    </row>
    <row r="15">
      <c r="A15" t="n">
        <v>11</v>
      </c>
      <c r="B15" t="n">
        <v>17751</v>
      </c>
      <c r="C15" t="inlineStr">
        <is>
          <t>ANDROSCOGGIN SAVINGS BANK</t>
        </is>
      </c>
      <c r="D15" t="inlineStr">
        <is>
          <t>ME</t>
        </is>
      </c>
      <c r="E15" t="n">
        <v>1763462</v>
      </c>
      <c r="F15" s="9" t="n">
        <v>2.474445936674372</v>
      </c>
      <c r="G15" s="9" t="inlineStr">
        <is>
          <t>ME / Large</t>
        </is>
      </c>
      <c r="H15" s="9" t="n">
        <v>59.03629591129591</v>
      </c>
      <c r="I15" s="9" t="n">
        <v>59.61538461538461</v>
      </c>
      <c r="J15" s="9" t="n">
        <v>48.07692307692307</v>
      </c>
      <c r="K15" s="9" t="n">
        <v>61.0966735966736</v>
      </c>
      <c r="L15" s="9" t="n">
        <v>80.76923076923077</v>
      </c>
      <c r="M15" s="9" t="n">
        <v>75</v>
      </c>
      <c r="N15" s="9" t="n">
        <v>33.33333333333333</v>
      </c>
      <c r="O15" s="9" t="n">
        <v>0.4563455944797887</v>
      </c>
      <c r="P15" s="9" t="n">
        <v>0.1375135954162891</v>
      </c>
      <c r="Q15" s="9" t="n">
        <v>0.1664541087738132</v>
      </c>
      <c r="R15" t="n">
        <v>13.92216150945957</v>
      </c>
      <c r="S15" t="b">
        <v>1</v>
      </c>
      <c r="T15" s="9" t="n">
        <v>9.950143524498968</v>
      </c>
      <c r="U15" s="9" t="n">
        <v>2.871575246161505</v>
      </c>
      <c r="V15" s="9" t="n">
        <v>105.0994942451727</v>
      </c>
      <c r="W15" s="9" t="n">
        <v>8.276466752544721</v>
      </c>
      <c r="X15" s="9" t="n">
        <v>84.63034832495686</v>
      </c>
      <c r="Y15" t="inlineStr"/>
    </row>
    <row r="16">
      <c r="A16" t="n">
        <v>12</v>
      </c>
      <c r="B16" t="n">
        <v>14140</v>
      </c>
      <c r="C16" t="inlineStr">
        <is>
          <t>NORTHFIELD SAVINGS BANK</t>
        </is>
      </c>
      <c r="D16" t="inlineStr">
        <is>
          <t>VT</t>
        </is>
      </c>
      <c r="E16" t="n">
        <v>1560737</v>
      </c>
      <c r="F16" s="9" t="n">
        <v>2.189987268150575</v>
      </c>
      <c r="G16" s="9" t="inlineStr">
        <is>
          <t>VT / Large</t>
        </is>
      </c>
      <c r="H16" s="9" t="n">
        <v>58.80090497737556</v>
      </c>
      <c r="I16" s="9" t="n">
        <v>67.30769230769231</v>
      </c>
      <c r="J16" s="9" t="n">
        <v>73.71794871794872</v>
      </c>
      <c r="K16" s="9" t="n">
        <v>63.46153846153847</v>
      </c>
      <c r="L16" s="9" t="n">
        <v>32.69230769230769</v>
      </c>
      <c r="M16" s="9" t="n">
        <v>48.07692307692308</v>
      </c>
      <c r="N16" s="9" t="n">
        <v>43.13725490196079</v>
      </c>
      <c r="O16" s="9" t="n">
        <v>0.3192166634435524</v>
      </c>
      <c r="P16" s="9" t="n">
        <v>0.4764415785619229</v>
      </c>
      <c r="Q16" s="9" t="n">
        <v>0.6728498393883183</v>
      </c>
      <c r="S16" t="b">
        <v>0</v>
      </c>
      <c r="T16" s="9" t="n">
        <v>9.142411565817945</v>
      </c>
      <c r="U16" s="9" t="n">
        <v>2.580545685512823</v>
      </c>
      <c r="V16" s="9" t="n">
        <v>85.57873888812124</v>
      </c>
      <c r="W16" s="9" t="n">
        <v>4.135426890416527</v>
      </c>
      <c r="X16" s="9" t="n">
        <v>88.403203185088</v>
      </c>
      <c r="Y16" t="inlineStr"/>
    </row>
    <row r="17">
      <c r="A17" t="n">
        <v>13</v>
      </c>
      <c r="B17" t="n">
        <v>28288</v>
      </c>
      <c r="C17" t="inlineStr">
        <is>
          <t>AUBURN SAVINGS BANK, FSB</t>
        </is>
      </c>
      <c r="D17" t="inlineStr">
        <is>
          <t>ME</t>
        </is>
      </c>
      <c r="E17" t="n">
        <v>102731</v>
      </c>
      <c r="F17" s="9" t="n">
        <v>0.1441495793617866</v>
      </c>
      <c r="G17" s="9" t="inlineStr">
        <is>
          <t>ME / Small</t>
        </is>
      </c>
      <c r="H17" s="9" t="n">
        <v>57.94476886388652</v>
      </c>
      <c r="I17" s="9" t="n">
        <v>71.15384615384616</v>
      </c>
      <c r="J17" s="9" t="n">
        <v>31.41025641025641</v>
      </c>
      <c r="K17" s="9" t="n">
        <v>87.65592515592516</v>
      </c>
      <c r="L17" s="9" t="n">
        <v>84.61538461538461</v>
      </c>
      <c r="M17" s="9" t="n">
        <v>3.846153846153846</v>
      </c>
      <c r="N17" s="9" t="n">
        <v>60.78431372549019</v>
      </c>
      <c r="O17" s="9" t="n">
        <v>0.2469079353466999</v>
      </c>
      <c r="P17" s="9" t="n">
        <v>0.0963681848711684</v>
      </c>
      <c r="Q17" s="9" t="n">
        <v>0.1200931631811344</v>
      </c>
      <c r="R17" t="n">
        <v>13.18324668840133</v>
      </c>
      <c r="S17" t="b">
        <v>1</v>
      </c>
      <c r="T17" s="9" t="n">
        <v>6.102344959165198</v>
      </c>
      <c r="U17" s="9" t="n">
        <v>2.73418663286535</v>
      </c>
      <c r="V17" s="9" t="n">
        <v>106.7806364694649</v>
      </c>
      <c r="W17" s="9" t="n">
        <v>0.2586223722990999</v>
      </c>
      <c r="X17" s="9" t="n">
        <v>90.82439710805959</v>
      </c>
      <c r="Y17" t="inlineStr"/>
    </row>
    <row r="18">
      <c r="A18" t="n">
        <v>14</v>
      </c>
      <c r="B18" t="n">
        <v>19836</v>
      </c>
      <c r="C18" t="inlineStr">
        <is>
          <t>FRANKLIN SAVINGS BANK</t>
        </is>
      </c>
      <c r="D18" t="inlineStr">
        <is>
          <t>ME</t>
        </is>
      </c>
      <c r="E18" t="n">
        <v>755186</v>
      </c>
      <c r="F18" s="9" t="n">
        <v>1.059658177569674</v>
      </c>
      <c r="G18" s="9" t="inlineStr">
        <is>
          <t>ME / Medium</t>
        </is>
      </c>
      <c r="H18" s="9" t="n">
        <v>57.51887917329093</v>
      </c>
      <c r="I18" s="9" t="n">
        <v>28.84615384615384</v>
      </c>
      <c r="J18" s="9" t="n">
        <v>89.74358974358974</v>
      </c>
      <c r="K18" s="9" t="n">
        <v>2.312889812889814</v>
      </c>
      <c r="L18" s="9" t="n">
        <v>90.38461538461539</v>
      </c>
      <c r="M18" s="9" t="n">
        <v>76.92307692307693</v>
      </c>
      <c r="N18" s="9" t="n">
        <v>62.74509803921568</v>
      </c>
      <c r="O18" s="9" t="n">
        <v>0.8395412458387532</v>
      </c>
      <c r="P18" s="9" t="n">
        <v>1.096551048351002</v>
      </c>
      <c r="Q18" s="9" t="n">
        <v>1.309480126128031</v>
      </c>
      <c r="R18" t="n">
        <v>23.05485163745294</v>
      </c>
      <c r="S18" t="b">
        <v>1</v>
      </c>
      <c r="T18" s="9" t="n">
        <v>17.27587640660711</v>
      </c>
      <c r="U18" s="9" t="n">
        <v>3.964578032399982</v>
      </c>
      <c r="V18" s="9" t="n">
        <v>108.6961257884757</v>
      </c>
      <c r="W18" s="9" t="n">
        <v>8.874315017639066</v>
      </c>
      <c r="X18" s="9" t="n">
        <v>91.34502360236085</v>
      </c>
      <c r="Y18" t="inlineStr"/>
    </row>
    <row r="19">
      <c r="A19" t="n">
        <v>15</v>
      </c>
      <c r="B19" t="n">
        <v>28369</v>
      </c>
      <c r="C19" t="inlineStr">
        <is>
          <t>ROCKLAND SAVINGS BANK, FSB</t>
        </is>
      </c>
      <c r="D19" t="inlineStr">
        <is>
          <t>ME</t>
        </is>
      </c>
      <c r="E19" t="n">
        <v>93177</v>
      </c>
      <c r="F19" s="9" t="n">
        <v>0.130743644627164</v>
      </c>
      <c r="G19" s="9" t="inlineStr">
        <is>
          <t>ME / Small</t>
        </is>
      </c>
      <c r="H19" s="9" t="n">
        <v>57.06509110920875</v>
      </c>
      <c r="I19" s="9" t="n">
        <v>80.76923076923077</v>
      </c>
      <c r="J19" s="9" t="n">
        <v>33.97435897435898</v>
      </c>
      <c r="K19" s="9" t="n">
        <v>59.35550935550935</v>
      </c>
      <c r="L19" s="9" t="n">
        <v>88.46153846153845</v>
      </c>
      <c r="M19" s="9" t="n">
        <v>34.61538461538461</v>
      </c>
      <c r="N19" s="9" t="n">
        <v>27.45098039215686</v>
      </c>
      <c r="O19" s="9" t="n">
        <v>0.1027071171039445</v>
      </c>
      <c r="P19" s="9" t="n">
        <v>0.09229745538061968</v>
      </c>
      <c r="Q19" s="9" t="n">
        <v>0.1075107510751075</v>
      </c>
      <c r="R19" t="n">
        <v>14.13808435933212</v>
      </c>
      <c r="S19" t="b">
        <v>1</v>
      </c>
      <c r="T19" s="9" t="n">
        <v>9.756699614711785</v>
      </c>
      <c r="U19" s="9" t="n">
        <v>3.431589189751284</v>
      </c>
      <c r="V19" s="9" t="n">
        <v>108.475943138327</v>
      </c>
      <c r="W19" s="9" t="n">
        <v>-2.658740937297588</v>
      </c>
      <c r="X19" s="9" t="n">
        <v>83.46334633463346</v>
      </c>
      <c r="Y19" t="inlineStr"/>
    </row>
    <row r="20">
      <c r="A20" t="n">
        <v>16</v>
      </c>
      <c r="B20" t="n">
        <v>13063</v>
      </c>
      <c r="C20" t="inlineStr">
        <is>
          <t>KENNEBUNK SAVINGS BANK</t>
        </is>
      </c>
      <c r="D20" t="inlineStr">
        <is>
          <t>ME</t>
        </is>
      </c>
      <c r="E20" t="n">
        <v>1933479</v>
      </c>
      <c r="F20" s="9" t="n">
        <v>2.713009554612023</v>
      </c>
      <c r="G20" s="9" t="inlineStr">
        <is>
          <t>ME / Large</t>
        </is>
      </c>
      <c r="H20" s="9" t="n">
        <v>56.92119155354449</v>
      </c>
      <c r="I20" s="9" t="n">
        <v>48.07692307692307</v>
      </c>
      <c r="J20" s="9" t="n">
        <v>47.43589743589744</v>
      </c>
      <c r="K20" s="9" t="n">
        <v>75</v>
      </c>
      <c r="L20" s="9" t="n">
        <v>55.76923076923077</v>
      </c>
      <c r="M20" s="9" t="n">
        <v>51.92307692307693</v>
      </c>
      <c r="N20" s="9" t="n">
        <v>82.35294117647058</v>
      </c>
      <c r="O20" s="9" t="n">
        <v>0.6210342326571815</v>
      </c>
      <c r="P20" s="9" t="n">
        <v>0.1170429055603914</v>
      </c>
      <c r="Q20" s="9" t="n">
        <v>0.1568660648550752</v>
      </c>
      <c r="S20" t="b">
        <v>0</v>
      </c>
      <c r="T20" s="9" t="n">
        <v>8.548373165676999</v>
      </c>
      <c r="U20" s="9" t="n">
        <v>3.405676729605635</v>
      </c>
      <c r="V20" s="9" t="n">
        <v>93.92328644667141</v>
      </c>
      <c r="W20" s="9" t="n">
        <v>4.575575942650745</v>
      </c>
      <c r="X20" s="9" t="n">
        <v>94.59004471260033</v>
      </c>
      <c r="Y20" t="inlineStr"/>
    </row>
    <row r="21">
      <c r="A21" t="n">
        <v>17</v>
      </c>
      <c r="B21" t="n">
        <v>17180</v>
      </c>
      <c r="C21" t="inlineStr">
        <is>
          <t>MEREDITH VILLAGE SAVINGS BANK</t>
        </is>
      </c>
      <c r="D21" t="inlineStr">
        <is>
          <t>NH</t>
        </is>
      </c>
      <c r="E21" t="n">
        <v>1609518</v>
      </c>
      <c r="F21" s="9" t="n">
        <v>2.258435551831716</v>
      </c>
      <c r="G21" s="9" t="inlineStr">
        <is>
          <t>NH / Large</t>
        </is>
      </c>
      <c r="H21" s="9" t="n">
        <v>55.5047185194244</v>
      </c>
      <c r="I21" s="9" t="n">
        <v>65.38461538461539</v>
      </c>
      <c r="J21" s="9" t="n">
        <v>57.6923076923077</v>
      </c>
      <c r="K21" s="9" t="n">
        <v>51.03950103950103</v>
      </c>
      <c r="L21" s="9" t="n">
        <v>78.84615384615384</v>
      </c>
      <c r="M21" s="9" t="n">
        <v>21.15384615384615</v>
      </c>
      <c r="N21" s="9" t="n">
        <v>31.37254901960784</v>
      </c>
      <c r="O21" s="9" t="n">
        <v>0.3221254026567533</v>
      </c>
      <c r="P21" s="9" t="n">
        <v>0.3110247912729152</v>
      </c>
      <c r="Q21" s="9" t="n">
        <v>0.3597857639314771</v>
      </c>
      <c r="R21" t="n">
        <v>16.11709264436645</v>
      </c>
      <c r="S21" t="b">
        <v>1</v>
      </c>
      <c r="T21" s="9" t="n">
        <v>9.16516621746386</v>
      </c>
      <c r="U21" s="9" t="n">
        <v>2.823011783406628</v>
      </c>
      <c r="V21" s="9" t="n">
        <v>104.2628659045504</v>
      </c>
      <c r="W21" s="9" t="n">
        <v>-1.889228417243161</v>
      </c>
      <c r="X21" s="9" t="n">
        <v>83.98214555973728</v>
      </c>
      <c r="Y21" t="inlineStr"/>
    </row>
    <row r="22">
      <c r="A22" t="n">
        <v>18</v>
      </c>
      <c r="B22" t="n">
        <v>28837</v>
      </c>
      <c r="C22" t="inlineStr">
        <is>
          <t>THE BRATTLEBORO SAVINGS AND LOAN ASSOCIATION</t>
        </is>
      </c>
      <c r="D22" t="inlineStr">
        <is>
          <t>VT</t>
        </is>
      </c>
      <c r="E22" t="n">
        <v>279103</v>
      </c>
      <c r="F22" s="9" t="n">
        <v>0.3916303749463426</v>
      </c>
      <c r="G22" s="9" t="inlineStr">
        <is>
          <t>VT / Small</t>
        </is>
      </c>
      <c r="H22" s="9" t="n">
        <v>54.72962781786312</v>
      </c>
      <c r="I22" s="9" t="n">
        <v>96.15384615384616</v>
      </c>
      <c r="J22" s="9" t="n">
        <v>42.94871794871796</v>
      </c>
      <c r="K22" s="9" t="n">
        <v>32.53638253638253</v>
      </c>
      <c r="L22" s="9" t="n">
        <v>25</v>
      </c>
      <c r="M22" s="9" t="n">
        <v>25</v>
      </c>
      <c r="N22" s="9" t="n">
        <v>88.23529411764706</v>
      </c>
      <c r="O22" s="9" t="n">
        <v>-0.326447120470196</v>
      </c>
      <c r="P22" s="9" t="n">
        <v>0.09064753872226382</v>
      </c>
      <c r="Q22" s="9" t="n">
        <v>0.1551077855491246</v>
      </c>
      <c r="R22" t="n">
        <v>17.98951214882308</v>
      </c>
      <c r="S22" t="b">
        <v>1</v>
      </c>
      <c r="T22" s="9" t="n">
        <v>10.1378344195512</v>
      </c>
      <c r="U22" s="9" t="n">
        <v>4.008648873565952</v>
      </c>
      <c r="V22" s="9" t="n">
        <v>83.26888217522659</v>
      </c>
      <c r="W22" s="9" t="n">
        <v>-2.10965284548853</v>
      </c>
      <c r="X22" s="9" t="n">
        <v>95.70006750061037</v>
      </c>
      <c r="Y22" t="inlineStr"/>
    </row>
    <row r="23">
      <c r="A23" t="n">
        <v>19</v>
      </c>
      <c r="B23" t="n">
        <v>30350</v>
      </c>
      <c r="C23" t="inlineStr">
        <is>
          <t>THE BANK OF BENNINGTON</t>
        </is>
      </c>
      <c r="D23" t="inlineStr">
        <is>
          <t>VT</t>
        </is>
      </c>
      <c r="E23" t="n">
        <v>621434</v>
      </c>
      <c r="F23" s="9" t="n">
        <v>0.8719807039852867</v>
      </c>
      <c r="G23" s="9" t="inlineStr">
        <is>
          <t>VT / Medium</t>
        </is>
      </c>
      <c r="H23" s="9" t="n">
        <v>54.17336737189679</v>
      </c>
      <c r="I23" s="9" t="n">
        <v>36.53846153846154</v>
      </c>
      <c r="J23" s="9" t="n">
        <v>58.33333333333334</v>
      </c>
      <c r="K23" s="9" t="n">
        <v>25.5977130977131</v>
      </c>
      <c r="L23" s="9" t="n">
        <v>63.46153846153846</v>
      </c>
      <c r="M23" s="9" t="n">
        <v>80.76923076923077</v>
      </c>
      <c r="N23" s="9" t="n">
        <v>90.19607843137256</v>
      </c>
      <c r="O23" s="9" t="n">
        <v>0.7525238987184399</v>
      </c>
      <c r="P23" s="9" t="n">
        <v>0.2875607063662432</v>
      </c>
      <c r="Q23" s="9" t="n">
        <v>0.3730229470691502</v>
      </c>
      <c r="R23" t="n">
        <v>20.01403114149068</v>
      </c>
      <c r="S23" t="b">
        <v>1</v>
      </c>
      <c r="T23" s="9" t="n">
        <v>10.36715081569402</v>
      </c>
      <c r="U23" s="9" t="n">
        <v>2.756266451823504</v>
      </c>
      <c r="V23" s="9" t="n">
        <v>99.21652317235862</v>
      </c>
      <c r="W23" s="9" t="n">
        <v>10.02979884452015</v>
      </c>
      <c r="X23" s="9" t="n">
        <v>96.24117279917505</v>
      </c>
      <c r="Y23" t="inlineStr"/>
    </row>
    <row r="24">
      <c r="A24" t="n">
        <v>20</v>
      </c>
      <c r="B24" t="n">
        <v>17951</v>
      </c>
      <c r="C24" t="inlineStr">
        <is>
          <t>FRANKLIN SAVINGS BANK</t>
        </is>
      </c>
      <c r="D24" t="inlineStr">
        <is>
          <t>NH</t>
        </is>
      </c>
      <c r="E24" t="n">
        <v>905293</v>
      </c>
      <c r="F24" s="9" t="n">
        <v>1.270284579622216</v>
      </c>
      <c r="G24" s="9" t="inlineStr">
        <is>
          <t>NH / Medium</t>
        </is>
      </c>
      <c r="H24" s="9" t="n">
        <v>52.76191349720762</v>
      </c>
      <c r="I24" s="9" t="n">
        <v>46.15384615384615</v>
      </c>
      <c r="J24" s="9" t="n">
        <v>25</v>
      </c>
      <c r="K24" s="9" t="n">
        <v>82.27650727650727</v>
      </c>
      <c r="L24" s="9" t="n">
        <v>50</v>
      </c>
      <c r="M24" s="9" t="n">
        <v>82.69230769230769</v>
      </c>
      <c r="N24" s="9" t="n">
        <v>68.62745098039215</v>
      </c>
      <c r="O24" s="9" t="n">
        <v>0.6473651641845456</v>
      </c>
      <c r="P24" s="9" t="n">
        <v>0.01656922123555578</v>
      </c>
      <c r="Q24" s="9" t="n">
        <v>0.0215937637210373</v>
      </c>
      <c r="R24" t="n">
        <v>13.09426082162888</v>
      </c>
      <c r="S24" t="b">
        <v>1</v>
      </c>
      <c r="T24" s="9" t="n">
        <v>7.807417046193884</v>
      </c>
      <c r="U24" s="9" t="n">
        <v>2.798257752306031</v>
      </c>
      <c r="V24" s="9" t="n">
        <v>92.18869394041991</v>
      </c>
      <c r="W24" s="9" t="n">
        <v>11.70058139534884</v>
      </c>
      <c r="X24" s="9" t="n">
        <v>91.68640096740062</v>
      </c>
      <c r="Y24" t="inlineStr"/>
    </row>
    <row r="25">
      <c r="A25" t="n">
        <v>21</v>
      </c>
      <c r="B25" t="n">
        <v>17115</v>
      </c>
      <c r="C25" t="inlineStr">
        <is>
          <t>PARTNERS BANK OF NEW ENGLAND</t>
        </is>
      </c>
      <c r="D25" t="inlineStr">
        <is>
          <t>ME</t>
        </is>
      </c>
      <c r="E25" t="n">
        <v>1078591</v>
      </c>
      <c r="F25" s="9" t="n">
        <v>1.51345201500432</v>
      </c>
      <c r="G25" s="9" t="inlineStr">
        <is>
          <t>ME / Medium</t>
        </is>
      </c>
      <c r="H25" s="9" t="n">
        <v>52.68336492601199</v>
      </c>
      <c r="I25" s="9" t="n">
        <v>42.30769230769231</v>
      </c>
      <c r="J25" s="9" t="n">
        <v>41.02564102564103</v>
      </c>
      <c r="K25" s="9" t="n">
        <v>59.32952182952182</v>
      </c>
      <c r="L25" s="9" t="n">
        <v>86.53846153846155</v>
      </c>
      <c r="M25" s="9" t="n">
        <v>15.38461538461539</v>
      </c>
      <c r="N25" s="9" t="n">
        <v>84.31372549019608</v>
      </c>
      <c r="O25" s="9" t="n">
        <v>0.7133893342076404</v>
      </c>
      <c r="P25" s="9" t="n">
        <v>0.2309494516457118</v>
      </c>
      <c r="Q25" s="9" t="n">
        <v>0.2915078794330659</v>
      </c>
      <c r="R25" t="n">
        <v>14.8169206277007</v>
      </c>
      <c r="S25" t="b">
        <v>1</v>
      </c>
      <c r="T25" s="9" t="n">
        <v>8.995161279854921</v>
      </c>
      <c r="U25" s="9" t="n">
        <v>2.966591377315547</v>
      </c>
      <c r="V25" s="9" t="n">
        <v>106.7831002423495</v>
      </c>
      <c r="W25" s="9" t="n">
        <v>0.6708960120514806</v>
      </c>
      <c r="X25" s="9" t="n">
        <v>94.8259050164497</v>
      </c>
      <c r="Y25" t="inlineStr"/>
    </row>
    <row r="26">
      <c r="A26" t="n">
        <v>22</v>
      </c>
      <c r="B26" t="n">
        <v>18013</v>
      </c>
      <c r="C26" t="inlineStr">
        <is>
          <t>MASCOMA BANK</t>
        </is>
      </c>
      <c r="D26" t="inlineStr">
        <is>
          <t>NH</t>
        </is>
      </c>
      <c r="E26" t="n">
        <v>2896306</v>
      </c>
      <c r="F26" s="9" t="n">
        <v>4.06402440940922</v>
      </c>
      <c r="G26" s="9" t="inlineStr">
        <is>
          <t>NH / Large</t>
        </is>
      </c>
      <c r="H26" s="9" t="n">
        <v>52.51780909869146</v>
      </c>
      <c r="I26" s="9" t="n">
        <v>63.46153846153847</v>
      </c>
      <c r="J26" s="9" t="n">
        <v>29.48717948717949</v>
      </c>
      <c r="K26" s="9" t="n">
        <v>84.01767151767152</v>
      </c>
      <c r="L26" s="9" t="n">
        <v>53.84615384615385</v>
      </c>
      <c r="M26" s="9" t="n">
        <v>13.46153846153846</v>
      </c>
      <c r="N26" s="9" t="n">
        <v>72.54901960784314</v>
      </c>
      <c r="O26" s="9" t="n">
        <v>0.336164972529288</v>
      </c>
      <c r="P26" s="9" t="n">
        <v>0.04837196069752298</v>
      </c>
      <c r="Q26" s="9" t="n">
        <v>0.0641309492907422</v>
      </c>
      <c r="R26" t="n">
        <v>12.6358689440193</v>
      </c>
      <c r="S26" t="b">
        <v>1</v>
      </c>
      <c r="T26" s="9" t="n">
        <v>8.115302733896211</v>
      </c>
      <c r="U26" s="9" t="n">
        <v>2.8369626762913</v>
      </c>
      <c r="V26" s="9" t="n">
        <v>93.47426102722743</v>
      </c>
      <c r="W26" s="9" t="n">
        <v>-0.5863617937735044</v>
      </c>
      <c r="X26" s="9" t="n">
        <v>91.78554346440009</v>
      </c>
      <c r="Y26" t="inlineStr"/>
    </row>
    <row r="27">
      <c r="A27" t="n">
        <v>23</v>
      </c>
      <c r="B27" t="n">
        <v>29744</v>
      </c>
      <c r="C27" t="inlineStr">
        <is>
          <t>FIRST SEACOAST BANK</t>
        </is>
      </c>
      <c r="D27" t="inlineStr">
        <is>
          <t>NH</t>
        </is>
      </c>
      <c r="E27" t="n">
        <v>605109</v>
      </c>
      <c r="F27" s="9" t="n">
        <v>0.8490738707695955</v>
      </c>
      <c r="G27" s="9" t="inlineStr">
        <is>
          <t>NH / Medium</t>
        </is>
      </c>
      <c r="H27" s="9" t="n">
        <v>50.71781623252211</v>
      </c>
      <c r="I27" s="9" t="n">
        <v>98.07692307692308</v>
      </c>
      <c r="J27" s="9" t="n">
        <v>10.8974358974359</v>
      </c>
      <c r="K27" s="9" t="n">
        <v>65.28066528066527</v>
      </c>
      <c r="L27" s="9" t="n">
        <v>40.38461538461539</v>
      </c>
      <c r="M27" s="9" t="n">
        <v>11.53846153846154</v>
      </c>
      <c r="N27" s="9" t="n">
        <v>64.70588235294117</v>
      </c>
      <c r="O27" s="9" t="n">
        <v>-0.3855221751140882</v>
      </c>
      <c r="P27" s="9" t="n">
        <v>0.002313632750463139</v>
      </c>
      <c r="Q27" s="9" t="n">
        <v>0.0031837791003095</v>
      </c>
      <c r="R27" t="n">
        <v>15.23056200701747</v>
      </c>
      <c r="S27" t="b">
        <v>1</v>
      </c>
      <c r="T27" s="9" t="n">
        <v>7.362970968866767</v>
      </c>
      <c r="U27" s="9" t="n">
        <v>2.325611144512812</v>
      </c>
      <c r="V27" s="9" t="n">
        <v>89.03993827387295</v>
      </c>
      <c r="W27" s="9" t="n">
        <v>0.51343979748113</v>
      </c>
      <c r="X27" s="9" t="n">
        <v>91.43199561548136</v>
      </c>
      <c r="Y27" t="inlineStr"/>
    </row>
    <row r="28">
      <c r="A28" t="n">
        <v>24</v>
      </c>
      <c r="B28" t="n">
        <v>4255</v>
      </c>
      <c r="C28" t="inlineStr">
        <is>
          <t>THE CAMDEN NATIONAL BANK</t>
        </is>
      </c>
      <c r="D28" t="inlineStr">
        <is>
          <t>ME</t>
        </is>
      </c>
      <c r="E28" t="n">
        <v>6902692</v>
      </c>
      <c r="F28" s="9" t="n">
        <v>9.685685413983796</v>
      </c>
      <c r="G28" s="9" t="inlineStr">
        <is>
          <t>ME / Large</t>
        </is>
      </c>
      <c r="H28" s="9" t="n">
        <v>50.56642615466146</v>
      </c>
      <c r="I28" s="9" t="n">
        <v>38.46153846153846</v>
      </c>
      <c r="J28" s="9" t="n">
        <v>41.66666666666667</v>
      </c>
      <c r="K28" s="9" t="n">
        <v>68.24324324324324</v>
      </c>
      <c r="L28" s="9" t="n">
        <v>38.46153846153847</v>
      </c>
      <c r="M28" s="9" t="n">
        <v>90.38461538461539</v>
      </c>
      <c r="N28" s="9" t="n">
        <v>54.90196078431373</v>
      </c>
      <c r="O28" s="9" t="n">
        <v>0.7190738887955189</v>
      </c>
      <c r="P28" s="9" t="n">
        <v>0.2633320449471018</v>
      </c>
      <c r="Q28" s="9" t="n">
        <v>0.3669203639288033</v>
      </c>
      <c r="R28" t="n">
        <v>12.85392725980334</v>
      </c>
      <c r="S28" t="b">
        <v>1</v>
      </c>
      <c r="T28" s="9" t="n">
        <v>9.96047628954037</v>
      </c>
      <c r="U28" s="9" t="n">
        <v>3.343185471167145</v>
      </c>
      <c r="V28" s="9" t="n">
        <v>88.36978417992627</v>
      </c>
      <c r="W28" s="9" t="n">
        <v>20.89571556801015</v>
      </c>
      <c r="X28" s="9" t="n">
        <v>89.95523963167872</v>
      </c>
      <c r="Y28" t="inlineStr"/>
    </row>
    <row r="29">
      <c r="A29" t="n">
        <v>25</v>
      </c>
      <c r="B29" t="n">
        <v>28155</v>
      </c>
      <c r="C29" t="inlineStr">
        <is>
          <t>PROFILE BANK</t>
        </is>
      </c>
      <c r="D29" t="inlineStr">
        <is>
          <t>NH</t>
        </is>
      </c>
      <c r="E29" t="n">
        <v>317001</v>
      </c>
      <c r="F29" s="9" t="n">
        <v>0.444807904208717</v>
      </c>
      <c r="G29" s="9" t="inlineStr">
        <is>
          <t>NH / Small</t>
        </is>
      </c>
      <c r="H29" s="9" t="n">
        <v>50.4565142065142</v>
      </c>
      <c r="I29" s="9" t="n">
        <v>88.46153846153847</v>
      </c>
      <c r="J29" s="9" t="n">
        <v>30.12820512820513</v>
      </c>
      <c r="K29" s="9" t="n">
        <v>50.05197505197506</v>
      </c>
      <c r="L29" s="9" t="n">
        <v>5.769230769230769</v>
      </c>
      <c r="M29" s="9" t="n">
        <v>57.69230769230769</v>
      </c>
      <c r="N29" s="9" t="n">
        <v>66.66666666666666</v>
      </c>
      <c r="O29" s="9" t="n">
        <v>-0.0309202389410805</v>
      </c>
      <c r="P29" s="9" t="n">
        <v>0</v>
      </c>
      <c r="Q29" s="9" t="n">
        <v>0</v>
      </c>
      <c r="R29" t="n">
        <v>17.18116470714875</v>
      </c>
      <c r="S29" t="b">
        <v>1</v>
      </c>
      <c r="T29" s="9" t="n">
        <v>8.665587805716701</v>
      </c>
      <c r="U29" s="9" t="n">
        <v>2.661899458073212</v>
      </c>
      <c r="V29" s="9" t="n">
        <v>62.52965140711773</v>
      </c>
      <c r="W29" s="9" t="n">
        <v>4.948105477479259</v>
      </c>
      <c r="X29" s="9" t="n">
        <v>91.56282666047221</v>
      </c>
      <c r="Y29" t="inlineStr"/>
    </row>
    <row r="30">
      <c r="A30" t="n">
        <v>26</v>
      </c>
      <c r="B30" t="n">
        <v>18028</v>
      </c>
      <c r="C30" t="inlineStr">
        <is>
          <t>SUGAR RIVER BANK</t>
        </is>
      </c>
      <c r="D30" t="inlineStr">
        <is>
          <t>NH</t>
        </is>
      </c>
      <c r="E30" t="n">
        <v>404550</v>
      </c>
      <c r="F30" s="9" t="n">
        <v>0.5676544794736814</v>
      </c>
      <c r="G30" s="9" t="inlineStr">
        <is>
          <t>NH / Small</t>
        </is>
      </c>
      <c r="H30" s="9" t="n">
        <v>49.82277526395174</v>
      </c>
      <c r="I30" s="9" t="n">
        <v>57.69230769230769</v>
      </c>
      <c r="J30" s="9" t="n">
        <v>66.02564102564102</v>
      </c>
      <c r="K30" s="9" t="n">
        <v>32.69230769230769</v>
      </c>
      <c r="L30" s="9" t="n">
        <v>19.23076923076923</v>
      </c>
      <c r="M30" s="9" t="n">
        <v>36.53846153846153</v>
      </c>
      <c r="N30" s="9" t="n">
        <v>74.50980392156863</v>
      </c>
      <c r="O30" s="9" t="n">
        <v>0.5149625790545433</v>
      </c>
      <c r="P30" s="9" t="n">
        <v>0.3270300333704116</v>
      </c>
      <c r="Q30" s="9" t="n">
        <v>0.4976658467848922</v>
      </c>
      <c r="S30" t="b">
        <v>0</v>
      </c>
      <c r="T30" s="9" t="n">
        <v>10.89012483005809</v>
      </c>
      <c r="U30" s="9" t="n">
        <v>3.484540582313081</v>
      </c>
      <c r="V30" s="9" t="n">
        <v>80.42073174279048</v>
      </c>
      <c r="W30" s="9" t="n">
        <v>2.765824489028668</v>
      </c>
      <c r="X30" s="9" t="n">
        <v>91.85161813109981</v>
      </c>
      <c r="Y30" t="inlineStr"/>
    </row>
    <row r="31">
      <c r="A31" t="n">
        <v>27</v>
      </c>
      <c r="B31" t="n">
        <v>6280</v>
      </c>
      <c r="C31" t="inlineStr">
        <is>
          <t>THE FIRST NATIONAL BANK OF ORWELL</t>
        </is>
      </c>
      <c r="D31" t="inlineStr">
        <is>
          <t>VT</t>
        </is>
      </c>
      <c r="E31" t="n">
        <v>87770</v>
      </c>
      <c r="F31" s="9" t="n">
        <v>0.123156676958114</v>
      </c>
      <c r="G31" s="9" t="inlineStr">
        <is>
          <t>VT / Small</t>
        </is>
      </c>
      <c r="H31" s="9" t="n">
        <v>49.32503770739065</v>
      </c>
      <c r="I31" s="9" t="n">
        <v>7.692307692307693</v>
      </c>
      <c r="J31" s="9" t="n">
        <v>92.30769230769231</v>
      </c>
      <c r="K31" s="9" t="n">
        <v>28.84615384615384</v>
      </c>
      <c r="L31" s="9" t="n">
        <v>51.92307692307693</v>
      </c>
      <c r="M31" s="9" t="n">
        <v>73.07692307692307</v>
      </c>
      <c r="N31" s="9" t="n">
        <v>49.01960784313725</v>
      </c>
      <c r="O31" s="9" t="n">
        <v>1.36654026169246</v>
      </c>
      <c r="P31" s="9" t="n">
        <v>1.65774182522502</v>
      </c>
      <c r="Q31" s="9" t="n">
        <v>1.990424076607387</v>
      </c>
      <c r="S31" t="b">
        <v>0</v>
      </c>
      <c r="T31" s="9" t="n">
        <v>11.3353081918651</v>
      </c>
      <c r="U31" s="9" t="n">
        <v>4.539434075857917</v>
      </c>
      <c r="V31" s="9" t="n">
        <v>93.39080459770115</v>
      </c>
      <c r="W31" s="9" t="n">
        <v>8.00467605980435</v>
      </c>
      <c r="X31" s="9" t="n">
        <v>88.84678522571819</v>
      </c>
      <c r="Y31" t="inlineStr"/>
    </row>
    <row r="32">
      <c r="A32" t="n">
        <v>28</v>
      </c>
      <c r="B32" t="n">
        <v>14136</v>
      </c>
      <c r="C32" t="inlineStr">
        <is>
          <t>WELLS RIVER SAVINGS BANK</t>
        </is>
      </c>
      <c r="D32" t="inlineStr">
        <is>
          <t>VT</t>
        </is>
      </c>
      <c r="E32" t="n">
        <v>247991</v>
      </c>
      <c r="F32" s="9" t="n">
        <v>0.3479747917912686</v>
      </c>
      <c r="G32" s="9" t="inlineStr">
        <is>
          <t>VT / Small</t>
        </is>
      </c>
      <c r="H32" s="9" t="n">
        <v>49.30169988993519</v>
      </c>
      <c r="I32" s="9" t="n">
        <v>53.84615384615385</v>
      </c>
      <c r="J32" s="9" t="n">
        <v>70.51282051282051</v>
      </c>
      <c r="K32" s="9" t="n">
        <v>50.62370062370062</v>
      </c>
      <c r="L32" s="9" t="n">
        <v>15.38461538461539</v>
      </c>
      <c r="M32" s="9" t="n">
        <v>61.53846153846154</v>
      </c>
      <c r="N32" s="9" t="n">
        <v>21.56862745098039</v>
      </c>
      <c r="O32" s="9" t="n">
        <v>0.6016549655180986</v>
      </c>
      <c r="P32" s="9" t="n">
        <v>0.2189595590162546</v>
      </c>
      <c r="Q32" s="9" t="n">
        <v>0.6496248220619104</v>
      </c>
      <c r="R32" t="n">
        <v>17.65740177182661</v>
      </c>
      <c r="S32" t="b">
        <v>1</v>
      </c>
      <c r="T32" s="9" t="n">
        <v>8.345464149908665</v>
      </c>
      <c r="U32" s="9" t="n">
        <v>3.869952851796154</v>
      </c>
      <c r="V32" s="9" t="n">
        <v>77.12824466234829</v>
      </c>
      <c r="W32" s="9" t="n">
        <v>5.667926489950537</v>
      </c>
      <c r="X32" s="9" t="n">
        <v>80.67893936834994</v>
      </c>
      <c r="Y32" t="inlineStr"/>
    </row>
    <row r="33">
      <c r="A33" t="n">
        <v>29</v>
      </c>
      <c r="B33" t="n">
        <v>17897</v>
      </c>
      <c r="C33" t="inlineStr">
        <is>
          <t>KENNEBEC SAVINGS BANK</t>
        </is>
      </c>
      <c r="D33" t="inlineStr">
        <is>
          <t>ME</t>
        </is>
      </c>
      <c r="E33" t="n">
        <v>1790373</v>
      </c>
      <c r="F33" s="9" t="n">
        <v>2.512206781309438</v>
      </c>
      <c r="G33" s="9" t="inlineStr">
        <is>
          <t>ME / Large</t>
        </is>
      </c>
      <c r="H33" s="9" t="n">
        <v>48.41083730789613</v>
      </c>
      <c r="I33" s="9" t="n">
        <v>15.38461538461539</v>
      </c>
      <c r="J33" s="9" t="n">
        <v>63.46153846153845</v>
      </c>
      <c r="K33" s="9" t="n">
        <v>18.50311850311851</v>
      </c>
      <c r="L33" s="9" t="n">
        <v>92.30769230769231</v>
      </c>
      <c r="M33" s="9" t="n">
        <v>40.38461538461539</v>
      </c>
      <c r="N33" s="9" t="n">
        <v>80.3921568627451</v>
      </c>
      <c r="O33" s="9" t="n">
        <v>0.973987306631968</v>
      </c>
      <c r="P33" s="9" t="n">
        <v>0.3011104389979071</v>
      </c>
      <c r="Q33" s="9" t="n">
        <v>0.3609025576483426</v>
      </c>
      <c r="R33" t="n">
        <v>17.68189338022629</v>
      </c>
      <c r="S33" t="b">
        <v>1</v>
      </c>
      <c r="T33" s="9" t="n">
        <v>12.62306793053738</v>
      </c>
      <c r="U33" s="9" t="n">
        <v>2.75154108647398</v>
      </c>
      <c r="V33" s="9" t="n">
        <v>109.7257996923848</v>
      </c>
      <c r="W33" s="9" t="n">
        <v>3.350395103020021</v>
      </c>
      <c r="X33" s="9" t="n">
        <v>93.30084250764014</v>
      </c>
      <c r="Y33" t="inlineStr"/>
    </row>
    <row r="34">
      <c r="A34" t="n">
        <v>30</v>
      </c>
      <c r="B34" t="n">
        <v>14134</v>
      </c>
      <c r="C34" t="inlineStr">
        <is>
          <t>PASSUMPSIC SAVINGS BANK</t>
        </is>
      </c>
      <c r="D34" t="inlineStr">
        <is>
          <t>VT</t>
        </is>
      </c>
      <c r="E34" t="n">
        <v>882477</v>
      </c>
      <c r="F34" s="9" t="n">
        <v>1.238269736948451</v>
      </c>
      <c r="G34" s="9" t="inlineStr">
        <is>
          <t>VT / Medium</t>
        </is>
      </c>
      <c r="H34" s="9" t="n">
        <v>48.27024988789694</v>
      </c>
      <c r="I34" s="9" t="n">
        <v>51.92307692307692</v>
      </c>
      <c r="J34" s="9" t="n">
        <v>67.94871794871794</v>
      </c>
      <c r="K34" s="9" t="n">
        <v>9.823284823284823</v>
      </c>
      <c r="L34" s="9" t="n">
        <v>42.30769230769231</v>
      </c>
      <c r="M34" s="9" t="n">
        <v>53.84615384615385</v>
      </c>
      <c r="N34" s="9" t="n">
        <v>50.98039215686274</v>
      </c>
      <c r="O34" s="9" t="n">
        <v>0.6101952993951889</v>
      </c>
      <c r="P34" s="9" t="n">
        <v>0.3074301086600557</v>
      </c>
      <c r="Q34" s="9" t="n">
        <v>0.4272743737745195</v>
      </c>
      <c r="R34" t="n">
        <v>20.60173425288636</v>
      </c>
      <c r="S34" t="b">
        <v>1</v>
      </c>
      <c r="T34" s="9" t="n">
        <v>13.15785000628912</v>
      </c>
      <c r="U34" s="9" t="n">
        <v>3.109298481587633</v>
      </c>
      <c r="V34" s="9" t="n">
        <v>89.48435887641602</v>
      </c>
      <c r="W34" s="9" t="n">
        <v>4.683042328638587</v>
      </c>
      <c r="X34" s="9" t="n">
        <v>89.20994401178037</v>
      </c>
      <c r="Y34" t="inlineStr"/>
    </row>
    <row r="35">
      <c r="A35" t="n">
        <v>31</v>
      </c>
      <c r="B35" t="n">
        <v>59176</v>
      </c>
      <c r="C35" t="inlineStr">
        <is>
          <t>THE MILLYARD BANK</t>
        </is>
      </c>
      <c r="D35" t="inlineStr">
        <is>
          <t>NH</t>
        </is>
      </c>
      <c r="E35" t="n">
        <v>279006</v>
      </c>
      <c r="F35" s="9" t="n">
        <v>0.3914942669633765</v>
      </c>
      <c r="G35" s="9" t="inlineStr">
        <is>
          <t>NH / Small</t>
        </is>
      </c>
      <c r="H35" s="9" t="n">
        <v>47.33880090497738</v>
      </c>
      <c r="I35" s="9" t="n">
        <v>76.92307692307692</v>
      </c>
      <c r="J35" s="9" t="n">
        <v>4.807692307692308</v>
      </c>
      <c r="K35" s="9" t="n">
        <v>44.23076923076923</v>
      </c>
      <c r="L35" s="9" t="n">
        <v>46.15384615384615</v>
      </c>
      <c r="M35" s="9" t="n">
        <v>92.30769230769231</v>
      </c>
      <c r="N35" s="9" t="n">
        <v>41.17647058823529</v>
      </c>
      <c r="O35" s="9" t="n">
        <v>0.1683011968085106</v>
      </c>
      <c r="P35" s="9" t="n">
        <v>0</v>
      </c>
      <c r="Q35" s="9" t="n">
        <v>0</v>
      </c>
      <c r="S35" t="b">
        <v>0</v>
      </c>
      <c r="T35" s="9" t="n">
        <v>10.25318451932933</v>
      </c>
      <c r="U35" s="9" t="n">
        <v>2.743210198515069</v>
      </c>
      <c r="V35" s="9" t="n">
        <v>90.59859277882533</v>
      </c>
      <c r="W35" s="9" t="n">
        <v>21.52411483128547</v>
      </c>
      <c r="X35" s="9" t="n">
        <v>85.98043426389883</v>
      </c>
      <c r="Y35" t="inlineStr"/>
    </row>
    <row r="36">
      <c r="A36" t="n">
        <v>32</v>
      </c>
      <c r="B36" t="n">
        <v>18012</v>
      </c>
      <c r="C36" t="inlineStr">
        <is>
          <t>BANK OF NEW HAMPSHIRE</t>
        </is>
      </c>
      <c r="D36" t="inlineStr">
        <is>
          <t>NH</t>
        </is>
      </c>
      <c r="E36" t="n">
        <v>2642289</v>
      </c>
      <c r="F36" s="9" t="n">
        <v>3.707594084573067</v>
      </c>
      <c r="G36" s="9" t="inlineStr">
        <is>
          <t>NH / Large</t>
        </is>
      </c>
      <c r="H36" s="9" t="n">
        <v>46.57963393257511</v>
      </c>
      <c r="I36" s="9" t="n">
        <v>34.61538461538461</v>
      </c>
      <c r="J36" s="9" t="n">
        <v>28.84615384615385</v>
      </c>
      <c r="K36" s="9" t="n">
        <v>47.24532224532225</v>
      </c>
      <c r="L36" s="9" t="n">
        <v>57.69230769230769</v>
      </c>
      <c r="M36" s="9" t="n">
        <v>63.46153846153846</v>
      </c>
      <c r="N36" s="9" t="n">
        <v>86.27450980392157</v>
      </c>
      <c r="O36" s="9" t="n">
        <v>0.7908025522319152</v>
      </c>
      <c r="P36" s="9" t="n">
        <v>0.03860289317330542</v>
      </c>
      <c r="Q36" s="9" t="n">
        <v>0.047422781067152</v>
      </c>
      <c r="R36" t="n">
        <v>13.94832031930094</v>
      </c>
      <c r="S36" t="b">
        <v>1</v>
      </c>
      <c r="T36" s="9" t="n">
        <v>11.41635150432068</v>
      </c>
      <c r="U36" s="9" t="n">
        <v>2.895600039123149</v>
      </c>
      <c r="V36" s="9" t="n">
        <v>93.96178410392348</v>
      </c>
      <c r="W36" s="9" t="n">
        <v>5.699254905757134</v>
      </c>
      <c r="X36" s="9" t="n">
        <v>95.34824361361591</v>
      </c>
      <c r="Y36" t="inlineStr"/>
    </row>
    <row r="37">
      <c r="A37" t="n">
        <v>33</v>
      </c>
      <c r="B37" t="n">
        <v>33418</v>
      </c>
      <c r="C37" t="inlineStr">
        <is>
          <t>LEDYARD NATIONAL BANK</t>
        </is>
      </c>
      <c r="D37" t="inlineStr">
        <is>
          <t>VT</t>
        </is>
      </c>
      <c r="E37" t="n">
        <v>993609</v>
      </c>
      <c r="F37" s="9" t="n">
        <v>1.39420739017517</v>
      </c>
      <c r="G37" s="9" t="inlineStr">
        <is>
          <t>VT / Medium</t>
        </is>
      </c>
      <c r="H37" s="9" t="n">
        <v>46.44602747543924</v>
      </c>
      <c r="I37" s="9" t="n">
        <v>50</v>
      </c>
      <c r="J37" s="9" t="n">
        <v>29.48717948717949</v>
      </c>
      <c r="K37" s="9" t="n">
        <v>91.52806652806653</v>
      </c>
      <c r="L37" s="9" t="n">
        <v>13.46153846153846</v>
      </c>
      <c r="M37" s="9" t="n">
        <v>78.84615384615384</v>
      </c>
      <c r="N37" s="9" t="n">
        <v>29.41176470588236</v>
      </c>
      <c r="O37" s="9" t="n">
        <v>0.6188193023651849</v>
      </c>
      <c r="P37" s="9" t="n">
        <v>0.1198660640151206</v>
      </c>
      <c r="Q37" s="9" t="n">
        <v>0.1892413661605929</v>
      </c>
      <c r="R37" t="n">
        <v>12.42610390755167</v>
      </c>
      <c r="S37" t="b">
        <v>1</v>
      </c>
      <c r="T37" s="9" t="n">
        <v>7.039489376605888</v>
      </c>
      <c r="U37" s="9" t="n">
        <v>2.58498658033812</v>
      </c>
      <c r="V37" s="9" t="n">
        <v>76.44296517018586</v>
      </c>
      <c r="W37" s="9" t="n">
        <v>9.526612543196823</v>
      </c>
      <c r="X37" s="9" t="n">
        <v>83.89668787886009</v>
      </c>
      <c r="Y37" t="inlineStr"/>
    </row>
    <row r="38">
      <c r="A38" t="n">
        <v>34</v>
      </c>
      <c r="B38" t="n">
        <v>17443</v>
      </c>
      <c r="C38" t="inlineStr">
        <is>
          <t>PISCATAQUA SAVINGS BANK</t>
        </is>
      </c>
      <c r="D38" t="inlineStr">
        <is>
          <t>NH</t>
        </is>
      </c>
      <c r="E38" t="n">
        <v>366584</v>
      </c>
      <c r="F38" s="9" t="n">
        <v>0.5143815343057224</v>
      </c>
      <c r="G38" s="9" t="inlineStr">
        <is>
          <t>NH / Small</t>
        </is>
      </c>
      <c r="H38" s="9" t="n">
        <v>46.43853695324283</v>
      </c>
      <c r="I38" s="9" t="n">
        <v>92.30769230769231</v>
      </c>
      <c r="J38" s="9" t="n">
        <v>26.92307692307692</v>
      </c>
      <c r="K38" s="9" t="n">
        <v>30.76923076923077</v>
      </c>
      <c r="L38" s="9" t="n">
        <v>9.615384615384617</v>
      </c>
      <c r="M38" s="9" t="n">
        <v>7.692307692307693</v>
      </c>
      <c r="N38" s="9" t="n">
        <v>98.0392156862745</v>
      </c>
      <c r="O38" s="9" t="n">
        <v>-0.3011328199055388</v>
      </c>
      <c r="P38" s="9" t="n">
        <v>0.006001353032320014</v>
      </c>
      <c r="Q38" s="9" t="n">
        <v>0.0108253332480428</v>
      </c>
      <c r="S38" t="b">
        <v>0</v>
      </c>
      <c r="T38" s="9" t="n">
        <v>10.94564956462912</v>
      </c>
      <c r="U38" s="9" t="n">
        <v>1.299209767244892</v>
      </c>
      <c r="V38" s="9" t="n">
        <v>70.70651145514307</v>
      </c>
      <c r="W38" s="9" t="n">
        <v>0.4072890218215885</v>
      </c>
      <c r="X38" s="9" t="n">
        <v>99.11478297667141</v>
      </c>
      <c r="Y38" t="inlineStr"/>
    </row>
    <row r="39">
      <c r="A39" t="n">
        <v>35</v>
      </c>
      <c r="B39" t="n">
        <v>24540</v>
      </c>
      <c r="C39" t="inlineStr">
        <is>
          <t>BANK OF NEW ENGLAND</t>
        </is>
      </c>
      <c r="D39" t="inlineStr">
        <is>
          <t>NH</t>
        </is>
      </c>
      <c r="E39" t="n">
        <v>1748522</v>
      </c>
      <c r="F39" s="9" t="n">
        <v>2.453482500947424</v>
      </c>
      <c r="G39" s="9" t="inlineStr">
        <is>
          <t>NH / Large</t>
        </is>
      </c>
      <c r="H39" s="9" t="n">
        <v>46.3829185520362</v>
      </c>
      <c r="I39" s="9" t="n">
        <v>3.84615384615384</v>
      </c>
      <c r="J39" s="9" t="n">
        <v>56.73076923076923</v>
      </c>
      <c r="K39" s="9" t="n">
        <v>3.84615384615384</v>
      </c>
      <c r="L39" s="9" t="n">
        <v>82.69230769230769</v>
      </c>
      <c r="M39" s="9" t="n">
        <v>88.46153846153845</v>
      </c>
      <c r="N39" s="9" t="n">
        <v>94.11764705882352</v>
      </c>
      <c r="O39" s="9" t="n">
        <v>2.051768865952672</v>
      </c>
      <c r="P39" s="9" t="n">
        <v>0.6533518022649987</v>
      </c>
      <c r="Q39" s="9" t="n">
        <v>0.7372429668608512</v>
      </c>
      <c r="S39" t="b">
        <v>0</v>
      </c>
      <c r="T39" s="9" t="n">
        <v>16.13082363275955</v>
      </c>
      <c r="U39" s="9" t="n">
        <v>4.286497387218186</v>
      </c>
      <c r="V39" s="9" t="n">
        <v>106.5254150778699</v>
      </c>
      <c r="W39" s="9" t="n">
        <v>20.50777346339876</v>
      </c>
      <c r="X39" s="9" t="n">
        <v>97.19255245208792</v>
      </c>
      <c r="Y39" t="inlineStr"/>
    </row>
    <row r="40">
      <c r="A40" t="n">
        <v>36</v>
      </c>
      <c r="B40" t="n">
        <v>18031</v>
      </c>
      <c r="C40" t="inlineStr">
        <is>
          <t>WOODSVILLE GUARANTY SAVINGS BANK</t>
        </is>
      </c>
      <c r="D40" t="inlineStr">
        <is>
          <t>NH</t>
        </is>
      </c>
      <c r="E40" t="n">
        <v>669249</v>
      </c>
      <c r="F40" s="9" t="n">
        <v>0.939073520537095</v>
      </c>
      <c r="G40" s="9" t="inlineStr">
        <is>
          <t>NH / Medium</t>
        </is>
      </c>
      <c r="H40" s="9" t="n">
        <v>46.28704496351555</v>
      </c>
      <c r="I40" s="9" t="n">
        <v>75</v>
      </c>
      <c r="J40" s="9" t="n">
        <v>23.71794871794872</v>
      </c>
      <c r="K40" s="9" t="n">
        <v>62.94178794178794</v>
      </c>
      <c r="L40" s="9" t="n">
        <v>28.84615384615384</v>
      </c>
      <c r="M40" s="9" t="n">
        <v>1.923076923076923</v>
      </c>
      <c r="N40" s="9" t="n">
        <v>76.47058823529412</v>
      </c>
      <c r="O40" s="9" t="n">
        <v>0.1930089842505065</v>
      </c>
      <c r="P40" s="9" t="n">
        <v>0.08397472390694645</v>
      </c>
      <c r="Q40" s="9" t="n">
        <v>0.1250925485949189</v>
      </c>
      <c r="R40" t="n">
        <v>16.95483758094983</v>
      </c>
      <c r="S40" t="b">
        <v>1</v>
      </c>
      <c r="T40" s="9" t="n">
        <v>6.089362852988947</v>
      </c>
      <c r="U40" s="9" t="n">
        <v>2.765732029741244</v>
      </c>
      <c r="V40" s="9" t="n">
        <v>85.24503583017334</v>
      </c>
      <c r="W40" s="9" t="n">
        <v>-0.1068712544685213</v>
      </c>
      <c r="X40" s="9" t="n">
        <v>91.99208778579559</v>
      </c>
      <c r="Y40" t="inlineStr"/>
    </row>
    <row r="41">
      <c r="A41" t="n">
        <v>37</v>
      </c>
      <c r="B41" t="n">
        <v>19690</v>
      </c>
      <c r="C41" t="inlineStr">
        <is>
          <t>NORTHEAST BANK</t>
        </is>
      </c>
      <c r="D41" t="inlineStr">
        <is>
          <t>ME</t>
        </is>
      </c>
      <c r="E41" t="n">
        <v>4279069</v>
      </c>
      <c r="F41" s="9" t="n">
        <v>6.004282995493675</v>
      </c>
      <c r="G41" s="9" t="inlineStr">
        <is>
          <t>ME / Large</t>
        </is>
      </c>
      <c r="H41" s="9" t="n">
        <v>46.16849598467246</v>
      </c>
      <c r="I41" s="9" t="n">
        <v>1.923076923076934</v>
      </c>
      <c r="J41" s="9" t="n">
        <v>60.8974358974359</v>
      </c>
      <c r="K41" s="9" t="n">
        <v>39.52702702702702</v>
      </c>
      <c r="L41" s="9" t="n">
        <v>94.23076923076923</v>
      </c>
      <c r="M41" s="9" t="n">
        <v>96.15384615384616</v>
      </c>
      <c r="N41" s="9" t="n">
        <v>7.84313725490196</v>
      </c>
      <c r="O41" s="9" t="n">
        <v>2.091842144452718</v>
      </c>
      <c r="P41" s="9" t="n">
        <v>0.8181919945670425</v>
      </c>
      <c r="Q41" s="9" t="n">
        <v>0.9237348215390552</v>
      </c>
      <c r="R41" t="n">
        <v>14.69658110236606</v>
      </c>
      <c r="S41" t="b">
        <v>1</v>
      </c>
      <c r="T41" s="9" t="n">
        <v>11.55125098473523</v>
      </c>
      <c r="U41" s="9" t="n">
        <v>4.88660948292711</v>
      </c>
      <c r="V41" s="9" t="n">
        <v>109.8753832706526</v>
      </c>
      <c r="W41" s="9" t="n">
        <v>36.61531516316152</v>
      </c>
      <c r="X41" s="9" t="n">
        <v>75.27263382493126</v>
      </c>
      <c r="Y41" t="inlineStr"/>
    </row>
    <row r="42">
      <c r="A42" t="n">
        <v>38</v>
      </c>
      <c r="B42" t="n">
        <v>29743</v>
      </c>
      <c r="C42" t="inlineStr">
        <is>
          <t>AROOSTOOK COUNTY FEDERAL SAVINGS AND LOAN ASSOCIATION</t>
        </is>
      </c>
      <c r="D42" t="inlineStr">
        <is>
          <t>ME</t>
        </is>
      </c>
      <c r="E42" t="n">
        <v>200783</v>
      </c>
      <c r="F42" s="9" t="n">
        <v>0.2817337025143101</v>
      </c>
      <c r="G42" s="9" t="inlineStr">
        <is>
          <t>ME / Small</t>
        </is>
      </c>
      <c r="H42" s="9" t="n">
        <v>45.99939871998696</v>
      </c>
      <c r="I42" s="9" t="n">
        <v>55.76923076923077</v>
      </c>
      <c r="J42" s="9" t="n">
        <v>67.94871794871794</v>
      </c>
      <c r="K42" s="9" t="n">
        <v>36.95426195426195</v>
      </c>
      <c r="L42" s="9" t="n">
        <v>17.30769230769231</v>
      </c>
      <c r="M42" s="9" t="n">
        <v>65.38461538461539</v>
      </c>
      <c r="N42" s="9" t="n">
        <v>3.92156862745098</v>
      </c>
      <c r="O42" s="9" t="n">
        <v>0.5385219017156053</v>
      </c>
      <c r="P42" s="9" t="n">
        <v>0.3297091885269171</v>
      </c>
      <c r="Q42" s="9" t="n">
        <v>0.471718280152204</v>
      </c>
      <c r="R42" t="n">
        <v>18.1286751690254</v>
      </c>
      <c r="S42" t="b">
        <v>1</v>
      </c>
      <c r="T42" s="9" t="n">
        <v>9.56953526942022</v>
      </c>
      <c r="U42" s="9" t="n">
        <v>2.756630469591546</v>
      </c>
      <c r="V42" s="9" t="n">
        <v>78.82902233878991</v>
      </c>
      <c r="W42" s="9" t="n">
        <v>5.738149531036885</v>
      </c>
      <c r="X42" s="9" t="n">
        <v>63.8544086419929</v>
      </c>
      <c r="Y42" t="inlineStr"/>
    </row>
    <row r="43">
      <c r="A43" t="n">
        <v>39</v>
      </c>
      <c r="B43" t="n">
        <v>6271</v>
      </c>
      <c r="C43" t="inlineStr">
        <is>
          <t>COMMUNITY NATIONAL BANK</t>
        </is>
      </c>
      <c r="D43" t="inlineStr">
        <is>
          <t>VT</t>
        </is>
      </c>
      <c r="E43" t="n">
        <v>1166044</v>
      </c>
      <c r="F43" s="9" t="n">
        <v>1.6361638854614</v>
      </c>
      <c r="G43" s="9" t="inlineStr">
        <is>
          <t>VT / Medium</t>
        </is>
      </c>
      <c r="H43" s="9" t="n">
        <v>45.33699706493824</v>
      </c>
      <c r="I43" s="9" t="n">
        <v>9.615384615384613</v>
      </c>
      <c r="J43" s="9" t="n">
        <v>67.94871794871796</v>
      </c>
      <c r="K43" s="9" t="n">
        <v>48.36278586278586</v>
      </c>
      <c r="L43" s="9" t="n">
        <v>65.38461538461539</v>
      </c>
      <c r="M43" s="9" t="n">
        <v>69.23076923076923</v>
      </c>
      <c r="N43" s="9" t="n">
        <v>19.6078431372549</v>
      </c>
      <c r="O43" s="9" t="n">
        <v>1.360375738688802</v>
      </c>
      <c r="P43" s="9" t="n">
        <v>0.7438827351283486</v>
      </c>
      <c r="Q43" s="9" t="n">
        <v>0.9785567692255503</v>
      </c>
      <c r="R43" t="n">
        <v>14.84615806129019</v>
      </c>
      <c r="S43" t="b">
        <v>1</v>
      </c>
      <c r="T43" s="9" t="n">
        <v>10.13520930599531</v>
      </c>
      <c r="U43" s="9" t="n">
        <v>3.506310449812121</v>
      </c>
      <c r="V43" s="9" t="n">
        <v>99.82000299638294</v>
      </c>
      <c r="W43" s="9" t="n">
        <v>6.014408687398398</v>
      </c>
      <c r="X43" s="9" t="n">
        <v>80.37893500457953</v>
      </c>
      <c r="Y43" t="inlineStr"/>
    </row>
    <row r="44">
      <c r="A44" t="n">
        <v>40</v>
      </c>
      <c r="B44" t="n">
        <v>19531</v>
      </c>
      <c r="C44" t="inlineStr">
        <is>
          <t>MACHIAS SAVINGS BANK</t>
        </is>
      </c>
      <c r="D44" t="inlineStr">
        <is>
          <t>ME</t>
        </is>
      </c>
      <c r="E44" t="n">
        <v>2611219</v>
      </c>
      <c r="F44" s="9" t="n">
        <v>3.663997434771442</v>
      </c>
      <c r="G44" s="9" t="inlineStr">
        <is>
          <t>ME / Large</t>
        </is>
      </c>
      <c r="H44" s="9" t="n">
        <v>45.30599037951979</v>
      </c>
      <c r="I44" s="9" t="n">
        <v>26.92307692307693</v>
      </c>
      <c r="J44" s="9" t="n">
        <v>76.28205128205128</v>
      </c>
      <c r="K44" s="9" t="n">
        <v>48.96049896049896</v>
      </c>
      <c r="L44" s="9" t="n">
        <v>61.53846153846154</v>
      </c>
      <c r="M44" s="9" t="n">
        <v>5.769230769230769</v>
      </c>
      <c r="N44" s="9" t="n">
        <v>23.52941176470588</v>
      </c>
      <c r="O44" s="9" t="n">
        <v>0.8449470203191842</v>
      </c>
      <c r="P44" s="9" t="n">
        <v>0.3728143828610315</v>
      </c>
      <c r="Q44" s="9" t="n">
        <v>0.4396013077913239</v>
      </c>
      <c r="R44" t="n">
        <v>14.15329758838452</v>
      </c>
      <c r="S44" t="b">
        <v>1</v>
      </c>
      <c r="T44" s="9" t="n">
        <v>10.55859351513604</v>
      </c>
      <c r="U44" s="9" t="n">
        <v>3.210908694605972</v>
      </c>
      <c r="V44" s="9" t="n">
        <v>95.71819008697767</v>
      </c>
      <c r="W44" s="9" t="n">
        <v>0.3234208070459488</v>
      </c>
      <c r="X44" s="9" t="n">
        <v>82.45372451531023</v>
      </c>
      <c r="Y44" t="inlineStr"/>
    </row>
    <row r="45">
      <c r="A45" t="n">
        <v>41</v>
      </c>
      <c r="B45" t="n">
        <v>17658</v>
      </c>
      <c r="C45" t="inlineStr">
        <is>
          <t>NORWAY SAVINGS BANK</t>
        </is>
      </c>
      <c r="D45" t="inlineStr">
        <is>
          <t>ME</t>
        </is>
      </c>
      <c r="E45" t="n">
        <v>2059300</v>
      </c>
      <c r="F45" s="9" t="n">
        <v>2.889558446620077</v>
      </c>
      <c r="G45" s="9" t="inlineStr">
        <is>
          <t>ME / Large</t>
        </is>
      </c>
      <c r="H45" s="9" t="n">
        <v>43.94984917043741</v>
      </c>
      <c r="I45" s="9" t="n">
        <v>25</v>
      </c>
      <c r="J45" s="9" t="n">
        <v>64.74358974358974</v>
      </c>
      <c r="K45" s="9" t="n">
        <v>23.07692307692307</v>
      </c>
      <c r="L45" s="9" t="n">
        <v>48.07692307692308</v>
      </c>
      <c r="M45" s="9" t="n">
        <v>71.15384615384616</v>
      </c>
      <c r="N45" s="9" t="n">
        <v>37.25490196078432</v>
      </c>
      <c r="O45" s="9" t="n">
        <v>0.8592576795599747</v>
      </c>
      <c r="P45" s="9" t="n">
        <v>0.4937600155392609</v>
      </c>
      <c r="Q45" s="9" t="n">
        <v>0.690352848520236</v>
      </c>
      <c r="S45" t="b">
        <v>0</v>
      </c>
      <c r="T45" s="9" t="n">
        <v>11.59330840576895</v>
      </c>
      <c r="U45" s="9" t="n">
        <v>3.240680348253473</v>
      </c>
      <c r="V45" s="9" t="n">
        <v>91.87246772219197</v>
      </c>
      <c r="W45" s="9" t="n">
        <v>7.665008271065066</v>
      </c>
      <c r="X45" s="9" t="n">
        <v>85.76649670371451</v>
      </c>
      <c r="Y45" t="inlineStr"/>
    </row>
    <row r="46">
      <c r="A46" t="n">
        <v>42</v>
      </c>
      <c r="B46" t="n">
        <v>59086</v>
      </c>
      <c r="C46" t="inlineStr">
        <is>
          <t>PRIMARY BANK</t>
        </is>
      </c>
      <c r="D46" t="inlineStr">
        <is>
          <t>NH</t>
        </is>
      </c>
      <c r="E46" t="n">
        <v>724753</v>
      </c>
      <c r="F46" s="9" t="n">
        <v>1.016955350295363</v>
      </c>
      <c r="G46" s="9" t="inlineStr">
        <is>
          <t>NH / Medium</t>
        </is>
      </c>
      <c r="H46" s="9" t="n">
        <v>43.43830255594962</v>
      </c>
      <c r="I46" s="9" t="n">
        <v>5.769230769230774</v>
      </c>
      <c r="J46" s="9" t="n">
        <v>94.23076923076923</v>
      </c>
      <c r="K46" s="9" t="n">
        <v>21.41372141372141</v>
      </c>
      <c r="L46" s="9" t="n">
        <v>69.23076923076923</v>
      </c>
      <c r="M46" s="9" t="n">
        <v>30.76923076923077</v>
      </c>
      <c r="N46" s="9" t="n">
        <v>17.64705882352941</v>
      </c>
      <c r="O46" s="9" t="n">
        <v>1.556917955150222</v>
      </c>
      <c r="P46" s="9" t="n">
        <v>0.8275922969618614</v>
      </c>
      <c r="Q46" s="9" t="n">
        <v>2.229031356656324</v>
      </c>
      <c r="R46" t="n">
        <v>16.78059006580041</v>
      </c>
      <c r="S46" t="b">
        <v>1</v>
      </c>
      <c r="T46" s="9" t="n">
        <v>14.60014653268079</v>
      </c>
      <c r="U46" s="9" t="n">
        <v>3.907462083607311</v>
      </c>
      <c r="V46" s="9" t="n">
        <v>100.0151716352412</v>
      </c>
      <c r="W46" s="9" t="n">
        <v>2.557451746193462</v>
      </c>
      <c r="X46" s="9" t="n">
        <v>80.00898073503116</v>
      </c>
      <c r="Y46" t="inlineStr"/>
    </row>
    <row r="47">
      <c r="A47" t="n">
        <v>43</v>
      </c>
      <c r="B47" t="n">
        <v>18030</v>
      </c>
      <c r="C47" t="inlineStr">
        <is>
          <t>SAVINGS BANK OF WALPOLE</t>
        </is>
      </c>
      <c r="D47" t="inlineStr">
        <is>
          <t>NH</t>
        </is>
      </c>
      <c r="E47" t="n">
        <v>805858</v>
      </c>
      <c r="F47" s="9" t="n">
        <v>1.130759865331114</v>
      </c>
      <c r="G47" s="9" t="inlineStr">
        <is>
          <t>NH / Medium</t>
        </is>
      </c>
      <c r="H47" s="9" t="n">
        <v>41.49568403244874</v>
      </c>
      <c r="I47" s="9" t="n">
        <v>40.38461538461539</v>
      </c>
      <c r="J47" s="9" t="n">
        <v>39.74358974358974</v>
      </c>
      <c r="K47" s="9" t="n">
        <v>74.35031185031184</v>
      </c>
      <c r="L47" s="9" t="n">
        <v>21.15384615384615</v>
      </c>
      <c r="M47" s="9" t="n">
        <v>59.61538461538461</v>
      </c>
      <c r="N47" s="9" t="n">
        <v>11.76470588235294</v>
      </c>
      <c r="O47" s="9" t="n">
        <v>0.7183799588346895</v>
      </c>
      <c r="P47" s="9" t="n">
        <v>0.1742242429807733</v>
      </c>
      <c r="Q47" s="9" t="n">
        <v>0.233333056347274</v>
      </c>
      <c r="R47" t="n">
        <v>14.14166814773359</v>
      </c>
      <c r="S47" t="b">
        <v>1</v>
      </c>
      <c r="T47" s="9" t="n">
        <v>7.255620717297588</v>
      </c>
      <c r="U47" s="9" t="n">
        <v>3.709384166025054</v>
      </c>
      <c r="V47" s="9" t="n">
        <v>80.68346965615227</v>
      </c>
      <c r="W47" s="9" t="n">
        <v>5.354273679146249</v>
      </c>
      <c r="X47" s="9" t="n">
        <v>77.06223045794106</v>
      </c>
      <c r="Y47" t="inlineStr"/>
    </row>
    <row r="48">
      <c r="A48" t="n">
        <v>44</v>
      </c>
      <c r="B48" t="n">
        <v>59298</v>
      </c>
      <c r="C48" t="inlineStr">
        <is>
          <t>BANK OF BURLINGTON</t>
        </is>
      </c>
      <c r="D48" t="inlineStr">
        <is>
          <t>VT</t>
        </is>
      </c>
      <c r="E48" t="n">
        <v>269483</v>
      </c>
      <c r="F48" s="9" t="n">
        <v>0.3781318306562998</v>
      </c>
      <c r="G48" s="9" t="inlineStr">
        <is>
          <t>VT / Small</t>
        </is>
      </c>
      <c r="H48" s="9" t="n">
        <v>39.95128612775672</v>
      </c>
      <c r="I48" s="9" t="n">
        <v>84.61538461538461</v>
      </c>
      <c r="J48" s="9" t="n">
        <v>4.807692307692308</v>
      </c>
      <c r="K48" s="9" t="n">
        <v>44.1008316008316</v>
      </c>
      <c r="L48" s="9" t="n">
        <v>3.846153846153846</v>
      </c>
      <c r="M48" s="9" t="n">
        <v>94.23076923076923</v>
      </c>
      <c r="N48" s="9" t="n">
        <v>9.803921568627452</v>
      </c>
      <c r="O48" s="9" t="n">
        <v>0.0611768333776823</v>
      </c>
      <c r="P48" s="9" t="n">
        <v>0</v>
      </c>
      <c r="Q48" s="9" t="n">
        <v>0</v>
      </c>
      <c r="R48" t="n">
        <v>16.87794981443124</v>
      </c>
      <c r="S48" t="b">
        <v>1</v>
      </c>
      <c r="T48" s="9" t="n">
        <v>9.587988852729117</v>
      </c>
      <c r="U48" s="9" t="n">
        <v>2.353978164674325</v>
      </c>
      <c r="V48" s="9" t="n">
        <v>61.39828151078692</v>
      </c>
      <c r="W48" s="9" t="n">
        <v>23.35011672083123</v>
      </c>
      <c r="X48" s="9" t="n">
        <v>76.0346307670808</v>
      </c>
      <c r="Y48" t="inlineStr"/>
    </row>
    <row r="49">
      <c r="A49" t="n">
        <v>45</v>
      </c>
      <c r="B49" t="n">
        <v>12874</v>
      </c>
      <c r="C49" t="inlineStr">
        <is>
          <t>KATAHDIN TRUST COMPANY</t>
        </is>
      </c>
      <c r="D49" t="inlineStr">
        <is>
          <t>ME</t>
        </is>
      </c>
      <c r="E49" t="n">
        <v>1085692</v>
      </c>
      <c r="F49" s="9" t="n">
        <v>1.523415961262489</v>
      </c>
      <c r="G49" s="9" t="inlineStr">
        <is>
          <t>ME / Medium</t>
        </is>
      </c>
      <c r="H49" s="9" t="n">
        <v>38.8542303615833</v>
      </c>
      <c r="I49" s="9" t="n">
        <v>21.15384615384616</v>
      </c>
      <c r="J49" s="9" t="n">
        <v>44.23076923076923</v>
      </c>
      <c r="K49" s="9" t="n">
        <v>58.18607068607069</v>
      </c>
      <c r="L49" s="9" t="n">
        <v>44.23076923076923</v>
      </c>
      <c r="M49" s="9" t="n">
        <v>55.76923076923077</v>
      </c>
      <c r="N49" s="9" t="n">
        <v>15.68627450980392</v>
      </c>
      <c r="O49" s="9" t="n">
        <v>0.9386489732177956</v>
      </c>
      <c r="P49" s="9" t="n">
        <v>0.1282131580595602</v>
      </c>
      <c r="Q49" s="9" t="n">
        <v>0.16439404496744</v>
      </c>
      <c r="R49" t="n">
        <v>14.30964458786415</v>
      </c>
      <c r="S49" t="b">
        <v>1</v>
      </c>
      <c r="T49" s="9" t="n">
        <v>9.261650633881432</v>
      </c>
      <c r="U49" s="9" t="n">
        <v>3.802108805205299</v>
      </c>
      <c r="V49" s="9" t="n">
        <v>89.68595331284544</v>
      </c>
      <c r="W49" s="9" t="n">
        <v>4.710613878574521</v>
      </c>
      <c r="X49" s="9" t="n">
        <v>79.03916877080022</v>
      </c>
      <c r="Y49" t="inlineStr"/>
    </row>
    <row r="50">
      <c r="A50" t="n">
        <v>46</v>
      </c>
      <c r="B50" t="n">
        <v>11971</v>
      </c>
      <c r="C50" t="inlineStr">
        <is>
          <t>BAR HARBOR BANK &amp; TRUST</t>
        </is>
      </c>
      <c r="D50" t="inlineStr">
        <is>
          <t>ME</t>
        </is>
      </c>
      <c r="E50" t="n">
        <v>4106441</v>
      </c>
      <c r="F50" s="9" t="n">
        <v>5.762055687416595</v>
      </c>
      <c r="G50" s="9" t="inlineStr">
        <is>
          <t>ME / Large</t>
        </is>
      </c>
      <c r="H50" s="9" t="n">
        <v>37.51296828502711</v>
      </c>
      <c r="I50" s="9" t="n">
        <v>19.23076923076923</v>
      </c>
      <c r="J50" s="9" t="n">
        <v>39.10256410256411</v>
      </c>
      <c r="K50" s="9" t="n">
        <v>46.49168399168399</v>
      </c>
      <c r="L50" s="9" t="n">
        <v>59.61538461538461</v>
      </c>
      <c r="M50" s="9" t="n">
        <v>23.07692307692308</v>
      </c>
      <c r="N50" s="9" t="n">
        <v>47.05882352941176</v>
      </c>
      <c r="O50" s="9" t="n">
        <v>0.959403059876807</v>
      </c>
      <c r="P50" s="9" t="n">
        <v>0.2369935425834683</v>
      </c>
      <c r="Q50" s="9" t="n">
        <v>0.3220100066804162</v>
      </c>
      <c r="R50" t="n">
        <v>13.72358075130416</v>
      </c>
      <c r="S50" t="b">
        <v>1</v>
      </c>
      <c r="T50" s="9" t="n">
        <v>12.25562476119832</v>
      </c>
      <c r="U50" s="9" t="n">
        <v>3.280614098244408</v>
      </c>
      <c r="V50" s="9" t="n">
        <v>94.76930155611537</v>
      </c>
      <c r="W50" s="9" t="n">
        <v>1.893183442870394</v>
      </c>
      <c r="X50" s="9" t="n">
        <v>88.6003196965798</v>
      </c>
      <c r="Y50" t="inlineStr"/>
    </row>
    <row r="51">
      <c r="A51" t="n">
        <v>47</v>
      </c>
      <c r="B51" t="n">
        <v>4256</v>
      </c>
      <c r="C51" t="inlineStr">
        <is>
          <t>FIRST NATIONAL BANK</t>
        </is>
      </c>
      <c r="D51" t="inlineStr">
        <is>
          <t>ME</t>
        </is>
      </c>
      <c r="E51" t="n">
        <v>3164056</v>
      </c>
      <c r="F51" s="9" t="n">
        <v>4.439724537648198</v>
      </c>
      <c r="G51" s="9" t="inlineStr">
        <is>
          <t>ME / Large</t>
        </is>
      </c>
      <c r="H51" s="9" t="n">
        <v>35.50413252619135</v>
      </c>
      <c r="I51" s="9" t="n">
        <v>11.53846153846155</v>
      </c>
      <c r="J51" s="9" t="n">
        <v>37.82051282051282</v>
      </c>
      <c r="K51" s="9" t="n">
        <v>80.53534303534303</v>
      </c>
      <c r="L51" s="9" t="n">
        <v>36.53846153846153</v>
      </c>
      <c r="M51" s="9" t="n">
        <v>42.30769230769231</v>
      </c>
      <c r="N51" s="9" t="n">
        <v>13.72549019607843</v>
      </c>
      <c r="O51" s="9" t="n">
        <v>1.001475213509658</v>
      </c>
      <c r="P51" s="9" t="n">
        <v>0.1908626143152966</v>
      </c>
      <c r="Q51" s="9" t="n">
        <v>0.2713442358355677</v>
      </c>
      <c r="R51" t="n">
        <v>13.25624188824082</v>
      </c>
      <c r="S51" t="b">
        <v>1</v>
      </c>
      <c r="T51" s="9" t="n">
        <v>7.481947222173059</v>
      </c>
      <c r="U51" s="9" t="n">
        <v>2.441637066240333</v>
      </c>
      <c r="V51" s="9" t="n">
        <v>87.54141646815214</v>
      </c>
      <c r="W51" s="9" t="n">
        <v>3.764376391726554</v>
      </c>
      <c r="X51" s="9" t="n">
        <v>78.60403081528166</v>
      </c>
      <c r="Y51" t="inlineStr"/>
    </row>
    <row r="52">
      <c r="A52" t="n">
        <v>48</v>
      </c>
      <c r="B52" t="n">
        <v>6275</v>
      </c>
      <c r="C52" t="inlineStr">
        <is>
          <t>THE NATIONAL BANK OF MIDDLEBURY</t>
        </is>
      </c>
      <c r="D52" t="inlineStr">
        <is>
          <t>VT</t>
        </is>
      </c>
      <c r="E52" t="n">
        <v>552605</v>
      </c>
      <c r="F52" s="9" t="n">
        <v>0.7754015662577028</v>
      </c>
      <c r="G52" s="9" t="inlineStr">
        <is>
          <t>VT / Small</t>
        </is>
      </c>
      <c r="H52" s="9" t="n">
        <v>30.89124475153887</v>
      </c>
      <c r="I52" s="9" t="n">
        <v>30.76923076923077</v>
      </c>
      <c r="J52" s="9" t="n">
        <v>30.12820512820513</v>
      </c>
      <c r="K52" s="9" t="n">
        <v>66.81392931392932</v>
      </c>
      <c r="L52" s="9" t="n">
        <v>7.692307692307693</v>
      </c>
      <c r="M52" s="9" t="n">
        <v>9.615384615384617</v>
      </c>
      <c r="N52" s="9" t="n">
        <v>35.29411764705883</v>
      </c>
      <c r="O52" s="9" t="n">
        <v>0.8092727653491401</v>
      </c>
      <c r="P52" s="9" t="n">
        <v>0.1179866269758688</v>
      </c>
      <c r="Q52" s="9" t="n">
        <v>0.1865175289288115</v>
      </c>
      <c r="R52" t="n">
        <v>15.98071750658676</v>
      </c>
      <c r="S52" t="b">
        <v>1</v>
      </c>
      <c r="T52" s="9" t="n">
        <v>6.929180879651831</v>
      </c>
      <c r="U52" s="9" t="n">
        <v>3.250324920279843</v>
      </c>
      <c r="V52" s="9" t="n">
        <v>68.76056360276115</v>
      </c>
      <c r="W52" s="9" t="n">
        <v>-0.4892656872949375</v>
      </c>
      <c r="X52" s="9" t="n">
        <v>85.58179451604137</v>
      </c>
      <c r="Y52" t="inlineStr"/>
    </row>
    <row r="53">
      <c r="A53" t="n">
        <v>49</v>
      </c>
      <c r="B53" t="n">
        <v>14168</v>
      </c>
      <c r="C53" t="inlineStr">
        <is>
          <t>PEOPLES TRUST COMPANY OF ST. ALBANS</t>
        </is>
      </c>
      <c r="D53" t="inlineStr">
        <is>
          <t>VT</t>
        </is>
      </c>
      <c r="E53" t="n">
        <v>376849</v>
      </c>
      <c r="F53" s="9" t="n">
        <v>0.5287851265237359</v>
      </c>
      <c r="G53" s="9" t="inlineStr">
        <is>
          <t>VT / Small</t>
        </is>
      </c>
      <c r="H53" s="9" t="n">
        <v>30.06068851657087</v>
      </c>
      <c r="I53" s="9" t="n">
        <v>17.30769230769231</v>
      </c>
      <c r="J53" s="9" t="n">
        <v>37.82051282051282</v>
      </c>
      <c r="K53" s="9" t="n">
        <v>40.07276507276508</v>
      </c>
      <c r="L53" s="9" t="n">
        <v>30.76923076923077</v>
      </c>
      <c r="M53" s="9" t="n">
        <v>17.30769230769231</v>
      </c>
      <c r="N53" s="9" t="n">
        <v>39.21568627450981</v>
      </c>
      <c r="O53" s="9" t="n">
        <v>0.9667162693102378</v>
      </c>
      <c r="P53" s="9" t="n">
        <v>0.2685425727546046</v>
      </c>
      <c r="Q53" s="9" t="n">
        <v>0.3511231082028186</v>
      </c>
      <c r="R53" t="n">
        <v>16.58401671604196</v>
      </c>
      <c r="S53" t="b">
        <v>1</v>
      </c>
      <c r="T53" s="9" t="n">
        <v>10.29271671146799</v>
      </c>
      <c r="U53" s="9" t="n">
        <v>4.222243217012651</v>
      </c>
      <c r="V53" s="9" t="n">
        <v>85.56397850594033</v>
      </c>
      <c r="W53" s="9" t="n">
        <v>1.365076632577855</v>
      </c>
      <c r="X53" s="9" t="n">
        <v>85.90268477333129</v>
      </c>
      <c r="Y53" t="inlineStr"/>
    </row>
    <row r="54">
      <c r="A54" t="n">
        <v>50</v>
      </c>
      <c r="B54" t="n">
        <v>19532</v>
      </c>
      <c r="C54" t="inlineStr">
        <is>
          <t>SKOWHEGAN SAVINGS BANK</t>
        </is>
      </c>
      <c r="D54" t="inlineStr">
        <is>
          <t>ME</t>
        </is>
      </c>
      <c r="E54" t="n">
        <v>843145</v>
      </c>
      <c r="F54" s="9" t="n">
        <v>1.183080054618309</v>
      </c>
      <c r="G54" s="9" t="inlineStr">
        <is>
          <t>ME / Medium</t>
        </is>
      </c>
      <c r="H54" s="9" t="n">
        <v>27.9383993722229</v>
      </c>
      <c r="I54" s="9" t="n">
        <v>13.46153846153845</v>
      </c>
      <c r="J54" s="9" t="n">
        <v>41.66666666666666</v>
      </c>
      <c r="K54" s="9" t="n">
        <v>9.433471933471928</v>
      </c>
      <c r="L54" s="9" t="n">
        <v>34.61538461538461</v>
      </c>
      <c r="M54" s="9" t="n">
        <v>50</v>
      </c>
      <c r="N54" s="9" t="n">
        <v>25.49019607843137</v>
      </c>
      <c r="O54" s="9" t="n">
        <v>0.98381360720577</v>
      </c>
      <c r="P54" s="9" t="n">
        <v>0.2022190726387514</v>
      </c>
      <c r="Q54" s="9" t="n">
        <v>0.3066367261429665</v>
      </c>
      <c r="R54" t="n">
        <v>21.87055482390716</v>
      </c>
      <c r="S54" t="b">
        <v>1</v>
      </c>
      <c r="T54" s="9" t="n">
        <v>13.05896376068173</v>
      </c>
      <c r="U54" s="9" t="n">
        <v>3.615556108535241</v>
      </c>
      <c r="V54" s="9" t="n">
        <v>86.53757987740339</v>
      </c>
      <c r="W54" s="9" t="n">
        <v>-4.283675737530357</v>
      </c>
      <c r="X54" s="9" t="n">
        <v>82.78819238135637</v>
      </c>
      <c r="Y54" t="inlineStr"/>
    </row>
    <row r="55">
      <c r="A55" t="n">
        <v>51</v>
      </c>
      <c r="B55" t="n">
        <v>17749</v>
      </c>
      <c r="C55" t="inlineStr">
        <is>
          <t>BATH SAVINGS INSTITUTION</t>
        </is>
      </c>
      <c r="D55" t="inlineStr">
        <is>
          <t>ME</t>
        </is>
      </c>
      <c r="E55" t="n">
        <v>1447972</v>
      </c>
      <c r="F55" s="9" t="n">
        <v>2.031758230014745</v>
      </c>
      <c r="G55" s="9" t="inlineStr">
        <is>
          <t>ME / Medium</t>
        </is>
      </c>
      <c r="H55" s="9" t="n">
        <v>27.10030165912519</v>
      </c>
      <c r="I55" s="9" t="n">
        <v>23.07692307692307</v>
      </c>
      <c r="J55" s="9" t="n">
        <v>31.41025641025641</v>
      </c>
      <c r="K55" s="9" t="n">
        <v>9.615384615384613</v>
      </c>
      <c r="L55" s="9" t="n">
        <v>11.53846153846154</v>
      </c>
      <c r="M55" s="9" t="n">
        <v>44.23076923076923</v>
      </c>
      <c r="N55" s="9" t="n">
        <v>58.82352941176471</v>
      </c>
      <c r="O55" s="9" t="n">
        <v>0.8854314719383518</v>
      </c>
      <c r="P55" s="9" t="n">
        <v>0.09019511427016544</v>
      </c>
      <c r="Q55" s="9" t="n">
        <v>0.1638696161605062</v>
      </c>
      <c r="S55" t="b">
        <v>0</v>
      </c>
      <c r="T55" s="9" t="n">
        <v>14.06090725511267</v>
      </c>
      <c r="U55" s="9" t="n">
        <v>2.696528774122303</v>
      </c>
      <c r="V55" s="9" t="n">
        <v>73.32650783155231</v>
      </c>
      <c r="W55" s="9" t="n">
        <v>3.780462806742424</v>
      </c>
      <c r="X55" s="9" t="n">
        <v>90.68045305410205</v>
      </c>
      <c r="Y55" t="inlineStr"/>
    </row>
    <row r="56">
      <c r="A56" t="n">
        <v>52</v>
      </c>
      <c r="B56" t="n">
        <v>35206</v>
      </c>
      <c r="C56" t="inlineStr">
        <is>
          <t>FIDELITY PERSONAL TRUST COMPANY, FSB</t>
        </is>
      </c>
      <c r="D56" t="inlineStr">
        <is>
          <t>NH</t>
        </is>
      </c>
      <c r="E56" t="n">
        <v>72604</v>
      </c>
      <c r="F56" s="9" t="n">
        <v>0.1018761236626058</v>
      </c>
      <c r="G56" s="9" t="inlineStr">
        <is>
          <t>NH / Small</t>
        </is>
      </c>
      <c r="H56" s="9" t="n">
        <v>15.14423076923077</v>
      </c>
      <c r="I56" s="9" t="n">
        <v>0</v>
      </c>
      <c r="J56" s="9" t="n">
        <v>4.807692307692308</v>
      </c>
      <c r="K56" s="9" t="n">
        <v>0</v>
      </c>
      <c r="L56" s="9" t="n">
        <v>1.923076923076923</v>
      </c>
      <c r="M56" s="9" t="n">
        <v>86.53846153846155</v>
      </c>
      <c r="N56" s="9" t="n">
        <v>50</v>
      </c>
      <c r="O56" s="9" t="n">
        <v>28.48800567219443</v>
      </c>
      <c r="P56" s="9" t="n">
        <v>0</v>
      </c>
      <c r="Q56" s="9" t="n">
        <v>0</v>
      </c>
      <c r="S56" t="b">
        <v>0</v>
      </c>
      <c r="T56" s="9" t="n">
        <v>96.57732356344005</v>
      </c>
      <c r="U56" s="9" t="n">
        <v>4.14720593593693</v>
      </c>
      <c r="V56" s="9" t="n">
        <v>0</v>
      </c>
      <c r="W56" s="9" t="n">
        <v>-14.00075807827158</v>
      </c>
      <c r="X56" s="9" t="n"/>
      <c r="Y56" t="inlineStr"/>
    </row>
  </sheetData>
  <mergeCells count="2">
    <mergeCell ref="A2:Y2"/>
    <mergeCell ref="A1:Y1"/>
  </mergeCells>
  <conditionalFormatting sqref="H5:H5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6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8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30" customHeight="1">
      <c r="A1" s="1" t="inlineStr">
        <is>
          <t>Bank Latest Snapshot and Peer Comparison</t>
        </is>
      </c>
    </row>
    <row r="2" ht="34" customHeight="1">
      <c r="A2" s="2" t="inlineStr">
        <is>
          <t>As of 2025-06-30; peers are state × latest asset tercile</t>
        </is>
      </c>
    </row>
    <row r="4">
      <c r="A4" s="12" t="inlineStr">
        <is>
          <t>CERT</t>
        </is>
      </c>
      <c r="B4" s="12" t="inlineStr">
        <is>
          <t>Institution</t>
        </is>
      </c>
      <c r="C4" s="12" t="inlineStr">
        <is>
          <t>State</t>
        </is>
      </c>
      <c r="D4" s="12" t="inlineStr">
        <is>
          <t>Assets $000</t>
        </is>
      </c>
      <c r="E4" s="12" t="inlineStr">
        <is>
          <t>Deposits $000</t>
        </is>
      </c>
      <c r="F4" s="12" t="inlineStr">
        <is>
          <t>Net loans $000</t>
        </is>
      </c>
      <c r="G4" s="12" t="inlineStr">
        <is>
          <t>ROA %</t>
        </is>
      </c>
      <c r="H4" s="12" t="inlineStr">
        <is>
          <t>ROE %</t>
        </is>
      </c>
      <c r="I4" s="12" t="inlineStr">
        <is>
          <t>NIM %</t>
        </is>
      </c>
      <c r="J4" s="12" t="inlineStr">
        <is>
          <t>NPA %</t>
        </is>
      </c>
      <c r="K4" s="12" t="inlineStr">
        <is>
          <t>Past due %</t>
        </is>
      </c>
      <c r="L4" s="12" t="inlineStr">
        <is>
          <t>NCO %</t>
        </is>
      </c>
      <c r="M4" s="12" t="inlineStr">
        <is>
          <t>RBC %</t>
        </is>
      </c>
      <c r="N4" s="12" t="inlineStr">
        <is>
          <t>RBC reported</t>
        </is>
      </c>
      <c r="O4" s="12" t="inlineStr">
        <is>
          <t>EQ/A %</t>
        </is>
      </c>
      <c r="P4" s="12" t="inlineStr">
        <is>
          <t>L/D %</t>
        </is>
      </c>
      <c r="Q4" s="12" t="inlineStr">
        <is>
          <t>Loans/assets %</t>
        </is>
      </c>
      <c r="R4" s="12" t="inlineStr">
        <is>
          <t>YoY asset growth %</t>
        </is>
      </c>
      <c r="S4" s="12" t="inlineStr">
        <is>
          <t>YoY loan growth %</t>
        </is>
      </c>
      <c r="T4" s="12" t="inlineStr">
        <is>
          <t>YoY deposit growth %</t>
        </is>
      </c>
      <c r="U4" s="12" t="inlineStr">
        <is>
          <t>RE share %</t>
        </is>
      </c>
      <c r="V4" s="12" t="inlineStr">
        <is>
          <t>C&amp;I share %</t>
        </is>
      </c>
      <c r="W4" s="12" t="inlineStr">
        <is>
          <t>Consumer share %</t>
        </is>
      </c>
      <c r="X4" s="12" t="inlineStr">
        <is>
          <t>Peer group</t>
        </is>
      </c>
      <c r="Y4" s="12" t="inlineStr">
        <is>
          <t>Peer ROA med.</t>
        </is>
      </c>
      <c r="Z4" s="12" t="inlineStr">
        <is>
          <t>Peer NPA med.</t>
        </is>
      </c>
      <c r="AA4" s="12" t="inlineStr">
        <is>
          <t>Peer NCO med.</t>
        </is>
      </c>
      <c r="AB4" s="12" t="inlineStr">
        <is>
          <t>Peer EQ/A med.</t>
        </is>
      </c>
      <c r="AC4" s="12" t="inlineStr">
        <is>
          <t>Peer L/D med.</t>
        </is>
      </c>
    </row>
    <row r="5">
      <c r="A5" t="n">
        <v>18408</v>
      </c>
      <c r="B5" t="inlineStr">
        <is>
          <t>BANGOR SAVINGS BANK</t>
        </is>
      </c>
      <c r="C5" t="inlineStr">
        <is>
          <t>ME</t>
        </is>
      </c>
      <c r="D5" t="n">
        <v>7335916</v>
      </c>
      <c r="E5" t="n">
        <v>5915806</v>
      </c>
      <c r="F5" t="n">
        <v>5032756</v>
      </c>
      <c r="G5" s="9" t="n">
        <v>0.1062775417506632</v>
      </c>
      <c r="H5" s="9" t="n">
        <v>1.71</v>
      </c>
      <c r="I5" s="9" t="n">
        <v>2.418524645581098</v>
      </c>
      <c r="J5" s="9" t="n">
        <v>0.4571344601001429</v>
      </c>
      <c r="K5" s="9" t="n">
        <v>0.1621883347628299</v>
      </c>
      <c r="L5" s="9" t="n">
        <v>0.6613649657809945</v>
      </c>
      <c r="M5" s="9" t="n">
        <v>11.14890025183202</v>
      </c>
      <c r="N5" s="9" t="b">
        <v>1</v>
      </c>
      <c r="O5" s="9" t="n">
        <v>6.374650418570769</v>
      </c>
      <c r="P5" s="9" t="n">
        <v>85.07303992051125</v>
      </c>
      <c r="Q5" s="9" t="n">
        <v>68.60432971151796</v>
      </c>
      <c r="R5" s="9" t="n">
        <v>1.576882852792272</v>
      </c>
      <c r="S5" s="9" t="n">
        <v>3.66281360654297</v>
      </c>
      <c r="T5" s="9" t="n">
        <v>10.50424351331334</v>
      </c>
      <c r="U5" s="9" t="n">
        <v>90.051579959192</v>
      </c>
      <c r="V5" s="9" t="n">
        <v>7.276355694641278</v>
      </c>
      <c r="W5" s="9" t="n">
        <v>1.128964886421143</v>
      </c>
      <c r="X5" s="9" t="inlineStr">
        <is>
          <t>ME / Large</t>
        </is>
      </c>
      <c r="Y5" s="9" t="n">
        <v>0.8449470203191842</v>
      </c>
      <c r="Z5" s="9" t="n">
        <v>0.3011104389979071</v>
      </c>
      <c r="AA5" s="9" t="n">
        <v>0.3669203639288033</v>
      </c>
      <c r="AB5" s="9" t="n">
        <v>9.96047628954037</v>
      </c>
      <c r="AC5" s="9" t="n">
        <v>94.76930155611537</v>
      </c>
    </row>
    <row r="6">
      <c r="A6" t="n">
        <v>4255</v>
      </c>
      <c r="B6" t="inlineStr">
        <is>
          <t>THE CAMDEN NATIONAL BANK</t>
        </is>
      </c>
      <c r="C6" t="inlineStr">
        <is>
          <t>ME</t>
        </is>
      </c>
      <c r="D6" t="n">
        <v>6902692</v>
      </c>
      <c r="E6" t="n">
        <v>5545916</v>
      </c>
      <c r="F6" t="n">
        <v>4900914</v>
      </c>
      <c r="G6" s="9" t="n">
        <v>0.7190738887955189</v>
      </c>
      <c r="H6" s="9" t="n">
        <v>7.44</v>
      </c>
      <c r="I6" s="9" t="n">
        <v>3.343185471167145</v>
      </c>
      <c r="J6" s="9" t="n">
        <v>0.2633320449471018</v>
      </c>
      <c r="K6" s="9" t="n">
        <v>0.05959993579316591</v>
      </c>
      <c r="L6" s="9" t="n">
        <v>0.3669203639288033</v>
      </c>
      <c r="M6" s="9" t="n">
        <v>12.85392725980334</v>
      </c>
      <c r="N6" s="9" t="b">
        <v>1</v>
      </c>
      <c r="O6" s="9" t="n">
        <v>9.96047628954037</v>
      </c>
      <c r="P6" s="9" t="n">
        <v>88.36978417992627</v>
      </c>
      <c r="Q6" s="9" t="n">
        <v>71.00003882543217</v>
      </c>
      <c r="R6" s="9" t="n">
        <v>20.89571556801015</v>
      </c>
      <c r="S6" s="9" t="n">
        <v>19.00419350843923</v>
      </c>
      <c r="T6" s="9" t="n">
        <v>21.95366306326909</v>
      </c>
      <c r="U6" s="9" t="n">
        <v>89.95523963167872</v>
      </c>
      <c r="V6" s="9" t="n">
        <v>6.900149699148314</v>
      </c>
      <c r="W6" s="9" t="n">
        <v>0.4685769053132701</v>
      </c>
      <c r="X6" s="9" t="inlineStr">
        <is>
          <t>ME / Large</t>
        </is>
      </c>
      <c r="Y6" s="9" t="n">
        <v>0.8449470203191842</v>
      </c>
      <c r="Z6" s="9" t="n">
        <v>0.3011104389979071</v>
      </c>
      <c r="AA6" s="9" t="n">
        <v>0.3669203639288033</v>
      </c>
      <c r="AB6" s="9" t="n">
        <v>9.96047628954037</v>
      </c>
      <c r="AC6" s="9" t="n">
        <v>94.76930155611537</v>
      </c>
    </row>
    <row r="7">
      <c r="A7" t="n">
        <v>19690</v>
      </c>
      <c r="B7" t="inlineStr">
        <is>
          <t>NORTHEAST BANK</t>
        </is>
      </c>
      <c r="C7" t="inlineStr">
        <is>
          <t>ME</t>
        </is>
      </c>
      <c r="D7" t="n">
        <v>4279069</v>
      </c>
      <c r="E7" t="n">
        <v>3405883</v>
      </c>
      <c r="F7" t="n">
        <v>3742227</v>
      </c>
      <c r="G7" s="9" t="n">
        <v>2.091842144452718</v>
      </c>
      <c r="H7" s="9" t="n">
        <v>18.73</v>
      </c>
      <c r="I7" s="9" t="n">
        <v>4.88660948292711</v>
      </c>
      <c r="J7" s="9" t="n">
        <v>0.8181919945670425</v>
      </c>
      <c r="K7" s="9" t="n">
        <v>0.03117500559116948</v>
      </c>
      <c r="L7" s="9" t="n">
        <v>0.9237348215390552</v>
      </c>
      <c r="M7" s="9" t="n">
        <v>14.69658110236606</v>
      </c>
      <c r="N7" s="9" t="b">
        <v>1</v>
      </c>
      <c r="O7" s="9" t="n">
        <v>11.55125098473523</v>
      </c>
      <c r="P7" s="9" t="n">
        <v>109.8753832706526</v>
      </c>
      <c r="Q7" s="9" t="n">
        <v>87.4542336195093</v>
      </c>
      <c r="R7" s="9" t="n">
        <v>36.61531516316152</v>
      </c>
      <c r="S7" s="9" t="n">
        <v>36.85493379285325</v>
      </c>
      <c r="T7" s="9" t="n">
        <v>44.17741966891393</v>
      </c>
      <c r="U7" s="9" t="n">
        <v>75.27263382493126</v>
      </c>
      <c r="V7" s="9" t="n">
        <v>4.15468277435473</v>
      </c>
      <c r="W7" s="9" t="n">
        <v>0.003825699040963211</v>
      </c>
      <c r="X7" s="9" t="inlineStr">
        <is>
          <t>ME / Large</t>
        </is>
      </c>
      <c r="Y7" s="9" t="n">
        <v>0.8449470203191842</v>
      </c>
      <c r="Z7" s="9" t="n">
        <v>0.3011104389979071</v>
      </c>
      <c r="AA7" s="9" t="n">
        <v>0.3669203639288033</v>
      </c>
      <c r="AB7" s="9" t="n">
        <v>9.96047628954037</v>
      </c>
      <c r="AC7" s="9" t="n">
        <v>94.76930155611537</v>
      </c>
    </row>
    <row r="8">
      <c r="A8" t="n">
        <v>11971</v>
      </c>
      <c r="B8" t="inlineStr">
        <is>
          <t>BAR HARBOR BANK &amp; TRUST</t>
        </is>
      </c>
      <c r="C8" t="inlineStr">
        <is>
          <t>ME</t>
        </is>
      </c>
      <c r="D8" t="n">
        <v>4106441</v>
      </c>
      <c r="E8" t="n">
        <v>3299177</v>
      </c>
      <c r="F8" t="n">
        <v>3126607</v>
      </c>
      <c r="G8" s="9" t="n">
        <v>0.959403059876807</v>
      </c>
      <c r="H8" s="9" t="n">
        <v>7.85</v>
      </c>
      <c r="I8" s="9" t="n">
        <v>3.280614098244408</v>
      </c>
      <c r="J8" s="9" t="n">
        <v>0.2369935425834683</v>
      </c>
      <c r="K8" s="9" t="n">
        <v>0.06721148556621172</v>
      </c>
      <c r="L8" s="9" t="n">
        <v>0.3220100066804162</v>
      </c>
      <c r="M8" s="9" t="n">
        <v>13.72358075130416</v>
      </c>
      <c r="N8" s="9" t="b">
        <v>1</v>
      </c>
      <c r="O8" s="9" t="n">
        <v>12.25562476119832</v>
      </c>
      <c r="P8" s="9" t="n">
        <v>94.76930155611537</v>
      </c>
      <c r="Q8" s="9" t="n">
        <v>76.13909465641903</v>
      </c>
      <c r="R8" s="9" t="n">
        <v>1.893183442870394</v>
      </c>
      <c r="S8" s="9" t="n">
        <v>2.875242414012535</v>
      </c>
      <c r="T8" s="9" t="n">
        <v>4.81953357651177</v>
      </c>
      <c r="U8" s="9" t="n">
        <v>88.6003196965798</v>
      </c>
      <c r="V8" s="9" t="n">
        <v>6.982841344551025</v>
      </c>
      <c r="W8" s="9" t="n">
        <v>0.2565685477890611</v>
      </c>
      <c r="X8" s="9" t="inlineStr">
        <is>
          <t>ME / Large</t>
        </is>
      </c>
      <c r="Y8" s="9" t="n">
        <v>0.8449470203191842</v>
      </c>
      <c r="Z8" s="9" t="n">
        <v>0.3011104389979071</v>
      </c>
      <c r="AA8" s="9" t="n">
        <v>0.3669203639288033</v>
      </c>
      <c r="AB8" s="9" t="n">
        <v>9.96047628954037</v>
      </c>
      <c r="AC8" s="9" t="n">
        <v>94.76930155611537</v>
      </c>
    </row>
    <row r="9">
      <c r="A9" t="n">
        <v>4256</v>
      </c>
      <c r="B9" t="inlineStr">
        <is>
          <t>FIRST NATIONAL BANK</t>
        </is>
      </c>
      <c r="C9" t="inlineStr">
        <is>
          <t>ME</t>
        </is>
      </c>
      <c r="D9" t="n">
        <v>3164056</v>
      </c>
      <c r="E9" t="n">
        <v>2706351</v>
      </c>
      <c r="F9" t="n">
        <v>2369178</v>
      </c>
      <c r="G9" s="9" t="n">
        <v>1.001475213509658</v>
      </c>
      <c r="H9" s="9" t="n">
        <v>13.67</v>
      </c>
      <c r="I9" s="9" t="n">
        <v>2.441637066240333</v>
      </c>
      <c r="J9" s="9" t="n">
        <v>0.1908626143152966</v>
      </c>
      <c r="K9" s="9" t="n">
        <v>0.1101434361465157</v>
      </c>
      <c r="L9" s="9" t="n">
        <v>0.2713442358355677</v>
      </c>
      <c r="M9" s="9" t="n">
        <v>13.25624188824082</v>
      </c>
      <c r="N9" s="9" t="b">
        <v>1</v>
      </c>
      <c r="O9" s="9" t="n">
        <v>7.481947222173059</v>
      </c>
      <c r="P9" s="9" t="n">
        <v>87.54141646815214</v>
      </c>
      <c r="Q9" s="9" t="n">
        <v>74.87787826764128</v>
      </c>
      <c r="R9" s="9" t="n">
        <v>3.764376391726554</v>
      </c>
      <c r="S9" s="9" t="n">
        <v>6.576811186080644</v>
      </c>
      <c r="T9" s="9" t="n">
        <v>4.946544697319277</v>
      </c>
      <c r="U9" s="9" t="n">
        <v>78.60403081528166</v>
      </c>
      <c r="V9" s="9" t="n">
        <v>15.85922681094917</v>
      </c>
      <c r="W9" s="9" t="n">
        <v>0.8587694188028689</v>
      </c>
      <c r="X9" s="9" t="inlineStr">
        <is>
          <t>ME / Large</t>
        </is>
      </c>
      <c r="Y9" s="9" t="n">
        <v>0.8449470203191842</v>
      </c>
      <c r="Z9" s="9" t="n">
        <v>0.3011104389979071</v>
      </c>
      <c r="AA9" s="9" t="n">
        <v>0.3669203639288033</v>
      </c>
      <c r="AB9" s="9" t="n">
        <v>9.96047628954037</v>
      </c>
      <c r="AC9" s="9" t="n">
        <v>94.76930155611537</v>
      </c>
    </row>
    <row r="10">
      <c r="A10" t="n">
        <v>18013</v>
      </c>
      <c r="B10" t="inlineStr">
        <is>
          <t>MASCOMA BANK</t>
        </is>
      </c>
      <c r="C10" t="inlineStr">
        <is>
          <t>NH</t>
        </is>
      </c>
      <c r="D10" t="n">
        <v>2896306</v>
      </c>
      <c r="E10" t="n">
        <v>2573471</v>
      </c>
      <c r="F10" t="n">
        <v>2405533</v>
      </c>
      <c r="G10" s="9" t="n">
        <v>0.336164972529288</v>
      </c>
      <c r="H10" s="9" t="n">
        <v>4.2</v>
      </c>
      <c r="I10" s="9" t="n">
        <v>2.8369626762913</v>
      </c>
      <c r="J10" s="9" t="n">
        <v>0.04837196069752298</v>
      </c>
      <c r="K10" s="9" t="n">
        <v>0.1644163289376191</v>
      </c>
      <c r="L10" s="9" t="n">
        <v>0.0641309492907422</v>
      </c>
      <c r="M10" s="9" t="n">
        <v>12.6358689440193</v>
      </c>
      <c r="N10" s="9" t="b">
        <v>1</v>
      </c>
      <c r="O10" s="9" t="n">
        <v>8.115302733896211</v>
      </c>
      <c r="P10" s="9" t="n">
        <v>93.47426102722743</v>
      </c>
      <c r="Q10" s="9" t="n">
        <v>83.05520894546363</v>
      </c>
      <c r="R10" s="9" t="n">
        <v>-0.5863617937735044</v>
      </c>
      <c r="S10" s="9" t="n">
        <v>0.5804358579073687</v>
      </c>
      <c r="T10" s="9" t="n">
        <v>4.679194414660381</v>
      </c>
      <c r="U10" s="9" t="n">
        <v>91.78554346440009</v>
      </c>
      <c r="V10" s="9" t="n">
        <v>4.624485229453851</v>
      </c>
      <c r="W10" s="9" t="n">
        <v>0.8479811750490165</v>
      </c>
      <c r="X10" s="9" t="inlineStr">
        <is>
          <t>NH / Large</t>
        </is>
      </c>
      <c r="Y10" s="9" t="n">
        <v>0.5634837623806016</v>
      </c>
      <c r="Z10" s="9" t="n">
        <v>0.1796983759852191</v>
      </c>
      <c r="AA10" s="9" t="n">
        <v>0.2119583566111096</v>
      </c>
      <c r="AB10" s="9" t="n">
        <v>10.29075886089227</v>
      </c>
      <c r="AC10" s="9" t="n">
        <v>99.11232500423694</v>
      </c>
    </row>
    <row r="11">
      <c r="A11" t="n">
        <v>17741</v>
      </c>
      <c r="B11" t="inlineStr">
        <is>
          <t>MAINE COMMUNITY BANK</t>
        </is>
      </c>
      <c r="C11" t="inlineStr">
        <is>
          <t>ME</t>
        </is>
      </c>
      <c r="D11" t="n">
        <v>2758302</v>
      </c>
      <c r="E11" t="n">
        <v>2253432</v>
      </c>
      <c r="F11" t="n">
        <v>2261429</v>
      </c>
      <c r="G11" s="9" t="n">
        <v>0.8058628946888448</v>
      </c>
      <c r="H11" s="9" t="n">
        <v>8.32</v>
      </c>
      <c r="I11" s="9" t="n">
        <v>4.424594575961685</v>
      </c>
      <c r="J11" s="9" t="n">
        <v>0.5152445236235916</v>
      </c>
      <c r="K11" s="9" t="n">
        <v>0.1988542226340698</v>
      </c>
      <c r="L11" s="9" t="n">
        <v>0.6240342770980913</v>
      </c>
      <c r="M11" s="9" t="n"/>
      <c r="N11" s="9" t="b">
        <v>0</v>
      </c>
      <c r="O11" s="9" t="n">
        <v>9.098786137268508</v>
      </c>
      <c r="P11" s="9" t="n">
        <v>100.35488091054</v>
      </c>
      <c r="Q11" s="9" t="n">
        <v>81.98627271415531</v>
      </c>
      <c r="R11" s="9" t="n">
        <v>137.6545597883917</v>
      </c>
      <c r="S11" s="9" t="n">
        <v>135.7846040279093</v>
      </c>
      <c r="T11" s="9" t="n">
        <v>160.9201897069176</v>
      </c>
      <c r="U11" s="9" t="n">
        <v>88.52237096141764</v>
      </c>
      <c r="V11" s="9" t="n">
        <v>9.229665426823725</v>
      </c>
      <c r="W11" s="9" t="n">
        <v>0.2982297220693946</v>
      </c>
      <c r="X11" s="9" t="inlineStr">
        <is>
          <t>ME / Large</t>
        </is>
      </c>
      <c r="Y11" s="9" t="n">
        <v>0.8449470203191842</v>
      </c>
      <c r="Z11" s="9" t="n">
        <v>0.3011104389979071</v>
      </c>
      <c r="AA11" s="9" t="n">
        <v>0.3669203639288033</v>
      </c>
      <c r="AB11" s="9" t="n">
        <v>9.96047628954037</v>
      </c>
      <c r="AC11" s="9" t="n">
        <v>94.76930155611537</v>
      </c>
    </row>
    <row r="12">
      <c r="A12" t="n">
        <v>18012</v>
      </c>
      <c r="B12" t="inlineStr">
        <is>
          <t>BANK OF NEW HAMPSHIRE</t>
        </is>
      </c>
      <c r="C12" t="inlineStr">
        <is>
          <t>NH</t>
        </is>
      </c>
      <c r="D12" t="n">
        <v>2642289</v>
      </c>
      <c r="E12" t="n">
        <v>2262357</v>
      </c>
      <c r="F12" t="n">
        <v>2125751</v>
      </c>
      <c r="G12" s="9" t="n">
        <v>0.7908025522319152</v>
      </c>
      <c r="H12" s="9" t="n">
        <v>7.12</v>
      </c>
      <c r="I12" s="9" t="n">
        <v>2.895600039123149</v>
      </c>
      <c r="J12" s="9" t="n">
        <v>0.03860289317330542</v>
      </c>
      <c r="K12" s="9" t="n">
        <v>0.188018797338217</v>
      </c>
      <c r="L12" s="9" t="n">
        <v>0.047422781067152</v>
      </c>
      <c r="M12" s="9" t="n">
        <v>13.94832031930094</v>
      </c>
      <c r="N12" s="9" t="b">
        <v>1</v>
      </c>
      <c r="O12" s="9" t="n">
        <v>11.41635150432068</v>
      </c>
      <c r="P12" s="9" t="n">
        <v>93.96178410392348</v>
      </c>
      <c r="Q12" s="9" t="n">
        <v>80.45111643730114</v>
      </c>
      <c r="R12" s="9" t="n">
        <v>5.699254905757134</v>
      </c>
      <c r="S12" s="9" t="n">
        <v>5.714366703732354</v>
      </c>
      <c r="T12" s="9" t="n">
        <v>7.610608103769345</v>
      </c>
      <c r="U12" s="9" t="n">
        <v>95.34824361361591</v>
      </c>
      <c r="V12" s="9" t="n">
        <v>2.4327886687449</v>
      </c>
      <c r="W12" s="9" t="n">
        <v>1.170226862215899</v>
      </c>
      <c r="X12" s="9" t="inlineStr">
        <is>
          <t>NH / Large</t>
        </is>
      </c>
      <c r="Y12" s="9" t="n">
        <v>0.5634837623806016</v>
      </c>
      <c r="Z12" s="9" t="n">
        <v>0.1796983759852191</v>
      </c>
      <c r="AA12" s="9" t="n">
        <v>0.2119583566111096</v>
      </c>
      <c r="AB12" s="9" t="n">
        <v>10.29075886089227</v>
      </c>
      <c r="AC12" s="9" t="n">
        <v>99.11232500423694</v>
      </c>
    </row>
    <row r="13">
      <c r="A13" t="n">
        <v>19531</v>
      </c>
      <c r="B13" t="inlineStr">
        <is>
          <t>MACHIAS SAVINGS BANK</t>
        </is>
      </c>
      <c r="C13" t="inlineStr">
        <is>
          <t>ME</t>
        </is>
      </c>
      <c r="D13" t="n">
        <v>2611219</v>
      </c>
      <c r="E13" t="n">
        <v>2294497</v>
      </c>
      <c r="F13" t="n">
        <v>2196251</v>
      </c>
      <c r="G13" s="9" t="n">
        <v>0.8449470203191842</v>
      </c>
      <c r="H13" s="9" t="n">
        <v>8.210000000000001</v>
      </c>
      <c r="I13" s="9" t="n">
        <v>3.210908694605972</v>
      </c>
      <c r="J13" s="9" t="n">
        <v>0.3728143828610315</v>
      </c>
      <c r="K13" s="9" t="n">
        <v>1.118672926322916</v>
      </c>
      <c r="L13" s="9" t="n">
        <v>0.4396013077913239</v>
      </c>
      <c r="M13" s="9" t="n">
        <v>14.15329758838452</v>
      </c>
      <c r="N13" s="9" t="b">
        <v>1</v>
      </c>
      <c r="O13" s="9" t="n">
        <v>10.55859351513604</v>
      </c>
      <c r="P13" s="9" t="n">
        <v>95.71819008697767</v>
      </c>
      <c r="Q13" s="9" t="n">
        <v>84.10826514359768</v>
      </c>
      <c r="R13" s="9" t="n">
        <v>0.3234208070459488</v>
      </c>
      <c r="S13" s="9" t="n">
        <v>3.673277679041376</v>
      </c>
      <c r="T13" s="9" t="n">
        <v>14.30062323685641</v>
      </c>
      <c r="U13" s="9" t="n">
        <v>82.45372451531023</v>
      </c>
      <c r="V13" s="9" t="n">
        <v>12.02463031064557</v>
      </c>
      <c r="W13" s="9" t="n">
        <v>0.2836195706530472</v>
      </c>
      <c r="X13" s="9" t="inlineStr">
        <is>
          <t>ME / Large</t>
        </is>
      </c>
      <c r="Y13" s="9" t="n">
        <v>0.8449470203191842</v>
      </c>
      <c r="Z13" s="9" t="n">
        <v>0.3011104389979071</v>
      </c>
      <c r="AA13" s="9" t="n">
        <v>0.3669203639288033</v>
      </c>
      <c r="AB13" s="9" t="n">
        <v>9.96047628954037</v>
      </c>
      <c r="AC13" s="9" t="n">
        <v>94.76930155611537</v>
      </c>
    </row>
    <row r="14">
      <c r="A14" t="n">
        <v>17658</v>
      </c>
      <c r="B14" t="inlineStr">
        <is>
          <t>NORWAY SAVINGS BANK</t>
        </is>
      </c>
      <c r="C14" t="inlineStr">
        <is>
          <t>ME</t>
        </is>
      </c>
      <c r="D14" t="n">
        <v>2059300</v>
      </c>
      <c r="E14" t="n">
        <v>1592193</v>
      </c>
      <c r="F14" t="n">
        <v>1462787</v>
      </c>
      <c r="G14" s="9" t="n">
        <v>0.8592576795599747</v>
      </c>
      <c r="H14" s="9" t="n">
        <v>7.57</v>
      </c>
      <c r="I14" s="9" t="n">
        <v>3.240680348253473</v>
      </c>
      <c r="J14" s="9" t="n">
        <v>0.4937600155392609</v>
      </c>
      <c r="K14" s="9" t="n">
        <v>0.1273248191132909</v>
      </c>
      <c r="L14" s="9" t="n">
        <v>0.690352848520236</v>
      </c>
      <c r="M14" s="9" t="n"/>
      <c r="N14" s="9" t="b">
        <v>0</v>
      </c>
      <c r="O14" s="9" t="n">
        <v>11.59330840576895</v>
      </c>
      <c r="P14" s="9" t="n">
        <v>91.87246772219197</v>
      </c>
      <c r="Q14" s="9" t="n">
        <v>71.03321517020346</v>
      </c>
      <c r="R14" s="9" t="n">
        <v>7.665008271065066</v>
      </c>
      <c r="S14" s="9" t="n">
        <v>8.218878103237937</v>
      </c>
      <c r="T14" s="9" t="n">
        <v>5.867063841670794</v>
      </c>
      <c r="U14" s="9" t="n">
        <v>85.76649670371451</v>
      </c>
      <c r="V14" s="9" t="n">
        <v>7.321487979251394</v>
      </c>
      <c r="W14" s="9" t="n">
        <v>5.814362435245473</v>
      </c>
      <c r="X14" s="9" t="inlineStr">
        <is>
          <t>ME / Large</t>
        </is>
      </c>
      <c r="Y14" s="9" t="n">
        <v>0.8449470203191842</v>
      </c>
      <c r="Z14" s="9" t="n">
        <v>0.3011104389979071</v>
      </c>
      <c r="AA14" s="9" t="n">
        <v>0.3669203639288033</v>
      </c>
      <c r="AB14" s="9" t="n">
        <v>9.96047628954037</v>
      </c>
      <c r="AC14" s="9" t="n">
        <v>94.76930155611537</v>
      </c>
    </row>
    <row r="15">
      <c r="A15" t="n">
        <v>13063</v>
      </c>
      <c r="B15" t="inlineStr">
        <is>
          <t>KENNEBUNK SAVINGS BANK</t>
        </is>
      </c>
      <c r="C15" t="inlineStr">
        <is>
          <t>ME</t>
        </is>
      </c>
      <c r="D15" t="n">
        <v>1933479</v>
      </c>
      <c r="E15" t="n">
        <v>1642187</v>
      </c>
      <c r="F15" t="n">
        <v>1542396</v>
      </c>
      <c r="G15" s="9" t="n">
        <v>0.6210342326571815</v>
      </c>
      <c r="H15" s="9" t="n">
        <v>7.39</v>
      </c>
      <c r="I15" s="9" t="n">
        <v>3.405676729605635</v>
      </c>
      <c r="J15" s="9" t="n">
        <v>0.1170429055603914</v>
      </c>
      <c r="K15" s="9" t="n">
        <v>0.5759048844078473</v>
      </c>
      <c r="L15" s="9" t="n">
        <v>0.1568660648550752</v>
      </c>
      <c r="M15" s="9" t="n"/>
      <c r="N15" s="9" t="b">
        <v>0</v>
      </c>
      <c r="O15" s="9" t="n">
        <v>8.548373165676999</v>
      </c>
      <c r="P15" s="9" t="n">
        <v>93.92328644667141</v>
      </c>
      <c r="Q15" s="9" t="n">
        <v>79.7730929583409</v>
      </c>
      <c r="R15" s="9" t="n">
        <v>4.575575942650745</v>
      </c>
      <c r="S15" s="9" t="n">
        <v>6.073741522984655</v>
      </c>
      <c r="T15" s="9" t="n">
        <v>2.170661569914234</v>
      </c>
      <c r="U15" s="9" t="n">
        <v>94.59004471260033</v>
      </c>
      <c r="V15" s="9" t="n">
        <v>4.787236771560426</v>
      </c>
      <c r="W15" s="9" t="n">
        <v>0.05579455291247566</v>
      </c>
      <c r="X15" s="9" t="inlineStr">
        <is>
          <t>ME / Large</t>
        </is>
      </c>
      <c r="Y15" s="9" t="n">
        <v>0.8449470203191842</v>
      </c>
      <c r="Z15" s="9" t="n">
        <v>0.3011104389979071</v>
      </c>
      <c r="AA15" s="9" t="n">
        <v>0.3669203639288033</v>
      </c>
      <c r="AB15" s="9" t="n">
        <v>9.96047628954037</v>
      </c>
      <c r="AC15" s="9" t="n">
        <v>94.76930155611537</v>
      </c>
    </row>
    <row r="16">
      <c r="A16" t="n">
        <v>17897</v>
      </c>
      <c r="B16" t="inlineStr">
        <is>
          <t>KENNEBEC SAVINGS BANK</t>
        </is>
      </c>
      <c r="C16" t="inlineStr">
        <is>
          <t>ME</t>
        </is>
      </c>
      <c r="D16" t="n">
        <v>1790373</v>
      </c>
      <c r="E16" t="n">
        <v>1352989</v>
      </c>
      <c r="F16" t="n">
        <v>1484578</v>
      </c>
      <c r="G16" s="9" t="n">
        <v>0.973987306631968</v>
      </c>
      <c r="H16" s="9" t="n">
        <v>7.84</v>
      </c>
      <c r="I16" s="9" t="n">
        <v>2.75154108647398</v>
      </c>
      <c r="J16" s="9" t="n">
        <v>0.3011104389979071</v>
      </c>
      <c r="K16" s="9" t="n">
        <v>0.4723038160204606</v>
      </c>
      <c r="L16" s="9" t="n">
        <v>0.3609025576483426</v>
      </c>
      <c r="M16" s="9" t="n">
        <v>17.68189338022629</v>
      </c>
      <c r="N16" s="9" t="b">
        <v>1</v>
      </c>
      <c r="O16" s="9" t="n">
        <v>12.62306793053738</v>
      </c>
      <c r="P16" s="9" t="n">
        <v>109.7257996923848</v>
      </c>
      <c r="Q16" s="9" t="n">
        <v>82.92003956717399</v>
      </c>
      <c r="R16" s="9" t="n">
        <v>3.350395103020021</v>
      </c>
      <c r="S16" s="9" t="n">
        <v>3.729525063216133</v>
      </c>
      <c r="T16" s="9" t="n">
        <v>3.182752401325439</v>
      </c>
      <c r="U16" s="9" t="n">
        <v>93.30084250764014</v>
      </c>
      <c r="V16" s="9" t="n">
        <v>5.549035819126965</v>
      </c>
      <c r="W16" s="9" t="n">
        <v>0.1807525330459145</v>
      </c>
      <c r="X16" s="9" t="inlineStr">
        <is>
          <t>ME / Large</t>
        </is>
      </c>
      <c r="Y16" s="9" t="n">
        <v>0.8449470203191842</v>
      </c>
      <c r="Z16" s="9" t="n">
        <v>0.3011104389979071</v>
      </c>
      <c r="AA16" s="9" t="n">
        <v>0.3669203639288033</v>
      </c>
      <c r="AB16" s="9" t="n">
        <v>9.96047628954037</v>
      </c>
      <c r="AC16" s="9" t="n">
        <v>94.76930155611537</v>
      </c>
    </row>
    <row r="17">
      <c r="A17" t="n">
        <v>17751</v>
      </c>
      <c r="B17" t="inlineStr">
        <is>
          <t>ANDROSCOGGIN SAVINGS BANK</t>
        </is>
      </c>
      <c r="C17" t="inlineStr">
        <is>
          <t>ME</t>
        </is>
      </c>
      <c r="D17" t="n">
        <v>1763462</v>
      </c>
      <c r="E17" t="n">
        <v>1373195</v>
      </c>
      <c r="F17" t="n">
        <v>1443221</v>
      </c>
      <c r="G17" s="9" t="n">
        <v>0.4563455944797887</v>
      </c>
      <c r="H17" s="9" t="n">
        <v>4.95</v>
      </c>
      <c r="I17" s="9" t="n">
        <v>2.871575246161505</v>
      </c>
      <c r="J17" s="9" t="n">
        <v>0.1375135954162891</v>
      </c>
      <c r="K17" s="9" t="n">
        <v>0.3660413436751118</v>
      </c>
      <c r="L17" s="9" t="n">
        <v>0.1664541087738132</v>
      </c>
      <c r="M17" s="9" t="n">
        <v>13.92216150945957</v>
      </c>
      <c r="N17" s="9" t="b">
        <v>1</v>
      </c>
      <c r="O17" s="9" t="n">
        <v>9.950143524498968</v>
      </c>
      <c r="P17" s="9" t="n">
        <v>105.0994942451727</v>
      </c>
      <c r="Q17" s="9" t="n">
        <v>81.84020976919264</v>
      </c>
      <c r="R17" s="9" t="n">
        <v>8.276466752544721</v>
      </c>
      <c r="S17" s="9" t="n">
        <v>8.231293027162412</v>
      </c>
      <c r="T17" s="9" t="n">
        <v>4.436832294310333</v>
      </c>
      <c r="U17" s="9" t="n">
        <v>84.63034832495686</v>
      </c>
      <c r="V17" s="9" t="n">
        <v>10.2883740213528</v>
      </c>
      <c r="W17" s="9" t="n">
        <v>0.1547165200726495</v>
      </c>
      <c r="X17" s="9" t="inlineStr">
        <is>
          <t>ME / Large</t>
        </is>
      </c>
      <c r="Y17" s="9" t="n">
        <v>0.8449470203191842</v>
      </c>
      <c r="Z17" s="9" t="n">
        <v>0.3011104389979071</v>
      </c>
      <c r="AA17" s="9" t="n">
        <v>0.3669203639288033</v>
      </c>
      <c r="AB17" s="9" t="n">
        <v>9.96047628954037</v>
      </c>
      <c r="AC17" s="9" t="n">
        <v>94.76930155611537</v>
      </c>
    </row>
    <row r="18">
      <c r="A18" t="n">
        <v>24540</v>
      </c>
      <c r="B18" t="inlineStr">
        <is>
          <t>BANK OF NEW ENGLAND</t>
        </is>
      </c>
      <c r="C18" t="inlineStr">
        <is>
          <t>NH</t>
        </is>
      </c>
      <c r="D18" t="n">
        <v>1748522</v>
      </c>
      <c r="E18" t="n">
        <v>1440031</v>
      </c>
      <c r="F18" t="n">
        <v>1533999</v>
      </c>
      <c r="G18" s="9" t="n">
        <v>2.051768865952672</v>
      </c>
      <c r="H18" s="9" t="n">
        <v>12.25</v>
      </c>
      <c r="I18" s="9" t="n">
        <v>4.286497387218186</v>
      </c>
      <c r="J18" s="9" t="n">
        <v>0.6533518022649987</v>
      </c>
      <c r="K18" s="9" t="n">
        <v>0</v>
      </c>
      <c r="L18" s="9" t="n">
        <v>0.7372429668608512</v>
      </c>
      <c r="M18" s="9" t="n"/>
      <c r="N18" s="9" t="b">
        <v>0</v>
      </c>
      <c r="O18" s="9" t="n">
        <v>16.13082363275955</v>
      </c>
      <c r="P18" s="9" t="n">
        <v>106.5254150778699</v>
      </c>
      <c r="Q18" s="9" t="n">
        <v>87.731180963122</v>
      </c>
      <c r="R18" s="9" t="n">
        <v>20.50777346339876</v>
      </c>
      <c r="S18" s="9" t="n">
        <v>20.64852952626939</v>
      </c>
      <c r="T18" s="9" t="n">
        <v>23.33478077286419</v>
      </c>
      <c r="U18" s="9" t="n">
        <v>97.19255245208792</v>
      </c>
      <c r="V18" s="9" t="n">
        <v>3.061842836371944</v>
      </c>
      <c r="W18" s="9" t="n">
        <v>0.008131356252141741</v>
      </c>
      <c r="X18" s="9" t="inlineStr">
        <is>
          <t>NH / Large</t>
        </is>
      </c>
      <c r="Y18" s="9" t="n">
        <v>0.5634837623806016</v>
      </c>
      <c r="Z18" s="9" t="n">
        <v>0.1796983759852191</v>
      </c>
      <c r="AA18" s="9" t="n">
        <v>0.2119583566111096</v>
      </c>
      <c r="AB18" s="9" t="n">
        <v>10.29075886089227</v>
      </c>
      <c r="AC18" s="9" t="n">
        <v>99.11232500423694</v>
      </c>
    </row>
    <row r="19">
      <c r="A19" t="n">
        <v>17180</v>
      </c>
      <c r="B19" t="inlineStr">
        <is>
          <t>MEREDITH VILLAGE SAVINGS BANK</t>
        </is>
      </c>
      <c r="C19" t="inlineStr">
        <is>
          <t>NH</t>
        </is>
      </c>
      <c r="D19" t="n">
        <v>1609518</v>
      </c>
      <c r="E19" t="n">
        <v>1323945</v>
      </c>
      <c r="F19" t="n">
        <v>1380383</v>
      </c>
      <c r="G19" s="9" t="n">
        <v>0.3221254026567533</v>
      </c>
      <c r="H19" s="9" t="n">
        <v>3.54</v>
      </c>
      <c r="I19" s="9" t="n">
        <v>2.823011783406628</v>
      </c>
      <c r="J19" s="9" t="n">
        <v>0.3110247912729152</v>
      </c>
      <c r="K19" s="9" t="n">
        <v>0.2472168686526028</v>
      </c>
      <c r="L19" s="9" t="n">
        <v>0.3597857639314771</v>
      </c>
      <c r="M19" s="9" t="n">
        <v>16.11709264436645</v>
      </c>
      <c r="N19" s="9" t="b">
        <v>1</v>
      </c>
      <c r="O19" s="9" t="n">
        <v>9.16516621746386</v>
      </c>
      <c r="P19" s="9" t="n">
        <v>104.2628659045504</v>
      </c>
      <c r="Q19" s="9" t="n">
        <v>85.76375038986828</v>
      </c>
      <c r="R19" s="9" t="n">
        <v>-1.889228417243161</v>
      </c>
      <c r="S19" s="9" t="n">
        <v>-4.48729791348812</v>
      </c>
      <c r="T19" s="9" t="n">
        <v>11.28580794835585</v>
      </c>
      <c r="U19" s="9" t="n">
        <v>83.98214555973728</v>
      </c>
      <c r="V19" s="9" t="n">
        <v>2.975405314873512</v>
      </c>
      <c r="W19" s="9" t="n">
        <v>11.18412983273835</v>
      </c>
      <c r="X19" s="9" t="inlineStr">
        <is>
          <t>NH / Large</t>
        </is>
      </c>
      <c r="Y19" s="9" t="n">
        <v>0.5634837623806016</v>
      </c>
      <c r="Z19" s="9" t="n">
        <v>0.1796983759852191</v>
      </c>
      <c r="AA19" s="9" t="n">
        <v>0.2119583566111096</v>
      </c>
      <c r="AB19" s="9" t="n">
        <v>10.29075886089227</v>
      </c>
      <c r="AC19" s="9" t="n">
        <v>99.11232500423694</v>
      </c>
    </row>
    <row r="20">
      <c r="A20" t="n">
        <v>14140</v>
      </c>
      <c r="B20" t="inlineStr">
        <is>
          <t>NORTHFIELD SAVINGS BANK</t>
        </is>
      </c>
      <c r="C20" t="inlineStr">
        <is>
          <t>VT</t>
        </is>
      </c>
      <c r="D20" t="n">
        <v>1560737</v>
      </c>
      <c r="E20" t="n">
        <v>1280949</v>
      </c>
      <c r="F20" t="n">
        <v>1096220</v>
      </c>
      <c r="G20" s="9" t="n">
        <v>0.3192166634435524</v>
      </c>
      <c r="H20" s="9" t="n">
        <v>3.6</v>
      </c>
      <c r="I20" s="9" t="n">
        <v>2.580545685512823</v>
      </c>
      <c r="J20" s="9" t="n">
        <v>0.4764415785619229</v>
      </c>
      <c r="K20" s="9" t="n">
        <v>0.2936433236349237</v>
      </c>
      <c r="L20" s="9" t="n">
        <v>0.6728498393883183</v>
      </c>
      <c r="M20" s="9" t="n"/>
      <c r="N20" s="9" t="b">
        <v>0</v>
      </c>
      <c r="O20" s="9" t="n">
        <v>9.142411565817945</v>
      </c>
      <c r="P20" s="9" t="n">
        <v>85.57873888812124</v>
      </c>
      <c r="Q20" s="9" t="n">
        <v>70.23733018439366</v>
      </c>
      <c r="R20" s="9" t="n">
        <v>4.135426890416527</v>
      </c>
      <c r="S20" s="9" t="n">
        <v>2.649818994271125</v>
      </c>
      <c r="T20" s="9" t="n">
        <v>6.85287000217718</v>
      </c>
      <c r="U20" s="9" t="n">
        <v>88.403203185088</v>
      </c>
      <c r="V20" s="9" t="n">
        <v>8.599918563090982</v>
      </c>
      <c r="W20" s="9" t="n">
        <v>0.1548206125865267</v>
      </c>
      <c r="X20" s="9" t="inlineStr">
        <is>
          <t>VT / Large</t>
        </is>
      </c>
      <c r="Y20" s="9" t="n">
        <v>0.5120429644660853</v>
      </c>
      <c r="Z20" s="9" t="n">
        <v>0.7515527527377008</v>
      </c>
      <c r="AA20" s="9" t="n">
        <v>1.021441895870058</v>
      </c>
      <c r="AB20" s="9" t="n">
        <v>7.495295243060434</v>
      </c>
      <c r="AC20" s="9" t="n">
        <v>92.70314051935787</v>
      </c>
    </row>
    <row r="21">
      <c r="A21" t="n">
        <v>14158</v>
      </c>
      <c r="B21" t="inlineStr">
        <is>
          <t>UNION BANK</t>
        </is>
      </c>
      <c r="C21" t="inlineStr">
        <is>
          <t>VT</t>
        </is>
      </c>
      <c r="D21" t="n">
        <v>1479452</v>
      </c>
      <c r="E21" t="n">
        <v>1107517</v>
      </c>
      <c r="F21" t="n">
        <v>1105607</v>
      </c>
      <c r="G21" s="9" t="n">
        <v>0.7048692654886182</v>
      </c>
      <c r="H21" s="9" t="n">
        <v>12.54</v>
      </c>
      <c r="I21" s="9" t="n">
        <v>2.998673507124366</v>
      </c>
      <c r="J21" s="9" t="n">
        <v>1.026663926913479</v>
      </c>
      <c r="K21" s="9" t="n">
        <v>0.09287222566193429</v>
      </c>
      <c r="L21" s="9" t="n">
        <v>1.370033952351798</v>
      </c>
      <c r="M21" s="9" t="n">
        <v>12.62343324030092</v>
      </c>
      <c r="N21" s="9" t="b">
        <v>1</v>
      </c>
      <c r="O21" s="9" t="n">
        <v>5.848178920302924</v>
      </c>
      <c r="P21" s="9" t="n">
        <v>99.82754215059452</v>
      </c>
      <c r="Q21" s="9" t="n">
        <v>74.73084628632765</v>
      </c>
      <c r="R21" s="9" t="n">
        <v>5.83911789050322</v>
      </c>
      <c r="S21" s="9" t="n">
        <v>9.764795468061083</v>
      </c>
      <c r="T21" s="9" t="n">
        <v>4.774027413951809</v>
      </c>
      <c r="U21" s="9" t="n">
        <v>92.58515468878208</v>
      </c>
      <c r="V21" s="9" t="n">
        <v>3.074474331052487</v>
      </c>
      <c r="W21" s="9" t="n">
        <v>0.2120450950432439</v>
      </c>
      <c r="X21" s="9" t="inlineStr">
        <is>
          <t>VT / Large</t>
        </is>
      </c>
      <c r="Y21" s="9" t="n">
        <v>0.5120429644660853</v>
      </c>
      <c r="Z21" s="9" t="n">
        <v>0.7515527527377008</v>
      </c>
      <c r="AA21" s="9" t="n">
        <v>1.021441895870058</v>
      </c>
      <c r="AB21" s="9" t="n">
        <v>7.495295243060434</v>
      </c>
      <c r="AC21" s="9" t="n">
        <v>92.70314051935787</v>
      </c>
    </row>
    <row r="22">
      <c r="A22" t="n">
        <v>17749</v>
      </c>
      <c r="B22" t="inlineStr">
        <is>
          <t>BATH SAVINGS INSTITUTION</t>
        </is>
      </c>
      <c r="C22" t="inlineStr">
        <is>
          <t>ME</t>
        </is>
      </c>
      <c r="D22" t="n">
        <v>1447972</v>
      </c>
      <c r="E22" t="n">
        <v>1125192</v>
      </c>
      <c r="F22" t="n">
        <v>825064</v>
      </c>
      <c r="G22" s="9" t="n">
        <v>0.8854314719383518</v>
      </c>
      <c r="H22" s="9" t="n">
        <v>6.39</v>
      </c>
      <c r="I22" s="9" t="n">
        <v>2.696528774122303</v>
      </c>
      <c r="J22" s="9" t="n">
        <v>0.09019511427016544</v>
      </c>
      <c r="K22" s="9" t="n">
        <v>0.1501410248264469</v>
      </c>
      <c r="L22" s="9" t="n">
        <v>0.1638696161605062</v>
      </c>
      <c r="M22" s="9" t="n"/>
      <c r="N22" s="9" t="b">
        <v>0</v>
      </c>
      <c r="O22" s="9" t="n">
        <v>14.06090725511267</v>
      </c>
      <c r="P22" s="9" t="n">
        <v>73.32650783155231</v>
      </c>
      <c r="Q22" s="9" t="n">
        <v>56.98065984701361</v>
      </c>
      <c r="R22" s="9" t="n">
        <v>3.780462806742424</v>
      </c>
      <c r="S22" s="9" t="n">
        <v>1.79591071278753</v>
      </c>
      <c r="T22" s="9" t="n">
        <v>2.672777924283309</v>
      </c>
      <c r="U22" s="9" t="n">
        <v>90.68045305410205</v>
      </c>
      <c r="V22" s="9" t="n">
        <v>6.8460951375394</v>
      </c>
      <c r="W22" s="9" t="n">
        <v>1.287308107126776</v>
      </c>
      <c r="X22" s="9" t="inlineStr">
        <is>
          <t>ME / Medium</t>
        </is>
      </c>
      <c r="Y22" s="9" t="n">
        <v>0.8624863588885525</v>
      </c>
      <c r="Z22" s="9" t="n">
        <v>0.1652161153491558</v>
      </c>
      <c r="AA22" s="9" t="n">
        <v>0.227950962200253</v>
      </c>
      <c r="AB22" s="9" t="n">
        <v>11.16030719728158</v>
      </c>
      <c r="AC22" s="9" t="n">
        <v>98.23452677759748</v>
      </c>
    </row>
    <row r="23">
      <c r="A23" t="n">
        <v>17743</v>
      </c>
      <c r="B23" t="inlineStr">
        <is>
          <t>SACO &amp; BIDDEFORD SAVINGS INSTITUTION</t>
        </is>
      </c>
      <c r="C23" t="inlineStr">
        <is>
          <t>ME</t>
        </is>
      </c>
      <c r="D23" t="n">
        <v>1439697</v>
      </c>
      <c r="E23" t="n">
        <v>1017963</v>
      </c>
      <c r="F23" t="n">
        <v>1149086</v>
      </c>
      <c r="G23" s="9" t="n">
        <v>0.06741044417162979</v>
      </c>
      <c r="H23" s="9" t="n">
        <v>0.76</v>
      </c>
      <c r="I23" s="9" t="n">
        <v>2.070110876045204</v>
      </c>
      <c r="J23" s="9" t="n">
        <v>0.02826983733382788</v>
      </c>
      <c r="K23" s="9" t="n">
        <v>0.105369393698813</v>
      </c>
      <c r="L23" s="9" t="n">
        <v>0.0352716873212583</v>
      </c>
      <c r="M23" s="9" t="n"/>
      <c r="N23" s="9" t="b">
        <v>0</v>
      </c>
      <c r="O23" s="9" t="n">
        <v>8.794558855092426</v>
      </c>
      <c r="P23" s="9" t="n">
        <v>112.8809200334393</v>
      </c>
      <c r="Q23" s="9" t="n">
        <v>79.81443317586965</v>
      </c>
      <c r="R23" s="9" t="n">
        <v>2.512877330344643</v>
      </c>
      <c r="S23" s="9" t="n">
        <v>3.096892161902942</v>
      </c>
      <c r="T23" s="9" t="n">
        <v>3.806407270383705</v>
      </c>
      <c r="U23" s="9" t="n">
        <v>96.28061357136667</v>
      </c>
      <c r="V23" s="9" t="n">
        <v>1.943582632810469</v>
      </c>
      <c r="W23" s="9" t="n">
        <v>0.9077909697547447</v>
      </c>
      <c r="X23" s="9" t="inlineStr">
        <is>
          <t>ME / Medium</t>
        </is>
      </c>
      <c r="Y23" s="9" t="n">
        <v>0.8624863588885525</v>
      </c>
      <c r="Z23" s="9" t="n">
        <v>0.1652161153491558</v>
      </c>
      <c r="AA23" s="9" t="n">
        <v>0.227950962200253</v>
      </c>
      <c r="AB23" s="9" t="n">
        <v>11.16030719728158</v>
      </c>
      <c r="AC23" s="9" t="n">
        <v>98.23452677759748</v>
      </c>
    </row>
    <row r="24">
      <c r="A24" t="n">
        <v>17960</v>
      </c>
      <c r="B24" t="inlineStr">
        <is>
          <t>MERRIMACK COUNTY SAVINGS BANK</t>
        </is>
      </c>
      <c r="C24" t="inlineStr">
        <is>
          <t>NH</t>
        </is>
      </c>
      <c r="D24" t="n">
        <v>1351508</v>
      </c>
      <c r="E24" t="n">
        <v>1099933</v>
      </c>
      <c r="F24" t="n">
        <v>1133880</v>
      </c>
      <c r="G24" s="9" t="n">
        <v>0.2627821804713526</v>
      </c>
      <c r="H24" s="9" t="n">
        <v>3.02</v>
      </c>
      <c r="I24" s="9" t="n">
        <v>2.954187899121759</v>
      </c>
      <c r="J24" s="9" t="n">
        <v>0.5680321537127416</v>
      </c>
      <c r="K24" s="9" t="n">
        <v>0.3839414935020732</v>
      </c>
      <c r="L24" s="9" t="n">
        <v>0.6694939421132358</v>
      </c>
      <c r="M24" s="9" t="n">
        <v>13.79771295716439</v>
      </c>
      <c r="N24" s="9" t="b">
        <v>1</v>
      </c>
      <c r="O24" s="9" t="n">
        <v>8.828360616437344</v>
      </c>
      <c r="P24" s="9" t="n">
        <v>103.0862788915325</v>
      </c>
      <c r="Q24" s="9" t="n">
        <v>83.89739461401633</v>
      </c>
      <c r="R24" s="9" t="n">
        <v>-2.370120160252198</v>
      </c>
      <c r="S24" s="9" t="n">
        <v>-2.734279501267423</v>
      </c>
      <c r="T24" s="9" t="n">
        <v>5.035719094460567</v>
      </c>
      <c r="U24" s="9" t="n">
        <v>70.42915808760368</v>
      </c>
      <c r="V24" s="9" t="n">
        <v>10.40266437135853</v>
      </c>
      <c r="W24" s="9" t="n">
        <v>18.84271819598548</v>
      </c>
      <c r="X24" s="9" t="inlineStr">
        <is>
          <t>NH / Medium</t>
        </is>
      </c>
      <c r="Y24" s="9" t="n">
        <v>0.425956323893033</v>
      </c>
      <c r="Z24" s="9" t="n">
        <v>0.1742242429807733</v>
      </c>
      <c r="AA24" s="9" t="n">
        <v>0.233333056347274</v>
      </c>
      <c r="AB24" s="9" t="n">
        <v>7.807417046193884</v>
      </c>
      <c r="AC24" s="9" t="n">
        <v>92.18869394041991</v>
      </c>
    </row>
    <row r="25">
      <c r="A25" t="n">
        <v>6271</v>
      </c>
      <c r="B25" t="inlineStr">
        <is>
          <t>COMMUNITY NATIONAL BANK</t>
        </is>
      </c>
      <c r="C25" t="inlineStr">
        <is>
          <t>VT</t>
        </is>
      </c>
      <c r="D25" t="n">
        <v>1166044</v>
      </c>
      <c r="E25" t="n">
        <v>934460</v>
      </c>
      <c r="F25" t="n">
        <v>932778</v>
      </c>
      <c r="G25" s="9" t="n">
        <v>1.360375738688802</v>
      </c>
      <c r="H25" s="9" t="n">
        <v>14.26</v>
      </c>
      <c r="I25" s="9" t="n">
        <v>3.506310449812121</v>
      </c>
      <c r="J25" s="9" t="n">
        <v>0.7438827351283486</v>
      </c>
      <c r="K25" s="9" t="n">
        <v>0.1128602351197725</v>
      </c>
      <c r="L25" s="9" t="n">
        <v>0.9785567692255503</v>
      </c>
      <c r="M25" s="9" t="n">
        <v>14.84615806129019</v>
      </c>
      <c r="N25" s="9" t="b">
        <v>1</v>
      </c>
      <c r="O25" s="9" t="n">
        <v>10.13520930599531</v>
      </c>
      <c r="P25" s="9" t="n">
        <v>99.82000299638294</v>
      </c>
      <c r="Q25" s="9" t="n">
        <v>79.99509452473491</v>
      </c>
      <c r="R25" s="9" t="n">
        <v>6.014408687398398</v>
      </c>
      <c r="S25" s="9" t="n">
        <v>9.398680101003819</v>
      </c>
      <c r="T25" s="9" t="n">
        <v>9.923926328407241</v>
      </c>
      <c r="U25" s="9" t="n">
        <v>80.37893500457953</v>
      </c>
      <c r="V25" s="9" t="n">
        <v>13.39004036771939</v>
      </c>
      <c r="W25" s="9" t="n">
        <v>1.145306828589844</v>
      </c>
      <c r="X25" s="9" t="inlineStr">
        <is>
          <t>VT / Medium</t>
        </is>
      </c>
      <c r="Y25" s="9" t="n">
        <v>0.6856716005418124</v>
      </c>
      <c r="Z25" s="9" t="n">
        <v>0.2974954075131495</v>
      </c>
      <c r="AA25" s="9" t="n">
        <v>0.4001486604218348</v>
      </c>
      <c r="AB25" s="9" t="n">
        <v>10.25118006084467</v>
      </c>
      <c r="AC25" s="9" t="n">
        <v>94.35044102438732</v>
      </c>
    </row>
    <row r="26">
      <c r="A26" t="n">
        <v>12874</v>
      </c>
      <c r="B26" t="inlineStr">
        <is>
          <t>KATAHDIN TRUST COMPANY</t>
        </is>
      </c>
      <c r="C26" t="inlineStr">
        <is>
          <t>ME</t>
        </is>
      </c>
      <c r="D26" t="n">
        <v>1085692</v>
      </c>
      <c r="E26" t="n">
        <v>934861</v>
      </c>
      <c r="F26" t="n">
        <v>838439</v>
      </c>
      <c r="G26" s="9" t="n">
        <v>0.9386489732177956</v>
      </c>
      <c r="H26" s="9" t="n">
        <v>10.27</v>
      </c>
      <c r="I26" s="9" t="n">
        <v>3.802108805205299</v>
      </c>
      <c r="J26" s="9" t="n">
        <v>0.1282131580595602</v>
      </c>
      <c r="K26" s="9" t="n">
        <v>0.2662817815734112</v>
      </c>
      <c r="L26" s="9" t="n">
        <v>0.16439404496744</v>
      </c>
      <c r="M26" s="9" t="n">
        <v>14.30964458786415</v>
      </c>
      <c r="N26" s="9" t="b">
        <v>1</v>
      </c>
      <c r="O26" s="9" t="n">
        <v>9.261650633881432</v>
      </c>
      <c r="P26" s="9" t="n">
        <v>89.68595331284544</v>
      </c>
      <c r="Q26" s="9" t="n">
        <v>77.2262299068244</v>
      </c>
      <c r="R26" s="9" t="n">
        <v>4.710613878574521</v>
      </c>
      <c r="S26" s="9" t="n">
        <v>3.825283450643191</v>
      </c>
      <c r="T26" s="9" t="n">
        <v>8.434437866528089</v>
      </c>
      <c r="U26" s="9" t="n">
        <v>79.03916877080022</v>
      </c>
      <c r="V26" s="9" t="n">
        <v>18.51369832275558</v>
      </c>
      <c r="W26" s="9" t="n">
        <v>0.4935364324130259</v>
      </c>
      <c r="X26" s="9" t="inlineStr">
        <is>
          <t>ME / Medium</t>
        </is>
      </c>
      <c r="Y26" s="9" t="n">
        <v>0.8624863588885525</v>
      </c>
      <c r="Z26" s="9" t="n">
        <v>0.1652161153491558</v>
      </c>
      <c r="AA26" s="9" t="n">
        <v>0.227950962200253</v>
      </c>
      <c r="AB26" s="9" t="n">
        <v>11.16030719728158</v>
      </c>
      <c r="AC26" s="9" t="n">
        <v>98.23452677759748</v>
      </c>
    </row>
    <row r="27">
      <c r="A27" t="n">
        <v>17115</v>
      </c>
      <c r="B27" t="inlineStr">
        <is>
          <t>PARTNERS BANK OF NEW ENGLAND</t>
        </is>
      </c>
      <c r="C27" t="inlineStr">
        <is>
          <t>ME</t>
        </is>
      </c>
      <c r="D27" t="n">
        <v>1078591</v>
      </c>
      <c r="E27" t="n">
        <v>819065</v>
      </c>
      <c r="F27" t="n">
        <v>874623</v>
      </c>
      <c r="G27" s="9" t="n">
        <v>0.7133893342076404</v>
      </c>
      <c r="H27" s="9" t="n">
        <v>8</v>
      </c>
      <c r="I27" s="9" t="n">
        <v>2.966591377315547</v>
      </c>
      <c r="J27" s="9" t="n">
        <v>0.2309494516457118</v>
      </c>
      <c r="K27" s="9" t="n">
        <v>0.1128323896639226</v>
      </c>
      <c r="L27" s="9" t="n">
        <v>0.2915078794330659</v>
      </c>
      <c r="M27" s="9" t="n">
        <v>14.8169206277007</v>
      </c>
      <c r="N27" s="9" t="b">
        <v>1</v>
      </c>
      <c r="O27" s="9" t="n">
        <v>8.995161279854921</v>
      </c>
      <c r="P27" s="9" t="n">
        <v>106.7831002423495</v>
      </c>
      <c r="Q27" s="9" t="n">
        <v>81.08940274858588</v>
      </c>
      <c r="R27" s="9" t="n">
        <v>0.6708960120514806</v>
      </c>
      <c r="S27" s="9" t="n">
        <v>-1.148527608402039</v>
      </c>
      <c r="T27" s="9" t="n">
        <v>3.986994404953403</v>
      </c>
      <c r="U27" s="9" t="n">
        <v>94.8259050164497</v>
      </c>
      <c r="V27" s="9" t="n">
        <v>4.393343110663141</v>
      </c>
      <c r="W27" s="9" t="n">
        <v>0.6838090815916285</v>
      </c>
      <c r="X27" s="9" t="inlineStr">
        <is>
          <t>ME / Medium</t>
        </is>
      </c>
      <c r="Y27" s="9" t="n">
        <v>0.8624863588885525</v>
      </c>
      <c r="Z27" s="9" t="n">
        <v>0.1652161153491558</v>
      </c>
      <c r="AA27" s="9" t="n">
        <v>0.227950962200253</v>
      </c>
      <c r="AB27" s="9" t="n">
        <v>11.16030719728158</v>
      </c>
      <c r="AC27" s="9" t="n">
        <v>98.23452677759748</v>
      </c>
    </row>
    <row r="28">
      <c r="A28" t="n">
        <v>33418</v>
      </c>
      <c r="B28" t="inlineStr">
        <is>
          <t>LEDYARD NATIONAL BANK</t>
        </is>
      </c>
      <c r="C28" t="inlineStr">
        <is>
          <t>VT</t>
        </is>
      </c>
      <c r="D28" t="n">
        <v>993609</v>
      </c>
      <c r="E28" t="n">
        <v>817518</v>
      </c>
      <c r="F28" t="n">
        <v>624935</v>
      </c>
      <c r="G28" s="9" t="n">
        <v>0.6188193023651849</v>
      </c>
      <c r="H28" s="9" t="n">
        <v>8.6</v>
      </c>
      <c r="I28" s="9" t="n">
        <v>2.58498658033812</v>
      </c>
      <c r="J28" s="9" t="n">
        <v>0.1198660640151206</v>
      </c>
      <c r="K28" s="9" t="n">
        <v>0.05837306224078083</v>
      </c>
      <c r="L28" s="9" t="n">
        <v>0.1892413661605929</v>
      </c>
      <c r="M28" s="9" t="n">
        <v>12.42610390755167</v>
      </c>
      <c r="N28" s="9" t="b">
        <v>1</v>
      </c>
      <c r="O28" s="9" t="n">
        <v>7.039489376605888</v>
      </c>
      <c r="P28" s="9" t="n">
        <v>76.44296517018586</v>
      </c>
      <c r="Q28" s="9" t="n">
        <v>62.89546491627994</v>
      </c>
      <c r="R28" s="9" t="n">
        <v>9.526612543196823</v>
      </c>
      <c r="S28" s="9" t="n">
        <v>26.84682819499502</v>
      </c>
      <c r="T28" s="9" t="n">
        <v>2.494286147716407</v>
      </c>
      <c r="U28" s="9" t="n">
        <v>83.89668787886009</v>
      </c>
      <c r="V28" s="9" t="n">
        <v>13.34445583176426</v>
      </c>
      <c r="W28" s="9" t="n">
        <v>2.715001866990808</v>
      </c>
      <c r="X28" s="9" t="inlineStr">
        <is>
          <t>VT / Medium</t>
        </is>
      </c>
      <c r="Y28" s="9" t="n">
        <v>0.6856716005418124</v>
      </c>
      <c r="Z28" s="9" t="n">
        <v>0.2974954075131495</v>
      </c>
      <c r="AA28" s="9" t="n">
        <v>0.4001486604218348</v>
      </c>
      <c r="AB28" s="9" t="n">
        <v>10.25118006084467</v>
      </c>
      <c r="AC28" s="9" t="n">
        <v>94.35044102438732</v>
      </c>
    </row>
    <row r="29">
      <c r="A29" t="n">
        <v>17951</v>
      </c>
      <c r="B29" t="inlineStr">
        <is>
          <t>FRANKLIN SAVINGS BANK</t>
        </is>
      </c>
      <c r="C29" t="inlineStr">
        <is>
          <t>NH</t>
        </is>
      </c>
      <c r="D29" t="n">
        <v>905293</v>
      </c>
      <c r="E29" t="n">
        <v>747263</v>
      </c>
      <c r="F29" t="n">
        <v>688892</v>
      </c>
      <c r="G29" s="9" t="n">
        <v>0.6473651641845456</v>
      </c>
      <c r="H29" s="9" t="n">
        <v>8.15</v>
      </c>
      <c r="I29" s="9" t="n">
        <v>2.798257752306031</v>
      </c>
      <c r="J29" s="9" t="n">
        <v>0.01656922123555578</v>
      </c>
      <c r="K29" s="9" t="n">
        <v>0.1635934443323874</v>
      </c>
      <c r="L29" s="9" t="n">
        <v>0.0215937637210373</v>
      </c>
      <c r="M29" s="9" t="n">
        <v>13.09426082162888</v>
      </c>
      <c r="N29" s="9" t="b">
        <v>1</v>
      </c>
      <c r="O29" s="9" t="n">
        <v>7.807417046193884</v>
      </c>
      <c r="P29" s="9" t="n">
        <v>92.18869394041991</v>
      </c>
      <c r="Q29" s="9" t="n">
        <v>76.09602636936329</v>
      </c>
      <c r="R29" s="9" t="n">
        <v>11.70058139534884</v>
      </c>
      <c r="S29" s="9" t="n">
        <v>16.55945125562162</v>
      </c>
      <c r="T29" s="9" t="n">
        <v>12.27920185112841</v>
      </c>
      <c r="U29" s="9" t="n">
        <v>91.68640096740062</v>
      </c>
      <c r="V29" s="9" t="n">
        <v>5.68131923500493</v>
      </c>
      <c r="W29" s="9" t="n">
        <v>0.2130584687142353</v>
      </c>
      <c r="X29" s="9" t="inlineStr">
        <is>
          <t>NH / Medium</t>
        </is>
      </c>
      <c r="Y29" s="9" t="n">
        <v>0.425956323893033</v>
      </c>
      <c r="Z29" s="9" t="n">
        <v>0.1742242429807733</v>
      </c>
      <c r="AA29" s="9" t="n">
        <v>0.233333056347274</v>
      </c>
      <c r="AB29" s="9" t="n">
        <v>7.807417046193884</v>
      </c>
      <c r="AC29" s="9" t="n">
        <v>92.18869394041991</v>
      </c>
    </row>
    <row r="30">
      <c r="A30" t="n">
        <v>14134</v>
      </c>
      <c r="B30" t="inlineStr">
        <is>
          <t>PASSUMPSIC SAVINGS BANK</t>
        </is>
      </c>
      <c r="C30" t="inlineStr">
        <is>
          <t>VT</t>
        </is>
      </c>
      <c r="D30" t="n">
        <v>882477</v>
      </c>
      <c r="E30" t="n">
        <v>701612</v>
      </c>
      <c r="F30" t="n">
        <v>627833</v>
      </c>
      <c r="G30" s="9" t="n">
        <v>0.6101952993951889</v>
      </c>
      <c r="H30" s="9" t="n">
        <v>4.75</v>
      </c>
      <c r="I30" s="9" t="n">
        <v>3.109298481587633</v>
      </c>
      <c r="J30" s="9" t="n">
        <v>0.3074301086600557</v>
      </c>
      <c r="K30" s="9" t="n">
        <v>0.6017153988149266</v>
      </c>
      <c r="L30" s="9" t="n">
        <v>0.4272743737745195</v>
      </c>
      <c r="M30" s="9" t="n">
        <v>20.60173425288636</v>
      </c>
      <c r="N30" s="9" t="b">
        <v>1</v>
      </c>
      <c r="O30" s="9" t="n">
        <v>13.15785000628912</v>
      </c>
      <c r="P30" s="9" t="n">
        <v>89.48435887641602</v>
      </c>
      <c r="Q30" s="9" t="n">
        <v>71.14440376349752</v>
      </c>
      <c r="R30" s="9" t="n">
        <v>4.683042328638587</v>
      </c>
      <c r="S30" s="9" t="n">
        <v>0.9751194171478295</v>
      </c>
      <c r="T30" s="9" t="n">
        <v>5.984966585698914</v>
      </c>
      <c r="U30" s="9" t="n">
        <v>89.20994401178037</v>
      </c>
      <c r="V30" s="9" t="n">
        <v>4.252584828846138</v>
      </c>
      <c r="W30" s="9" t="n">
        <v>3.327637391626178</v>
      </c>
      <c r="X30" s="9" t="inlineStr">
        <is>
          <t>VT / Medium</t>
        </is>
      </c>
      <c r="Y30" s="9" t="n">
        <v>0.6856716005418124</v>
      </c>
      <c r="Z30" s="9" t="n">
        <v>0.2974954075131495</v>
      </c>
      <c r="AA30" s="9" t="n">
        <v>0.4001486604218348</v>
      </c>
      <c r="AB30" s="9" t="n">
        <v>10.25118006084467</v>
      </c>
      <c r="AC30" s="9" t="n">
        <v>94.35044102438732</v>
      </c>
    </row>
    <row r="31">
      <c r="A31" t="n">
        <v>19532</v>
      </c>
      <c r="B31" t="inlineStr">
        <is>
          <t>SKOWHEGAN SAVINGS BANK</t>
        </is>
      </c>
      <c r="C31" t="inlineStr">
        <is>
          <t>ME</t>
        </is>
      </c>
      <c r="D31" t="n">
        <v>843145</v>
      </c>
      <c r="E31" t="n">
        <v>706708</v>
      </c>
      <c r="F31" t="n">
        <v>611568</v>
      </c>
      <c r="G31" s="9" t="n">
        <v>0.98381360720577</v>
      </c>
      <c r="H31" s="9" t="n">
        <v>7.78</v>
      </c>
      <c r="I31" s="9" t="n">
        <v>3.615556108535241</v>
      </c>
      <c r="J31" s="9" t="n">
        <v>0.2022190726387514</v>
      </c>
      <c r="K31" s="9" t="n">
        <v>0.1193151830349465</v>
      </c>
      <c r="L31" s="9" t="n">
        <v>0.3066367261429665</v>
      </c>
      <c r="M31" s="9" t="n">
        <v>21.87055482390716</v>
      </c>
      <c r="N31" s="9" t="b">
        <v>1</v>
      </c>
      <c r="O31" s="9" t="n">
        <v>13.05896376068173</v>
      </c>
      <c r="P31" s="9" t="n">
        <v>86.53757987740339</v>
      </c>
      <c r="Q31" s="9" t="n">
        <v>72.5341430003143</v>
      </c>
      <c r="R31" s="9" t="n">
        <v>-4.283675737530357</v>
      </c>
      <c r="S31" s="9" t="n">
        <v>3.578348350382776</v>
      </c>
      <c r="T31" s="9" t="n">
        <v>-0.3891642904763959</v>
      </c>
      <c r="U31" s="9" t="n">
        <v>82.78819238135637</v>
      </c>
      <c r="V31" s="9" t="n">
        <v>8.450318860101445</v>
      </c>
      <c r="W31" s="9" t="n">
        <v>7.993763650110335</v>
      </c>
      <c r="X31" s="9" t="inlineStr">
        <is>
          <t>ME / Medium</t>
        </is>
      </c>
      <c r="Y31" s="9" t="n">
        <v>0.8624863588885525</v>
      </c>
      <c r="Z31" s="9" t="n">
        <v>0.1652161153491558</v>
      </c>
      <c r="AA31" s="9" t="n">
        <v>0.227950962200253</v>
      </c>
      <c r="AB31" s="9" t="n">
        <v>11.16030719728158</v>
      </c>
      <c r="AC31" s="9" t="n">
        <v>98.23452677759748</v>
      </c>
    </row>
    <row r="32">
      <c r="A32" t="n">
        <v>18030</v>
      </c>
      <c r="B32" t="inlineStr">
        <is>
          <t>SAVINGS BANK OF WALPOLE</t>
        </is>
      </c>
      <c r="C32" t="inlineStr">
        <is>
          <t>NH</t>
        </is>
      </c>
      <c r="D32" t="n">
        <v>805858</v>
      </c>
      <c r="E32" t="n">
        <v>738321</v>
      </c>
      <c r="F32" t="n">
        <v>595703</v>
      </c>
      <c r="G32" s="9" t="n">
        <v>0.7183799588346895</v>
      </c>
      <c r="H32" s="9" t="n">
        <v>10.16</v>
      </c>
      <c r="I32" s="9" t="n">
        <v>3.709384166025054</v>
      </c>
      <c r="J32" s="9" t="n">
        <v>0.1742242429807733</v>
      </c>
      <c r="K32" s="9" t="n">
        <v>0.1424568596452477</v>
      </c>
      <c r="L32" s="9" t="n">
        <v>0.233333056347274</v>
      </c>
      <c r="M32" s="9" t="n">
        <v>14.14166814773359</v>
      </c>
      <c r="N32" s="9" t="b">
        <v>1</v>
      </c>
      <c r="O32" s="9" t="n">
        <v>7.255620717297588</v>
      </c>
      <c r="P32" s="9" t="n">
        <v>80.68346965615227</v>
      </c>
      <c r="Q32" s="9" t="n">
        <v>73.9215841996977</v>
      </c>
      <c r="R32" s="9" t="n">
        <v>5.354273679146249</v>
      </c>
      <c r="S32" s="9" t="n">
        <v>1.449095188302341</v>
      </c>
      <c r="T32" s="9" t="n">
        <v>8.132004288250073</v>
      </c>
      <c r="U32" s="9" t="n">
        <v>77.06223045794106</v>
      </c>
      <c r="V32" s="9" t="n">
        <v>6.929027862027704</v>
      </c>
      <c r="W32" s="9" t="n">
        <v>15.96204183043467</v>
      </c>
      <c r="X32" s="9" t="inlineStr">
        <is>
          <t>NH / Medium</t>
        </is>
      </c>
      <c r="Y32" s="9" t="n">
        <v>0.425956323893033</v>
      </c>
      <c r="Z32" s="9" t="n">
        <v>0.1742242429807733</v>
      </c>
      <c r="AA32" s="9" t="n">
        <v>0.233333056347274</v>
      </c>
      <c r="AB32" s="9" t="n">
        <v>7.807417046193884</v>
      </c>
      <c r="AC32" s="9" t="n">
        <v>92.18869394041991</v>
      </c>
    </row>
    <row r="33">
      <c r="A33" t="n">
        <v>19836</v>
      </c>
      <c r="B33" t="inlineStr">
        <is>
          <t>FRANKLIN SAVINGS BANK</t>
        </is>
      </c>
      <c r="C33" t="inlineStr">
        <is>
          <t>ME</t>
        </is>
      </c>
      <c r="D33" t="n">
        <v>755186</v>
      </c>
      <c r="E33" t="n">
        <v>587526</v>
      </c>
      <c r="F33" t="n">
        <v>638618</v>
      </c>
      <c r="G33" s="9" t="n">
        <v>0.8395412458387532</v>
      </c>
      <c r="H33" s="9" t="n">
        <v>4.82</v>
      </c>
      <c r="I33" s="9" t="n">
        <v>3.964578032399982</v>
      </c>
      <c r="J33" s="9" t="n">
        <v>1.096551048351002</v>
      </c>
      <c r="K33" s="9" t="n">
        <v>0.694266048364244</v>
      </c>
      <c r="L33" s="9" t="n">
        <v>1.309480126128031</v>
      </c>
      <c r="M33" s="9" t="n">
        <v>23.05485163745294</v>
      </c>
      <c r="N33" s="9" t="b">
        <v>1</v>
      </c>
      <c r="O33" s="9" t="n">
        <v>17.27587640660711</v>
      </c>
      <c r="P33" s="9" t="n">
        <v>108.6961257884757</v>
      </c>
      <c r="Q33" s="9" t="n">
        <v>84.56433249557062</v>
      </c>
      <c r="R33" s="9" t="n">
        <v>8.874315017639066</v>
      </c>
      <c r="S33" s="9" t="n">
        <v>10.37964619359968</v>
      </c>
      <c r="T33" s="9" t="n">
        <v>18.78739109952832</v>
      </c>
      <c r="U33" s="9" t="n">
        <v>91.34502360236085</v>
      </c>
      <c r="V33" s="9" t="n">
        <v>6.780314573758154</v>
      </c>
      <c r="W33" s="9" t="n">
        <v>1.622001505078084</v>
      </c>
      <c r="X33" s="9" t="inlineStr">
        <is>
          <t>ME / Medium</t>
        </is>
      </c>
      <c r="Y33" s="9" t="n">
        <v>0.8624863588885525</v>
      </c>
      <c r="Z33" s="9" t="n">
        <v>0.1652161153491558</v>
      </c>
      <c r="AA33" s="9" t="n">
        <v>0.227950962200253</v>
      </c>
      <c r="AB33" s="9" t="n">
        <v>11.16030719728158</v>
      </c>
      <c r="AC33" s="9" t="n">
        <v>98.23452677759748</v>
      </c>
    </row>
    <row r="34">
      <c r="A34" t="n">
        <v>59086</v>
      </c>
      <c r="B34" t="inlineStr">
        <is>
          <t>PRIMARY BANK</t>
        </is>
      </c>
      <c r="C34" t="inlineStr">
        <is>
          <t>NH</t>
        </is>
      </c>
      <c r="D34" t="n">
        <v>724753</v>
      </c>
      <c r="E34" t="n">
        <v>612986</v>
      </c>
      <c r="F34" t="n">
        <v>613079</v>
      </c>
      <c r="G34" s="9" t="n">
        <v>1.556917955150222</v>
      </c>
      <c r="H34" s="9" t="n">
        <v>10.77</v>
      </c>
      <c r="I34" s="9" t="n">
        <v>3.907462083607311</v>
      </c>
      <c r="J34" s="9" t="n">
        <v>0.8275922969618614</v>
      </c>
      <c r="K34" s="9" t="n">
        <v>1.486575426386645</v>
      </c>
      <c r="L34" s="9" t="n">
        <v>2.229031356656324</v>
      </c>
      <c r="M34" s="9" t="n">
        <v>16.78059006580041</v>
      </c>
      <c r="N34" s="9" t="b">
        <v>1</v>
      </c>
      <c r="O34" s="9" t="n">
        <v>14.60014653268079</v>
      </c>
      <c r="P34" s="9" t="n">
        <v>100.0151716352412</v>
      </c>
      <c r="Q34" s="9" t="n">
        <v>84.59144011821958</v>
      </c>
      <c r="R34" s="9" t="n">
        <v>2.557451746193462</v>
      </c>
      <c r="S34" s="9" t="n">
        <v>4.126831538381848</v>
      </c>
      <c r="T34" s="9" t="n">
        <v>1.820857640226969</v>
      </c>
      <c r="U34" s="9" t="n">
        <v>80.00898073503116</v>
      </c>
      <c r="V34" s="9" t="n">
        <v>20.05110619719174</v>
      </c>
      <c r="W34" s="9" t="n">
        <v>0</v>
      </c>
      <c r="X34" s="9" t="inlineStr">
        <is>
          <t>NH / Medium</t>
        </is>
      </c>
      <c r="Y34" s="9" t="n">
        <v>0.425956323893033</v>
      </c>
      <c r="Z34" s="9" t="n">
        <v>0.1742242429807733</v>
      </c>
      <c r="AA34" s="9" t="n">
        <v>0.233333056347274</v>
      </c>
      <c r="AB34" s="9" t="n">
        <v>7.807417046193884</v>
      </c>
      <c r="AC34" s="9" t="n">
        <v>92.18869394041991</v>
      </c>
    </row>
    <row r="35">
      <c r="A35" t="n">
        <v>18031</v>
      </c>
      <c r="B35" t="inlineStr">
        <is>
          <t>WOODSVILLE GUARANTY SAVINGS BANK</t>
        </is>
      </c>
      <c r="C35" t="inlineStr">
        <is>
          <t>NH</t>
        </is>
      </c>
      <c r="D35" t="n">
        <v>669249</v>
      </c>
      <c r="E35" t="n">
        <v>526372</v>
      </c>
      <c r="F35" t="n">
        <v>448706</v>
      </c>
      <c r="G35" s="9" t="n">
        <v>0.1930089842505065</v>
      </c>
      <c r="H35" s="9" t="n">
        <v>3.27</v>
      </c>
      <c r="I35" s="9" t="n">
        <v>2.765732029741244</v>
      </c>
      <c r="J35" s="9" t="n">
        <v>0.08397472390694645</v>
      </c>
      <c r="K35" s="9" t="n">
        <v>0.09831916073090882</v>
      </c>
      <c r="L35" s="9" t="n">
        <v>0.1250925485949189</v>
      </c>
      <c r="M35" s="9" t="n">
        <v>16.95483758094983</v>
      </c>
      <c r="N35" s="9" t="b">
        <v>1</v>
      </c>
      <c r="O35" s="9" t="n">
        <v>6.089362852988947</v>
      </c>
      <c r="P35" s="9" t="n">
        <v>85.24503583017334</v>
      </c>
      <c r="Q35" s="9" t="n">
        <v>67.046196557634</v>
      </c>
      <c r="R35" s="9" t="n">
        <v>-0.1068712544685213</v>
      </c>
      <c r="S35" s="9" t="n">
        <v>-4.351347952225337</v>
      </c>
      <c r="T35" s="9" t="n">
        <v>1.034584688146611</v>
      </c>
      <c r="U35" s="9" t="n">
        <v>91.99208778579559</v>
      </c>
      <c r="V35" s="9" t="n">
        <v>4.982926856220923</v>
      </c>
      <c r="W35" s="9" t="n">
        <v>1.591725326820859</v>
      </c>
      <c r="X35" s="9" t="inlineStr">
        <is>
          <t>NH / Medium</t>
        </is>
      </c>
      <c r="Y35" s="9" t="n">
        <v>0.425956323893033</v>
      </c>
      <c r="Z35" s="9" t="n">
        <v>0.1742242429807733</v>
      </c>
      <c r="AA35" s="9" t="n">
        <v>0.233333056347274</v>
      </c>
      <c r="AB35" s="9" t="n">
        <v>7.807417046193884</v>
      </c>
      <c r="AC35" s="9" t="n">
        <v>92.18869394041991</v>
      </c>
    </row>
    <row r="36">
      <c r="A36" t="n">
        <v>30350</v>
      </c>
      <c r="B36" t="inlineStr">
        <is>
          <t>THE BANK OF BENNINGTON</t>
        </is>
      </c>
      <c r="C36" t="inlineStr">
        <is>
          <t>VT</t>
        </is>
      </c>
      <c r="D36" t="n">
        <v>621434</v>
      </c>
      <c r="E36" t="n">
        <v>477487</v>
      </c>
      <c r="F36" t="n">
        <v>473746</v>
      </c>
      <c r="G36" s="9" t="n">
        <v>0.7525238987184399</v>
      </c>
      <c r="H36" s="9" t="n">
        <v>7.3</v>
      </c>
      <c r="I36" s="9" t="n">
        <v>2.756266451823504</v>
      </c>
      <c r="J36" s="9" t="n">
        <v>0.2875607063662432</v>
      </c>
      <c r="K36" s="9" t="n">
        <v>0.2500667810258209</v>
      </c>
      <c r="L36" s="9" t="n">
        <v>0.3730229470691502</v>
      </c>
      <c r="M36" s="9" t="n">
        <v>20.01403114149068</v>
      </c>
      <c r="N36" s="9" t="b">
        <v>1</v>
      </c>
      <c r="O36" s="9" t="n">
        <v>10.36715081569402</v>
      </c>
      <c r="P36" s="9" t="n">
        <v>99.21652317235862</v>
      </c>
      <c r="Q36" s="9" t="n">
        <v>76.23432255074553</v>
      </c>
      <c r="R36" s="9" t="n">
        <v>10.02979884452015</v>
      </c>
      <c r="S36" s="9" t="n">
        <v>15.33766527813958</v>
      </c>
      <c r="T36" s="9" t="n">
        <v>7.553744548960251</v>
      </c>
      <c r="U36" s="9" t="n">
        <v>96.24117279917505</v>
      </c>
      <c r="V36" s="9" t="n">
        <v>3.193969845050401</v>
      </c>
      <c r="W36" s="9" t="n">
        <v>0.3264733571439009</v>
      </c>
      <c r="X36" s="9" t="inlineStr">
        <is>
          <t>VT / Medium</t>
        </is>
      </c>
      <c r="Y36" s="9" t="n">
        <v>0.6856716005418124</v>
      </c>
      <c r="Z36" s="9" t="n">
        <v>0.2974954075131495</v>
      </c>
      <c r="AA36" s="9" t="n">
        <v>0.4001486604218348</v>
      </c>
      <c r="AB36" s="9" t="n">
        <v>10.25118006084467</v>
      </c>
      <c r="AC36" s="9" t="n">
        <v>94.35044102438732</v>
      </c>
    </row>
    <row r="37">
      <c r="A37" t="n">
        <v>29744</v>
      </c>
      <c r="B37" t="inlineStr">
        <is>
          <t>FIRST SEACOAST BANK</t>
        </is>
      </c>
      <c r="C37" t="inlineStr">
        <is>
          <t>NH</t>
        </is>
      </c>
      <c r="D37" t="n">
        <v>605109</v>
      </c>
      <c r="E37" t="n">
        <v>489906</v>
      </c>
      <c r="F37" t="n">
        <v>436212</v>
      </c>
      <c r="G37" s="9" t="n">
        <v>-0.3855221751140882</v>
      </c>
      <c r="H37" s="9" t="n">
        <v>-5.11</v>
      </c>
      <c r="I37" s="9" t="n">
        <v>2.325611144512812</v>
      </c>
      <c r="J37" s="9" t="n">
        <v>0.002313632750463139</v>
      </c>
      <c r="K37" s="9" t="n">
        <v>0.03305189643518771</v>
      </c>
      <c r="L37" s="9" t="n">
        <v>0.0031837791003095</v>
      </c>
      <c r="M37" s="9" t="n">
        <v>15.23056200701747</v>
      </c>
      <c r="N37" s="9" t="b">
        <v>1</v>
      </c>
      <c r="O37" s="9" t="n">
        <v>7.362970968866767</v>
      </c>
      <c r="P37" s="9" t="n">
        <v>89.03993827387295</v>
      </c>
      <c r="Q37" s="9" t="n">
        <v>72.0881692389305</v>
      </c>
      <c r="R37" s="9" t="n">
        <v>0.51343979748113</v>
      </c>
      <c r="S37" s="9" t="n">
        <v>1.10817256988951</v>
      </c>
      <c r="T37" s="9" t="n">
        <v>3.961038961038965</v>
      </c>
      <c r="U37" s="9" t="n">
        <v>91.43199561548136</v>
      </c>
      <c r="V37" s="9" t="n">
        <v>5.663033368279099</v>
      </c>
      <c r="W37" s="9" t="n">
        <v>2.904971016239548</v>
      </c>
      <c r="X37" s="9" t="inlineStr">
        <is>
          <t>NH / Medium</t>
        </is>
      </c>
      <c r="Y37" s="9" t="n">
        <v>0.425956323893033</v>
      </c>
      <c r="Z37" s="9" t="n">
        <v>0.1742242429807733</v>
      </c>
      <c r="AA37" s="9" t="n">
        <v>0.233333056347274</v>
      </c>
      <c r="AB37" s="9" t="n">
        <v>7.807417046193884</v>
      </c>
      <c r="AC37" s="9" t="n">
        <v>92.18869394041991</v>
      </c>
    </row>
    <row r="38">
      <c r="A38" t="n">
        <v>18038</v>
      </c>
      <c r="B38" t="inlineStr">
        <is>
          <t>CLAREMONT SAVINGS BANK</t>
        </is>
      </c>
      <c r="C38" t="inlineStr">
        <is>
          <t>NH</t>
        </is>
      </c>
      <c r="D38" t="n">
        <v>597834</v>
      </c>
      <c r="E38" t="n">
        <v>447963</v>
      </c>
      <c r="F38" t="n">
        <v>454589</v>
      </c>
      <c r="G38" s="9" t="n">
        <v>0.425956323893033</v>
      </c>
      <c r="H38" s="9" t="n">
        <v>3.58</v>
      </c>
      <c r="I38" s="9" t="n">
        <v>2.89442109724558</v>
      </c>
      <c r="J38" s="9" t="n">
        <v>0.3669915060033387</v>
      </c>
      <c r="K38" s="9" t="n">
        <v>0.1589069875584192</v>
      </c>
      <c r="L38" s="9" t="n">
        <v>0.478485595271847</v>
      </c>
      <c r="M38" s="9" t="n"/>
      <c r="N38" s="9" t="b">
        <v>0</v>
      </c>
      <c r="O38" s="9" t="n">
        <v>11.62111890591703</v>
      </c>
      <c r="P38" s="9" t="n">
        <v>101.4791400182604</v>
      </c>
      <c r="Q38" s="9" t="n">
        <v>76.03933533388867</v>
      </c>
      <c r="R38" s="9" t="n">
        <v>13.18433533070174</v>
      </c>
      <c r="S38" s="9" t="n">
        <v>9.822410015195771</v>
      </c>
      <c r="T38" s="9" t="n">
        <v>10.08652827712642</v>
      </c>
      <c r="U38" s="9" t="n">
        <v>91.70545002508015</v>
      </c>
      <c r="V38" s="9" t="n">
        <v>6.673063921662704</v>
      </c>
      <c r="W38" s="9" t="n">
        <v>1.060126927354808</v>
      </c>
      <c r="X38" s="9" t="inlineStr">
        <is>
          <t>NH / Medium</t>
        </is>
      </c>
      <c r="Y38" s="9" t="n">
        <v>0.425956323893033</v>
      </c>
      <c r="Z38" s="9" t="n">
        <v>0.1742242429807733</v>
      </c>
      <c r="AA38" s="9" t="n">
        <v>0.233333056347274</v>
      </c>
      <c r="AB38" s="9" t="n">
        <v>7.807417046193884</v>
      </c>
      <c r="AC38" s="9" t="n">
        <v>92.18869394041991</v>
      </c>
    </row>
    <row r="39">
      <c r="A39" t="n">
        <v>27824</v>
      </c>
      <c r="B39" t="inlineStr">
        <is>
          <t>SALEM CO-OPERATIVE BANK</t>
        </is>
      </c>
      <c r="C39" t="inlineStr">
        <is>
          <t>NH</t>
        </is>
      </c>
      <c r="D39" t="n">
        <v>571650</v>
      </c>
      <c r="E39" t="n">
        <v>388196</v>
      </c>
      <c r="F39" t="n">
        <v>468470</v>
      </c>
      <c r="G39" s="9" t="n">
        <v>-0.3059045885688285</v>
      </c>
      <c r="H39" s="9" t="n">
        <v>-2.81</v>
      </c>
      <c r="I39" s="9" t="n">
        <v>1.915056440131239</v>
      </c>
      <c r="J39" s="9" t="n">
        <v>0.3575614449400857</v>
      </c>
      <c r="K39" s="9" t="n">
        <v>0.2951106446252077</v>
      </c>
      <c r="L39" s="9" t="n">
        <v>0.4335744437138069</v>
      </c>
      <c r="M39" s="9" t="n">
        <v>18.95901440034583</v>
      </c>
      <c r="N39" s="9" t="b">
        <v>1</v>
      </c>
      <c r="O39" s="9" t="n">
        <v>10.86958803463658</v>
      </c>
      <c r="P39" s="9" t="n">
        <v>120.678729301693</v>
      </c>
      <c r="Q39" s="9" t="n">
        <v>81.95049418350389</v>
      </c>
      <c r="R39" s="9" t="n">
        <v>2.599216035378915</v>
      </c>
      <c r="S39" s="9" t="n">
        <v>2.357318743841241</v>
      </c>
      <c r="T39" s="9" t="n">
        <v>6.943698328608705</v>
      </c>
      <c r="U39" s="9" t="n">
        <v>89.37997157584371</v>
      </c>
      <c r="V39" s="9" t="n">
        <v>3.910018454489532</v>
      </c>
      <c r="W39" s="9" t="n">
        <v>6.709797849097426</v>
      </c>
      <c r="X39" s="9" t="inlineStr">
        <is>
          <t>NH / Small</t>
        </is>
      </c>
      <c r="Y39" s="9" t="n">
        <v>-0.0309202389410805</v>
      </c>
      <c r="Z39" s="9" t="n">
        <v>0.006001353032320014</v>
      </c>
      <c r="AA39" s="9" t="n">
        <v>0.0108253332480428</v>
      </c>
      <c r="AB39" s="9" t="n">
        <v>10.86958803463658</v>
      </c>
      <c r="AC39" s="9" t="n">
        <v>80.42073174279048</v>
      </c>
    </row>
    <row r="40">
      <c r="A40" t="n">
        <v>6275</v>
      </c>
      <c r="B40" t="inlineStr">
        <is>
          <t>THE NATIONAL BANK OF MIDDLEBURY</t>
        </is>
      </c>
      <c r="C40" t="inlineStr">
        <is>
          <t>VT</t>
        </is>
      </c>
      <c r="D40" t="n">
        <v>552605</v>
      </c>
      <c r="E40" t="n">
        <v>506456</v>
      </c>
      <c r="F40" t="n">
        <v>348242</v>
      </c>
      <c r="G40" s="9" t="n">
        <v>0.8092727653491401</v>
      </c>
      <c r="H40" s="9" t="n">
        <v>12.34</v>
      </c>
      <c r="I40" s="9" t="n">
        <v>3.250324920279843</v>
      </c>
      <c r="J40" s="9" t="n">
        <v>0.1179866269758688</v>
      </c>
      <c r="K40" s="9" t="n">
        <v>0.08830900914758281</v>
      </c>
      <c r="L40" s="9" t="n">
        <v>0.1865175289288115</v>
      </c>
      <c r="M40" s="9" t="n">
        <v>15.98071750658676</v>
      </c>
      <c r="N40" s="9" t="b">
        <v>1</v>
      </c>
      <c r="O40" s="9" t="n">
        <v>6.929180879651831</v>
      </c>
      <c r="P40" s="9" t="n">
        <v>68.76056360276115</v>
      </c>
      <c r="Q40" s="9" t="n">
        <v>63.01824992535355</v>
      </c>
      <c r="R40" s="9" t="n">
        <v>-0.4892656872949375</v>
      </c>
      <c r="S40" s="9" t="n">
        <v>0.9768813447269098</v>
      </c>
      <c r="T40" s="9" t="n">
        <v>6.409496795881919</v>
      </c>
      <c r="U40" s="9" t="n">
        <v>85.58179451604137</v>
      </c>
      <c r="V40" s="9" t="n">
        <v>9.394247135725831</v>
      </c>
      <c r="W40" s="9" t="n">
        <v>2.024230114570967</v>
      </c>
      <c r="X40" s="9" t="inlineStr">
        <is>
          <t>VT / Small</t>
        </is>
      </c>
      <c r="Y40" s="9" t="n">
        <v>0.7054638654336194</v>
      </c>
      <c r="Z40" s="9" t="n">
        <v>0.1684730929960617</v>
      </c>
      <c r="AA40" s="9" t="n">
        <v>0.2688203185658151</v>
      </c>
      <c r="AB40" s="9" t="n">
        <v>9.862911636140161</v>
      </c>
      <c r="AC40" s="9" t="n">
        <v>80.19856341878744</v>
      </c>
    </row>
    <row r="41">
      <c r="A41" t="n">
        <v>18028</v>
      </c>
      <c r="B41" t="inlineStr">
        <is>
          <t>SUGAR RIVER BANK</t>
        </is>
      </c>
      <c r="C41" t="inlineStr">
        <is>
          <t>NH</t>
        </is>
      </c>
      <c r="D41" t="n">
        <v>404550</v>
      </c>
      <c r="E41" t="n">
        <v>343782</v>
      </c>
      <c r="F41" t="n">
        <v>276472</v>
      </c>
      <c r="G41" s="9" t="n">
        <v>0.5149625790545433</v>
      </c>
      <c r="H41" s="9" t="n">
        <v>4.79</v>
      </c>
      <c r="I41" s="9" t="n">
        <v>3.484540582313081</v>
      </c>
      <c r="J41" s="9" t="n">
        <v>0.3270300333704116</v>
      </c>
      <c r="K41" s="9" t="n">
        <v>0.2889630453590409</v>
      </c>
      <c r="L41" s="9" t="n">
        <v>0.4976658467848922</v>
      </c>
      <c r="M41" s="9" t="n"/>
      <c r="N41" s="9" t="b">
        <v>0</v>
      </c>
      <c r="O41" s="9" t="n">
        <v>10.89012483005809</v>
      </c>
      <c r="P41" s="9" t="n">
        <v>80.42073174279048</v>
      </c>
      <c r="Q41" s="9" t="n">
        <v>68.34062538623161</v>
      </c>
      <c r="R41" s="9" t="n">
        <v>2.765824489028668</v>
      </c>
      <c r="S41" s="9" t="n">
        <v>3.10041095175233</v>
      </c>
      <c r="T41" s="9" t="n">
        <v>5.824988687399757</v>
      </c>
      <c r="U41" s="9" t="n">
        <v>91.85161813109981</v>
      </c>
      <c r="V41" s="9" t="n">
        <v>4.746828635147829</v>
      </c>
      <c r="W41" s="9" t="n">
        <v>1.581200565073036</v>
      </c>
      <c r="X41" s="9" t="inlineStr">
        <is>
          <t>NH / Small</t>
        </is>
      </c>
      <c r="Y41" s="9" t="n">
        <v>-0.0309202389410805</v>
      </c>
      <c r="Z41" s="9" t="n">
        <v>0.006001353032320014</v>
      </c>
      <c r="AA41" s="9" t="n">
        <v>0.0108253332480428</v>
      </c>
      <c r="AB41" s="9" t="n">
        <v>10.86958803463658</v>
      </c>
      <c r="AC41" s="9" t="n">
        <v>80.42073174279048</v>
      </c>
    </row>
    <row r="42">
      <c r="A42" t="n">
        <v>14168</v>
      </c>
      <c r="B42" t="inlineStr">
        <is>
          <t>PEOPLES TRUST COMPANY OF ST. ALBANS</t>
        </is>
      </c>
      <c r="C42" t="inlineStr">
        <is>
          <t>VT</t>
        </is>
      </c>
      <c r="D42" t="n">
        <v>376849</v>
      </c>
      <c r="E42" t="n">
        <v>332557</v>
      </c>
      <c r="F42" t="n">
        <v>284549</v>
      </c>
      <c r="G42" s="9" t="n">
        <v>0.9667162693102378</v>
      </c>
      <c r="H42" s="9" t="n">
        <v>9.43</v>
      </c>
      <c r="I42" s="9" t="n">
        <v>4.222243217012651</v>
      </c>
      <c r="J42" s="9" t="n">
        <v>0.2685425727546046</v>
      </c>
      <c r="K42" s="9" t="n">
        <v>0.02467831943298244</v>
      </c>
      <c r="L42" s="9" t="n">
        <v>0.3511231082028186</v>
      </c>
      <c r="M42" s="9" t="n">
        <v>16.58401671604196</v>
      </c>
      <c r="N42" s="9" t="b">
        <v>1</v>
      </c>
      <c r="O42" s="9" t="n">
        <v>10.29271671146799</v>
      </c>
      <c r="P42" s="9" t="n">
        <v>85.56397850594033</v>
      </c>
      <c r="Q42" s="9" t="n">
        <v>75.50743135844861</v>
      </c>
      <c r="R42" s="9" t="n">
        <v>1.365076632577855</v>
      </c>
      <c r="S42" s="9" t="n">
        <v>10.24245288866847</v>
      </c>
      <c r="T42" s="9" t="n">
        <v>0.4928594308093004</v>
      </c>
      <c r="U42" s="9" t="n">
        <v>85.90268477333129</v>
      </c>
      <c r="V42" s="9" t="n">
        <v>3.950134967281711</v>
      </c>
      <c r="W42" s="9" t="n">
        <v>3.766593342539328</v>
      </c>
      <c r="X42" s="9" t="inlineStr">
        <is>
          <t>VT / Small</t>
        </is>
      </c>
      <c r="Y42" s="9" t="n">
        <v>0.7054638654336194</v>
      </c>
      <c r="Z42" s="9" t="n">
        <v>0.1684730929960617</v>
      </c>
      <c r="AA42" s="9" t="n">
        <v>0.2688203185658151</v>
      </c>
      <c r="AB42" s="9" t="n">
        <v>9.862911636140161</v>
      </c>
      <c r="AC42" s="9" t="n">
        <v>80.19856341878744</v>
      </c>
    </row>
    <row r="43">
      <c r="A43" t="n">
        <v>17443</v>
      </c>
      <c r="B43" t="inlineStr">
        <is>
          <t>PISCATAQUA SAVINGS BANK</t>
        </is>
      </c>
      <c r="C43" t="inlineStr">
        <is>
          <t>NH</t>
        </is>
      </c>
      <c r="D43" t="n">
        <v>366584</v>
      </c>
      <c r="E43" t="n">
        <v>285374</v>
      </c>
      <c r="F43" t="n">
        <v>201778</v>
      </c>
      <c r="G43" s="9" t="n">
        <v>-0.3011328199055388</v>
      </c>
      <c r="H43" s="9" t="n">
        <v>-2.77</v>
      </c>
      <c r="I43" s="9" t="n">
        <v>1.299209767244892</v>
      </c>
      <c r="J43" s="9" t="n">
        <v>0.006001353032320014</v>
      </c>
      <c r="K43" s="9" t="n">
        <v>0.2097745673570041</v>
      </c>
      <c r="L43" s="9" t="n">
        <v>0.0108253332480428</v>
      </c>
      <c r="M43" s="9" t="n"/>
      <c r="N43" s="9" t="b">
        <v>0</v>
      </c>
      <c r="O43" s="9" t="n">
        <v>10.94564956462912</v>
      </c>
      <c r="P43" s="9" t="n">
        <v>70.70651145514307</v>
      </c>
      <c r="Q43" s="9" t="n">
        <v>55.04277327979399</v>
      </c>
      <c r="R43" s="9" t="n">
        <v>0.4072890218215885</v>
      </c>
      <c r="S43" s="9" t="n">
        <v>1.402094598669268</v>
      </c>
      <c r="T43" s="9" t="n">
        <v>-4.912417490512033</v>
      </c>
      <c r="U43" s="9" t="n">
        <v>99.11478297667141</v>
      </c>
      <c r="V43" s="9" t="n">
        <v>0</v>
      </c>
      <c r="W43" s="9" t="n">
        <v>0.3931564211448282</v>
      </c>
      <c r="X43" s="9" t="inlineStr">
        <is>
          <t>NH / Small</t>
        </is>
      </c>
      <c r="Y43" s="9" t="n">
        <v>-0.0309202389410805</v>
      </c>
      <c r="Z43" s="9" t="n">
        <v>0.006001353032320014</v>
      </c>
      <c r="AA43" s="9" t="n">
        <v>0.0108253332480428</v>
      </c>
      <c r="AB43" s="9" t="n">
        <v>10.86958803463658</v>
      </c>
      <c r="AC43" s="9" t="n">
        <v>80.42073174279048</v>
      </c>
    </row>
    <row r="44">
      <c r="A44" t="n">
        <v>28155</v>
      </c>
      <c r="B44" t="inlineStr">
        <is>
          <t>PROFILE BANK</t>
        </is>
      </c>
      <c r="C44" t="inlineStr">
        <is>
          <t>NH</t>
        </is>
      </c>
      <c r="D44" t="n">
        <v>317001</v>
      </c>
      <c r="E44" t="n">
        <v>287929</v>
      </c>
      <c r="F44" t="n">
        <v>180041</v>
      </c>
      <c r="G44" s="9" t="n">
        <v>-0.0309202389410805</v>
      </c>
      <c r="H44" s="9" t="n">
        <v>-0.34</v>
      </c>
      <c r="I44" s="9" t="n">
        <v>2.661899458073212</v>
      </c>
      <c r="J44" s="9" t="n">
        <v>0</v>
      </c>
      <c r="K44" s="9" t="n">
        <v>0.5529951009618266</v>
      </c>
      <c r="L44" s="9" t="n">
        <v>0</v>
      </c>
      <c r="M44" s="9" t="n">
        <v>17.18116470714875</v>
      </c>
      <c r="N44" s="9" t="b">
        <v>1</v>
      </c>
      <c r="O44" s="9" t="n">
        <v>8.665587805716701</v>
      </c>
      <c r="P44" s="9" t="n">
        <v>62.52965140711773</v>
      </c>
      <c r="Q44" s="9" t="n">
        <v>56.79508897448273</v>
      </c>
      <c r="R44" s="9" t="n">
        <v>4.948105477479259</v>
      </c>
      <c r="S44" s="9" t="n">
        <v>4.393985956408031</v>
      </c>
      <c r="T44" s="9" t="n">
        <v>10.87326525268395</v>
      </c>
      <c r="U44" s="9" t="n">
        <v>91.56282666047221</v>
      </c>
      <c r="V44" s="9" t="n">
        <v>4.676810079255781</v>
      </c>
      <c r="W44" s="9" t="n">
        <v>3.476082231329539</v>
      </c>
      <c r="X44" s="9" t="inlineStr">
        <is>
          <t>NH / Small</t>
        </is>
      </c>
      <c r="Y44" s="9" t="n">
        <v>-0.0309202389410805</v>
      </c>
      <c r="Z44" s="9" t="n">
        <v>0.006001353032320014</v>
      </c>
      <c r="AA44" s="9" t="n">
        <v>0.0108253332480428</v>
      </c>
      <c r="AB44" s="9" t="n">
        <v>10.86958803463658</v>
      </c>
      <c r="AC44" s="9" t="n">
        <v>80.42073174279048</v>
      </c>
    </row>
    <row r="45">
      <c r="A45" t="n">
        <v>28837</v>
      </c>
      <c r="B45" t="inlineStr">
        <is>
          <t>THE BRATTLEBORO SAVINGS AND LOAN ASSOCIATION</t>
        </is>
      </c>
      <c r="C45" t="inlineStr">
        <is>
          <t>VT</t>
        </is>
      </c>
      <c r="D45" t="n">
        <v>279103</v>
      </c>
      <c r="E45" t="n">
        <v>248250</v>
      </c>
      <c r="F45" t="n">
        <v>206715</v>
      </c>
      <c r="G45" s="9" t="n">
        <v>-0.326447120470196</v>
      </c>
      <c r="H45" s="9" t="n">
        <v>-3.24</v>
      </c>
      <c r="I45" s="9" t="n">
        <v>4.008648873565952</v>
      </c>
      <c r="J45" s="9" t="n">
        <v>0.09064753872226382</v>
      </c>
      <c r="K45" s="9" t="n">
        <v>0.4718688082894129</v>
      </c>
      <c r="L45" s="9" t="n">
        <v>0.1551077855491246</v>
      </c>
      <c r="M45" s="9" t="n">
        <v>17.98951214882308</v>
      </c>
      <c r="N45" s="9" t="b">
        <v>1</v>
      </c>
      <c r="O45" s="9" t="n">
        <v>10.1378344195512</v>
      </c>
      <c r="P45" s="9" t="n">
        <v>83.26888217522659</v>
      </c>
      <c r="Q45" s="9" t="n">
        <v>74.06405520542594</v>
      </c>
      <c r="R45" s="9" t="n">
        <v>-2.10965284548853</v>
      </c>
      <c r="S45" s="9" t="n">
        <v>3.337349216902696</v>
      </c>
      <c r="T45" s="9" t="n">
        <v>-2.477637621436457</v>
      </c>
      <c r="U45" s="9" t="n">
        <v>95.70006750061037</v>
      </c>
      <c r="V45" s="9" t="n">
        <v>3.622532756945143</v>
      </c>
      <c r="W45" s="9" t="n">
        <v>0.4921321097052473</v>
      </c>
      <c r="X45" s="9" t="inlineStr">
        <is>
          <t>VT / Small</t>
        </is>
      </c>
      <c r="Y45" s="9" t="n">
        <v>0.7054638654336194</v>
      </c>
      <c r="Z45" s="9" t="n">
        <v>0.1684730929960617</v>
      </c>
      <c r="AA45" s="9" t="n">
        <v>0.2688203185658151</v>
      </c>
      <c r="AB45" s="9" t="n">
        <v>9.862911636140161</v>
      </c>
      <c r="AC45" s="9" t="n">
        <v>80.19856341878744</v>
      </c>
    </row>
    <row r="46">
      <c r="A46" t="n">
        <v>59176</v>
      </c>
      <c r="B46" t="inlineStr">
        <is>
          <t>THE MILLYARD BANK</t>
        </is>
      </c>
      <c r="C46" t="inlineStr">
        <is>
          <t>NH</t>
        </is>
      </c>
      <c r="D46" t="n">
        <v>279006</v>
      </c>
      <c r="E46" t="n">
        <v>229104</v>
      </c>
      <c r="F46" t="n">
        <v>207565</v>
      </c>
      <c r="G46" s="9" t="n">
        <v>0.1683011968085106</v>
      </c>
      <c r="H46" s="9" t="n">
        <v>1.56</v>
      </c>
      <c r="I46" s="9" t="n">
        <v>2.743210198515069</v>
      </c>
      <c r="J46" s="9" t="n">
        <v>0</v>
      </c>
      <c r="K46" s="9" t="n">
        <v>0</v>
      </c>
      <c r="L46" s="9" t="n">
        <v>0</v>
      </c>
      <c r="M46" s="9" t="n"/>
      <c r="N46" s="9" t="b">
        <v>0</v>
      </c>
      <c r="O46" s="9" t="n">
        <v>10.25318451932933</v>
      </c>
      <c r="P46" s="9" t="n">
        <v>90.59859277882533</v>
      </c>
      <c r="Q46" s="9" t="n">
        <v>74.39445746686452</v>
      </c>
      <c r="R46" s="9" t="n">
        <v>21.52411483128547</v>
      </c>
      <c r="S46" s="9" t="n">
        <v>25.20886744080833</v>
      </c>
      <c r="T46" s="9" t="n">
        <v>20.54996343048372</v>
      </c>
      <c r="U46" s="9" t="n">
        <v>85.98043426389883</v>
      </c>
      <c r="V46" s="9" t="n">
        <v>13.37198759246003</v>
      </c>
      <c r="W46" s="9" t="n">
        <v>0</v>
      </c>
      <c r="X46" s="9" t="inlineStr">
        <is>
          <t>NH / Small</t>
        </is>
      </c>
      <c r="Y46" s="9" t="n">
        <v>-0.0309202389410805</v>
      </c>
      <c r="Z46" s="9" t="n">
        <v>0.006001353032320014</v>
      </c>
      <c r="AA46" s="9" t="n">
        <v>0.0108253332480428</v>
      </c>
      <c r="AB46" s="9" t="n">
        <v>10.86958803463658</v>
      </c>
      <c r="AC46" s="9" t="n">
        <v>80.42073174279048</v>
      </c>
    </row>
    <row r="47">
      <c r="A47" t="n">
        <v>59298</v>
      </c>
      <c r="B47" t="inlineStr">
        <is>
          <t>BANK OF BURLINGTON</t>
        </is>
      </c>
      <c r="C47" t="inlineStr">
        <is>
          <t>VT</t>
        </is>
      </c>
      <c r="D47" t="n">
        <v>269483</v>
      </c>
      <c r="E47" t="n">
        <v>242655</v>
      </c>
      <c r="F47" t="n">
        <v>148986</v>
      </c>
      <c r="G47" s="9" t="n">
        <v>0.0611768333776823</v>
      </c>
      <c r="H47" s="9" t="n">
        <v>0.66</v>
      </c>
      <c r="I47" s="9" t="n">
        <v>2.353978164674325</v>
      </c>
      <c r="J47" s="9" t="n">
        <v>0</v>
      </c>
      <c r="K47" s="9" t="n">
        <v>0</v>
      </c>
      <c r="L47" s="9" t="n">
        <v>0</v>
      </c>
      <c r="M47" s="9" t="n">
        <v>16.87794981443124</v>
      </c>
      <c r="N47" s="9" t="b">
        <v>1</v>
      </c>
      <c r="O47" s="9" t="n">
        <v>9.587988852729117</v>
      </c>
      <c r="P47" s="9" t="n">
        <v>61.39828151078692</v>
      </c>
      <c r="Q47" s="9" t="n">
        <v>55.28586218796733</v>
      </c>
      <c r="R47" s="9" t="n">
        <v>23.35011672083123</v>
      </c>
      <c r="S47" s="9" t="n">
        <v>51.80965966985938</v>
      </c>
      <c r="T47" s="9" t="n">
        <v>26.73198552261178</v>
      </c>
      <c r="U47" s="9" t="n">
        <v>76.0346307670808</v>
      </c>
      <c r="V47" s="9" t="n">
        <v>23.61733135468587</v>
      </c>
      <c r="W47" s="9" t="n">
        <v>0</v>
      </c>
      <c r="X47" s="9" t="inlineStr">
        <is>
          <t>VT / Small</t>
        </is>
      </c>
      <c r="Y47" s="9" t="n">
        <v>0.7054638654336194</v>
      </c>
      <c r="Z47" s="9" t="n">
        <v>0.1684730929960617</v>
      </c>
      <c r="AA47" s="9" t="n">
        <v>0.2688203185658151</v>
      </c>
      <c r="AB47" s="9" t="n">
        <v>9.862911636140161</v>
      </c>
      <c r="AC47" s="9" t="n">
        <v>80.19856341878744</v>
      </c>
    </row>
    <row r="48">
      <c r="A48" t="n">
        <v>14136</v>
      </c>
      <c r="B48" t="inlineStr">
        <is>
          <t>WELLS RIVER SAVINGS BANK</t>
        </is>
      </c>
      <c r="C48" t="inlineStr">
        <is>
          <t>VT</t>
        </is>
      </c>
      <c r="D48" t="n">
        <v>247991</v>
      </c>
      <c r="E48" t="n">
        <v>212734</v>
      </c>
      <c r="F48" t="n">
        <v>164078</v>
      </c>
      <c r="G48" s="9" t="n">
        <v>0.6016549655180986</v>
      </c>
      <c r="H48" s="9" t="n">
        <v>7.3</v>
      </c>
      <c r="I48" s="9" t="n">
        <v>3.869952851796154</v>
      </c>
      <c r="J48" s="9" t="n">
        <v>0.2189595590162546</v>
      </c>
      <c r="K48" s="9" t="n">
        <v>0.7855123774653113</v>
      </c>
      <c r="L48" s="9" t="n">
        <v>0.6496248220619104</v>
      </c>
      <c r="M48" s="9" t="n">
        <v>17.65740177182661</v>
      </c>
      <c r="N48" s="9" t="b">
        <v>1</v>
      </c>
      <c r="O48" s="9" t="n">
        <v>8.345464149908665</v>
      </c>
      <c r="P48" s="9" t="n">
        <v>77.12824466234829</v>
      </c>
      <c r="Q48" s="9" t="n">
        <v>66.1628849434052</v>
      </c>
      <c r="R48" s="9" t="n">
        <v>5.667926489950537</v>
      </c>
      <c r="S48" s="9" t="n">
        <v>6.53862137031842</v>
      </c>
      <c r="T48" s="9" t="n">
        <v>8.479087840249665</v>
      </c>
      <c r="U48" s="9" t="n">
        <v>80.67893936834994</v>
      </c>
      <c r="V48" s="9" t="n">
        <v>9.927135860255266</v>
      </c>
      <c r="W48" s="9" t="n">
        <v>9.147827345766883</v>
      </c>
      <c r="X48" s="9" t="inlineStr">
        <is>
          <t>VT / Small</t>
        </is>
      </c>
      <c r="Y48" s="9" t="n">
        <v>0.7054638654336194</v>
      </c>
      <c r="Z48" s="9" t="n">
        <v>0.1684730929960617</v>
      </c>
      <c r="AA48" s="9" t="n">
        <v>0.2688203185658151</v>
      </c>
      <c r="AB48" s="9" t="n">
        <v>9.862911636140161</v>
      </c>
      <c r="AC48" s="9" t="n">
        <v>80.19856341878744</v>
      </c>
    </row>
    <row r="49">
      <c r="A49" t="n">
        <v>29743</v>
      </c>
      <c r="B49" t="inlineStr">
        <is>
          <t>AROOSTOOK COUNTY FEDERAL SAVINGS AND LOAN ASSOCIATION</t>
        </is>
      </c>
      <c r="C49" t="inlineStr">
        <is>
          <t>ME</t>
        </is>
      </c>
      <c r="D49" t="n">
        <v>200783</v>
      </c>
      <c r="E49" t="n">
        <v>176912</v>
      </c>
      <c r="F49" t="n">
        <v>139458</v>
      </c>
      <c r="G49" s="9" t="n">
        <v>0.5385219017156053</v>
      </c>
      <c r="H49" s="9" t="n">
        <v>5.78</v>
      </c>
      <c r="I49" s="9" t="n">
        <v>2.756630469591546</v>
      </c>
      <c r="J49" s="9" t="n">
        <v>0.3297091885269171</v>
      </c>
      <c r="K49" s="9" t="n">
        <v>0.3800122520332896</v>
      </c>
      <c r="L49" s="9" t="n">
        <v>0.471718280152204</v>
      </c>
      <c r="M49" s="9" t="n">
        <v>18.1286751690254</v>
      </c>
      <c r="N49" s="9" t="b">
        <v>1</v>
      </c>
      <c r="O49" s="9" t="n">
        <v>9.56953526942022</v>
      </c>
      <c r="P49" s="9" t="n">
        <v>78.82902233878991</v>
      </c>
      <c r="Q49" s="9" t="n">
        <v>69.45707554922478</v>
      </c>
      <c r="R49" s="9" t="n">
        <v>5.738149531036885</v>
      </c>
      <c r="S49" s="9" t="n">
        <v>4.884817580830747</v>
      </c>
      <c r="T49" s="9" t="n">
        <v>6.562580940506102</v>
      </c>
      <c r="U49" s="9" t="n">
        <v>63.8544086419929</v>
      </c>
      <c r="V49" s="9" t="n">
        <v>18.89865895195884</v>
      </c>
      <c r="W49" s="9" t="n">
        <v>16.47379897105559</v>
      </c>
      <c r="X49" s="9" t="inlineStr">
        <is>
          <t>ME / Small</t>
        </is>
      </c>
      <c r="Y49" s="9" t="n">
        <v>0.2346191133487824</v>
      </c>
      <c r="Z49" s="9" t="n">
        <v>0.3297091885269171</v>
      </c>
      <c r="AA49" s="9" t="n">
        <v>0.471718280152204</v>
      </c>
      <c r="AB49" s="9" t="n">
        <v>9.756699614711785</v>
      </c>
      <c r="AC49" s="9" t="n">
        <v>106.7806364694649</v>
      </c>
    </row>
    <row r="50">
      <c r="A50" t="n">
        <v>29636</v>
      </c>
      <c r="B50" t="inlineStr">
        <is>
          <t>FIRST FEDERAL SAVINGS AND LOAN ASSOCIATION OF BATH</t>
        </is>
      </c>
      <c r="C50" t="inlineStr">
        <is>
          <t>ME</t>
        </is>
      </c>
      <c r="D50" t="n">
        <v>185573</v>
      </c>
      <c r="E50" t="n">
        <v>139676</v>
      </c>
      <c r="F50" t="n">
        <v>144969</v>
      </c>
      <c r="G50" s="9" t="n">
        <v>0.2346191133487824</v>
      </c>
      <c r="H50" s="9" t="n">
        <v>1.58</v>
      </c>
      <c r="I50" s="9" t="n">
        <v>3.507245167404793</v>
      </c>
      <c r="J50" s="9" t="n">
        <v>1.671579378465617</v>
      </c>
      <c r="K50" s="9" t="n">
        <v>2.276732067703815</v>
      </c>
      <c r="L50" s="9" t="n">
        <v>2.11141060197664</v>
      </c>
      <c r="M50" s="9" t="n">
        <v>27.16721387016877</v>
      </c>
      <c r="N50" s="9" t="b">
        <v>1</v>
      </c>
      <c r="O50" s="9" t="n">
        <v>14.89764135946501</v>
      </c>
      <c r="P50" s="9" t="n">
        <v>103.7894842349437</v>
      </c>
      <c r="Q50" s="9" t="n">
        <v>78.11966180424955</v>
      </c>
      <c r="R50" s="9" t="n">
        <v>2.950264902499233</v>
      </c>
      <c r="S50" s="9" t="n">
        <v>6.087815587266743</v>
      </c>
      <c r="T50" s="9" t="n">
        <v>1.937659190926944</v>
      </c>
      <c r="U50" s="9" t="n">
        <v>97.76334776334777</v>
      </c>
      <c r="V50" s="9" t="n">
        <v>1.134661983718587</v>
      </c>
      <c r="W50" s="9" t="n">
        <v>1.101990252933649</v>
      </c>
      <c r="X50" s="9" t="inlineStr">
        <is>
          <t>ME / Small</t>
        </is>
      </c>
      <c r="Y50" s="9" t="n">
        <v>0.2346191133487824</v>
      </c>
      <c r="Z50" s="9" t="n">
        <v>0.3297091885269171</v>
      </c>
      <c r="AA50" s="9" t="n">
        <v>0.471718280152204</v>
      </c>
      <c r="AB50" s="9" t="n">
        <v>9.756699614711785</v>
      </c>
      <c r="AC50" s="9" t="n">
        <v>106.7806364694649</v>
      </c>
    </row>
    <row r="51">
      <c r="A51" t="n">
        <v>59289</v>
      </c>
      <c r="B51" t="inlineStr">
        <is>
          <t>WALDEN MUTUAL BANK</t>
        </is>
      </c>
      <c r="C51" t="inlineStr">
        <is>
          <t>NH</t>
        </is>
      </c>
      <c r="D51" t="n">
        <v>145991</v>
      </c>
      <c r="E51" t="n">
        <v>129078</v>
      </c>
      <c r="F51" t="n">
        <v>105482</v>
      </c>
      <c r="G51" s="9" t="n">
        <v>-0.2399886005414742</v>
      </c>
      <c r="H51" s="9" t="n">
        <v>-2.03</v>
      </c>
      <c r="I51" s="9" t="n">
        <v>3.992186546209254</v>
      </c>
      <c r="J51" s="9" t="n">
        <v>1.941900528114747</v>
      </c>
      <c r="K51" s="9" t="n">
        <v>2.382338637313259</v>
      </c>
      <c r="L51" s="9" t="n">
        <v>2.669390983390456</v>
      </c>
      <c r="M51" s="9" t="n"/>
      <c r="N51" s="9" t="b">
        <v>0</v>
      </c>
      <c r="O51" s="9" t="n">
        <v>10.75271763327876</v>
      </c>
      <c r="P51" s="9" t="n">
        <v>81.7195804087451</v>
      </c>
      <c r="Q51" s="9" t="n">
        <v>72.25239912049372</v>
      </c>
      <c r="R51" s="9" t="n">
        <v>37.83268346566717</v>
      </c>
      <c r="S51" s="9" t="n">
        <v>107.7439684884293</v>
      </c>
      <c r="T51" s="9" t="n">
        <v>49.83806372975796</v>
      </c>
      <c r="U51" s="9" t="n">
        <v>36.17566193363715</v>
      </c>
      <c r="V51" s="9" t="n">
        <v>49.19023765583217</v>
      </c>
      <c r="W51" s="9" t="n">
        <v>0</v>
      </c>
      <c r="X51" s="9" t="inlineStr">
        <is>
          <t>NH / Small</t>
        </is>
      </c>
      <c r="Y51" s="9" t="n">
        <v>-0.0309202389410805</v>
      </c>
      <c r="Z51" s="9" t="n">
        <v>0.006001353032320014</v>
      </c>
      <c r="AA51" s="9" t="n">
        <v>0.0108253332480428</v>
      </c>
      <c r="AB51" s="9" t="n">
        <v>10.86958803463658</v>
      </c>
      <c r="AC51" s="9" t="n">
        <v>80.42073174279048</v>
      </c>
    </row>
    <row r="52">
      <c r="A52" t="n">
        <v>28288</v>
      </c>
      <c r="B52" t="inlineStr">
        <is>
          <t>AUBURN SAVINGS BANK, FSB</t>
        </is>
      </c>
      <c r="C52" t="inlineStr">
        <is>
          <t>ME</t>
        </is>
      </c>
      <c r="D52" t="n">
        <v>102731</v>
      </c>
      <c r="E52" t="n">
        <v>76453</v>
      </c>
      <c r="F52" t="n">
        <v>81637</v>
      </c>
      <c r="G52" s="9" t="n">
        <v>0.2469079353466999</v>
      </c>
      <c r="H52" s="9" t="n">
        <v>4.13</v>
      </c>
      <c r="I52" s="9" t="n">
        <v>2.73418663286535</v>
      </c>
      <c r="J52" s="9" t="n">
        <v>0.0963681848711684</v>
      </c>
      <c r="K52" s="9" t="n">
        <v>0.1557465614079489</v>
      </c>
      <c r="L52" s="9" t="n">
        <v>0.1200931631811344</v>
      </c>
      <c r="M52" s="9" t="n">
        <v>13.18324668840133</v>
      </c>
      <c r="N52" s="9" t="b">
        <v>1</v>
      </c>
      <c r="O52" s="9" t="n">
        <v>6.102344959165198</v>
      </c>
      <c r="P52" s="9" t="n">
        <v>106.7806364694649</v>
      </c>
      <c r="Q52" s="9" t="n">
        <v>79.46676271037954</v>
      </c>
      <c r="R52" s="9" t="n">
        <v>0.2586223722990999</v>
      </c>
      <c r="S52" s="9" t="n">
        <v>0.444165559328713</v>
      </c>
      <c r="T52" s="9" t="n">
        <v>2.548522527597807</v>
      </c>
      <c r="U52" s="9" t="n">
        <v>90.82439710805959</v>
      </c>
      <c r="V52" s="9" t="n">
        <v>5.081517783492648</v>
      </c>
      <c r="W52" s="9" t="n">
        <v>4.094085108447765</v>
      </c>
      <c r="X52" s="9" t="inlineStr">
        <is>
          <t>ME / Small</t>
        </is>
      </c>
      <c r="Y52" s="9" t="n">
        <v>0.2346191133487824</v>
      </c>
      <c r="Z52" s="9" t="n">
        <v>0.3297091885269171</v>
      </c>
      <c r="AA52" s="9" t="n">
        <v>0.471718280152204</v>
      </c>
      <c r="AB52" s="9" t="n">
        <v>9.756699614711785</v>
      </c>
      <c r="AC52" s="9" t="n">
        <v>106.7806364694649</v>
      </c>
    </row>
    <row r="53">
      <c r="A53" t="n">
        <v>30878</v>
      </c>
      <c r="B53" t="inlineStr">
        <is>
          <t>BAR HARBOR SAVINGS AND LOAN ASSOCIATION</t>
        </is>
      </c>
      <c r="C53" t="inlineStr">
        <is>
          <t>ME</t>
        </is>
      </c>
      <c r="D53" t="n">
        <v>98909</v>
      </c>
      <c r="E53" t="n">
        <v>72725</v>
      </c>
      <c r="F53" t="n">
        <v>85358</v>
      </c>
      <c r="G53" s="9" t="n">
        <v>0.0020154179472968</v>
      </c>
      <c r="H53" s="9" t="n">
        <v>0.02</v>
      </c>
      <c r="I53" s="9" t="n">
        <v>1.492266204641675</v>
      </c>
      <c r="J53" s="9" t="n">
        <v>1.367924051400782</v>
      </c>
      <c r="K53" s="9" t="n">
        <v>0.7795043929268317</v>
      </c>
      <c r="L53" s="9" t="n">
        <v>1.572597517318332</v>
      </c>
      <c r="M53" s="9" t="n"/>
      <c r="N53" s="9" t="b">
        <v>0</v>
      </c>
      <c r="O53" s="9" t="n">
        <v>12.02216178507517</v>
      </c>
      <c r="P53" s="9" t="n">
        <v>117.3709178411825</v>
      </c>
      <c r="Q53" s="9" t="n">
        <v>86.29952784883075</v>
      </c>
      <c r="R53" s="9" t="n">
        <v>-3.897201710066067</v>
      </c>
      <c r="S53" s="9" t="n">
        <v>-2.59494248676283</v>
      </c>
      <c r="T53" s="9" t="n">
        <v>-5.027750571335288</v>
      </c>
      <c r="U53" s="9" t="n">
        <v>99.79543446929192</v>
      </c>
      <c r="V53" s="9" t="n">
        <v>0</v>
      </c>
      <c r="W53" s="9" t="n">
        <v>0.2045655307080757</v>
      </c>
      <c r="X53" s="9" t="inlineStr">
        <is>
          <t>ME / Small</t>
        </is>
      </c>
      <c r="Y53" s="9" t="n">
        <v>0.2346191133487824</v>
      </c>
      <c r="Z53" s="9" t="n">
        <v>0.3297091885269171</v>
      </c>
      <c r="AA53" s="9" t="n">
        <v>0.471718280152204</v>
      </c>
      <c r="AB53" s="9" t="n">
        <v>9.756699614711785</v>
      </c>
      <c r="AC53" s="9" t="n">
        <v>106.7806364694649</v>
      </c>
    </row>
    <row r="54">
      <c r="A54" t="n">
        <v>28369</v>
      </c>
      <c r="B54" t="inlineStr">
        <is>
          <t>ROCKLAND SAVINGS BANK, FSB</t>
        </is>
      </c>
      <c r="C54" t="inlineStr">
        <is>
          <t>ME</t>
        </is>
      </c>
      <c r="D54" t="n">
        <v>93177</v>
      </c>
      <c r="E54" t="n">
        <v>73160</v>
      </c>
      <c r="F54" t="n">
        <v>79361</v>
      </c>
      <c r="G54" s="9" t="n">
        <v>0.1027071171039445</v>
      </c>
      <c r="H54" s="9" t="n">
        <v>1.06</v>
      </c>
      <c r="I54" s="9" t="n">
        <v>3.431589189751284</v>
      </c>
      <c r="J54" s="9" t="n">
        <v>0.09229745538061968</v>
      </c>
      <c r="K54" s="9" t="n">
        <v>0.1931807205640877</v>
      </c>
      <c r="L54" s="9" t="n">
        <v>0.1075107510751075</v>
      </c>
      <c r="M54" s="9" t="n">
        <v>14.13808435933212</v>
      </c>
      <c r="N54" s="9" t="b">
        <v>1</v>
      </c>
      <c r="O54" s="9" t="n">
        <v>9.756699614711785</v>
      </c>
      <c r="P54" s="9" t="n">
        <v>108.475943138327</v>
      </c>
      <c r="Q54" s="9" t="n">
        <v>85.1723064704809</v>
      </c>
      <c r="R54" s="9" t="n">
        <v>-2.658740937297588</v>
      </c>
      <c r="S54" s="9" t="n">
        <v>-2.298468508396123</v>
      </c>
      <c r="T54" s="9" t="n">
        <v>2.987133646780604</v>
      </c>
      <c r="U54" s="9" t="n">
        <v>83.46334633463346</v>
      </c>
      <c r="V54" s="9" t="n">
        <v>15.68906890689069</v>
      </c>
      <c r="W54" s="9" t="n">
        <v>0.8475847584758476</v>
      </c>
      <c r="X54" s="9" t="inlineStr">
        <is>
          <t>ME / Small</t>
        </is>
      </c>
      <c r="Y54" s="9" t="n">
        <v>0.2346191133487824</v>
      </c>
      <c r="Z54" s="9" t="n">
        <v>0.3297091885269171</v>
      </c>
      <c r="AA54" s="9" t="n">
        <v>0.471718280152204</v>
      </c>
      <c r="AB54" s="9" t="n">
        <v>9.756699614711785</v>
      </c>
      <c r="AC54" s="9" t="n">
        <v>106.7806364694649</v>
      </c>
    </row>
    <row r="55">
      <c r="A55" t="n">
        <v>6280</v>
      </c>
      <c r="B55" t="inlineStr">
        <is>
          <t>THE FIRST NATIONAL BANK OF ORWELL</t>
        </is>
      </c>
      <c r="C55" t="inlineStr">
        <is>
          <t>VT</t>
        </is>
      </c>
      <c r="D55" t="n">
        <v>87770</v>
      </c>
      <c r="E55" t="n">
        <v>77256</v>
      </c>
      <c r="F55" t="n">
        <v>72150</v>
      </c>
      <c r="G55" s="9" t="n">
        <v>1.36654026169246</v>
      </c>
      <c r="H55" s="9" t="n">
        <v>12.13</v>
      </c>
      <c r="I55" s="9" t="n">
        <v>4.539434075857917</v>
      </c>
      <c r="J55" s="9" t="n">
        <v>1.65774182522502</v>
      </c>
      <c r="K55" s="9" t="n">
        <v>0.6744901446963655</v>
      </c>
      <c r="L55" s="9" t="n">
        <v>1.990424076607387</v>
      </c>
      <c r="M55" s="9" t="n"/>
      <c r="N55" s="9" t="b">
        <v>0</v>
      </c>
      <c r="O55" s="9" t="n">
        <v>11.3353081918651</v>
      </c>
      <c r="P55" s="9" t="n">
        <v>93.39080459770115</v>
      </c>
      <c r="Q55" s="9" t="n">
        <v>82.20348638486955</v>
      </c>
      <c r="R55" s="9" t="n">
        <v>8.00467605980435</v>
      </c>
      <c r="S55" s="9" t="n">
        <v>6.505469199769709</v>
      </c>
      <c r="T55" s="9" t="n">
        <v>8.621562341825539</v>
      </c>
      <c r="U55" s="9" t="n">
        <v>88.84678522571819</v>
      </c>
      <c r="V55" s="9" t="n">
        <v>5.333789329685362</v>
      </c>
      <c r="W55" s="9" t="n">
        <v>1.79343365253078</v>
      </c>
      <c r="X55" s="9" t="inlineStr">
        <is>
          <t>VT / Small</t>
        </is>
      </c>
      <c r="Y55" s="9" t="n">
        <v>0.7054638654336194</v>
      </c>
      <c r="Z55" s="9" t="n">
        <v>0.1684730929960617</v>
      </c>
      <c r="AA55" s="9" t="n">
        <v>0.2688203185658151</v>
      </c>
      <c r="AB55" s="9" t="n">
        <v>9.862911636140161</v>
      </c>
      <c r="AC55" s="9" t="n">
        <v>80.19856341878744</v>
      </c>
    </row>
    <row r="56">
      <c r="A56" t="n">
        <v>35206</v>
      </c>
      <c r="B56" t="inlineStr">
        <is>
          <t>FIDELITY PERSONAL TRUST COMPANY, FSB</t>
        </is>
      </c>
      <c r="C56" t="inlineStr">
        <is>
          <t>NH</t>
        </is>
      </c>
      <c r="D56" t="n">
        <v>72604</v>
      </c>
      <c r="E56" t="n">
        <v>500</v>
      </c>
      <c r="F56" t="n">
        <v>0</v>
      </c>
      <c r="G56" s="9" t="n">
        <v>28.48800567219443</v>
      </c>
      <c r="H56" s="9" t="n">
        <v>29.55</v>
      </c>
      <c r="I56" s="9" t="n">
        <v>4.14720593593693</v>
      </c>
      <c r="J56" s="9" t="n">
        <v>0</v>
      </c>
      <c r="K56" s="9" t="n">
        <v>0</v>
      </c>
      <c r="L56" s="9" t="n">
        <v>0</v>
      </c>
      <c r="M56" s="9" t="n"/>
      <c r="N56" s="9" t="b">
        <v>0</v>
      </c>
      <c r="O56" s="9" t="n">
        <v>96.57732356344005</v>
      </c>
      <c r="P56" s="9" t="n">
        <v>0</v>
      </c>
      <c r="Q56" s="9" t="n">
        <v>0</v>
      </c>
      <c r="R56" s="9" t="n">
        <v>-14.00075807827158</v>
      </c>
      <c r="S56" s="9" t="n"/>
      <c r="T56" s="9" t="n">
        <v>0</v>
      </c>
      <c r="U56" s="9" t="n"/>
      <c r="V56" s="9" t="n"/>
      <c r="W56" s="9" t="n"/>
      <c r="X56" s="9" t="inlineStr">
        <is>
          <t>NH / Small</t>
        </is>
      </c>
      <c r="Y56" s="9" t="n">
        <v>-0.0309202389410805</v>
      </c>
      <c r="Z56" s="9" t="n">
        <v>0.006001353032320014</v>
      </c>
      <c r="AA56" s="9" t="n">
        <v>0.0108253332480428</v>
      </c>
      <c r="AB56" s="9" t="n">
        <v>10.86958803463658</v>
      </c>
      <c r="AC56" s="9" t="n">
        <v>80.42073174279048</v>
      </c>
    </row>
  </sheetData>
  <mergeCells count="2">
    <mergeCell ref="A2:AC2"/>
    <mergeCell ref="A1:AC1"/>
  </mergeCells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H75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45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" t="inlineStr">
        <is>
          <t>Quarterly Institution Detail</t>
        </is>
      </c>
    </row>
    <row r="2" ht="34" customHeight="1">
      <c r="A2" s="2" t="inlineStr">
        <is>
          <t>Raw supplied fields plus derived ratios; formulas are shown in-row for auditability</t>
        </is>
      </c>
    </row>
    <row r="4">
      <c r="A4" s="12" t="inlineStr">
        <is>
          <t>REPDTE</t>
        </is>
      </c>
      <c r="B4" s="12" t="inlineStr">
        <is>
          <t>CERT</t>
        </is>
      </c>
      <c r="C4" s="12" t="inlineStr">
        <is>
          <t>NAMEFULL</t>
        </is>
      </c>
      <c r="D4" s="12" t="inlineStr">
        <is>
          <t>STALP</t>
        </is>
      </c>
      <c r="E4" s="12" t="inlineStr">
        <is>
          <t>ASSET</t>
        </is>
      </c>
      <c r="F4" s="12" t="inlineStr">
        <is>
          <t>DEP</t>
        </is>
      </c>
      <c r="G4" s="12" t="inlineStr">
        <is>
          <t>EQ</t>
        </is>
      </c>
      <c r="H4" s="12" t="inlineStr">
        <is>
          <t>ROA</t>
        </is>
      </c>
      <c r="I4" s="12" t="inlineStr">
        <is>
          <t>ROE</t>
        </is>
      </c>
      <c r="J4" s="12" t="inlineStr">
        <is>
          <t>NIMY</t>
        </is>
      </c>
      <c r="K4" s="12" t="inlineStr">
        <is>
          <t>NAASSET</t>
        </is>
      </c>
      <c r="L4" s="12" t="inlineStr">
        <is>
          <t>NTLNLS</t>
        </is>
      </c>
      <c r="M4" s="12" t="inlineStr">
        <is>
          <t>NCLNLSR</t>
        </is>
      </c>
      <c r="N4" s="12" t="inlineStr">
        <is>
          <t>P3ASSET</t>
        </is>
      </c>
      <c r="O4" s="12" t="inlineStr">
        <is>
          <t>P9ASSET</t>
        </is>
      </c>
      <c r="P4" s="12" t="inlineStr">
        <is>
          <t>RBCRWAJ</t>
        </is>
      </c>
      <c r="Q4" s="12" t="inlineStr">
        <is>
          <t>LNLSGR</t>
        </is>
      </c>
      <c r="R4" s="12" t="inlineStr">
        <is>
          <t>LNLSNET</t>
        </is>
      </c>
      <c r="S4" s="12" t="inlineStr">
        <is>
          <t>LNRE</t>
        </is>
      </c>
      <c r="T4" s="12" t="inlineStr">
        <is>
          <t>LNCI</t>
        </is>
      </c>
      <c r="U4" s="12" t="inlineStr">
        <is>
          <t>LNCON</t>
        </is>
      </c>
      <c r="V4" s="12" t="inlineStr">
        <is>
          <t>LNATRESR</t>
        </is>
      </c>
      <c r="W4" s="12" t="inlineStr">
        <is>
          <t>ELNATRY</t>
        </is>
      </c>
      <c r="X4" s="12" t="inlineStr">
        <is>
          <t>NPA %</t>
        </is>
      </c>
      <c r="Y4" s="12" t="inlineStr">
        <is>
          <t>Past due %</t>
        </is>
      </c>
      <c r="Z4" s="12" t="inlineStr">
        <is>
          <t>L/D %</t>
        </is>
      </c>
      <c r="AA4" s="12" t="inlineStr">
        <is>
          <t>Loans/assets %</t>
        </is>
      </c>
      <c r="AB4" s="12" t="inlineStr">
        <is>
          <t>RE share %</t>
        </is>
      </c>
      <c r="AC4" s="12" t="inlineStr">
        <is>
          <t>C&amp;I share %</t>
        </is>
      </c>
      <c r="AD4" s="12" t="inlineStr">
        <is>
          <t>Consumer share %</t>
        </is>
      </c>
      <c r="AE4" s="12" t="inlineStr">
        <is>
          <t>YoY asset growth %</t>
        </is>
      </c>
      <c r="AF4" s="12" t="inlineStr">
        <is>
          <t>YoY loan growth %</t>
        </is>
      </c>
      <c r="AG4" s="12" t="inlineStr">
        <is>
          <t>YoY deposit growth %</t>
        </is>
      </c>
      <c r="AH4" s="12" t="inlineStr">
        <is>
          <t>RBC reported</t>
        </is>
      </c>
    </row>
    <row r="5">
      <c r="A5" s="14" t="n">
        <v>44651</v>
      </c>
      <c r="B5" t="n">
        <v>4255</v>
      </c>
      <c r="C5" t="inlineStr">
        <is>
          <t>THE CAMDEN NATIONAL BANK</t>
        </is>
      </c>
      <c r="D5" t="inlineStr">
        <is>
          <t>ME</t>
        </is>
      </c>
      <c r="E5" t="n">
        <v>5406954</v>
      </c>
      <c r="F5" t="n">
        <v>4617834</v>
      </c>
      <c r="G5" t="n">
        <v>494704</v>
      </c>
      <c r="H5" s="16" t="n">
        <v>1.276832854971042</v>
      </c>
      <c r="I5" s="16" t="n">
        <v>13.21</v>
      </c>
      <c r="J5" s="16" t="n">
        <v>2.92744682140836</v>
      </c>
      <c r="K5" s="16" t="n">
        <v>4452</v>
      </c>
      <c r="L5" s="16" t="n">
        <v>250</v>
      </c>
      <c r="M5" s="16" t="n">
        <v>0.1257299297386585</v>
      </c>
      <c r="N5" s="16" t="n">
        <v>1301</v>
      </c>
      <c r="O5" s="16" t="n">
        <v>0</v>
      </c>
      <c r="P5" s="16" t="n">
        <v>13.55614108681593</v>
      </c>
      <c r="Q5" t="n">
        <v>3540923</v>
      </c>
      <c r="R5" t="n">
        <v>3509153</v>
      </c>
      <c r="S5" t="n">
        <v>3145490</v>
      </c>
      <c r="T5" t="n">
        <v>332872</v>
      </c>
      <c r="U5" t="n">
        <v>18973</v>
      </c>
      <c r="V5" t="n">
        <v>0.8972236899813975</v>
      </c>
      <c r="W5" t="n">
        <v>-0.08</v>
      </c>
      <c r="X5" s="16">
        <f>IFERROR(K5/E5*100,"")</f>
        <v/>
      </c>
      <c r="Y5" s="16">
        <f>IFERROR((N5+O5)/E5*100,"")</f>
        <v/>
      </c>
      <c r="Z5" s="16">
        <f>IFERROR(R5/F5*100,"")</f>
        <v/>
      </c>
      <c r="AA5" s="16">
        <f>IFERROR(R5/E5*100,"")</f>
        <v/>
      </c>
      <c r="AB5" s="16">
        <f>IFERROR(S5/Q5*100,"")</f>
        <v/>
      </c>
      <c r="AC5" s="16">
        <f>IFERROR(T5/Q5*100,"")</f>
        <v/>
      </c>
      <c r="AD5" s="16">
        <f>IFERROR(U5/Q5*100,"")</f>
        <v/>
      </c>
      <c r="AE5" s="18" t="n"/>
      <c r="AF5" s="18" t="n"/>
      <c r="AG5" s="18" t="n"/>
      <c r="AH5">
        <f>P5&gt;0</f>
        <v/>
      </c>
    </row>
    <row r="6">
      <c r="A6" s="14" t="n">
        <v>44742</v>
      </c>
      <c r="B6" t="n">
        <v>4255</v>
      </c>
      <c r="C6" t="inlineStr">
        <is>
          <t>THE CAMDEN NATIONAL BANK</t>
        </is>
      </c>
      <c r="D6" t="inlineStr">
        <is>
          <t>ME</t>
        </is>
      </c>
      <c r="E6" t="n">
        <v>5454674</v>
      </c>
      <c r="F6" t="n">
        <v>4564900</v>
      </c>
      <c r="G6" t="n">
        <v>460996</v>
      </c>
      <c r="H6" s="16" t="n">
        <v>1.214915499822094</v>
      </c>
      <c r="I6" s="16" t="n">
        <v>13.12</v>
      </c>
      <c r="J6" s="16" t="n">
        <v>2.934422398041108</v>
      </c>
      <c r="K6" s="16" t="n">
        <v>3505</v>
      </c>
      <c r="L6" s="16" t="n">
        <v>287</v>
      </c>
      <c r="M6" s="16" t="n">
        <v>0.09402916164887171</v>
      </c>
      <c r="N6" s="16" t="n">
        <v>2175</v>
      </c>
      <c r="O6" s="16" t="n">
        <v>0</v>
      </c>
      <c r="P6" s="16" t="n">
        <v>13.29792819565058</v>
      </c>
      <c r="Q6" t="n">
        <v>3727567</v>
      </c>
      <c r="R6" t="n">
        <v>3693323</v>
      </c>
      <c r="S6" t="n">
        <v>3314850</v>
      </c>
      <c r="T6" t="n">
        <v>338478</v>
      </c>
      <c r="U6" t="n">
        <v>19646</v>
      </c>
      <c r="V6" t="n">
        <v>0.9186689333820156</v>
      </c>
      <c r="W6" t="n">
        <v>0.05</v>
      </c>
      <c r="X6" s="16">
        <f>IFERROR(K6/E6*100,"")</f>
        <v/>
      </c>
      <c r="Y6" s="16">
        <f>IFERROR((N6+O6)/E6*100,"")</f>
        <v/>
      </c>
      <c r="Z6" s="16">
        <f>IFERROR(R6/F6*100,"")</f>
        <v/>
      </c>
      <c r="AA6" s="16">
        <f>IFERROR(R6/E6*100,"")</f>
        <v/>
      </c>
      <c r="AB6" s="16">
        <f>IFERROR(S6/Q6*100,"")</f>
        <v/>
      </c>
      <c r="AC6" s="16">
        <f>IFERROR(T6/Q6*100,"")</f>
        <v/>
      </c>
      <c r="AD6" s="16">
        <f>IFERROR(U6/Q6*100,"")</f>
        <v/>
      </c>
      <c r="AE6" s="18" t="n"/>
      <c r="AF6" s="18" t="n"/>
      <c r="AG6" s="18" t="n"/>
      <c r="AH6">
        <f>P6&gt;0</f>
        <v/>
      </c>
    </row>
    <row r="7">
      <c r="A7" s="14" t="n">
        <v>44834</v>
      </c>
      <c r="B7" t="n">
        <v>4255</v>
      </c>
      <c r="C7" t="inlineStr">
        <is>
          <t>THE CAMDEN NATIONAL BANK</t>
        </is>
      </c>
      <c r="D7" t="inlineStr">
        <is>
          <t>ME</t>
        </is>
      </c>
      <c r="E7" t="n">
        <v>5539983</v>
      </c>
      <c r="F7" t="n">
        <v>4604972</v>
      </c>
      <c r="G7" t="n">
        <v>444488</v>
      </c>
      <c r="H7" s="16" t="n">
        <v>1.167716430694944</v>
      </c>
      <c r="I7" s="16" t="n">
        <v>13.05</v>
      </c>
      <c r="J7" s="16" t="n">
        <v>2.962247850097833</v>
      </c>
      <c r="K7" s="16" t="n">
        <v>2765</v>
      </c>
      <c r="L7" s="16" t="n">
        <v>502</v>
      </c>
      <c r="M7" s="16" t="n">
        <v>0.0715337376649577</v>
      </c>
      <c r="N7" s="16" t="n">
        <v>4708</v>
      </c>
      <c r="O7" s="16" t="n">
        <v>0</v>
      </c>
      <c r="P7" s="16" t="n">
        <v>13.07039891970682</v>
      </c>
      <c r="Q7" t="n">
        <v>3865309</v>
      </c>
      <c r="R7" t="n">
        <v>3828767</v>
      </c>
      <c r="S7" t="n">
        <v>3453052</v>
      </c>
      <c r="T7" t="n">
        <v>340321</v>
      </c>
      <c r="U7" t="n">
        <v>21084</v>
      </c>
      <c r="V7" t="n">
        <v>0.945383667903394</v>
      </c>
      <c r="W7" t="n">
        <v>0.1</v>
      </c>
      <c r="X7" s="16">
        <f>IFERROR(K7/E7*100,"")</f>
        <v/>
      </c>
      <c r="Y7" s="16">
        <f>IFERROR((N7+O7)/E7*100,"")</f>
        <v/>
      </c>
      <c r="Z7" s="16">
        <f>IFERROR(R7/F7*100,"")</f>
        <v/>
      </c>
      <c r="AA7" s="16">
        <f>IFERROR(R7/E7*100,"")</f>
        <v/>
      </c>
      <c r="AB7" s="16">
        <f>IFERROR(S7/Q7*100,"")</f>
        <v/>
      </c>
      <c r="AC7" s="16">
        <f>IFERROR(T7/Q7*100,"")</f>
        <v/>
      </c>
      <c r="AD7" s="16">
        <f>IFERROR(U7/Q7*100,"")</f>
        <v/>
      </c>
      <c r="AE7" s="18" t="n"/>
      <c r="AF7" s="18" t="n"/>
      <c r="AG7" s="18" t="n"/>
      <c r="AH7">
        <f>P7&gt;0</f>
        <v/>
      </c>
    </row>
    <row r="8">
      <c r="A8" s="14" t="n">
        <v>44926</v>
      </c>
      <c r="B8" t="n">
        <v>4255</v>
      </c>
      <c r="C8" t="inlineStr">
        <is>
          <t>THE CAMDEN NATIONAL BANK</t>
        </is>
      </c>
      <c r="D8" t="inlineStr">
        <is>
          <t>ME</t>
        </is>
      </c>
      <c r="E8" t="n">
        <v>5662457</v>
      </c>
      <c r="F8" t="n">
        <v>4867005</v>
      </c>
      <c r="G8" t="n">
        <v>460754</v>
      </c>
      <c r="H8" s="16" t="n">
        <v>1.158618501410676</v>
      </c>
      <c r="I8" s="16" t="n">
        <v>13.19</v>
      </c>
      <c r="J8" s="16" t="n">
        <v>2.943922661727125</v>
      </c>
      <c r="K8" s="16" t="n">
        <v>2991</v>
      </c>
      <c r="L8" s="16" t="n">
        <v>764</v>
      </c>
      <c r="M8" s="16" t="n">
        <v>0.074485437860318</v>
      </c>
      <c r="N8" s="16" t="n">
        <v>2554</v>
      </c>
      <c r="O8" s="16" t="n">
        <v>0</v>
      </c>
      <c r="P8" s="16" t="n">
        <v>13.02892674406291</v>
      </c>
      <c r="Q8" t="n">
        <v>4015550</v>
      </c>
      <c r="R8" t="n">
        <v>3978628</v>
      </c>
      <c r="S8" t="n">
        <v>3596765</v>
      </c>
      <c r="T8" t="n">
        <v>354169</v>
      </c>
      <c r="U8" t="n">
        <v>20661</v>
      </c>
      <c r="V8" t="n">
        <v>0.9194755388427488</v>
      </c>
      <c r="W8" t="n">
        <v>0.08</v>
      </c>
      <c r="X8" s="16">
        <f>IFERROR(K8/E8*100,"")</f>
        <v/>
      </c>
      <c r="Y8" s="16">
        <f>IFERROR((N8+O8)/E8*100,"")</f>
        <v/>
      </c>
      <c r="Z8" s="16">
        <f>IFERROR(R8/F8*100,"")</f>
        <v/>
      </c>
      <c r="AA8" s="16">
        <f>IFERROR(R8/E8*100,"")</f>
        <v/>
      </c>
      <c r="AB8" s="16">
        <f>IFERROR(S8/Q8*100,"")</f>
        <v/>
      </c>
      <c r="AC8" s="16">
        <f>IFERROR(T8/Q8*100,"")</f>
        <v/>
      </c>
      <c r="AD8" s="16">
        <f>IFERROR(U8/Q8*100,"")</f>
        <v/>
      </c>
      <c r="AE8" s="18" t="n"/>
      <c r="AF8" s="18" t="n"/>
      <c r="AG8" s="18" t="n"/>
      <c r="AH8">
        <f>P8&gt;0</f>
        <v/>
      </c>
    </row>
    <row r="9">
      <c r="A9" s="14" t="n">
        <v>45016</v>
      </c>
      <c r="B9" t="n">
        <v>4255</v>
      </c>
      <c r="C9" t="inlineStr">
        <is>
          <t>THE CAMDEN NATIONAL BANK</t>
        </is>
      </c>
      <c r="D9" t="inlineStr">
        <is>
          <t>ME</t>
        </is>
      </c>
      <c r="E9" t="n">
        <v>5707400</v>
      </c>
      <c r="F9" t="n">
        <v>4682533</v>
      </c>
      <c r="G9" t="n">
        <v>475108</v>
      </c>
      <c r="H9" s="16" t="n">
        <v>0.9378482068859794</v>
      </c>
      <c r="I9" s="16" t="n">
        <v>11.39</v>
      </c>
      <c r="J9" s="16" t="n">
        <v>2.653211900231365</v>
      </c>
      <c r="K9" s="16" t="n">
        <v>2958</v>
      </c>
      <c r="L9" s="16" t="n">
        <v>227</v>
      </c>
      <c r="M9" s="16" t="n">
        <v>0.0725414268442517</v>
      </c>
      <c r="N9" s="16" t="n">
        <v>2138</v>
      </c>
      <c r="O9" s="16" t="n">
        <v>0</v>
      </c>
      <c r="P9" s="16" t="n">
        <v>13.17824125674212</v>
      </c>
      <c r="Q9" t="n">
        <v>4077670</v>
      </c>
      <c r="R9" t="n">
        <v>4040536</v>
      </c>
      <c r="S9" t="n">
        <v>3668834</v>
      </c>
      <c r="T9" t="n">
        <v>347458</v>
      </c>
      <c r="U9" t="n">
        <v>19811</v>
      </c>
      <c r="V9" t="n">
        <v>0.9106671211745924</v>
      </c>
      <c r="W9" t="n">
        <v>0.01</v>
      </c>
      <c r="X9" s="16">
        <f>IFERROR(K9/E9*100,"")</f>
        <v/>
      </c>
      <c r="Y9" s="16">
        <f>IFERROR((N9+O9)/E9*100,"")</f>
        <v/>
      </c>
      <c r="Z9" s="16">
        <f>IFERROR(R9/F9*100,"")</f>
        <v/>
      </c>
      <c r="AA9" s="16">
        <f>IFERROR(R9/E9*100,"")</f>
        <v/>
      </c>
      <c r="AB9" s="16">
        <f>IFERROR(S9/Q9*100,"")</f>
        <v/>
      </c>
      <c r="AC9" s="16">
        <f>IFERROR(T9/Q9*100,"")</f>
        <v/>
      </c>
      <c r="AD9" s="16">
        <f>IFERROR(U9/Q9*100,"")</f>
        <v/>
      </c>
      <c r="AE9" s="18">
        <f>IFERROR(E9/E5-1,"")</f>
        <v/>
      </c>
      <c r="AF9" s="18">
        <f>IFERROR(R9/R5-1,"")</f>
        <v/>
      </c>
      <c r="AG9" s="18">
        <f>IFERROR(F9/F5-1,"")</f>
        <v/>
      </c>
      <c r="AH9">
        <f>P9&gt;0</f>
        <v/>
      </c>
    </row>
    <row r="10">
      <c r="A10" s="14" t="n">
        <v>45107</v>
      </c>
      <c r="B10" t="n">
        <v>4255</v>
      </c>
      <c r="C10" t="inlineStr">
        <is>
          <t>THE CAMDEN NATIONAL BANK</t>
        </is>
      </c>
      <c r="D10" t="inlineStr">
        <is>
          <t>ME</t>
        </is>
      </c>
      <c r="E10" t="n">
        <v>5734437</v>
      </c>
      <c r="F10" t="n">
        <v>4731600</v>
      </c>
      <c r="G10" t="n">
        <v>478695</v>
      </c>
      <c r="H10" s="16" t="n">
        <v>0.9272408437319892</v>
      </c>
      <c r="I10" s="16" t="n">
        <v>11.21</v>
      </c>
      <c r="J10" s="16" t="n">
        <v>2.587870034478933</v>
      </c>
      <c r="K10" s="16" t="n">
        <v>3048</v>
      </c>
      <c r="L10" s="16" t="n">
        <v>683</v>
      </c>
      <c r="M10" s="16" t="n">
        <v>0.0741215033338869</v>
      </c>
      <c r="N10" s="16" t="n">
        <v>2251</v>
      </c>
      <c r="O10" s="16" t="n">
        <v>0</v>
      </c>
      <c r="P10" s="16" t="n">
        <v>13.22979729572368</v>
      </c>
      <c r="Q10" t="n">
        <v>4112167</v>
      </c>
      <c r="R10" t="n">
        <v>4075184</v>
      </c>
      <c r="S10" t="n">
        <v>3708024</v>
      </c>
      <c r="T10" t="n">
        <v>346048</v>
      </c>
      <c r="U10" t="n">
        <v>19845</v>
      </c>
      <c r="V10" t="n">
        <v>0.8993554979649416</v>
      </c>
      <c r="W10" t="n">
        <v>0.01</v>
      </c>
      <c r="X10" s="16">
        <f>IFERROR(K10/E10*100,"")</f>
        <v/>
      </c>
      <c r="Y10" s="16">
        <f>IFERROR((N10+O10)/E10*100,"")</f>
        <v/>
      </c>
      <c r="Z10" s="16">
        <f>IFERROR(R10/F10*100,"")</f>
        <v/>
      </c>
      <c r="AA10" s="16">
        <f>IFERROR(R10/E10*100,"")</f>
        <v/>
      </c>
      <c r="AB10" s="16">
        <f>IFERROR(S10/Q10*100,"")</f>
        <v/>
      </c>
      <c r="AC10" s="16">
        <f>IFERROR(T10/Q10*100,"")</f>
        <v/>
      </c>
      <c r="AD10" s="16">
        <f>IFERROR(U10/Q10*100,"")</f>
        <v/>
      </c>
      <c r="AE10" s="18">
        <f>IFERROR(E10/E6-1,"")</f>
        <v/>
      </c>
      <c r="AF10" s="18">
        <f>IFERROR(R10/R6-1,"")</f>
        <v/>
      </c>
      <c r="AG10" s="18">
        <f>IFERROR(F10/F6-1,"")</f>
        <v/>
      </c>
      <c r="AH10">
        <f>P10&gt;0</f>
        <v/>
      </c>
    </row>
    <row r="11">
      <c r="A11" s="14" t="n">
        <v>45199</v>
      </c>
      <c r="B11" t="n">
        <v>4255</v>
      </c>
      <c r="C11" t="inlineStr">
        <is>
          <t>THE CAMDEN NATIONAL BANK</t>
        </is>
      </c>
      <c r="D11" t="inlineStr">
        <is>
          <t>ME</t>
        </is>
      </c>
      <c r="E11" t="n">
        <v>5769551</v>
      </c>
      <c r="F11" t="n">
        <v>4715626</v>
      </c>
      <c r="G11" t="n">
        <v>473807</v>
      </c>
      <c r="H11" s="16" t="n">
        <v>0.8584379128213905</v>
      </c>
      <c r="I11" s="16" t="n">
        <v>10.4</v>
      </c>
      <c r="J11" s="16" t="n">
        <v>2.56474515514667</v>
      </c>
      <c r="K11" s="16" t="n">
        <v>4624</v>
      </c>
      <c r="L11" s="16" t="n">
        <v>803</v>
      </c>
      <c r="M11" s="16" t="n">
        <v>0.1136229604875172</v>
      </c>
      <c r="N11" s="16" t="n">
        <v>3802</v>
      </c>
      <c r="O11" s="16" t="n">
        <v>0</v>
      </c>
      <c r="P11" s="16" t="n">
        <v>13.47986046765139</v>
      </c>
      <c r="Q11" t="n">
        <v>4069600</v>
      </c>
      <c r="R11" t="n">
        <v>4033193</v>
      </c>
      <c r="S11" t="n">
        <v>3692040</v>
      </c>
      <c r="T11" t="n">
        <v>329244</v>
      </c>
      <c r="U11" t="n">
        <v>19312</v>
      </c>
      <c r="V11" t="n">
        <v>0.8946088067623355</v>
      </c>
      <c r="W11" t="n">
        <v>-0.01</v>
      </c>
      <c r="X11" s="16">
        <f>IFERROR(K11/E11*100,"")</f>
        <v/>
      </c>
      <c r="Y11" s="16">
        <f>IFERROR((N11+O11)/E11*100,"")</f>
        <v/>
      </c>
      <c r="Z11" s="16">
        <f>IFERROR(R11/F11*100,"")</f>
        <v/>
      </c>
      <c r="AA11" s="16">
        <f>IFERROR(R11/E11*100,"")</f>
        <v/>
      </c>
      <c r="AB11" s="16">
        <f>IFERROR(S11/Q11*100,"")</f>
        <v/>
      </c>
      <c r="AC11" s="16">
        <f>IFERROR(T11/Q11*100,"")</f>
        <v/>
      </c>
      <c r="AD11" s="16">
        <f>IFERROR(U11/Q11*100,"")</f>
        <v/>
      </c>
      <c r="AE11" s="18">
        <f>IFERROR(E11/E7-1,"")</f>
        <v/>
      </c>
      <c r="AF11" s="18">
        <f>IFERROR(R11/R7-1,"")</f>
        <v/>
      </c>
      <c r="AG11" s="18">
        <f>IFERROR(F11/F7-1,"")</f>
        <v/>
      </c>
      <c r="AH11">
        <f>P11&gt;0</f>
        <v/>
      </c>
    </row>
    <row r="12">
      <c r="A12" s="14" t="n">
        <v>45291</v>
      </c>
      <c r="B12" t="n">
        <v>4255</v>
      </c>
      <c r="C12" t="inlineStr">
        <is>
          <t>THE CAMDEN NATIONAL BANK</t>
        </is>
      </c>
      <c r="D12" t="inlineStr">
        <is>
          <t>ME</t>
        </is>
      </c>
      <c r="E12" t="n">
        <v>5700364</v>
      </c>
      <c r="F12" t="n">
        <v>4632579</v>
      </c>
      <c r="G12" t="n">
        <v>508674</v>
      </c>
      <c r="H12" s="16" t="n">
        <v>0.80297935806377</v>
      </c>
      <c r="I12" s="16" t="n">
        <v>9.57</v>
      </c>
      <c r="J12" s="16" t="n">
        <v>2.558444466976091</v>
      </c>
      <c r="K12" s="16" t="n">
        <v>5448</v>
      </c>
      <c r="L12" s="16" t="n">
        <v>1161</v>
      </c>
      <c r="M12" s="16" t="n">
        <v>0.1326059155674185</v>
      </c>
      <c r="N12" s="16" t="n">
        <v>4959</v>
      </c>
      <c r="O12" s="16" t="n">
        <v>0</v>
      </c>
      <c r="P12" s="16" t="n">
        <v>13.69768138446041</v>
      </c>
      <c r="Q12" t="n">
        <v>4108414</v>
      </c>
      <c r="R12" t="n">
        <v>4071479</v>
      </c>
      <c r="S12" t="n">
        <v>3717758</v>
      </c>
      <c r="T12" t="n">
        <v>335214</v>
      </c>
      <c r="U12" t="n">
        <v>18237</v>
      </c>
      <c r="V12" t="n">
        <v>0.8990087172324893</v>
      </c>
      <c r="W12" t="n">
        <v>0</v>
      </c>
      <c r="X12" s="16">
        <f>IFERROR(K12/E12*100,"")</f>
        <v/>
      </c>
      <c r="Y12" s="16">
        <f>IFERROR((N12+O12)/E12*100,"")</f>
        <v/>
      </c>
      <c r="Z12" s="16">
        <f>IFERROR(R12/F12*100,"")</f>
        <v/>
      </c>
      <c r="AA12" s="16">
        <f>IFERROR(R12/E12*100,"")</f>
        <v/>
      </c>
      <c r="AB12" s="16">
        <f>IFERROR(S12/Q12*100,"")</f>
        <v/>
      </c>
      <c r="AC12" s="16">
        <f>IFERROR(T12/Q12*100,"")</f>
        <v/>
      </c>
      <c r="AD12" s="16">
        <f>IFERROR(U12/Q12*100,"")</f>
        <v/>
      </c>
      <c r="AE12" s="18">
        <f>IFERROR(E12/E8-1,"")</f>
        <v/>
      </c>
      <c r="AF12" s="18">
        <f>IFERROR(R12/R8-1,"")</f>
        <v/>
      </c>
      <c r="AG12" s="18">
        <f>IFERROR(F12/F8-1,"")</f>
        <v/>
      </c>
      <c r="AH12">
        <f>P12&gt;0</f>
        <v/>
      </c>
    </row>
    <row r="13">
      <c r="A13" s="14" t="n">
        <v>45382</v>
      </c>
      <c r="B13" t="n">
        <v>4255</v>
      </c>
      <c r="C13" t="inlineStr">
        <is>
          <t>THE CAMDEN NATIONAL BANK</t>
        </is>
      </c>
      <c r="D13" t="inlineStr">
        <is>
          <t>ME</t>
        </is>
      </c>
      <c r="E13" t="n">
        <v>5784624</v>
      </c>
      <c r="F13" t="n">
        <v>4586176</v>
      </c>
      <c r="G13" t="n">
        <v>514258</v>
      </c>
      <c r="H13" s="16" t="n">
        <v>0.9651555578464688</v>
      </c>
      <c r="I13" s="16" t="n">
        <v>10.84</v>
      </c>
      <c r="J13" s="16" t="n">
        <v>2.413359325677016</v>
      </c>
      <c r="K13" s="16" t="n">
        <v>5658</v>
      </c>
      <c r="L13" s="16" t="n">
        <v>158</v>
      </c>
      <c r="M13" s="16" t="n">
        <v>0.1369788726188481</v>
      </c>
      <c r="N13" s="16" t="n">
        <v>2044</v>
      </c>
      <c r="O13" s="16" t="n">
        <v>0</v>
      </c>
      <c r="P13" s="16" t="n">
        <v>13.84643656545922</v>
      </c>
      <c r="Q13" t="n">
        <v>4130564</v>
      </c>
      <c r="R13" t="n">
        <v>4094951</v>
      </c>
      <c r="S13" t="n">
        <v>3749893</v>
      </c>
      <c r="T13" t="n">
        <v>330311</v>
      </c>
      <c r="U13" t="n">
        <v>17653</v>
      </c>
      <c r="V13" t="n">
        <v>0.8621825009853377</v>
      </c>
      <c r="W13" t="n">
        <v>-0.08</v>
      </c>
      <c r="X13" s="16">
        <f>IFERROR(K13/E13*100,"")</f>
        <v/>
      </c>
      <c r="Y13" s="16">
        <f>IFERROR((N13+O13)/E13*100,"")</f>
        <v/>
      </c>
      <c r="Z13" s="16">
        <f>IFERROR(R13/F13*100,"")</f>
        <v/>
      </c>
      <c r="AA13" s="16">
        <f>IFERROR(R13/E13*100,"")</f>
        <v/>
      </c>
      <c r="AB13" s="16">
        <f>IFERROR(S13/Q13*100,"")</f>
        <v/>
      </c>
      <c r="AC13" s="16">
        <f>IFERROR(T13/Q13*100,"")</f>
        <v/>
      </c>
      <c r="AD13" s="16">
        <f>IFERROR(U13/Q13*100,"")</f>
        <v/>
      </c>
      <c r="AE13" s="18">
        <f>IFERROR(E13/E9-1,"")</f>
        <v/>
      </c>
      <c r="AF13" s="18">
        <f>IFERROR(R13/R9-1,"")</f>
        <v/>
      </c>
      <c r="AG13" s="18">
        <f>IFERROR(F13/F9-1,"")</f>
        <v/>
      </c>
      <c r="AH13">
        <f>P13&gt;0</f>
        <v/>
      </c>
    </row>
    <row r="14">
      <c r="A14" s="14" t="n">
        <v>45473</v>
      </c>
      <c r="B14" t="n">
        <v>4255</v>
      </c>
      <c r="C14" t="inlineStr">
        <is>
          <t>THE CAMDEN NATIONAL BANK</t>
        </is>
      </c>
      <c r="D14" t="inlineStr">
        <is>
          <t>ME</t>
        </is>
      </c>
      <c r="E14" t="n">
        <v>5709625</v>
      </c>
      <c r="F14" t="n">
        <v>4547560</v>
      </c>
      <c r="G14" t="n">
        <v>521498</v>
      </c>
      <c r="H14" s="16" t="n">
        <v>0.9248129050650922</v>
      </c>
      <c r="I14" s="16" t="n">
        <v>10.3</v>
      </c>
      <c r="J14" s="16" t="n">
        <v>2.453305704654209</v>
      </c>
      <c r="K14" s="16" t="n">
        <v>7795</v>
      </c>
      <c r="L14" s="16" t="n">
        <v>547</v>
      </c>
      <c r="M14" s="16" t="n">
        <v>0.1876648236432158</v>
      </c>
      <c r="N14" s="16" t="n">
        <v>2245</v>
      </c>
      <c r="O14" s="16" t="n">
        <v>0</v>
      </c>
      <c r="P14" s="16" t="n">
        <v>13.83063265503392</v>
      </c>
      <c r="Q14" t="n">
        <v>4153682</v>
      </c>
      <c r="R14" t="n">
        <v>4118270</v>
      </c>
      <c r="S14" t="n">
        <v>3763309</v>
      </c>
      <c r="T14" t="n">
        <v>336171</v>
      </c>
      <c r="U14" t="n">
        <v>16595</v>
      </c>
      <c r="V14" t="n">
        <v>0.8525448024186734</v>
      </c>
      <c r="W14" t="n">
        <v>-0.02</v>
      </c>
      <c r="X14" s="16">
        <f>IFERROR(K14/E14*100,"")</f>
        <v/>
      </c>
      <c r="Y14" s="16">
        <f>IFERROR((N14+O14)/E14*100,"")</f>
        <v/>
      </c>
      <c r="Z14" s="16">
        <f>IFERROR(R14/F14*100,"")</f>
        <v/>
      </c>
      <c r="AA14" s="16">
        <f>IFERROR(R14/E14*100,"")</f>
        <v/>
      </c>
      <c r="AB14" s="16">
        <f>IFERROR(S14/Q14*100,"")</f>
        <v/>
      </c>
      <c r="AC14" s="16">
        <f>IFERROR(T14/Q14*100,"")</f>
        <v/>
      </c>
      <c r="AD14" s="16">
        <f>IFERROR(U14/Q14*100,"")</f>
        <v/>
      </c>
      <c r="AE14" s="18">
        <f>IFERROR(E14/E10-1,"")</f>
        <v/>
      </c>
      <c r="AF14" s="18">
        <f>IFERROR(R14/R10-1,"")</f>
        <v/>
      </c>
      <c r="AG14" s="18">
        <f>IFERROR(F14/F10-1,"")</f>
        <v/>
      </c>
      <c r="AH14">
        <f>P14&gt;0</f>
        <v/>
      </c>
    </row>
    <row r="15">
      <c r="A15" s="14" t="n">
        <v>45565</v>
      </c>
      <c r="B15" t="n">
        <v>4255</v>
      </c>
      <c r="C15" t="inlineStr">
        <is>
          <t>THE CAMDEN NATIONAL BANK</t>
        </is>
      </c>
      <c r="D15" t="inlineStr">
        <is>
          <t>ME</t>
        </is>
      </c>
      <c r="E15" t="n">
        <v>5730254</v>
      </c>
      <c r="F15" t="n">
        <v>4609875</v>
      </c>
      <c r="G15" t="n">
        <v>543598</v>
      </c>
      <c r="H15" s="16" t="n">
        <v>0.9337865070275</v>
      </c>
      <c r="I15" s="16" t="n">
        <v>10.25</v>
      </c>
      <c r="J15" s="16" t="n">
        <v>2.499336697909156</v>
      </c>
      <c r="K15" s="16" t="n">
        <v>5350</v>
      </c>
      <c r="L15" s="16" t="n">
        <v>828</v>
      </c>
      <c r="M15" s="16" t="n">
        <v>0.1295890573546634</v>
      </c>
      <c r="N15" s="16" t="n">
        <v>1391</v>
      </c>
      <c r="O15" s="16" t="n">
        <v>0</v>
      </c>
      <c r="P15" s="16" t="n">
        <v>14.18672468188386</v>
      </c>
      <c r="Q15" t="n">
        <v>4128435</v>
      </c>
      <c r="R15" t="n">
        <v>4093021</v>
      </c>
      <c r="S15" t="n">
        <v>3753732</v>
      </c>
      <c r="T15" t="n">
        <v>319799</v>
      </c>
      <c r="U15" t="n">
        <v>16003</v>
      </c>
      <c r="V15" t="n">
        <v>0.8578068929267386</v>
      </c>
      <c r="W15" t="n">
        <v>-0.01</v>
      </c>
      <c r="X15" s="16">
        <f>IFERROR(K15/E15*100,"")</f>
        <v/>
      </c>
      <c r="Y15" s="16">
        <f>IFERROR((N15+O15)/E15*100,"")</f>
        <v/>
      </c>
      <c r="Z15" s="16">
        <f>IFERROR(R15/F15*100,"")</f>
        <v/>
      </c>
      <c r="AA15" s="16">
        <f>IFERROR(R15/E15*100,"")</f>
        <v/>
      </c>
      <c r="AB15" s="16">
        <f>IFERROR(S15/Q15*100,"")</f>
        <v/>
      </c>
      <c r="AC15" s="16">
        <f>IFERROR(T15/Q15*100,"")</f>
        <v/>
      </c>
      <c r="AD15" s="16">
        <f>IFERROR(U15/Q15*100,"")</f>
        <v/>
      </c>
      <c r="AE15" s="18">
        <f>IFERROR(E15/E11-1,"")</f>
        <v/>
      </c>
      <c r="AF15" s="18">
        <f>IFERROR(R15/R11-1,"")</f>
        <v/>
      </c>
      <c r="AG15" s="18">
        <f>IFERROR(F15/F11-1,"")</f>
        <v/>
      </c>
      <c r="AH15">
        <f>P15&gt;0</f>
        <v/>
      </c>
    </row>
    <row r="16">
      <c r="A16" s="14" t="n">
        <v>45657</v>
      </c>
      <c r="B16" t="n">
        <v>4255</v>
      </c>
      <c r="C16" t="inlineStr">
        <is>
          <t>THE CAMDEN NATIONAL BANK</t>
        </is>
      </c>
      <c r="D16" t="inlineStr">
        <is>
          <t>ME</t>
        </is>
      </c>
      <c r="E16" t="n">
        <v>5790238</v>
      </c>
      <c r="F16" t="n">
        <v>4671726</v>
      </c>
      <c r="G16" t="n">
        <v>539279</v>
      </c>
      <c r="H16" s="16" t="n">
        <v>0.9661465629326448</v>
      </c>
      <c r="I16" s="16" t="n">
        <v>10.56</v>
      </c>
      <c r="J16" s="16" t="n">
        <v>2.550880805534638</v>
      </c>
      <c r="K16" s="16" t="n">
        <v>4829</v>
      </c>
      <c r="L16" s="16" t="n">
        <v>1260</v>
      </c>
      <c r="M16" s="16" t="n">
        <v>0.1170295576578384</v>
      </c>
      <c r="N16" s="16" t="n">
        <v>2261</v>
      </c>
      <c r="O16" s="16" t="n">
        <v>0</v>
      </c>
      <c r="P16" s="16" t="n">
        <v>14.3631579775332</v>
      </c>
      <c r="Q16" t="n">
        <v>4126308</v>
      </c>
      <c r="R16" t="n">
        <v>4090580</v>
      </c>
      <c r="S16" t="n">
        <v>3755741</v>
      </c>
      <c r="T16" t="n">
        <v>317650</v>
      </c>
      <c r="U16" t="n">
        <v>15066</v>
      </c>
      <c r="V16" t="n">
        <v>0.8658587773864674</v>
      </c>
      <c r="W16" t="n">
        <v>0.01</v>
      </c>
      <c r="X16" s="16">
        <f>IFERROR(K16/E16*100,"")</f>
        <v/>
      </c>
      <c r="Y16" s="16">
        <f>IFERROR((N16+O16)/E16*100,"")</f>
        <v/>
      </c>
      <c r="Z16" s="16">
        <f>IFERROR(R16/F16*100,"")</f>
        <v/>
      </c>
      <c r="AA16" s="16">
        <f>IFERROR(R16/E16*100,"")</f>
        <v/>
      </c>
      <c r="AB16" s="16">
        <f>IFERROR(S16/Q16*100,"")</f>
        <v/>
      </c>
      <c r="AC16" s="16">
        <f>IFERROR(T16/Q16*100,"")</f>
        <v/>
      </c>
      <c r="AD16" s="16">
        <f>IFERROR(U16/Q16*100,"")</f>
        <v/>
      </c>
      <c r="AE16" s="18">
        <f>IFERROR(E16/E12-1,"")</f>
        <v/>
      </c>
      <c r="AF16" s="18">
        <f>IFERROR(R16/R12-1,"")</f>
        <v/>
      </c>
      <c r="AG16" s="18">
        <f>IFERROR(F16/F12-1,"")</f>
        <v/>
      </c>
      <c r="AH16">
        <f>P16&gt;0</f>
        <v/>
      </c>
    </row>
    <row r="17">
      <c r="A17" s="14" t="n">
        <v>45747</v>
      </c>
      <c r="B17" t="n">
        <v>4255</v>
      </c>
      <c r="C17" t="inlineStr">
        <is>
          <t>THE CAMDEN NATIONAL BANK</t>
        </is>
      </c>
      <c r="D17" t="inlineStr">
        <is>
          <t>ME</t>
        </is>
      </c>
      <c r="E17" t="n">
        <v>6948167</v>
      </c>
      <c r="F17" t="n">
        <v>5632856</v>
      </c>
      <c r="G17" t="n">
        <v>671520</v>
      </c>
      <c r="H17" s="16" t="n">
        <v>0.5252776937144014</v>
      </c>
      <c r="I17" s="16" t="n">
        <v>5.53</v>
      </c>
      <c r="J17" s="16" t="n">
        <v>3.415513810158685</v>
      </c>
      <c r="K17" s="16" t="n">
        <v>7251</v>
      </c>
      <c r="L17" s="16" t="n">
        <v>949</v>
      </c>
      <c r="M17" s="16" t="n">
        <v>0.1480961041799211</v>
      </c>
      <c r="N17" s="16" t="n">
        <v>3341</v>
      </c>
      <c r="O17" s="16" t="n">
        <v>0</v>
      </c>
      <c r="P17" s="16" t="n">
        <v>12.55350925006279</v>
      </c>
      <c r="Q17" t="n">
        <v>4896145</v>
      </c>
      <c r="R17" t="n">
        <v>4849422</v>
      </c>
      <c r="S17" t="n">
        <v>4419349</v>
      </c>
      <c r="T17" t="n">
        <v>341292</v>
      </c>
      <c r="U17" t="n">
        <v>24145</v>
      </c>
      <c r="V17" t="n">
        <v>0.9542813785130956</v>
      </c>
      <c r="W17" t="n">
        <v>0.59</v>
      </c>
      <c r="X17" s="16">
        <f>IFERROR(K17/E17*100,"")</f>
        <v/>
      </c>
      <c r="Y17" s="16">
        <f>IFERROR((N17+O17)/E17*100,"")</f>
        <v/>
      </c>
      <c r="Z17" s="16">
        <f>IFERROR(R17/F17*100,"")</f>
        <v/>
      </c>
      <c r="AA17" s="16">
        <f>IFERROR(R17/E17*100,"")</f>
        <v/>
      </c>
      <c r="AB17" s="16">
        <f>IFERROR(S17/Q17*100,"")</f>
        <v/>
      </c>
      <c r="AC17" s="16">
        <f>IFERROR(T17/Q17*100,"")</f>
        <v/>
      </c>
      <c r="AD17" s="16">
        <f>IFERROR(U17/Q17*100,"")</f>
        <v/>
      </c>
      <c r="AE17" s="18">
        <f>IFERROR(E17/E13-1,"")</f>
        <v/>
      </c>
      <c r="AF17" s="18">
        <f>IFERROR(R17/R13-1,"")</f>
        <v/>
      </c>
      <c r="AG17" s="18">
        <f>IFERROR(F17/F13-1,"")</f>
        <v/>
      </c>
      <c r="AH17">
        <f>P17&gt;0</f>
        <v/>
      </c>
    </row>
    <row r="18">
      <c r="A18" s="14" t="n">
        <v>45838</v>
      </c>
      <c r="B18" t="n">
        <v>4255</v>
      </c>
      <c r="C18" t="inlineStr">
        <is>
          <t>THE CAMDEN NATIONAL BANK</t>
        </is>
      </c>
      <c r="D18" t="inlineStr">
        <is>
          <t>ME</t>
        </is>
      </c>
      <c r="E18" t="n">
        <v>6902692</v>
      </c>
      <c r="F18" t="n">
        <v>5545916</v>
      </c>
      <c r="G18" t="n">
        <v>687541</v>
      </c>
      <c r="H18" s="16" t="n">
        <v>0.7190738887955189</v>
      </c>
      <c r="I18" s="16" t="n">
        <v>7.44</v>
      </c>
      <c r="J18" s="16" t="n">
        <v>3.343185471167145</v>
      </c>
      <c r="K18" s="16" t="n">
        <v>18177</v>
      </c>
      <c r="L18" s="16" t="n">
        <v>1246</v>
      </c>
      <c r="M18" s="16" t="n">
        <v>0.3669203639288033</v>
      </c>
      <c r="N18" s="16" t="n">
        <v>4114</v>
      </c>
      <c r="O18" s="16" t="n">
        <v>0</v>
      </c>
      <c r="P18" s="16" t="n">
        <v>12.85392725980334</v>
      </c>
      <c r="Q18" t="n">
        <v>4953936</v>
      </c>
      <c r="R18" t="n">
        <v>4900914</v>
      </c>
      <c r="S18" t="n">
        <v>4456325</v>
      </c>
      <c r="T18" t="n">
        <v>341829</v>
      </c>
      <c r="U18" t="n">
        <v>23213</v>
      </c>
      <c r="V18" t="n">
        <v>1.070300464115806</v>
      </c>
      <c r="W18" t="n">
        <v>0.5</v>
      </c>
      <c r="X18" s="16">
        <f>IFERROR(K18/E18*100,"")</f>
        <v/>
      </c>
      <c r="Y18" s="16">
        <f>IFERROR((N18+O18)/E18*100,"")</f>
        <v/>
      </c>
      <c r="Z18" s="16">
        <f>IFERROR(R18/F18*100,"")</f>
        <v/>
      </c>
      <c r="AA18" s="16">
        <f>IFERROR(R18/E18*100,"")</f>
        <v/>
      </c>
      <c r="AB18" s="16">
        <f>IFERROR(S18/Q18*100,"")</f>
        <v/>
      </c>
      <c r="AC18" s="16">
        <f>IFERROR(T18/Q18*100,"")</f>
        <v/>
      </c>
      <c r="AD18" s="16">
        <f>IFERROR(U18/Q18*100,"")</f>
        <v/>
      </c>
      <c r="AE18" s="18">
        <f>IFERROR(E18/E14-1,"")</f>
        <v/>
      </c>
      <c r="AF18" s="18">
        <f>IFERROR(R18/R14-1,"")</f>
        <v/>
      </c>
      <c r="AG18" s="18">
        <f>IFERROR(F18/F14-1,"")</f>
        <v/>
      </c>
      <c r="AH18">
        <f>P18&gt;0</f>
        <v/>
      </c>
    </row>
    <row r="19">
      <c r="A19" s="14" t="n">
        <v>44651</v>
      </c>
      <c r="B19" t="n">
        <v>4256</v>
      </c>
      <c r="C19" t="inlineStr">
        <is>
          <t>FIRST NATIONAL BANK</t>
        </is>
      </c>
      <c r="D19" t="inlineStr">
        <is>
          <t>ME</t>
        </is>
      </c>
      <c r="E19" t="n">
        <v>2514032</v>
      </c>
      <c r="F19" t="n">
        <v>2159436</v>
      </c>
      <c r="G19" t="n">
        <v>204756</v>
      </c>
      <c r="H19" s="16" t="n">
        <v>1.580607341864419</v>
      </c>
      <c r="I19" s="16" t="n">
        <v>18.79</v>
      </c>
      <c r="J19" s="16" t="n">
        <v>3.157684028293083</v>
      </c>
      <c r="K19" s="16" t="n">
        <v>5049</v>
      </c>
      <c r="L19" s="16" t="n">
        <v>205</v>
      </c>
      <c r="M19" s="16" t="n">
        <v>0.2983461260092238</v>
      </c>
      <c r="N19" s="16" t="n">
        <v>892</v>
      </c>
      <c r="O19" s="16" t="n">
        <v>46</v>
      </c>
      <c r="P19" s="16" t="n">
        <v>14.00505654382161</v>
      </c>
      <c r="Q19" t="n">
        <v>1707748</v>
      </c>
      <c r="R19" t="n">
        <v>1691982</v>
      </c>
      <c r="S19" t="n">
        <v>1367138</v>
      </c>
      <c r="T19" t="n">
        <v>226654</v>
      </c>
      <c r="U19" t="n">
        <v>22077</v>
      </c>
      <c r="V19" t="n">
        <v>0.9232041261357062</v>
      </c>
      <c r="W19" t="n">
        <v>0.07000000000000001</v>
      </c>
      <c r="X19" s="16">
        <f>IFERROR(K19/E19*100,"")</f>
        <v/>
      </c>
      <c r="Y19" s="16">
        <f>IFERROR((N19+O19)/E19*100,"")</f>
        <v/>
      </c>
      <c r="Z19" s="16">
        <f>IFERROR(R19/F19*100,"")</f>
        <v/>
      </c>
      <c r="AA19" s="16">
        <f>IFERROR(R19/E19*100,"")</f>
        <v/>
      </c>
      <c r="AB19" s="16">
        <f>IFERROR(S19/Q19*100,"")</f>
        <v/>
      </c>
      <c r="AC19" s="16">
        <f>IFERROR(T19/Q19*100,"")</f>
        <v/>
      </c>
      <c r="AD19" s="16">
        <f>IFERROR(U19/Q19*100,"")</f>
        <v/>
      </c>
      <c r="AE19" s="18" t="n"/>
      <c r="AF19" s="18" t="n"/>
      <c r="AG19" s="18" t="n"/>
      <c r="AH19">
        <f>P19&gt;0</f>
        <v/>
      </c>
    </row>
    <row r="20">
      <c r="A20" s="14" t="n">
        <v>44742</v>
      </c>
      <c r="B20" t="n">
        <v>4256</v>
      </c>
      <c r="C20" t="inlineStr">
        <is>
          <t>FIRST NATIONAL BANK</t>
        </is>
      </c>
      <c r="D20" t="inlineStr">
        <is>
          <t>ME</t>
        </is>
      </c>
      <c r="E20" t="n">
        <v>2595799</v>
      </c>
      <c r="F20" t="n">
        <v>2252978</v>
      </c>
      <c r="G20" t="n">
        <v>198923</v>
      </c>
      <c r="H20" s="16" t="n">
        <v>1.58945046854303</v>
      </c>
      <c r="I20" s="16" t="n">
        <v>19.49</v>
      </c>
      <c r="J20" s="16" t="n">
        <v>3.130725042374857</v>
      </c>
      <c r="K20" s="16" t="n">
        <v>4812</v>
      </c>
      <c r="L20" s="16" t="n">
        <v>220</v>
      </c>
      <c r="M20" s="16" t="n">
        <v>0.2732185457708139</v>
      </c>
      <c r="N20" s="16" t="n">
        <v>997</v>
      </c>
      <c r="O20" s="16" t="n">
        <v>76</v>
      </c>
      <c r="P20" s="16" t="n">
        <v>13.56411542285024</v>
      </c>
      <c r="Q20" t="n">
        <v>1789044</v>
      </c>
      <c r="R20" t="n">
        <v>1772843</v>
      </c>
      <c r="S20" t="n">
        <v>1445139</v>
      </c>
      <c r="T20" t="n">
        <v>229669</v>
      </c>
      <c r="U20" t="n">
        <v>21356</v>
      </c>
      <c r="V20" t="n">
        <v>0.9055674427235998</v>
      </c>
      <c r="W20" t="n">
        <v>0.07000000000000001</v>
      </c>
      <c r="X20" s="16">
        <f>IFERROR(K20/E20*100,"")</f>
        <v/>
      </c>
      <c r="Y20" s="16">
        <f>IFERROR((N20+O20)/E20*100,"")</f>
        <v/>
      </c>
      <c r="Z20" s="16">
        <f>IFERROR(R20/F20*100,"")</f>
        <v/>
      </c>
      <c r="AA20" s="16">
        <f>IFERROR(R20/E20*100,"")</f>
        <v/>
      </c>
      <c r="AB20" s="16">
        <f>IFERROR(S20/Q20*100,"")</f>
        <v/>
      </c>
      <c r="AC20" s="16">
        <f>IFERROR(T20/Q20*100,"")</f>
        <v/>
      </c>
      <c r="AD20" s="16">
        <f>IFERROR(U20/Q20*100,"")</f>
        <v/>
      </c>
      <c r="AE20" s="18" t="n"/>
      <c r="AF20" s="18" t="n"/>
      <c r="AG20" s="18" t="n"/>
      <c r="AH20">
        <f>P20&gt;0</f>
        <v/>
      </c>
    </row>
    <row r="21">
      <c r="A21" s="14" t="n">
        <v>44834</v>
      </c>
      <c r="B21" t="n">
        <v>4256</v>
      </c>
      <c r="C21" t="inlineStr">
        <is>
          <t>FIRST NATIONAL BANK</t>
        </is>
      </c>
      <c r="D21" t="inlineStr">
        <is>
          <t>ME</t>
        </is>
      </c>
      <c r="E21" t="n">
        <v>2699877</v>
      </c>
      <c r="F21" t="n">
        <v>2370865</v>
      </c>
      <c r="G21" t="n">
        <v>191219</v>
      </c>
      <c r="H21" s="16" t="n">
        <v>1.575911934734097</v>
      </c>
      <c r="I21" s="16" t="n">
        <v>20.01</v>
      </c>
      <c r="J21" s="16" t="n">
        <v>3.119794427714439</v>
      </c>
      <c r="K21" s="16" t="n">
        <v>1860</v>
      </c>
      <c r="L21" s="16" t="n">
        <v>434</v>
      </c>
      <c r="M21" s="16" t="n">
        <v>0.1001089896258022</v>
      </c>
      <c r="N21" s="16" t="n">
        <v>898</v>
      </c>
      <c r="O21" s="16" t="n">
        <v>0</v>
      </c>
      <c r="P21" s="16" t="n">
        <v>13.52424153457845</v>
      </c>
      <c r="Q21" t="n">
        <v>1857975</v>
      </c>
      <c r="R21" t="n">
        <v>1841588</v>
      </c>
      <c r="S21" t="n">
        <v>1478344</v>
      </c>
      <c r="T21" t="n">
        <v>262426</v>
      </c>
      <c r="U21" t="n">
        <v>20819</v>
      </c>
      <c r="V21" t="n">
        <v>0.8819817274182915</v>
      </c>
      <c r="W21" t="n">
        <v>0.07000000000000001</v>
      </c>
      <c r="X21" s="16">
        <f>IFERROR(K21/E21*100,"")</f>
        <v/>
      </c>
      <c r="Y21" s="16">
        <f>IFERROR((N21+O21)/E21*100,"")</f>
        <v/>
      </c>
      <c r="Z21" s="16">
        <f>IFERROR(R21/F21*100,"")</f>
        <v/>
      </c>
      <c r="AA21" s="16">
        <f>IFERROR(R21/E21*100,"")</f>
        <v/>
      </c>
      <c r="AB21" s="16">
        <f>IFERROR(S21/Q21*100,"")</f>
        <v/>
      </c>
      <c r="AC21" s="16">
        <f>IFERROR(T21/Q21*100,"")</f>
        <v/>
      </c>
      <c r="AD21" s="16">
        <f>IFERROR(U21/Q21*100,"")</f>
        <v/>
      </c>
      <c r="AE21" s="18" t="n"/>
      <c r="AF21" s="18" t="n"/>
      <c r="AG21" s="18" t="n"/>
      <c r="AH21">
        <f>P21&gt;0</f>
        <v/>
      </c>
    </row>
    <row r="22">
      <c r="A22" s="14" t="n">
        <v>44926</v>
      </c>
      <c r="B22" t="n">
        <v>4256</v>
      </c>
      <c r="C22" t="inlineStr">
        <is>
          <t>FIRST NATIONAL BANK</t>
        </is>
      </c>
      <c r="D22" t="inlineStr">
        <is>
          <t>ME</t>
        </is>
      </c>
      <c r="E22" t="n">
        <v>2704047</v>
      </c>
      <c r="F22" t="n">
        <v>2379757</v>
      </c>
      <c r="G22" t="n">
        <v>200180</v>
      </c>
      <c r="H22" s="16" t="n">
        <v>1.53167395198859</v>
      </c>
      <c r="I22" s="16" t="n">
        <v>19.7</v>
      </c>
      <c r="J22" s="16" t="n">
        <v>3.110991752243191</v>
      </c>
      <c r="K22" s="16" t="n">
        <v>1755</v>
      </c>
      <c r="L22" s="16" t="n">
        <v>548</v>
      </c>
      <c r="M22" s="16" t="n">
        <v>0.1042847616307274</v>
      </c>
      <c r="N22" s="16" t="n">
        <v>518</v>
      </c>
      <c r="O22" s="16" t="n">
        <v>242</v>
      </c>
      <c r="P22" s="16" t="n">
        <v>13.52013188990425</v>
      </c>
      <c r="Q22" t="n">
        <v>1914949</v>
      </c>
      <c r="R22" t="n">
        <v>1898226</v>
      </c>
      <c r="S22" t="n">
        <v>1533908</v>
      </c>
      <c r="T22" t="n">
        <v>274364</v>
      </c>
      <c r="U22" t="n">
        <v>21063</v>
      </c>
      <c r="V22" t="n">
        <v>0.8732869648225619</v>
      </c>
      <c r="W22" t="n">
        <v>0.07000000000000001</v>
      </c>
      <c r="X22" s="16">
        <f>IFERROR(K22/E22*100,"")</f>
        <v/>
      </c>
      <c r="Y22" s="16">
        <f>IFERROR((N22+O22)/E22*100,"")</f>
        <v/>
      </c>
      <c r="Z22" s="16">
        <f>IFERROR(R22/F22*100,"")</f>
        <v/>
      </c>
      <c r="AA22" s="16">
        <f>IFERROR(R22/E22*100,"")</f>
        <v/>
      </c>
      <c r="AB22" s="16">
        <f>IFERROR(S22/Q22*100,"")</f>
        <v/>
      </c>
      <c r="AC22" s="16">
        <f>IFERROR(T22/Q22*100,"")</f>
        <v/>
      </c>
      <c r="AD22" s="16">
        <f>IFERROR(U22/Q22*100,"")</f>
        <v/>
      </c>
      <c r="AE22" s="18" t="n"/>
      <c r="AF22" s="18" t="n"/>
      <c r="AG22" s="18" t="n"/>
      <c r="AH22">
        <f>P22&gt;0</f>
        <v/>
      </c>
    </row>
    <row r="23">
      <c r="A23" s="14" t="n">
        <v>45016</v>
      </c>
      <c r="B23" t="n">
        <v>4256</v>
      </c>
      <c r="C23" t="inlineStr">
        <is>
          <t>FIRST NATIONAL BANK</t>
        </is>
      </c>
      <c r="D23" t="inlineStr">
        <is>
          <t>ME</t>
        </is>
      </c>
      <c r="E23" t="n">
        <v>2776791</v>
      </c>
      <c r="F23" t="n">
        <v>2467296</v>
      </c>
      <c r="G23" t="n">
        <v>199927</v>
      </c>
      <c r="H23" s="16" t="n">
        <v>1.19339414885096</v>
      </c>
      <c r="I23" s="16" t="n">
        <v>16.35</v>
      </c>
      <c r="J23" s="16" t="n">
        <v>2.707324531413922</v>
      </c>
      <c r="K23" s="16" t="n">
        <v>1800</v>
      </c>
      <c r="L23" s="16" t="n">
        <v>25</v>
      </c>
      <c r="M23" s="16" t="n">
        <v>0.1012685295436309</v>
      </c>
      <c r="N23" s="16" t="n">
        <v>946</v>
      </c>
      <c r="O23" s="16" t="n">
        <v>208</v>
      </c>
      <c r="P23" s="16" t="n">
        <v>13.63503843164305</v>
      </c>
      <c r="Q23" t="n">
        <v>1982847</v>
      </c>
      <c r="R23" t="n">
        <v>1959389</v>
      </c>
      <c r="S23" t="n">
        <v>1576558</v>
      </c>
      <c r="T23" t="n">
        <v>294299</v>
      </c>
      <c r="U23" t="n">
        <v>19435</v>
      </c>
      <c r="V23" t="n">
        <v>1.183046397427537</v>
      </c>
      <c r="W23" t="n">
        <v>0.08</v>
      </c>
      <c r="X23" s="16">
        <f>IFERROR(K23/E23*100,"")</f>
        <v/>
      </c>
      <c r="Y23" s="16">
        <f>IFERROR((N23+O23)/E23*100,"")</f>
        <v/>
      </c>
      <c r="Z23" s="16">
        <f>IFERROR(R23/F23*100,"")</f>
        <v/>
      </c>
      <c r="AA23" s="16">
        <f>IFERROR(R23/E23*100,"")</f>
        <v/>
      </c>
      <c r="AB23" s="16">
        <f>IFERROR(S23/Q23*100,"")</f>
        <v/>
      </c>
      <c r="AC23" s="16">
        <f>IFERROR(T23/Q23*100,"")</f>
        <v/>
      </c>
      <c r="AD23" s="16">
        <f>IFERROR(U23/Q23*100,"")</f>
        <v/>
      </c>
      <c r="AE23" s="18">
        <f>IFERROR(E23/E19-1,"")</f>
        <v/>
      </c>
      <c r="AF23" s="18">
        <f>IFERROR(R23/R19-1,"")</f>
        <v/>
      </c>
      <c r="AG23" s="18">
        <f>IFERROR(F23/F19-1,"")</f>
        <v/>
      </c>
      <c r="AH23">
        <f>P23&gt;0</f>
        <v/>
      </c>
    </row>
    <row r="24">
      <c r="A24" s="14" t="n">
        <v>45107</v>
      </c>
      <c r="B24" t="n">
        <v>4256</v>
      </c>
      <c r="C24" t="inlineStr">
        <is>
          <t>FIRST NATIONAL BANK</t>
        </is>
      </c>
      <c r="D24" t="inlineStr">
        <is>
          <t>ME</t>
        </is>
      </c>
      <c r="E24" t="n">
        <v>2844637</v>
      </c>
      <c r="F24" t="n">
        <v>2500556</v>
      </c>
      <c r="G24" t="n">
        <v>203536</v>
      </c>
      <c r="H24" s="16" t="n">
        <v>1.14263750716926</v>
      </c>
      <c r="I24" s="16" t="n">
        <v>15.76</v>
      </c>
      <c r="J24" s="16" t="n">
        <v>2.561374699475479</v>
      </c>
      <c r="K24" s="16" t="n">
        <v>1676</v>
      </c>
      <c r="L24" s="16" t="n">
        <v>48</v>
      </c>
      <c r="M24" s="16" t="n">
        <v>0.0967513572604518</v>
      </c>
      <c r="N24" s="16" t="n">
        <v>1949</v>
      </c>
      <c r="O24" s="16" t="n">
        <v>318</v>
      </c>
      <c r="P24" s="16" t="n">
        <v>13.625326178735</v>
      </c>
      <c r="Q24" t="n">
        <v>2060953</v>
      </c>
      <c r="R24" t="n">
        <v>2037488</v>
      </c>
      <c r="S24" t="n">
        <v>1630531</v>
      </c>
      <c r="T24" t="n">
        <v>306090</v>
      </c>
      <c r="U24" t="n">
        <v>20316</v>
      </c>
      <c r="V24" t="n">
        <v>1.138550951913993</v>
      </c>
      <c r="W24" t="n">
        <v>0.05</v>
      </c>
      <c r="X24" s="16">
        <f>IFERROR(K24/E24*100,"")</f>
        <v/>
      </c>
      <c r="Y24" s="16">
        <f>IFERROR((N24+O24)/E24*100,"")</f>
        <v/>
      </c>
      <c r="Z24" s="16">
        <f>IFERROR(R24/F24*100,"")</f>
        <v/>
      </c>
      <c r="AA24" s="16">
        <f>IFERROR(R24/E24*100,"")</f>
        <v/>
      </c>
      <c r="AB24" s="16">
        <f>IFERROR(S24/Q24*100,"")</f>
        <v/>
      </c>
      <c r="AC24" s="16">
        <f>IFERROR(T24/Q24*100,"")</f>
        <v/>
      </c>
      <c r="AD24" s="16">
        <f>IFERROR(U24/Q24*100,"")</f>
        <v/>
      </c>
      <c r="AE24" s="18">
        <f>IFERROR(E24/E20-1,"")</f>
        <v/>
      </c>
      <c r="AF24" s="18">
        <f>IFERROR(R24/R20-1,"")</f>
        <v/>
      </c>
      <c r="AG24" s="18">
        <f>IFERROR(F24/F20-1,"")</f>
        <v/>
      </c>
      <c r="AH24">
        <f>P24&gt;0</f>
        <v/>
      </c>
    </row>
    <row r="25">
      <c r="A25" s="14" t="n">
        <v>45199</v>
      </c>
      <c r="B25" t="n">
        <v>4256</v>
      </c>
      <c r="C25" t="inlineStr">
        <is>
          <t>FIRST NATIONAL BANK</t>
        </is>
      </c>
      <c r="D25" t="inlineStr">
        <is>
          <t>ME</t>
        </is>
      </c>
      <c r="E25" t="n">
        <v>2908137</v>
      </c>
      <c r="F25" t="n">
        <v>2600576</v>
      </c>
      <c r="G25" t="n">
        <v>198185</v>
      </c>
      <c r="H25" s="16" t="n">
        <v>1.117807825301426</v>
      </c>
      <c r="I25" s="16" t="n">
        <v>15.66</v>
      </c>
      <c r="J25" s="16" t="n">
        <v>2.494316325789617</v>
      </c>
      <c r="K25" s="16" t="n">
        <v>2553</v>
      </c>
      <c r="L25" s="16" t="n">
        <v>30</v>
      </c>
      <c r="M25" s="16" t="n">
        <v>0.1232616454372038</v>
      </c>
      <c r="N25" s="16" t="n">
        <v>876</v>
      </c>
      <c r="O25" s="16" t="n">
        <v>11</v>
      </c>
      <c r="P25" s="16" t="n">
        <v>13.72204668738768</v>
      </c>
      <c r="Q25" t="n">
        <v>2080128</v>
      </c>
      <c r="R25" t="n">
        <v>2056806</v>
      </c>
      <c r="S25" t="n">
        <v>1651715</v>
      </c>
      <c r="T25" t="n">
        <v>305649</v>
      </c>
      <c r="U25" t="n">
        <v>19370</v>
      </c>
      <c r="V25" t="n">
        <v>1.121181004245893</v>
      </c>
      <c r="W25" t="n">
        <v>0.02</v>
      </c>
      <c r="X25" s="16">
        <f>IFERROR(K25/E25*100,"")</f>
        <v/>
      </c>
      <c r="Y25" s="16">
        <f>IFERROR((N25+O25)/E25*100,"")</f>
        <v/>
      </c>
      <c r="Z25" s="16">
        <f>IFERROR(R25/F25*100,"")</f>
        <v/>
      </c>
      <c r="AA25" s="16">
        <f>IFERROR(R25/E25*100,"")</f>
        <v/>
      </c>
      <c r="AB25" s="16">
        <f>IFERROR(S25/Q25*100,"")</f>
        <v/>
      </c>
      <c r="AC25" s="16">
        <f>IFERROR(T25/Q25*100,"")</f>
        <v/>
      </c>
      <c r="AD25" s="16">
        <f>IFERROR(U25/Q25*100,"")</f>
        <v/>
      </c>
      <c r="AE25" s="18">
        <f>IFERROR(E25/E21-1,"")</f>
        <v/>
      </c>
      <c r="AF25" s="18">
        <f>IFERROR(R25/R21-1,"")</f>
        <v/>
      </c>
      <c r="AG25" s="18">
        <f>IFERROR(F25/F21-1,"")</f>
        <v/>
      </c>
      <c r="AH25">
        <f>P25&gt;0</f>
        <v/>
      </c>
    </row>
    <row r="26">
      <c r="A26" s="14" t="n">
        <v>45291</v>
      </c>
      <c r="B26" t="n">
        <v>4256</v>
      </c>
      <c r="C26" t="inlineStr">
        <is>
          <t>FIRST NATIONAL BANK</t>
        </is>
      </c>
      <c r="D26" t="inlineStr">
        <is>
          <t>ME</t>
        </is>
      </c>
      <c r="E26" t="n">
        <v>2911223</v>
      </c>
      <c r="F26" t="n">
        <v>2600329</v>
      </c>
      <c r="G26" t="n">
        <v>214531</v>
      </c>
      <c r="H26" s="16" t="n">
        <v>1.076046486226244</v>
      </c>
      <c r="I26" s="16" t="n">
        <v>14.98</v>
      </c>
      <c r="J26" s="16" t="n">
        <v>2.452712762053767</v>
      </c>
      <c r="K26" s="16" t="n">
        <v>2178</v>
      </c>
      <c r="L26" s="16" t="n">
        <v>233</v>
      </c>
      <c r="M26" s="16" t="n">
        <v>0.1224257485721692</v>
      </c>
      <c r="N26" s="16" t="n">
        <v>2617</v>
      </c>
      <c r="O26" s="16" t="n">
        <v>429</v>
      </c>
      <c r="P26" s="16" t="n">
        <v>13.61932526055012</v>
      </c>
      <c r="Q26" t="n">
        <v>2129454</v>
      </c>
      <c r="R26" t="n">
        <v>2105424</v>
      </c>
      <c r="S26" t="n">
        <v>1701843</v>
      </c>
      <c r="T26" t="n">
        <v>314127</v>
      </c>
      <c r="U26" t="n">
        <v>19401</v>
      </c>
      <c r="V26" t="n">
        <v>1.128458280855092</v>
      </c>
      <c r="W26" t="n">
        <v>0.04</v>
      </c>
      <c r="X26" s="16">
        <f>IFERROR(K26/E26*100,"")</f>
        <v/>
      </c>
      <c r="Y26" s="16">
        <f>IFERROR((N26+O26)/E26*100,"")</f>
        <v/>
      </c>
      <c r="Z26" s="16">
        <f>IFERROR(R26/F26*100,"")</f>
        <v/>
      </c>
      <c r="AA26" s="16">
        <f>IFERROR(R26/E26*100,"")</f>
        <v/>
      </c>
      <c r="AB26" s="16">
        <f>IFERROR(S26/Q26*100,"")</f>
        <v/>
      </c>
      <c r="AC26" s="16">
        <f>IFERROR(T26/Q26*100,"")</f>
        <v/>
      </c>
      <c r="AD26" s="16">
        <f>IFERROR(U26/Q26*100,"")</f>
        <v/>
      </c>
      <c r="AE26" s="18">
        <f>IFERROR(E26/E22-1,"")</f>
        <v/>
      </c>
      <c r="AF26" s="18">
        <f>IFERROR(R26/R22-1,"")</f>
        <v/>
      </c>
      <c r="AG26" s="18">
        <f>IFERROR(F26/F22-1,"")</f>
        <v/>
      </c>
      <c r="AH26">
        <f>P26&gt;0</f>
        <v/>
      </c>
    </row>
    <row r="27">
      <c r="A27" s="14" t="n">
        <v>45382</v>
      </c>
      <c r="B27" t="n">
        <v>4256</v>
      </c>
      <c r="C27" t="inlineStr">
        <is>
          <t>FIRST NATIONAL BANK</t>
        </is>
      </c>
      <c r="D27" t="inlineStr">
        <is>
          <t>ME</t>
        </is>
      </c>
      <c r="E27" t="n">
        <v>2942447</v>
      </c>
      <c r="F27" t="n">
        <v>2549402</v>
      </c>
      <c r="G27" t="n">
        <v>214088</v>
      </c>
      <c r="H27" s="16" t="n">
        <v>0.8555316579171699</v>
      </c>
      <c r="I27" s="16" t="n">
        <v>11.68</v>
      </c>
      <c r="J27" s="16" t="n">
        <v>2.159585021479416</v>
      </c>
      <c r="K27" s="16" t="n">
        <v>2710</v>
      </c>
      <c r="L27" s="16" t="n">
        <v>-78</v>
      </c>
      <c r="M27" s="16" t="n">
        <v>0.1269237528211667</v>
      </c>
      <c r="N27" s="16" t="n">
        <v>1164</v>
      </c>
      <c r="O27" s="16" t="n">
        <v>49</v>
      </c>
      <c r="P27" s="16" t="n">
        <v>13.49458859903682</v>
      </c>
      <c r="Q27" t="n">
        <v>2173746</v>
      </c>
      <c r="R27" t="n">
        <v>2149539</v>
      </c>
      <c r="S27" t="n">
        <v>1739026</v>
      </c>
      <c r="T27" t="n">
        <v>320658</v>
      </c>
      <c r="U27" t="n">
        <v>19035</v>
      </c>
      <c r="V27" t="n">
        <v>1.113607569605648</v>
      </c>
      <c r="W27" t="n">
        <v>-0.07000000000000001</v>
      </c>
      <c r="X27" s="16">
        <f>IFERROR(K27/E27*100,"")</f>
        <v/>
      </c>
      <c r="Y27" s="16">
        <f>IFERROR((N27+O27)/E27*100,"")</f>
        <v/>
      </c>
      <c r="Z27" s="16">
        <f>IFERROR(R27/F27*100,"")</f>
        <v/>
      </c>
      <c r="AA27" s="16">
        <f>IFERROR(R27/E27*100,"")</f>
        <v/>
      </c>
      <c r="AB27" s="16">
        <f>IFERROR(S27/Q27*100,"")</f>
        <v/>
      </c>
      <c r="AC27" s="16">
        <f>IFERROR(T27/Q27*100,"")</f>
        <v/>
      </c>
      <c r="AD27" s="16">
        <f>IFERROR(U27/Q27*100,"")</f>
        <v/>
      </c>
      <c r="AE27" s="18">
        <f>IFERROR(E27/E23-1,"")</f>
        <v/>
      </c>
      <c r="AF27" s="18">
        <f>IFERROR(R27/R23-1,"")</f>
        <v/>
      </c>
      <c r="AG27" s="18">
        <f>IFERROR(F27/F23-1,"")</f>
        <v/>
      </c>
      <c r="AH27">
        <f>P27&gt;0</f>
        <v/>
      </c>
    </row>
    <row r="28">
      <c r="A28" s="14" t="n">
        <v>45473</v>
      </c>
      <c r="B28" t="n">
        <v>4256</v>
      </c>
      <c r="C28" t="inlineStr">
        <is>
          <t>FIRST NATIONAL BANK</t>
        </is>
      </c>
      <c r="D28" t="inlineStr">
        <is>
          <t>ME</t>
        </is>
      </c>
      <c r="E28" t="n">
        <v>3049270</v>
      </c>
      <c r="F28" t="n">
        <v>2578790</v>
      </c>
      <c r="G28" t="n">
        <v>215996</v>
      </c>
      <c r="H28" s="16" t="n">
        <v>0.8573123035761221</v>
      </c>
      <c r="I28" s="16" t="n">
        <v>11.84</v>
      </c>
      <c r="J28" s="16" t="n">
        <v>2.154001672853192</v>
      </c>
      <c r="K28" s="16" t="n">
        <v>2564</v>
      </c>
      <c r="L28" s="16" t="n">
        <v>-25</v>
      </c>
      <c r="M28" s="16" t="n">
        <v>0.1179443601596319</v>
      </c>
      <c r="N28" s="16" t="n">
        <v>2235</v>
      </c>
      <c r="O28" s="16" t="n">
        <v>87</v>
      </c>
      <c r="P28" s="16" t="n">
        <v>13.18853251115917</v>
      </c>
      <c r="Q28" t="n">
        <v>2247670</v>
      </c>
      <c r="R28" t="n">
        <v>2222977</v>
      </c>
      <c r="S28" t="n">
        <v>1791622</v>
      </c>
      <c r="T28" t="n">
        <v>328850</v>
      </c>
      <c r="U28" t="n">
        <v>20514</v>
      </c>
      <c r="V28" t="n">
        <v>1.098604332486531</v>
      </c>
      <c r="W28" t="n">
        <v>0</v>
      </c>
      <c r="X28" s="16">
        <f>IFERROR(K28/E28*100,"")</f>
        <v/>
      </c>
      <c r="Y28" s="16">
        <f>IFERROR((N28+O28)/E28*100,"")</f>
        <v/>
      </c>
      <c r="Z28" s="16">
        <f>IFERROR(R28/F28*100,"")</f>
        <v/>
      </c>
      <c r="AA28" s="16">
        <f>IFERROR(R28/E28*100,"")</f>
        <v/>
      </c>
      <c r="AB28" s="16">
        <f>IFERROR(S28/Q28*100,"")</f>
        <v/>
      </c>
      <c r="AC28" s="16">
        <f>IFERROR(T28/Q28*100,"")</f>
        <v/>
      </c>
      <c r="AD28" s="16">
        <f>IFERROR(U28/Q28*100,"")</f>
        <v/>
      </c>
      <c r="AE28" s="18">
        <f>IFERROR(E28/E24-1,"")</f>
        <v/>
      </c>
      <c r="AF28" s="18">
        <f>IFERROR(R28/R24-1,"")</f>
        <v/>
      </c>
      <c r="AG28" s="18">
        <f>IFERROR(F28/F24-1,"")</f>
        <v/>
      </c>
      <c r="AH28">
        <f>P28&gt;0</f>
        <v/>
      </c>
    </row>
    <row r="29">
      <c r="A29" s="14" t="n">
        <v>45565</v>
      </c>
      <c r="B29" t="n">
        <v>4256</v>
      </c>
      <c r="C29" t="inlineStr">
        <is>
          <t>FIRST NATIONAL BANK</t>
        </is>
      </c>
      <c r="D29" t="inlineStr">
        <is>
          <t>ME</t>
        </is>
      </c>
      <c r="E29" t="n">
        <v>3107311</v>
      </c>
      <c r="F29" t="n">
        <v>2703552</v>
      </c>
      <c r="G29" t="n">
        <v>227931</v>
      </c>
      <c r="H29" s="16" t="n">
        <v>0.9124421596184792</v>
      </c>
      <c r="I29" s="16" t="n">
        <v>12.56</v>
      </c>
      <c r="J29" s="16" t="n">
        <v>2.19455333352659</v>
      </c>
      <c r="K29" s="16" t="n">
        <v>2497</v>
      </c>
      <c r="L29" s="16" t="n">
        <v>89</v>
      </c>
      <c r="M29" s="16" t="n">
        <v>0.1257772771343238</v>
      </c>
      <c r="N29" s="16" t="n">
        <v>2396</v>
      </c>
      <c r="O29" s="16" t="n">
        <v>405</v>
      </c>
      <c r="P29" s="16" t="n">
        <v>13.05543665023244</v>
      </c>
      <c r="Q29" t="n">
        <v>2307253</v>
      </c>
      <c r="R29" t="n">
        <v>2283254</v>
      </c>
      <c r="S29" t="n">
        <v>1810714</v>
      </c>
      <c r="T29" t="n">
        <v>366701</v>
      </c>
      <c r="U29" t="n">
        <v>19784</v>
      </c>
      <c r="V29" t="n">
        <v>1.04015467744543</v>
      </c>
      <c r="W29" t="n">
        <v>-0.03</v>
      </c>
      <c r="X29" s="16">
        <f>IFERROR(K29/E29*100,"")</f>
        <v/>
      </c>
      <c r="Y29" s="16">
        <f>IFERROR((N29+O29)/E29*100,"")</f>
        <v/>
      </c>
      <c r="Z29" s="16">
        <f>IFERROR(R29/F29*100,"")</f>
        <v/>
      </c>
      <c r="AA29" s="16">
        <f>IFERROR(R29/E29*100,"")</f>
        <v/>
      </c>
      <c r="AB29" s="16">
        <f>IFERROR(S29/Q29*100,"")</f>
        <v/>
      </c>
      <c r="AC29" s="16">
        <f>IFERROR(T29/Q29*100,"")</f>
        <v/>
      </c>
      <c r="AD29" s="16">
        <f>IFERROR(U29/Q29*100,"")</f>
        <v/>
      </c>
      <c r="AE29" s="18">
        <f>IFERROR(E29/E25-1,"")</f>
        <v/>
      </c>
      <c r="AF29" s="18">
        <f>IFERROR(R29/R25-1,"")</f>
        <v/>
      </c>
      <c r="AG29" s="18">
        <f>IFERROR(F29/F25-1,"")</f>
        <v/>
      </c>
      <c r="AH29">
        <f>P29&gt;0</f>
        <v/>
      </c>
    </row>
    <row r="30">
      <c r="A30" s="14" t="n">
        <v>45657</v>
      </c>
      <c r="B30" t="n">
        <v>4256</v>
      </c>
      <c r="C30" t="inlineStr">
        <is>
          <t>FIRST NATIONAL BANK</t>
        </is>
      </c>
      <c r="D30" t="inlineStr">
        <is>
          <t>ME</t>
        </is>
      </c>
      <c r="E30" t="n">
        <v>3121442</v>
      </c>
      <c r="F30" t="n">
        <v>2726323</v>
      </c>
      <c r="G30" t="n">
        <v>223532</v>
      </c>
      <c r="H30" s="16" t="n">
        <v>0.926763449403844</v>
      </c>
      <c r="I30" s="16" t="n">
        <v>12.79</v>
      </c>
      <c r="J30" s="16" t="n">
        <v>2.248958442224016</v>
      </c>
      <c r="K30" s="16" t="n">
        <v>4248</v>
      </c>
      <c r="L30" s="16" t="n">
        <v>463</v>
      </c>
      <c r="M30" s="16" t="n">
        <v>0.2250378053260655</v>
      </c>
      <c r="N30" s="16" t="n">
        <v>6975</v>
      </c>
      <c r="O30" s="16" t="n">
        <v>1020</v>
      </c>
      <c r="P30" s="16" t="n">
        <v>13.15734116237334</v>
      </c>
      <c r="Q30" t="n">
        <v>2340940</v>
      </c>
      <c r="R30" t="n">
        <v>2316069</v>
      </c>
      <c r="S30" t="n">
        <v>1846128</v>
      </c>
      <c r="T30" t="n">
        <v>364018</v>
      </c>
      <c r="U30" t="n">
        <v>20790</v>
      </c>
      <c r="V30" t="n">
        <v>1.062436457149692</v>
      </c>
      <c r="W30" t="n">
        <v>0.02</v>
      </c>
      <c r="X30" s="16">
        <f>IFERROR(K30/E30*100,"")</f>
        <v/>
      </c>
      <c r="Y30" s="16">
        <f>IFERROR((N30+O30)/E30*100,"")</f>
        <v/>
      </c>
      <c r="Z30" s="16">
        <f>IFERROR(R30/F30*100,"")</f>
        <v/>
      </c>
      <c r="AA30" s="16">
        <f>IFERROR(R30/E30*100,"")</f>
        <v/>
      </c>
      <c r="AB30" s="16">
        <f>IFERROR(S30/Q30*100,"")</f>
        <v/>
      </c>
      <c r="AC30" s="16">
        <f>IFERROR(T30/Q30*100,"")</f>
        <v/>
      </c>
      <c r="AD30" s="16">
        <f>IFERROR(U30/Q30*100,"")</f>
        <v/>
      </c>
      <c r="AE30" s="18">
        <f>IFERROR(E30/E26-1,"")</f>
        <v/>
      </c>
      <c r="AF30" s="18">
        <f>IFERROR(R30/R26-1,"")</f>
        <v/>
      </c>
      <c r="AG30" s="18">
        <f>IFERROR(F30/F26-1,"")</f>
        <v/>
      </c>
      <c r="AH30">
        <f>P30&gt;0</f>
        <v/>
      </c>
    </row>
    <row r="31">
      <c r="A31" s="14" t="n">
        <v>45747</v>
      </c>
      <c r="B31" t="n">
        <v>4256</v>
      </c>
      <c r="C31" t="inlineStr">
        <is>
          <t>FIRST NATIONAL BANK</t>
        </is>
      </c>
      <c r="D31" t="inlineStr">
        <is>
          <t>ME</t>
        </is>
      </c>
      <c r="E31" t="n">
        <v>3151780</v>
      </c>
      <c r="F31" t="n">
        <v>2712084</v>
      </c>
      <c r="G31" t="n">
        <v>230970</v>
      </c>
      <c r="H31" s="16" t="n">
        <v>0.9490497865371256</v>
      </c>
      <c r="I31" s="16" t="n">
        <v>13.1</v>
      </c>
      <c r="J31" s="16" t="n">
        <v>2.405795829404353</v>
      </c>
      <c r="K31" s="16" t="n">
        <v>6053</v>
      </c>
      <c r="L31" s="16" t="n">
        <v>153</v>
      </c>
      <c r="M31" s="16" t="n">
        <v>0.2831546482596563</v>
      </c>
      <c r="N31" s="16" t="n">
        <v>2649</v>
      </c>
      <c r="O31" s="16" t="n">
        <v>695</v>
      </c>
      <c r="P31" s="16" t="n">
        <v>13.07238385634653</v>
      </c>
      <c r="Q31" t="n">
        <v>2383150</v>
      </c>
      <c r="R31" t="n">
        <v>2358036</v>
      </c>
      <c r="S31" t="n">
        <v>1883405</v>
      </c>
      <c r="T31" t="n">
        <v>377866</v>
      </c>
      <c r="U31" t="n">
        <v>21844</v>
      </c>
      <c r="V31" t="n">
        <v>1.053815328451839</v>
      </c>
      <c r="W31" t="n">
        <v>0.05</v>
      </c>
      <c r="X31" s="16">
        <f>IFERROR(K31/E31*100,"")</f>
        <v/>
      </c>
      <c r="Y31" s="16">
        <f>IFERROR((N31+O31)/E31*100,"")</f>
        <v/>
      </c>
      <c r="Z31" s="16">
        <f>IFERROR(R31/F31*100,"")</f>
        <v/>
      </c>
      <c r="AA31" s="16">
        <f>IFERROR(R31/E31*100,"")</f>
        <v/>
      </c>
      <c r="AB31" s="16">
        <f>IFERROR(S31/Q31*100,"")</f>
        <v/>
      </c>
      <c r="AC31" s="16">
        <f>IFERROR(T31/Q31*100,"")</f>
        <v/>
      </c>
      <c r="AD31" s="16">
        <f>IFERROR(U31/Q31*100,"")</f>
        <v/>
      </c>
      <c r="AE31" s="18">
        <f>IFERROR(E31/E27-1,"")</f>
        <v/>
      </c>
      <c r="AF31" s="18">
        <f>IFERROR(R31/R27-1,"")</f>
        <v/>
      </c>
      <c r="AG31" s="18">
        <f>IFERROR(F31/F27-1,"")</f>
        <v/>
      </c>
      <c r="AH31">
        <f>P31&gt;0</f>
        <v/>
      </c>
    </row>
    <row r="32">
      <c r="A32" s="14" t="n">
        <v>45838</v>
      </c>
      <c r="B32" t="n">
        <v>4256</v>
      </c>
      <c r="C32" t="inlineStr">
        <is>
          <t>FIRST NATIONAL BANK</t>
        </is>
      </c>
      <c r="D32" t="inlineStr">
        <is>
          <t>ME</t>
        </is>
      </c>
      <c r="E32" t="n">
        <v>3164056</v>
      </c>
      <c r="F32" t="n">
        <v>2706351</v>
      </c>
      <c r="G32" t="n">
        <v>236733</v>
      </c>
      <c r="H32" s="16" t="n">
        <v>1.001475213509658</v>
      </c>
      <c r="I32" s="16" t="n">
        <v>13.67</v>
      </c>
      <c r="J32" s="16" t="n">
        <v>2.441637066240333</v>
      </c>
      <c r="K32" s="16" t="n">
        <v>6039</v>
      </c>
      <c r="L32" s="16" t="n">
        <v>786</v>
      </c>
      <c r="M32" s="16" t="n">
        <v>0.2713442358355677</v>
      </c>
      <c r="N32" s="16" t="n">
        <v>3028</v>
      </c>
      <c r="O32" s="16" t="n">
        <v>457</v>
      </c>
      <c r="P32" s="16" t="n">
        <v>13.25624188824082</v>
      </c>
      <c r="Q32" t="n">
        <v>2394007</v>
      </c>
      <c r="R32" t="n">
        <v>2369178</v>
      </c>
      <c r="S32" t="n">
        <v>1881786</v>
      </c>
      <c r="T32" t="n">
        <v>379671</v>
      </c>
      <c r="U32" t="n">
        <v>20559</v>
      </c>
      <c r="V32" t="n">
        <v>1.037131470375818</v>
      </c>
      <c r="W32" t="n">
        <v>0.06</v>
      </c>
      <c r="X32" s="16">
        <f>IFERROR(K32/E32*100,"")</f>
        <v/>
      </c>
      <c r="Y32" s="16">
        <f>IFERROR((N32+O32)/E32*100,"")</f>
        <v/>
      </c>
      <c r="Z32" s="16">
        <f>IFERROR(R32/F32*100,"")</f>
        <v/>
      </c>
      <c r="AA32" s="16">
        <f>IFERROR(R32/E32*100,"")</f>
        <v/>
      </c>
      <c r="AB32" s="16">
        <f>IFERROR(S32/Q32*100,"")</f>
        <v/>
      </c>
      <c r="AC32" s="16">
        <f>IFERROR(T32/Q32*100,"")</f>
        <v/>
      </c>
      <c r="AD32" s="16">
        <f>IFERROR(U32/Q32*100,"")</f>
        <v/>
      </c>
      <c r="AE32" s="18">
        <f>IFERROR(E32/E28-1,"")</f>
        <v/>
      </c>
      <c r="AF32" s="18">
        <f>IFERROR(R32/R28-1,"")</f>
        <v/>
      </c>
      <c r="AG32" s="18">
        <f>IFERROR(F32/F28-1,"")</f>
        <v/>
      </c>
      <c r="AH32">
        <f>P32&gt;0</f>
        <v/>
      </c>
    </row>
    <row r="33">
      <c r="A33" s="14" t="n">
        <v>44651</v>
      </c>
      <c r="B33" t="n">
        <v>6271</v>
      </c>
      <c r="C33" t="inlineStr">
        <is>
          <t>COMMUNITY NATIONAL BANK</t>
        </is>
      </c>
      <c r="D33" t="inlineStr">
        <is>
          <t>VT</t>
        </is>
      </c>
      <c r="E33" t="n">
        <v>1004765</v>
      </c>
      <c r="F33" t="n">
        <v>878431</v>
      </c>
      <c r="G33" t="n">
        <v>89733</v>
      </c>
      <c r="H33" s="16" t="n">
        <v>1.008254839376107</v>
      </c>
      <c r="I33" s="16" t="n">
        <v>10.92</v>
      </c>
      <c r="J33" s="16" t="n">
        <v>3.224023057619829</v>
      </c>
      <c r="K33" s="16" t="n">
        <v>5415</v>
      </c>
      <c r="L33" s="16" t="n">
        <v>682</v>
      </c>
      <c r="M33" s="16" t="n">
        <v>0.8709653809558663</v>
      </c>
      <c r="N33" s="16" t="n">
        <v>2673</v>
      </c>
      <c r="O33" s="16" t="n">
        <v>654</v>
      </c>
      <c r="P33" s="16" t="n">
        <v>15.2204500210179</v>
      </c>
      <c r="Q33" t="n">
        <v>696813</v>
      </c>
      <c r="R33" t="n">
        <v>688922</v>
      </c>
      <c r="S33" t="n">
        <v>523731</v>
      </c>
      <c r="T33" t="n">
        <v>116404</v>
      </c>
      <c r="U33" t="n">
        <v>3056</v>
      </c>
      <c r="V33" t="n">
        <v>1.132441558926139</v>
      </c>
      <c r="W33" t="n">
        <v>0.34</v>
      </c>
      <c r="X33" s="16">
        <f>IFERROR(K33/E33*100,"")</f>
        <v/>
      </c>
      <c r="Y33" s="16">
        <f>IFERROR((N33+O33)/E33*100,"")</f>
        <v/>
      </c>
      <c r="Z33" s="16">
        <f>IFERROR(R33/F33*100,"")</f>
        <v/>
      </c>
      <c r="AA33" s="16">
        <f>IFERROR(R33/E33*100,"")</f>
        <v/>
      </c>
      <c r="AB33" s="16">
        <f>IFERROR(S33/Q33*100,"")</f>
        <v/>
      </c>
      <c r="AC33" s="16">
        <f>IFERROR(T33/Q33*100,"")</f>
        <v/>
      </c>
      <c r="AD33" s="16">
        <f>IFERROR(U33/Q33*100,"")</f>
        <v/>
      </c>
      <c r="AE33" s="18" t="n"/>
      <c r="AF33" s="18" t="n"/>
      <c r="AG33" s="18" t="n"/>
      <c r="AH33">
        <f>P33&gt;0</f>
        <v/>
      </c>
    </row>
    <row r="34">
      <c r="A34" s="14" t="n">
        <v>44742</v>
      </c>
      <c r="B34" t="n">
        <v>6271</v>
      </c>
      <c r="C34" t="inlineStr">
        <is>
          <t>COMMUNITY NATIONAL BANK</t>
        </is>
      </c>
      <c r="D34" t="inlineStr">
        <is>
          <t>VT</t>
        </is>
      </c>
      <c r="E34" t="n">
        <v>998962</v>
      </c>
      <c r="F34" t="n">
        <v>873100</v>
      </c>
      <c r="G34" t="n">
        <v>86133</v>
      </c>
      <c r="H34" s="16" t="n">
        <v>1.147485656429295</v>
      </c>
      <c r="I34" s="16" t="n">
        <v>12.71</v>
      </c>
      <c r="J34" s="16" t="n">
        <v>3.301210909287021</v>
      </c>
      <c r="K34" s="16" t="n">
        <v>4860</v>
      </c>
      <c r="L34" s="16" t="n">
        <v>678</v>
      </c>
      <c r="M34" s="16" t="n">
        <v>0.7265435500088049</v>
      </c>
      <c r="N34" s="16" t="n">
        <v>1806</v>
      </c>
      <c r="O34" s="16" t="n">
        <v>256</v>
      </c>
      <c r="P34" s="16" t="n">
        <v>15.08396885569097</v>
      </c>
      <c r="Q34" t="n">
        <v>704156</v>
      </c>
      <c r="R34" t="n">
        <v>695923</v>
      </c>
      <c r="S34" t="n">
        <v>539059</v>
      </c>
      <c r="T34" t="n">
        <v>120847</v>
      </c>
      <c r="U34" t="n">
        <v>3287</v>
      </c>
      <c r="V34" t="n">
        <v>1.169201142928556</v>
      </c>
      <c r="W34" t="n">
        <v>0.24</v>
      </c>
      <c r="X34" s="16">
        <f>IFERROR(K34/E34*100,"")</f>
        <v/>
      </c>
      <c r="Y34" s="16">
        <f>IFERROR((N34+O34)/E34*100,"")</f>
        <v/>
      </c>
      <c r="Z34" s="16">
        <f>IFERROR(R34/F34*100,"")</f>
        <v/>
      </c>
      <c r="AA34" s="16">
        <f>IFERROR(R34/E34*100,"")</f>
        <v/>
      </c>
      <c r="AB34" s="16">
        <f>IFERROR(S34/Q34*100,"")</f>
        <v/>
      </c>
      <c r="AC34" s="16">
        <f>IFERROR(T34/Q34*100,"")</f>
        <v/>
      </c>
      <c r="AD34" s="16">
        <f>IFERROR(U34/Q34*100,"")</f>
        <v/>
      </c>
      <c r="AE34" s="18" t="n"/>
      <c r="AF34" s="18" t="n"/>
      <c r="AG34" s="18" t="n"/>
      <c r="AH34">
        <f>P34&gt;0</f>
        <v/>
      </c>
    </row>
    <row r="35">
      <c r="A35" s="14" t="n">
        <v>44834</v>
      </c>
      <c r="B35" t="n">
        <v>6271</v>
      </c>
      <c r="C35" t="inlineStr">
        <is>
          <t>COMMUNITY NATIONAL BANK</t>
        </is>
      </c>
      <c r="D35" t="inlineStr">
        <is>
          <t>VT</t>
        </is>
      </c>
      <c r="E35" t="n">
        <v>1026347</v>
      </c>
      <c r="F35" t="n">
        <v>904130</v>
      </c>
      <c r="G35" t="n">
        <v>81739</v>
      </c>
      <c r="H35" s="16" t="n">
        <v>1.265259532476232</v>
      </c>
      <c r="I35" s="16" t="n">
        <v>14.44</v>
      </c>
      <c r="J35" s="16" t="n">
        <v>3.38614224773598</v>
      </c>
      <c r="K35" s="16" t="n">
        <v>8603</v>
      </c>
      <c r="L35" s="16" t="n">
        <v>603</v>
      </c>
      <c r="M35" s="16" t="n">
        <v>1.289613143651066</v>
      </c>
      <c r="N35" s="16" t="n">
        <v>987</v>
      </c>
      <c r="O35" s="16" t="n">
        <v>744</v>
      </c>
      <c r="P35" s="16" t="n">
        <v>15.05319521086799</v>
      </c>
      <c r="Q35" t="n">
        <v>724791</v>
      </c>
      <c r="R35" t="n">
        <v>716359</v>
      </c>
      <c r="S35" t="n">
        <v>551311</v>
      </c>
      <c r="T35" t="n">
        <v>124262</v>
      </c>
      <c r="U35" t="n">
        <v>3902</v>
      </c>
      <c r="V35" t="n">
        <v>1.163369854206247</v>
      </c>
      <c r="W35" t="n">
        <v>0.17</v>
      </c>
      <c r="X35" s="16">
        <f>IFERROR(K35/E35*100,"")</f>
        <v/>
      </c>
      <c r="Y35" s="16">
        <f>IFERROR((N35+O35)/E35*100,"")</f>
        <v/>
      </c>
      <c r="Z35" s="16">
        <f>IFERROR(R35/F35*100,"")</f>
        <v/>
      </c>
      <c r="AA35" s="16">
        <f>IFERROR(R35/E35*100,"")</f>
        <v/>
      </c>
      <c r="AB35" s="16">
        <f>IFERROR(S35/Q35*100,"")</f>
        <v/>
      </c>
      <c r="AC35" s="16">
        <f>IFERROR(T35/Q35*100,"")</f>
        <v/>
      </c>
      <c r="AD35" s="16">
        <f>IFERROR(U35/Q35*100,"")</f>
        <v/>
      </c>
      <c r="AE35" s="18" t="n"/>
      <c r="AF35" s="18" t="n"/>
      <c r="AG35" s="18" t="n"/>
      <c r="AH35">
        <f>P35&gt;0</f>
        <v/>
      </c>
    </row>
    <row r="36">
      <c r="A36" s="14" t="n">
        <v>44926</v>
      </c>
      <c r="B36" t="n">
        <v>6271</v>
      </c>
      <c r="C36" t="inlineStr">
        <is>
          <t>COMMUNITY NATIONAL BANK</t>
        </is>
      </c>
      <c r="D36" t="inlineStr">
        <is>
          <t>VT</t>
        </is>
      </c>
      <c r="E36" t="n">
        <v>1055421</v>
      </c>
      <c r="F36" t="n">
        <v>924344</v>
      </c>
      <c r="G36" t="n">
        <v>87018</v>
      </c>
      <c r="H36" s="16" t="n">
        <v>1.42847962432808</v>
      </c>
      <c r="I36" s="16" t="n">
        <v>16.51</v>
      </c>
      <c r="J36" s="16" t="n">
        <v>3.509579803949266</v>
      </c>
      <c r="K36" s="16" t="n">
        <v>7890</v>
      </c>
      <c r="L36" s="16" t="n">
        <v>-21</v>
      </c>
      <c r="M36" s="16" t="n">
        <v>1.129843186363382</v>
      </c>
      <c r="N36" s="16" t="n">
        <v>2601</v>
      </c>
      <c r="O36" s="16" t="n">
        <v>573</v>
      </c>
      <c r="P36" s="16" t="n">
        <v>14.89239993357057</v>
      </c>
      <c r="Q36" t="n">
        <v>749042</v>
      </c>
      <c r="R36" t="n">
        <v>740333</v>
      </c>
      <c r="S36" t="n">
        <v>589916</v>
      </c>
      <c r="T36" t="n">
        <v>116759</v>
      </c>
      <c r="U36" t="n">
        <v>3803</v>
      </c>
      <c r="V36" t="n">
        <v>1.162685136480998</v>
      </c>
      <c r="W36" t="n">
        <v>0.1</v>
      </c>
      <c r="X36" s="16">
        <f>IFERROR(K36/E36*100,"")</f>
        <v/>
      </c>
      <c r="Y36" s="16">
        <f>IFERROR((N36+O36)/E36*100,"")</f>
        <v/>
      </c>
      <c r="Z36" s="16">
        <f>IFERROR(R36/F36*100,"")</f>
        <v/>
      </c>
      <c r="AA36" s="16">
        <f>IFERROR(R36/E36*100,"")</f>
        <v/>
      </c>
      <c r="AB36" s="16">
        <f>IFERROR(S36/Q36*100,"")</f>
        <v/>
      </c>
      <c r="AC36" s="16">
        <f>IFERROR(T36/Q36*100,"")</f>
        <v/>
      </c>
      <c r="AD36" s="16">
        <f>IFERROR(U36/Q36*100,"")</f>
        <v/>
      </c>
      <c r="AE36" s="18" t="n"/>
      <c r="AF36" s="18" t="n"/>
      <c r="AG36" s="18" t="n"/>
      <c r="AH36">
        <f>P36&gt;0</f>
        <v/>
      </c>
    </row>
    <row r="37">
      <c r="A37" s="14" t="n">
        <v>45016</v>
      </c>
      <c r="B37" t="n">
        <v>6271</v>
      </c>
      <c r="C37" t="inlineStr">
        <is>
          <t>COMMUNITY NATIONAL BANK</t>
        </is>
      </c>
      <c r="D37" t="inlineStr">
        <is>
          <t>VT</t>
        </is>
      </c>
      <c r="E37" t="n">
        <v>1030080</v>
      </c>
      <c r="F37" t="n">
        <v>889655</v>
      </c>
      <c r="G37" t="n">
        <v>91934</v>
      </c>
      <c r="H37" s="16" t="n">
        <v>1.385182745057423</v>
      </c>
      <c r="I37" s="16" t="n">
        <v>16.14</v>
      </c>
      <c r="J37" s="16" t="n">
        <v>3.567714867836869</v>
      </c>
      <c r="K37" s="16" t="n">
        <v>8482</v>
      </c>
      <c r="L37" s="16" t="n">
        <v>-96</v>
      </c>
      <c r="M37" s="16" t="n">
        <v>1.140567200986436</v>
      </c>
      <c r="N37" s="16" t="n">
        <v>2551</v>
      </c>
      <c r="O37" s="16" t="n">
        <v>176</v>
      </c>
      <c r="P37" s="16" t="n">
        <v>15.06867404378225</v>
      </c>
      <c r="Q37" t="n">
        <v>759096</v>
      </c>
      <c r="R37" t="n">
        <v>749840</v>
      </c>
      <c r="S37" t="n">
        <v>593607</v>
      </c>
      <c r="T37" t="n">
        <v>120865</v>
      </c>
      <c r="U37" t="n">
        <v>3347</v>
      </c>
      <c r="V37" t="n">
        <v>1.219345115769284</v>
      </c>
      <c r="W37" t="n">
        <v>0.11</v>
      </c>
      <c r="X37" s="16">
        <f>IFERROR(K37/E37*100,"")</f>
        <v/>
      </c>
      <c r="Y37" s="16">
        <f>IFERROR((N37+O37)/E37*100,"")</f>
        <v/>
      </c>
      <c r="Z37" s="16">
        <f>IFERROR(R37/F37*100,"")</f>
        <v/>
      </c>
      <c r="AA37" s="16">
        <f>IFERROR(R37/E37*100,"")</f>
        <v/>
      </c>
      <c r="AB37" s="16">
        <f>IFERROR(S37/Q37*100,"")</f>
        <v/>
      </c>
      <c r="AC37" s="16">
        <f>IFERROR(T37/Q37*100,"")</f>
        <v/>
      </c>
      <c r="AD37" s="16">
        <f>IFERROR(U37/Q37*100,"")</f>
        <v/>
      </c>
      <c r="AE37" s="18">
        <f>IFERROR(E37/E33-1,"")</f>
        <v/>
      </c>
      <c r="AF37" s="18">
        <f>IFERROR(R37/R33-1,"")</f>
        <v/>
      </c>
      <c r="AG37" s="18">
        <f>IFERROR(F37/F33-1,"")</f>
        <v/>
      </c>
      <c r="AH37">
        <f>P37&gt;0</f>
        <v/>
      </c>
    </row>
    <row r="38">
      <c r="A38" s="14" t="n">
        <v>45107</v>
      </c>
      <c r="B38" t="n">
        <v>6271</v>
      </c>
      <c r="C38" t="inlineStr">
        <is>
          <t>COMMUNITY NATIONAL BANK</t>
        </is>
      </c>
      <c r="D38" t="inlineStr">
        <is>
          <t>VT</t>
        </is>
      </c>
      <c r="E38" t="n">
        <v>1031317</v>
      </c>
      <c r="F38" t="n">
        <v>852686</v>
      </c>
      <c r="G38" t="n">
        <v>92265</v>
      </c>
      <c r="H38" s="16" t="n">
        <v>1.369473610586181</v>
      </c>
      <c r="I38" s="16" t="n">
        <v>15.74</v>
      </c>
      <c r="J38" s="16" t="n">
        <v>3.537941351033393</v>
      </c>
      <c r="K38" s="16" t="n">
        <v>7745</v>
      </c>
      <c r="L38" s="16" t="n">
        <v>283</v>
      </c>
      <c r="M38" s="16" t="n">
        <v>1.034750278306414</v>
      </c>
      <c r="N38" s="16" t="n">
        <v>1900</v>
      </c>
      <c r="O38" s="16" t="n">
        <v>351</v>
      </c>
      <c r="P38" s="16" t="n">
        <v>14.8339396306876</v>
      </c>
      <c r="Q38" t="n">
        <v>782411</v>
      </c>
      <c r="R38" t="n">
        <v>773155</v>
      </c>
      <c r="S38" t="n">
        <v>618469</v>
      </c>
      <c r="T38" t="n">
        <v>125407</v>
      </c>
      <c r="U38" t="n">
        <v>3526</v>
      </c>
      <c r="V38" t="n">
        <v>1.183009952569685</v>
      </c>
      <c r="W38" t="n">
        <v>0.11</v>
      </c>
      <c r="X38" s="16">
        <f>IFERROR(K38/E38*100,"")</f>
        <v/>
      </c>
      <c r="Y38" s="16">
        <f>IFERROR((N38+O38)/E38*100,"")</f>
        <v/>
      </c>
      <c r="Z38" s="16">
        <f>IFERROR(R38/F38*100,"")</f>
        <v/>
      </c>
      <c r="AA38" s="16">
        <f>IFERROR(R38/E38*100,"")</f>
        <v/>
      </c>
      <c r="AB38" s="16">
        <f>IFERROR(S38/Q38*100,"")</f>
        <v/>
      </c>
      <c r="AC38" s="16">
        <f>IFERROR(T38/Q38*100,"")</f>
        <v/>
      </c>
      <c r="AD38" s="16">
        <f>IFERROR(U38/Q38*100,"")</f>
        <v/>
      </c>
      <c r="AE38" s="18">
        <f>IFERROR(E38/E34-1,"")</f>
        <v/>
      </c>
      <c r="AF38" s="18">
        <f>IFERROR(R38/R34-1,"")</f>
        <v/>
      </c>
      <c r="AG38" s="18">
        <f>IFERROR(F38/F34-1,"")</f>
        <v/>
      </c>
      <c r="AH38">
        <f>P38&gt;0</f>
        <v/>
      </c>
    </row>
    <row r="39">
      <c r="A39" s="14" t="n">
        <v>45199</v>
      </c>
      <c r="B39" t="n">
        <v>6271</v>
      </c>
      <c r="C39" t="inlineStr">
        <is>
          <t>COMMUNITY NATIONAL BANK</t>
        </is>
      </c>
      <c r="D39" t="inlineStr">
        <is>
          <t>VT</t>
        </is>
      </c>
      <c r="E39" t="n">
        <v>1082666</v>
      </c>
      <c r="F39" t="n">
        <v>902628</v>
      </c>
      <c r="G39" t="n">
        <v>90587</v>
      </c>
      <c r="H39" s="16" t="n">
        <v>1.370165829897197</v>
      </c>
      <c r="I39" s="16" t="n">
        <v>15.9</v>
      </c>
      <c r="J39" s="16" t="n">
        <v>3.509981223205189</v>
      </c>
      <c r="K39" s="16" t="n">
        <v>7215</v>
      </c>
      <c r="L39" s="16" t="n">
        <v>314</v>
      </c>
      <c r="M39" s="16" t="n">
        <v>0.9788138168376472</v>
      </c>
      <c r="N39" s="16" t="n">
        <v>724</v>
      </c>
      <c r="O39" s="16" t="n">
        <v>999</v>
      </c>
      <c r="P39" s="16" t="n">
        <v>14.64914137573272</v>
      </c>
      <c r="Q39" t="n">
        <v>839179</v>
      </c>
      <c r="R39" t="n">
        <v>829691</v>
      </c>
      <c r="S39" t="n">
        <v>644820</v>
      </c>
      <c r="T39" t="n">
        <v>125837</v>
      </c>
      <c r="U39" t="n">
        <v>3320</v>
      </c>
      <c r="V39" t="n">
        <v>1.130628864640321</v>
      </c>
      <c r="W39" t="n">
        <v>0.1</v>
      </c>
      <c r="X39" s="16">
        <f>IFERROR(K39/E39*100,"")</f>
        <v/>
      </c>
      <c r="Y39" s="16">
        <f>IFERROR((N39+O39)/E39*100,"")</f>
        <v/>
      </c>
      <c r="Z39" s="16">
        <f>IFERROR(R39/F39*100,"")</f>
        <v/>
      </c>
      <c r="AA39" s="16">
        <f>IFERROR(R39/E39*100,"")</f>
        <v/>
      </c>
      <c r="AB39" s="16">
        <f>IFERROR(S39/Q39*100,"")</f>
        <v/>
      </c>
      <c r="AC39" s="16">
        <f>IFERROR(T39/Q39*100,"")</f>
        <v/>
      </c>
      <c r="AD39" s="16">
        <f>IFERROR(U39/Q39*100,"")</f>
        <v/>
      </c>
      <c r="AE39" s="18">
        <f>IFERROR(E39/E35-1,"")</f>
        <v/>
      </c>
      <c r="AF39" s="18">
        <f>IFERROR(R39/R35-1,"")</f>
        <v/>
      </c>
      <c r="AG39" s="18">
        <f>IFERROR(F39/F35-1,"")</f>
        <v/>
      </c>
      <c r="AH39">
        <f>P39&gt;0</f>
        <v/>
      </c>
    </row>
    <row r="40">
      <c r="A40" s="14" t="n">
        <v>45291</v>
      </c>
      <c r="B40" t="n">
        <v>6271</v>
      </c>
      <c r="C40" t="inlineStr">
        <is>
          <t>COMMUNITY NATIONAL BANK</t>
        </is>
      </c>
      <c r="D40" t="inlineStr">
        <is>
          <t>VT</t>
        </is>
      </c>
      <c r="E40" t="n">
        <v>1098634</v>
      </c>
      <c r="F40" t="n">
        <v>898049</v>
      </c>
      <c r="G40" t="n">
        <v>101032</v>
      </c>
      <c r="H40" s="16" t="n">
        <v>1.382566413205595</v>
      </c>
      <c r="I40" s="16" t="n">
        <v>15.83</v>
      </c>
      <c r="J40" s="16" t="n">
        <v>3.537922711571936</v>
      </c>
      <c r="K40" s="16" t="n">
        <v>6955</v>
      </c>
      <c r="L40" s="16" t="n">
        <v>341</v>
      </c>
      <c r="M40" s="16" t="n">
        <v>0.8794295055691292</v>
      </c>
      <c r="N40" s="16" t="n">
        <v>2530</v>
      </c>
      <c r="O40" s="16" t="n">
        <v>485</v>
      </c>
      <c r="P40" s="16" t="n">
        <v>14.90417624213344</v>
      </c>
      <c r="Q40" t="n">
        <v>846003</v>
      </c>
      <c r="R40" t="n">
        <v>836160</v>
      </c>
      <c r="S40" t="n">
        <v>655964</v>
      </c>
      <c r="T40" t="n">
        <v>122908</v>
      </c>
      <c r="U40" t="n">
        <v>7945</v>
      </c>
      <c r="V40" t="n">
        <v>1.163471051521094</v>
      </c>
      <c r="W40" t="n">
        <v>0.14</v>
      </c>
      <c r="X40" s="16">
        <f>IFERROR(K40/E40*100,"")</f>
        <v/>
      </c>
      <c r="Y40" s="16">
        <f>IFERROR((N40+O40)/E40*100,"")</f>
        <v/>
      </c>
      <c r="Z40" s="16">
        <f>IFERROR(R40/F40*100,"")</f>
        <v/>
      </c>
      <c r="AA40" s="16">
        <f>IFERROR(R40/E40*100,"")</f>
        <v/>
      </c>
      <c r="AB40" s="16">
        <f>IFERROR(S40/Q40*100,"")</f>
        <v/>
      </c>
      <c r="AC40" s="16">
        <f>IFERROR(T40/Q40*100,"")</f>
        <v/>
      </c>
      <c r="AD40" s="16">
        <f>IFERROR(U40/Q40*100,"")</f>
        <v/>
      </c>
      <c r="AE40" s="18">
        <f>IFERROR(E40/E36-1,"")</f>
        <v/>
      </c>
      <c r="AF40" s="18">
        <f>IFERROR(R40/R36-1,"")</f>
        <v/>
      </c>
      <c r="AG40" s="18">
        <f>IFERROR(F40/F36-1,"")</f>
        <v/>
      </c>
      <c r="AH40">
        <f>P40&gt;0</f>
        <v/>
      </c>
    </row>
    <row r="41">
      <c r="A41" s="14" t="n">
        <v>45382</v>
      </c>
      <c r="B41" t="n">
        <v>6271</v>
      </c>
      <c r="C41" t="inlineStr">
        <is>
          <t>COMMUNITY NATIONAL BANK</t>
        </is>
      </c>
      <c r="D41" t="inlineStr">
        <is>
          <t>VT</t>
        </is>
      </c>
      <c r="E41" t="n">
        <v>1106658</v>
      </c>
      <c r="F41" t="n">
        <v>884850</v>
      </c>
      <c r="G41" t="n">
        <v>101645</v>
      </c>
      <c r="H41" s="16" t="n">
        <v>1.1249303947051</v>
      </c>
      <c r="I41" s="16" t="n">
        <v>12.24</v>
      </c>
      <c r="J41" s="16" t="n">
        <v>3.325829397019921</v>
      </c>
      <c r="K41" s="16" t="n">
        <v>6384</v>
      </c>
      <c r="L41" s="16" t="n">
        <v>133</v>
      </c>
      <c r="M41" s="16" t="n">
        <v>0.8267406978701425</v>
      </c>
      <c r="N41" s="16" t="n">
        <v>2165</v>
      </c>
      <c r="O41" s="16" t="n">
        <v>787</v>
      </c>
      <c r="P41" s="16" t="n">
        <v>14.9516406498885</v>
      </c>
      <c r="Q41" t="n">
        <v>867382</v>
      </c>
      <c r="R41" t="n">
        <v>857354</v>
      </c>
      <c r="S41" t="n">
        <v>668396</v>
      </c>
      <c r="T41" t="n">
        <v>129701</v>
      </c>
      <c r="U41" t="n">
        <v>7634</v>
      </c>
      <c r="V41" t="n">
        <v>1.15612267720566</v>
      </c>
      <c r="W41" t="n">
        <v>0.11</v>
      </c>
      <c r="X41" s="16">
        <f>IFERROR(K41/E41*100,"")</f>
        <v/>
      </c>
      <c r="Y41" s="16">
        <f>IFERROR((N41+O41)/E41*100,"")</f>
        <v/>
      </c>
      <c r="Z41" s="16">
        <f>IFERROR(R41/F41*100,"")</f>
        <v/>
      </c>
      <c r="AA41" s="16">
        <f>IFERROR(R41/E41*100,"")</f>
        <v/>
      </c>
      <c r="AB41" s="16">
        <f>IFERROR(S41/Q41*100,"")</f>
        <v/>
      </c>
      <c r="AC41" s="16">
        <f>IFERROR(T41/Q41*100,"")</f>
        <v/>
      </c>
      <c r="AD41" s="16">
        <f>IFERROR(U41/Q41*100,"")</f>
        <v/>
      </c>
      <c r="AE41" s="18">
        <f>IFERROR(E41/E37-1,"")</f>
        <v/>
      </c>
      <c r="AF41" s="18">
        <f>IFERROR(R41/R37-1,"")</f>
        <v/>
      </c>
      <c r="AG41" s="18">
        <f>IFERROR(F41/F37-1,"")</f>
        <v/>
      </c>
      <c r="AH41">
        <f>P41&gt;0</f>
        <v/>
      </c>
    </row>
    <row r="42">
      <c r="A42" s="14" t="n">
        <v>45473</v>
      </c>
      <c r="B42" t="n">
        <v>6271</v>
      </c>
      <c r="C42" t="inlineStr">
        <is>
          <t>COMMUNITY NATIONAL BANK</t>
        </is>
      </c>
      <c r="D42" t="inlineStr">
        <is>
          <t>VT</t>
        </is>
      </c>
      <c r="E42" t="n">
        <v>1099892</v>
      </c>
      <c r="F42" t="n">
        <v>850097</v>
      </c>
      <c r="G42" t="n">
        <v>103229</v>
      </c>
      <c r="H42" s="16" t="n">
        <v>1.116246478259607</v>
      </c>
      <c r="I42" s="16" t="n">
        <v>12.06</v>
      </c>
      <c r="J42" s="16" t="n">
        <v>3.28546061949211</v>
      </c>
      <c r="K42" s="16" t="n">
        <v>5816</v>
      </c>
      <c r="L42" s="16" t="n">
        <v>177</v>
      </c>
      <c r="M42" s="16" t="n">
        <v>0.7515843411817464</v>
      </c>
      <c r="N42" s="16" t="n">
        <v>1210</v>
      </c>
      <c r="O42" s="16" t="n">
        <v>670</v>
      </c>
      <c r="P42" s="16" t="n">
        <v>14.88427099172157</v>
      </c>
      <c r="Q42" t="n">
        <v>862977</v>
      </c>
      <c r="R42" t="n">
        <v>852641</v>
      </c>
      <c r="S42" t="n">
        <v>686602</v>
      </c>
      <c r="T42" t="n">
        <v>129288</v>
      </c>
      <c r="U42" t="n">
        <v>7297</v>
      </c>
      <c r="V42" t="n">
        <v>1.197714423443499</v>
      </c>
      <c r="W42" t="n">
        <v>0.12</v>
      </c>
      <c r="X42" s="16">
        <f>IFERROR(K42/E42*100,"")</f>
        <v/>
      </c>
      <c r="Y42" s="16">
        <f>IFERROR((N42+O42)/E42*100,"")</f>
        <v/>
      </c>
      <c r="Z42" s="16">
        <f>IFERROR(R42/F42*100,"")</f>
        <v/>
      </c>
      <c r="AA42" s="16">
        <f>IFERROR(R42/E42*100,"")</f>
        <v/>
      </c>
      <c r="AB42" s="16">
        <f>IFERROR(S42/Q42*100,"")</f>
        <v/>
      </c>
      <c r="AC42" s="16">
        <f>IFERROR(T42/Q42*100,"")</f>
        <v/>
      </c>
      <c r="AD42" s="16">
        <f>IFERROR(U42/Q42*100,"")</f>
        <v/>
      </c>
      <c r="AE42" s="18">
        <f>IFERROR(E42/E38-1,"")</f>
        <v/>
      </c>
      <c r="AF42" s="18">
        <f>IFERROR(R42/R38-1,"")</f>
        <v/>
      </c>
      <c r="AG42" s="18">
        <f>IFERROR(F42/F38-1,"")</f>
        <v/>
      </c>
      <c r="AH42">
        <f>P42&gt;0</f>
        <v/>
      </c>
    </row>
    <row r="43">
      <c r="A43" s="14" t="n">
        <v>45565</v>
      </c>
      <c r="B43" t="n">
        <v>6271</v>
      </c>
      <c r="C43" t="inlineStr">
        <is>
          <t>COMMUNITY NATIONAL BANK</t>
        </is>
      </c>
      <c r="D43" t="inlineStr">
        <is>
          <t>VT</t>
        </is>
      </c>
      <c r="E43" t="n">
        <v>1176660</v>
      </c>
      <c r="F43" t="n">
        <v>930724</v>
      </c>
      <c r="G43" t="n">
        <v>110390</v>
      </c>
      <c r="H43" s="16" t="n">
        <v>1.138074524682251</v>
      </c>
      <c r="I43" s="16" t="n">
        <v>12.25</v>
      </c>
      <c r="J43" s="16" t="n">
        <v>3.282318185680225</v>
      </c>
      <c r="K43" s="16" t="n">
        <v>4487</v>
      </c>
      <c r="L43" s="16" t="n">
        <v>1380</v>
      </c>
      <c r="M43" s="16" t="n">
        <v>0.5868512474421059</v>
      </c>
      <c r="N43" s="16" t="n">
        <v>141</v>
      </c>
      <c r="O43" s="16" t="n">
        <v>873</v>
      </c>
      <c r="P43" s="16" t="n">
        <v>14.76642259490487</v>
      </c>
      <c r="Q43" t="n">
        <v>913349</v>
      </c>
      <c r="R43" t="n">
        <v>903809</v>
      </c>
      <c r="S43" t="n">
        <v>709642</v>
      </c>
      <c r="T43" t="n">
        <v>123877</v>
      </c>
      <c r="U43" t="n">
        <v>7088</v>
      </c>
      <c r="V43" t="n">
        <v>1.044507630708524</v>
      </c>
      <c r="W43" t="n">
        <v>0.13</v>
      </c>
      <c r="X43" s="16">
        <f>IFERROR(K43/E43*100,"")</f>
        <v/>
      </c>
      <c r="Y43" s="16">
        <f>IFERROR((N43+O43)/E43*100,"")</f>
        <v/>
      </c>
      <c r="Z43" s="16">
        <f>IFERROR(R43/F43*100,"")</f>
        <v/>
      </c>
      <c r="AA43" s="16">
        <f>IFERROR(R43/E43*100,"")</f>
        <v/>
      </c>
      <c r="AB43" s="16">
        <f>IFERROR(S43/Q43*100,"")</f>
        <v/>
      </c>
      <c r="AC43" s="16">
        <f>IFERROR(T43/Q43*100,"")</f>
        <v/>
      </c>
      <c r="AD43" s="16">
        <f>IFERROR(U43/Q43*100,"")</f>
        <v/>
      </c>
      <c r="AE43" s="18">
        <f>IFERROR(E43/E39-1,"")</f>
        <v/>
      </c>
      <c r="AF43" s="18">
        <f>IFERROR(R43/R39-1,"")</f>
        <v/>
      </c>
      <c r="AG43" s="18">
        <f>IFERROR(F43/F39-1,"")</f>
        <v/>
      </c>
      <c r="AH43">
        <f>P43&gt;0</f>
        <v/>
      </c>
    </row>
    <row r="44">
      <c r="A44" s="14" t="n">
        <v>45657</v>
      </c>
      <c r="B44" t="n">
        <v>6271</v>
      </c>
      <c r="C44" t="inlineStr">
        <is>
          <t>COMMUNITY NATIONAL BANK</t>
        </is>
      </c>
      <c r="D44" t="inlineStr">
        <is>
          <t>VT</t>
        </is>
      </c>
      <c r="E44" t="n">
        <v>1248213</v>
      </c>
      <c r="F44" t="n">
        <v>1002714</v>
      </c>
      <c r="G44" t="n">
        <v>110120</v>
      </c>
      <c r="H44" s="16" t="n">
        <v>1.222326409667478</v>
      </c>
      <c r="I44" s="16" t="n">
        <v>13.31</v>
      </c>
      <c r="J44" s="16" t="n">
        <v>3.309633668851951</v>
      </c>
      <c r="K44" s="16" t="n">
        <v>8338</v>
      </c>
      <c r="L44" s="16" t="n">
        <v>1268</v>
      </c>
      <c r="M44" s="16" t="n">
        <v>0.984719827609416</v>
      </c>
      <c r="N44" s="16" t="n">
        <v>3522</v>
      </c>
      <c r="O44" s="16" t="n">
        <v>806</v>
      </c>
      <c r="P44" s="16" t="n">
        <v>14.76272523334867</v>
      </c>
      <c r="Q44" t="n">
        <v>928589</v>
      </c>
      <c r="R44" t="n">
        <v>918779</v>
      </c>
      <c r="S44" t="n">
        <v>726591</v>
      </c>
      <c r="T44" t="n">
        <v>124383</v>
      </c>
      <c r="U44" t="n">
        <v>6728</v>
      </c>
      <c r="V44" t="n">
        <v>1.056441547336874</v>
      </c>
      <c r="W44" t="n">
        <v>0.1</v>
      </c>
      <c r="X44" s="16">
        <f>IFERROR(K44/E44*100,"")</f>
        <v/>
      </c>
      <c r="Y44" s="16">
        <f>IFERROR((N44+O44)/E44*100,"")</f>
        <v/>
      </c>
      <c r="Z44" s="16">
        <f>IFERROR(R44/F44*100,"")</f>
        <v/>
      </c>
      <c r="AA44" s="16">
        <f>IFERROR(R44/E44*100,"")</f>
        <v/>
      </c>
      <c r="AB44" s="16">
        <f>IFERROR(S44/Q44*100,"")</f>
        <v/>
      </c>
      <c r="AC44" s="16">
        <f>IFERROR(T44/Q44*100,"")</f>
        <v/>
      </c>
      <c r="AD44" s="16">
        <f>IFERROR(U44/Q44*100,"")</f>
        <v/>
      </c>
      <c r="AE44" s="18">
        <f>IFERROR(E44/E40-1,"")</f>
        <v/>
      </c>
      <c r="AF44" s="18">
        <f>IFERROR(R44/R40-1,"")</f>
        <v/>
      </c>
      <c r="AG44" s="18">
        <f>IFERROR(F44/F40-1,"")</f>
        <v/>
      </c>
      <c r="AH44">
        <f>P44&gt;0</f>
        <v/>
      </c>
    </row>
    <row r="45">
      <c r="A45" s="14" t="n">
        <v>45747</v>
      </c>
      <c r="B45" t="n">
        <v>6271</v>
      </c>
      <c r="C45" t="inlineStr">
        <is>
          <t>COMMUNITY NATIONAL BANK</t>
        </is>
      </c>
      <c r="D45" t="inlineStr">
        <is>
          <t>VT</t>
        </is>
      </c>
      <c r="E45" t="n">
        <v>1187395</v>
      </c>
      <c r="F45" t="n">
        <v>980794</v>
      </c>
      <c r="G45" t="n">
        <v>115170</v>
      </c>
      <c r="H45" s="16" t="n">
        <v>1.251432907101636</v>
      </c>
      <c r="I45" s="16" t="n">
        <v>13.53</v>
      </c>
      <c r="J45" s="16" t="n">
        <v>3.373241305732026</v>
      </c>
      <c r="K45" s="16" t="n">
        <v>8907</v>
      </c>
      <c r="L45" s="16" t="n">
        <v>56</v>
      </c>
      <c r="M45" s="16" t="n">
        <v>0.9985713451130976</v>
      </c>
      <c r="N45" s="16" t="n">
        <v>2556</v>
      </c>
      <c r="O45" s="16" t="n">
        <v>494</v>
      </c>
      <c r="P45" s="16" t="n">
        <v>14.9379069100864</v>
      </c>
      <c r="Q45" t="n">
        <v>941445</v>
      </c>
      <c r="R45" t="n">
        <v>931271</v>
      </c>
      <c r="S45" t="n">
        <v>739251</v>
      </c>
      <c r="T45" t="n">
        <v>120099</v>
      </c>
      <c r="U45" t="n">
        <v>6417</v>
      </c>
      <c r="V45" t="n">
        <v>1.080679168724673</v>
      </c>
      <c r="W45" t="n">
        <v>0.11</v>
      </c>
      <c r="X45" s="16">
        <f>IFERROR(K45/E45*100,"")</f>
        <v/>
      </c>
      <c r="Y45" s="16">
        <f>IFERROR((N45+O45)/E45*100,"")</f>
        <v/>
      </c>
      <c r="Z45" s="16">
        <f>IFERROR(R45/F45*100,"")</f>
        <v/>
      </c>
      <c r="AA45" s="16">
        <f>IFERROR(R45/E45*100,"")</f>
        <v/>
      </c>
      <c r="AB45" s="16">
        <f>IFERROR(S45/Q45*100,"")</f>
        <v/>
      </c>
      <c r="AC45" s="16">
        <f>IFERROR(T45/Q45*100,"")</f>
        <v/>
      </c>
      <c r="AD45" s="16">
        <f>IFERROR(U45/Q45*100,"")</f>
        <v/>
      </c>
      <c r="AE45" s="18">
        <f>IFERROR(E45/E41-1,"")</f>
        <v/>
      </c>
      <c r="AF45" s="18">
        <f>IFERROR(R45/R41-1,"")</f>
        <v/>
      </c>
      <c r="AG45" s="18">
        <f>IFERROR(F45/F41-1,"")</f>
        <v/>
      </c>
      <c r="AH45">
        <f>P45&gt;0</f>
        <v/>
      </c>
    </row>
    <row r="46">
      <c r="A46" s="14" t="n">
        <v>45838</v>
      </c>
      <c r="B46" t="n">
        <v>6271</v>
      </c>
      <c r="C46" t="inlineStr">
        <is>
          <t>COMMUNITY NATIONAL BANK</t>
        </is>
      </c>
      <c r="D46" t="inlineStr">
        <is>
          <t>VT</t>
        </is>
      </c>
      <c r="E46" t="n">
        <v>1166044</v>
      </c>
      <c r="F46" t="n">
        <v>934460</v>
      </c>
      <c r="G46" t="n">
        <v>118181</v>
      </c>
      <c r="H46" s="16" t="n">
        <v>1.360375738688802</v>
      </c>
      <c r="I46" s="16" t="n">
        <v>14.26</v>
      </c>
      <c r="J46" s="16" t="n">
        <v>3.506310449812121</v>
      </c>
      <c r="K46" s="16" t="n">
        <v>8674</v>
      </c>
      <c r="L46" s="16" t="n">
        <v>74</v>
      </c>
      <c r="M46" s="16" t="n">
        <v>0.9785567692255503</v>
      </c>
      <c r="N46" s="16" t="n">
        <v>759</v>
      </c>
      <c r="O46" s="16" t="n">
        <v>557</v>
      </c>
      <c r="P46" s="16" t="n">
        <v>14.84615806129019</v>
      </c>
      <c r="Q46" t="n">
        <v>943328</v>
      </c>
      <c r="R46" t="n">
        <v>932778</v>
      </c>
      <c r="S46" t="n">
        <v>758237</v>
      </c>
      <c r="T46" t="n">
        <v>126312</v>
      </c>
      <c r="U46" t="n">
        <v>10804</v>
      </c>
      <c r="V46" t="n">
        <v>1.118380881305336</v>
      </c>
      <c r="W46" t="n">
        <v>0.12</v>
      </c>
      <c r="X46" s="16">
        <f>IFERROR(K46/E46*100,"")</f>
        <v/>
      </c>
      <c r="Y46" s="16">
        <f>IFERROR((N46+O46)/E46*100,"")</f>
        <v/>
      </c>
      <c r="Z46" s="16">
        <f>IFERROR(R46/F46*100,"")</f>
        <v/>
      </c>
      <c r="AA46" s="16">
        <f>IFERROR(R46/E46*100,"")</f>
        <v/>
      </c>
      <c r="AB46" s="16">
        <f>IFERROR(S46/Q46*100,"")</f>
        <v/>
      </c>
      <c r="AC46" s="16">
        <f>IFERROR(T46/Q46*100,"")</f>
        <v/>
      </c>
      <c r="AD46" s="16">
        <f>IFERROR(U46/Q46*100,"")</f>
        <v/>
      </c>
      <c r="AE46" s="18">
        <f>IFERROR(E46/E42-1,"")</f>
        <v/>
      </c>
      <c r="AF46" s="18">
        <f>IFERROR(R46/R42-1,"")</f>
        <v/>
      </c>
      <c r="AG46" s="18">
        <f>IFERROR(F46/F42-1,"")</f>
        <v/>
      </c>
      <c r="AH46">
        <f>P46&gt;0</f>
        <v/>
      </c>
    </row>
    <row r="47">
      <c r="A47" s="14" t="n">
        <v>44651</v>
      </c>
      <c r="B47" t="n">
        <v>6275</v>
      </c>
      <c r="C47" t="inlineStr">
        <is>
          <t>THE NATIONAL BANK OF MIDDLEBURY</t>
        </is>
      </c>
      <c r="D47" t="inlineStr">
        <is>
          <t>VT</t>
        </is>
      </c>
      <c r="E47" t="n">
        <v>531651</v>
      </c>
      <c r="F47" t="n">
        <v>472420</v>
      </c>
      <c r="G47" t="n">
        <v>32835</v>
      </c>
      <c r="H47" s="16" t="n">
        <v>0.4702236431780083</v>
      </c>
      <c r="I47" s="16" t="n">
        <v>6.87</v>
      </c>
      <c r="J47" s="16" t="n">
        <v>2.534558803953296</v>
      </c>
      <c r="K47" s="16" t="n">
        <v>1559</v>
      </c>
      <c r="L47" s="16" t="n">
        <v>-3</v>
      </c>
      <c r="M47" s="16" t="n">
        <v>0.6337264947641031</v>
      </c>
      <c r="N47" s="16" t="n">
        <v>381</v>
      </c>
      <c r="O47" s="16" t="n">
        <v>242</v>
      </c>
      <c r="P47" s="16" t="n">
        <v>16.2466459160674</v>
      </c>
      <c r="Q47" t="n">
        <v>284192</v>
      </c>
      <c r="R47" t="n">
        <v>281069</v>
      </c>
      <c r="S47" t="n">
        <v>237696</v>
      </c>
      <c r="T47" t="n">
        <v>24050</v>
      </c>
      <c r="U47" t="n">
        <v>12501</v>
      </c>
      <c r="V47" t="n">
        <v>1.098904965657021</v>
      </c>
      <c r="W47" t="n">
        <v>0</v>
      </c>
      <c r="X47" s="16">
        <f>IFERROR(K47/E47*100,"")</f>
        <v/>
      </c>
      <c r="Y47" s="16">
        <f>IFERROR((N47+O47)/E47*100,"")</f>
        <v/>
      </c>
      <c r="Z47" s="16">
        <f>IFERROR(R47/F47*100,"")</f>
        <v/>
      </c>
      <c r="AA47" s="16">
        <f>IFERROR(R47/E47*100,"")</f>
        <v/>
      </c>
      <c r="AB47" s="16">
        <f>IFERROR(S47/Q47*100,"")</f>
        <v/>
      </c>
      <c r="AC47" s="16">
        <f>IFERROR(T47/Q47*100,"")</f>
        <v/>
      </c>
      <c r="AD47" s="16">
        <f>IFERROR(U47/Q47*100,"")</f>
        <v/>
      </c>
      <c r="AE47" s="18" t="n"/>
      <c r="AF47" s="18" t="n"/>
      <c r="AG47" s="18" t="n"/>
      <c r="AH47">
        <f>P47&gt;0</f>
        <v/>
      </c>
    </row>
    <row r="48">
      <c r="A48" s="14" t="n">
        <v>44742</v>
      </c>
      <c r="B48" t="n">
        <v>6275</v>
      </c>
      <c r="C48" t="inlineStr">
        <is>
          <t>THE NATIONAL BANK OF MIDDLEBURY</t>
        </is>
      </c>
      <c r="D48" t="inlineStr">
        <is>
          <t>VT</t>
        </is>
      </c>
      <c r="E48" t="n">
        <v>532831</v>
      </c>
      <c r="F48" t="n">
        <v>476559</v>
      </c>
      <c r="G48" t="n">
        <v>27657</v>
      </c>
      <c r="H48" s="16" t="n">
        <v>0.557908413754798</v>
      </c>
      <c r="I48" s="16" t="n">
        <v>8.859999999999999</v>
      </c>
      <c r="J48" s="16" t="n">
        <v>2.635785132356541</v>
      </c>
      <c r="K48" s="16" t="n">
        <v>1592</v>
      </c>
      <c r="L48" s="16" t="n">
        <v>-1</v>
      </c>
      <c r="M48" s="16" t="n">
        <v>0.545610950603702</v>
      </c>
      <c r="N48" s="16" t="n">
        <v>126</v>
      </c>
      <c r="O48" s="16" t="n">
        <v>0</v>
      </c>
      <c r="P48" s="16" t="n">
        <v>16.26888556070594</v>
      </c>
      <c r="Q48" t="n">
        <v>291783</v>
      </c>
      <c r="R48" t="n">
        <v>288962</v>
      </c>
      <c r="S48" t="n">
        <v>243597</v>
      </c>
      <c r="T48" t="n">
        <v>24306</v>
      </c>
      <c r="U48" t="n">
        <v>12786</v>
      </c>
      <c r="V48" t="n">
        <v>0.9668143791790474</v>
      </c>
      <c r="W48" t="n">
        <v>-0.11</v>
      </c>
      <c r="X48" s="16">
        <f>IFERROR(K48/E48*100,"")</f>
        <v/>
      </c>
      <c r="Y48" s="16">
        <f>IFERROR((N48+O48)/E48*100,"")</f>
        <v/>
      </c>
      <c r="Z48" s="16">
        <f>IFERROR(R48/F48*100,"")</f>
        <v/>
      </c>
      <c r="AA48" s="16">
        <f>IFERROR(R48/E48*100,"")</f>
        <v/>
      </c>
      <c r="AB48" s="16">
        <f>IFERROR(S48/Q48*100,"")</f>
        <v/>
      </c>
      <c r="AC48" s="16">
        <f>IFERROR(T48/Q48*100,"")</f>
        <v/>
      </c>
      <c r="AD48" s="16">
        <f>IFERROR(U48/Q48*100,"")</f>
        <v/>
      </c>
      <c r="AE48" s="18" t="n"/>
      <c r="AF48" s="18" t="n"/>
      <c r="AG48" s="18" t="n"/>
      <c r="AH48">
        <f>P48&gt;0</f>
        <v/>
      </c>
    </row>
    <row r="49">
      <c r="A49" s="14" t="n">
        <v>44834</v>
      </c>
      <c r="B49" t="n">
        <v>6275</v>
      </c>
      <c r="C49" t="inlineStr">
        <is>
          <t>THE NATIONAL BANK OF MIDDLEBURY</t>
        </is>
      </c>
      <c r="D49" t="inlineStr">
        <is>
          <t>VT</t>
        </is>
      </c>
      <c r="E49" t="n">
        <v>538969</v>
      </c>
      <c r="F49" t="n">
        <v>499382</v>
      </c>
      <c r="G49" t="n">
        <v>21431</v>
      </c>
      <c r="H49" s="16" t="n">
        <v>0.6123372815020605</v>
      </c>
      <c r="I49" s="16" t="n">
        <v>10.71</v>
      </c>
      <c r="J49" s="16" t="n">
        <v>2.745064603296473</v>
      </c>
      <c r="K49" s="16" t="n">
        <v>1530</v>
      </c>
      <c r="L49" s="16" t="n">
        <v>0</v>
      </c>
      <c r="M49" s="16" t="n">
        <v>0.513001770566317</v>
      </c>
      <c r="N49" s="16" t="n">
        <v>46</v>
      </c>
      <c r="O49" s="16" t="n">
        <v>23</v>
      </c>
      <c r="P49" s="16" t="n">
        <v>15.79095853161115</v>
      </c>
      <c r="Q49" t="n">
        <v>302728</v>
      </c>
      <c r="R49" t="n">
        <v>299919</v>
      </c>
      <c r="S49" t="n">
        <v>249546</v>
      </c>
      <c r="T49" t="n">
        <v>29293</v>
      </c>
      <c r="U49" t="n">
        <v>13387</v>
      </c>
      <c r="V49" t="n">
        <v>0.9278956687191142</v>
      </c>
      <c r="W49" t="n">
        <v>-0.08</v>
      </c>
      <c r="X49" s="16">
        <f>IFERROR(K49/E49*100,"")</f>
        <v/>
      </c>
      <c r="Y49" s="16">
        <f>IFERROR((N49+O49)/E49*100,"")</f>
        <v/>
      </c>
      <c r="Z49" s="16">
        <f>IFERROR(R49/F49*100,"")</f>
        <v/>
      </c>
      <c r="AA49" s="16">
        <f>IFERROR(R49/E49*100,"")</f>
        <v/>
      </c>
      <c r="AB49" s="16">
        <f>IFERROR(S49/Q49*100,"")</f>
        <v/>
      </c>
      <c r="AC49" s="16">
        <f>IFERROR(T49/Q49*100,"")</f>
        <v/>
      </c>
      <c r="AD49" s="16">
        <f>IFERROR(U49/Q49*100,"")</f>
        <v/>
      </c>
      <c r="AE49" s="18" t="n"/>
      <c r="AF49" s="18" t="n"/>
      <c r="AG49" s="18" t="n"/>
      <c r="AH49">
        <f>P49&gt;0</f>
        <v/>
      </c>
    </row>
    <row r="50">
      <c r="A50" s="14" t="n">
        <v>44926</v>
      </c>
      <c r="B50" t="n">
        <v>6275</v>
      </c>
      <c r="C50" t="inlineStr">
        <is>
          <t>THE NATIONAL BANK OF MIDDLEBURY</t>
        </is>
      </c>
      <c r="D50" t="inlineStr">
        <is>
          <t>VT</t>
        </is>
      </c>
      <c r="E50" t="n">
        <v>534246</v>
      </c>
      <c r="F50" t="n">
        <v>499882</v>
      </c>
      <c r="G50" t="n">
        <v>24487</v>
      </c>
      <c r="H50" s="16" t="n">
        <v>0.583126084404197</v>
      </c>
      <c r="I50" s="16" t="n">
        <v>10.62</v>
      </c>
      <c r="J50" s="16" t="n">
        <v>2.865001696119407</v>
      </c>
      <c r="K50" s="16" t="n">
        <v>1436</v>
      </c>
      <c r="L50" s="16" t="n">
        <v>2</v>
      </c>
      <c r="M50" s="16" t="n">
        <v>0.4622312637003609</v>
      </c>
      <c r="N50" s="16" t="n">
        <v>237</v>
      </c>
      <c r="O50" s="16" t="n">
        <v>0</v>
      </c>
      <c r="P50" s="16" t="n">
        <v>15.68643855099138</v>
      </c>
      <c r="Q50" t="n">
        <v>310667</v>
      </c>
      <c r="R50" t="n">
        <v>307861</v>
      </c>
      <c r="S50" t="n">
        <v>252290</v>
      </c>
      <c r="T50" t="n">
        <v>33759</v>
      </c>
      <c r="U50" t="n">
        <v>13570</v>
      </c>
      <c r="V50" t="n">
        <v>0.903217915002237</v>
      </c>
      <c r="W50" t="n">
        <v>-0.06</v>
      </c>
      <c r="X50" s="16">
        <f>IFERROR(K50/E50*100,"")</f>
        <v/>
      </c>
      <c r="Y50" s="16">
        <f>IFERROR((N50+O50)/E50*100,"")</f>
        <v/>
      </c>
      <c r="Z50" s="16">
        <f>IFERROR(R50/F50*100,"")</f>
        <v/>
      </c>
      <c r="AA50" s="16">
        <f>IFERROR(R50/E50*100,"")</f>
        <v/>
      </c>
      <c r="AB50" s="16">
        <f>IFERROR(S50/Q50*100,"")</f>
        <v/>
      </c>
      <c r="AC50" s="16">
        <f>IFERROR(T50/Q50*100,"")</f>
        <v/>
      </c>
      <c r="AD50" s="16">
        <f>IFERROR(U50/Q50*100,"")</f>
        <v/>
      </c>
      <c r="AE50" s="18" t="n"/>
      <c r="AF50" s="18" t="n"/>
      <c r="AG50" s="18" t="n"/>
      <c r="AH50">
        <f>P50&gt;0</f>
        <v/>
      </c>
    </row>
    <row r="51">
      <c r="A51" s="14" t="n">
        <v>45016</v>
      </c>
      <c r="B51" t="n">
        <v>6275</v>
      </c>
      <c r="C51" t="inlineStr">
        <is>
          <t>THE NATIONAL BANK OF MIDDLEBURY</t>
        </is>
      </c>
      <c r="D51" t="inlineStr">
        <is>
          <t>VT</t>
        </is>
      </c>
      <c r="E51" t="n">
        <v>537695</v>
      </c>
      <c r="F51" t="n">
        <v>478571</v>
      </c>
      <c r="G51" t="n">
        <v>28866</v>
      </c>
      <c r="H51" s="16" t="n">
        <v>0.5985404047424252</v>
      </c>
      <c r="I51" s="16" t="n">
        <v>12.03</v>
      </c>
      <c r="J51" s="16" t="n">
        <v>3.131612869387697</v>
      </c>
      <c r="K51" s="16" t="n">
        <v>1344</v>
      </c>
      <c r="L51" s="16" t="n">
        <v>-1</v>
      </c>
      <c r="M51" s="16" t="n">
        <v>0.4250420614539981</v>
      </c>
      <c r="N51" s="16" t="n">
        <v>84</v>
      </c>
      <c r="O51" s="16" t="n">
        <v>0</v>
      </c>
      <c r="P51" s="16" t="n">
        <v>15.47888943650403</v>
      </c>
      <c r="Q51" t="n">
        <v>316204</v>
      </c>
      <c r="R51" t="n">
        <v>314865</v>
      </c>
      <c r="S51" t="n">
        <v>257983</v>
      </c>
      <c r="T51" t="n">
        <v>34399</v>
      </c>
      <c r="U51" t="n">
        <v>13680</v>
      </c>
      <c r="V51" t="n">
        <v>0.4234608037848983</v>
      </c>
      <c r="W51" t="n">
        <v>0</v>
      </c>
      <c r="X51" s="16">
        <f>IFERROR(K51/E51*100,"")</f>
        <v/>
      </c>
      <c r="Y51" s="16">
        <f>IFERROR((N51+O51)/E51*100,"")</f>
        <v/>
      </c>
      <c r="Z51" s="16">
        <f>IFERROR(R51/F51*100,"")</f>
        <v/>
      </c>
      <c r="AA51" s="16">
        <f>IFERROR(R51/E51*100,"")</f>
        <v/>
      </c>
      <c r="AB51" s="16">
        <f>IFERROR(S51/Q51*100,"")</f>
        <v/>
      </c>
      <c r="AC51" s="16">
        <f>IFERROR(T51/Q51*100,"")</f>
        <v/>
      </c>
      <c r="AD51" s="16">
        <f>IFERROR(U51/Q51*100,"")</f>
        <v/>
      </c>
      <c r="AE51" s="18">
        <f>IFERROR(E51/E47-1,"")</f>
        <v/>
      </c>
      <c r="AF51" s="18">
        <f>IFERROR(R51/R47-1,"")</f>
        <v/>
      </c>
      <c r="AG51" s="18">
        <f>IFERROR(F51/F47-1,"")</f>
        <v/>
      </c>
      <c r="AH51">
        <f>P51&gt;0</f>
        <v/>
      </c>
    </row>
    <row r="52">
      <c r="A52" s="14" t="n">
        <v>45107</v>
      </c>
      <c r="B52" t="n">
        <v>6275</v>
      </c>
      <c r="C52" t="inlineStr">
        <is>
          <t>THE NATIONAL BANK OF MIDDLEBURY</t>
        </is>
      </c>
      <c r="D52" t="inlineStr">
        <is>
          <t>VT</t>
        </is>
      </c>
      <c r="E52" t="n">
        <v>549189</v>
      </c>
      <c r="F52" t="n">
        <v>469803</v>
      </c>
      <c r="G52" t="n">
        <v>27287</v>
      </c>
      <c r="H52" s="16" t="n">
        <v>0.4800355307717456</v>
      </c>
      <c r="I52" s="16" t="n">
        <v>9.65</v>
      </c>
      <c r="J52" s="16" t="n">
        <v>2.972393767780986</v>
      </c>
      <c r="K52" s="16" t="n">
        <v>1335</v>
      </c>
      <c r="L52" s="16" t="n">
        <v>0</v>
      </c>
      <c r="M52" s="16" t="n">
        <v>0.4520691206693177</v>
      </c>
      <c r="N52" s="16" t="n">
        <v>246</v>
      </c>
      <c r="O52" s="16" t="n">
        <v>152</v>
      </c>
      <c r="P52" s="16" t="n">
        <v>15.07128244775113</v>
      </c>
      <c r="Q52" t="n">
        <v>328932</v>
      </c>
      <c r="R52" t="n">
        <v>327582</v>
      </c>
      <c r="S52" t="n">
        <v>269836</v>
      </c>
      <c r="T52" t="n">
        <v>34100</v>
      </c>
      <c r="U52" t="n">
        <v>13676</v>
      </c>
      <c r="V52" t="n">
        <v>0.4104191747838459</v>
      </c>
      <c r="W52" t="n">
        <v>0</v>
      </c>
      <c r="X52" s="16">
        <f>IFERROR(K52/E52*100,"")</f>
        <v/>
      </c>
      <c r="Y52" s="16">
        <f>IFERROR((N52+O52)/E52*100,"")</f>
        <v/>
      </c>
      <c r="Z52" s="16">
        <f>IFERROR(R52/F52*100,"")</f>
        <v/>
      </c>
      <c r="AA52" s="16">
        <f>IFERROR(R52/E52*100,"")</f>
        <v/>
      </c>
      <c r="AB52" s="16">
        <f>IFERROR(S52/Q52*100,"")</f>
        <v/>
      </c>
      <c r="AC52" s="16">
        <f>IFERROR(T52/Q52*100,"")</f>
        <v/>
      </c>
      <c r="AD52" s="16">
        <f>IFERROR(U52/Q52*100,"")</f>
        <v/>
      </c>
      <c r="AE52" s="18">
        <f>IFERROR(E52/E48-1,"")</f>
        <v/>
      </c>
      <c r="AF52" s="18">
        <f>IFERROR(R52/R48-1,"")</f>
        <v/>
      </c>
      <c r="AG52" s="18">
        <f>IFERROR(F52/F48-1,"")</f>
        <v/>
      </c>
      <c r="AH52">
        <f>P52&gt;0</f>
        <v/>
      </c>
    </row>
    <row r="53">
      <c r="A53" s="14" t="n">
        <v>45199</v>
      </c>
      <c r="B53" t="n">
        <v>6275</v>
      </c>
      <c r="C53" t="inlineStr">
        <is>
          <t>THE NATIONAL BANK OF MIDDLEBURY</t>
        </is>
      </c>
      <c r="D53" t="inlineStr">
        <is>
          <t>VT</t>
        </is>
      </c>
      <c r="E53" t="n">
        <v>554170</v>
      </c>
      <c r="F53" t="n">
        <v>479167</v>
      </c>
      <c r="G53" t="n">
        <v>22855</v>
      </c>
      <c r="H53" s="16" t="n">
        <v>0.4283133544798418</v>
      </c>
      <c r="I53" s="16" t="n">
        <v>9</v>
      </c>
      <c r="J53" s="16" t="n">
        <v>2.894833860172964</v>
      </c>
      <c r="K53" s="16" t="n">
        <v>1262</v>
      </c>
      <c r="L53" s="16" t="n">
        <v>0</v>
      </c>
      <c r="M53" s="16" t="n">
        <v>0.3780457848793668</v>
      </c>
      <c r="N53" s="16" t="n">
        <v>392</v>
      </c>
      <c r="O53" s="16" t="n">
        <v>0</v>
      </c>
      <c r="P53" s="16" t="n">
        <v>14.79860929706062</v>
      </c>
      <c r="Q53" t="n">
        <v>333822</v>
      </c>
      <c r="R53" t="n">
        <v>332466</v>
      </c>
      <c r="S53" t="n">
        <v>274189</v>
      </c>
      <c r="T53" t="n">
        <v>34934</v>
      </c>
      <c r="U53" t="n">
        <v>13861</v>
      </c>
      <c r="V53" t="n">
        <v>0.4062045041968474</v>
      </c>
      <c r="W53" t="n">
        <v>0.01</v>
      </c>
      <c r="X53" s="16">
        <f>IFERROR(K53/E53*100,"")</f>
        <v/>
      </c>
      <c r="Y53" s="16">
        <f>IFERROR((N53+O53)/E53*100,"")</f>
        <v/>
      </c>
      <c r="Z53" s="16">
        <f>IFERROR(R53/F53*100,"")</f>
        <v/>
      </c>
      <c r="AA53" s="16">
        <f>IFERROR(R53/E53*100,"")</f>
        <v/>
      </c>
      <c r="AB53" s="16">
        <f>IFERROR(S53/Q53*100,"")</f>
        <v/>
      </c>
      <c r="AC53" s="16">
        <f>IFERROR(T53/Q53*100,"")</f>
        <v/>
      </c>
      <c r="AD53" s="16">
        <f>IFERROR(U53/Q53*100,"")</f>
        <v/>
      </c>
      <c r="AE53" s="18">
        <f>IFERROR(E53/E49-1,"")</f>
        <v/>
      </c>
      <c r="AF53" s="18">
        <f>IFERROR(R53/R49-1,"")</f>
        <v/>
      </c>
      <c r="AG53" s="18">
        <f>IFERROR(F53/F49-1,"")</f>
        <v/>
      </c>
      <c r="AH53">
        <f>P53&gt;0</f>
        <v/>
      </c>
    </row>
    <row r="54">
      <c r="A54" s="14" t="n">
        <v>45291</v>
      </c>
      <c r="B54" t="n">
        <v>6275</v>
      </c>
      <c r="C54" t="inlineStr">
        <is>
          <t>THE NATIONAL BANK OF MIDDLEBURY</t>
        </is>
      </c>
      <c r="D54" t="inlineStr">
        <is>
          <t>VT</t>
        </is>
      </c>
      <c r="E54" t="n">
        <v>560588</v>
      </c>
      <c r="F54" t="n">
        <v>486814</v>
      </c>
      <c r="G54" t="n">
        <v>30793</v>
      </c>
      <c r="H54" s="16" t="n">
        <v>0.433314521647085</v>
      </c>
      <c r="I54" s="16" t="n">
        <v>8.83</v>
      </c>
      <c r="J54" s="16" t="n">
        <v>2.86365448541739</v>
      </c>
      <c r="K54" s="16" t="n">
        <v>1221</v>
      </c>
      <c r="L54" s="16" t="n">
        <v>8</v>
      </c>
      <c r="M54" s="16" t="n">
        <v>0.3931914085451621</v>
      </c>
      <c r="N54" s="16" t="n">
        <v>326</v>
      </c>
      <c r="O54" s="16" t="n">
        <v>104</v>
      </c>
      <c r="P54" s="16" t="n">
        <v>14.84174085064293</v>
      </c>
      <c r="Q54" t="n">
        <v>336986</v>
      </c>
      <c r="R54" t="n">
        <v>335611</v>
      </c>
      <c r="S54" t="n">
        <v>278886</v>
      </c>
      <c r="T54" t="n">
        <v>35545</v>
      </c>
      <c r="U54" t="n">
        <v>12925</v>
      </c>
      <c r="V54" t="n">
        <v>0.4080288201883758</v>
      </c>
      <c r="W54" t="n">
        <v>0.01</v>
      </c>
      <c r="X54" s="16">
        <f>IFERROR(K54/E54*100,"")</f>
        <v/>
      </c>
      <c r="Y54" s="16">
        <f>IFERROR((N54+O54)/E54*100,"")</f>
        <v/>
      </c>
      <c r="Z54" s="16">
        <f>IFERROR(R54/F54*100,"")</f>
        <v/>
      </c>
      <c r="AA54" s="16">
        <f>IFERROR(R54/E54*100,"")</f>
        <v/>
      </c>
      <c r="AB54" s="16">
        <f>IFERROR(S54/Q54*100,"")</f>
        <v/>
      </c>
      <c r="AC54" s="16">
        <f>IFERROR(T54/Q54*100,"")</f>
        <v/>
      </c>
      <c r="AD54" s="16">
        <f>IFERROR(U54/Q54*100,"")</f>
        <v/>
      </c>
      <c r="AE54" s="18">
        <f>IFERROR(E54/E50-1,"")</f>
        <v/>
      </c>
      <c r="AF54" s="18">
        <f>IFERROR(R54/R50-1,"")</f>
        <v/>
      </c>
      <c r="AG54" s="18">
        <f>IFERROR(F54/F50-1,"")</f>
        <v/>
      </c>
      <c r="AH54">
        <f>P54&gt;0</f>
        <v/>
      </c>
    </row>
    <row r="55">
      <c r="A55" s="14" t="n">
        <v>45382</v>
      </c>
      <c r="B55" t="n">
        <v>6275</v>
      </c>
      <c r="C55" t="inlineStr">
        <is>
          <t>THE NATIONAL BANK OF MIDDLEBURY</t>
        </is>
      </c>
      <c r="D55" t="inlineStr">
        <is>
          <t>VT</t>
        </is>
      </c>
      <c r="E55" t="n">
        <v>560771</v>
      </c>
      <c r="F55" t="n">
        <v>481992</v>
      </c>
      <c r="G55" t="n">
        <v>30328</v>
      </c>
      <c r="H55" s="16" t="n">
        <v>0.4708572366209216</v>
      </c>
      <c r="I55" s="16" t="n">
        <v>8.640000000000001</v>
      </c>
      <c r="J55" s="16" t="n">
        <v>2.737035487392573</v>
      </c>
      <c r="K55" s="16" t="n">
        <v>1168</v>
      </c>
      <c r="L55" s="16" t="n">
        <v>0</v>
      </c>
      <c r="M55" s="16" t="n">
        <v>0.4604533739764859</v>
      </c>
      <c r="N55" s="16" t="n">
        <v>140</v>
      </c>
      <c r="O55" s="16" t="n">
        <v>406</v>
      </c>
      <c r="P55" s="16" t="n">
        <v>14.75839904558721</v>
      </c>
      <c r="Q55" t="n">
        <v>341837</v>
      </c>
      <c r="R55" t="n">
        <v>340430</v>
      </c>
      <c r="S55" t="n">
        <v>282409</v>
      </c>
      <c r="T55" t="n">
        <v>38194</v>
      </c>
      <c r="U55" t="n">
        <v>11822</v>
      </c>
      <c r="V55" t="n">
        <v>0.4115996805495016</v>
      </c>
      <c r="W55" t="n">
        <v>0.02</v>
      </c>
      <c r="X55" s="16">
        <f>IFERROR(K55/E55*100,"")</f>
        <v/>
      </c>
      <c r="Y55" s="16">
        <f>IFERROR((N55+O55)/E55*100,"")</f>
        <v/>
      </c>
      <c r="Z55" s="16">
        <f>IFERROR(R55/F55*100,"")</f>
        <v/>
      </c>
      <c r="AA55" s="16">
        <f>IFERROR(R55/E55*100,"")</f>
        <v/>
      </c>
      <c r="AB55" s="16">
        <f>IFERROR(S55/Q55*100,"")</f>
        <v/>
      </c>
      <c r="AC55" s="16">
        <f>IFERROR(T55/Q55*100,"")</f>
        <v/>
      </c>
      <c r="AD55" s="16">
        <f>IFERROR(U55/Q55*100,"")</f>
        <v/>
      </c>
      <c r="AE55" s="18">
        <f>IFERROR(E55/E51-1,"")</f>
        <v/>
      </c>
      <c r="AF55" s="18">
        <f>IFERROR(R55/R51-1,"")</f>
        <v/>
      </c>
      <c r="AG55" s="18">
        <f>IFERROR(F55/F51-1,"")</f>
        <v/>
      </c>
      <c r="AH55">
        <f>P55&gt;0</f>
        <v/>
      </c>
    </row>
    <row r="56">
      <c r="A56" s="14" t="n">
        <v>45473</v>
      </c>
      <c r="B56" t="n">
        <v>6275</v>
      </c>
      <c r="C56" t="inlineStr">
        <is>
          <t>THE NATIONAL BANK OF MIDDLEBURY</t>
        </is>
      </c>
      <c r="D56" t="inlineStr">
        <is>
          <t>VT</t>
        </is>
      </c>
      <c r="E56" t="n">
        <v>555322</v>
      </c>
      <c r="F56" t="n">
        <v>475950</v>
      </c>
      <c r="G56" t="n">
        <v>30528</v>
      </c>
      <c r="H56" s="16" t="n">
        <v>0.4845286610869927</v>
      </c>
      <c r="I56" s="16" t="n">
        <v>8.859999999999999</v>
      </c>
      <c r="J56" s="16" t="n">
        <v>2.767735515472384</v>
      </c>
      <c r="K56" s="16" t="n">
        <v>1132</v>
      </c>
      <c r="L56" s="16" t="n">
        <v>10</v>
      </c>
      <c r="M56" s="16" t="n">
        <v>0.3268955320426928</v>
      </c>
      <c r="N56" s="16" t="n">
        <v>525</v>
      </c>
      <c r="O56" s="16" t="n">
        <v>0</v>
      </c>
      <c r="P56" s="16" t="n">
        <v>14.82279592022033</v>
      </c>
      <c r="Q56" t="n">
        <v>346288</v>
      </c>
      <c r="R56" t="n">
        <v>344873</v>
      </c>
      <c r="S56" t="n">
        <v>286833</v>
      </c>
      <c r="T56" t="n">
        <v>39014</v>
      </c>
      <c r="U56" t="n">
        <v>10906</v>
      </c>
      <c r="V56" t="n">
        <v>0.4086194150533659</v>
      </c>
      <c r="W56" t="n">
        <v>0.02</v>
      </c>
      <c r="X56" s="16">
        <f>IFERROR(K56/E56*100,"")</f>
        <v/>
      </c>
      <c r="Y56" s="16">
        <f>IFERROR((N56+O56)/E56*100,"")</f>
        <v/>
      </c>
      <c r="Z56" s="16">
        <f>IFERROR(R56/F56*100,"")</f>
        <v/>
      </c>
      <c r="AA56" s="16">
        <f>IFERROR(R56/E56*100,"")</f>
        <v/>
      </c>
      <c r="AB56" s="16">
        <f>IFERROR(S56/Q56*100,"")</f>
        <v/>
      </c>
      <c r="AC56" s="16">
        <f>IFERROR(T56/Q56*100,"")</f>
        <v/>
      </c>
      <c r="AD56" s="16">
        <f>IFERROR(U56/Q56*100,"")</f>
        <v/>
      </c>
      <c r="AE56" s="18">
        <f>IFERROR(E56/E52-1,"")</f>
        <v/>
      </c>
      <c r="AF56" s="18">
        <f>IFERROR(R56/R52-1,"")</f>
        <v/>
      </c>
      <c r="AG56" s="18">
        <f>IFERROR(F56/F52-1,"")</f>
        <v/>
      </c>
      <c r="AH56">
        <f>P56&gt;0</f>
        <v/>
      </c>
    </row>
    <row r="57">
      <c r="A57" s="14" t="n">
        <v>45565</v>
      </c>
      <c r="B57" t="n">
        <v>6275</v>
      </c>
      <c r="C57" t="inlineStr">
        <is>
          <t>THE NATIONAL BANK OF MIDDLEBURY</t>
        </is>
      </c>
      <c r="D57" t="inlineStr">
        <is>
          <t>VT</t>
        </is>
      </c>
      <c r="E57" t="n">
        <v>558754</v>
      </c>
      <c r="F57" t="n">
        <v>473501</v>
      </c>
      <c r="G57" t="n">
        <v>36242</v>
      </c>
      <c r="H57" s="16" t="n">
        <v>0.6105146783511933</v>
      </c>
      <c r="I57" s="16" t="n">
        <v>10.67</v>
      </c>
      <c r="J57" s="16" t="n">
        <v>2.901572419797574</v>
      </c>
      <c r="K57" s="16" t="n">
        <v>745</v>
      </c>
      <c r="L57" s="16" t="n">
        <v>-26</v>
      </c>
      <c r="M57" s="16" t="n">
        <v>0.2345149463615568</v>
      </c>
      <c r="N57" s="16" t="n">
        <v>41</v>
      </c>
      <c r="O57" s="16" t="n">
        <v>68</v>
      </c>
      <c r="P57" s="16" t="n">
        <v>15.20471039298918</v>
      </c>
      <c r="Q57" t="n">
        <v>346673</v>
      </c>
      <c r="R57" t="n">
        <v>345255</v>
      </c>
      <c r="S57" t="n">
        <v>288795</v>
      </c>
      <c r="T57" t="n">
        <v>38226</v>
      </c>
      <c r="U57" t="n">
        <v>9769</v>
      </c>
      <c r="V57" t="n">
        <v>0.4090309888569343</v>
      </c>
      <c r="W57" t="n">
        <v>0</v>
      </c>
      <c r="X57" s="16">
        <f>IFERROR(K57/E57*100,"")</f>
        <v/>
      </c>
      <c r="Y57" s="16">
        <f>IFERROR((N57+O57)/E57*100,"")</f>
        <v/>
      </c>
      <c r="Z57" s="16">
        <f>IFERROR(R57/F57*100,"")</f>
        <v/>
      </c>
      <c r="AA57" s="16">
        <f>IFERROR(R57/E57*100,"")</f>
        <v/>
      </c>
      <c r="AB57" s="16">
        <f>IFERROR(S57/Q57*100,"")</f>
        <v/>
      </c>
      <c r="AC57" s="16">
        <f>IFERROR(T57/Q57*100,"")</f>
        <v/>
      </c>
      <c r="AD57" s="16">
        <f>IFERROR(U57/Q57*100,"")</f>
        <v/>
      </c>
      <c r="AE57" s="18">
        <f>IFERROR(E57/E53-1,"")</f>
        <v/>
      </c>
      <c r="AF57" s="18">
        <f>IFERROR(R57/R53-1,"")</f>
        <v/>
      </c>
      <c r="AG57" s="18">
        <f>IFERROR(F57/F53-1,"")</f>
        <v/>
      </c>
      <c r="AH57">
        <f>P57&gt;0</f>
        <v/>
      </c>
    </row>
    <row r="58">
      <c r="A58" s="14" t="n">
        <v>45657</v>
      </c>
      <c r="B58" t="n">
        <v>6275</v>
      </c>
      <c r="C58" t="inlineStr">
        <is>
          <t>THE NATIONAL BANK OF MIDDLEBURY</t>
        </is>
      </c>
      <c r="D58" t="inlineStr">
        <is>
          <t>VT</t>
        </is>
      </c>
      <c r="E58" t="n">
        <v>547799</v>
      </c>
      <c r="F58" t="n">
        <v>491990</v>
      </c>
      <c r="G58" t="n">
        <v>33538</v>
      </c>
      <c r="H58" s="16" t="n">
        <v>0.6217587166583909</v>
      </c>
      <c r="I58" s="16" t="n">
        <v>10.72</v>
      </c>
      <c r="J58" s="16" t="n">
        <v>2.935704495219762</v>
      </c>
      <c r="K58" s="16" t="n">
        <v>694</v>
      </c>
      <c r="L58" s="16" t="n">
        <v>-22</v>
      </c>
      <c r="M58" s="16" t="n">
        <v>0.2376474905113004</v>
      </c>
      <c r="N58" s="16" t="n">
        <v>113</v>
      </c>
      <c r="O58" s="16" t="n">
        <v>135</v>
      </c>
      <c r="P58" s="16" t="n">
        <v>15.42766006757664</v>
      </c>
      <c r="Q58" t="n">
        <v>348836</v>
      </c>
      <c r="R58" t="n">
        <v>347486</v>
      </c>
      <c r="S58" t="n">
        <v>295604</v>
      </c>
      <c r="T58" t="n">
        <v>34535</v>
      </c>
      <c r="U58" t="n">
        <v>8857</v>
      </c>
      <c r="V58" t="n">
        <v>0.3870013416046509</v>
      </c>
      <c r="W58" t="n">
        <v>-0.01</v>
      </c>
      <c r="X58" s="16">
        <f>IFERROR(K58/E58*100,"")</f>
        <v/>
      </c>
      <c r="Y58" s="16">
        <f>IFERROR((N58+O58)/E58*100,"")</f>
        <v/>
      </c>
      <c r="Z58" s="16">
        <f>IFERROR(R58/F58*100,"")</f>
        <v/>
      </c>
      <c r="AA58" s="16">
        <f>IFERROR(R58/E58*100,"")</f>
        <v/>
      </c>
      <c r="AB58" s="16">
        <f>IFERROR(S58/Q58*100,"")</f>
        <v/>
      </c>
      <c r="AC58" s="16">
        <f>IFERROR(T58/Q58*100,"")</f>
        <v/>
      </c>
      <c r="AD58" s="16">
        <f>IFERROR(U58/Q58*100,"")</f>
        <v/>
      </c>
      <c r="AE58" s="18">
        <f>IFERROR(E58/E54-1,"")</f>
        <v/>
      </c>
      <c r="AF58" s="18">
        <f>IFERROR(R58/R54-1,"")</f>
        <v/>
      </c>
      <c r="AG58" s="18">
        <f>IFERROR(F58/F54-1,"")</f>
        <v/>
      </c>
      <c r="AH58">
        <f>P58&gt;0</f>
        <v/>
      </c>
    </row>
    <row r="59">
      <c r="A59" s="14" t="n">
        <v>45747</v>
      </c>
      <c r="B59" t="n">
        <v>6275</v>
      </c>
      <c r="C59" t="inlineStr">
        <is>
          <t>THE NATIONAL BANK OF MIDDLEBURY</t>
        </is>
      </c>
      <c r="D59" t="inlineStr">
        <is>
          <t>VT</t>
        </is>
      </c>
      <c r="E59" t="n">
        <v>547001</v>
      </c>
      <c r="F59" t="n">
        <v>502984</v>
      </c>
      <c r="G59" t="n">
        <v>36237</v>
      </c>
      <c r="H59" s="16" t="n">
        <v>0.7431494336865181</v>
      </c>
      <c r="I59" s="16" t="n">
        <v>11.66</v>
      </c>
      <c r="J59" s="16" t="n">
        <v>3.202216308362158</v>
      </c>
      <c r="K59" s="16" t="n">
        <v>660</v>
      </c>
      <c r="L59" s="16" t="n">
        <v>8</v>
      </c>
      <c r="M59" s="16" t="n">
        <v>0.2862428475140182</v>
      </c>
      <c r="N59" s="16" t="n">
        <v>744</v>
      </c>
      <c r="O59" s="16" t="n">
        <v>338</v>
      </c>
      <c r="P59" s="16" t="n">
        <v>15.73289323812906</v>
      </c>
      <c r="Q59" t="n">
        <v>348655</v>
      </c>
      <c r="R59" t="n">
        <v>347315</v>
      </c>
      <c r="S59" t="n">
        <v>298585</v>
      </c>
      <c r="T59" t="n">
        <v>33302</v>
      </c>
      <c r="U59" t="n">
        <v>7846</v>
      </c>
      <c r="V59" t="n">
        <v>0.3843340838364572</v>
      </c>
      <c r="W59" t="n">
        <v>0</v>
      </c>
      <c r="X59" s="16">
        <f>IFERROR(K59/E59*100,"")</f>
        <v/>
      </c>
      <c r="Y59" s="16">
        <f>IFERROR((N59+O59)/E59*100,"")</f>
        <v/>
      </c>
      <c r="Z59" s="16">
        <f>IFERROR(R59/F59*100,"")</f>
        <v/>
      </c>
      <c r="AA59" s="16">
        <f>IFERROR(R59/E59*100,"")</f>
        <v/>
      </c>
      <c r="AB59" s="16">
        <f>IFERROR(S59/Q59*100,"")</f>
        <v/>
      </c>
      <c r="AC59" s="16">
        <f>IFERROR(T59/Q59*100,"")</f>
        <v/>
      </c>
      <c r="AD59" s="16">
        <f>IFERROR(U59/Q59*100,"")</f>
        <v/>
      </c>
      <c r="AE59" s="18">
        <f>IFERROR(E59/E55-1,"")</f>
        <v/>
      </c>
      <c r="AF59" s="18">
        <f>IFERROR(R59/R55-1,"")</f>
        <v/>
      </c>
      <c r="AG59" s="18">
        <f>IFERROR(F59/F55-1,"")</f>
        <v/>
      </c>
      <c r="AH59">
        <f>P59&gt;0</f>
        <v/>
      </c>
    </row>
    <row r="60">
      <c r="A60" s="14" t="n">
        <v>45838</v>
      </c>
      <c r="B60" t="n">
        <v>6275</v>
      </c>
      <c r="C60" t="inlineStr">
        <is>
          <t>THE NATIONAL BANK OF MIDDLEBURY</t>
        </is>
      </c>
      <c r="D60" t="inlineStr">
        <is>
          <t>VT</t>
        </is>
      </c>
      <c r="E60" t="n">
        <v>552605</v>
      </c>
      <c r="F60" t="n">
        <v>506456</v>
      </c>
      <c r="G60" t="n">
        <v>38291</v>
      </c>
      <c r="H60" s="16" t="n">
        <v>0.8092727653491401</v>
      </c>
      <c r="I60" s="16" t="n">
        <v>12.34</v>
      </c>
      <c r="J60" s="16" t="n">
        <v>3.250324920279843</v>
      </c>
      <c r="K60" s="16" t="n">
        <v>652</v>
      </c>
      <c r="L60" s="16" t="n">
        <v>8</v>
      </c>
      <c r="M60" s="16" t="n">
        <v>0.1865175289288115</v>
      </c>
      <c r="N60" s="16" t="n">
        <v>488</v>
      </c>
      <c r="O60" s="16" t="n">
        <v>0</v>
      </c>
      <c r="P60" s="16" t="n">
        <v>15.98071750658676</v>
      </c>
      <c r="Q60" t="n">
        <v>349565</v>
      </c>
      <c r="R60" t="n">
        <v>348242</v>
      </c>
      <c r="S60" t="n">
        <v>299164</v>
      </c>
      <c r="T60" t="n">
        <v>32839</v>
      </c>
      <c r="U60" t="n">
        <v>7076</v>
      </c>
      <c r="V60" t="n">
        <v>0.3784703846208859</v>
      </c>
      <c r="W60" t="n">
        <v>-0.01</v>
      </c>
      <c r="X60" s="16">
        <f>IFERROR(K60/E60*100,"")</f>
        <v/>
      </c>
      <c r="Y60" s="16">
        <f>IFERROR((N60+O60)/E60*100,"")</f>
        <v/>
      </c>
      <c r="Z60" s="16">
        <f>IFERROR(R60/F60*100,"")</f>
        <v/>
      </c>
      <c r="AA60" s="16">
        <f>IFERROR(R60/E60*100,"")</f>
        <v/>
      </c>
      <c r="AB60" s="16">
        <f>IFERROR(S60/Q60*100,"")</f>
        <v/>
      </c>
      <c r="AC60" s="16">
        <f>IFERROR(T60/Q60*100,"")</f>
        <v/>
      </c>
      <c r="AD60" s="16">
        <f>IFERROR(U60/Q60*100,"")</f>
        <v/>
      </c>
      <c r="AE60" s="18">
        <f>IFERROR(E60/E56-1,"")</f>
        <v/>
      </c>
      <c r="AF60" s="18">
        <f>IFERROR(R60/R56-1,"")</f>
        <v/>
      </c>
      <c r="AG60" s="18">
        <f>IFERROR(F60/F56-1,"")</f>
        <v/>
      </c>
      <c r="AH60">
        <f>P60&gt;0</f>
        <v/>
      </c>
    </row>
    <row r="61">
      <c r="A61" s="14" t="n">
        <v>44651</v>
      </c>
      <c r="B61" t="n">
        <v>6280</v>
      </c>
      <c r="C61" t="inlineStr">
        <is>
          <t>THE FIRST NATIONAL BANK OF ORWELL</t>
        </is>
      </c>
      <c r="D61" t="inlineStr">
        <is>
          <t>VT</t>
        </is>
      </c>
      <c r="E61" t="n">
        <v>83998</v>
      </c>
      <c r="F61" t="n">
        <v>75709</v>
      </c>
      <c r="G61" t="n">
        <v>8131</v>
      </c>
      <c r="H61" s="16" t="n">
        <v>1.185738074710947</v>
      </c>
      <c r="I61" s="16" t="n">
        <v>12.54</v>
      </c>
      <c r="J61" s="16" t="n">
        <v>3.840476338150468</v>
      </c>
      <c r="K61" s="16" t="n">
        <v>836</v>
      </c>
      <c r="L61" s="16" t="n">
        <v>-1</v>
      </c>
      <c r="M61" s="16" t="n">
        <v>1.349366475667823</v>
      </c>
      <c r="N61" s="16" t="n">
        <v>644</v>
      </c>
      <c r="O61" s="16" t="n">
        <v>0</v>
      </c>
      <c r="P61" s="16" t="n">
        <v>0</v>
      </c>
      <c r="Q61" t="n">
        <v>61955</v>
      </c>
      <c r="R61" t="n">
        <v>61128</v>
      </c>
      <c r="S61" t="n">
        <v>53939</v>
      </c>
      <c r="T61" t="n">
        <v>2686</v>
      </c>
      <c r="U61" t="n">
        <v>1876</v>
      </c>
      <c r="V61" t="n">
        <v>1.334839803082883</v>
      </c>
      <c r="W61" t="n">
        <v>0.05</v>
      </c>
      <c r="X61" s="16">
        <f>IFERROR(K61/E61*100,"")</f>
        <v/>
      </c>
      <c r="Y61" s="16">
        <f>IFERROR((N61+O61)/E61*100,"")</f>
        <v/>
      </c>
      <c r="Z61" s="16">
        <f>IFERROR(R61/F61*100,"")</f>
        <v/>
      </c>
      <c r="AA61" s="16">
        <f>IFERROR(R61/E61*100,"")</f>
        <v/>
      </c>
      <c r="AB61" s="16">
        <f>IFERROR(S61/Q61*100,"")</f>
        <v/>
      </c>
      <c r="AC61" s="16">
        <f>IFERROR(T61/Q61*100,"")</f>
        <v/>
      </c>
      <c r="AD61" s="16">
        <f>IFERROR(U61/Q61*100,"")</f>
        <v/>
      </c>
      <c r="AE61" s="18" t="n"/>
      <c r="AF61" s="18" t="n"/>
      <c r="AG61" s="18" t="n"/>
      <c r="AH61">
        <f>P61&gt;0</f>
        <v/>
      </c>
    </row>
    <row r="62">
      <c r="A62" s="14" t="n">
        <v>44742</v>
      </c>
      <c r="B62" t="n">
        <v>6280</v>
      </c>
      <c r="C62" t="inlineStr">
        <is>
          <t>THE FIRST NATIONAL BANK OF ORWELL</t>
        </is>
      </c>
      <c r="D62" t="inlineStr">
        <is>
          <t>VT</t>
        </is>
      </c>
      <c r="E62" t="n">
        <v>86239</v>
      </c>
      <c r="F62" t="n">
        <v>77591</v>
      </c>
      <c r="G62" t="n">
        <v>8210</v>
      </c>
      <c r="H62" s="16" t="n">
        <v>1.361582252479606</v>
      </c>
      <c r="I62" s="16" t="n">
        <v>14.37</v>
      </c>
      <c r="J62" s="16" t="n">
        <v>3.968410175663042</v>
      </c>
      <c r="K62" s="16" t="n">
        <v>755</v>
      </c>
      <c r="L62" s="16" t="n">
        <v>-2</v>
      </c>
      <c r="M62" s="16" t="n">
        <v>1.215096161583648</v>
      </c>
      <c r="N62" s="16" t="n">
        <v>120</v>
      </c>
      <c r="O62" s="16" t="n">
        <v>0</v>
      </c>
      <c r="P62" s="16" t="n">
        <v>0</v>
      </c>
      <c r="Q62" t="n">
        <v>62135</v>
      </c>
      <c r="R62" t="n">
        <v>61308</v>
      </c>
      <c r="S62" t="n">
        <v>53194</v>
      </c>
      <c r="T62" t="n">
        <v>3382</v>
      </c>
      <c r="U62" t="n">
        <v>2008</v>
      </c>
      <c r="V62" t="n">
        <v>1.330972881628712</v>
      </c>
      <c r="W62" t="n">
        <v>0.03</v>
      </c>
      <c r="X62" s="16">
        <f>IFERROR(K62/E62*100,"")</f>
        <v/>
      </c>
      <c r="Y62" s="16">
        <f>IFERROR((N62+O62)/E62*100,"")</f>
        <v/>
      </c>
      <c r="Z62" s="16">
        <f>IFERROR(R62/F62*100,"")</f>
        <v/>
      </c>
      <c r="AA62" s="16">
        <f>IFERROR(R62/E62*100,"")</f>
        <v/>
      </c>
      <c r="AB62" s="16">
        <f>IFERROR(S62/Q62*100,"")</f>
        <v/>
      </c>
      <c r="AC62" s="16">
        <f>IFERROR(T62/Q62*100,"")</f>
        <v/>
      </c>
      <c r="AD62" s="16">
        <f>IFERROR(U62/Q62*100,"")</f>
        <v/>
      </c>
      <c r="AE62" s="18" t="n"/>
      <c r="AF62" s="18" t="n"/>
      <c r="AG62" s="18" t="n"/>
      <c r="AH62">
        <f>P62&gt;0</f>
        <v/>
      </c>
    </row>
    <row r="63">
      <c r="A63" s="14" t="n">
        <v>44834</v>
      </c>
      <c r="B63" t="n">
        <v>6280</v>
      </c>
      <c r="C63" t="inlineStr">
        <is>
          <t>THE FIRST NATIONAL BANK OF ORWELL</t>
        </is>
      </c>
      <c r="D63" t="inlineStr">
        <is>
          <t>VT</t>
        </is>
      </c>
      <c r="E63" t="n">
        <v>87700</v>
      </c>
      <c r="F63" t="n">
        <v>78966</v>
      </c>
      <c r="G63" t="n">
        <v>8505</v>
      </c>
      <c r="H63" s="16" t="n">
        <v>1.359380689514543</v>
      </c>
      <c r="I63" s="16" t="n">
        <v>14.26</v>
      </c>
      <c r="J63" s="16" t="n">
        <v>4.114543251697566</v>
      </c>
      <c r="K63" s="16" t="n">
        <v>667</v>
      </c>
      <c r="L63" s="16" t="n">
        <v>78</v>
      </c>
      <c r="M63" s="16" t="n">
        <v>1.063948573160422</v>
      </c>
      <c r="N63" s="16" t="n">
        <v>659</v>
      </c>
      <c r="O63" s="16" t="n">
        <v>0</v>
      </c>
      <c r="P63" s="16" t="n">
        <v>0</v>
      </c>
      <c r="Q63" t="n">
        <v>62691</v>
      </c>
      <c r="R63" t="n">
        <v>61864</v>
      </c>
      <c r="S63" t="n">
        <v>53838</v>
      </c>
      <c r="T63" t="n">
        <v>3097</v>
      </c>
      <c r="U63" t="n">
        <v>1958</v>
      </c>
      <c r="V63" t="n">
        <v>1.319168620695156</v>
      </c>
      <c r="W63" t="n">
        <v>0.14</v>
      </c>
      <c r="X63" s="16">
        <f>IFERROR(K63/E63*100,"")</f>
        <v/>
      </c>
      <c r="Y63" s="16">
        <f>IFERROR((N63+O63)/E63*100,"")</f>
        <v/>
      </c>
      <c r="Z63" s="16">
        <f>IFERROR(R63/F63*100,"")</f>
        <v/>
      </c>
      <c r="AA63" s="16">
        <f>IFERROR(R63/E63*100,"")</f>
        <v/>
      </c>
      <c r="AB63" s="16">
        <f>IFERROR(S63/Q63*100,"")</f>
        <v/>
      </c>
      <c r="AC63" s="16">
        <f>IFERROR(T63/Q63*100,"")</f>
        <v/>
      </c>
      <c r="AD63" s="16">
        <f>IFERROR(U63/Q63*100,"")</f>
        <v/>
      </c>
      <c r="AE63" s="18" t="n"/>
      <c r="AF63" s="18" t="n"/>
      <c r="AG63" s="18" t="n"/>
      <c r="AH63">
        <f>P63&gt;0</f>
        <v/>
      </c>
    </row>
    <row r="64">
      <c r="A64" s="14" t="n">
        <v>44926</v>
      </c>
      <c r="B64" t="n">
        <v>6280</v>
      </c>
      <c r="C64" t="inlineStr">
        <is>
          <t>THE FIRST NATIONAL BANK OF ORWELL</t>
        </is>
      </c>
      <c r="D64" t="inlineStr">
        <is>
          <t>VT</t>
        </is>
      </c>
      <c r="E64" t="n">
        <v>84636</v>
      </c>
      <c r="F64" t="n">
        <v>75635</v>
      </c>
      <c r="G64" t="n">
        <v>8605</v>
      </c>
      <c r="H64" s="16" t="n">
        <v>1.431338962098144</v>
      </c>
      <c r="I64" s="16" t="n">
        <v>14.82</v>
      </c>
      <c r="J64" s="16" t="n">
        <v>4.345793477515934</v>
      </c>
      <c r="K64" s="16" t="n">
        <v>622</v>
      </c>
      <c r="L64" s="16" t="n">
        <v>78</v>
      </c>
      <c r="M64" s="16" t="n">
        <v>0.9810725552050472</v>
      </c>
      <c r="N64" s="16" t="n">
        <v>1116</v>
      </c>
      <c r="O64" s="16" t="n">
        <v>0</v>
      </c>
      <c r="P64" s="16" t="n">
        <v>0</v>
      </c>
      <c r="Q64" t="n">
        <v>63400</v>
      </c>
      <c r="R64" t="n">
        <v>62573</v>
      </c>
      <c r="S64" t="n">
        <v>54882</v>
      </c>
      <c r="T64" t="n">
        <v>3426</v>
      </c>
      <c r="U64" t="n">
        <v>1765</v>
      </c>
      <c r="V64" t="n">
        <v>1.304416403785489</v>
      </c>
      <c r="W64" t="n">
        <v>0.11</v>
      </c>
      <c r="X64" s="16">
        <f>IFERROR(K64/E64*100,"")</f>
        <v/>
      </c>
      <c r="Y64" s="16">
        <f>IFERROR((N64+O64)/E64*100,"")</f>
        <v/>
      </c>
      <c r="Z64" s="16">
        <f>IFERROR(R64/F64*100,"")</f>
        <v/>
      </c>
      <c r="AA64" s="16">
        <f>IFERROR(R64/E64*100,"")</f>
        <v/>
      </c>
      <c r="AB64" s="16">
        <f>IFERROR(S64/Q64*100,"")</f>
        <v/>
      </c>
      <c r="AC64" s="16">
        <f>IFERROR(T64/Q64*100,"")</f>
        <v/>
      </c>
      <c r="AD64" s="16">
        <f>IFERROR(U64/Q64*100,"")</f>
        <v/>
      </c>
      <c r="AE64" s="18" t="n"/>
      <c r="AF64" s="18" t="n"/>
      <c r="AG64" s="18" t="n"/>
      <c r="AH64">
        <f>P64&gt;0</f>
        <v/>
      </c>
    </row>
    <row r="65">
      <c r="A65" s="14" t="n">
        <v>45016</v>
      </c>
      <c r="B65" t="n">
        <v>6280</v>
      </c>
      <c r="C65" t="inlineStr">
        <is>
          <t>THE FIRST NATIONAL BANK OF ORWELL</t>
        </is>
      </c>
      <c r="D65" t="inlineStr">
        <is>
          <t>VT</t>
        </is>
      </c>
      <c r="E65" t="n">
        <v>83956</v>
      </c>
      <c r="F65" t="n">
        <v>74763</v>
      </c>
      <c r="G65" t="n">
        <v>9018</v>
      </c>
      <c r="H65" s="16" t="n">
        <v>1.955015659106007</v>
      </c>
      <c r="I65" s="16" t="n">
        <v>18.7</v>
      </c>
      <c r="J65" s="16" t="n">
        <v>4.843421723293427</v>
      </c>
      <c r="K65" s="16" t="n">
        <v>597</v>
      </c>
      <c r="L65" s="16" t="n">
        <v>0</v>
      </c>
      <c r="M65" s="16" t="n">
        <v>0.9380155550318172</v>
      </c>
      <c r="N65" s="16" t="n">
        <v>768</v>
      </c>
      <c r="O65" s="16" t="n">
        <v>0</v>
      </c>
      <c r="P65" s="16" t="n">
        <v>0</v>
      </c>
      <c r="Q65" t="n">
        <v>63645</v>
      </c>
      <c r="R65" t="n">
        <v>62818</v>
      </c>
      <c r="S65" t="n">
        <v>55677</v>
      </c>
      <c r="T65" t="n">
        <v>3599</v>
      </c>
      <c r="U65" t="n">
        <v>1756</v>
      </c>
      <c r="V65" t="n">
        <v>1.299395082096001</v>
      </c>
      <c r="W65" t="n">
        <v>0</v>
      </c>
      <c r="X65" s="16">
        <f>IFERROR(K65/E65*100,"")</f>
        <v/>
      </c>
      <c r="Y65" s="16">
        <f>IFERROR((N65+O65)/E65*100,"")</f>
        <v/>
      </c>
      <c r="Z65" s="16">
        <f>IFERROR(R65/F65*100,"")</f>
        <v/>
      </c>
      <c r="AA65" s="16">
        <f>IFERROR(R65/E65*100,"")</f>
        <v/>
      </c>
      <c r="AB65" s="16">
        <f>IFERROR(S65/Q65*100,"")</f>
        <v/>
      </c>
      <c r="AC65" s="16">
        <f>IFERROR(T65/Q65*100,"")</f>
        <v/>
      </c>
      <c r="AD65" s="16">
        <f>IFERROR(U65/Q65*100,"")</f>
        <v/>
      </c>
      <c r="AE65" s="18">
        <f>IFERROR(E65/E61-1,"")</f>
        <v/>
      </c>
      <c r="AF65" s="18">
        <f>IFERROR(R65/R61-1,"")</f>
        <v/>
      </c>
      <c r="AG65" s="18">
        <f>IFERROR(F65/F61-1,"")</f>
        <v/>
      </c>
      <c r="AH65">
        <f>P65&gt;0</f>
        <v/>
      </c>
    </row>
    <row r="66">
      <c r="A66" s="14" t="n">
        <v>45107</v>
      </c>
      <c r="B66" t="n">
        <v>6280</v>
      </c>
      <c r="C66" t="inlineStr">
        <is>
          <t>THE FIRST NATIONAL BANK OF ORWELL</t>
        </is>
      </c>
      <c r="D66" t="inlineStr">
        <is>
          <t>VT</t>
        </is>
      </c>
      <c r="E66" t="n">
        <v>83293</v>
      </c>
      <c r="F66" t="n">
        <v>73688</v>
      </c>
      <c r="G66" t="n">
        <v>9047</v>
      </c>
      <c r="H66" s="16" t="n">
        <v>1.943744168965996</v>
      </c>
      <c r="I66" s="16" t="n">
        <v>18.36</v>
      </c>
      <c r="J66" s="16" t="n">
        <v>5.0004375382846</v>
      </c>
      <c r="K66" s="16" t="n">
        <v>711</v>
      </c>
      <c r="L66" s="16" t="n">
        <v>9</v>
      </c>
      <c r="M66" s="16" t="n">
        <v>1.087122717959695</v>
      </c>
      <c r="N66" s="16" t="n">
        <v>316</v>
      </c>
      <c r="O66" s="16" t="n">
        <v>0</v>
      </c>
      <c r="P66" s="16" t="n">
        <v>0</v>
      </c>
      <c r="Q66" t="n">
        <v>65402</v>
      </c>
      <c r="R66" t="n">
        <v>64557</v>
      </c>
      <c r="S66" t="n">
        <v>57427</v>
      </c>
      <c r="T66" t="n">
        <v>3640</v>
      </c>
      <c r="U66" t="n">
        <v>1707</v>
      </c>
      <c r="V66" t="n">
        <v>1.292009418672212</v>
      </c>
      <c r="W66" t="n">
        <v>0.06</v>
      </c>
      <c r="X66" s="16">
        <f>IFERROR(K66/E66*100,"")</f>
        <v/>
      </c>
      <c r="Y66" s="16">
        <f>IFERROR((N66+O66)/E66*100,"")</f>
        <v/>
      </c>
      <c r="Z66" s="16">
        <f>IFERROR(R66/F66*100,"")</f>
        <v/>
      </c>
      <c r="AA66" s="16">
        <f>IFERROR(R66/E66*100,"")</f>
        <v/>
      </c>
      <c r="AB66" s="16">
        <f>IFERROR(S66/Q66*100,"")</f>
        <v/>
      </c>
      <c r="AC66" s="16">
        <f>IFERROR(T66/Q66*100,"")</f>
        <v/>
      </c>
      <c r="AD66" s="16">
        <f>IFERROR(U66/Q66*100,"")</f>
        <v/>
      </c>
      <c r="AE66" s="18">
        <f>IFERROR(E66/E62-1,"")</f>
        <v/>
      </c>
      <c r="AF66" s="18">
        <f>IFERROR(R66/R62-1,"")</f>
        <v/>
      </c>
      <c r="AG66" s="18">
        <f>IFERROR(F66/F62-1,"")</f>
        <v/>
      </c>
      <c r="AH66">
        <f>P66&gt;0</f>
        <v/>
      </c>
    </row>
    <row r="67">
      <c r="A67" s="14" t="n">
        <v>45199</v>
      </c>
      <c r="B67" t="n">
        <v>6280</v>
      </c>
      <c r="C67" t="inlineStr">
        <is>
          <t>THE FIRST NATIONAL BANK OF ORWELL</t>
        </is>
      </c>
      <c r="D67" t="inlineStr">
        <is>
          <t>VT</t>
        </is>
      </c>
      <c r="E67" t="n">
        <v>81114</v>
      </c>
      <c r="F67" t="n">
        <v>71481</v>
      </c>
      <c r="G67" t="n">
        <v>9381</v>
      </c>
      <c r="H67" s="16" t="n">
        <v>1.841801326730711</v>
      </c>
      <c r="I67" s="16" t="n">
        <v>17.01</v>
      </c>
      <c r="J67" s="16" t="n">
        <v>4.971628545894925</v>
      </c>
      <c r="K67" s="16" t="n">
        <v>952</v>
      </c>
      <c r="L67" s="16" t="n">
        <v>9</v>
      </c>
      <c r="M67" s="16" t="n">
        <v>1.428078544319938</v>
      </c>
      <c r="N67" s="16" t="n">
        <v>721</v>
      </c>
      <c r="O67" s="16" t="n">
        <v>0</v>
      </c>
      <c r="P67" s="16" t="n">
        <v>0</v>
      </c>
      <c r="Q67" t="n">
        <v>66663</v>
      </c>
      <c r="R67" t="n">
        <v>65801</v>
      </c>
      <c r="S67" t="n">
        <v>59127</v>
      </c>
      <c r="T67" t="n">
        <v>3368</v>
      </c>
      <c r="U67" t="n">
        <v>1610</v>
      </c>
      <c r="V67" t="n">
        <v>1.29307111891154</v>
      </c>
      <c r="W67" t="n">
        <v>0.07000000000000001</v>
      </c>
      <c r="X67" s="16">
        <f>IFERROR(K67/E67*100,"")</f>
        <v/>
      </c>
      <c r="Y67" s="16">
        <f>IFERROR((N67+O67)/E67*100,"")</f>
        <v/>
      </c>
      <c r="Z67" s="16">
        <f>IFERROR(R67/F67*100,"")</f>
        <v/>
      </c>
      <c r="AA67" s="16">
        <f>IFERROR(R67/E67*100,"")</f>
        <v/>
      </c>
      <c r="AB67" s="16">
        <f>IFERROR(S67/Q67*100,"")</f>
        <v/>
      </c>
      <c r="AC67" s="16">
        <f>IFERROR(T67/Q67*100,"")</f>
        <v/>
      </c>
      <c r="AD67" s="16">
        <f>IFERROR(U67/Q67*100,"")</f>
        <v/>
      </c>
      <c r="AE67" s="18">
        <f>IFERROR(E67/E63-1,"")</f>
        <v/>
      </c>
      <c r="AF67" s="18">
        <f>IFERROR(R67/R63-1,"")</f>
        <v/>
      </c>
      <c r="AG67" s="18">
        <f>IFERROR(F67/F63-1,"")</f>
        <v/>
      </c>
      <c r="AH67">
        <f>P67&gt;0</f>
        <v/>
      </c>
    </row>
    <row r="68">
      <c r="A68" s="14" t="n">
        <v>45291</v>
      </c>
      <c r="B68" t="n">
        <v>6280</v>
      </c>
      <c r="C68" t="inlineStr">
        <is>
          <t>THE FIRST NATIONAL BANK OF ORWELL</t>
        </is>
      </c>
      <c r="D68" t="inlineStr">
        <is>
          <t>VT</t>
        </is>
      </c>
      <c r="E68" t="n">
        <v>78840</v>
      </c>
      <c r="F68" t="n">
        <v>68883</v>
      </c>
      <c r="G68" t="n">
        <v>9375</v>
      </c>
      <c r="H68" s="16" t="n">
        <v>1.845381326197859</v>
      </c>
      <c r="I68" s="16" t="n">
        <v>16.73</v>
      </c>
      <c r="J68" s="16" t="n">
        <v>5.132283520945956</v>
      </c>
      <c r="K68" s="16" t="n">
        <v>956</v>
      </c>
      <c r="L68" s="16" t="n">
        <v>9</v>
      </c>
      <c r="M68" s="16" t="n">
        <v>1.407579728496128</v>
      </c>
      <c r="N68" s="16" t="n">
        <v>1133</v>
      </c>
      <c r="O68" s="16" t="n">
        <v>0</v>
      </c>
      <c r="P68" s="16" t="n">
        <v>0</v>
      </c>
      <c r="Q68" t="n">
        <v>67918</v>
      </c>
      <c r="R68" t="n">
        <v>67022</v>
      </c>
      <c r="S68" t="n">
        <v>59964</v>
      </c>
      <c r="T68" t="n">
        <v>3335</v>
      </c>
      <c r="U68" t="n">
        <v>2153</v>
      </c>
      <c r="V68" t="n">
        <v>1.319237904531936</v>
      </c>
      <c r="W68" t="n">
        <v>0.09</v>
      </c>
      <c r="X68" s="16">
        <f>IFERROR(K68/E68*100,"")</f>
        <v/>
      </c>
      <c r="Y68" s="16">
        <f>IFERROR((N68+O68)/E68*100,"")</f>
        <v/>
      </c>
      <c r="Z68" s="16">
        <f>IFERROR(R68/F68*100,"")</f>
        <v/>
      </c>
      <c r="AA68" s="16">
        <f>IFERROR(R68/E68*100,"")</f>
        <v/>
      </c>
      <c r="AB68" s="16">
        <f>IFERROR(S68/Q68*100,"")</f>
        <v/>
      </c>
      <c r="AC68" s="16">
        <f>IFERROR(T68/Q68*100,"")</f>
        <v/>
      </c>
      <c r="AD68" s="16">
        <f>IFERROR(U68/Q68*100,"")</f>
        <v/>
      </c>
      <c r="AE68" s="18">
        <f>IFERROR(E68/E64-1,"")</f>
        <v/>
      </c>
      <c r="AF68" s="18">
        <f>IFERROR(R68/R64-1,"")</f>
        <v/>
      </c>
      <c r="AG68" s="18">
        <f>IFERROR(F68/F64-1,"")</f>
        <v/>
      </c>
      <c r="AH68">
        <f>P68&gt;0</f>
        <v/>
      </c>
    </row>
    <row r="69">
      <c r="A69" s="14" t="n">
        <v>45382</v>
      </c>
      <c r="B69" t="n">
        <v>6280</v>
      </c>
      <c r="C69" t="inlineStr">
        <is>
          <t>THE FIRST NATIONAL BANK OF ORWELL</t>
        </is>
      </c>
      <c r="D69" t="inlineStr">
        <is>
          <t>VT</t>
        </is>
      </c>
      <c r="E69" t="n">
        <v>78008</v>
      </c>
      <c r="F69" t="n">
        <v>68177</v>
      </c>
      <c r="G69" t="n">
        <v>9657</v>
      </c>
      <c r="H69" s="16" t="n">
        <v>1.43833520350913</v>
      </c>
      <c r="I69" s="16" t="n">
        <v>11.85</v>
      </c>
      <c r="J69" s="16" t="n">
        <v>4.736952138170096</v>
      </c>
      <c r="K69" s="16" t="n">
        <v>1333</v>
      </c>
      <c r="L69" s="16" t="n">
        <v>0</v>
      </c>
      <c r="M69" s="16" t="n">
        <v>1.980330401711433</v>
      </c>
      <c r="N69" s="16" t="n">
        <v>398</v>
      </c>
      <c r="O69" s="16" t="n">
        <v>0</v>
      </c>
      <c r="P69" s="16" t="n">
        <v>0</v>
      </c>
      <c r="Q69" t="n">
        <v>67312</v>
      </c>
      <c r="R69" t="n">
        <v>66413</v>
      </c>
      <c r="S69" t="n">
        <v>59060</v>
      </c>
      <c r="T69" t="n">
        <v>4453</v>
      </c>
      <c r="U69" t="n">
        <v>1569</v>
      </c>
      <c r="V69" t="n">
        <v>1.335571666270502</v>
      </c>
      <c r="W69" t="n">
        <v>0.02</v>
      </c>
      <c r="X69" s="16">
        <f>IFERROR(K69/E69*100,"")</f>
        <v/>
      </c>
      <c r="Y69" s="16">
        <f>IFERROR((N69+O69)/E69*100,"")</f>
        <v/>
      </c>
      <c r="Z69" s="16">
        <f>IFERROR(R69/F69*100,"")</f>
        <v/>
      </c>
      <c r="AA69" s="16">
        <f>IFERROR(R69/E69*100,"")</f>
        <v/>
      </c>
      <c r="AB69" s="16">
        <f>IFERROR(S69/Q69*100,"")</f>
        <v/>
      </c>
      <c r="AC69" s="16">
        <f>IFERROR(T69/Q69*100,"")</f>
        <v/>
      </c>
      <c r="AD69" s="16">
        <f>IFERROR(U69/Q69*100,"")</f>
        <v/>
      </c>
      <c r="AE69" s="18">
        <f>IFERROR(E69/E65-1,"")</f>
        <v/>
      </c>
      <c r="AF69" s="18">
        <f>IFERROR(R69/R65-1,"")</f>
        <v/>
      </c>
      <c r="AG69" s="18">
        <f>IFERROR(F69/F65-1,"")</f>
        <v/>
      </c>
      <c r="AH69">
        <f>P69&gt;0</f>
        <v/>
      </c>
    </row>
    <row r="70">
      <c r="A70" s="14" t="n">
        <v>45473</v>
      </c>
      <c r="B70" t="n">
        <v>6280</v>
      </c>
      <c r="C70" t="inlineStr">
        <is>
          <t>THE FIRST NATIONAL BANK OF ORWELL</t>
        </is>
      </c>
      <c r="D70" t="inlineStr">
        <is>
          <t>VT</t>
        </is>
      </c>
      <c r="E70" t="n">
        <v>81265</v>
      </c>
      <c r="F70" t="n">
        <v>71124</v>
      </c>
      <c r="G70" t="n">
        <v>9570</v>
      </c>
      <c r="H70" s="16" t="n">
        <v>1.436292852553199</v>
      </c>
      <c r="I70" s="16" t="n">
        <v>11.96</v>
      </c>
      <c r="J70" s="16" t="n">
        <v>4.663405626625711</v>
      </c>
      <c r="K70" s="16" t="n">
        <v>1206</v>
      </c>
      <c r="L70" s="16" t="n">
        <v>1</v>
      </c>
      <c r="M70" s="16" t="n">
        <v>1.756967410148454</v>
      </c>
      <c r="N70" s="16" t="n">
        <v>566</v>
      </c>
      <c r="O70" s="16" t="n">
        <v>0</v>
      </c>
      <c r="P70" s="16" t="n">
        <v>0</v>
      </c>
      <c r="Q70" t="n">
        <v>68641</v>
      </c>
      <c r="R70" t="n">
        <v>67743</v>
      </c>
      <c r="S70" t="n">
        <v>59949</v>
      </c>
      <c r="T70" t="n">
        <v>4325</v>
      </c>
      <c r="U70" t="n">
        <v>1574</v>
      </c>
      <c r="V70" t="n">
        <v>1.308255998601419</v>
      </c>
      <c r="W70" t="n">
        <v>0.01</v>
      </c>
      <c r="X70" s="16">
        <f>IFERROR(K70/E70*100,"")</f>
        <v/>
      </c>
      <c r="Y70" s="16">
        <f>IFERROR((N70+O70)/E70*100,"")</f>
        <v/>
      </c>
      <c r="Z70" s="16">
        <f>IFERROR(R70/F70*100,"")</f>
        <v/>
      </c>
      <c r="AA70" s="16">
        <f>IFERROR(R70/E70*100,"")</f>
        <v/>
      </c>
      <c r="AB70" s="16">
        <f>IFERROR(S70/Q70*100,"")</f>
        <v/>
      </c>
      <c r="AC70" s="16">
        <f>IFERROR(T70/Q70*100,"")</f>
        <v/>
      </c>
      <c r="AD70" s="16">
        <f>IFERROR(U70/Q70*100,"")</f>
        <v/>
      </c>
      <c r="AE70" s="18">
        <f>IFERROR(E70/E66-1,"")</f>
        <v/>
      </c>
      <c r="AF70" s="18">
        <f>IFERROR(R70/R66-1,"")</f>
        <v/>
      </c>
      <c r="AG70" s="18">
        <f>IFERROR(F70/F66-1,"")</f>
        <v/>
      </c>
      <c r="AH70">
        <f>P70&gt;0</f>
        <v/>
      </c>
    </row>
    <row r="71">
      <c r="A71" s="14" t="n">
        <v>45565</v>
      </c>
      <c r="B71" t="n">
        <v>6280</v>
      </c>
      <c r="C71" t="inlineStr">
        <is>
          <t>THE FIRST NATIONAL BANK OF ORWELL</t>
        </is>
      </c>
      <c r="D71" t="inlineStr">
        <is>
          <t>VT</t>
        </is>
      </c>
      <c r="E71" t="n">
        <v>85714</v>
      </c>
      <c r="F71" t="n">
        <v>75614</v>
      </c>
      <c r="G71" t="n">
        <v>9836</v>
      </c>
      <c r="H71" s="16" t="n">
        <v>1.378479373245591</v>
      </c>
      <c r="I71" s="16" t="n">
        <v>11.61</v>
      </c>
      <c r="J71" s="16" t="n">
        <v>4.618008727471968</v>
      </c>
      <c r="K71" s="16" t="n">
        <v>1121</v>
      </c>
      <c r="L71" s="16" t="n">
        <v>12</v>
      </c>
      <c r="M71" s="16" t="n">
        <v>1.586694975230007</v>
      </c>
      <c r="N71" s="16" t="n">
        <v>644</v>
      </c>
      <c r="O71" s="16" t="n">
        <v>0</v>
      </c>
      <c r="P71" s="16" t="n">
        <v>0</v>
      </c>
      <c r="Q71" t="n">
        <v>70650</v>
      </c>
      <c r="R71" t="n">
        <v>69714</v>
      </c>
      <c r="S71" t="n">
        <v>62411</v>
      </c>
      <c r="T71" t="n">
        <v>3992</v>
      </c>
      <c r="U71" t="n">
        <v>1471</v>
      </c>
      <c r="V71" t="n">
        <v>1.32484076433121</v>
      </c>
      <c r="W71" t="n">
        <v>0.09</v>
      </c>
      <c r="X71" s="16">
        <f>IFERROR(K71/E71*100,"")</f>
        <v/>
      </c>
      <c r="Y71" s="16">
        <f>IFERROR((N71+O71)/E71*100,"")</f>
        <v/>
      </c>
      <c r="Z71" s="16">
        <f>IFERROR(R71/F71*100,"")</f>
        <v/>
      </c>
      <c r="AA71" s="16">
        <f>IFERROR(R71/E71*100,"")</f>
        <v/>
      </c>
      <c r="AB71" s="16">
        <f>IFERROR(S71/Q71*100,"")</f>
        <v/>
      </c>
      <c r="AC71" s="16">
        <f>IFERROR(T71/Q71*100,"")</f>
        <v/>
      </c>
      <c r="AD71" s="16">
        <f>IFERROR(U71/Q71*100,"")</f>
        <v/>
      </c>
      <c r="AE71" s="18">
        <f>IFERROR(E71/E67-1,"")</f>
        <v/>
      </c>
      <c r="AF71" s="18">
        <f>IFERROR(R71/R67-1,"")</f>
        <v/>
      </c>
      <c r="AG71" s="18">
        <f>IFERROR(F71/F67-1,"")</f>
        <v/>
      </c>
      <c r="AH71">
        <f>P71&gt;0</f>
        <v/>
      </c>
    </row>
    <row r="72">
      <c r="A72" s="14" t="n">
        <v>45657</v>
      </c>
      <c r="B72" t="n">
        <v>6280</v>
      </c>
      <c r="C72" t="inlineStr">
        <is>
          <t>THE FIRST NATIONAL BANK OF ORWELL</t>
        </is>
      </c>
      <c r="D72" t="inlineStr">
        <is>
          <t>VT</t>
        </is>
      </c>
      <c r="E72" t="n">
        <v>87669</v>
      </c>
      <c r="F72" t="n">
        <v>77381</v>
      </c>
      <c r="G72" t="n">
        <v>9723</v>
      </c>
      <c r="H72" s="16" t="n">
        <v>1.335371425238641</v>
      </c>
      <c r="I72" s="16" t="n">
        <v>11.41</v>
      </c>
      <c r="J72" s="16" t="n">
        <v>4.600849387579245</v>
      </c>
      <c r="K72" s="16" t="n">
        <v>1616</v>
      </c>
      <c r="L72" s="16" t="n">
        <v>48</v>
      </c>
      <c r="M72" s="16" t="n">
        <v>2.280424475050801</v>
      </c>
      <c r="N72" s="16" t="n">
        <v>911</v>
      </c>
      <c r="O72" s="16" t="n">
        <v>0</v>
      </c>
      <c r="P72" s="16" t="n">
        <v>0</v>
      </c>
      <c r="Q72" t="n">
        <v>70864</v>
      </c>
      <c r="R72" t="n">
        <v>69952</v>
      </c>
      <c r="S72" t="n">
        <v>63247</v>
      </c>
      <c r="T72" t="n">
        <v>3883</v>
      </c>
      <c r="U72" t="n">
        <v>1432</v>
      </c>
      <c r="V72" t="n">
        <v>1.286972228494017</v>
      </c>
      <c r="W72" t="n">
        <v>0.08</v>
      </c>
      <c r="X72" s="16">
        <f>IFERROR(K72/E72*100,"")</f>
        <v/>
      </c>
      <c r="Y72" s="16">
        <f>IFERROR((N72+O72)/E72*100,"")</f>
        <v/>
      </c>
      <c r="Z72" s="16">
        <f>IFERROR(R72/F72*100,"")</f>
        <v/>
      </c>
      <c r="AA72" s="16">
        <f>IFERROR(R72/E72*100,"")</f>
        <v/>
      </c>
      <c r="AB72" s="16">
        <f>IFERROR(S72/Q72*100,"")</f>
        <v/>
      </c>
      <c r="AC72" s="16">
        <f>IFERROR(T72/Q72*100,"")</f>
        <v/>
      </c>
      <c r="AD72" s="16">
        <f>IFERROR(U72/Q72*100,"")</f>
        <v/>
      </c>
      <c r="AE72" s="18">
        <f>IFERROR(E72/E68-1,"")</f>
        <v/>
      </c>
      <c r="AF72" s="18">
        <f>IFERROR(R72/R68-1,"")</f>
        <v/>
      </c>
      <c r="AG72" s="18">
        <f>IFERROR(F72/F68-1,"")</f>
        <v/>
      </c>
      <c r="AH72">
        <f>P72&gt;0</f>
        <v/>
      </c>
    </row>
    <row r="73">
      <c r="A73" s="14" t="n">
        <v>45747</v>
      </c>
      <c r="B73" t="n">
        <v>6280</v>
      </c>
      <c r="C73" t="inlineStr">
        <is>
          <t>THE FIRST NATIONAL BANK OF ORWELL</t>
        </is>
      </c>
      <c r="D73" t="inlineStr">
        <is>
          <t>VT</t>
        </is>
      </c>
      <c r="E73" t="n">
        <v>88000</v>
      </c>
      <c r="F73" t="n">
        <v>77788</v>
      </c>
      <c r="G73" t="n">
        <v>10007</v>
      </c>
      <c r="H73" s="16" t="n">
        <v>1.288787435461009</v>
      </c>
      <c r="I73" s="16" t="n">
        <v>11.47</v>
      </c>
      <c r="J73" s="16" t="n">
        <v>4.429721459018463</v>
      </c>
      <c r="K73" s="16" t="n">
        <v>1420</v>
      </c>
      <c r="L73" s="16" t="n">
        <v>-1</v>
      </c>
      <c r="M73" s="16" t="n">
        <v>1.980115181347873</v>
      </c>
      <c r="N73" s="16" t="n">
        <v>493</v>
      </c>
      <c r="O73" s="16" t="n">
        <v>0</v>
      </c>
      <c r="P73" s="16" t="n">
        <v>0</v>
      </c>
      <c r="Q73" t="n">
        <v>71713</v>
      </c>
      <c r="R73" t="n">
        <v>70787</v>
      </c>
      <c r="S73" t="n">
        <v>64224</v>
      </c>
      <c r="T73" t="n">
        <v>3679</v>
      </c>
      <c r="U73" t="n">
        <v>1399</v>
      </c>
      <c r="V73" t="n">
        <v>1.291258209808542</v>
      </c>
      <c r="W73" t="n">
        <v>0.06</v>
      </c>
      <c r="X73" s="16">
        <f>IFERROR(K73/E73*100,"")</f>
        <v/>
      </c>
      <c r="Y73" s="16">
        <f>IFERROR((N73+O73)/E73*100,"")</f>
        <v/>
      </c>
      <c r="Z73" s="16">
        <f>IFERROR(R73/F73*100,"")</f>
        <v/>
      </c>
      <c r="AA73" s="16">
        <f>IFERROR(R73/E73*100,"")</f>
        <v/>
      </c>
      <c r="AB73" s="16">
        <f>IFERROR(S73/Q73*100,"")</f>
        <v/>
      </c>
      <c r="AC73" s="16">
        <f>IFERROR(T73/Q73*100,"")</f>
        <v/>
      </c>
      <c r="AD73" s="16">
        <f>IFERROR(U73/Q73*100,"")</f>
        <v/>
      </c>
      <c r="AE73" s="18">
        <f>IFERROR(E73/E69-1,"")</f>
        <v/>
      </c>
      <c r="AF73" s="18">
        <f>IFERROR(R73/R69-1,"")</f>
        <v/>
      </c>
      <c r="AG73" s="18">
        <f>IFERROR(F73/F69-1,"")</f>
        <v/>
      </c>
      <c r="AH73">
        <f>P73&gt;0</f>
        <v/>
      </c>
    </row>
    <row r="74">
      <c r="A74" s="14" t="n">
        <v>45838</v>
      </c>
      <c r="B74" t="n">
        <v>6280</v>
      </c>
      <c r="C74" t="inlineStr">
        <is>
          <t>THE FIRST NATIONAL BANK OF ORWELL</t>
        </is>
      </c>
      <c r="D74" t="inlineStr">
        <is>
          <t>VT</t>
        </is>
      </c>
      <c r="E74" t="n">
        <v>87770</v>
      </c>
      <c r="F74" t="n">
        <v>77256</v>
      </c>
      <c r="G74" t="n">
        <v>9949</v>
      </c>
      <c r="H74" s="16" t="n">
        <v>1.36654026169246</v>
      </c>
      <c r="I74" s="16" t="n">
        <v>12.13</v>
      </c>
      <c r="J74" s="16" t="n">
        <v>4.539434075857917</v>
      </c>
      <c r="K74" s="16" t="n">
        <v>1455</v>
      </c>
      <c r="L74" s="16" t="n">
        <v>0</v>
      </c>
      <c r="M74" s="16" t="n">
        <v>1.990424076607387</v>
      </c>
      <c r="N74" s="16" t="n">
        <v>592</v>
      </c>
      <c r="O74" s="16" t="n">
        <v>0</v>
      </c>
      <c r="P74" s="16" t="n">
        <v>0</v>
      </c>
      <c r="Q74" t="n">
        <v>73100</v>
      </c>
      <c r="R74" t="n">
        <v>72150</v>
      </c>
      <c r="S74" t="n">
        <v>64947</v>
      </c>
      <c r="T74" t="n">
        <v>3899</v>
      </c>
      <c r="U74" t="n">
        <v>1311</v>
      </c>
      <c r="V74" t="n">
        <v>1.299589603283174</v>
      </c>
      <c r="W74" t="n">
        <v>0.09</v>
      </c>
      <c r="X74" s="16">
        <f>IFERROR(K74/E74*100,"")</f>
        <v/>
      </c>
      <c r="Y74" s="16">
        <f>IFERROR((N74+O74)/E74*100,"")</f>
        <v/>
      </c>
      <c r="Z74" s="16">
        <f>IFERROR(R74/F74*100,"")</f>
        <v/>
      </c>
      <c r="AA74" s="16">
        <f>IFERROR(R74/E74*100,"")</f>
        <v/>
      </c>
      <c r="AB74" s="16">
        <f>IFERROR(S74/Q74*100,"")</f>
        <v/>
      </c>
      <c r="AC74" s="16">
        <f>IFERROR(T74/Q74*100,"")</f>
        <v/>
      </c>
      <c r="AD74" s="16">
        <f>IFERROR(U74/Q74*100,"")</f>
        <v/>
      </c>
      <c r="AE74" s="18">
        <f>IFERROR(E74/E70-1,"")</f>
        <v/>
      </c>
      <c r="AF74" s="18">
        <f>IFERROR(R74/R70-1,"")</f>
        <v/>
      </c>
      <c r="AG74" s="18">
        <f>IFERROR(F74/F70-1,"")</f>
        <v/>
      </c>
      <c r="AH74">
        <f>P74&gt;0</f>
        <v/>
      </c>
    </row>
    <row r="75">
      <c r="A75" s="14" t="n">
        <v>44651</v>
      </c>
      <c r="B75" t="n">
        <v>11971</v>
      </c>
      <c r="C75" t="inlineStr">
        <is>
          <t>BAR HARBOR BANK &amp; TRUST</t>
        </is>
      </c>
      <c r="D75" t="inlineStr">
        <is>
          <t>ME</t>
        </is>
      </c>
      <c r="E75" t="n">
        <v>3688993</v>
      </c>
      <c r="F75" t="n">
        <v>3055632</v>
      </c>
      <c r="G75" t="n">
        <v>461681</v>
      </c>
      <c r="H75" s="16" t="n">
        <v>1.116234291292907</v>
      </c>
      <c r="I75" s="16" t="n">
        <v>8.77</v>
      </c>
      <c r="J75" s="16" t="n">
        <v>3.006742138500755</v>
      </c>
      <c r="K75" s="16" t="n">
        <v>9213</v>
      </c>
      <c r="L75" s="16" t="n">
        <v>-95</v>
      </c>
      <c r="M75" s="16" t="n">
        <v>0.3784141376966862</v>
      </c>
      <c r="N75" s="16" t="n">
        <v>4642</v>
      </c>
      <c r="O75" s="16" t="n">
        <v>843</v>
      </c>
      <c r="P75" s="16" t="n">
        <v>13.67896063263971</v>
      </c>
      <c r="Q75" t="n">
        <v>2657406</v>
      </c>
      <c r="R75" t="n">
        <v>2634216</v>
      </c>
      <c r="S75" t="n">
        <v>2317079</v>
      </c>
      <c r="T75" t="n">
        <v>201303</v>
      </c>
      <c r="U75" t="n">
        <v>7873</v>
      </c>
      <c r="V75" t="n">
        <v>0.8726555144377637</v>
      </c>
      <c r="W75" t="n">
        <v>0.08</v>
      </c>
      <c r="X75" s="16">
        <f>IFERROR(K75/E75*100,"")</f>
        <v/>
      </c>
      <c r="Y75" s="16">
        <f>IFERROR((N75+O75)/E75*100,"")</f>
        <v/>
      </c>
      <c r="Z75" s="16">
        <f>IFERROR(R75/F75*100,"")</f>
        <v/>
      </c>
      <c r="AA75" s="16">
        <f>IFERROR(R75/E75*100,"")</f>
        <v/>
      </c>
      <c r="AB75" s="16">
        <f>IFERROR(S75/Q75*100,"")</f>
        <v/>
      </c>
      <c r="AC75" s="16">
        <f>IFERROR(T75/Q75*100,"")</f>
        <v/>
      </c>
      <c r="AD75" s="16">
        <f>IFERROR(U75/Q75*100,"")</f>
        <v/>
      </c>
      <c r="AE75" s="18" t="n"/>
      <c r="AF75" s="18" t="n"/>
      <c r="AG75" s="18" t="n"/>
      <c r="AH75">
        <f>P75&gt;0</f>
        <v/>
      </c>
    </row>
    <row r="76">
      <c r="A76" s="14" t="n">
        <v>44742</v>
      </c>
      <c r="B76" t="n">
        <v>11971</v>
      </c>
      <c r="C76" t="inlineStr">
        <is>
          <t>BAR HARBOR BANK &amp; TRUST</t>
        </is>
      </c>
      <c r="D76" t="inlineStr">
        <is>
          <t>ME</t>
        </is>
      </c>
      <c r="E76" t="n">
        <v>3712836</v>
      </c>
      <c r="F76" t="n">
        <v>3085621</v>
      </c>
      <c r="G76" t="n">
        <v>448597</v>
      </c>
      <c r="H76" s="16" t="n">
        <v>1.163604243845387</v>
      </c>
      <c r="I76" s="16" t="n">
        <v>9.300000000000001</v>
      </c>
      <c r="J76" s="16" t="n">
        <v>3.143012195136615</v>
      </c>
      <c r="K76" s="16" t="n">
        <v>7878</v>
      </c>
      <c r="L76" s="16" t="n">
        <v>-127</v>
      </c>
      <c r="M76" s="16" t="n">
        <v>0.3148146724070816</v>
      </c>
      <c r="N76" s="16" t="n">
        <v>1169</v>
      </c>
      <c r="O76" s="16" t="n">
        <v>719</v>
      </c>
      <c r="P76" s="16" t="n">
        <v>13.56930251138011</v>
      </c>
      <c r="Q76" t="n">
        <v>2730813</v>
      </c>
      <c r="R76" t="n">
        <v>2707057</v>
      </c>
      <c r="S76" t="n">
        <v>2376853</v>
      </c>
      <c r="T76" t="n">
        <v>204215</v>
      </c>
      <c r="U76" t="n">
        <v>8150</v>
      </c>
      <c r="V76" t="n">
        <v>0.8699240848787522</v>
      </c>
      <c r="W76" t="n">
        <v>0.07000000000000001</v>
      </c>
      <c r="X76" s="16">
        <f>IFERROR(K76/E76*100,"")</f>
        <v/>
      </c>
      <c r="Y76" s="16">
        <f>IFERROR((N76+O76)/E76*100,"")</f>
        <v/>
      </c>
      <c r="Z76" s="16">
        <f>IFERROR(R76/F76*100,"")</f>
        <v/>
      </c>
      <c r="AA76" s="16">
        <f>IFERROR(R76/E76*100,"")</f>
        <v/>
      </c>
      <c r="AB76" s="16">
        <f>IFERROR(S76/Q76*100,"")</f>
        <v/>
      </c>
      <c r="AC76" s="16">
        <f>IFERROR(T76/Q76*100,"")</f>
        <v/>
      </c>
      <c r="AD76" s="16">
        <f>IFERROR(U76/Q76*100,"")</f>
        <v/>
      </c>
      <c r="AE76" s="18" t="n"/>
      <c r="AF76" s="18" t="n"/>
      <c r="AG76" s="18" t="n"/>
      <c r="AH76">
        <f>P76&gt;0</f>
        <v/>
      </c>
    </row>
    <row r="77">
      <c r="A77" s="14" t="n">
        <v>44834</v>
      </c>
      <c r="B77" t="n">
        <v>11971</v>
      </c>
      <c r="C77" t="inlineStr">
        <is>
          <t>BAR HARBOR BANK &amp; TRUST</t>
        </is>
      </c>
      <c r="D77" t="inlineStr">
        <is>
          <t>ME</t>
        </is>
      </c>
      <c r="E77" t="n">
        <v>3837295</v>
      </c>
      <c r="F77" t="n">
        <v>3143267</v>
      </c>
      <c r="G77" t="n">
        <v>434474</v>
      </c>
      <c r="H77" s="16" t="n">
        <v>1.232055111998352</v>
      </c>
      <c r="I77" s="16" t="n">
        <v>10.09</v>
      </c>
      <c r="J77" s="16" t="n">
        <v>3.303842589837933</v>
      </c>
      <c r="K77" s="16" t="n">
        <v>7772</v>
      </c>
      <c r="L77" s="16" t="n">
        <v>-83</v>
      </c>
      <c r="M77" s="16" t="n">
        <v>0.2816213816211712</v>
      </c>
      <c r="N77" s="16" t="n">
        <v>1064</v>
      </c>
      <c r="O77" s="16" t="n">
        <v>258</v>
      </c>
      <c r="P77" s="16" t="n">
        <v>13.21702910525918</v>
      </c>
      <c r="Q77" t="n">
        <v>2851346</v>
      </c>
      <c r="R77" t="n">
        <v>2826328</v>
      </c>
      <c r="S77" t="n">
        <v>2481945</v>
      </c>
      <c r="T77" t="n">
        <v>216709</v>
      </c>
      <c r="U77" t="n">
        <v>8133</v>
      </c>
      <c r="V77" t="n">
        <v>0.8774101775091483</v>
      </c>
      <c r="W77" t="n">
        <v>0.09</v>
      </c>
      <c r="X77" s="16">
        <f>IFERROR(K77/E77*100,"")</f>
        <v/>
      </c>
      <c r="Y77" s="16">
        <f>IFERROR((N77+O77)/E77*100,"")</f>
        <v/>
      </c>
      <c r="Z77" s="16">
        <f>IFERROR(R77/F77*100,"")</f>
        <v/>
      </c>
      <c r="AA77" s="16">
        <f>IFERROR(R77/E77*100,"")</f>
        <v/>
      </c>
      <c r="AB77" s="16">
        <f>IFERROR(S77/Q77*100,"")</f>
        <v/>
      </c>
      <c r="AC77" s="16">
        <f>IFERROR(T77/Q77*100,"")</f>
        <v/>
      </c>
      <c r="AD77" s="16">
        <f>IFERROR(U77/Q77*100,"")</f>
        <v/>
      </c>
      <c r="AE77" s="18" t="n"/>
      <c r="AF77" s="18" t="n"/>
      <c r="AG77" s="18" t="n"/>
      <c r="AH77">
        <f>P77&gt;0</f>
        <v/>
      </c>
    </row>
    <row r="78">
      <c r="A78" s="14" t="n">
        <v>44926</v>
      </c>
      <c r="B78" t="n">
        <v>11971</v>
      </c>
      <c r="C78" t="inlineStr">
        <is>
          <t>BAR HARBOR BANK &amp; TRUST</t>
        </is>
      </c>
      <c r="D78" t="inlineStr">
        <is>
          <t>ME</t>
        </is>
      </c>
      <c r="E78" t="n">
        <v>3906943</v>
      </c>
      <c r="F78" t="n">
        <v>3050819</v>
      </c>
      <c r="G78" t="n">
        <v>447316</v>
      </c>
      <c r="H78" s="16" t="n">
        <v>1.300453506439995</v>
      </c>
      <c r="I78" s="16" t="n">
        <v>10.79</v>
      </c>
      <c r="J78" s="16" t="n">
        <v>3.45843569395616</v>
      </c>
      <c r="K78" s="16" t="n">
        <v>6548</v>
      </c>
      <c r="L78" s="16" t="n">
        <v>-237</v>
      </c>
      <c r="M78" s="16" t="n">
        <v>0.2330252283226937</v>
      </c>
      <c r="N78" s="16" t="n">
        <v>1146</v>
      </c>
      <c r="O78" s="16" t="n">
        <v>216</v>
      </c>
      <c r="P78" s="16" t="n">
        <v>13.29116796114554</v>
      </c>
      <c r="Q78" t="n">
        <v>2902690</v>
      </c>
      <c r="R78" t="n">
        <v>2876830</v>
      </c>
      <c r="S78" t="n">
        <v>2554897</v>
      </c>
      <c r="T78" t="n">
        <v>194294</v>
      </c>
      <c r="U78" t="n">
        <v>7800</v>
      </c>
      <c r="V78" t="n">
        <v>0.8908977534631669</v>
      </c>
      <c r="W78" t="n">
        <v>0.12</v>
      </c>
      <c r="X78" s="16">
        <f>IFERROR(K78/E78*100,"")</f>
        <v/>
      </c>
      <c r="Y78" s="16">
        <f>IFERROR((N78+O78)/E78*100,"")</f>
        <v/>
      </c>
      <c r="Z78" s="16">
        <f>IFERROR(R78/F78*100,"")</f>
        <v/>
      </c>
      <c r="AA78" s="16">
        <f>IFERROR(R78/E78*100,"")</f>
        <v/>
      </c>
      <c r="AB78" s="16">
        <f>IFERROR(S78/Q78*100,"")</f>
        <v/>
      </c>
      <c r="AC78" s="16">
        <f>IFERROR(T78/Q78*100,"")</f>
        <v/>
      </c>
      <c r="AD78" s="16">
        <f>IFERROR(U78/Q78*100,"")</f>
        <v/>
      </c>
      <c r="AE78" s="18" t="n"/>
      <c r="AF78" s="18" t="n"/>
      <c r="AG78" s="18" t="n"/>
      <c r="AH78">
        <f>P78&gt;0</f>
        <v/>
      </c>
    </row>
    <row r="79">
      <c r="A79" s="14" t="n">
        <v>45016</v>
      </c>
      <c r="B79" t="n">
        <v>11971</v>
      </c>
      <c r="C79" t="inlineStr">
        <is>
          <t>BAR HARBOR BANK &amp; TRUST</t>
        </is>
      </c>
      <c r="D79" t="inlineStr">
        <is>
          <t>ME</t>
        </is>
      </c>
      <c r="E79" t="n">
        <v>3925512</v>
      </c>
      <c r="F79" t="n">
        <v>3061414</v>
      </c>
      <c r="G79" t="n">
        <v>461427</v>
      </c>
      <c r="H79" s="16" t="n">
        <v>1.461406417272746</v>
      </c>
      <c r="I79" s="16" t="n">
        <v>12.6</v>
      </c>
      <c r="J79" s="16" t="n">
        <v>3.628345931835971</v>
      </c>
      <c r="K79" s="16" t="n">
        <v>7795</v>
      </c>
      <c r="L79" s="16" t="n">
        <v>51</v>
      </c>
      <c r="M79" s="16" t="n">
        <v>0.2694203946450107</v>
      </c>
      <c r="N79" s="16" t="n">
        <v>6311</v>
      </c>
      <c r="O79" s="16" t="n">
        <v>138</v>
      </c>
      <c r="P79" s="16" t="n">
        <v>13.42229088941782</v>
      </c>
      <c r="Q79" t="n">
        <v>2944469</v>
      </c>
      <c r="R79" t="n">
        <v>2917862</v>
      </c>
      <c r="S79" t="n">
        <v>2595296</v>
      </c>
      <c r="T79" t="n">
        <v>195856</v>
      </c>
      <c r="U79" t="n">
        <v>7535</v>
      </c>
      <c r="V79" t="n">
        <v>0.9036264263607464</v>
      </c>
      <c r="W79" t="n">
        <v>0.06</v>
      </c>
      <c r="X79" s="16">
        <f>IFERROR(K79/E79*100,"")</f>
        <v/>
      </c>
      <c r="Y79" s="16">
        <f>IFERROR((N79+O79)/E79*100,"")</f>
        <v/>
      </c>
      <c r="Z79" s="16">
        <f>IFERROR(R79/F79*100,"")</f>
        <v/>
      </c>
      <c r="AA79" s="16">
        <f>IFERROR(R79/E79*100,"")</f>
        <v/>
      </c>
      <c r="AB79" s="16">
        <f>IFERROR(S79/Q79*100,"")</f>
        <v/>
      </c>
      <c r="AC79" s="16">
        <f>IFERROR(T79/Q79*100,"")</f>
        <v/>
      </c>
      <c r="AD79" s="16">
        <f>IFERROR(U79/Q79*100,"")</f>
        <v/>
      </c>
      <c r="AE79" s="18">
        <f>IFERROR(E79/E75-1,"")</f>
        <v/>
      </c>
      <c r="AF79" s="18">
        <f>IFERROR(R79/R75-1,"")</f>
        <v/>
      </c>
      <c r="AG79" s="18">
        <f>IFERROR(F79/F75-1,"")</f>
        <v/>
      </c>
      <c r="AH79">
        <f>P79&gt;0</f>
        <v/>
      </c>
    </row>
    <row r="80">
      <c r="A80" s="14" t="n">
        <v>45107</v>
      </c>
      <c r="B80" t="n">
        <v>11971</v>
      </c>
      <c r="C80" t="inlineStr">
        <is>
          <t>BAR HARBOR BANK &amp; TRUST</t>
        </is>
      </c>
      <c r="D80" t="inlineStr">
        <is>
          <t>ME</t>
        </is>
      </c>
      <c r="E80" t="n">
        <v>4024714</v>
      </c>
      <c r="F80" t="n">
        <v>3097302</v>
      </c>
      <c r="G80" t="n">
        <v>463527</v>
      </c>
      <c r="H80" s="16" t="n">
        <v>1.346678958527115</v>
      </c>
      <c r="I80" s="16" t="n">
        <v>11.64</v>
      </c>
      <c r="J80" s="16" t="n">
        <v>3.475968166510736</v>
      </c>
      <c r="K80" s="16" t="n">
        <v>6704</v>
      </c>
      <c r="L80" s="16" t="n">
        <v>46</v>
      </c>
      <c r="M80" s="16" t="n">
        <v>0.2415024962232025</v>
      </c>
      <c r="N80" s="16" t="n">
        <v>1816</v>
      </c>
      <c r="O80" s="16" t="n">
        <v>568</v>
      </c>
      <c r="P80" s="16" t="n">
        <v>13.29422781376191</v>
      </c>
      <c r="Q80" t="n">
        <v>3011149</v>
      </c>
      <c r="R80" t="n">
        <v>2983787</v>
      </c>
      <c r="S80" t="n">
        <v>2647016</v>
      </c>
      <c r="T80" t="n">
        <v>218097</v>
      </c>
      <c r="U80" t="n">
        <v>7796</v>
      </c>
      <c r="V80" t="n">
        <v>0.9086896729454436</v>
      </c>
      <c r="W80" t="n">
        <v>0.07000000000000001</v>
      </c>
      <c r="X80" s="16">
        <f>IFERROR(K80/E80*100,"")</f>
        <v/>
      </c>
      <c r="Y80" s="16">
        <f>IFERROR((N80+O80)/E80*100,"")</f>
        <v/>
      </c>
      <c r="Z80" s="16">
        <f>IFERROR(R80/F80*100,"")</f>
        <v/>
      </c>
      <c r="AA80" s="16">
        <f>IFERROR(R80/E80*100,"")</f>
        <v/>
      </c>
      <c r="AB80" s="16">
        <f>IFERROR(S80/Q80*100,"")</f>
        <v/>
      </c>
      <c r="AC80" s="16">
        <f>IFERROR(T80/Q80*100,"")</f>
        <v/>
      </c>
      <c r="AD80" s="16">
        <f>IFERROR(U80/Q80*100,"")</f>
        <v/>
      </c>
      <c r="AE80" s="18">
        <f>IFERROR(E80/E76-1,"")</f>
        <v/>
      </c>
      <c r="AF80" s="18">
        <f>IFERROR(R80/R76-1,"")</f>
        <v/>
      </c>
      <c r="AG80" s="18">
        <f>IFERROR(F80/F76-1,"")</f>
        <v/>
      </c>
      <c r="AH80">
        <f>P80&gt;0</f>
        <v/>
      </c>
    </row>
    <row r="81">
      <c r="A81" s="14" t="n">
        <v>45199</v>
      </c>
      <c r="B81" t="n">
        <v>11971</v>
      </c>
      <c r="C81" t="inlineStr">
        <is>
          <t>BAR HARBOR BANK &amp; TRUST</t>
        </is>
      </c>
      <c r="D81" t="inlineStr">
        <is>
          <t>ME</t>
        </is>
      </c>
      <c r="E81" t="n">
        <v>3980815</v>
      </c>
      <c r="F81" t="n">
        <v>3148381</v>
      </c>
      <c r="G81" t="n">
        <v>456209</v>
      </c>
      <c r="H81" s="16" t="n">
        <v>1.322862568872402</v>
      </c>
      <c r="I81" s="16" t="n">
        <v>11.46</v>
      </c>
      <c r="J81" s="16" t="n">
        <v>3.447091049634888</v>
      </c>
      <c r="K81" s="16" t="n">
        <v>6769</v>
      </c>
      <c r="L81" s="16" t="n">
        <v>70</v>
      </c>
      <c r="M81" s="16" t="n">
        <v>0.2580466788010045</v>
      </c>
      <c r="N81" s="16" t="n">
        <v>2914</v>
      </c>
      <c r="O81" s="16" t="n">
        <v>959</v>
      </c>
      <c r="P81" s="16" t="n">
        <v>13.60162204590895</v>
      </c>
      <c r="Q81" t="n">
        <v>2994807</v>
      </c>
      <c r="R81" t="n">
        <v>2966796</v>
      </c>
      <c r="S81" t="n">
        <v>2636437</v>
      </c>
      <c r="T81" t="n">
        <v>203469</v>
      </c>
      <c r="U81" t="n">
        <v>7845</v>
      </c>
      <c r="V81" t="n">
        <v>0.9353190372534858</v>
      </c>
      <c r="W81" t="n">
        <v>0.07000000000000001</v>
      </c>
      <c r="X81" s="16">
        <f>IFERROR(K81/E81*100,"")</f>
        <v/>
      </c>
      <c r="Y81" s="16">
        <f>IFERROR((N81+O81)/E81*100,"")</f>
        <v/>
      </c>
      <c r="Z81" s="16">
        <f>IFERROR(R81/F81*100,"")</f>
        <v/>
      </c>
      <c r="AA81" s="16">
        <f>IFERROR(R81/E81*100,"")</f>
        <v/>
      </c>
      <c r="AB81" s="16">
        <f>IFERROR(S81/Q81*100,"")</f>
        <v/>
      </c>
      <c r="AC81" s="16">
        <f>IFERROR(T81/Q81*100,"")</f>
        <v/>
      </c>
      <c r="AD81" s="16">
        <f>IFERROR(U81/Q81*100,"")</f>
        <v/>
      </c>
      <c r="AE81" s="18">
        <f>IFERROR(E81/E77-1,"")</f>
        <v/>
      </c>
      <c r="AF81" s="18">
        <f>IFERROR(R81/R77-1,"")</f>
        <v/>
      </c>
      <c r="AG81" s="18">
        <f>IFERROR(F81/F77-1,"")</f>
        <v/>
      </c>
      <c r="AH81">
        <f>P81&gt;0</f>
        <v/>
      </c>
    </row>
    <row r="82">
      <c r="A82" s="14" t="n">
        <v>45291</v>
      </c>
      <c r="B82" t="n">
        <v>11971</v>
      </c>
      <c r="C82" t="inlineStr">
        <is>
          <t>BAR HARBOR BANK &amp; TRUST</t>
        </is>
      </c>
      <c r="D82" t="inlineStr">
        <is>
          <t>ME</t>
        </is>
      </c>
      <c r="E82" t="n">
        <v>3967808</v>
      </c>
      <c r="F82" t="n">
        <v>3149026</v>
      </c>
      <c r="G82" t="n">
        <v>483954</v>
      </c>
      <c r="H82" s="16" t="n">
        <v>1.293838691227294</v>
      </c>
      <c r="I82" s="16" t="n">
        <v>11.08</v>
      </c>
      <c r="J82" s="16" t="n">
        <v>3.420696091347027</v>
      </c>
      <c r="K82" s="16" t="n">
        <v>5529</v>
      </c>
      <c r="L82" s="16" t="n">
        <v>626</v>
      </c>
      <c r="M82" s="16" t="n">
        <v>0.1889220381722476</v>
      </c>
      <c r="N82" s="16" t="n">
        <v>2393</v>
      </c>
      <c r="O82" s="16" t="n">
        <v>141</v>
      </c>
      <c r="P82" s="16" t="n">
        <v>13.97320038973652</v>
      </c>
      <c r="Q82" t="n">
        <v>3001238</v>
      </c>
      <c r="R82" t="n">
        <v>2973096</v>
      </c>
      <c r="S82" t="n">
        <v>2638835</v>
      </c>
      <c r="T82" t="n">
        <v>218797</v>
      </c>
      <c r="U82" t="n">
        <v>7832</v>
      </c>
      <c r="V82" t="n">
        <v>0.9376797175032436</v>
      </c>
      <c r="W82" t="n">
        <v>0.07000000000000001</v>
      </c>
      <c r="X82" s="16">
        <f>IFERROR(K82/E82*100,"")</f>
        <v/>
      </c>
      <c r="Y82" s="16">
        <f>IFERROR((N82+O82)/E82*100,"")</f>
        <v/>
      </c>
      <c r="Z82" s="16">
        <f>IFERROR(R82/F82*100,"")</f>
        <v/>
      </c>
      <c r="AA82" s="16">
        <f>IFERROR(R82/E82*100,"")</f>
        <v/>
      </c>
      <c r="AB82" s="16">
        <f>IFERROR(S82/Q82*100,"")</f>
        <v/>
      </c>
      <c r="AC82" s="16">
        <f>IFERROR(T82/Q82*100,"")</f>
        <v/>
      </c>
      <c r="AD82" s="16">
        <f>IFERROR(U82/Q82*100,"")</f>
        <v/>
      </c>
      <c r="AE82" s="18">
        <f>IFERROR(E82/E78-1,"")</f>
        <v/>
      </c>
      <c r="AF82" s="18">
        <f>IFERROR(R82/R78-1,"")</f>
        <v/>
      </c>
      <c r="AG82" s="18">
        <f>IFERROR(F82/F78-1,"")</f>
        <v/>
      </c>
      <c r="AH82">
        <f>P82&gt;0</f>
        <v/>
      </c>
    </row>
    <row r="83">
      <c r="A83" s="14" t="n">
        <v>45382</v>
      </c>
      <c r="B83" t="n">
        <v>11971</v>
      </c>
      <c r="C83" t="inlineStr">
        <is>
          <t>BAR HARBOR BANK &amp; TRUST</t>
        </is>
      </c>
      <c r="D83" t="inlineStr">
        <is>
          <t>ME</t>
        </is>
      </c>
      <c r="E83" t="n">
        <v>3955727</v>
      </c>
      <c r="F83" t="n">
        <v>3137892</v>
      </c>
      <c r="G83" t="n">
        <v>487592</v>
      </c>
      <c r="H83" s="16" t="n">
        <v>1.168367401671098</v>
      </c>
      <c r="I83" s="16" t="n">
        <v>9.529999999999999</v>
      </c>
      <c r="J83" s="16" t="n">
        <v>3.25579709921018</v>
      </c>
      <c r="K83" s="16" t="n">
        <v>6869</v>
      </c>
      <c r="L83" s="16" t="n">
        <v>76</v>
      </c>
      <c r="M83" s="16" t="n">
        <v>0.2278419627910093</v>
      </c>
      <c r="N83" s="16" t="n">
        <v>2796</v>
      </c>
      <c r="O83" s="16" t="n">
        <v>0</v>
      </c>
      <c r="P83" s="16" t="n">
        <v>14.09844673433938</v>
      </c>
      <c r="Q83" t="n">
        <v>3014809</v>
      </c>
      <c r="R83" t="n">
        <v>2986454</v>
      </c>
      <c r="S83" t="n">
        <v>2661075</v>
      </c>
      <c r="T83" t="n">
        <v>200453</v>
      </c>
      <c r="U83" t="n">
        <v>7629</v>
      </c>
      <c r="V83" t="n">
        <v>0.9405239270547489</v>
      </c>
      <c r="W83" t="n">
        <v>0.01</v>
      </c>
      <c r="X83" s="16">
        <f>IFERROR(K83/E83*100,"")</f>
        <v/>
      </c>
      <c r="Y83" s="16">
        <f>IFERROR((N83+O83)/E83*100,"")</f>
        <v/>
      </c>
      <c r="Z83" s="16">
        <f>IFERROR(R83/F83*100,"")</f>
        <v/>
      </c>
      <c r="AA83" s="16">
        <f>IFERROR(R83/E83*100,"")</f>
        <v/>
      </c>
      <c r="AB83" s="16">
        <f>IFERROR(S83/Q83*100,"")</f>
        <v/>
      </c>
      <c r="AC83" s="16">
        <f>IFERROR(T83/Q83*100,"")</f>
        <v/>
      </c>
      <c r="AD83" s="16">
        <f>IFERROR(U83/Q83*100,"")</f>
        <v/>
      </c>
      <c r="AE83" s="18">
        <f>IFERROR(E83/E79-1,"")</f>
        <v/>
      </c>
      <c r="AF83" s="18">
        <f>IFERROR(R83/R79-1,"")</f>
        <v/>
      </c>
      <c r="AG83" s="18">
        <f>IFERROR(F83/F79-1,"")</f>
        <v/>
      </c>
      <c r="AH83">
        <f>P83&gt;0</f>
        <v/>
      </c>
    </row>
    <row r="84">
      <c r="A84" s="14" t="n">
        <v>45473</v>
      </c>
      <c r="B84" t="n">
        <v>11971</v>
      </c>
      <c r="C84" t="inlineStr">
        <is>
          <t>BAR HARBOR BANK &amp; TRUST</t>
        </is>
      </c>
      <c r="D84" t="inlineStr">
        <is>
          <t>ME</t>
        </is>
      </c>
      <c r="E84" t="n">
        <v>4030143</v>
      </c>
      <c r="F84" t="n">
        <v>3147483</v>
      </c>
      <c r="G84" t="n">
        <v>493698</v>
      </c>
      <c r="H84" s="16" t="n">
        <v>1.186078460537418</v>
      </c>
      <c r="I84" s="16" t="n">
        <v>9.68</v>
      </c>
      <c r="J84" s="16" t="n">
        <v>3.220799827392272</v>
      </c>
      <c r="K84" s="16" t="n">
        <v>6276</v>
      </c>
      <c r="L84" s="16" t="n">
        <v>161</v>
      </c>
      <c r="M84" s="16" t="n">
        <v>0.2056662854289511</v>
      </c>
      <c r="N84" s="16" t="n">
        <v>1636</v>
      </c>
      <c r="O84" s="16" t="n">
        <v>34</v>
      </c>
      <c r="P84" s="16" t="n">
        <v>14.12199900693387</v>
      </c>
      <c r="Q84" t="n">
        <v>3068077</v>
      </c>
      <c r="R84" t="n">
        <v>3039222</v>
      </c>
      <c r="S84" t="n">
        <v>2699076</v>
      </c>
      <c r="T84" t="n">
        <v>217956</v>
      </c>
      <c r="U84" t="n">
        <v>8227</v>
      </c>
      <c r="V84" t="n">
        <v>0.9404913892317566</v>
      </c>
      <c r="W84" t="n">
        <v>0.03</v>
      </c>
      <c r="X84" s="16">
        <f>IFERROR(K84/E84*100,"")</f>
        <v/>
      </c>
      <c r="Y84" s="16">
        <f>IFERROR((N84+O84)/E84*100,"")</f>
        <v/>
      </c>
      <c r="Z84" s="16">
        <f>IFERROR(R84/F84*100,"")</f>
        <v/>
      </c>
      <c r="AA84" s="16">
        <f>IFERROR(R84/E84*100,"")</f>
        <v/>
      </c>
      <c r="AB84" s="16">
        <f>IFERROR(S84/Q84*100,"")</f>
        <v/>
      </c>
      <c r="AC84" s="16">
        <f>IFERROR(T84/Q84*100,"")</f>
        <v/>
      </c>
      <c r="AD84" s="16">
        <f>IFERROR(U84/Q84*100,"")</f>
        <v/>
      </c>
      <c r="AE84" s="18">
        <f>IFERROR(E84/E80-1,"")</f>
        <v/>
      </c>
      <c r="AF84" s="18">
        <f>IFERROR(R84/R80-1,"")</f>
        <v/>
      </c>
      <c r="AG84" s="18">
        <f>IFERROR(F84/F80-1,"")</f>
        <v/>
      </c>
      <c r="AH84">
        <f>P84&gt;0</f>
        <v/>
      </c>
    </row>
    <row r="85">
      <c r="A85" s="14" t="n">
        <v>45565</v>
      </c>
      <c r="B85" t="n">
        <v>11971</v>
      </c>
      <c r="C85" t="inlineStr">
        <is>
          <t>BAR HARBOR BANK &amp; TRUST</t>
        </is>
      </c>
      <c r="D85" t="inlineStr">
        <is>
          <t>ME</t>
        </is>
      </c>
      <c r="E85" t="n">
        <v>4025992</v>
      </c>
      <c r="F85" t="n">
        <v>3269616</v>
      </c>
      <c r="G85" t="n">
        <v>513464</v>
      </c>
      <c r="H85" s="16" t="n">
        <v>1.256031249706658</v>
      </c>
      <c r="I85" s="16" t="n">
        <v>10.14</v>
      </c>
      <c r="J85" s="16" t="n">
        <v>3.2481714510262</v>
      </c>
      <c r="K85" s="16" t="n">
        <v>7100</v>
      </c>
      <c r="L85" s="16" t="n">
        <v>221</v>
      </c>
      <c r="M85" s="16" t="n">
        <v>0.2302946441574735</v>
      </c>
      <c r="N85" s="16" t="n">
        <v>2038</v>
      </c>
      <c r="O85" s="16" t="n">
        <v>0</v>
      </c>
      <c r="P85" s="16" t="n">
        <v>14.17097376766165</v>
      </c>
      <c r="Q85" t="n">
        <v>3083007</v>
      </c>
      <c r="R85" t="n">
        <v>3053984</v>
      </c>
      <c r="S85" t="n">
        <v>2726474</v>
      </c>
      <c r="T85" t="n">
        <v>208964</v>
      </c>
      <c r="U85" t="n">
        <v>7873</v>
      </c>
      <c r="V85" t="n">
        <v>0.941386120758078</v>
      </c>
      <c r="W85" t="n">
        <v>0.03</v>
      </c>
      <c r="X85" s="16">
        <f>IFERROR(K85/E85*100,"")</f>
        <v/>
      </c>
      <c r="Y85" s="16">
        <f>IFERROR((N85+O85)/E85*100,"")</f>
        <v/>
      </c>
      <c r="Z85" s="16">
        <f>IFERROR(R85/F85*100,"")</f>
        <v/>
      </c>
      <c r="AA85" s="16">
        <f>IFERROR(R85/E85*100,"")</f>
        <v/>
      </c>
      <c r="AB85" s="16">
        <f>IFERROR(S85/Q85*100,"")</f>
        <v/>
      </c>
      <c r="AC85" s="16">
        <f>IFERROR(T85/Q85*100,"")</f>
        <v/>
      </c>
      <c r="AD85" s="16">
        <f>IFERROR(U85/Q85*100,"")</f>
        <v/>
      </c>
      <c r="AE85" s="18">
        <f>IFERROR(E85/E81-1,"")</f>
        <v/>
      </c>
      <c r="AF85" s="18">
        <f>IFERROR(R85/R81-1,"")</f>
        <v/>
      </c>
      <c r="AG85" s="18">
        <f>IFERROR(F85/F81-1,"")</f>
        <v/>
      </c>
      <c r="AH85">
        <f>P85&gt;0</f>
        <v/>
      </c>
    </row>
    <row r="86">
      <c r="A86" s="14" t="n">
        <v>45657</v>
      </c>
      <c r="B86" t="n">
        <v>11971</v>
      </c>
      <c r="C86" t="inlineStr">
        <is>
          <t>BAR HARBOR BANK &amp; TRUST</t>
        </is>
      </c>
      <c r="D86" t="inlineStr">
        <is>
          <t>ME</t>
        </is>
      </c>
      <c r="E86" t="n">
        <v>4077997</v>
      </c>
      <c r="F86" t="n">
        <v>3274818</v>
      </c>
      <c r="G86" t="n">
        <v>493072</v>
      </c>
      <c r="H86" s="16" t="n">
        <v>1.26447906428998</v>
      </c>
      <c r="I86" s="16" t="n">
        <v>10.26</v>
      </c>
      <c r="J86" s="16" t="n">
        <v>3.254778125909097</v>
      </c>
      <c r="K86" s="16" t="n">
        <v>6995</v>
      </c>
      <c r="L86" s="16" t="n">
        <v>353</v>
      </c>
      <c r="M86" s="16" t="n">
        <v>0.2222764308211459</v>
      </c>
      <c r="N86" s="16" t="n">
        <v>17336</v>
      </c>
      <c r="O86" s="16" t="n">
        <v>3</v>
      </c>
      <c r="P86" s="16" t="n">
        <v>13.44114794871133</v>
      </c>
      <c r="Q86" t="n">
        <v>3148332</v>
      </c>
      <c r="R86" t="n">
        <v>3119588</v>
      </c>
      <c r="S86" t="n">
        <v>2776221</v>
      </c>
      <c r="T86" t="n">
        <v>212814</v>
      </c>
      <c r="U86" t="n">
        <v>8070</v>
      </c>
      <c r="V86" t="n">
        <v>0.9129913871853416</v>
      </c>
      <c r="W86" t="n">
        <v>0.03</v>
      </c>
      <c r="X86" s="16">
        <f>IFERROR(K86/E86*100,"")</f>
        <v/>
      </c>
      <c r="Y86" s="16">
        <f>IFERROR((N86+O86)/E86*100,"")</f>
        <v/>
      </c>
      <c r="Z86" s="16">
        <f>IFERROR(R86/F86*100,"")</f>
        <v/>
      </c>
      <c r="AA86" s="16">
        <f>IFERROR(R86/E86*100,"")</f>
        <v/>
      </c>
      <c r="AB86" s="16">
        <f>IFERROR(S86/Q86*100,"")</f>
        <v/>
      </c>
      <c r="AC86" s="16">
        <f>IFERROR(T86/Q86*100,"")</f>
        <v/>
      </c>
      <c r="AD86" s="16">
        <f>IFERROR(U86/Q86*100,"")</f>
        <v/>
      </c>
      <c r="AE86" s="18">
        <f>IFERROR(E86/E82-1,"")</f>
        <v/>
      </c>
      <c r="AF86" s="18">
        <f>IFERROR(R86/R82-1,"")</f>
        <v/>
      </c>
      <c r="AG86" s="18">
        <f>IFERROR(F86/F82-1,"")</f>
        <v/>
      </c>
      <c r="AH86">
        <f>P86&gt;0</f>
        <v/>
      </c>
    </row>
    <row r="87">
      <c r="A87" s="14" t="n">
        <v>45747</v>
      </c>
      <c r="B87" t="n">
        <v>11971</v>
      </c>
      <c r="C87" t="inlineStr">
        <is>
          <t>BAR HARBOR BANK &amp; TRUST</t>
        </is>
      </c>
      <c r="D87" t="inlineStr">
        <is>
          <t>ME</t>
        </is>
      </c>
      <c r="E87" t="n">
        <v>4058800</v>
      </c>
      <c r="F87" t="n">
        <v>3305747</v>
      </c>
      <c r="G87" t="n">
        <v>500720</v>
      </c>
      <c r="H87" s="16" t="n">
        <v>1.154557499713954</v>
      </c>
      <c r="I87" s="16" t="n">
        <v>9.449999999999999</v>
      </c>
      <c r="J87" s="16" t="n">
        <v>3.242424572605337</v>
      </c>
      <c r="K87" s="16" t="n">
        <v>8085</v>
      </c>
      <c r="L87" s="16" t="n">
        <v>74</v>
      </c>
      <c r="M87" s="16" t="n">
        <v>0.2587215756582252</v>
      </c>
      <c r="N87" s="16" t="n">
        <v>12615</v>
      </c>
      <c r="O87" s="16" t="n">
        <v>2</v>
      </c>
      <c r="P87" s="16" t="n">
        <v>13.61463614190186</v>
      </c>
      <c r="Q87" t="n">
        <v>3125754</v>
      </c>
      <c r="R87" t="n">
        <v>3097140</v>
      </c>
      <c r="S87" t="n">
        <v>2780638</v>
      </c>
      <c r="T87" t="n">
        <v>208556</v>
      </c>
      <c r="U87" t="n">
        <v>7696</v>
      </c>
      <c r="V87" t="n">
        <v>0.9154271257431008</v>
      </c>
      <c r="W87" t="n">
        <v>0.06</v>
      </c>
      <c r="X87" s="16">
        <f>IFERROR(K87/E87*100,"")</f>
        <v/>
      </c>
      <c r="Y87" s="16">
        <f>IFERROR((N87+O87)/E87*100,"")</f>
        <v/>
      </c>
      <c r="Z87" s="16">
        <f>IFERROR(R87/F87*100,"")</f>
        <v/>
      </c>
      <c r="AA87" s="16">
        <f>IFERROR(R87/E87*100,"")</f>
        <v/>
      </c>
      <c r="AB87" s="16">
        <f>IFERROR(S87/Q87*100,"")</f>
        <v/>
      </c>
      <c r="AC87" s="16">
        <f>IFERROR(T87/Q87*100,"")</f>
        <v/>
      </c>
      <c r="AD87" s="16">
        <f>IFERROR(U87/Q87*100,"")</f>
        <v/>
      </c>
      <c r="AE87" s="18">
        <f>IFERROR(E87/E83-1,"")</f>
        <v/>
      </c>
      <c r="AF87" s="18">
        <f>IFERROR(R87/R83-1,"")</f>
        <v/>
      </c>
      <c r="AG87" s="18">
        <f>IFERROR(F87/F83-1,"")</f>
        <v/>
      </c>
      <c r="AH87">
        <f>P87&gt;0</f>
        <v/>
      </c>
    </row>
    <row r="88">
      <c r="A88" s="14" t="n">
        <v>45838</v>
      </c>
      <c r="B88" t="n">
        <v>11971</v>
      </c>
      <c r="C88" t="inlineStr">
        <is>
          <t>BAR HARBOR BANK &amp; TRUST</t>
        </is>
      </c>
      <c r="D88" t="inlineStr">
        <is>
          <t>ME</t>
        </is>
      </c>
      <c r="E88" t="n">
        <v>4106441</v>
      </c>
      <c r="F88" t="n">
        <v>3299177</v>
      </c>
      <c r="G88" t="n">
        <v>503270</v>
      </c>
      <c r="H88" s="16" t="n">
        <v>0.959403059876807</v>
      </c>
      <c r="I88" s="16" t="n">
        <v>7.85</v>
      </c>
      <c r="J88" s="16" t="n">
        <v>3.280614098244408</v>
      </c>
      <c r="K88" s="16" t="n">
        <v>9732</v>
      </c>
      <c r="L88" s="16" t="n">
        <v>330</v>
      </c>
      <c r="M88" s="16" t="n">
        <v>0.3220100066804162</v>
      </c>
      <c r="N88" s="16" t="n">
        <v>2331</v>
      </c>
      <c r="O88" s="16" t="n">
        <v>429</v>
      </c>
      <c r="P88" s="16" t="n">
        <v>13.72358075130416</v>
      </c>
      <c r="Q88" t="n">
        <v>3155492</v>
      </c>
      <c r="R88" t="n">
        <v>3126607</v>
      </c>
      <c r="S88" t="n">
        <v>2795776</v>
      </c>
      <c r="T88" t="n">
        <v>220343</v>
      </c>
      <c r="U88" t="n">
        <v>8096</v>
      </c>
      <c r="V88" t="n">
        <v>0.9153881550008685</v>
      </c>
      <c r="W88" t="n">
        <v>0.06</v>
      </c>
      <c r="X88" s="16">
        <f>IFERROR(K88/E88*100,"")</f>
        <v/>
      </c>
      <c r="Y88" s="16">
        <f>IFERROR((N88+O88)/E88*100,"")</f>
        <v/>
      </c>
      <c r="Z88" s="16">
        <f>IFERROR(R88/F88*100,"")</f>
        <v/>
      </c>
      <c r="AA88" s="16">
        <f>IFERROR(R88/E88*100,"")</f>
        <v/>
      </c>
      <c r="AB88" s="16">
        <f>IFERROR(S88/Q88*100,"")</f>
        <v/>
      </c>
      <c r="AC88" s="16">
        <f>IFERROR(T88/Q88*100,"")</f>
        <v/>
      </c>
      <c r="AD88" s="16">
        <f>IFERROR(U88/Q88*100,"")</f>
        <v/>
      </c>
      <c r="AE88" s="18">
        <f>IFERROR(E88/E84-1,"")</f>
        <v/>
      </c>
      <c r="AF88" s="18">
        <f>IFERROR(R88/R84-1,"")</f>
        <v/>
      </c>
      <c r="AG88" s="18">
        <f>IFERROR(F88/F84-1,"")</f>
        <v/>
      </c>
      <c r="AH88">
        <f>P88&gt;0</f>
        <v/>
      </c>
    </row>
    <row r="89">
      <c r="A89" s="14" t="n">
        <v>44651</v>
      </c>
      <c r="B89" t="n">
        <v>12874</v>
      </c>
      <c r="C89" t="inlineStr">
        <is>
          <t>KATAHDIN TRUST COMPANY</t>
        </is>
      </c>
      <c r="D89" t="inlineStr">
        <is>
          <t>ME</t>
        </is>
      </c>
      <c r="E89" t="n">
        <v>964163</v>
      </c>
      <c r="F89" t="n">
        <v>854194</v>
      </c>
      <c r="G89" t="n">
        <v>97916</v>
      </c>
      <c r="H89" s="16" t="n">
        <v>0.8314973201648078</v>
      </c>
      <c r="I89" s="16" t="n">
        <v>7.95</v>
      </c>
      <c r="J89" s="16" t="n">
        <v>3.401950441149914</v>
      </c>
      <c r="K89" s="16" t="n">
        <v>1069</v>
      </c>
      <c r="L89" s="16" t="n">
        <v>-5</v>
      </c>
      <c r="M89" s="16" t="n">
        <v>0.1458577225455924</v>
      </c>
      <c r="N89" s="16" t="n">
        <v>374</v>
      </c>
      <c r="O89" s="16" t="n">
        <v>0</v>
      </c>
      <c r="P89" s="16" t="n">
        <v>15.60160287607842</v>
      </c>
      <c r="Q89" t="n">
        <v>732906</v>
      </c>
      <c r="R89" t="n">
        <v>725098</v>
      </c>
      <c r="S89" t="n">
        <v>577596</v>
      </c>
      <c r="T89" t="n">
        <v>138143</v>
      </c>
      <c r="U89" t="n">
        <v>5249</v>
      </c>
      <c r="V89" t="n">
        <v>1.0653480801085</v>
      </c>
      <c r="W89" t="n">
        <v>0</v>
      </c>
      <c r="X89" s="16">
        <f>IFERROR(K89/E89*100,"")</f>
        <v/>
      </c>
      <c r="Y89" s="16">
        <f>IFERROR((N89+O89)/E89*100,"")</f>
        <v/>
      </c>
      <c r="Z89" s="16">
        <f>IFERROR(R89/F89*100,"")</f>
        <v/>
      </c>
      <c r="AA89" s="16">
        <f>IFERROR(R89/E89*100,"")</f>
        <v/>
      </c>
      <c r="AB89" s="16">
        <f>IFERROR(S89/Q89*100,"")</f>
        <v/>
      </c>
      <c r="AC89" s="16">
        <f>IFERROR(T89/Q89*100,"")</f>
        <v/>
      </c>
      <c r="AD89" s="16">
        <f>IFERROR(U89/Q89*100,"")</f>
        <v/>
      </c>
      <c r="AE89" s="18" t="n"/>
      <c r="AF89" s="18" t="n"/>
      <c r="AG89" s="18" t="n"/>
      <c r="AH89">
        <f>P89&gt;0</f>
        <v/>
      </c>
    </row>
    <row r="90">
      <c r="A90" s="14" t="n">
        <v>44742</v>
      </c>
      <c r="B90" t="n">
        <v>12874</v>
      </c>
      <c r="C90" t="inlineStr">
        <is>
          <t>KATAHDIN TRUST COMPANY</t>
        </is>
      </c>
      <c r="D90" t="inlineStr">
        <is>
          <t>ME</t>
        </is>
      </c>
      <c r="E90" t="n">
        <v>964224</v>
      </c>
      <c r="F90" t="n">
        <v>854371</v>
      </c>
      <c r="G90" t="n">
        <v>94455</v>
      </c>
      <c r="H90" s="16" t="n">
        <v>0.905775942828036</v>
      </c>
      <c r="I90" s="16" t="n">
        <v>8.85</v>
      </c>
      <c r="J90" s="16" t="n">
        <v>3.500294111077191</v>
      </c>
      <c r="K90" s="16" t="n">
        <v>891</v>
      </c>
      <c r="L90" s="16" t="n">
        <v>-13</v>
      </c>
      <c r="M90" s="16" t="n">
        <v>0.1263057004077521</v>
      </c>
      <c r="N90" s="16" t="n">
        <v>242</v>
      </c>
      <c r="O90" s="16" t="n">
        <v>42</v>
      </c>
      <c r="P90" s="16" t="n">
        <v>15.29208469664259</v>
      </c>
      <c r="Q90" t="n">
        <v>738684</v>
      </c>
      <c r="R90" t="n">
        <v>730867</v>
      </c>
      <c r="S90" t="n">
        <v>583137</v>
      </c>
      <c r="T90" t="n">
        <v>135529</v>
      </c>
      <c r="U90" t="n">
        <v>5199</v>
      </c>
      <c r="V90" t="n">
        <v>1.058233290554554</v>
      </c>
      <c r="W90" t="n">
        <v>0</v>
      </c>
      <c r="X90" s="16">
        <f>IFERROR(K90/E90*100,"")</f>
        <v/>
      </c>
      <c r="Y90" s="16">
        <f>IFERROR((N90+O90)/E90*100,"")</f>
        <v/>
      </c>
      <c r="Z90" s="16">
        <f>IFERROR(R90/F90*100,"")</f>
        <v/>
      </c>
      <c r="AA90" s="16">
        <f>IFERROR(R90/E90*100,"")</f>
        <v/>
      </c>
      <c r="AB90" s="16">
        <f>IFERROR(S90/Q90*100,"")</f>
        <v/>
      </c>
      <c r="AC90" s="16">
        <f>IFERROR(T90/Q90*100,"")</f>
        <v/>
      </c>
      <c r="AD90" s="16">
        <f>IFERROR(U90/Q90*100,"")</f>
        <v/>
      </c>
      <c r="AE90" s="18" t="n"/>
      <c r="AF90" s="18" t="n"/>
      <c r="AG90" s="18" t="n"/>
      <c r="AH90">
        <f>P90&gt;0</f>
        <v/>
      </c>
    </row>
    <row r="91">
      <c r="A91" s="14" t="n">
        <v>44834</v>
      </c>
      <c r="B91" t="n">
        <v>12874</v>
      </c>
      <c r="C91" t="inlineStr">
        <is>
          <t>KATAHDIN TRUST COMPANY</t>
        </is>
      </c>
      <c r="D91" t="inlineStr">
        <is>
          <t>ME</t>
        </is>
      </c>
      <c r="E91" t="n">
        <v>965147</v>
      </c>
      <c r="F91" t="n">
        <v>851082</v>
      </c>
      <c r="G91" t="n">
        <v>93663</v>
      </c>
      <c r="H91" s="16" t="n">
        <v>0.995017130979604</v>
      </c>
      <c r="I91" s="16" t="n">
        <v>9.85</v>
      </c>
      <c r="J91" s="16" t="n">
        <v>3.647985444361996</v>
      </c>
      <c r="K91" s="16" t="n">
        <v>577</v>
      </c>
      <c r="L91" s="16" t="n">
        <v>-82</v>
      </c>
      <c r="M91" s="16" t="n">
        <v>0.0841409319765494</v>
      </c>
      <c r="N91" s="16" t="n">
        <v>774</v>
      </c>
      <c r="O91" s="16" t="n">
        <v>41</v>
      </c>
      <c r="P91" s="16" t="n">
        <v>15.48179302586541</v>
      </c>
      <c r="Q91" t="n">
        <v>734482</v>
      </c>
      <c r="R91" t="n">
        <v>726597</v>
      </c>
      <c r="S91" t="n">
        <v>586996</v>
      </c>
      <c r="T91" t="n">
        <v>125703</v>
      </c>
      <c r="U91" t="n">
        <v>5372</v>
      </c>
      <c r="V91" t="n">
        <v>1.073545709765522</v>
      </c>
      <c r="W91" t="n">
        <v>0</v>
      </c>
      <c r="X91" s="16">
        <f>IFERROR(K91/E91*100,"")</f>
        <v/>
      </c>
      <c r="Y91" s="16">
        <f>IFERROR((N91+O91)/E91*100,"")</f>
        <v/>
      </c>
      <c r="Z91" s="16">
        <f>IFERROR(R91/F91*100,"")</f>
        <v/>
      </c>
      <c r="AA91" s="16">
        <f>IFERROR(R91/E91*100,"")</f>
        <v/>
      </c>
      <c r="AB91" s="16">
        <f>IFERROR(S91/Q91*100,"")</f>
        <v/>
      </c>
      <c r="AC91" s="16">
        <f>IFERROR(T91/Q91*100,"")</f>
        <v/>
      </c>
      <c r="AD91" s="16">
        <f>IFERROR(U91/Q91*100,"")</f>
        <v/>
      </c>
      <c r="AE91" s="18" t="n"/>
      <c r="AF91" s="18" t="n"/>
      <c r="AG91" s="18" t="n"/>
      <c r="AH91">
        <f>P91&gt;0</f>
        <v/>
      </c>
    </row>
    <row r="92">
      <c r="A92" s="14" t="n">
        <v>44926</v>
      </c>
      <c r="B92" t="n">
        <v>12874</v>
      </c>
      <c r="C92" t="inlineStr">
        <is>
          <t>KATAHDIN TRUST COMPANY</t>
        </is>
      </c>
      <c r="D92" t="inlineStr">
        <is>
          <t>ME</t>
        </is>
      </c>
      <c r="E92" t="n">
        <v>981838</v>
      </c>
      <c r="F92" t="n">
        <v>861068</v>
      </c>
      <c r="G92" t="n">
        <v>97187</v>
      </c>
      <c r="H92" s="16" t="n">
        <v>1.094648578555936</v>
      </c>
      <c r="I92" s="16" t="n">
        <v>10.88</v>
      </c>
      <c r="J92" s="16" t="n">
        <v>3.748219740609097</v>
      </c>
      <c r="K92" s="16" t="n">
        <v>505</v>
      </c>
      <c r="L92" s="16" t="n">
        <v>-125</v>
      </c>
      <c r="M92" s="16" t="n">
        <v>0.0673672864457019</v>
      </c>
      <c r="N92" s="16" t="n">
        <v>390</v>
      </c>
      <c r="O92" s="16" t="n">
        <v>0</v>
      </c>
      <c r="P92" s="16" t="n">
        <v>15.45092627290792</v>
      </c>
      <c r="Q92" t="n">
        <v>749622</v>
      </c>
      <c r="R92" t="n">
        <v>742194</v>
      </c>
      <c r="S92" t="n">
        <v>599821</v>
      </c>
      <c r="T92" t="n">
        <v>130722</v>
      </c>
      <c r="U92" t="n">
        <v>5348</v>
      </c>
      <c r="V92" t="n">
        <v>0.9908994133043052</v>
      </c>
      <c r="W92" t="n">
        <v>-0.05</v>
      </c>
      <c r="X92" s="16">
        <f>IFERROR(K92/E92*100,"")</f>
        <v/>
      </c>
      <c r="Y92" s="16">
        <f>IFERROR((N92+O92)/E92*100,"")</f>
        <v/>
      </c>
      <c r="Z92" s="16">
        <f>IFERROR(R92/F92*100,"")</f>
        <v/>
      </c>
      <c r="AA92" s="16">
        <f>IFERROR(R92/E92*100,"")</f>
        <v/>
      </c>
      <c r="AB92" s="16">
        <f>IFERROR(S92/Q92*100,"")</f>
        <v/>
      </c>
      <c r="AC92" s="16">
        <f>IFERROR(T92/Q92*100,"")</f>
        <v/>
      </c>
      <c r="AD92" s="16">
        <f>IFERROR(U92/Q92*100,"")</f>
        <v/>
      </c>
      <c r="AE92" s="18" t="n"/>
      <c r="AF92" s="18" t="n"/>
      <c r="AG92" s="18" t="n"/>
      <c r="AH92">
        <f>P92&gt;0</f>
        <v/>
      </c>
    </row>
    <row r="93">
      <c r="A93" s="14" t="n">
        <v>45016</v>
      </c>
      <c r="B93" t="n">
        <v>12874</v>
      </c>
      <c r="C93" t="inlineStr">
        <is>
          <t>KATAHDIN TRUST COMPANY</t>
        </is>
      </c>
      <c r="D93" t="inlineStr">
        <is>
          <t>ME</t>
        </is>
      </c>
      <c r="E93" t="n">
        <v>980710</v>
      </c>
      <c r="F93" t="n">
        <v>858980</v>
      </c>
      <c r="G93" t="n">
        <v>100647</v>
      </c>
      <c r="H93" s="16" t="n">
        <v>1.112023756871169</v>
      </c>
      <c r="I93" s="16" t="n">
        <v>11.03</v>
      </c>
      <c r="J93" s="16" t="n">
        <v>3.92115359174494</v>
      </c>
      <c r="K93" s="16" t="n">
        <v>468</v>
      </c>
      <c r="L93" s="16" t="n">
        <v>-2</v>
      </c>
      <c r="M93" s="16" t="n">
        <v>0.0622886751566744</v>
      </c>
      <c r="N93" s="16" t="n">
        <v>165</v>
      </c>
      <c r="O93" s="16" t="n">
        <v>6</v>
      </c>
      <c r="P93" s="16" t="n">
        <v>15.74483011967993</v>
      </c>
      <c r="Q93" t="n">
        <v>760973</v>
      </c>
      <c r="R93" t="n">
        <v>753186</v>
      </c>
      <c r="S93" t="n">
        <v>608741</v>
      </c>
      <c r="T93" t="n">
        <v>133780</v>
      </c>
      <c r="U93" t="n">
        <v>4939</v>
      </c>
      <c r="V93" t="n">
        <v>1.023295176044354</v>
      </c>
      <c r="W93" t="n">
        <v>-0.01</v>
      </c>
      <c r="X93" s="16">
        <f>IFERROR(K93/E93*100,"")</f>
        <v/>
      </c>
      <c r="Y93" s="16">
        <f>IFERROR((N93+O93)/E93*100,"")</f>
        <v/>
      </c>
      <c r="Z93" s="16">
        <f>IFERROR(R93/F93*100,"")</f>
        <v/>
      </c>
      <c r="AA93" s="16">
        <f>IFERROR(R93/E93*100,"")</f>
        <v/>
      </c>
      <c r="AB93" s="16">
        <f>IFERROR(S93/Q93*100,"")</f>
        <v/>
      </c>
      <c r="AC93" s="16">
        <f>IFERROR(T93/Q93*100,"")</f>
        <v/>
      </c>
      <c r="AD93" s="16">
        <f>IFERROR(U93/Q93*100,"")</f>
        <v/>
      </c>
      <c r="AE93" s="18">
        <f>IFERROR(E93/E89-1,"")</f>
        <v/>
      </c>
      <c r="AF93" s="18">
        <f>IFERROR(R93/R89-1,"")</f>
        <v/>
      </c>
      <c r="AG93" s="18">
        <f>IFERROR(F93/F89-1,"")</f>
        <v/>
      </c>
      <c r="AH93">
        <f>P93&gt;0</f>
        <v/>
      </c>
    </row>
    <row r="94">
      <c r="A94" s="14" t="n">
        <v>45107</v>
      </c>
      <c r="B94" t="n">
        <v>12874</v>
      </c>
      <c r="C94" t="inlineStr">
        <is>
          <t>KATAHDIN TRUST COMPANY</t>
        </is>
      </c>
      <c r="D94" t="inlineStr">
        <is>
          <t>ME</t>
        </is>
      </c>
      <c r="E94" t="n">
        <v>1000625</v>
      </c>
      <c r="F94" t="n">
        <v>879800</v>
      </c>
      <c r="G94" t="n">
        <v>101151</v>
      </c>
      <c r="H94" s="16" t="n">
        <v>1.100104516341098</v>
      </c>
      <c r="I94" s="16" t="n">
        <v>10.9</v>
      </c>
      <c r="J94" s="16" t="n">
        <v>3.902323850848409</v>
      </c>
      <c r="K94" s="16" t="n">
        <v>420</v>
      </c>
      <c r="L94" s="16" t="n">
        <v>32</v>
      </c>
      <c r="M94" s="16" t="n">
        <v>0.0537681899706963</v>
      </c>
      <c r="N94" s="16" t="n">
        <v>193</v>
      </c>
      <c r="O94" s="16" t="n">
        <v>0</v>
      </c>
      <c r="P94" s="16" t="n">
        <v>15.46018807605302</v>
      </c>
      <c r="Q94" t="n">
        <v>781131</v>
      </c>
      <c r="R94" t="n">
        <v>773454</v>
      </c>
      <c r="S94" t="n">
        <v>615778</v>
      </c>
      <c r="T94" t="n">
        <v>141954</v>
      </c>
      <c r="U94" t="n">
        <v>5455</v>
      </c>
      <c r="V94" t="n">
        <v>0.9828057009643708</v>
      </c>
      <c r="W94" t="n">
        <v>-0.02</v>
      </c>
      <c r="X94" s="16">
        <f>IFERROR(K94/E94*100,"")</f>
        <v/>
      </c>
      <c r="Y94" s="16">
        <f>IFERROR((N94+O94)/E94*100,"")</f>
        <v/>
      </c>
      <c r="Z94" s="16">
        <f>IFERROR(R94/F94*100,"")</f>
        <v/>
      </c>
      <c r="AA94" s="16">
        <f>IFERROR(R94/E94*100,"")</f>
        <v/>
      </c>
      <c r="AB94" s="16">
        <f>IFERROR(S94/Q94*100,"")</f>
        <v/>
      </c>
      <c r="AC94" s="16">
        <f>IFERROR(T94/Q94*100,"")</f>
        <v/>
      </c>
      <c r="AD94" s="16">
        <f>IFERROR(U94/Q94*100,"")</f>
        <v/>
      </c>
      <c r="AE94" s="18">
        <f>IFERROR(E94/E90-1,"")</f>
        <v/>
      </c>
      <c r="AF94" s="18">
        <f>IFERROR(R94/R90-1,"")</f>
        <v/>
      </c>
      <c r="AG94" s="18">
        <f>IFERROR(F94/F90-1,"")</f>
        <v/>
      </c>
      <c r="AH94">
        <f>P94&gt;0</f>
        <v/>
      </c>
    </row>
    <row r="95">
      <c r="A95" s="14" t="n">
        <v>45199</v>
      </c>
      <c r="B95" t="n">
        <v>12874</v>
      </c>
      <c r="C95" t="inlineStr">
        <is>
          <t>KATAHDIN TRUST COMPANY</t>
        </is>
      </c>
      <c r="D95" t="inlineStr">
        <is>
          <t>ME</t>
        </is>
      </c>
      <c r="E95" t="n">
        <v>1015573</v>
      </c>
      <c r="F95" t="n">
        <v>892145</v>
      </c>
      <c r="G95" t="n">
        <v>100287</v>
      </c>
      <c r="H95" s="16" t="n">
        <v>1.10517821444244</v>
      </c>
      <c r="I95" s="16" t="n">
        <v>11.01</v>
      </c>
      <c r="J95" s="16" t="n">
        <v>3.892763995282668</v>
      </c>
      <c r="K95" s="16" t="n">
        <v>415</v>
      </c>
      <c r="L95" s="16" t="n">
        <v>34</v>
      </c>
      <c r="M95" s="16" t="n">
        <v>0.0524114971880916</v>
      </c>
      <c r="N95" s="16" t="n">
        <v>1582</v>
      </c>
      <c r="O95" s="16" t="n">
        <v>0</v>
      </c>
      <c r="P95" s="16" t="n">
        <v>15.51306086739158</v>
      </c>
      <c r="Q95" t="n">
        <v>791811</v>
      </c>
      <c r="R95" t="n">
        <v>784144</v>
      </c>
      <c r="S95" t="n">
        <v>624999</v>
      </c>
      <c r="T95" t="n">
        <v>141382</v>
      </c>
      <c r="U95" t="n">
        <v>5445</v>
      </c>
      <c r="V95" t="n">
        <v>0.9682866239544538</v>
      </c>
      <c r="W95" t="n">
        <v>-0.03</v>
      </c>
      <c r="X95" s="16">
        <f>IFERROR(K95/E95*100,"")</f>
        <v/>
      </c>
      <c r="Y95" s="16">
        <f>IFERROR((N95+O95)/E95*100,"")</f>
        <v/>
      </c>
      <c r="Z95" s="16">
        <f>IFERROR(R95/F95*100,"")</f>
        <v/>
      </c>
      <c r="AA95" s="16">
        <f>IFERROR(R95/E95*100,"")</f>
        <v/>
      </c>
      <c r="AB95" s="16">
        <f>IFERROR(S95/Q95*100,"")</f>
        <v/>
      </c>
      <c r="AC95" s="16">
        <f>IFERROR(T95/Q95*100,"")</f>
        <v/>
      </c>
      <c r="AD95" s="16">
        <f>IFERROR(U95/Q95*100,"")</f>
        <v/>
      </c>
      <c r="AE95" s="18">
        <f>IFERROR(E95/E91-1,"")</f>
        <v/>
      </c>
      <c r="AF95" s="18">
        <f>IFERROR(R95/R91-1,"")</f>
        <v/>
      </c>
      <c r="AG95" s="18">
        <f>IFERROR(F95/F91-1,"")</f>
        <v/>
      </c>
      <c r="AH95">
        <f>P95&gt;0</f>
        <v/>
      </c>
    </row>
    <row r="96">
      <c r="A96" s="14" t="n">
        <v>45291</v>
      </c>
      <c r="B96" t="n">
        <v>12874</v>
      </c>
      <c r="C96" t="inlineStr">
        <is>
          <t>KATAHDIN TRUST COMPANY</t>
        </is>
      </c>
      <c r="D96" t="inlineStr">
        <is>
          <t>ME</t>
        </is>
      </c>
      <c r="E96" t="n">
        <v>1032673</v>
      </c>
      <c r="F96" t="n">
        <v>895094</v>
      </c>
      <c r="G96" t="n">
        <v>106976</v>
      </c>
      <c r="H96" s="16" t="n">
        <v>1.075942761920326</v>
      </c>
      <c r="I96" s="16" t="n">
        <v>10.65</v>
      </c>
      <c r="J96" s="16" t="n">
        <v>3.888147713094523</v>
      </c>
      <c r="K96" s="16" t="n">
        <v>670</v>
      </c>
      <c r="L96" s="16" t="n">
        <v>34</v>
      </c>
      <c r="M96" s="16" t="n">
        <v>0.0838450593360222</v>
      </c>
      <c r="N96" s="16" t="n">
        <v>2266</v>
      </c>
      <c r="O96" s="16" t="n">
        <v>0</v>
      </c>
      <c r="P96" s="16" t="n">
        <v>15.88598695586549</v>
      </c>
      <c r="Q96" t="n">
        <v>799093</v>
      </c>
      <c r="R96" t="n">
        <v>791118</v>
      </c>
      <c r="S96" t="n">
        <v>632740</v>
      </c>
      <c r="T96" t="n">
        <v>144853</v>
      </c>
      <c r="U96" t="n">
        <v>5403</v>
      </c>
      <c r="V96" t="n">
        <v>0.9980064898578764</v>
      </c>
      <c r="W96" t="n">
        <v>0.01</v>
      </c>
      <c r="X96" s="16">
        <f>IFERROR(K96/E96*100,"")</f>
        <v/>
      </c>
      <c r="Y96" s="16">
        <f>IFERROR((N96+O96)/E96*100,"")</f>
        <v/>
      </c>
      <c r="Z96" s="16">
        <f>IFERROR(R96/F96*100,"")</f>
        <v/>
      </c>
      <c r="AA96" s="16">
        <f>IFERROR(R96/E96*100,"")</f>
        <v/>
      </c>
      <c r="AB96" s="16">
        <f>IFERROR(S96/Q96*100,"")</f>
        <v/>
      </c>
      <c r="AC96" s="16">
        <f>IFERROR(T96/Q96*100,"")</f>
        <v/>
      </c>
      <c r="AD96" s="16">
        <f>IFERROR(U96/Q96*100,"")</f>
        <v/>
      </c>
      <c r="AE96" s="18">
        <f>IFERROR(E96/E92-1,"")</f>
        <v/>
      </c>
      <c r="AF96" s="18">
        <f>IFERROR(R96/R92-1,"")</f>
        <v/>
      </c>
      <c r="AG96" s="18">
        <f>IFERROR(F96/F92-1,"")</f>
        <v/>
      </c>
      <c r="AH96">
        <f>P96&gt;0</f>
        <v/>
      </c>
    </row>
    <row r="97">
      <c r="A97" s="14" t="n">
        <v>45382</v>
      </c>
      <c r="B97" t="n">
        <v>12874</v>
      </c>
      <c r="C97" t="inlineStr">
        <is>
          <t>KATAHDIN TRUST COMPANY</t>
        </is>
      </c>
      <c r="D97" t="inlineStr">
        <is>
          <t>ME</t>
        </is>
      </c>
      <c r="E97" t="n">
        <v>1024449</v>
      </c>
      <c r="F97" t="n">
        <v>876882</v>
      </c>
      <c r="G97" t="n">
        <v>106671</v>
      </c>
      <c r="H97" s="16" t="n">
        <v>0.8847311924134786</v>
      </c>
      <c r="I97" s="16" t="n">
        <v>8.52</v>
      </c>
      <c r="J97" s="16" t="n">
        <v>3.637481804719911</v>
      </c>
      <c r="K97" s="16" t="n">
        <v>1466</v>
      </c>
      <c r="L97" s="16" t="n">
        <v>-40</v>
      </c>
      <c r="M97" s="16" t="n">
        <v>0.1837571697886166</v>
      </c>
      <c r="N97" s="16" t="n">
        <v>286</v>
      </c>
      <c r="O97" s="16" t="n">
        <v>0</v>
      </c>
      <c r="P97" s="16" t="n">
        <v>16.08843288789065</v>
      </c>
      <c r="Q97" t="n">
        <v>797792</v>
      </c>
      <c r="R97" t="n">
        <v>789897</v>
      </c>
      <c r="S97" t="n">
        <v>629564</v>
      </c>
      <c r="T97" t="n">
        <v>149340</v>
      </c>
      <c r="U97" t="n">
        <v>5156</v>
      </c>
      <c r="V97" t="n">
        <v>0.9896063134250532</v>
      </c>
      <c r="W97" t="n">
        <v>-0.05</v>
      </c>
      <c r="X97" s="16">
        <f>IFERROR(K97/E97*100,"")</f>
        <v/>
      </c>
      <c r="Y97" s="16">
        <f>IFERROR((N97+O97)/E97*100,"")</f>
        <v/>
      </c>
      <c r="Z97" s="16">
        <f>IFERROR(R97/F97*100,"")</f>
        <v/>
      </c>
      <c r="AA97" s="16">
        <f>IFERROR(R97/E97*100,"")</f>
        <v/>
      </c>
      <c r="AB97" s="16">
        <f>IFERROR(S97/Q97*100,"")</f>
        <v/>
      </c>
      <c r="AC97" s="16">
        <f>IFERROR(T97/Q97*100,"")</f>
        <v/>
      </c>
      <c r="AD97" s="16">
        <f>IFERROR(U97/Q97*100,"")</f>
        <v/>
      </c>
      <c r="AE97" s="18">
        <f>IFERROR(E97/E93-1,"")</f>
        <v/>
      </c>
      <c r="AF97" s="18">
        <f>IFERROR(R97/R93-1,"")</f>
        <v/>
      </c>
      <c r="AG97" s="18">
        <f>IFERROR(F97/F93-1,"")</f>
        <v/>
      </c>
      <c r="AH97">
        <f>P97&gt;0</f>
        <v/>
      </c>
    </row>
    <row r="98">
      <c r="A98" s="14" t="n">
        <v>45473</v>
      </c>
      <c r="B98" t="n">
        <v>12874</v>
      </c>
      <c r="C98" t="inlineStr">
        <is>
          <t>KATAHDIN TRUST COMPANY</t>
        </is>
      </c>
      <c r="D98" t="inlineStr">
        <is>
          <t>ME</t>
        </is>
      </c>
      <c r="E98" t="n">
        <v>1036850</v>
      </c>
      <c r="F98" t="n">
        <v>862144</v>
      </c>
      <c r="G98" t="n">
        <v>108474</v>
      </c>
      <c r="H98" s="16" t="n">
        <v>0.8736342798189513</v>
      </c>
      <c r="I98" s="16" t="n">
        <v>8.390000000000001</v>
      </c>
      <c r="J98" s="16" t="n">
        <v>3.633768386508049</v>
      </c>
      <c r="K98" s="16" t="n">
        <v>1516</v>
      </c>
      <c r="L98" s="16" t="n">
        <v>-27</v>
      </c>
      <c r="M98" s="16" t="n">
        <v>0.1858806709850817</v>
      </c>
      <c r="N98" s="16" t="n">
        <v>749</v>
      </c>
      <c r="O98" s="16" t="n">
        <v>0</v>
      </c>
      <c r="P98" s="16" t="n">
        <v>15.92911263362248</v>
      </c>
      <c r="Q98" t="n">
        <v>815577</v>
      </c>
      <c r="R98" t="n">
        <v>807548</v>
      </c>
      <c r="S98" t="n">
        <v>639776</v>
      </c>
      <c r="T98" t="n">
        <v>156322</v>
      </c>
      <c r="U98" t="n">
        <v>5026</v>
      </c>
      <c r="V98" t="n">
        <v>0.9844564032580616</v>
      </c>
      <c r="W98" t="n">
        <v>0</v>
      </c>
      <c r="X98" s="16">
        <f>IFERROR(K98/E98*100,"")</f>
        <v/>
      </c>
      <c r="Y98" s="16">
        <f>IFERROR((N98+O98)/E98*100,"")</f>
        <v/>
      </c>
      <c r="Z98" s="16">
        <f>IFERROR(R98/F98*100,"")</f>
        <v/>
      </c>
      <c r="AA98" s="16">
        <f>IFERROR(R98/E98*100,"")</f>
        <v/>
      </c>
      <c r="AB98" s="16">
        <f>IFERROR(S98/Q98*100,"")</f>
        <v/>
      </c>
      <c r="AC98" s="16">
        <f>IFERROR(T98/Q98*100,"")</f>
        <v/>
      </c>
      <c r="AD98" s="16">
        <f>IFERROR(U98/Q98*100,"")</f>
        <v/>
      </c>
      <c r="AE98" s="18">
        <f>IFERROR(E98/E94-1,"")</f>
        <v/>
      </c>
      <c r="AF98" s="18">
        <f>IFERROR(R98/R94-1,"")</f>
        <v/>
      </c>
      <c r="AG98" s="18">
        <f>IFERROR(F98/F94-1,"")</f>
        <v/>
      </c>
      <c r="AH98">
        <f>P98&gt;0</f>
        <v/>
      </c>
    </row>
    <row r="99">
      <c r="A99" s="14" t="n">
        <v>45565</v>
      </c>
      <c r="B99" t="n">
        <v>12874</v>
      </c>
      <c r="C99" t="inlineStr">
        <is>
          <t>KATAHDIN TRUST COMPANY</t>
        </is>
      </c>
      <c r="D99" t="inlineStr">
        <is>
          <t>ME</t>
        </is>
      </c>
      <c r="E99" t="n">
        <v>1048081</v>
      </c>
      <c r="F99" t="n">
        <v>886959</v>
      </c>
      <c r="G99" t="n">
        <v>113573</v>
      </c>
      <c r="H99" s="16" t="n">
        <v>0.9011730849412116</v>
      </c>
      <c r="I99" s="16" t="n">
        <v>8.57</v>
      </c>
      <c r="J99" s="16" t="n">
        <v>3.645178323978009</v>
      </c>
      <c r="K99" s="16" t="n">
        <v>1535</v>
      </c>
      <c r="L99" s="16" t="n">
        <v>-18</v>
      </c>
      <c r="M99" s="16" t="n">
        <v>0.1909108353510156</v>
      </c>
      <c r="N99" s="16" t="n">
        <v>568</v>
      </c>
      <c r="O99" s="16" t="n">
        <v>27</v>
      </c>
      <c r="P99" s="16" t="n">
        <v>16.26590860307937</v>
      </c>
      <c r="Q99" t="n">
        <v>818183</v>
      </c>
      <c r="R99" t="n">
        <v>810310</v>
      </c>
      <c r="S99" t="n">
        <v>635002</v>
      </c>
      <c r="T99" t="n">
        <v>162708</v>
      </c>
      <c r="U99" t="n">
        <v>4774</v>
      </c>
      <c r="V99" t="n">
        <v>0.962254165632872</v>
      </c>
      <c r="W99" t="n">
        <v>-0.01</v>
      </c>
      <c r="X99" s="16">
        <f>IFERROR(K99/E99*100,"")</f>
        <v/>
      </c>
      <c r="Y99" s="16">
        <f>IFERROR((N99+O99)/E99*100,"")</f>
        <v/>
      </c>
      <c r="Z99" s="16">
        <f>IFERROR(R99/F99*100,"")</f>
        <v/>
      </c>
      <c r="AA99" s="16">
        <f>IFERROR(R99/E99*100,"")</f>
        <v/>
      </c>
      <c r="AB99" s="16">
        <f>IFERROR(S99/Q99*100,"")</f>
        <v/>
      </c>
      <c r="AC99" s="16">
        <f>IFERROR(T99/Q99*100,"")</f>
        <v/>
      </c>
      <c r="AD99" s="16">
        <f>IFERROR(U99/Q99*100,"")</f>
        <v/>
      </c>
      <c r="AE99" s="18">
        <f>IFERROR(E99/E95-1,"")</f>
        <v/>
      </c>
      <c r="AF99" s="18">
        <f>IFERROR(R99/R95-1,"")</f>
        <v/>
      </c>
      <c r="AG99" s="18">
        <f>IFERROR(F99/F95-1,"")</f>
        <v/>
      </c>
      <c r="AH99">
        <f>P99&gt;0</f>
        <v/>
      </c>
    </row>
    <row r="100">
      <c r="A100" s="14" t="n">
        <v>45657</v>
      </c>
      <c r="B100" t="n">
        <v>12874</v>
      </c>
      <c r="C100" t="inlineStr">
        <is>
          <t>KATAHDIN TRUST COMPANY</t>
        </is>
      </c>
      <c r="D100" t="inlineStr">
        <is>
          <t>ME</t>
        </is>
      </c>
      <c r="E100" t="n">
        <v>1078599</v>
      </c>
      <c r="F100" t="n">
        <v>931493</v>
      </c>
      <c r="G100" t="n">
        <v>96293</v>
      </c>
      <c r="H100" s="16" t="n">
        <v>0.8603331537899864</v>
      </c>
      <c r="I100" s="16" t="n">
        <v>8.44</v>
      </c>
      <c r="J100" s="16" t="n">
        <v>3.694860407193594</v>
      </c>
      <c r="K100" s="16" t="n">
        <v>1392</v>
      </c>
      <c r="L100" s="16" t="n">
        <v>-17</v>
      </c>
      <c r="M100" s="16" t="n">
        <v>0.1687780084195006</v>
      </c>
      <c r="N100" s="16" t="n">
        <v>568</v>
      </c>
      <c r="O100" s="16" t="n">
        <v>0</v>
      </c>
      <c r="P100" s="16" t="n">
        <v>14.00680833323916</v>
      </c>
      <c r="Q100" t="n">
        <v>824752</v>
      </c>
      <c r="R100" t="n">
        <v>816453</v>
      </c>
      <c r="S100" t="n">
        <v>640478</v>
      </c>
      <c r="T100" t="n">
        <v>163025</v>
      </c>
      <c r="U100" t="n">
        <v>4566</v>
      </c>
      <c r="V100" t="n">
        <v>1.006241876345859</v>
      </c>
      <c r="W100" t="n">
        <v>0.05</v>
      </c>
      <c r="X100" s="16">
        <f>IFERROR(K100/E100*100,"")</f>
        <v/>
      </c>
      <c r="Y100" s="16">
        <f>IFERROR((N100+O100)/E100*100,"")</f>
        <v/>
      </c>
      <c r="Z100" s="16">
        <f>IFERROR(R100/F100*100,"")</f>
        <v/>
      </c>
      <c r="AA100" s="16">
        <f>IFERROR(R100/E100*100,"")</f>
        <v/>
      </c>
      <c r="AB100" s="16">
        <f>IFERROR(S100/Q100*100,"")</f>
        <v/>
      </c>
      <c r="AC100" s="16">
        <f>IFERROR(T100/Q100*100,"")</f>
        <v/>
      </c>
      <c r="AD100" s="16">
        <f>IFERROR(U100/Q100*100,"")</f>
        <v/>
      </c>
      <c r="AE100" s="18">
        <f>IFERROR(E100/E96-1,"")</f>
        <v/>
      </c>
      <c r="AF100" s="18">
        <f>IFERROR(R100/R96-1,"")</f>
        <v/>
      </c>
      <c r="AG100" s="18">
        <f>IFERROR(F100/F96-1,"")</f>
        <v/>
      </c>
      <c r="AH100">
        <f>P100&gt;0</f>
        <v/>
      </c>
    </row>
    <row r="101">
      <c r="A101" s="14" t="n">
        <v>45747</v>
      </c>
      <c r="B101" t="n">
        <v>12874</v>
      </c>
      <c r="C101" t="inlineStr">
        <is>
          <t>KATAHDIN TRUST COMPANY</t>
        </is>
      </c>
      <c r="D101" t="inlineStr">
        <is>
          <t>ME</t>
        </is>
      </c>
      <c r="E101" t="n">
        <v>1079094</v>
      </c>
      <c r="F101" t="n">
        <v>929947</v>
      </c>
      <c r="G101" t="n">
        <v>99521</v>
      </c>
      <c r="H101" s="16" t="n">
        <v>0.9139391006969018</v>
      </c>
      <c r="I101" s="16" t="n">
        <v>10.07</v>
      </c>
      <c r="J101" s="16" t="n">
        <v>3.762760077535662</v>
      </c>
      <c r="K101" s="16" t="n">
        <v>1396</v>
      </c>
      <c r="L101" s="16" t="n">
        <v>-2</v>
      </c>
      <c r="M101" s="16" t="n">
        <v>0.1648919588508425</v>
      </c>
      <c r="N101" s="16" t="n">
        <v>6414</v>
      </c>
      <c r="O101" s="16" t="n">
        <v>11</v>
      </c>
      <c r="P101" s="16" t="n">
        <v>15.56221118347083</v>
      </c>
      <c r="Q101" t="n">
        <v>853286</v>
      </c>
      <c r="R101" t="n">
        <v>844763</v>
      </c>
      <c r="S101" t="n">
        <v>668513</v>
      </c>
      <c r="T101" t="n">
        <v>165192</v>
      </c>
      <c r="U101" t="n">
        <v>4366</v>
      </c>
      <c r="V101" t="n">
        <v>0.9988444671540374</v>
      </c>
      <c r="W101" t="n">
        <v>-0.01</v>
      </c>
      <c r="X101" s="16">
        <f>IFERROR(K101/E101*100,"")</f>
        <v/>
      </c>
      <c r="Y101" s="16">
        <f>IFERROR((N101+O101)/E101*100,"")</f>
        <v/>
      </c>
      <c r="Z101" s="16">
        <f>IFERROR(R101/F101*100,"")</f>
        <v/>
      </c>
      <c r="AA101" s="16">
        <f>IFERROR(R101/E101*100,"")</f>
        <v/>
      </c>
      <c r="AB101" s="16">
        <f>IFERROR(S101/Q101*100,"")</f>
        <v/>
      </c>
      <c r="AC101" s="16">
        <f>IFERROR(T101/Q101*100,"")</f>
        <v/>
      </c>
      <c r="AD101" s="16">
        <f>IFERROR(U101/Q101*100,"")</f>
        <v/>
      </c>
      <c r="AE101" s="18">
        <f>IFERROR(E101/E97-1,"")</f>
        <v/>
      </c>
      <c r="AF101" s="18">
        <f>IFERROR(R101/R97-1,"")</f>
        <v/>
      </c>
      <c r="AG101" s="18">
        <f>IFERROR(F101/F97-1,"")</f>
        <v/>
      </c>
      <c r="AH101">
        <f>P101&gt;0</f>
        <v/>
      </c>
    </row>
    <row r="102">
      <c r="A102" s="14" t="n">
        <v>45838</v>
      </c>
      <c r="B102" t="n">
        <v>12874</v>
      </c>
      <c r="C102" t="inlineStr">
        <is>
          <t>KATAHDIN TRUST COMPANY</t>
        </is>
      </c>
      <c r="D102" t="inlineStr">
        <is>
          <t>ME</t>
        </is>
      </c>
      <c r="E102" t="n">
        <v>1085692</v>
      </c>
      <c r="F102" t="n">
        <v>934861</v>
      </c>
      <c r="G102" t="n">
        <v>100553</v>
      </c>
      <c r="H102" s="16" t="n">
        <v>0.9386489732177956</v>
      </c>
      <c r="I102" s="16" t="n">
        <v>10.27</v>
      </c>
      <c r="J102" s="16" t="n">
        <v>3.802108805205299</v>
      </c>
      <c r="K102" s="16" t="n">
        <v>1392</v>
      </c>
      <c r="L102" s="16" t="n">
        <v>18</v>
      </c>
      <c r="M102" s="16" t="n">
        <v>0.16439404496744</v>
      </c>
      <c r="N102" s="16" t="n">
        <v>2891</v>
      </c>
      <c r="O102" s="16" t="n">
        <v>0</v>
      </c>
      <c r="P102" s="16" t="n">
        <v>14.30964458786415</v>
      </c>
      <c r="Q102" t="n">
        <v>846746</v>
      </c>
      <c r="R102" t="n">
        <v>838439</v>
      </c>
      <c r="S102" t="n">
        <v>669261</v>
      </c>
      <c r="T102" t="n">
        <v>156764</v>
      </c>
      <c r="U102" t="n">
        <v>4179</v>
      </c>
      <c r="V102" t="n">
        <v>0.9810498071440552</v>
      </c>
      <c r="W102" t="n">
        <v>-0.03</v>
      </c>
      <c r="X102" s="16">
        <f>IFERROR(K102/E102*100,"")</f>
        <v/>
      </c>
      <c r="Y102" s="16">
        <f>IFERROR((N102+O102)/E102*100,"")</f>
        <v/>
      </c>
      <c r="Z102" s="16">
        <f>IFERROR(R102/F102*100,"")</f>
        <v/>
      </c>
      <c r="AA102" s="16">
        <f>IFERROR(R102/E102*100,"")</f>
        <v/>
      </c>
      <c r="AB102" s="16">
        <f>IFERROR(S102/Q102*100,"")</f>
        <v/>
      </c>
      <c r="AC102" s="16">
        <f>IFERROR(T102/Q102*100,"")</f>
        <v/>
      </c>
      <c r="AD102" s="16">
        <f>IFERROR(U102/Q102*100,"")</f>
        <v/>
      </c>
      <c r="AE102" s="18">
        <f>IFERROR(E102/E98-1,"")</f>
        <v/>
      </c>
      <c r="AF102" s="18">
        <f>IFERROR(R102/R98-1,"")</f>
        <v/>
      </c>
      <c r="AG102" s="18">
        <f>IFERROR(F102/F98-1,"")</f>
        <v/>
      </c>
      <c r="AH102">
        <f>P102&gt;0</f>
        <v/>
      </c>
    </row>
    <row r="103">
      <c r="A103" s="14" t="n">
        <v>44651</v>
      </c>
      <c r="B103" t="n">
        <v>13063</v>
      </c>
      <c r="C103" t="inlineStr">
        <is>
          <t>KENNEBUNK SAVINGS BANK</t>
        </is>
      </c>
      <c r="D103" t="inlineStr">
        <is>
          <t>ME</t>
        </is>
      </c>
      <c r="E103" t="n">
        <v>1784835</v>
      </c>
      <c r="F103" t="n">
        <v>1619076</v>
      </c>
      <c r="G103" t="n">
        <v>148181</v>
      </c>
      <c r="H103" s="16" t="n">
        <v>0.4823731340100479</v>
      </c>
      <c r="I103" s="16" t="n">
        <v>5.56</v>
      </c>
      <c r="J103" s="16" t="n">
        <v>3.271114774102846</v>
      </c>
      <c r="K103" s="16" t="n">
        <v>408</v>
      </c>
      <c r="L103" s="16" t="n">
        <v>-5</v>
      </c>
      <c r="M103" s="16" t="n">
        <v>0.1311112001170518</v>
      </c>
      <c r="N103" s="16" t="n">
        <v>3</v>
      </c>
      <c r="O103" s="16" t="n">
        <v>1196</v>
      </c>
      <c r="P103" s="16" t="n">
        <v>0</v>
      </c>
      <c r="Q103" t="n">
        <v>1223389</v>
      </c>
      <c r="R103" t="n">
        <v>1208488</v>
      </c>
      <c r="S103" t="n">
        <v>1160807</v>
      </c>
      <c r="T103" t="n">
        <v>55361</v>
      </c>
      <c r="U103" t="n">
        <v>837</v>
      </c>
      <c r="V103" t="n">
        <v>1.21800997066346</v>
      </c>
      <c r="W103" t="n">
        <v>0</v>
      </c>
      <c r="X103" s="16">
        <f>IFERROR(K103/E103*100,"")</f>
        <v/>
      </c>
      <c r="Y103" s="16">
        <f>IFERROR((N103+O103)/E103*100,"")</f>
        <v/>
      </c>
      <c r="Z103" s="16">
        <f>IFERROR(R103/F103*100,"")</f>
        <v/>
      </c>
      <c r="AA103" s="16">
        <f>IFERROR(R103/E103*100,"")</f>
        <v/>
      </c>
      <c r="AB103" s="16">
        <f>IFERROR(S103/Q103*100,"")</f>
        <v/>
      </c>
      <c r="AC103" s="16">
        <f>IFERROR(T103/Q103*100,"")</f>
        <v/>
      </c>
      <c r="AD103" s="16">
        <f>IFERROR(U103/Q103*100,"")</f>
        <v/>
      </c>
      <c r="AE103" s="18" t="n"/>
      <c r="AF103" s="18" t="n"/>
      <c r="AG103" s="18" t="n"/>
      <c r="AH103">
        <f>P103&gt;0</f>
        <v/>
      </c>
    </row>
    <row r="104">
      <c r="A104" s="14" t="n">
        <v>44742</v>
      </c>
      <c r="B104" t="n">
        <v>13063</v>
      </c>
      <c r="C104" t="inlineStr">
        <is>
          <t>KENNEBUNK SAVINGS BANK</t>
        </is>
      </c>
      <c r="D104" t="inlineStr">
        <is>
          <t>ME</t>
        </is>
      </c>
      <c r="E104" t="n">
        <v>1796670</v>
      </c>
      <c r="F104" t="n">
        <v>1641103</v>
      </c>
      <c r="G104" t="n">
        <v>138141</v>
      </c>
      <c r="H104" s="16" t="n">
        <v>0.5898852871372421</v>
      </c>
      <c r="I104" s="16" t="n">
        <v>7.06</v>
      </c>
      <c r="J104" s="16" t="n">
        <v>3.348028636492178</v>
      </c>
      <c r="K104" s="16" t="n">
        <v>499</v>
      </c>
      <c r="L104" s="16" t="n">
        <v>-5</v>
      </c>
      <c r="M104" s="16" t="n">
        <v>0.1160522599317302</v>
      </c>
      <c r="N104" s="16" t="n">
        <v>1</v>
      </c>
      <c r="O104" s="16" t="n">
        <v>967</v>
      </c>
      <c r="P104" s="16" t="n">
        <v>0</v>
      </c>
      <c r="Q104" t="n">
        <v>1263224</v>
      </c>
      <c r="R104" t="n">
        <v>1248323</v>
      </c>
      <c r="S104" t="n">
        <v>1203684</v>
      </c>
      <c r="T104" t="n">
        <v>51462</v>
      </c>
      <c r="U104" t="n">
        <v>893</v>
      </c>
      <c r="V104" t="n">
        <v>1.179600767559831</v>
      </c>
      <c r="W104" t="n">
        <v>0</v>
      </c>
      <c r="X104" s="16">
        <f>IFERROR(K104/E104*100,"")</f>
        <v/>
      </c>
      <c r="Y104" s="16">
        <f>IFERROR((N104+O104)/E104*100,"")</f>
        <v/>
      </c>
      <c r="Z104" s="16">
        <f>IFERROR(R104/F104*100,"")</f>
        <v/>
      </c>
      <c r="AA104" s="16">
        <f>IFERROR(R104/E104*100,"")</f>
        <v/>
      </c>
      <c r="AB104" s="16">
        <f>IFERROR(S104/Q104*100,"")</f>
        <v/>
      </c>
      <c r="AC104" s="16">
        <f>IFERROR(T104/Q104*100,"")</f>
        <v/>
      </c>
      <c r="AD104" s="16">
        <f>IFERROR(U104/Q104*100,"")</f>
        <v/>
      </c>
      <c r="AE104" s="18" t="n"/>
      <c r="AF104" s="18" t="n"/>
      <c r="AG104" s="18" t="n"/>
      <c r="AH104">
        <f>P104&gt;0</f>
        <v/>
      </c>
    </row>
    <row r="105">
      <c r="A105" s="14" t="n">
        <v>44834</v>
      </c>
      <c r="B105" t="n">
        <v>13063</v>
      </c>
      <c r="C105" t="inlineStr">
        <is>
          <t>KENNEBUNK SAVINGS BANK</t>
        </is>
      </c>
      <c r="D105" t="inlineStr">
        <is>
          <t>ME</t>
        </is>
      </c>
      <c r="E105" t="n">
        <v>1877331</v>
      </c>
      <c r="F105" t="n">
        <v>1697083</v>
      </c>
      <c r="G105" t="n">
        <v>131833</v>
      </c>
      <c r="H105" s="16" t="n">
        <v>0.7857234966814395</v>
      </c>
      <c r="I105" s="16" t="n">
        <v>9.81</v>
      </c>
      <c r="J105" s="16" t="n">
        <v>3.433547847850197</v>
      </c>
      <c r="K105" s="16" t="n">
        <v>354</v>
      </c>
      <c r="L105" s="16" t="n">
        <v>-161</v>
      </c>
      <c r="M105" s="16" t="n">
        <v>0.1020002220412996</v>
      </c>
      <c r="N105" s="16" t="n">
        <v>61</v>
      </c>
      <c r="O105" s="16" t="n">
        <v>969</v>
      </c>
      <c r="P105" s="16" t="n">
        <v>0</v>
      </c>
      <c r="Q105" t="n">
        <v>1297056</v>
      </c>
      <c r="R105" t="n">
        <v>1283499</v>
      </c>
      <c r="S105" t="n">
        <v>1247709</v>
      </c>
      <c r="T105" t="n">
        <v>41370</v>
      </c>
      <c r="U105" t="n">
        <v>860</v>
      </c>
      <c r="V105" t="n">
        <v>1.045213159647694</v>
      </c>
      <c r="W105" t="n">
        <v>-0.11</v>
      </c>
      <c r="X105" s="16">
        <f>IFERROR(K105/E105*100,"")</f>
        <v/>
      </c>
      <c r="Y105" s="16">
        <f>IFERROR((N105+O105)/E105*100,"")</f>
        <v/>
      </c>
      <c r="Z105" s="16">
        <f>IFERROR(R105/F105*100,"")</f>
        <v/>
      </c>
      <c r="AA105" s="16">
        <f>IFERROR(R105/E105*100,"")</f>
        <v/>
      </c>
      <c r="AB105" s="16">
        <f>IFERROR(S105/Q105*100,"")</f>
        <v/>
      </c>
      <c r="AC105" s="16">
        <f>IFERROR(T105/Q105*100,"")</f>
        <v/>
      </c>
      <c r="AD105" s="16">
        <f>IFERROR(U105/Q105*100,"")</f>
        <v/>
      </c>
      <c r="AE105" s="18" t="n"/>
      <c r="AF105" s="18" t="n"/>
      <c r="AG105" s="18" t="n"/>
      <c r="AH105">
        <f>P105&gt;0</f>
        <v/>
      </c>
    </row>
    <row r="106">
      <c r="A106" s="14" t="n">
        <v>44926</v>
      </c>
      <c r="B106" t="n">
        <v>13063</v>
      </c>
      <c r="C106" t="inlineStr">
        <is>
          <t>KENNEBUNK SAVINGS BANK</t>
        </is>
      </c>
      <c r="D106" t="inlineStr">
        <is>
          <t>ME</t>
        </is>
      </c>
      <c r="E106" t="n">
        <v>1843469</v>
      </c>
      <c r="F106" t="n">
        <v>1640586</v>
      </c>
      <c r="G106" t="n">
        <v>136120</v>
      </c>
      <c r="H106" s="16" t="n">
        <v>0.7448548431395298</v>
      </c>
      <c r="I106" s="16" t="n">
        <v>9.449999999999999</v>
      </c>
      <c r="J106" s="16" t="n">
        <v>3.530482220138709</v>
      </c>
      <c r="K106" s="16" t="n">
        <v>528</v>
      </c>
      <c r="L106" s="16" t="n">
        <v>-159</v>
      </c>
      <c r="M106" s="16" t="n">
        <v>0.0953869836449507</v>
      </c>
      <c r="N106" s="16" t="n">
        <v>261</v>
      </c>
      <c r="O106" s="16" t="n">
        <v>746</v>
      </c>
      <c r="P106" s="16" t="n">
        <v>0</v>
      </c>
      <c r="Q106" t="n">
        <v>1335612</v>
      </c>
      <c r="R106" t="n">
        <v>1322057</v>
      </c>
      <c r="S106" t="n">
        <v>1281066</v>
      </c>
      <c r="T106" t="n">
        <v>46233</v>
      </c>
      <c r="U106" t="n">
        <v>839</v>
      </c>
      <c r="V106" t="n">
        <v>1.014890552046552</v>
      </c>
      <c r="W106" t="n">
        <v>-0.08</v>
      </c>
      <c r="X106" s="16">
        <f>IFERROR(K106/E106*100,"")</f>
        <v/>
      </c>
      <c r="Y106" s="16">
        <f>IFERROR((N106+O106)/E106*100,"")</f>
        <v/>
      </c>
      <c r="Z106" s="16">
        <f>IFERROR(R106/F106*100,"")</f>
        <v/>
      </c>
      <c r="AA106" s="16">
        <f>IFERROR(R106/E106*100,"")</f>
        <v/>
      </c>
      <c r="AB106" s="16">
        <f>IFERROR(S106/Q106*100,"")</f>
        <v/>
      </c>
      <c r="AC106" s="16">
        <f>IFERROR(T106/Q106*100,"")</f>
        <v/>
      </c>
      <c r="AD106" s="16">
        <f>IFERROR(U106/Q106*100,"")</f>
        <v/>
      </c>
      <c r="AE106" s="18" t="n"/>
      <c r="AF106" s="18" t="n"/>
      <c r="AG106" s="18" t="n"/>
      <c r="AH106">
        <f>P106&gt;0</f>
        <v/>
      </c>
    </row>
    <row r="107">
      <c r="A107" s="14" t="n">
        <v>45016</v>
      </c>
      <c r="B107" t="n">
        <v>13063</v>
      </c>
      <c r="C107" t="inlineStr">
        <is>
          <t>KENNEBUNK SAVINGS BANK</t>
        </is>
      </c>
      <c r="D107" t="inlineStr">
        <is>
          <t>ME</t>
        </is>
      </c>
      <c r="E107" t="n">
        <v>1853851</v>
      </c>
      <c r="F107" t="n">
        <v>1620191</v>
      </c>
      <c r="G107" t="n">
        <v>141179</v>
      </c>
      <c r="H107" s="16" t="n">
        <v>0.432313134919347</v>
      </c>
      <c r="I107" s="16" t="n">
        <v>5.76</v>
      </c>
      <c r="J107" s="16" t="n">
        <v>3.324595748252629</v>
      </c>
      <c r="K107" s="16" t="n">
        <v>519</v>
      </c>
      <c r="L107" s="16" t="n">
        <v>55</v>
      </c>
      <c r="M107" s="16" t="n">
        <v>0.1023102094857733</v>
      </c>
      <c r="N107" s="16" t="n">
        <v>1178</v>
      </c>
      <c r="O107" s="16" t="n">
        <v>892</v>
      </c>
      <c r="P107" s="16" t="n">
        <v>0</v>
      </c>
      <c r="Q107" t="n">
        <v>1379139</v>
      </c>
      <c r="R107" t="n">
        <v>1363651</v>
      </c>
      <c r="S107" t="n">
        <v>1316711</v>
      </c>
      <c r="T107" t="n">
        <v>53456</v>
      </c>
      <c r="U107" t="n">
        <v>932</v>
      </c>
      <c r="V107" t="n">
        <v>1.123019507098269</v>
      </c>
      <c r="W107" t="n">
        <v>0.14</v>
      </c>
      <c r="X107" s="16">
        <f>IFERROR(K107/E107*100,"")</f>
        <v/>
      </c>
      <c r="Y107" s="16">
        <f>IFERROR((N107+O107)/E107*100,"")</f>
        <v/>
      </c>
      <c r="Z107" s="16">
        <f>IFERROR(R107/F107*100,"")</f>
        <v/>
      </c>
      <c r="AA107" s="16">
        <f>IFERROR(R107/E107*100,"")</f>
        <v/>
      </c>
      <c r="AB107" s="16">
        <f>IFERROR(S107/Q107*100,"")</f>
        <v/>
      </c>
      <c r="AC107" s="16">
        <f>IFERROR(T107/Q107*100,"")</f>
        <v/>
      </c>
      <c r="AD107" s="16">
        <f>IFERROR(U107/Q107*100,"")</f>
        <v/>
      </c>
      <c r="AE107" s="18">
        <f>IFERROR(E107/E103-1,"")</f>
        <v/>
      </c>
      <c r="AF107" s="18">
        <f>IFERROR(R107/R103-1,"")</f>
        <v/>
      </c>
      <c r="AG107" s="18">
        <f>IFERROR(F107/F103-1,"")</f>
        <v/>
      </c>
      <c r="AH107">
        <f>P107&gt;0</f>
        <v/>
      </c>
    </row>
    <row r="108">
      <c r="A108" s="14" t="n">
        <v>45107</v>
      </c>
      <c r="B108" t="n">
        <v>13063</v>
      </c>
      <c r="C108" t="inlineStr">
        <is>
          <t>KENNEBUNK SAVINGS BANK</t>
        </is>
      </c>
      <c r="D108" t="inlineStr">
        <is>
          <t>ME</t>
        </is>
      </c>
      <c r="E108" t="n">
        <v>1812064</v>
      </c>
      <c r="F108" t="n">
        <v>1600851</v>
      </c>
      <c r="G108" t="n">
        <v>137010</v>
      </c>
      <c r="H108" s="16" t="n">
        <v>0.1064002799587031</v>
      </c>
      <c r="I108" s="16" t="n">
        <v>1.41</v>
      </c>
      <c r="J108" s="16" t="n">
        <v>3.221178935607717</v>
      </c>
      <c r="K108" s="16" t="n">
        <v>501</v>
      </c>
      <c r="L108" s="16" t="n">
        <v>53</v>
      </c>
      <c r="M108" s="16" t="n">
        <v>0.0875183774150595</v>
      </c>
      <c r="N108" s="16" t="n">
        <v>0</v>
      </c>
      <c r="O108" s="16" t="n">
        <v>711</v>
      </c>
      <c r="P108" s="16" t="n">
        <v>0</v>
      </c>
      <c r="Q108" t="n">
        <v>1384852</v>
      </c>
      <c r="R108" t="n">
        <v>1368738</v>
      </c>
      <c r="S108" t="n">
        <v>1322359</v>
      </c>
      <c r="T108" t="n">
        <v>53620</v>
      </c>
      <c r="U108" t="n">
        <v>851</v>
      </c>
      <c r="V108" t="n">
        <v>1.1635900442791</v>
      </c>
      <c r="W108" t="n">
        <v>0.14</v>
      </c>
      <c r="X108" s="16">
        <f>IFERROR(K108/E108*100,"")</f>
        <v/>
      </c>
      <c r="Y108" s="16">
        <f>IFERROR((N108+O108)/E108*100,"")</f>
        <v/>
      </c>
      <c r="Z108" s="16">
        <f>IFERROR(R108/F108*100,"")</f>
        <v/>
      </c>
      <c r="AA108" s="16">
        <f>IFERROR(R108/E108*100,"")</f>
        <v/>
      </c>
      <c r="AB108" s="16">
        <f>IFERROR(S108/Q108*100,"")</f>
        <v/>
      </c>
      <c r="AC108" s="16">
        <f>IFERROR(T108/Q108*100,"")</f>
        <v/>
      </c>
      <c r="AD108" s="16">
        <f>IFERROR(U108/Q108*100,"")</f>
        <v/>
      </c>
      <c r="AE108" s="18">
        <f>IFERROR(E108/E104-1,"")</f>
        <v/>
      </c>
      <c r="AF108" s="18">
        <f>IFERROR(R108/R104-1,"")</f>
        <v/>
      </c>
      <c r="AG108" s="18">
        <f>IFERROR(F108/F104-1,"")</f>
        <v/>
      </c>
      <c r="AH108">
        <f>P108&gt;0</f>
        <v/>
      </c>
    </row>
    <row r="109">
      <c r="A109" s="14" t="n">
        <v>45199</v>
      </c>
      <c r="B109" t="n">
        <v>13063</v>
      </c>
      <c r="C109" t="inlineStr">
        <is>
          <t>KENNEBUNK SAVINGS BANK</t>
        </is>
      </c>
      <c r="D109" t="inlineStr">
        <is>
          <t>ME</t>
        </is>
      </c>
      <c r="E109" t="n">
        <v>1813189</v>
      </c>
      <c r="F109" t="n">
        <v>1662459</v>
      </c>
      <c r="G109" t="n">
        <v>130802</v>
      </c>
      <c r="H109" s="16" t="n">
        <v>0.2050958208269142</v>
      </c>
      <c r="I109" s="16" t="n">
        <v>2.76</v>
      </c>
      <c r="J109" s="16" t="n">
        <v>3.198536301268447</v>
      </c>
      <c r="K109" s="16" t="n">
        <v>592</v>
      </c>
      <c r="L109" s="16" t="n">
        <v>66</v>
      </c>
      <c r="M109" s="16" t="n">
        <v>0.09180133111930119</v>
      </c>
      <c r="N109" s="16" t="n">
        <v>398</v>
      </c>
      <c r="O109" s="16" t="n">
        <v>700</v>
      </c>
      <c r="P109" s="16" t="n">
        <v>0</v>
      </c>
      <c r="Q109" t="n">
        <v>1407387</v>
      </c>
      <c r="R109" t="n">
        <v>1390661</v>
      </c>
      <c r="S109" t="n">
        <v>1342676</v>
      </c>
      <c r="T109" t="n">
        <v>54104</v>
      </c>
      <c r="U109" t="n">
        <v>893</v>
      </c>
      <c r="V109" t="n">
        <v>1.188443548220923</v>
      </c>
      <c r="W109" t="n">
        <v>0.14</v>
      </c>
      <c r="X109" s="16">
        <f>IFERROR(K109/E109*100,"")</f>
        <v/>
      </c>
      <c r="Y109" s="16">
        <f>IFERROR((N109+O109)/E109*100,"")</f>
        <v/>
      </c>
      <c r="Z109" s="16">
        <f>IFERROR(R109/F109*100,"")</f>
        <v/>
      </c>
      <c r="AA109" s="16">
        <f>IFERROR(R109/E109*100,"")</f>
        <v/>
      </c>
      <c r="AB109" s="16">
        <f>IFERROR(S109/Q109*100,"")</f>
        <v/>
      </c>
      <c r="AC109" s="16">
        <f>IFERROR(T109/Q109*100,"")</f>
        <v/>
      </c>
      <c r="AD109" s="16">
        <f>IFERROR(U109/Q109*100,"")</f>
        <v/>
      </c>
      <c r="AE109" s="18">
        <f>IFERROR(E109/E105-1,"")</f>
        <v/>
      </c>
      <c r="AF109" s="18">
        <f>IFERROR(R109/R105-1,"")</f>
        <v/>
      </c>
      <c r="AG109" s="18">
        <f>IFERROR(F109/F105-1,"")</f>
        <v/>
      </c>
      <c r="AH109">
        <f>P109&gt;0</f>
        <v/>
      </c>
    </row>
    <row r="110">
      <c r="A110" s="14" t="n">
        <v>45291</v>
      </c>
      <c r="B110" t="n">
        <v>13063</v>
      </c>
      <c r="C110" t="inlineStr">
        <is>
          <t>KENNEBUNK SAVINGS BANK</t>
        </is>
      </c>
      <c r="D110" t="inlineStr">
        <is>
          <t>ME</t>
        </is>
      </c>
      <c r="E110" t="n">
        <v>1825832</v>
      </c>
      <c r="F110" t="n">
        <v>1598543</v>
      </c>
      <c r="G110" t="n">
        <v>144898</v>
      </c>
      <c r="H110" s="16" t="n">
        <v>0.2197650847333496</v>
      </c>
      <c r="I110" s="16" t="n">
        <v>2.91</v>
      </c>
      <c r="J110" s="16" t="n">
        <v>3.170839193635056</v>
      </c>
      <c r="K110" s="16" t="n">
        <v>809</v>
      </c>
      <c r="L110" s="16" t="n">
        <v>51</v>
      </c>
      <c r="M110" s="16" t="n">
        <v>0.0752825383947988</v>
      </c>
      <c r="N110" s="16" t="n">
        <v>1108</v>
      </c>
      <c r="O110" s="16" t="n">
        <v>260</v>
      </c>
      <c r="P110" s="16" t="n">
        <v>0</v>
      </c>
      <c r="Q110" t="n">
        <v>1419984</v>
      </c>
      <c r="R110" t="n">
        <v>1403034</v>
      </c>
      <c r="S110" t="n">
        <v>1355009</v>
      </c>
      <c r="T110" t="n">
        <v>54417</v>
      </c>
      <c r="U110" t="n">
        <v>842</v>
      </c>
      <c r="V110" t="n">
        <v>1.193675421694892</v>
      </c>
      <c r="W110" t="n">
        <v>0.11</v>
      </c>
      <c r="X110" s="16">
        <f>IFERROR(K110/E110*100,"")</f>
        <v/>
      </c>
      <c r="Y110" s="16">
        <f>IFERROR((N110+O110)/E110*100,"")</f>
        <v/>
      </c>
      <c r="Z110" s="16">
        <f>IFERROR(R110/F110*100,"")</f>
        <v/>
      </c>
      <c r="AA110" s="16">
        <f>IFERROR(R110/E110*100,"")</f>
        <v/>
      </c>
      <c r="AB110" s="16">
        <f>IFERROR(S110/Q110*100,"")</f>
        <v/>
      </c>
      <c r="AC110" s="16">
        <f>IFERROR(T110/Q110*100,"")</f>
        <v/>
      </c>
      <c r="AD110" s="16">
        <f>IFERROR(U110/Q110*100,"")</f>
        <v/>
      </c>
      <c r="AE110" s="18">
        <f>IFERROR(E110/E106-1,"")</f>
        <v/>
      </c>
      <c r="AF110" s="18">
        <f>IFERROR(R110/R106-1,"")</f>
        <v/>
      </c>
      <c r="AG110" s="18">
        <f>IFERROR(F110/F106-1,"")</f>
        <v/>
      </c>
      <c r="AH110">
        <f>P110&gt;0</f>
        <v/>
      </c>
    </row>
    <row r="111">
      <c r="A111" s="14" t="n">
        <v>45382</v>
      </c>
      <c r="B111" t="n">
        <v>13063</v>
      </c>
      <c r="C111" t="inlineStr">
        <is>
          <t>KENNEBUNK SAVINGS BANK</t>
        </is>
      </c>
      <c r="D111" t="inlineStr">
        <is>
          <t>ME</t>
        </is>
      </c>
      <c r="E111" t="n">
        <v>1806517</v>
      </c>
      <c r="F111" t="n">
        <v>1572488</v>
      </c>
      <c r="G111" t="n">
        <v>144426</v>
      </c>
      <c r="H111" s="16" t="n">
        <v>0.2801492918219037</v>
      </c>
      <c r="I111" s="16" t="n">
        <v>3.52</v>
      </c>
      <c r="J111" s="16" t="n">
        <v>2.962403451362217</v>
      </c>
      <c r="K111" s="16" t="n">
        <v>510</v>
      </c>
      <c r="L111" s="16" t="n">
        <v>-4</v>
      </c>
      <c r="M111" s="16" t="n">
        <v>0.0356687256613401</v>
      </c>
      <c r="N111" s="16" t="n">
        <v>3365</v>
      </c>
      <c r="O111" s="16" t="n">
        <v>0</v>
      </c>
      <c r="P111" s="16" t="n">
        <v>0</v>
      </c>
      <c r="Q111" t="n">
        <v>1429824</v>
      </c>
      <c r="R111" t="n">
        <v>1412620</v>
      </c>
      <c r="S111" t="n">
        <v>1360729</v>
      </c>
      <c r="T111" t="n">
        <v>57837</v>
      </c>
      <c r="U111" t="n">
        <v>758</v>
      </c>
      <c r="V111" t="n">
        <v>1.203225012309207</v>
      </c>
      <c r="W111" t="n">
        <v>0.06</v>
      </c>
      <c r="X111" s="16">
        <f>IFERROR(K111/E111*100,"")</f>
        <v/>
      </c>
      <c r="Y111" s="16">
        <f>IFERROR((N111+O111)/E111*100,"")</f>
        <v/>
      </c>
      <c r="Z111" s="16">
        <f>IFERROR(R111/F111*100,"")</f>
        <v/>
      </c>
      <c r="AA111" s="16">
        <f>IFERROR(R111/E111*100,"")</f>
        <v/>
      </c>
      <c r="AB111" s="16">
        <f>IFERROR(S111/Q111*100,"")</f>
        <v/>
      </c>
      <c r="AC111" s="16">
        <f>IFERROR(T111/Q111*100,"")</f>
        <v/>
      </c>
      <c r="AD111" s="16">
        <f>IFERROR(U111/Q111*100,"")</f>
        <v/>
      </c>
      <c r="AE111" s="18">
        <f>IFERROR(E111/E107-1,"")</f>
        <v/>
      </c>
      <c r="AF111" s="18">
        <f>IFERROR(R111/R107-1,"")</f>
        <v/>
      </c>
      <c r="AG111" s="18">
        <f>IFERROR(F111/F107-1,"")</f>
        <v/>
      </c>
      <c r="AH111">
        <f>P111&gt;0</f>
        <v/>
      </c>
    </row>
    <row r="112">
      <c r="A112" s="14" t="n">
        <v>45473</v>
      </c>
      <c r="B112" t="n">
        <v>13063</v>
      </c>
      <c r="C112" t="inlineStr">
        <is>
          <t>KENNEBUNK SAVINGS BANK</t>
        </is>
      </c>
      <c r="D112" t="inlineStr">
        <is>
          <t>ME</t>
        </is>
      </c>
      <c r="E112" t="n">
        <v>1848882</v>
      </c>
      <c r="F112" t="n">
        <v>1607298</v>
      </c>
      <c r="G112" t="n">
        <v>147977</v>
      </c>
      <c r="H112" s="16" t="n">
        <v>0.3670343395489079</v>
      </c>
      <c r="I112" s="16" t="n">
        <v>4.6</v>
      </c>
      <c r="J112" s="16" t="n">
        <v>2.96664932851109</v>
      </c>
      <c r="K112" s="16" t="n">
        <v>701</v>
      </c>
      <c r="L112" s="16" t="n">
        <v>-17</v>
      </c>
      <c r="M112" s="16" t="n">
        <v>0.0476681048698307</v>
      </c>
      <c r="N112" s="16" t="n">
        <v>5182</v>
      </c>
      <c r="O112" s="16" t="n">
        <v>0</v>
      </c>
      <c r="P112" s="16" t="n">
        <v>0</v>
      </c>
      <c r="Q112" t="n">
        <v>1470585</v>
      </c>
      <c r="R112" t="n">
        <v>1454079</v>
      </c>
      <c r="S112" t="n">
        <v>1404637</v>
      </c>
      <c r="T112" t="n">
        <v>55491</v>
      </c>
      <c r="U112" t="n">
        <v>738</v>
      </c>
      <c r="V112" t="n">
        <v>1.122410469303032</v>
      </c>
      <c r="W112" t="n">
        <v>0</v>
      </c>
      <c r="X112" s="16">
        <f>IFERROR(K112/E112*100,"")</f>
        <v/>
      </c>
      <c r="Y112" s="16">
        <f>IFERROR((N112+O112)/E112*100,"")</f>
        <v/>
      </c>
      <c r="Z112" s="16">
        <f>IFERROR(R112/F112*100,"")</f>
        <v/>
      </c>
      <c r="AA112" s="16">
        <f>IFERROR(R112/E112*100,"")</f>
        <v/>
      </c>
      <c r="AB112" s="16">
        <f>IFERROR(S112/Q112*100,"")</f>
        <v/>
      </c>
      <c r="AC112" s="16">
        <f>IFERROR(T112/Q112*100,"")</f>
        <v/>
      </c>
      <c r="AD112" s="16">
        <f>IFERROR(U112/Q112*100,"")</f>
        <v/>
      </c>
      <c r="AE112" s="18">
        <f>IFERROR(E112/E108-1,"")</f>
        <v/>
      </c>
      <c r="AF112" s="18">
        <f>IFERROR(R112/R108-1,"")</f>
        <v/>
      </c>
      <c r="AG112" s="18">
        <f>IFERROR(F112/F108-1,"")</f>
        <v/>
      </c>
      <c r="AH112">
        <f>P112&gt;0</f>
        <v/>
      </c>
    </row>
    <row r="113">
      <c r="A113" s="14" t="n">
        <v>45565</v>
      </c>
      <c r="B113" t="n">
        <v>13063</v>
      </c>
      <c r="C113" t="inlineStr">
        <is>
          <t>KENNEBUNK SAVINGS BANK</t>
        </is>
      </c>
      <c r="D113" t="inlineStr">
        <is>
          <t>ME</t>
        </is>
      </c>
      <c r="E113" t="n">
        <v>1856523</v>
      </c>
      <c r="F113" t="n">
        <v>1649721</v>
      </c>
      <c r="G113" t="n">
        <v>158562</v>
      </c>
      <c r="H113" s="16" t="n">
        <v>0.459638695982449</v>
      </c>
      <c r="I113" s="16" t="n">
        <v>5.66</v>
      </c>
      <c r="J113" s="16" t="n">
        <v>3.093129413854617</v>
      </c>
      <c r="K113" s="16" t="n">
        <v>503</v>
      </c>
      <c r="L113" s="16" t="n">
        <v>-33</v>
      </c>
      <c r="M113" s="16" t="n">
        <v>0.0340561404981675</v>
      </c>
      <c r="N113" s="16" t="n">
        <v>5182</v>
      </c>
      <c r="O113" s="16" t="n">
        <v>0</v>
      </c>
      <c r="P113" s="16" t="n">
        <v>0</v>
      </c>
      <c r="Q113" t="n">
        <v>1476973</v>
      </c>
      <c r="R113" t="n">
        <v>1460452</v>
      </c>
      <c r="S113" t="n">
        <v>1407554</v>
      </c>
      <c r="T113" t="n">
        <v>54955</v>
      </c>
      <c r="U113" t="n">
        <v>756</v>
      </c>
      <c r="V113" t="n">
        <v>1.118571564950747</v>
      </c>
      <c r="W113" t="n">
        <v>0</v>
      </c>
      <c r="X113" s="16">
        <f>IFERROR(K113/E113*100,"")</f>
        <v/>
      </c>
      <c r="Y113" s="16">
        <f>IFERROR((N113+O113)/E113*100,"")</f>
        <v/>
      </c>
      <c r="Z113" s="16">
        <f>IFERROR(R113/F113*100,"")</f>
        <v/>
      </c>
      <c r="AA113" s="16">
        <f>IFERROR(R113/E113*100,"")</f>
        <v/>
      </c>
      <c r="AB113" s="16">
        <f>IFERROR(S113/Q113*100,"")</f>
        <v/>
      </c>
      <c r="AC113" s="16">
        <f>IFERROR(T113/Q113*100,"")</f>
        <v/>
      </c>
      <c r="AD113" s="16">
        <f>IFERROR(U113/Q113*100,"")</f>
        <v/>
      </c>
      <c r="AE113" s="18">
        <f>IFERROR(E113/E109-1,"")</f>
        <v/>
      </c>
      <c r="AF113" s="18">
        <f>IFERROR(R113/R109-1,"")</f>
        <v/>
      </c>
      <c r="AG113" s="18">
        <f>IFERROR(F113/F109-1,"")</f>
        <v/>
      </c>
      <c r="AH113">
        <f>P113&gt;0</f>
        <v/>
      </c>
    </row>
    <row r="114">
      <c r="A114" s="14" t="n">
        <v>45657</v>
      </c>
      <c r="B114" t="n">
        <v>13063</v>
      </c>
      <c r="C114" t="inlineStr">
        <is>
          <t>KENNEBUNK SAVINGS BANK</t>
        </is>
      </c>
      <c r="D114" t="inlineStr">
        <is>
          <t>ME</t>
        </is>
      </c>
      <c r="E114" t="n">
        <v>1867411</v>
      </c>
      <c r="F114" t="n">
        <v>1626222</v>
      </c>
      <c r="G114" t="n">
        <v>153090</v>
      </c>
      <c r="H114" s="16" t="n">
        <v>0.5200341330111953</v>
      </c>
      <c r="I114" s="16" t="n">
        <v>6.39</v>
      </c>
      <c r="J114" s="16" t="n">
        <v>3.197130726526255</v>
      </c>
      <c r="K114" s="16" t="n">
        <v>471</v>
      </c>
      <c r="L114" s="16" t="n">
        <v>-27</v>
      </c>
      <c r="M114" s="16" t="n">
        <v>0.0313369083578395</v>
      </c>
      <c r="N114" s="16" t="n">
        <v>4656</v>
      </c>
      <c r="O114" s="16" t="n">
        <v>0</v>
      </c>
      <c r="P114" s="16" t="n">
        <v>0</v>
      </c>
      <c r="Q114" t="n">
        <v>1503020</v>
      </c>
      <c r="R114" t="n">
        <v>1486454</v>
      </c>
      <c r="S114" t="n">
        <v>1427918</v>
      </c>
      <c r="T114" t="n">
        <v>60157</v>
      </c>
      <c r="U114" t="n">
        <v>794</v>
      </c>
      <c r="V114" t="n">
        <v>1.102180942369363</v>
      </c>
      <c r="W114" t="n">
        <v>0</v>
      </c>
      <c r="X114" s="16">
        <f>IFERROR(K114/E114*100,"")</f>
        <v/>
      </c>
      <c r="Y114" s="16">
        <f>IFERROR((N114+O114)/E114*100,"")</f>
        <v/>
      </c>
      <c r="Z114" s="16">
        <f>IFERROR(R114/F114*100,"")</f>
        <v/>
      </c>
      <c r="AA114" s="16">
        <f>IFERROR(R114/E114*100,"")</f>
        <v/>
      </c>
      <c r="AB114" s="16">
        <f>IFERROR(S114/Q114*100,"")</f>
        <v/>
      </c>
      <c r="AC114" s="16">
        <f>IFERROR(T114/Q114*100,"")</f>
        <v/>
      </c>
      <c r="AD114" s="16">
        <f>IFERROR(U114/Q114*100,"")</f>
        <v/>
      </c>
      <c r="AE114" s="18">
        <f>IFERROR(E114/E110-1,"")</f>
        <v/>
      </c>
      <c r="AF114" s="18">
        <f>IFERROR(R114/R110-1,"")</f>
        <v/>
      </c>
      <c r="AG114" s="18">
        <f>IFERROR(F114/F110-1,"")</f>
        <v/>
      </c>
      <c r="AH114">
        <f>P114&gt;0</f>
        <v/>
      </c>
    </row>
    <row r="115">
      <c r="A115" s="14" t="n">
        <v>45747</v>
      </c>
      <c r="B115" t="n">
        <v>13063</v>
      </c>
      <c r="C115" t="inlineStr">
        <is>
          <t>KENNEBUNK SAVINGS BANK</t>
        </is>
      </c>
      <c r="D115" t="inlineStr">
        <is>
          <t>ME</t>
        </is>
      </c>
      <c r="E115" t="n">
        <v>1900245</v>
      </c>
      <c r="F115" t="n">
        <v>1610029</v>
      </c>
      <c r="G115" t="n">
        <v>160439</v>
      </c>
      <c r="H115" s="16" t="n">
        <v>0.5733007472019739</v>
      </c>
      <c r="I115" s="16" t="n">
        <v>6.89</v>
      </c>
      <c r="J115" s="16" t="n">
        <v>3.362321213920096</v>
      </c>
      <c r="K115" s="16" t="n">
        <v>1033</v>
      </c>
      <c r="L115" s="16" t="n">
        <v>46</v>
      </c>
      <c r="M115" s="16" t="n">
        <v>0.0675239749331133</v>
      </c>
      <c r="N115" s="16" t="n">
        <v>6776</v>
      </c>
      <c r="O115" s="16" t="n">
        <v>0</v>
      </c>
      <c r="P115" s="16" t="n">
        <v>0</v>
      </c>
      <c r="Q115" t="n">
        <v>1529827</v>
      </c>
      <c r="R115" t="n">
        <v>1513008</v>
      </c>
      <c r="S115" t="n">
        <v>1448578</v>
      </c>
      <c r="T115" t="n">
        <v>66985</v>
      </c>
      <c r="U115" t="n">
        <v>833</v>
      </c>
      <c r="V115" t="n">
        <v>1.099405357599258</v>
      </c>
      <c r="W115" t="n">
        <v>0.06</v>
      </c>
      <c r="X115" s="16">
        <f>IFERROR(K115/E115*100,"")</f>
        <v/>
      </c>
      <c r="Y115" s="16">
        <f>IFERROR((N115+O115)/E115*100,"")</f>
        <v/>
      </c>
      <c r="Z115" s="16">
        <f>IFERROR(R115/F115*100,"")</f>
        <v/>
      </c>
      <c r="AA115" s="16">
        <f>IFERROR(R115/E115*100,"")</f>
        <v/>
      </c>
      <c r="AB115" s="16">
        <f>IFERROR(S115/Q115*100,"")</f>
        <v/>
      </c>
      <c r="AC115" s="16">
        <f>IFERROR(T115/Q115*100,"")</f>
        <v/>
      </c>
      <c r="AD115" s="16">
        <f>IFERROR(U115/Q115*100,"")</f>
        <v/>
      </c>
      <c r="AE115" s="18">
        <f>IFERROR(E115/E111-1,"")</f>
        <v/>
      </c>
      <c r="AF115" s="18">
        <f>IFERROR(R115/R111-1,"")</f>
        <v/>
      </c>
      <c r="AG115" s="18">
        <f>IFERROR(F115/F111-1,"")</f>
        <v/>
      </c>
      <c r="AH115">
        <f>P115&gt;0</f>
        <v/>
      </c>
    </row>
    <row r="116">
      <c r="A116" s="14" t="n">
        <v>45838</v>
      </c>
      <c r="B116" t="n">
        <v>13063</v>
      </c>
      <c r="C116" t="inlineStr">
        <is>
          <t>KENNEBUNK SAVINGS BANK</t>
        </is>
      </c>
      <c r="D116" t="inlineStr">
        <is>
          <t>ME</t>
        </is>
      </c>
      <c r="E116" t="n">
        <v>1933479</v>
      </c>
      <c r="F116" t="n">
        <v>1642187</v>
      </c>
      <c r="G116" t="n">
        <v>165281</v>
      </c>
      <c r="H116" s="16" t="n">
        <v>0.6210342326571815</v>
      </c>
      <c r="I116" s="16" t="n">
        <v>7.39</v>
      </c>
      <c r="J116" s="16" t="n">
        <v>3.405676729605635</v>
      </c>
      <c r="K116" s="16" t="n">
        <v>2263</v>
      </c>
      <c r="L116" s="16" t="n">
        <v>45</v>
      </c>
      <c r="M116" s="16" t="n">
        <v>0.1568660648550752</v>
      </c>
      <c r="N116" s="16" t="n">
        <v>10952</v>
      </c>
      <c r="O116" s="16" t="n">
        <v>183</v>
      </c>
      <c r="P116" s="16" t="n">
        <v>0</v>
      </c>
      <c r="Q116" t="n">
        <v>1559292</v>
      </c>
      <c r="R116" t="n">
        <v>1542396</v>
      </c>
      <c r="S116" t="n">
        <v>1474935</v>
      </c>
      <c r="T116" t="n">
        <v>74647</v>
      </c>
      <c r="U116" t="n">
        <v>870</v>
      </c>
      <c r="V116" t="n">
        <v>1.083568696562286</v>
      </c>
      <c r="W116" t="n">
        <v>0.04</v>
      </c>
      <c r="X116" s="16">
        <f>IFERROR(K116/E116*100,"")</f>
        <v/>
      </c>
      <c r="Y116" s="16">
        <f>IFERROR((N116+O116)/E116*100,"")</f>
        <v/>
      </c>
      <c r="Z116" s="16">
        <f>IFERROR(R116/F116*100,"")</f>
        <v/>
      </c>
      <c r="AA116" s="16">
        <f>IFERROR(R116/E116*100,"")</f>
        <v/>
      </c>
      <c r="AB116" s="16">
        <f>IFERROR(S116/Q116*100,"")</f>
        <v/>
      </c>
      <c r="AC116" s="16">
        <f>IFERROR(T116/Q116*100,"")</f>
        <v/>
      </c>
      <c r="AD116" s="16">
        <f>IFERROR(U116/Q116*100,"")</f>
        <v/>
      </c>
      <c r="AE116" s="18">
        <f>IFERROR(E116/E112-1,"")</f>
        <v/>
      </c>
      <c r="AF116" s="18">
        <f>IFERROR(R116/R112-1,"")</f>
        <v/>
      </c>
      <c r="AG116" s="18">
        <f>IFERROR(F116/F112-1,"")</f>
        <v/>
      </c>
      <c r="AH116">
        <f>P116&gt;0</f>
        <v/>
      </c>
    </row>
    <row r="117">
      <c r="A117" s="14" t="n">
        <v>44651</v>
      </c>
      <c r="B117" t="n">
        <v>14134</v>
      </c>
      <c r="C117" t="inlineStr">
        <is>
          <t>PASSUMPSIC SAVINGS BANK</t>
        </is>
      </c>
      <c r="D117" t="inlineStr">
        <is>
          <t>VT</t>
        </is>
      </c>
      <c r="E117" t="n">
        <v>869402</v>
      </c>
      <c r="F117" t="n">
        <v>737795</v>
      </c>
      <c r="G117" t="n">
        <v>101808</v>
      </c>
      <c r="H117" s="16" t="n">
        <v>-0.3872933930353491</v>
      </c>
      <c r="I117" s="16" t="n">
        <v>-3.23</v>
      </c>
      <c r="J117" s="16" t="n">
        <v>2.742437977347796</v>
      </c>
      <c r="K117" s="16" t="n">
        <v>8014</v>
      </c>
      <c r="L117" s="16" t="n">
        <v>19</v>
      </c>
      <c r="M117" s="16" t="n">
        <v>1.343756078257778</v>
      </c>
      <c r="N117" s="16" t="n">
        <v>4990</v>
      </c>
      <c r="O117" s="16" t="n">
        <v>0</v>
      </c>
      <c r="P117" s="16" t="n">
        <v>17.57098307803522</v>
      </c>
      <c r="Q117" t="n">
        <v>596388</v>
      </c>
      <c r="R117" t="n">
        <v>588030</v>
      </c>
      <c r="S117" t="n">
        <v>516229</v>
      </c>
      <c r="T117" t="n">
        <v>27870</v>
      </c>
      <c r="U117" t="n">
        <v>26813</v>
      </c>
      <c r="V117" t="n">
        <v>1.401436648624721</v>
      </c>
      <c r="W117" t="n">
        <v>0.1</v>
      </c>
      <c r="X117" s="16">
        <f>IFERROR(K117/E117*100,"")</f>
        <v/>
      </c>
      <c r="Y117" s="16">
        <f>IFERROR((N117+O117)/E117*100,"")</f>
        <v/>
      </c>
      <c r="Z117" s="16">
        <f>IFERROR(R117/F117*100,"")</f>
        <v/>
      </c>
      <c r="AA117" s="16">
        <f>IFERROR(R117/E117*100,"")</f>
        <v/>
      </c>
      <c r="AB117" s="16">
        <f>IFERROR(S117/Q117*100,"")</f>
        <v/>
      </c>
      <c r="AC117" s="16">
        <f>IFERROR(T117/Q117*100,"")</f>
        <v/>
      </c>
      <c r="AD117" s="16">
        <f>IFERROR(U117/Q117*100,"")</f>
        <v/>
      </c>
      <c r="AE117" s="18" t="n"/>
      <c r="AF117" s="18" t="n"/>
      <c r="AG117" s="18" t="n"/>
      <c r="AH117">
        <f>P117&gt;0</f>
        <v/>
      </c>
    </row>
    <row r="118">
      <c r="A118" s="14" t="n">
        <v>44742</v>
      </c>
      <c r="B118" t="n">
        <v>14134</v>
      </c>
      <c r="C118" t="inlineStr">
        <is>
          <t>PASSUMPSIC SAVINGS BANK</t>
        </is>
      </c>
      <c r="D118" t="inlineStr">
        <is>
          <t>VT</t>
        </is>
      </c>
      <c r="E118" t="n">
        <v>842061</v>
      </c>
      <c r="F118" t="n">
        <v>714430</v>
      </c>
      <c r="G118" t="n">
        <v>95205</v>
      </c>
      <c r="H118" s="16" t="n">
        <v>-0.9086913725252632</v>
      </c>
      <c r="I118" s="16" t="n">
        <v>-7.73</v>
      </c>
      <c r="J118" s="16" t="n">
        <v>2.909487993389981</v>
      </c>
      <c r="K118" s="16" t="n">
        <v>8858</v>
      </c>
      <c r="L118" s="16" t="n">
        <v>295</v>
      </c>
      <c r="M118" s="16" t="n">
        <v>1.432211665944471</v>
      </c>
      <c r="N118" s="16" t="n">
        <v>3228</v>
      </c>
      <c r="O118" s="16" t="n">
        <v>0</v>
      </c>
      <c r="P118" s="16" t="n">
        <v>17.38506444807735</v>
      </c>
      <c r="Q118" t="n">
        <v>618484</v>
      </c>
      <c r="R118" t="n">
        <v>610177</v>
      </c>
      <c r="S118" t="n">
        <v>541392</v>
      </c>
      <c r="T118" t="n">
        <v>33956</v>
      </c>
      <c r="U118" t="n">
        <v>24559</v>
      </c>
      <c r="V118" t="n">
        <v>1.343122861707013</v>
      </c>
      <c r="W118" t="n">
        <v>0.1</v>
      </c>
      <c r="X118" s="16">
        <f>IFERROR(K118/E118*100,"")</f>
        <v/>
      </c>
      <c r="Y118" s="16">
        <f>IFERROR((N118+O118)/E118*100,"")</f>
        <v/>
      </c>
      <c r="Z118" s="16">
        <f>IFERROR(R118/F118*100,"")</f>
        <v/>
      </c>
      <c r="AA118" s="16">
        <f>IFERROR(R118/E118*100,"")</f>
        <v/>
      </c>
      <c r="AB118" s="16">
        <f>IFERROR(S118/Q118*100,"")</f>
        <v/>
      </c>
      <c r="AC118" s="16">
        <f>IFERROR(T118/Q118*100,"")</f>
        <v/>
      </c>
      <c r="AD118" s="16">
        <f>IFERROR(U118/Q118*100,"")</f>
        <v/>
      </c>
      <c r="AE118" s="18" t="n"/>
      <c r="AF118" s="18" t="n"/>
      <c r="AG118" s="18" t="n"/>
      <c r="AH118">
        <f>P118&gt;0</f>
        <v/>
      </c>
    </row>
    <row r="119">
      <c r="A119" s="14" t="n">
        <v>44834</v>
      </c>
      <c r="B119" t="n">
        <v>14134</v>
      </c>
      <c r="C119" t="inlineStr">
        <is>
          <t>PASSUMPSIC SAVINGS BANK</t>
        </is>
      </c>
      <c r="D119" t="inlineStr">
        <is>
          <t>VT</t>
        </is>
      </c>
      <c r="E119" t="n">
        <v>838498</v>
      </c>
      <c r="F119" t="n">
        <v>723891</v>
      </c>
      <c r="G119" t="n">
        <v>91539</v>
      </c>
      <c r="H119" s="16" t="n">
        <v>-0.5606632971219516</v>
      </c>
      <c r="I119" s="16" t="n">
        <v>-4.85</v>
      </c>
      <c r="J119" s="16" t="n">
        <v>3.06728844867761</v>
      </c>
      <c r="K119" s="16" t="n">
        <v>6193</v>
      </c>
      <c r="L119" s="16" t="n">
        <v>332</v>
      </c>
      <c r="M119" s="16" t="n">
        <v>0.9880644116525548</v>
      </c>
      <c r="N119" s="16" t="n">
        <v>11227</v>
      </c>
      <c r="O119" s="16" t="n">
        <v>0</v>
      </c>
      <c r="P119" s="16" t="n">
        <v>17.37601037373754</v>
      </c>
      <c r="Q119" t="n">
        <v>626781</v>
      </c>
      <c r="R119" t="n">
        <v>618286</v>
      </c>
      <c r="S119" t="n">
        <v>548807</v>
      </c>
      <c r="T119" t="n">
        <v>29795</v>
      </c>
      <c r="U119" t="n">
        <v>22934</v>
      </c>
      <c r="V119" t="n">
        <v>1.355337829321565</v>
      </c>
      <c r="W119" t="n">
        <v>0.1</v>
      </c>
      <c r="X119" s="16">
        <f>IFERROR(K119/E119*100,"")</f>
        <v/>
      </c>
      <c r="Y119" s="16">
        <f>IFERROR((N119+O119)/E119*100,"")</f>
        <v/>
      </c>
      <c r="Z119" s="16">
        <f>IFERROR(R119/F119*100,"")</f>
        <v/>
      </c>
      <c r="AA119" s="16">
        <f>IFERROR(R119/E119*100,"")</f>
        <v/>
      </c>
      <c r="AB119" s="16">
        <f>IFERROR(S119/Q119*100,"")</f>
        <v/>
      </c>
      <c r="AC119" s="16">
        <f>IFERROR(T119/Q119*100,"")</f>
        <v/>
      </c>
      <c r="AD119" s="16">
        <f>IFERROR(U119/Q119*100,"")</f>
        <v/>
      </c>
      <c r="AE119" s="18" t="n"/>
      <c r="AF119" s="18" t="n"/>
      <c r="AG119" s="18" t="n"/>
      <c r="AH119">
        <f>P119&gt;0</f>
        <v/>
      </c>
    </row>
    <row r="120">
      <c r="A120" s="14" t="n">
        <v>44926</v>
      </c>
      <c r="B120" t="n">
        <v>14134</v>
      </c>
      <c r="C120" t="inlineStr">
        <is>
          <t>PASSUMPSIC SAVINGS BANK</t>
        </is>
      </c>
      <c r="D120" t="inlineStr">
        <is>
          <t>VT</t>
        </is>
      </c>
      <c r="E120" t="n">
        <v>838127</v>
      </c>
      <c r="F120" t="n">
        <v>719419</v>
      </c>
      <c r="G120" t="n">
        <v>97584</v>
      </c>
      <c r="H120" s="16" t="n">
        <v>0.2217529187510425</v>
      </c>
      <c r="I120" s="16" t="n">
        <v>1.92</v>
      </c>
      <c r="J120" s="16" t="n">
        <v>3.12340753760266</v>
      </c>
      <c r="K120" s="16" t="n">
        <v>12984</v>
      </c>
      <c r="L120" s="16" t="n">
        <v>467</v>
      </c>
      <c r="M120" s="16" t="n">
        <v>2.100474645148557</v>
      </c>
      <c r="N120" s="16" t="n">
        <v>5416</v>
      </c>
      <c r="O120" s="16" t="n">
        <v>0</v>
      </c>
      <c r="P120" s="16" t="n">
        <v>18.05627783732917</v>
      </c>
      <c r="Q120" t="n">
        <v>618146</v>
      </c>
      <c r="R120" t="n">
        <v>611386</v>
      </c>
      <c r="S120" t="n">
        <v>543525</v>
      </c>
      <c r="T120" t="n">
        <v>28029</v>
      </c>
      <c r="U120" t="n">
        <v>22010</v>
      </c>
      <c r="V120" t="n">
        <v>1.093592775816716</v>
      </c>
      <c r="W120" t="n">
        <v>-0.11</v>
      </c>
      <c r="X120" s="16">
        <f>IFERROR(K120/E120*100,"")</f>
        <v/>
      </c>
      <c r="Y120" s="16">
        <f>IFERROR((N120+O120)/E120*100,"")</f>
        <v/>
      </c>
      <c r="Z120" s="16">
        <f>IFERROR(R120/F120*100,"")</f>
        <v/>
      </c>
      <c r="AA120" s="16">
        <f>IFERROR(R120/E120*100,"")</f>
        <v/>
      </c>
      <c r="AB120" s="16">
        <f>IFERROR(S120/Q120*100,"")</f>
        <v/>
      </c>
      <c r="AC120" s="16">
        <f>IFERROR(T120/Q120*100,"")</f>
        <v/>
      </c>
      <c r="AD120" s="16">
        <f>IFERROR(U120/Q120*100,"")</f>
        <v/>
      </c>
      <c r="AE120" s="18" t="n"/>
      <c r="AF120" s="18" t="n"/>
      <c r="AG120" s="18" t="n"/>
      <c r="AH120">
        <f>P120&gt;0</f>
        <v/>
      </c>
    </row>
    <row r="121">
      <c r="A121" s="14" t="n">
        <v>45016</v>
      </c>
      <c r="B121" t="n">
        <v>14134</v>
      </c>
      <c r="C121" t="inlineStr">
        <is>
          <t>PASSUMPSIC SAVINGS BANK</t>
        </is>
      </c>
      <c r="D121" t="inlineStr">
        <is>
          <t>VT</t>
        </is>
      </c>
      <c r="E121" t="n">
        <v>835568</v>
      </c>
      <c r="F121" t="n">
        <v>701903</v>
      </c>
      <c r="G121" t="n">
        <v>99761</v>
      </c>
      <c r="H121" s="16" t="n">
        <v>0.6945112460753005</v>
      </c>
      <c r="I121" s="16" t="n">
        <v>5.89</v>
      </c>
      <c r="J121" s="16" t="n">
        <v>3.395631381672483</v>
      </c>
      <c r="K121" s="16" t="n">
        <v>12896</v>
      </c>
      <c r="L121" s="16" t="n">
        <v>397</v>
      </c>
      <c r="M121" s="16" t="n">
        <v>2.037627213446823</v>
      </c>
      <c r="N121" s="16" t="n">
        <v>4692</v>
      </c>
      <c r="O121" s="16" t="n">
        <v>0</v>
      </c>
      <c r="P121" s="16" t="n">
        <v>17.74415618039755</v>
      </c>
      <c r="Q121" t="n">
        <v>632893</v>
      </c>
      <c r="R121" t="n">
        <v>625870</v>
      </c>
      <c r="S121" t="n">
        <v>551797</v>
      </c>
      <c r="T121" t="n">
        <v>27912</v>
      </c>
      <c r="U121" t="n">
        <v>29009</v>
      </c>
      <c r="V121" t="n">
        <v>1.109666246901135</v>
      </c>
      <c r="W121" t="n">
        <v>0.11</v>
      </c>
      <c r="X121" s="16">
        <f>IFERROR(K121/E121*100,"")</f>
        <v/>
      </c>
      <c r="Y121" s="16">
        <f>IFERROR((N121+O121)/E121*100,"")</f>
        <v/>
      </c>
      <c r="Z121" s="16">
        <f>IFERROR(R121/F121*100,"")</f>
        <v/>
      </c>
      <c r="AA121" s="16">
        <f>IFERROR(R121/E121*100,"")</f>
        <v/>
      </c>
      <c r="AB121" s="16">
        <f>IFERROR(S121/Q121*100,"")</f>
        <v/>
      </c>
      <c r="AC121" s="16">
        <f>IFERROR(T121/Q121*100,"")</f>
        <v/>
      </c>
      <c r="AD121" s="16">
        <f>IFERROR(U121/Q121*100,"")</f>
        <v/>
      </c>
      <c r="AE121" s="18">
        <f>IFERROR(E121/E117-1,"")</f>
        <v/>
      </c>
      <c r="AF121" s="18">
        <f>IFERROR(R121/R117-1,"")</f>
        <v/>
      </c>
      <c r="AG121" s="18">
        <f>IFERROR(F121/F117-1,"")</f>
        <v/>
      </c>
      <c r="AH121">
        <f>P121&gt;0</f>
        <v/>
      </c>
    </row>
    <row r="122">
      <c r="A122" s="14" t="n">
        <v>45107</v>
      </c>
      <c r="B122" t="n">
        <v>14134</v>
      </c>
      <c r="C122" t="inlineStr">
        <is>
          <t>PASSUMPSIC SAVINGS BANK</t>
        </is>
      </c>
      <c r="D122" t="inlineStr">
        <is>
          <t>VT</t>
        </is>
      </c>
      <c r="E122" t="n">
        <v>847137</v>
      </c>
      <c r="F122" t="n">
        <v>678698</v>
      </c>
      <c r="G122" t="n">
        <v>100453</v>
      </c>
      <c r="H122" s="16" t="n">
        <v>0.7016730984056058</v>
      </c>
      <c r="I122" s="16" t="n">
        <v>5.94</v>
      </c>
      <c r="J122" s="16" t="n">
        <v>3.293346337978831</v>
      </c>
      <c r="K122" s="16" t="n">
        <v>12099</v>
      </c>
      <c r="L122" s="16" t="n">
        <v>451</v>
      </c>
      <c r="M122" s="16" t="n">
        <v>1.872866729100717</v>
      </c>
      <c r="N122" s="16" t="n">
        <v>5509</v>
      </c>
      <c r="O122" s="16" t="n">
        <v>0</v>
      </c>
      <c r="P122" s="16" t="n">
        <v>18.08621452565138</v>
      </c>
      <c r="Q122" t="n">
        <v>646015</v>
      </c>
      <c r="R122" t="n">
        <v>638821</v>
      </c>
      <c r="S122" t="n">
        <v>571141</v>
      </c>
      <c r="T122" t="n">
        <v>28195</v>
      </c>
      <c r="U122" t="n">
        <v>29490</v>
      </c>
      <c r="V122" t="n">
        <v>1.113596433519346</v>
      </c>
      <c r="W122" t="n">
        <v>0.11</v>
      </c>
      <c r="X122" s="16">
        <f>IFERROR(K122/E122*100,"")</f>
        <v/>
      </c>
      <c r="Y122" s="16">
        <f>IFERROR((N122+O122)/E122*100,"")</f>
        <v/>
      </c>
      <c r="Z122" s="16">
        <f>IFERROR(R122/F122*100,"")</f>
        <v/>
      </c>
      <c r="AA122" s="16">
        <f>IFERROR(R122/E122*100,"")</f>
        <v/>
      </c>
      <c r="AB122" s="16">
        <f>IFERROR(S122/Q122*100,"")</f>
        <v/>
      </c>
      <c r="AC122" s="16">
        <f>IFERROR(T122/Q122*100,"")</f>
        <v/>
      </c>
      <c r="AD122" s="16">
        <f>IFERROR(U122/Q122*100,"")</f>
        <v/>
      </c>
      <c r="AE122" s="18">
        <f>IFERROR(E122/E118-1,"")</f>
        <v/>
      </c>
      <c r="AF122" s="18">
        <f>IFERROR(R122/R118-1,"")</f>
        <v/>
      </c>
      <c r="AG122" s="18">
        <f>IFERROR(F122/F118-1,"")</f>
        <v/>
      </c>
      <c r="AH122">
        <f>P122&gt;0</f>
        <v/>
      </c>
    </row>
    <row r="123">
      <c r="A123" s="14" t="n">
        <v>45199</v>
      </c>
      <c r="B123" t="n">
        <v>14134</v>
      </c>
      <c r="C123" t="inlineStr">
        <is>
          <t>PASSUMPSIC SAVINGS BANK</t>
        </is>
      </c>
      <c r="D123" t="inlineStr">
        <is>
          <t>VT</t>
        </is>
      </c>
      <c r="E123" t="n">
        <v>862974</v>
      </c>
      <c r="F123" t="n">
        <v>683848</v>
      </c>
      <c r="G123" t="n">
        <v>97790</v>
      </c>
      <c r="H123" s="16" t="n">
        <v>0.4666817542140418</v>
      </c>
      <c r="I123" s="16" t="n">
        <v>3.99</v>
      </c>
      <c r="J123" s="16" t="n">
        <v>3.230688280960639</v>
      </c>
      <c r="K123" s="16" t="n">
        <v>12208</v>
      </c>
      <c r="L123" s="16" t="n">
        <v>528</v>
      </c>
      <c r="M123" s="16" t="n">
        <v>1.851194754543828</v>
      </c>
      <c r="N123" s="16" t="n">
        <v>7041</v>
      </c>
      <c r="O123" s="16" t="n">
        <v>0</v>
      </c>
      <c r="P123" s="16" t="n">
        <v>19.40958039361308</v>
      </c>
      <c r="Q123" t="n">
        <v>659466</v>
      </c>
      <c r="R123" t="n">
        <v>652124</v>
      </c>
      <c r="S123" t="n">
        <v>579506</v>
      </c>
      <c r="T123" t="n">
        <v>26362</v>
      </c>
      <c r="U123" t="n">
        <v>28791</v>
      </c>
      <c r="V123" t="n">
        <v>1.113325023579684</v>
      </c>
      <c r="W123" t="n">
        <v>0.11</v>
      </c>
      <c r="X123" s="16">
        <f>IFERROR(K123/E123*100,"")</f>
        <v/>
      </c>
      <c r="Y123" s="16">
        <f>IFERROR((N123+O123)/E123*100,"")</f>
        <v/>
      </c>
      <c r="Z123" s="16">
        <f>IFERROR(R123/F123*100,"")</f>
        <v/>
      </c>
      <c r="AA123" s="16">
        <f>IFERROR(R123/E123*100,"")</f>
        <v/>
      </c>
      <c r="AB123" s="16">
        <f>IFERROR(S123/Q123*100,"")</f>
        <v/>
      </c>
      <c r="AC123" s="16">
        <f>IFERROR(T123/Q123*100,"")</f>
        <v/>
      </c>
      <c r="AD123" s="16">
        <f>IFERROR(U123/Q123*100,"")</f>
        <v/>
      </c>
      <c r="AE123" s="18">
        <f>IFERROR(E123/E119-1,"")</f>
        <v/>
      </c>
      <c r="AF123" s="18">
        <f>IFERROR(R123/R119-1,"")</f>
        <v/>
      </c>
      <c r="AG123" s="18">
        <f>IFERROR(F123/F119-1,"")</f>
        <v/>
      </c>
      <c r="AH123">
        <f>P123&gt;0</f>
        <v/>
      </c>
    </row>
    <row r="124">
      <c r="A124" s="14" t="n">
        <v>45291</v>
      </c>
      <c r="B124" t="n">
        <v>14134</v>
      </c>
      <c r="C124" t="inlineStr">
        <is>
          <t>PASSUMPSIC SAVINGS BANK</t>
        </is>
      </c>
      <c r="D124" t="inlineStr">
        <is>
          <t>VT</t>
        </is>
      </c>
      <c r="E124" t="n">
        <v>854743</v>
      </c>
      <c r="F124" t="n">
        <v>681633</v>
      </c>
      <c r="G124" t="n">
        <v>105791</v>
      </c>
      <c r="H124" s="16" t="n">
        <v>0.845572388097908</v>
      </c>
      <c r="I124" s="16" t="n">
        <v>7.15</v>
      </c>
      <c r="J124" s="16" t="n">
        <v>3.223930197202665</v>
      </c>
      <c r="K124" s="16" t="n">
        <v>10339</v>
      </c>
      <c r="L124" s="16" t="n">
        <v>595</v>
      </c>
      <c r="M124" s="16" t="n">
        <v>1.613154880967612</v>
      </c>
      <c r="N124" s="16" t="n">
        <v>3255</v>
      </c>
      <c r="O124" s="16" t="n">
        <v>0</v>
      </c>
      <c r="P124" s="16" t="n">
        <v>19.26845534294362</v>
      </c>
      <c r="Q124" t="n">
        <v>640918</v>
      </c>
      <c r="R124" t="n">
        <v>633643</v>
      </c>
      <c r="S124" t="n">
        <v>566020</v>
      </c>
      <c r="T124" t="n">
        <v>25773</v>
      </c>
      <c r="U124" t="n">
        <v>27211</v>
      </c>
      <c r="V124" t="n">
        <v>1.135090604414293</v>
      </c>
      <c r="W124" t="n">
        <v>0.08</v>
      </c>
      <c r="X124" s="16">
        <f>IFERROR(K124/E124*100,"")</f>
        <v/>
      </c>
      <c r="Y124" s="16">
        <f>IFERROR((N124+O124)/E124*100,"")</f>
        <v/>
      </c>
      <c r="Z124" s="16">
        <f>IFERROR(R124/F124*100,"")</f>
        <v/>
      </c>
      <c r="AA124" s="16">
        <f>IFERROR(R124/E124*100,"")</f>
        <v/>
      </c>
      <c r="AB124" s="16">
        <f>IFERROR(S124/Q124*100,"")</f>
        <v/>
      </c>
      <c r="AC124" s="16">
        <f>IFERROR(T124/Q124*100,"")</f>
        <v/>
      </c>
      <c r="AD124" s="16">
        <f>IFERROR(U124/Q124*100,"")</f>
        <v/>
      </c>
      <c r="AE124" s="18">
        <f>IFERROR(E124/E120-1,"")</f>
        <v/>
      </c>
      <c r="AF124" s="18">
        <f>IFERROR(R124/R120-1,"")</f>
        <v/>
      </c>
      <c r="AG124" s="18">
        <f>IFERROR(F124/F120-1,"")</f>
        <v/>
      </c>
      <c r="AH124">
        <f>P124&gt;0</f>
        <v/>
      </c>
    </row>
    <row r="125">
      <c r="A125" s="14" t="n">
        <v>45382</v>
      </c>
      <c r="B125" t="n">
        <v>14134</v>
      </c>
      <c r="C125" t="inlineStr">
        <is>
          <t>PASSUMPSIC SAVINGS BANK</t>
        </is>
      </c>
      <c r="D125" t="inlineStr">
        <is>
          <t>VT</t>
        </is>
      </c>
      <c r="E125" t="n">
        <v>842231</v>
      </c>
      <c r="F125" t="n">
        <v>674131</v>
      </c>
      <c r="G125" t="n">
        <v>108189</v>
      </c>
      <c r="H125" s="16" t="n">
        <v>1.527424698315944</v>
      </c>
      <c r="I125" s="16" t="n">
        <v>12.11</v>
      </c>
      <c r="J125" s="16" t="n">
        <v>3.066685508009712</v>
      </c>
      <c r="K125" s="16" t="n">
        <v>10903</v>
      </c>
      <c r="L125" s="16" t="n">
        <v>150</v>
      </c>
      <c r="M125" s="16" t="n">
        <v>1.721943207302821</v>
      </c>
      <c r="N125" s="16" t="n">
        <v>4407</v>
      </c>
      <c r="O125" s="16" t="n">
        <v>0</v>
      </c>
      <c r="P125" s="16" t="n">
        <v>19.56316050845538</v>
      </c>
      <c r="Q125" t="n">
        <v>633180</v>
      </c>
      <c r="R125" t="n">
        <v>625867</v>
      </c>
      <c r="S125" t="n">
        <v>560872</v>
      </c>
      <c r="T125" t="n">
        <v>25471</v>
      </c>
      <c r="U125" t="n">
        <v>24735</v>
      </c>
      <c r="V125" t="n">
        <v>1.154963833349127</v>
      </c>
      <c r="W125" t="n">
        <v>0.09</v>
      </c>
      <c r="X125" s="16">
        <f>IFERROR(K125/E125*100,"")</f>
        <v/>
      </c>
      <c r="Y125" s="16">
        <f>IFERROR((N125+O125)/E125*100,"")</f>
        <v/>
      </c>
      <c r="Z125" s="16">
        <f>IFERROR(R125/F125*100,"")</f>
        <v/>
      </c>
      <c r="AA125" s="16">
        <f>IFERROR(R125/E125*100,"")</f>
        <v/>
      </c>
      <c r="AB125" s="16">
        <f>IFERROR(S125/Q125*100,"")</f>
        <v/>
      </c>
      <c r="AC125" s="16">
        <f>IFERROR(T125/Q125*100,"")</f>
        <v/>
      </c>
      <c r="AD125" s="16">
        <f>IFERROR(U125/Q125*100,"")</f>
        <v/>
      </c>
      <c r="AE125" s="18">
        <f>IFERROR(E125/E121-1,"")</f>
        <v/>
      </c>
      <c r="AF125" s="18">
        <f>IFERROR(R125/R121-1,"")</f>
        <v/>
      </c>
      <c r="AG125" s="18">
        <f>IFERROR(F125/F121-1,"")</f>
        <v/>
      </c>
      <c r="AH125">
        <f>P125&gt;0</f>
        <v/>
      </c>
    </row>
    <row r="126">
      <c r="A126" s="14" t="n">
        <v>45473</v>
      </c>
      <c r="B126" t="n">
        <v>14134</v>
      </c>
      <c r="C126" t="inlineStr">
        <is>
          <t>PASSUMPSIC SAVINGS BANK</t>
        </is>
      </c>
      <c r="D126" t="inlineStr">
        <is>
          <t>VT</t>
        </is>
      </c>
      <c r="E126" t="n">
        <v>842999</v>
      </c>
      <c r="F126" t="n">
        <v>661992</v>
      </c>
      <c r="G126" t="n">
        <v>108954</v>
      </c>
      <c r="H126" s="16" t="n">
        <v>0.9009544589647211</v>
      </c>
      <c r="I126" s="16" t="n">
        <v>7.09</v>
      </c>
      <c r="J126" s="16" t="n">
        <v>3.056368597777172</v>
      </c>
      <c r="K126" s="16" t="n">
        <v>9888</v>
      </c>
      <c r="L126" s="16" t="n">
        <v>256</v>
      </c>
      <c r="M126" s="16" t="n">
        <v>1.571609310132175</v>
      </c>
      <c r="N126" s="16" t="n">
        <v>4284</v>
      </c>
      <c r="O126" s="16" t="n">
        <v>0</v>
      </c>
      <c r="P126" s="16" t="n">
        <v>19.80683454500755</v>
      </c>
      <c r="Q126" t="n">
        <v>629164</v>
      </c>
      <c r="R126" t="n">
        <v>621770</v>
      </c>
      <c r="S126" t="n">
        <v>563428</v>
      </c>
      <c r="T126" t="n">
        <v>25715</v>
      </c>
      <c r="U126" t="n">
        <v>23101</v>
      </c>
      <c r="V126" t="n">
        <v>1.175210279036944</v>
      </c>
      <c r="W126" t="n">
        <v>0.09</v>
      </c>
      <c r="X126" s="16">
        <f>IFERROR(K126/E126*100,"")</f>
        <v/>
      </c>
      <c r="Y126" s="16">
        <f>IFERROR((N126+O126)/E126*100,"")</f>
        <v/>
      </c>
      <c r="Z126" s="16">
        <f>IFERROR(R126/F126*100,"")</f>
        <v/>
      </c>
      <c r="AA126" s="16">
        <f>IFERROR(R126/E126*100,"")</f>
        <v/>
      </c>
      <c r="AB126" s="16">
        <f>IFERROR(S126/Q126*100,"")</f>
        <v/>
      </c>
      <c r="AC126" s="16">
        <f>IFERROR(T126/Q126*100,"")</f>
        <v/>
      </c>
      <c r="AD126" s="16">
        <f>IFERROR(U126/Q126*100,"")</f>
        <v/>
      </c>
      <c r="AE126" s="18">
        <f>IFERROR(E126/E122-1,"")</f>
        <v/>
      </c>
      <c r="AF126" s="18">
        <f>IFERROR(R126/R122-1,"")</f>
        <v/>
      </c>
      <c r="AG126" s="18">
        <f>IFERROR(F126/F122-1,"")</f>
        <v/>
      </c>
      <c r="AH126">
        <f>P126&gt;0</f>
        <v/>
      </c>
    </row>
    <row r="127">
      <c r="A127" s="14" t="n">
        <v>45565</v>
      </c>
      <c r="B127" t="n">
        <v>14134</v>
      </c>
      <c r="C127" t="inlineStr">
        <is>
          <t>PASSUMPSIC SAVINGS BANK</t>
        </is>
      </c>
      <c r="D127" t="inlineStr">
        <is>
          <t>VT</t>
        </is>
      </c>
      <c r="E127" t="n">
        <v>881237</v>
      </c>
      <c r="F127" t="n">
        <v>697247</v>
      </c>
      <c r="G127" t="n">
        <v>113479</v>
      </c>
      <c r="H127" s="16" t="n">
        <v>0.952621592945186</v>
      </c>
      <c r="I127" s="16" t="n">
        <v>7.47</v>
      </c>
      <c r="J127" s="16" t="n">
        <v>2.994372007017515</v>
      </c>
      <c r="K127" s="16" t="n">
        <v>8606</v>
      </c>
      <c r="L127" s="16" t="n">
        <v>698</v>
      </c>
      <c r="M127" s="16" t="n">
        <v>1.374404706769175</v>
      </c>
      <c r="N127" s="16" t="n">
        <v>4368</v>
      </c>
      <c r="O127" s="16" t="n">
        <v>0</v>
      </c>
      <c r="P127" s="16" t="n">
        <v>19.944591622946</v>
      </c>
      <c r="Q127" t="n">
        <v>626162</v>
      </c>
      <c r="R127" t="n">
        <v>619022</v>
      </c>
      <c r="S127" t="n">
        <v>553522</v>
      </c>
      <c r="T127" t="n">
        <v>25355</v>
      </c>
      <c r="U127" t="n">
        <v>21380</v>
      </c>
      <c r="V127" t="n">
        <v>1.140279991439915</v>
      </c>
      <c r="W127" t="n">
        <v>0.09</v>
      </c>
      <c r="X127" s="16">
        <f>IFERROR(K127/E127*100,"")</f>
        <v/>
      </c>
      <c r="Y127" s="16">
        <f>IFERROR((N127+O127)/E127*100,"")</f>
        <v/>
      </c>
      <c r="Z127" s="16">
        <f>IFERROR(R127/F127*100,"")</f>
        <v/>
      </c>
      <c r="AA127" s="16">
        <f>IFERROR(R127/E127*100,"")</f>
        <v/>
      </c>
      <c r="AB127" s="16">
        <f>IFERROR(S127/Q127*100,"")</f>
        <v/>
      </c>
      <c r="AC127" s="16">
        <f>IFERROR(T127/Q127*100,"")</f>
        <v/>
      </c>
      <c r="AD127" s="16">
        <f>IFERROR(U127/Q127*100,"")</f>
        <v/>
      </c>
      <c r="AE127" s="18">
        <f>IFERROR(E127/E123-1,"")</f>
        <v/>
      </c>
      <c r="AF127" s="18">
        <f>IFERROR(R127/R123-1,"")</f>
        <v/>
      </c>
      <c r="AG127" s="18">
        <f>IFERROR(F127/F123-1,"")</f>
        <v/>
      </c>
      <c r="AH127">
        <f>P127&gt;0</f>
        <v/>
      </c>
    </row>
    <row r="128">
      <c r="A128" s="14" t="n">
        <v>45657</v>
      </c>
      <c r="B128" t="n">
        <v>14134</v>
      </c>
      <c r="C128" t="inlineStr">
        <is>
          <t>PASSUMPSIC SAVINGS BANK</t>
        </is>
      </c>
      <c r="D128" t="inlineStr">
        <is>
          <t>VT</t>
        </is>
      </c>
      <c r="E128" t="n">
        <v>894082</v>
      </c>
      <c r="F128" t="n">
        <v>716959</v>
      </c>
      <c r="G128" t="n">
        <v>111729</v>
      </c>
      <c r="H128" s="16" t="n">
        <v>0.8077089568909821</v>
      </c>
      <c r="I128" s="16" t="n">
        <v>6.36</v>
      </c>
      <c r="J128" s="16" t="n">
        <v>3.022486414442056</v>
      </c>
      <c r="K128" s="16" t="n">
        <v>3603</v>
      </c>
      <c r="L128" s="16" t="n">
        <v>1082</v>
      </c>
      <c r="M128" s="16" t="n">
        <v>0.5600172839084016</v>
      </c>
      <c r="N128" s="16" t="n">
        <v>4356</v>
      </c>
      <c r="O128" s="16" t="n">
        <v>0</v>
      </c>
      <c r="P128" s="16" t="n">
        <v>20.29319173279332</v>
      </c>
      <c r="Q128" t="n">
        <v>643373</v>
      </c>
      <c r="R128" t="n">
        <v>636430</v>
      </c>
      <c r="S128" t="n">
        <v>570625</v>
      </c>
      <c r="T128" t="n">
        <v>25357</v>
      </c>
      <c r="U128" t="n">
        <v>19431</v>
      </c>
      <c r="V128" t="n">
        <v>1.079156259277278</v>
      </c>
      <c r="W128" t="n">
        <v>0.09</v>
      </c>
      <c r="X128" s="16">
        <f>IFERROR(K128/E128*100,"")</f>
        <v/>
      </c>
      <c r="Y128" s="16">
        <f>IFERROR((N128+O128)/E128*100,"")</f>
        <v/>
      </c>
      <c r="Z128" s="16">
        <f>IFERROR(R128/F128*100,"")</f>
        <v/>
      </c>
      <c r="AA128" s="16">
        <f>IFERROR(R128/E128*100,"")</f>
        <v/>
      </c>
      <c r="AB128" s="16">
        <f>IFERROR(S128/Q128*100,"")</f>
        <v/>
      </c>
      <c r="AC128" s="16">
        <f>IFERROR(T128/Q128*100,"")</f>
        <v/>
      </c>
      <c r="AD128" s="16">
        <f>IFERROR(U128/Q128*100,"")</f>
        <v/>
      </c>
      <c r="AE128" s="18">
        <f>IFERROR(E128/E124-1,"")</f>
        <v/>
      </c>
      <c r="AF128" s="18">
        <f>IFERROR(R128/R124-1,"")</f>
        <v/>
      </c>
      <c r="AG128" s="18">
        <f>IFERROR(F128/F124-1,"")</f>
        <v/>
      </c>
      <c r="AH128">
        <f>P128&gt;0</f>
        <v/>
      </c>
    </row>
    <row r="129">
      <c r="A129" s="14" t="n">
        <v>45747</v>
      </c>
      <c r="B129" t="n">
        <v>14134</v>
      </c>
      <c r="C129" t="inlineStr">
        <is>
          <t>PASSUMPSIC SAVINGS BANK</t>
        </is>
      </c>
      <c r="D129" t="inlineStr">
        <is>
          <t>VT</t>
        </is>
      </c>
      <c r="E129" t="n">
        <v>879312</v>
      </c>
      <c r="F129" t="n">
        <v>701672</v>
      </c>
      <c r="G129" t="n">
        <v>113111</v>
      </c>
      <c r="H129" s="16" t="n">
        <v>0.0433067891286425</v>
      </c>
      <c r="I129" s="16" t="n">
        <v>0.34</v>
      </c>
      <c r="J129" s="16" t="n">
        <v>3.08550914447303</v>
      </c>
      <c r="K129" s="16" t="n">
        <v>2972</v>
      </c>
      <c r="L129" s="16" t="n">
        <v>99</v>
      </c>
      <c r="M129" s="16" t="n">
        <v>0.473248407643312</v>
      </c>
      <c r="N129" s="16" t="n">
        <v>4065</v>
      </c>
      <c r="O129" s="16" t="n">
        <v>0</v>
      </c>
      <c r="P129" s="16" t="n">
        <v>20.48804332810269</v>
      </c>
      <c r="Q129" t="n">
        <v>628000</v>
      </c>
      <c r="R129" t="n">
        <v>620968</v>
      </c>
      <c r="S129" t="n">
        <v>556523</v>
      </c>
      <c r="T129" t="n">
        <v>25662</v>
      </c>
      <c r="U129" t="n">
        <v>17648</v>
      </c>
      <c r="V129" t="n">
        <v>1.119745222929937</v>
      </c>
      <c r="W129" t="n">
        <v>0.08</v>
      </c>
      <c r="X129" s="16">
        <f>IFERROR(K129/E129*100,"")</f>
        <v/>
      </c>
      <c r="Y129" s="16">
        <f>IFERROR((N129+O129)/E129*100,"")</f>
        <v/>
      </c>
      <c r="Z129" s="16">
        <f>IFERROR(R129/F129*100,"")</f>
        <v/>
      </c>
      <c r="AA129" s="16">
        <f>IFERROR(R129/E129*100,"")</f>
        <v/>
      </c>
      <c r="AB129" s="16">
        <f>IFERROR(S129/Q129*100,"")</f>
        <v/>
      </c>
      <c r="AC129" s="16">
        <f>IFERROR(T129/Q129*100,"")</f>
        <v/>
      </c>
      <c r="AD129" s="16">
        <f>IFERROR(U129/Q129*100,"")</f>
        <v/>
      </c>
      <c r="AE129" s="18">
        <f>IFERROR(E129/E125-1,"")</f>
        <v/>
      </c>
      <c r="AF129" s="18">
        <f>IFERROR(R129/R125-1,"")</f>
        <v/>
      </c>
      <c r="AG129" s="18">
        <f>IFERROR(F129/F125-1,"")</f>
        <v/>
      </c>
      <c r="AH129">
        <f>P129&gt;0</f>
        <v/>
      </c>
    </row>
    <row r="130">
      <c r="A130" s="14" t="n">
        <v>45838</v>
      </c>
      <c r="B130" t="n">
        <v>14134</v>
      </c>
      <c r="C130" t="inlineStr">
        <is>
          <t>PASSUMPSIC SAVINGS BANK</t>
        </is>
      </c>
      <c r="D130" t="inlineStr">
        <is>
          <t>VT</t>
        </is>
      </c>
      <c r="E130" t="n">
        <v>882477</v>
      </c>
      <c r="F130" t="n">
        <v>701612</v>
      </c>
      <c r="G130" t="n">
        <v>116115</v>
      </c>
      <c r="H130" s="16" t="n">
        <v>0.6101952993951889</v>
      </c>
      <c r="I130" s="16" t="n">
        <v>4.75</v>
      </c>
      <c r="J130" s="16" t="n">
        <v>3.109298481587633</v>
      </c>
      <c r="K130" s="16" t="n">
        <v>2713</v>
      </c>
      <c r="L130" s="16" t="n">
        <v>196</v>
      </c>
      <c r="M130" s="16" t="n">
        <v>0.4272743737745195</v>
      </c>
      <c r="N130" s="16" t="n">
        <v>5310</v>
      </c>
      <c r="O130" s="16" t="n">
        <v>0</v>
      </c>
      <c r="P130" s="16" t="n">
        <v>20.60173425288636</v>
      </c>
      <c r="Q130" t="n">
        <v>634955</v>
      </c>
      <c r="R130" t="n">
        <v>627833</v>
      </c>
      <c r="S130" t="n">
        <v>566443</v>
      </c>
      <c r="T130" t="n">
        <v>27002</v>
      </c>
      <c r="U130" t="n">
        <v>21129</v>
      </c>
      <c r="V130" t="n">
        <v>1.121654290461529</v>
      </c>
      <c r="W130" t="n">
        <v>0.08</v>
      </c>
      <c r="X130" s="16">
        <f>IFERROR(K130/E130*100,"")</f>
        <v/>
      </c>
      <c r="Y130" s="16">
        <f>IFERROR((N130+O130)/E130*100,"")</f>
        <v/>
      </c>
      <c r="Z130" s="16">
        <f>IFERROR(R130/F130*100,"")</f>
        <v/>
      </c>
      <c r="AA130" s="16">
        <f>IFERROR(R130/E130*100,"")</f>
        <v/>
      </c>
      <c r="AB130" s="16">
        <f>IFERROR(S130/Q130*100,"")</f>
        <v/>
      </c>
      <c r="AC130" s="16">
        <f>IFERROR(T130/Q130*100,"")</f>
        <v/>
      </c>
      <c r="AD130" s="16">
        <f>IFERROR(U130/Q130*100,"")</f>
        <v/>
      </c>
      <c r="AE130" s="18">
        <f>IFERROR(E130/E126-1,"")</f>
        <v/>
      </c>
      <c r="AF130" s="18">
        <f>IFERROR(R130/R126-1,"")</f>
        <v/>
      </c>
      <c r="AG130" s="18">
        <f>IFERROR(F130/F126-1,"")</f>
        <v/>
      </c>
      <c r="AH130">
        <f>P130&gt;0</f>
        <v/>
      </c>
    </row>
    <row r="131">
      <c r="A131" s="14" t="n">
        <v>44651</v>
      </c>
      <c r="B131" t="n">
        <v>14136</v>
      </c>
      <c r="C131" t="inlineStr">
        <is>
          <t>WELLS RIVER SAVINGS BANK</t>
        </is>
      </c>
      <c r="D131" t="inlineStr">
        <is>
          <t>VT</t>
        </is>
      </c>
      <c r="E131" t="n">
        <v>222692</v>
      </c>
      <c r="F131" t="n">
        <v>199279</v>
      </c>
      <c r="G131" t="n">
        <v>18834</v>
      </c>
      <c r="H131" s="16" t="n">
        <v>0.1995492165221358</v>
      </c>
      <c r="I131" s="16" t="n">
        <v>2.14</v>
      </c>
      <c r="J131" s="16" t="n">
        <v>3.422369975829127</v>
      </c>
      <c r="K131" s="16" t="n">
        <v>174</v>
      </c>
      <c r="L131" s="16" t="n">
        <v>7</v>
      </c>
      <c r="M131" s="16" t="n">
        <v>0.6707976138416983</v>
      </c>
      <c r="N131" s="16" t="n">
        <v>803</v>
      </c>
      <c r="O131" s="16" t="n">
        <v>639</v>
      </c>
      <c r="P131" s="16" t="n">
        <v>17.27622049989468</v>
      </c>
      <c r="Q131" t="n">
        <v>121199</v>
      </c>
      <c r="R131" t="n">
        <v>119805</v>
      </c>
      <c r="S131" t="n">
        <v>96809</v>
      </c>
      <c r="T131" t="n">
        <v>12518</v>
      </c>
      <c r="U131" t="n">
        <v>11422</v>
      </c>
      <c r="V131" t="n">
        <v>1.150174506390317</v>
      </c>
      <c r="W131" t="n">
        <v>0.08</v>
      </c>
      <c r="X131" s="16">
        <f>IFERROR(K131/E131*100,"")</f>
        <v/>
      </c>
      <c r="Y131" s="16">
        <f>IFERROR((N131+O131)/E131*100,"")</f>
        <v/>
      </c>
      <c r="Z131" s="16">
        <f>IFERROR(R131/F131*100,"")</f>
        <v/>
      </c>
      <c r="AA131" s="16">
        <f>IFERROR(R131/E131*100,"")</f>
        <v/>
      </c>
      <c r="AB131" s="16">
        <f>IFERROR(S131/Q131*100,"")</f>
        <v/>
      </c>
      <c r="AC131" s="16">
        <f>IFERROR(T131/Q131*100,"")</f>
        <v/>
      </c>
      <c r="AD131" s="16">
        <f>IFERROR(U131/Q131*100,"")</f>
        <v/>
      </c>
      <c r="AE131" s="18" t="n"/>
      <c r="AF131" s="18" t="n"/>
      <c r="AG131" s="18" t="n"/>
      <c r="AH131">
        <f>P131&gt;0</f>
        <v/>
      </c>
    </row>
    <row r="132">
      <c r="A132" s="14" t="n">
        <v>44742</v>
      </c>
      <c r="B132" t="n">
        <v>14136</v>
      </c>
      <c r="C132" t="inlineStr">
        <is>
          <t>WELLS RIVER SAVINGS BANK</t>
        </is>
      </c>
      <c r="D132" t="inlineStr">
        <is>
          <t>VT</t>
        </is>
      </c>
      <c r="E132" t="n">
        <v>222750</v>
      </c>
      <c r="F132" t="n">
        <v>202215</v>
      </c>
      <c r="G132" t="n">
        <v>16002</v>
      </c>
      <c r="H132" s="16" t="n">
        <v>0.3117919350418493</v>
      </c>
      <c r="I132" s="16" t="n">
        <v>3.62</v>
      </c>
      <c r="J132" s="16" t="n">
        <v>3.479187307446967</v>
      </c>
      <c r="K132" s="16" t="n">
        <v>126</v>
      </c>
      <c r="L132" s="16" t="n">
        <v>13</v>
      </c>
      <c r="M132" s="16" t="n">
        <v>0.6536961359812034</v>
      </c>
      <c r="N132" s="16" t="n">
        <v>887</v>
      </c>
      <c r="O132" s="16" t="n">
        <v>717</v>
      </c>
      <c r="P132" s="16" t="n">
        <v>16.78396947098416</v>
      </c>
      <c r="Q132" t="n">
        <v>128959</v>
      </c>
      <c r="R132" t="n">
        <v>127571</v>
      </c>
      <c r="S132" t="n">
        <v>102631</v>
      </c>
      <c r="T132" t="n">
        <v>13764</v>
      </c>
      <c r="U132" t="n">
        <v>12183</v>
      </c>
      <c r="V132" t="n">
        <v>1.076311075613179</v>
      </c>
      <c r="W132" t="n">
        <v>0.04</v>
      </c>
      <c r="X132" s="16">
        <f>IFERROR(K132/E132*100,"")</f>
        <v/>
      </c>
      <c r="Y132" s="16">
        <f>IFERROR((N132+O132)/E132*100,"")</f>
        <v/>
      </c>
      <c r="Z132" s="16">
        <f>IFERROR(R132/F132*100,"")</f>
        <v/>
      </c>
      <c r="AA132" s="16">
        <f>IFERROR(R132/E132*100,"")</f>
        <v/>
      </c>
      <c r="AB132" s="16">
        <f>IFERROR(S132/Q132*100,"")</f>
        <v/>
      </c>
      <c r="AC132" s="16">
        <f>IFERROR(T132/Q132*100,"")</f>
        <v/>
      </c>
      <c r="AD132" s="16">
        <f>IFERROR(U132/Q132*100,"")</f>
        <v/>
      </c>
      <c r="AE132" s="18" t="n"/>
      <c r="AF132" s="18" t="n"/>
      <c r="AG132" s="18" t="n"/>
      <c r="AH132">
        <f>P132&gt;0</f>
        <v/>
      </c>
    </row>
    <row r="133">
      <c r="A133" s="14" t="n">
        <v>44834</v>
      </c>
      <c r="B133" t="n">
        <v>14136</v>
      </c>
      <c r="C133" t="inlineStr">
        <is>
          <t>WELLS RIVER SAVINGS BANK</t>
        </is>
      </c>
      <c r="D133" t="inlineStr">
        <is>
          <t>VT</t>
        </is>
      </c>
      <c r="E133" t="n">
        <v>225735</v>
      </c>
      <c r="F133" t="n">
        <v>207393</v>
      </c>
      <c r="G133" t="n">
        <v>14034</v>
      </c>
      <c r="H133" s="16" t="n">
        <v>0.3933548967641423</v>
      </c>
      <c r="I133" s="16" t="n">
        <v>4.91</v>
      </c>
      <c r="J133" s="16" t="n">
        <v>3.585755975179973</v>
      </c>
      <c r="K133" s="16" t="n">
        <v>110</v>
      </c>
      <c r="L133" s="16" t="n">
        <v>89</v>
      </c>
      <c r="M133" s="16" t="n">
        <v>0.6187155796964592</v>
      </c>
      <c r="N133" s="16" t="n">
        <v>458</v>
      </c>
      <c r="O133" s="16" t="n">
        <v>709</v>
      </c>
      <c r="P133" s="16" t="n">
        <v>17.11520951997798</v>
      </c>
      <c r="Q133" t="n">
        <v>132371</v>
      </c>
      <c r="R133" t="n">
        <v>131059</v>
      </c>
      <c r="S133" t="n">
        <v>106837</v>
      </c>
      <c r="T133" t="n">
        <v>12989</v>
      </c>
      <c r="U133" t="n">
        <v>12223</v>
      </c>
      <c r="V133" t="n">
        <v>0.9911536514795536</v>
      </c>
      <c r="W133" t="n">
        <v>0.03</v>
      </c>
      <c r="X133" s="16">
        <f>IFERROR(K133/E133*100,"")</f>
        <v/>
      </c>
      <c r="Y133" s="16">
        <f>IFERROR((N133+O133)/E133*100,"")</f>
        <v/>
      </c>
      <c r="Z133" s="16">
        <f>IFERROR(R133/F133*100,"")</f>
        <v/>
      </c>
      <c r="AA133" s="16">
        <f>IFERROR(R133/E133*100,"")</f>
        <v/>
      </c>
      <c r="AB133" s="16">
        <f>IFERROR(S133/Q133*100,"")</f>
        <v/>
      </c>
      <c r="AC133" s="16">
        <f>IFERROR(T133/Q133*100,"")</f>
        <v/>
      </c>
      <c r="AD133" s="16">
        <f>IFERROR(U133/Q133*100,"")</f>
        <v/>
      </c>
      <c r="AE133" s="18" t="n"/>
      <c r="AF133" s="18" t="n"/>
      <c r="AG133" s="18" t="n"/>
      <c r="AH133">
        <f>P133&gt;0</f>
        <v/>
      </c>
    </row>
    <row r="134">
      <c r="A134" s="14" t="n">
        <v>44926</v>
      </c>
      <c r="B134" t="n">
        <v>14136</v>
      </c>
      <c r="C134" t="inlineStr">
        <is>
          <t>WELLS RIVER SAVINGS BANK</t>
        </is>
      </c>
      <c r="D134" t="inlineStr">
        <is>
          <t>VT</t>
        </is>
      </c>
      <c r="E134" t="n">
        <v>228201</v>
      </c>
      <c r="F134" t="n">
        <v>209378</v>
      </c>
      <c r="G134" t="n">
        <v>14622</v>
      </c>
      <c r="H134" s="16" t="n">
        <v>0.4649238781872694</v>
      </c>
      <c r="I134" s="16" t="n">
        <v>6.05</v>
      </c>
      <c r="J134" s="16" t="n">
        <v>3.711786041691578</v>
      </c>
      <c r="K134" s="16" t="n">
        <v>107</v>
      </c>
      <c r="L134" s="16" t="n">
        <v>90</v>
      </c>
      <c r="M134" s="16" t="n">
        <v>0.5551824170798977</v>
      </c>
      <c r="N134" s="16" t="n">
        <v>1094</v>
      </c>
      <c r="O134" s="16" t="n">
        <v>670</v>
      </c>
      <c r="P134" s="16" t="n">
        <v>17.66712093212418</v>
      </c>
      <c r="Q134" t="n">
        <v>139954</v>
      </c>
      <c r="R134" t="n">
        <v>138613</v>
      </c>
      <c r="S134" t="n">
        <v>113932</v>
      </c>
      <c r="T134" t="n">
        <v>13222</v>
      </c>
      <c r="U134" t="n">
        <v>12457</v>
      </c>
      <c r="V134" t="n">
        <v>0.9581719707904026</v>
      </c>
      <c r="W134" t="n">
        <v>0.03</v>
      </c>
      <c r="X134" s="16">
        <f>IFERROR(K134/E134*100,"")</f>
        <v/>
      </c>
      <c r="Y134" s="16">
        <f>IFERROR((N134+O134)/E134*100,"")</f>
        <v/>
      </c>
      <c r="Z134" s="16">
        <f>IFERROR(R134/F134*100,"")</f>
        <v/>
      </c>
      <c r="AA134" s="16">
        <f>IFERROR(R134/E134*100,"")</f>
        <v/>
      </c>
      <c r="AB134" s="16">
        <f>IFERROR(S134/Q134*100,"")</f>
        <v/>
      </c>
      <c r="AC134" s="16">
        <f>IFERROR(T134/Q134*100,"")</f>
        <v/>
      </c>
      <c r="AD134" s="16">
        <f>IFERROR(U134/Q134*100,"")</f>
        <v/>
      </c>
      <c r="AE134" s="18" t="n"/>
      <c r="AF134" s="18" t="n"/>
      <c r="AG134" s="18" t="n"/>
      <c r="AH134">
        <f>P134&gt;0</f>
        <v/>
      </c>
    </row>
    <row r="135">
      <c r="A135" s="14" t="n">
        <v>45016</v>
      </c>
      <c r="B135" t="n">
        <v>14136</v>
      </c>
      <c r="C135" t="inlineStr">
        <is>
          <t>WELLS RIVER SAVINGS BANK</t>
        </is>
      </c>
      <c r="D135" t="inlineStr">
        <is>
          <t>VT</t>
        </is>
      </c>
      <c r="E135" t="n">
        <v>223596</v>
      </c>
      <c r="F135" t="n">
        <v>203232</v>
      </c>
      <c r="G135" t="n">
        <v>15756</v>
      </c>
      <c r="H135" s="16" t="n">
        <v>0.5613140414832325</v>
      </c>
      <c r="I135" s="16" t="n">
        <v>8.35</v>
      </c>
      <c r="J135" s="16" t="n">
        <v>4.150902194604397</v>
      </c>
      <c r="K135" s="16" t="n">
        <v>73</v>
      </c>
      <c r="L135" s="16" t="n">
        <v>6</v>
      </c>
      <c r="M135" s="16" t="n">
        <v>0.2283136710617626</v>
      </c>
      <c r="N135" s="16" t="n">
        <v>1355</v>
      </c>
      <c r="O135" s="16" t="n">
        <v>256</v>
      </c>
      <c r="P135" s="16" t="n">
        <v>17.66301490842568</v>
      </c>
      <c r="Q135" t="n">
        <v>144100</v>
      </c>
      <c r="R135" t="n">
        <v>142198</v>
      </c>
      <c r="S135" t="n">
        <v>115852</v>
      </c>
      <c r="T135" t="n">
        <v>13072</v>
      </c>
      <c r="U135" t="n">
        <v>14836</v>
      </c>
      <c r="V135" t="n">
        <v>1.319916724496877</v>
      </c>
      <c r="W135" t="n">
        <v>0.05</v>
      </c>
      <c r="X135" s="16">
        <f>IFERROR(K135/E135*100,"")</f>
        <v/>
      </c>
      <c r="Y135" s="16">
        <f>IFERROR((N135+O135)/E135*100,"")</f>
        <v/>
      </c>
      <c r="Z135" s="16">
        <f>IFERROR(R135/F135*100,"")</f>
        <v/>
      </c>
      <c r="AA135" s="16">
        <f>IFERROR(R135/E135*100,"")</f>
        <v/>
      </c>
      <c r="AB135" s="16">
        <f>IFERROR(S135/Q135*100,"")</f>
        <v/>
      </c>
      <c r="AC135" s="16">
        <f>IFERROR(T135/Q135*100,"")</f>
        <v/>
      </c>
      <c r="AD135" s="16">
        <f>IFERROR(U135/Q135*100,"")</f>
        <v/>
      </c>
      <c r="AE135" s="18">
        <f>IFERROR(E135/E131-1,"")</f>
        <v/>
      </c>
      <c r="AF135" s="18">
        <f>IFERROR(R135/R131-1,"")</f>
        <v/>
      </c>
      <c r="AG135" s="18">
        <f>IFERROR(F135/F131-1,"")</f>
        <v/>
      </c>
      <c r="AH135">
        <f>P135&gt;0</f>
        <v/>
      </c>
    </row>
    <row r="136">
      <c r="A136" s="14" t="n">
        <v>45107</v>
      </c>
      <c r="B136" t="n">
        <v>14136</v>
      </c>
      <c r="C136" t="inlineStr">
        <is>
          <t>WELLS RIVER SAVINGS BANK</t>
        </is>
      </c>
      <c r="D136" t="inlineStr">
        <is>
          <t>VT</t>
        </is>
      </c>
      <c r="E136" t="n">
        <v>231428</v>
      </c>
      <c r="F136" t="n">
        <v>199035</v>
      </c>
      <c r="G136" t="n">
        <v>15826</v>
      </c>
      <c r="H136" s="16" t="n">
        <v>0.6586410040616195</v>
      </c>
      <c r="I136" s="16" t="n">
        <v>9.74</v>
      </c>
      <c r="J136" s="16" t="n">
        <v>4.116014467272819</v>
      </c>
      <c r="K136" s="16" t="n">
        <v>71</v>
      </c>
      <c r="L136" s="16" t="n">
        <v>21</v>
      </c>
      <c r="M136" s="16" t="n">
        <v>0.4975158238617028</v>
      </c>
      <c r="N136" s="16" t="n">
        <v>1765</v>
      </c>
      <c r="O136" s="16" t="n">
        <v>660</v>
      </c>
      <c r="P136" s="16" t="n">
        <v>17.41863905325444</v>
      </c>
      <c r="Q136" t="n">
        <v>146930</v>
      </c>
      <c r="R136" t="n">
        <v>145006</v>
      </c>
      <c r="S136" t="n">
        <v>118077</v>
      </c>
      <c r="T136" t="n">
        <v>13599</v>
      </c>
      <c r="U136" t="n">
        <v>14936</v>
      </c>
      <c r="V136" t="n">
        <v>1.30946709317362</v>
      </c>
      <c r="W136" t="n">
        <v>0.06</v>
      </c>
      <c r="X136" s="16">
        <f>IFERROR(K136/E136*100,"")</f>
        <v/>
      </c>
      <c r="Y136" s="16">
        <f>IFERROR((N136+O136)/E136*100,"")</f>
        <v/>
      </c>
      <c r="Z136" s="16">
        <f>IFERROR(R136/F136*100,"")</f>
        <v/>
      </c>
      <c r="AA136" s="16">
        <f>IFERROR(R136/E136*100,"")</f>
        <v/>
      </c>
      <c r="AB136" s="16">
        <f>IFERROR(S136/Q136*100,"")</f>
        <v/>
      </c>
      <c r="AC136" s="16">
        <f>IFERROR(T136/Q136*100,"")</f>
        <v/>
      </c>
      <c r="AD136" s="16">
        <f>IFERROR(U136/Q136*100,"")</f>
        <v/>
      </c>
      <c r="AE136" s="18">
        <f>IFERROR(E136/E132-1,"")</f>
        <v/>
      </c>
      <c r="AF136" s="18">
        <f>IFERROR(R136/R132-1,"")</f>
        <v/>
      </c>
      <c r="AG136" s="18">
        <f>IFERROR(F136/F132-1,"")</f>
        <v/>
      </c>
      <c r="AH136">
        <f>P136&gt;0</f>
        <v/>
      </c>
    </row>
    <row r="137">
      <c r="A137" s="14" t="n">
        <v>45199</v>
      </c>
      <c r="B137" t="n">
        <v>14136</v>
      </c>
      <c r="C137" t="inlineStr">
        <is>
          <t>WELLS RIVER SAVINGS BANK</t>
        </is>
      </c>
      <c r="D137" t="inlineStr">
        <is>
          <t>VT</t>
        </is>
      </c>
      <c r="E137" t="n">
        <v>226042</v>
      </c>
      <c r="F137" t="n">
        <v>193047</v>
      </c>
      <c r="G137" t="n">
        <v>14702</v>
      </c>
      <c r="H137" s="16" t="n">
        <v>0.6575095324035733</v>
      </c>
      <c r="I137" s="16" t="n">
        <v>9.82</v>
      </c>
      <c r="J137" s="16" t="n">
        <v>4.077999740238272</v>
      </c>
      <c r="K137" s="16" t="n">
        <v>83</v>
      </c>
      <c r="L137" s="16" t="n">
        <v>74</v>
      </c>
      <c r="M137" s="16" t="n">
        <v>0.556896105135441</v>
      </c>
      <c r="N137" s="16" t="n">
        <v>546</v>
      </c>
      <c r="O137" s="16" t="n">
        <v>734</v>
      </c>
      <c r="P137" s="16" t="n">
        <v>17.67976253777655</v>
      </c>
      <c r="Q137" t="n">
        <v>146706</v>
      </c>
      <c r="R137" t="n">
        <v>144807</v>
      </c>
      <c r="S137" t="n">
        <v>117617</v>
      </c>
      <c r="T137" t="n">
        <v>14059</v>
      </c>
      <c r="U137" t="n">
        <v>14729</v>
      </c>
      <c r="V137" t="n">
        <v>1.294425585865609</v>
      </c>
      <c r="W137" t="n">
        <v>0.05</v>
      </c>
      <c r="X137" s="16">
        <f>IFERROR(K137/E137*100,"")</f>
        <v/>
      </c>
      <c r="Y137" s="16">
        <f>IFERROR((N137+O137)/E137*100,"")</f>
        <v/>
      </c>
      <c r="Z137" s="16">
        <f>IFERROR(R137/F137*100,"")</f>
        <v/>
      </c>
      <c r="AA137" s="16">
        <f>IFERROR(R137/E137*100,"")</f>
        <v/>
      </c>
      <c r="AB137" s="16">
        <f>IFERROR(S137/Q137*100,"")</f>
        <v/>
      </c>
      <c r="AC137" s="16">
        <f>IFERROR(T137/Q137*100,"")</f>
        <v/>
      </c>
      <c r="AD137" s="16">
        <f>IFERROR(U137/Q137*100,"")</f>
        <v/>
      </c>
      <c r="AE137" s="18">
        <f>IFERROR(E137/E133-1,"")</f>
        <v/>
      </c>
      <c r="AF137" s="18">
        <f>IFERROR(R137/R133-1,"")</f>
        <v/>
      </c>
      <c r="AG137" s="18">
        <f>IFERROR(F137/F133-1,"")</f>
        <v/>
      </c>
      <c r="AH137">
        <f>P137&gt;0</f>
        <v/>
      </c>
    </row>
    <row r="138">
      <c r="A138" s="14" t="n">
        <v>45291</v>
      </c>
      <c r="B138" t="n">
        <v>14136</v>
      </c>
      <c r="C138" t="inlineStr">
        <is>
          <t>WELLS RIVER SAVINGS BANK</t>
        </is>
      </c>
      <c r="D138" t="inlineStr">
        <is>
          <t>VT</t>
        </is>
      </c>
      <c r="E138" t="n">
        <v>233858</v>
      </c>
      <c r="F138" t="n">
        <v>193772</v>
      </c>
      <c r="G138" t="n">
        <v>17016</v>
      </c>
      <c r="H138" s="16" t="n">
        <v>0.5944231820667031</v>
      </c>
      <c r="I138" s="16" t="n">
        <v>8.720000000000001</v>
      </c>
      <c r="J138" s="16" t="n">
        <v>4.021200988678282</v>
      </c>
      <c r="K138" s="16" t="n">
        <v>6</v>
      </c>
      <c r="L138" s="16" t="n">
        <v>93</v>
      </c>
      <c r="M138" s="16" t="n">
        <v>0.3353204172876304</v>
      </c>
      <c r="N138" s="16" t="n">
        <v>1094</v>
      </c>
      <c r="O138" s="16" t="n">
        <v>507</v>
      </c>
      <c r="P138" s="16" t="n">
        <v>17.5667789596541</v>
      </c>
      <c r="Q138" t="n">
        <v>152988</v>
      </c>
      <c r="R138" t="n">
        <v>151072</v>
      </c>
      <c r="S138" t="n">
        <v>123494</v>
      </c>
      <c r="T138" t="n">
        <v>14469</v>
      </c>
      <c r="U138" t="n">
        <v>14725</v>
      </c>
      <c r="V138" t="n">
        <v>1.252385808037232</v>
      </c>
      <c r="W138" t="n">
        <v>0.06</v>
      </c>
      <c r="X138" s="16">
        <f>IFERROR(K138/E138*100,"")</f>
        <v/>
      </c>
      <c r="Y138" s="16">
        <f>IFERROR((N138+O138)/E138*100,"")</f>
        <v/>
      </c>
      <c r="Z138" s="16">
        <f>IFERROR(R138/F138*100,"")</f>
        <v/>
      </c>
      <c r="AA138" s="16">
        <f>IFERROR(R138/E138*100,"")</f>
        <v/>
      </c>
      <c r="AB138" s="16">
        <f>IFERROR(S138/Q138*100,"")</f>
        <v/>
      </c>
      <c r="AC138" s="16">
        <f>IFERROR(T138/Q138*100,"")</f>
        <v/>
      </c>
      <c r="AD138" s="16">
        <f>IFERROR(U138/Q138*100,"")</f>
        <v/>
      </c>
      <c r="AE138" s="18">
        <f>IFERROR(E138/E134-1,"")</f>
        <v/>
      </c>
      <c r="AF138" s="18">
        <f>IFERROR(R138/R134-1,"")</f>
        <v/>
      </c>
      <c r="AG138" s="18">
        <f>IFERROR(F138/F134-1,"")</f>
        <v/>
      </c>
      <c r="AH138">
        <f>P138&gt;0</f>
        <v/>
      </c>
    </row>
    <row r="139">
      <c r="A139" s="14" t="n">
        <v>45382</v>
      </c>
      <c r="B139" t="n">
        <v>14136</v>
      </c>
      <c r="C139" t="inlineStr">
        <is>
          <t>WELLS RIVER SAVINGS BANK</t>
        </is>
      </c>
      <c r="D139" t="inlineStr">
        <is>
          <t>VT</t>
        </is>
      </c>
      <c r="E139" t="n">
        <v>239150</v>
      </c>
      <c r="F139" t="n">
        <v>196243</v>
      </c>
      <c r="G139" t="n">
        <v>17389</v>
      </c>
      <c r="H139" s="16" t="n">
        <v>0.6782126306531813</v>
      </c>
      <c r="I139" s="16" t="n">
        <v>9.32</v>
      </c>
      <c r="J139" s="16" t="n">
        <v>3.754327338349682</v>
      </c>
      <c r="K139" s="16" t="n">
        <v>502</v>
      </c>
      <c r="L139" s="16" t="n">
        <v>82</v>
      </c>
      <c r="M139" s="16" t="n">
        <v>0.6339651221247952</v>
      </c>
      <c r="N139" s="16" t="n">
        <v>634</v>
      </c>
      <c r="O139" s="16" t="n">
        <v>469</v>
      </c>
      <c r="P139" s="16" t="n">
        <v>17.54836680123735</v>
      </c>
      <c r="Q139" t="n">
        <v>153163</v>
      </c>
      <c r="R139" t="n">
        <v>151470</v>
      </c>
      <c r="S139" t="n">
        <v>123830</v>
      </c>
      <c r="T139" t="n">
        <v>14438</v>
      </c>
      <c r="U139" t="n">
        <v>14594</v>
      </c>
      <c r="V139" t="n">
        <v>1.105358343725312</v>
      </c>
      <c r="W139" t="n">
        <v>-0.18</v>
      </c>
      <c r="X139" s="16">
        <f>IFERROR(K139/E139*100,"")</f>
        <v/>
      </c>
      <c r="Y139" s="16">
        <f>IFERROR((N139+O139)/E139*100,"")</f>
        <v/>
      </c>
      <c r="Z139" s="16">
        <f>IFERROR(R139/F139*100,"")</f>
        <v/>
      </c>
      <c r="AA139" s="16">
        <f>IFERROR(R139/E139*100,"")</f>
        <v/>
      </c>
      <c r="AB139" s="16">
        <f>IFERROR(S139/Q139*100,"")</f>
        <v/>
      </c>
      <c r="AC139" s="16">
        <f>IFERROR(T139/Q139*100,"")</f>
        <v/>
      </c>
      <c r="AD139" s="16">
        <f>IFERROR(U139/Q139*100,"")</f>
        <v/>
      </c>
      <c r="AE139" s="18">
        <f>IFERROR(E139/E135-1,"")</f>
        <v/>
      </c>
      <c r="AF139" s="18">
        <f>IFERROR(R139/R135-1,"")</f>
        <v/>
      </c>
      <c r="AG139" s="18">
        <f>IFERROR(F139/F135-1,"")</f>
        <v/>
      </c>
      <c r="AH139">
        <f>P139&gt;0</f>
        <v/>
      </c>
    </row>
    <row r="140">
      <c r="A140" s="14" t="n">
        <v>45473</v>
      </c>
      <c r="B140" t="n">
        <v>14136</v>
      </c>
      <c r="C140" t="inlineStr">
        <is>
          <t>WELLS RIVER SAVINGS BANK</t>
        </is>
      </c>
      <c r="D140" t="inlineStr">
        <is>
          <t>VT</t>
        </is>
      </c>
      <c r="E140" t="n">
        <v>234689</v>
      </c>
      <c r="F140" t="n">
        <v>196106</v>
      </c>
      <c r="G140" t="n">
        <v>18072</v>
      </c>
      <c r="H140" s="16" t="n">
        <v>0.6138220170496695</v>
      </c>
      <c r="I140" s="16" t="n">
        <v>8.279999999999999</v>
      </c>
      <c r="J140" s="16" t="n">
        <v>3.755434840222134</v>
      </c>
      <c r="K140" s="16" t="n">
        <v>483</v>
      </c>
      <c r="L140" s="16" t="n">
        <v>107</v>
      </c>
      <c r="M140" s="16" t="n">
        <v>0.4841993051675753</v>
      </c>
      <c r="N140" s="16" t="n">
        <v>1456</v>
      </c>
      <c r="O140" s="16" t="n">
        <v>271</v>
      </c>
      <c r="P140" s="16" t="n">
        <v>17.87291163561948</v>
      </c>
      <c r="Q140" t="n">
        <v>155721</v>
      </c>
      <c r="R140" t="n">
        <v>154008</v>
      </c>
      <c r="S140" t="n">
        <v>125414</v>
      </c>
      <c r="T140" t="n">
        <v>15081</v>
      </c>
      <c r="U140" t="n">
        <v>14888</v>
      </c>
      <c r="V140" t="n">
        <v>1.10004431001599</v>
      </c>
      <c r="W140" t="n">
        <v>-0.05</v>
      </c>
      <c r="X140" s="16">
        <f>IFERROR(K140/E140*100,"")</f>
        <v/>
      </c>
      <c r="Y140" s="16">
        <f>IFERROR((N140+O140)/E140*100,"")</f>
        <v/>
      </c>
      <c r="Z140" s="16">
        <f>IFERROR(R140/F140*100,"")</f>
        <v/>
      </c>
      <c r="AA140" s="16">
        <f>IFERROR(R140/E140*100,"")</f>
        <v/>
      </c>
      <c r="AB140" s="16">
        <f>IFERROR(S140/Q140*100,"")</f>
        <v/>
      </c>
      <c r="AC140" s="16">
        <f>IFERROR(T140/Q140*100,"")</f>
        <v/>
      </c>
      <c r="AD140" s="16">
        <f>IFERROR(U140/Q140*100,"")</f>
        <v/>
      </c>
      <c r="AE140" s="18">
        <f>IFERROR(E140/E136-1,"")</f>
        <v/>
      </c>
      <c r="AF140" s="18">
        <f>IFERROR(R140/R136-1,"")</f>
        <v/>
      </c>
      <c r="AG140" s="18">
        <f>IFERROR(F140/F136-1,"")</f>
        <v/>
      </c>
      <c r="AH140">
        <f>P140&gt;0</f>
        <v/>
      </c>
    </row>
    <row r="141">
      <c r="A141" s="14" t="n">
        <v>45565</v>
      </c>
      <c r="B141" t="n">
        <v>14136</v>
      </c>
      <c r="C141" t="inlineStr">
        <is>
          <t>WELLS RIVER SAVINGS BANK</t>
        </is>
      </c>
      <c r="D141" t="inlineStr">
        <is>
          <t>VT</t>
        </is>
      </c>
      <c r="E141" t="n">
        <v>238286</v>
      </c>
      <c r="F141" t="n">
        <v>200050</v>
      </c>
      <c r="G141" t="n">
        <v>19934</v>
      </c>
      <c r="H141" s="16" t="n">
        <v>0.5496790111450206</v>
      </c>
      <c r="I141" s="16" t="n">
        <v>7.18</v>
      </c>
      <c r="J141" s="16" t="n">
        <v>3.7688092309468</v>
      </c>
      <c r="K141" s="16" t="n">
        <v>517</v>
      </c>
      <c r="L141" s="16" t="n">
        <v>263</v>
      </c>
      <c r="M141" s="16" t="n">
        <v>0.7249117498739284</v>
      </c>
      <c r="N141" s="16" t="n">
        <v>735</v>
      </c>
      <c r="O141" s="16" t="n">
        <v>633</v>
      </c>
      <c r="P141" s="16" t="n">
        <v>18.03314406443945</v>
      </c>
      <c r="Q141" t="n">
        <v>158640</v>
      </c>
      <c r="R141" t="n">
        <v>157046</v>
      </c>
      <c r="S141" t="n">
        <v>128174</v>
      </c>
      <c r="T141" t="n">
        <v>14936</v>
      </c>
      <c r="U141" t="n">
        <v>15174</v>
      </c>
      <c r="V141" t="n">
        <v>1.004790721129601</v>
      </c>
      <c r="W141" t="n">
        <v>-0.02</v>
      </c>
      <c r="X141" s="16">
        <f>IFERROR(K141/E141*100,"")</f>
        <v/>
      </c>
      <c r="Y141" s="16">
        <f>IFERROR((N141+O141)/E141*100,"")</f>
        <v/>
      </c>
      <c r="Z141" s="16">
        <f>IFERROR(R141/F141*100,"")</f>
        <v/>
      </c>
      <c r="AA141" s="16">
        <f>IFERROR(R141/E141*100,"")</f>
        <v/>
      </c>
      <c r="AB141" s="16">
        <f>IFERROR(S141/Q141*100,"")</f>
        <v/>
      </c>
      <c r="AC141" s="16">
        <f>IFERROR(T141/Q141*100,"")</f>
        <v/>
      </c>
      <c r="AD141" s="16">
        <f>IFERROR(U141/Q141*100,"")</f>
        <v/>
      </c>
      <c r="AE141" s="18">
        <f>IFERROR(E141/E137-1,"")</f>
        <v/>
      </c>
      <c r="AF141" s="18">
        <f>IFERROR(R141/R137-1,"")</f>
        <v/>
      </c>
      <c r="AG141" s="18">
        <f>IFERROR(F141/F137-1,"")</f>
        <v/>
      </c>
      <c r="AH141">
        <f>P141&gt;0</f>
        <v/>
      </c>
    </row>
    <row r="142">
      <c r="A142" s="14" t="n">
        <v>45657</v>
      </c>
      <c r="B142" t="n">
        <v>14136</v>
      </c>
      <c r="C142" t="inlineStr">
        <is>
          <t>WELLS RIVER SAVINGS BANK</t>
        </is>
      </c>
      <c r="D142" t="inlineStr">
        <is>
          <t>VT</t>
        </is>
      </c>
      <c r="E142" t="n">
        <v>237708</v>
      </c>
      <c r="F142" t="n">
        <v>204666</v>
      </c>
      <c r="G142" t="n">
        <v>18926</v>
      </c>
      <c r="H142" s="16" t="n">
        <v>0.5922153670172368</v>
      </c>
      <c r="I142" s="16" t="n">
        <v>7.67</v>
      </c>
      <c r="J142" s="16" t="n">
        <v>3.835929937336234</v>
      </c>
      <c r="K142" s="16" t="n">
        <v>510</v>
      </c>
      <c r="L142" s="16" t="n">
        <v>271</v>
      </c>
      <c r="M142" s="16" t="n">
        <v>0.7756703147675207</v>
      </c>
      <c r="N142" s="16" t="n">
        <v>1061</v>
      </c>
      <c r="O142" s="16" t="n">
        <v>714</v>
      </c>
      <c r="P142" s="16" t="n">
        <v>18.38320743753632</v>
      </c>
      <c r="Q142" t="n">
        <v>157799</v>
      </c>
      <c r="R142" t="n">
        <v>156165</v>
      </c>
      <c r="S142" t="n">
        <v>125909</v>
      </c>
      <c r="T142" t="n">
        <v>16696</v>
      </c>
      <c r="U142" t="n">
        <v>14895</v>
      </c>
      <c r="V142" t="n">
        <v>1.035494521511543</v>
      </c>
      <c r="W142" t="n">
        <v>0.01</v>
      </c>
      <c r="X142" s="16">
        <f>IFERROR(K142/E142*100,"")</f>
        <v/>
      </c>
      <c r="Y142" s="16">
        <f>IFERROR((N142+O142)/E142*100,"")</f>
        <v/>
      </c>
      <c r="Z142" s="16">
        <f>IFERROR(R142/F142*100,"")</f>
        <v/>
      </c>
      <c r="AA142" s="16">
        <f>IFERROR(R142/E142*100,"")</f>
        <v/>
      </c>
      <c r="AB142" s="16">
        <f>IFERROR(S142/Q142*100,"")</f>
        <v/>
      </c>
      <c r="AC142" s="16">
        <f>IFERROR(T142/Q142*100,"")</f>
        <v/>
      </c>
      <c r="AD142" s="16">
        <f>IFERROR(U142/Q142*100,"")</f>
        <v/>
      </c>
      <c r="AE142" s="18">
        <f>IFERROR(E142/E138-1,"")</f>
        <v/>
      </c>
      <c r="AF142" s="18">
        <f>IFERROR(R142/R138-1,"")</f>
        <v/>
      </c>
      <c r="AG142" s="18">
        <f>IFERROR(F142/F138-1,"")</f>
        <v/>
      </c>
      <c r="AH142">
        <f>P142&gt;0</f>
        <v/>
      </c>
    </row>
    <row r="143">
      <c r="A143" s="14" t="n">
        <v>45747</v>
      </c>
      <c r="B143" t="n">
        <v>14136</v>
      </c>
      <c r="C143" t="inlineStr">
        <is>
          <t>WELLS RIVER SAVINGS BANK</t>
        </is>
      </c>
      <c r="D143" t="inlineStr">
        <is>
          <t>VT</t>
        </is>
      </c>
      <c r="E143" t="n">
        <v>238304</v>
      </c>
      <c r="F143" t="n">
        <v>203853</v>
      </c>
      <c r="G143" t="n">
        <v>20010</v>
      </c>
      <c r="H143" s="16" t="n">
        <v>0.6504037713334958</v>
      </c>
      <c r="I143" s="16" t="n">
        <v>7.95</v>
      </c>
      <c r="J143" s="16" t="n">
        <v>4.026150240532873</v>
      </c>
      <c r="K143" s="16" t="n">
        <v>519</v>
      </c>
      <c r="L143" s="16" t="n">
        <v>19</v>
      </c>
      <c r="M143" s="16" t="n">
        <v>0.6112377564568251</v>
      </c>
      <c r="N143" s="16" t="n">
        <v>923</v>
      </c>
      <c r="O143" s="16" t="n">
        <v>457</v>
      </c>
      <c r="P143" s="16" t="n">
        <v>18.57126910019765</v>
      </c>
      <c r="Q143" t="n">
        <v>159676</v>
      </c>
      <c r="R143" t="n">
        <v>158054</v>
      </c>
      <c r="S143" t="n">
        <v>129094</v>
      </c>
      <c r="T143" t="n">
        <v>15533</v>
      </c>
      <c r="U143" t="n">
        <v>14735</v>
      </c>
      <c r="V143" t="n">
        <v>1.015807009193617</v>
      </c>
      <c r="W143" t="n">
        <v>0.01</v>
      </c>
      <c r="X143" s="16">
        <f>IFERROR(K143/E143*100,"")</f>
        <v/>
      </c>
      <c r="Y143" s="16">
        <f>IFERROR((N143+O143)/E143*100,"")</f>
        <v/>
      </c>
      <c r="Z143" s="16">
        <f>IFERROR(R143/F143*100,"")</f>
        <v/>
      </c>
      <c r="AA143" s="16">
        <f>IFERROR(R143/E143*100,"")</f>
        <v/>
      </c>
      <c r="AB143" s="16">
        <f>IFERROR(S143/Q143*100,"")</f>
        <v/>
      </c>
      <c r="AC143" s="16">
        <f>IFERROR(T143/Q143*100,"")</f>
        <v/>
      </c>
      <c r="AD143" s="16">
        <f>IFERROR(U143/Q143*100,"")</f>
        <v/>
      </c>
      <c r="AE143" s="18">
        <f>IFERROR(E143/E139-1,"")</f>
        <v/>
      </c>
      <c r="AF143" s="18">
        <f>IFERROR(R143/R139-1,"")</f>
        <v/>
      </c>
      <c r="AG143" s="18">
        <f>IFERROR(F143/F139-1,"")</f>
        <v/>
      </c>
      <c r="AH143">
        <f>P143&gt;0</f>
        <v/>
      </c>
    </row>
    <row r="144">
      <c r="A144" s="14" t="n">
        <v>45838</v>
      </c>
      <c r="B144" t="n">
        <v>14136</v>
      </c>
      <c r="C144" t="inlineStr">
        <is>
          <t>WELLS RIVER SAVINGS BANK</t>
        </is>
      </c>
      <c r="D144" t="inlineStr">
        <is>
          <t>VT</t>
        </is>
      </c>
      <c r="E144" t="n">
        <v>247991</v>
      </c>
      <c r="F144" t="n">
        <v>212734</v>
      </c>
      <c r="G144" t="n">
        <v>20696</v>
      </c>
      <c r="H144" s="16" t="n">
        <v>0.6016549655180986</v>
      </c>
      <c r="I144" s="16" t="n">
        <v>7.3</v>
      </c>
      <c r="J144" s="16" t="n">
        <v>3.869952851796154</v>
      </c>
      <c r="K144" s="16" t="n">
        <v>543</v>
      </c>
      <c r="L144" s="16" t="n">
        <v>33</v>
      </c>
      <c r="M144" s="16" t="n">
        <v>0.6496248220619104</v>
      </c>
      <c r="N144" s="16" t="n">
        <v>1414</v>
      </c>
      <c r="O144" s="16" t="n">
        <v>534</v>
      </c>
      <c r="P144" s="16" t="n">
        <v>17.65740177182661</v>
      </c>
      <c r="Q144" t="n">
        <v>165788</v>
      </c>
      <c r="R144" t="n">
        <v>164078</v>
      </c>
      <c r="S144" t="n">
        <v>133756</v>
      </c>
      <c r="T144" t="n">
        <v>16458</v>
      </c>
      <c r="U144" t="n">
        <v>15166</v>
      </c>
      <c r="V144" t="n">
        <v>1.031437739764036</v>
      </c>
      <c r="W144" t="n">
        <v>0.1</v>
      </c>
      <c r="X144" s="16">
        <f>IFERROR(K144/E144*100,"")</f>
        <v/>
      </c>
      <c r="Y144" s="16">
        <f>IFERROR((N144+O144)/E144*100,"")</f>
        <v/>
      </c>
      <c r="Z144" s="16">
        <f>IFERROR(R144/F144*100,"")</f>
        <v/>
      </c>
      <c r="AA144" s="16">
        <f>IFERROR(R144/E144*100,"")</f>
        <v/>
      </c>
      <c r="AB144" s="16">
        <f>IFERROR(S144/Q144*100,"")</f>
        <v/>
      </c>
      <c r="AC144" s="16">
        <f>IFERROR(T144/Q144*100,"")</f>
        <v/>
      </c>
      <c r="AD144" s="16">
        <f>IFERROR(U144/Q144*100,"")</f>
        <v/>
      </c>
      <c r="AE144" s="18">
        <f>IFERROR(E144/E140-1,"")</f>
        <v/>
      </c>
      <c r="AF144" s="18">
        <f>IFERROR(R144/R140-1,"")</f>
        <v/>
      </c>
      <c r="AG144" s="18">
        <f>IFERROR(F144/F140-1,"")</f>
        <v/>
      </c>
      <c r="AH144">
        <f>P144&gt;0</f>
        <v/>
      </c>
    </row>
    <row r="145">
      <c r="A145" s="14" t="n">
        <v>44651</v>
      </c>
      <c r="B145" t="n">
        <v>14140</v>
      </c>
      <c r="C145" t="inlineStr">
        <is>
          <t>NORTHFIELD SAVINGS BANK</t>
        </is>
      </c>
      <c r="D145" t="inlineStr">
        <is>
          <t>VT</t>
        </is>
      </c>
      <c r="E145" t="n">
        <v>1414510</v>
      </c>
      <c r="F145" t="n">
        <v>1199427</v>
      </c>
      <c r="G145" t="n">
        <v>123854</v>
      </c>
      <c r="H145" s="16" t="n">
        <v>0.6621263245278248</v>
      </c>
      <c r="I145" s="16" t="n">
        <v>7.07</v>
      </c>
      <c r="J145" s="16" t="n">
        <v>2.969813133609412</v>
      </c>
      <c r="K145" s="16" t="n">
        <v>5589</v>
      </c>
      <c r="L145" s="16" t="n">
        <v>9</v>
      </c>
      <c r="M145" s="16" t="n">
        <v>0.58348392835331</v>
      </c>
      <c r="N145" s="16" t="n">
        <v>785</v>
      </c>
      <c r="O145" s="16" t="n">
        <v>0</v>
      </c>
      <c r="P145" s="16" t="n">
        <v>0</v>
      </c>
      <c r="Q145" t="n">
        <v>957867</v>
      </c>
      <c r="R145" t="n">
        <v>947256</v>
      </c>
      <c r="S145" t="n">
        <v>866005</v>
      </c>
      <c r="T145" t="n">
        <v>82518</v>
      </c>
      <c r="U145" t="n">
        <v>1318</v>
      </c>
      <c r="V145" t="n">
        <v>1.107773834989618</v>
      </c>
      <c r="W145" t="n">
        <v>0</v>
      </c>
      <c r="X145" s="16">
        <f>IFERROR(K145/E145*100,"")</f>
        <v/>
      </c>
      <c r="Y145" s="16">
        <f>IFERROR((N145+O145)/E145*100,"")</f>
        <v/>
      </c>
      <c r="Z145" s="16">
        <f>IFERROR(R145/F145*100,"")</f>
        <v/>
      </c>
      <c r="AA145" s="16">
        <f>IFERROR(R145/E145*100,"")</f>
        <v/>
      </c>
      <c r="AB145" s="16">
        <f>IFERROR(S145/Q145*100,"")</f>
        <v/>
      </c>
      <c r="AC145" s="16">
        <f>IFERROR(T145/Q145*100,"")</f>
        <v/>
      </c>
      <c r="AD145" s="16">
        <f>IFERROR(U145/Q145*100,"")</f>
        <v/>
      </c>
      <c r="AE145" s="18" t="n"/>
      <c r="AF145" s="18" t="n"/>
      <c r="AG145" s="18" t="n"/>
      <c r="AH145">
        <f>P145&gt;0</f>
        <v/>
      </c>
    </row>
    <row r="146">
      <c r="A146" s="14" t="n">
        <v>44742</v>
      </c>
      <c r="B146" t="n">
        <v>14140</v>
      </c>
      <c r="C146" t="inlineStr">
        <is>
          <t>NORTHFIELD SAVINGS BANK</t>
        </is>
      </c>
      <c r="D146" t="inlineStr">
        <is>
          <t>VT</t>
        </is>
      </c>
      <c r="E146" t="n">
        <v>1436600</v>
      </c>
      <c r="F146" t="n">
        <v>1234672</v>
      </c>
      <c r="G146" t="n">
        <v>117324</v>
      </c>
      <c r="H146" s="16" t="n">
        <v>0.7076448260643534</v>
      </c>
      <c r="I146" s="16" t="n">
        <v>7.9</v>
      </c>
      <c r="J146" s="16" t="n">
        <v>3.03639975122093</v>
      </c>
      <c r="K146" s="16" t="n">
        <v>2695</v>
      </c>
      <c r="L146" s="16" t="n">
        <v>26</v>
      </c>
      <c r="M146" s="16" t="n">
        <v>0.2790103466768263</v>
      </c>
      <c r="N146" s="16" t="n">
        <v>499</v>
      </c>
      <c r="O146" s="16" t="n">
        <v>0</v>
      </c>
      <c r="P146" s="16" t="n">
        <v>0</v>
      </c>
      <c r="Q146" t="n">
        <v>965914</v>
      </c>
      <c r="R146" t="n">
        <v>955320</v>
      </c>
      <c r="S146" t="n">
        <v>868077</v>
      </c>
      <c r="T146" t="n">
        <v>88677</v>
      </c>
      <c r="U146" t="n">
        <v>1269</v>
      </c>
      <c r="V146" t="n">
        <v>1.096785013986752</v>
      </c>
      <c r="W146" t="n">
        <v>0</v>
      </c>
      <c r="X146" s="16">
        <f>IFERROR(K146/E146*100,"")</f>
        <v/>
      </c>
      <c r="Y146" s="16">
        <f>IFERROR((N146+O146)/E146*100,"")</f>
        <v/>
      </c>
      <c r="Z146" s="16">
        <f>IFERROR(R146/F146*100,"")</f>
        <v/>
      </c>
      <c r="AA146" s="16">
        <f>IFERROR(R146/E146*100,"")</f>
        <v/>
      </c>
      <c r="AB146" s="16">
        <f>IFERROR(S146/Q146*100,"")</f>
        <v/>
      </c>
      <c r="AC146" s="16">
        <f>IFERROR(T146/Q146*100,"")</f>
        <v/>
      </c>
      <c r="AD146" s="16">
        <f>IFERROR(U146/Q146*100,"")</f>
        <v/>
      </c>
      <c r="AE146" s="18" t="n"/>
      <c r="AF146" s="18" t="n"/>
      <c r="AG146" s="18" t="n"/>
      <c r="AH146">
        <f>P146&gt;0</f>
        <v/>
      </c>
    </row>
    <row r="147">
      <c r="A147" s="14" t="n">
        <v>44834</v>
      </c>
      <c r="B147" t="n">
        <v>14140</v>
      </c>
      <c r="C147" t="inlineStr">
        <is>
          <t>NORTHFIELD SAVINGS BANK</t>
        </is>
      </c>
      <c r="D147" t="inlineStr">
        <is>
          <t>VT</t>
        </is>
      </c>
      <c r="E147" t="n">
        <v>1443158</v>
      </c>
      <c r="F147" t="n">
        <v>1246266</v>
      </c>
      <c r="G147" t="n">
        <v>107668</v>
      </c>
      <c r="H147" s="16" t="n">
        <v>0.69874825034993</v>
      </c>
      <c r="I147" s="16" t="n">
        <v>8.140000000000001</v>
      </c>
      <c r="J147" s="16" t="n">
        <v>3.076606605677044</v>
      </c>
      <c r="K147" s="16" t="n">
        <v>2457</v>
      </c>
      <c r="L147" s="16" t="n">
        <v>58</v>
      </c>
      <c r="M147" s="16" t="n">
        <v>0.2560089691705601</v>
      </c>
      <c r="N147" s="16" t="n">
        <v>187</v>
      </c>
      <c r="O147" s="16" t="n">
        <v>0</v>
      </c>
      <c r="P147" s="16" t="n">
        <v>0</v>
      </c>
      <c r="Q147" t="n">
        <v>959732</v>
      </c>
      <c r="R147" t="n">
        <v>949170</v>
      </c>
      <c r="S147" t="n">
        <v>868686</v>
      </c>
      <c r="T147" t="n">
        <v>82112</v>
      </c>
      <c r="U147" t="n">
        <v>1215</v>
      </c>
      <c r="V147" t="n">
        <v>1.100515560593999</v>
      </c>
      <c r="W147" t="n">
        <v>0</v>
      </c>
      <c r="X147" s="16">
        <f>IFERROR(K147/E147*100,"")</f>
        <v/>
      </c>
      <c r="Y147" s="16">
        <f>IFERROR((N147+O147)/E147*100,"")</f>
        <v/>
      </c>
      <c r="Z147" s="16">
        <f>IFERROR(R147/F147*100,"")</f>
        <v/>
      </c>
      <c r="AA147" s="16">
        <f>IFERROR(R147/E147*100,"")</f>
        <v/>
      </c>
      <c r="AB147" s="16">
        <f>IFERROR(S147/Q147*100,"")</f>
        <v/>
      </c>
      <c r="AC147" s="16">
        <f>IFERROR(T147/Q147*100,"")</f>
        <v/>
      </c>
      <c r="AD147" s="16">
        <f>IFERROR(U147/Q147*100,"")</f>
        <v/>
      </c>
      <c r="AE147" s="18" t="n"/>
      <c r="AF147" s="18" t="n"/>
      <c r="AG147" s="18" t="n"/>
      <c r="AH147">
        <f>P147&gt;0</f>
        <v/>
      </c>
    </row>
    <row r="148">
      <c r="A148" s="14" t="n">
        <v>44926</v>
      </c>
      <c r="B148" t="n">
        <v>14140</v>
      </c>
      <c r="C148" t="inlineStr">
        <is>
          <t>NORTHFIELD SAVINGS BANK</t>
        </is>
      </c>
      <c r="D148" t="inlineStr">
        <is>
          <t>VT</t>
        </is>
      </c>
      <c r="E148" t="n">
        <v>1414255</v>
      </c>
      <c r="F148" t="n">
        <v>1185491</v>
      </c>
      <c r="G148" t="n">
        <v>113940</v>
      </c>
      <c r="H148" s="16" t="n">
        <v>0.7064306141122418</v>
      </c>
      <c r="I148" s="16" t="n">
        <v>8.33</v>
      </c>
      <c r="J148" s="16" t="n">
        <v>3.115890741540425</v>
      </c>
      <c r="K148" s="16" t="n">
        <v>2462</v>
      </c>
      <c r="L148" s="16" t="n">
        <v>76</v>
      </c>
      <c r="M148" s="16" t="n">
        <v>0.2528268444190681</v>
      </c>
      <c r="N148" s="16" t="n">
        <v>734</v>
      </c>
      <c r="O148" s="16" t="n">
        <v>0</v>
      </c>
      <c r="P148" s="16" t="n">
        <v>0</v>
      </c>
      <c r="Q148" t="n">
        <v>973789</v>
      </c>
      <c r="R148" t="n">
        <v>963245</v>
      </c>
      <c r="S148" t="n">
        <v>878159</v>
      </c>
      <c r="T148" t="n">
        <v>86826</v>
      </c>
      <c r="U148" t="n">
        <v>1204</v>
      </c>
      <c r="V148" t="n">
        <v>1.082780766675327</v>
      </c>
      <c r="W148" t="n">
        <v>0</v>
      </c>
      <c r="X148" s="16">
        <f>IFERROR(K148/E148*100,"")</f>
        <v/>
      </c>
      <c r="Y148" s="16">
        <f>IFERROR((N148+O148)/E148*100,"")</f>
        <v/>
      </c>
      <c r="Z148" s="16">
        <f>IFERROR(R148/F148*100,"")</f>
        <v/>
      </c>
      <c r="AA148" s="16">
        <f>IFERROR(R148/E148*100,"")</f>
        <v/>
      </c>
      <c r="AB148" s="16">
        <f>IFERROR(S148/Q148*100,"")</f>
        <v/>
      </c>
      <c r="AC148" s="16">
        <f>IFERROR(T148/Q148*100,"")</f>
        <v/>
      </c>
      <c r="AD148" s="16">
        <f>IFERROR(U148/Q148*100,"")</f>
        <v/>
      </c>
      <c r="AE148" s="18" t="n"/>
      <c r="AF148" s="18" t="n"/>
      <c r="AG148" s="18" t="n"/>
      <c r="AH148">
        <f>P148&gt;0</f>
        <v/>
      </c>
    </row>
    <row r="149">
      <c r="A149" s="14" t="n">
        <v>45016</v>
      </c>
      <c r="B149" t="n">
        <v>14140</v>
      </c>
      <c r="C149" t="inlineStr">
        <is>
          <t>NORTHFIELD SAVINGS BANK</t>
        </is>
      </c>
      <c r="D149" t="inlineStr">
        <is>
          <t>VT</t>
        </is>
      </c>
      <c r="E149" t="n">
        <v>1413583</v>
      </c>
      <c r="F149" t="n">
        <v>1126353</v>
      </c>
      <c r="G149" t="n">
        <v>121200</v>
      </c>
      <c r="H149" s="16" t="n">
        <v>0.454340029379335</v>
      </c>
      <c r="I149" s="16" t="n">
        <v>5.46</v>
      </c>
      <c r="J149" s="16" t="n">
        <v>2.94879850271109</v>
      </c>
      <c r="K149" s="16" t="n">
        <v>2395</v>
      </c>
      <c r="L149" s="16" t="n">
        <v>23</v>
      </c>
      <c r="M149" s="16" t="n">
        <v>0.2411001819073188</v>
      </c>
      <c r="N149" s="16" t="n">
        <v>1113</v>
      </c>
      <c r="O149" s="16" t="n">
        <v>0</v>
      </c>
      <c r="P149" s="16" t="n">
        <v>0</v>
      </c>
      <c r="Q149" t="n">
        <v>993363</v>
      </c>
      <c r="R149" t="n">
        <v>985236</v>
      </c>
      <c r="S149" t="n">
        <v>890367</v>
      </c>
      <c r="T149" t="n">
        <v>88947</v>
      </c>
      <c r="U149" t="n">
        <v>1356</v>
      </c>
      <c r="V149" t="n">
        <v>0.8181299283343552</v>
      </c>
      <c r="W149" t="n">
        <v>0.04</v>
      </c>
      <c r="X149" s="16">
        <f>IFERROR(K149/E149*100,"")</f>
        <v/>
      </c>
      <c r="Y149" s="16">
        <f>IFERROR((N149+O149)/E149*100,"")</f>
        <v/>
      </c>
      <c r="Z149" s="16">
        <f>IFERROR(R149/F149*100,"")</f>
        <v/>
      </c>
      <c r="AA149" s="16">
        <f>IFERROR(R149/E149*100,"")</f>
        <v/>
      </c>
      <c r="AB149" s="16">
        <f>IFERROR(S149/Q149*100,"")</f>
        <v/>
      </c>
      <c r="AC149" s="16">
        <f>IFERROR(T149/Q149*100,"")</f>
        <v/>
      </c>
      <c r="AD149" s="16">
        <f>IFERROR(U149/Q149*100,"")</f>
        <v/>
      </c>
      <c r="AE149" s="18">
        <f>IFERROR(E149/E145-1,"")</f>
        <v/>
      </c>
      <c r="AF149" s="18">
        <f>IFERROR(R149/R145-1,"")</f>
        <v/>
      </c>
      <c r="AG149" s="18">
        <f>IFERROR(F149/F145-1,"")</f>
        <v/>
      </c>
      <c r="AH149">
        <f>P149&gt;0</f>
        <v/>
      </c>
    </row>
    <row r="150">
      <c r="A150" s="14" t="n">
        <v>45107</v>
      </c>
      <c r="B150" t="n">
        <v>14140</v>
      </c>
      <c r="C150" t="inlineStr">
        <is>
          <t>NORTHFIELD SAVINGS BANK</t>
        </is>
      </c>
      <c r="D150" t="inlineStr">
        <is>
          <t>VT</t>
        </is>
      </c>
      <c r="E150" t="n">
        <v>1455126</v>
      </c>
      <c r="F150" t="n">
        <v>1135506</v>
      </c>
      <c r="G150" t="n">
        <v>119184</v>
      </c>
      <c r="H150" s="16" t="n">
        <v>0.3397180083699045</v>
      </c>
      <c r="I150" s="16" t="n">
        <v>4.11</v>
      </c>
      <c r="J150" s="16" t="n">
        <v>2.760216061629901</v>
      </c>
      <c r="K150" s="16" t="n">
        <v>4474</v>
      </c>
      <c r="L150" s="16" t="n">
        <v>18</v>
      </c>
      <c r="M150" s="16" t="n">
        <v>0.4417120736278936</v>
      </c>
      <c r="N150" s="16" t="n">
        <v>169</v>
      </c>
      <c r="O150" s="16" t="n">
        <v>0</v>
      </c>
      <c r="P150" s="16" t="n">
        <v>0</v>
      </c>
      <c r="Q150" t="n">
        <v>1012877</v>
      </c>
      <c r="R150" t="n">
        <v>1004595</v>
      </c>
      <c r="S150" t="n">
        <v>902092</v>
      </c>
      <c r="T150" t="n">
        <v>93803</v>
      </c>
      <c r="U150" t="n">
        <v>1397</v>
      </c>
      <c r="V150" t="n">
        <v>0.8176708524332175</v>
      </c>
      <c r="W150" t="n">
        <v>0.04</v>
      </c>
      <c r="X150" s="16">
        <f>IFERROR(K150/E150*100,"")</f>
        <v/>
      </c>
      <c r="Y150" s="16">
        <f>IFERROR((N150+O150)/E150*100,"")</f>
        <v/>
      </c>
      <c r="Z150" s="16">
        <f>IFERROR(R150/F150*100,"")</f>
        <v/>
      </c>
      <c r="AA150" s="16">
        <f>IFERROR(R150/E150*100,"")</f>
        <v/>
      </c>
      <c r="AB150" s="16">
        <f>IFERROR(S150/Q150*100,"")</f>
        <v/>
      </c>
      <c r="AC150" s="16">
        <f>IFERROR(T150/Q150*100,"")</f>
        <v/>
      </c>
      <c r="AD150" s="16">
        <f>IFERROR(U150/Q150*100,"")</f>
        <v/>
      </c>
      <c r="AE150" s="18">
        <f>IFERROR(E150/E146-1,"")</f>
        <v/>
      </c>
      <c r="AF150" s="18">
        <f>IFERROR(R150/R146-1,"")</f>
        <v/>
      </c>
      <c r="AG150" s="18">
        <f>IFERROR(F150/F146-1,"")</f>
        <v/>
      </c>
      <c r="AH150">
        <f>P150&gt;0</f>
        <v/>
      </c>
    </row>
    <row r="151">
      <c r="A151" s="14" t="n">
        <v>45199</v>
      </c>
      <c r="B151" t="n">
        <v>14140</v>
      </c>
      <c r="C151" t="inlineStr">
        <is>
          <t>NORTHFIELD SAVINGS BANK</t>
        </is>
      </c>
      <c r="D151" t="inlineStr">
        <is>
          <t>VT</t>
        </is>
      </c>
      <c r="E151" t="n">
        <v>1446742</v>
      </c>
      <c r="F151" t="n">
        <v>1144937</v>
      </c>
      <c r="G151" t="n">
        <v>114596</v>
      </c>
      <c r="H151" s="16" t="n">
        <v>0.2825903318599593</v>
      </c>
      <c r="I151" s="16" t="n">
        <v>3.45</v>
      </c>
      <c r="J151" s="16" t="n">
        <v>2.699639455303799</v>
      </c>
      <c r="K151" s="16" t="n">
        <v>4596</v>
      </c>
      <c r="L151" s="16" t="n">
        <v>38</v>
      </c>
      <c r="M151" s="16" t="n">
        <v>0.4471304266612704</v>
      </c>
      <c r="N151" s="16" t="n">
        <v>265</v>
      </c>
      <c r="O151" s="16" t="n">
        <v>0</v>
      </c>
      <c r="P151" s="16" t="n">
        <v>0</v>
      </c>
      <c r="Q151" t="n">
        <v>1027888</v>
      </c>
      <c r="R151" t="n">
        <v>1019526</v>
      </c>
      <c r="S151" t="n">
        <v>915552</v>
      </c>
      <c r="T151" t="n">
        <v>85696</v>
      </c>
      <c r="U151" t="n">
        <v>1520</v>
      </c>
      <c r="V151" t="n">
        <v>0.8135127562535995</v>
      </c>
      <c r="W151" t="n">
        <v>0.04</v>
      </c>
      <c r="X151" s="16">
        <f>IFERROR(K151/E151*100,"")</f>
        <v/>
      </c>
      <c r="Y151" s="16">
        <f>IFERROR((N151+O151)/E151*100,"")</f>
        <v/>
      </c>
      <c r="Z151" s="16">
        <f>IFERROR(R151/F151*100,"")</f>
        <v/>
      </c>
      <c r="AA151" s="16">
        <f>IFERROR(R151/E151*100,"")</f>
        <v/>
      </c>
      <c r="AB151" s="16">
        <f>IFERROR(S151/Q151*100,"")</f>
        <v/>
      </c>
      <c r="AC151" s="16">
        <f>IFERROR(T151/Q151*100,"")</f>
        <v/>
      </c>
      <c r="AD151" s="16">
        <f>IFERROR(U151/Q151*100,"")</f>
        <v/>
      </c>
      <c r="AE151" s="18">
        <f>IFERROR(E151/E147-1,"")</f>
        <v/>
      </c>
      <c r="AF151" s="18">
        <f>IFERROR(R151/R147-1,"")</f>
        <v/>
      </c>
      <c r="AG151" s="18">
        <f>IFERROR(F151/F147-1,"")</f>
        <v/>
      </c>
      <c r="AH151">
        <f>P151&gt;0</f>
        <v/>
      </c>
    </row>
    <row r="152">
      <c r="A152" s="14" t="n">
        <v>45291</v>
      </c>
      <c r="B152" t="n">
        <v>14140</v>
      </c>
      <c r="C152" t="inlineStr">
        <is>
          <t>NORTHFIELD SAVINGS BANK</t>
        </is>
      </c>
      <c r="D152" t="inlineStr">
        <is>
          <t>VT</t>
        </is>
      </c>
      <c r="E152" t="n">
        <v>1504702</v>
      </c>
      <c r="F152" t="n">
        <v>1190702</v>
      </c>
      <c r="G152" t="n">
        <v>126249</v>
      </c>
      <c r="H152" s="16" t="n">
        <v>0.2206814987487573</v>
      </c>
      <c r="I152" s="16" t="n">
        <v>2.68</v>
      </c>
      <c r="J152" s="16" t="n">
        <v>2.638725974634269</v>
      </c>
      <c r="K152" s="16" t="n">
        <v>4671</v>
      </c>
      <c r="L152" s="16" t="n">
        <v>67</v>
      </c>
      <c r="M152" s="16" t="n">
        <v>0.4492763102209158</v>
      </c>
      <c r="N152" s="16" t="n">
        <v>1538</v>
      </c>
      <c r="O152" s="16" t="n">
        <v>0</v>
      </c>
      <c r="P152" s="16" t="n">
        <v>0</v>
      </c>
      <c r="Q152" t="n">
        <v>1039672</v>
      </c>
      <c r="R152" t="n">
        <v>1031139</v>
      </c>
      <c r="S152" t="n">
        <v>927729</v>
      </c>
      <c r="T152" t="n">
        <v>93067</v>
      </c>
      <c r="U152" t="n">
        <v>1491</v>
      </c>
      <c r="V152" t="n">
        <v>0.8207396178794851</v>
      </c>
      <c r="W152" t="n">
        <v>0.03</v>
      </c>
      <c r="X152" s="16">
        <f>IFERROR(K152/E152*100,"")</f>
        <v/>
      </c>
      <c r="Y152" s="16">
        <f>IFERROR((N152+O152)/E152*100,"")</f>
        <v/>
      </c>
      <c r="Z152" s="16">
        <f>IFERROR(R152/F152*100,"")</f>
        <v/>
      </c>
      <c r="AA152" s="16">
        <f>IFERROR(R152/E152*100,"")</f>
        <v/>
      </c>
      <c r="AB152" s="16">
        <f>IFERROR(S152/Q152*100,"")</f>
        <v/>
      </c>
      <c r="AC152" s="16">
        <f>IFERROR(T152/Q152*100,"")</f>
        <v/>
      </c>
      <c r="AD152" s="16">
        <f>IFERROR(U152/Q152*100,"")</f>
        <v/>
      </c>
      <c r="AE152" s="18">
        <f>IFERROR(E152/E148-1,"")</f>
        <v/>
      </c>
      <c r="AF152" s="18">
        <f>IFERROR(R152/R148-1,"")</f>
        <v/>
      </c>
      <c r="AG152" s="18">
        <f>IFERROR(F152/F148-1,"")</f>
        <v/>
      </c>
      <c r="AH152">
        <f>P152&gt;0</f>
        <v/>
      </c>
    </row>
    <row r="153">
      <c r="A153" s="14" t="n">
        <v>45382</v>
      </c>
      <c r="B153" t="n">
        <v>14140</v>
      </c>
      <c r="C153" t="inlineStr">
        <is>
          <t>NORTHFIELD SAVINGS BANK</t>
        </is>
      </c>
      <c r="D153" t="inlineStr">
        <is>
          <t>VT</t>
        </is>
      </c>
      <c r="E153" t="n">
        <v>1501419</v>
      </c>
      <c r="F153" t="n">
        <v>1223701</v>
      </c>
      <c r="G153" t="n">
        <v>125756</v>
      </c>
      <c r="H153" s="16" t="n">
        <v>0.2661236856400657</v>
      </c>
      <c r="I153" s="16" t="n">
        <v>3.17</v>
      </c>
      <c r="J153" s="16" t="n">
        <v>2.391615610313735</v>
      </c>
      <c r="K153" s="16" t="n">
        <v>4548</v>
      </c>
      <c r="L153" s="16" t="n">
        <v>7</v>
      </c>
      <c r="M153" s="16" t="n">
        <v>0.430497552184103</v>
      </c>
      <c r="N153" s="16" t="n">
        <v>85</v>
      </c>
      <c r="O153" s="16" t="n">
        <v>0</v>
      </c>
      <c r="P153" s="16" t="n">
        <v>0</v>
      </c>
      <c r="Q153" t="n">
        <v>1056452</v>
      </c>
      <c r="R153" t="n">
        <v>1047556</v>
      </c>
      <c r="S153" t="n">
        <v>938480</v>
      </c>
      <c r="T153" t="n">
        <v>86843</v>
      </c>
      <c r="U153" t="n">
        <v>1578</v>
      </c>
      <c r="V153" t="n">
        <v>0.8420638135949385</v>
      </c>
      <c r="W153" t="n">
        <v>0.03</v>
      </c>
      <c r="X153" s="16">
        <f>IFERROR(K153/E153*100,"")</f>
        <v/>
      </c>
      <c r="Y153" s="16">
        <f>IFERROR((N153+O153)/E153*100,"")</f>
        <v/>
      </c>
      <c r="Z153" s="16">
        <f>IFERROR(R153/F153*100,"")</f>
        <v/>
      </c>
      <c r="AA153" s="16">
        <f>IFERROR(R153/E153*100,"")</f>
        <v/>
      </c>
      <c r="AB153" s="16">
        <f>IFERROR(S153/Q153*100,"")</f>
        <v/>
      </c>
      <c r="AC153" s="16">
        <f>IFERROR(T153/Q153*100,"")</f>
        <v/>
      </c>
      <c r="AD153" s="16">
        <f>IFERROR(U153/Q153*100,"")</f>
        <v/>
      </c>
      <c r="AE153" s="18">
        <f>IFERROR(E153/E149-1,"")</f>
        <v/>
      </c>
      <c r="AF153" s="18">
        <f>IFERROR(R153/R149-1,"")</f>
        <v/>
      </c>
      <c r="AG153" s="18">
        <f>IFERROR(F153/F149-1,"")</f>
        <v/>
      </c>
      <c r="AH153">
        <f>P153&gt;0</f>
        <v/>
      </c>
    </row>
    <row r="154">
      <c r="A154" s="14" t="n">
        <v>45473</v>
      </c>
      <c r="B154" t="n">
        <v>14140</v>
      </c>
      <c r="C154" t="inlineStr">
        <is>
          <t>NORTHFIELD SAVINGS BANK</t>
        </is>
      </c>
      <c r="D154" t="inlineStr">
        <is>
          <t>VT</t>
        </is>
      </c>
      <c r="E154" t="n">
        <v>1498757</v>
      </c>
      <c r="F154" t="n">
        <v>1198797</v>
      </c>
      <c r="G154" t="n">
        <v>127558</v>
      </c>
      <c r="H154" s="16" t="n">
        <v>0.2916838147448166</v>
      </c>
      <c r="I154" s="16" t="n">
        <v>3.46</v>
      </c>
      <c r="J154" s="16" t="n">
        <v>2.374505639863061</v>
      </c>
      <c r="K154" s="16" t="n">
        <v>2046</v>
      </c>
      <c r="L154" s="16" t="n">
        <v>39</v>
      </c>
      <c r="M154" s="16" t="n">
        <v>0.1900628526520549</v>
      </c>
      <c r="N154" s="16" t="n">
        <v>23</v>
      </c>
      <c r="O154" s="16" t="n">
        <v>0</v>
      </c>
      <c r="P154" s="16" t="n">
        <v>0</v>
      </c>
      <c r="Q154" t="n">
        <v>1076486</v>
      </c>
      <c r="R154" t="n">
        <v>1067922</v>
      </c>
      <c r="S154" t="n">
        <v>949990</v>
      </c>
      <c r="T154" t="n">
        <v>93355</v>
      </c>
      <c r="U154" t="n">
        <v>1569</v>
      </c>
      <c r="V154" t="n">
        <v>0.7955514516677411</v>
      </c>
      <c r="W154" t="n">
        <v>-0.07000000000000001</v>
      </c>
      <c r="X154" s="16">
        <f>IFERROR(K154/E154*100,"")</f>
        <v/>
      </c>
      <c r="Y154" s="16">
        <f>IFERROR((N154+O154)/E154*100,"")</f>
        <v/>
      </c>
      <c r="Z154" s="16">
        <f>IFERROR(R154/F154*100,"")</f>
        <v/>
      </c>
      <c r="AA154" s="16">
        <f>IFERROR(R154/E154*100,"")</f>
        <v/>
      </c>
      <c r="AB154" s="16">
        <f>IFERROR(S154/Q154*100,"")</f>
        <v/>
      </c>
      <c r="AC154" s="16">
        <f>IFERROR(T154/Q154*100,"")</f>
        <v/>
      </c>
      <c r="AD154" s="16">
        <f>IFERROR(U154/Q154*100,"")</f>
        <v/>
      </c>
      <c r="AE154" s="18">
        <f>IFERROR(E154/E150-1,"")</f>
        <v/>
      </c>
      <c r="AF154" s="18">
        <f>IFERROR(R154/R150-1,"")</f>
        <v/>
      </c>
      <c r="AG154" s="18">
        <f>IFERROR(F154/F150-1,"")</f>
        <v/>
      </c>
      <c r="AH154">
        <f>P154&gt;0</f>
        <v/>
      </c>
    </row>
    <row r="155">
      <c r="A155" s="14" t="n">
        <v>45565</v>
      </c>
      <c r="B155" t="n">
        <v>14140</v>
      </c>
      <c r="C155" t="inlineStr">
        <is>
          <t>NORTHFIELD SAVINGS BANK</t>
        </is>
      </c>
      <c r="D155" t="inlineStr">
        <is>
          <t>VT</t>
        </is>
      </c>
      <c r="E155" t="n">
        <v>1527182</v>
      </c>
      <c r="F155" t="n">
        <v>1238363</v>
      </c>
      <c r="G155" t="n">
        <v>137226</v>
      </c>
      <c r="H155" s="16" t="n">
        <v>0.2890261502703885</v>
      </c>
      <c r="I155" s="16" t="n">
        <v>3.37</v>
      </c>
      <c r="J155" s="16" t="n">
        <v>2.38536873804973</v>
      </c>
      <c r="K155" s="16" t="n">
        <v>2124</v>
      </c>
      <c r="L155" s="16" t="n">
        <v>48</v>
      </c>
      <c r="M155" s="16" t="n">
        <v>0.1944426389637782</v>
      </c>
      <c r="N155" s="16" t="n">
        <v>25</v>
      </c>
      <c r="O155" s="16" t="n">
        <v>0</v>
      </c>
      <c r="P155" s="16" t="n">
        <v>0</v>
      </c>
      <c r="Q155" t="n">
        <v>1092353</v>
      </c>
      <c r="R155" t="n">
        <v>1083798</v>
      </c>
      <c r="S155" t="n">
        <v>974171</v>
      </c>
      <c r="T155" t="n">
        <v>88796</v>
      </c>
      <c r="U155" t="n">
        <v>1620</v>
      </c>
      <c r="V155" t="n">
        <v>0.7831717402707732</v>
      </c>
      <c r="W155" t="n">
        <v>-0.04</v>
      </c>
      <c r="X155" s="16">
        <f>IFERROR(K155/E155*100,"")</f>
        <v/>
      </c>
      <c r="Y155" s="16">
        <f>IFERROR((N155+O155)/E155*100,"")</f>
        <v/>
      </c>
      <c r="Z155" s="16">
        <f>IFERROR(R155/F155*100,"")</f>
        <v/>
      </c>
      <c r="AA155" s="16">
        <f>IFERROR(R155/E155*100,"")</f>
        <v/>
      </c>
      <c r="AB155" s="16">
        <f>IFERROR(S155/Q155*100,"")</f>
        <v/>
      </c>
      <c r="AC155" s="16">
        <f>IFERROR(T155/Q155*100,"")</f>
        <v/>
      </c>
      <c r="AD155" s="16">
        <f>IFERROR(U155/Q155*100,"")</f>
        <v/>
      </c>
      <c r="AE155" s="18">
        <f>IFERROR(E155/E151-1,"")</f>
        <v/>
      </c>
      <c r="AF155" s="18">
        <f>IFERROR(R155/R151-1,"")</f>
        <v/>
      </c>
      <c r="AG155" s="18">
        <f>IFERROR(F155/F151-1,"")</f>
        <v/>
      </c>
      <c r="AH155">
        <f>P155&gt;0</f>
        <v/>
      </c>
    </row>
    <row r="156">
      <c r="A156" s="14" t="n">
        <v>45657</v>
      </c>
      <c r="B156" t="n">
        <v>14140</v>
      </c>
      <c r="C156" t="inlineStr">
        <is>
          <t>NORTHFIELD SAVINGS BANK</t>
        </is>
      </c>
      <c r="D156" t="inlineStr">
        <is>
          <t>VT</t>
        </is>
      </c>
      <c r="E156" t="n">
        <v>1558316</v>
      </c>
      <c r="F156" t="n">
        <v>1234041</v>
      </c>
      <c r="G156" t="n">
        <v>133315</v>
      </c>
      <c r="H156" s="16" t="n">
        <v>0.3082192502716598</v>
      </c>
      <c r="I156" s="16" t="n">
        <v>3.6</v>
      </c>
      <c r="J156" s="16" t="n">
        <v>2.414444871215192</v>
      </c>
      <c r="K156" s="16" t="n">
        <v>5344</v>
      </c>
      <c r="L156" s="16" t="n">
        <v>50</v>
      </c>
      <c r="M156" s="16" t="n">
        <v>0.4855656876605983</v>
      </c>
      <c r="N156" s="16" t="n">
        <v>798</v>
      </c>
      <c r="O156" s="16" t="n">
        <v>0</v>
      </c>
      <c r="P156" s="16" t="n">
        <v>0</v>
      </c>
      <c r="Q156" t="n">
        <v>1100572</v>
      </c>
      <c r="R156" t="n">
        <v>1091944</v>
      </c>
      <c r="S156" t="n">
        <v>975721</v>
      </c>
      <c r="T156" t="n">
        <v>95021</v>
      </c>
      <c r="U156" t="n">
        <v>1556</v>
      </c>
      <c r="V156" t="n">
        <v>0.7839559792544242</v>
      </c>
      <c r="W156" t="n">
        <v>-0.03</v>
      </c>
      <c r="X156" s="16">
        <f>IFERROR(K156/E156*100,"")</f>
        <v/>
      </c>
      <c r="Y156" s="16">
        <f>IFERROR((N156+O156)/E156*100,"")</f>
        <v/>
      </c>
      <c r="Z156" s="16">
        <f>IFERROR(R156/F156*100,"")</f>
        <v/>
      </c>
      <c r="AA156" s="16">
        <f>IFERROR(R156/E156*100,"")</f>
        <v/>
      </c>
      <c r="AB156" s="16">
        <f>IFERROR(S156/Q156*100,"")</f>
        <v/>
      </c>
      <c r="AC156" s="16">
        <f>IFERROR(T156/Q156*100,"")</f>
        <v/>
      </c>
      <c r="AD156" s="16">
        <f>IFERROR(U156/Q156*100,"")</f>
        <v/>
      </c>
      <c r="AE156" s="18">
        <f>IFERROR(E156/E152-1,"")</f>
        <v/>
      </c>
      <c r="AF156" s="18">
        <f>IFERROR(R156/R152-1,"")</f>
        <v/>
      </c>
      <c r="AG156" s="18">
        <f>IFERROR(F156/F152-1,"")</f>
        <v/>
      </c>
      <c r="AH156">
        <f>P156&gt;0</f>
        <v/>
      </c>
    </row>
    <row r="157">
      <c r="A157" s="14" t="n">
        <v>45747</v>
      </c>
      <c r="B157" t="n">
        <v>14140</v>
      </c>
      <c r="C157" t="inlineStr">
        <is>
          <t>NORTHFIELD SAVINGS BANK</t>
        </is>
      </c>
      <c r="D157" t="inlineStr">
        <is>
          <t>VT</t>
        </is>
      </c>
      <c r="E157" t="n">
        <v>1555515</v>
      </c>
      <c r="F157" t="n">
        <v>1282177</v>
      </c>
      <c r="G157" t="n">
        <v>138738</v>
      </c>
      <c r="H157" s="16" t="n">
        <v>0.2250603838165912</v>
      </c>
      <c r="I157" s="16" t="n">
        <v>2.58</v>
      </c>
      <c r="J157" s="16" t="n">
        <v>2.546528562816236</v>
      </c>
      <c r="K157" s="16" t="n">
        <v>6970</v>
      </c>
      <c r="L157" s="16" t="n">
        <v>5</v>
      </c>
      <c r="M157" s="16" t="n">
        <v>0.6349356729088343</v>
      </c>
      <c r="N157" s="16" t="n">
        <v>643</v>
      </c>
      <c r="O157" s="16" t="n">
        <v>0</v>
      </c>
      <c r="P157" s="16" t="n">
        <v>0</v>
      </c>
      <c r="Q157" t="n">
        <v>1097749</v>
      </c>
      <c r="R157" t="n">
        <v>1088936</v>
      </c>
      <c r="S157" t="n">
        <v>973336</v>
      </c>
      <c r="T157" t="n">
        <v>92164</v>
      </c>
      <c r="U157" t="n">
        <v>1649</v>
      </c>
      <c r="V157" t="n">
        <v>0.8028246894326481</v>
      </c>
      <c r="W157" t="n">
        <v>0.06</v>
      </c>
      <c r="X157" s="16">
        <f>IFERROR(K157/E157*100,"")</f>
        <v/>
      </c>
      <c r="Y157" s="16">
        <f>IFERROR((N157+O157)/E157*100,"")</f>
        <v/>
      </c>
      <c r="Z157" s="16">
        <f>IFERROR(R157/F157*100,"")</f>
        <v/>
      </c>
      <c r="AA157" s="16">
        <f>IFERROR(R157/E157*100,"")</f>
        <v/>
      </c>
      <c r="AB157" s="16">
        <f>IFERROR(S157/Q157*100,"")</f>
        <v/>
      </c>
      <c r="AC157" s="16">
        <f>IFERROR(T157/Q157*100,"")</f>
        <v/>
      </c>
      <c r="AD157" s="16">
        <f>IFERROR(U157/Q157*100,"")</f>
        <v/>
      </c>
      <c r="AE157" s="18">
        <f>IFERROR(E157/E153-1,"")</f>
        <v/>
      </c>
      <c r="AF157" s="18">
        <f>IFERROR(R157/R153-1,"")</f>
        <v/>
      </c>
      <c r="AG157" s="18">
        <f>IFERROR(F157/F153-1,"")</f>
        <v/>
      </c>
      <c r="AH157">
        <f>P157&gt;0</f>
        <v/>
      </c>
    </row>
    <row r="158">
      <c r="A158" s="14" t="n">
        <v>45838</v>
      </c>
      <c r="B158" t="n">
        <v>14140</v>
      </c>
      <c r="C158" t="inlineStr">
        <is>
          <t>NORTHFIELD SAVINGS BANK</t>
        </is>
      </c>
      <c r="D158" t="inlineStr">
        <is>
          <t>VT</t>
        </is>
      </c>
      <c r="E158" t="n">
        <v>1560737</v>
      </c>
      <c r="F158" t="n">
        <v>1280949</v>
      </c>
      <c r="G158" t="n">
        <v>142689</v>
      </c>
      <c r="H158" s="16" t="n">
        <v>0.3192166634435524</v>
      </c>
      <c r="I158" s="16" t="n">
        <v>3.6</v>
      </c>
      <c r="J158" s="16" t="n">
        <v>2.580545685512823</v>
      </c>
      <c r="K158" s="16" t="n">
        <v>7436</v>
      </c>
      <c r="L158" s="16" t="n">
        <v>28</v>
      </c>
      <c r="M158" s="16" t="n">
        <v>0.6728498393883183</v>
      </c>
      <c r="N158" s="16" t="n">
        <v>4583</v>
      </c>
      <c r="O158" s="16" t="n">
        <v>0</v>
      </c>
      <c r="P158" s="16" t="n">
        <v>0</v>
      </c>
      <c r="Q158" t="n">
        <v>1105150</v>
      </c>
      <c r="R158" t="n">
        <v>1096220</v>
      </c>
      <c r="S158" t="n">
        <v>976988</v>
      </c>
      <c r="T158" t="n">
        <v>95042</v>
      </c>
      <c r="U158" t="n">
        <v>1711</v>
      </c>
      <c r="V158" t="n">
        <v>0.8080351083563317</v>
      </c>
      <c r="W158" t="n">
        <v>0.06</v>
      </c>
      <c r="X158" s="16">
        <f>IFERROR(K158/E158*100,"")</f>
        <v/>
      </c>
      <c r="Y158" s="16">
        <f>IFERROR((N158+O158)/E158*100,"")</f>
        <v/>
      </c>
      <c r="Z158" s="16">
        <f>IFERROR(R158/F158*100,"")</f>
        <v/>
      </c>
      <c r="AA158" s="16">
        <f>IFERROR(R158/E158*100,"")</f>
        <v/>
      </c>
      <c r="AB158" s="16">
        <f>IFERROR(S158/Q158*100,"")</f>
        <v/>
      </c>
      <c r="AC158" s="16">
        <f>IFERROR(T158/Q158*100,"")</f>
        <v/>
      </c>
      <c r="AD158" s="16">
        <f>IFERROR(U158/Q158*100,"")</f>
        <v/>
      </c>
      <c r="AE158" s="18">
        <f>IFERROR(E158/E154-1,"")</f>
        <v/>
      </c>
      <c r="AF158" s="18">
        <f>IFERROR(R158/R154-1,"")</f>
        <v/>
      </c>
      <c r="AG158" s="18">
        <f>IFERROR(F158/F154-1,"")</f>
        <v/>
      </c>
      <c r="AH158">
        <f>P158&gt;0</f>
        <v/>
      </c>
    </row>
    <row r="159">
      <c r="A159" s="14" t="n">
        <v>44651</v>
      </c>
      <c r="B159" t="n">
        <v>14158</v>
      </c>
      <c r="C159" t="inlineStr">
        <is>
          <t>UNION BANK</t>
        </is>
      </c>
      <c r="D159" t="inlineStr">
        <is>
          <t>VT</t>
        </is>
      </c>
      <c r="E159" t="n">
        <v>1232701</v>
      </c>
      <c r="F159" t="n">
        <v>1137254</v>
      </c>
      <c r="G159" t="n">
        <v>85105</v>
      </c>
      <c r="H159" s="16" t="n">
        <v>0.8832913187332598</v>
      </c>
      <c r="I159" s="16" t="n">
        <v>11.64</v>
      </c>
      <c r="J159" s="16" t="n">
        <v>3.185373520467468</v>
      </c>
      <c r="K159" s="16" t="n">
        <v>4405</v>
      </c>
      <c r="L159" s="16" t="n">
        <v>0</v>
      </c>
      <c r="M159" s="16" t="n">
        <v>0.5576662258127016</v>
      </c>
      <c r="N159" s="16" t="n">
        <v>1620</v>
      </c>
      <c r="O159" s="16" t="n">
        <v>229</v>
      </c>
      <c r="P159" s="16" t="n">
        <v>14.78812561508296</v>
      </c>
      <c r="Q159" t="n">
        <v>830963</v>
      </c>
      <c r="R159" t="n">
        <v>822627</v>
      </c>
      <c r="S159" t="n">
        <v>698008</v>
      </c>
      <c r="T159" t="n">
        <v>44549</v>
      </c>
      <c r="U159" t="n">
        <v>2157</v>
      </c>
      <c r="V159" t="n">
        <v>1.00317342649432</v>
      </c>
      <c r="W159" t="n">
        <v>0</v>
      </c>
      <c r="X159" s="16">
        <f>IFERROR(K159/E159*100,"")</f>
        <v/>
      </c>
      <c r="Y159" s="16">
        <f>IFERROR((N159+O159)/E159*100,"")</f>
        <v/>
      </c>
      <c r="Z159" s="16">
        <f>IFERROR(R159/F159*100,"")</f>
        <v/>
      </c>
      <c r="AA159" s="16">
        <f>IFERROR(R159/E159*100,"")</f>
        <v/>
      </c>
      <c r="AB159" s="16">
        <f>IFERROR(S159/Q159*100,"")</f>
        <v/>
      </c>
      <c r="AC159" s="16">
        <f>IFERROR(T159/Q159*100,"")</f>
        <v/>
      </c>
      <c r="AD159" s="16">
        <f>IFERROR(U159/Q159*100,"")</f>
        <v/>
      </c>
      <c r="AE159" s="18" t="n"/>
      <c r="AF159" s="18" t="n"/>
      <c r="AG159" s="18" t="n"/>
      <c r="AH159">
        <f>P159&gt;0</f>
        <v/>
      </c>
    </row>
    <row r="160">
      <c r="A160" s="14" t="n">
        <v>44742</v>
      </c>
      <c r="B160" t="n">
        <v>14158</v>
      </c>
      <c r="C160" t="inlineStr">
        <is>
          <t>UNION BANK</t>
        </is>
      </c>
      <c r="D160" t="inlineStr">
        <is>
          <t>VT</t>
        </is>
      </c>
      <c r="E160" t="n">
        <v>1191062</v>
      </c>
      <c r="F160" t="n">
        <v>1105727</v>
      </c>
      <c r="G160" t="n">
        <v>75600</v>
      </c>
      <c r="H160" s="16" t="n">
        <v>0.9655735039178018</v>
      </c>
      <c r="I160" s="16" t="n">
        <v>13.45</v>
      </c>
      <c r="J160" s="16" t="n">
        <v>3.354411937673213</v>
      </c>
      <c r="K160" s="16" t="n">
        <v>1416</v>
      </c>
      <c r="L160" s="16" t="n">
        <v>-4</v>
      </c>
      <c r="M160" s="16" t="n">
        <v>0.1853053467579462</v>
      </c>
      <c r="N160" s="16" t="n">
        <v>849</v>
      </c>
      <c r="O160" s="16" t="n">
        <v>109</v>
      </c>
      <c r="P160" s="16" t="n">
        <v>14.28095272062304</v>
      </c>
      <c r="Q160" t="n">
        <v>822966</v>
      </c>
      <c r="R160" t="n">
        <v>814626</v>
      </c>
      <c r="S160" t="n">
        <v>751338</v>
      </c>
      <c r="T160" t="n">
        <v>44278</v>
      </c>
      <c r="U160" t="n">
        <v>2085</v>
      </c>
      <c r="V160" t="n">
        <v>1.01340760128608</v>
      </c>
      <c r="W160" t="n">
        <v>0</v>
      </c>
      <c r="X160" s="16">
        <f>IFERROR(K160/E160*100,"")</f>
        <v/>
      </c>
      <c r="Y160" s="16">
        <f>IFERROR((N160+O160)/E160*100,"")</f>
        <v/>
      </c>
      <c r="Z160" s="16">
        <f>IFERROR(R160/F160*100,"")</f>
        <v/>
      </c>
      <c r="AA160" s="16">
        <f>IFERROR(R160/E160*100,"")</f>
        <v/>
      </c>
      <c r="AB160" s="16">
        <f>IFERROR(S160/Q160*100,"")</f>
        <v/>
      </c>
      <c r="AC160" s="16">
        <f>IFERROR(T160/Q160*100,"")</f>
        <v/>
      </c>
      <c r="AD160" s="16">
        <f>IFERROR(U160/Q160*100,"")</f>
        <v/>
      </c>
      <c r="AE160" s="18" t="n"/>
      <c r="AF160" s="18" t="n"/>
      <c r="AG160" s="18" t="n"/>
      <c r="AH160">
        <f>P160&gt;0</f>
        <v/>
      </c>
    </row>
    <row r="161">
      <c r="A161" s="14" t="n">
        <v>44834</v>
      </c>
      <c r="B161" t="n">
        <v>14158</v>
      </c>
      <c r="C161" t="inlineStr">
        <is>
          <t>UNION BANK</t>
        </is>
      </c>
      <c r="D161" t="inlineStr">
        <is>
          <t>VT</t>
        </is>
      </c>
      <c r="E161" t="n">
        <v>1299582</v>
      </c>
      <c r="F161" t="n">
        <v>1199225</v>
      </c>
      <c r="G161" t="n">
        <v>65471</v>
      </c>
      <c r="H161" s="16" t="n">
        <v>1.063633082867887</v>
      </c>
      <c r="I161" s="16" t="n">
        <v>16.08</v>
      </c>
      <c r="J161" s="16" t="n">
        <v>3.425545451536709</v>
      </c>
      <c r="K161" s="16" t="n">
        <v>1381</v>
      </c>
      <c r="L161" s="16" t="n">
        <v>-4</v>
      </c>
      <c r="M161" s="16" t="n">
        <v>0.1792051947225184</v>
      </c>
      <c r="N161" s="16" t="n">
        <v>3371</v>
      </c>
      <c r="O161" s="16" t="n">
        <v>308</v>
      </c>
      <c r="P161" s="16" t="n">
        <v>13.65097658619435</v>
      </c>
      <c r="Q161" t="n">
        <v>942495</v>
      </c>
      <c r="R161" t="n">
        <v>934155</v>
      </c>
      <c r="S161" t="n">
        <v>802531</v>
      </c>
      <c r="T161" t="n">
        <v>41999</v>
      </c>
      <c r="U161" t="n">
        <v>2028</v>
      </c>
      <c r="V161" t="n">
        <v>0.884885330956663</v>
      </c>
      <c r="W161" t="n">
        <v>0</v>
      </c>
      <c r="X161" s="16">
        <f>IFERROR(K161/E161*100,"")</f>
        <v/>
      </c>
      <c r="Y161" s="16">
        <f>IFERROR((N161+O161)/E161*100,"")</f>
        <v/>
      </c>
      <c r="Z161" s="16">
        <f>IFERROR(R161/F161*100,"")</f>
        <v/>
      </c>
      <c r="AA161" s="16">
        <f>IFERROR(R161/E161*100,"")</f>
        <v/>
      </c>
      <c r="AB161" s="16">
        <f>IFERROR(S161/Q161*100,"")</f>
        <v/>
      </c>
      <c r="AC161" s="16">
        <f>IFERROR(T161/Q161*100,"")</f>
        <v/>
      </c>
      <c r="AD161" s="16">
        <f>IFERROR(U161/Q161*100,"")</f>
        <v/>
      </c>
      <c r="AE161" s="18" t="n"/>
      <c r="AF161" s="18" t="n"/>
      <c r="AG161" s="18" t="n"/>
      <c r="AH161">
        <f>P161&gt;0</f>
        <v/>
      </c>
    </row>
    <row r="162">
      <c r="A162" s="14" t="n">
        <v>44926</v>
      </c>
      <c r="B162" t="n">
        <v>14158</v>
      </c>
      <c r="C162" t="inlineStr">
        <is>
          <t>UNION BANK</t>
        </is>
      </c>
      <c r="D162" t="inlineStr">
        <is>
          <t>VT</t>
        </is>
      </c>
      <c r="E162" t="n">
        <v>1335789</v>
      </c>
      <c r="F162" t="n">
        <v>1204403</v>
      </c>
      <c r="G162" t="n">
        <v>71084</v>
      </c>
      <c r="H162" s="16" t="n">
        <v>1.075645455124551</v>
      </c>
      <c r="I162" s="16" t="n">
        <v>16.97</v>
      </c>
      <c r="J162" s="16" t="n">
        <v>3.423548790428273</v>
      </c>
      <c r="K162" s="16" t="n">
        <v>2211</v>
      </c>
      <c r="L162" s="16" t="n">
        <v>-3</v>
      </c>
      <c r="M162" s="16" t="n">
        <v>0.2495131007389626</v>
      </c>
      <c r="N162" s="16" t="n">
        <v>3040</v>
      </c>
      <c r="O162" s="16" t="n">
        <v>186</v>
      </c>
      <c r="P162" s="16" t="n">
        <v>13.95289385779535</v>
      </c>
      <c r="Q162" t="n">
        <v>960671</v>
      </c>
      <c r="R162" t="n">
        <v>952332</v>
      </c>
      <c r="S162" t="n">
        <v>824447</v>
      </c>
      <c r="T162" t="n">
        <v>40782</v>
      </c>
      <c r="U162" t="n">
        <v>2089</v>
      </c>
      <c r="V162" t="n">
        <v>0.8680391101636252</v>
      </c>
      <c r="W162" t="n">
        <v>0</v>
      </c>
      <c r="X162" s="16">
        <f>IFERROR(K162/E162*100,"")</f>
        <v/>
      </c>
      <c r="Y162" s="16">
        <f>IFERROR((N162+O162)/E162*100,"")</f>
        <v/>
      </c>
      <c r="Z162" s="16">
        <f>IFERROR(R162/F162*100,"")</f>
        <v/>
      </c>
      <c r="AA162" s="16">
        <f>IFERROR(R162/E162*100,"")</f>
        <v/>
      </c>
      <c r="AB162" s="16">
        <f>IFERROR(S162/Q162*100,"")</f>
        <v/>
      </c>
      <c r="AC162" s="16">
        <f>IFERROR(T162/Q162*100,"")</f>
        <v/>
      </c>
      <c r="AD162" s="16">
        <f>IFERROR(U162/Q162*100,"")</f>
        <v/>
      </c>
      <c r="AE162" s="18" t="n"/>
      <c r="AF162" s="18" t="n"/>
      <c r="AG162" s="18" t="n"/>
      <c r="AH162">
        <f>P162&gt;0</f>
        <v/>
      </c>
    </row>
    <row r="163">
      <c r="A163" s="14" t="n">
        <v>45016</v>
      </c>
      <c r="B163" t="n">
        <v>14158</v>
      </c>
      <c r="C163" t="inlineStr">
        <is>
          <t>UNION BANK</t>
        </is>
      </c>
      <c r="D163" t="inlineStr">
        <is>
          <t>VT</t>
        </is>
      </c>
      <c r="E163" t="n">
        <v>1361586</v>
      </c>
      <c r="F163" t="n">
        <v>1229192</v>
      </c>
      <c r="G163" t="n">
        <v>76684</v>
      </c>
      <c r="H163" s="16" t="n">
        <v>0.950553779137124</v>
      </c>
      <c r="I163" s="16" t="n">
        <v>17.35</v>
      </c>
      <c r="J163" s="16" t="n">
        <v>3.207638472479884</v>
      </c>
      <c r="K163" s="16" t="n">
        <v>2174</v>
      </c>
      <c r="L163" s="16" t="n">
        <v>0</v>
      </c>
      <c r="M163" s="16" t="n">
        <v>0.2405244231100043</v>
      </c>
      <c r="N163" s="16" t="n">
        <v>1202</v>
      </c>
      <c r="O163" s="16" t="n">
        <v>175</v>
      </c>
      <c r="P163" s="16" t="n">
        <v>13.68178568404813</v>
      </c>
      <c r="Q163" t="n">
        <v>976616</v>
      </c>
      <c r="R163" t="n">
        <v>969682</v>
      </c>
      <c r="S163" t="n">
        <v>836877</v>
      </c>
      <c r="T163" t="n">
        <v>41376</v>
      </c>
      <c r="U163" t="n">
        <v>2300</v>
      </c>
      <c r="V163" t="n">
        <v>0.7100027032119072</v>
      </c>
      <c r="W163" t="n">
        <v>0.02</v>
      </c>
      <c r="X163" s="16">
        <f>IFERROR(K163/E163*100,"")</f>
        <v/>
      </c>
      <c r="Y163" s="16">
        <f>IFERROR((N163+O163)/E163*100,"")</f>
        <v/>
      </c>
      <c r="Z163" s="16">
        <f>IFERROR(R163/F163*100,"")</f>
        <v/>
      </c>
      <c r="AA163" s="16">
        <f>IFERROR(R163/E163*100,"")</f>
        <v/>
      </c>
      <c r="AB163" s="16">
        <f>IFERROR(S163/Q163*100,"")</f>
        <v/>
      </c>
      <c r="AC163" s="16">
        <f>IFERROR(T163/Q163*100,"")</f>
        <v/>
      </c>
      <c r="AD163" s="16">
        <f>IFERROR(U163/Q163*100,"")</f>
        <v/>
      </c>
      <c r="AE163" s="18">
        <f>IFERROR(E163/E159-1,"")</f>
        <v/>
      </c>
      <c r="AF163" s="18">
        <f>IFERROR(R163/R159-1,"")</f>
        <v/>
      </c>
      <c r="AG163" s="18">
        <f>IFERROR(F163/F159-1,"")</f>
        <v/>
      </c>
      <c r="AH163">
        <f>P163&gt;0</f>
        <v/>
      </c>
    </row>
    <row r="164">
      <c r="A164" s="14" t="n">
        <v>45107</v>
      </c>
      <c r="B164" t="n">
        <v>14158</v>
      </c>
      <c r="C164" t="inlineStr">
        <is>
          <t>UNION BANK</t>
        </is>
      </c>
      <c r="D164" t="inlineStr">
        <is>
          <t>VT</t>
        </is>
      </c>
      <c r="E164" t="n">
        <v>1334466</v>
      </c>
      <c r="F164" t="n">
        <v>1127096</v>
      </c>
      <c r="G164" t="n">
        <v>75241</v>
      </c>
      <c r="H164" s="16" t="n">
        <v>0.9146194009138754</v>
      </c>
      <c r="I164" s="16" t="n">
        <v>16.54</v>
      </c>
      <c r="J164" s="16" t="n">
        <v>3.173337029901493</v>
      </c>
      <c r="K164" s="16" t="n">
        <v>1957</v>
      </c>
      <c r="L164" s="16" t="n">
        <v>3</v>
      </c>
      <c r="M164" s="16" t="n">
        <v>0.2149458062169431</v>
      </c>
      <c r="N164" s="16" t="n">
        <v>286</v>
      </c>
      <c r="O164" s="16" t="n">
        <v>64</v>
      </c>
      <c r="P164" s="16" t="n">
        <v>13.4736798668519</v>
      </c>
      <c r="Q164" t="n">
        <v>940237</v>
      </c>
      <c r="R164" t="n">
        <v>933457</v>
      </c>
      <c r="S164" t="n">
        <v>869255</v>
      </c>
      <c r="T164" t="n">
        <v>41096</v>
      </c>
      <c r="U164" t="n">
        <v>2333</v>
      </c>
      <c r="V164" t="n">
        <v>0.7210947878035007</v>
      </c>
      <c r="W164" t="n">
        <v>0</v>
      </c>
      <c r="X164" s="16">
        <f>IFERROR(K164/E164*100,"")</f>
        <v/>
      </c>
      <c r="Y164" s="16">
        <f>IFERROR((N164+O164)/E164*100,"")</f>
        <v/>
      </c>
      <c r="Z164" s="16">
        <f>IFERROR(R164/F164*100,"")</f>
        <v/>
      </c>
      <c r="AA164" s="16">
        <f>IFERROR(R164/E164*100,"")</f>
        <v/>
      </c>
      <c r="AB164" s="16">
        <f>IFERROR(S164/Q164*100,"")</f>
        <v/>
      </c>
      <c r="AC164" s="16">
        <f>IFERROR(T164/Q164*100,"")</f>
        <v/>
      </c>
      <c r="AD164" s="16">
        <f>IFERROR(U164/Q164*100,"")</f>
        <v/>
      </c>
      <c r="AE164" s="18">
        <f>IFERROR(E164/E160-1,"")</f>
        <v/>
      </c>
      <c r="AF164" s="18">
        <f>IFERROR(R164/R160-1,"")</f>
        <v/>
      </c>
      <c r="AG164" s="18">
        <f>IFERROR(F164/F160-1,"")</f>
        <v/>
      </c>
      <c r="AH164">
        <f>P164&gt;0</f>
        <v/>
      </c>
    </row>
    <row r="165">
      <c r="A165" s="14" t="n">
        <v>45199</v>
      </c>
      <c r="B165" t="n">
        <v>14158</v>
      </c>
      <c r="C165" t="inlineStr">
        <is>
          <t>UNION BANK</t>
        </is>
      </c>
      <c r="D165" t="inlineStr">
        <is>
          <t>VT</t>
        </is>
      </c>
      <c r="E165" t="n">
        <v>1395141</v>
      </c>
      <c r="F165" t="n">
        <v>1225741</v>
      </c>
      <c r="G165" t="n">
        <v>65297</v>
      </c>
      <c r="H165" s="16" t="n">
        <v>0.8729495620217644</v>
      </c>
      <c r="I165" s="16" t="n">
        <v>16.43</v>
      </c>
      <c r="J165" s="16" t="n">
        <v>3.076479021594458</v>
      </c>
      <c r="K165" s="16" t="n">
        <v>1882</v>
      </c>
      <c r="L165" s="16" t="n">
        <v>4</v>
      </c>
      <c r="M165" s="16" t="n">
        <v>0.2065579979315066</v>
      </c>
      <c r="N165" s="16" t="n">
        <v>150</v>
      </c>
      <c r="O165" s="16" t="n">
        <v>245</v>
      </c>
      <c r="P165" s="16" t="n">
        <v>13.18077568587419</v>
      </c>
      <c r="Q165" t="n">
        <v>1029735</v>
      </c>
      <c r="R165" t="n">
        <v>1022840</v>
      </c>
      <c r="S165" t="n">
        <v>900510</v>
      </c>
      <c r="T165" t="n">
        <v>41125</v>
      </c>
      <c r="U165" t="n">
        <v>2184</v>
      </c>
      <c r="V165" t="n">
        <v>0.6695897488188708</v>
      </c>
      <c r="W165" t="n">
        <v>-0.02</v>
      </c>
      <c r="X165" s="16">
        <f>IFERROR(K165/E165*100,"")</f>
        <v/>
      </c>
      <c r="Y165" s="16">
        <f>IFERROR((N165+O165)/E165*100,"")</f>
        <v/>
      </c>
      <c r="Z165" s="16">
        <f>IFERROR(R165/F165*100,"")</f>
        <v/>
      </c>
      <c r="AA165" s="16">
        <f>IFERROR(R165/E165*100,"")</f>
        <v/>
      </c>
      <c r="AB165" s="16">
        <f>IFERROR(S165/Q165*100,"")</f>
        <v/>
      </c>
      <c r="AC165" s="16">
        <f>IFERROR(T165/Q165*100,"")</f>
        <v/>
      </c>
      <c r="AD165" s="16">
        <f>IFERROR(U165/Q165*100,"")</f>
        <v/>
      </c>
      <c r="AE165" s="18">
        <f>IFERROR(E165/E161-1,"")</f>
        <v/>
      </c>
      <c r="AF165" s="18">
        <f>IFERROR(R165/R161-1,"")</f>
        <v/>
      </c>
      <c r="AG165" s="18">
        <f>IFERROR(F165/F161-1,"")</f>
        <v/>
      </c>
      <c r="AH165">
        <f>P165&gt;0</f>
        <v/>
      </c>
    </row>
    <row r="166">
      <c r="A166" s="14" t="n">
        <v>45291</v>
      </c>
      <c r="B166" t="n">
        <v>14158</v>
      </c>
      <c r="C166" t="inlineStr">
        <is>
          <t>UNION BANK</t>
        </is>
      </c>
      <c r="D166" t="inlineStr">
        <is>
          <t>VT</t>
        </is>
      </c>
      <c r="E166" t="n">
        <v>1468468</v>
      </c>
      <c r="F166" t="n">
        <v>1308218</v>
      </c>
      <c r="G166" t="n">
        <v>82122</v>
      </c>
      <c r="H166" s="16" t="n">
        <v>0.8798555569252189</v>
      </c>
      <c r="I166" s="16" t="n">
        <v>16.38</v>
      </c>
      <c r="J166" s="16" t="n">
        <v>2.987155224757127</v>
      </c>
      <c r="K166" s="16" t="n">
        <v>1858</v>
      </c>
      <c r="L166" s="16" t="n">
        <v>4</v>
      </c>
      <c r="M166" s="16" t="n">
        <v>0.1955295365756389</v>
      </c>
      <c r="N166" s="16" t="n">
        <v>3617</v>
      </c>
      <c r="O166" s="16" t="n">
        <v>162</v>
      </c>
      <c r="P166" s="16" t="n">
        <v>13.35306406685237</v>
      </c>
      <c r="Q166" t="n">
        <v>1033092</v>
      </c>
      <c r="R166" t="n">
        <v>1026526</v>
      </c>
      <c r="S166" t="n">
        <v>908227</v>
      </c>
      <c r="T166" t="n">
        <v>40326</v>
      </c>
      <c r="U166" t="n">
        <v>2468</v>
      </c>
      <c r="V166" t="n">
        <v>0.6355677906711116</v>
      </c>
      <c r="W166" t="n">
        <v>-0.04</v>
      </c>
      <c r="X166" s="16">
        <f>IFERROR(K166/E166*100,"")</f>
        <v/>
      </c>
      <c r="Y166" s="16">
        <f>IFERROR((N166+O166)/E166*100,"")</f>
        <v/>
      </c>
      <c r="Z166" s="16">
        <f>IFERROR(R166/F166*100,"")</f>
        <v/>
      </c>
      <c r="AA166" s="16">
        <f>IFERROR(R166/E166*100,"")</f>
        <v/>
      </c>
      <c r="AB166" s="16">
        <f>IFERROR(S166/Q166*100,"")</f>
        <v/>
      </c>
      <c r="AC166" s="16">
        <f>IFERROR(T166/Q166*100,"")</f>
        <v/>
      </c>
      <c r="AD166" s="16">
        <f>IFERROR(U166/Q166*100,"")</f>
        <v/>
      </c>
      <c r="AE166" s="18">
        <f>IFERROR(E166/E162-1,"")</f>
        <v/>
      </c>
      <c r="AF166" s="18">
        <f>IFERROR(R166/R162-1,"")</f>
        <v/>
      </c>
      <c r="AG166" s="18">
        <f>IFERROR(F166/F162-1,"")</f>
        <v/>
      </c>
      <c r="AH166">
        <f>P166&gt;0</f>
        <v/>
      </c>
    </row>
    <row r="167">
      <c r="A167" s="14" t="n">
        <v>45382</v>
      </c>
      <c r="B167" t="n">
        <v>14158</v>
      </c>
      <c r="C167" t="inlineStr">
        <is>
          <t>UNION BANK</t>
        </is>
      </c>
      <c r="D167" t="inlineStr">
        <is>
          <t>VT</t>
        </is>
      </c>
      <c r="E167" t="n">
        <v>1416981</v>
      </c>
      <c r="F167" t="n">
        <v>1175239</v>
      </c>
      <c r="G167" t="n">
        <v>79774</v>
      </c>
      <c r="H167" s="16" t="n">
        <v>0.733611995914674</v>
      </c>
      <c r="I167" s="16" t="n">
        <v>13.08</v>
      </c>
      <c r="J167" s="16" t="n">
        <v>2.720256209486485</v>
      </c>
      <c r="K167" s="16" t="n">
        <v>1813</v>
      </c>
      <c r="L167" s="16" t="n">
        <v>-1</v>
      </c>
      <c r="M167" s="16" t="n">
        <v>0.1802016757889956</v>
      </c>
      <c r="N167" s="16" t="n">
        <v>2549</v>
      </c>
      <c r="O167" s="16" t="n">
        <v>60</v>
      </c>
      <c r="P167" s="16" t="n">
        <v>13.34046959253294</v>
      </c>
      <c r="Q167" t="n">
        <v>1039391</v>
      </c>
      <c r="R167" t="n">
        <v>1032746</v>
      </c>
      <c r="S167" t="n">
        <v>909000</v>
      </c>
      <c r="T167" t="n">
        <v>40567</v>
      </c>
      <c r="U167" t="n">
        <v>2275</v>
      </c>
      <c r="V167" t="n">
        <v>0.6393166767847711</v>
      </c>
      <c r="W167" t="n">
        <v>-0.06</v>
      </c>
      <c r="X167" s="16">
        <f>IFERROR(K167/E167*100,"")</f>
        <v/>
      </c>
      <c r="Y167" s="16">
        <f>IFERROR((N167+O167)/E167*100,"")</f>
        <v/>
      </c>
      <c r="Z167" s="16">
        <f>IFERROR(R167/F167*100,"")</f>
        <v/>
      </c>
      <c r="AA167" s="16">
        <f>IFERROR(R167/E167*100,"")</f>
        <v/>
      </c>
      <c r="AB167" s="16">
        <f>IFERROR(S167/Q167*100,"")</f>
        <v/>
      </c>
      <c r="AC167" s="16">
        <f>IFERROR(T167/Q167*100,"")</f>
        <v/>
      </c>
      <c r="AD167" s="16">
        <f>IFERROR(U167/Q167*100,"")</f>
        <v/>
      </c>
      <c r="AE167" s="18">
        <f>IFERROR(E167/E163-1,"")</f>
        <v/>
      </c>
      <c r="AF167" s="18">
        <f>IFERROR(R167/R163-1,"")</f>
        <v/>
      </c>
      <c r="AG167" s="18">
        <f>IFERROR(F167/F163-1,"")</f>
        <v/>
      </c>
      <c r="AH167">
        <f>P167&gt;0</f>
        <v/>
      </c>
    </row>
    <row r="168">
      <c r="A168" s="14" t="n">
        <v>45473</v>
      </c>
      <c r="B168" t="n">
        <v>14158</v>
      </c>
      <c r="C168" t="inlineStr">
        <is>
          <t>UNION BANK</t>
        </is>
      </c>
      <c r="D168" t="inlineStr">
        <is>
          <t>VT</t>
        </is>
      </c>
      <c r="E168" t="n">
        <v>1397831</v>
      </c>
      <c r="F168" t="n">
        <v>1057053</v>
      </c>
      <c r="G168" t="n">
        <v>80058</v>
      </c>
      <c r="H168" s="16" t="n">
        <v>0.6879307446629686</v>
      </c>
      <c r="I168" s="16" t="n">
        <v>12.18</v>
      </c>
      <c r="J168" s="16" t="n">
        <v>2.840169560104217</v>
      </c>
      <c r="K168" s="16" t="n">
        <v>1771</v>
      </c>
      <c r="L168" s="16" t="n">
        <v>-11</v>
      </c>
      <c r="M168" s="16" t="n">
        <v>0.1901110690395052</v>
      </c>
      <c r="N168" s="16" t="n">
        <v>579</v>
      </c>
      <c r="O168" s="16" t="n">
        <v>157</v>
      </c>
      <c r="P168" s="16" t="n">
        <v>13.13365780606514</v>
      </c>
      <c r="Q168" t="n">
        <v>1014144</v>
      </c>
      <c r="R168" t="n">
        <v>1007251</v>
      </c>
      <c r="S168" t="n">
        <v>936491</v>
      </c>
      <c r="T168" t="n">
        <v>40549</v>
      </c>
      <c r="U168" t="n">
        <v>2209</v>
      </c>
      <c r="V168" t="n">
        <v>0.6796865139467373</v>
      </c>
      <c r="W168" t="n">
        <v>0.02</v>
      </c>
      <c r="X168" s="16">
        <f>IFERROR(K168/E168*100,"")</f>
        <v/>
      </c>
      <c r="Y168" s="16">
        <f>IFERROR((N168+O168)/E168*100,"")</f>
        <v/>
      </c>
      <c r="Z168" s="16">
        <f>IFERROR(R168/F168*100,"")</f>
        <v/>
      </c>
      <c r="AA168" s="16">
        <f>IFERROR(R168/E168*100,"")</f>
        <v/>
      </c>
      <c r="AB168" s="16">
        <f>IFERROR(S168/Q168*100,"")</f>
        <v/>
      </c>
      <c r="AC168" s="16">
        <f>IFERROR(T168/Q168*100,"")</f>
        <v/>
      </c>
      <c r="AD168" s="16">
        <f>IFERROR(U168/Q168*100,"")</f>
        <v/>
      </c>
      <c r="AE168" s="18">
        <f>IFERROR(E168/E164-1,"")</f>
        <v/>
      </c>
      <c r="AF168" s="18">
        <f>IFERROR(R168/R164-1,"")</f>
        <v/>
      </c>
      <c r="AG168" s="18">
        <f>IFERROR(F168/F164-1,"")</f>
        <v/>
      </c>
      <c r="AH168">
        <f>P168&gt;0</f>
        <v/>
      </c>
    </row>
    <row r="169">
      <c r="A169" s="14" t="n">
        <v>45565</v>
      </c>
      <c r="B169" t="n">
        <v>14158</v>
      </c>
      <c r="C169" t="inlineStr">
        <is>
          <t>UNION BANK</t>
        </is>
      </c>
      <c r="D169" t="inlineStr">
        <is>
          <t>VT</t>
        </is>
      </c>
      <c r="E169" t="n">
        <v>1518788</v>
      </c>
      <c r="F169" t="n">
        <v>1176600</v>
      </c>
      <c r="G169" t="n">
        <v>88128</v>
      </c>
      <c r="H169" s="16" t="n">
        <v>0.5919580397885719</v>
      </c>
      <c r="I169" s="16" t="n">
        <v>10.41</v>
      </c>
      <c r="J169" s="16" t="n">
        <v>2.808495445486362</v>
      </c>
      <c r="K169" s="16" t="n">
        <v>1709</v>
      </c>
      <c r="L169" s="16" t="n">
        <v>-16</v>
      </c>
      <c r="M169" s="16" t="n">
        <v>0.174124435137318</v>
      </c>
      <c r="N169" s="16" t="n">
        <v>1116</v>
      </c>
      <c r="O169" s="16" t="n">
        <v>255</v>
      </c>
      <c r="P169" s="16" t="n">
        <v>12.73269270792821</v>
      </c>
      <c r="Q169" t="n">
        <v>1127929</v>
      </c>
      <c r="R169" t="n">
        <v>1120563</v>
      </c>
      <c r="S169" t="n">
        <v>979666</v>
      </c>
      <c r="T169" t="n">
        <v>38744</v>
      </c>
      <c r="U169" t="n">
        <v>2036</v>
      </c>
      <c r="V169" t="n">
        <v>0.6530552898276398</v>
      </c>
      <c r="W169" t="n">
        <v>0.05</v>
      </c>
      <c r="X169" s="16">
        <f>IFERROR(K169/E169*100,"")</f>
        <v/>
      </c>
      <c r="Y169" s="16">
        <f>IFERROR((N169+O169)/E169*100,"")</f>
        <v/>
      </c>
      <c r="Z169" s="16">
        <f>IFERROR(R169/F169*100,"")</f>
        <v/>
      </c>
      <c r="AA169" s="16">
        <f>IFERROR(R169/E169*100,"")</f>
        <v/>
      </c>
      <c r="AB169" s="16">
        <f>IFERROR(S169/Q169*100,"")</f>
        <v/>
      </c>
      <c r="AC169" s="16">
        <f>IFERROR(T169/Q169*100,"")</f>
        <v/>
      </c>
      <c r="AD169" s="16">
        <f>IFERROR(U169/Q169*100,"")</f>
        <v/>
      </c>
      <c r="AE169" s="18">
        <f>IFERROR(E169/E165-1,"")</f>
        <v/>
      </c>
      <c r="AF169" s="18">
        <f>IFERROR(R169/R165-1,"")</f>
        <v/>
      </c>
      <c r="AG169" s="18">
        <f>IFERROR(F169/F165-1,"")</f>
        <v/>
      </c>
      <c r="AH169">
        <f>P169&gt;0</f>
        <v/>
      </c>
    </row>
    <row r="170">
      <c r="A170" s="14" t="n">
        <v>45657</v>
      </c>
      <c r="B170" t="n">
        <v>14158</v>
      </c>
      <c r="C170" t="inlineStr">
        <is>
          <t>UNION BANK</t>
        </is>
      </c>
      <c r="D170" t="inlineStr">
        <is>
          <t>VT</t>
        </is>
      </c>
      <c r="E170" t="n">
        <v>1527590</v>
      </c>
      <c r="F170" t="n">
        <v>1171399</v>
      </c>
      <c r="G170" t="n">
        <v>82437</v>
      </c>
      <c r="H170" s="16" t="n">
        <v>0.6593077057619878</v>
      </c>
      <c r="I170" s="16" t="n">
        <v>11.71</v>
      </c>
      <c r="J170" s="16" t="n">
        <v>2.860038806731926</v>
      </c>
      <c r="K170" s="16" t="n">
        <v>1652</v>
      </c>
      <c r="L170" s="16" t="n">
        <v>-23</v>
      </c>
      <c r="M170" s="16" t="n">
        <v>0.1627544273847005</v>
      </c>
      <c r="N170" s="16" t="n">
        <v>3122</v>
      </c>
      <c r="O170" s="16" t="n">
        <v>241</v>
      </c>
      <c r="P170" s="16" t="n">
        <v>12.50809971731096</v>
      </c>
      <c r="Q170" t="n">
        <v>1163102</v>
      </c>
      <c r="R170" t="n">
        <v>1155422</v>
      </c>
      <c r="S170" t="n">
        <v>1010360</v>
      </c>
      <c r="T170" t="n">
        <v>35314</v>
      </c>
      <c r="U170" t="n">
        <v>2423</v>
      </c>
      <c r="V170" t="n">
        <v>0.6603032236209722</v>
      </c>
      <c r="W170" t="n">
        <v>0.06</v>
      </c>
      <c r="X170" s="16">
        <f>IFERROR(K170/E170*100,"")</f>
        <v/>
      </c>
      <c r="Y170" s="16">
        <f>IFERROR((N170+O170)/E170*100,"")</f>
        <v/>
      </c>
      <c r="Z170" s="16">
        <f>IFERROR(R170/F170*100,"")</f>
        <v/>
      </c>
      <c r="AA170" s="16">
        <f>IFERROR(R170/E170*100,"")</f>
        <v/>
      </c>
      <c r="AB170" s="16">
        <f>IFERROR(S170/Q170*100,"")</f>
        <v/>
      </c>
      <c r="AC170" s="16">
        <f>IFERROR(T170/Q170*100,"")</f>
        <v/>
      </c>
      <c r="AD170" s="16">
        <f>IFERROR(U170/Q170*100,"")</f>
        <v/>
      </c>
      <c r="AE170" s="18">
        <f>IFERROR(E170/E166-1,"")</f>
        <v/>
      </c>
      <c r="AF170" s="18">
        <f>IFERROR(R170/R166-1,"")</f>
        <v/>
      </c>
      <c r="AG170" s="18">
        <f>IFERROR(F170/F166-1,"")</f>
        <v/>
      </c>
      <c r="AH170">
        <f>P170&gt;0</f>
        <v/>
      </c>
    </row>
    <row r="171">
      <c r="A171" s="14" t="n">
        <v>45747</v>
      </c>
      <c r="B171" t="n">
        <v>14158</v>
      </c>
      <c r="C171" t="inlineStr">
        <is>
          <t>UNION BANK</t>
        </is>
      </c>
      <c r="D171" t="inlineStr">
        <is>
          <t>VT</t>
        </is>
      </c>
      <c r="E171" t="n">
        <v>1524011</v>
      </c>
      <c r="F171" t="n">
        <v>1185295</v>
      </c>
      <c r="G171" t="n">
        <v>85660</v>
      </c>
      <c r="H171" s="16" t="n">
        <v>0.7114953757060638</v>
      </c>
      <c r="I171" s="16" t="n">
        <v>12.92</v>
      </c>
      <c r="J171" s="16" t="n">
        <v>2.931276307205526</v>
      </c>
      <c r="K171" s="16" t="n">
        <v>14964</v>
      </c>
      <c r="L171" s="16" t="n">
        <v>-1</v>
      </c>
      <c r="M171" s="16" t="n">
        <v>1.283990762188018</v>
      </c>
      <c r="N171" s="16" t="n">
        <v>2204</v>
      </c>
      <c r="O171" s="16" t="n">
        <v>25</v>
      </c>
      <c r="P171" s="16" t="n">
        <v>12.57068913021415</v>
      </c>
      <c r="Q171" t="n">
        <v>1167376</v>
      </c>
      <c r="R171" t="n">
        <v>1159266</v>
      </c>
      <c r="S171" t="n">
        <v>1013094</v>
      </c>
      <c r="T171" t="n">
        <v>34450</v>
      </c>
      <c r="U171" t="n">
        <v>2738</v>
      </c>
      <c r="V171" t="n">
        <v>0.694720467098861</v>
      </c>
      <c r="W171" t="n">
        <v>0.06</v>
      </c>
      <c r="X171" s="16">
        <f>IFERROR(K171/E171*100,"")</f>
        <v/>
      </c>
      <c r="Y171" s="16">
        <f>IFERROR((N171+O171)/E171*100,"")</f>
        <v/>
      </c>
      <c r="Z171" s="16">
        <f>IFERROR(R171/F171*100,"")</f>
        <v/>
      </c>
      <c r="AA171" s="16">
        <f>IFERROR(R171/E171*100,"")</f>
        <v/>
      </c>
      <c r="AB171" s="16">
        <f>IFERROR(S171/Q171*100,"")</f>
        <v/>
      </c>
      <c r="AC171" s="16">
        <f>IFERROR(T171/Q171*100,"")</f>
        <v/>
      </c>
      <c r="AD171" s="16">
        <f>IFERROR(U171/Q171*100,"")</f>
        <v/>
      </c>
      <c r="AE171" s="18">
        <f>IFERROR(E171/E167-1,"")</f>
        <v/>
      </c>
      <c r="AF171" s="18">
        <f>IFERROR(R171/R167-1,"")</f>
        <v/>
      </c>
      <c r="AG171" s="18">
        <f>IFERROR(F171/F167-1,"")</f>
        <v/>
      </c>
      <c r="AH171">
        <f>P171&gt;0</f>
        <v/>
      </c>
    </row>
    <row r="172">
      <c r="A172" s="14" t="n">
        <v>45838</v>
      </c>
      <c r="B172" t="n">
        <v>14158</v>
      </c>
      <c r="C172" t="inlineStr">
        <is>
          <t>UNION BANK</t>
        </is>
      </c>
      <c r="D172" t="inlineStr">
        <is>
          <t>VT</t>
        </is>
      </c>
      <c r="E172" t="n">
        <v>1479452</v>
      </c>
      <c r="F172" t="n">
        <v>1107517</v>
      </c>
      <c r="G172" t="n">
        <v>86521</v>
      </c>
      <c r="H172" s="16" t="n">
        <v>0.7048692654886182</v>
      </c>
      <c r="I172" s="16" t="n">
        <v>12.54</v>
      </c>
      <c r="J172" s="16" t="n">
        <v>2.998673507124366</v>
      </c>
      <c r="K172" s="16" t="n">
        <v>15189</v>
      </c>
      <c r="L172" s="16" t="n">
        <v>-6</v>
      </c>
      <c r="M172" s="16" t="n">
        <v>1.370033952351798</v>
      </c>
      <c r="N172" s="16" t="n">
        <v>1302</v>
      </c>
      <c r="O172" s="16" t="n">
        <v>72</v>
      </c>
      <c r="P172" s="16" t="n">
        <v>12.62343324030092</v>
      </c>
      <c r="Q172" t="n">
        <v>1113914</v>
      </c>
      <c r="R172" t="n">
        <v>1105607</v>
      </c>
      <c r="S172" t="n">
        <v>1031319</v>
      </c>
      <c r="T172" t="n">
        <v>34247</v>
      </c>
      <c r="U172" t="n">
        <v>2362</v>
      </c>
      <c r="V172" t="n">
        <v>0.7457487741423485</v>
      </c>
      <c r="W172" t="n">
        <v>0.06</v>
      </c>
      <c r="X172" s="16">
        <f>IFERROR(K172/E172*100,"")</f>
        <v/>
      </c>
      <c r="Y172" s="16">
        <f>IFERROR((N172+O172)/E172*100,"")</f>
        <v/>
      </c>
      <c r="Z172" s="16">
        <f>IFERROR(R172/F172*100,"")</f>
        <v/>
      </c>
      <c r="AA172" s="16">
        <f>IFERROR(R172/E172*100,"")</f>
        <v/>
      </c>
      <c r="AB172" s="16">
        <f>IFERROR(S172/Q172*100,"")</f>
        <v/>
      </c>
      <c r="AC172" s="16">
        <f>IFERROR(T172/Q172*100,"")</f>
        <v/>
      </c>
      <c r="AD172" s="16">
        <f>IFERROR(U172/Q172*100,"")</f>
        <v/>
      </c>
      <c r="AE172" s="18">
        <f>IFERROR(E172/E168-1,"")</f>
        <v/>
      </c>
      <c r="AF172" s="18">
        <f>IFERROR(R172/R168-1,"")</f>
        <v/>
      </c>
      <c r="AG172" s="18">
        <f>IFERROR(F172/F168-1,"")</f>
        <v/>
      </c>
      <c r="AH172">
        <f>P172&gt;0</f>
        <v/>
      </c>
    </row>
    <row r="173">
      <c r="A173" s="14" t="n">
        <v>44651</v>
      </c>
      <c r="B173" t="n">
        <v>14168</v>
      </c>
      <c r="C173" t="inlineStr">
        <is>
          <t>PEOPLES TRUST COMPANY OF ST. ALBANS</t>
        </is>
      </c>
      <c r="D173" t="inlineStr">
        <is>
          <t>VT</t>
        </is>
      </c>
      <c r="E173" t="n">
        <v>384095</v>
      </c>
      <c r="F173" t="n">
        <v>345364</v>
      </c>
      <c r="G173" t="n">
        <v>34244</v>
      </c>
      <c r="H173" s="16" t="n">
        <v>0.1357883164598941</v>
      </c>
      <c r="I173" s="16" t="n">
        <v>1.45</v>
      </c>
      <c r="J173" s="16" t="n">
        <v>2.418459080438387</v>
      </c>
      <c r="K173" s="16" t="n">
        <v>1188</v>
      </c>
      <c r="L173" s="16" t="n">
        <v>34</v>
      </c>
      <c r="M173" s="16" t="n">
        <v>0.6214851821819989</v>
      </c>
      <c r="N173" s="16" t="n">
        <v>187</v>
      </c>
      <c r="O173" s="16" t="n">
        <v>0</v>
      </c>
      <c r="P173" s="16" t="n">
        <v>19.8246428808378</v>
      </c>
      <c r="Q173" t="n">
        <v>191155</v>
      </c>
      <c r="R173" t="n">
        <v>188225</v>
      </c>
      <c r="S173" t="n">
        <v>161619</v>
      </c>
      <c r="T173" t="n">
        <v>9537</v>
      </c>
      <c r="U173" t="n">
        <v>8111</v>
      </c>
      <c r="V173" t="n">
        <v>1.532787528445502</v>
      </c>
      <c r="W173" t="n">
        <v>0</v>
      </c>
      <c r="X173" s="16">
        <f>IFERROR(K173/E173*100,"")</f>
        <v/>
      </c>
      <c r="Y173" s="16">
        <f>IFERROR((N173+O173)/E173*100,"")</f>
        <v/>
      </c>
      <c r="Z173" s="16">
        <f>IFERROR(R173/F173*100,"")</f>
        <v/>
      </c>
      <c r="AA173" s="16">
        <f>IFERROR(R173/E173*100,"")</f>
        <v/>
      </c>
      <c r="AB173" s="16">
        <f>IFERROR(S173/Q173*100,"")</f>
        <v/>
      </c>
      <c r="AC173" s="16">
        <f>IFERROR(T173/Q173*100,"")</f>
        <v/>
      </c>
      <c r="AD173" s="16">
        <f>IFERROR(U173/Q173*100,"")</f>
        <v/>
      </c>
      <c r="AE173" s="18" t="n"/>
      <c r="AF173" s="18" t="n"/>
      <c r="AG173" s="18" t="n"/>
      <c r="AH173">
        <f>P173&gt;0</f>
        <v/>
      </c>
    </row>
    <row r="174">
      <c r="A174" s="14" t="n">
        <v>44742</v>
      </c>
      <c r="B174" t="n">
        <v>14168</v>
      </c>
      <c r="C174" t="inlineStr">
        <is>
          <t>PEOPLES TRUST COMPANY OF ST. ALBANS</t>
        </is>
      </c>
      <c r="D174" t="inlineStr">
        <is>
          <t>VT</t>
        </is>
      </c>
      <c r="E174" t="n">
        <v>366581</v>
      </c>
      <c r="F174" t="n">
        <v>329789</v>
      </c>
      <c r="G174" t="n">
        <v>32327</v>
      </c>
      <c r="H174" s="16" t="n">
        <v>0.3131183889502587</v>
      </c>
      <c r="I174" s="16" t="n">
        <v>3.41</v>
      </c>
      <c r="J174" s="16" t="n">
        <v>2.670353332316835</v>
      </c>
      <c r="K174" s="16" t="n">
        <v>1103</v>
      </c>
      <c r="L174" s="16" t="n">
        <v>57</v>
      </c>
      <c r="M174" s="16" t="n">
        <v>0.549209795154207</v>
      </c>
      <c r="N174" s="16" t="n">
        <v>467</v>
      </c>
      <c r="O174" s="16" t="n">
        <v>0</v>
      </c>
      <c r="P174" s="16" t="n">
        <v>18.6461441659596</v>
      </c>
      <c r="Q174" t="n">
        <v>200834</v>
      </c>
      <c r="R174" t="n">
        <v>197927</v>
      </c>
      <c r="S174" t="n">
        <v>167425</v>
      </c>
      <c r="T174" t="n">
        <v>11194</v>
      </c>
      <c r="U174" t="n">
        <v>8894</v>
      </c>
      <c r="V174" t="n">
        <v>1.447464074808051</v>
      </c>
      <c r="W174" t="n">
        <v>0</v>
      </c>
      <c r="X174" s="16">
        <f>IFERROR(K174/E174*100,"")</f>
        <v/>
      </c>
      <c r="Y174" s="16">
        <f>IFERROR((N174+O174)/E174*100,"")</f>
        <v/>
      </c>
      <c r="Z174" s="16">
        <f>IFERROR(R174/F174*100,"")</f>
        <v/>
      </c>
      <c r="AA174" s="16">
        <f>IFERROR(R174/E174*100,"")</f>
        <v/>
      </c>
      <c r="AB174" s="16">
        <f>IFERROR(S174/Q174*100,"")</f>
        <v/>
      </c>
      <c r="AC174" s="16">
        <f>IFERROR(T174/Q174*100,"")</f>
        <v/>
      </c>
      <c r="AD174" s="16">
        <f>IFERROR(U174/Q174*100,"")</f>
        <v/>
      </c>
      <c r="AE174" s="18" t="n"/>
      <c r="AF174" s="18" t="n"/>
      <c r="AG174" s="18" t="n"/>
      <c r="AH174">
        <f>P174&gt;0</f>
        <v/>
      </c>
    </row>
    <row r="175">
      <c r="A175" s="14" t="n">
        <v>44834</v>
      </c>
      <c r="B175" t="n">
        <v>14168</v>
      </c>
      <c r="C175" t="inlineStr">
        <is>
          <t>PEOPLES TRUST COMPANY OF ST. ALBANS</t>
        </is>
      </c>
      <c r="D175" t="inlineStr">
        <is>
          <t>VT</t>
        </is>
      </c>
      <c r="E175" t="n">
        <v>365479</v>
      </c>
      <c r="F175" t="n">
        <v>330944</v>
      </c>
      <c r="G175" t="n">
        <v>29862</v>
      </c>
      <c r="H175" s="16" t="n">
        <v>0.4535839322597829</v>
      </c>
      <c r="I175" s="16" t="n">
        <v>5.07</v>
      </c>
      <c r="J175" s="16" t="n">
        <v>2.878306791157206</v>
      </c>
      <c r="K175" s="16" t="n">
        <v>1286</v>
      </c>
      <c r="L175" s="16" t="n">
        <v>52</v>
      </c>
      <c r="M175" s="16" t="n">
        <v>0.6488919388043435</v>
      </c>
      <c r="N175" s="16" t="n">
        <v>282</v>
      </c>
      <c r="O175" s="16" t="n">
        <v>0</v>
      </c>
      <c r="P175" s="16" t="n">
        <v>18.85244719959634</v>
      </c>
      <c r="Q175" t="n">
        <v>198184</v>
      </c>
      <c r="R175" t="n">
        <v>195272</v>
      </c>
      <c r="S175" t="n">
        <v>164935</v>
      </c>
      <c r="T175" t="n">
        <v>10617</v>
      </c>
      <c r="U175" t="n">
        <v>8545</v>
      </c>
      <c r="V175" t="n">
        <v>1.469341621927098</v>
      </c>
      <c r="W175" t="n">
        <v>0</v>
      </c>
      <c r="X175" s="16">
        <f>IFERROR(K175/E175*100,"")</f>
        <v/>
      </c>
      <c r="Y175" s="16">
        <f>IFERROR((N175+O175)/E175*100,"")</f>
        <v/>
      </c>
      <c r="Z175" s="16">
        <f>IFERROR(R175/F175*100,"")</f>
        <v/>
      </c>
      <c r="AA175" s="16">
        <f>IFERROR(R175/E175*100,"")</f>
        <v/>
      </c>
      <c r="AB175" s="16">
        <f>IFERROR(S175/Q175*100,"")</f>
        <v/>
      </c>
      <c r="AC175" s="16">
        <f>IFERROR(T175/Q175*100,"")</f>
        <v/>
      </c>
      <c r="AD175" s="16">
        <f>IFERROR(U175/Q175*100,"")</f>
        <v/>
      </c>
      <c r="AE175" s="18" t="n"/>
      <c r="AF175" s="18" t="n"/>
      <c r="AG175" s="18" t="n"/>
      <c r="AH175">
        <f>P175&gt;0</f>
        <v/>
      </c>
    </row>
    <row r="176">
      <c r="A176" s="14" t="n">
        <v>44926</v>
      </c>
      <c r="B176" t="n">
        <v>14168</v>
      </c>
      <c r="C176" t="inlineStr">
        <is>
          <t>PEOPLES TRUST COMPANY OF ST. ALBANS</t>
        </is>
      </c>
      <c r="D176" t="inlineStr">
        <is>
          <t>VT</t>
        </is>
      </c>
      <c r="E176" t="n">
        <v>368796</v>
      </c>
      <c r="F176" t="n">
        <v>332153</v>
      </c>
      <c r="G176" t="n">
        <v>31831</v>
      </c>
      <c r="H176" s="16" t="n">
        <v>0.5549740351433559</v>
      </c>
      <c r="I176" s="16" t="n">
        <v>6.25</v>
      </c>
      <c r="J176" s="16" t="n">
        <v>3.073284038118604</v>
      </c>
      <c r="K176" s="16" t="n">
        <v>1146</v>
      </c>
      <c r="L176" s="16" t="n">
        <v>58</v>
      </c>
      <c r="M176" s="16" t="n">
        <v>0.5485221969606319</v>
      </c>
      <c r="N176" s="16" t="n">
        <v>204</v>
      </c>
      <c r="O176" s="16" t="n">
        <v>0</v>
      </c>
      <c r="P176" s="16" t="n">
        <v>18.33947509717448</v>
      </c>
      <c r="Q176" t="n">
        <v>208925</v>
      </c>
      <c r="R176" t="n">
        <v>205944</v>
      </c>
      <c r="S176" t="n">
        <v>173273</v>
      </c>
      <c r="T176" t="n">
        <v>11593</v>
      </c>
      <c r="U176" t="n">
        <v>9164</v>
      </c>
      <c r="V176" t="n">
        <v>1.426827809022376</v>
      </c>
      <c r="W176" t="n">
        <v>0.02</v>
      </c>
      <c r="X176" s="16">
        <f>IFERROR(K176/E176*100,"")</f>
        <v/>
      </c>
      <c r="Y176" s="16">
        <f>IFERROR((N176+O176)/E176*100,"")</f>
        <v/>
      </c>
      <c r="Z176" s="16">
        <f>IFERROR(R176/F176*100,"")</f>
        <v/>
      </c>
      <c r="AA176" s="16">
        <f>IFERROR(R176/E176*100,"")</f>
        <v/>
      </c>
      <c r="AB176" s="16">
        <f>IFERROR(S176/Q176*100,"")</f>
        <v/>
      </c>
      <c r="AC176" s="16">
        <f>IFERROR(T176/Q176*100,"")</f>
        <v/>
      </c>
      <c r="AD176" s="16">
        <f>IFERROR(U176/Q176*100,"")</f>
        <v/>
      </c>
      <c r="AE176" s="18" t="n"/>
      <c r="AF176" s="18" t="n"/>
      <c r="AG176" s="18" t="n"/>
      <c r="AH176">
        <f>P176&gt;0</f>
        <v/>
      </c>
    </row>
    <row r="177">
      <c r="A177" s="14" t="n">
        <v>45016</v>
      </c>
      <c r="B177" t="n">
        <v>14168</v>
      </c>
      <c r="C177" t="inlineStr">
        <is>
          <t>PEOPLES TRUST COMPANY OF ST. ALBANS</t>
        </is>
      </c>
      <c r="D177" t="inlineStr">
        <is>
          <t>VT</t>
        </is>
      </c>
      <c r="E177" t="n">
        <v>356091</v>
      </c>
      <c r="F177" t="n">
        <v>318086</v>
      </c>
      <c r="G177" t="n">
        <v>33166</v>
      </c>
      <c r="H177" s="16" t="n">
        <v>0.7879848859201504</v>
      </c>
      <c r="I177" s="16" t="n">
        <v>8.789999999999999</v>
      </c>
      <c r="J177" s="16" t="n">
        <v>3.741175359478668</v>
      </c>
      <c r="K177" s="16" t="n">
        <v>977</v>
      </c>
      <c r="L177" s="16" t="n">
        <v>1</v>
      </c>
      <c r="M177" s="16" t="n">
        <v>0.4574762482265186</v>
      </c>
      <c r="N177" s="16" t="n">
        <v>232</v>
      </c>
      <c r="O177" s="16" t="n">
        <v>0</v>
      </c>
      <c r="P177" s="16" t="n">
        <v>17.5009100837277</v>
      </c>
      <c r="Q177" t="n">
        <v>213563</v>
      </c>
      <c r="R177" t="n">
        <v>210324</v>
      </c>
      <c r="S177" t="n">
        <v>178006</v>
      </c>
      <c r="T177" t="n">
        <v>11681</v>
      </c>
      <c r="U177" t="n">
        <v>9179</v>
      </c>
      <c r="V177" t="n">
        <v>1.516648483117394</v>
      </c>
      <c r="W177" t="n">
        <v>0.08</v>
      </c>
      <c r="X177" s="16">
        <f>IFERROR(K177/E177*100,"")</f>
        <v/>
      </c>
      <c r="Y177" s="16">
        <f>IFERROR((N177+O177)/E177*100,"")</f>
        <v/>
      </c>
      <c r="Z177" s="16">
        <f>IFERROR(R177/F177*100,"")</f>
        <v/>
      </c>
      <c r="AA177" s="16">
        <f>IFERROR(R177/E177*100,"")</f>
        <v/>
      </c>
      <c r="AB177" s="16">
        <f>IFERROR(S177/Q177*100,"")</f>
        <v/>
      </c>
      <c r="AC177" s="16">
        <f>IFERROR(T177/Q177*100,"")</f>
        <v/>
      </c>
      <c r="AD177" s="16">
        <f>IFERROR(U177/Q177*100,"")</f>
        <v/>
      </c>
      <c r="AE177" s="18">
        <f>IFERROR(E177/E173-1,"")</f>
        <v/>
      </c>
      <c r="AF177" s="18">
        <f>IFERROR(R177/R173-1,"")</f>
        <v/>
      </c>
      <c r="AG177" s="18">
        <f>IFERROR(F177/F173-1,"")</f>
        <v/>
      </c>
      <c r="AH177">
        <f>P177&gt;0</f>
        <v/>
      </c>
    </row>
    <row r="178">
      <c r="A178" s="14" t="n">
        <v>45107</v>
      </c>
      <c r="B178" t="n">
        <v>14168</v>
      </c>
      <c r="C178" t="inlineStr">
        <is>
          <t>PEOPLES TRUST COMPANY OF ST. ALBANS</t>
        </is>
      </c>
      <c r="D178" t="inlineStr">
        <is>
          <t>VT</t>
        </is>
      </c>
      <c r="E178" t="n">
        <v>354017</v>
      </c>
      <c r="F178" t="n">
        <v>316211</v>
      </c>
      <c r="G178" t="n">
        <v>33013</v>
      </c>
      <c r="H178" s="16" t="n">
        <v>0.7713383211110534</v>
      </c>
      <c r="I178" s="16" t="n">
        <v>8.49</v>
      </c>
      <c r="J178" s="16" t="n">
        <v>3.870015562187752</v>
      </c>
      <c r="K178" s="16" t="n">
        <v>1000</v>
      </c>
      <c r="L178" s="16" t="n">
        <v>-6</v>
      </c>
      <c r="M178" s="16" t="n">
        <v>0.4506615711865018</v>
      </c>
      <c r="N178" s="16" t="n">
        <v>648</v>
      </c>
      <c r="O178" s="16" t="n">
        <v>0</v>
      </c>
      <c r="P178" s="16" t="n">
        <v>17.18149562055163</v>
      </c>
      <c r="Q178" t="n">
        <v>221896</v>
      </c>
      <c r="R178" t="n">
        <v>218400</v>
      </c>
      <c r="S178" t="n">
        <v>185047</v>
      </c>
      <c r="T178" t="n">
        <v>11719</v>
      </c>
      <c r="U178" t="n">
        <v>9368</v>
      </c>
      <c r="V178" t="n">
        <v>1.57551285286801</v>
      </c>
      <c r="W178" t="n">
        <v>0.18</v>
      </c>
      <c r="X178" s="16">
        <f>IFERROR(K178/E178*100,"")</f>
        <v/>
      </c>
      <c r="Y178" s="16">
        <f>IFERROR((N178+O178)/E178*100,"")</f>
        <v/>
      </c>
      <c r="Z178" s="16">
        <f>IFERROR(R178/F178*100,"")</f>
        <v/>
      </c>
      <c r="AA178" s="16">
        <f>IFERROR(R178/E178*100,"")</f>
        <v/>
      </c>
      <c r="AB178" s="16">
        <f>IFERROR(S178/Q178*100,"")</f>
        <v/>
      </c>
      <c r="AC178" s="16">
        <f>IFERROR(T178/Q178*100,"")</f>
        <v/>
      </c>
      <c r="AD178" s="16">
        <f>IFERROR(U178/Q178*100,"")</f>
        <v/>
      </c>
      <c r="AE178" s="18">
        <f>IFERROR(E178/E174-1,"")</f>
        <v/>
      </c>
      <c r="AF178" s="18">
        <f>IFERROR(R178/R174-1,"")</f>
        <v/>
      </c>
      <c r="AG178" s="18">
        <f>IFERROR(F178/F174-1,"")</f>
        <v/>
      </c>
      <c r="AH178">
        <f>P178&gt;0</f>
        <v/>
      </c>
    </row>
    <row r="179">
      <c r="A179" s="14" t="n">
        <v>45199</v>
      </c>
      <c r="B179" t="n">
        <v>14168</v>
      </c>
      <c r="C179" t="inlineStr">
        <is>
          <t>PEOPLES TRUST COMPANY OF ST. ALBANS</t>
        </is>
      </c>
      <c r="D179" t="inlineStr">
        <is>
          <t>VT</t>
        </is>
      </c>
      <c r="E179" t="n">
        <v>359023</v>
      </c>
      <c r="F179" t="n">
        <v>322770</v>
      </c>
      <c r="G179" t="n">
        <v>31301</v>
      </c>
      <c r="H179" s="16" t="n">
        <v>0.8471242837779666</v>
      </c>
      <c r="I179" s="16" t="n">
        <v>9.42</v>
      </c>
      <c r="J179" s="16" t="n">
        <v>3.938802693574616</v>
      </c>
      <c r="K179" s="16" t="n">
        <v>1133</v>
      </c>
      <c r="L179" s="16" t="n">
        <v>-11</v>
      </c>
      <c r="M179" s="16" t="n">
        <v>0.4946107941275336</v>
      </c>
      <c r="N179" s="16" t="n">
        <v>363</v>
      </c>
      <c r="O179" s="16" t="n">
        <v>0</v>
      </c>
      <c r="P179" s="16" t="n">
        <v>16.9790621609938</v>
      </c>
      <c r="Q179" t="n">
        <v>229069</v>
      </c>
      <c r="R179" t="n">
        <v>225418</v>
      </c>
      <c r="S179" t="n">
        <v>191581</v>
      </c>
      <c r="T179" t="n">
        <v>11392</v>
      </c>
      <c r="U179" t="n">
        <v>9903</v>
      </c>
      <c r="V179" t="n">
        <v>1.593842903230031</v>
      </c>
      <c r="W179" t="n">
        <v>0.18</v>
      </c>
      <c r="X179" s="16">
        <f>IFERROR(K179/E179*100,"")</f>
        <v/>
      </c>
      <c r="Y179" s="16">
        <f>IFERROR((N179+O179)/E179*100,"")</f>
        <v/>
      </c>
      <c r="Z179" s="16">
        <f>IFERROR(R179/F179*100,"")</f>
        <v/>
      </c>
      <c r="AA179" s="16">
        <f>IFERROR(R179/E179*100,"")</f>
        <v/>
      </c>
      <c r="AB179" s="16">
        <f>IFERROR(S179/Q179*100,"")</f>
        <v/>
      </c>
      <c r="AC179" s="16">
        <f>IFERROR(T179/Q179*100,"")</f>
        <v/>
      </c>
      <c r="AD179" s="16">
        <f>IFERROR(U179/Q179*100,"")</f>
        <v/>
      </c>
      <c r="AE179" s="18">
        <f>IFERROR(E179/E175-1,"")</f>
        <v/>
      </c>
      <c r="AF179" s="18">
        <f>IFERROR(R179/R175-1,"")</f>
        <v/>
      </c>
      <c r="AG179" s="18">
        <f>IFERROR(F179/F175-1,"")</f>
        <v/>
      </c>
      <c r="AH179">
        <f>P179&gt;0</f>
        <v/>
      </c>
    </row>
    <row r="180">
      <c r="A180" s="14" t="n">
        <v>45291</v>
      </c>
      <c r="B180" t="n">
        <v>14168</v>
      </c>
      <c r="C180" t="inlineStr">
        <is>
          <t>PEOPLES TRUST COMPANY OF ST. ALBANS</t>
        </is>
      </c>
      <c r="D180" t="inlineStr">
        <is>
          <t>VT</t>
        </is>
      </c>
      <c r="E180" t="n">
        <v>357709</v>
      </c>
      <c r="F180" t="n">
        <v>317592</v>
      </c>
      <c r="G180" t="n">
        <v>35301</v>
      </c>
      <c r="H180" s="16" t="n">
        <v>0.791084607348037</v>
      </c>
      <c r="I180" s="16" t="n">
        <v>8.630000000000001</v>
      </c>
      <c r="J180" s="16" t="n">
        <v>3.996271936236266</v>
      </c>
      <c r="K180" s="16" t="n">
        <v>1115</v>
      </c>
      <c r="L180" s="16" t="n">
        <v>-60</v>
      </c>
      <c r="M180" s="16" t="n">
        <v>0.465769103843535</v>
      </c>
      <c r="N180" s="16" t="n">
        <v>513</v>
      </c>
      <c r="O180" s="16" t="n">
        <v>0</v>
      </c>
      <c r="P180" s="16" t="n">
        <v>16.74490708536222</v>
      </c>
      <c r="Q180" t="n">
        <v>239389</v>
      </c>
      <c r="R180" t="n">
        <v>235389</v>
      </c>
      <c r="S180" t="n">
        <v>202849</v>
      </c>
      <c r="T180" t="n">
        <v>11698</v>
      </c>
      <c r="U180" t="n">
        <v>10178</v>
      </c>
      <c r="V180" t="n">
        <v>1.670920551905058</v>
      </c>
      <c r="W180" t="n">
        <v>0.22</v>
      </c>
      <c r="X180" s="16">
        <f>IFERROR(K180/E180*100,"")</f>
        <v/>
      </c>
      <c r="Y180" s="16">
        <f>IFERROR((N180+O180)/E180*100,"")</f>
        <v/>
      </c>
      <c r="Z180" s="16">
        <f>IFERROR(R180/F180*100,"")</f>
        <v/>
      </c>
      <c r="AA180" s="16">
        <f>IFERROR(R180/E180*100,"")</f>
        <v/>
      </c>
      <c r="AB180" s="16">
        <f>IFERROR(S180/Q180*100,"")</f>
        <v/>
      </c>
      <c r="AC180" s="16">
        <f>IFERROR(T180/Q180*100,"")</f>
        <v/>
      </c>
      <c r="AD180" s="16">
        <f>IFERROR(U180/Q180*100,"")</f>
        <v/>
      </c>
      <c r="AE180" s="18">
        <f>IFERROR(E180/E176-1,"")</f>
        <v/>
      </c>
      <c r="AF180" s="18">
        <f>IFERROR(R180/R176-1,"")</f>
        <v/>
      </c>
      <c r="AG180" s="18">
        <f>IFERROR(F180/F176-1,"")</f>
        <v/>
      </c>
      <c r="AH180">
        <f>P180&gt;0</f>
        <v/>
      </c>
    </row>
    <row r="181">
      <c r="A181" s="14" t="n">
        <v>45382</v>
      </c>
      <c r="B181" t="n">
        <v>14168</v>
      </c>
      <c r="C181" t="inlineStr">
        <is>
          <t>PEOPLES TRUST COMPANY OF ST. ALBANS</t>
        </is>
      </c>
      <c r="D181" t="inlineStr">
        <is>
          <t>VT</t>
        </is>
      </c>
      <c r="E181" t="n">
        <v>363663</v>
      </c>
      <c r="F181" t="n">
        <v>323430</v>
      </c>
      <c r="G181" t="n">
        <v>35210</v>
      </c>
      <c r="H181" s="16" t="n">
        <v>0.7873884764032982</v>
      </c>
      <c r="I181" s="16" t="n">
        <v>8.06</v>
      </c>
      <c r="J181" s="16" t="n">
        <v>3.980939026274197</v>
      </c>
      <c r="K181" s="16" t="n">
        <v>1095</v>
      </c>
      <c r="L181" s="16" t="n">
        <v>-25</v>
      </c>
      <c r="M181" s="16" t="n">
        <v>0.437172419845075</v>
      </c>
      <c r="N181" s="16" t="n">
        <v>1276</v>
      </c>
      <c r="O181" s="16" t="n">
        <v>1</v>
      </c>
      <c r="P181" s="16" t="n">
        <v>16.39072530052988</v>
      </c>
      <c r="Q181" t="n">
        <v>250702</v>
      </c>
      <c r="R181" t="n">
        <v>246577</v>
      </c>
      <c r="S181" t="n">
        <v>213218</v>
      </c>
      <c r="T181" t="n">
        <v>12376</v>
      </c>
      <c r="U181" t="n">
        <v>10104</v>
      </c>
      <c r="V181" t="n">
        <v>1.645379773595743</v>
      </c>
      <c r="W181" t="n">
        <v>0.11</v>
      </c>
      <c r="X181" s="16">
        <f>IFERROR(K181/E181*100,"")</f>
        <v/>
      </c>
      <c r="Y181" s="16">
        <f>IFERROR((N181+O181)/E181*100,"")</f>
        <v/>
      </c>
      <c r="Z181" s="16">
        <f>IFERROR(R181/F181*100,"")</f>
        <v/>
      </c>
      <c r="AA181" s="16">
        <f>IFERROR(R181/E181*100,"")</f>
        <v/>
      </c>
      <c r="AB181" s="16">
        <f>IFERROR(S181/Q181*100,"")</f>
        <v/>
      </c>
      <c r="AC181" s="16">
        <f>IFERROR(T181/Q181*100,"")</f>
        <v/>
      </c>
      <c r="AD181" s="16">
        <f>IFERROR(U181/Q181*100,"")</f>
        <v/>
      </c>
      <c r="AE181" s="18">
        <f>IFERROR(E181/E177-1,"")</f>
        <v/>
      </c>
      <c r="AF181" s="18">
        <f>IFERROR(R181/R177-1,"")</f>
        <v/>
      </c>
      <c r="AG181" s="18">
        <f>IFERROR(F181/F177-1,"")</f>
        <v/>
      </c>
      <c r="AH181">
        <f>P181&gt;0</f>
        <v/>
      </c>
    </row>
    <row r="182">
      <c r="A182" s="14" t="n">
        <v>45473</v>
      </c>
      <c r="B182" t="n">
        <v>14168</v>
      </c>
      <c r="C182" t="inlineStr">
        <is>
          <t>PEOPLES TRUST COMPANY OF ST. ALBANS</t>
        </is>
      </c>
      <c r="D182" t="inlineStr">
        <is>
          <t>VT</t>
        </is>
      </c>
      <c r="E182" t="n">
        <v>371774</v>
      </c>
      <c r="F182" t="n">
        <v>330926</v>
      </c>
      <c r="G182" t="n">
        <v>35832</v>
      </c>
      <c r="H182" s="16" t="n">
        <v>0.9166204697268252</v>
      </c>
      <c r="I182" s="16" t="n">
        <v>9.42</v>
      </c>
      <c r="J182" s="16" t="n">
        <v>4.048930482336128</v>
      </c>
      <c r="K182" s="16" t="n">
        <v>1042</v>
      </c>
      <c r="L182" s="16" t="n">
        <v>35</v>
      </c>
      <c r="M182" s="16" t="n">
        <v>0.3977773285991602</v>
      </c>
      <c r="N182" s="16" t="n">
        <v>415</v>
      </c>
      <c r="O182" s="16" t="n">
        <v>1</v>
      </c>
      <c r="P182" s="16" t="n">
        <v>16.11432754375458</v>
      </c>
      <c r="Q182" t="n">
        <v>262207</v>
      </c>
      <c r="R182" t="n">
        <v>258112</v>
      </c>
      <c r="S182" t="n">
        <v>222296</v>
      </c>
      <c r="T182" t="n">
        <v>12486</v>
      </c>
      <c r="U182" t="n">
        <v>10566</v>
      </c>
      <c r="V182" t="n">
        <v>1.56174320288932</v>
      </c>
      <c r="W182" t="n">
        <v>0.07000000000000001</v>
      </c>
      <c r="X182" s="16">
        <f>IFERROR(K182/E182*100,"")</f>
        <v/>
      </c>
      <c r="Y182" s="16">
        <f>IFERROR((N182+O182)/E182*100,"")</f>
        <v/>
      </c>
      <c r="Z182" s="16">
        <f>IFERROR(R182/F182*100,"")</f>
        <v/>
      </c>
      <c r="AA182" s="16">
        <f>IFERROR(R182/E182*100,"")</f>
        <v/>
      </c>
      <c r="AB182" s="16">
        <f>IFERROR(S182/Q182*100,"")</f>
        <v/>
      </c>
      <c r="AC182" s="16">
        <f>IFERROR(T182/Q182*100,"")</f>
        <v/>
      </c>
      <c r="AD182" s="16">
        <f>IFERROR(U182/Q182*100,"")</f>
        <v/>
      </c>
      <c r="AE182" s="18">
        <f>IFERROR(E182/E178-1,"")</f>
        <v/>
      </c>
      <c r="AF182" s="18">
        <f>IFERROR(R182/R178-1,"")</f>
        <v/>
      </c>
      <c r="AG182" s="18">
        <f>IFERROR(F182/F178-1,"")</f>
        <v/>
      </c>
      <c r="AH182">
        <f>P182&gt;0</f>
        <v/>
      </c>
    </row>
    <row r="183">
      <c r="A183" s="14" t="n">
        <v>45565</v>
      </c>
      <c r="B183" t="n">
        <v>14168</v>
      </c>
      <c r="C183" t="inlineStr">
        <is>
          <t>PEOPLES TRUST COMPANY OF ST. ALBANS</t>
        </is>
      </c>
      <c r="D183" t="inlineStr">
        <is>
          <t>VT</t>
        </is>
      </c>
      <c r="E183" t="n">
        <v>371732</v>
      </c>
      <c r="F183" t="n">
        <v>328030</v>
      </c>
      <c r="G183" t="n">
        <v>38425</v>
      </c>
      <c r="H183" s="16" t="n">
        <v>1.07473840142319</v>
      </c>
      <c r="I183" s="16" t="n">
        <v>10.88</v>
      </c>
      <c r="J183" s="16" t="n">
        <v>4.105672665656249</v>
      </c>
      <c r="K183" s="16" t="n">
        <v>865</v>
      </c>
      <c r="L183" s="16" t="n">
        <v>48</v>
      </c>
      <c r="M183" s="16" t="n">
        <v>0.3229086358506798</v>
      </c>
      <c r="N183" s="16" t="n">
        <v>569</v>
      </c>
      <c r="O183" s="16" t="n">
        <v>2</v>
      </c>
      <c r="P183" s="16" t="n">
        <v>16.43554015937984</v>
      </c>
      <c r="Q183" t="n">
        <v>268497</v>
      </c>
      <c r="R183" t="n">
        <v>264395</v>
      </c>
      <c r="S183" t="n">
        <v>228801</v>
      </c>
      <c r="T183" t="n">
        <v>11832</v>
      </c>
      <c r="U183" t="n">
        <v>10190</v>
      </c>
      <c r="V183" t="n">
        <v>1.527763811141279</v>
      </c>
      <c r="W183" t="n">
        <v>0.05</v>
      </c>
      <c r="X183" s="16">
        <f>IFERROR(K183/E183*100,"")</f>
        <v/>
      </c>
      <c r="Y183" s="16">
        <f>IFERROR((N183+O183)/E183*100,"")</f>
        <v/>
      </c>
      <c r="Z183" s="16">
        <f>IFERROR(R183/F183*100,"")</f>
        <v/>
      </c>
      <c r="AA183" s="16">
        <f>IFERROR(R183/E183*100,"")</f>
        <v/>
      </c>
      <c r="AB183" s="16">
        <f>IFERROR(S183/Q183*100,"")</f>
        <v/>
      </c>
      <c r="AC183" s="16">
        <f>IFERROR(T183/Q183*100,"")</f>
        <v/>
      </c>
      <c r="AD183" s="16">
        <f>IFERROR(U183/Q183*100,"")</f>
        <v/>
      </c>
      <c r="AE183" s="18">
        <f>IFERROR(E183/E179-1,"")</f>
        <v/>
      </c>
      <c r="AF183" s="18">
        <f>IFERROR(R183/R179-1,"")</f>
        <v/>
      </c>
      <c r="AG183" s="18">
        <f>IFERROR(F183/F179-1,"")</f>
        <v/>
      </c>
      <c r="AH183">
        <f>P183&gt;0</f>
        <v/>
      </c>
    </row>
    <row r="184">
      <c r="A184" s="14" t="n">
        <v>45657</v>
      </c>
      <c r="B184" t="n">
        <v>14168</v>
      </c>
      <c r="C184" t="inlineStr">
        <is>
          <t>PEOPLES TRUST COMPANY OF ST. ALBANS</t>
        </is>
      </c>
      <c r="D184" t="inlineStr">
        <is>
          <t>VT</t>
        </is>
      </c>
      <c r="E184" t="n">
        <v>369405</v>
      </c>
      <c r="F184" t="n">
        <v>325925</v>
      </c>
      <c r="G184" t="n">
        <v>37830</v>
      </c>
      <c r="H184" s="16" t="n">
        <v>0.9859438265523912</v>
      </c>
      <c r="I184" s="16" t="n">
        <v>9.9</v>
      </c>
      <c r="J184" s="16" t="n">
        <v>4.150922193035441</v>
      </c>
      <c r="K184" s="16" t="n">
        <v>910</v>
      </c>
      <c r="L184" s="16" t="n">
        <v>85</v>
      </c>
      <c r="M184" s="16" t="n">
        <v>0.3292544376985477</v>
      </c>
      <c r="N184" s="16" t="n">
        <v>404</v>
      </c>
      <c r="O184" s="16" t="n">
        <v>0</v>
      </c>
      <c r="P184" s="16" t="n">
        <v>16.41947614484421</v>
      </c>
      <c r="Q184" t="n">
        <v>276382</v>
      </c>
      <c r="R184" t="n">
        <v>272596</v>
      </c>
      <c r="S184" t="n">
        <v>234027</v>
      </c>
      <c r="T184" t="n">
        <v>11946</v>
      </c>
      <c r="U184" t="n">
        <v>10751</v>
      </c>
      <c r="V184" t="n">
        <v>1.36984318805132</v>
      </c>
      <c r="W184" t="n">
        <v>0.05</v>
      </c>
      <c r="X184" s="16">
        <f>IFERROR(K184/E184*100,"")</f>
        <v/>
      </c>
      <c r="Y184" s="16">
        <f>IFERROR((N184+O184)/E184*100,"")</f>
        <v/>
      </c>
      <c r="Z184" s="16">
        <f>IFERROR(R184/F184*100,"")</f>
        <v/>
      </c>
      <c r="AA184" s="16">
        <f>IFERROR(R184/E184*100,"")</f>
        <v/>
      </c>
      <c r="AB184" s="16">
        <f>IFERROR(S184/Q184*100,"")</f>
        <v/>
      </c>
      <c r="AC184" s="16">
        <f>IFERROR(T184/Q184*100,"")</f>
        <v/>
      </c>
      <c r="AD184" s="16">
        <f>IFERROR(U184/Q184*100,"")</f>
        <v/>
      </c>
      <c r="AE184" s="18">
        <f>IFERROR(E184/E180-1,"")</f>
        <v/>
      </c>
      <c r="AF184" s="18">
        <f>IFERROR(R184/R180-1,"")</f>
        <v/>
      </c>
      <c r="AG184" s="18">
        <f>IFERROR(F184/F180-1,"")</f>
        <v/>
      </c>
      <c r="AH184">
        <f>P184&gt;0</f>
        <v/>
      </c>
    </row>
    <row r="185">
      <c r="A185" s="14" t="n">
        <v>45747</v>
      </c>
      <c r="B185" t="n">
        <v>14168</v>
      </c>
      <c r="C185" t="inlineStr">
        <is>
          <t>PEOPLES TRUST COMPANY OF ST. ALBANS</t>
        </is>
      </c>
      <c r="D185" t="inlineStr">
        <is>
          <t>VT</t>
        </is>
      </c>
      <c r="E185" t="n">
        <v>374654</v>
      </c>
      <c r="F185" t="n">
        <v>330872</v>
      </c>
      <c r="G185" t="n">
        <v>38318</v>
      </c>
      <c r="H185" s="16" t="n">
        <v>0.9386352426353286</v>
      </c>
      <c r="I185" s="16" t="n">
        <v>9.17</v>
      </c>
      <c r="J185" s="16" t="n">
        <v>4.153313234798683</v>
      </c>
      <c r="K185" s="16" t="n">
        <v>890</v>
      </c>
      <c r="L185" s="16" t="n">
        <v>9</v>
      </c>
      <c r="M185" s="16" t="n">
        <v>0.3259285300989504</v>
      </c>
      <c r="N185" s="16" t="n">
        <v>367</v>
      </c>
      <c r="O185" s="16" t="n">
        <v>0</v>
      </c>
      <c r="P185" s="16" t="n">
        <v>16.71212768521257</v>
      </c>
      <c r="Q185" t="n">
        <v>273066</v>
      </c>
      <c r="R185" t="n">
        <v>269444</v>
      </c>
      <c r="S185" t="n">
        <v>233845</v>
      </c>
      <c r="T185" t="n">
        <v>12139</v>
      </c>
      <c r="U185" t="n">
        <v>10316</v>
      </c>
      <c r="V185" t="n">
        <v>1.326419253953257</v>
      </c>
      <c r="W185" t="n">
        <v>0.09</v>
      </c>
      <c r="X185" s="16">
        <f>IFERROR(K185/E185*100,"")</f>
        <v/>
      </c>
      <c r="Y185" s="16">
        <f>IFERROR((N185+O185)/E185*100,"")</f>
        <v/>
      </c>
      <c r="Z185" s="16">
        <f>IFERROR(R185/F185*100,"")</f>
        <v/>
      </c>
      <c r="AA185" s="16">
        <f>IFERROR(R185/E185*100,"")</f>
        <v/>
      </c>
      <c r="AB185" s="16">
        <f>IFERROR(S185/Q185*100,"")</f>
        <v/>
      </c>
      <c r="AC185" s="16">
        <f>IFERROR(T185/Q185*100,"")</f>
        <v/>
      </c>
      <c r="AD185" s="16">
        <f>IFERROR(U185/Q185*100,"")</f>
        <v/>
      </c>
      <c r="AE185" s="18">
        <f>IFERROR(E185/E181-1,"")</f>
        <v/>
      </c>
      <c r="AF185" s="18">
        <f>IFERROR(R185/R181-1,"")</f>
        <v/>
      </c>
      <c r="AG185" s="18">
        <f>IFERROR(F185/F181-1,"")</f>
        <v/>
      </c>
      <c r="AH185">
        <f>P185&gt;0</f>
        <v/>
      </c>
    </row>
    <row r="186">
      <c r="A186" s="14" t="n">
        <v>45838</v>
      </c>
      <c r="B186" t="n">
        <v>14168</v>
      </c>
      <c r="C186" t="inlineStr">
        <is>
          <t>PEOPLES TRUST COMPANY OF ST. ALBANS</t>
        </is>
      </c>
      <c r="D186" t="inlineStr">
        <is>
          <t>VT</t>
        </is>
      </c>
      <c r="E186" t="n">
        <v>376849</v>
      </c>
      <c r="F186" t="n">
        <v>332557</v>
      </c>
      <c r="G186" t="n">
        <v>38788</v>
      </c>
      <c r="H186" s="16" t="n">
        <v>0.9667162693102378</v>
      </c>
      <c r="I186" s="16" t="n">
        <v>9.43</v>
      </c>
      <c r="J186" s="16" t="n">
        <v>4.222243217012651</v>
      </c>
      <c r="K186" s="16" t="n">
        <v>1012</v>
      </c>
      <c r="L186" s="16" t="n">
        <v>32</v>
      </c>
      <c r="M186" s="16" t="n">
        <v>0.3511231082028186</v>
      </c>
      <c r="N186" s="16" t="n">
        <v>93</v>
      </c>
      <c r="O186" s="16" t="n">
        <v>0</v>
      </c>
      <c r="P186" s="16" t="n">
        <v>16.58401671604196</v>
      </c>
      <c r="Q186" t="n">
        <v>288218</v>
      </c>
      <c r="R186" t="n">
        <v>284549</v>
      </c>
      <c r="S186" t="n">
        <v>247587</v>
      </c>
      <c r="T186" t="n">
        <v>11385</v>
      </c>
      <c r="U186" t="n">
        <v>10856</v>
      </c>
      <c r="V186" t="n">
        <v>1.272994747031761</v>
      </c>
      <c r="W186" t="n">
        <v>0.08</v>
      </c>
      <c r="X186" s="16">
        <f>IFERROR(K186/E186*100,"")</f>
        <v/>
      </c>
      <c r="Y186" s="16">
        <f>IFERROR((N186+O186)/E186*100,"")</f>
        <v/>
      </c>
      <c r="Z186" s="16">
        <f>IFERROR(R186/F186*100,"")</f>
        <v/>
      </c>
      <c r="AA186" s="16">
        <f>IFERROR(R186/E186*100,"")</f>
        <v/>
      </c>
      <c r="AB186" s="16">
        <f>IFERROR(S186/Q186*100,"")</f>
        <v/>
      </c>
      <c r="AC186" s="16">
        <f>IFERROR(T186/Q186*100,"")</f>
        <v/>
      </c>
      <c r="AD186" s="16">
        <f>IFERROR(U186/Q186*100,"")</f>
        <v/>
      </c>
      <c r="AE186" s="18">
        <f>IFERROR(E186/E182-1,"")</f>
        <v/>
      </c>
      <c r="AF186" s="18">
        <f>IFERROR(R186/R182-1,"")</f>
        <v/>
      </c>
      <c r="AG186" s="18">
        <f>IFERROR(F186/F182-1,"")</f>
        <v/>
      </c>
      <c r="AH186">
        <f>P186&gt;0</f>
        <v/>
      </c>
    </row>
    <row r="187">
      <c r="A187" s="14" t="n">
        <v>44651</v>
      </c>
      <c r="B187" t="n">
        <v>14240</v>
      </c>
      <c r="C187" t="inlineStr">
        <is>
          <t>NORTHWAY BANK</t>
        </is>
      </c>
      <c r="D187" t="inlineStr">
        <is>
          <t>NH</t>
        </is>
      </c>
      <c r="E187" t="n">
        <v>1221074</v>
      </c>
      <c r="F187" t="n">
        <v>1020645</v>
      </c>
      <c r="G187" t="n">
        <v>102113</v>
      </c>
      <c r="H187" s="16" t="n">
        <v>0.0698118813327899</v>
      </c>
      <c r="I187" s="16" t="n">
        <v>0.79</v>
      </c>
      <c r="J187" s="16" t="n">
        <v>2.819420726151022</v>
      </c>
      <c r="K187" s="16" t="n">
        <v>2204</v>
      </c>
      <c r="L187" s="16" t="n">
        <v>-4</v>
      </c>
      <c r="M187" s="16" t="n">
        <v>0.2672584185189227</v>
      </c>
      <c r="N187" s="16" t="n">
        <v>1936</v>
      </c>
      <c r="O187" s="16" t="n">
        <v>0</v>
      </c>
      <c r="P187" s="16" t="n">
        <v>15.10699233643386</v>
      </c>
      <c r="Q187" t="n">
        <v>824670</v>
      </c>
      <c r="R187" t="n">
        <v>815200</v>
      </c>
      <c r="S187" t="n">
        <v>705835</v>
      </c>
      <c r="T187" t="n">
        <v>29648</v>
      </c>
      <c r="U187" t="n">
        <v>17990</v>
      </c>
      <c r="V187" t="n">
        <v>1.148338123128039</v>
      </c>
      <c r="W187" t="n">
        <v>0</v>
      </c>
      <c r="X187" s="16">
        <f>IFERROR(K187/E187*100,"")</f>
        <v/>
      </c>
      <c r="Y187" s="16">
        <f>IFERROR((N187+O187)/E187*100,"")</f>
        <v/>
      </c>
      <c r="Z187" s="16">
        <f>IFERROR(R187/F187*100,"")</f>
        <v/>
      </c>
      <c r="AA187" s="16">
        <f>IFERROR(R187/E187*100,"")</f>
        <v/>
      </c>
      <c r="AB187" s="16">
        <f>IFERROR(S187/Q187*100,"")</f>
        <v/>
      </c>
      <c r="AC187" s="16">
        <f>IFERROR(T187/Q187*100,"")</f>
        <v/>
      </c>
      <c r="AD187" s="16">
        <f>IFERROR(U187/Q187*100,"")</f>
        <v/>
      </c>
      <c r="AE187" s="18" t="n"/>
      <c r="AF187" s="18" t="n"/>
      <c r="AG187" s="18" t="n"/>
      <c r="AH187">
        <f>P187&gt;0</f>
        <v/>
      </c>
    </row>
    <row r="188">
      <c r="A188" s="14" t="n">
        <v>44742</v>
      </c>
      <c r="B188" t="n">
        <v>14240</v>
      </c>
      <c r="C188" t="inlineStr">
        <is>
          <t>NORTHWAY BANK</t>
        </is>
      </c>
      <c r="D188" t="inlineStr">
        <is>
          <t>NH</t>
        </is>
      </c>
      <c r="E188" t="n">
        <v>1238699</v>
      </c>
      <c r="F188" t="n">
        <v>1039863</v>
      </c>
      <c r="G188" t="n">
        <v>89585</v>
      </c>
      <c r="H188" s="16" t="n">
        <v>-0.0461854716711551</v>
      </c>
      <c r="I188" s="16" t="n">
        <v>-0.55</v>
      </c>
      <c r="J188" s="16" t="n">
        <v>2.910498986157871</v>
      </c>
      <c r="K188" s="16" t="n">
        <v>1924</v>
      </c>
      <c r="L188" s="16" t="n">
        <v>-78</v>
      </c>
      <c r="M188" s="16" t="n">
        <v>0.2226893090612789</v>
      </c>
      <c r="N188" s="16" t="n">
        <v>733</v>
      </c>
      <c r="O188" s="16" t="n">
        <v>0</v>
      </c>
      <c r="P188" s="16" t="n">
        <v>14.55472971390319</v>
      </c>
      <c r="Q188" t="n">
        <v>863984</v>
      </c>
      <c r="R188" t="n">
        <v>854140</v>
      </c>
      <c r="S188" t="n">
        <v>739584</v>
      </c>
      <c r="T188" t="n">
        <v>24677</v>
      </c>
      <c r="U188" t="n">
        <v>17572</v>
      </c>
      <c r="V188" t="n">
        <v>1.139372951350951</v>
      </c>
      <c r="W188" t="n">
        <v>0.05</v>
      </c>
      <c r="X188" s="16">
        <f>IFERROR(K188/E188*100,"")</f>
        <v/>
      </c>
      <c r="Y188" s="16">
        <f>IFERROR((N188+O188)/E188*100,"")</f>
        <v/>
      </c>
      <c r="Z188" s="16">
        <f>IFERROR(R188/F188*100,"")</f>
        <v/>
      </c>
      <c r="AA188" s="16">
        <f>IFERROR(R188/E188*100,"")</f>
        <v/>
      </c>
      <c r="AB188" s="16">
        <f>IFERROR(S188/Q188*100,"")</f>
        <v/>
      </c>
      <c r="AC188" s="16">
        <f>IFERROR(T188/Q188*100,"")</f>
        <v/>
      </c>
      <c r="AD188" s="16">
        <f>IFERROR(U188/Q188*100,"")</f>
        <v/>
      </c>
      <c r="AE188" s="18" t="n"/>
      <c r="AF188" s="18" t="n"/>
      <c r="AG188" s="18" t="n"/>
      <c r="AH188">
        <f>P188&gt;0</f>
        <v/>
      </c>
    </row>
    <row r="189">
      <c r="A189" s="14" t="n">
        <v>44834</v>
      </c>
      <c r="B189" t="n">
        <v>14240</v>
      </c>
      <c r="C189" t="inlineStr">
        <is>
          <t>NORTHWAY BANK</t>
        </is>
      </c>
      <c r="D189" t="inlineStr">
        <is>
          <t>NH</t>
        </is>
      </c>
      <c r="E189" t="n">
        <v>1313807</v>
      </c>
      <c r="F189" t="n">
        <v>1060386</v>
      </c>
      <c r="G189" t="n">
        <v>76133</v>
      </c>
      <c r="H189" s="16" t="n">
        <v>0.005741174219091</v>
      </c>
      <c r="I189" s="16" t="n">
        <v>0.07000000000000001</v>
      </c>
      <c r="J189" s="16" t="n">
        <v>2.969434122722448</v>
      </c>
      <c r="K189" s="16" t="n">
        <v>1987</v>
      </c>
      <c r="L189" s="16" t="n">
        <v>-106</v>
      </c>
      <c r="M189" s="16" t="n">
        <v>0.213100934984374</v>
      </c>
      <c r="N189" s="16" t="n">
        <v>321</v>
      </c>
      <c r="O189" s="16" t="n">
        <v>0</v>
      </c>
      <c r="P189" s="16" t="n">
        <v>13.811186570616</v>
      </c>
      <c r="Q189" t="n">
        <v>932422</v>
      </c>
      <c r="R189" t="n">
        <v>921800</v>
      </c>
      <c r="S189" t="n">
        <v>792363</v>
      </c>
      <c r="T189" t="n">
        <v>23213</v>
      </c>
      <c r="U189" t="n">
        <v>16892</v>
      </c>
      <c r="V189" t="n">
        <v>1.13918376014294</v>
      </c>
      <c r="W189" t="n">
        <v>0.11</v>
      </c>
      <c r="X189" s="16">
        <f>IFERROR(K189/E189*100,"")</f>
        <v/>
      </c>
      <c r="Y189" s="16">
        <f>IFERROR((N189+O189)/E189*100,"")</f>
        <v/>
      </c>
      <c r="Z189" s="16">
        <f>IFERROR(R189/F189*100,"")</f>
        <v/>
      </c>
      <c r="AA189" s="16">
        <f>IFERROR(R189/E189*100,"")</f>
        <v/>
      </c>
      <c r="AB189" s="16">
        <f>IFERROR(S189/Q189*100,"")</f>
        <v/>
      </c>
      <c r="AC189" s="16">
        <f>IFERROR(T189/Q189*100,"")</f>
        <v/>
      </c>
      <c r="AD189" s="16">
        <f>IFERROR(U189/Q189*100,"")</f>
        <v/>
      </c>
      <c r="AE189" s="18" t="n"/>
      <c r="AF189" s="18" t="n"/>
      <c r="AG189" s="18" t="n"/>
      <c r="AH189">
        <f>P189&gt;0</f>
        <v/>
      </c>
    </row>
    <row r="190">
      <c r="A190" s="14" t="n">
        <v>44926</v>
      </c>
      <c r="B190" t="n">
        <v>14240</v>
      </c>
      <c r="C190" t="inlineStr">
        <is>
          <t>NORTHWAY BANK</t>
        </is>
      </c>
      <c r="D190" t="inlineStr">
        <is>
          <t>NH</t>
        </is>
      </c>
      <c r="E190" t="n">
        <v>1297773</v>
      </c>
      <c r="F190" t="n">
        <v>1070008</v>
      </c>
      <c r="G190" t="n">
        <v>81085</v>
      </c>
      <c r="H190" s="16" t="n">
        <v>0.31097349194486</v>
      </c>
      <c r="I190" s="16" t="n">
        <v>4.22</v>
      </c>
      <c r="J190" s="16" t="n">
        <v>3.014228873545159</v>
      </c>
      <c r="K190" s="16" t="n">
        <v>2163</v>
      </c>
      <c r="L190" s="16" t="n">
        <v>-94</v>
      </c>
      <c r="M190" s="16" t="n">
        <v>0.2325771439999828</v>
      </c>
      <c r="N190" s="16" t="n">
        <v>8212</v>
      </c>
      <c r="O190" s="16" t="n">
        <v>0</v>
      </c>
      <c r="P190" s="16" t="n">
        <v>14.71721991097664</v>
      </c>
      <c r="Q190" t="n">
        <v>930014</v>
      </c>
      <c r="R190" t="n">
        <v>918654</v>
      </c>
      <c r="S190" t="n">
        <v>824710</v>
      </c>
      <c r="T190" t="n">
        <v>24518</v>
      </c>
      <c r="U190" t="n">
        <v>17452</v>
      </c>
      <c r="V190" t="n">
        <v>1.221486988367917</v>
      </c>
      <c r="W190" t="n">
        <v>0.14</v>
      </c>
      <c r="X190" s="16">
        <f>IFERROR(K190/E190*100,"")</f>
        <v/>
      </c>
      <c r="Y190" s="16">
        <f>IFERROR((N190+O190)/E190*100,"")</f>
        <v/>
      </c>
      <c r="Z190" s="16">
        <f>IFERROR(R190/F190*100,"")</f>
        <v/>
      </c>
      <c r="AA190" s="16">
        <f>IFERROR(R190/E190*100,"")</f>
        <v/>
      </c>
      <c r="AB190" s="16">
        <f>IFERROR(S190/Q190*100,"")</f>
        <v/>
      </c>
      <c r="AC190" s="16">
        <f>IFERROR(T190/Q190*100,"")</f>
        <v/>
      </c>
      <c r="AD190" s="16">
        <f>IFERROR(U190/Q190*100,"")</f>
        <v/>
      </c>
      <c r="AE190" s="18" t="n"/>
      <c r="AF190" s="18" t="n"/>
      <c r="AG190" s="18" t="n"/>
      <c r="AH190">
        <f>P190&gt;0</f>
        <v/>
      </c>
    </row>
    <row r="191">
      <c r="A191" s="14" t="n">
        <v>45016</v>
      </c>
      <c r="B191" t="n">
        <v>14240</v>
      </c>
      <c r="C191" t="inlineStr">
        <is>
          <t>NORTHWAY BANK</t>
        </is>
      </c>
      <c r="D191" t="inlineStr">
        <is>
          <t>NH</t>
        </is>
      </c>
      <c r="E191" t="n">
        <v>1364518</v>
      </c>
      <c r="F191" t="n">
        <v>1019790</v>
      </c>
      <c r="G191" t="n">
        <v>86202</v>
      </c>
      <c r="H191" s="16" t="n">
        <v>0.4414243221345826</v>
      </c>
      <c r="I191" s="16" t="n">
        <v>7.03</v>
      </c>
      <c r="J191" s="16" t="n">
        <v>2.970061054153497</v>
      </c>
      <c r="K191" s="16" t="n">
        <v>2251</v>
      </c>
      <c r="L191" s="16" t="n">
        <v>26</v>
      </c>
      <c r="M191" s="16" t="n">
        <v>0.2368840331111471</v>
      </c>
      <c r="N191" s="16" t="n">
        <v>2644</v>
      </c>
      <c r="O191" s="16" t="n">
        <v>0</v>
      </c>
      <c r="P191" s="16" t="n">
        <v>14.76489493559518</v>
      </c>
      <c r="Q191" t="n">
        <v>950254</v>
      </c>
      <c r="R191" t="n">
        <v>939162</v>
      </c>
      <c r="S191" t="n">
        <v>832225</v>
      </c>
      <c r="T191" t="n">
        <v>24984</v>
      </c>
      <c r="U191" t="n">
        <v>17932</v>
      </c>
      <c r="V191" t="n">
        <v>1.167266857071899</v>
      </c>
      <c r="W191" t="n">
        <v>0</v>
      </c>
      <c r="X191" s="16">
        <f>IFERROR(K191/E191*100,"")</f>
        <v/>
      </c>
      <c r="Y191" s="16">
        <f>IFERROR((N191+O191)/E191*100,"")</f>
        <v/>
      </c>
      <c r="Z191" s="16">
        <f>IFERROR(R191/F191*100,"")</f>
        <v/>
      </c>
      <c r="AA191" s="16">
        <f>IFERROR(R191/E191*100,"")</f>
        <v/>
      </c>
      <c r="AB191" s="16">
        <f>IFERROR(S191/Q191*100,"")</f>
        <v/>
      </c>
      <c r="AC191" s="16">
        <f>IFERROR(T191/Q191*100,"")</f>
        <v/>
      </c>
      <c r="AD191" s="16">
        <f>IFERROR(U191/Q191*100,"")</f>
        <v/>
      </c>
      <c r="AE191" s="18">
        <f>IFERROR(E191/E187-1,"")</f>
        <v/>
      </c>
      <c r="AF191" s="18">
        <f>IFERROR(R191/R187-1,"")</f>
        <v/>
      </c>
      <c r="AG191" s="18">
        <f>IFERROR(F191/F187-1,"")</f>
        <v/>
      </c>
      <c r="AH191">
        <f>P191&gt;0</f>
        <v/>
      </c>
    </row>
    <row r="192">
      <c r="A192" s="14" t="n">
        <v>45107</v>
      </c>
      <c r="B192" t="n">
        <v>14240</v>
      </c>
      <c r="C192" t="inlineStr">
        <is>
          <t>NORTHWAY BANK</t>
        </is>
      </c>
      <c r="D192" t="inlineStr">
        <is>
          <t>NH</t>
        </is>
      </c>
      <c r="E192" t="n">
        <v>1364156</v>
      </c>
      <c r="F192" t="n">
        <v>1068855</v>
      </c>
      <c r="G192" t="n">
        <v>84062</v>
      </c>
      <c r="H192" s="16" t="n">
        <v>0.4881723266194736</v>
      </c>
      <c r="I192" s="16" t="n">
        <v>7.82</v>
      </c>
      <c r="J192" s="16" t="n">
        <v>2.843183502050875</v>
      </c>
      <c r="K192" s="16" t="n">
        <v>2407</v>
      </c>
      <c r="L192" s="16" t="n">
        <v>15</v>
      </c>
      <c r="M192" s="16" t="n">
        <v>0.2503684795757778</v>
      </c>
      <c r="N192" s="16" t="n">
        <v>439</v>
      </c>
      <c r="O192" s="16" t="n">
        <v>0</v>
      </c>
      <c r="P192" s="16" t="n">
        <v>14.83822906682565</v>
      </c>
      <c r="Q192" t="n">
        <v>961383</v>
      </c>
      <c r="R192" t="n">
        <v>950280</v>
      </c>
      <c r="S192" t="n">
        <v>840679</v>
      </c>
      <c r="T192" t="n">
        <v>25053</v>
      </c>
      <c r="U192" t="n">
        <v>18013</v>
      </c>
      <c r="V192" t="n">
        <v>1.1548987240257</v>
      </c>
      <c r="W192" t="n">
        <v>0</v>
      </c>
      <c r="X192" s="16">
        <f>IFERROR(K192/E192*100,"")</f>
        <v/>
      </c>
      <c r="Y192" s="16">
        <f>IFERROR((N192+O192)/E192*100,"")</f>
        <v/>
      </c>
      <c r="Z192" s="16">
        <f>IFERROR(R192/F192*100,"")</f>
        <v/>
      </c>
      <c r="AA192" s="16">
        <f>IFERROR(R192/E192*100,"")</f>
        <v/>
      </c>
      <c r="AB192" s="16">
        <f>IFERROR(S192/Q192*100,"")</f>
        <v/>
      </c>
      <c r="AC192" s="16">
        <f>IFERROR(T192/Q192*100,"")</f>
        <v/>
      </c>
      <c r="AD192" s="16">
        <f>IFERROR(U192/Q192*100,"")</f>
        <v/>
      </c>
      <c r="AE192" s="18">
        <f>IFERROR(E192/E188-1,"")</f>
        <v/>
      </c>
      <c r="AF192" s="18">
        <f>IFERROR(R192/R188-1,"")</f>
        <v/>
      </c>
      <c r="AG192" s="18">
        <f>IFERROR(F192/F188-1,"")</f>
        <v/>
      </c>
      <c r="AH192">
        <f>P192&gt;0</f>
        <v/>
      </c>
    </row>
    <row r="193">
      <c r="A193" s="14" t="n">
        <v>45199</v>
      </c>
      <c r="B193" t="n">
        <v>14240</v>
      </c>
      <c r="C193" t="inlineStr">
        <is>
          <t>NORTHWAY BANK</t>
        </is>
      </c>
      <c r="D193" t="inlineStr">
        <is>
          <t>NH</t>
        </is>
      </c>
      <c r="E193" t="n">
        <v>1352605</v>
      </c>
      <c r="F193" t="n">
        <v>1054870</v>
      </c>
      <c r="G193" t="n">
        <v>75740</v>
      </c>
      <c r="H193" s="16" t="n">
        <v>0.5277625797259443</v>
      </c>
      <c r="I193" s="16" t="n">
        <v>8.68</v>
      </c>
      <c r="J193" s="16" t="n">
        <v>2.851130703077583</v>
      </c>
      <c r="K193" s="16" t="n">
        <v>2967</v>
      </c>
      <c r="L193" s="16" t="n">
        <v>-4</v>
      </c>
      <c r="M193" s="16" t="n">
        <v>0.3067497348119077</v>
      </c>
      <c r="N193" s="16" t="n">
        <v>236</v>
      </c>
      <c r="O193" s="16" t="n">
        <v>0</v>
      </c>
      <c r="P193" s="16" t="n">
        <v>15.15696792875908</v>
      </c>
      <c r="Q193" t="n">
        <v>967238</v>
      </c>
      <c r="R193" t="n">
        <v>956116</v>
      </c>
      <c r="S193" t="n">
        <v>823267</v>
      </c>
      <c r="T193" t="n">
        <v>26965</v>
      </c>
      <c r="U193" t="n">
        <v>17762</v>
      </c>
      <c r="V193" t="n">
        <v>1.149872110070117</v>
      </c>
      <c r="W193" t="n">
        <v>0</v>
      </c>
      <c r="X193" s="16">
        <f>IFERROR(K193/E193*100,"")</f>
        <v/>
      </c>
      <c r="Y193" s="16">
        <f>IFERROR((N193+O193)/E193*100,"")</f>
        <v/>
      </c>
      <c r="Z193" s="16">
        <f>IFERROR(R193/F193*100,"")</f>
        <v/>
      </c>
      <c r="AA193" s="16">
        <f>IFERROR(R193/E193*100,"")</f>
        <v/>
      </c>
      <c r="AB193" s="16">
        <f>IFERROR(S193/Q193*100,"")</f>
        <v/>
      </c>
      <c r="AC193" s="16">
        <f>IFERROR(T193/Q193*100,"")</f>
        <v/>
      </c>
      <c r="AD193" s="16">
        <f>IFERROR(U193/Q193*100,"")</f>
        <v/>
      </c>
      <c r="AE193" s="18">
        <f>IFERROR(E193/E189-1,"")</f>
        <v/>
      </c>
      <c r="AF193" s="18">
        <f>IFERROR(R193/R189-1,"")</f>
        <v/>
      </c>
      <c r="AG193" s="18">
        <f>IFERROR(F193/F189-1,"")</f>
        <v/>
      </c>
      <c r="AH193">
        <f>P193&gt;0</f>
        <v/>
      </c>
    </row>
    <row r="194">
      <c r="A194" s="14" t="n">
        <v>45291</v>
      </c>
      <c r="B194" t="n">
        <v>14240</v>
      </c>
      <c r="C194" t="inlineStr">
        <is>
          <t>NORTHWAY BANK</t>
        </is>
      </c>
      <c r="D194" t="inlineStr">
        <is>
          <t>NH</t>
        </is>
      </c>
      <c r="E194" t="n">
        <v>1284888</v>
      </c>
      <c r="F194" t="n">
        <v>1001876</v>
      </c>
      <c r="G194" t="n">
        <v>89997</v>
      </c>
      <c r="H194" s="16" t="n">
        <v>0.4769700807630321</v>
      </c>
      <c r="I194" s="16" t="n">
        <v>7.62</v>
      </c>
      <c r="J194" s="16" t="n">
        <v>2.844383289760093</v>
      </c>
      <c r="K194" s="16" t="n">
        <v>2809</v>
      </c>
      <c r="L194" s="16" t="n">
        <v>17</v>
      </c>
      <c r="M194" s="16" t="n">
        <v>0.3050293464510069</v>
      </c>
      <c r="N194" s="16" t="n">
        <v>3092</v>
      </c>
      <c r="O194" s="16" t="n">
        <v>0</v>
      </c>
      <c r="P194" s="16" t="n">
        <v>15.65470575658102</v>
      </c>
      <c r="Q194" t="n">
        <v>920895</v>
      </c>
      <c r="R194" t="n">
        <v>910199</v>
      </c>
      <c r="S194" t="n">
        <v>809855</v>
      </c>
      <c r="T194" t="n">
        <v>26444</v>
      </c>
      <c r="U194" t="n">
        <v>16789</v>
      </c>
      <c r="V194" t="n">
        <v>1.161478778796714</v>
      </c>
      <c r="W194" t="n">
        <v>-0.04</v>
      </c>
      <c r="X194" s="16">
        <f>IFERROR(K194/E194*100,"")</f>
        <v/>
      </c>
      <c r="Y194" s="16">
        <f>IFERROR((N194+O194)/E194*100,"")</f>
        <v/>
      </c>
      <c r="Z194" s="16">
        <f>IFERROR(R194/F194*100,"")</f>
        <v/>
      </c>
      <c r="AA194" s="16">
        <f>IFERROR(R194/E194*100,"")</f>
        <v/>
      </c>
      <c r="AB194" s="16">
        <f>IFERROR(S194/Q194*100,"")</f>
        <v/>
      </c>
      <c r="AC194" s="16">
        <f>IFERROR(T194/Q194*100,"")</f>
        <v/>
      </c>
      <c r="AD194" s="16">
        <f>IFERROR(U194/Q194*100,"")</f>
        <v/>
      </c>
      <c r="AE194" s="18">
        <f>IFERROR(E194/E190-1,"")</f>
        <v/>
      </c>
      <c r="AF194" s="18">
        <f>IFERROR(R194/R190-1,"")</f>
        <v/>
      </c>
      <c r="AG194" s="18">
        <f>IFERROR(F194/F190-1,"")</f>
        <v/>
      </c>
      <c r="AH194">
        <f>P194&gt;0</f>
        <v/>
      </c>
    </row>
    <row r="195">
      <c r="A195" s="14" t="n">
        <v>45382</v>
      </c>
      <c r="B195" t="n">
        <v>14240</v>
      </c>
      <c r="C195" t="inlineStr">
        <is>
          <t>NORTHWAY BANK</t>
        </is>
      </c>
      <c r="D195" t="inlineStr">
        <is>
          <t>NH</t>
        </is>
      </c>
      <c r="E195" t="n">
        <v>1238358</v>
      </c>
      <c r="F195" t="n">
        <v>983728</v>
      </c>
      <c r="G195" t="n">
        <v>87867</v>
      </c>
      <c r="H195" s="16" t="n">
        <v>0.4898452231768127</v>
      </c>
      <c r="I195" s="16" t="n">
        <v>6.95</v>
      </c>
      <c r="J195" s="16" t="n">
        <v>2.857645509709701</v>
      </c>
      <c r="K195" s="16" t="n">
        <v>3281</v>
      </c>
      <c r="L195" s="16" t="n">
        <v>-6</v>
      </c>
      <c r="M195" s="16" t="n">
        <v>0.3565866366413691</v>
      </c>
      <c r="N195" s="16" t="n">
        <v>2878</v>
      </c>
      <c r="O195" s="16" t="n">
        <v>0</v>
      </c>
      <c r="P195" s="16" t="n">
        <v>16.08045165843331</v>
      </c>
      <c r="Q195" t="n">
        <v>920113</v>
      </c>
      <c r="R195" t="n">
        <v>909411</v>
      </c>
      <c r="S195" t="n">
        <v>804017</v>
      </c>
      <c r="T195" t="n">
        <v>26576</v>
      </c>
      <c r="U195" t="n">
        <v>15838</v>
      </c>
      <c r="V195" t="n">
        <v>1.163118008331585</v>
      </c>
      <c r="W195" t="n">
        <v>0</v>
      </c>
      <c r="X195" s="16">
        <f>IFERROR(K195/E195*100,"")</f>
        <v/>
      </c>
      <c r="Y195" s="16">
        <f>IFERROR((N195+O195)/E195*100,"")</f>
        <v/>
      </c>
      <c r="Z195" s="16">
        <f>IFERROR(R195/F195*100,"")</f>
        <v/>
      </c>
      <c r="AA195" s="16">
        <f>IFERROR(R195/E195*100,"")</f>
        <v/>
      </c>
      <c r="AB195" s="16">
        <f>IFERROR(S195/Q195*100,"")</f>
        <v/>
      </c>
      <c r="AC195" s="16">
        <f>IFERROR(T195/Q195*100,"")</f>
        <v/>
      </c>
      <c r="AD195" s="16">
        <f>IFERROR(U195/Q195*100,"")</f>
        <v/>
      </c>
      <c r="AE195" s="18">
        <f>IFERROR(E195/E191-1,"")</f>
        <v/>
      </c>
      <c r="AF195" s="18">
        <f>IFERROR(R195/R191-1,"")</f>
        <v/>
      </c>
      <c r="AG195" s="18">
        <f>IFERROR(F195/F191-1,"")</f>
        <v/>
      </c>
      <c r="AH195">
        <f>P195&gt;0</f>
        <v/>
      </c>
    </row>
    <row r="196">
      <c r="A196" s="14" t="n">
        <v>45473</v>
      </c>
      <c r="B196" t="n">
        <v>14240</v>
      </c>
      <c r="C196" t="inlineStr">
        <is>
          <t>NORTHWAY BANK</t>
        </is>
      </c>
      <c r="D196" t="inlineStr">
        <is>
          <t>NH</t>
        </is>
      </c>
      <c r="E196" t="n">
        <v>1270696</v>
      </c>
      <c r="F196" t="n">
        <v>1022140</v>
      </c>
      <c r="G196" t="n">
        <v>88523</v>
      </c>
      <c r="H196" s="16" t="n">
        <v>0.4138703227408326</v>
      </c>
      <c r="I196" s="16" t="n">
        <v>5.89</v>
      </c>
      <c r="J196" s="16" t="n">
        <v>2.71037129489864</v>
      </c>
      <c r="K196" s="16" t="n">
        <v>3555</v>
      </c>
      <c r="L196" s="16" t="n">
        <v>-9</v>
      </c>
      <c r="M196" s="16" t="n">
        <v>0.3820448588368426</v>
      </c>
      <c r="N196" s="16" t="n">
        <v>671</v>
      </c>
      <c r="O196" s="16" t="n">
        <v>0</v>
      </c>
      <c r="P196" s="16" t="n">
        <v>16.0006617207284</v>
      </c>
      <c r="Q196" t="n">
        <v>930519</v>
      </c>
      <c r="R196" t="n">
        <v>919814</v>
      </c>
      <c r="S196" t="n">
        <v>787415</v>
      </c>
      <c r="T196" t="n">
        <v>30527</v>
      </c>
      <c r="U196" t="n">
        <v>14400</v>
      </c>
      <c r="V196" t="n">
        <v>1.150433252840619</v>
      </c>
      <c r="W196" t="n">
        <v>0</v>
      </c>
      <c r="X196" s="16">
        <f>IFERROR(K196/E196*100,"")</f>
        <v/>
      </c>
      <c r="Y196" s="16">
        <f>IFERROR((N196+O196)/E196*100,"")</f>
        <v/>
      </c>
      <c r="Z196" s="16">
        <f>IFERROR(R196/F196*100,"")</f>
        <v/>
      </c>
      <c r="AA196" s="16">
        <f>IFERROR(R196/E196*100,"")</f>
        <v/>
      </c>
      <c r="AB196" s="16">
        <f>IFERROR(S196/Q196*100,"")</f>
        <v/>
      </c>
      <c r="AC196" s="16">
        <f>IFERROR(T196/Q196*100,"")</f>
        <v/>
      </c>
      <c r="AD196" s="16">
        <f>IFERROR(U196/Q196*100,"")</f>
        <v/>
      </c>
      <c r="AE196" s="18">
        <f>IFERROR(E196/E192-1,"")</f>
        <v/>
      </c>
      <c r="AF196" s="18">
        <f>IFERROR(R196/R192-1,"")</f>
        <v/>
      </c>
      <c r="AG196" s="18">
        <f>IFERROR(F196/F192-1,"")</f>
        <v/>
      </c>
      <c r="AH196">
        <f>P196&gt;0</f>
        <v/>
      </c>
    </row>
    <row r="197">
      <c r="A197" s="14" t="n">
        <v>45565</v>
      </c>
      <c r="B197" t="n">
        <v>14240</v>
      </c>
      <c r="C197" t="inlineStr">
        <is>
          <t>NORTHWAY BANK</t>
        </is>
      </c>
      <c r="D197" t="inlineStr">
        <is>
          <t>NH</t>
        </is>
      </c>
      <c r="E197" t="n">
        <v>1215556</v>
      </c>
      <c r="F197" t="n">
        <v>1013911</v>
      </c>
      <c r="G197" t="n">
        <v>96896</v>
      </c>
      <c r="H197" s="16" t="n">
        <v>0.4593825169707623</v>
      </c>
      <c r="I197" s="16" t="n">
        <v>6.33</v>
      </c>
      <c r="J197" s="16" t="n">
        <v>2.726062053138912</v>
      </c>
      <c r="K197" s="16" t="n">
        <v>3698</v>
      </c>
      <c r="L197" s="16" t="n">
        <v>-14</v>
      </c>
      <c r="M197" s="16" t="n">
        <v>0.4051102167087698</v>
      </c>
      <c r="N197" s="16" t="n">
        <v>516</v>
      </c>
      <c r="O197" s="16" t="n">
        <v>0</v>
      </c>
      <c r="P197" s="16" t="n">
        <v>16.51891159890404</v>
      </c>
      <c r="Q197" t="n">
        <v>912838</v>
      </c>
      <c r="R197" t="n">
        <v>902128</v>
      </c>
      <c r="S197" t="n">
        <v>772079</v>
      </c>
      <c r="T197" t="n">
        <v>28907</v>
      </c>
      <c r="U197" t="n">
        <v>13307</v>
      </c>
      <c r="V197" t="n">
        <v>1.173264040278779</v>
      </c>
      <c r="W197" t="n">
        <v>0</v>
      </c>
      <c r="X197" s="16">
        <f>IFERROR(K197/E197*100,"")</f>
        <v/>
      </c>
      <c r="Y197" s="16">
        <f>IFERROR((N197+O197)/E197*100,"")</f>
        <v/>
      </c>
      <c r="Z197" s="16">
        <f>IFERROR(R197/F197*100,"")</f>
        <v/>
      </c>
      <c r="AA197" s="16">
        <f>IFERROR(R197/E197*100,"")</f>
        <v/>
      </c>
      <c r="AB197" s="16">
        <f>IFERROR(S197/Q197*100,"")</f>
        <v/>
      </c>
      <c r="AC197" s="16">
        <f>IFERROR(T197/Q197*100,"")</f>
        <v/>
      </c>
      <c r="AD197" s="16">
        <f>IFERROR(U197/Q197*100,"")</f>
        <v/>
      </c>
      <c r="AE197" s="18">
        <f>IFERROR(E197/E193-1,"")</f>
        <v/>
      </c>
      <c r="AF197" s="18">
        <f>IFERROR(R197/R193-1,"")</f>
        <v/>
      </c>
      <c r="AG197" s="18">
        <f>IFERROR(F197/F193-1,"")</f>
        <v/>
      </c>
      <c r="AH197">
        <f>P197&gt;0</f>
        <v/>
      </c>
    </row>
    <row r="198">
      <c r="A198" s="14" t="n">
        <v>45657</v>
      </c>
      <c r="B198" t="n">
        <v>14240</v>
      </c>
      <c r="C198" t="inlineStr">
        <is>
          <t>NORTHWAY BANK</t>
        </is>
      </c>
      <c r="D198" t="inlineStr">
        <is>
          <t>NH</t>
        </is>
      </c>
      <c r="E198" t="n">
        <v>1188010</v>
      </c>
      <c r="F198" t="n">
        <v>977466</v>
      </c>
      <c r="G198" t="n">
        <v>89624</v>
      </c>
      <c r="H198" s="16" t="n">
        <v>0.504315605562752</v>
      </c>
      <c r="I198" s="16" t="n">
        <v>6.9</v>
      </c>
      <c r="J198" s="16" t="n">
        <v>2.741631648080347</v>
      </c>
      <c r="K198" s="16" t="n">
        <v>2934</v>
      </c>
      <c r="L198" s="16" t="n">
        <v>-18</v>
      </c>
      <c r="M198" s="16" t="n">
        <v>0.3353909465020576</v>
      </c>
      <c r="N198" s="16" t="n">
        <v>2297</v>
      </c>
      <c r="O198" s="16" t="n">
        <v>0</v>
      </c>
      <c r="P198" s="16" t="n">
        <v>17.14931474042868</v>
      </c>
      <c r="Q198" t="n">
        <v>874800</v>
      </c>
      <c r="R198" t="n">
        <v>864578</v>
      </c>
      <c r="S198" t="n">
        <v>760710</v>
      </c>
      <c r="T198" t="n">
        <v>27669</v>
      </c>
      <c r="U198" t="n">
        <v>12372</v>
      </c>
      <c r="V198" t="n">
        <v>1.168495656149977</v>
      </c>
      <c r="W198" t="n">
        <v>-0.04</v>
      </c>
      <c r="X198" s="16">
        <f>IFERROR(K198/E198*100,"")</f>
        <v/>
      </c>
      <c r="Y198" s="16">
        <f>IFERROR((N198+O198)/E198*100,"")</f>
        <v/>
      </c>
      <c r="Z198" s="16">
        <f>IFERROR(R198/F198*100,"")</f>
        <v/>
      </c>
      <c r="AA198" s="16">
        <f>IFERROR(R198/E198*100,"")</f>
        <v/>
      </c>
      <c r="AB198" s="16">
        <f>IFERROR(S198/Q198*100,"")</f>
        <v/>
      </c>
      <c r="AC198" s="16">
        <f>IFERROR(T198/Q198*100,"")</f>
        <v/>
      </c>
      <c r="AD198" s="16">
        <f>IFERROR(U198/Q198*100,"")</f>
        <v/>
      </c>
      <c r="AE198" s="18">
        <f>IFERROR(E198/E194-1,"")</f>
        <v/>
      </c>
      <c r="AF198" s="18">
        <f>IFERROR(R198/R194-1,"")</f>
        <v/>
      </c>
      <c r="AG198" s="18">
        <f>IFERROR(F198/F194-1,"")</f>
        <v/>
      </c>
      <c r="AH198">
        <f>P198&gt;0</f>
        <v/>
      </c>
    </row>
    <row r="199">
      <c r="A199" s="14" t="n">
        <v>44651</v>
      </c>
      <c r="B199" t="n">
        <v>17115</v>
      </c>
      <c r="C199" t="inlineStr">
        <is>
          <t>PARTNERS BANK OF NEW ENGLAND</t>
        </is>
      </c>
      <c r="D199" t="inlineStr">
        <is>
          <t>ME</t>
        </is>
      </c>
      <c r="E199" t="n">
        <v>836644</v>
      </c>
      <c r="F199" t="n">
        <v>738943</v>
      </c>
      <c r="G199" t="n">
        <v>83239</v>
      </c>
      <c r="H199" s="16" t="n">
        <v>1.114969296652114</v>
      </c>
      <c r="I199" s="16" t="n">
        <v>11.05</v>
      </c>
      <c r="J199" s="16" t="n">
        <v>3.512636172417041</v>
      </c>
      <c r="K199" s="16" t="n">
        <v>164</v>
      </c>
      <c r="L199" s="16" t="n">
        <v>240</v>
      </c>
      <c r="M199" s="16" t="n">
        <v>0.0249816826381875</v>
      </c>
      <c r="N199" s="16" t="n">
        <v>62</v>
      </c>
      <c r="O199" s="16" t="n">
        <v>0</v>
      </c>
      <c r="P199" s="16" t="n">
        <v>15.60646878722231</v>
      </c>
      <c r="Q199" t="n">
        <v>656481</v>
      </c>
      <c r="R199" t="n">
        <v>648819</v>
      </c>
      <c r="S199" t="n">
        <v>608827</v>
      </c>
      <c r="T199" t="n">
        <v>43003</v>
      </c>
      <c r="U199" t="n">
        <v>3606</v>
      </c>
      <c r="V199" t="n">
        <v>1.16713202666947</v>
      </c>
      <c r="W199" t="n">
        <v>-0.08</v>
      </c>
      <c r="X199" s="16">
        <f>IFERROR(K199/E199*100,"")</f>
        <v/>
      </c>
      <c r="Y199" s="16">
        <f>IFERROR((N199+O199)/E199*100,"")</f>
        <v/>
      </c>
      <c r="Z199" s="16">
        <f>IFERROR(R199/F199*100,"")</f>
        <v/>
      </c>
      <c r="AA199" s="16">
        <f>IFERROR(R199/E199*100,"")</f>
        <v/>
      </c>
      <c r="AB199" s="16">
        <f>IFERROR(S199/Q199*100,"")</f>
        <v/>
      </c>
      <c r="AC199" s="16">
        <f>IFERROR(T199/Q199*100,"")</f>
        <v/>
      </c>
      <c r="AD199" s="16">
        <f>IFERROR(U199/Q199*100,"")</f>
        <v/>
      </c>
      <c r="AE199" s="18" t="n"/>
      <c r="AF199" s="18" t="n"/>
      <c r="AG199" s="18" t="n"/>
      <c r="AH199">
        <f>P199&gt;0</f>
        <v/>
      </c>
    </row>
    <row r="200">
      <c r="A200" s="14" t="n">
        <v>44742</v>
      </c>
      <c r="B200" t="n">
        <v>17115</v>
      </c>
      <c r="C200" t="inlineStr">
        <is>
          <t>PARTNERS BANK OF NEW ENGLAND</t>
        </is>
      </c>
      <c r="D200" t="inlineStr">
        <is>
          <t>ME</t>
        </is>
      </c>
      <c r="E200" t="n">
        <v>914201</v>
      </c>
      <c r="F200" t="n">
        <v>774623</v>
      </c>
      <c r="G200" t="n">
        <v>77851</v>
      </c>
      <c r="H200" s="16" t="n">
        <v>0.4132392348981228</v>
      </c>
      <c r="I200" s="16" t="n">
        <v>4.33</v>
      </c>
      <c r="J200" s="16" t="n">
        <v>3.531200652154282</v>
      </c>
      <c r="K200" s="16" t="n">
        <v>157</v>
      </c>
      <c r="L200" s="16" t="n">
        <v>196</v>
      </c>
      <c r="M200" s="16" t="n">
        <v>0.0212923796336354</v>
      </c>
      <c r="N200" s="16" t="n">
        <v>394</v>
      </c>
      <c r="O200" s="16" t="n">
        <v>0</v>
      </c>
      <c r="P200" s="16" t="n">
        <v>14.68171897343268</v>
      </c>
      <c r="Q200" t="n">
        <v>737353</v>
      </c>
      <c r="R200" t="n">
        <v>729767</v>
      </c>
      <c r="S200" t="n">
        <v>687325</v>
      </c>
      <c r="T200" t="n">
        <v>45258</v>
      </c>
      <c r="U200" t="n">
        <v>3773</v>
      </c>
      <c r="V200" t="n">
        <v>1.028815235036678</v>
      </c>
      <c r="W200" t="n">
        <v>-0.07000000000000001</v>
      </c>
      <c r="X200" s="16">
        <f>IFERROR(K200/E200*100,"")</f>
        <v/>
      </c>
      <c r="Y200" s="16">
        <f>IFERROR((N200+O200)/E200*100,"")</f>
        <v/>
      </c>
      <c r="Z200" s="16">
        <f>IFERROR(R200/F200*100,"")</f>
        <v/>
      </c>
      <c r="AA200" s="16">
        <f>IFERROR(R200/E200*100,"")</f>
        <v/>
      </c>
      <c r="AB200" s="16">
        <f>IFERROR(S200/Q200*100,"")</f>
        <v/>
      </c>
      <c r="AC200" s="16">
        <f>IFERROR(T200/Q200*100,"")</f>
        <v/>
      </c>
      <c r="AD200" s="16">
        <f>IFERROR(U200/Q200*100,"")</f>
        <v/>
      </c>
      <c r="AE200" s="18" t="n"/>
      <c r="AF200" s="18" t="n"/>
      <c r="AG200" s="18" t="n"/>
      <c r="AH200">
        <f>P200&gt;0</f>
        <v/>
      </c>
    </row>
    <row r="201">
      <c r="A201" s="14" t="n">
        <v>44834</v>
      </c>
      <c r="B201" t="n">
        <v>17115</v>
      </c>
      <c r="C201" t="inlineStr">
        <is>
          <t>PARTNERS BANK OF NEW ENGLAND</t>
        </is>
      </c>
      <c r="D201" t="inlineStr">
        <is>
          <t>ME</t>
        </is>
      </c>
      <c r="E201" t="n">
        <v>978552</v>
      </c>
      <c r="F201" t="n">
        <v>820800</v>
      </c>
      <c r="G201" t="n">
        <v>74649</v>
      </c>
      <c r="H201" s="16" t="n">
        <v>0.2989332151457434</v>
      </c>
      <c r="I201" s="16" t="n">
        <v>3.32</v>
      </c>
      <c r="J201" s="16" t="n">
        <v>3.551760618574413</v>
      </c>
      <c r="K201" s="16" t="n">
        <v>150</v>
      </c>
      <c r="L201" s="16" t="n">
        <v>213</v>
      </c>
      <c r="M201" s="16" t="n">
        <v>0.0186465118591815</v>
      </c>
      <c r="N201" s="16" t="n">
        <v>519</v>
      </c>
      <c r="O201" s="16" t="n">
        <v>0</v>
      </c>
      <c r="P201" s="16" t="n">
        <v>13.9033302635097</v>
      </c>
      <c r="Q201" t="n">
        <v>804440</v>
      </c>
      <c r="R201" t="n">
        <v>796832</v>
      </c>
      <c r="S201" t="n">
        <v>756417</v>
      </c>
      <c r="T201" t="n">
        <v>42975</v>
      </c>
      <c r="U201" t="n">
        <v>4081</v>
      </c>
      <c r="V201" t="n">
        <v>0.9457510814976878</v>
      </c>
      <c r="W201" t="n">
        <v>-0.04</v>
      </c>
      <c r="X201" s="16">
        <f>IFERROR(K201/E201*100,"")</f>
        <v/>
      </c>
      <c r="Y201" s="16">
        <f>IFERROR((N201+O201)/E201*100,"")</f>
        <v/>
      </c>
      <c r="Z201" s="16">
        <f>IFERROR(R201/F201*100,"")</f>
        <v/>
      </c>
      <c r="AA201" s="16">
        <f>IFERROR(R201/E201*100,"")</f>
        <v/>
      </c>
      <c r="AB201" s="16">
        <f>IFERROR(S201/Q201*100,"")</f>
        <v/>
      </c>
      <c r="AC201" s="16">
        <f>IFERROR(T201/Q201*100,"")</f>
        <v/>
      </c>
      <c r="AD201" s="16">
        <f>IFERROR(U201/Q201*100,"")</f>
        <v/>
      </c>
      <c r="AE201" s="18" t="n"/>
      <c r="AF201" s="18" t="n"/>
      <c r="AG201" s="18" t="n"/>
      <c r="AH201">
        <f>P201&gt;0</f>
        <v/>
      </c>
    </row>
    <row r="202">
      <c r="A202" s="14" t="n">
        <v>44926</v>
      </c>
      <c r="B202" t="n">
        <v>17115</v>
      </c>
      <c r="C202" t="inlineStr">
        <is>
          <t>PARTNERS BANK OF NEW ENGLAND</t>
        </is>
      </c>
      <c r="D202" t="inlineStr">
        <is>
          <t>ME</t>
        </is>
      </c>
      <c r="E202" t="n">
        <v>1004795</v>
      </c>
      <c r="F202" t="n">
        <v>856846</v>
      </c>
      <c r="G202" t="n">
        <v>78632</v>
      </c>
      <c r="H202" s="16" t="n">
        <v>0.6433930774444676</v>
      </c>
      <c r="I202" s="16" t="n">
        <v>7.35</v>
      </c>
      <c r="J202" s="16" t="n">
        <v>3.573683819167248</v>
      </c>
      <c r="K202" s="16" t="n">
        <v>265</v>
      </c>
      <c r="L202" s="16" t="n">
        <v>216</v>
      </c>
      <c r="M202" s="16" t="n">
        <v>0.0317954341756523</v>
      </c>
      <c r="N202" s="16" t="n">
        <v>278</v>
      </c>
      <c r="O202" s="16" t="n">
        <v>0</v>
      </c>
      <c r="P202" s="16" t="n">
        <v>13.9518994818667</v>
      </c>
      <c r="Q202" t="n">
        <v>833453</v>
      </c>
      <c r="R202" t="n">
        <v>825628</v>
      </c>
      <c r="S202" t="n">
        <v>786913</v>
      </c>
      <c r="T202" t="n">
        <v>40984</v>
      </c>
      <c r="U202" t="n">
        <v>4504</v>
      </c>
      <c r="V202" t="n">
        <v>0.9388651789603012</v>
      </c>
      <c r="W202" t="n">
        <v>0</v>
      </c>
      <c r="X202" s="16">
        <f>IFERROR(K202/E202*100,"")</f>
        <v/>
      </c>
      <c r="Y202" s="16">
        <f>IFERROR((N202+O202)/E202*100,"")</f>
        <v/>
      </c>
      <c r="Z202" s="16">
        <f>IFERROR(R202/F202*100,"")</f>
        <v/>
      </c>
      <c r="AA202" s="16">
        <f>IFERROR(R202/E202*100,"")</f>
        <v/>
      </c>
      <c r="AB202" s="16">
        <f>IFERROR(S202/Q202*100,"")</f>
        <v/>
      </c>
      <c r="AC202" s="16">
        <f>IFERROR(T202/Q202*100,"")</f>
        <v/>
      </c>
      <c r="AD202" s="16">
        <f>IFERROR(U202/Q202*100,"")</f>
        <v/>
      </c>
      <c r="AE202" s="18" t="n"/>
      <c r="AF202" s="18" t="n"/>
      <c r="AG202" s="18" t="n"/>
      <c r="AH202">
        <f>P202&gt;0</f>
        <v/>
      </c>
    </row>
    <row r="203">
      <c r="A203" s="14" t="n">
        <v>45016</v>
      </c>
      <c r="B203" t="n">
        <v>17115</v>
      </c>
      <c r="C203" t="inlineStr">
        <is>
          <t>PARTNERS BANK OF NEW ENGLAND</t>
        </is>
      </c>
      <c r="D203" t="inlineStr">
        <is>
          <t>ME</t>
        </is>
      </c>
      <c r="E203" t="n">
        <v>1044604</v>
      </c>
      <c r="F203" t="n">
        <v>888210</v>
      </c>
      <c r="G203" t="n">
        <v>82605</v>
      </c>
      <c r="H203" s="16" t="n">
        <v>0.6944474941190075</v>
      </c>
      <c r="I203" s="16" t="n">
        <v>8.83</v>
      </c>
      <c r="J203" s="16" t="n">
        <v>3.142337733671916</v>
      </c>
      <c r="K203" s="16" t="n">
        <v>259</v>
      </c>
      <c r="L203" s="16" t="n">
        <v>7</v>
      </c>
      <c r="M203" s="16" t="n">
        <v>0.0300890240119705</v>
      </c>
      <c r="N203" s="16" t="n">
        <v>37</v>
      </c>
      <c r="O203" s="16" t="n">
        <v>0</v>
      </c>
      <c r="P203" s="16" t="n">
        <v>13.62683465418898</v>
      </c>
      <c r="Q203" t="n">
        <v>860779</v>
      </c>
      <c r="R203" t="n">
        <v>851929</v>
      </c>
      <c r="S203" t="n">
        <v>814065</v>
      </c>
      <c r="T203" t="n">
        <v>41130</v>
      </c>
      <c r="U203" t="n">
        <v>4630</v>
      </c>
      <c r="V203" t="n">
        <v>1.028138465273897</v>
      </c>
      <c r="W203" t="n">
        <v>0.03</v>
      </c>
      <c r="X203" s="16">
        <f>IFERROR(K203/E203*100,"")</f>
        <v/>
      </c>
      <c r="Y203" s="16">
        <f>IFERROR((N203+O203)/E203*100,"")</f>
        <v/>
      </c>
      <c r="Z203" s="16">
        <f>IFERROR(R203/F203*100,"")</f>
        <v/>
      </c>
      <c r="AA203" s="16">
        <f>IFERROR(R203/E203*100,"")</f>
        <v/>
      </c>
      <c r="AB203" s="16">
        <f>IFERROR(S203/Q203*100,"")</f>
        <v/>
      </c>
      <c r="AC203" s="16">
        <f>IFERROR(T203/Q203*100,"")</f>
        <v/>
      </c>
      <c r="AD203" s="16">
        <f>IFERROR(U203/Q203*100,"")</f>
        <v/>
      </c>
      <c r="AE203" s="18">
        <f>IFERROR(E203/E199-1,"")</f>
        <v/>
      </c>
      <c r="AF203" s="18">
        <f>IFERROR(R203/R199-1,"")</f>
        <v/>
      </c>
      <c r="AG203" s="18">
        <f>IFERROR(F203/F199-1,"")</f>
        <v/>
      </c>
      <c r="AH203">
        <f>P203&gt;0</f>
        <v/>
      </c>
    </row>
    <row r="204">
      <c r="A204" s="14" t="n">
        <v>45107</v>
      </c>
      <c r="B204" t="n">
        <v>17115</v>
      </c>
      <c r="C204" t="inlineStr">
        <is>
          <t>PARTNERS BANK OF NEW ENGLAND</t>
        </is>
      </c>
      <c r="D204" t="inlineStr">
        <is>
          <t>ME</t>
        </is>
      </c>
      <c r="E204" t="n">
        <v>1072006</v>
      </c>
      <c r="F204" t="n">
        <v>821428</v>
      </c>
      <c r="G204" t="n">
        <v>81921</v>
      </c>
      <c r="H204" s="16" t="n">
        <v>0.5824300275036401</v>
      </c>
      <c r="I204" s="16" t="n">
        <v>7.48</v>
      </c>
      <c r="J204" s="16" t="n">
        <v>3.007111220811695</v>
      </c>
      <c r="K204" s="16" t="n">
        <v>254</v>
      </c>
      <c r="L204" s="16" t="n">
        <v>11</v>
      </c>
      <c r="M204" s="16" t="n">
        <v>0.0287809239129818</v>
      </c>
      <c r="N204" s="16" t="n">
        <v>36</v>
      </c>
      <c r="O204" s="16" t="n">
        <v>0</v>
      </c>
      <c r="P204" s="16" t="n">
        <v>13.59228023198215</v>
      </c>
      <c r="Q204" t="n">
        <v>882529</v>
      </c>
      <c r="R204" t="n">
        <v>873311</v>
      </c>
      <c r="S204" t="n">
        <v>832338</v>
      </c>
      <c r="T204" t="n">
        <v>43867</v>
      </c>
      <c r="U204" t="n">
        <v>5156</v>
      </c>
      <c r="V204" t="n">
        <v>1.044498254448296</v>
      </c>
      <c r="W204" t="n">
        <v>0.09</v>
      </c>
      <c r="X204" s="16">
        <f>IFERROR(K204/E204*100,"")</f>
        <v/>
      </c>
      <c r="Y204" s="16">
        <f>IFERROR((N204+O204)/E204*100,"")</f>
        <v/>
      </c>
      <c r="Z204" s="16">
        <f>IFERROR(R204/F204*100,"")</f>
        <v/>
      </c>
      <c r="AA204" s="16">
        <f>IFERROR(R204/E204*100,"")</f>
        <v/>
      </c>
      <c r="AB204" s="16">
        <f>IFERROR(S204/Q204*100,"")</f>
        <v/>
      </c>
      <c r="AC204" s="16">
        <f>IFERROR(T204/Q204*100,"")</f>
        <v/>
      </c>
      <c r="AD204" s="16">
        <f>IFERROR(U204/Q204*100,"")</f>
        <v/>
      </c>
      <c r="AE204" s="18">
        <f>IFERROR(E204/E200-1,"")</f>
        <v/>
      </c>
      <c r="AF204" s="18">
        <f>IFERROR(R204/R200-1,"")</f>
        <v/>
      </c>
      <c r="AG204" s="18">
        <f>IFERROR(F204/F200-1,"")</f>
        <v/>
      </c>
      <c r="AH204">
        <f>P204&gt;0</f>
        <v/>
      </c>
    </row>
    <row r="205">
      <c r="A205" s="14" t="n">
        <v>45199</v>
      </c>
      <c r="B205" t="n">
        <v>17115</v>
      </c>
      <c r="C205" t="inlineStr">
        <is>
          <t>PARTNERS BANK OF NEW ENGLAND</t>
        </is>
      </c>
      <c r="D205" t="inlineStr">
        <is>
          <t>ME</t>
        </is>
      </c>
      <c r="E205" t="n">
        <v>1080866</v>
      </c>
      <c r="F205" t="n">
        <v>797533</v>
      </c>
      <c r="G205" t="n">
        <v>79915</v>
      </c>
      <c r="H205" s="16" t="n">
        <v>0.4986385409222775</v>
      </c>
      <c r="I205" s="16" t="n">
        <v>6.49</v>
      </c>
      <c r="J205" s="16" t="n">
        <v>2.947874955819819</v>
      </c>
      <c r="K205" s="16" t="n">
        <v>244</v>
      </c>
      <c r="L205" s="16" t="n">
        <v>-71</v>
      </c>
      <c r="M205" s="16" t="n">
        <v>0.0275608739507948</v>
      </c>
      <c r="N205" s="16" t="n">
        <v>1158</v>
      </c>
      <c r="O205" s="16" t="n">
        <v>0</v>
      </c>
      <c r="P205" s="16" t="n">
        <v>13.5669711163055</v>
      </c>
      <c r="Q205" t="n">
        <v>885313</v>
      </c>
      <c r="R205" t="n">
        <v>875962</v>
      </c>
      <c r="S205" t="n">
        <v>833728</v>
      </c>
      <c r="T205" t="n">
        <v>44197</v>
      </c>
      <c r="U205" t="n">
        <v>5743</v>
      </c>
      <c r="V205" t="n">
        <v>1.05623660784378</v>
      </c>
      <c r="W205" t="n">
        <v>0.06</v>
      </c>
      <c r="X205" s="16">
        <f>IFERROR(K205/E205*100,"")</f>
        <v/>
      </c>
      <c r="Y205" s="16">
        <f>IFERROR((N205+O205)/E205*100,"")</f>
        <v/>
      </c>
      <c r="Z205" s="16">
        <f>IFERROR(R205/F205*100,"")</f>
        <v/>
      </c>
      <c r="AA205" s="16">
        <f>IFERROR(R205/E205*100,"")</f>
        <v/>
      </c>
      <c r="AB205" s="16">
        <f>IFERROR(S205/Q205*100,"")</f>
        <v/>
      </c>
      <c r="AC205" s="16">
        <f>IFERROR(T205/Q205*100,"")</f>
        <v/>
      </c>
      <c r="AD205" s="16">
        <f>IFERROR(U205/Q205*100,"")</f>
        <v/>
      </c>
      <c r="AE205" s="18">
        <f>IFERROR(E205/E201-1,"")</f>
        <v/>
      </c>
      <c r="AF205" s="18">
        <f>IFERROR(R205/R201-1,"")</f>
        <v/>
      </c>
      <c r="AG205" s="18">
        <f>IFERROR(F205/F201-1,"")</f>
        <v/>
      </c>
      <c r="AH205">
        <f>P205&gt;0</f>
        <v/>
      </c>
    </row>
    <row r="206">
      <c r="A206" s="14" t="n">
        <v>45291</v>
      </c>
      <c r="B206" t="n">
        <v>17115</v>
      </c>
      <c r="C206" t="inlineStr">
        <is>
          <t>PARTNERS BANK OF NEW ENGLAND</t>
        </is>
      </c>
      <c r="D206" t="inlineStr">
        <is>
          <t>ME</t>
        </is>
      </c>
      <c r="E206" t="n">
        <v>1091692</v>
      </c>
      <c r="F206" t="n">
        <v>771961</v>
      </c>
      <c r="G206" t="n">
        <v>87410</v>
      </c>
      <c r="H206" s="16" t="n">
        <v>0.666513914056445</v>
      </c>
      <c r="I206" s="16" t="n">
        <v>8.6</v>
      </c>
      <c r="J206" s="16" t="n">
        <v>2.887075469127387</v>
      </c>
      <c r="K206" s="16" t="n">
        <v>2404</v>
      </c>
      <c r="L206" s="16" t="n">
        <v>-27</v>
      </c>
      <c r="M206" s="16" t="n">
        <v>0.2672845490851841</v>
      </c>
      <c r="N206" s="16" t="n">
        <v>124</v>
      </c>
      <c r="O206" s="16" t="n">
        <v>0</v>
      </c>
      <c r="P206" s="16" t="n">
        <v>13.66248583732698</v>
      </c>
      <c r="Q206" t="n">
        <v>899416</v>
      </c>
      <c r="R206" t="n">
        <v>890496</v>
      </c>
      <c r="S206" t="n">
        <v>848763</v>
      </c>
      <c r="T206" t="n">
        <v>43686</v>
      </c>
      <c r="U206" t="n">
        <v>6112</v>
      </c>
      <c r="V206" t="n">
        <v>0.9917546496837948</v>
      </c>
      <c r="W206" t="n">
        <v>0</v>
      </c>
      <c r="X206" s="16">
        <f>IFERROR(K206/E206*100,"")</f>
        <v/>
      </c>
      <c r="Y206" s="16">
        <f>IFERROR((N206+O206)/E206*100,"")</f>
        <v/>
      </c>
      <c r="Z206" s="16">
        <f>IFERROR(R206/F206*100,"")</f>
        <v/>
      </c>
      <c r="AA206" s="16">
        <f>IFERROR(R206/E206*100,"")</f>
        <v/>
      </c>
      <c r="AB206" s="16">
        <f>IFERROR(S206/Q206*100,"")</f>
        <v/>
      </c>
      <c r="AC206" s="16">
        <f>IFERROR(T206/Q206*100,"")</f>
        <v/>
      </c>
      <c r="AD206" s="16">
        <f>IFERROR(U206/Q206*100,"")</f>
        <v/>
      </c>
      <c r="AE206" s="18">
        <f>IFERROR(E206/E202-1,"")</f>
        <v/>
      </c>
      <c r="AF206" s="18">
        <f>IFERROR(R206/R202-1,"")</f>
        <v/>
      </c>
      <c r="AG206" s="18">
        <f>IFERROR(F206/F202-1,"")</f>
        <v/>
      </c>
      <c r="AH206">
        <f>P206&gt;0</f>
        <v/>
      </c>
    </row>
    <row r="207">
      <c r="A207" s="14" t="n">
        <v>45382</v>
      </c>
      <c r="B207" t="n">
        <v>17115</v>
      </c>
      <c r="C207" t="inlineStr">
        <is>
          <t>PARTNERS BANK OF NEW ENGLAND</t>
        </is>
      </c>
      <c r="D207" t="inlineStr">
        <is>
          <t>ME</t>
        </is>
      </c>
      <c r="E207" t="n">
        <v>1079745</v>
      </c>
      <c r="F207" t="n">
        <v>803428</v>
      </c>
      <c r="G207" t="n">
        <v>88109</v>
      </c>
      <c r="H207" s="16" t="n">
        <v>0.5345768723660875</v>
      </c>
      <c r="I207" s="16" t="n">
        <v>6.61</v>
      </c>
      <c r="J207" s="16" t="n">
        <v>2.59385352969745</v>
      </c>
      <c r="K207" s="16" t="n">
        <v>2344</v>
      </c>
      <c r="L207" s="16" t="n">
        <v>8</v>
      </c>
      <c r="M207" s="16" t="n">
        <v>0.2615607275048289</v>
      </c>
      <c r="N207" s="16" t="n">
        <v>1163</v>
      </c>
      <c r="O207" s="16" t="n">
        <v>0</v>
      </c>
      <c r="P207" s="16" t="n">
        <v>13.95885666034198</v>
      </c>
      <c r="Q207" t="n">
        <v>896159</v>
      </c>
      <c r="R207" t="n">
        <v>887171</v>
      </c>
      <c r="S207" t="n">
        <v>845242</v>
      </c>
      <c r="T207" t="n">
        <v>43323</v>
      </c>
      <c r="U207" t="n">
        <v>6768</v>
      </c>
      <c r="V207" t="n">
        <v>1.002947021678073</v>
      </c>
      <c r="W207" t="n">
        <v>0.03</v>
      </c>
      <c r="X207" s="16">
        <f>IFERROR(K207/E207*100,"")</f>
        <v/>
      </c>
      <c r="Y207" s="16">
        <f>IFERROR((N207+O207)/E207*100,"")</f>
        <v/>
      </c>
      <c r="Z207" s="16">
        <f>IFERROR(R207/F207*100,"")</f>
        <v/>
      </c>
      <c r="AA207" s="16">
        <f>IFERROR(R207/E207*100,"")</f>
        <v/>
      </c>
      <c r="AB207" s="16">
        <f>IFERROR(S207/Q207*100,"")</f>
        <v/>
      </c>
      <c r="AC207" s="16">
        <f>IFERROR(T207/Q207*100,"")</f>
        <v/>
      </c>
      <c r="AD207" s="16">
        <f>IFERROR(U207/Q207*100,"")</f>
        <v/>
      </c>
      <c r="AE207" s="18">
        <f>IFERROR(E207/E203-1,"")</f>
        <v/>
      </c>
      <c r="AF207" s="18">
        <f>IFERROR(R207/R203-1,"")</f>
        <v/>
      </c>
      <c r="AG207" s="18">
        <f>IFERROR(F207/F203-1,"")</f>
        <v/>
      </c>
      <c r="AH207">
        <f>P207&gt;0</f>
        <v/>
      </c>
    </row>
    <row r="208">
      <c r="A208" s="14" t="n">
        <v>45473</v>
      </c>
      <c r="B208" t="n">
        <v>17115</v>
      </c>
      <c r="C208" t="inlineStr">
        <is>
          <t>PARTNERS BANK OF NEW ENGLAND</t>
        </is>
      </c>
      <c r="D208" t="inlineStr">
        <is>
          <t>ME</t>
        </is>
      </c>
      <c r="E208" t="n">
        <v>1071403</v>
      </c>
      <c r="F208" t="n">
        <v>787661</v>
      </c>
      <c r="G208" t="n">
        <v>89467</v>
      </c>
      <c r="H208" s="16" t="n">
        <v>0.3696759630447385</v>
      </c>
      <c r="I208" s="16" t="n">
        <v>4.52</v>
      </c>
      <c r="J208" s="16" t="n">
        <v>2.582863104142641</v>
      </c>
      <c r="K208" s="16" t="n">
        <v>2433</v>
      </c>
      <c r="L208" s="16" t="n">
        <v>47</v>
      </c>
      <c r="M208" s="16" t="n">
        <v>0.2722292588829761</v>
      </c>
      <c r="N208" s="16" t="n">
        <v>414</v>
      </c>
      <c r="O208" s="16" t="n">
        <v>0</v>
      </c>
      <c r="P208" s="16" t="n">
        <v>14.2345042759811</v>
      </c>
      <c r="Q208" t="n">
        <v>893732</v>
      </c>
      <c r="R208" t="n">
        <v>884785</v>
      </c>
      <c r="S208" t="n">
        <v>843758</v>
      </c>
      <c r="T208" t="n">
        <v>41618</v>
      </c>
      <c r="U208" t="n">
        <v>7168</v>
      </c>
      <c r="V208" t="n">
        <v>1.001083098736534</v>
      </c>
      <c r="W208" t="n">
        <v>0.02</v>
      </c>
      <c r="X208" s="16">
        <f>IFERROR(K208/E208*100,"")</f>
        <v/>
      </c>
      <c r="Y208" s="16">
        <f>IFERROR((N208+O208)/E208*100,"")</f>
        <v/>
      </c>
      <c r="Z208" s="16">
        <f>IFERROR(R208/F208*100,"")</f>
        <v/>
      </c>
      <c r="AA208" s="16">
        <f>IFERROR(R208/E208*100,"")</f>
        <v/>
      </c>
      <c r="AB208" s="16">
        <f>IFERROR(S208/Q208*100,"")</f>
        <v/>
      </c>
      <c r="AC208" s="16">
        <f>IFERROR(T208/Q208*100,"")</f>
        <v/>
      </c>
      <c r="AD208" s="16">
        <f>IFERROR(U208/Q208*100,"")</f>
        <v/>
      </c>
      <c r="AE208" s="18">
        <f>IFERROR(E208/E204-1,"")</f>
        <v/>
      </c>
      <c r="AF208" s="18">
        <f>IFERROR(R208/R204-1,"")</f>
        <v/>
      </c>
      <c r="AG208" s="18">
        <f>IFERROR(F208/F204-1,"")</f>
        <v/>
      </c>
      <c r="AH208">
        <f>P208&gt;0</f>
        <v/>
      </c>
    </row>
    <row r="209">
      <c r="A209" s="14" t="n">
        <v>45565</v>
      </c>
      <c r="B209" t="n">
        <v>17115</v>
      </c>
      <c r="C209" t="inlineStr">
        <is>
          <t>PARTNERS BANK OF NEW ENGLAND</t>
        </is>
      </c>
      <c r="D209" t="inlineStr">
        <is>
          <t>ME</t>
        </is>
      </c>
      <c r="E209" t="n">
        <v>1064825</v>
      </c>
      <c r="F209" t="n">
        <v>811295</v>
      </c>
      <c r="G209" t="n">
        <v>93281</v>
      </c>
      <c r="H209" s="16" t="n">
        <v>0.320784489973106</v>
      </c>
      <c r="I209" s="16" t="n">
        <v>3.86</v>
      </c>
      <c r="J209" s="16" t="n">
        <v>2.595719658610294</v>
      </c>
      <c r="K209" s="16" t="n">
        <v>2417</v>
      </c>
      <c r="L209" s="16" t="n">
        <v>74</v>
      </c>
      <c r="M209" s="16" t="n">
        <v>0.2735066334128468</v>
      </c>
      <c r="N209" s="16" t="n">
        <v>395</v>
      </c>
      <c r="O209" s="16" t="n">
        <v>0</v>
      </c>
      <c r="P209" s="16" t="n">
        <v>14.16314978140557</v>
      </c>
      <c r="Q209" t="n">
        <v>883708</v>
      </c>
      <c r="R209" t="n">
        <v>874809</v>
      </c>
      <c r="S209" t="n">
        <v>834346</v>
      </c>
      <c r="T209" t="n">
        <v>40658</v>
      </c>
      <c r="U209" t="n">
        <v>6674</v>
      </c>
      <c r="V209" t="n">
        <v>1.007006839363228</v>
      </c>
      <c r="W209" t="n">
        <v>0.01</v>
      </c>
      <c r="X209" s="16">
        <f>IFERROR(K209/E209*100,"")</f>
        <v/>
      </c>
      <c r="Y209" s="16">
        <f>IFERROR((N209+O209)/E209*100,"")</f>
        <v/>
      </c>
      <c r="Z209" s="16">
        <f>IFERROR(R209/F209*100,"")</f>
        <v/>
      </c>
      <c r="AA209" s="16">
        <f>IFERROR(R209/E209*100,"")</f>
        <v/>
      </c>
      <c r="AB209" s="16">
        <f>IFERROR(S209/Q209*100,"")</f>
        <v/>
      </c>
      <c r="AC209" s="16">
        <f>IFERROR(T209/Q209*100,"")</f>
        <v/>
      </c>
      <c r="AD209" s="16">
        <f>IFERROR(U209/Q209*100,"")</f>
        <v/>
      </c>
      <c r="AE209" s="18">
        <f>IFERROR(E209/E205-1,"")</f>
        <v/>
      </c>
      <c r="AF209" s="18">
        <f>IFERROR(R209/R205-1,"")</f>
        <v/>
      </c>
      <c r="AG209" s="18">
        <f>IFERROR(F209/F205-1,"")</f>
        <v/>
      </c>
      <c r="AH209">
        <f>P209&gt;0</f>
        <v/>
      </c>
    </row>
    <row r="210">
      <c r="A210" s="14" t="n">
        <v>45657</v>
      </c>
      <c r="B210" t="n">
        <v>17115</v>
      </c>
      <c r="C210" t="inlineStr">
        <is>
          <t>PARTNERS BANK OF NEW ENGLAND</t>
        </is>
      </c>
      <c r="D210" t="inlineStr">
        <is>
          <t>ME</t>
        </is>
      </c>
      <c r="E210" t="n">
        <v>1041970</v>
      </c>
      <c r="F210" t="n">
        <v>827656</v>
      </c>
      <c r="G210" t="n">
        <v>91891</v>
      </c>
      <c r="H210" s="16" t="n">
        <v>0.2973100033927549</v>
      </c>
      <c r="I210" s="16" t="n">
        <v>3.53</v>
      </c>
      <c r="J210" s="16" t="n">
        <v>2.657813820196337</v>
      </c>
      <c r="K210" s="16" t="n">
        <v>2571</v>
      </c>
      <c r="L210" s="16" t="n">
        <v>128</v>
      </c>
      <c r="M210" s="16" t="n">
        <v>0.2946498869420018</v>
      </c>
      <c r="N210" s="16" t="n">
        <v>2572</v>
      </c>
      <c r="O210" s="16" t="n">
        <v>0</v>
      </c>
      <c r="P210" s="16" t="n">
        <v>14.89819269999827</v>
      </c>
      <c r="Q210" t="n">
        <v>872561</v>
      </c>
      <c r="R210" t="n">
        <v>863959</v>
      </c>
      <c r="S210" t="n">
        <v>826165</v>
      </c>
      <c r="T210" t="n">
        <v>38988</v>
      </c>
      <c r="U210" t="n">
        <v>6624</v>
      </c>
      <c r="V210" t="n">
        <v>0.9858336551828468</v>
      </c>
      <c r="W210" t="n">
        <v>-0.01</v>
      </c>
      <c r="X210" s="16">
        <f>IFERROR(K210/E210*100,"")</f>
        <v/>
      </c>
      <c r="Y210" s="16">
        <f>IFERROR((N210+O210)/E210*100,"")</f>
        <v/>
      </c>
      <c r="Z210" s="16">
        <f>IFERROR(R210/F210*100,"")</f>
        <v/>
      </c>
      <c r="AA210" s="16">
        <f>IFERROR(R210/E210*100,"")</f>
        <v/>
      </c>
      <c r="AB210" s="16">
        <f>IFERROR(S210/Q210*100,"")</f>
        <v/>
      </c>
      <c r="AC210" s="16">
        <f>IFERROR(T210/Q210*100,"")</f>
        <v/>
      </c>
      <c r="AD210" s="16">
        <f>IFERROR(U210/Q210*100,"")</f>
        <v/>
      </c>
      <c r="AE210" s="18">
        <f>IFERROR(E210/E206-1,"")</f>
        <v/>
      </c>
      <c r="AF210" s="18">
        <f>IFERROR(R210/R206-1,"")</f>
        <v/>
      </c>
      <c r="AG210" s="18">
        <f>IFERROR(F210/F206-1,"")</f>
        <v/>
      </c>
      <c r="AH210">
        <f>P210&gt;0</f>
        <v/>
      </c>
    </row>
    <row r="211">
      <c r="A211" s="14" t="n">
        <v>45747</v>
      </c>
      <c r="B211" t="n">
        <v>17115</v>
      </c>
      <c r="C211" t="inlineStr">
        <is>
          <t>PARTNERS BANK OF NEW ENGLAND</t>
        </is>
      </c>
      <c r="D211" t="inlineStr">
        <is>
          <t>ME</t>
        </is>
      </c>
      <c r="E211" t="n">
        <v>1063675</v>
      </c>
      <c r="F211" t="n">
        <v>802777</v>
      </c>
      <c r="G211" t="n">
        <v>95052</v>
      </c>
      <c r="H211" s="16" t="n">
        <v>0.5463409074179171</v>
      </c>
      <c r="I211" s="16" t="n">
        <v>6.15</v>
      </c>
      <c r="J211" s="16" t="n">
        <v>2.915728554375255</v>
      </c>
      <c r="K211" s="16" t="n">
        <v>2554</v>
      </c>
      <c r="L211" s="16" t="n">
        <v>413</v>
      </c>
      <c r="M211" s="16" t="n">
        <v>0.2906053899676283</v>
      </c>
      <c r="N211" s="16" t="n">
        <v>381</v>
      </c>
      <c r="O211" s="16" t="n">
        <v>0</v>
      </c>
      <c r="P211" s="16" t="n">
        <v>14.77574482708348</v>
      </c>
      <c r="Q211" t="n">
        <v>878855</v>
      </c>
      <c r="R211" t="n">
        <v>870591</v>
      </c>
      <c r="S211" t="n">
        <v>833023</v>
      </c>
      <c r="T211" t="n">
        <v>38646</v>
      </c>
      <c r="U211" t="n">
        <v>6322</v>
      </c>
      <c r="V211" t="n">
        <v>0.9403143863322164</v>
      </c>
      <c r="W211" t="n">
        <v>0.05</v>
      </c>
      <c r="X211" s="16">
        <f>IFERROR(K211/E211*100,"")</f>
        <v/>
      </c>
      <c r="Y211" s="16">
        <f>IFERROR((N211+O211)/E211*100,"")</f>
        <v/>
      </c>
      <c r="Z211" s="16">
        <f>IFERROR(R211/F211*100,"")</f>
        <v/>
      </c>
      <c r="AA211" s="16">
        <f>IFERROR(R211/E211*100,"")</f>
        <v/>
      </c>
      <c r="AB211" s="16">
        <f>IFERROR(S211/Q211*100,"")</f>
        <v/>
      </c>
      <c r="AC211" s="16">
        <f>IFERROR(T211/Q211*100,"")</f>
        <v/>
      </c>
      <c r="AD211" s="16">
        <f>IFERROR(U211/Q211*100,"")</f>
        <v/>
      </c>
      <c r="AE211" s="18">
        <f>IFERROR(E211/E207-1,"")</f>
        <v/>
      </c>
      <c r="AF211" s="18">
        <f>IFERROR(R211/R207-1,"")</f>
        <v/>
      </c>
      <c r="AG211" s="18">
        <f>IFERROR(F211/F207-1,"")</f>
        <v/>
      </c>
      <c r="AH211">
        <f>P211&gt;0</f>
        <v/>
      </c>
    </row>
    <row r="212">
      <c r="A212" s="14" t="n">
        <v>45838</v>
      </c>
      <c r="B212" t="n">
        <v>17115</v>
      </c>
      <c r="C212" t="inlineStr">
        <is>
          <t>PARTNERS BANK OF NEW ENGLAND</t>
        </is>
      </c>
      <c r="D212" t="inlineStr">
        <is>
          <t>ME</t>
        </is>
      </c>
      <c r="E212" t="n">
        <v>1078591</v>
      </c>
      <c r="F212" t="n">
        <v>819065</v>
      </c>
      <c r="G212" t="n">
        <v>97021</v>
      </c>
      <c r="H212" s="16" t="n">
        <v>0.7133893342076404</v>
      </c>
      <c r="I212" s="16" t="n">
        <v>8</v>
      </c>
      <c r="J212" s="16" t="n">
        <v>2.966591377315547</v>
      </c>
      <c r="K212" s="16" t="n">
        <v>2491</v>
      </c>
      <c r="L212" s="16" t="n">
        <v>438</v>
      </c>
      <c r="M212" s="16" t="n">
        <v>0.2915078794330659</v>
      </c>
      <c r="N212" s="16" t="n">
        <v>1134</v>
      </c>
      <c r="O212" s="16" t="n">
        <v>83</v>
      </c>
      <c r="P212" s="16" t="n">
        <v>14.8169206277007</v>
      </c>
      <c r="Q212" t="n">
        <v>882995</v>
      </c>
      <c r="R212" t="n">
        <v>874623</v>
      </c>
      <c r="S212" t="n">
        <v>837308</v>
      </c>
      <c r="T212" t="n">
        <v>38793</v>
      </c>
      <c r="U212" t="n">
        <v>6038</v>
      </c>
      <c r="V212" t="n">
        <v>0.9481367391661336</v>
      </c>
      <c r="W212" t="n">
        <v>0.05</v>
      </c>
      <c r="X212" s="16">
        <f>IFERROR(K212/E212*100,"")</f>
        <v/>
      </c>
      <c r="Y212" s="16">
        <f>IFERROR((N212+O212)/E212*100,"")</f>
        <v/>
      </c>
      <c r="Z212" s="16">
        <f>IFERROR(R212/F212*100,"")</f>
        <v/>
      </c>
      <c r="AA212" s="16">
        <f>IFERROR(R212/E212*100,"")</f>
        <v/>
      </c>
      <c r="AB212" s="16">
        <f>IFERROR(S212/Q212*100,"")</f>
        <v/>
      </c>
      <c r="AC212" s="16">
        <f>IFERROR(T212/Q212*100,"")</f>
        <v/>
      </c>
      <c r="AD212" s="16">
        <f>IFERROR(U212/Q212*100,"")</f>
        <v/>
      </c>
      <c r="AE212" s="18">
        <f>IFERROR(E212/E208-1,"")</f>
        <v/>
      </c>
      <c r="AF212" s="18">
        <f>IFERROR(R212/R208-1,"")</f>
        <v/>
      </c>
      <c r="AG212" s="18">
        <f>IFERROR(F212/F208-1,"")</f>
        <v/>
      </c>
      <c r="AH212">
        <f>P212&gt;0</f>
        <v/>
      </c>
    </row>
    <row r="213">
      <c r="A213" s="14" t="n">
        <v>44651</v>
      </c>
      <c r="B213" t="n">
        <v>17180</v>
      </c>
      <c r="C213" t="inlineStr">
        <is>
          <t>MEREDITH VILLAGE SAVINGS BANK</t>
        </is>
      </c>
      <c r="D213" t="inlineStr">
        <is>
          <t>NH</t>
        </is>
      </c>
      <c r="E213" t="n">
        <v>1291920</v>
      </c>
      <c r="F213" t="n">
        <v>1121172</v>
      </c>
      <c r="G213" t="n">
        <v>126979</v>
      </c>
      <c r="H213" s="16" t="n">
        <v>0.8027892895252748</v>
      </c>
      <c r="I213" s="16" t="n">
        <v>8.109999999999999</v>
      </c>
      <c r="J213" s="16" t="n">
        <v>3.569993155239652</v>
      </c>
      <c r="K213" s="16" t="n">
        <v>5753</v>
      </c>
      <c r="L213" s="16" t="n">
        <v>36</v>
      </c>
      <c r="M213" s="16" t="n">
        <v>0.5033170985208444</v>
      </c>
      <c r="N213" s="16" t="n">
        <v>1540</v>
      </c>
      <c r="O213" s="16" t="n">
        <v>0</v>
      </c>
      <c r="P213" s="16" t="n">
        <v>16.05694313866331</v>
      </c>
      <c r="Q213" t="n">
        <v>1143017</v>
      </c>
      <c r="R213" t="n">
        <v>1131745</v>
      </c>
      <c r="S213" t="n">
        <v>937482</v>
      </c>
      <c r="T213" t="n">
        <v>44797</v>
      </c>
      <c r="U213" t="n">
        <v>141431</v>
      </c>
      <c r="V213" t="n">
        <v>0.9861620605817762</v>
      </c>
      <c r="W213" t="n">
        <v>0.06</v>
      </c>
      <c r="X213" s="16">
        <f>IFERROR(K213/E213*100,"")</f>
        <v/>
      </c>
      <c r="Y213" s="16">
        <f>IFERROR((N213+O213)/E213*100,"")</f>
        <v/>
      </c>
      <c r="Z213" s="16">
        <f>IFERROR(R213/F213*100,"")</f>
        <v/>
      </c>
      <c r="AA213" s="16">
        <f>IFERROR(R213/E213*100,"")</f>
        <v/>
      </c>
      <c r="AB213" s="16">
        <f>IFERROR(S213/Q213*100,"")</f>
        <v/>
      </c>
      <c r="AC213" s="16">
        <f>IFERROR(T213/Q213*100,"")</f>
        <v/>
      </c>
      <c r="AD213" s="16">
        <f>IFERROR(U213/Q213*100,"")</f>
        <v/>
      </c>
      <c r="AE213" s="18" t="n"/>
      <c r="AF213" s="18" t="n"/>
      <c r="AG213" s="18" t="n"/>
      <c r="AH213">
        <f>P213&gt;0</f>
        <v/>
      </c>
    </row>
    <row r="214">
      <c r="A214" s="14" t="n">
        <v>44742</v>
      </c>
      <c r="B214" t="n">
        <v>17180</v>
      </c>
      <c r="C214" t="inlineStr">
        <is>
          <t>MEREDITH VILLAGE SAVINGS BANK</t>
        </is>
      </c>
      <c r="D214" t="inlineStr">
        <is>
          <t>NH</t>
        </is>
      </c>
      <c r="E214" t="n">
        <v>1369843</v>
      </c>
      <c r="F214" t="n">
        <v>1167333</v>
      </c>
      <c r="G214" t="n">
        <v>125334</v>
      </c>
      <c r="H214" s="16" t="n">
        <v>0.7515097429606739</v>
      </c>
      <c r="I214" s="16" t="n">
        <v>7.8</v>
      </c>
      <c r="J214" s="16" t="n">
        <v>3.580219965808588</v>
      </c>
      <c r="K214" s="16" t="n">
        <v>5496</v>
      </c>
      <c r="L214" s="16" t="n">
        <v>88</v>
      </c>
      <c r="M214" s="16" t="n">
        <v>0.4506244050503386</v>
      </c>
      <c r="N214" s="16" t="n">
        <v>692</v>
      </c>
      <c r="O214" s="16" t="n">
        <v>0</v>
      </c>
      <c r="P214" s="16" t="n">
        <v>14.73852582427958</v>
      </c>
      <c r="Q214" t="n">
        <v>1219641</v>
      </c>
      <c r="R214" t="n">
        <v>1208418</v>
      </c>
      <c r="S214" t="n">
        <v>984334</v>
      </c>
      <c r="T214" t="n">
        <v>44037</v>
      </c>
      <c r="U214" t="n">
        <v>170718</v>
      </c>
      <c r="V214" t="n">
        <v>0.920188809657924</v>
      </c>
      <c r="W214" t="n">
        <v>0.03</v>
      </c>
      <c r="X214" s="16">
        <f>IFERROR(K214/E214*100,"")</f>
        <v/>
      </c>
      <c r="Y214" s="16">
        <f>IFERROR((N214+O214)/E214*100,"")</f>
        <v/>
      </c>
      <c r="Z214" s="16">
        <f>IFERROR(R214/F214*100,"")</f>
        <v/>
      </c>
      <c r="AA214" s="16">
        <f>IFERROR(R214/E214*100,"")</f>
        <v/>
      </c>
      <c r="AB214" s="16">
        <f>IFERROR(S214/Q214*100,"")</f>
        <v/>
      </c>
      <c r="AC214" s="16">
        <f>IFERROR(T214/Q214*100,"")</f>
        <v/>
      </c>
      <c r="AD214" s="16">
        <f>IFERROR(U214/Q214*100,"")</f>
        <v/>
      </c>
      <c r="AE214" s="18" t="n"/>
      <c r="AF214" s="18" t="n"/>
      <c r="AG214" s="18" t="n"/>
      <c r="AH214">
        <f>P214&gt;0</f>
        <v/>
      </c>
    </row>
    <row r="215">
      <c r="A215" s="14" t="n">
        <v>44834</v>
      </c>
      <c r="B215" t="n">
        <v>17180</v>
      </c>
      <c r="C215" t="inlineStr">
        <is>
          <t>MEREDITH VILLAGE SAVINGS BANK</t>
        </is>
      </c>
      <c r="D215" t="inlineStr">
        <is>
          <t>NH</t>
        </is>
      </c>
      <c r="E215" t="n">
        <v>1483609</v>
      </c>
      <c r="F215" t="n">
        <v>1205127</v>
      </c>
      <c r="G215" t="n">
        <v>123922</v>
      </c>
      <c r="H215" s="16" t="n">
        <v>0.7442482632177687</v>
      </c>
      <c r="I215" s="16" t="n">
        <v>8.01</v>
      </c>
      <c r="J215" s="16" t="n">
        <v>3.581563557243263</v>
      </c>
      <c r="K215" s="16" t="n">
        <v>3999</v>
      </c>
      <c r="L215" s="16" t="n">
        <v>88</v>
      </c>
      <c r="M215" s="16" t="n">
        <v>0.3264964357221437</v>
      </c>
      <c r="N215" s="16" t="n">
        <v>1536</v>
      </c>
      <c r="O215" s="16" t="n">
        <v>337</v>
      </c>
      <c r="P215" s="16" t="n">
        <v>13.97243835041973</v>
      </c>
      <c r="Q215" t="n">
        <v>1328039</v>
      </c>
      <c r="R215" t="n">
        <v>1316149</v>
      </c>
      <c r="S215" t="n">
        <v>1064900</v>
      </c>
      <c r="T215" t="n">
        <v>48894</v>
      </c>
      <c r="U215" t="n">
        <v>194686</v>
      </c>
      <c r="V215" t="n">
        <v>0.895305032457631</v>
      </c>
      <c r="W215" t="n">
        <v>0.08</v>
      </c>
      <c r="X215" s="16">
        <f>IFERROR(K215/E215*100,"")</f>
        <v/>
      </c>
      <c r="Y215" s="16">
        <f>IFERROR((N215+O215)/E215*100,"")</f>
        <v/>
      </c>
      <c r="Z215" s="16">
        <f>IFERROR(R215/F215*100,"")</f>
        <v/>
      </c>
      <c r="AA215" s="16">
        <f>IFERROR(R215/E215*100,"")</f>
        <v/>
      </c>
      <c r="AB215" s="16">
        <f>IFERROR(S215/Q215*100,"")</f>
        <v/>
      </c>
      <c r="AC215" s="16">
        <f>IFERROR(T215/Q215*100,"")</f>
        <v/>
      </c>
      <c r="AD215" s="16">
        <f>IFERROR(U215/Q215*100,"")</f>
        <v/>
      </c>
      <c r="AE215" s="18" t="n"/>
      <c r="AF215" s="18" t="n"/>
      <c r="AG215" s="18" t="n"/>
      <c r="AH215">
        <f>P215&gt;0</f>
        <v/>
      </c>
    </row>
    <row r="216">
      <c r="A216" s="14" t="n">
        <v>44926</v>
      </c>
      <c r="B216" t="n">
        <v>17180</v>
      </c>
      <c r="C216" t="inlineStr">
        <is>
          <t>MEREDITH VILLAGE SAVINGS BANK</t>
        </is>
      </c>
      <c r="D216" t="inlineStr">
        <is>
          <t>NH</t>
        </is>
      </c>
      <c r="E216" t="n">
        <v>1552881</v>
      </c>
      <c r="F216" t="n">
        <v>1174035</v>
      </c>
      <c r="G216" t="n">
        <v>127894</v>
      </c>
      <c r="H216" s="16" t="n">
        <v>0.7724032370073272</v>
      </c>
      <c r="I216" s="16" t="n">
        <v>8.529999999999999</v>
      </c>
      <c r="J216" s="16" t="n">
        <v>3.526672596379352</v>
      </c>
      <c r="K216" s="16" t="n">
        <v>4104</v>
      </c>
      <c r="L216" s="16" t="n">
        <v>275</v>
      </c>
      <c r="M216" s="16" t="n">
        <v>0.2953148178256484</v>
      </c>
      <c r="N216" s="16" t="n">
        <v>2652</v>
      </c>
      <c r="O216" s="16" t="n">
        <v>1</v>
      </c>
      <c r="P216" s="16" t="n">
        <v>13.67440353654966</v>
      </c>
      <c r="Q216" t="n">
        <v>1390042</v>
      </c>
      <c r="R216" t="n">
        <v>1377049</v>
      </c>
      <c r="S216" t="n">
        <v>1118314</v>
      </c>
      <c r="T216" t="n">
        <v>49201</v>
      </c>
      <c r="U216" t="n">
        <v>202826</v>
      </c>
      <c r="V216" t="n">
        <v>0.9347199581019854</v>
      </c>
      <c r="W216" t="n">
        <v>0.15</v>
      </c>
      <c r="X216" s="16">
        <f>IFERROR(K216/E216*100,"")</f>
        <v/>
      </c>
      <c r="Y216" s="16">
        <f>IFERROR((N216+O216)/E216*100,"")</f>
        <v/>
      </c>
      <c r="Z216" s="16">
        <f>IFERROR(R216/F216*100,"")</f>
        <v/>
      </c>
      <c r="AA216" s="16">
        <f>IFERROR(R216/E216*100,"")</f>
        <v/>
      </c>
      <c r="AB216" s="16">
        <f>IFERROR(S216/Q216*100,"")</f>
        <v/>
      </c>
      <c r="AC216" s="16">
        <f>IFERROR(T216/Q216*100,"")</f>
        <v/>
      </c>
      <c r="AD216" s="16">
        <f>IFERROR(U216/Q216*100,"")</f>
        <v/>
      </c>
      <c r="AE216" s="18" t="n"/>
      <c r="AF216" s="18" t="n"/>
      <c r="AG216" s="18" t="n"/>
      <c r="AH216">
        <f>P216&gt;0</f>
        <v/>
      </c>
    </row>
    <row r="217">
      <c r="A217" s="14" t="n">
        <v>45016</v>
      </c>
      <c r="B217" t="n">
        <v>17180</v>
      </c>
      <c r="C217" t="inlineStr">
        <is>
          <t>MEREDITH VILLAGE SAVINGS BANK</t>
        </is>
      </c>
      <c r="D217" t="inlineStr">
        <is>
          <t>NH</t>
        </is>
      </c>
      <c r="E217" t="n">
        <v>1570158</v>
      </c>
      <c r="F217" t="n">
        <v>1147694</v>
      </c>
      <c r="G217" t="n">
        <v>131076</v>
      </c>
      <c r="H217" s="16" t="n">
        <v>0.5089914022847617</v>
      </c>
      <c r="I217" s="16" t="n">
        <v>6.14</v>
      </c>
      <c r="J217" s="16" t="n">
        <v>3.04575475622422</v>
      </c>
      <c r="K217" s="16" t="n">
        <v>4701</v>
      </c>
      <c r="L217" s="16" t="n">
        <v>72</v>
      </c>
      <c r="M217" s="16" t="n">
        <v>0.3332692930735142</v>
      </c>
      <c r="N217" s="16" t="n">
        <v>1615</v>
      </c>
      <c r="O217" s="16" t="n">
        <v>0</v>
      </c>
      <c r="P217" s="16" t="n">
        <v>13.77378372959265</v>
      </c>
      <c r="Q217" t="n">
        <v>1410571</v>
      </c>
      <c r="R217" t="n">
        <v>1397271</v>
      </c>
      <c r="S217" t="n">
        <v>1135680</v>
      </c>
      <c r="T217" t="n">
        <v>49856</v>
      </c>
      <c r="U217" t="n">
        <v>201536</v>
      </c>
      <c r="V217" t="n">
        <v>0.9428805781488488</v>
      </c>
      <c r="W217" t="n">
        <v>0.11</v>
      </c>
      <c r="X217" s="16">
        <f>IFERROR(K217/E217*100,"")</f>
        <v/>
      </c>
      <c r="Y217" s="16">
        <f>IFERROR((N217+O217)/E217*100,"")</f>
        <v/>
      </c>
      <c r="Z217" s="16">
        <f>IFERROR(R217/F217*100,"")</f>
        <v/>
      </c>
      <c r="AA217" s="16">
        <f>IFERROR(R217/E217*100,"")</f>
        <v/>
      </c>
      <c r="AB217" s="16">
        <f>IFERROR(S217/Q217*100,"")</f>
        <v/>
      </c>
      <c r="AC217" s="16">
        <f>IFERROR(T217/Q217*100,"")</f>
        <v/>
      </c>
      <c r="AD217" s="16">
        <f>IFERROR(U217/Q217*100,"")</f>
        <v/>
      </c>
      <c r="AE217" s="18">
        <f>IFERROR(E217/E213-1,"")</f>
        <v/>
      </c>
      <c r="AF217" s="18">
        <f>IFERROR(R217/R213-1,"")</f>
        <v/>
      </c>
      <c r="AG217" s="18">
        <f>IFERROR(F217/F213-1,"")</f>
        <v/>
      </c>
      <c r="AH217">
        <f>P217&gt;0</f>
        <v/>
      </c>
    </row>
    <row r="218">
      <c r="A218" s="14" t="n">
        <v>45107</v>
      </c>
      <c r="B218" t="n">
        <v>17180</v>
      </c>
      <c r="C218" t="inlineStr">
        <is>
          <t>MEREDITH VILLAGE SAVINGS BANK</t>
        </is>
      </c>
      <c r="D218" t="inlineStr">
        <is>
          <t>NH</t>
        </is>
      </c>
      <c r="E218" t="n">
        <v>1616649</v>
      </c>
      <c r="F218" t="n">
        <v>1185191</v>
      </c>
      <c r="G218" t="n">
        <v>131745</v>
      </c>
      <c r="H218" s="16" t="n">
        <v>0.3911649880751644</v>
      </c>
      <c r="I218" s="16" t="n">
        <v>4.75</v>
      </c>
      <c r="J218" s="16" t="n">
        <v>2.911815245216498</v>
      </c>
      <c r="K218" s="16" t="n">
        <v>5043</v>
      </c>
      <c r="L218" s="16" t="n">
        <v>149</v>
      </c>
      <c r="M218" s="16" t="n">
        <v>0.4403021183853016</v>
      </c>
      <c r="N218" s="16" t="n">
        <v>1866</v>
      </c>
      <c r="O218" s="16" t="n">
        <v>1345</v>
      </c>
      <c r="P218" s="16" t="n">
        <v>13.67526785729793</v>
      </c>
      <c r="Q218" t="n">
        <v>1450822</v>
      </c>
      <c r="R218" t="n">
        <v>1437079</v>
      </c>
      <c r="S218" t="n">
        <v>1177241</v>
      </c>
      <c r="T218" t="n">
        <v>51213</v>
      </c>
      <c r="U218" t="n">
        <v>198983</v>
      </c>
      <c r="V218" t="n">
        <v>0.947256107227489</v>
      </c>
      <c r="W218" t="n">
        <v>0.12</v>
      </c>
      <c r="X218" s="16">
        <f>IFERROR(K218/E218*100,"")</f>
        <v/>
      </c>
      <c r="Y218" s="16">
        <f>IFERROR((N218+O218)/E218*100,"")</f>
        <v/>
      </c>
      <c r="Z218" s="16">
        <f>IFERROR(R218/F218*100,"")</f>
        <v/>
      </c>
      <c r="AA218" s="16">
        <f>IFERROR(R218/E218*100,"")</f>
        <v/>
      </c>
      <c r="AB218" s="16">
        <f>IFERROR(S218/Q218*100,"")</f>
        <v/>
      </c>
      <c r="AC218" s="16">
        <f>IFERROR(T218/Q218*100,"")</f>
        <v/>
      </c>
      <c r="AD218" s="16">
        <f>IFERROR(U218/Q218*100,"")</f>
        <v/>
      </c>
      <c r="AE218" s="18">
        <f>IFERROR(E218/E214-1,"")</f>
        <v/>
      </c>
      <c r="AF218" s="18">
        <f>IFERROR(R218/R214-1,"")</f>
        <v/>
      </c>
      <c r="AG218" s="18">
        <f>IFERROR(F218/F214-1,"")</f>
        <v/>
      </c>
      <c r="AH218">
        <f>P218&gt;0</f>
        <v/>
      </c>
    </row>
    <row r="219">
      <c r="A219" s="14" t="n">
        <v>45199</v>
      </c>
      <c r="B219" t="n">
        <v>17180</v>
      </c>
      <c r="C219" t="inlineStr">
        <is>
          <t>MEREDITH VILLAGE SAVINGS BANK</t>
        </is>
      </c>
      <c r="D219" t="inlineStr">
        <is>
          <t>NH</t>
        </is>
      </c>
      <c r="E219" t="n">
        <v>1618725</v>
      </c>
      <c r="F219" t="n">
        <v>1198681</v>
      </c>
      <c r="G219" t="n">
        <v>130715</v>
      </c>
      <c r="H219" s="16" t="n">
        <v>0.3961476487922379</v>
      </c>
      <c r="I219" s="16" t="n">
        <v>4.83</v>
      </c>
      <c r="J219" s="16" t="n">
        <v>2.897560951970283</v>
      </c>
      <c r="K219" s="16" t="n">
        <v>5236</v>
      </c>
      <c r="L219" s="16" t="n">
        <v>234</v>
      </c>
      <c r="M219" s="16" t="n">
        <v>0.3573015137546752</v>
      </c>
      <c r="N219" s="16" t="n">
        <v>2857</v>
      </c>
      <c r="O219" s="16" t="n">
        <v>0</v>
      </c>
      <c r="P219" s="16" t="n">
        <v>13.81553119559198</v>
      </c>
      <c r="Q219" t="n">
        <v>1465429</v>
      </c>
      <c r="R219" t="n">
        <v>1451274</v>
      </c>
      <c r="S219" t="n">
        <v>1192665</v>
      </c>
      <c r="T219" t="n">
        <v>53778</v>
      </c>
      <c r="U219" t="n">
        <v>195410</v>
      </c>
      <c r="V219" t="n">
        <v>0.965928748509822</v>
      </c>
      <c r="W219" t="n">
        <v>0.12</v>
      </c>
      <c r="X219" s="16">
        <f>IFERROR(K219/E219*100,"")</f>
        <v/>
      </c>
      <c r="Y219" s="16">
        <f>IFERROR((N219+O219)/E219*100,"")</f>
        <v/>
      </c>
      <c r="Z219" s="16">
        <f>IFERROR(R219/F219*100,"")</f>
        <v/>
      </c>
      <c r="AA219" s="16">
        <f>IFERROR(R219/E219*100,"")</f>
        <v/>
      </c>
      <c r="AB219" s="16">
        <f>IFERROR(S219/Q219*100,"")</f>
        <v/>
      </c>
      <c r="AC219" s="16">
        <f>IFERROR(T219/Q219*100,"")</f>
        <v/>
      </c>
      <c r="AD219" s="16">
        <f>IFERROR(U219/Q219*100,"")</f>
        <v/>
      </c>
      <c r="AE219" s="18">
        <f>IFERROR(E219/E215-1,"")</f>
        <v/>
      </c>
      <c r="AF219" s="18">
        <f>IFERROR(R219/R215-1,"")</f>
        <v/>
      </c>
      <c r="AG219" s="18">
        <f>IFERROR(F219/F215-1,"")</f>
        <v/>
      </c>
      <c r="AH219">
        <f>P219&gt;0</f>
        <v/>
      </c>
    </row>
    <row r="220">
      <c r="A220" s="14" t="n">
        <v>45291</v>
      </c>
      <c r="B220" t="n">
        <v>17180</v>
      </c>
      <c r="C220" t="inlineStr">
        <is>
          <t>MEREDITH VILLAGE SAVINGS BANK</t>
        </is>
      </c>
      <c r="D220" t="inlineStr">
        <is>
          <t>NH</t>
        </is>
      </c>
      <c r="E220" t="n">
        <v>1636765</v>
      </c>
      <c r="F220" t="n">
        <v>1188350</v>
      </c>
      <c r="G220" t="n">
        <v>136707</v>
      </c>
      <c r="H220" s="16" t="n">
        <v>0.4522726073140585</v>
      </c>
      <c r="I220" s="16" t="n">
        <v>5.49</v>
      </c>
      <c r="J220" s="16" t="n">
        <v>2.86567771971113</v>
      </c>
      <c r="K220" s="16" t="n">
        <v>4903</v>
      </c>
      <c r="L220" s="16" t="n">
        <v>626</v>
      </c>
      <c r="M220" s="16" t="n">
        <v>0.3311745856771551</v>
      </c>
      <c r="N220" s="16" t="n">
        <v>3022</v>
      </c>
      <c r="O220" s="16" t="n">
        <v>0</v>
      </c>
      <c r="P220" s="16" t="n">
        <v>14.16490134485558</v>
      </c>
      <c r="Q220" t="n">
        <v>1480488</v>
      </c>
      <c r="R220" t="n">
        <v>1466227</v>
      </c>
      <c r="S220" t="n">
        <v>1208918</v>
      </c>
      <c r="T220" t="n">
        <v>52850</v>
      </c>
      <c r="U220" t="n">
        <v>190591</v>
      </c>
      <c r="V220" t="n">
        <v>0.9632634644792798</v>
      </c>
      <c r="W220" t="n">
        <v>0.12</v>
      </c>
      <c r="X220" s="16">
        <f>IFERROR(K220/E220*100,"")</f>
        <v/>
      </c>
      <c r="Y220" s="16">
        <f>IFERROR((N220+O220)/E220*100,"")</f>
        <v/>
      </c>
      <c r="Z220" s="16">
        <f>IFERROR(R220/F220*100,"")</f>
        <v/>
      </c>
      <c r="AA220" s="16">
        <f>IFERROR(R220/E220*100,"")</f>
        <v/>
      </c>
      <c r="AB220" s="16">
        <f>IFERROR(S220/Q220*100,"")</f>
        <v/>
      </c>
      <c r="AC220" s="16">
        <f>IFERROR(T220/Q220*100,"")</f>
        <v/>
      </c>
      <c r="AD220" s="16">
        <f>IFERROR(U220/Q220*100,"")</f>
        <v/>
      </c>
      <c r="AE220" s="18">
        <f>IFERROR(E220/E216-1,"")</f>
        <v/>
      </c>
      <c r="AF220" s="18">
        <f>IFERROR(R220/R216-1,"")</f>
        <v/>
      </c>
      <c r="AG220" s="18">
        <f>IFERROR(F220/F216-1,"")</f>
        <v/>
      </c>
      <c r="AH220">
        <f>P220&gt;0</f>
        <v/>
      </c>
    </row>
    <row r="221">
      <c r="A221" s="14" t="n">
        <v>45382</v>
      </c>
      <c r="B221" t="n">
        <v>17180</v>
      </c>
      <c r="C221" t="inlineStr">
        <is>
          <t>MEREDITH VILLAGE SAVINGS BANK</t>
        </is>
      </c>
      <c r="D221" t="inlineStr">
        <is>
          <t>NH</t>
        </is>
      </c>
      <c r="E221" t="n">
        <v>1658628</v>
      </c>
      <c r="F221" t="n">
        <v>1184689</v>
      </c>
      <c r="G221" t="n">
        <v>137543</v>
      </c>
      <c r="H221" s="16" t="n">
        <v>0.3872072314288463</v>
      </c>
      <c r="I221" s="16" t="n">
        <v>4.65</v>
      </c>
      <c r="J221" s="16" t="n">
        <v>2.653614880458446</v>
      </c>
      <c r="K221" s="16" t="n">
        <v>6109</v>
      </c>
      <c r="L221" s="16" t="n">
        <v>108</v>
      </c>
      <c r="M221" s="16" t="n">
        <v>0.4103960735259935</v>
      </c>
      <c r="N221" s="16" t="n">
        <v>1366</v>
      </c>
      <c r="O221" s="16" t="n">
        <v>0</v>
      </c>
      <c r="P221" s="16" t="n">
        <v>14.33130298934508</v>
      </c>
      <c r="Q221" t="n">
        <v>1488562</v>
      </c>
      <c r="R221" t="n">
        <v>1473892</v>
      </c>
      <c r="S221" t="n">
        <v>1225328</v>
      </c>
      <c r="T221" t="n">
        <v>54013</v>
      </c>
      <c r="U221" t="n">
        <v>183116</v>
      </c>
      <c r="V221" t="n">
        <v>0.9855148794608488</v>
      </c>
      <c r="W221" t="n">
        <v>0.13</v>
      </c>
      <c r="X221" s="16">
        <f>IFERROR(K221/E221*100,"")</f>
        <v/>
      </c>
      <c r="Y221" s="16">
        <f>IFERROR((N221+O221)/E221*100,"")</f>
        <v/>
      </c>
      <c r="Z221" s="16">
        <f>IFERROR(R221/F221*100,"")</f>
        <v/>
      </c>
      <c r="AA221" s="16">
        <f>IFERROR(R221/E221*100,"")</f>
        <v/>
      </c>
      <c r="AB221" s="16">
        <f>IFERROR(S221/Q221*100,"")</f>
        <v/>
      </c>
      <c r="AC221" s="16">
        <f>IFERROR(T221/Q221*100,"")</f>
        <v/>
      </c>
      <c r="AD221" s="16">
        <f>IFERROR(U221/Q221*100,"")</f>
        <v/>
      </c>
      <c r="AE221" s="18">
        <f>IFERROR(E221/E217-1,"")</f>
        <v/>
      </c>
      <c r="AF221" s="18">
        <f>IFERROR(R221/R217-1,"")</f>
        <v/>
      </c>
      <c r="AG221" s="18">
        <f>IFERROR(F221/F217-1,"")</f>
        <v/>
      </c>
      <c r="AH221">
        <f>P221&gt;0</f>
        <v/>
      </c>
    </row>
    <row r="222">
      <c r="A222" s="14" t="n">
        <v>45473</v>
      </c>
      <c r="B222" t="n">
        <v>17180</v>
      </c>
      <c r="C222" t="inlineStr">
        <is>
          <t>MEREDITH VILLAGE SAVINGS BANK</t>
        </is>
      </c>
      <c r="D222" t="inlineStr">
        <is>
          <t>NH</t>
        </is>
      </c>
      <c r="E222" t="n">
        <v>1640511</v>
      </c>
      <c r="F222" t="n">
        <v>1189680</v>
      </c>
      <c r="G222" t="n">
        <v>139135</v>
      </c>
      <c r="H222" s="16" t="n">
        <v>0.3973740169987099</v>
      </c>
      <c r="I222" s="16" t="n">
        <v>4.74</v>
      </c>
      <c r="J222" s="16" t="n">
        <v>2.631488931357312</v>
      </c>
      <c r="K222" s="16" t="n">
        <v>5092</v>
      </c>
      <c r="L222" s="16" t="n">
        <v>29</v>
      </c>
      <c r="M222" s="16" t="n">
        <v>0.3487372656450646</v>
      </c>
      <c r="N222" s="16" t="n">
        <v>3256</v>
      </c>
      <c r="O222" s="16" t="n">
        <v>0</v>
      </c>
      <c r="P222" s="16" t="n">
        <v>14.69814469421812</v>
      </c>
      <c r="Q222" t="n">
        <v>1460125</v>
      </c>
      <c r="R222" t="n">
        <v>1445235</v>
      </c>
      <c r="S222" t="n">
        <v>1213990</v>
      </c>
      <c r="T222" t="n">
        <v>42253</v>
      </c>
      <c r="U222" t="n">
        <v>177428</v>
      </c>
      <c r="V222" t="n">
        <v>1.01977570413492</v>
      </c>
      <c r="W222" t="n">
        <v>0.09</v>
      </c>
      <c r="X222" s="16">
        <f>IFERROR(K222/E222*100,"")</f>
        <v/>
      </c>
      <c r="Y222" s="16">
        <f>IFERROR((N222+O222)/E222*100,"")</f>
        <v/>
      </c>
      <c r="Z222" s="16">
        <f>IFERROR(R222/F222*100,"")</f>
        <v/>
      </c>
      <c r="AA222" s="16">
        <f>IFERROR(R222/E222*100,"")</f>
        <v/>
      </c>
      <c r="AB222" s="16">
        <f>IFERROR(S222/Q222*100,"")</f>
        <v/>
      </c>
      <c r="AC222" s="16">
        <f>IFERROR(T222/Q222*100,"")</f>
        <v/>
      </c>
      <c r="AD222" s="16">
        <f>IFERROR(U222/Q222*100,"")</f>
        <v/>
      </c>
      <c r="AE222" s="18">
        <f>IFERROR(E222/E218-1,"")</f>
        <v/>
      </c>
      <c r="AF222" s="18">
        <f>IFERROR(R222/R218-1,"")</f>
        <v/>
      </c>
      <c r="AG222" s="18">
        <f>IFERROR(F222/F218-1,"")</f>
        <v/>
      </c>
      <c r="AH222">
        <f>P222&gt;0</f>
        <v/>
      </c>
    </row>
    <row r="223">
      <c r="A223" s="14" t="n">
        <v>45565</v>
      </c>
      <c r="B223" t="n">
        <v>17180</v>
      </c>
      <c r="C223" t="inlineStr">
        <is>
          <t>MEREDITH VILLAGE SAVINGS BANK</t>
        </is>
      </c>
      <c r="D223" t="inlineStr">
        <is>
          <t>NH</t>
        </is>
      </c>
      <c r="E223" t="n">
        <v>1621350</v>
      </c>
      <c r="F223" t="n">
        <v>1203070</v>
      </c>
      <c r="G223" t="n">
        <v>143061</v>
      </c>
      <c r="H223" s="16" t="n">
        <v>0.3973921888644239</v>
      </c>
      <c r="I223" s="16" t="n">
        <v>4.68</v>
      </c>
      <c r="J223" s="16" t="n">
        <v>2.646021303277185</v>
      </c>
      <c r="K223" s="16" t="n">
        <v>5975</v>
      </c>
      <c r="L223" s="16" t="n">
        <v>172</v>
      </c>
      <c r="M223" s="16" t="n">
        <v>0.4140217203763128</v>
      </c>
      <c r="N223" s="16" t="n">
        <v>1130</v>
      </c>
      <c r="O223" s="16" t="n">
        <v>0</v>
      </c>
      <c r="P223" s="16" t="n">
        <v>15.09738503074001</v>
      </c>
      <c r="Q223" t="n">
        <v>1443161</v>
      </c>
      <c r="R223" t="n">
        <v>1428269</v>
      </c>
      <c r="S223" t="n">
        <v>1205697</v>
      </c>
      <c r="T223" t="n">
        <v>40098</v>
      </c>
      <c r="U223" t="n">
        <v>171858</v>
      </c>
      <c r="V223" t="n">
        <v>1.03190149955549</v>
      </c>
      <c r="W223" t="n">
        <v>0.08</v>
      </c>
      <c r="X223" s="16">
        <f>IFERROR(K223/E223*100,"")</f>
        <v/>
      </c>
      <c r="Y223" s="16">
        <f>IFERROR((N223+O223)/E223*100,"")</f>
        <v/>
      </c>
      <c r="Z223" s="16">
        <f>IFERROR(R223/F223*100,"")</f>
        <v/>
      </c>
      <c r="AA223" s="16">
        <f>IFERROR(R223/E223*100,"")</f>
        <v/>
      </c>
      <c r="AB223" s="16">
        <f>IFERROR(S223/Q223*100,"")</f>
        <v/>
      </c>
      <c r="AC223" s="16">
        <f>IFERROR(T223/Q223*100,"")</f>
        <v/>
      </c>
      <c r="AD223" s="16">
        <f>IFERROR(U223/Q223*100,"")</f>
        <v/>
      </c>
      <c r="AE223" s="18">
        <f>IFERROR(E223/E219-1,"")</f>
        <v/>
      </c>
      <c r="AF223" s="18">
        <f>IFERROR(R223/R219-1,"")</f>
        <v/>
      </c>
      <c r="AG223" s="18">
        <f>IFERROR(F223/F219-1,"")</f>
        <v/>
      </c>
      <c r="AH223">
        <f>P223&gt;0</f>
        <v/>
      </c>
    </row>
    <row r="224">
      <c r="A224" s="14" t="n">
        <v>45657</v>
      </c>
      <c r="B224" t="n">
        <v>17180</v>
      </c>
      <c r="C224" t="inlineStr">
        <is>
          <t>MEREDITH VILLAGE SAVINGS BANK</t>
        </is>
      </c>
      <c r="D224" t="inlineStr">
        <is>
          <t>NH</t>
        </is>
      </c>
      <c r="E224" t="n">
        <v>1600157</v>
      </c>
      <c r="F224" t="n">
        <v>1219406</v>
      </c>
      <c r="G224" t="n">
        <v>143344</v>
      </c>
      <c r="H224" s="16" t="n">
        <v>0.4641791372287114</v>
      </c>
      <c r="I224" s="16" t="n">
        <v>5.41</v>
      </c>
      <c r="J224" s="16" t="n">
        <v>2.680125009037092</v>
      </c>
      <c r="K224" s="16" t="n">
        <v>6126</v>
      </c>
      <c r="L224" s="16" t="n">
        <v>157</v>
      </c>
      <c r="M224" s="16" t="n">
        <v>0.431696653822411</v>
      </c>
      <c r="N224" s="16" t="n">
        <v>4396</v>
      </c>
      <c r="O224" s="16" t="n">
        <v>0</v>
      </c>
      <c r="P224" s="16" t="n">
        <v>15.58880532226626</v>
      </c>
      <c r="Q224" t="n">
        <v>1419052</v>
      </c>
      <c r="R224" t="n">
        <v>1405137</v>
      </c>
      <c r="S224" t="n">
        <v>1189538</v>
      </c>
      <c r="T224" t="n">
        <v>38804</v>
      </c>
      <c r="U224" t="n">
        <v>164696</v>
      </c>
      <c r="V224" t="n">
        <v>0.9805842210151566</v>
      </c>
      <c r="W224" t="n">
        <v>0</v>
      </c>
      <c r="X224" s="16">
        <f>IFERROR(K224/E224*100,"")</f>
        <v/>
      </c>
      <c r="Y224" s="16">
        <f>IFERROR((N224+O224)/E224*100,"")</f>
        <v/>
      </c>
      <c r="Z224" s="16">
        <f>IFERROR(R224/F224*100,"")</f>
        <v/>
      </c>
      <c r="AA224" s="16">
        <f>IFERROR(R224/E224*100,"")</f>
        <v/>
      </c>
      <c r="AB224" s="16">
        <f>IFERROR(S224/Q224*100,"")</f>
        <v/>
      </c>
      <c r="AC224" s="16">
        <f>IFERROR(T224/Q224*100,"")</f>
        <v/>
      </c>
      <c r="AD224" s="16">
        <f>IFERROR(U224/Q224*100,"")</f>
        <v/>
      </c>
      <c r="AE224" s="18">
        <f>IFERROR(E224/E220-1,"")</f>
        <v/>
      </c>
      <c r="AF224" s="18">
        <f>IFERROR(R224/R220-1,"")</f>
        <v/>
      </c>
      <c r="AG224" s="18">
        <f>IFERROR(F224/F220-1,"")</f>
        <v/>
      </c>
      <c r="AH224">
        <f>P224&gt;0</f>
        <v/>
      </c>
    </row>
    <row r="225">
      <c r="A225" s="14" t="n">
        <v>45747</v>
      </c>
      <c r="B225" t="n">
        <v>17180</v>
      </c>
      <c r="C225" t="inlineStr">
        <is>
          <t>MEREDITH VILLAGE SAVINGS BANK</t>
        </is>
      </c>
      <c r="D225" t="inlineStr">
        <is>
          <t>NH</t>
        </is>
      </c>
      <c r="E225" t="n">
        <v>1590319</v>
      </c>
      <c r="F225" t="n">
        <v>1298331</v>
      </c>
      <c r="G225" t="n">
        <v>145819</v>
      </c>
      <c r="H225" s="16" t="n">
        <v>0.3031522569046123</v>
      </c>
      <c r="I225" s="16" t="n">
        <v>3.34</v>
      </c>
      <c r="J225" s="16" t="n">
        <v>2.76765129492949</v>
      </c>
      <c r="K225" s="16" t="n">
        <v>5853</v>
      </c>
      <c r="L225" s="16" t="n">
        <v>66</v>
      </c>
      <c r="M225" s="16" t="n">
        <v>0.4203154118990842</v>
      </c>
      <c r="N225" s="16" t="n">
        <v>9150</v>
      </c>
      <c r="O225" s="16" t="n">
        <v>20</v>
      </c>
      <c r="P225" s="16" t="n">
        <v>15.98733029965446</v>
      </c>
      <c r="Q225" t="n">
        <v>1397284</v>
      </c>
      <c r="R225" t="n">
        <v>1383427</v>
      </c>
      <c r="S225" t="n">
        <v>1173253</v>
      </c>
      <c r="T225" t="n">
        <v>39933</v>
      </c>
      <c r="U225" t="n">
        <v>158298</v>
      </c>
      <c r="V225" t="n">
        <v>0.9917096309697956</v>
      </c>
      <c r="W225" t="n">
        <v>0.01</v>
      </c>
      <c r="X225" s="16">
        <f>IFERROR(K225/E225*100,"")</f>
        <v/>
      </c>
      <c r="Y225" s="16">
        <f>IFERROR((N225+O225)/E225*100,"")</f>
        <v/>
      </c>
      <c r="Z225" s="16">
        <f>IFERROR(R225/F225*100,"")</f>
        <v/>
      </c>
      <c r="AA225" s="16">
        <f>IFERROR(R225/E225*100,"")</f>
        <v/>
      </c>
      <c r="AB225" s="16">
        <f>IFERROR(S225/Q225*100,"")</f>
        <v/>
      </c>
      <c r="AC225" s="16">
        <f>IFERROR(T225/Q225*100,"")</f>
        <v/>
      </c>
      <c r="AD225" s="16">
        <f>IFERROR(U225/Q225*100,"")</f>
        <v/>
      </c>
      <c r="AE225" s="18">
        <f>IFERROR(E225/E221-1,"")</f>
        <v/>
      </c>
      <c r="AF225" s="18">
        <f>IFERROR(R225/R221-1,"")</f>
        <v/>
      </c>
      <c r="AG225" s="18">
        <f>IFERROR(F225/F221-1,"")</f>
        <v/>
      </c>
      <c r="AH225">
        <f>P225&gt;0</f>
        <v/>
      </c>
    </row>
    <row r="226">
      <c r="A226" s="14" t="n">
        <v>45838</v>
      </c>
      <c r="B226" t="n">
        <v>17180</v>
      </c>
      <c r="C226" t="inlineStr">
        <is>
          <t>MEREDITH VILLAGE SAVINGS BANK</t>
        </is>
      </c>
      <c r="D226" t="inlineStr">
        <is>
          <t>NH</t>
        </is>
      </c>
      <c r="E226" t="n">
        <v>1609518</v>
      </c>
      <c r="F226" t="n">
        <v>1323945</v>
      </c>
      <c r="G226" t="n">
        <v>147515</v>
      </c>
      <c r="H226" s="16" t="n">
        <v>0.3221254026567533</v>
      </c>
      <c r="I226" s="16" t="n">
        <v>3.54</v>
      </c>
      <c r="J226" s="16" t="n">
        <v>2.823011783406628</v>
      </c>
      <c r="K226" s="16" t="n">
        <v>5006</v>
      </c>
      <c r="L226" s="16" t="n">
        <v>157</v>
      </c>
      <c r="M226" s="16" t="n">
        <v>0.3597857639314771</v>
      </c>
      <c r="N226" s="16" t="n">
        <v>3969</v>
      </c>
      <c r="O226" s="16" t="n">
        <v>10</v>
      </c>
      <c r="P226" s="16" t="n">
        <v>16.11709264436645</v>
      </c>
      <c r="Q226" t="n">
        <v>1394163</v>
      </c>
      <c r="R226" t="n">
        <v>1380383</v>
      </c>
      <c r="S226" t="n">
        <v>1170848</v>
      </c>
      <c r="T226" t="n">
        <v>41482</v>
      </c>
      <c r="U226" t="n">
        <v>155925</v>
      </c>
      <c r="V226" t="n">
        <v>0.9884066640701268</v>
      </c>
      <c r="W226" t="n">
        <v>0</v>
      </c>
      <c r="X226" s="16">
        <f>IFERROR(K226/E226*100,"")</f>
        <v/>
      </c>
      <c r="Y226" s="16">
        <f>IFERROR((N226+O226)/E226*100,"")</f>
        <v/>
      </c>
      <c r="Z226" s="16">
        <f>IFERROR(R226/F226*100,"")</f>
        <v/>
      </c>
      <c r="AA226" s="16">
        <f>IFERROR(R226/E226*100,"")</f>
        <v/>
      </c>
      <c r="AB226" s="16">
        <f>IFERROR(S226/Q226*100,"")</f>
        <v/>
      </c>
      <c r="AC226" s="16">
        <f>IFERROR(T226/Q226*100,"")</f>
        <v/>
      </c>
      <c r="AD226" s="16">
        <f>IFERROR(U226/Q226*100,"")</f>
        <v/>
      </c>
      <c r="AE226" s="18">
        <f>IFERROR(E226/E222-1,"")</f>
        <v/>
      </c>
      <c r="AF226" s="18">
        <f>IFERROR(R226/R222-1,"")</f>
        <v/>
      </c>
      <c r="AG226" s="18">
        <f>IFERROR(F226/F222-1,"")</f>
        <v/>
      </c>
      <c r="AH226">
        <f>P226&gt;0</f>
        <v/>
      </c>
    </row>
    <row r="227">
      <c r="A227" s="14" t="n">
        <v>44651</v>
      </c>
      <c r="B227" t="n">
        <v>17443</v>
      </c>
      <c r="C227" t="inlineStr">
        <is>
          <t>PISCATAQUA SAVINGS BANK</t>
        </is>
      </c>
      <c r="D227" t="inlineStr">
        <is>
          <t>NH</t>
        </is>
      </c>
      <c r="E227" t="n">
        <v>352255</v>
      </c>
      <c r="F227" t="n">
        <v>302135</v>
      </c>
      <c r="G227" t="n">
        <v>42822</v>
      </c>
      <c r="H227" s="16" t="n">
        <v>0.6192534111779811</v>
      </c>
      <c r="I227" s="16" t="n">
        <v>4.79</v>
      </c>
      <c r="J227" s="16" t="n">
        <v>2.012217920234347</v>
      </c>
      <c r="K227" s="16" t="n">
        <v>842</v>
      </c>
      <c r="L227" s="16" t="n">
        <v>0</v>
      </c>
      <c r="M227" s="16" t="n">
        <v>0.4456158177738261</v>
      </c>
      <c r="N227" s="16" t="n">
        <v>2524</v>
      </c>
      <c r="O227" s="16" t="n">
        <v>0</v>
      </c>
      <c r="P227" s="16" t="n">
        <v>0</v>
      </c>
      <c r="Q227" t="n">
        <v>188952</v>
      </c>
      <c r="R227" t="n">
        <v>187330</v>
      </c>
      <c r="S227" t="n">
        <v>186037</v>
      </c>
      <c r="T227" t="n">
        <v>0</v>
      </c>
      <c r="U227" t="n">
        <v>1909</v>
      </c>
      <c r="V227" t="n">
        <v>0.8584190693932851</v>
      </c>
      <c r="W227" t="n">
        <v>0.06</v>
      </c>
      <c r="X227" s="16">
        <f>IFERROR(K227/E227*100,"")</f>
        <v/>
      </c>
      <c r="Y227" s="16">
        <f>IFERROR((N227+O227)/E227*100,"")</f>
        <v/>
      </c>
      <c r="Z227" s="16">
        <f>IFERROR(R227/F227*100,"")</f>
        <v/>
      </c>
      <c r="AA227" s="16">
        <f>IFERROR(R227/E227*100,"")</f>
        <v/>
      </c>
      <c r="AB227" s="16">
        <f>IFERROR(S227/Q227*100,"")</f>
        <v/>
      </c>
      <c r="AC227" s="16">
        <f>IFERROR(T227/Q227*100,"")</f>
        <v/>
      </c>
      <c r="AD227" s="16">
        <f>IFERROR(U227/Q227*100,"")</f>
        <v/>
      </c>
      <c r="AE227" s="18" t="n"/>
      <c r="AF227" s="18" t="n"/>
      <c r="AG227" s="18" t="n"/>
      <c r="AH227">
        <f>P227&gt;0</f>
        <v/>
      </c>
    </row>
    <row r="228">
      <c r="A228" s="14" t="n">
        <v>44742</v>
      </c>
      <c r="B228" t="n">
        <v>17443</v>
      </c>
      <c r="C228" t="inlineStr">
        <is>
          <t>PISCATAQUA SAVINGS BANK</t>
        </is>
      </c>
      <c r="D228" t="inlineStr">
        <is>
          <t>NH</t>
        </is>
      </c>
      <c r="E228" t="n">
        <v>353376</v>
      </c>
      <c r="F228" t="n">
        <v>298828</v>
      </c>
      <c r="G228" t="n">
        <v>40397</v>
      </c>
      <c r="H228" s="16" t="n">
        <v>0.6042290337460872</v>
      </c>
      <c r="I228" s="16" t="n">
        <v>4.86</v>
      </c>
      <c r="J228" s="16" t="n">
        <v>2.07853120419656</v>
      </c>
      <c r="K228" s="16" t="n">
        <v>178</v>
      </c>
      <c r="L228" s="16" t="n">
        <v>0</v>
      </c>
      <c r="M228" s="16" t="n">
        <v>0.09344469701344441</v>
      </c>
      <c r="N228" s="16" t="n">
        <v>141</v>
      </c>
      <c r="O228" s="16" t="n">
        <v>0</v>
      </c>
      <c r="P228" s="16" t="n">
        <v>0</v>
      </c>
      <c r="Q228" t="n">
        <v>190487</v>
      </c>
      <c r="R228" t="n">
        <v>188865</v>
      </c>
      <c r="S228" t="n">
        <v>188077</v>
      </c>
      <c r="T228" t="n">
        <v>0</v>
      </c>
      <c r="U228" t="n">
        <v>1410</v>
      </c>
      <c r="V228" t="n">
        <v>0.8515016772798143</v>
      </c>
      <c r="W228" t="n">
        <v>0.03</v>
      </c>
      <c r="X228" s="16">
        <f>IFERROR(K228/E228*100,"")</f>
        <v/>
      </c>
      <c r="Y228" s="16">
        <f>IFERROR((N228+O228)/E228*100,"")</f>
        <v/>
      </c>
      <c r="Z228" s="16">
        <f>IFERROR(R228/F228*100,"")</f>
        <v/>
      </c>
      <c r="AA228" s="16">
        <f>IFERROR(R228/E228*100,"")</f>
        <v/>
      </c>
      <c r="AB228" s="16">
        <f>IFERROR(S228/Q228*100,"")</f>
        <v/>
      </c>
      <c r="AC228" s="16">
        <f>IFERROR(T228/Q228*100,"")</f>
        <v/>
      </c>
      <c r="AD228" s="16">
        <f>IFERROR(U228/Q228*100,"")</f>
        <v/>
      </c>
      <c r="AE228" s="18" t="n"/>
      <c r="AF228" s="18" t="n"/>
      <c r="AG228" s="18" t="n"/>
      <c r="AH228">
        <f>P228&gt;0</f>
        <v/>
      </c>
    </row>
    <row r="229">
      <c r="A229" s="14" t="n">
        <v>44834</v>
      </c>
      <c r="B229" t="n">
        <v>17443</v>
      </c>
      <c r="C229" t="inlineStr">
        <is>
          <t>PISCATAQUA SAVINGS BANK</t>
        </is>
      </c>
      <c r="D229" t="inlineStr">
        <is>
          <t>NH</t>
        </is>
      </c>
      <c r="E229" t="n">
        <v>357184</v>
      </c>
      <c r="F229" t="n">
        <v>318685</v>
      </c>
      <c r="G229" t="n">
        <v>37316</v>
      </c>
      <c r="H229" s="16" t="n">
        <v>0.5485330014077537</v>
      </c>
      <c r="I229" s="16" t="n">
        <v>4.6</v>
      </c>
      <c r="J229" s="16" t="n">
        <v>2.103601409686206</v>
      </c>
      <c r="K229" s="16" t="n">
        <v>390</v>
      </c>
      <c r="L229" s="16" t="n">
        <v>0</v>
      </c>
      <c r="M229" s="16" t="n">
        <v>0.1932233116493839</v>
      </c>
      <c r="N229" s="16" t="n">
        <v>254</v>
      </c>
      <c r="O229" s="16" t="n">
        <v>0</v>
      </c>
      <c r="P229" s="16" t="n">
        <v>0</v>
      </c>
      <c r="Q229" t="n">
        <v>201839</v>
      </c>
      <c r="R229" t="n">
        <v>200117</v>
      </c>
      <c r="S229" t="n">
        <v>199865</v>
      </c>
      <c r="T229" t="n">
        <v>0</v>
      </c>
      <c r="U229" t="n">
        <v>954</v>
      </c>
      <c r="V229" t="n">
        <v>0.8531552375903566</v>
      </c>
      <c r="W229" t="n">
        <v>0.06</v>
      </c>
      <c r="X229" s="16">
        <f>IFERROR(K229/E229*100,"")</f>
        <v/>
      </c>
      <c r="Y229" s="16">
        <f>IFERROR((N229+O229)/E229*100,"")</f>
        <v/>
      </c>
      <c r="Z229" s="16">
        <f>IFERROR(R229/F229*100,"")</f>
        <v/>
      </c>
      <c r="AA229" s="16">
        <f>IFERROR(R229/E229*100,"")</f>
        <v/>
      </c>
      <c r="AB229" s="16">
        <f>IFERROR(S229/Q229*100,"")</f>
        <v/>
      </c>
      <c r="AC229" s="16">
        <f>IFERROR(T229/Q229*100,"")</f>
        <v/>
      </c>
      <c r="AD229" s="16">
        <f>IFERROR(U229/Q229*100,"")</f>
        <v/>
      </c>
      <c r="AE229" s="18" t="n"/>
      <c r="AF229" s="18" t="n"/>
      <c r="AG229" s="18" t="n"/>
      <c r="AH229">
        <f>P229&gt;0</f>
        <v/>
      </c>
    </row>
    <row r="230">
      <c r="A230" s="14" t="n">
        <v>44926</v>
      </c>
      <c r="B230" t="n">
        <v>17443</v>
      </c>
      <c r="C230" t="inlineStr">
        <is>
          <t>PISCATAQUA SAVINGS BANK</t>
        </is>
      </c>
      <c r="D230" t="inlineStr">
        <is>
          <t>NH</t>
        </is>
      </c>
      <c r="E230" t="n">
        <v>380965</v>
      </c>
      <c r="F230" t="n">
        <v>341206</v>
      </c>
      <c r="G230" t="n">
        <v>38509</v>
      </c>
      <c r="H230" s="16" t="n">
        <v>0.4322654785365818</v>
      </c>
      <c r="I230" s="16" t="n">
        <v>3.75</v>
      </c>
      <c r="J230" s="16" t="n">
        <v>2.049364130461133</v>
      </c>
      <c r="K230" s="16" t="n">
        <v>286</v>
      </c>
      <c r="L230" s="16" t="n">
        <v>0</v>
      </c>
      <c r="M230" s="16" t="n">
        <v>0.1384659330231567</v>
      </c>
      <c r="N230" s="16" t="n">
        <v>523</v>
      </c>
      <c r="O230" s="16" t="n">
        <v>0</v>
      </c>
      <c r="P230" s="16" t="n">
        <v>0</v>
      </c>
      <c r="Q230" t="n">
        <v>206549</v>
      </c>
      <c r="R230" t="n">
        <v>204787</v>
      </c>
      <c r="S230" t="n">
        <v>204563</v>
      </c>
      <c r="T230" t="n">
        <v>0</v>
      </c>
      <c r="U230" t="n">
        <v>969</v>
      </c>
      <c r="V230" t="n">
        <v>0.8530663426111964</v>
      </c>
      <c r="W230" t="n">
        <v>0.05</v>
      </c>
      <c r="X230" s="16">
        <f>IFERROR(K230/E230*100,"")</f>
        <v/>
      </c>
      <c r="Y230" s="16">
        <f>IFERROR((N230+O230)/E230*100,"")</f>
        <v/>
      </c>
      <c r="Z230" s="16">
        <f>IFERROR(R230/F230*100,"")</f>
        <v/>
      </c>
      <c r="AA230" s="16">
        <f>IFERROR(R230/E230*100,"")</f>
        <v/>
      </c>
      <c r="AB230" s="16">
        <f>IFERROR(S230/Q230*100,"")</f>
        <v/>
      </c>
      <c r="AC230" s="16">
        <f>IFERROR(T230/Q230*100,"")</f>
        <v/>
      </c>
      <c r="AD230" s="16">
        <f>IFERROR(U230/Q230*100,"")</f>
        <v/>
      </c>
      <c r="AE230" s="18" t="n"/>
      <c r="AF230" s="18" t="n"/>
      <c r="AG230" s="18" t="n"/>
      <c r="AH230">
        <f>P230&gt;0</f>
        <v/>
      </c>
    </row>
    <row r="231">
      <c r="A231" s="14" t="n">
        <v>45016</v>
      </c>
      <c r="B231" t="n">
        <v>17443</v>
      </c>
      <c r="C231" t="inlineStr">
        <is>
          <t>PISCATAQUA SAVINGS BANK</t>
        </is>
      </c>
      <c r="D231" t="inlineStr">
        <is>
          <t>NH</t>
        </is>
      </c>
      <c r="E231" t="n">
        <v>371402</v>
      </c>
      <c r="F231" t="n">
        <v>330910</v>
      </c>
      <c r="G231" t="n">
        <v>39228</v>
      </c>
      <c r="H231" s="16" t="n">
        <v>0.1031411531872078</v>
      </c>
      <c r="I231" s="16" t="n">
        <v>1</v>
      </c>
      <c r="J231" s="16" t="n">
        <v>1.741228905785429</v>
      </c>
      <c r="K231" s="16" t="n">
        <v>250</v>
      </c>
      <c r="L231" s="16" t="n">
        <v>0</v>
      </c>
      <c r="M231" s="16" t="n">
        <v>0.1198362557401566</v>
      </c>
      <c r="N231" s="16" t="n">
        <v>520</v>
      </c>
      <c r="O231" s="16" t="n">
        <v>0</v>
      </c>
      <c r="P231" s="16" t="n">
        <v>0</v>
      </c>
      <c r="Q231" t="n">
        <v>208618</v>
      </c>
      <c r="R231" t="n">
        <v>206887</v>
      </c>
      <c r="S231" t="n">
        <v>206692</v>
      </c>
      <c r="T231" t="n">
        <v>0</v>
      </c>
      <c r="U231" t="n">
        <v>927</v>
      </c>
      <c r="V231" t="n">
        <v>0.8297462347448447</v>
      </c>
      <c r="W231" t="n">
        <v>0.04</v>
      </c>
      <c r="X231" s="16">
        <f>IFERROR(K231/E231*100,"")</f>
        <v/>
      </c>
      <c r="Y231" s="16">
        <f>IFERROR((N231+O231)/E231*100,"")</f>
        <v/>
      </c>
      <c r="Z231" s="16">
        <f>IFERROR(R231/F231*100,"")</f>
        <v/>
      </c>
      <c r="AA231" s="16">
        <f>IFERROR(R231/E231*100,"")</f>
        <v/>
      </c>
      <c r="AB231" s="16">
        <f>IFERROR(S231/Q231*100,"")</f>
        <v/>
      </c>
      <c r="AC231" s="16">
        <f>IFERROR(T231/Q231*100,"")</f>
        <v/>
      </c>
      <c r="AD231" s="16">
        <f>IFERROR(U231/Q231*100,"")</f>
        <v/>
      </c>
      <c r="AE231" s="18">
        <f>IFERROR(E231/E227-1,"")</f>
        <v/>
      </c>
      <c r="AF231" s="18">
        <f>IFERROR(R231/R227-1,"")</f>
        <v/>
      </c>
      <c r="AG231" s="18">
        <f>IFERROR(F231/F227-1,"")</f>
        <v/>
      </c>
      <c r="AH231">
        <f>P231&gt;0</f>
        <v/>
      </c>
    </row>
    <row r="232">
      <c r="A232" s="14" t="n">
        <v>45107</v>
      </c>
      <c r="B232" t="n">
        <v>17443</v>
      </c>
      <c r="C232" t="inlineStr">
        <is>
          <t>PISCATAQUA SAVINGS BANK</t>
        </is>
      </c>
      <c r="D232" t="inlineStr">
        <is>
          <t>NH</t>
        </is>
      </c>
      <c r="E232" t="n">
        <v>360577</v>
      </c>
      <c r="F232" t="n">
        <v>321273</v>
      </c>
      <c r="G232" t="n">
        <v>38058</v>
      </c>
      <c r="H232" s="16" t="n">
        <v>0.09865725499216491</v>
      </c>
      <c r="I232" s="16" t="n">
        <v>0.95</v>
      </c>
      <c r="J232" s="16" t="n">
        <v>1.66288900108496</v>
      </c>
      <c r="K232" s="16" t="n">
        <v>109</v>
      </c>
      <c r="L232" s="16" t="n">
        <v>0</v>
      </c>
      <c r="M232" s="16" t="n">
        <v>0.0512873597831815</v>
      </c>
      <c r="N232" s="16" t="n">
        <v>1208</v>
      </c>
      <c r="O232" s="16" t="n">
        <v>0</v>
      </c>
      <c r="P232" s="16" t="n">
        <v>0</v>
      </c>
      <c r="Q232" t="n">
        <v>212528</v>
      </c>
      <c r="R232" t="n">
        <v>210772</v>
      </c>
      <c r="S232" t="n">
        <v>210812</v>
      </c>
      <c r="T232" t="n">
        <v>0</v>
      </c>
      <c r="U232" t="n">
        <v>716</v>
      </c>
      <c r="V232" t="n">
        <v>0.8262440713694195</v>
      </c>
      <c r="W232" t="n">
        <v>0.03</v>
      </c>
      <c r="X232" s="16">
        <f>IFERROR(K232/E232*100,"")</f>
        <v/>
      </c>
      <c r="Y232" s="16">
        <f>IFERROR((N232+O232)/E232*100,"")</f>
        <v/>
      </c>
      <c r="Z232" s="16">
        <f>IFERROR(R232/F232*100,"")</f>
        <v/>
      </c>
      <c r="AA232" s="16">
        <f>IFERROR(R232/E232*100,"")</f>
        <v/>
      </c>
      <c r="AB232" s="16">
        <f>IFERROR(S232/Q232*100,"")</f>
        <v/>
      </c>
      <c r="AC232" s="16">
        <f>IFERROR(T232/Q232*100,"")</f>
        <v/>
      </c>
      <c r="AD232" s="16">
        <f>IFERROR(U232/Q232*100,"")</f>
        <v/>
      </c>
      <c r="AE232" s="18">
        <f>IFERROR(E232/E228-1,"")</f>
        <v/>
      </c>
      <c r="AF232" s="18">
        <f>IFERROR(R232/R228-1,"")</f>
        <v/>
      </c>
      <c r="AG232" s="18">
        <f>IFERROR(F232/F228-1,"")</f>
        <v/>
      </c>
      <c r="AH232">
        <f>P232&gt;0</f>
        <v/>
      </c>
    </row>
    <row r="233">
      <c r="A233" s="14" t="n">
        <v>45199</v>
      </c>
      <c r="B233" t="n">
        <v>17443</v>
      </c>
      <c r="C233" t="inlineStr">
        <is>
          <t>PISCATAQUA SAVINGS BANK</t>
        </is>
      </c>
      <c r="D233" t="inlineStr">
        <is>
          <t>NH</t>
        </is>
      </c>
      <c r="E233" t="n">
        <v>359919</v>
      </c>
      <c r="F233" t="n">
        <v>321726</v>
      </c>
      <c r="G233" t="n">
        <v>36888</v>
      </c>
      <c r="H233" s="16" t="n">
        <v>0.0680743287053853</v>
      </c>
      <c r="I233" s="16" t="n">
        <v>0.66</v>
      </c>
      <c r="J233" s="16" t="n">
        <v>1.59052041879174</v>
      </c>
      <c r="K233" s="16" t="n">
        <v>109</v>
      </c>
      <c r="L233" s="16" t="n">
        <v>0</v>
      </c>
      <c r="M233" s="16" t="n">
        <v>0.4850811040175902</v>
      </c>
      <c r="N233" s="16" t="n">
        <v>310</v>
      </c>
      <c r="O233" s="16" t="n">
        <v>897</v>
      </c>
      <c r="P233" s="16" t="n">
        <v>0</v>
      </c>
      <c r="Q233" t="n">
        <v>207388</v>
      </c>
      <c r="R233" t="n">
        <v>205613</v>
      </c>
      <c r="S233" t="n">
        <v>205626</v>
      </c>
      <c r="T233" t="n">
        <v>0</v>
      </c>
      <c r="U233" t="n">
        <v>761</v>
      </c>
      <c r="V233" t="n">
        <v>0.8558836576851119</v>
      </c>
      <c r="W233" t="n">
        <v>0.02</v>
      </c>
      <c r="X233" s="16">
        <f>IFERROR(K233/E233*100,"")</f>
        <v/>
      </c>
      <c r="Y233" s="16">
        <f>IFERROR((N233+O233)/E233*100,"")</f>
        <v/>
      </c>
      <c r="Z233" s="16">
        <f>IFERROR(R233/F233*100,"")</f>
        <v/>
      </c>
      <c r="AA233" s="16">
        <f>IFERROR(R233/E233*100,"")</f>
        <v/>
      </c>
      <c r="AB233" s="16">
        <f>IFERROR(S233/Q233*100,"")</f>
        <v/>
      </c>
      <c r="AC233" s="16">
        <f>IFERROR(T233/Q233*100,"")</f>
        <v/>
      </c>
      <c r="AD233" s="16">
        <f>IFERROR(U233/Q233*100,"")</f>
        <v/>
      </c>
      <c r="AE233" s="18">
        <f>IFERROR(E233/E229-1,"")</f>
        <v/>
      </c>
      <c r="AF233" s="18">
        <f>IFERROR(R233/R229-1,"")</f>
        <v/>
      </c>
      <c r="AG233" s="18">
        <f>IFERROR(F233/F229-1,"")</f>
        <v/>
      </c>
      <c r="AH233">
        <f>P233&gt;0</f>
        <v/>
      </c>
    </row>
    <row r="234">
      <c r="A234" s="14" t="n">
        <v>45291</v>
      </c>
      <c r="B234" t="n">
        <v>17443</v>
      </c>
      <c r="C234" t="inlineStr">
        <is>
          <t>PISCATAQUA SAVINGS BANK</t>
        </is>
      </c>
      <c r="D234" t="inlineStr">
        <is>
          <t>NH</t>
        </is>
      </c>
      <c r="E234" t="n">
        <v>351163</v>
      </c>
      <c r="F234" t="n">
        <v>309824</v>
      </c>
      <c r="G234" t="n">
        <v>40157</v>
      </c>
      <c r="H234" s="16" t="n">
        <v>0.0112388748844588</v>
      </c>
      <c r="I234" s="16" t="n">
        <v>0.11</v>
      </c>
      <c r="J234" s="16" t="n">
        <v>1.557125301631538</v>
      </c>
      <c r="K234" s="16" t="n">
        <v>173</v>
      </c>
      <c r="L234" s="16" t="n">
        <v>0</v>
      </c>
      <c r="M234" s="16" t="n">
        <v>0.0843663743916355</v>
      </c>
      <c r="N234" s="16" t="n">
        <v>1121</v>
      </c>
      <c r="O234" s="16" t="n">
        <v>0</v>
      </c>
      <c r="P234" s="16" t="n">
        <v>0</v>
      </c>
      <c r="Q234" t="n">
        <v>205058</v>
      </c>
      <c r="R234" t="n">
        <v>203348</v>
      </c>
      <c r="S234" t="n">
        <v>203264</v>
      </c>
      <c r="T234" t="n">
        <v>0</v>
      </c>
      <c r="U234" t="n">
        <v>794</v>
      </c>
      <c r="V234" t="n">
        <v>0.8339104058363975</v>
      </c>
      <c r="W234" t="n">
        <v>0</v>
      </c>
      <c r="X234" s="16">
        <f>IFERROR(K234/E234*100,"")</f>
        <v/>
      </c>
      <c r="Y234" s="16">
        <f>IFERROR((N234+O234)/E234*100,"")</f>
        <v/>
      </c>
      <c r="Z234" s="16">
        <f>IFERROR(R234/F234*100,"")</f>
        <v/>
      </c>
      <c r="AA234" s="16">
        <f>IFERROR(R234/E234*100,"")</f>
        <v/>
      </c>
      <c r="AB234" s="16">
        <f>IFERROR(S234/Q234*100,"")</f>
        <v/>
      </c>
      <c r="AC234" s="16">
        <f>IFERROR(T234/Q234*100,"")</f>
        <v/>
      </c>
      <c r="AD234" s="16">
        <f>IFERROR(U234/Q234*100,"")</f>
        <v/>
      </c>
      <c r="AE234" s="18">
        <f>IFERROR(E234/E230-1,"")</f>
        <v/>
      </c>
      <c r="AF234" s="18">
        <f>IFERROR(R234/R230-1,"")</f>
        <v/>
      </c>
      <c r="AG234" s="18">
        <f>IFERROR(F234/F230-1,"")</f>
        <v/>
      </c>
      <c r="AH234">
        <f>P234&gt;0</f>
        <v/>
      </c>
    </row>
    <row r="235">
      <c r="A235" s="14" t="n">
        <v>45382</v>
      </c>
      <c r="B235" t="n">
        <v>17443</v>
      </c>
      <c r="C235" t="inlineStr">
        <is>
          <t>PISCATAQUA SAVINGS BANK</t>
        </is>
      </c>
      <c r="D235" t="inlineStr">
        <is>
          <t>NH</t>
        </is>
      </c>
      <c r="E235" t="n">
        <v>343636</v>
      </c>
      <c r="F235" t="n">
        <v>303567</v>
      </c>
      <c r="G235" t="n">
        <v>38886</v>
      </c>
      <c r="H235" s="16" t="n">
        <v>-0.5031671030038903</v>
      </c>
      <c r="I235" s="16" t="n">
        <v>-4.42</v>
      </c>
      <c r="J235" s="16" t="n">
        <v>1.188457405504616</v>
      </c>
      <c r="K235" s="16" t="n">
        <v>1048</v>
      </c>
      <c r="L235" s="16" t="n">
        <v>0</v>
      </c>
      <c r="M235" s="16" t="n">
        <v>0.5225212648205578</v>
      </c>
      <c r="N235" s="16" t="n">
        <v>366</v>
      </c>
      <c r="O235" s="16" t="n">
        <v>0</v>
      </c>
      <c r="P235" s="16" t="n">
        <v>0</v>
      </c>
      <c r="Q235" t="n">
        <v>200566</v>
      </c>
      <c r="R235" t="n">
        <v>198910</v>
      </c>
      <c r="S235" t="n">
        <v>198841</v>
      </c>
      <c r="T235" t="n">
        <v>0</v>
      </c>
      <c r="U235" t="n">
        <v>725</v>
      </c>
      <c r="V235" t="n">
        <v>0.8256633726553853</v>
      </c>
      <c r="W235" t="n">
        <v>-0.07000000000000001</v>
      </c>
      <c r="X235" s="16">
        <f>IFERROR(K235/E235*100,"")</f>
        <v/>
      </c>
      <c r="Y235" s="16">
        <f>IFERROR((N235+O235)/E235*100,"")</f>
        <v/>
      </c>
      <c r="Z235" s="16">
        <f>IFERROR(R235/F235*100,"")</f>
        <v/>
      </c>
      <c r="AA235" s="16">
        <f>IFERROR(R235/E235*100,"")</f>
        <v/>
      </c>
      <c r="AB235" s="16">
        <f>IFERROR(S235/Q235*100,"")</f>
        <v/>
      </c>
      <c r="AC235" s="16">
        <f>IFERROR(T235/Q235*100,"")</f>
        <v/>
      </c>
      <c r="AD235" s="16">
        <f>IFERROR(U235/Q235*100,"")</f>
        <v/>
      </c>
      <c r="AE235" s="18">
        <f>IFERROR(E235/E231-1,"")</f>
        <v/>
      </c>
      <c r="AF235" s="18">
        <f>IFERROR(R235/R231-1,"")</f>
        <v/>
      </c>
      <c r="AG235" s="18">
        <f>IFERROR(F235/F231-1,"")</f>
        <v/>
      </c>
      <c r="AH235">
        <f>P235&gt;0</f>
        <v/>
      </c>
    </row>
    <row r="236">
      <c r="A236" s="14" t="n">
        <v>45473</v>
      </c>
      <c r="B236" t="n">
        <v>17443</v>
      </c>
      <c r="C236" t="inlineStr">
        <is>
          <t>PISCATAQUA SAVINGS BANK</t>
        </is>
      </c>
      <c r="D236" t="inlineStr">
        <is>
          <t>NH</t>
        </is>
      </c>
      <c r="E236" t="n">
        <v>365097</v>
      </c>
      <c r="F236" t="n">
        <v>300117</v>
      </c>
      <c r="G236" t="n">
        <v>38871</v>
      </c>
      <c r="H236" s="16" t="n">
        <v>-0.1902073410976171</v>
      </c>
      <c r="I236" s="16" t="n">
        <v>-1.71</v>
      </c>
      <c r="J236" s="16" t="n">
        <v>1.184368799284444</v>
      </c>
      <c r="K236" s="16" t="n">
        <v>1042</v>
      </c>
      <c r="L236" s="16" t="n">
        <v>0</v>
      </c>
      <c r="M236" s="16" t="n">
        <v>0.5194934689400738</v>
      </c>
      <c r="N236" s="16" t="n">
        <v>375</v>
      </c>
      <c r="O236" s="16" t="n">
        <v>0</v>
      </c>
      <c r="P236" s="16" t="n">
        <v>0</v>
      </c>
      <c r="Q236" t="n">
        <v>200580</v>
      </c>
      <c r="R236" t="n">
        <v>198988</v>
      </c>
      <c r="S236" t="n">
        <v>198905</v>
      </c>
      <c r="T236" t="n">
        <v>0</v>
      </c>
      <c r="U236" t="n">
        <v>675</v>
      </c>
      <c r="V236" t="n">
        <v>0.7936982750024928</v>
      </c>
      <c r="W236" t="n">
        <v>-0.07000000000000001</v>
      </c>
      <c r="X236" s="16">
        <f>IFERROR(K236/E236*100,"")</f>
        <v/>
      </c>
      <c r="Y236" s="16">
        <f>IFERROR((N236+O236)/E236*100,"")</f>
        <v/>
      </c>
      <c r="Z236" s="16">
        <f>IFERROR(R236/F236*100,"")</f>
        <v/>
      </c>
      <c r="AA236" s="16">
        <f>IFERROR(R236/E236*100,"")</f>
        <v/>
      </c>
      <c r="AB236" s="16">
        <f>IFERROR(S236/Q236*100,"")</f>
        <v/>
      </c>
      <c r="AC236" s="16">
        <f>IFERROR(T236/Q236*100,"")</f>
        <v/>
      </c>
      <c r="AD236" s="16">
        <f>IFERROR(U236/Q236*100,"")</f>
        <v/>
      </c>
      <c r="AE236" s="18">
        <f>IFERROR(E236/E232-1,"")</f>
        <v/>
      </c>
      <c r="AF236" s="18">
        <f>IFERROR(R236/R232-1,"")</f>
        <v/>
      </c>
      <c r="AG236" s="18">
        <f>IFERROR(F236/F232-1,"")</f>
        <v/>
      </c>
      <c r="AH236">
        <f>P236&gt;0</f>
        <v/>
      </c>
    </row>
    <row r="237">
      <c r="A237" s="14" t="n">
        <v>45565</v>
      </c>
      <c r="B237" t="n">
        <v>17443</v>
      </c>
      <c r="C237" t="inlineStr">
        <is>
          <t>PISCATAQUA SAVINGS BANK</t>
        </is>
      </c>
      <c r="D237" t="inlineStr">
        <is>
          <t>NH</t>
        </is>
      </c>
      <c r="E237" t="n">
        <v>366752</v>
      </c>
      <c r="F237" t="n">
        <v>299271</v>
      </c>
      <c r="G237" t="n">
        <v>41324</v>
      </c>
      <c r="H237" s="16" t="n">
        <v>-0.1824277326993063</v>
      </c>
      <c r="I237" s="16" t="n">
        <v>-1.63</v>
      </c>
      <c r="J237" s="16" t="n">
        <v>1.163967740629899</v>
      </c>
      <c r="K237" s="16" t="n">
        <v>1019</v>
      </c>
      <c r="L237" s="16" t="n">
        <v>0</v>
      </c>
      <c r="M237" s="16" t="n">
        <v>0.5167893132635828</v>
      </c>
      <c r="N237" s="16" t="n">
        <v>1323</v>
      </c>
      <c r="O237" s="16" t="n">
        <v>0</v>
      </c>
      <c r="P237" s="16" t="n">
        <v>0</v>
      </c>
      <c r="Q237" t="n">
        <v>197179</v>
      </c>
      <c r="R237" t="n">
        <v>195670</v>
      </c>
      <c r="S237" t="n">
        <v>195221</v>
      </c>
      <c r="T237" t="n">
        <v>0</v>
      </c>
      <c r="U237" t="n">
        <v>958</v>
      </c>
      <c r="V237" t="n">
        <v>0.7652944786209485</v>
      </c>
      <c r="W237" t="n">
        <v>-0.08</v>
      </c>
      <c r="X237" s="16">
        <f>IFERROR(K237/E237*100,"")</f>
        <v/>
      </c>
      <c r="Y237" s="16">
        <f>IFERROR((N237+O237)/E237*100,"")</f>
        <v/>
      </c>
      <c r="Z237" s="16">
        <f>IFERROR(R237/F237*100,"")</f>
        <v/>
      </c>
      <c r="AA237" s="16">
        <f>IFERROR(R237/E237*100,"")</f>
        <v/>
      </c>
      <c r="AB237" s="16">
        <f>IFERROR(S237/Q237*100,"")</f>
        <v/>
      </c>
      <c r="AC237" s="16">
        <f>IFERROR(T237/Q237*100,"")</f>
        <v/>
      </c>
      <c r="AD237" s="16">
        <f>IFERROR(U237/Q237*100,"")</f>
        <v/>
      </c>
      <c r="AE237" s="18">
        <f>IFERROR(E237/E233-1,"")</f>
        <v/>
      </c>
      <c r="AF237" s="18">
        <f>IFERROR(R237/R233-1,"")</f>
        <v/>
      </c>
      <c r="AG237" s="18">
        <f>IFERROR(F237/F233-1,"")</f>
        <v/>
      </c>
      <c r="AH237">
        <f>P237&gt;0</f>
        <v/>
      </c>
    </row>
    <row r="238">
      <c r="A238" s="14" t="n">
        <v>45657</v>
      </c>
      <c r="B238" t="n">
        <v>17443</v>
      </c>
      <c r="C238" t="inlineStr">
        <is>
          <t>PISCATAQUA SAVINGS BANK</t>
        </is>
      </c>
      <c r="D238" t="inlineStr">
        <is>
          <t>NH</t>
        </is>
      </c>
      <c r="E238" t="n">
        <v>362004</v>
      </c>
      <c r="F238" t="n">
        <v>296951</v>
      </c>
      <c r="G238" t="n">
        <v>38929</v>
      </c>
      <c r="H238" s="16" t="n">
        <v>-0.2261479594689185</v>
      </c>
      <c r="I238" s="16" t="n">
        <v>-2.04</v>
      </c>
      <c r="J238" s="16" t="n">
        <v>1.170541464520075</v>
      </c>
      <c r="K238" s="16" t="n">
        <v>1097</v>
      </c>
      <c r="L238" s="16" t="n">
        <v>0</v>
      </c>
      <c r="M238" s="16" t="n">
        <v>0.553512051627487</v>
      </c>
      <c r="N238" s="16" t="n">
        <v>0</v>
      </c>
      <c r="O238" s="16" t="n">
        <v>0</v>
      </c>
      <c r="P238" s="16" t="n">
        <v>0</v>
      </c>
      <c r="Q238" t="n">
        <v>198189</v>
      </c>
      <c r="R238" t="n">
        <v>196685</v>
      </c>
      <c r="S238" t="n">
        <v>196227</v>
      </c>
      <c r="T238" t="n">
        <v>0</v>
      </c>
      <c r="U238" t="n">
        <v>962</v>
      </c>
      <c r="V238" t="n">
        <v>0.7588715821766092</v>
      </c>
      <c r="W238" t="n">
        <v>-0.06</v>
      </c>
      <c r="X238" s="16">
        <f>IFERROR(K238/E238*100,"")</f>
        <v/>
      </c>
      <c r="Y238" s="16">
        <f>IFERROR((N238+O238)/E238*100,"")</f>
        <v/>
      </c>
      <c r="Z238" s="16">
        <f>IFERROR(R238/F238*100,"")</f>
        <v/>
      </c>
      <c r="AA238" s="16">
        <f>IFERROR(R238/E238*100,"")</f>
        <v/>
      </c>
      <c r="AB238" s="16">
        <f>IFERROR(S238/Q238*100,"")</f>
        <v/>
      </c>
      <c r="AC238" s="16">
        <f>IFERROR(T238/Q238*100,"")</f>
        <v/>
      </c>
      <c r="AD238" s="16">
        <f>IFERROR(U238/Q238*100,"")</f>
        <v/>
      </c>
      <c r="AE238" s="18">
        <f>IFERROR(E238/E234-1,"")</f>
        <v/>
      </c>
      <c r="AF238" s="18">
        <f>IFERROR(R238/R234-1,"")</f>
        <v/>
      </c>
      <c r="AG238" s="18">
        <f>IFERROR(F238/F234-1,"")</f>
        <v/>
      </c>
      <c r="AH238">
        <f>P238&gt;0</f>
        <v/>
      </c>
    </row>
    <row r="239">
      <c r="A239" s="14" t="n">
        <v>45747</v>
      </c>
      <c r="B239" t="n">
        <v>17443</v>
      </c>
      <c r="C239" t="inlineStr">
        <is>
          <t>PISCATAQUA SAVINGS BANK</t>
        </is>
      </c>
      <c r="D239" t="inlineStr">
        <is>
          <t>NH</t>
        </is>
      </c>
      <c r="E239" t="n">
        <v>363289</v>
      </c>
      <c r="F239" t="n">
        <v>297631</v>
      </c>
      <c r="G239" t="n">
        <v>39494</v>
      </c>
      <c r="H239" s="16" t="n">
        <v>-0.5393682277369284</v>
      </c>
      <c r="I239" s="16" t="n">
        <v>-4.99</v>
      </c>
      <c r="J239" s="16" t="n">
        <v>1.22253760700585</v>
      </c>
      <c r="K239" s="16" t="n">
        <v>931</v>
      </c>
      <c r="L239" s="16" t="n">
        <v>0</v>
      </c>
      <c r="M239" s="16" t="n">
        <v>0.4690058184932369</v>
      </c>
      <c r="N239" s="16" t="n">
        <v>1910</v>
      </c>
      <c r="O239" s="16" t="n">
        <v>0</v>
      </c>
      <c r="P239" s="16" t="n">
        <v>0</v>
      </c>
      <c r="Q239" t="n">
        <v>198505</v>
      </c>
      <c r="R239" t="n">
        <v>196931</v>
      </c>
      <c r="S239" t="n">
        <v>196634</v>
      </c>
      <c r="T239" t="n">
        <v>0</v>
      </c>
      <c r="U239" t="n">
        <v>871</v>
      </c>
      <c r="V239" t="n">
        <v>0.7929271302989849</v>
      </c>
      <c r="W239" t="n">
        <v>0.07000000000000001</v>
      </c>
      <c r="X239" s="16">
        <f>IFERROR(K239/E239*100,"")</f>
        <v/>
      </c>
      <c r="Y239" s="16">
        <f>IFERROR((N239+O239)/E239*100,"")</f>
        <v/>
      </c>
      <c r="Z239" s="16">
        <f>IFERROR(R239/F239*100,"")</f>
        <v/>
      </c>
      <c r="AA239" s="16">
        <f>IFERROR(R239/E239*100,"")</f>
        <v/>
      </c>
      <c r="AB239" s="16">
        <f>IFERROR(S239/Q239*100,"")</f>
        <v/>
      </c>
      <c r="AC239" s="16">
        <f>IFERROR(T239/Q239*100,"")</f>
        <v/>
      </c>
      <c r="AD239" s="16">
        <f>IFERROR(U239/Q239*100,"")</f>
        <v/>
      </c>
      <c r="AE239" s="18">
        <f>IFERROR(E239/E235-1,"")</f>
        <v/>
      </c>
      <c r="AF239" s="18">
        <f>IFERROR(R239/R235-1,"")</f>
        <v/>
      </c>
      <c r="AG239" s="18">
        <f>IFERROR(F239/F235-1,"")</f>
        <v/>
      </c>
      <c r="AH239">
        <f>P239&gt;0</f>
        <v/>
      </c>
    </row>
    <row r="240">
      <c r="A240" s="14" t="n">
        <v>45838</v>
      </c>
      <c r="B240" t="n">
        <v>17443</v>
      </c>
      <c r="C240" t="inlineStr">
        <is>
          <t>PISCATAQUA SAVINGS BANK</t>
        </is>
      </c>
      <c r="D240" t="inlineStr">
        <is>
          <t>NH</t>
        </is>
      </c>
      <c r="E240" t="n">
        <v>366584</v>
      </c>
      <c r="F240" t="n">
        <v>285374</v>
      </c>
      <c r="G240" t="n">
        <v>40125</v>
      </c>
      <c r="H240" s="16" t="n">
        <v>-0.3011328199055388</v>
      </c>
      <c r="I240" s="16" t="n">
        <v>-2.77</v>
      </c>
      <c r="J240" s="16" t="n">
        <v>1.299209767244892</v>
      </c>
      <c r="K240" s="16" t="n">
        <v>22</v>
      </c>
      <c r="L240" s="16" t="n">
        <v>0</v>
      </c>
      <c r="M240" s="16" t="n">
        <v>0.0108253332480428</v>
      </c>
      <c r="N240" s="16" t="n">
        <v>769</v>
      </c>
      <c r="O240" s="16" t="n">
        <v>0</v>
      </c>
      <c r="P240" s="16" t="n">
        <v>0</v>
      </c>
      <c r="Q240" t="n">
        <v>203227</v>
      </c>
      <c r="R240" t="n">
        <v>201778</v>
      </c>
      <c r="S240" t="n">
        <v>201428</v>
      </c>
      <c r="T240" t="n">
        <v>0</v>
      </c>
      <c r="U240" t="n">
        <v>799</v>
      </c>
      <c r="V240" t="n">
        <v>0.7129958125642755</v>
      </c>
      <c r="W240" t="n">
        <v>-0.03</v>
      </c>
      <c r="X240" s="16">
        <f>IFERROR(K240/E240*100,"")</f>
        <v/>
      </c>
      <c r="Y240" s="16">
        <f>IFERROR((N240+O240)/E240*100,"")</f>
        <v/>
      </c>
      <c r="Z240" s="16">
        <f>IFERROR(R240/F240*100,"")</f>
        <v/>
      </c>
      <c r="AA240" s="16">
        <f>IFERROR(R240/E240*100,"")</f>
        <v/>
      </c>
      <c r="AB240" s="16">
        <f>IFERROR(S240/Q240*100,"")</f>
        <v/>
      </c>
      <c r="AC240" s="16">
        <f>IFERROR(T240/Q240*100,"")</f>
        <v/>
      </c>
      <c r="AD240" s="16">
        <f>IFERROR(U240/Q240*100,"")</f>
        <v/>
      </c>
      <c r="AE240" s="18">
        <f>IFERROR(E240/E236-1,"")</f>
        <v/>
      </c>
      <c r="AF240" s="18">
        <f>IFERROR(R240/R236-1,"")</f>
        <v/>
      </c>
      <c r="AG240" s="18">
        <f>IFERROR(F240/F236-1,"")</f>
        <v/>
      </c>
      <c r="AH240">
        <f>P240&gt;0</f>
        <v/>
      </c>
    </row>
    <row r="241">
      <c r="A241" s="14" t="n">
        <v>44651</v>
      </c>
      <c r="B241" t="n">
        <v>17658</v>
      </c>
      <c r="C241" t="inlineStr">
        <is>
          <t>NORWAY SAVINGS BANK</t>
        </is>
      </c>
      <c r="D241" t="inlineStr">
        <is>
          <t>ME</t>
        </is>
      </c>
      <c r="E241" t="n">
        <v>1753308</v>
      </c>
      <c r="F241" t="n">
        <v>1508978</v>
      </c>
      <c r="G241" t="n">
        <v>215496</v>
      </c>
      <c r="H241" s="16" t="n">
        <v>0.8577543994380387</v>
      </c>
      <c r="I241" s="16" t="n">
        <v>6.72</v>
      </c>
      <c r="J241" s="16" t="n">
        <v>3.359851079995136</v>
      </c>
      <c r="K241" s="16" t="n">
        <v>1019</v>
      </c>
      <c r="L241" s="16" t="n">
        <v>2</v>
      </c>
      <c r="M241" s="16" t="n">
        <v>0.1088352674596491</v>
      </c>
      <c r="N241" s="16" t="n">
        <v>1175</v>
      </c>
      <c r="O241" s="16" t="n">
        <v>152</v>
      </c>
      <c r="P241" s="16" t="n">
        <v>0</v>
      </c>
      <c r="Q241" t="n">
        <v>1075938</v>
      </c>
      <c r="R241" t="n">
        <v>1066725</v>
      </c>
      <c r="S241" t="n">
        <v>932001</v>
      </c>
      <c r="T241" t="n">
        <v>77695</v>
      </c>
      <c r="U241" t="n">
        <v>58315</v>
      </c>
      <c r="V241" t="n">
        <v>0.8562761051287341</v>
      </c>
      <c r="W241" t="n">
        <v>0.02</v>
      </c>
      <c r="X241" s="16">
        <f>IFERROR(K241/E241*100,"")</f>
        <v/>
      </c>
      <c r="Y241" s="16">
        <f>IFERROR((N241+O241)/E241*100,"")</f>
        <v/>
      </c>
      <c r="Z241" s="16">
        <f>IFERROR(R241/F241*100,"")</f>
        <v/>
      </c>
      <c r="AA241" s="16">
        <f>IFERROR(R241/E241*100,"")</f>
        <v/>
      </c>
      <c r="AB241" s="16">
        <f>IFERROR(S241/Q241*100,"")</f>
        <v/>
      </c>
      <c r="AC241" s="16">
        <f>IFERROR(T241/Q241*100,"")</f>
        <v/>
      </c>
      <c r="AD241" s="16">
        <f>IFERROR(U241/Q241*100,"")</f>
        <v/>
      </c>
      <c r="AE241" s="18" t="n"/>
      <c r="AF241" s="18" t="n"/>
      <c r="AG241" s="18" t="n"/>
      <c r="AH241">
        <f>P241&gt;0</f>
        <v/>
      </c>
    </row>
    <row r="242">
      <c r="A242" s="14" t="n">
        <v>44742</v>
      </c>
      <c r="B242" t="n">
        <v>17658</v>
      </c>
      <c r="C242" t="inlineStr">
        <is>
          <t>NORWAY SAVINGS BANK</t>
        </is>
      </c>
      <c r="D242" t="inlineStr">
        <is>
          <t>ME</t>
        </is>
      </c>
      <c r="E242" t="n">
        <v>1739201</v>
      </c>
      <c r="F242" t="n">
        <v>1514378</v>
      </c>
      <c r="G242" t="n">
        <v>193833</v>
      </c>
      <c r="H242" s="16" t="n">
        <v>-0.1260628336936353</v>
      </c>
      <c r="I242" s="16" t="n">
        <v>-1.03</v>
      </c>
      <c r="J242" s="16" t="n">
        <v>3.441711804720757</v>
      </c>
      <c r="K242" s="16" t="n">
        <v>519</v>
      </c>
      <c r="L242" s="16" t="n">
        <v>24</v>
      </c>
      <c r="M242" s="16" t="n">
        <v>0.0454911599018653</v>
      </c>
      <c r="N242" s="16" t="n">
        <v>3501</v>
      </c>
      <c r="O242" s="16" t="n">
        <v>0</v>
      </c>
      <c r="P242" s="16" t="n">
        <v>0</v>
      </c>
      <c r="Q242" t="n">
        <v>1140881</v>
      </c>
      <c r="R242" t="n">
        <v>1131615</v>
      </c>
      <c r="S242" t="n">
        <v>992175</v>
      </c>
      <c r="T242" t="n">
        <v>78762</v>
      </c>
      <c r="U242" t="n">
        <v>60843</v>
      </c>
      <c r="V242" t="n">
        <v>0.8121793596352292</v>
      </c>
      <c r="W242" t="n">
        <v>0.02</v>
      </c>
      <c r="X242" s="16">
        <f>IFERROR(K242/E242*100,"")</f>
        <v/>
      </c>
      <c r="Y242" s="16">
        <f>IFERROR((N242+O242)/E242*100,"")</f>
        <v/>
      </c>
      <c r="Z242" s="16">
        <f>IFERROR(R242/F242*100,"")</f>
        <v/>
      </c>
      <c r="AA242" s="16">
        <f>IFERROR(R242/E242*100,"")</f>
        <v/>
      </c>
      <c r="AB242" s="16">
        <f>IFERROR(S242/Q242*100,"")</f>
        <v/>
      </c>
      <c r="AC242" s="16">
        <f>IFERROR(T242/Q242*100,"")</f>
        <v/>
      </c>
      <c r="AD242" s="16">
        <f>IFERROR(U242/Q242*100,"")</f>
        <v/>
      </c>
      <c r="AE242" s="18" t="n"/>
      <c r="AF242" s="18" t="n"/>
      <c r="AG242" s="18" t="n"/>
      <c r="AH242">
        <f>P242&gt;0</f>
        <v/>
      </c>
    </row>
    <row r="243">
      <c r="A243" s="14" t="n">
        <v>44834</v>
      </c>
      <c r="B243" t="n">
        <v>17658</v>
      </c>
      <c r="C243" t="inlineStr">
        <is>
          <t>NORWAY SAVINGS BANK</t>
        </is>
      </c>
      <c r="D243" t="inlineStr">
        <is>
          <t>ME</t>
        </is>
      </c>
      <c r="E243" t="n">
        <v>1739896</v>
      </c>
      <c r="F243" t="n">
        <v>1532921</v>
      </c>
      <c r="G243" t="n">
        <v>175487</v>
      </c>
      <c r="H243" s="16" t="n">
        <v>-0.0199909380414695</v>
      </c>
      <c r="I243" s="16" t="n">
        <v>-0.17</v>
      </c>
      <c r="J243" s="16" t="n">
        <v>3.567515824222209</v>
      </c>
      <c r="K243" s="16" t="n">
        <v>395</v>
      </c>
      <c r="L243" s="16" t="n">
        <v>36</v>
      </c>
      <c r="M243" s="16" t="n">
        <v>0.0345231869345119</v>
      </c>
      <c r="N243" s="16" t="n">
        <v>2399</v>
      </c>
      <c r="O243" s="16" t="n">
        <v>9</v>
      </c>
      <c r="P243" s="16" t="n">
        <v>0</v>
      </c>
      <c r="Q243" t="n">
        <v>1170228</v>
      </c>
      <c r="R243" t="n">
        <v>1161324</v>
      </c>
      <c r="S243" t="n">
        <v>1008787</v>
      </c>
      <c r="T243" t="n">
        <v>84346</v>
      </c>
      <c r="U243" t="n">
        <v>64497</v>
      </c>
      <c r="V243" t="n">
        <v>0.7608773674873615</v>
      </c>
      <c r="W243" t="n">
        <v>-0.02</v>
      </c>
      <c r="X243" s="16">
        <f>IFERROR(K243/E243*100,"")</f>
        <v/>
      </c>
      <c r="Y243" s="16">
        <f>IFERROR((N243+O243)/E243*100,"")</f>
        <v/>
      </c>
      <c r="Z243" s="16">
        <f>IFERROR(R243/F243*100,"")</f>
        <v/>
      </c>
      <c r="AA243" s="16">
        <f>IFERROR(R243/E243*100,"")</f>
        <v/>
      </c>
      <c r="AB243" s="16">
        <f>IFERROR(S243/Q243*100,"")</f>
        <v/>
      </c>
      <c r="AC243" s="16">
        <f>IFERROR(T243/Q243*100,"")</f>
        <v/>
      </c>
      <c r="AD243" s="16">
        <f>IFERROR(U243/Q243*100,"")</f>
        <v/>
      </c>
      <c r="AE243" s="18" t="n"/>
      <c r="AF243" s="18" t="n"/>
      <c r="AG243" s="18" t="n"/>
      <c r="AH243">
        <f>P243&gt;0</f>
        <v/>
      </c>
    </row>
    <row r="244">
      <c r="A244" s="14" t="n">
        <v>44926</v>
      </c>
      <c r="B244" t="n">
        <v>17658</v>
      </c>
      <c r="C244" t="inlineStr">
        <is>
          <t>NORWAY SAVINGS BANK</t>
        </is>
      </c>
      <c r="D244" t="inlineStr">
        <is>
          <t>ME</t>
        </is>
      </c>
      <c r="E244" t="n">
        <v>1795136</v>
      </c>
      <c r="F244" t="n">
        <v>1531543</v>
      </c>
      <c r="G244" t="n">
        <v>187871</v>
      </c>
      <c r="H244" s="16" t="n">
        <v>0.5281284309992436</v>
      </c>
      <c r="I244" s="16" t="n">
        <v>4.61</v>
      </c>
      <c r="J244" s="16" t="n">
        <v>3.638239745851115</v>
      </c>
      <c r="K244" s="16" t="n">
        <v>677</v>
      </c>
      <c r="L244" s="16" t="n">
        <v>533</v>
      </c>
      <c r="M244" s="16" t="n">
        <v>0.0719297754704651</v>
      </c>
      <c r="N244" s="16" t="n">
        <v>1734</v>
      </c>
      <c r="O244" s="16" t="n">
        <v>197</v>
      </c>
      <c r="P244" s="16" t="n">
        <v>0</v>
      </c>
      <c r="Q244" t="n">
        <v>1215074</v>
      </c>
      <c r="R244" t="n">
        <v>1206667</v>
      </c>
      <c r="S244" t="n">
        <v>1049471</v>
      </c>
      <c r="T244" t="n">
        <v>87968</v>
      </c>
      <c r="U244" t="n">
        <v>64395</v>
      </c>
      <c r="V244" t="n">
        <v>0.6918920164533189</v>
      </c>
      <c r="W244" t="n">
        <v>-0.01</v>
      </c>
      <c r="X244" s="16">
        <f>IFERROR(K244/E244*100,"")</f>
        <v/>
      </c>
      <c r="Y244" s="16">
        <f>IFERROR((N244+O244)/E244*100,"")</f>
        <v/>
      </c>
      <c r="Z244" s="16">
        <f>IFERROR(R244/F244*100,"")</f>
        <v/>
      </c>
      <c r="AA244" s="16">
        <f>IFERROR(R244/E244*100,"")</f>
        <v/>
      </c>
      <c r="AB244" s="16">
        <f>IFERROR(S244/Q244*100,"")</f>
        <v/>
      </c>
      <c r="AC244" s="16">
        <f>IFERROR(T244/Q244*100,"")</f>
        <v/>
      </c>
      <c r="AD244" s="16">
        <f>IFERROR(U244/Q244*100,"")</f>
        <v/>
      </c>
      <c r="AE244" s="18" t="n"/>
      <c r="AF244" s="18" t="n"/>
      <c r="AG244" s="18" t="n"/>
      <c r="AH244">
        <f>P244&gt;0</f>
        <v/>
      </c>
    </row>
    <row r="245">
      <c r="A245" s="14" t="n">
        <v>45016</v>
      </c>
      <c r="B245" t="n">
        <v>17658</v>
      </c>
      <c r="C245" t="inlineStr">
        <is>
          <t>NORWAY SAVINGS BANK</t>
        </is>
      </c>
      <c r="D245" t="inlineStr">
        <is>
          <t>ME</t>
        </is>
      </c>
      <c r="E245" t="n">
        <v>1830565</v>
      </c>
      <c r="F245" t="n">
        <v>1563995</v>
      </c>
      <c r="G245" t="n">
        <v>199630</v>
      </c>
      <c r="H245" s="16" t="n">
        <v>1.084700586176301</v>
      </c>
      <c r="I245" s="16" t="n">
        <v>10.15</v>
      </c>
      <c r="J245" s="16" t="n">
        <v>3.498251851272771</v>
      </c>
      <c r="K245" s="16" t="n">
        <v>672</v>
      </c>
      <c r="L245" s="16" t="n">
        <v>-7</v>
      </c>
      <c r="M245" s="16" t="n">
        <v>0.0544686148923029</v>
      </c>
      <c r="N245" s="16" t="n">
        <v>1867</v>
      </c>
      <c r="O245" s="16" t="n">
        <v>0</v>
      </c>
      <c r="P245" s="16" t="n">
        <v>0</v>
      </c>
      <c r="Q245" t="n">
        <v>1233738</v>
      </c>
      <c r="R245" t="n">
        <v>1226295</v>
      </c>
      <c r="S245" t="n">
        <v>1063253</v>
      </c>
      <c r="T245" t="n">
        <v>89661</v>
      </c>
      <c r="U245" t="n">
        <v>67833</v>
      </c>
      <c r="V245" t="n">
        <v>0.6032885426241228</v>
      </c>
      <c r="W245" t="n">
        <v>0.02</v>
      </c>
      <c r="X245" s="16">
        <f>IFERROR(K245/E245*100,"")</f>
        <v/>
      </c>
      <c r="Y245" s="16">
        <f>IFERROR((N245+O245)/E245*100,"")</f>
        <v/>
      </c>
      <c r="Z245" s="16">
        <f>IFERROR(R245/F245*100,"")</f>
        <v/>
      </c>
      <c r="AA245" s="16">
        <f>IFERROR(R245/E245*100,"")</f>
        <v/>
      </c>
      <c r="AB245" s="16">
        <f>IFERROR(S245/Q245*100,"")</f>
        <v/>
      </c>
      <c r="AC245" s="16">
        <f>IFERROR(T245/Q245*100,"")</f>
        <v/>
      </c>
      <c r="AD245" s="16">
        <f>IFERROR(U245/Q245*100,"")</f>
        <v/>
      </c>
      <c r="AE245" s="18">
        <f>IFERROR(E245/E241-1,"")</f>
        <v/>
      </c>
      <c r="AF245" s="18">
        <f>IFERROR(R245/R241-1,"")</f>
        <v/>
      </c>
      <c r="AG245" s="18">
        <f>IFERROR(F245/F241-1,"")</f>
        <v/>
      </c>
      <c r="AH245">
        <f>P245&gt;0</f>
        <v/>
      </c>
    </row>
    <row r="246">
      <c r="A246" s="14" t="n">
        <v>45107</v>
      </c>
      <c r="B246" t="n">
        <v>17658</v>
      </c>
      <c r="C246" t="inlineStr">
        <is>
          <t>NORWAY SAVINGS BANK</t>
        </is>
      </c>
      <c r="D246" t="inlineStr">
        <is>
          <t>ME</t>
        </is>
      </c>
      <c r="E246" t="n">
        <v>1826350</v>
      </c>
      <c r="F246" t="n">
        <v>1452649</v>
      </c>
      <c r="G246" t="n">
        <v>198387</v>
      </c>
      <c r="H246" s="16" t="n">
        <v>0.930695622619818</v>
      </c>
      <c r="I246" s="16" t="n">
        <v>8.66</v>
      </c>
      <c r="J246" s="16" t="n">
        <v>3.427235083775348</v>
      </c>
      <c r="K246" s="16" t="n">
        <v>1369</v>
      </c>
      <c r="L246" s="16" t="n">
        <v>-88</v>
      </c>
      <c r="M246" s="16" t="n">
        <v>0.1078193014663897</v>
      </c>
      <c r="N246" s="16" t="n">
        <v>1757</v>
      </c>
      <c r="O246" s="16" t="n">
        <v>0</v>
      </c>
      <c r="P246" s="16" t="n">
        <v>0</v>
      </c>
      <c r="Q246" t="n">
        <v>1269717</v>
      </c>
      <c r="R246" t="n">
        <v>1262268</v>
      </c>
      <c r="S246" t="n">
        <v>1085469</v>
      </c>
      <c r="T246" t="n">
        <v>94739</v>
      </c>
      <c r="U246" t="n">
        <v>76379</v>
      </c>
      <c r="V246" t="n">
        <v>0.5866661626173392</v>
      </c>
      <c r="W246" t="n">
        <v>0</v>
      </c>
      <c r="X246" s="16">
        <f>IFERROR(K246/E246*100,"")</f>
        <v/>
      </c>
      <c r="Y246" s="16">
        <f>IFERROR((N246+O246)/E246*100,"")</f>
        <v/>
      </c>
      <c r="Z246" s="16">
        <f>IFERROR(R246/F246*100,"")</f>
        <v/>
      </c>
      <c r="AA246" s="16">
        <f>IFERROR(R246/E246*100,"")</f>
        <v/>
      </c>
      <c r="AB246" s="16">
        <f>IFERROR(S246/Q246*100,"")</f>
        <v/>
      </c>
      <c r="AC246" s="16">
        <f>IFERROR(T246/Q246*100,"")</f>
        <v/>
      </c>
      <c r="AD246" s="16">
        <f>IFERROR(U246/Q246*100,"")</f>
        <v/>
      </c>
      <c r="AE246" s="18">
        <f>IFERROR(E246/E242-1,"")</f>
        <v/>
      </c>
      <c r="AF246" s="18">
        <f>IFERROR(R246/R242-1,"")</f>
        <v/>
      </c>
      <c r="AG246" s="18">
        <f>IFERROR(F246/F242-1,"")</f>
        <v/>
      </c>
      <c r="AH246">
        <f>P246&gt;0</f>
        <v/>
      </c>
    </row>
    <row r="247">
      <c r="A247" s="14" t="n">
        <v>45199</v>
      </c>
      <c r="B247" t="n">
        <v>17658</v>
      </c>
      <c r="C247" t="inlineStr">
        <is>
          <t>NORWAY SAVINGS BANK</t>
        </is>
      </c>
      <c r="D247" t="inlineStr">
        <is>
          <t>ME</t>
        </is>
      </c>
      <c r="E247" t="n">
        <v>1854542</v>
      </c>
      <c r="F247" t="n">
        <v>1539926</v>
      </c>
      <c r="G247" t="n">
        <v>184915</v>
      </c>
      <c r="H247" s="16" t="n">
        <v>0.6557566406121156</v>
      </c>
      <c r="I247" s="16" t="n">
        <v>6.22</v>
      </c>
      <c r="J247" s="16" t="n">
        <v>3.393842660258428</v>
      </c>
      <c r="K247" s="16" t="n">
        <v>1361</v>
      </c>
      <c r="L247" s="16" t="n">
        <v>-125</v>
      </c>
      <c r="M247" s="16" t="n">
        <v>0.105316836532948</v>
      </c>
      <c r="N247" s="16" t="n">
        <v>2709</v>
      </c>
      <c r="O247" s="16" t="n">
        <v>0</v>
      </c>
      <c r="P247" s="16" t="n">
        <v>0</v>
      </c>
      <c r="Q247" t="n">
        <v>1292291</v>
      </c>
      <c r="R247" t="n">
        <v>1284040</v>
      </c>
      <c r="S247" t="n">
        <v>1103288</v>
      </c>
      <c r="T247" t="n">
        <v>95704</v>
      </c>
      <c r="U247" t="n">
        <v>80475</v>
      </c>
      <c r="V247" t="n">
        <v>0.6384784851090041</v>
      </c>
      <c r="W247" t="n">
        <v>0.06</v>
      </c>
      <c r="X247" s="16">
        <f>IFERROR(K247/E247*100,"")</f>
        <v/>
      </c>
      <c r="Y247" s="16">
        <f>IFERROR((N247+O247)/E247*100,"")</f>
        <v/>
      </c>
      <c r="Z247" s="16">
        <f>IFERROR(R247/F247*100,"")</f>
        <v/>
      </c>
      <c r="AA247" s="16">
        <f>IFERROR(R247/E247*100,"")</f>
        <v/>
      </c>
      <c r="AB247" s="16">
        <f>IFERROR(S247/Q247*100,"")</f>
        <v/>
      </c>
      <c r="AC247" s="16">
        <f>IFERROR(T247/Q247*100,"")</f>
        <v/>
      </c>
      <c r="AD247" s="16">
        <f>IFERROR(U247/Q247*100,"")</f>
        <v/>
      </c>
      <c r="AE247" s="18">
        <f>IFERROR(E247/E243-1,"")</f>
        <v/>
      </c>
      <c r="AF247" s="18">
        <f>IFERROR(R247/R243-1,"")</f>
        <v/>
      </c>
      <c r="AG247" s="18">
        <f>IFERROR(F247/F243-1,"")</f>
        <v/>
      </c>
      <c r="AH247">
        <f>P247&gt;0</f>
        <v/>
      </c>
    </row>
    <row r="248">
      <c r="A248" s="14" t="n">
        <v>45291</v>
      </c>
      <c r="B248" t="n">
        <v>17658</v>
      </c>
      <c r="C248" t="inlineStr">
        <is>
          <t>NORWAY SAVINGS BANK</t>
        </is>
      </c>
      <c r="D248" t="inlineStr">
        <is>
          <t>ME</t>
        </is>
      </c>
      <c r="E248" t="n">
        <v>1865564</v>
      </c>
      <c r="F248" t="n">
        <v>1489308</v>
      </c>
      <c r="G248" t="n">
        <v>208565</v>
      </c>
      <c r="H248" s="16" t="n">
        <v>0.7679763876697707</v>
      </c>
      <c r="I248" s="16" t="n">
        <v>7.19</v>
      </c>
      <c r="J248" s="16" t="n">
        <v>3.364836899608049</v>
      </c>
      <c r="K248" s="16" t="n">
        <v>8793</v>
      </c>
      <c r="L248" s="16" t="n">
        <v>-127</v>
      </c>
      <c r="M248" s="16" t="n">
        <v>0.6737017278116302</v>
      </c>
      <c r="N248" s="16" t="n">
        <v>3070</v>
      </c>
      <c r="O248" s="16" t="n">
        <v>0</v>
      </c>
      <c r="P248" s="16" t="n">
        <v>0</v>
      </c>
      <c r="Q248" t="n">
        <v>1305177</v>
      </c>
      <c r="R248" t="n">
        <v>1295980</v>
      </c>
      <c r="S248" t="n">
        <v>1111057</v>
      </c>
      <c r="T248" t="n">
        <v>101314</v>
      </c>
      <c r="U248" t="n">
        <v>79258</v>
      </c>
      <c r="V248" t="n">
        <v>0.7046553839057844</v>
      </c>
      <c r="W248" t="n">
        <v>0.09</v>
      </c>
      <c r="X248" s="16">
        <f>IFERROR(K248/E248*100,"")</f>
        <v/>
      </c>
      <c r="Y248" s="16">
        <f>IFERROR((N248+O248)/E248*100,"")</f>
        <v/>
      </c>
      <c r="Z248" s="16">
        <f>IFERROR(R248/F248*100,"")</f>
        <v/>
      </c>
      <c r="AA248" s="16">
        <f>IFERROR(R248/E248*100,"")</f>
        <v/>
      </c>
      <c r="AB248" s="16">
        <f>IFERROR(S248/Q248*100,"")</f>
        <v/>
      </c>
      <c r="AC248" s="16">
        <f>IFERROR(T248/Q248*100,"")</f>
        <v/>
      </c>
      <c r="AD248" s="16">
        <f>IFERROR(U248/Q248*100,"")</f>
        <v/>
      </c>
      <c r="AE248" s="18">
        <f>IFERROR(E248/E244-1,"")</f>
        <v/>
      </c>
      <c r="AF248" s="18">
        <f>IFERROR(R248/R244-1,"")</f>
        <v/>
      </c>
      <c r="AG248" s="18">
        <f>IFERROR(F248/F244-1,"")</f>
        <v/>
      </c>
      <c r="AH248">
        <f>P248&gt;0</f>
        <v/>
      </c>
    </row>
    <row r="249">
      <c r="A249" s="14" t="n">
        <v>45382</v>
      </c>
      <c r="B249" t="n">
        <v>17658</v>
      </c>
      <c r="C249" t="inlineStr">
        <is>
          <t>NORWAY SAVINGS BANK</t>
        </is>
      </c>
      <c r="D249" t="inlineStr">
        <is>
          <t>ME</t>
        </is>
      </c>
      <c r="E249" t="n">
        <v>1866220</v>
      </c>
      <c r="F249" t="n">
        <v>1503369</v>
      </c>
      <c r="G249" t="n">
        <v>208139</v>
      </c>
      <c r="H249" s="16" t="n">
        <v>0.9582548186068648</v>
      </c>
      <c r="I249" s="16" t="n">
        <v>8.58</v>
      </c>
      <c r="J249" s="16" t="n">
        <v>3.037809003954873</v>
      </c>
      <c r="K249" s="16" t="n">
        <v>9256</v>
      </c>
      <c r="L249" s="16" t="n">
        <v>-125</v>
      </c>
      <c r="M249" s="16" t="n">
        <v>0.7337685763473988</v>
      </c>
      <c r="N249" s="16" t="n">
        <v>2838</v>
      </c>
      <c r="O249" s="16" t="n">
        <v>385</v>
      </c>
      <c r="P249" s="16" t="n">
        <v>0</v>
      </c>
      <c r="Q249" t="n">
        <v>1313902</v>
      </c>
      <c r="R249" t="n">
        <v>1304914</v>
      </c>
      <c r="S249" t="n">
        <v>1122390</v>
      </c>
      <c r="T249" t="n">
        <v>99126</v>
      </c>
      <c r="U249" t="n">
        <v>78729</v>
      </c>
      <c r="V249" t="n">
        <v>0.6840692837060908</v>
      </c>
      <c r="W249" t="n">
        <v>-0.01</v>
      </c>
      <c r="X249" s="16">
        <f>IFERROR(K249/E249*100,"")</f>
        <v/>
      </c>
      <c r="Y249" s="16">
        <f>IFERROR((N249+O249)/E249*100,"")</f>
        <v/>
      </c>
      <c r="Z249" s="16">
        <f>IFERROR(R249/F249*100,"")</f>
        <v/>
      </c>
      <c r="AA249" s="16">
        <f>IFERROR(R249/E249*100,"")</f>
        <v/>
      </c>
      <c r="AB249" s="16">
        <f>IFERROR(S249/Q249*100,"")</f>
        <v/>
      </c>
      <c r="AC249" s="16">
        <f>IFERROR(T249/Q249*100,"")</f>
        <v/>
      </c>
      <c r="AD249" s="16">
        <f>IFERROR(U249/Q249*100,"")</f>
        <v/>
      </c>
      <c r="AE249" s="18">
        <f>IFERROR(E249/E245-1,"")</f>
        <v/>
      </c>
      <c r="AF249" s="18">
        <f>IFERROR(R249/R245-1,"")</f>
        <v/>
      </c>
      <c r="AG249" s="18">
        <f>IFERROR(F249/F245-1,"")</f>
        <v/>
      </c>
      <c r="AH249">
        <f>P249&gt;0</f>
        <v/>
      </c>
    </row>
    <row r="250">
      <c r="A250" s="14" t="n">
        <v>45473</v>
      </c>
      <c r="B250" t="n">
        <v>17658</v>
      </c>
      <c r="C250" t="inlineStr">
        <is>
          <t>NORWAY SAVINGS BANK</t>
        </is>
      </c>
      <c r="D250" t="inlineStr">
        <is>
          <t>ME</t>
        </is>
      </c>
      <c r="E250" t="n">
        <v>1912692</v>
      </c>
      <c r="F250" t="n">
        <v>1503955</v>
      </c>
      <c r="G250" t="n">
        <v>211101</v>
      </c>
      <c r="H250" s="16" t="n">
        <v>0.7773617958513775</v>
      </c>
      <c r="I250" s="16" t="n">
        <v>6.99</v>
      </c>
      <c r="J250" s="16" t="n">
        <v>3.041416283728054</v>
      </c>
      <c r="K250" s="16" t="n">
        <v>10806</v>
      </c>
      <c r="L250" s="16" t="n">
        <v>-110</v>
      </c>
      <c r="M250" s="16" t="n">
        <v>0.7949422250889084</v>
      </c>
      <c r="N250" s="16" t="n">
        <v>2245</v>
      </c>
      <c r="O250" s="16" t="n">
        <v>15</v>
      </c>
      <c r="P250" s="16" t="n">
        <v>0</v>
      </c>
      <c r="Q250" t="n">
        <v>1361231</v>
      </c>
      <c r="R250" t="n">
        <v>1351693</v>
      </c>
      <c r="S250" t="n">
        <v>1158750</v>
      </c>
      <c r="T250" t="n">
        <v>108864</v>
      </c>
      <c r="U250" t="n">
        <v>79908</v>
      </c>
      <c r="V250" t="n">
        <v>0.7006893025504121</v>
      </c>
      <c r="W250" t="n">
        <v>0.06</v>
      </c>
      <c r="X250" s="16">
        <f>IFERROR(K250/E250*100,"")</f>
        <v/>
      </c>
      <c r="Y250" s="16">
        <f>IFERROR((N250+O250)/E250*100,"")</f>
        <v/>
      </c>
      <c r="Z250" s="16">
        <f>IFERROR(R250/F250*100,"")</f>
        <v/>
      </c>
      <c r="AA250" s="16">
        <f>IFERROR(R250/E250*100,"")</f>
        <v/>
      </c>
      <c r="AB250" s="16">
        <f>IFERROR(S250/Q250*100,"")</f>
        <v/>
      </c>
      <c r="AC250" s="16">
        <f>IFERROR(T250/Q250*100,"")</f>
        <v/>
      </c>
      <c r="AD250" s="16">
        <f>IFERROR(U250/Q250*100,"")</f>
        <v/>
      </c>
      <c r="AE250" s="18">
        <f>IFERROR(E250/E246-1,"")</f>
        <v/>
      </c>
      <c r="AF250" s="18">
        <f>IFERROR(R250/R246-1,"")</f>
        <v/>
      </c>
      <c r="AG250" s="18">
        <f>IFERROR(F250/F246-1,"")</f>
        <v/>
      </c>
      <c r="AH250">
        <f>P250&gt;0</f>
        <v/>
      </c>
    </row>
    <row r="251">
      <c r="A251" s="14" t="n">
        <v>45565</v>
      </c>
      <c r="B251" t="n">
        <v>17658</v>
      </c>
      <c r="C251" t="inlineStr">
        <is>
          <t>NORWAY SAVINGS BANK</t>
        </is>
      </c>
      <c r="D251" t="inlineStr">
        <is>
          <t>ME</t>
        </is>
      </c>
      <c r="E251" t="n">
        <v>1980951</v>
      </c>
      <c r="F251" t="n">
        <v>1559068</v>
      </c>
      <c r="G251" t="n">
        <v>230579</v>
      </c>
      <c r="H251" s="16" t="n">
        <v>0.9604118221838592</v>
      </c>
      <c r="I251" s="16" t="n">
        <v>8.529999999999999</v>
      </c>
      <c r="J251" s="16" t="n">
        <v>3.069135746402865</v>
      </c>
      <c r="K251" s="16" t="n">
        <v>9425</v>
      </c>
      <c r="L251" s="16" t="n">
        <v>-16</v>
      </c>
      <c r="M251" s="16" t="n">
        <v>0.6745619641526679</v>
      </c>
      <c r="N251" s="16" t="n">
        <v>2259</v>
      </c>
      <c r="O251" s="16" t="n">
        <v>0</v>
      </c>
      <c r="P251" s="16" t="n">
        <v>0</v>
      </c>
      <c r="Q251" t="n">
        <v>1397203</v>
      </c>
      <c r="R251" t="n">
        <v>1387972</v>
      </c>
      <c r="S251" t="n">
        <v>1195334</v>
      </c>
      <c r="T251" t="n">
        <v>108891</v>
      </c>
      <c r="U251" t="n">
        <v>80000</v>
      </c>
      <c r="V251" t="n">
        <v>0.6606770812831063</v>
      </c>
      <c r="W251" t="n">
        <v>0.03</v>
      </c>
      <c r="X251" s="16">
        <f>IFERROR(K251/E251*100,"")</f>
        <v/>
      </c>
      <c r="Y251" s="16">
        <f>IFERROR((N251+O251)/E251*100,"")</f>
        <v/>
      </c>
      <c r="Z251" s="16">
        <f>IFERROR(R251/F251*100,"")</f>
        <v/>
      </c>
      <c r="AA251" s="16">
        <f>IFERROR(R251/E251*100,"")</f>
        <v/>
      </c>
      <c r="AB251" s="16">
        <f>IFERROR(S251/Q251*100,"")</f>
        <v/>
      </c>
      <c r="AC251" s="16">
        <f>IFERROR(T251/Q251*100,"")</f>
        <v/>
      </c>
      <c r="AD251" s="16">
        <f>IFERROR(U251/Q251*100,"")</f>
        <v/>
      </c>
      <c r="AE251" s="18">
        <f>IFERROR(E251/E247-1,"")</f>
        <v/>
      </c>
      <c r="AF251" s="18">
        <f>IFERROR(R251/R247-1,"")</f>
        <v/>
      </c>
      <c r="AG251" s="18">
        <f>IFERROR(F251/F247-1,"")</f>
        <v/>
      </c>
      <c r="AH251">
        <f>P251&gt;0</f>
        <v/>
      </c>
    </row>
    <row r="252">
      <c r="A252" s="14" t="n">
        <v>45657</v>
      </c>
      <c r="B252" t="n">
        <v>17658</v>
      </c>
      <c r="C252" t="inlineStr">
        <is>
          <t>NORWAY SAVINGS BANK</t>
        </is>
      </c>
      <c r="D252" t="inlineStr">
        <is>
          <t>ME</t>
        </is>
      </c>
      <c r="E252" t="n">
        <v>1989287</v>
      </c>
      <c r="F252" t="n">
        <v>1532228</v>
      </c>
      <c r="G252" t="n">
        <v>221439</v>
      </c>
      <c r="H252" s="16" t="n">
        <v>0.895346445042463</v>
      </c>
      <c r="I252" s="16" t="n">
        <v>7.97</v>
      </c>
      <c r="J252" s="16" t="n">
        <v>3.11192825873285</v>
      </c>
      <c r="K252" s="16" t="n">
        <v>9730</v>
      </c>
      <c r="L252" s="16" t="n">
        <v>-60</v>
      </c>
      <c r="M252" s="16" t="n">
        <v>0.6788875732874136</v>
      </c>
      <c r="N252" s="16" t="n">
        <v>3180</v>
      </c>
      <c r="O252" s="16" t="n">
        <v>0</v>
      </c>
      <c r="P252" s="16" t="n">
        <v>0</v>
      </c>
      <c r="Q252" t="n">
        <v>1433227</v>
      </c>
      <c r="R252" t="n">
        <v>1423547</v>
      </c>
      <c r="S252" t="n">
        <v>1227698</v>
      </c>
      <c r="T252" t="n">
        <v>113712</v>
      </c>
      <c r="U252" t="n">
        <v>78309</v>
      </c>
      <c r="V252" t="n">
        <v>0.6753989423866561</v>
      </c>
      <c r="W252" t="n">
        <v>0.04</v>
      </c>
      <c r="X252" s="16">
        <f>IFERROR(K252/E252*100,"")</f>
        <v/>
      </c>
      <c r="Y252" s="16">
        <f>IFERROR((N252+O252)/E252*100,"")</f>
        <v/>
      </c>
      <c r="Z252" s="16">
        <f>IFERROR(R252/F252*100,"")</f>
        <v/>
      </c>
      <c r="AA252" s="16">
        <f>IFERROR(R252/E252*100,"")</f>
        <v/>
      </c>
      <c r="AB252" s="16">
        <f>IFERROR(S252/Q252*100,"")</f>
        <v/>
      </c>
      <c r="AC252" s="16">
        <f>IFERROR(T252/Q252*100,"")</f>
        <v/>
      </c>
      <c r="AD252" s="16">
        <f>IFERROR(U252/Q252*100,"")</f>
        <v/>
      </c>
      <c r="AE252" s="18">
        <f>IFERROR(E252/E248-1,"")</f>
        <v/>
      </c>
      <c r="AF252" s="18">
        <f>IFERROR(R252/R248-1,"")</f>
        <v/>
      </c>
      <c r="AG252" s="18">
        <f>IFERROR(F252/F248-1,"")</f>
        <v/>
      </c>
      <c r="AH252">
        <f>P252&gt;0</f>
        <v/>
      </c>
    </row>
    <row r="253">
      <c r="A253" s="14" t="n">
        <v>45747</v>
      </c>
      <c r="B253" t="n">
        <v>17658</v>
      </c>
      <c r="C253" t="inlineStr">
        <is>
          <t>NORWAY SAVINGS BANK</t>
        </is>
      </c>
      <c r="D253" t="inlineStr">
        <is>
          <t>ME</t>
        </is>
      </c>
      <c r="E253" t="n">
        <v>2028519</v>
      </c>
      <c r="F253" t="n">
        <v>1589312</v>
      </c>
      <c r="G253" t="n">
        <v>229958</v>
      </c>
      <c r="H253" s="16" t="n">
        <v>0.3369002883663372</v>
      </c>
      <c r="I253" s="16" t="n">
        <v>3</v>
      </c>
      <c r="J253" s="16" t="n">
        <v>3.171952945617794</v>
      </c>
      <c r="K253" s="16" t="n">
        <v>10604</v>
      </c>
      <c r="L253" s="16" t="n">
        <v>102</v>
      </c>
      <c r="M253" s="16" t="n">
        <v>0.7342272511613024</v>
      </c>
      <c r="N253" s="16" t="n">
        <v>8257</v>
      </c>
      <c r="O253" s="16" t="n">
        <v>43</v>
      </c>
      <c r="P253" s="16" t="n">
        <v>0</v>
      </c>
      <c r="Q253" t="n">
        <v>1450096</v>
      </c>
      <c r="R253" t="n">
        <v>1440031</v>
      </c>
      <c r="S253" t="n">
        <v>1246975</v>
      </c>
      <c r="T253" t="n">
        <v>107150</v>
      </c>
      <c r="U253" t="n">
        <v>79935</v>
      </c>
      <c r="V253" t="n">
        <v>0.6940919773587404</v>
      </c>
      <c r="W253" t="n">
        <v>0.12</v>
      </c>
      <c r="X253" s="16">
        <f>IFERROR(K253/E253*100,"")</f>
        <v/>
      </c>
      <c r="Y253" s="16">
        <f>IFERROR((N253+O253)/E253*100,"")</f>
        <v/>
      </c>
      <c r="Z253" s="16">
        <f>IFERROR(R253/F253*100,"")</f>
        <v/>
      </c>
      <c r="AA253" s="16">
        <f>IFERROR(R253/E253*100,"")</f>
        <v/>
      </c>
      <c r="AB253" s="16">
        <f>IFERROR(S253/Q253*100,"")</f>
        <v/>
      </c>
      <c r="AC253" s="16">
        <f>IFERROR(T253/Q253*100,"")</f>
        <v/>
      </c>
      <c r="AD253" s="16">
        <f>IFERROR(U253/Q253*100,"")</f>
        <v/>
      </c>
      <c r="AE253" s="18">
        <f>IFERROR(E253/E249-1,"")</f>
        <v/>
      </c>
      <c r="AF253" s="18">
        <f>IFERROR(R253/R249-1,"")</f>
        <v/>
      </c>
      <c r="AG253" s="18">
        <f>IFERROR(F253/F249-1,"")</f>
        <v/>
      </c>
      <c r="AH253">
        <f>P253&gt;0</f>
        <v/>
      </c>
    </row>
    <row r="254">
      <c r="A254" s="14" t="n">
        <v>45838</v>
      </c>
      <c r="B254" t="n">
        <v>17658</v>
      </c>
      <c r="C254" t="inlineStr">
        <is>
          <t>NORWAY SAVINGS BANK</t>
        </is>
      </c>
      <c r="D254" t="inlineStr">
        <is>
          <t>ME</t>
        </is>
      </c>
      <c r="E254" t="n">
        <v>2059300</v>
      </c>
      <c r="F254" t="n">
        <v>1592193</v>
      </c>
      <c r="G254" t="n">
        <v>238741</v>
      </c>
      <c r="H254" s="16" t="n">
        <v>0.8592576795599747</v>
      </c>
      <c r="I254" s="16" t="n">
        <v>7.57</v>
      </c>
      <c r="J254" s="16" t="n">
        <v>3.240680348253473</v>
      </c>
      <c r="K254" s="16" t="n">
        <v>10168</v>
      </c>
      <c r="L254" s="16" t="n">
        <v>146</v>
      </c>
      <c r="M254" s="16" t="n">
        <v>0.690352848520236</v>
      </c>
      <c r="N254" s="16" t="n">
        <v>2622</v>
      </c>
      <c r="O254" s="16" t="n">
        <v>0</v>
      </c>
      <c r="P254" s="16" t="n">
        <v>0</v>
      </c>
      <c r="Q254" t="n">
        <v>1472870</v>
      </c>
      <c r="R254" t="n">
        <v>1462787</v>
      </c>
      <c r="S254" t="n">
        <v>1263229</v>
      </c>
      <c r="T254" t="n">
        <v>107836</v>
      </c>
      <c r="U254" t="n">
        <v>85638</v>
      </c>
      <c r="V254" t="n">
        <v>0.6845818028746598</v>
      </c>
      <c r="W254" t="n">
        <v>0.07000000000000001</v>
      </c>
      <c r="X254" s="16">
        <f>IFERROR(K254/E254*100,"")</f>
        <v/>
      </c>
      <c r="Y254" s="16">
        <f>IFERROR((N254+O254)/E254*100,"")</f>
        <v/>
      </c>
      <c r="Z254" s="16">
        <f>IFERROR(R254/F254*100,"")</f>
        <v/>
      </c>
      <c r="AA254" s="16">
        <f>IFERROR(R254/E254*100,"")</f>
        <v/>
      </c>
      <c r="AB254" s="16">
        <f>IFERROR(S254/Q254*100,"")</f>
        <v/>
      </c>
      <c r="AC254" s="16">
        <f>IFERROR(T254/Q254*100,"")</f>
        <v/>
      </c>
      <c r="AD254" s="16">
        <f>IFERROR(U254/Q254*100,"")</f>
        <v/>
      </c>
      <c r="AE254" s="18">
        <f>IFERROR(E254/E250-1,"")</f>
        <v/>
      </c>
      <c r="AF254" s="18">
        <f>IFERROR(R254/R250-1,"")</f>
        <v/>
      </c>
      <c r="AG254" s="18">
        <f>IFERROR(F254/F250-1,"")</f>
        <v/>
      </c>
      <c r="AH254">
        <f>P254&gt;0</f>
        <v/>
      </c>
    </row>
    <row r="255">
      <c r="A255" s="14" t="n">
        <v>44651</v>
      </c>
      <c r="B255" t="n">
        <v>17741</v>
      </c>
      <c r="C255" t="inlineStr">
        <is>
          <t>MAINE COMMUNITY BANK</t>
        </is>
      </c>
      <c r="D255" t="inlineStr">
        <is>
          <t>ME</t>
        </is>
      </c>
      <c r="E255" t="n">
        <v>1002149</v>
      </c>
      <c r="F255" t="n">
        <v>846927</v>
      </c>
      <c r="G255" t="n">
        <v>129919</v>
      </c>
      <c r="H255" s="16" t="n">
        <v>0.5824623665746478</v>
      </c>
      <c r="I255" s="16" t="n">
        <v>4.49</v>
      </c>
      <c r="J255" s="16" t="n">
        <v>3.256669405038815</v>
      </c>
      <c r="K255" s="16" t="n">
        <v>1717</v>
      </c>
      <c r="L255" s="16" t="n">
        <v>4</v>
      </c>
      <c r="M255" s="16" t="n">
        <v>0.2154964136225863</v>
      </c>
      <c r="N255" s="16" t="n">
        <v>1992</v>
      </c>
      <c r="O255" s="16" t="n">
        <v>0</v>
      </c>
      <c r="P255" s="16" t="n">
        <v>0</v>
      </c>
      <c r="Q255" t="n">
        <v>796765</v>
      </c>
      <c r="R255" t="n">
        <v>789023</v>
      </c>
      <c r="S255" t="n">
        <v>747285</v>
      </c>
      <c r="T255" t="n">
        <v>42174</v>
      </c>
      <c r="U255" t="n">
        <v>3486</v>
      </c>
      <c r="V255" t="n">
        <v>0.9716792278777304</v>
      </c>
      <c r="W255" t="n">
        <v>0.03</v>
      </c>
      <c r="X255" s="16">
        <f>IFERROR(K255/E255*100,"")</f>
        <v/>
      </c>
      <c r="Y255" s="16">
        <f>IFERROR((N255+O255)/E255*100,"")</f>
        <v/>
      </c>
      <c r="Z255" s="16">
        <f>IFERROR(R255/F255*100,"")</f>
        <v/>
      </c>
      <c r="AA255" s="16">
        <f>IFERROR(R255/E255*100,"")</f>
        <v/>
      </c>
      <c r="AB255" s="16">
        <f>IFERROR(S255/Q255*100,"")</f>
        <v/>
      </c>
      <c r="AC255" s="16">
        <f>IFERROR(T255/Q255*100,"")</f>
        <v/>
      </c>
      <c r="AD255" s="16">
        <f>IFERROR(U255/Q255*100,"")</f>
        <v/>
      </c>
      <c r="AE255" s="18" t="n"/>
      <c r="AF255" s="18" t="n"/>
      <c r="AG255" s="18" t="n"/>
      <c r="AH255">
        <f>P255&gt;0</f>
        <v/>
      </c>
    </row>
    <row r="256">
      <c r="A256" s="14" t="n">
        <v>44742</v>
      </c>
      <c r="B256" t="n">
        <v>17741</v>
      </c>
      <c r="C256" t="inlineStr">
        <is>
          <t>MAINE COMMUNITY BANK</t>
        </is>
      </c>
      <c r="D256" t="inlineStr">
        <is>
          <t>ME</t>
        </is>
      </c>
      <c r="E256" t="n">
        <v>999824</v>
      </c>
      <c r="F256" t="n">
        <v>843050</v>
      </c>
      <c r="G256" t="n">
        <v>128637</v>
      </c>
      <c r="H256" s="16" t="n">
        <v>0.5589225656054216</v>
      </c>
      <c r="I256" s="16" t="n">
        <v>4.32</v>
      </c>
      <c r="J256" s="16" t="n">
        <v>3.358459239113185</v>
      </c>
      <c r="K256" s="16" t="n">
        <v>1947</v>
      </c>
      <c r="L256" s="16" t="n">
        <v>-1</v>
      </c>
      <c r="M256" s="16" t="n">
        <v>0.2434778693998214</v>
      </c>
      <c r="N256" s="16" t="n">
        <v>1852</v>
      </c>
      <c r="O256" s="16" t="n">
        <v>0</v>
      </c>
      <c r="P256" s="16" t="n">
        <v>0</v>
      </c>
      <c r="Q256" t="n">
        <v>799662</v>
      </c>
      <c r="R256" t="n">
        <v>791890</v>
      </c>
      <c r="S256" t="n">
        <v>750035</v>
      </c>
      <c r="T256" t="n">
        <v>42508</v>
      </c>
      <c r="U256" t="n">
        <v>3332</v>
      </c>
      <c r="V256" t="n">
        <v>0.9719106322421224</v>
      </c>
      <c r="W256" t="n">
        <v>0.02</v>
      </c>
      <c r="X256" s="16">
        <f>IFERROR(K256/E256*100,"")</f>
        <v/>
      </c>
      <c r="Y256" s="16">
        <f>IFERROR((N256+O256)/E256*100,"")</f>
        <v/>
      </c>
      <c r="Z256" s="16">
        <f>IFERROR(R256/F256*100,"")</f>
        <v/>
      </c>
      <c r="AA256" s="16">
        <f>IFERROR(R256/E256*100,"")</f>
        <v/>
      </c>
      <c r="AB256" s="16">
        <f>IFERROR(S256/Q256*100,"")</f>
        <v/>
      </c>
      <c r="AC256" s="16">
        <f>IFERROR(T256/Q256*100,"")</f>
        <v/>
      </c>
      <c r="AD256" s="16">
        <f>IFERROR(U256/Q256*100,"")</f>
        <v/>
      </c>
      <c r="AE256" s="18" t="n"/>
      <c r="AF256" s="18" t="n"/>
      <c r="AG256" s="18" t="n"/>
      <c r="AH256">
        <f>P256&gt;0</f>
        <v/>
      </c>
    </row>
    <row r="257">
      <c r="A257" s="14" t="n">
        <v>44834</v>
      </c>
      <c r="B257" t="n">
        <v>17741</v>
      </c>
      <c r="C257" t="inlineStr">
        <is>
          <t>MAINE COMMUNITY BANK</t>
        </is>
      </c>
      <c r="D257" t="inlineStr">
        <is>
          <t>ME</t>
        </is>
      </c>
      <c r="E257" t="n">
        <v>1011112</v>
      </c>
      <c r="F257" t="n">
        <v>854564</v>
      </c>
      <c r="G257" t="n">
        <v>127616</v>
      </c>
      <c r="H257" s="16" t="n">
        <v>0.7591149089840015</v>
      </c>
      <c r="I257" s="16" t="n">
        <v>5.9</v>
      </c>
      <c r="J257" s="16" t="n">
        <v>3.459474894557087</v>
      </c>
      <c r="K257" s="16" t="n">
        <v>1945</v>
      </c>
      <c r="L257" s="16" t="n">
        <v>-6</v>
      </c>
      <c r="M257" s="16" t="n">
        <v>0.2333743288238293</v>
      </c>
      <c r="N257" s="16" t="n">
        <v>2126</v>
      </c>
      <c r="O257" s="16" t="n">
        <v>0</v>
      </c>
      <c r="P257" s="16" t="n">
        <v>0</v>
      </c>
      <c r="Q257" t="n">
        <v>833425</v>
      </c>
      <c r="R257" t="n">
        <v>825591</v>
      </c>
      <c r="S257" t="n">
        <v>783810</v>
      </c>
      <c r="T257" t="n">
        <v>42271</v>
      </c>
      <c r="U257" t="n">
        <v>3280</v>
      </c>
      <c r="V257" t="n">
        <v>0.939976602573717</v>
      </c>
      <c r="W257" t="n">
        <v>0.02</v>
      </c>
      <c r="X257" s="16">
        <f>IFERROR(K257/E257*100,"")</f>
        <v/>
      </c>
      <c r="Y257" s="16">
        <f>IFERROR((N257+O257)/E257*100,"")</f>
        <v/>
      </c>
      <c r="Z257" s="16">
        <f>IFERROR(R257/F257*100,"")</f>
        <v/>
      </c>
      <c r="AA257" s="16">
        <f>IFERROR(R257/E257*100,"")</f>
        <v/>
      </c>
      <c r="AB257" s="16">
        <f>IFERROR(S257/Q257*100,"")</f>
        <v/>
      </c>
      <c r="AC257" s="16">
        <f>IFERROR(T257/Q257*100,"")</f>
        <v/>
      </c>
      <c r="AD257" s="16">
        <f>IFERROR(U257/Q257*100,"")</f>
        <v/>
      </c>
      <c r="AE257" s="18" t="n"/>
      <c r="AF257" s="18" t="n"/>
      <c r="AG257" s="18" t="n"/>
      <c r="AH257">
        <f>P257&gt;0</f>
        <v/>
      </c>
    </row>
    <row r="258">
      <c r="A258" s="14" t="n">
        <v>44926</v>
      </c>
      <c r="B258" t="n">
        <v>17741</v>
      </c>
      <c r="C258" t="inlineStr">
        <is>
          <t>MAINE COMMUNITY BANK</t>
        </is>
      </c>
      <c r="D258" t="inlineStr">
        <is>
          <t>ME</t>
        </is>
      </c>
      <c r="E258" t="n">
        <v>1004289</v>
      </c>
      <c r="F258" t="n">
        <v>828427</v>
      </c>
      <c r="G258" t="n">
        <v>130201</v>
      </c>
      <c r="H258" s="16" t="n">
        <v>0.8241769147103423</v>
      </c>
      <c r="I258" s="16" t="n">
        <v>6.4</v>
      </c>
      <c r="J258" s="16" t="n">
        <v>3.559478990392301</v>
      </c>
      <c r="K258" s="16" t="n">
        <v>1820</v>
      </c>
      <c r="L258" s="16" t="n">
        <v>-9</v>
      </c>
      <c r="M258" s="16" t="n">
        <v>0.2145151309779886</v>
      </c>
      <c r="N258" s="16" t="n">
        <v>2400</v>
      </c>
      <c r="O258" s="16" t="n">
        <v>0</v>
      </c>
      <c r="P258" s="16" t="n">
        <v>0</v>
      </c>
      <c r="Q258" t="n">
        <v>848425</v>
      </c>
      <c r="R258" t="n">
        <v>840513</v>
      </c>
      <c r="S258" t="n">
        <v>795357</v>
      </c>
      <c r="T258" t="n">
        <v>45845</v>
      </c>
      <c r="U258" t="n">
        <v>3546</v>
      </c>
      <c r="V258" t="n">
        <v>0.9325514924713439</v>
      </c>
      <c r="W258" t="n">
        <v>0.02</v>
      </c>
      <c r="X258" s="16">
        <f>IFERROR(K258/E258*100,"")</f>
        <v/>
      </c>
      <c r="Y258" s="16">
        <f>IFERROR((N258+O258)/E258*100,"")</f>
        <v/>
      </c>
      <c r="Z258" s="16">
        <f>IFERROR(R258/F258*100,"")</f>
        <v/>
      </c>
      <c r="AA258" s="16">
        <f>IFERROR(R258/E258*100,"")</f>
        <v/>
      </c>
      <c r="AB258" s="16">
        <f>IFERROR(S258/Q258*100,"")</f>
        <v/>
      </c>
      <c r="AC258" s="16">
        <f>IFERROR(T258/Q258*100,"")</f>
        <v/>
      </c>
      <c r="AD258" s="16">
        <f>IFERROR(U258/Q258*100,"")</f>
        <v/>
      </c>
      <c r="AE258" s="18" t="n"/>
      <c r="AF258" s="18" t="n"/>
      <c r="AG258" s="18" t="n"/>
      <c r="AH258">
        <f>P258&gt;0</f>
        <v/>
      </c>
    </row>
    <row r="259">
      <c r="A259" s="14" t="n">
        <v>45016</v>
      </c>
      <c r="B259" t="n">
        <v>17741</v>
      </c>
      <c r="C259" t="inlineStr">
        <is>
          <t>MAINE COMMUNITY BANK</t>
        </is>
      </c>
      <c r="D259" t="inlineStr">
        <is>
          <t>ME</t>
        </is>
      </c>
      <c r="E259" t="n">
        <v>1010266</v>
      </c>
      <c r="F259" t="n">
        <v>833199</v>
      </c>
      <c r="G259" t="n">
        <v>132521</v>
      </c>
      <c r="H259" s="16" t="n">
        <v>0.7838952026626227</v>
      </c>
      <c r="I259" s="16" t="n">
        <v>6.01</v>
      </c>
      <c r="J259" s="16" t="n">
        <v>3.629761747666217</v>
      </c>
      <c r="K259" s="16" t="n">
        <v>1676</v>
      </c>
      <c r="L259" s="16" t="n">
        <v>-2</v>
      </c>
      <c r="M259" s="16" t="n">
        <v>0.1989234868581127</v>
      </c>
      <c r="N259" s="16" t="n">
        <v>2512</v>
      </c>
      <c r="O259" s="16" t="n">
        <v>0</v>
      </c>
      <c r="P259" s="16" t="n">
        <v>0</v>
      </c>
      <c r="Q259" t="n">
        <v>842535</v>
      </c>
      <c r="R259" t="n">
        <v>834361</v>
      </c>
      <c r="S259" t="n">
        <v>791960</v>
      </c>
      <c r="T259" t="n">
        <v>43923</v>
      </c>
      <c r="U259" t="n">
        <v>3582</v>
      </c>
      <c r="V259" t="n">
        <v>0.970167411442848</v>
      </c>
      <c r="W259" t="n">
        <v>0.04</v>
      </c>
      <c r="X259" s="16">
        <f>IFERROR(K259/E259*100,"")</f>
        <v/>
      </c>
      <c r="Y259" s="16">
        <f>IFERROR((N259+O259)/E259*100,"")</f>
        <v/>
      </c>
      <c r="Z259" s="16">
        <f>IFERROR(R259/F259*100,"")</f>
        <v/>
      </c>
      <c r="AA259" s="16">
        <f>IFERROR(R259/E259*100,"")</f>
        <v/>
      </c>
      <c r="AB259" s="16">
        <f>IFERROR(S259/Q259*100,"")</f>
        <v/>
      </c>
      <c r="AC259" s="16">
        <f>IFERROR(T259/Q259*100,"")</f>
        <v/>
      </c>
      <c r="AD259" s="16">
        <f>IFERROR(U259/Q259*100,"")</f>
        <v/>
      </c>
      <c r="AE259" s="18">
        <f>IFERROR(E259/E255-1,"")</f>
        <v/>
      </c>
      <c r="AF259" s="18">
        <f>IFERROR(R259/R255-1,"")</f>
        <v/>
      </c>
      <c r="AG259" s="18">
        <f>IFERROR(F259/F255-1,"")</f>
        <v/>
      </c>
      <c r="AH259">
        <f>P259&gt;0</f>
        <v/>
      </c>
    </row>
    <row r="260">
      <c r="A260" s="14" t="n">
        <v>45107</v>
      </c>
      <c r="B260" t="n">
        <v>17741</v>
      </c>
      <c r="C260" t="inlineStr">
        <is>
          <t>MAINE COMMUNITY BANK</t>
        </is>
      </c>
      <c r="D260" t="inlineStr">
        <is>
          <t>ME</t>
        </is>
      </c>
      <c r="E260" t="n">
        <v>1036036</v>
      </c>
      <c r="F260" t="n">
        <v>800487</v>
      </c>
      <c r="G260" t="n">
        <v>133406</v>
      </c>
      <c r="H260" s="16" t="n">
        <v>0.6919314978638565</v>
      </c>
      <c r="I260" s="16" t="n">
        <v>5.33</v>
      </c>
      <c r="J260" s="16" t="n">
        <v>3.425485519519323</v>
      </c>
      <c r="K260" s="16" t="n">
        <v>1987</v>
      </c>
      <c r="L260" s="16" t="n">
        <v>-3</v>
      </c>
      <c r="M260" s="16" t="n">
        <v>0.2263781209590593</v>
      </c>
      <c r="N260" s="16" t="n">
        <v>2554</v>
      </c>
      <c r="O260" s="16" t="n">
        <v>0</v>
      </c>
      <c r="P260" s="16" t="n">
        <v>0</v>
      </c>
      <c r="Q260" t="n">
        <v>877735</v>
      </c>
      <c r="R260" t="n">
        <v>869525</v>
      </c>
      <c r="S260" t="n">
        <v>820189</v>
      </c>
      <c r="T260" t="n">
        <v>50276</v>
      </c>
      <c r="U260" t="n">
        <v>4108</v>
      </c>
      <c r="V260" t="n">
        <v>0.9353620397956102</v>
      </c>
      <c r="W260" t="n">
        <v>0.03</v>
      </c>
      <c r="X260" s="16">
        <f>IFERROR(K260/E260*100,"")</f>
        <v/>
      </c>
      <c r="Y260" s="16">
        <f>IFERROR((N260+O260)/E260*100,"")</f>
        <v/>
      </c>
      <c r="Z260" s="16">
        <f>IFERROR(R260/F260*100,"")</f>
        <v/>
      </c>
      <c r="AA260" s="16">
        <f>IFERROR(R260/E260*100,"")</f>
        <v/>
      </c>
      <c r="AB260" s="16">
        <f>IFERROR(S260/Q260*100,"")</f>
        <v/>
      </c>
      <c r="AC260" s="16">
        <f>IFERROR(T260/Q260*100,"")</f>
        <v/>
      </c>
      <c r="AD260" s="16">
        <f>IFERROR(U260/Q260*100,"")</f>
        <v/>
      </c>
      <c r="AE260" s="18">
        <f>IFERROR(E260/E256-1,"")</f>
        <v/>
      </c>
      <c r="AF260" s="18">
        <f>IFERROR(R260/R256-1,"")</f>
        <v/>
      </c>
      <c r="AG260" s="18">
        <f>IFERROR(F260/F256-1,"")</f>
        <v/>
      </c>
      <c r="AH260">
        <f>P260&gt;0</f>
        <v/>
      </c>
    </row>
    <row r="261">
      <c r="A261" s="14" t="n">
        <v>45199</v>
      </c>
      <c r="B261" t="n">
        <v>17741</v>
      </c>
      <c r="C261" t="inlineStr">
        <is>
          <t>MAINE COMMUNITY BANK</t>
        </is>
      </c>
      <c r="D261" t="inlineStr">
        <is>
          <t>ME</t>
        </is>
      </c>
      <c r="E261" t="n">
        <v>1063414</v>
      </c>
      <c r="F261" t="n">
        <v>803860</v>
      </c>
      <c r="G261" t="n">
        <v>132027</v>
      </c>
      <c r="H261" s="16" t="n">
        <v>0.584654904405804</v>
      </c>
      <c r="I261" s="16" t="n">
        <v>4.55</v>
      </c>
      <c r="J261" s="16" t="n">
        <v>3.321345284685488</v>
      </c>
      <c r="K261" s="16" t="n">
        <v>2371</v>
      </c>
      <c r="L261" s="16" t="n">
        <v>-38</v>
      </c>
      <c r="M261" s="16" t="n">
        <v>0.2617457147556801</v>
      </c>
      <c r="N261" s="16" t="n">
        <v>3001</v>
      </c>
      <c r="O261" s="16" t="n">
        <v>0</v>
      </c>
      <c r="P261" s="16" t="n">
        <v>0</v>
      </c>
      <c r="Q261" t="n">
        <v>905841</v>
      </c>
      <c r="R261" t="n">
        <v>897519</v>
      </c>
      <c r="S261" t="n">
        <v>844883</v>
      </c>
      <c r="T261" t="n">
        <v>52698</v>
      </c>
      <c r="U261" t="n">
        <v>4222</v>
      </c>
      <c r="V261" t="n">
        <v>0.918704275915972</v>
      </c>
      <c r="W261" t="n">
        <v>0.03</v>
      </c>
      <c r="X261" s="16">
        <f>IFERROR(K261/E261*100,"")</f>
        <v/>
      </c>
      <c r="Y261" s="16">
        <f>IFERROR((N261+O261)/E261*100,"")</f>
        <v/>
      </c>
      <c r="Z261" s="16">
        <f>IFERROR(R261/F261*100,"")</f>
        <v/>
      </c>
      <c r="AA261" s="16">
        <f>IFERROR(R261/E261*100,"")</f>
        <v/>
      </c>
      <c r="AB261" s="16">
        <f>IFERROR(S261/Q261*100,"")</f>
        <v/>
      </c>
      <c r="AC261" s="16">
        <f>IFERROR(T261/Q261*100,"")</f>
        <v/>
      </c>
      <c r="AD261" s="16">
        <f>IFERROR(U261/Q261*100,"")</f>
        <v/>
      </c>
      <c r="AE261" s="18">
        <f>IFERROR(E261/E257-1,"")</f>
        <v/>
      </c>
      <c r="AF261" s="18">
        <f>IFERROR(R261/R257-1,"")</f>
        <v/>
      </c>
      <c r="AG261" s="18">
        <f>IFERROR(F261/F257-1,"")</f>
        <v/>
      </c>
      <c r="AH261">
        <f>P261&gt;0</f>
        <v/>
      </c>
    </row>
    <row r="262">
      <c r="A262" s="14" t="n">
        <v>45291</v>
      </c>
      <c r="B262" t="n">
        <v>17741</v>
      </c>
      <c r="C262" t="inlineStr">
        <is>
          <t>MAINE COMMUNITY BANK</t>
        </is>
      </c>
      <c r="D262" t="inlineStr">
        <is>
          <t>ME</t>
        </is>
      </c>
      <c r="E262" t="n">
        <v>1084657</v>
      </c>
      <c r="F262" t="n">
        <v>813318</v>
      </c>
      <c r="G262" t="n">
        <v>139308</v>
      </c>
      <c r="H262" s="16" t="n">
        <v>0.623237286824956</v>
      </c>
      <c r="I262" s="16" t="n">
        <v>4.85</v>
      </c>
      <c r="J262" s="16" t="n">
        <v>3.25992794364075</v>
      </c>
      <c r="K262" s="16" t="n">
        <v>6632</v>
      </c>
      <c r="L262" s="16" t="n">
        <v>-17</v>
      </c>
      <c r="M262" s="16" t="n">
        <v>0.7231317098488532</v>
      </c>
      <c r="N262" s="16" t="n">
        <v>2100</v>
      </c>
      <c r="O262" s="16" t="n">
        <v>0</v>
      </c>
      <c r="P262" s="16" t="n">
        <v>0</v>
      </c>
      <c r="Q262" t="n">
        <v>917122</v>
      </c>
      <c r="R262" t="n">
        <v>908392</v>
      </c>
      <c r="S262" t="n">
        <v>853812</v>
      </c>
      <c r="T262" t="n">
        <v>54439</v>
      </c>
      <c r="U262" t="n">
        <v>4268</v>
      </c>
      <c r="V262" t="n">
        <v>0.9518908062395188</v>
      </c>
      <c r="W262" t="n">
        <v>0.05</v>
      </c>
      <c r="X262" s="16">
        <f>IFERROR(K262/E262*100,"")</f>
        <v/>
      </c>
      <c r="Y262" s="16">
        <f>IFERROR((N262+O262)/E262*100,"")</f>
        <v/>
      </c>
      <c r="Z262" s="16">
        <f>IFERROR(R262/F262*100,"")</f>
        <v/>
      </c>
      <c r="AA262" s="16">
        <f>IFERROR(R262/E262*100,"")</f>
        <v/>
      </c>
      <c r="AB262" s="16">
        <f>IFERROR(S262/Q262*100,"")</f>
        <v/>
      </c>
      <c r="AC262" s="16">
        <f>IFERROR(T262/Q262*100,"")</f>
        <v/>
      </c>
      <c r="AD262" s="16">
        <f>IFERROR(U262/Q262*100,"")</f>
        <v/>
      </c>
      <c r="AE262" s="18">
        <f>IFERROR(E262/E258-1,"")</f>
        <v/>
      </c>
      <c r="AF262" s="18">
        <f>IFERROR(R262/R258-1,"")</f>
        <v/>
      </c>
      <c r="AG262" s="18">
        <f>IFERROR(F262/F258-1,"")</f>
        <v/>
      </c>
      <c r="AH262">
        <f>P262&gt;0</f>
        <v/>
      </c>
    </row>
    <row r="263">
      <c r="A263" s="14" t="n">
        <v>45382</v>
      </c>
      <c r="B263" t="n">
        <v>17741</v>
      </c>
      <c r="C263" t="inlineStr">
        <is>
          <t>MAINE COMMUNITY BANK</t>
        </is>
      </c>
      <c r="D263" t="inlineStr">
        <is>
          <t>ME</t>
        </is>
      </c>
      <c r="E263" t="n">
        <v>1107414</v>
      </c>
      <c r="F263" t="n">
        <v>821220</v>
      </c>
      <c r="G263" t="n">
        <v>140357</v>
      </c>
      <c r="H263" s="16" t="n">
        <v>0.5645802531031158</v>
      </c>
      <c r="I263" s="16" t="n">
        <v>4.43</v>
      </c>
      <c r="J263" s="16" t="n">
        <v>2.983927357720198</v>
      </c>
      <c r="K263" s="16" t="n">
        <v>7415</v>
      </c>
      <c r="L263" s="16" t="n">
        <v>48</v>
      </c>
      <c r="M263" s="16" t="n">
        <v>0.7995531559975113</v>
      </c>
      <c r="N263" s="16" t="n">
        <v>2790</v>
      </c>
      <c r="O263" s="16" t="n">
        <v>0</v>
      </c>
      <c r="P263" s="16" t="n">
        <v>0</v>
      </c>
      <c r="Q263" t="n">
        <v>927393</v>
      </c>
      <c r="R263" t="n">
        <v>918495</v>
      </c>
      <c r="S263" t="n">
        <v>863345</v>
      </c>
      <c r="T263" t="n">
        <v>56338</v>
      </c>
      <c r="U263" t="n">
        <v>4181</v>
      </c>
      <c r="V263" t="n">
        <v>0.9594637871970136</v>
      </c>
      <c r="W263" t="n">
        <v>0.04</v>
      </c>
      <c r="X263" s="16">
        <f>IFERROR(K263/E263*100,"")</f>
        <v/>
      </c>
      <c r="Y263" s="16">
        <f>IFERROR((N263+O263)/E263*100,"")</f>
        <v/>
      </c>
      <c r="Z263" s="16">
        <f>IFERROR(R263/F263*100,"")</f>
        <v/>
      </c>
      <c r="AA263" s="16">
        <f>IFERROR(R263/E263*100,"")</f>
        <v/>
      </c>
      <c r="AB263" s="16">
        <f>IFERROR(S263/Q263*100,"")</f>
        <v/>
      </c>
      <c r="AC263" s="16">
        <f>IFERROR(T263/Q263*100,"")</f>
        <v/>
      </c>
      <c r="AD263" s="16">
        <f>IFERROR(U263/Q263*100,"")</f>
        <v/>
      </c>
      <c r="AE263" s="18">
        <f>IFERROR(E263/E259-1,"")</f>
        <v/>
      </c>
      <c r="AF263" s="18">
        <f>IFERROR(R263/R259-1,"")</f>
        <v/>
      </c>
      <c r="AG263" s="18">
        <f>IFERROR(F263/F259-1,"")</f>
        <v/>
      </c>
      <c r="AH263">
        <f>P263&gt;0</f>
        <v/>
      </c>
    </row>
    <row r="264">
      <c r="A264" s="14" t="n">
        <v>45473</v>
      </c>
      <c r="B264" t="n">
        <v>17741</v>
      </c>
      <c r="C264" t="inlineStr">
        <is>
          <t>MAINE COMMUNITY BANK</t>
        </is>
      </c>
      <c r="D264" t="inlineStr">
        <is>
          <t>ME</t>
        </is>
      </c>
      <c r="E264" t="n">
        <v>1160635</v>
      </c>
      <c r="F264" t="n">
        <v>863648</v>
      </c>
      <c r="G264" t="n">
        <v>141966</v>
      </c>
      <c r="H264" s="16" t="n">
        <v>0.5767878245214462</v>
      </c>
      <c r="I264" s="16" t="n">
        <v>4.59</v>
      </c>
      <c r="J264" s="16" t="n">
        <v>2.997314594532495</v>
      </c>
      <c r="K264" s="16" t="n">
        <v>7132</v>
      </c>
      <c r="L264" s="16" t="n">
        <v>60</v>
      </c>
      <c r="M264" s="16" t="n">
        <v>0.7365455476792412</v>
      </c>
      <c r="N264" s="16" t="n">
        <v>3043</v>
      </c>
      <c r="O264" s="16" t="n">
        <v>0</v>
      </c>
      <c r="P264" s="16" t="n">
        <v>0</v>
      </c>
      <c r="Q264" t="n">
        <v>968304</v>
      </c>
      <c r="R264" t="n">
        <v>959108</v>
      </c>
      <c r="S264" t="n">
        <v>905457</v>
      </c>
      <c r="T264" t="n">
        <v>55240</v>
      </c>
      <c r="U264" t="n">
        <v>4399</v>
      </c>
      <c r="V264" t="n">
        <v>0.949701746558932</v>
      </c>
      <c r="W264" t="n">
        <v>0.06</v>
      </c>
      <c r="X264" s="16">
        <f>IFERROR(K264/E264*100,"")</f>
        <v/>
      </c>
      <c r="Y264" s="16">
        <f>IFERROR((N264+O264)/E264*100,"")</f>
        <v/>
      </c>
      <c r="Z264" s="16">
        <f>IFERROR(R264/F264*100,"")</f>
        <v/>
      </c>
      <c r="AA264" s="16">
        <f>IFERROR(R264/E264*100,"")</f>
        <v/>
      </c>
      <c r="AB264" s="16">
        <f>IFERROR(S264/Q264*100,"")</f>
        <v/>
      </c>
      <c r="AC264" s="16">
        <f>IFERROR(T264/Q264*100,"")</f>
        <v/>
      </c>
      <c r="AD264" s="16">
        <f>IFERROR(U264/Q264*100,"")</f>
        <v/>
      </c>
      <c r="AE264" s="18">
        <f>IFERROR(E264/E260-1,"")</f>
        <v/>
      </c>
      <c r="AF264" s="18">
        <f>IFERROR(R264/R260-1,"")</f>
        <v/>
      </c>
      <c r="AG264" s="18">
        <f>IFERROR(F264/F260-1,"")</f>
        <v/>
      </c>
      <c r="AH264">
        <f>P264&gt;0</f>
        <v/>
      </c>
    </row>
    <row r="265">
      <c r="A265" s="14" t="n">
        <v>45565</v>
      </c>
      <c r="B265" t="n">
        <v>17741</v>
      </c>
      <c r="C265" t="inlineStr">
        <is>
          <t>MAINE COMMUNITY BANK</t>
        </is>
      </c>
      <c r="D265" t="inlineStr">
        <is>
          <t>ME</t>
        </is>
      </c>
      <c r="E265" t="n">
        <v>1162261</v>
      </c>
      <c r="F265" t="n">
        <v>905592</v>
      </c>
      <c r="G265" t="n">
        <v>146197</v>
      </c>
      <c r="H265" s="16" t="n">
        <v>0.6232152571657777</v>
      </c>
      <c r="I265" s="16" t="n">
        <v>4.96</v>
      </c>
      <c r="J265" s="16" t="n">
        <v>3.045197952139146</v>
      </c>
      <c r="K265" s="16" t="n">
        <v>2723</v>
      </c>
      <c r="L265" s="16" t="n">
        <v>56</v>
      </c>
      <c r="M265" s="16" t="n">
        <v>0.2765084587420541</v>
      </c>
      <c r="N265" s="16" t="n">
        <v>2027</v>
      </c>
      <c r="O265" s="16" t="n">
        <v>0</v>
      </c>
      <c r="P265" s="16" t="n">
        <v>0</v>
      </c>
      <c r="Q265" t="n">
        <v>984780</v>
      </c>
      <c r="R265" t="n">
        <v>975474</v>
      </c>
      <c r="S265" t="n">
        <v>925810</v>
      </c>
      <c r="T265" t="n">
        <v>49845</v>
      </c>
      <c r="U265" t="n">
        <v>3969</v>
      </c>
      <c r="V265" t="n">
        <v>0.9449826357155912</v>
      </c>
      <c r="W265" t="n">
        <v>0.05</v>
      </c>
      <c r="X265" s="16">
        <f>IFERROR(K265/E265*100,"")</f>
        <v/>
      </c>
      <c r="Y265" s="16">
        <f>IFERROR((N265+O265)/E265*100,"")</f>
        <v/>
      </c>
      <c r="Z265" s="16">
        <f>IFERROR(R265/F265*100,"")</f>
        <v/>
      </c>
      <c r="AA265" s="16">
        <f>IFERROR(R265/E265*100,"")</f>
        <v/>
      </c>
      <c r="AB265" s="16">
        <f>IFERROR(S265/Q265*100,"")</f>
        <v/>
      </c>
      <c r="AC265" s="16">
        <f>IFERROR(T265/Q265*100,"")</f>
        <v/>
      </c>
      <c r="AD265" s="16">
        <f>IFERROR(U265/Q265*100,"")</f>
        <v/>
      </c>
      <c r="AE265" s="18">
        <f>IFERROR(E265/E261-1,"")</f>
        <v/>
      </c>
      <c r="AF265" s="18">
        <f>IFERROR(R265/R261-1,"")</f>
        <v/>
      </c>
      <c r="AG265" s="18">
        <f>IFERROR(F265/F261-1,"")</f>
        <v/>
      </c>
      <c r="AH265">
        <f>P265&gt;0</f>
        <v/>
      </c>
    </row>
    <row r="266">
      <c r="A266" s="14" t="n">
        <v>45657</v>
      </c>
      <c r="B266" t="n">
        <v>17741</v>
      </c>
      <c r="C266" t="inlineStr">
        <is>
          <t>MAINE COMMUNITY BANK</t>
        </is>
      </c>
      <c r="D266" t="inlineStr">
        <is>
          <t>ME</t>
        </is>
      </c>
      <c r="E266" t="n">
        <v>1167995</v>
      </c>
      <c r="F266" t="n">
        <v>895674</v>
      </c>
      <c r="G266" t="n">
        <v>147350</v>
      </c>
      <c r="H266" s="16" t="n">
        <v>0.6457020124364724</v>
      </c>
      <c r="I266" s="16" t="n">
        <v>5.13</v>
      </c>
      <c r="J266" s="16" t="n">
        <v>3.082642841920328</v>
      </c>
      <c r="K266" s="16" t="n">
        <v>3480</v>
      </c>
      <c r="L266" s="16" t="n">
        <v>57</v>
      </c>
      <c r="M266" s="16" t="n">
        <v>0.3504563485469656</v>
      </c>
      <c r="N266" s="16" t="n">
        <v>2314</v>
      </c>
      <c r="O266" s="16" t="n">
        <v>0</v>
      </c>
      <c r="P266" s="16" t="n">
        <v>0</v>
      </c>
      <c r="Q266" t="n">
        <v>992991</v>
      </c>
      <c r="R266" t="n">
        <v>983817</v>
      </c>
      <c r="S266" t="n">
        <v>934014</v>
      </c>
      <c r="T266" t="n">
        <v>50628</v>
      </c>
      <c r="U266" t="n">
        <v>3758</v>
      </c>
      <c r="V266" t="n">
        <v>0.9238754429798456</v>
      </c>
      <c r="W266" t="n">
        <v>0.03</v>
      </c>
      <c r="X266" s="16">
        <f>IFERROR(K266/E266*100,"")</f>
        <v/>
      </c>
      <c r="Y266" s="16">
        <f>IFERROR((N266+O266)/E266*100,"")</f>
        <v/>
      </c>
      <c r="Z266" s="16">
        <f>IFERROR(R266/F266*100,"")</f>
        <v/>
      </c>
      <c r="AA266" s="16">
        <f>IFERROR(R266/E266*100,"")</f>
        <v/>
      </c>
      <c r="AB266" s="16">
        <f>IFERROR(S266/Q266*100,"")</f>
        <v/>
      </c>
      <c r="AC266" s="16">
        <f>IFERROR(T266/Q266*100,"")</f>
        <v/>
      </c>
      <c r="AD266" s="16">
        <f>IFERROR(U266/Q266*100,"")</f>
        <v/>
      </c>
      <c r="AE266" s="18">
        <f>IFERROR(E266/E262-1,"")</f>
        <v/>
      </c>
      <c r="AF266" s="18">
        <f>IFERROR(R266/R262-1,"")</f>
        <v/>
      </c>
      <c r="AG266" s="18">
        <f>IFERROR(F266/F262-1,"")</f>
        <v/>
      </c>
      <c r="AH266">
        <f>P266&gt;0</f>
        <v/>
      </c>
    </row>
    <row r="267">
      <c r="A267" s="14" t="n">
        <v>45747</v>
      </c>
      <c r="B267" t="n">
        <v>17741</v>
      </c>
      <c r="C267" t="inlineStr">
        <is>
          <t>MAINE COMMUNITY BANK</t>
        </is>
      </c>
      <c r="D267" t="inlineStr">
        <is>
          <t>ME</t>
        </is>
      </c>
      <c r="E267" t="n">
        <v>2702374</v>
      </c>
      <c r="F267" t="n">
        <v>2270619</v>
      </c>
      <c r="G267" t="n">
        <v>244064</v>
      </c>
      <c r="H267" s="16" t="n">
        <v>0.6376652975465646</v>
      </c>
      <c r="I267" s="16" t="n">
        <v>6.31</v>
      </c>
      <c r="J267" s="16" t="n">
        <v>4.899100087894241</v>
      </c>
      <c r="K267" s="16" t="n">
        <v>9808</v>
      </c>
      <c r="L267" s="16" t="n">
        <v>32</v>
      </c>
      <c r="M267" s="16" t="n">
        <v>0.4414101000463553</v>
      </c>
      <c r="N267" s="16" t="n">
        <v>5724</v>
      </c>
      <c r="O267" s="16" t="n">
        <v>0</v>
      </c>
      <c r="P267" s="16" t="n">
        <v>0</v>
      </c>
      <c r="Q267" t="n">
        <v>2221970</v>
      </c>
      <c r="R267" t="n">
        <v>2206049</v>
      </c>
      <c r="S267" t="n">
        <v>1950768</v>
      </c>
      <c r="T267" t="n">
        <v>226181</v>
      </c>
      <c r="U267" t="n">
        <v>6255</v>
      </c>
      <c r="V267" t="n">
        <v>0.7165263257379713</v>
      </c>
      <c r="W267" t="n">
        <v>-0.16</v>
      </c>
      <c r="X267" s="16">
        <f>IFERROR(K267/E267*100,"")</f>
        <v/>
      </c>
      <c r="Y267" s="16">
        <f>IFERROR((N267+O267)/E267*100,"")</f>
        <v/>
      </c>
      <c r="Z267" s="16">
        <f>IFERROR(R267/F267*100,"")</f>
        <v/>
      </c>
      <c r="AA267" s="16">
        <f>IFERROR(R267/E267*100,"")</f>
        <v/>
      </c>
      <c r="AB267" s="16">
        <f>IFERROR(S267/Q267*100,"")</f>
        <v/>
      </c>
      <c r="AC267" s="16">
        <f>IFERROR(T267/Q267*100,"")</f>
        <v/>
      </c>
      <c r="AD267" s="16">
        <f>IFERROR(U267/Q267*100,"")</f>
        <v/>
      </c>
      <c r="AE267" s="18">
        <f>IFERROR(E267/E263-1,"")</f>
        <v/>
      </c>
      <c r="AF267" s="18">
        <f>IFERROR(R267/R263-1,"")</f>
        <v/>
      </c>
      <c r="AG267" s="18">
        <f>IFERROR(F267/F263-1,"")</f>
        <v/>
      </c>
      <c r="AH267">
        <f>P267&gt;0</f>
        <v/>
      </c>
    </row>
    <row r="268">
      <c r="A268" s="14" t="n">
        <v>45838</v>
      </c>
      <c r="B268" t="n">
        <v>17741</v>
      </c>
      <c r="C268" t="inlineStr">
        <is>
          <t>MAINE COMMUNITY BANK</t>
        </is>
      </c>
      <c r="D268" t="inlineStr">
        <is>
          <t>ME</t>
        </is>
      </c>
      <c r="E268" t="n">
        <v>2758302</v>
      </c>
      <c r="F268" t="n">
        <v>2253432</v>
      </c>
      <c r="G268" t="n">
        <v>250972</v>
      </c>
      <c r="H268" s="16" t="n">
        <v>0.8058628946888448</v>
      </c>
      <c r="I268" s="16" t="n">
        <v>8.32</v>
      </c>
      <c r="J268" s="16" t="n">
        <v>4.424594575961685</v>
      </c>
      <c r="K268" s="16" t="n">
        <v>14212</v>
      </c>
      <c r="L268" s="16" t="n">
        <v>-16</v>
      </c>
      <c r="M268" s="16" t="n">
        <v>0.6240342770980913</v>
      </c>
      <c r="N268" s="16" t="n">
        <v>5485</v>
      </c>
      <c r="O268" s="16" t="n">
        <v>0</v>
      </c>
      <c r="P268" s="16" t="n">
        <v>0</v>
      </c>
      <c r="Q268" t="n">
        <v>2277439</v>
      </c>
      <c r="R268" t="n">
        <v>2261429</v>
      </c>
      <c r="S268" t="n">
        <v>2016043</v>
      </c>
      <c r="T268" t="n">
        <v>210200</v>
      </c>
      <c r="U268" t="n">
        <v>6792</v>
      </c>
      <c r="V268" t="n">
        <v>0.7029826045834817</v>
      </c>
      <c r="W268" t="n">
        <v>-0.05</v>
      </c>
      <c r="X268" s="16">
        <f>IFERROR(K268/E268*100,"")</f>
        <v/>
      </c>
      <c r="Y268" s="16">
        <f>IFERROR((N268+O268)/E268*100,"")</f>
        <v/>
      </c>
      <c r="Z268" s="16">
        <f>IFERROR(R268/F268*100,"")</f>
        <v/>
      </c>
      <c r="AA268" s="16">
        <f>IFERROR(R268/E268*100,"")</f>
        <v/>
      </c>
      <c r="AB268" s="16">
        <f>IFERROR(S268/Q268*100,"")</f>
        <v/>
      </c>
      <c r="AC268" s="16">
        <f>IFERROR(T268/Q268*100,"")</f>
        <v/>
      </c>
      <c r="AD268" s="16">
        <f>IFERROR(U268/Q268*100,"")</f>
        <v/>
      </c>
      <c r="AE268" s="18">
        <f>IFERROR(E268/E264-1,"")</f>
        <v/>
      </c>
      <c r="AF268" s="18">
        <f>IFERROR(R268/R264-1,"")</f>
        <v/>
      </c>
      <c r="AG268" s="18">
        <f>IFERROR(F268/F264-1,"")</f>
        <v/>
      </c>
      <c r="AH268">
        <f>P268&gt;0</f>
        <v/>
      </c>
    </row>
    <row r="269">
      <c r="A269" s="14" t="n">
        <v>44651</v>
      </c>
      <c r="B269" t="n">
        <v>17743</v>
      </c>
      <c r="C269" t="inlineStr">
        <is>
          <t>SACO &amp; BIDDEFORD SAVINGS INSTITUTION</t>
        </is>
      </c>
      <c r="D269" t="inlineStr">
        <is>
          <t>ME</t>
        </is>
      </c>
      <c r="E269" t="n">
        <v>1158500</v>
      </c>
      <c r="F269" t="n">
        <v>899083</v>
      </c>
      <c r="G269" t="n">
        <v>126783</v>
      </c>
      <c r="H269" s="16" t="n">
        <v>0.3984242717440132</v>
      </c>
      <c r="I269" s="16" t="n">
        <v>3.56</v>
      </c>
      <c r="J269" s="16" t="n">
        <v>2.746864735471674</v>
      </c>
      <c r="K269" s="16" t="n">
        <v>3568</v>
      </c>
      <c r="L269" s="16" t="n">
        <v>-7</v>
      </c>
      <c r="M269" s="16" t="n">
        <v>0.3924763920493847</v>
      </c>
      <c r="N269" s="16" t="n">
        <v>1605</v>
      </c>
      <c r="O269" s="16" t="n">
        <v>35</v>
      </c>
      <c r="P269" s="16" t="n">
        <v>0</v>
      </c>
      <c r="Q269" t="n">
        <v>918017</v>
      </c>
      <c r="R269" t="n">
        <v>913020</v>
      </c>
      <c r="S269" t="n">
        <v>873409</v>
      </c>
      <c r="T269" t="n">
        <v>25760</v>
      </c>
      <c r="U269" t="n">
        <v>5293</v>
      </c>
      <c r="V269" t="n">
        <v>0.5443254318819803</v>
      </c>
      <c r="W269" t="n">
        <v>0</v>
      </c>
      <c r="X269" s="16">
        <f>IFERROR(K269/E269*100,"")</f>
        <v/>
      </c>
      <c r="Y269" s="16">
        <f>IFERROR((N269+O269)/E269*100,"")</f>
        <v/>
      </c>
      <c r="Z269" s="16">
        <f>IFERROR(R269/F269*100,"")</f>
        <v/>
      </c>
      <c r="AA269" s="16">
        <f>IFERROR(R269/E269*100,"")</f>
        <v/>
      </c>
      <c r="AB269" s="16">
        <f>IFERROR(S269/Q269*100,"")</f>
        <v/>
      </c>
      <c r="AC269" s="16">
        <f>IFERROR(T269/Q269*100,"")</f>
        <v/>
      </c>
      <c r="AD269" s="16">
        <f>IFERROR(U269/Q269*100,"")</f>
        <v/>
      </c>
      <c r="AE269" s="18" t="n"/>
      <c r="AF269" s="18" t="n"/>
      <c r="AG269" s="18" t="n"/>
      <c r="AH269">
        <f>P269&gt;0</f>
        <v/>
      </c>
    </row>
    <row r="270">
      <c r="A270" s="14" t="n">
        <v>44742</v>
      </c>
      <c r="B270" t="n">
        <v>17743</v>
      </c>
      <c r="C270" t="inlineStr">
        <is>
          <t>SACO &amp; BIDDEFORD SAVINGS INSTITUTION</t>
        </is>
      </c>
      <c r="D270" t="inlineStr">
        <is>
          <t>ME</t>
        </is>
      </c>
      <c r="E270" t="n">
        <v>1226782</v>
      </c>
      <c r="F270" t="n">
        <v>933270</v>
      </c>
      <c r="G270" t="n">
        <v>121930</v>
      </c>
      <c r="H270" s="16" t="n">
        <v>0.3023799077444831</v>
      </c>
      <c r="I270" s="16" t="n">
        <v>2.81</v>
      </c>
      <c r="J270" s="16" t="n">
        <v>2.801217306824308</v>
      </c>
      <c r="K270" s="16" t="n">
        <v>2944</v>
      </c>
      <c r="L270" s="16" t="n">
        <v>13</v>
      </c>
      <c r="M270" s="16" t="n">
        <v>0.3162252534366541</v>
      </c>
      <c r="N270" s="16" t="n">
        <v>735</v>
      </c>
      <c r="O270" s="16" t="n">
        <v>35</v>
      </c>
      <c r="P270" s="16" t="n">
        <v>0</v>
      </c>
      <c r="Q270" t="n">
        <v>942050</v>
      </c>
      <c r="R270" t="n">
        <v>937147</v>
      </c>
      <c r="S270" t="n">
        <v>912536</v>
      </c>
      <c r="T270" t="n">
        <v>10654</v>
      </c>
      <c r="U270" t="n">
        <v>5546</v>
      </c>
      <c r="V270" t="n">
        <v>0.5204606974152115</v>
      </c>
      <c r="W270" t="n">
        <v>-0.01</v>
      </c>
      <c r="X270" s="16">
        <f>IFERROR(K270/E270*100,"")</f>
        <v/>
      </c>
      <c r="Y270" s="16">
        <f>IFERROR((N270+O270)/E270*100,"")</f>
        <v/>
      </c>
      <c r="Z270" s="16">
        <f>IFERROR(R270/F270*100,"")</f>
        <v/>
      </c>
      <c r="AA270" s="16">
        <f>IFERROR(R270/E270*100,"")</f>
        <v/>
      </c>
      <c r="AB270" s="16">
        <f>IFERROR(S270/Q270*100,"")</f>
        <v/>
      </c>
      <c r="AC270" s="16">
        <f>IFERROR(T270/Q270*100,"")</f>
        <v/>
      </c>
      <c r="AD270" s="16">
        <f>IFERROR(U270/Q270*100,"")</f>
        <v/>
      </c>
      <c r="AE270" s="18" t="n"/>
      <c r="AF270" s="18" t="n"/>
      <c r="AG270" s="18" t="n"/>
      <c r="AH270">
        <f>P270&gt;0</f>
        <v/>
      </c>
    </row>
    <row r="271">
      <c r="A271" s="14" t="n">
        <v>44834</v>
      </c>
      <c r="B271" t="n">
        <v>17743</v>
      </c>
      <c r="C271" t="inlineStr">
        <is>
          <t>SACO &amp; BIDDEFORD SAVINGS INSTITUTION</t>
        </is>
      </c>
      <c r="D271" t="inlineStr">
        <is>
          <t>ME</t>
        </is>
      </c>
      <c r="E271" t="n">
        <v>1249583</v>
      </c>
      <c r="F271" t="n">
        <v>1015664</v>
      </c>
      <c r="G271" t="n">
        <v>114993</v>
      </c>
      <c r="H271" s="16" t="n">
        <v>0.3595176860618368</v>
      </c>
      <c r="I271" s="16" t="n">
        <v>3.48</v>
      </c>
      <c r="J271" s="16" t="n">
        <v>2.789158218000416</v>
      </c>
      <c r="K271" s="16" t="n">
        <v>2125</v>
      </c>
      <c r="L271" s="16" t="n">
        <v>-237</v>
      </c>
      <c r="M271" s="16" t="n">
        <v>0.2227717841975655</v>
      </c>
      <c r="N271" s="16" t="n">
        <v>713</v>
      </c>
      <c r="O271" s="16" t="n">
        <v>0</v>
      </c>
      <c r="P271" s="16" t="n">
        <v>0</v>
      </c>
      <c r="Q271" t="n">
        <v>953891</v>
      </c>
      <c r="R271" t="n">
        <v>948998</v>
      </c>
      <c r="S271" t="n">
        <v>922540</v>
      </c>
      <c r="T271" t="n">
        <v>11845</v>
      </c>
      <c r="U271" t="n">
        <v>6456</v>
      </c>
      <c r="V271" t="n">
        <v>0.5129516894487944</v>
      </c>
      <c r="W271" t="n">
        <v>-0.04</v>
      </c>
      <c r="X271" s="16">
        <f>IFERROR(K271/E271*100,"")</f>
        <v/>
      </c>
      <c r="Y271" s="16">
        <f>IFERROR((N271+O271)/E271*100,"")</f>
        <v/>
      </c>
      <c r="Z271" s="16">
        <f>IFERROR(R271/F271*100,"")</f>
        <v/>
      </c>
      <c r="AA271" s="16">
        <f>IFERROR(R271/E271*100,"")</f>
        <v/>
      </c>
      <c r="AB271" s="16">
        <f>IFERROR(S271/Q271*100,"")</f>
        <v/>
      </c>
      <c r="AC271" s="16">
        <f>IFERROR(T271/Q271*100,"")</f>
        <v/>
      </c>
      <c r="AD271" s="16">
        <f>IFERROR(U271/Q271*100,"")</f>
        <v/>
      </c>
      <c r="AE271" s="18" t="n"/>
      <c r="AF271" s="18" t="n"/>
      <c r="AG271" s="18" t="n"/>
      <c r="AH271">
        <f>P271&gt;0</f>
        <v/>
      </c>
    </row>
    <row r="272">
      <c r="A272" s="14" t="n">
        <v>44926</v>
      </c>
      <c r="B272" t="n">
        <v>17743</v>
      </c>
      <c r="C272" t="inlineStr">
        <is>
          <t>SACO &amp; BIDDEFORD SAVINGS INSTITUTION</t>
        </is>
      </c>
      <c r="D272" t="inlineStr">
        <is>
          <t>ME</t>
        </is>
      </c>
      <c r="E272" t="n">
        <v>1276362</v>
      </c>
      <c r="F272" t="n">
        <v>1007618</v>
      </c>
      <c r="G272" t="n">
        <v>120023</v>
      </c>
      <c r="H272" s="16" t="n">
        <v>0.4174462540008013</v>
      </c>
      <c r="I272" s="16" t="n">
        <v>4.11</v>
      </c>
      <c r="J272" s="16" t="n">
        <v>2.694921611985098</v>
      </c>
      <c r="K272" s="16" t="n">
        <v>2426</v>
      </c>
      <c r="L272" s="16" t="n">
        <v>-240</v>
      </c>
      <c r="M272" s="16" t="n">
        <v>0.2465186606293643</v>
      </c>
      <c r="N272" s="16" t="n">
        <v>2594</v>
      </c>
      <c r="O272" s="16" t="n">
        <v>0</v>
      </c>
      <c r="P272" s="16" t="n">
        <v>0</v>
      </c>
      <c r="Q272" t="n">
        <v>984104</v>
      </c>
      <c r="R272" t="n">
        <v>979208</v>
      </c>
      <c r="S272" t="n">
        <v>953202</v>
      </c>
      <c r="T272" t="n">
        <v>11335</v>
      </c>
      <c r="U272" t="n">
        <v>6789</v>
      </c>
      <c r="V272" t="n">
        <v>0.4975083934218334</v>
      </c>
      <c r="W272" t="n">
        <v>-0.03</v>
      </c>
      <c r="X272" s="16">
        <f>IFERROR(K272/E272*100,"")</f>
        <v/>
      </c>
      <c r="Y272" s="16">
        <f>IFERROR((N272+O272)/E272*100,"")</f>
        <v/>
      </c>
      <c r="Z272" s="16">
        <f>IFERROR(R272/F272*100,"")</f>
        <v/>
      </c>
      <c r="AA272" s="16">
        <f>IFERROR(R272/E272*100,"")</f>
        <v/>
      </c>
      <c r="AB272" s="16">
        <f>IFERROR(S272/Q272*100,"")</f>
        <v/>
      </c>
      <c r="AC272" s="16">
        <f>IFERROR(T272/Q272*100,"")</f>
        <v/>
      </c>
      <c r="AD272" s="16">
        <f>IFERROR(U272/Q272*100,"")</f>
        <v/>
      </c>
      <c r="AE272" s="18" t="n"/>
      <c r="AF272" s="18" t="n"/>
      <c r="AG272" s="18" t="n"/>
      <c r="AH272">
        <f>P272&gt;0</f>
        <v/>
      </c>
    </row>
    <row r="273">
      <c r="A273" s="14" t="n">
        <v>45016</v>
      </c>
      <c r="B273" t="n">
        <v>17743</v>
      </c>
      <c r="C273" t="inlineStr">
        <is>
          <t>SACO &amp; BIDDEFORD SAVINGS INSTITUTION</t>
        </is>
      </c>
      <c r="D273" t="inlineStr">
        <is>
          <t>ME</t>
        </is>
      </c>
      <c r="E273" t="n">
        <v>1303794</v>
      </c>
      <c r="F273" t="n">
        <v>997602</v>
      </c>
      <c r="G273" t="n">
        <v>122164</v>
      </c>
      <c r="H273" s="16" t="n">
        <v>0.0852661622010452</v>
      </c>
      <c r="I273" s="16" t="n">
        <v>0.91</v>
      </c>
      <c r="J273" s="16" t="n">
        <v>2.168239703314169</v>
      </c>
      <c r="K273" s="16" t="n">
        <v>2506</v>
      </c>
      <c r="L273" s="16" t="n">
        <v>-13</v>
      </c>
      <c r="M273" s="16" t="n">
        <v>0.2483147592704342</v>
      </c>
      <c r="N273" s="16" t="n">
        <v>3655</v>
      </c>
      <c r="O273" s="16" t="n">
        <v>0</v>
      </c>
      <c r="P273" s="16" t="n">
        <v>0</v>
      </c>
      <c r="Q273" t="n">
        <v>1009203</v>
      </c>
      <c r="R273" t="n">
        <v>1004494</v>
      </c>
      <c r="S273" t="n">
        <v>979266</v>
      </c>
      <c r="T273" t="n">
        <v>10295</v>
      </c>
      <c r="U273" t="n">
        <v>7106</v>
      </c>
      <c r="V273" t="n">
        <v>0.4666058265780026</v>
      </c>
      <c r="W273" t="n">
        <v>0</v>
      </c>
      <c r="X273" s="16">
        <f>IFERROR(K273/E273*100,"")</f>
        <v/>
      </c>
      <c r="Y273" s="16">
        <f>IFERROR((N273+O273)/E273*100,"")</f>
        <v/>
      </c>
      <c r="Z273" s="16">
        <f>IFERROR(R273/F273*100,"")</f>
        <v/>
      </c>
      <c r="AA273" s="16">
        <f>IFERROR(R273/E273*100,"")</f>
        <v/>
      </c>
      <c r="AB273" s="16">
        <f>IFERROR(S273/Q273*100,"")</f>
        <v/>
      </c>
      <c r="AC273" s="16">
        <f>IFERROR(T273/Q273*100,"")</f>
        <v/>
      </c>
      <c r="AD273" s="16">
        <f>IFERROR(U273/Q273*100,"")</f>
        <v/>
      </c>
      <c r="AE273" s="18">
        <f>IFERROR(E273/E269-1,"")</f>
        <v/>
      </c>
      <c r="AF273" s="18">
        <f>IFERROR(R273/R269-1,"")</f>
        <v/>
      </c>
      <c r="AG273" s="18">
        <f>IFERROR(F273/F269-1,"")</f>
        <v/>
      </c>
      <c r="AH273">
        <f>P273&gt;0</f>
        <v/>
      </c>
    </row>
    <row r="274">
      <c r="A274" s="14" t="n">
        <v>45107</v>
      </c>
      <c r="B274" t="n">
        <v>17743</v>
      </c>
      <c r="C274" t="inlineStr">
        <is>
          <t>SACO &amp; BIDDEFORD SAVINGS INSTITUTION</t>
        </is>
      </c>
      <c r="D274" t="inlineStr">
        <is>
          <t>ME</t>
        </is>
      </c>
      <c r="E274" t="n">
        <v>1333208</v>
      </c>
      <c r="F274" t="n">
        <v>950623</v>
      </c>
      <c r="G274" t="n">
        <v>121236</v>
      </c>
      <c r="H274" s="16" t="n">
        <v>0.09659208803474451</v>
      </c>
      <c r="I274" s="16" t="n">
        <v>1.04</v>
      </c>
      <c r="J274" s="16" t="n">
        <v>2.08643107377961</v>
      </c>
      <c r="K274" s="16" t="n">
        <v>4416</v>
      </c>
      <c r="L274" s="16" t="n">
        <v>-16</v>
      </c>
      <c r="M274" s="16" t="n">
        <v>0.4258039508358427</v>
      </c>
      <c r="N274" s="16" t="n">
        <v>993</v>
      </c>
      <c r="O274" s="16" t="n">
        <v>0</v>
      </c>
      <c r="P274" s="16" t="n">
        <v>0</v>
      </c>
      <c r="Q274" t="n">
        <v>1037097</v>
      </c>
      <c r="R274" t="n">
        <v>1032385</v>
      </c>
      <c r="S274" t="n">
        <v>1005554</v>
      </c>
      <c r="T274" t="n">
        <v>11605</v>
      </c>
      <c r="U274" t="n">
        <v>7617</v>
      </c>
      <c r="V274" t="n">
        <v>0.4543451576853467</v>
      </c>
      <c r="W274" t="n">
        <v>0</v>
      </c>
      <c r="X274" s="16">
        <f>IFERROR(K274/E274*100,"")</f>
        <v/>
      </c>
      <c r="Y274" s="16">
        <f>IFERROR((N274+O274)/E274*100,"")</f>
        <v/>
      </c>
      <c r="Z274" s="16">
        <f>IFERROR(R274/F274*100,"")</f>
        <v/>
      </c>
      <c r="AA274" s="16">
        <f>IFERROR(R274/E274*100,"")</f>
        <v/>
      </c>
      <c r="AB274" s="16">
        <f>IFERROR(S274/Q274*100,"")</f>
        <v/>
      </c>
      <c r="AC274" s="16">
        <f>IFERROR(T274/Q274*100,"")</f>
        <v/>
      </c>
      <c r="AD274" s="16">
        <f>IFERROR(U274/Q274*100,"")</f>
        <v/>
      </c>
      <c r="AE274" s="18">
        <f>IFERROR(E274/E270-1,"")</f>
        <v/>
      </c>
      <c r="AF274" s="18">
        <f>IFERROR(R274/R270-1,"")</f>
        <v/>
      </c>
      <c r="AG274" s="18">
        <f>IFERROR(F274/F270-1,"")</f>
        <v/>
      </c>
      <c r="AH274">
        <f>P274&gt;0</f>
        <v/>
      </c>
    </row>
    <row r="275">
      <c r="A275" s="14" t="n">
        <v>45199</v>
      </c>
      <c r="B275" t="n">
        <v>17743</v>
      </c>
      <c r="C275" t="inlineStr">
        <is>
          <t>SACO &amp; BIDDEFORD SAVINGS INSTITUTION</t>
        </is>
      </c>
      <c r="D275" t="inlineStr">
        <is>
          <t>ME</t>
        </is>
      </c>
      <c r="E275" t="n">
        <v>1343923</v>
      </c>
      <c r="F275" t="n">
        <v>962463</v>
      </c>
      <c r="G275" t="n">
        <v>114040</v>
      </c>
      <c r="H275" s="16" t="n">
        <v>0.0416934666112007</v>
      </c>
      <c r="I275" s="16" t="n">
        <v>0.46</v>
      </c>
      <c r="J275" s="16" t="n">
        <v>2.06213614232857</v>
      </c>
      <c r="K275" s="16" t="n">
        <v>4816</v>
      </c>
      <c r="L275" s="16" t="n">
        <v>16</v>
      </c>
      <c r="M275" s="16" t="n">
        <v>0.4616904169351005</v>
      </c>
      <c r="N275" s="16" t="n">
        <v>614</v>
      </c>
      <c r="O275" s="16" t="n">
        <v>50</v>
      </c>
      <c r="P275" s="16" t="n">
        <v>0</v>
      </c>
      <c r="Q275" t="n">
        <v>1053953</v>
      </c>
      <c r="R275" t="n">
        <v>1049272</v>
      </c>
      <c r="S275" t="n">
        <v>1018679</v>
      </c>
      <c r="T275" t="n">
        <v>13921</v>
      </c>
      <c r="U275" t="n">
        <v>9333</v>
      </c>
      <c r="V275" t="n">
        <v>0.4441374520495695</v>
      </c>
      <c r="W275" t="n">
        <v>0</v>
      </c>
      <c r="X275" s="16">
        <f>IFERROR(K275/E275*100,"")</f>
        <v/>
      </c>
      <c r="Y275" s="16">
        <f>IFERROR((N275+O275)/E275*100,"")</f>
        <v/>
      </c>
      <c r="Z275" s="16">
        <f>IFERROR(R275/F275*100,"")</f>
        <v/>
      </c>
      <c r="AA275" s="16">
        <f>IFERROR(R275/E275*100,"")</f>
        <v/>
      </c>
      <c r="AB275" s="16">
        <f>IFERROR(S275/Q275*100,"")</f>
        <v/>
      </c>
      <c r="AC275" s="16">
        <f>IFERROR(T275/Q275*100,"")</f>
        <v/>
      </c>
      <c r="AD275" s="16">
        <f>IFERROR(U275/Q275*100,"")</f>
        <v/>
      </c>
      <c r="AE275" s="18">
        <f>IFERROR(E275/E271-1,"")</f>
        <v/>
      </c>
      <c r="AF275" s="18">
        <f>IFERROR(R275/R271-1,"")</f>
        <v/>
      </c>
      <c r="AG275" s="18">
        <f>IFERROR(F275/F271-1,"")</f>
        <v/>
      </c>
      <c r="AH275">
        <f>P275&gt;0</f>
        <v/>
      </c>
    </row>
    <row r="276">
      <c r="A276" s="14" t="n">
        <v>45291</v>
      </c>
      <c r="B276" t="n">
        <v>17743</v>
      </c>
      <c r="C276" t="inlineStr">
        <is>
          <t>SACO &amp; BIDDEFORD SAVINGS INSTITUTION</t>
        </is>
      </c>
      <c r="D276" t="inlineStr">
        <is>
          <t>ME</t>
        </is>
      </c>
      <c r="E276" t="n">
        <v>1380826</v>
      </c>
      <c r="F276" t="n">
        <v>963516</v>
      </c>
      <c r="G276" t="n">
        <v>122659</v>
      </c>
      <c r="H276" s="16" t="n">
        <v>0.0464740506827768</v>
      </c>
      <c r="I276" s="16" t="n">
        <v>0.51</v>
      </c>
      <c r="J276" s="16" t="n">
        <v>2.025397349765658</v>
      </c>
      <c r="K276" s="16" t="n">
        <v>1762</v>
      </c>
      <c r="L276" s="16" t="n">
        <v>13</v>
      </c>
      <c r="M276" s="16" t="n">
        <v>0.1614029045194645</v>
      </c>
      <c r="N276" s="16" t="n">
        <v>3339</v>
      </c>
      <c r="O276" s="16" t="n">
        <v>0</v>
      </c>
      <c r="P276" s="16" t="n">
        <v>0</v>
      </c>
      <c r="Q276" t="n">
        <v>1091678</v>
      </c>
      <c r="R276" t="n">
        <v>1086994</v>
      </c>
      <c r="S276" t="n">
        <v>1054307</v>
      </c>
      <c r="T276" t="n">
        <v>16284</v>
      </c>
      <c r="U276" t="n">
        <v>9354</v>
      </c>
      <c r="V276" t="n">
        <v>0.4290642478826174</v>
      </c>
      <c r="W276" t="n">
        <v>0</v>
      </c>
      <c r="X276" s="16">
        <f>IFERROR(K276/E276*100,"")</f>
        <v/>
      </c>
      <c r="Y276" s="16">
        <f>IFERROR((N276+O276)/E276*100,"")</f>
        <v/>
      </c>
      <c r="Z276" s="16">
        <f>IFERROR(R276/F276*100,"")</f>
        <v/>
      </c>
      <c r="AA276" s="16">
        <f>IFERROR(R276/E276*100,"")</f>
        <v/>
      </c>
      <c r="AB276" s="16">
        <f>IFERROR(S276/Q276*100,"")</f>
        <v/>
      </c>
      <c r="AC276" s="16">
        <f>IFERROR(T276/Q276*100,"")</f>
        <v/>
      </c>
      <c r="AD276" s="16">
        <f>IFERROR(U276/Q276*100,"")</f>
        <v/>
      </c>
      <c r="AE276" s="18">
        <f>IFERROR(E276/E272-1,"")</f>
        <v/>
      </c>
      <c r="AF276" s="18">
        <f>IFERROR(R276/R272-1,"")</f>
        <v/>
      </c>
      <c r="AG276" s="18">
        <f>IFERROR(F276/F272-1,"")</f>
        <v/>
      </c>
      <c r="AH276">
        <f>P276&gt;0</f>
        <v/>
      </c>
    </row>
    <row r="277">
      <c r="A277" s="14" t="n">
        <v>45382</v>
      </c>
      <c r="B277" t="n">
        <v>17743</v>
      </c>
      <c r="C277" t="inlineStr">
        <is>
          <t>SACO &amp; BIDDEFORD SAVINGS INSTITUTION</t>
        </is>
      </c>
      <c r="D277" t="inlineStr">
        <is>
          <t>ME</t>
        </is>
      </c>
      <c r="E277" t="n">
        <v>1393711</v>
      </c>
      <c r="F277" t="n">
        <v>978717</v>
      </c>
      <c r="G277" t="n">
        <v>122061</v>
      </c>
      <c r="H277" s="16" t="n">
        <v>-0.0366187223309691</v>
      </c>
      <c r="I277" s="16" t="n">
        <v>-0.42</v>
      </c>
      <c r="J277" s="16" t="n">
        <v>1.834835843099456</v>
      </c>
      <c r="K277" s="16" t="n">
        <v>3695</v>
      </c>
      <c r="L277" s="16" t="n">
        <v>-2</v>
      </c>
      <c r="M277" s="16" t="n">
        <v>0.3360227276860902</v>
      </c>
      <c r="N277" s="16" t="n">
        <v>8713</v>
      </c>
      <c r="O277" s="16" t="n">
        <v>0</v>
      </c>
      <c r="P277" s="16" t="n">
        <v>0</v>
      </c>
      <c r="Q277" t="n">
        <v>1099628</v>
      </c>
      <c r="R277" t="n">
        <v>1094942</v>
      </c>
      <c r="S277" t="n">
        <v>1062851</v>
      </c>
      <c r="T277" t="n">
        <v>15543</v>
      </c>
      <c r="U277" t="n">
        <v>9685</v>
      </c>
      <c r="V277" t="n">
        <v>0.4261441141913447</v>
      </c>
      <c r="W277" t="n">
        <v>-0.01</v>
      </c>
      <c r="X277" s="16">
        <f>IFERROR(K277/E277*100,"")</f>
        <v/>
      </c>
      <c r="Y277" s="16">
        <f>IFERROR((N277+O277)/E277*100,"")</f>
        <v/>
      </c>
      <c r="Z277" s="16">
        <f>IFERROR(R277/F277*100,"")</f>
        <v/>
      </c>
      <c r="AA277" s="16">
        <f>IFERROR(R277/E277*100,"")</f>
        <v/>
      </c>
      <c r="AB277" s="16">
        <f>IFERROR(S277/Q277*100,"")</f>
        <v/>
      </c>
      <c r="AC277" s="16">
        <f>IFERROR(T277/Q277*100,"")</f>
        <v/>
      </c>
      <c r="AD277" s="16">
        <f>IFERROR(U277/Q277*100,"")</f>
        <v/>
      </c>
      <c r="AE277" s="18">
        <f>IFERROR(E277/E273-1,"")</f>
        <v/>
      </c>
      <c r="AF277" s="18">
        <f>IFERROR(R277/R273-1,"")</f>
        <v/>
      </c>
      <c r="AG277" s="18">
        <f>IFERROR(F277/F273-1,"")</f>
        <v/>
      </c>
      <c r="AH277">
        <f>P277&gt;0</f>
        <v/>
      </c>
    </row>
    <row r="278">
      <c r="A278" s="14" t="n">
        <v>45473</v>
      </c>
      <c r="B278" t="n">
        <v>17743</v>
      </c>
      <c r="C278" t="inlineStr">
        <is>
          <t>SACO &amp; BIDDEFORD SAVINGS INSTITUTION</t>
        </is>
      </c>
      <c r="D278" t="inlineStr">
        <is>
          <t>ME</t>
        </is>
      </c>
      <c r="E278" t="n">
        <v>1404406</v>
      </c>
      <c r="F278" t="n">
        <v>980636</v>
      </c>
      <c r="G278" t="n">
        <v>121628</v>
      </c>
      <c r="H278" s="16" t="n">
        <v>-0.0312997808297457</v>
      </c>
      <c r="I278" s="16" t="n">
        <v>-0.36</v>
      </c>
      <c r="J278" s="16" t="n">
        <v>1.851737191405566</v>
      </c>
      <c r="K278" s="16" t="n">
        <v>3998</v>
      </c>
      <c r="L278" s="16" t="n">
        <v>-3</v>
      </c>
      <c r="M278" s="16" t="n">
        <v>0.3572018887563603</v>
      </c>
      <c r="N278" s="16" t="n">
        <v>1402</v>
      </c>
      <c r="O278" s="16" t="n">
        <v>0</v>
      </c>
      <c r="P278" s="16" t="n">
        <v>0</v>
      </c>
      <c r="Q278" t="n">
        <v>1119255</v>
      </c>
      <c r="R278" t="n">
        <v>1114569</v>
      </c>
      <c r="S278" t="n">
        <v>1079649</v>
      </c>
      <c r="T278" t="n">
        <v>18094</v>
      </c>
      <c r="U278" t="n">
        <v>10298</v>
      </c>
      <c r="V278" t="n">
        <v>0.4186713483522521</v>
      </c>
      <c r="W278" t="n">
        <v>0</v>
      </c>
      <c r="X278" s="16">
        <f>IFERROR(K278/E278*100,"")</f>
        <v/>
      </c>
      <c r="Y278" s="16">
        <f>IFERROR((N278+O278)/E278*100,"")</f>
        <v/>
      </c>
      <c r="Z278" s="16">
        <f>IFERROR(R278/F278*100,"")</f>
        <v/>
      </c>
      <c r="AA278" s="16">
        <f>IFERROR(R278/E278*100,"")</f>
        <v/>
      </c>
      <c r="AB278" s="16">
        <f>IFERROR(S278/Q278*100,"")</f>
        <v/>
      </c>
      <c r="AC278" s="16">
        <f>IFERROR(T278/Q278*100,"")</f>
        <v/>
      </c>
      <c r="AD278" s="16">
        <f>IFERROR(U278/Q278*100,"")</f>
        <v/>
      </c>
      <c r="AE278" s="18">
        <f>IFERROR(E278/E274-1,"")</f>
        <v/>
      </c>
      <c r="AF278" s="18">
        <f>IFERROR(R278/R274-1,"")</f>
        <v/>
      </c>
      <c r="AG278" s="18">
        <f>IFERROR(F278/F274-1,"")</f>
        <v/>
      </c>
      <c r="AH278">
        <f>P278&gt;0</f>
        <v/>
      </c>
    </row>
    <row r="279">
      <c r="A279" s="14" t="n">
        <v>45565</v>
      </c>
      <c r="B279" t="n">
        <v>17743</v>
      </c>
      <c r="C279" t="inlineStr">
        <is>
          <t>SACO &amp; BIDDEFORD SAVINGS INSTITUTION</t>
        </is>
      </c>
      <c r="D279" t="inlineStr">
        <is>
          <t>ME</t>
        </is>
      </c>
      <c r="E279" t="n">
        <v>1427194</v>
      </c>
      <c r="F279" t="n">
        <v>1006052</v>
      </c>
      <c r="G279" t="n">
        <v>126250</v>
      </c>
      <c r="H279" s="16" t="n">
        <v>0.0586009796050292</v>
      </c>
      <c r="I279" s="16" t="n">
        <v>0.67</v>
      </c>
      <c r="J279" s="16" t="n">
        <v>1.896478432155729</v>
      </c>
      <c r="K279" s="16" t="n">
        <v>1621</v>
      </c>
      <c r="L279" s="16" t="n">
        <v>-25</v>
      </c>
      <c r="M279" s="16" t="n">
        <v>0.1423904555352642</v>
      </c>
      <c r="N279" s="16" t="n">
        <v>779</v>
      </c>
      <c r="O279" s="16" t="n">
        <v>0</v>
      </c>
      <c r="P279" s="16" t="n">
        <v>0</v>
      </c>
      <c r="Q279" t="n">
        <v>1138419</v>
      </c>
      <c r="R279" t="n">
        <v>1133641</v>
      </c>
      <c r="S279" t="n">
        <v>1102493</v>
      </c>
      <c r="T279" t="n">
        <v>14864</v>
      </c>
      <c r="U279" t="n">
        <v>10164</v>
      </c>
      <c r="V279" t="n">
        <v>0.4197048714049923</v>
      </c>
      <c r="W279" t="n">
        <v>0</v>
      </c>
      <c r="X279" s="16">
        <f>IFERROR(K279/E279*100,"")</f>
        <v/>
      </c>
      <c r="Y279" s="16">
        <f>IFERROR((N279+O279)/E279*100,"")</f>
        <v/>
      </c>
      <c r="Z279" s="16">
        <f>IFERROR(R279/F279*100,"")</f>
        <v/>
      </c>
      <c r="AA279" s="16">
        <f>IFERROR(R279/E279*100,"")</f>
        <v/>
      </c>
      <c r="AB279" s="16">
        <f>IFERROR(S279/Q279*100,"")</f>
        <v/>
      </c>
      <c r="AC279" s="16">
        <f>IFERROR(T279/Q279*100,"")</f>
        <v/>
      </c>
      <c r="AD279" s="16">
        <f>IFERROR(U279/Q279*100,"")</f>
        <v/>
      </c>
      <c r="AE279" s="18">
        <f>IFERROR(E279/E275-1,"")</f>
        <v/>
      </c>
      <c r="AF279" s="18">
        <f>IFERROR(R279/R275-1,"")</f>
        <v/>
      </c>
      <c r="AG279" s="18">
        <f>IFERROR(F279/F275-1,"")</f>
        <v/>
      </c>
      <c r="AH279">
        <f>P279&gt;0</f>
        <v/>
      </c>
    </row>
    <row r="280">
      <c r="A280" s="14" t="n">
        <v>45657</v>
      </c>
      <c r="B280" t="n">
        <v>17743</v>
      </c>
      <c r="C280" t="inlineStr">
        <is>
          <t>SACO &amp; BIDDEFORD SAVINGS INSTITUTION</t>
        </is>
      </c>
      <c r="D280" t="inlineStr">
        <is>
          <t>ME</t>
        </is>
      </c>
      <c r="E280" t="n">
        <v>1411602</v>
      </c>
      <c r="F280" t="n">
        <v>1011066</v>
      </c>
      <c r="G280" t="n">
        <v>125438</v>
      </c>
      <c r="H280" s="16" t="n">
        <v>0.1077982524000963</v>
      </c>
      <c r="I280" s="16" t="n">
        <v>1.22</v>
      </c>
      <c r="J280" s="16" t="n">
        <v>1.927201788168805</v>
      </c>
      <c r="K280" s="16" t="n">
        <v>632</v>
      </c>
      <c r="L280" s="16" t="n">
        <v>-25</v>
      </c>
      <c r="M280" s="16" t="n">
        <v>0.0556284652264879</v>
      </c>
      <c r="N280" s="16" t="n">
        <v>5686</v>
      </c>
      <c r="O280" s="16" t="n">
        <v>0</v>
      </c>
      <c r="P280" s="16" t="n">
        <v>0</v>
      </c>
      <c r="Q280" t="n">
        <v>1136109</v>
      </c>
      <c r="R280" t="n">
        <v>1131331</v>
      </c>
      <c r="S280" t="n">
        <v>1098486</v>
      </c>
      <c r="T280" t="n">
        <v>16652</v>
      </c>
      <c r="U280" t="n">
        <v>10324</v>
      </c>
      <c r="V280" t="n">
        <v>0.4205582386901257</v>
      </c>
      <c r="W280" t="n">
        <v>0</v>
      </c>
      <c r="X280" s="16">
        <f>IFERROR(K280/E280*100,"")</f>
        <v/>
      </c>
      <c r="Y280" s="16">
        <f>IFERROR((N280+O280)/E280*100,"")</f>
        <v/>
      </c>
      <c r="Z280" s="16">
        <f>IFERROR(R280/F280*100,"")</f>
        <v/>
      </c>
      <c r="AA280" s="16">
        <f>IFERROR(R280/E280*100,"")</f>
        <v/>
      </c>
      <c r="AB280" s="16">
        <f>IFERROR(S280/Q280*100,"")</f>
        <v/>
      </c>
      <c r="AC280" s="16">
        <f>IFERROR(T280/Q280*100,"")</f>
        <v/>
      </c>
      <c r="AD280" s="16">
        <f>IFERROR(U280/Q280*100,"")</f>
        <v/>
      </c>
      <c r="AE280" s="18">
        <f>IFERROR(E280/E276-1,"")</f>
        <v/>
      </c>
      <c r="AF280" s="18">
        <f>IFERROR(R280/R276-1,"")</f>
        <v/>
      </c>
      <c r="AG280" s="18">
        <f>IFERROR(F280/F276-1,"")</f>
        <v/>
      </c>
      <c r="AH280">
        <f>P280&gt;0</f>
        <v/>
      </c>
    </row>
    <row r="281">
      <c r="A281" s="14" t="n">
        <v>45747</v>
      </c>
      <c r="B281" t="n">
        <v>17743</v>
      </c>
      <c r="C281" t="inlineStr">
        <is>
          <t>SACO &amp; BIDDEFORD SAVINGS INSTITUTION</t>
        </is>
      </c>
      <c r="D281" t="inlineStr">
        <is>
          <t>ME</t>
        </is>
      </c>
      <c r="E281" t="n">
        <v>1421036</v>
      </c>
      <c r="F281" t="n">
        <v>1011028</v>
      </c>
      <c r="G281" t="n">
        <v>126472</v>
      </c>
      <c r="H281" s="16" t="n">
        <v>-0.0132738457932146</v>
      </c>
      <c r="I281" s="16" t="n">
        <v>-0.15</v>
      </c>
      <c r="J281" s="16" t="n">
        <v>2.041736727538159</v>
      </c>
      <c r="K281" s="16" t="n">
        <v>757</v>
      </c>
      <c r="L281" s="16" t="n">
        <v>0</v>
      </c>
      <c r="M281" s="16" t="n">
        <v>0.0667822932527829</v>
      </c>
      <c r="N281" s="16" t="n">
        <v>6382</v>
      </c>
      <c r="O281" s="16" t="n">
        <v>0</v>
      </c>
      <c r="P281" s="16" t="n">
        <v>0</v>
      </c>
      <c r="Q281" t="n">
        <v>1133534</v>
      </c>
      <c r="R281" t="n">
        <v>1128756</v>
      </c>
      <c r="S281" t="n">
        <v>1096181</v>
      </c>
      <c r="T281" t="n">
        <v>16286</v>
      </c>
      <c r="U281" t="n">
        <v>10447</v>
      </c>
      <c r="V281" t="n">
        <v>0.4215136025915412</v>
      </c>
      <c r="W281" t="n">
        <v>0</v>
      </c>
      <c r="X281" s="16">
        <f>IFERROR(K281/E281*100,"")</f>
        <v/>
      </c>
      <c r="Y281" s="16">
        <f>IFERROR((N281+O281)/E281*100,"")</f>
        <v/>
      </c>
      <c r="Z281" s="16">
        <f>IFERROR(R281/F281*100,"")</f>
        <v/>
      </c>
      <c r="AA281" s="16">
        <f>IFERROR(R281/E281*100,"")</f>
        <v/>
      </c>
      <c r="AB281" s="16">
        <f>IFERROR(S281/Q281*100,"")</f>
        <v/>
      </c>
      <c r="AC281" s="16">
        <f>IFERROR(T281/Q281*100,"")</f>
        <v/>
      </c>
      <c r="AD281" s="16">
        <f>IFERROR(U281/Q281*100,"")</f>
        <v/>
      </c>
      <c r="AE281" s="18">
        <f>IFERROR(E281/E277-1,"")</f>
        <v/>
      </c>
      <c r="AF281" s="18">
        <f>IFERROR(R281/R277-1,"")</f>
        <v/>
      </c>
      <c r="AG281" s="18">
        <f>IFERROR(F281/F277-1,"")</f>
        <v/>
      </c>
      <c r="AH281">
        <f>P281&gt;0</f>
        <v/>
      </c>
    </row>
    <row r="282">
      <c r="A282" s="14" t="n">
        <v>45838</v>
      </c>
      <c r="B282" t="n">
        <v>17743</v>
      </c>
      <c r="C282" t="inlineStr">
        <is>
          <t>SACO &amp; BIDDEFORD SAVINGS INSTITUTION</t>
        </is>
      </c>
      <c r="D282" t="inlineStr">
        <is>
          <t>ME</t>
        </is>
      </c>
      <c r="E282" t="n">
        <v>1439697</v>
      </c>
      <c r="F282" t="n">
        <v>1017963</v>
      </c>
      <c r="G282" t="n">
        <v>126615</v>
      </c>
      <c r="H282" s="16" t="n">
        <v>0.06741044417162979</v>
      </c>
      <c r="I282" s="16" t="n">
        <v>0.76</v>
      </c>
      <c r="J282" s="16" t="n">
        <v>2.070110876045204</v>
      </c>
      <c r="K282" s="16" t="n">
        <v>407</v>
      </c>
      <c r="L282" s="16" t="n">
        <v>94</v>
      </c>
      <c r="M282" s="16" t="n">
        <v>0.0352716873212583</v>
      </c>
      <c r="N282" s="16" t="n">
        <v>1517</v>
      </c>
      <c r="O282" s="16" t="n">
        <v>0</v>
      </c>
      <c r="P282" s="16" t="n">
        <v>0</v>
      </c>
      <c r="Q282" t="n">
        <v>1153900</v>
      </c>
      <c r="R282" t="n">
        <v>1149086</v>
      </c>
      <c r="S282" t="n">
        <v>1110982</v>
      </c>
      <c r="T282" t="n">
        <v>22427</v>
      </c>
      <c r="U282" t="n">
        <v>10475</v>
      </c>
      <c r="V282" t="n">
        <v>0.4171938642863333</v>
      </c>
      <c r="W282" t="n">
        <v>0.03</v>
      </c>
      <c r="X282" s="16">
        <f>IFERROR(K282/E282*100,"")</f>
        <v/>
      </c>
      <c r="Y282" s="16">
        <f>IFERROR((N282+O282)/E282*100,"")</f>
        <v/>
      </c>
      <c r="Z282" s="16">
        <f>IFERROR(R282/F282*100,"")</f>
        <v/>
      </c>
      <c r="AA282" s="16">
        <f>IFERROR(R282/E282*100,"")</f>
        <v/>
      </c>
      <c r="AB282" s="16">
        <f>IFERROR(S282/Q282*100,"")</f>
        <v/>
      </c>
      <c r="AC282" s="16">
        <f>IFERROR(T282/Q282*100,"")</f>
        <v/>
      </c>
      <c r="AD282" s="16">
        <f>IFERROR(U282/Q282*100,"")</f>
        <v/>
      </c>
      <c r="AE282" s="18">
        <f>IFERROR(E282/E278-1,"")</f>
        <v/>
      </c>
      <c r="AF282" s="18">
        <f>IFERROR(R282/R278-1,"")</f>
        <v/>
      </c>
      <c r="AG282" s="18">
        <f>IFERROR(F282/F278-1,"")</f>
        <v/>
      </c>
      <c r="AH282">
        <f>P282&gt;0</f>
        <v/>
      </c>
    </row>
    <row r="283">
      <c r="A283" s="14" t="n">
        <v>44651</v>
      </c>
      <c r="B283" t="n">
        <v>17748</v>
      </c>
      <c r="C283" t="inlineStr">
        <is>
          <t>GORHAM SAVINGS BANK</t>
        </is>
      </c>
      <c r="D283" t="inlineStr">
        <is>
          <t>ME</t>
        </is>
      </c>
      <c r="E283" t="n">
        <v>1547967</v>
      </c>
      <c r="F283" t="n">
        <v>1360876</v>
      </c>
      <c r="G283" t="n">
        <v>122781</v>
      </c>
      <c r="H283" s="16" t="n">
        <v>-0.3061987766296763</v>
      </c>
      <c r="I283" s="16" t="n">
        <v>-3.64</v>
      </c>
      <c r="J283" s="16" t="n">
        <v>3.152644531482566</v>
      </c>
      <c r="K283" s="16" t="n">
        <v>7767</v>
      </c>
      <c r="L283" s="16" t="n">
        <v>47</v>
      </c>
      <c r="M283" s="16" t="n">
        <v>0.683927914156348</v>
      </c>
      <c r="N283" s="16" t="n">
        <v>2878</v>
      </c>
      <c r="O283" s="16" t="n">
        <v>0</v>
      </c>
      <c r="P283" s="16" t="n">
        <v>0</v>
      </c>
      <c r="Q283" t="n">
        <v>1135646</v>
      </c>
      <c r="R283" t="n">
        <v>1126405</v>
      </c>
      <c r="S283" t="n">
        <v>958834</v>
      </c>
      <c r="T283" t="n">
        <v>144260</v>
      </c>
      <c r="U283" t="n">
        <v>2958</v>
      </c>
      <c r="V283" t="n">
        <v>0.813721881642695</v>
      </c>
      <c r="W283" t="n">
        <v>-0.06</v>
      </c>
      <c r="X283" s="16">
        <f>IFERROR(K283/E283*100,"")</f>
        <v/>
      </c>
      <c r="Y283" s="16">
        <f>IFERROR((N283+O283)/E283*100,"")</f>
        <v/>
      </c>
      <c r="Z283" s="16">
        <f>IFERROR(R283/F283*100,"")</f>
        <v/>
      </c>
      <c r="AA283" s="16">
        <f>IFERROR(R283/E283*100,"")</f>
        <v/>
      </c>
      <c r="AB283" s="16">
        <f>IFERROR(S283/Q283*100,"")</f>
        <v/>
      </c>
      <c r="AC283" s="16">
        <f>IFERROR(T283/Q283*100,"")</f>
        <v/>
      </c>
      <c r="AD283" s="16">
        <f>IFERROR(U283/Q283*100,"")</f>
        <v/>
      </c>
      <c r="AE283" s="18" t="n"/>
      <c r="AF283" s="18" t="n"/>
      <c r="AG283" s="18" t="n"/>
      <c r="AH283">
        <f>P283&gt;0</f>
        <v/>
      </c>
    </row>
    <row r="284">
      <c r="A284" s="14" t="n">
        <v>44742</v>
      </c>
      <c r="B284" t="n">
        <v>17748</v>
      </c>
      <c r="C284" t="inlineStr">
        <is>
          <t>GORHAM SAVINGS BANK</t>
        </is>
      </c>
      <c r="D284" t="inlineStr">
        <is>
          <t>ME</t>
        </is>
      </c>
      <c r="E284" t="n">
        <v>1555791</v>
      </c>
      <c r="F284" t="n">
        <v>1381456</v>
      </c>
      <c r="G284" t="n">
        <v>113025</v>
      </c>
      <c r="H284" s="16" t="n">
        <v>0.2055563965485647</v>
      </c>
      <c r="I284" s="16" t="n">
        <v>2.56</v>
      </c>
      <c r="J284" s="16" t="n">
        <v>3.136100966704938</v>
      </c>
      <c r="K284" s="16" t="n">
        <v>7622</v>
      </c>
      <c r="L284" s="16" t="n">
        <v>100</v>
      </c>
      <c r="M284" s="16" t="n">
        <v>0.6512086490624458</v>
      </c>
      <c r="N284" s="16" t="n">
        <v>1109</v>
      </c>
      <c r="O284" s="16" t="n">
        <v>0</v>
      </c>
      <c r="P284" s="16" t="n">
        <v>0</v>
      </c>
      <c r="Q284" t="n">
        <v>1170439</v>
      </c>
      <c r="R284" t="n">
        <v>1160705</v>
      </c>
      <c r="S284" t="n">
        <v>984164</v>
      </c>
      <c r="T284" t="n">
        <v>151034</v>
      </c>
      <c r="U284" t="n">
        <v>2941</v>
      </c>
      <c r="V284" t="n">
        <v>0.8316537641004784</v>
      </c>
      <c r="W284" t="n">
        <v>0.04</v>
      </c>
      <c r="X284" s="16">
        <f>IFERROR(K284/E284*100,"")</f>
        <v/>
      </c>
      <c r="Y284" s="16">
        <f>IFERROR((N284+O284)/E284*100,"")</f>
        <v/>
      </c>
      <c r="Z284" s="16">
        <f>IFERROR(R284/F284*100,"")</f>
        <v/>
      </c>
      <c r="AA284" s="16">
        <f>IFERROR(R284/E284*100,"")</f>
        <v/>
      </c>
      <c r="AB284" s="16">
        <f>IFERROR(S284/Q284*100,"")</f>
        <v/>
      </c>
      <c r="AC284" s="16">
        <f>IFERROR(T284/Q284*100,"")</f>
        <v/>
      </c>
      <c r="AD284" s="16">
        <f>IFERROR(U284/Q284*100,"")</f>
        <v/>
      </c>
      <c r="AE284" s="18" t="n"/>
      <c r="AF284" s="18" t="n"/>
      <c r="AG284" s="18" t="n"/>
      <c r="AH284">
        <f>P284&gt;0</f>
        <v/>
      </c>
    </row>
    <row r="285">
      <c r="A285" s="14" t="n">
        <v>44834</v>
      </c>
      <c r="B285" t="n">
        <v>17748</v>
      </c>
      <c r="C285" t="inlineStr">
        <is>
          <t>GORHAM SAVINGS BANK</t>
        </is>
      </c>
      <c r="D285" t="inlineStr">
        <is>
          <t>ME</t>
        </is>
      </c>
      <c r="E285" t="n">
        <v>1552351</v>
      </c>
      <c r="F285" t="n">
        <v>1377805</v>
      </c>
      <c r="G285" t="n">
        <v>102427</v>
      </c>
      <c r="H285" s="16" t="n">
        <v>0.3680364964304688</v>
      </c>
      <c r="I285" s="16" t="n">
        <v>4.8</v>
      </c>
      <c r="J285" s="16" t="n">
        <v>3.108022296879278</v>
      </c>
      <c r="K285" s="16" t="n">
        <v>6350</v>
      </c>
      <c r="L285" s="16" t="n">
        <v>196</v>
      </c>
      <c r="M285" s="16" t="n">
        <v>0.5373723423341085</v>
      </c>
      <c r="N285" s="16" t="n">
        <v>318</v>
      </c>
      <c r="O285" s="16" t="n">
        <v>0</v>
      </c>
      <c r="P285" s="16" t="n">
        <v>0</v>
      </c>
      <c r="Q285" t="n">
        <v>1181676</v>
      </c>
      <c r="R285" t="n">
        <v>1172003</v>
      </c>
      <c r="S285" t="n">
        <v>1007459</v>
      </c>
      <c r="T285" t="n">
        <v>140498</v>
      </c>
      <c r="U285" t="n">
        <v>3081</v>
      </c>
      <c r="V285" t="n">
        <v>0.8185830972280049</v>
      </c>
      <c r="W285" t="n">
        <v>0.03</v>
      </c>
      <c r="X285" s="16">
        <f>IFERROR(K285/E285*100,"")</f>
        <v/>
      </c>
      <c r="Y285" s="16">
        <f>IFERROR((N285+O285)/E285*100,"")</f>
        <v/>
      </c>
      <c r="Z285" s="16">
        <f>IFERROR(R285/F285*100,"")</f>
        <v/>
      </c>
      <c r="AA285" s="16">
        <f>IFERROR(R285/E285*100,"")</f>
        <v/>
      </c>
      <c r="AB285" s="16">
        <f>IFERROR(S285/Q285*100,"")</f>
        <v/>
      </c>
      <c r="AC285" s="16">
        <f>IFERROR(T285/Q285*100,"")</f>
        <v/>
      </c>
      <c r="AD285" s="16">
        <f>IFERROR(U285/Q285*100,"")</f>
        <v/>
      </c>
      <c r="AE285" s="18" t="n"/>
      <c r="AF285" s="18" t="n"/>
      <c r="AG285" s="18" t="n"/>
      <c r="AH285">
        <f>P285&gt;0</f>
        <v/>
      </c>
    </row>
    <row r="286">
      <c r="A286" s="14" t="n">
        <v>44926</v>
      </c>
      <c r="B286" t="n">
        <v>17748</v>
      </c>
      <c r="C286" t="inlineStr">
        <is>
          <t>GORHAM SAVINGS BANK</t>
        </is>
      </c>
      <c r="D286" t="inlineStr">
        <is>
          <t>ME</t>
        </is>
      </c>
      <c r="E286" t="n">
        <v>1607984</v>
      </c>
      <c r="F286" t="n">
        <v>1349761</v>
      </c>
      <c r="G286" t="n">
        <v>106514</v>
      </c>
      <c r="H286" s="16" t="n">
        <v>0.3990099837064517</v>
      </c>
      <c r="I286" s="16" t="n">
        <v>5.35</v>
      </c>
      <c r="J286" s="16" t="n">
        <v>3.034703127404098</v>
      </c>
      <c r="K286" s="16" t="n">
        <v>6143</v>
      </c>
      <c r="L286" s="16" t="n">
        <v>242</v>
      </c>
      <c r="M286" s="16" t="n">
        <v>0.4949222731136274</v>
      </c>
      <c r="N286" s="16" t="n">
        <v>3233</v>
      </c>
      <c r="O286" s="16" t="n">
        <v>0</v>
      </c>
      <c r="P286" s="16" t="n">
        <v>0</v>
      </c>
      <c r="Q286" t="n">
        <v>1241205</v>
      </c>
      <c r="R286" t="n">
        <v>1231058</v>
      </c>
      <c r="S286" t="n">
        <v>1039935</v>
      </c>
      <c r="T286" t="n">
        <v>166333</v>
      </c>
      <c r="U286" t="n">
        <v>3017</v>
      </c>
      <c r="V286" t="n">
        <v>0.8175120145342631</v>
      </c>
      <c r="W286" t="n">
        <v>0.06</v>
      </c>
      <c r="X286" s="16">
        <f>IFERROR(K286/E286*100,"")</f>
        <v/>
      </c>
      <c r="Y286" s="16">
        <f>IFERROR((N286+O286)/E286*100,"")</f>
        <v/>
      </c>
      <c r="Z286" s="16">
        <f>IFERROR(R286/F286*100,"")</f>
        <v/>
      </c>
      <c r="AA286" s="16">
        <f>IFERROR(R286/E286*100,"")</f>
        <v/>
      </c>
      <c r="AB286" s="16">
        <f>IFERROR(S286/Q286*100,"")</f>
        <v/>
      </c>
      <c r="AC286" s="16">
        <f>IFERROR(T286/Q286*100,"")</f>
        <v/>
      </c>
      <c r="AD286" s="16">
        <f>IFERROR(U286/Q286*100,"")</f>
        <v/>
      </c>
      <c r="AE286" s="18" t="n"/>
      <c r="AF286" s="18" t="n"/>
      <c r="AG286" s="18" t="n"/>
      <c r="AH286">
        <f>P286&gt;0</f>
        <v/>
      </c>
    </row>
    <row r="287">
      <c r="A287" s="14" t="n">
        <v>45016</v>
      </c>
      <c r="B287" t="n">
        <v>17748</v>
      </c>
      <c r="C287" t="inlineStr">
        <is>
          <t>GORHAM SAVINGS BANK</t>
        </is>
      </c>
      <c r="D287" t="inlineStr">
        <is>
          <t>ME</t>
        </is>
      </c>
      <c r="E287" t="n">
        <v>1649776</v>
      </c>
      <c r="F287" t="n">
        <v>1413359</v>
      </c>
      <c r="G287" t="n">
        <v>110285</v>
      </c>
      <c r="H287" s="16" t="n">
        <v>0.1112420804479151</v>
      </c>
      <c r="I287" s="16" t="n">
        <v>1.67</v>
      </c>
      <c r="J287" s="16" t="n">
        <v>2.552482268568392</v>
      </c>
      <c r="K287" s="16" t="n">
        <v>6401</v>
      </c>
      <c r="L287" s="16" t="n">
        <v>1111</v>
      </c>
      <c r="M287" s="16" t="n">
        <v>0.5131609221664515</v>
      </c>
      <c r="N287" s="16" t="n">
        <v>2887</v>
      </c>
      <c r="O287" s="16" t="n">
        <v>0</v>
      </c>
      <c r="P287" s="16" t="n">
        <v>0</v>
      </c>
      <c r="Q287" t="n">
        <v>1247367</v>
      </c>
      <c r="R287" t="n">
        <v>1237527</v>
      </c>
      <c r="S287" t="n">
        <v>1051242</v>
      </c>
      <c r="T287" t="n">
        <v>161096</v>
      </c>
      <c r="U287" t="n">
        <v>3255</v>
      </c>
      <c r="V287" t="n">
        <v>0.7888616581968257</v>
      </c>
      <c r="W287" t="n">
        <v>0.2</v>
      </c>
      <c r="X287" s="16">
        <f>IFERROR(K287/E287*100,"")</f>
        <v/>
      </c>
      <c r="Y287" s="16">
        <f>IFERROR((N287+O287)/E287*100,"")</f>
        <v/>
      </c>
      <c r="Z287" s="16">
        <f>IFERROR(R287/F287*100,"")</f>
        <v/>
      </c>
      <c r="AA287" s="16">
        <f>IFERROR(R287/E287*100,"")</f>
        <v/>
      </c>
      <c r="AB287" s="16">
        <f>IFERROR(S287/Q287*100,"")</f>
        <v/>
      </c>
      <c r="AC287" s="16">
        <f>IFERROR(T287/Q287*100,"")</f>
        <v/>
      </c>
      <c r="AD287" s="16">
        <f>IFERROR(U287/Q287*100,"")</f>
        <v/>
      </c>
      <c r="AE287" s="18">
        <f>IFERROR(E287/E283-1,"")</f>
        <v/>
      </c>
      <c r="AF287" s="18">
        <f>IFERROR(R287/R283-1,"")</f>
        <v/>
      </c>
      <c r="AG287" s="18">
        <f>IFERROR(F287/F283-1,"")</f>
        <v/>
      </c>
      <c r="AH287">
        <f>P287&gt;0</f>
        <v/>
      </c>
    </row>
    <row r="288">
      <c r="A288" s="14" t="n">
        <v>45107</v>
      </c>
      <c r="B288" t="n">
        <v>17748</v>
      </c>
      <c r="C288" t="inlineStr">
        <is>
          <t>GORHAM SAVINGS BANK</t>
        </is>
      </c>
      <c r="D288" t="inlineStr">
        <is>
          <t>ME</t>
        </is>
      </c>
      <c r="E288" t="n">
        <v>1638948</v>
      </c>
      <c r="F288" t="n">
        <v>1352478</v>
      </c>
      <c r="G288" t="n">
        <v>107830</v>
      </c>
      <c r="H288" s="16" t="n">
        <v>0.1861250456429095</v>
      </c>
      <c r="I288" s="16" t="n">
        <v>2.81</v>
      </c>
      <c r="J288" s="16" t="n">
        <v>2.482374464997932</v>
      </c>
      <c r="K288" s="16" t="n">
        <v>6702</v>
      </c>
      <c r="L288" s="16" t="n">
        <v>1110</v>
      </c>
      <c r="M288" s="16" t="n">
        <v>0.529110971986803</v>
      </c>
      <c r="N288" s="16" t="n">
        <v>1943</v>
      </c>
      <c r="O288" s="16" t="n">
        <v>0</v>
      </c>
      <c r="P288" s="16" t="n">
        <v>0</v>
      </c>
      <c r="Q288" t="n">
        <v>1266653</v>
      </c>
      <c r="R288" t="n">
        <v>1255356</v>
      </c>
      <c r="S288" t="n">
        <v>1048029</v>
      </c>
      <c r="T288" t="n">
        <v>181251</v>
      </c>
      <c r="U288" t="n">
        <v>3607</v>
      </c>
      <c r="V288" t="n">
        <v>0.8918780439473162</v>
      </c>
      <c r="W288" t="n">
        <v>0.1</v>
      </c>
      <c r="X288" s="16">
        <f>IFERROR(K288/E288*100,"")</f>
        <v/>
      </c>
      <c r="Y288" s="16">
        <f>IFERROR((N288+O288)/E288*100,"")</f>
        <v/>
      </c>
      <c r="Z288" s="16">
        <f>IFERROR(R288/F288*100,"")</f>
        <v/>
      </c>
      <c r="AA288" s="16">
        <f>IFERROR(R288/E288*100,"")</f>
        <v/>
      </c>
      <c r="AB288" s="16">
        <f>IFERROR(S288/Q288*100,"")</f>
        <v/>
      </c>
      <c r="AC288" s="16">
        <f>IFERROR(T288/Q288*100,"")</f>
        <v/>
      </c>
      <c r="AD288" s="16">
        <f>IFERROR(U288/Q288*100,"")</f>
        <v/>
      </c>
      <c r="AE288" s="18">
        <f>IFERROR(E288/E284-1,"")</f>
        <v/>
      </c>
      <c r="AF288" s="18">
        <f>IFERROR(R288/R284-1,"")</f>
        <v/>
      </c>
      <c r="AG288" s="18">
        <f>IFERROR(F288/F284-1,"")</f>
        <v/>
      </c>
      <c r="AH288">
        <f>P288&gt;0</f>
        <v/>
      </c>
    </row>
    <row r="289">
      <c r="A289" s="14" t="n">
        <v>45199</v>
      </c>
      <c r="B289" t="n">
        <v>17748</v>
      </c>
      <c r="C289" t="inlineStr">
        <is>
          <t>GORHAM SAVINGS BANK</t>
        </is>
      </c>
      <c r="D289" t="inlineStr">
        <is>
          <t>ME</t>
        </is>
      </c>
      <c r="E289" t="n">
        <v>1637222</v>
      </c>
      <c r="F289" t="n">
        <v>1377757</v>
      </c>
      <c r="G289" t="n">
        <v>100984</v>
      </c>
      <c r="H289" s="16" t="n">
        <v>0.2569497010222025</v>
      </c>
      <c r="I289" s="16" t="n">
        <v>3.94</v>
      </c>
      <c r="J289" s="16" t="n">
        <v>2.507250175770471</v>
      </c>
      <c r="K289" s="16" t="n">
        <v>6912</v>
      </c>
      <c r="L289" s="16" t="n">
        <v>1118</v>
      </c>
      <c r="M289" s="16" t="n">
        <v>0.5413677995811292</v>
      </c>
      <c r="N289" s="16" t="n">
        <v>1286</v>
      </c>
      <c r="O289" s="16" t="n">
        <v>0</v>
      </c>
      <c r="P289" s="16" t="n">
        <v>0</v>
      </c>
      <c r="Q289" t="n">
        <v>1276766</v>
      </c>
      <c r="R289" t="n">
        <v>1266889</v>
      </c>
      <c r="S289" t="n">
        <v>1059712</v>
      </c>
      <c r="T289" t="n">
        <v>181024</v>
      </c>
      <c r="U289" t="n">
        <v>3627</v>
      </c>
      <c r="V289" t="n">
        <v>0.7735951615252913</v>
      </c>
      <c r="W289" t="n">
        <v>0.03</v>
      </c>
      <c r="X289" s="16">
        <f>IFERROR(K289/E289*100,"")</f>
        <v/>
      </c>
      <c r="Y289" s="16">
        <f>IFERROR((N289+O289)/E289*100,"")</f>
        <v/>
      </c>
      <c r="Z289" s="16">
        <f>IFERROR(R289/F289*100,"")</f>
        <v/>
      </c>
      <c r="AA289" s="16">
        <f>IFERROR(R289/E289*100,"")</f>
        <v/>
      </c>
      <c r="AB289" s="16">
        <f>IFERROR(S289/Q289*100,"")</f>
        <v/>
      </c>
      <c r="AC289" s="16">
        <f>IFERROR(T289/Q289*100,"")</f>
        <v/>
      </c>
      <c r="AD289" s="16">
        <f>IFERROR(U289/Q289*100,"")</f>
        <v/>
      </c>
      <c r="AE289" s="18">
        <f>IFERROR(E289/E285-1,"")</f>
        <v/>
      </c>
      <c r="AF289" s="18">
        <f>IFERROR(R289/R285-1,"")</f>
        <v/>
      </c>
      <c r="AG289" s="18">
        <f>IFERROR(F289/F285-1,"")</f>
        <v/>
      </c>
      <c r="AH289">
        <f>P289&gt;0</f>
        <v/>
      </c>
    </row>
    <row r="290">
      <c r="A290" s="14" t="n">
        <v>45291</v>
      </c>
      <c r="B290" t="n">
        <v>17748</v>
      </c>
      <c r="C290" t="inlineStr">
        <is>
          <t>GORHAM SAVINGS BANK</t>
        </is>
      </c>
      <c r="D290" t="inlineStr">
        <is>
          <t>ME</t>
        </is>
      </c>
      <c r="E290" t="n">
        <v>1668860</v>
      </c>
      <c r="F290" t="n">
        <v>1336828</v>
      </c>
      <c r="G290" t="n">
        <v>114376</v>
      </c>
      <c r="H290" s="16" t="n">
        <v>0.3222074440525723</v>
      </c>
      <c r="I290" s="16" t="n">
        <v>4.89</v>
      </c>
      <c r="J290" s="16" t="n">
        <v>2.483107379045266</v>
      </c>
      <c r="K290" s="16" t="n">
        <v>7520</v>
      </c>
      <c r="L290" s="16" t="n">
        <v>1213</v>
      </c>
      <c r="M290" s="16" t="n">
        <v>0.5875610512654831</v>
      </c>
      <c r="N290" s="16" t="n">
        <v>8168</v>
      </c>
      <c r="O290" s="16" t="n">
        <v>0</v>
      </c>
      <c r="P290" s="16" t="n">
        <v>0</v>
      </c>
      <c r="Q290" t="n">
        <v>1279867</v>
      </c>
      <c r="R290" t="n">
        <v>1269952</v>
      </c>
      <c r="S290" t="n">
        <v>1067583</v>
      </c>
      <c r="T290" t="n">
        <v>175931</v>
      </c>
      <c r="U290" t="n">
        <v>3416</v>
      </c>
      <c r="V290" t="n">
        <v>0.7746898701193171</v>
      </c>
      <c r="W290" t="n">
        <v>-0.04</v>
      </c>
      <c r="X290" s="16">
        <f>IFERROR(K290/E290*100,"")</f>
        <v/>
      </c>
      <c r="Y290" s="16">
        <f>IFERROR((N290+O290)/E290*100,"")</f>
        <v/>
      </c>
      <c r="Z290" s="16">
        <f>IFERROR(R290/F290*100,"")</f>
        <v/>
      </c>
      <c r="AA290" s="16">
        <f>IFERROR(R290/E290*100,"")</f>
        <v/>
      </c>
      <c r="AB290" s="16">
        <f>IFERROR(S290/Q290*100,"")</f>
        <v/>
      </c>
      <c r="AC290" s="16">
        <f>IFERROR(T290/Q290*100,"")</f>
        <v/>
      </c>
      <c r="AD290" s="16">
        <f>IFERROR(U290/Q290*100,"")</f>
        <v/>
      </c>
      <c r="AE290" s="18">
        <f>IFERROR(E290/E286-1,"")</f>
        <v/>
      </c>
      <c r="AF290" s="18">
        <f>IFERROR(R290/R286-1,"")</f>
        <v/>
      </c>
      <c r="AG290" s="18">
        <f>IFERROR(F290/F286-1,"")</f>
        <v/>
      </c>
      <c r="AH290">
        <f>P290&gt;0</f>
        <v/>
      </c>
    </row>
    <row r="291">
      <c r="A291" s="14" t="n">
        <v>45382</v>
      </c>
      <c r="B291" t="n">
        <v>17748</v>
      </c>
      <c r="C291" t="inlineStr">
        <is>
          <t>GORHAM SAVINGS BANK</t>
        </is>
      </c>
      <c r="D291" t="inlineStr">
        <is>
          <t>ME</t>
        </is>
      </c>
      <c r="E291" t="n">
        <v>1644996</v>
      </c>
      <c r="F291" t="n">
        <v>1346317</v>
      </c>
      <c r="G291" t="n">
        <v>112176</v>
      </c>
      <c r="H291" s="16" t="n">
        <v>0.1863689912899051</v>
      </c>
      <c r="I291" s="16" t="n">
        <v>2.73</v>
      </c>
      <c r="J291" s="16" t="n">
        <v>2.343297643539949</v>
      </c>
      <c r="K291" s="16" t="n">
        <v>9414</v>
      </c>
      <c r="L291" s="16" t="n">
        <v>326</v>
      </c>
      <c r="M291" s="16" t="n">
        <v>0.7440573810982236</v>
      </c>
      <c r="N291" s="16" t="n">
        <v>726</v>
      </c>
      <c r="O291" s="16" t="n">
        <v>0</v>
      </c>
      <c r="P291" s="16" t="n">
        <v>0</v>
      </c>
      <c r="Q291" t="n">
        <v>1265225</v>
      </c>
      <c r="R291" t="n">
        <v>1255473</v>
      </c>
      <c r="S291" t="n">
        <v>1052324</v>
      </c>
      <c r="T291" t="n">
        <v>176024</v>
      </c>
      <c r="U291" t="n">
        <v>3218</v>
      </c>
      <c r="V291" t="n">
        <v>0.7707719970756189</v>
      </c>
      <c r="W291" t="n">
        <v>0.03</v>
      </c>
      <c r="X291" s="16">
        <f>IFERROR(K291/E291*100,"")</f>
        <v/>
      </c>
      <c r="Y291" s="16">
        <f>IFERROR((N291+O291)/E291*100,"")</f>
        <v/>
      </c>
      <c r="Z291" s="16">
        <f>IFERROR(R291/F291*100,"")</f>
        <v/>
      </c>
      <c r="AA291" s="16">
        <f>IFERROR(R291/E291*100,"")</f>
        <v/>
      </c>
      <c r="AB291" s="16">
        <f>IFERROR(S291/Q291*100,"")</f>
        <v/>
      </c>
      <c r="AC291" s="16">
        <f>IFERROR(T291/Q291*100,"")</f>
        <v/>
      </c>
      <c r="AD291" s="16">
        <f>IFERROR(U291/Q291*100,"")</f>
        <v/>
      </c>
      <c r="AE291" s="18">
        <f>IFERROR(E291/E287-1,"")</f>
        <v/>
      </c>
      <c r="AF291" s="18">
        <f>IFERROR(R291/R287-1,"")</f>
        <v/>
      </c>
      <c r="AG291" s="18">
        <f>IFERROR(F291/F287-1,"")</f>
        <v/>
      </c>
      <c r="AH291">
        <f>P291&gt;0</f>
        <v/>
      </c>
    </row>
    <row r="292">
      <c r="A292" s="14" t="n">
        <v>45473</v>
      </c>
      <c r="B292" t="n">
        <v>17748</v>
      </c>
      <c r="C292" t="inlineStr">
        <is>
          <t>GORHAM SAVINGS BANK</t>
        </is>
      </c>
      <c r="D292" t="inlineStr">
        <is>
          <t>ME</t>
        </is>
      </c>
      <c r="E292" t="n">
        <v>1653584</v>
      </c>
      <c r="F292" t="n">
        <v>1349536</v>
      </c>
      <c r="G292" t="n">
        <v>113727</v>
      </c>
      <c r="H292" s="16" t="n">
        <v>0.2799832509300565</v>
      </c>
      <c r="I292" s="16" t="n">
        <v>4.09</v>
      </c>
      <c r="J292" s="16" t="n">
        <v>2.365552549625785</v>
      </c>
      <c r="K292" s="16" t="n">
        <v>7932</v>
      </c>
      <c r="L292" s="16" t="n">
        <v>-7</v>
      </c>
      <c r="M292" s="16" t="n">
        <v>0.6247253240585408</v>
      </c>
      <c r="N292" s="16" t="n">
        <v>10728</v>
      </c>
      <c r="O292" s="16" t="n">
        <v>0</v>
      </c>
      <c r="P292" s="16" t="n">
        <v>0</v>
      </c>
      <c r="Q292" t="n">
        <v>1269678</v>
      </c>
      <c r="R292" t="n">
        <v>1260522</v>
      </c>
      <c r="S292" t="n">
        <v>1060225</v>
      </c>
      <c r="T292" t="n">
        <v>171859</v>
      </c>
      <c r="U292" t="n">
        <v>3225</v>
      </c>
      <c r="V292" t="n">
        <v>0.72112771899647</v>
      </c>
      <c r="W292" t="n">
        <v>-0.08</v>
      </c>
      <c r="X292" s="16">
        <f>IFERROR(K292/E292*100,"")</f>
        <v/>
      </c>
      <c r="Y292" s="16">
        <f>IFERROR((N292+O292)/E292*100,"")</f>
        <v/>
      </c>
      <c r="Z292" s="16">
        <f>IFERROR(R292/F292*100,"")</f>
        <v/>
      </c>
      <c r="AA292" s="16">
        <f>IFERROR(R292/E292*100,"")</f>
        <v/>
      </c>
      <c r="AB292" s="16">
        <f>IFERROR(S292/Q292*100,"")</f>
        <v/>
      </c>
      <c r="AC292" s="16">
        <f>IFERROR(T292/Q292*100,"")</f>
        <v/>
      </c>
      <c r="AD292" s="16">
        <f>IFERROR(U292/Q292*100,"")</f>
        <v/>
      </c>
      <c r="AE292" s="18">
        <f>IFERROR(E292/E288-1,"")</f>
        <v/>
      </c>
      <c r="AF292" s="18">
        <f>IFERROR(R292/R288-1,"")</f>
        <v/>
      </c>
      <c r="AG292" s="18">
        <f>IFERROR(F292/F288-1,"")</f>
        <v/>
      </c>
      <c r="AH292">
        <f>P292&gt;0</f>
        <v/>
      </c>
    </row>
    <row r="293">
      <c r="A293" s="14" t="n">
        <v>45565</v>
      </c>
      <c r="B293" t="n">
        <v>17748</v>
      </c>
      <c r="C293" t="inlineStr">
        <is>
          <t>GORHAM SAVINGS BANK</t>
        </is>
      </c>
      <c r="D293" t="inlineStr">
        <is>
          <t>ME</t>
        </is>
      </c>
      <c r="E293" t="n">
        <v>1623796</v>
      </c>
      <c r="F293" t="n">
        <v>1375485</v>
      </c>
      <c r="G293" t="n">
        <v>122957</v>
      </c>
      <c r="H293" s="16" t="n">
        <v>0.3567476388343552</v>
      </c>
      <c r="I293" s="16" t="n">
        <v>5.08</v>
      </c>
      <c r="J293" s="16" t="n">
        <v>2.494601347266165</v>
      </c>
      <c r="K293" s="16" t="n">
        <v>5501</v>
      </c>
      <c r="L293" s="16" t="n">
        <v>-239</v>
      </c>
      <c r="M293" s="16" t="n">
        <v>0.4391185061190018</v>
      </c>
      <c r="N293" s="16" t="n">
        <v>1443</v>
      </c>
      <c r="O293" s="16" t="n">
        <v>0</v>
      </c>
      <c r="P293" s="16" t="n">
        <v>0</v>
      </c>
      <c r="Q293" t="n">
        <v>1252737</v>
      </c>
      <c r="R293" t="n">
        <v>1243852</v>
      </c>
      <c r="S293" t="n">
        <v>1057786</v>
      </c>
      <c r="T293" t="n">
        <v>156031</v>
      </c>
      <c r="U293" t="n">
        <v>3252</v>
      </c>
      <c r="V293" t="n">
        <v>0.7092470326972062</v>
      </c>
      <c r="W293" t="n">
        <v>-0.1</v>
      </c>
      <c r="X293" s="16">
        <f>IFERROR(K293/E293*100,"")</f>
        <v/>
      </c>
      <c r="Y293" s="16">
        <f>IFERROR((N293+O293)/E293*100,"")</f>
        <v/>
      </c>
      <c r="Z293" s="16">
        <f>IFERROR(R293/F293*100,"")</f>
        <v/>
      </c>
      <c r="AA293" s="16">
        <f>IFERROR(R293/E293*100,"")</f>
        <v/>
      </c>
      <c r="AB293" s="16">
        <f>IFERROR(S293/Q293*100,"")</f>
        <v/>
      </c>
      <c r="AC293" s="16">
        <f>IFERROR(T293/Q293*100,"")</f>
        <v/>
      </c>
      <c r="AD293" s="16">
        <f>IFERROR(U293/Q293*100,"")</f>
        <v/>
      </c>
      <c r="AE293" s="18">
        <f>IFERROR(E293/E289-1,"")</f>
        <v/>
      </c>
      <c r="AF293" s="18">
        <f>IFERROR(R293/R289-1,"")</f>
        <v/>
      </c>
      <c r="AG293" s="18">
        <f>IFERROR(F293/F289-1,"")</f>
        <v/>
      </c>
      <c r="AH293">
        <f>P293&gt;0</f>
        <v/>
      </c>
    </row>
    <row r="294">
      <c r="A294" s="14" t="n">
        <v>45657</v>
      </c>
      <c r="B294" t="n">
        <v>17748</v>
      </c>
      <c r="C294" t="inlineStr">
        <is>
          <t>GORHAM SAVINGS BANK</t>
        </is>
      </c>
      <c r="D294" t="inlineStr">
        <is>
          <t>ME</t>
        </is>
      </c>
      <c r="E294" t="n">
        <v>1608101</v>
      </c>
      <c r="F294" t="n">
        <v>1393920</v>
      </c>
      <c r="G294" t="n">
        <v>116220</v>
      </c>
      <c r="H294" s="16" t="n">
        <v>0.3297217811635258</v>
      </c>
      <c r="I294" s="16" t="n">
        <v>4.67</v>
      </c>
      <c r="J294" s="16" t="n">
        <v>2.482462405180626</v>
      </c>
      <c r="K294" s="16" t="n">
        <v>6153</v>
      </c>
      <c r="L294" s="16" t="n">
        <v>-206</v>
      </c>
      <c r="M294" s="16" t="n">
        <v>0.481419989453045</v>
      </c>
      <c r="N294" s="16" t="n">
        <v>5364</v>
      </c>
      <c r="O294" s="16" t="n">
        <v>0</v>
      </c>
      <c r="P294" s="16" t="n">
        <v>0</v>
      </c>
      <c r="Q294" t="n">
        <v>1278094</v>
      </c>
      <c r="R294" t="n">
        <v>1268666</v>
      </c>
      <c r="S294" t="n">
        <v>1056120</v>
      </c>
      <c r="T294" t="n">
        <v>181997</v>
      </c>
      <c r="U294" t="n">
        <v>3204</v>
      </c>
      <c r="V294" t="n">
        <v>0.73766092321848</v>
      </c>
      <c r="W294" t="n">
        <v>-0.04</v>
      </c>
      <c r="X294" s="16">
        <f>IFERROR(K294/E294*100,"")</f>
        <v/>
      </c>
      <c r="Y294" s="16">
        <f>IFERROR((N294+O294)/E294*100,"")</f>
        <v/>
      </c>
      <c r="Z294" s="16">
        <f>IFERROR(R294/F294*100,"")</f>
        <v/>
      </c>
      <c r="AA294" s="16">
        <f>IFERROR(R294/E294*100,"")</f>
        <v/>
      </c>
      <c r="AB294" s="16">
        <f>IFERROR(S294/Q294*100,"")</f>
        <v/>
      </c>
      <c r="AC294" s="16">
        <f>IFERROR(T294/Q294*100,"")</f>
        <v/>
      </c>
      <c r="AD294" s="16">
        <f>IFERROR(U294/Q294*100,"")</f>
        <v/>
      </c>
      <c r="AE294" s="18">
        <f>IFERROR(E294/E290-1,"")</f>
        <v/>
      </c>
      <c r="AF294" s="18">
        <f>IFERROR(R294/R290-1,"")</f>
        <v/>
      </c>
      <c r="AG294" s="18">
        <f>IFERROR(F294/F290-1,"")</f>
        <v/>
      </c>
      <c r="AH294">
        <f>P294&gt;0</f>
        <v/>
      </c>
    </row>
    <row r="295">
      <c r="A295" s="14" t="n">
        <v>44651</v>
      </c>
      <c r="B295" t="n">
        <v>17749</v>
      </c>
      <c r="C295" t="inlineStr">
        <is>
          <t>BATH SAVINGS INSTITUTION</t>
        </is>
      </c>
      <c r="D295" t="inlineStr">
        <is>
          <t>ME</t>
        </is>
      </c>
      <c r="E295" t="n">
        <v>1206621</v>
      </c>
      <c r="F295" t="n">
        <v>984705</v>
      </c>
      <c r="G295" t="n">
        <v>164326</v>
      </c>
      <c r="H295" s="16" t="n">
        <v>0.1782864066054621</v>
      </c>
      <c r="I295" s="16" t="n">
        <v>1.25</v>
      </c>
      <c r="J295" s="16" t="n">
        <v>2.798472626580005</v>
      </c>
      <c r="K295" s="16" t="n">
        <v>225</v>
      </c>
      <c r="L295" s="16" t="n">
        <v>1</v>
      </c>
      <c r="M295" s="16" t="n">
        <v>0.0378503409534681</v>
      </c>
      <c r="N295" s="16" t="n">
        <v>305</v>
      </c>
      <c r="O295" s="16" t="n">
        <v>27</v>
      </c>
      <c r="P295" s="16" t="n">
        <v>0</v>
      </c>
      <c r="Q295" t="n">
        <v>665780</v>
      </c>
      <c r="R295" t="n">
        <v>656163</v>
      </c>
      <c r="S295" t="n">
        <v>595069</v>
      </c>
      <c r="T295" t="n">
        <v>50144</v>
      </c>
      <c r="U295" t="n">
        <v>10017</v>
      </c>
      <c r="V295" t="n">
        <v>1.444471146625011</v>
      </c>
      <c r="W295" t="n">
        <v>0.05</v>
      </c>
      <c r="X295" s="16">
        <f>IFERROR(K295/E295*100,"")</f>
        <v/>
      </c>
      <c r="Y295" s="16">
        <f>IFERROR((N295+O295)/E295*100,"")</f>
        <v/>
      </c>
      <c r="Z295" s="16">
        <f>IFERROR(R295/F295*100,"")</f>
        <v/>
      </c>
      <c r="AA295" s="16">
        <f>IFERROR(R295/E295*100,"")</f>
        <v/>
      </c>
      <c r="AB295" s="16">
        <f>IFERROR(S295/Q295*100,"")</f>
        <v/>
      </c>
      <c r="AC295" s="16">
        <f>IFERROR(T295/Q295*100,"")</f>
        <v/>
      </c>
      <c r="AD295" s="16">
        <f>IFERROR(U295/Q295*100,"")</f>
        <v/>
      </c>
      <c r="AE295" s="18" t="n"/>
      <c r="AF295" s="18" t="n"/>
      <c r="AG295" s="18" t="n"/>
      <c r="AH295">
        <f>P295&gt;0</f>
        <v/>
      </c>
    </row>
    <row r="296">
      <c r="A296" s="14" t="n">
        <v>44742</v>
      </c>
      <c r="B296" t="n">
        <v>17749</v>
      </c>
      <c r="C296" t="inlineStr">
        <is>
          <t>BATH SAVINGS INSTITUTION</t>
        </is>
      </c>
      <c r="D296" t="inlineStr">
        <is>
          <t>ME</t>
        </is>
      </c>
      <c r="E296" t="n">
        <v>1233246</v>
      </c>
      <c r="F296" t="n">
        <v>1026366</v>
      </c>
      <c r="G296" t="n">
        <v>152379</v>
      </c>
      <c r="H296" s="16" t="n">
        <v>-0.1564673583530325</v>
      </c>
      <c r="I296" s="16" t="n">
        <v>-1.15</v>
      </c>
      <c r="J296" s="16" t="n">
        <v>2.831969137330092</v>
      </c>
      <c r="K296" s="16" t="n">
        <v>248</v>
      </c>
      <c r="L296" s="16" t="n">
        <v>8</v>
      </c>
      <c r="M296" s="16" t="n">
        <v>0.0399760432376265</v>
      </c>
      <c r="N296" s="16" t="n">
        <v>253</v>
      </c>
      <c r="O296" s="16" t="n">
        <v>29</v>
      </c>
      <c r="P296" s="16" t="n">
        <v>0</v>
      </c>
      <c r="Q296" t="n">
        <v>692915</v>
      </c>
      <c r="R296" t="n">
        <v>683137</v>
      </c>
      <c r="S296" t="n">
        <v>619470</v>
      </c>
      <c r="T296" t="n">
        <v>51726</v>
      </c>
      <c r="U296" t="n">
        <v>10530</v>
      </c>
      <c r="V296" t="n">
        <v>1.411139894503655</v>
      </c>
      <c r="W296" t="n">
        <v>0.05</v>
      </c>
      <c r="X296" s="16">
        <f>IFERROR(K296/E296*100,"")</f>
        <v/>
      </c>
      <c r="Y296" s="16">
        <f>IFERROR((N296+O296)/E296*100,"")</f>
        <v/>
      </c>
      <c r="Z296" s="16">
        <f>IFERROR(R296/F296*100,"")</f>
        <v/>
      </c>
      <c r="AA296" s="16">
        <f>IFERROR(R296/E296*100,"")</f>
        <v/>
      </c>
      <c r="AB296" s="16">
        <f>IFERROR(S296/Q296*100,"")</f>
        <v/>
      </c>
      <c r="AC296" s="16">
        <f>IFERROR(T296/Q296*100,"")</f>
        <v/>
      </c>
      <c r="AD296" s="16">
        <f>IFERROR(U296/Q296*100,"")</f>
        <v/>
      </c>
      <c r="AE296" s="18" t="n"/>
      <c r="AF296" s="18" t="n"/>
      <c r="AG296" s="18" t="n"/>
      <c r="AH296">
        <f>P296&gt;0</f>
        <v/>
      </c>
    </row>
    <row r="297">
      <c r="A297" s="14" t="n">
        <v>44834</v>
      </c>
      <c r="B297" t="n">
        <v>17749</v>
      </c>
      <c r="C297" t="inlineStr">
        <is>
          <t>BATH SAVINGS INSTITUTION</t>
        </is>
      </c>
      <c r="D297" t="inlineStr">
        <is>
          <t>ME</t>
        </is>
      </c>
      <c r="E297" t="n">
        <v>1262862</v>
      </c>
      <c r="F297" t="n">
        <v>1042319</v>
      </c>
      <c r="G297" t="n">
        <v>143149</v>
      </c>
      <c r="H297" s="16" t="n">
        <v>0.1274742657933271</v>
      </c>
      <c r="I297" s="16" t="n">
        <v>0.98</v>
      </c>
      <c r="J297" s="16" t="n">
        <v>2.898991052625115</v>
      </c>
      <c r="K297" s="16" t="n">
        <v>237</v>
      </c>
      <c r="L297" s="16" t="n">
        <v>13</v>
      </c>
      <c r="M297" s="16" t="n">
        <v>0.0353472299789754</v>
      </c>
      <c r="N297" s="16" t="n">
        <v>273</v>
      </c>
      <c r="O297" s="16" t="n">
        <v>13</v>
      </c>
      <c r="P297" s="16" t="n">
        <v>0</v>
      </c>
      <c r="Q297" t="n">
        <v>707269</v>
      </c>
      <c r="R297" t="n">
        <v>697329</v>
      </c>
      <c r="S297" t="n">
        <v>639367</v>
      </c>
      <c r="T297" t="n">
        <v>46145</v>
      </c>
      <c r="U297" t="n">
        <v>10227</v>
      </c>
      <c r="V297" t="n">
        <v>1.405405863964064</v>
      </c>
      <c r="W297" t="n">
        <v>0.05</v>
      </c>
      <c r="X297" s="16">
        <f>IFERROR(K297/E297*100,"")</f>
        <v/>
      </c>
      <c r="Y297" s="16">
        <f>IFERROR((N297+O297)/E297*100,"")</f>
        <v/>
      </c>
      <c r="Z297" s="16">
        <f>IFERROR(R297/F297*100,"")</f>
        <v/>
      </c>
      <c r="AA297" s="16">
        <f>IFERROR(R297/E297*100,"")</f>
        <v/>
      </c>
      <c r="AB297" s="16">
        <f>IFERROR(S297/Q297*100,"")</f>
        <v/>
      </c>
      <c r="AC297" s="16">
        <f>IFERROR(T297/Q297*100,"")</f>
        <v/>
      </c>
      <c r="AD297" s="16">
        <f>IFERROR(U297/Q297*100,"")</f>
        <v/>
      </c>
      <c r="AE297" s="18" t="n"/>
      <c r="AF297" s="18" t="n"/>
      <c r="AG297" s="18" t="n"/>
      <c r="AH297">
        <f>P297&gt;0</f>
        <v/>
      </c>
    </row>
    <row r="298">
      <c r="A298" s="14" t="n">
        <v>44926</v>
      </c>
      <c r="B298" t="n">
        <v>17749</v>
      </c>
      <c r="C298" t="inlineStr">
        <is>
          <t>BATH SAVINGS INSTITUTION</t>
        </is>
      </c>
      <c r="D298" t="inlineStr">
        <is>
          <t>ME</t>
        </is>
      </c>
      <c r="E298" t="n">
        <v>1276951</v>
      </c>
      <c r="F298" t="n">
        <v>1055695</v>
      </c>
      <c r="G298" t="n">
        <v>150442</v>
      </c>
      <c r="H298" s="16" t="n">
        <v>0.6331337924512865</v>
      </c>
      <c r="I298" s="16" t="n">
        <v>4.96</v>
      </c>
      <c r="J298" s="16" t="n">
        <v>2.950518165476778</v>
      </c>
      <c r="K298" s="16" t="n">
        <v>204</v>
      </c>
      <c r="L298" s="16" t="n">
        <v>17</v>
      </c>
      <c r="M298" s="16" t="n">
        <v>0.0281451905525977</v>
      </c>
      <c r="N298" s="16" t="n">
        <v>965</v>
      </c>
      <c r="O298" s="16" t="n">
        <v>0</v>
      </c>
      <c r="P298" s="16" t="n">
        <v>0</v>
      </c>
      <c r="Q298" t="n">
        <v>724813</v>
      </c>
      <c r="R298" t="n">
        <v>714813</v>
      </c>
      <c r="S298" t="n">
        <v>655371</v>
      </c>
      <c r="T298" t="n">
        <v>48423</v>
      </c>
      <c r="U298" t="n">
        <v>9983</v>
      </c>
      <c r="V298" t="n">
        <v>1.379666203558711</v>
      </c>
      <c r="W298" t="n">
        <v>0.05</v>
      </c>
      <c r="X298" s="16">
        <f>IFERROR(K298/E298*100,"")</f>
        <v/>
      </c>
      <c r="Y298" s="16">
        <f>IFERROR((N298+O298)/E298*100,"")</f>
        <v/>
      </c>
      <c r="Z298" s="16">
        <f>IFERROR(R298/F298*100,"")</f>
        <v/>
      </c>
      <c r="AA298" s="16">
        <f>IFERROR(R298/E298*100,"")</f>
        <v/>
      </c>
      <c r="AB298" s="16">
        <f>IFERROR(S298/Q298*100,"")</f>
        <v/>
      </c>
      <c r="AC298" s="16">
        <f>IFERROR(T298/Q298*100,"")</f>
        <v/>
      </c>
      <c r="AD298" s="16">
        <f>IFERROR(U298/Q298*100,"")</f>
        <v/>
      </c>
      <c r="AE298" s="18" t="n"/>
      <c r="AF298" s="18" t="n"/>
      <c r="AG298" s="18" t="n"/>
      <c r="AH298">
        <f>P298&gt;0</f>
        <v/>
      </c>
    </row>
    <row r="299">
      <c r="A299" s="14" t="n">
        <v>45016</v>
      </c>
      <c r="B299" t="n">
        <v>17749</v>
      </c>
      <c r="C299" t="inlineStr">
        <is>
          <t>BATH SAVINGS INSTITUTION</t>
        </is>
      </c>
      <c r="D299" t="inlineStr">
        <is>
          <t>ME</t>
        </is>
      </c>
      <c r="E299" t="n">
        <v>1286254</v>
      </c>
      <c r="F299" t="n">
        <v>1024638</v>
      </c>
      <c r="G299" t="n">
        <v>162250</v>
      </c>
      <c r="H299" s="16" t="n">
        <v>1.317101051222981</v>
      </c>
      <c r="I299" s="16" t="n">
        <v>10.8</v>
      </c>
      <c r="J299" s="16" t="n">
        <v>2.987929674297495</v>
      </c>
      <c r="K299" s="16" t="n">
        <v>210</v>
      </c>
      <c r="L299" s="16" t="n">
        <v>7</v>
      </c>
      <c r="M299" s="16" t="n">
        <v>0.0280700628769408</v>
      </c>
      <c r="N299" s="16" t="n">
        <v>1358</v>
      </c>
      <c r="O299" s="16" t="n">
        <v>0</v>
      </c>
      <c r="P299" s="16" t="n">
        <v>0</v>
      </c>
      <c r="Q299" t="n">
        <v>748128</v>
      </c>
      <c r="R299" t="n">
        <v>737350</v>
      </c>
      <c r="S299" t="n">
        <v>677598</v>
      </c>
      <c r="T299" t="n">
        <v>49547</v>
      </c>
      <c r="U299" t="n">
        <v>9780</v>
      </c>
      <c r="V299" t="n">
        <v>1.440662560417469</v>
      </c>
      <c r="W299" t="n">
        <v>0.05</v>
      </c>
      <c r="X299" s="16">
        <f>IFERROR(K299/E299*100,"")</f>
        <v/>
      </c>
      <c r="Y299" s="16">
        <f>IFERROR((N299+O299)/E299*100,"")</f>
        <v/>
      </c>
      <c r="Z299" s="16">
        <f>IFERROR(R299/F299*100,"")</f>
        <v/>
      </c>
      <c r="AA299" s="16">
        <f>IFERROR(R299/E299*100,"")</f>
        <v/>
      </c>
      <c r="AB299" s="16">
        <f>IFERROR(S299/Q299*100,"")</f>
        <v/>
      </c>
      <c r="AC299" s="16">
        <f>IFERROR(T299/Q299*100,"")</f>
        <v/>
      </c>
      <c r="AD299" s="16">
        <f>IFERROR(U299/Q299*100,"")</f>
        <v/>
      </c>
      <c r="AE299" s="18">
        <f>IFERROR(E299/E295-1,"")</f>
        <v/>
      </c>
      <c r="AF299" s="18">
        <f>IFERROR(R299/R295-1,"")</f>
        <v/>
      </c>
      <c r="AG299" s="18">
        <f>IFERROR(F299/F295-1,"")</f>
        <v/>
      </c>
      <c r="AH299">
        <f>P299&gt;0</f>
        <v/>
      </c>
    </row>
    <row r="300">
      <c r="A300" s="14" t="n">
        <v>45107</v>
      </c>
      <c r="B300" t="n">
        <v>17749</v>
      </c>
      <c r="C300" t="inlineStr">
        <is>
          <t>BATH SAVINGS INSTITUTION</t>
        </is>
      </c>
      <c r="D300" t="inlineStr">
        <is>
          <t>ME</t>
        </is>
      </c>
      <c r="E300" t="n">
        <v>1316293</v>
      </c>
      <c r="F300" t="n">
        <v>1027633</v>
      </c>
      <c r="G300" t="n">
        <v>161414</v>
      </c>
      <c r="H300" s="16" t="n">
        <v>1.33285285879771</v>
      </c>
      <c r="I300" s="16" t="n">
        <v>10.91</v>
      </c>
      <c r="J300" s="16" t="n">
        <v>2.842875130956669</v>
      </c>
      <c r="K300" s="16" t="n">
        <v>293</v>
      </c>
      <c r="L300" s="16" t="n">
        <v>11</v>
      </c>
      <c r="M300" s="16" t="n">
        <v>0.0377317184672938</v>
      </c>
      <c r="N300" s="16" t="n">
        <v>280</v>
      </c>
      <c r="O300" s="16" t="n">
        <v>0</v>
      </c>
      <c r="P300" s="16" t="n">
        <v>0</v>
      </c>
      <c r="Q300" t="n">
        <v>776535</v>
      </c>
      <c r="R300" t="n">
        <v>765585</v>
      </c>
      <c r="S300" t="n">
        <v>702580</v>
      </c>
      <c r="T300" t="n">
        <v>52094</v>
      </c>
      <c r="U300" t="n">
        <v>10410</v>
      </c>
      <c r="V300" t="n">
        <v>1.410110297668489</v>
      </c>
      <c r="W300" t="n">
        <v>0.05</v>
      </c>
      <c r="X300" s="16">
        <f>IFERROR(K300/E300*100,"")</f>
        <v/>
      </c>
      <c r="Y300" s="16">
        <f>IFERROR((N300+O300)/E300*100,"")</f>
        <v/>
      </c>
      <c r="Z300" s="16">
        <f>IFERROR(R300/F300*100,"")</f>
        <v/>
      </c>
      <c r="AA300" s="16">
        <f>IFERROR(R300/E300*100,"")</f>
        <v/>
      </c>
      <c r="AB300" s="16">
        <f>IFERROR(S300/Q300*100,"")</f>
        <v/>
      </c>
      <c r="AC300" s="16">
        <f>IFERROR(T300/Q300*100,"")</f>
        <v/>
      </c>
      <c r="AD300" s="16">
        <f>IFERROR(U300/Q300*100,"")</f>
        <v/>
      </c>
      <c r="AE300" s="18">
        <f>IFERROR(E300/E296-1,"")</f>
        <v/>
      </c>
      <c r="AF300" s="18">
        <f>IFERROR(R300/R296-1,"")</f>
        <v/>
      </c>
      <c r="AG300" s="18">
        <f>IFERROR(F300/F296-1,"")</f>
        <v/>
      </c>
      <c r="AH300">
        <f>P300&gt;0</f>
        <v/>
      </c>
    </row>
    <row r="301">
      <c r="A301" s="14" t="n">
        <v>45199</v>
      </c>
      <c r="B301" t="n">
        <v>17749</v>
      </c>
      <c r="C301" t="inlineStr">
        <is>
          <t>BATH SAVINGS INSTITUTION</t>
        </is>
      </c>
      <c r="D301" t="inlineStr">
        <is>
          <t>ME</t>
        </is>
      </c>
      <c r="E301" t="n">
        <v>1286435</v>
      </c>
      <c r="F301" t="n">
        <v>1014838</v>
      </c>
      <c r="G301" t="n">
        <v>152647</v>
      </c>
      <c r="H301" s="16" t="n">
        <v>0.9809663888401184</v>
      </c>
      <c r="I301" s="16" t="n">
        <v>8.09</v>
      </c>
      <c r="J301" s="16" t="n">
        <v>2.80780948296844</v>
      </c>
      <c r="K301" s="16" t="n">
        <v>34</v>
      </c>
      <c r="L301" s="16" t="n">
        <v>9</v>
      </c>
      <c r="M301" s="16" t="n">
        <v>0.0043600979226698</v>
      </c>
      <c r="N301" s="16" t="n">
        <v>1039</v>
      </c>
      <c r="O301" s="16" t="n">
        <v>0</v>
      </c>
      <c r="P301" s="16" t="n">
        <v>0</v>
      </c>
      <c r="Q301" t="n">
        <v>779799</v>
      </c>
      <c r="R301" t="n">
        <v>768673</v>
      </c>
      <c r="S301" t="n">
        <v>708062</v>
      </c>
      <c r="T301" t="n">
        <v>49432</v>
      </c>
      <c r="U301" t="n">
        <v>10742</v>
      </c>
      <c r="V301" t="n">
        <v>1.426777926106599</v>
      </c>
      <c r="W301" t="n">
        <v>0.05</v>
      </c>
      <c r="X301" s="16">
        <f>IFERROR(K301/E301*100,"")</f>
        <v/>
      </c>
      <c r="Y301" s="16">
        <f>IFERROR((N301+O301)/E301*100,"")</f>
        <v/>
      </c>
      <c r="Z301" s="16">
        <f>IFERROR(R301/F301*100,"")</f>
        <v/>
      </c>
      <c r="AA301" s="16">
        <f>IFERROR(R301/E301*100,"")</f>
        <v/>
      </c>
      <c r="AB301" s="16">
        <f>IFERROR(S301/Q301*100,"")</f>
        <v/>
      </c>
      <c r="AC301" s="16">
        <f>IFERROR(T301/Q301*100,"")</f>
        <v/>
      </c>
      <c r="AD301" s="16">
        <f>IFERROR(U301/Q301*100,"")</f>
        <v/>
      </c>
      <c r="AE301" s="18">
        <f>IFERROR(E301/E297-1,"")</f>
        <v/>
      </c>
      <c r="AF301" s="18">
        <f>IFERROR(R301/R297-1,"")</f>
        <v/>
      </c>
      <c r="AG301" s="18">
        <f>IFERROR(F301/F297-1,"")</f>
        <v/>
      </c>
      <c r="AH301">
        <f>P301&gt;0</f>
        <v/>
      </c>
    </row>
    <row r="302">
      <c r="A302" s="14" t="n">
        <v>45291</v>
      </c>
      <c r="B302" t="n">
        <v>17749</v>
      </c>
      <c r="C302" t="inlineStr">
        <is>
          <t>BATH SAVINGS INSTITUTION</t>
        </is>
      </c>
      <c r="D302" t="inlineStr">
        <is>
          <t>ME</t>
        </is>
      </c>
      <c r="E302" t="n">
        <v>1355181</v>
      </c>
      <c r="F302" t="n">
        <v>1052313</v>
      </c>
      <c r="G302" t="n">
        <v>172387</v>
      </c>
      <c r="H302" s="16" t="n">
        <v>1.215743199704836</v>
      </c>
      <c r="I302" s="16" t="n">
        <v>9.92</v>
      </c>
      <c r="J302" s="16" t="n">
        <v>2.729373465623494</v>
      </c>
      <c r="K302" s="16" t="n">
        <v>247</v>
      </c>
      <c r="L302" s="16" t="n">
        <v>47</v>
      </c>
      <c r="M302" s="16" t="n">
        <v>0.0491927124510268</v>
      </c>
      <c r="N302" s="16" t="n">
        <v>630</v>
      </c>
      <c r="O302" s="16" t="n">
        <v>145</v>
      </c>
      <c r="P302" s="16" t="n">
        <v>0</v>
      </c>
      <c r="Q302" t="n">
        <v>796866</v>
      </c>
      <c r="R302" t="n">
        <v>785866</v>
      </c>
      <c r="S302" t="n">
        <v>724667</v>
      </c>
      <c r="T302" t="n">
        <v>48794</v>
      </c>
      <c r="U302" t="n">
        <v>10226</v>
      </c>
      <c r="V302" t="n">
        <v>1.380407747350244</v>
      </c>
      <c r="W302" t="n">
        <v>0.03</v>
      </c>
      <c r="X302" s="16">
        <f>IFERROR(K302/E302*100,"")</f>
        <v/>
      </c>
      <c r="Y302" s="16">
        <f>IFERROR((N302+O302)/E302*100,"")</f>
        <v/>
      </c>
      <c r="Z302" s="16">
        <f>IFERROR(R302/F302*100,"")</f>
        <v/>
      </c>
      <c r="AA302" s="16">
        <f>IFERROR(R302/E302*100,"")</f>
        <v/>
      </c>
      <c r="AB302" s="16">
        <f>IFERROR(S302/Q302*100,"")</f>
        <v/>
      </c>
      <c r="AC302" s="16">
        <f>IFERROR(T302/Q302*100,"")</f>
        <v/>
      </c>
      <c r="AD302" s="16">
        <f>IFERROR(U302/Q302*100,"")</f>
        <v/>
      </c>
      <c r="AE302" s="18">
        <f>IFERROR(E302/E298-1,"")</f>
        <v/>
      </c>
      <c r="AF302" s="18">
        <f>IFERROR(R302/R298-1,"")</f>
        <v/>
      </c>
      <c r="AG302" s="18">
        <f>IFERROR(F302/F298-1,"")</f>
        <v/>
      </c>
      <c r="AH302">
        <f>P302&gt;0</f>
        <v/>
      </c>
    </row>
    <row r="303">
      <c r="A303" s="14" t="n">
        <v>45382</v>
      </c>
      <c r="B303" t="n">
        <v>17749</v>
      </c>
      <c r="C303" t="inlineStr">
        <is>
          <t>BATH SAVINGS INSTITUTION</t>
        </is>
      </c>
      <c r="D303" t="inlineStr">
        <is>
          <t>ME</t>
        </is>
      </c>
      <c r="E303" t="n">
        <v>1350095</v>
      </c>
      <c r="F303" t="n">
        <v>1048039</v>
      </c>
      <c r="G303" t="n">
        <v>173084</v>
      </c>
      <c r="H303" s="16" t="n">
        <v>1.205348363715939</v>
      </c>
      <c r="I303" s="16" t="n">
        <v>9.44</v>
      </c>
      <c r="J303" s="16" t="n">
        <v>2.503163523028828</v>
      </c>
      <c r="K303" s="16" t="n">
        <v>546</v>
      </c>
      <c r="L303" s="16" t="n">
        <v>4</v>
      </c>
      <c r="M303" s="16" t="n">
        <v>0.0675503582383752</v>
      </c>
      <c r="N303" s="16" t="n">
        <v>361</v>
      </c>
      <c r="O303" s="16" t="n">
        <v>3</v>
      </c>
      <c r="P303" s="16" t="n">
        <v>0</v>
      </c>
      <c r="Q303" t="n">
        <v>812727</v>
      </c>
      <c r="R303" t="n">
        <v>801554</v>
      </c>
      <c r="S303" t="n">
        <v>738584</v>
      </c>
      <c r="T303" t="n">
        <v>50316</v>
      </c>
      <c r="U303" t="n">
        <v>10949</v>
      </c>
      <c r="V303" t="n">
        <v>1.374754376315786</v>
      </c>
      <c r="W303" t="n">
        <v>0.07000000000000001</v>
      </c>
      <c r="X303" s="16">
        <f>IFERROR(K303/E303*100,"")</f>
        <v/>
      </c>
      <c r="Y303" s="16">
        <f>IFERROR((N303+O303)/E303*100,"")</f>
        <v/>
      </c>
      <c r="Z303" s="16">
        <f>IFERROR(R303/F303*100,"")</f>
        <v/>
      </c>
      <c r="AA303" s="16">
        <f>IFERROR(R303/E303*100,"")</f>
        <v/>
      </c>
      <c r="AB303" s="16">
        <f>IFERROR(S303/Q303*100,"")</f>
        <v/>
      </c>
      <c r="AC303" s="16">
        <f>IFERROR(T303/Q303*100,"")</f>
        <v/>
      </c>
      <c r="AD303" s="16">
        <f>IFERROR(U303/Q303*100,"")</f>
        <v/>
      </c>
      <c r="AE303" s="18">
        <f>IFERROR(E303/E299-1,"")</f>
        <v/>
      </c>
      <c r="AF303" s="18">
        <f>IFERROR(R303/R299-1,"")</f>
        <v/>
      </c>
      <c r="AG303" s="18">
        <f>IFERROR(F303/F299-1,"")</f>
        <v/>
      </c>
      <c r="AH303">
        <f>P303&gt;0</f>
        <v/>
      </c>
    </row>
    <row r="304">
      <c r="A304" s="14" t="n">
        <v>45473</v>
      </c>
      <c r="B304" t="n">
        <v>17749</v>
      </c>
      <c r="C304" t="inlineStr">
        <is>
          <t>BATH SAVINGS INSTITUTION</t>
        </is>
      </c>
      <c r="D304" t="inlineStr">
        <is>
          <t>ME</t>
        </is>
      </c>
      <c r="E304" t="n">
        <v>1395226</v>
      </c>
      <c r="F304" t="n">
        <v>1095901</v>
      </c>
      <c r="G304" t="n">
        <v>177800</v>
      </c>
      <c r="H304" s="16" t="n">
        <v>0.9800751225093904</v>
      </c>
      <c r="I304" s="16" t="n">
        <v>7.68</v>
      </c>
      <c r="J304" s="16" t="n">
        <v>2.465228642685701</v>
      </c>
      <c r="K304" s="16" t="n">
        <v>243</v>
      </c>
      <c r="L304" s="16" t="n">
        <v>10</v>
      </c>
      <c r="M304" s="16" t="n">
        <v>0.0295601378499926</v>
      </c>
      <c r="N304" s="16" t="n">
        <v>1207</v>
      </c>
      <c r="O304" s="16" t="n">
        <v>0</v>
      </c>
      <c r="P304" s="16" t="n">
        <v>0</v>
      </c>
      <c r="Q304" t="n">
        <v>822053</v>
      </c>
      <c r="R304" t="n">
        <v>810508</v>
      </c>
      <c r="S304" t="n">
        <v>744624</v>
      </c>
      <c r="T304" t="n">
        <v>53678</v>
      </c>
      <c r="U304" t="n">
        <v>11558</v>
      </c>
      <c r="V304" t="n">
        <v>1.404410664519198</v>
      </c>
      <c r="W304" t="n">
        <v>0.07000000000000001</v>
      </c>
      <c r="X304" s="16">
        <f>IFERROR(K304/E304*100,"")</f>
        <v/>
      </c>
      <c r="Y304" s="16">
        <f>IFERROR((N304+O304)/E304*100,"")</f>
        <v/>
      </c>
      <c r="Z304" s="16">
        <f>IFERROR(R304/F304*100,"")</f>
        <v/>
      </c>
      <c r="AA304" s="16">
        <f>IFERROR(R304/E304*100,"")</f>
        <v/>
      </c>
      <c r="AB304" s="16">
        <f>IFERROR(S304/Q304*100,"")</f>
        <v/>
      </c>
      <c r="AC304" s="16">
        <f>IFERROR(T304/Q304*100,"")</f>
        <v/>
      </c>
      <c r="AD304" s="16">
        <f>IFERROR(U304/Q304*100,"")</f>
        <v/>
      </c>
      <c r="AE304" s="18">
        <f>IFERROR(E304/E300-1,"")</f>
        <v/>
      </c>
      <c r="AF304" s="18">
        <f>IFERROR(R304/R300-1,"")</f>
        <v/>
      </c>
      <c r="AG304" s="18">
        <f>IFERROR(F304/F300-1,"")</f>
        <v/>
      </c>
      <c r="AH304">
        <f>P304&gt;0</f>
        <v/>
      </c>
    </row>
    <row r="305">
      <c r="A305" s="14" t="n">
        <v>45565</v>
      </c>
      <c r="B305" t="n">
        <v>17749</v>
      </c>
      <c r="C305" t="inlineStr">
        <is>
          <t>BATH SAVINGS INSTITUTION</t>
        </is>
      </c>
      <c r="D305" t="inlineStr">
        <is>
          <t>ME</t>
        </is>
      </c>
      <c r="E305" t="n">
        <v>1372601</v>
      </c>
      <c r="F305" t="n">
        <v>1059435</v>
      </c>
      <c r="G305" t="n">
        <v>190135</v>
      </c>
      <c r="H305" s="16" t="n">
        <v>1.090493659629647</v>
      </c>
      <c r="I305" s="16" t="n">
        <v>8.369999999999999</v>
      </c>
      <c r="J305" s="16" t="n">
        <v>2.485165333435379</v>
      </c>
      <c r="K305" s="16" t="n">
        <v>617</v>
      </c>
      <c r="L305" s="16" t="n">
        <v>6</v>
      </c>
      <c r="M305" s="16" t="n">
        <v>0.07566305693370889</v>
      </c>
      <c r="N305" s="16" t="n">
        <v>1026</v>
      </c>
      <c r="O305" s="16" t="n">
        <v>4</v>
      </c>
      <c r="P305" s="16" t="n">
        <v>0</v>
      </c>
      <c r="Q305" t="n">
        <v>820744</v>
      </c>
      <c r="R305" t="n">
        <v>809018</v>
      </c>
      <c r="S305" t="n">
        <v>748076</v>
      </c>
      <c r="T305" t="n">
        <v>48457</v>
      </c>
      <c r="U305" t="n">
        <v>12482</v>
      </c>
      <c r="V305" t="n">
        <v>1.428703712728939</v>
      </c>
      <c r="W305" t="n">
        <v>0.07000000000000001</v>
      </c>
      <c r="X305" s="16">
        <f>IFERROR(K305/E305*100,"")</f>
        <v/>
      </c>
      <c r="Y305" s="16">
        <f>IFERROR((N305+O305)/E305*100,"")</f>
        <v/>
      </c>
      <c r="Z305" s="16">
        <f>IFERROR(R305/F305*100,"")</f>
        <v/>
      </c>
      <c r="AA305" s="16">
        <f>IFERROR(R305/E305*100,"")</f>
        <v/>
      </c>
      <c r="AB305" s="16">
        <f>IFERROR(S305/Q305*100,"")</f>
        <v/>
      </c>
      <c r="AC305" s="16">
        <f>IFERROR(T305/Q305*100,"")</f>
        <v/>
      </c>
      <c r="AD305" s="16">
        <f>IFERROR(U305/Q305*100,"")</f>
        <v/>
      </c>
      <c r="AE305" s="18">
        <f>IFERROR(E305/E301-1,"")</f>
        <v/>
      </c>
      <c r="AF305" s="18">
        <f>IFERROR(R305/R301-1,"")</f>
        <v/>
      </c>
      <c r="AG305" s="18">
        <f>IFERROR(F305/F301-1,"")</f>
        <v/>
      </c>
      <c r="AH305">
        <f>P305&gt;0</f>
        <v/>
      </c>
    </row>
    <row r="306">
      <c r="A306" s="14" t="n">
        <v>45657</v>
      </c>
      <c r="B306" t="n">
        <v>17749</v>
      </c>
      <c r="C306" t="inlineStr">
        <is>
          <t>BATH SAVINGS INSTITUTION</t>
        </is>
      </c>
      <c r="D306" t="inlineStr">
        <is>
          <t>ME</t>
        </is>
      </c>
      <c r="E306" t="n">
        <v>1400586</v>
      </c>
      <c r="F306" t="n">
        <v>1098984</v>
      </c>
      <c r="G306" t="n">
        <v>189574</v>
      </c>
      <c r="H306" s="16" t="n">
        <v>1.145891238314681</v>
      </c>
      <c r="I306" s="16" t="n">
        <v>8.720000000000001</v>
      </c>
      <c r="J306" s="16" t="n">
        <v>2.511765828342643</v>
      </c>
      <c r="K306" s="16" t="n">
        <v>610</v>
      </c>
      <c r="L306" s="16" t="n">
        <v>4</v>
      </c>
      <c r="M306" s="16" t="n">
        <v>0.0737916317870155</v>
      </c>
      <c r="N306" s="16" t="n">
        <v>895</v>
      </c>
      <c r="O306" s="16" t="n">
        <v>0</v>
      </c>
      <c r="P306" s="16" t="n">
        <v>0</v>
      </c>
      <c r="Q306" t="n">
        <v>826652</v>
      </c>
      <c r="R306" t="n">
        <v>814852</v>
      </c>
      <c r="S306" t="n">
        <v>755022</v>
      </c>
      <c r="T306" t="n">
        <v>49964</v>
      </c>
      <c r="U306" t="n">
        <v>11169</v>
      </c>
      <c r="V306" t="n">
        <v>1.427444680470137</v>
      </c>
      <c r="W306" t="n">
        <v>0.05</v>
      </c>
      <c r="X306" s="16">
        <f>IFERROR(K306/E306*100,"")</f>
        <v/>
      </c>
      <c r="Y306" s="16">
        <f>IFERROR((N306+O306)/E306*100,"")</f>
        <v/>
      </c>
      <c r="Z306" s="16">
        <f>IFERROR(R306/F306*100,"")</f>
        <v/>
      </c>
      <c r="AA306" s="16">
        <f>IFERROR(R306/E306*100,"")</f>
        <v/>
      </c>
      <c r="AB306" s="16">
        <f>IFERROR(S306/Q306*100,"")</f>
        <v/>
      </c>
      <c r="AC306" s="16">
        <f>IFERROR(T306/Q306*100,"")</f>
        <v/>
      </c>
      <c r="AD306" s="16">
        <f>IFERROR(U306/Q306*100,"")</f>
        <v/>
      </c>
      <c r="AE306" s="18">
        <f>IFERROR(E306/E302-1,"")</f>
        <v/>
      </c>
      <c r="AF306" s="18">
        <f>IFERROR(R306/R302-1,"")</f>
        <v/>
      </c>
      <c r="AG306" s="18">
        <f>IFERROR(F306/F302-1,"")</f>
        <v/>
      </c>
      <c r="AH306">
        <f>P306&gt;0</f>
        <v/>
      </c>
    </row>
    <row r="307">
      <c r="A307" s="14" t="n">
        <v>45747</v>
      </c>
      <c r="B307" t="n">
        <v>17749</v>
      </c>
      <c r="C307" t="inlineStr">
        <is>
          <t>BATH SAVINGS INSTITUTION</t>
        </is>
      </c>
      <c r="D307" t="inlineStr">
        <is>
          <t>ME</t>
        </is>
      </c>
      <c r="E307" t="n">
        <v>1415126</v>
      </c>
      <c r="F307" t="n">
        <v>1106043</v>
      </c>
      <c r="G307" t="n">
        <v>197514</v>
      </c>
      <c r="H307" s="16" t="n">
        <v>0.4432271482310691</v>
      </c>
      <c r="I307" s="16" t="n">
        <v>3.22</v>
      </c>
      <c r="J307" s="16" t="n">
        <v>2.664001039625034</v>
      </c>
      <c r="K307" s="16" t="n">
        <v>953</v>
      </c>
      <c r="L307" s="16" t="n">
        <v>1</v>
      </c>
      <c r="M307" s="16" t="n">
        <v>0.1251543430236953</v>
      </c>
      <c r="N307" s="16" t="n">
        <v>750</v>
      </c>
      <c r="O307" s="16" t="n">
        <v>90</v>
      </c>
      <c r="P307" s="16" t="n">
        <v>0</v>
      </c>
      <c r="Q307" t="n">
        <v>833371</v>
      </c>
      <c r="R307" t="n">
        <v>821393</v>
      </c>
      <c r="S307" t="n">
        <v>756331</v>
      </c>
      <c r="T307" t="n">
        <v>55321</v>
      </c>
      <c r="U307" t="n">
        <v>11040</v>
      </c>
      <c r="V307" t="n">
        <v>1.437295034264451</v>
      </c>
      <c r="W307" t="n">
        <v>0.07000000000000001</v>
      </c>
      <c r="X307" s="16">
        <f>IFERROR(K307/E307*100,"")</f>
        <v/>
      </c>
      <c r="Y307" s="16">
        <f>IFERROR((N307+O307)/E307*100,"")</f>
        <v/>
      </c>
      <c r="Z307" s="16">
        <f>IFERROR(R307/F307*100,"")</f>
        <v/>
      </c>
      <c r="AA307" s="16">
        <f>IFERROR(R307/E307*100,"")</f>
        <v/>
      </c>
      <c r="AB307" s="16">
        <f>IFERROR(S307/Q307*100,"")</f>
        <v/>
      </c>
      <c r="AC307" s="16">
        <f>IFERROR(T307/Q307*100,"")</f>
        <v/>
      </c>
      <c r="AD307" s="16">
        <f>IFERROR(U307/Q307*100,"")</f>
        <v/>
      </c>
      <c r="AE307" s="18">
        <f>IFERROR(E307/E303-1,"")</f>
        <v/>
      </c>
      <c r="AF307" s="18">
        <f>IFERROR(R307/R303-1,"")</f>
        <v/>
      </c>
      <c r="AG307" s="18">
        <f>IFERROR(F307/F303-1,"")</f>
        <v/>
      </c>
      <c r="AH307">
        <f>P307&gt;0</f>
        <v/>
      </c>
    </row>
    <row r="308">
      <c r="A308" s="14" t="n">
        <v>45838</v>
      </c>
      <c r="B308" t="n">
        <v>17749</v>
      </c>
      <c r="C308" t="inlineStr">
        <is>
          <t>BATH SAVINGS INSTITUTION</t>
        </is>
      </c>
      <c r="D308" t="inlineStr">
        <is>
          <t>ME</t>
        </is>
      </c>
      <c r="E308" t="n">
        <v>1447972</v>
      </c>
      <c r="F308" t="n">
        <v>1125192</v>
      </c>
      <c r="G308" t="n">
        <v>203598</v>
      </c>
      <c r="H308" s="16" t="n">
        <v>0.8854314719383518</v>
      </c>
      <c r="I308" s="16" t="n">
        <v>6.39</v>
      </c>
      <c r="J308" s="16" t="n">
        <v>2.696528774122303</v>
      </c>
      <c r="K308" s="16" t="n">
        <v>1306</v>
      </c>
      <c r="L308" s="16" t="n">
        <v>-18</v>
      </c>
      <c r="M308" s="16" t="n">
        <v>0.1638696161605062</v>
      </c>
      <c r="N308" s="16" t="n">
        <v>2108</v>
      </c>
      <c r="O308" s="16" t="n">
        <v>66</v>
      </c>
      <c r="P308" s="16" t="n">
        <v>0</v>
      </c>
      <c r="Q308" t="n">
        <v>837251</v>
      </c>
      <c r="R308" t="n">
        <v>825064</v>
      </c>
      <c r="S308" t="n">
        <v>759223</v>
      </c>
      <c r="T308" t="n">
        <v>57319</v>
      </c>
      <c r="U308" t="n">
        <v>10778</v>
      </c>
      <c r="V308" t="n">
        <v>1.455596947629803</v>
      </c>
      <c r="W308" t="n">
        <v>0.07000000000000001</v>
      </c>
      <c r="X308" s="16">
        <f>IFERROR(K308/E308*100,"")</f>
        <v/>
      </c>
      <c r="Y308" s="16">
        <f>IFERROR((N308+O308)/E308*100,"")</f>
        <v/>
      </c>
      <c r="Z308" s="16">
        <f>IFERROR(R308/F308*100,"")</f>
        <v/>
      </c>
      <c r="AA308" s="16">
        <f>IFERROR(R308/E308*100,"")</f>
        <v/>
      </c>
      <c r="AB308" s="16">
        <f>IFERROR(S308/Q308*100,"")</f>
        <v/>
      </c>
      <c r="AC308" s="16">
        <f>IFERROR(T308/Q308*100,"")</f>
        <v/>
      </c>
      <c r="AD308" s="16">
        <f>IFERROR(U308/Q308*100,"")</f>
        <v/>
      </c>
      <c r="AE308" s="18">
        <f>IFERROR(E308/E304-1,"")</f>
        <v/>
      </c>
      <c r="AF308" s="18">
        <f>IFERROR(R308/R304-1,"")</f>
        <v/>
      </c>
      <c r="AG308" s="18">
        <f>IFERROR(F308/F304-1,"")</f>
        <v/>
      </c>
      <c r="AH308">
        <f>P308&gt;0</f>
        <v/>
      </c>
    </row>
    <row r="309">
      <c r="A309" s="14" t="n">
        <v>44651</v>
      </c>
      <c r="B309" t="n">
        <v>17751</v>
      </c>
      <c r="C309" t="inlineStr">
        <is>
          <t>ANDROSCOGGIN SAVINGS BANK</t>
        </is>
      </c>
      <c r="D309" t="inlineStr">
        <is>
          <t>ME</t>
        </is>
      </c>
      <c r="E309" t="n">
        <v>1361626</v>
      </c>
      <c r="F309" t="n">
        <v>1200633</v>
      </c>
      <c r="G309" t="n">
        <v>129404</v>
      </c>
      <c r="H309" s="16" t="n">
        <v>0.5087056849171386</v>
      </c>
      <c r="I309" s="16" t="n">
        <v>5.27</v>
      </c>
      <c r="J309" s="16" t="n">
        <v>2.982631067124586</v>
      </c>
      <c r="K309" s="16" t="n">
        <v>2344</v>
      </c>
      <c r="L309" s="16" t="n">
        <v>2</v>
      </c>
      <c r="M309" s="16" t="n">
        <v>0.2168304458067267</v>
      </c>
      <c r="N309" s="16" t="n">
        <v>1342</v>
      </c>
      <c r="O309" s="16" t="n">
        <v>0</v>
      </c>
      <c r="P309" s="16" t="n">
        <v>13.77385280539155</v>
      </c>
      <c r="Q309" t="n">
        <v>1081029</v>
      </c>
      <c r="R309" t="n">
        <v>1069307</v>
      </c>
      <c r="S309" t="n">
        <v>913702</v>
      </c>
      <c r="T309" t="n">
        <v>117124</v>
      </c>
      <c r="U309" t="n">
        <v>1660</v>
      </c>
      <c r="V309" t="n">
        <v>1.084337237946438</v>
      </c>
      <c r="W309" t="n">
        <v>0.07000000000000001</v>
      </c>
      <c r="X309" s="16">
        <f>IFERROR(K309/E309*100,"")</f>
        <v/>
      </c>
      <c r="Y309" s="16">
        <f>IFERROR((N309+O309)/E309*100,"")</f>
        <v/>
      </c>
      <c r="Z309" s="16">
        <f>IFERROR(R309/F309*100,"")</f>
        <v/>
      </c>
      <c r="AA309" s="16">
        <f>IFERROR(R309/E309*100,"")</f>
        <v/>
      </c>
      <c r="AB309" s="16">
        <f>IFERROR(S309/Q309*100,"")</f>
        <v/>
      </c>
      <c r="AC309" s="16">
        <f>IFERROR(T309/Q309*100,"")</f>
        <v/>
      </c>
      <c r="AD309" s="16">
        <f>IFERROR(U309/Q309*100,"")</f>
        <v/>
      </c>
      <c r="AE309" s="18" t="n"/>
      <c r="AF309" s="18" t="n"/>
      <c r="AG309" s="18" t="n"/>
      <c r="AH309">
        <f>P309&gt;0</f>
        <v/>
      </c>
    </row>
    <row r="310">
      <c r="A310" s="14" t="n">
        <v>44742</v>
      </c>
      <c r="B310" t="n">
        <v>17751</v>
      </c>
      <c r="C310" t="inlineStr">
        <is>
          <t>ANDROSCOGGIN SAVINGS BANK</t>
        </is>
      </c>
      <c r="D310" t="inlineStr">
        <is>
          <t>ME</t>
        </is>
      </c>
      <c r="E310" t="n">
        <v>1424885</v>
      </c>
      <c r="F310" t="n">
        <v>1261975</v>
      </c>
      <c r="G310" t="n">
        <v>126112</v>
      </c>
      <c r="H310" s="16" t="n">
        <v>0.5665267293535318</v>
      </c>
      <c r="I310" s="16" t="n">
        <v>6.04</v>
      </c>
      <c r="J310" s="16" t="n">
        <v>3.021459166473371</v>
      </c>
      <c r="K310" s="16" t="n">
        <v>1523</v>
      </c>
      <c r="L310" s="16" t="n">
        <v>-244</v>
      </c>
      <c r="M310" s="16" t="n">
        <v>0.1346217420742885</v>
      </c>
      <c r="N310" s="16" t="n">
        <v>2004</v>
      </c>
      <c r="O310" s="16" t="n">
        <v>0</v>
      </c>
      <c r="P310" s="16" t="n">
        <v>13.45715116625633</v>
      </c>
      <c r="Q310" t="n">
        <v>1131318</v>
      </c>
      <c r="R310" t="n">
        <v>1119342</v>
      </c>
      <c r="S310" t="n">
        <v>964858</v>
      </c>
      <c r="T310" t="n">
        <v>116943</v>
      </c>
      <c r="U310" t="n">
        <v>3247</v>
      </c>
      <c r="V310" t="n">
        <v>1.058588301432488</v>
      </c>
      <c r="W310" t="n">
        <v>0.04</v>
      </c>
      <c r="X310" s="16">
        <f>IFERROR(K310/E310*100,"")</f>
        <v/>
      </c>
      <c r="Y310" s="16">
        <f>IFERROR((N310+O310)/E310*100,"")</f>
        <v/>
      </c>
      <c r="Z310" s="16">
        <f>IFERROR(R310/F310*100,"")</f>
        <v/>
      </c>
      <c r="AA310" s="16">
        <f>IFERROR(R310/E310*100,"")</f>
        <v/>
      </c>
      <c r="AB310" s="16">
        <f>IFERROR(S310/Q310*100,"")</f>
        <v/>
      </c>
      <c r="AC310" s="16">
        <f>IFERROR(T310/Q310*100,"")</f>
        <v/>
      </c>
      <c r="AD310" s="16">
        <f>IFERROR(U310/Q310*100,"")</f>
        <v/>
      </c>
      <c r="AE310" s="18" t="n"/>
      <c r="AF310" s="18" t="n"/>
      <c r="AG310" s="18" t="n"/>
      <c r="AH310">
        <f>P310&gt;0</f>
        <v/>
      </c>
    </row>
    <row r="311">
      <c r="A311" s="14" t="n">
        <v>44834</v>
      </c>
      <c r="B311" t="n">
        <v>17751</v>
      </c>
      <c r="C311" t="inlineStr">
        <is>
          <t>ANDROSCOGGIN SAVINGS BANK</t>
        </is>
      </c>
      <c r="D311" t="inlineStr">
        <is>
          <t>ME</t>
        </is>
      </c>
      <c r="E311" t="n">
        <v>1446107</v>
      </c>
      <c r="F311" t="n">
        <v>1280720</v>
      </c>
      <c r="G311" t="n">
        <v>122617</v>
      </c>
      <c r="H311" s="16" t="n">
        <v>0.6560173722186931</v>
      </c>
      <c r="I311" s="16" t="n">
        <v>7.17</v>
      </c>
      <c r="J311" s="16" t="n">
        <v>3.135081649093772</v>
      </c>
      <c r="K311" s="16" t="n">
        <v>1170</v>
      </c>
      <c r="L311" s="16" t="n">
        <v>-291</v>
      </c>
      <c r="M311" s="16" t="n">
        <v>0.09865309020265189</v>
      </c>
      <c r="N311" s="16" t="n">
        <v>807</v>
      </c>
      <c r="O311" s="16" t="n">
        <v>0</v>
      </c>
      <c r="P311" s="16" t="n">
        <v>13.45447851283849</v>
      </c>
      <c r="Q311" t="n">
        <v>1185974</v>
      </c>
      <c r="R311" t="n">
        <v>1173949</v>
      </c>
      <c r="S311" t="n">
        <v>1020660</v>
      </c>
      <c r="T311" t="n">
        <v>111246</v>
      </c>
      <c r="U311" t="n">
        <v>3017</v>
      </c>
      <c r="V311" t="n">
        <v>1.013934538193923</v>
      </c>
      <c r="W311" t="n">
        <v>0.03</v>
      </c>
      <c r="X311" s="16">
        <f>IFERROR(K311/E311*100,"")</f>
        <v/>
      </c>
      <c r="Y311" s="16">
        <f>IFERROR((N311+O311)/E311*100,"")</f>
        <v/>
      </c>
      <c r="Z311" s="16">
        <f>IFERROR(R311/F311*100,"")</f>
        <v/>
      </c>
      <c r="AA311" s="16">
        <f>IFERROR(R311/E311*100,"")</f>
        <v/>
      </c>
      <c r="AB311" s="16">
        <f>IFERROR(S311/Q311*100,"")</f>
        <v/>
      </c>
      <c r="AC311" s="16">
        <f>IFERROR(T311/Q311*100,"")</f>
        <v/>
      </c>
      <c r="AD311" s="16">
        <f>IFERROR(U311/Q311*100,"")</f>
        <v/>
      </c>
      <c r="AE311" s="18" t="n"/>
      <c r="AF311" s="18" t="n"/>
      <c r="AG311" s="18" t="n"/>
      <c r="AH311">
        <f>P311&gt;0</f>
        <v/>
      </c>
    </row>
    <row r="312">
      <c r="A312" s="14" t="n">
        <v>44926</v>
      </c>
      <c r="B312" t="n">
        <v>17751</v>
      </c>
      <c r="C312" t="inlineStr">
        <is>
          <t>ANDROSCOGGIN SAVINGS BANK</t>
        </is>
      </c>
      <c r="D312" t="inlineStr">
        <is>
          <t>ME</t>
        </is>
      </c>
      <c r="E312" t="n">
        <v>1450036</v>
      </c>
      <c r="F312" t="n">
        <v>1265376</v>
      </c>
      <c r="G312" t="n">
        <v>125470</v>
      </c>
      <c r="H312" s="16" t="n">
        <v>0.5788317800651495</v>
      </c>
      <c r="I312" s="16" t="n">
        <v>6.4</v>
      </c>
      <c r="J312" s="16" t="n">
        <v>3.255379887464121</v>
      </c>
      <c r="K312" s="16" t="n">
        <v>6987</v>
      </c>
      <c r="L312" s="16" t="n">
        <v>-458</v>
      </c>
      <c r="M312" s="16" t="n">
        <v>0.577285346024192</v>
      </c>
      <c r="N312" s="16" t="n">
        <v>2294</v>
      </c>
      <c r="O312" s="16" t="n">
        <v>0</v>
      </c>
      <c r="P312" s="16" t="n">
        <v>13.12513597503731</v>
      </c>
      <c r="Q312" t="n">
        <v>1210320</v>
      </c>
      <c r="R312" t="n">
        <v>1195113</v>
      </c>
      <c r="S312" t="n">
        <v>1045931</v>
      </c>
      <c r="T312" t="n">
        <v>116008</v>
      </c>
      <c r="U312" t="n">
        <v>1809</v>
      </c>
      <c r="V312" t="n">
        <v>1.256444576640888</v>
      </c>
      <c r="W312" t="n">
        <v>0.23</v>
      </c>
      <c r="X312" s="16">
        <f>IFERROR(K312/E312*100,"")</f>
        <v/>
      </c>
      <c r="Y312" s="16">
        <f>IFERROR((N312+O312)/E312*100,"")</f>
        <v/>
      </c>
      <c r="Z312" s="16">
        <f>IFERROR(R312/F312*100,"")</f>
        <v/>
      </c>
      <c r="AA312" s="16">
        <f>IFERROR(R312/E312*100,"")</f>
        <v/>
      </c>
      <c r="AB312" s="16">
        <f>IFERROR(S312/Q312*100,"")</f>
        <v/>
      </c>
      <c r="AC312" s="16">
        <f>IFERROR(T312/Q312*100,"")</f>
        <v/>
      </c>
      <c r="AD312" s="16">
        <f>IFERROR(U312/Q312*100,"")</f>
        <v/>
      </c>
      <c r="AE312" s="18" t="n"/>
      <c r="AF312" s="18" t="n"/>
      <c r="AG312" s="18" t="n"/>
      <c r="AH312">
        <f>P312&gt;0</f>
        <v/>
      </c>
    </row>
    <row r="313">
      <c r="A313" s="14" t="n">
        <v>45016</v>
      </c>
      <c r="B313" t="n">
        <v>17751</v>
      </c>
      <c r="C313" t="inlineStr">
        <is>
          <t>ANDROSCOGGIN SAVINGS BANK</t>
        </is>
      </c>
      <c r="D313" t="inlineStr">
        <is>
          <t>ME</t>
        </is>
      </c>
      <c r="E313" t="n">
        <v>1498353</v>
      </c>
      <c r="F313" t="n">
        <v>1191607</v>
      </c>
      <c r="G313" t="n">
        <v>129181</v>
      </c>
      <c r="H313" s="16" t="n">
        <v>0.5774000649168072</v>
      </c>
      <c r="I313" s="16" t="n">
        <v>6.69</v>
      </c>
      <c r="J313" s="16" t="n">
        <v>3.215237467447564</v>
      </c>
      <c r="K313" s="16" t="n">
        <v>2844</v>
      </c>
      <c r="L313" s="16" t="n">
        <v>4071</v>
      </c>
      <c r="M313" s="16" t="n">
        <v>0.2344520918913705</v>
      </c>
      <c r="N313" s="16" t="n">
        <v>2201</v>
      </c>
      <c r="O313" s="16" t="n">
        <v>0</v>
      </c>
      <c r="P313" s="16" t="n">
        <v>13.14594168717006</v>
      </c>
      <c r="Q313" t="n">
        <v>1213041</v>
      </c>
      <c r="R313" t="n">
        <v>1201597</v>
      </c>
      <c r="S313" t="n">
        <v>1050455</v>
      </c>
      <c r="T313" t="n">
        <v>113658</v>
      </c>
      <c r="U313" t="n">
        <v>1501</v>
      </c>
      <c r="V313" t="n">
        <v>0.9434141137851072</v>
      </c>
      <c r="W313" t="n">
        <v>0.08</v>
      </c>
      <c r="X313" s="16">
        <f>IFERROR(K313/E313*100,"")</f>
        <v/>
      </c>
      <c r="Y313" s="16">
        <f>IFERROR((N313+O313)/E313*100,"")</f>
        <v/>
      </c>
      <c r="Z313" s="16">
        <f>IFERROR(R313/F313*100,"")</f>
        <v/>
      </c>
      <c r="AA313" s="16">
        <f>IFERROR(R313/E313*100,"")</f>
        <v/>
      </c>
      <c r="AB313" s="16">
        <f>IFERROR(S313/Q313*100,"")</f>
        <v/>
      </c>
      <c r="AC313" s="16">
        <f>IFERROR(T313/Q313*100,"")</f>
        <v/>
      </c>
      <c r="AD313" s="16">
        <f>IFERROR(U313/Q313*100,"")</f>
        <v/>
      </c>
      <c r="AE313" s="18">
        <f>IFERROR(E313/E309-1,"")</f>
        <v/>
      </c>
      <c r="AF313" s="18">
        <f>IFERROR(R313/R309-1,"")</f>
        <v/>
      </c>
      <c r="AG313" s="18">
        <f>IFERROR(F313/F309-1,"")</f>
        <v/>
      </c>
      <c r="AH313">
        <f>P313&gt;0</f>
        <v/>
      </c>
    </row>
    <row r="314">
      <c r="A314" s="14" t="n">
        <v>45107</v>
      </c>
      <c r="B314" t="n">
        <v>17751</v>
      </c>
      <c r="C314" t="inlineStr">
        <is>
          <t>ANDROSCOGGIN SAVINGS BANK</t>
        </is>
      </c>
      <c r="D314" t="inlineStr">
        <is>
          <t>ME</t>
        </is>
      </c>
      <c r="E314" t="n">
        <v>1539209</v>
      </c>
      <c r="F314" t="n">
        <v>1218035</v>
      </c>
      <c r="G314" t="n">
        <v>129936</v>
      </c>
      <c r="H314" s="16" t="n">
        <v>0.5722437704981596</v>
      </c>
      <c r="I314" s="16" t="n">
        <v>6.68</v>
      </c>
      <c r="J314" s="16" t="n">
        <v>3.142540475621969</v>
      </c>
      <c r="K314" s="16" t="n">
        <v>2725</v>
      </c>
      <c r="L314" s="16" t="n">
        <v>4196</v>
      </c>
      <c r="M314" s="16" t="n">
        <v>0.2170080129711064</v>
      </c>
      <c r="N314" s="16" t="n">
        <v>2912</v>
      </c>
      <c r="O314" s="16" t="n">
        <v>0</v>
      </c>
      <c r="P314" s="16" t="n">
        <v>12.74035129528891</v>
      </c>
      <c r="Q314" t="n">
        <v>1255714</v>
      </c>
      <c r="R314" t="n">
        <v>1244088</v>
      </c>
      <c r="S314" t="n">
        <v>1072258</v>
      </c>
      <c r="T314" t="n">
        <v>118420</v>
      </c>
      <c r="U314" t="n">
        <v>2111</v>
      </c>
      <c r="V314" t="n">
        <v>0.9258477646980126</v>
      </c>
      <c r="W314" t="n">
        <v>0.08</v>
      </c>
      <c r="X314" s="16">
        <f>IFERROR(K314/E314*100,"")</f>
        <v/>
      </c>
      <c r="Y314" s="16">
        <f>IFERROR((N314+O314)/E314*100,"")</f>
        <v/>
      </c>
      <c r="Z314" s="16">
        <f>IFERROR(R314/F314*100,"")</f>
        <v/>
      </c>
      <c r="AA314" s="16">
        <f>IFERROR(R314/E314*100,"")</f>
        <v/>
      </c>
      <c r="AB314" s="16">
        <f>IFERROR(S314/Q314*100,"")</f>
        <v/>
      </c>
      <c r="AC314" s="16">
        <f>IFERROR(T314/Q314*100,"")</f>
        <v/>
      </c>
      <c r="AD314" s="16">
        <f>IFERROR(U314/Q314*100,"")</f>
        <v/>
      </c>
      <c r="AE314" s="18">
        <f>IFERROR(E314/E310-1,"")</f>
        <v/>
      </c>
      <c r="AF314" s="18">
        <f>IFERROR(R314/R310-1,"")</f>
        <v/>
      </c>
      <c r="AG314" s="18">
        <f>IFERROR(F314/F310-1,"")</f>
        <v/>
      </c>
      <c r="AH314">
        <f>P314&gt;0</f>
        <v/>
      </c>
    </row>
    <row r="315">
      <c r="A315" s="14" t="n">
        <v>45199</v>
      </c>
      <c r="B315" t="n">
        <v>17751</v>
      </c>
      <c r="C315" t="inlineStr">
        <is>
          <t>ANDROSCOGGIN SAVINGS BANK</t>
        </is>
      </c>
      <c r="D315" t="inlineStr">
        <is>
          <t>ME</t>
        </is>
      </c>
      <c r="E315" t="n">
        <v>1580361</v>
      </c>
      <c r="F315" t="n">
        <v>1300135</v>
      </c>
      <c r="G315" t="n">
        <v>128888</v>
      </c>
      <c r="H315" s="16" t="n">
        <v>0.591331773995177</v>
      </c>
      <c r="I315" s="16" t="n">
        <v>6.99</v>
      </c>
      <c r="J315" s="16" t="n">
        <v>3.126436959590442</v>
      </c>
      <c r="K315" s="16" t="n">
        <v>2621</v>
      </c>
      <c r="L315" s="16" t="n">
        <v>4179</v>
      </c>
      <c r="M315" s="16" t="n">
        <v>0.2040987959650579</v>
      </c>
      <c r="N315" s="16" t="n">
        <v>4485</v>
      </c>
      <c r="O315" s="16" t="n">
        <v>0</v>
      </c>
      <c r="P315" s="16" t="n">
        <v>12.60399904807085</v>
      </c>
      <c r="Q315" t="n">
        <v>1284182</v>
      </c>
      <c r="R315" t="n">
        <v>1272232</v>
      </c>
      <c r="S315" t="n">
        <v>1091898</v>
      </c>
      <c r="T315" t="n">
        <v>120460</v>
      </c>
      <c r="U315" t="n">
        <v>2396</v>
      </c>
      <c r="V315" t="n">
        <v>0.9305534573759794</v>
      </c>
      <c r="W315" t="n">
        <v>0.08</v>
      </c>
      <c r="X315" s="16">
        <f>IFERROR(K315/E315*100,"")</f>
        <v/>
      </c>
      <c r="Y315" s="16">
        <f>IFERROR((N315+O315)/E315*100,"")</f>
        <v/>
      </c>
      <c r="Z315" s="16">
        <f>IFERROR(R315/F315*100,"")</f>
        <v/>
      </c>
      <c r="AA315" s="16">
        <f>IFERROR(R315/E315*100,"")</f>
        <v/>
      </c>
      <c r="AB315" s="16">
        <f>IFERROR(S315/Q315*100,"")</f>
        <v/>
      </c>
      <c r="AC315" s="16">
        <f>IFERROR(T315/Q315*100,"")</f>
        <v/>
      </c>
      <c r="AD315" s="16">
        <f>IFERROR(U315/Q315*100,"")</f>
        <v/>
      </c>
      <c r="AE315" s="18">
        <f>IFERROR(E315/E311-1,"")</f>
        <v/>
      </c>
      <c r="AF315" s="18">
        <f>IFERROR(R315/R311-1,"")</f>
        <v/>
      </c>
      <c r="AG315" s="18">
        <f>IFERROR(F315/F311-1,"")</f>
        <v/>
      </c>
      <c r="AH315">
        <f>P315&gt;0</f>
        <v/>
      </c>
    </row>
    <row r="316">
      <c r="A316" s="14" t="n">
        <v>45291</v>
      </c>
      <c r="B316" t="n">
        <v>17751</v>
      </c>
      <c r="C316" t="inlineStr">
        <is>
          <t>ANDROSCOGGIN SAVINGS BANK</t>
        </is>
      </c>
      <c r="D316" t="inlineStr">
        <is>
          <t>ME</t>
        </is>
      </c>
      <c r="E316" t="n">
        <v>1594063</v>
      </c>
      <c r="F316" t="n">
        <v>1298128</v>
      </c>
      <c r="G316" t="n">
        <v>137906</v>
      </c>
      <c r="H316" s="16" t="n">
        <v>0.596513557387332</v>
      </c>
      <c r="I316" s="16" t="n">
        <v>7.02</v>
      </c>
      <c r="J316" s="16" t="n">
        <v>3.061668412644826</v>
      </c>
      <c r="K316" s="16" t="n">
        <v>868</v>
      </c>
      <c r="L316" s="16" t="n">
        <v>4158</v>
      </c>
      <c r="M316" s="16" t="n">
        <v>0.0667008880132049</v>
      </c>
      <c r="N316" s="16" t="n">
        <v>5195</v>
      </c>
      <c r="O316" s="16" t="n">
        <v>0</v>
      </c>
      <c r="P316" s="16" t="n">
        <v>12.17644673405326</v>
      </c>
      <c r="Q316" t="n">
        <v>1301332</v>
      </c>
      <c r="R316" t="n">
        <v>1289421</v>
      </c>
      <c r="S316" t="n">
        <v>1106344</v>
      </c>
      <c r="T316" t="n">
        <v>128172</v>
      </c>
      <c r="U316" t="n">
        <v>3312</v>
      </c>
      <c r="V316" t="n">
        <v>0.9152929459968708</v>
      </c>
      <c r="W316" t="n">
        <v>0.04</v>
      </c>
      <c r="X316" s="16">
        <f>IFERROR(K316/E316*100,"")</f>
        <v/>
      </c>
      <c r="Y316" s="16">
        <f>IFERROR((N316+O316)/E316*100,"")</f>
        <v/>
      </c>
      <c r="Z316" s="16">
        <f>IFERROR(R316/F316*100,"")</f>
        <v/>
      </c>
      <c r="AA316" s="16">
        <f>IFERROR(R316/E316*100,"")</f>
        <v/>
      </c>
      <c r="AB316" s="16">
        <f>IFERROR(S316/Q316*100,"")</f>
        <v/>
      </c>
      <c r="AC316" s="16">
        <f>IFERROR(T316/Q316*100,"")</f>
        <v/>
      </c>
      <c r="AD316" s="16">
        <f>IFERROR(U316/Q316*100,"")</f>
        <v/>
      </c>
      <c r="AE316" s="18">
        <f>IFERROR(E316/E312-1,"")</f>
        <v/>
      </c>
      <c r="AF316" s="18">
        <f>IFERROR(R316/R312-1,"")</f>
        <v/>
      </c>
      <c r="AG316" s="18">
        <f>IFERROR(F316/F312-1,"")</f>
        <v/>
      </c>
      <c r="AH316">
        <f>P316&gt;0</f>
        <v/>
      </c>
    </row>
    <row r="317">
      <c r="A317" s="14" t="n">
        <v>45382</v>
      </c>
      <c r="B317" t="n">
        <v>17751</v>
      </c>
      <c r="C317" t="inlineStr">
        <is>
          <t>ANDROSCOGGIN SAVINGS BANK</t>
        </is>
      </c>
      <c r="D317" t="inlineStr">
        <is>
          <t>ME</t>
        </is>
      </c>
      <c r="E317" t="n">
        <v>1632063</v>
      </c>
      <c r="F317" t="n">
        <v>1308912</v>
      </c>
      <c r="G317" t="n">
        <v>138475</v>
      </c>
      <c r="H317" s="16" t="n">
        <v>0.4076716160497141</v>
      </c>
      <c r="I317" s="16" t="n">
        <v>4.76</v>
      </c>
      <c r="J317" s="16" t="n">
        <v>2.636116326296027</v>
      </c>
      <c r="K317" s="16" t="n">
        <v>805</v>
      </c>
      <c r="L317" s="16" t="n">
        <v>-18</v>
      </c>
      <c r="M317" s="16" t="n">
        <v>0.0604262716915302</v>
      </c>
      <c r="N317" s="16" t="n">
        <v>2865</v>
      </c>
      <c r="O317" s="16" t="n">
        <v>0</v>
      </c>
      <c r="P317" s="16" t="n">
        <v>11.99411170350144</v>
      </c>
      <c r="Q317" t="n">
        <v>1332202</v>
      </c>
      <c r="R317" t="n">
        <v>1320146</v>
      </c>
      <c r="S317" t="n">
        <v>1123971</v>
      </c>
      <c r="T317" t="n">
        <v>135811</v>
      </c>
      <c r="U317" t="n">
        <v>2663</v>
      </c>
      <c r="V317" t="n">
        <v>0.9049678652336508</v>
      </c>
      <c r="W317" t="n">
        <v>0.03</v>
      </c>
      <c r="X317" s="16">
        <f>IFERROR(K317/E317*100,"")</f>
        <v/>
      </c>
      <c r="Y317" s="16">
        <f>IFERROR((N317+O317)/E317*100,"")</f>
        <v/>
      </c>
      <c r="Z317" s="16">
        <f>IFERROR(R317/F317*100,"")</f>
        <v/>
      </c>
      <c r="AA317" s="16">
        <f>IFERROR(R317/E317*100,"")</f>
        <v/>
      </c>
      <c r="AB317" s="16">
        <f>IFERROR(S317/Q317*100,"")</f>
        <v/>
      </c>
      <c r="AC317" s="16">
        <f>IFERROR(T317/Q317*100,"")</f>
        <v/>
      </c>
      <c r="AD317" s="16">
        <f>IFERROR(U317/Q317*100,"")</f>
        <v/>
      </c>
      <c r="AE317" s="18">
        <f>IFERROR(E317/E313-1,"")</f>
        <v/>
      </c>
      <c r="AF317" s="18">
        <f>IFERROR(R317/R313-1,"")</f>
        <v/>
      </c>
      <c r="AG317" s="18">
        <f>IFERROR(F317/F313-1,"")</f>
        <v/>
      </c>
      <c r="AH317">
        <f>P317&gt;0</f>
        <v/>
      </c>
    </row>
    <row r="318">
      <c r="A318" s="14" t="n">
        <v>45473</v>
      </c>
      <c r="B318" t="n">
        <v>17751</v>
      </c>
      <c r="C318" t="inlineStr">
        <is>
          <t>ANDROSCOGGIN SAVINGS BANK</t>
        </is>
      </c>
      <c r="D318" t="inlineStr">
        <is>
          <t>ME</t>
        </is>
      </c>
      <c r="E318" t="n">
        <v>1628666</v>
      </c>
      <c r="F318" t="n">
        <v>1314857</v>
      </c>
      <c r="G318" t="n">
        <v>140560</v>
      </c>
      <c r="H318" s="16" t="n">
        <v>0.4433145642490965</v>
      </c>
      <c r="I318" s="16" t="n">
        <v>5.16</v>
      </c>
      <c r="J318" s="16" t="n">
        <v>2.671762335793692</v>
      </c>
      <c r="K318" s="16" t="n">
        <v>4863</v>
      </c>
      <c r="L318" s="16" t="n">
        <v>-34</v>
      </c>
      <c r="M318" s="16" t="n">
        <v>0.3613644014080058</v>
      </c>
      <c r="N318" s="16" t="n">
        <v>4693</v>
      </c>
      <c r="O318" s="16" t="n">
        <v>0</v>
      </c>
      <c r="P318" s="16" t="n">
        <v>12.75620038139651</v>
      </c>
      <c r="Q318" t="n">
        <v>1345733</v>
      </c>
      <c r="R318" t="n">
        <v>1333460</v>
      </c>
      <c r="S318" t="n">
        <v>1148666</v>
      </c>
      <c r="T318" t="n">
        <v>134212</v>
      </c>
      <c r="U318" t="n">
        <v>4482</v>
      </c>
      <c r="V318" t="n">
        <v>0.911993686712</v>
      </c>
      <c r="W318" t="n">
        <v>0.04</v>
      </c>
      <c r="X318" s="16">
        <f>IFERROR(K318/E318*100,"")</f>
        <v/>
      </c>
      <c r="Y318" s="16">
        <f>IFERROR((N318+O318)/E318*100,"")</f>
        <v/>
      </c>
      <c r="Z318" s="16">
        <f>IFERROR(R318/F318*100,"")</f>
        <v/>
      </c>
      <c r="AA318" s="16">
        <f>IFERROR(R318/E318*100,"")</f>
        <v/>
      </c>
      <c r="AB318" s="16">
        <f>IFERROR(S318/Q318*100,"")</f>
        <v/>
      </c>
      <c r="AC318" s="16">
        <f>IFERROR(T318/Q318*100,"")</f>
        <v/>
      </c>
      <c r="AD318" s="16">
        <f>IFERROR(U318/Q318*100,"")</f>
        <v/>
      </c>
      <c r="AE318" s="18">
        <f>IFERROR(E318/E314-1,"")</f>
        <v/>
      </c>
      <c r="AF318" s="18">
        <f>IFERROR(R318/R314-1,"")</f>
        <v/>
      </c>
      <c r="AG318" s="18">
        <f>IFERROR(F318/F314-1,"")</f>
        <v/>
      </c>
      <c r="AH318">
        <f>P318&gt;0</f>
        <v/>
      </c>
    </row>
    <row r="319">
      <c r="A319" s="14" t="n">
        <v>45565</v>
      </c>
      <c r="B319" t="n">
        <v>17751</v>
      </c>
      <c r="C319" t="inlineStr">
        <is>
          <t>ANDROSCOGGIN SAVINGS BANK</t>
        </is>
      </c>
      <c r="D319" t="inlineStr">
        <is>
          <t>ME</t>
        </is>
      </c>
      <c r="E319" t="n">
        <v>1665363</v>
      </c>
      <c r="F319" t="n">
        <v>1312346</v>
      </c>
      <c r="G319" t="n">
        <v>146041</v>
      </c>
      <c r="H319" s="16" t="n">
        <v>0.4329441186597557</v>
      </c>
      <c r="I319" s="16" t="n">
        <v>5.01</v>
      </c>
      <c r="J319" s="16" t="n">
        <v>2.661472213380771</v>
      </c>
      <c r="K319" s="16" t="n">
        <v>5637</v>
      </c>
      <c r="L319" s="16" t="n">
        <v>-41</v>
      </c>
      <c r="M319" s="16" t="n">
        <v>0.410737016826592</v>
      </c>
      <c r="N319" s="16" t="n">
        <v>2877</v>
      </c>
      <c r="O319" s="16" t="n">
        <v>0</v>
      </c>
      <c r="P319" s="16" t="n">
        <v>12.66167306887621</v>
      </c>
      <c r="Q319" t="n">
        <v>1372411</v>
      </c>
      <c r="R319" t="n">
        <v>1359998</v>
      </c>
      <c r="S319" t="n">
        <v>1170198</v>
      </c>
      <c r="T319" t="n">
        <v>136330</v>
      </c>
      <c r="U319" t="n">
        <v>2825</v>
      </c>
      <c r="V319" t="n">
        <v>0.904466664869343</v>
      </c>
      <c r="W319" t="n">
        <v>0.04</v>
      </c>
      <c r="X319" s="16">
        <f>IFERROR(K319/E319*100,"")</f>
        <v/>
      </c>
      <c r="Y319" s="16">
        <f>IFERROR((N319+O319)/E319*100,"")</f>
        <v/>
      </c>
      <c r="Z319" s="16">
        <f>IFERROR(R319/F319*100,"")</f>
        <v/>
      </c>
      <c r="AA319" s="16">
        <f>IFERROR(R319/E319*100,"")</f>
        <v/>
      </c>
      <c r="AB319" s="16">
        <f>IFERROR(S319/Q319*100,"")</f>
        <v/>
      </c>
      <c r="AC319" s="16">
        <f>IFERROR(T319/Q319*100,"")</f>
        <v/>
      </c>
      <c r="AD319" s="16">
        <f>IFERROR(U319/Q319*100,"")</f>
        <v/>
      </c>
      <c r="AE319" s="18">
        <f>IFERROR(E319/E315-1,"")</f>
        <v/>
      </c>
      <c r="AF319" s="18">
        <f>IFERROR(R319/R315-1,"")</f>
        <v/>
      </c>
      <c r="AG319" s="18">
        <f>IFERROR(F319/F315-1,"")</f>
        <v/>
      </c>
      <c r="AH319">
        <f>P319&gt;0</f>
        <v/>
      </c>
    </row>
    <row r="320">
      <c r="A320" s="14" t="n">
        <v>45657</v>
      </c>
      <c r="B320" t="n">
        <v>17751</v>
      </c>
      <c r="C320" t="inlineStr">
        <is>
          <t>ANDROSCOGGIN SAVINGS BANK</t>
        </is>
      </c>
      <c r="D320" t="inlineStr">
        <is>
          <t>ME</t>
        </is>
      </c>
      <c r="E320" t="n">
        <v>1661812</v>
      </c>
      <c r="F320" t="n">
        <v>1317297</v>
      </c>
      <c r="G320" t="n">
        <v>146032</v>
      </c>
      <c r="H320" s="16" t="n">
        <v>0.422514537152252</v>
      </c>
      <c r="I320" s="16" t="n">
        <v>4.88</v>
      </c>
      <c r="J320" s="16" t="n">
        <v>2.720130697407999</v>
      </c>
      <c r="K320" s="16" t="n">
        <v>2670</v>
      </c>
      <c r="L320" s="16" t="n">
        <v>-229</v>
      </c>
      <c r="M320" s="16" t="n">
        <v>0.1941545659409261</v>
      </c>
      <c r="N320" s="16" t="n">
        <v>7110</v>
      </c>
      <c r="O320" s="16" t="n">
        <v>0</v>
      </c>
      <c r="P320" s="16" t="n">
        <v>12.60094418217162</v>
      </c>
      <c r="Q320" t="n">
        <v>1375193</v>
      </c>
      <c r="R320" t="n">
        <v>1362180</v>
      </c>
      <c r="S320" t="n">
        <v>1175847</v>
      </c>
      <c r="T320" t="n">
        <v>137238</v>
      </c>
      <c r="U320" t="n">
        <v>4607</v>
      </c>
      <c r="V320" t="n">
        <v>0.9462671784978544</v>
      </c>
      <c r="W320" t="n">
        <v>0.05</v>
      </c>
      <c r="X320" s="16">
        <f>IFERROR(K320/E320*100,"")</f>
        <v/>
      </c>
      <c r="Y320" s="16">
        <f>IFERROR((N320+O320)/E320*100,"")</f>
        <v/>
      </c>
      <c r="Z320" s="16">
        <f>IFERROR(R320/F320*100,"")</f>
        <v/>
      </c>
      <c r="AA320" s="16">
        <f>IFERROR(R320/E320*100,"")</f>
        <v/>
      </c>
      <c r="AB320" s="16">
        <f>IFERROR(S320/Q320*100,"")</f>
        <v/>
      </c>
      <c r="AC320" s="16">
        <f>IFERROR(T320/Q320*100,"")</f>
        <v/>
      </c>
      <c r="AD320" s="16">
        <f>IFERROR(U320/Q320*100,"")</f>
        <v/>
      </c>
      <c r="AE320" s="18">
        <f>IFERROR(E320/E316-1,"")</f>
        <v/>
      </c>
      <c r="AF320" s="18">
        <f>IFERROR(R320/R316-1,"")</f>
        <v/>
      </c>
      <c r="AG320" s="18">
        <f>IFERROR(F320/F316-1,"")</f>
        <v/>
      </c>
      <c r="AH320">
        <f>P320&gt;0</f>
        <v/>
      </c>
    </row>
    <row r="321">
      <c r="A321" s="14" t="n">
        <v>45747</v>
      </c>
      <c r="B321" t="n">
        <v>17751</v>
      </c>
      <c r="C321" t="inlineStr">
        <is>
          <t>ANDROSCOGGIN SAVINGS BANK</t>
        </is>
      </c>
      <c r="D321" t="inlineStr">
        <is>
          <t>ME</t>
        </is>
      </c>
      <c r="E321" t="n">
        <v>1694530</v>
      </c>
      <c r="F321" t="n">
        <v>1333884</v>
      </c>
      <c r="G321" t="n">
        <v>150042</v>
      </c>
      <c r="H321" s="16" t="n">
        <v>0.361584129388483</v>
      </c>
      <c r="I321" s="16" t="n">
        <v>4.1</v>
      </c>
      <c r="J321" s="16" t="n">
        <v>2.790254586247268</v>
      </c>
      <c r="K321" s="16" t="n">
        <v>2675</v>
      </c>
      <c r="L321" s="16" t="n">
        <v>-25</v>
      </c>
      <c r="M321" s="16" t="n">
        <v>0.1896067166850366</v>
      </c>
      <c r="N321" s="16" t="n">
        <v>7685</v>
      </c>
      <c r="O321" s="16" t="n">
        <v>0</v>
      </c>
      <c r="P321" s="16" t="n">
        <v>12.38941369709785</v>
      </c>
      <c r="Q321" t="n">
        <v>1410815</v>
      </c>
      <c r="R321" t="n">
        <v>1397577</v>
      </c>
      <c r="S321" t="n">
        <v>1197971</v>
      </c>
      <c r="T321" t="n">
        <v>138929</v>
      </c>
      <c r="U321" t="n">
        <v>2198</v>
      </c>
      <c r="V321" t="n">
        <v>0.938322884290286</v>
      </c>
      <c r="W321" t="n">
        <v>0.05</v>
      </c>
      <c r="X321" s="16">
        <f>IFERROR(K321/E321*100,"")</f>
        <v/>
      </c>
      <c r="Y321" s="16">
        <f>IFERROR((N321+O321)/E321*100,"")</f>
        <v/>
      </c>
      <c r="Z321" s="16">
        <f>IFERROR(R321/F321*100,"")</f>
        <v/>
      </c>
      <c r="AA321" s="16">
        <f>IFERROR(R321/E321*100,"")</f>
        <v/>
      </c>
      <c r="AB321" s="16">
        <f>IFERROR(S321/Q321*100,"")</f>
        <v/>
      </c>
      <c r="AC321" s="16">
        <f>IFERROR(T321/Q321*100,"")</f>
        <v/>
      </c>
      <c r="AD321" s="16">
        <f>IFERROR(U321/Q321*100,"")</f>
        <v/>
      </c>
      <c r="AE321" s="18">
        <f>IFERROR(E321/E317-1,"")</f>
        <v/>
      </c>
      <c r="AF321" s="18">
        <f>IFERROR(R321/R317-1,"")</f>
        <v/>
      </c>
      <c r="AG321" s="18">
        <f>IFERROR(F321/F317-1,"")</f>
        <v/>
      </c>
      <c r="AH321">
        <f>P321&gt;0</f>
        <v/>
      </c>
    </row>
    <row r="322">
      <c r="A322" s="14" t="n">
        <v>45838</v>
      </c>
      <c r="B322" t="n">
        <v>17751</v>
      </c>
      <c r="C322" t="inlineStr">
        <is>
          <t>ANDROSCOGGIN SAVINGS BANK</t>
        </is>
      </c>
      <c r="D322" t="inlineStr">
        <is>
          <t>ME</t>
        </is>
      </c>
      <c r="E322" t="n">
        <v>1763462</v>
      </c>
      <c r="F322" t="n">
        <v>1373195</v>
      </c>
      <c r="G322" t="n">
        <v>175467</v>
      </c>
      <c r="H322" s="16" t="n">
        <v>0.4563455944797887</v>
      </c>
      <c r="I322" s="16" t="n">
        <v>4.95</v>
      </c>
      <c r="J322" s="16" t="n">
        <v>2.871575246161505</v>
      </c>
      <c r="K322" s="16" t="n">
        <v>2425</v>
      </c>
      <c r="L322" s="16" t="n">
        <v>-45</v>
      </c>
      <c r="M322" s="16" t="n">
        <v>0.1664541087738132</v>
      </c>
      <c r="N322" s="16" t="n">
        <v>6455</v>
      </c>
      <c r="O322" s="16" t="n">
        <v>0</v>
      </c>
      <c r="P322" s="16" t="n">
        <v>13.92216150945957</v>
      </c>
      <c r="Q322" t="n">
        <v>1456858</v>
      </c>
      <c r="R322" t="n">
        <v>1443221</v>
      </c>
      <c r="S322" t="n">
        <v>1232944</v>
      </c>
      <c r="T322" t="n">
        <v>149887</v>
      </c>
      <c r="U322" t="n">
        <v>2254</v>
      </c>
      <c r="V322" t="n">
        <v>0.9360555387004086</v>
      </c>
      <c r="W322" t="n">
        <v>0.07000000000000001</v>
      </c>
      <c r="X322" s="16">
        <f>IFERROR(K322/E322*100,"")</f>
        <v/>
      </c>
      <c r="Y322" s="16">
        <f>IFERROR((N322+O322)/E322*100,"")</f>
        <v/>
      </c>
      <c r="Z322" s="16">
        <f>IFERROR(R322/F322*100,"")</f>
        <v/>
      </c>
      <c r="AA322" s="16">
        <f>IFERROR(R322/E322*100,"")</f>
        <v/>
      </c>
      <c r="AB322" s="16">
        <f>IFERROR(S322/Q322*100,"")</f>
        <v/>
      </c>
      <c r="AC322" s="16">
        <f>IFERROR(T322/Q322*100,"")</f>
        <v/>
      </c>
      <c r="AD322" s="16">
        <f>IFERROR(U322/Q322*100,"")</f>
        <v/>
      </c>
      <c r="AE322" s="18">
        <f>IFERROR(E322/E318-1,"")</f>
        <v/>
      </c>
      <c r="AF322" s="18">
        <f>IFERROR(R322/R318-1,"")</f>
        <v/>
      </c>
      <c r="AG322" s="18">
        <f>IFERROR(F322/F318-1,"")</f>
        <v/>
      </c>
      <c r="AH322">
        <f>P322&gt;0</f>
        <v/>
      </c>
    </row>
    <row r="323">
      <c r="A323" s="14" t="n">
        <v>44651</v>
      </c>
      <c r="B323" t="n">
        <v>17897</v>
      </c>
      <c r="C323" t="inlineStr">
        <is>
          <t>KENNEBEC SAVINGS BANK</t>
        </is>
      </c>
      <c r="D323" t="inlineStr">
        <is>
          <t>ME</t>
        </is>
      </c>
      <c r="E323" t="n">
        <v>1471217</v>
      </c>
      <c r="F323" t="n">
        <v>1215413</v>
      </c>
      <c r="G323" t="n">
        <v>198845</v>
      </c>
      <c r="H323" s="16" t="n">
        <v>-0.2042243603340096</v>
      </c>
      <c r="I323" s="16" t="n">
        <v>-1.48</v>
      </c>
      <c r="J323" s="16" t="n">
        <v>3.238078097908996</v>
      </c>
      <c r="K323" s="16" t="n">
        <v>3293</v>
      </c>
      <c r="L323" s="16" t="n">
        <v>12</v>
      </c>
      <c r="M323" s="16" t="n">
        <v>0.2685780046603544</v>
      </c>
      <c r="N323" s="16" t="n">
        <v>1421</v>
      </c>
      <c r="O323" s="16" t="n">
        <v>0</v>
      </c>
      <c r="P323" s="16" t="n">
        <v>0</v>
      </c>
      <c r="Q323" t="n">
        <v>1226087</v>
      </c>
      <c r="R323" t="n">
        <v>1218428</v>
      </c>
      <c r="S323" t="n">
        <v>1160300</v>
      </c>
      <c r="T323" t="n">
        <v>58243</v>
      </c>
      <c r="U323" t="n">
        <v>2749</v>
      </c>
      <c r="V323" t="n">
        <v>0.6246701906145322</v>
      </c>
      <c r="W323" t="n">
        <v>0.04</v>
      </c>
      <c r="X323" s="16">
        <f>IFERROR(K323/E323*100,"")</f>
        <v/>
      </c>
      <c r="Y323" s="16">
        <f>IFERROR((N323+O323)/E323*100,"")</f>
        <v/>
      </c>
      <c r="Z323" s="16">
        <f>IFERROR(R323/F323*100,"")</f>
        <v/>
      </c>
      <c r="AA323" s="16">
        <f>IFERROR(R323/E323*100,"")</f>
        <v/>
      </c>
      <c r="AB323" s="16">
        <f>IFERROR(S323/Q323*100,"")</f>
        <v/>
      </c>
      <c r="AC323" s="16">
        <f>IFERROR(T323/Q323*100,"")</f>
        <v/>
      </c>
      <c r="AD323" s="16">
        <f>IFERROR(U323/Q323*100,"")</f>
        <v/>
      </c>
      <c r="AE323" s="18" t="n"/>
      <c r="AF323" s="18" t="n"/>
      <c r="AG323" s="18" t="n"/>
      <c r="AH323">
        <f>P323&gt;0</f>
        <v/>
      </c>
    </row>
    <row r="324">
      <c r="A324" s="14" t="n">
        <v>44742</v>
      </c>
      <c r="B324" t="n">
        <v>17897</v>
      </c>
      <c r="C324" t="inlineStr">
        <is>
          <t>KENNEBEC SAVINGS BANK</t>
        </is>
      </c>
      <c r="D324" t="inlineStr">
        <is>
          <t>ME</t>
        </is>
      </c>
      <c r="E324" t="n">
        <v>1531749</v>
      </c>
      <c r="F324" t="n">
        <v>1250686</v>
      </c>
      <c r="G324" t="n">
        <v>191374</v>
      </c>
      <c r="H324" s="16" t="n">
        <v>-0.6053785660932274</v>
      </c>
      <c r="I324" s="16" t="n">
        <v>-4.54</v>
      </c>
      <c r="J324" s="16" t="n">
        <v>3.21931626860747</v>
      </c>
      <c r="K324" s="16" t="n">
        <v>3935</v>
      </c>
      <c r="L324" s="16" t="n">
        <v>11</v>
      </c>
      <c r="M324" s="16" t="n">
        <v>0.3070555673036931</v>
      </c>
      <c r="N324" s="16" t="n">
        <v>1718</v>
      </c>
      <c r="O324" s="16" t="n">
        <v>0</v>
      </c>
      <c r="P324" s="16" t="n">
        <v>0</v>
      </c>
      <c r="Q324" t="n">
        <v>1281527</v>
      </c>
      <c r="R324" t="n">
        <v>1273567</v>
      </c>
      <c r="S324" t="n">
        <v>1214666</v>
      </c>
      <c r="T324" t="n">
        <v>59285</v>
      </c>
      <c r="U324" t="n">
        <v>2829</v>
      </c>
      <c r="V324" t="n">
        <v>0.6211340065406347</v>
      </c>
      <c r="W324" t="n">
        <v>0.06</v>
      </c>
      <c r="X324" s="16">
        <f>IFERROR(K324/E324*100,"")</f>
        <v/>
      </c>
      <c r="Y324" s="16">
        <f>IFERROR((N324+O324)/E324*100,"")</f>
        <v/>
      </c>
      <c r="Z324" s="16">
        <f>IFERROR(R324/F324*100,"")</f>
        <v/>
      </c>
      <c r="AA324" s="16">
        <f>IFERROR(R324/E324*100,"")</f>
        <v/>
      </c>
      <c r="AB324" s="16">
        <f>IFERROR(S324/Q324*100,"")</f>
        <v/>
      </c>
      <c r="AC324" s="16">
        <f>IFERROR(T324/Q324*100,"")</f>
        <v/>
      </c>
      <c r="AD324" s="16">
        <f>IFERROR(U324/Q324*100,"")</f>
        <v/>
      </c>
      <c r="AE324" s="18" t="n"/>
      <c r="AF324" s="18" t="n"/>
      <c r="AG324" s="18" t="n"/>
      <c r="AH324">
        <f>P324&gt;0</f>
        <v/>
      </c>
    </row>
    <row r="325">
      <c r="A325" s="14" t="n">
        <v>44834</v>
      </c>
      <c r="B325" t="n">
        <v>17897</v>
      </c>
      <c r="C325" t="inlineStr">
        <is>
          <t>KENNEBEC SAVINGS BANK</t>
        </is>
      </c>
      <c r="D325" t="inlineStr">
        <is>
          <t>ME</t>
        </is>
      </c>
      <c r="E325" t="n">
        <v>1589541</v>
      </c>
      <c r="F325" t="n">
        <v>1347109</v>
      </c>
      <c r="G325" t="n">
        <v>185467</v>
      </c>
      <c r="H325" s="16" t="n">
        <v>-0.372021148911137</v>
      </c>
      <c r="I325" s="16" t="n">
        <v>-2.89</v>
      </c>
      <c r="J325" s="16" t="n">
        <v>3.225099650715871</v>
      </c>
      <c r="K325" s="16" t="n">
        <v>3303</v>
      </c>
      <c r="L325" s="16" t="n">
        <v>-128</v>
      </c>
      <c r="M325" s="16" t="n">
        <v>0.246026555672912</v>
      </c>
      <c r="N325" s="16" t="n">
        <v>1323</v>
      </c>
      <c r="O325" s="16" t="n">
        <v>0</v>
      </c>
      <c r="P325" s="16" t="n">
        <v>0</v>
      </c>
      <c r="Q325" t="n">
        <v>1342538</v>
      </c>
      <c r="R325" t="n">
        <v>1333939</v>
      </c>
      <c r="S325" t="n">
        <v>1265598</v>
      </c>
      <c r="T325" t="n">
        <v>64720</v>
      </c>
      <c r="U325" t="n">
        <v>3129</v>
      </c>
      <c r="V325" t="n">
        <v>0.6405032855680807</v>
      </c>
      <c r="W325" t="n">
        <v>0.08</v>
      </c>
      <c r="X325" s="16">
        <f>IFERROR(K325/E325*100,"")</f>
        <v/>
      </c>
      <c r="Y325" s="16">
        <f>IFERROR((N325+O325)/E325*100,"")</f>
        <v/>
      </c>
      <c r="Z325" s="16">
        <f>IFERROR(R325/F325*100,"")</f>
        <v/>
      </c>
      <c r="AA325" s="16">
        <f>IFERROR(R325/E325*100,"")</f>
        <v/>
      </c>
      <c r="AB325" s="16">
        <f>IFERROR(S325/Q325*100,"")</f>
        <v/>
      </c>
      <c r="AC325" s="16">
        <f>IFERROR(T325/Q325*100,"")</f>
        <v/>
      </c>
      <c r="AD325" s="16">
        <f>IFERROR(U325/Q325*100,"")</f>
        <v/>
      </c>
      <c r="AE325" s="18" t="n"/>
      <c r="AF325" s="18" t="n"/>
      <c r="AG325" s="18" t="n"/>
      <c r="AH325">
        <f>P325&gt;0</f>
        <v/>
      </c>
    </row>
    <row r="326">
      <c r="A326" s="14" t="n">
        <v>44926</v>
      </c>
      <c r="B326" t="n">
        <v>17897</v>
      </c>
      <c r="C326" t="inlineStr">
        <is>
          <t>KENNEBEC SAVINGS BANK</t>
        </is>
      </c>
      <c r="D326" t="inlineStr">
        <is>
          <t>ME</t>
        </is>
      </c>
      <c r="E326" t="n">
        <v>1640422</v>
      </c>
      <c r="F326" t="n">
        <v>1346856</v>
      </c>
      <c r="G326" t="n">
        <v>195954</v>
      </c>
      <c r="H326" s="16" t="n">
        <v>0.2895155526556981</v>
      </c>
      <c r="I326" s="16" t="n">
        <v>2.28</v>
      </c>
      <c r="J326" s="16" t="n">
        <v>3.210870628195309</v>
      </c>
      <c r="K326" s="16" t="n">
        <v>3315</v>
      </c>
      <c r="L326" s="16" t="n">
        <v>-94</v>
      </c>
      <c r="M326" s="16" t="n">
        <v>0.2398652413196278</v>
      </c>
      <c r="N326" s="16" t="n">
        <v>2597</v>
      </c>
      <c r="O326" s="16" t="n">
        <v>0</v>
      </c>
      <c r="P326" s="16" t="n">
        <v>0</v>
      </c>
      <c r="Q326" t="n">
        <v>1382026</v>
      </c>
      <c r="R326" t="n">
        <v>1373061</v>
      </c>
      <c r="S326" t="n">
        <v>1298561</v>
      </c>
      <c r="T326" t="n">
        <v>70885</v>
      </c>
      <c r="U326" t="n">
        <v>3472</v>
      </c>
      <c r="V326" t="n">
        <v>0.6486853358764596</v>
      </c>
      <c r="W326" t="n">
        <v>0.09</v>
      </c>
      <c r="X326" s="16">
        <f>IFERROR(K326/E326*100,"")</f>
        <v/>
      </c>
      <c r="Y326" s="16">
        <f>IFERROR((N326+O326)/E326*100,"")</f>
        <v/>
      </c>
      <c r="Z326" s="16">
        <f>IFERROR(R326/F326*100,"")</f>
        <v/>
      </c>
      <c r="AA326" s="16">
        <f>IFERROR(R326/E326*100,"")</f>
        <v/>
      </c>
      <c r="AB326" s="16">
        <f>IFERROR(S326/Q326*100,"")</f>
        <v/>
      </c>
      <c r="AC326" s="16">
        <f>IFERROR(T326/Q326*100,"")</f>
        <v/>
      </c>
      <c r="AD326" s="16">
        <f>IFERROR(U326/Q326*100,"")</f>
        <v/>
      </c>
      <c r="AE326" s="18" t="n"/>
      <c r="AF326" s="18" t="n"/>
      <c r="AG326" s="18" t="n"/>
      <c r="AH326">
        <f>P326&gt;0</f>
        <v/>
      </c>
    </row>
    <row r="327">
      <c r="A327" s="14" t="n">
        <v>45016</v>
      </c>
      <c r="B327" t="n">
        <v>17897</v>
      </c>
      <c r="C327" t="inlineStr">
        <is>
          <t>KENNEBEC SAVINGS BANK</t>
        </is>
      </c>
      <c r="D327" t="inlineStr">
        <is>
          <t>ME</t>
        </is>
      </c>
      <c r="E327" t="n">
        <v>1665050</v>
      </c>
      <c r="F327" t="n">
        <v>1329955</v>
      </c>
      <c r="G327" t="n">
        <v>200040</v>
      </c>
      <c r="H327" s="16" t="n">
        <v>0.6568502168525402</v>
      </c>
      <c r="I327" s="16" t="n">
        <v>5.48</v>
      </c>
      <c r="J327" s="16" t="n">
        <v>2.676087480652645</v>
      </c>
      <c r="K327" s="16" t="n">
        <v>3806</v>
      </c>
      <c r="L327" s="16" t="n">
        <v>-101</v>
      </c>
      <c r="M327" s="16" t="n">
        <v>0.2719645919463755</v>
      </c>
      <c r="N327" s="16" t="n">
        <v>1292</v>
      </c>
      <c r="O327" s="16" t="n">
        <v>16</v>
      </c>
      <c r="P327" s="16" t="n">
        <v>0</v>
      </c>
      <c r="Q327" t="n">
        <v>1405330</v>
      </c>
      <c r="R327" t="n">
        <v>1396856</v>
      </c>
      <c r="S327" t="n">
        <v>1322849</v>
      </c>
      <c r="T327" t="n">
        <v>69971</v>
      </c>
      <c r="U327" t="n">
        <v>3501</v>
      </c>
      <c r="V327" t="n">
        <v>0.6029900450428013</v>
      </c>
      <c r="W327" t="n">
        <v>-0.05</v>
      </c>
      <c r="X327" s="16">
        <f>IFERROR(K327/E327*100,"")</f>
        <v/>
      </c>
      <c r="Y327" s="16">
        <f>IFERROR((N327+O327)/E327*100,"")</f>
        <v/>
      </c>
      <c r="Z327" s="16">
        <f>IFERROR(R327/F327*100,"")</f>
        <v/>
      </c>
      <c r="AA327" s="16">
        <f>IFERROR(R327/E327*100,"")</f>
        <v/>
      </c>
      <c r="AB327" s="16">
        <f>IFERROR(S327/Q327*100,"")</f>
        <v/>
      </c>
      <c r="AC327" s="16">
        <f>IFERROR(T327/Q327*100,"")</f>
        <v/>
      </c>
      <c r="AD327" s="16">
        <f>IFERROR(U327/Q327*100,"")</f>
        <v/>
      </c>
      <c r="AE327" s="18">
        <f>IFERROR(E327/E323-1,"")</f>
        <v/>
      </c>
      <c r="AF327" s="18">
        <f>IFERROR(R327/R323-1,"")</f>
        <v/>
      </c>
      <c r="AG327" s="18">
        <f>IFERROR(F327/F323-1,"")</f>
        <v/>
      </c>
      <c r="AH327">
        <f>P327&gt;0</f>
        <v/>
      </c>
    </row>
    <row r="328">
      <c r="A328" s="14" t="n">
        <v>45107</v>
      </c>
      <c r="B328" t="n">
        <v>17897</v>
      </c>
      <c r="C328" t="inlineStr">
        <is>
          <t>KENNEBEC SAVINGS BANK</t>
        </is>
      </c>
      <c r="D328" t="inlineStr">
        <is>
          <t>ME</t>
        </is>
      </c>
      <c r="E328" t="n">
        <v>1670135</v>
      </c>
      <c r="F328" t="n">
        <v>1316659</v>
      </c>
      <c r="G328" t="n">
        <v>202487</v>
      </c>
      <c r="H328" s="16" t="n">
        <v>0.7142445132825</v>
      </c>
      <c r="I328" s="16" t="n">
        <v>5.94</v>
      </c>
      <c r="J328" s="16" t="n">
        <v>2.604276679031624</v>
      </c>
      <c r="K328" s="16" t="n">
        <v>3724</v>
      </c>
      <c r="L328" s="16" t="n">
        <v>-87</v>
      </c>
      <c r="M328" s="16" t="n">
        <v>0.2635226984044988</v>
      </c>
      <c r="N328" s="16" t="n">
        <v>1892</v>
      </c>
      <c r="O328" s="16" t="n">
        <v>0</v>
      </c>
      <c r="P328" s="16" t="n">
        <v>17.13877178901764</v>
      </c>
      <c r="Q328" t="n">
        <v>1413161</v>
      </c>
      <c r="R328" t="n">
        <v>1404776</v>
      </c>
      <c r="S328" t="n">
        <v>1329657</v>
      </c>
      <c r="T328" t="n">
        <v>70462</v>
      </c>
      <c r="U328" t="n">
        <v>3869</v>
      </c>
      <c r="V328" t="n">
        <v>0.5933506514827398</v>
      </c>
      <c r="W328" t="n">
        <v>-0.05</v>
      </c>
      <c r="X328" s="16">
        <f>IFERROR(K328/E328*100,"")</f>
        <v/>
      </c>
      <c r="Y328" s="16">
        <f>IFERROR((N328+O328)/E328*100,"")</f>
        <v/>
      </c>
      <c r="Z328" s="16">
        <f>IFERROR(R328/F328*100,"")</f>
        <v/>
      </c>
      <c r="AA328" s="16">
        <f>IFERROR(R328/E328*100,"")</f>
        <v/>
      </c>
      <c r="AB328" s="16">
        <f>IFERROR(S328/Q328*100,"")</f>
        <v/>
      </c>
      <c r="AC328" s="16">
        <f>IFERROR(T328/Q328*100,"")</f>
        <v/>
      </c>
      <c r="AD328" s="16">
        <f>IFERROR(U328/Q328*100,"")</f>
        <v/>
      </c>
      <c r="AE328" s="18">
        <f>IFERROR(E328/E324-1,"")</f>
        <v/>
      </c>
      <c r="AF328" s="18">
        <f>IFERROR(R328/R324-1,"")</f>
        <v/>
      </c>
      <c r="AG328" s="18">
        <f>IFERROR(F328/F324-1,"")</f>
        <v/>
      </c>
      <c r="AH328">
        <f>P328&gt;0</f>
        <v/>
      </c>
    </row>
    <row r="329">
      <c r="A329" s="14" t="n">
        <v>45199</v>
      </c>
      <c r="B329" t="n">
        <v>17897</v>
      </c>
      <c r="C329" t="inlineStr">
        <is>
          <t>KENNEBEC SAVINGS BANK</t>
        </is>
      </c>
      <c r="D329" t="inlineStr">
        <is>
          <t>ME</t>
        </is>
      </c>
      <c r="E329" t="n">
        <v>1672541</v>
      </c>
      <c r="F329" t="n">
        <v>1315387</v>
      </c>
      <c r="G329" t="n">
        <v>196829</v>
      </c>
      <c r="H329" s="16" t="n">
        <v>0.3808083153383468</v>
      </c>
      <c r="I329" s="16" t="n">
        <v>3.18</v>
      </c>
      <c r="J329" s="16" t="n">
        <v>2.574927461039259</v>
      </c>
      <c r="K329" s="16" t="n">
        <v>2834</v>
      </c>
      <c r="L329" s="16" t="n">
        <v>-116</v>
      </c>
      <c r="M329" s="16" t="n">
        <v>0.1985916391097993</v>
      </c>
      <c r="N329" s="16" t="n">
        <v>2130</v>
      </c>
      <c r="O329" s="16" t="n">
        <v>0</v>
      </c>
      <c r="P329" s="16" t="n">
        <v>16.10179279073172</v>
      </c>
      <c r="Q329" t="n">
        <v>1427049</v>
      </c>
      <c r="R329" t="n">
        <v>1418266</v>
      </c>
      <c r="S329" t="n">
        <v>1342461</v>
      </c>
      <c r="T329" t="n">
        <v>71428</v>
      </c>
      <c r="U329" t="n">
        <v>4426</v>
      </c>
      <c r="V329" t="n">
        <v>0.615465902011774</v>
      </c>
      <c r="W329" t="n">
        <v>-0.03</v>
      </c>
      <c r="X329" s="16">
        <f>IFERROR(K329/E329*100,"")</f>
        <v/>
      </c>
      <c r="Y329" s="16">
        <f>IFERROR((N329+O329)/E329*100,"")</f>
        <v/>
      </c>
      <c r="Z329" s="16">
        <f>IFERROR(R329/F329*100,"")</f>
        <v/>
      </c>
      <c r="AA329" s="16">
        <f>IFERROR(R329/E329*100,"")</f>
        <v/>
      </c>
      <c r="AB329" s="16">
        <f>IFERROR(S329/Q329*100,"")</f>
        <v/>
      </c>
      <c r="AC329" s="16">
        <f>IFERROR(T329/Q329*100,"")</f>
        <v/>
      </c>
      <c r="AD329" s="16">
        <f>IFERROR(U329/Q329*100,"")</f>
        <v/>
      </c>
      <c r="AE329" s="18">
        <f>IFERROR(E329/E325-1,"")</f>
        <v/>
      </c>
      <c r="AF329" s="18">
        <f>IFERROR(R329/R325-1,"")</f>
        <v/>
      </c>
      <c r="AG329" s="18">
        <f>IFERROR(F329/F325-1,"")</f>
        <v/>
      </c>
      <c r="AH329">
        <f>P329&gt;0</f>
        <v/>
      </c>
    </row>
    <row r="330">
      <c r="A330" s="14" t="n">
        <v>45291</v>
      </c>
      <c r="B330" t="n">
        <v>17897</v>
      </c>
      <c r="C330" t="inlineStr">
        <is>
          <t>KENNEBEC SAVINGS BANK</t>
        </is>
      </c>
      <c r="D330" t="inlineStr">
        <is>
          <t>ME</t>
        </is>
      </c>
      <c r="E330" t="n">
        <v>1710496</v>
      </c>
      <c r="F330" t="n">
        <v>1305375</v>
      </c>
      <c r="G330" t="n">
        <v>207718</v>
      </c>
      <c r="H330" s="16" t="n">
        <v>0.6539936382025601</v>
      </c>
      <c r="I330" s="16" t="n">
        <v>5.45</v>
      </c>
      <c r="J330" s="16" t="n">
        <v>2.54413608727822</v>
      </c>
      <c r="K330" s="16" t="n">
        <v>3022</v>
      </c>
      <c r="L330" s="16" t="n">
        <v>-105</v>
      </c>
      <c r="M330" s="16" t="n">
        <v>0.2094194396955864</v>
      </c>
      <c r="N330" s="16" t="n">
        <v>2841</v>
      </c>
      <c r="O330" s="16" t="n">
        <v>0</v>
      </c>
      <c r="P330" s="16" t="n">
        <v>17.23762947941731</v>
      </c>
      <c r="Q330" t="n">
        <v>1443037</v>
      </c>
      <c r="R330" t="n">
        <v>1434063</v>
      </c>
      <c r="S330" t="n">
        <v>1358198</v>
      </c>
      <c r="T330" t="n">
        <v>72247</v>
      </c>
      <c r="U330" t="n">
        <v>3995</v>
      </c>
      <c r="V330" t="n">
        <v>0.6218828761840479</v>
      </c>
      <c r="W330" t="n">
        <v>-0.02</v>
      </c>
      <c r="X330" s="16">
        <f>IFERROR(K330/E330*100,"")</f>
        <v/>
      </c>
      <c r="Y330" s="16">
        <f>IFERROR((N330+O330)/E330*100,"")</f>
        <v/>
      </c>
      <c r="Z330" s="16">
        <f>IFERROR(R330/F330*100,"")</f>
        <v/>
      </c>
      <c r="AA330" s="16">
        <f>IFERROR(R330/E330*100,"")</f>
        <v/>
      </c>
      <c r="AB330" s="16">
        <f>IFERROR(S330/Q330*100,"")</f>
        <v/>
      </c>
      <c r="AC330" s="16">
        <f>IFERROR(T330/Q330*100,"")</f>
        <v/>
      </c>
      <c r="AD330" s="16">
        <f>IFERROR(U330/Q330*100,"")</f>
        <v/>
      </c>
      <c r="AE330" s="18">
        <f>IFERROR(E330/E326-1,"")</f>
        <v/>
      </c>
      <c r="AF330" s="18">
        <f>IFERROR(R330/R326-1,"")</f>
        <v/>
      </c>
      <c r="AG330" s="18">
        <f>IFERROR(F330/F326-1,"")</f>
        <v/>
      </c>
      <c r="AH330">
        <f>P330&gt;0</f>
        <v/>
      </c>
    </row>
    <row r="331">
      <c r="A331" s="14" t="n">
        <v>45382</v>
      </c>
      <c r="B331" t="n">
        <v>17897</v>
      </c>
      <c r="C331" t="inlineStr">
        <is>
          <t>KENNEBEC SAVINGS BANK</t>
        </is>
      </c>
      <c r="D331" t="inlineStr">
        <is>
          <t>ME</t>
        </is>
      </c>
      <c r="E331" t="n">
        <v>1717181</v>
      </c>
      <c r="F331" t="n">
        <v>1296371</v>
      </c>
      <c r="G331" t="n">
        <v>211359</v>
      </c>
      <c r="H331" s="16" t="n">
        <v>1.199179502619412</v>
      </c>
      <c r="I331" s="16" t="n">
        <v>9.81</v>
      </c>
      <c r="J331" s="16" t="n">
        <v>2.299200930089666</v>
      </c>
      <c r="K331" s="16" t="n">
        <v>3411</v>
      </c>
      <c r="L331" s="16" t="n">
        <v>-32</v>
      </c>
      <c r="M331" s="16" t="n">
        <v>0.2382758635142441</v>
      </c>
      <c r="N331" s="16" t="n">
        <v>2066</v>
      </c>
      <c r="O331" s="16" t="n">
        <v>0</v>
      </c>
      <c r="P331" s="16" t="n">
        <v>17.54201632582053</v>
      </c>
      <c r="Q331" t="n">
        <v>1431534</v>
      </c>
      <c r="R331" t="n">
        <v>1422828</v>
      </c>
      <c r="S331" t="n">
        <v>1346782</v>
      </c>
      <c r="T331" t="n">
        <v>73033</v>
      </c>
      <c r="U331" t="n">
        <v>3094</v>
      </c>
      <c r="V331" t="n">
        <v>0.6081588002799794</v>
      </c>
      <c r="W331" t="n">
        <v>-0.08</v>
      </c>
      <c r="X331" s="16">
        <f>IFERROR(K331/E331*100,"")</f>
        <v/>
      </c>
      <c r="Y331" s="16">
        <f>IFERROR((N331+O331)/E331*100,"")</f>
        <v/>
      </c>
      <c r="Z331" s="16">
        <f>IFERROR(R331/F331*100,"")</f>
        <v/>
      </c>
      <c r="AA331" s="16">
        <f>IFERROR(R331/E331*100,"")</f>
        <v/>
      </c>
      <c r="AB331" s="16">
        <f>IFERROR(S331/Q331*100,"")</f>
        <v/>
      </c>
      <c r="AC331" s="16">
        <f>IFERROR(T331/Q331*100,"")</f>
        <v/>
      </c>
      <c r="AD331" s="16">
        <f>IFERROR(U331/Q331*100,"")</f>
        <v/>
      </c>
      <c r="AE331" s="18">
        <f>IFERROR(E331/E327-1,"")</f>
        <v/>
      </c>
      <c r="AF331" s="18">
        <f>IFERROR(R331/R327-1,"")</f>
        <v/>
      </c>
      <c r="AG331" s="18">
        <f>IFERROR(F331/F327-1,"")</f>
        <v/>
      </c>
      <c r="AH331">
        <f>P331&gt;0</f>
        <v/>
      </c>
    </row>
    <row r="332">
      <c r="A332" s="14" t="n">
        <v>45473</v>
      </c>
      <c r="B332" t="n">
        <v>17897</v>
      </c>
      <c r="C332" t="inlineStr">
        <is>
          <t>KENNEBEC SAVINGS BANK</t>
        </is>
      </c>
      <c r="D332" t="inlineStr">
        <is>
          <t>ME</t>
        </is>
      </c>
      <c r="E332" t="n">
        <v>1732333</v>
      </c>
      <c r="F332" t="n">
        <v>1311255</v>
      </c>
      <c r="G332" t="n">
        <v>211953</v>
      </c>
      <c r="H332" s="16" t="n">
        <v>0.7195334892761837</v>
      </c>
      <c r="I332" s="16" t="n">
        <v>5.88</v>
      </c>
      <c r="J332" s="16" t="n">
        <v>2.32674770453677</v>
      </c>
      <c r="K332" s="16" t="n">
        <v>4016</v>
      </c>
      <c r="L332" s="16" t="n">
        <v>-89</v>
      </c>
      <c r="M332" s="16" t="n">
        <v>0.2788823041678183</v>
      </c>
      <c r="N332" s="16" t="n">
        <v>2867</v>
      </c>
      <c r="O332" s="16" t="n">
        <v>0</v>
      </c>
      <c r="P332" s="16" t="n">
        <v>18.05797341517766</v>
      </c>
      <c r="Q332" t="n">
        <v>1440034</v>
      </c>
      <c r="R332" t="n">
        <v>1431201</v>
      </c>
      <c r="S332" t="n">
        <v>1352677</v>
      </c>
      <c r="T332" t="n">
        <v>74859</v>
      </c>
      <c r="U332" t="n">
        <v>3188</v>
      </c>
      <c r="V332" t="n">
        <v>0.6133882949985904</v>
      </c>
      <c r="W332" t="n">
        <v>-0.03</v>
      </c>
      <c r="X332" s="16">
        <f>IFERROR(K332/E332*100,"")</f>
        <v/>
      </c>
      <c r="Y332" s="16">
        <f>IFERROR((N332+O332)/E332*100,"")</f>
        <v/>
      </c>
      <c r="Z332" s="16">
        <f>IFERROR(R332/F332*100,"")</f>
        <v/>
      </c>
      <c r="AA332" s="16">
        <f>IFERROR(R332/E332*100,"")</f>
        <v/>
      </c>
      <c r="AB332" s="16">
        <f>IFERROR(S332/Q332*100,"")</f>
        <v/>
      </c>
      <c r="AC332" s="16">
        <f>IFERROR(T332/Q332*100,"")</f>
        <v/>
      </c>
      <c r="AD332" s="16">
        <f>IFERROR(U332/Q332*100,"")</f>
        <v/>
      </c>
      <c r="AE332" s="18">
        <f>IFERROR(E332/E328-1,"")</f>
        <v/>
      </c>
      <c r="AF332" s="18">
        <f>IFERROR(R332/R328-1,"")</f>
        <v/>
      </c>
      <c r="AG332" s="18">
        <f>IFERROR(F332/F328-1,"")</f>
        <v/>
      </c>
      <c r="AH332">
        <f>P332&gt;0</f>
        <v/>
      </c>
    </row>
    <row r="333">
      <c r="A333" s="14" t="n">
        <v>45565</v>
      </c>
      <c r="B333" t="n">
        <v>17897</v>
      </c>
      <c r="C333" t="inlineStr">
        <is>
          <t>KENNEBEC SAVINGS BANK</t>
        </is>
      </c>
      <c r="D333" t="inlineStr">
        <is>
          <t>ME</t>
        </is>
      </c>
      <c r="E333" t="n">
        <v>1743721</v>
      </c>
      <c r="F333" t="n">
        <v>1323557</v>
      </c>
      <c r="G333" t="n">
        <v>219695</v>
      </c>
      <c r="H333" s="16" t="n">
        <v>0.8282077792428471</v>
      </c>
      <c r="I333" s="16" t="n">
        <v>6.72</v>
      </c>
      <c r="J333" s="16" t="n">
        <v>2.362394432248903</v>
      </c>
      <c r="K333" s="16" t="n">
        <v>4826</v>
      </c>
      <c r="L333" s="16" t="n">
        <v>-47</v>
      </c>
      <c r="M333" s="16" t="n">
        <v>0.3343390291975101</v>
      </c>
      <c r="N333" s="16" t="n">
        <v>1719</v>
      </c>
      <c r="O333" s="16" t="n">
        <v>0</v>
      </c>
      <c r="P333" s="16" t="n">
        <v>18.01014477357682</v>
      </c>
      <c r="Q333" t="n">
        <v>1443445</v>
      </c>
      <c r="R333" t="n">
        <v>1434664</v>
      </c>
      <c r="S333" t="n">
        <v>1355336</v>
      </c>
      <c r="T333" t="n">
        <v>72858</v>
      </c>
      <c r="U333" t="n">
        <v>3119</v>
      </c>
      <c r="V333" t="n">
        <v>0.6083363065444128</v>
      </c>
      <c r="W333" t="n">
        <v>-0.01</v>
      </c>
      <c r="X333" s="16">
        <f>IFERROR(K333/E333*100,"")</f>
        <v/>
      </c>
      <c r="Y333" s="16">
        <f>IFERROR((N333+O333)/E333*100,"")</f>
        <v/>
      </c>
      <c r="Z333" s="16">
        <f>IFERROR(R333/F333*100,"")</f>
        <v/>
      </c>
      <c r="AA333" s="16">
        <f>IFERROR(R333/E333*100,"")</f>
        <v/>
      </c>
      <c r="AB333" s="16">
        <f>IFERROR(S333/Q333*100,"")</f>
        <v/>
      </c>
      <c r="AC333" s="16">
        <f>IFERROR(T333/Q333*100,"")</f>
        <v/>
      </c>
      <c r="AD333" s="16">
        <f>IFERROR(U333/Q333*100,"")</f>
        <v/>
      </c>
      <c r="AE333" s="18">
        <f>IFERROR(E333/E329-1,"")</f>
        <v/>
      </c>
      <c r="AF333" s="18">
        <f>IFERROR(R333/R329-1,"")</f>
        <v/>
      </c>
      <c r="AG333" s="18">
        <f>IFERROR(F333/F329-1,"")</f>
        <v/>
      </c>
      <c r="AH333">
        <f>P333&gt;0</f>
        <v/>
      </c>
    </row>
    <row r="334">
      <c r="A334" s="14" t="n">
        <v>45657</v>
      </c>
      <c r="B334" t="n">
        <v>17897</v>
      </c>
      <c r="C334" t="inlineStr">
        <is>
          <t>KENNEBEC SAVINGS BANK</t>
        </is>
      </c>
      <c r="D334" t="inlineStr">
        <is>
          <t>ME</t>
        </is>
      </c>
      <c r="E334" t="n">
        <v>1764971</v>
      </c>
      <c r="F334" t="n">
        <v>1348133</v>
      </c>
      <c r="G334" t="n">
        <v>215583</v>
      </c>
      <c r="H334" s="16" t="n">
        <v>0.6050502139766715</v>
      </c>
      <c r="I334" s="16" t="n">
        <v>4.92</v>
      </c>
      <c r="J334" s="16" t="n">
        <v>2.419035722969397</v>
      </c>
      <c r="K334" s="16" t="n">
        <v>4603</v>
      </c>
      <c r="L334" s="16" t="n">
        <v>-47</v>
      </c>
      <c r="M334" s="16" t="n">
        <v>0.3133325981623448</v>
      </c>
      <c r="N334" s="16" t="n">
        <v>2581</v>
      </c>
      <c r="O334" s="16" t="n">
        <v>0</v>
      </c>
      <c r="P334" s="16" t="n">
        <v>17.6014618454454</v>
      </c>
      <c r="Q334" t="n">
        <v>1469046</v>
      </c>
      <c r="R334" t="n">
        <v>1460078</v>
      </c>
      <c r="S334" t="n">
        <v>1368497</v>
      </c>
      <c r="T334" t="n">
        <v>82767</v>
      </c>
      <c r="U334" t="n">
        <v>3225</v>
      </c>
      <c r="V334" t="n">
        <v>0.6104642060221395</v>
      </c>
      <c r="W334" t="n">
        <v>0</v>
      </c>
      <c r="X334" s="16">
        <f>IFERROR(K334/E334*100,"")</f>
        <v/>
      </c>
      <c r="Y334" s="16">
        <f>IFERROR((N334+O334)/E334*100,"")</f>
        <v/>
      </c>
      <c r="Z334" s="16">
        <f>IFERROR(R334/F334*100,"")</f>
        <v/>
      </c>
      <c r="AA334" s="16">
        <f>IFERROR(R334/E334*100,"")</f>
        <v/>
      </c>
      <c r="AB334" s="16">
        <f>IFERROR(S334/Q334*100,"")</f>
        <v/>
      </c>
      <c r="AC334" s="16">
        <f>IFERROR(T334/Q334*100,"")</f>
        <v/>
      </c>
      <c r="AD334" s="16">
        <f>IFERROR(U334/Q334*100,"")</f>
        <v/>
      </c>
      <c r="AE334" s="18">
        <f>IFERROR(E334/E330-1,"")</f>
        <v/>
      </c>
      <c r="AF334" s="18">
        <f>IFERROR(R334/R330-1,"")</f>
        <v/>
      </c>
      <c r="AG334" s="18">
        <f>IFERROR(F334/F330-1,"")</f>
        <v/>
      </c>
      <c r="AH334">
        <f>P334&gt;0</f>
        <v/>
      </c>
    </row>
    <row r="335">
      <c r="A335" s="14" t="n">
        <v>45747</v>
      </c>
      <c r="B335" t="n">
        <v>17897</v>
      </c>
      <c r="C335" t="inlineStr">
        <is>
          <t>KENNEBEC SAVINGS BANK</t>
        </is>
      </c>
      <c r="D335" t="inlineStr">
        <is>
          <t>ME</t>
        </is>
      </c>
      <c r="E335" t="n">
        <v>1759715</v>
      </c>
      <c r="F335" t="n">
        <v>1345096</v>
      </c>
      <c r="G335" t="n">
        <v>219109</v>
      </c>
      <c r="H335" s="16" t="n">
        <v>0.4373722935887054</v>
      </c>
      <c r="I335" s="16" t="n">
        <v>3.55</v>
      </c>
      <c r="J335" s="16" t="n">
        <v>2.672291019810832</v>
      </c>
      <c r="K335" s="16" t="n">
        <v>4816</v>
      </c>
      <c r="L335" s="16" t="n">
        <v>43</v>
      </c>
      <c r="M335" s="16" t="n">
        <v>0.328834859759004</v>
      </c>
      <c r="N335" s="16" t="n">
        <v>8545</v>
      </c>
      <c r="O335" s="16" t="n">
        <v>20</v>
      </c>
      <c r="P335" s="16" t="n">
        <v>17.59465511816853</v>
      </c>
      <c r="Q335" t="n">
        <v>1470647</v>
      </c>
      <c r="R335" t="n">
        <v>1461583</v>
      </c>
      <c r="S335" t="n">
        <v>1370211</v>
      </c>
      <c r="T335" t="n">
        <v>82917</v>
      </c>
      <c r="U335" t="n">
        <v>3414</v>
      </c>
      <c r="V335" t="n">
        <v>0.6163273715582326</v>
      </c>
      <c r="W335" t="n">
        <v>0.04</v>
      </c>
      <c r="X335" s="16">
        <f>IFERROR(K335/E335*100,"")</f>
        <v/>
      </c>
      <c r="Y335" s="16">
        <f>IFERROR((N335+O335)/E335*100,"")</f>
        <v/>
      </c>
      <c r="Z335" s="16">
        <f>IFERROR(R335/F335*100,"")</f>
        <v/>
      </c>
      <c r="AA335" s="16">
        <f>IFERROR(R335/E335*100,"")</f>
        <v/>
      </c>
      <c r="AB335" s="16">
        <f>IFERROR(S335/Q335*100,"")</f>
        <v/>
      </c>
      <c r="AC335" s="16">
        <f>IFERROR(T335/Q335*100,"")</f>
        <v/>
      </c>
      <c r="AD335" s="16">
        <f>IFERROR(U335/Q335*100,"")</f>
        <v/>
      </c>
      <c r="AE335" s="18">
        <f>IFERROR(E335/E331-1,"")</f>
        <v/>
      </c>
      <c r="AF335" s="18">
        <f>IFERROR(R335/R331-1,"")</f>
        <v/>
      </c>
      <c r="AG335" s="18">
        <f>IFERROR(F335/F331-1,"")</f>
        <v/>
      </c>
      <c r="AH335">
        <f>P335&gt;0</f>
        <v/>
      </c>
    </row>
    <row r="336">
      <c r="A336" s="14" t="n">
        <v>45838</v>
      </c>
      <c r="B336" t="n">
        <v>17897</v>
      </c>
      <c r="C336" t="inlineStr">
        <is>
          <t>KENNEBEC SAVINGS BANK</t>
        </is>
      </c>
      <c r="D336" t="inlineStr">
        <is>
          <t>ME</t>
        </is>
      </c>
      <c r="E336" t="n">
        <v>1790373</v>
      </c>
      <c r="F336" t="n">
        <v>1352989</v>
      </c>
      <c r="G336" t="n">
        <v>226000</v>
      </c>
      <c r="H336" s="16" t="n">
        <v>0.973987306631968</v>
      </c>
      <c r="I336" s="16" t="n">
        <v>7.84</v>
      </c>
      <c r="J336" s="16" t="n">
        <v>2.75154108647398</v>
      </c>
      <c r="K336" s="16" t="n">
        <v>5391</v>
      </c>
      <c r="L336" s="16" t="n">
        <v>6</v>
      </c>
      <c r="M336" s="16" t="n">
        <v>0.3609025576483426</v>
      </c>
      <c r="N336" s="16" t="n">
        <v>8456</v>
      </c>
      <c r="O336" s="16" t="n">
        <v>0</v>
      </c>
      <c r="P336" s="16" t="n">
        <v>17.68189338022629</v>
      </c>
      <c r="Q336" t="n">
        <v>1493755</v>
      </c>
      <c r="R336" t="n">
        <v>1484578</v>
      </c>
      <c r="S336" t="n">
        <v>1393686</v>
      </c>
      <c r="T336" t="n">
        <v>82889</v>
      </c>
      <c r="U336" t="n">
        <v>2700</v>
      </c>
      <c r="V336" t="n">
        <v>0.6143577762082805</v>
      </c>
      <c r="W336" t="n">
        <v>0.03</v>
      </c>
      <c r="X336" s="16">
        <f>IFERROR(K336/E336*100,"")</f>
        <v/>
      </c>
      <c r="Y336" s="16">
        <f>IFERROR((N336+O336)/E336*100,"")</f>
        <v/>
      </c>
      <c r="Z336" s="16">
        <f>IFERROR(R336/F336*100,"")</f>
        <v/>
      </c>
      <c r="AA336" s="16">
        <f>IFERROR(R336/E336*100,"")</f>
        <v/>
      </c>
      <c r="AB336" s="16">
        <f>IFERROR(S336/Q336*100,"")</f>
        <v/>
      </c>
      <c r="AC336" s="16">
        <f>IFERROR(T336/Q336*100,"")</f>
        <v/>
      </c>
      <c r="AD336" s="16">
        <f>IFERROR(U336/Q336*100,"")</f>
        <v/>
      </c>
      <c r="AE336" s="18">
        <f>IFERROR(E336/E332-1,"")</f>
        <v/>
      </c>
      <c r="AF336" s="18">
        <f>IFERROR(R336/R332-1,"")</f>
        <v/>
      </c>
      <c r="AG336" s="18">
        <f>IFERROR(F336/F332-1,"")</f>
        <v/>
      </c>
      <c r="AH336">
        <f>P336&gt;0</f>
        <v/>
      </c>
    </row>
    <row r="337">
      <c r="A337" s="14" t="n">
        <v>44651</v>
      </c>
      <c r="B337" t="n">
        <v>17951</v>
      </c>
      <c r="C337" t="inlineStr">
        <is>
          <t>FRANKLIN SAVINGS BANK</t>
        </is>
      </c>
      <c r="D337" t="inlineStr">
        <is>
          <t>NH</t>
        </is>
      </c>
      <c r="E337" t="n">
        <v>702702</v>
      </c>
      <c r="F337" t="n">
        <v>626605</v>
      </c>
      <c r="G337" t="n">
        <v>57001</v>
      </c>
      <c r="H337" s="16" t="n">
        <v>0.9148551766993868</v>
      </c>
      <c r="I337" s="16" t="n">
        <v>10.65</v>
      </c>
      <c r="J337" s="16" t="n">
        <v>3.153855534701998</v>
      </c>
      <c r="K337" s="16" t="n">
        <v>1046</v>
      </c>
      <c r="L337" s="16" t="n">
        <v>-3</v>
      </c>
      <c r="M337" s="16" t="n">
        <v>0.2298229308795451</v>
      </c>
      <c r="N337" s="16" t="n">
        <v>57</v>
      </c>
      <c r="O337" s="16" t="n">
        <v>0</v>
      </c>
      <c r="P337" s="16" t="n">
        <v>15.53807230519985</v>
      </c>
      <c r="Q337" t="n">
        <v>455133</v>
      </c>
      <c r="R337" t="n">
        <v>451241</v>
      </c>
      <c r="S337" t="n">
        <v>417998</v>
      </c>
      <c r="T337" t="n">
        <v>24011</v>
      </c>
      <c r="U337" t="n">
        <v>1618</v>
      </c>
      <c r="V337" t="n">
        <v>0.8551346529475999</v>
      </c>
      <c r="W337" t="n">
        <v>0.05</v>
      </c>
      <c r="X337" s="16">
        <f>IFERROR(K337/E337*100,"")</f>
        <v/>
      </c>
      <c r="Y337" s="16">
        <f>IFERROR((N337+O337)/E337*100,"")</f>
        <v/>
      </c>
      <c r="Z337" s="16">
        <f>IFERROR(R337/F337*100,"")</f>
        <v/>
      </c>
      <c r="AA337" s="16">
        <f>IFERROR(R337/E337*100,"")</f>
        <v/>
      </c>
      <c r="AB337" s="16">
        <f>IFERROR(S337/Q337*100,"")</f>
        <v/>
      </c>
      <c r="AC337" s="16">
        <f>IFERROR(T337/Q337*100,"")</f>
        <v/>
      </c>
      <c r="AD337" s="16">
        <f>IFERROR(U337/Q337*100,"")</f>
        <v/>
      </c>
      <c r="AE337" s="18" t="n"/>
      <c r="AF337" s="18" t="n"/>
      <c r="AG337" s="18" t="n"/>
      <c r="AH337">
        <f>P337&gt;0</f>
        <v/>
      </c>
    </row>
    <row r="338">
      <c r="A338" s="14" t="n">
        <v>44742</v>
      </c>
      <c r="B338" t="n">
        <v>17951</v>
      </c>
      <c r="C338" t="inlineStr">
        <is>
          <t>FRANKLIN SAVINGS BANK</t>
        </is>
      </c>
      <c r="D338" t="inlineStr">
        <is>
          <t>NH</t>
        </is>
      </c>
      <c r="E338" t="n">
        <v>724308</v>
      </c>
      <c r="F338" t="n">
        <v>640946</v>
      </c>
      <c r="G338" t="n">
        <v>53765</v>
      </c>
      <c r="H338" s="16" t="n">
        <v>0.944250983121892</v>
      </c>
      <c r="I338" s="16" t="n">
        <v>11.53</v>
      </c>
      <c r="J338" s="16" t="n">
        <v>3.18151383220779</v>
      </c>
      <c r="K338" s="16" t="n">
        <v>782</v>
      </c>
      <c r="L338" s="16" t="n">
        <v>-2</v>
      </c>
      <c r="M338" s="16" t="n">
        <v>0.15999378029294</v>
      </c>
      <c r="N338" s="16" t="n">
        <v>31</v>
      </c>
      <c r="O338" s="16" t="n">
        <v>0</v>
      </c>
      <c r="P338" s="16" t="n">
        <v>15.00654774212548</v>
      </c>
      <c r="Q338" t="n">
        <v>488769</v>
      </c>
      <c r="R338" t="n">
        <v>484788</v>
      </c>
      <c r="S338" t="n">
        <v>448742</v>
      </c>
      <c r="T338" t="n">
        <v>24396</v>
      </c>
      <c r="U338" t="n">
        <v>1572</v>
      </c>
      <c r="V338" t="n">
        <v>0.8144951909797881</v>
      </c>
      <c r="W338" t="n">
        <v>0.05</v>
      </c>
      <c r="X338" s="16">
        <f>IFERROR(K338/E338*100,"")</f>
        <v/>
      </c>
      <c r="Y338" s="16">
        <f>IFERROR((N338+O338)/E338*100,"")</f>
        <v/>
      </c>
      <c r="Z338" s="16">
        <f>IFERROR(R338/F338*100,"")</f>
        <v/>
      </c>
      <c r="AA338" s="16">
        <f>IFERROR(R338/E338*100,"")</f>
        <v/>
      </c>
      <c r="AB338" s="16">
        <f>IFERROR(S338/Q338*100,"")</f>
        <v/>
      </c>
      <c r="AC338" s="16">
        <f>IFERROR(T338/Q338*100,"")</f>
        <v/>
      </c>
      <c r="AD338" s="16">
        <f>IFERROR(U338/Q338*100,"")</f>
        <v/>
      </c>
      <c r="AE338" s="18" t="n"/>
      <c r="AF338" s="18" t="n"/>
      <c r="AG338" s="18" t="n"/>
      <c r="AH338">
        <f>P338&gt;0</f>
        <v/>
      </c>
    </row>
    <row r="339">
      <c r="A339" s="14" t="n">
        <v>44834</v>
      </c>
      <c r="B339" t="n">
        <v>17951</v>
      </c>
      <c r="C339" t="inlineStr">
        <is>
          <t>FRANKLIN SAVINGS BANK</t>
        </is>
      </c>
      <c r="D339" t="inlineStr">
        <is>
          <t>NH</t>
        </is>
      </c>
      <c r="E339" t="n">
        <v>741759</v>
      </c>
      <c r="F339" t="n">
        <v>644557</v>
      </c>
      <c r="G339" t="n">
        <v>52288</v>
      </c>
      <c r="H339" s="16" t="n">
        <v>1.025209296431131</v>
      </c>
      <c r="I339" s="16" t="n">
        <v>12.99</v>
      </c>
      <c r="J339" s="16" t="n">
        <v>3.225522623239865</v>
      </c>
      <c r="K339" s="16" t="n">
        <v>393</v>
      </c>
      <c r="L339" s="16" t="n">
        <v>1</v>
      </c>
      <c r="M339" s="16" t="n">
        <v>0.07589759039634759</v>
      </c>
      <c r="N339" s="16" t="n">
        <v>0</v>
      </c>
      <c r="O339" s="16" t="n">
        <v>0</v>
      </c>
      <c r="P339" s="16" t="n">
        <v>14.4940601944432</v>
      </c>
      <c r="Q339" t="n">
        <v>517803</v>
      </c>
      <c r="R339" t="n">
        <v>513395</v>
      </c>
      <c r="S339" t="n">
        <v>482723</v>
      </c>
      <c r="T339" t="n">
        <v>21389</v>
      </c>
      <c r="U339" t="n">
        <v>1636</v>
      </c>
      <c r="V339" t="n">
        <v>0.85128900373308</v>
      </c>
      <c r="W339" t="n">
        <v>0.11</v>
      </c>
      <c r="X339" s="16">
        <f>IFERROR(K339/E339*100,"")</f>
        <v/>
      </c>
      <c r="Y339" s="16">
        <f>IFERROR((N339+O339)/E339*100,"")</f>
        <v/>
      </c>
      <c r="Z339" s="16">
        <f>IFERROR(R339/F339*100,"")</f>
        <v/>
      </c>
      <c r="AA339" s="16">
        <f>IFERROR(R339/E339*100,"")</f>
        <v/>
      </c>
      <c r="AB339" s="16">
        <f>IFERROR(S339/Q339*100,"")</f>
        <v/>
      </c>
      <c r="AC339" s="16">
        <f>IFERROR(T339/Q339*100,"")</f>
        <v/>
      </c>
      <c r="AD339" s="16">
        <f>IFERROR(U339/Q339*100,"")</f>
        <v/>
      </c>
      <c r="AE339" s="18" t="n"/>
      <c r="AF339" s="18" t="n"/>
      <c r="AG339" s="18" t="n"/>
      <c r="AH339">
        <f>P339&gt;0</f>
        <v/>
      </c>
    </row>
    <row r="340">
      <c r="A340" s="14" t="n">
        <v>44926</v>
      </c>
      <c r="B340" t="n">
        <v>17951</v>
      </c>
      <c r="C340" t="inlineStr">
        <is>
          <t>FRANKLIN SAVINGS BANK</t>
        </is>
      </c>
      <c r="D340" t="inlineStr">
        <is>
          <t>NH</t>
        </is>
      </c>
      <c r="E340" t="n">
        <v>761892</v>
      </c>
      <c r="F340" t="n">
        <v>670773</v>
      </c>
      <c r="G340" t="n">
        <v>55088</v>
      </c>
      <c r="H340" s="16" t="n">
        <v>0.9578970263460376</v>
      </c>
      <c r="I340" s="16" t="n">
        <v>12.35</v>
      </c>
      <c r="J340" s="16" t="n">
        <v>3.1978524844161</v>
      </c>
      <c r="K340" s="16" t="n">
        <v>69</v>
      </c>
      <c r="L340" s="16" t="n">
        <v>292</v>
      </c>
      <c r="M340" s="16" t="n">
        <v>0.0129560676644716</v>
      </c>
      <c r="N340" s="16" t="n">
        <v>114</v>
      </c>
      <c r="O340" s="16" t="n">
        <v>0</v>
      </c>
      <c r="P340" s="16" t="n">
        <v>14.55943633695943</v>
      </c>
      <c r="Q340" t="n">
        <v>532569</v>
      </c>
      <c r="R340" t="n">
        <v>528227</v>
      </c>
      <c r="S340" t="n">
        <v>498217</v>
      </c>
      <c r="T340" t="n">
        <v>21098</v>
      </c>
      <c r="U340" t="n">
        <v>1648</v>
      </c>
      <c r="V340" t="n">
        <v>0.8152934173787809</v>
      </c>
      <c r="W340" t="n">
        <v>0.12</v>
      </c>
      <c r="X340" s="16">
        <f>IFERROR(K340/E340*100,"")</f>
        <v/>
      </c>
      <c r="Y340" s="16">
        <f>IFERROR((N340+O340)/E340*100,"")</f>
        <v/>
      </c>
      <c r="Z340" s="16">
        <f>IFERROR(R340/F340*100,"")</f>
        <v/>
      </c>
      <c r="AA340" s="16">
        <f>IFERROR(R340/E340*100,"")</f>
        <v/>
      </c>
      <c r="AB340" s="16">
        <f>IFERROR(S340/Q340*100,"")</f>
        <v/>
      </c>
      <c r="AC340" s="16">
        <f>IFERROR(T340/Q340*100,"")</f>
        <v/>
      </c>
      <c r="AD340" s="16">
        <f>IFERROR(U340/Q340*100,"")</f>
        <v/>
      </c>
      <c r="AE340" s="18" t="n"/>
      <c r="AF340" s="18" t="n"/>
      <c r="AG340" s="18" t="n"/>
      <c r="AH340">
        <f>P340&gt;0</f>
        <v/>
      </c>
    </row>
    <row r="341">
      <c r="A341" s="14" t="n">
        <v>45016</v>
      </c>
      <c r="B341" t="n">
        <v>17951</v>
      </c>
      <c r="C341" t="inlineStr">
        <is>
          <t>FRANKLIN SAVINGS BANK</t>
        </is>
      </c>
      <c r="D341" t="inlineStr">
        <is>
          <t>NH</t>
        </is>
      </c>
      <c r="E341" t="n">
        <v>753464</v>
      </c>
      <c r="F341" t="n">
        <v>678863</v>
      </c>
      <c r="G341" t="n">
        <v>57390</v>
      </c>
      <c r="H341" s="16" t="n">
        <v>0.569635122043929</v>
      </c>
      <c r="I341" s="16" t="n">
        <v>7.67</v>
      </c>
      <c r="J341" s="16" t="n">
        <v>2.835780529856549</v>
      </c>
      <c r="K341" s="16" t="n">
        <v>68</v>
      </c>
      <c r="L341" s="16" t="n">
        <v>-203</v>
      </c>
      <c r="M341" s="16" t="n">
        <v>0.0126830414679501</v>
      </c>
      <c r="N341" s="16" t="n">
        <v>2194</v>
      </c>
      <c r="O341" s="16" t="n">
        <v>0</v>
      </c>
      <c r="P341" s="16" t="n">
        <v>14.66260296288365</v>
      </c>
      <c r="Q341" t="n">
        <v>536149</v>
      </c>
      <c r="R341" t="n">
        <v>531379</v>
      </c>
      <c r="S341" t="n">
        <v>498891</v>
      </c>
      <c r="T341" t="n">
        <v>22713</v>
      </c>
      <c r="U341" t="n">
        <v>1774</v>
      </c>
      <c r="V341" t="n">
        <v>0.8896780559135613</v>
      </c>
      <c r="W341" t="n">
        <v>0.12</v>
      </c>
      <c r="X341" s="16">
        <f>IFERROR(K341/E341*100,"")</f>
        <v/>
      </c>
      <c r="Y341" s="16">
        <f>IFERROR((N341+O341)/E341*100,"")</f>
        <v/>
      </c>
      <c r="Z341" s="16">
        <f>IFERROR(R341/F341*100,"")</f>
        <v/>
      </c>
      <c r="AA341" s="16">
        <f>IFERROR(R341/E341*100,"")</f>
        <v/>
      </c>
      <c r="AB341" s="16">
        <f>IFERROR(S341/Q341*100,"")</f>
        <v/>
      </c>
      <c r="AC341" s="16">
        <f>IFERROR(T341/Q341*100,"")</f>
        <v/>
      </c>
      <c r="AD341" s="16">
        <f>IFERROR(U341/Q341*100,"")</f>
        <v/>
      </c>
      <c r="AE341" s="18">
        <f>IFERROR(E341/E337-1,"")</f>
        <v/>
      </c>
      <c r="AF341" s="18">
        <f>IFERROR(R341/R337-1,"")</f>
        <v/>
      </c>
      <c r="AG341" s="18">
        <f>IFERROR(F341/F337-1,"")</f>
        <v/>
      </c>
      <c r="AH341">
        <f>P341&gt;0</f>
        <v/>
      </c>
    </row>
    <row r="342">
      <c r="A342" s="14" t="n">
        <v>45107</v>
      </c>
      <c r="B342" t="n">
        <v>17951</v>
      </c>
      <c r="C342" t="inlineStr">
        <is>
          <t>FRANKLIN SAVINGS BANK</t>
        </is>
      </c>
      <c r="D342" t="inlineStr">
        <is>
          <t>NH</t>
        </is>
      </c>
      <c r="E342" t="n">
        <v>785855</v>
      </c>
      <c r="F342" t="n">
        <v>698423</v>
      </c>
      <c r="G342" t="n">
        <v>56939</v>
      </c>
      <c r="H342" s="16" t="n">
        <v>0.5777827413479251</v>
      </c>
      <c r="I342" s="16" t="n">
        <v>7.85</v>
      </c>
      <c r="J342" s="16" t="n">
        <v>2.739489791235246</v>
      </c>
      <c r="K342" s="16" t="n">
        <v>67</v>
      </c>
      <c r="L342" s="16" t="n">
        <v>-197</v>
      </c>
      <c r="M342" s="16" t="n">
        <v>0.0120971382143179</v>
      </c>
      <c r="N342" s="16" t="n">
        <v>168</v>
      </c>
      <c r="O342" s="16" t="n">
        <v>0</v>
      </c>
      <c r="P342" s="16" t="n">
        <v>14.44391189049046</v>
      </c>
      <c r="Q342" t="n">
        <v>553850</v>
      </c>
      <c r="R342" t="n">
        <v>548861</v>
      </c>
      <c r="S342" t="n">
        <v>515478</v>
      </c>
      <c r="T342" t="n">
        <v>23611</v>
      </c>
      <c r="U342" t="n">
        <v>1822</v>
      </c>
      <c r="V342" t="n">
        <v>0.9007854112124219</v>
      </c>
      <c r="W342" t="n">
        <v>0.12</v>
      </c>
      <c r="X342" s="16">
        <f>IFERROR(K342/E342*100,"")</f>
        <v/>
      </c>
      <c r="Y342" s="16">
        <f>IFERROR((N342+O342)/E342*100,"")</f>
        <v/>
      </c>
      <c r="Z342" s="16">
        <f>IFERROR(R342/F342*100,"")</f>
        <v/>
      </c>
      <c r="AA342" s="16">
        <f>IFERROR(R342/E342*100,"")</f>
        <v/>
      </c>
      <c r="AB342" s="16">
        <f>IFERROR(S342/Q342*100,"")</f>
        <v/>
      </c>
      <c r="AC342" s="16">
        <f>IFERROR(T342/Q342*100,"")</f>
        <v/>
      </c>
      <c r="AD342" s="16">
        <f>IFERROR(U342/Q342*100,"")</f>
        <v/>
      </c>
      <c r="AE342" s="18">
        <f>IFERROR(E342/E338-1,"")</f>
        <v/>
      </c>
      <c r="AF342" s="18">
        <f>IFERROR(R342/R338-1,"")</f>
        <v/>
      </c>
      <c r="AG342" s="18">
        <f>IFERROR(F342/F338-1,"")</f>
        <v/>
      </c>
      <c r="AH342">
        <f>P342&gt;0</f>
        <v/>
      </c>
    </row>
    <row r="343">
      <c r="A343" s="14" t="n">
        <v>45199</v>
      </c>
      <c r="B343" t="n">
        <v>17951</v>
      </c>
      <c r="C343" t="inlineStr">
        <is>
          <t>FRANKLIN SAVINGS BANK</t>
        </is>
      </c>
      <c r="D343" t="inlineStr">
        <is>
          <t>NH</t>
        </is>
      </c>
      <c r="E343" t="n">
        <v>774390</v>
      </c>
      <c r="F343" t="n">
        <v>686785</v>
      </c>
      <c r="G343" t="n">
        <v>56538</v>
      </c>
      <c r="H343" s="16" t="n">
        <v>0.5949474330382907</v>
      </c>
      <c r="I343" s="16" t="n">
        <v>8.1</v>
      </c>
      <c r="J343" s="16" t="n">
        <v>2.734812064881462</v>
      </c>
      <c r="K343" s="16" t="n">
        <v>179</v>
      </c>
      <c r="L343" s="16" t="n">
        <v>-193</v>
      </c>
      <c r="M343" s="16" t="n">
        <v>0.0317034680760245</v>
      </c>
      <c r="N343" s="16" t="n">
        <v>137</v>
      </c>
      <c r="O343" s="16" t="n">
        <v>0</v>
      </c>
      <c r="P343" s="16" t="n">
        <v>14.63595620647623</v>
      </c>
      <c r="Q343" t="n">
        <v>564607</v>
      </c>
      <c r="R343" t="n">
        <v>559397</v>
      </c>
      <c r="S343" t="n">
        <v>525776</v>
      </c>
      <c r="T343" t="n">
        <v>24630</v>
      </c>
      <c r="U343" t="n">
        <v>1937</v>
      </c>
      <c r="V343" t="n">
        <v>0.9227657467937876</v>
      </c>
      <c r="W343" t="n">
        <v>0.12</v>
      </c>
      <c r="X343" s="16">
        <f>IFERROR(K343/E343*100,"")</f>
        <v/>
      </c>
      <c r="Y343" s="16">
        <f>IFERROR((N343+O343)/E343*100,"")</f>
        <v/>
      </c>
      <c r="Z343" s="16">
        <f>IFERROR(R343/F343*100,"")</f>
        <v/>
      </c>
      <c r="AA343" s="16">
        <f>IFERROR(R343/E343*100,"")</f>
        <v/>
      </c>
      <c r="AB343" s="16">
        <f>IFERROR(S343/Q343*100,"")</f>
        <v/>
      </c>
      <c r="AC343" s="16">
        <f>IFERROR(T343/Q343*100,"")</f>
        <v/>
      </c>
      <c r="AD343" s="16">
        <f>IFERROR(U343/Q343*100,"")</f>
        <v/>
      </c>
      <c r="AE343" s="18">
        <f>IFERROR(E343/E339-1,"")</f>
        <v/>
      </c>
      <c r="AF343" s="18">
        <f>IFERROR(R343/R339-1,"")</f>
        <v/>
      </c>
      <c r="AG343" s="18">
        <f>IFERROR(F343/F339-1,"")</f>
        <v/>
      </c>
      <c r="AH343">
        <f>P343&gt;0</f>
        <v/>
      </c>
    </row>
    <row r="344">
      <c r="A344" s="14" t="n">
        <v>45291</v>
      </c>
      <c r="B344" t="n">
        <v>17951</v>
      </c>
      <c r="C344" t="inlineStr">
        <is>
          <t>FRANKLIN SAVINGS BANK</t>
        </is>
      </c>
      <c r="D344" t="inlineStr">
        <is>
          <t>NH</t>
        </is>
      </c>
      <c r="E344" t="n">
        <v>786047</v>
      </c>
      <c r="F344" t="n">
        <v>667956</v>
      </c>
      <c r="G344" t="n">
        <v>61893</v>
      </c>
      <c r="H344" s="16" t="n">
        <v>0.5892561932107743</v>
      </c>
      <c r="I344" s="16" t="n">
        <v>7.91</v>
      </c>
      <c r="J344" s="16" t="n">
        <v>2.700003095509742</v>
      </c>
      <c r="K344" s="16" t="n">
        <v>175</v>
      </c>
      <c r="L344" s="16" t="n">
        <v>-192</v>
      </c>
      <c r="M344" s="16" t="n">
        <v>0.030186309904732</v>
      </c>
      <c r="N344" s="16" t="n">
        <v>24</v>
      </c>
      <c r="O344" s="16" t="n">
        <v>0</v>
      </c>
      <c r="P344" s="16" t="n">
        <v>14.58849410788292</v>
      </c>
      <c r="Q344" t="n">
        <v>579733</v>
      </c>
      <c r="R344" t="n">
        <v>574786</v>
      </c>
      <c r="S344" t="n">
        <v>540903</v>
      </c>
      <c r="T344" t="n">
        <v>24625</v>
      </c>
      <c r="U344" t="n">
        <v>2014</v>
      </c>
      <c r="V344" t="n">
        <v>0.85332385770691</v>
      </c>
      <c r="W344" t="n">
        <v>0.1</v>
      </c>
      <c r="X344" s="16">
        <f>IFERROR(K344/E344*100,"")</f>
        <v/>
      </c>
      <c r="Y344" s="16">
        <f>IFERROR((N344+O344)/E344*100,"")</f>
        <v/>
      </c>
      <c r="Z344" s="16">
        <f>IFERROR(R344/F344*100,"")</f>
        <v/>
      </c>
      <c r="AA344" s="16">
        <f>IFERROR(R344/E344*100,"")</f>
        <v/>
      </c>
      <c r="AB344" s="16">
        <f>IFERROR(S344/Q344*100,"")</f>
        <v/>
      </c>
      <c r="AC344" s="16">
        <f>IFERROR(T344/Q344*100,"")</f>
        <v/>
      </c>
      <c r="AD344" s="16">
        <f>IFERROR(U344/Q344*100,"")</f>
        <v/>
      </c>
      <c r="AE344" s="18">
        <f>IFERROR(E344/E340-1,"")</f>
        <v/>
      </c>
      <c r="AF344" s="18">
        <f>IFERROR(R344/R340-1,"")</f>
        <v/>
      </c>
      <c r="AG344" s="18">
        <f>IFERROR(F344/F340-1,"")</f>
        <v/>
      </c>
      <c r="AH344">
        <f>P344&gt;0</f>
        <v/>
      </c>
    </row>
    <row r="345">
      <c r="A345" s="14" t="n">
        <v>45382</v>
      </c>
      <c r="B345" t="n">
        <v>17951</v>
      </c>
      <c r="C345" t="inlineStr">
        <is>
          <t>FRANKLIN SAVINGS BANK</t>
        </is>
      </c>
      <c r="D345" t="inlineStr">
        <is>
          <t>NH</t>
        </is>
      </c>
      <c r="E345" t="n">
        <v>794635</v>
      </c>
      <c r="F345" t="n">
        <v>661495</v>
      </c>
      <c r="G345" t="n">
        <v>61632</v>
      </c>
      <c r="H345" s="16" t="n">
        <v>0.5602644934275205</v>
      </c>
      <c r="I345" s="16" t="n">
        <v>7.17</v>
      </c>
      <c r="J345" s="16" t="n">
        <v>2.50658748853139</v>
      </c>
      <c r="K345" s="16" t="n">
        <v>174</v>
      </c>
      <c r="L345" s="16" t="n">
        <v>-125</v>
      </c>
      <c r="M345" s="16" t="n">
        <v>0.0297079909373554</v>
      </c>
      <c r="N345" s="16" t="n">
        <v>137</v>
      </c>
      <c r="O345" s="16" t="n">
        <v>0</v>
      </c>
      <c r="P345" s="16" t="n">
        <v>14.63242080464847</v>
      </c>
      <c r="Q345" t="n">
        <v>585701</v>
      </c>
      <c r="R345" t="n">
        <v>580709</v>
      </c>
      <c r="S345" t="n">
        <v>544281</v>
      </c>
      <c r="T345" t="n">
        <v>27259</v>
      </c>
      <c r="U345" t="n">
        <v>1980</v>
      </c>
      <c r="V345" t="n">
        <v>0.8523120158579207</v>
      </c>
      <c r="W345" t="n">
        <v>-0.03</v>
      </c>
      <c r="X345" s="16">
        <f>IFERROR(K345/E345*100,"")</f>
        <v/>
      </c>
      <c r="Y345" s="16">
        <f>IFERROR((N345+O345)/E345*100,"")</f>
        <v/>
      </c>
      <c r="Z345" s="16">
        <f>IFERROR(R345/F345*100,"")</f>
        <v/>
      </c>
      <c r="AA345" s="16">
        <f>IFERROR(R345/E345*100,"")</f>
        <v/>
      </c>
      <c r="AB345" s="16">
        <f>IFERROR(S345/Q345*100,"")</f>
        <v/>
      </c>
      <c r="AC345" s="16">
        <f>IFERROR(T345/Q345*100,"")</f>
        <v/>
      </c>
      <c r="AD345" s="16">
        <f>IFERROR(U345/Q345*100,"")</f>
        <v/>
      </c>
      <c r="AE345" s="18">
        <f>IFERROR(E345/E341-1,"")</f>
        <v/>
      </c>
      <c r="AF345" s="18">
        <f>IFERROR(R345/R341-1,"")</f>
        <v/>
      </c>
      <c r="AG345" s="18">
        <f>IFERROR(F345/F341-1,"")</f>
        <v/>
      </c>
      <c r="AH345">
        <f>P345&gt;0</f>
        <v/>
      </c>
    </row>
    <row r="346">
      <c r="A346" s="14" t="n">
        <v>45473</v>
      </c>
      <c r="B346" t="n">
        <v>17951</v>
      </c>
      <c r="C346" t="inlineStr">
        <is>
          <t>FRANKLIN SAVINGS BANK</t>
        </is>
      </c>
      <c r="D346" t="inlineStr">
        <is>
          <t>NH</t>
        </is>
      </c>
      <c r="E346" t="n">
        <v>810464</v>
      </c>
      <c r="F346" t="n">
        <v>665540</v>
      </c>
      <c r="G346" t="n">
        <v>63303</v>
      </c>
      <c r="H346" s="16" t="n">
        <v>0.5010986363860677</v>
      </c>
      <c r="I346" s="16" t="n">
        <v>6.41</v>
      </c>
      <c r="J346" s="16" t="n">
        <v>2.464995994760834</v>
      </c>
      <c r="K346" s="16" t="n">
        <v>62</v>
      </c>
      <c r="L346" s="16" t="n">
        <v>-144</v>
      </c>
      <c r="M346" s="16" t="n">
        <v>0.0104012011709739</v>
      </c>
      <c r="N346" s="16" t="n">
        <v>1757</v>
      </c>
      <c r="O346" s="16" t="n">
        <v>0</v>
      </c>
      <c r="P346" s="16" t="n">
        <v>14.62032355376159</v>
      </c>
      <c r="Q346" t="n">
        <v>596085</v>
      </c>
      <c r="R346" t="n">
        <v>591022</v>
      </c>
      <c r="S346" t="n">
        <v>552786</v>
      </c>
      <c r="T346" t="n">
        <v>28255</v>
      </c>
      <c r="U346" t="n">
        <v>1838</v>
      </c>
      <c r="V346" t="n">
        <v>0.8493755085264685</v>
      </c>
      <c r="W346" t="n">
        <v>0</v>
      </c>
      <c r="X346" s="16">
        <f>IFERROR(K346/E346*100,"")</f>
        <v/>
      </c>
      <c r="Y346" s="16">
        <f>IFERROR((N346+O346)/E346*100,"")</f>
        <v/>
      </c>
      <c r="Z346" s="16">
        <f>IFERROR(R346/F346*100,"")</f>
        <v/>
      </c>
      <c r="AA346" s="16">
        <f>IFERROR(R346/E346*100,"")</f>
        <v/>
      </c>
      <c r="AB346" s="16">
        <f>IFERROR(S346/Q346*100,"")</f>
        <v/>
      </c>
      <c r="AC346" s="16">
        <f>IFERROR(T346/Q346*100,"")</f>
        <v/>
      </c>
      <c r="AD346" s="16">
        <f>IFERROR(U346/Q346*100,"")</f>
        <v/>
      </c>
      <c r="AE346" s="18">
        <f>IFERROR(E346/E342-1,"")</f>
        <v/>
      </c>
      <c r="AF346" s="18">
        <f>IFERROR(R346/R342-1,"")</f>
        <v/>
      </c>
      <c r="AG346" s="18">
        <f>IFERROR(F346/F342-1,"")</f>
        <v/>
      </c>
      <c r="AH346">
        <f>P346&gt;0</f>
        <v/>
      </c>
    </row>
    <row r="347">
      <c r="A347" s="14" t="n">
        <v>45565</v>
      </c>
      <c r="B347" t="n">
        <v>17951</v>
      </c>
      <c r="C347" t="inlineStr">
        <is>
          <t>FRANKLIN SAVINGS BANK</t>
        </is>
      </c>
      <c r="D347" t="inlineStr">
        <is>
          <t>NH</t>
        </is>
      </c>
      <c r="E347" t="n">
        <v>819978</v>
      </c>
      <c r="F347" t="n">
        <v>688357</v>
      </c>
      <c r="G347" t="n">
        <v>67870</v>
      </c>
      <c r="H347" s="16" t="n">
        <v>0.5110439958095669</v>
      </c>
      <c r="I347" s="16" t="n">
        <v>6.44</v>
      </c>
      <c r="J347" s="16" t="n">
        <v>2.480581206470706</v>
      </c>
      <c r="K347" s="16" t="n">
        <v>61</v>
      </c>
      <c r="L347" s="16" t="n">
        <v>-141</v>
      </c>
      <c r="M347" s="16" t="n">
        <v>0.0101681410471184</v>
      </c>
      <c r="N347" s="16" t="n">
        <v>540</v>
      </c>
      <c r="O347" s="16" t="n">
        <v>0</v>
      </c>
      <c r="P347" s="16" t="n">
        <v>14.54609422588166</v>
      </c>
      <c r="Q347" t="n">
        <v>599913</v>
      </c>
      <c r="R347" t="n">
        <v>594815</v>
      </c>
      <c r="S347" t="n">
        <v>550875</v>
      </c>
      <c r="T347" t="n">
        <v>30902</v>
      </c>
      <c r="U347" t="n">
        <v>1766</v>
      </c>
      <c r="V347" t="n">
        <v>0.8497898862001656</v>
      </c>
      <c r="W347" t="n">
        <v>0.01</v>
      </c>
      <c r="X347" s="16">
        <f>IFERROR(K347/E347*100,"")</f>
        <v/>
      </c>
      <c r="Y347" s="16">
        <f>IFERROR((N347+O347)/E347*100,"")</f>
        <v/>
      </c>
      <c r="Z347" s="16">
        <f>IFERROR(R347/F347*100,"")</f>
        <v/>
      </c>
      <c r="AA347" s="16">
        <f>IFERROR(R347/E347*100,"")</f>
        <v/>
      </c>
      <c r="AB347" s="16">
        <f>IFERROR(S347/Q347*100,"")</f>
        <v/>
      </c>
      <c r="AC347" s="16">
        <f>IFERROR(T347/Q347*100,"")</f>
        <v/>
      </c>
      <c r="AD347" s="16">
        <f>IFERROR(U347/Q347*100,"")</f>
        <v/>
      </c>
      <c r="AE347" s="18">
        <f>IFERROR(E347/E343-1,"")</f>
        <v/>
      </c>
      <c r="AF347" s="18">
        <f>IFERROR(R347/R343-1,"")</f>
        <v/>
      </c>
      <c r="AG347" s="18">
        <f>IFERROR(F347/F343-1,"")</f>
        <v/>
      </c>
      <c r="AH347">
        <f>P347&gt;0</f>
        <v/>
      </c>
    </row>
    <row r="348">
      <c r="A348" s="14" t="n">
        <v>45657</v>
      </c>
      <c r="B348" t="n">
        <v>17951</v>
      </c>
      <c r="C348" t="inlineStr">
        <is>
          <t>FRANKLIN SAVINGS BANK</t>
        </is>
      </c>
      <c r="D348" t="inlineStr">
        <is>
          <t>NH</t>
        </is>
      </c>
      <c r="E348" t="n">
        <v>821983</v>
      </c>
      <c r="F348" t="n">
        <v>701106</v>
      </c>
      <c r="G348" t="n">
        <v>65761</v>
      </c>
      <c r="H348" s="16" t="n">
        <v>0.4864735797984036</v>
      </c>
      <c r="I348" s="16" t="n">
        <v>6.12</v>
      </c>
      <c r="J348" s="16" t="n">
        <v>2.520708559802554</v>
      </c>
      <c r="K348" s="16" t="n">
        <v>60</v>
      </c>
      <c r="L348" s="16" t="n">
        <v>-145</v>
      </c>
      <c r="M348" s="16" t="n">
        <v>0.0097116136331632</v>
      </c>
      <c r="N348" s="16" t="n">
        <v>75</v>
      </c>
      <c r="O348" s="16" t="n">
        <v>0</v>
      </c>
      <c r="P348" s="16" t="n">
        <v>14.14641514500537</v>
      </c>
      <c r="Q348" t="n">
        <v>617817</v>
      </c>
      <c r="R348" t="n">
        <v>612606</v>
      </c>
      <c r="S348" t="n">
        <v>567751</v>
      </c>
      <c r="T348" t="n">
        <v>30638</v>
      </c>
      <c r="U348" t="n">
        <v>1633</v>
      </c>
      <c r="V348" t="n">
        <v>0.8434536440402256</v>
      </c>
      <c r="W348" t="n">
        <v>0.05</v>
      </c>
      <c r="X348" s="16">
        <f>IFERROR(K348/E348*100,"")</f>
        <v/>
      </c>
      <c r="Y348" s="16">
        <f>IFERROR((N348+O348)/E348*100,"")</f>
        <v/>
      </c>
      <c r="Z348" s="16">
        <f>IFERROR(R348/F348*100,"")</f>
        <v/>
      </c>
      <c r="AA348" s="16">
        <f>IFERROR(R348/E348*100,"")</f>
        <v/>
      </c>
      <c r="AB348" s="16">
        <f>IFERROR(S348/Q348*100,"")</f>
        <v/>
      </c>
      <c r="AC348" s="16">
        <f>IFERROR(T348/Q348*100,"")</f>
        <v/>
      </c>
      <c r="AD348" s="16">
        <f>IFERROR(U348/Q348*100,"")</f>
        <v/>
      </c>
      <c r="AE348" s="18">
        <f>IFERROR(E348/E344-1,"")</f>
        <v/>
      </c>
      <c r="AF348" s="18">
        <f>IFERROR(R348/R344-1,"")</f>
        <v/>
      </c>
      <c r="AG348" s="18">
        <f>IFERROR(F348/F344-1,"")</f>
        <v/>
      </c>
      <c r="AH348">
        <f>P348&gt;0</f>
        <v/>
      </c>
    </row>
    <row r="349">
      <c r="A349" s="14" t="n">
        <v>45747</v>
      </c>
      <c r="B349" t="n">
        <v>17951</v>
      </c>
      <c r="C349" t="inlineStr">
        <is>
          <t>FRANKLIN SAVINGS BANK</t>
        </is>
      </c>
      <c r="D349" t="inlineStr">
        <is>
          <t>NH</t>
        </is>
      </c>
      <c r="E349" t="n">
        <v>856737</v>
      </c>
      <c r="F349" t="n">
        <v>714191</v>
      </c>
      <c r="G349" t="n">
        <v>68926</v>
      </c>
      <c r="H349" s="16" t="n">
        <v>0.5699580632863134</v>
      </c>
      <c r="I349" s="16" t="n">
        <v>7.1</v>
      </c>
      <c r="J349" s="16" t="n">
        <v>2.693043141290745</v>
      </c>
      <c r="K349" s="16" t="n">
        <v>152</v>
      </c>
      <c r="L349" s="16" t="n">
        <v>2</v>
      </c>
      <c r="M349" s="16" t="n">
        <v>0.0231684360543543</v>
      </c>
      <c r="N349" s="16" t="n">
        <v>25</v>
      </c>
      <c r="O349" s="16" t="n">
        <v>0</v>
      </c>
      <c r="P349" s="16" t="n">
        <v>13.52301583163071</v>
      </c>
      <c r="Q349" t="n">
        <v>656065</v>
      </c>
      <c r="R349" t="n">
        <v>650587</v>
      </c>
      <c r="S349" t="n">
        <v>602633</v>
      </c>
      <c r="T349" t="n">
        <v>35790</v>
      </c>
      <c r="U349" t="n">
        <v>1548</v>
      </c>
      <c r="V349" t="n">
        <v>0.8349782414852187</v>
      </c>
      <c r="W349" t="n">
        <v>0.09</v>
      </c>
      <c r="X349" s="16">
        <f>IFERROR(K349/E349*100,"")</f>
        <v/>
      </c>
      <c r="Y349" s="16">
        <f>IFERROR((N349+O349)/E349*100,"")</f>
        <v/>
      </c>
      <c r="Z349" s="16">
        <f>IFERROR(R349/F349*100,"")</f>
        <v/>
      </c>
      <c r="AA349" s="16">
        <f>IFERROR(R349/E349*100,"")</f>
        <v/>
      </c>
      <c r="AB349" s="16">
        <f>IFERROR(S349/Q349*100,"")</f>
        <v/>
      </c>
      <c r="AC349" s="16">
        <f>IFERROR(T349/Q349*100,"")</f>
        <v/>
      </c>
      <c r="AD349" s="16">
        <f>IFERROR(U349/Q349*100,"")</f>
        <v/>
      </c>
      <c r="AE349" s="18">
        <f>IFERROR(E349/E345-1,"")</f>
        <v/>
      </c>
      <c r="AF349" s="18">
        <f>IFERROR(R349/R345-1,"")</f>
        <v/>
      </c>
      <c r="AG349" s="18">
        <f>IFERROR(F349/F345-1,"")</f>
        <v/>
      </c>
      <c r="AH349">
        <f>P349&gt;0</f>
        <v/>
      </c>
    </row>
    <row r="350">
      <c r="A350" s="14" t="n">
        <v>45838</v>
      </c>
      <c r="B350" t="n">
        <v>17951</v>
      </c>
      <c r="C350" t="inlineStr">
        <is>
          <t>FRANKLIN SAVINGS BANK</t>
        </is>
      </c>
      <c r="D350" t="inlineStr">
        <is>
          <t>NH</t>
        </is>
      </c>
      <c r="E350" t="n">
        <v>905293</v>
      </c>
      <c r="F350" t="n">
        <v>747263</v>
      </c>
      <c r="G350" t="n">
        <v>70680</v>
      </c>
      <c r="H350" s="16" t="n">
        <v>0.6473651641845456</v>
      </c>
      <c r="I350" s="16" t="n">
        <v>8.15</v>
      </c>
      <c r="J350" s="16" t="n">
        <v>2.798257752306031</v>
      </c>
      <c r="K350" s="16" t="n">
        <v>150</v>
      </c>
      <c r="L350" s="16" t="n">
        <v>-2</v>
      </c>
      <c r="M350" s="16" t="n">
        <v>0.0215937637210373</v>
      </c>
      <c r="N350" s="16" t="n">
        <v>1481</v>
      </c>
      <c r="O350" s="16" t="n">
        <v>0</v>
      </c>
      <c r="P350" s="16" t="n">
        <v>13.09426082162888</v>
      </c>
      <c r="Q350" t="n">
        <v>694645</v>
      </c>
      <c r="R350" t="n">
        <v>688892</v>
      </c>
      <c r="S350" t="n">
        <v>636895</v>
      </c>
      <c r="T350" t="n">
        <v>39465</v>
      </c>
      <c r="U350" t="n">
        <v>1480</v>
      </c>
      <c r="V350" t="n">
        <v>0.8281928179141864</v>
      </c>
      <c r="W350" t="n">
        <v>0.1</v>
      </c>
      <c r="X350" s="16">
        <f>IFERROR(K350/E350*100,"")</f>
        <v/>
      </c>
      <c r="Y350" s="16">
        <f>IFERROR((N350+O350)/E350*100,"")</f>
        <v/>
      </c>
      <c r="Z350" s="16">
        <f>IFERROR(R350/F350*100,"")</f>
        <v/>
      </c>
      <c r="AA350" s="16">
        <f>IFERROR(R350/E350*100,"")</f>
        <v/>
      </c>
      <c r="AB350" s="16">
        <f>IFERROR(S350/Q350*100,"")</f>
        <v/>
      </c>
      <c r="AC350" s="16">
        <f>IFERROR(T350/Q350*100,"")</f>
        <v/>
      </c>
      <c r="AD350" s="16">
        <f>IFERROR(U350/Q350*100,"")</f>
        <v/>
      </c>
      <c r="AE350" s="18">
        <f>IFERROR(E350/E346-1,"")</f>
        <v/>
      </c>
      <c r="AF350" s="18">
        <f>IFERROR(R350/R346-1,"")</f>
        <v/>
      </c>
      <c r="AG350" s="18">
        <f>IFERROR(F350/F346-1,"")</f>
        <v/>
      </c>
      <c r="AH350">
        <f>P350&gt;0</f>
        <v/>
      </c>
    </row>
    <row r="351">
      <c r="A351" s="14" t="n">
        <v>44651</v>
      </c>
      <c r="B351" t="n">
        <v>17960</v>
      </c>
      <c r="C351" t="inlineStr">
        <is>
          <t>MERRIMACK COUNTY SAVINGS BANK</t>
        </is>
      </c>
      <c r="D351" t="inlineStr">
        <is>
          <t>NH</t>
        </is>
      </c>
      <c r="E351" t="n">
        <v>1150436</v>
      </c>
      <c r="F351" t="n">
        <v>962644</v>
      </c>
      <c r="G351" t="n">
        <v>107341</v>
      </c>
      <c r="H351" s="16" t="n">
        <v>0.833049601017634</v>
      </c>
      <c r="I351" s="16" t="n">
        <v>8.77</v>
      </c>
      <c r="J351" s="16" t="n">
        <v>3.594639407408482</v>
      </c>
      <c r="K351" s="16" t="n">
        <v>462</v>
      </c>
      <c r="L351" s="16" t="n">
        <v>7</v>
      </c>
      <c r="M351" s="16" t="n">
        <v>0.0491100138719844</v>
      </c>
      <c r="N351" s="16" t="n">
        <v>1292</v>
      </c>
      <c r="O351" s="16" t="n">
        <v>0</v>
      </c>
      <c r="P351" s="16" t="n">
        <v>14.43887954445081</v>
      </c>
      <c r="Q351" t="n">
        <v>940745</v>
      </c>
      <c r="R351" t="n">
        <v>931204</v>
      </c>
      <c r="S351" t="n">
        <v>701328</v>
      </c>
      <c r="T351" t="n">
        <v>96589</v>
      </c>
      <c r="U351" t="n">
        <v>142477</v>
      </c>
      <c r="V351" t="n">
        <v>1.014196195568406</v>
      </c>
      <c r="W351" t="n">
        <v>0.07000000000000001</v>
      </c>
      <c r="X351" s="16">
        <f>IFERROR(K351/E351*100,"")</f>
        <v/>
      </c>
      <c r="Y351" s="16">
        <f>IFERROR((N351+O351)/E351*100,"")</f>
        <v/>
      </c>
      <c r="Z351" s="16">
        <f>IFERROR(R351/F351*100,"")</f>
        <v/>
      </c>
      <c r="AA351" s="16">
        <f>IFERROR(R351/E351*100,"")</f>
        <v/>
      </c>
      <c r="AB351" s="16">
        <f>IFERROR(S351/Q351*100,"")</f>
        <v/>
      </c>
      <c r="AC351" s="16">
        <f>IFERROR(T351/Q351*100,"")</f>
        <v/>
      </c>
      <c r="AD351" s="16">
        <f>IFERROR(U351/Q351*100,"")</f>
        <v/>
      </c>
      <c r="AE351" s="18" t="n"/>
      <c r="AF351" s="18" t="n"/>
      <c r="AG351" s="18" t="n"/>
      <c r="AH351">
        <f>P351&gt;0</f>
        <v/>
      </c>
    </row>
    <row r="352">
      <c r="A352" s="14" t="n">
        <v>44742</v>
      </c>
      <c r="B352" t="n">
        <v>17960</v>
      </c>
      <c r="C352" t="inlineStr">
        <is>
          <t>MERRIMACK COUNTY SAVINGS BANK</t>
        </is>
      </c>
      <c r="D352" t="inlineStr">
        <is>
          <t>NH</t>
        </is>
      </c>
      <c r="E352" t="n">
        <v>1230052</v>
      </c>
      <c r="F352" t="n">
        <v>1013410</v>
      </c>
      <c r="G352" t="n">
        <v>104397</v>
      </c>
      <c r="H352" s="16" t="n">
        <v>0.7907031858347158</v>
      </c>
      <c r="I352" s="16" t="n">
        <v>8.65</v>
      </c>
      <c r="J352" s="16" t="n">
        <v>3.612370327106267</v>
      </c>
      <c r="K352" s="16" t="n">
        <v>789</v>
      </c>
      <c r="L352" s="16" t="n">
        <v>8</v>
      </c>
      <c r="M352" s="16" t="n">
        <v>0.0811270726977719</v>
      </c>
      <c r="N352" s="16" t="n">
        <v>818</v>
      </c>
      <c r="O352" s="16" t="n">
        <v>31</v>
      </c>
      <c r="P352" s="16" t="n">
        <v>13.53057190722176</v>
      </c>
      <c r="Q352" t="n">
        <v>1010760</v>
      </c>
      <c r="R352" t="n">
        <v>1000783</v>
      </c>
      <c r="S352" t="n">
        <v>739326</v>
      </c>
      <c r="T352" t="n">
        <v>101427</v>
      </c>
      <c r="U352" t="n">
        <v>165699</v>
      </c>
      <c r="V352" t="n">
        <v>0.9870790296410624</v>
      </c>
      <c r="W352" t="n">
        <v>0.11</v>
      </c>
      <c r="X352" s="16">
        <f>IFERROR(K352/E352*100,"")</f>
        <v/>
      </c>
      <c r="Y352" s="16">
        <f>IFERROR((N352+O352)/E352*100,"")</f>
        <v/>
      </c>
      <c r="Z352" s="16">
        <f>IFERROR(R352/F352*100,"")</f>
        <v/>
      </c>
      <c r="AA352" s="16">
        <f>IFERROR(R352/E352*100,"")</f>
        <v/>
      </c>
      <c r="AB352" s="16">
        <f>IFERROR(S352/Q352*100,"")</f>
        <v/>
      </c>
      <c r="AC352" s="16">
        <f>IFERROR(T352/Q352*100,"")</f>
        <v/>
      </c>
      <c r="AD352" s="16">
        <f>IFERROR(U352/Q352*100,"")</f>
        <v/>
      </c>
      <c r="AE352" s="18" t="n"/>
      <c r="AF352" s="18" t="n"/>
      <c r="AG352" s="18" t="n"/>
      <c r="AH352">
        <f>P352&gt;0</f>
        <v/>
      </c>
    </row>
    <row r="353">
      <c r="A353" s="14" t="n">
        <v>44834</v>
      </c>
      <c r="B353" t="n">
        <v>17960</v>
      </c>
      <c r="C353" t="inlineStr">
        <is>
          <t>MERRIMACK COUNTY SAVINGS BANK</t>
        </is>
      </c>
      <c r="D353" t="inlineStr">
        <is>
          <t>NH</t>
        </is>
      </c>
      <c r="E353" t="n">
        <v>1278487</v>
      </c>
      <c r="F353" t="n">
        <v>1016704</v>
      </c>
      <c r="G353" t="n">
        <v>101209</v>
      </c>
      <c r="H353" s="16" t="n">
        <v>0.8119900550018692</v>
      </c>
      <c r="I353" s="16" t="n">
        <v>9.210000000000001</v>
      </c>
      <c r="J353" s="16" t="n">
        <v>3.607112631595235</v>
      </c>
      <c r="K353" s="16" t="n">
        <v>699</v>
      </c>
      <c r="L353" s="16" t="n">
        <v>13</v>
      </c>
      <c r="M353" s="16" t="n">
        <v>0.0713113906090657</v>
      </c>
      <c r="N353" s="16" t="n">
        <v>1090</v>
      </c>
      <c r="O353" s="16" t="n">
        <v>73</v>
      </c>
      <c r="P353" s="16" t="n">
        <v>12.92916454498434</v>
      </c>
      <c r="Q353" t="n">
        <v>1082576</v>
      </c>
      <c r="R353" t="n">
        <v>1072166</v>
      </c>
      <c r="S353" t="n">
        <v>781834</v>
      </c>
      <c r="T353" t="n">
        <v>109964</v>
      </c>
      <c r="U353" t="n">
        <v>186516</v>
      </c>
      <c r="V353" t="n">
        <v>0.9615953060108482</v>
      </c>
      <c r="W353" t="n">
        <v>0.12</v>
      </c>
      <c r="X353" s="16">
        <f>IFERROR(K353/E353*100,"")</f>
        <v/>
      </c>
      <c r="Y353" s="16">
        <f>IFERROR((N353+O353)/E353*100,"")</f>
        <v/>
      </c>
      <c r="Z353" s="16">
        <f>IFERROR(R353/F353*100,"")</f>
        <v/>
      </c>
      <c r="AA353" s="16">
        <f>IFERROR(R353/E353*100,"")</f>
        <v/>
      </c>
      <c r="AB353" s="16">
        <f>IFERROR(S353/Q353*100,"")</f>
        <v/>
      </c>
      <c r="AC353" s="16">
        <f>IFERROR(T353/Q353*100,"")</f>
        <v/>
      </c>
      <c r="AD353" s="16">
        <f>IFERROR(U353/Q353*100,"")</f>
        <v/>
      </c>
      <c r="AE353" s="18" t="n"/>
      <c r="AF353" s="18" t="n"/>
      <c r="AG353" s="18" t="n"/>
      <c r="AH353">
        <f>P353&gt;0</f>
        <v/>
      </c>
    </row>
    <row r="354">
      <c r="A354" s="14" t="n">
        <v>44926</v>
      </c>
      <c r="B354" t="n">
        <v>17960</v>
      </c>
      <c r="C354" t="inlineStr">
        <is>
          <t>MERRIMACK COUNTY SAVINGS BANK</t>
        </is>
      </c>
      <c r="D354" t="inlineStr">
        <is>
          <t>NH</t>
        </is>
      </c>
      <c r="E354" t="n">
        <v>1317746</v>
      </c>
      <c r="F354" t="n">
        <v>1042080</v>
      </c>
      <c r="G354" t="n">
        <v>104375</v>
      </c>
      <c r="H354" s="16" t="n">
        <v>0.7675868752496673</v>
      </c>
      <c r="I354" s="16" t="n">
        <v>8.9</v>
      </c>
      <c r="J354" s="16" t="n">
        <v>3.529272716995288</v>
      </c>
      <c r="K354" s="16" t="n">
        <v>789</v>
      </c>
      <c r="L354" s="16" t="n">
        <v>58</v>
      </c>
      <c r="M354" s="16" t="n">
        <v>0.1511763127292244</v>
      </c>
      <c r="N354" s="16" t="n">
        <v>2173</v>
      </c>
      <c r="O354" s="16" t="n">
        <v>901</v>
      </c>
      <c r="P354" s="16" t="n">
        <v>12.74286777258256</v>
      </c>
      <c r="Q354" t="n">
        <v>1117900</v>
      </c>
      <c r="R354" t="n">
        <v>1107173</v>
      </c>
      <c r="S354" t="n">
        <v>810216</v>
      </c>
      <c r="T354" t="n">
        <v>105990</v>
      </c>
      <c r="U354" t="n">
        <v>197482</v>
      </c>
      <c r="V354" t="n">
        <v>0.9595670453528941</v>
      </c>
      <c r="W354" t="n">
        <v>0.12</v>
      </c>
      <c r="X354" s="16">
        <f>IFERROR(K354/E354*100,"")</f>
        <v/>
      </c>
      <c r="Y354" s="16">
        <f>IFERROR((N354+O354)/E354*100,"")</f>
        <v/>
      </c>
      <c r="Z354" s="16">
        <f>IFERROR(R354/F354*100,"")</f>
        <v/>
      </c>
      <c r="AA354" s="16">
        <f>IFERROR(R354/E354*100,"")</f>
        <v/>
      </c>
      <c r="AB354" s="16">
        <f>IFERROR(S354/Q354*100,"")</f>
        <v/>
      </c>
      <c r="AC354" s="16">
        <f>IFERROR(T354/Q354*100,"")</f>
        <v/>
      </c>
      <c r="AD354" s="16">
        <f>IFERROR(U354/Q354*100,"")</f>
        <v/>
      </c>
      <c r="AE354" s="18" t="n"/>
      <c r="AF354" s="18" t="n"/>
      <c r="AG354" s="18" t="n"/>
      <c r="AH354">
        <f>P354&gt;0</f>
        <v/>
      </c>
    </row>
    <row r="355">
      <c r="A355" s="14" t="n">
        <v>45016</v>
      </c>
      <c r="B355" t="n">
        <v>17960</v>
      </c>
      <c r="C355" t="inlineStr">
        <is>
          <t>MERRIMACK COUNTY SAVINGS BANK</t>
        </is>
      </c>
      <c r="D355" t="inlineStr">
        <is>
          <t>NH</t>
        </is>
      </c>
      <c r="E355" t="n">
        <v>1332758</v>
      </c>
      <c r="F355" t="n">
        <v>1015763</v>
      </c>
      <c r="G355" t="n">
        <v>107964</v>
      </c>
      <c r="H355" s="16" t="n">
        <v>0.5559697325489794</v>
      </c>
      <c r="I355" s="16" t="n">
        <v>6.94</v>
      </c>
      <c r="J355" s="16" t="n">
        <v>2.984886275023364</v>
      </c>
      <c r="K355" s="16" t="n">
        <v>821</v>
      </c>
      <c r="L355" s="16" t="n">
        <v>23</v>
      </c>
      <c r="M355" s="16" t="n">
        <v>0.0719413743518923</v>
      </c>
      <c r="N355" s="16" t="n">
        <v>2222</v>
      </c>
      <c r="O355" s="16" t="n">
        <v>0</v>
      </c>
      <c r="P355" s="16" t="n">
        <v>12.87414130912103</v>
      </c>
      <c r="Q355" t="n">
        <v>1141207</v>
      </c>
      <c r="R355" t="n">
        <v>1129791</v>
      </c>
      <c r="S355" t="n">
        <v>821435</v>
      </c>
      <c r="T355" t="n">
        <v>113261</v>
      </c>
      <c r="U355" t="n">
        <v>202345</v>
      </c>
      <c r="V355" t="n">
        <v>1.000344372230454</v>
      </c>
      <c r="W355" t="n">
        <v>0.05</v>
      </c>
      <c r="X355" s="16">
        <f>IFERROR(K355/E355*100,"")</f>
        <v/>
      </c>
      <c r="Y355" s="16">
        <f>IFERROR((N355+O355)/E355*100,"")</f>
        <v/>
      </c>
      <c r="Z355" s="16">
        <f>IFERROR(R355/F355*100,"")</f>
        <v/>
      </c>
      <c r="AA355" s="16">
        <f>IFERROR(R355/E355*100,"")</f>
        <v/>
      </c>
      <c r="AB355" s="16">
        <f>IFERROR(S355/Q355*100,"")</f>
        <v/>
      </c>
      <c r="AC355" s="16">
        <f>IFERROR(T355/Q355*100,"")</f>
        <v/>
      </c>
      <c r="AD355" s="16">
        <f>IFERROR(U355/Q355*100,"")</f>
        <v/>
      </c>
      <c r="AE355" s="18">
        <f>IFERROR(E355/E351-1,"")</f>
        <v/>
      </c>
      <c r="AF355" s="18">
        <f>IFERROR(R355/R351-1,"")</f>
        <v/>
      </c>
      <c r="AG355" s="18">
        <f>IFERROR(F355/F351-1,"")</f>
        <v/>
      </c>
      <c r="AH355">
        <f>P355&gt;0</f>
        <v/>
      </c>
    </row>
    <row r="356">
      <c r="A356" s="14" t="n">
        <v>45107</v>
      </c>
      <c r="B356" t="n">
        <v>17960</v>
      </c>
      <c r="C356" t="inlineStr">
        <is>
          <t>MERRIMACK COUNTY SAVINGS BANK</t>
        </is>
      </c>
      <c r="D356" t="inlineStr">
        <is>
          <t>NH</t>
        </is>
      </c>
      <c r="E356" t="n">
        <v>1355202</v>
      </c>
      <c r="F356" t="n">
        <v>1044918</v>
      </c>
      <c r="G356" t="n">
        <v>108306</v>
      </c>
      <c r="H356" s="16" t="n">
        <v>0.47751881940412</v>
      </c>
      <c r="I356" s="16" t="n">
        <v>5.97</v>
      </c>
      <c r="J356" s="16" t="n">
        <v>2.866860736528489</v>
      </c>
      <c r="K356" s="16" t="n">
        <v>8464</v>
      </c>
      <c r="L356" s="16" t="n">
        <v>39</v>
      </c>
      <c r="M356" s="16" t="n">
        <v>0.7280628487523408</v>
      </c>
      <c r="N356" s="16" t="n">
        <v>2045</v>
      </c>
      <c r="O356" s="16" t="n">
        <v>0</v>
      </c>
      <c r="P356" s="16" t="n">
        <v>12.73613965453186</v>
      </c>
      <c r="Q356" t="n">
        <v>1162537</v>
      </c>
      <c r="R356" t="n">
        <v>1151276</v>
      </c>
      <c r="S356" t="n">
        <v>827985</v>
      </c>
      <c r="T356" t="n">
        <v>111328</v>
      </c>
      <c r="U356" t="n">
        <v>219108</v>
      </c>
      <c r="V356" t="n">
        <v>0.9686573416588032</v>
      </c>
      <c r="W356" t="n">
        <v>0.06</v>
      </c>
      <c r="X356" s="16">
        <f>IFERROR(K356/E356*100,"")</f>
        <v/>
      </c>
      <c r="Y356" s="16">
        <f>IFERROR((N356+O356)/E356*100,"")</f>
        <v/>
      </c>
      <c r="Z356" s="16">
        <f>IFERROR(R356/F356*100,"")</f>
        <v/>
      </c>
      <c r="AA356" s="16">
        <f>IFERROR(R356/E356*100,"")</f>
        <v/>
      </c>
      <c r="AB356" s="16">
        <f>IFERROR(S356/Q356*100,"")</f>
        <v/>
      </c>
      <c r="AC356" s="16">
        <f>IFERROR(T356/Q356*100,"")</f>
        <v/>
      </c>
      <c r="AD356" s="16">
        <f>IFERROR(U356/Q356*100,"")</f>
        <v/>
      </c>
      <c r="AE356" s="18">
        <f>IFERROR(E356/E352-1,"")</f>
        <v/>
      </c>
      <c r="AF356" s="18">
        <f>IFERROR(R356/R352-1,"")</f>
        <v/>
      </c>
      <c r="AG356" s="18">
        <f>IFERROR(F356/F352-1,"")</f>
        <v/>
      </c>
      <c r="AH356">
        <f>P356&gt;0</f>
        <v/>
      </c>
    </row>
    <row r="357">
      <c r="A357" s="14" t="n">
        <v>45199</v>
      </c>
      <c r="B357" t="n">
        <v>17960</v>
      </c>
      <c r="C357" t="inlineStr">
        <is>
          <t>MERRIMACK COUNTY SAVINGS BANK</t>
        </is>
      </c>
      <c r="D357" t="inlineStr">
        <is>
          <t>NH</t>
        </is>
      </c>
      <c r="E357" t="n">
        <v>1360683</v>
      </c>
      <c r="F357" t="n">
        <v>1035461</v>
      </c>
      <c r="G357" t="n">
        <v>105758</v>
      </c>
      <c r="H357" s="16" t="n">
        <v>0.4150173086595101</v>
      </c>
      <c r="I357" s="16" t="n">
        <v>5.22</v>
      </c>
      <c r="J357" s="16" t="n">
        <v>2.809084703512116</v>
      </c>
      <c r="K357" s="16" t="n">
        <v>8539</v>
      </c>
      <c r="L357" s="16" t="n">
        <v>132</v>
      </c>
      <c r="M357" s="16" t="n">
        <v>0.7306446340958369</v>
      </c>
      <c r="N357" s="16" t="n">
        <v>1539</v>
      </c>
      <c r="O357" s="16" t="n">
        <v>0</v>
      </c>
      <c r="P357" s="16" t="n">
        <v>12.8543313948285</v>
      </c>
      <c r="Q357" t="n">
        <v>1168694</v>
      </c>
      <c r="R357" t="n">
        <v>1157276</v>
      </c>
      <c r="S357" t="n">
        <v>830148</v>
      </c>
      <c r="T357" t="n">
        <v>111087</v>
      </c>
      <c r="U357" t="n">
        <v>223391</v>
      </c>
      <c r="V357" t="n">
        <v>0.9769879883014716</v>
      </c>
      <c r="W357" t="n">
        <v>0.06</v>
      </c>
      <c r="X357" s="16">
        <f>IFERROR(K357/E357*100,"")</f>
        <v/>
      </c>
      <c r="Y357" s="16">
        <f>IFERROR((N357+O357)/E357*100,"")</f>
        <v/>
      </c>
      <c r="Z357" s="16">
        <f>IFERROR(R357/F357*100,"")</f>
        <v/>
      </c>
      <c r="AA357" s="16">
        <f>IFERROR(R357/E357*100,"")</f>
        <v/>
      </c>
      <c r="AB357" s="16">
        <f>IFERROR(S357/Q357*100,"")</f>
        <v/>
      </c>
      <c r="AC357" s="16">
        <f>IFERROR(T357/Q357*100,"")</f>
        <v/>
      </c>
      <c r="AD357" s="16">
        <f>IFERROR(U357/Q357*100,"")</f>
        <v/>
      </c>
      <c r="AE357" s="18">
        <f>IFERROR(E357/E353-1,"")</f>
        <v/>
      </c>
      <c r="AF357" s="18">
        <f>IFERROR(R357/R353-1,"")</f>
        <v/>
      </c>
      <c r="AG357" s="18">
        <f>IFERROR(F357/F353-1,"")</f>
        <v/>
      </c>
      <c r="AH357">
        <f>P357&gt;0</f>
        <v/>
      </c>
    </row>
    <row r="358">
      <c r="A358" s="14" t="n">
        <v>45291</v>
      </c>
      <c r="B358" t="n">
        <v>17960</v>
      </c>
      <c r="C358" t="inlineStr">
        <is>
          <t>MERRIMACK COUNTY SAVINGS BANK</t>
        </is>
      </c>
      <c r="D358" t="inlineStr">
        <is>
          <t>NH</t>
        </is>
      </c>
      <c r="E358" t="n">
        <v>1368285</v>
      </c>
      <c r="F358" t="n">
        <v>1030269</v>
      </c>
      <c r="G358" t="n">
        <v>113530</v>
      </c>
      <c r="H358" s="16" t="n">
        <v>0.5176197095805973</v>
      </c>
      <c r="I358" s="16" t="n">
        <v>6.46</v>
      </c>
      <c r="J358" s="16" t="n">
        <v>2.790416335181316</v>
      </c>
      <c r="K358" s="16" t="n">
        <v>8829</v>
      </c>
      <c r="L358" s="16" t="n">
        <v>199</v>
      </c>
      <c r="M358" s="16" t="n">
        <v>0.7821377688518119</v>
      </c>
      <c r="N358" s="16" t="n">
        <v>2370</v>
      </c>
      <c r="O358" s="16" t="n">
        <v>284</v>
      </c>
      <c r="P358" s="16" t="n">
        <v>13.24885242746017</v>
      </c>
      <c r="Q358" t="n">
        <v>1165140</v>
      </c>
      <c r="R358" t="n">
        <v>1153733</v>
      </c>
      <c r="S358" t="n">
        <v>832768</v>
      </c>
      <c r="T358" t="n">
        <v>105296</v>
      </c>
      <c r="U358" t="n">
        <v>223057</v>
      </c>
      <c r="V358" t="n">
        <v>0.9790239799509072</v>
      </c>
      <c r="W358" t="n">
        <v>0.05</v>
      </c>
      <c r="X358" s="16">
        <f>IFERROR(K358/E358*100,"")</f>
        <v/>
      </c>
      <c r="Y358" s="16">
        <f>IFERROR((N358+O358)/E358*100,"")</f>
        <v/>
      </c>
      <c r="Z358" s="16">
        <f>IFERROR(R358/F358*100,"")</f>
        <v/>
      </c>
      <c r="AA358" s="16">
        <f>IFERROR(R358/E358*100,"")</f>
        <v/>
      </c>
      <c r="AB358" s="16">
        <f>IFERROR(S358/Q358*100,"")</f>
        <v/>
      </c>
      <c r="AC358" s="16">
        <f>IFERROR(T358/Q358*100,"")</f>
        <v/>
      </c>
      <c r="AD358" s="16">
        <f>IFERROR(U358/Q358*100,"")</f>
        <v/>
      </c>
      <c r="AE358" s="18">
        <f>IFERROR(E358/E354-1,"")</f>
        <v/>
      </c>
      <c r="AF358" s="18">
        <f>IFERROR(R358/R354-1,"")</f>
        <v/>
      </c>
      <c r="AG358" s="18">
        <f>IFERROR(F358/F354-1,"")</f>
        <v/>
      </c>
      <c r="AH358">
        <f>P358&gt;0</f>
        <v/>
      </c>
    </row>
    <row r="359">
      <c r="A359" s="14" t="n">
        <v>45382</v>
      </c>
      <c r="B359" t="n">
        <v>17960</v>
      </c>
      <c r="C359" t="inlineStr">
        <is>
          <t>MERRIMACK COUNTY SAVINGS BANK</t>
        </is>
      </c>
      <c r="D359" t="inlineStr">
        <is>
          <t>NH</t>
        </is>
      </c>
      <c r="E359" t="n">
        <v>1358652</v>
      </c>
      <c r="F359" t="n">
        <v>1003157</v>
      </c>
      <c r="G359" t="n">
        <v>113634</v>
      </c>
      <c r="H359" s="16" t="n">
        <v>0.3760996311979338</v>
      </c>
      <c r="I359" s="16" t="n">
        <v>4.51</v>
      </c>
      <c r="J359" s="16" t="n">
        <v>2.712007691735126</v>
      </c>
      <c r="K359" s="16" t="n">
        <v>9231</v>
      </c>
      <c r="L359" s="16" t="n">
        <v>175</v>
      </c>
      <c r="M359" s="16" t="n">
        <v>0.7905473454874313</v>
      </c>
      <c r="N359" s="16" t="n">
        <v>2013</v>
      </c>
      <c r="O359" s="16" t="n">
        <v>0</v>
      </c>
      <c r="P359" s="16" t="n">
        <v>13.3536414605849</v>
      </c>
      <c r="Q359" t="n">
        <v>1167672</v>
      </c>
      <c r="R359" t="n">
        <v>1156212</v>
      </c>
      <c r="S359" t="n">
        <v>831348</v>
      </c>
      <c r="T359" t="n">
        <v>110468</v>
      </c>
      <c r="U359" t="n">
        <v>221886</v>
      </c>
      <c r="V359" t="n">
        <v>0.9814399934228104</v>
      </c>
      <c r="W359" t="n">
        <v>0.07000000000000001</v>
      </c>
      <c r="X359" s="16">
        <f>IFERROR(K359/E359*100,"")</f>
        <v/>
      </c>
      <c r="Y359" s="16">
        <f>IFERROR((N359+O359)/E359*100,"")</f>
        <v/>
      </c>
      <c r="Z359" s="16">
        <f>IFERROR(R359/F359*100,"")</f>
        <v/>
      </c>
      <c r="AA359" s="16">
        <f>IFERROR(R359/E359*100,"")</f>
        <v/>
      </c>
      <c r="AB359" s="16">
        <f>IFERROR(S359/Q359*100,"")</f>
        <v/>
      </c>
      <c r="AC359" s="16">
        <f>IFERROR(T359/Q359*100,"")</f>
        <v/>
      </c>
      <c r="AD359" s="16">
        <f>IFERROR(U359/Q359*100,"")</f>
        <v/>
      </c>
      <c r="AE359" s="18">
        <f>IFERROR(E359/E355-1,"")</f>
        <v/>
      </c>
      <c r="AF359" s="18">
        <f>IFERROR(R359/R355-1,"")</f>
        <v/>
      </c>
      <c r="AG359" s="18">
        <f>IFERROR(F359/F355-1,"")</f>
        <v/>
      </c>
      <c r="AH359">
        <f>P359&gt;0</f>
        <v/>
      </c>
    </row>
    <row r="360">
      <c r="A360" s="14" t="n">
        <v>45473</v>
      </c>
      <c r="B360" t="n">
        <v>17960</v>
      </c>
      <c r="C360" t="inlineStr">
        <is>
          <t>MERRIMACK COUNTY SAVINGS BANK</t>
        </is>
      </c>
      <c r="D360" t="inlineStr">
        <is>
          <t>NH</t>
        </is>
      </c>
      <c r="E360" t="n">
        <v>1384318</v>
      </c>
      <c r="F360" t="n">
        <v>1047199</v>
      </c>
      <c r="G360" t="n">
        <v>114741</v>
      </c>
      <c r="H360" s="16" t="n">
        <v>0.355511881408475</v>
      </c>
      <c r="I360" s="16" t="n">
        <v>4.27</v>
      </c>
      <c r="J360" s="16" t="n">
        <v>2.711378162359779</v>
      </c>
      <c r="K360" s="16" t="n">
        <v>9254</v>
      </c>
      <c r="L360" s="16" t="n">
        <v>250</v>
      </c>
      <c r="M360" s="16" t="n">
        <v>0.7856848125274871</v>
      </c>
      <c r="N360" s="16" t="n">
        <v>2898</v>
      </c>
      <c r="O360" s="16" t="n">
        <v>0</v>
      </c>
      <c r="P360" s="16" t="n">
        <v>13.29051934455607</v>
      </c>
      <c r="Q360" t="n">
        <v>1177826</v>
      </c>
      <c r="R360" t="n">
        <v>1165755</v>
      </c>
      <c r="S360" t="n">
        <v>834712</v>
      </c>
      <c r="T360" t="n">
        <v>105881</v>
      </c>
      <c r="U360" t="n">
        <v>233313</v>
      </c>
      <c r="V360" t="n">
        <v>1.024854265400832</v>
      </c>
      <c r="W360" t="n">
        <v>0.14</v>
      </c>
      <c r="X360" s="16">
        <f>IFERROR(K360/E360*100,"")</f>
        <v/>
      </c>
      <c r="Y360" s="16">
        <f>IFERROR((N360+O360)/E360*100,"")</f>
        <v/>
      </c>
      <c r="Z360" s="16">
        <f>IFERROR(R360/F360*100,"")</f>
        <v/>
      </c>
      <c r="AA360" s="16">
        <f>IFERROR(R360/E360*100,"")</f>
        <v/>
      </c>
      <c r="AB360" s="16">
        <f>IFERROR(S360/Q360*100,"")</f>
        <v/>
      </c>
      <c r="AC360" s="16">
        <f>IFERROR(T360/Q360*100,"")</f>
        <v/>
      </c>
      <c r="AD360" s="16">
        <f>IFERROR(U360/Q360*100,"")</f>
        <v/>
      </c>
      <c r="AE360" s="18">
        <f>IFERROR(E360/E356-1,"")</f>
        <v/>
      </c>
      <c r="AF360" s="18">
        <f>IFERROR(R360/R356-1,"")</f>
        <v/>
      </c>
      <c r="AG360" s="18">
        <f>IFERROR(F360/F356-1,"")</f>
        <v/>
      </c>
      <c r="AH360">
        <f>P360&gt;0</f>
        <v/>
      </c>
    </row>
    <row r="361">
      <c r="A361" s="14" t="n">
        <v>45565</v>
      </c>
      <c r="B361" t="n">
        <v>17960</v>
      </c>
      <c r="C361" t="inlineStr">
        <is>
          <t>MERRIMACK COUNTY SAVINGS BANK</t>
        </is>
      </c>
      <c r="D361" t="inlineStr">
        <is>
          <t>NH</t>
        </is>
      </c>
      <c r="E361" t="n">
        <v>1380640</v>
      </c>
      <c r="F361" t="n">
        <v>1050589</v>
      </c>
      <c r="G361" t="n">
        <v>117711</v>
      </c>
      <c r="H361" s="16" t="n">
        <v>0.2118948450398269</v>
      </c>
      <c r="I361" s="16" t="n">
        <v>2.53</v>
      </c>
      <c r="J361" s="16" t="n">
        <v>2.713322630651683</v>
      </c>
      <c r="K361" s="16" t="n">
        <v>6798</v>
      </c>
      <c r="L361" s="16" t="n">
        <v>2883</v>
      </c>
      <c r="M361" s="16" t="n">
        <v>0.585906056360703</v>
      </c>
      <c r="N361" s="16" t="n">
        <v>5539</v>
      </c>
      <c r="O361" s="16" t="n">
        <v>44</v>
      </c>
      <c r="P361" s="16" t="n">
        <v>13.44520925057678</v>
      </c>
      <c r="Q361" t="n">
        <v>1167764</v>
      </c>
      <c r="R361" t="n">
        <v>1155934</v>
      </c>
      <c r="S361" t="n">
        <v>827763</v>
      </c>
      <c r="T361" t="n">
        <v>105315</v>
      </c>
      <c r="U361" t="n">
        <v>230816</v>
      </c>
      <c r="V361" t="n">
        <v>1.013047156788529</v>
      </c>
      <c r="W361" t="n">
        <v>0.32</v>
      </c>
      <c r="X361" s="16">
        <f>IFERROR(K361/E361*100,"")</f>
        <v/>
      </c>
      <c r="Y361" s="16">
        <f>IFERROR((N361+O361)/E361*100,"")</f>
        <v/>
      </c>
      <c r="Z361" s="16">
        <f>IFERROR(R361/F361*100,"")</f>
        <v/>
      </c>
      <c r="AA361" s="16">
        <f>IFERROR(R361/E361*100,"")</f>
        <v/>
      </c>
      <c r="AB361" s="16">
        <f>IFERROR(S361/Q361*100,"")</f>
        <v/>
      </c>
      <c r="AC361" s="16">
        <f>IFERROR(T361/Q361*100,"")</f>
        <v/>
      </c>
      <c r="AD361" s="16">
        <f>IFERROR(U361/Q361*100,"")</f>
        <v/>
      </c>
      <c r="AE361" s="18">
        <f>IFERROR(E361/E357-1,"")</f>
        <v/>
      </c>
      <c r="AF361" s="18">
        <f>IFERROR(R361/R357-1,"")</f>
        <v/>
      </c>
      <c r="AG361" s="18">
        <f>IFERROR(F361/F357-1,"")</f>
        <v/>
      </c>
      <c r="AH361">
        <f>P361&gt;0</f>
        <v/>
      </c>
    </row>
    <row r="362">
      <c r="A362" s="14" t="n">
        <v>45657</v>
      </c>
      <c r="B362" t="n">
        <v>17960</v>
      </c>
      <c r="C362" t="inlineStr">
        <is>
          <t>MERRIMACK COUNTY SAVINGS BANK</t>
        </is>
      </c>
      <c r="D362" t="inlineStr">
        <is>
          <t>NH</t>
        </is>
      </c>
      <c r="E362" t="n">
        <v>1353925</v>
      </c>
      <c r="F362" t="n">
        <v>1120519</v>
      </c>
      <c r="G362" t="n">
        <v>115328</v>
      </c>
      <c r="H362" s="16" t="n">
        <v>0.2269998334750256</v>
      </c>
      <c r="I362" s="16" t="n">
        <v>2.7</v>
      </c>
      <c r="J362" s="16" t="n">
        <v>2.758621963080812</v>
      </c>
      <c r="K362" s="16" t="n">
        <v>7247</v>
      </c>
      <c r="L362" s="16" t="n">
        <v>3353</v>
      </c>
      <c r="M362" s="16" t="n">
        <v>0.6298743119577036</v>
      </c>
      <c r="N362" s="16" t="n">
        <v>7584</v>
      </c>
      <c r="O362" s="16" t="n">
        <v>0</v>
      </c>
      <c r="P362" s="16" t="n">
        <v>13.69079330765073</v>
      </c>
      <c r="Q362" t="n">
        <v>1150547</v>
      </c>
      <c r="R362" t="n">
        <v>1138261</v>
      </c>
      <c r="S362" t="n">
        <v>823641</v>
      </c>
      <c r="T362" t="n">
        <v>100058</v>
      </c>
      <c r="U362" t="n">
        <v>223027</v>
      </c>
      <c r="V362" t="n">
        <v>1.067839905714412</v>
      </c>
      <c r="W362" t="n">
        <v>0.31</v>
      </c>
      <c r="X362" s="16">
        <f>IFERROR(K362/E362*100,"")</f>
        <v/>
      </c>
      <c r="Y362" s="16">
        <f>IFERROR((N362+O362)/E362*100,"")</f>
        <v/>
      </c>
      <c r="Z362" s="16">
        <f>IFERROR(R362/F362*100,"")</f>
        <v/>
      </c>
      <c r="AA362" s="16">
        <f>IFERROR(R362/E362*100,"")</f>
        <v/>
      </c>
      <c r="AB362" s="16">
        <f>IFERROR(S362/Q362*100,"")</f>
        <v/>
      </c>
      <c r="AC362" s="16">
        <f>IFERROR(T362/Q362*100,"")</f>
        <v/>
      </c>
      <c r="AD362" s="16">
        <f>IFERROR(U362/Q362*100,"")</f>
        <v/>
      </c>
      <c r="AE362" s="18">
        <f>IFERROR(E362/E358-1,"")</f>
        <v/>
      </c>
      <c r="AF362" s="18">
        <f>IFERROR(R362/R358-1,"")</f>
        <v/>
      </c>
      <c r="AG362" s="18">
        <f>IFERROR(F362/F358-1,"")</f>
        <v/>
      </c>
      <c r="AH362">
        <f>P362&gt;0</f>
        <v/>
      </c>
    </row>
    <row r="363">
      <c r="A363" s="14" t="n">
        <v>45747</v>
      </c>
      <c r="B363" t="n">
        <v>17960</v>
      </c>
      <c r="C363" t="inlineStr">
        <is>
          <t>MERRIMACK COUNTY SAVINGS BANK</t>
        </is>
      </c>
      <c r="D363" t="inlineStr">
        <is>
          <t>NH</t>
        </is>
      </c>
      <c r="E363" t="n">
        <v>1354203</v>
      </c>
      <c r="F363" t="n">
        <v>1112041</v>
      </c>
      <c r="G363" t="n">
        <v>118120</v>
      </c>
      <c r="H363" s="16" t="n">
        <v>0.2933391626983658</v>
      </c>
      <c r="I363" s="16" t="n">
        <v>3.4</v>
      </c>
      <c r="J363" s="16" t="n">
        <v>2.934248163173737</v>
      </c>
      <c r="K363" s="16" t="n">
        <v>7626</v>
      </c>
      <c r="L363" s="16" t="n">
        <v>202</v>
      </c>
      <c r="M363" s="16" t="n">
        <v>0.6630900727781788</v>
      </c>
      <c r="N363" s="16" t="n">
        <v>4491</v>
      </c>
      <c r="O363" s="16" t="n">
        <v>0</v>
      </c>
      <c r="P363" s="16" t="n">
        <v>13.7521204502019</v>
      </c>
      <c r="Q363" t="n">
        <v>1150070</v>
      </c>
      <c r="R363" t="n">
        <v>1137484</v>
      </c>
      <c r="S363" t="n">
        <v>811642</v>
      </c>
      <c r="T363" t="n">
        <v>115321</v>
      </c>
      <c r="U363" t="n">
        <v>219320</v>
      </c>
      <c r="V363" t="n">
        <v>1.094368168894067</v>
      </c>
      <c r="W363" t="n">
        <v>0.19</v>
      </c>
      <c r="X363" s="16">
        <f>IFERROR(K363/E363*100,"")</f>
        <v/>
      </c>
      <c r="Y363" s="16">
        <f>IFERROR((N363+O363)/E363*100,"")</f>
        <v/>
      </c>
      <c r="Z363" s="16">
        <f>IFERROR(R363/F363*100,"")</f>
        <v/>
      </c>
      <c r="AA363" s="16">
        <f>IFERROR(R363/E363*100,"")</f>
        <v/>
      </c>
      <c r="AB363" s="16">
        <f>IFERROR(S363/Q363*100,"")</f>
        <v/>
      </c>
      <c r="AC363" s="16">
        <f>IFERROR(T363/Q363*100,"")</f>
        <v/>
      </c>
      <c r="AD363" s="16">
        <f>IFERROR(U363/Q363*100,"")</f>
        <v/>
      </c>
      <c r="AE363" s="18">
        <f>IFERROR(E363/E359-1,"")</f>
        <v/>
      </c>
      <c r="AF363" s="18">
        <f>IFERROR(R363/R359-1,"")</f>
        <v/>
      </c>
      <c r="AG363" s="18">
        <f>IFERROR(F363/F359-1,"")</f>
        <v/>
      </c>
      <c r="AH363">
        <f>P363&gt;0</f>
        <v/>
      </c>
    </row>
    <row r="364">
      <c r="A364" s="14" t="n">
        <v>45838</v>
      </c>
      <c r="B364" t="n">
        <v>17960</v>
      </c>
      <c r="C364" t="inlineStr">
        <is>
          <t>MERRIMACK COUNTY SAVINGS BANK</t>
        </is>
      </c>
      <c r="D364" t="inlineStr">
        <is>
          <t>NH</t>
        </is>
      </c>
      <c r="E364" t="n">
        <v>1351508</v>
      </c>
      <c r="F364" t="n">
        <v>1099933</v>
      </c>
      <c r="G364" t="n">
        <v>119316</v>
      </c>
      <c r="H364" s="16" t="n">
        <v>0.2627821804713526</v>
      </c>
      <c r="I364" s="16" t="n">
        <v>3.02</v>
      </c>
      <c r="J364" s="16" t="n">
        <v>2.954187899121759</v>
      </c>
      <c r="K364" s="16" t="n">
        <v>7677</v>
      </c>
      <c r="L364" s="16" t="n">
        <v>430</v>
      </c>
      <c r="M364" s="16" t="n">
        <v>0.6694939421132358</v>
      </c>
      <c r="N364" s="16" t="n">
        <v>5189</v>
      </c>
      <c r="O364" s="16" t="n">
        <v>0</v>
      </c>
      <c r="P364" s="16" t="n">
        <v>13.79771295716439</v>
      </c>
      <c r="Q364" t="n">
        <v>1146687</v>
      </c>
      <c r="R364" t="n">
        <v>1133880</v>
      </c>
      <c r="S364" t="n">
        <v>807602</v>
      </c>
      <c r="T364" t="n">
        <v>119286</v>
      </c>
      <c r="U364" t="n">
        <v>216067</v>
      </c>
      <c r="V364" t="n">
        <v>1.116869729926301</v>
      </c>
      <c r="W364" t="n">
        <v>0.16</v>
      </c>
      <c r="X364" s="16">
        <f>IFERROR(K364/E364*100,"")</f>
        <v/>
      </c>
      <c r="Y364" s="16">
        <f>IFERROR((N364+O364)/E364*100,"")</f>
        <v/>
      </c>
      <c r="Z364" s="16">
        <f>IFERROR(R364/F364*100,"")</f>
        <v/>
      </c>
      <c r="AA364" s="16">
        <f>IFERROR(R364/E364*100,"")</f>
        <v/>
      </c>
      <c r="AB364" s="16">
        <f>IFERROR(S364/Q364*100,"")</f>
        <v/>
      </c>
      <c r="AC364" s="16">
        <f>IFERROR(T364/Q364*100,"")</f>
        <v/>
      </c>
      <c r="AD364" s="16">
        <f>IFERROR(U364/Q364*100,"")</f>
        <v/>
      </c>
      <c r="AE364" s="18">
        <f>IFERROR(E364/E360-1,"")</f>
        <v/>
      </c>
      <c r="AF364" s="18">
        <f>IFERROR(R364/R360-1,"")</f>
        <v/>
      </c>
      <c r="AG364" s="18">
        <f>IFERROR(F364/F360-1,"")</f>
        <v/>
      </c>
      <c r="AH364">
        <f>P364&gt;0</f>
        <v/>
      </c>
    </row>
    <row r="365">
      <c r="A365" s="14" t="n">
        <v>44651</v>
      </c>
      <c r="B365" t="n">
        <v>18012</v>
      </c>
      <c r="C365" t="inlineStr">
        <is>
          <t>BANK OF NEW HAMPSHIRE</t>
        </is>
      </c>
      <c r="D365" t="inlineStr">
        <is>
          <t>NH</t>
        </is>
      </c>
      <c r="E365" t="n">
        <v>2361388</v>
      </c>
      <c r="F365" t="n">
        <v>1985720</v>
      </c>
      <c r="G365" t="n">
        <v>235718</v>
      </c>
      <c r="H365" s="16" t="n">
        <v>1.38990310237064</v>
      </c>
      <c r="I365" s="16" t="n">
        <v>13.47</v>
      </c>
      <c r="J365" s="16" t="n">
        <v>3.498210903927033</v>
      </c>
      <c r="K365" s="16" t="n">
        <v>1611</v>
      </c>
      <c r="L365" s="16" t="n">
        <v>30</v>
      </c>
      <c r="M365" s="16" t="n">
        <v>0.08725129184446841</v>
      </c>
      <c r="N365" s="16" t="n">
        <v>1160</v>
      </c>
      <c r="O365" s="16" t="n">
        <v>0</v>
      </c>
      <c r="P365" s="16" t="n">
        <v>12.58797243740041</v>
      </c>
      <c r="Q365" t="n">
        <v>1846391</v>
      </c>
      <c r="R365" t="n">
        <v>1823571</v>
      </c>
      <c r="S365" t="n">
        <v>1710167</v>
      </c>
      <c r="T365" t="n">
        <v>56828</v>
      </c>
      <c r="U365" t="n">
        <v>37005</v>
      </c>
      <c r="V365" t="n">
        <v>1.235924568523135</v>
      </c>
      <c r="W365" t="n">
        <v>0.04</v>
      </c>
      <c r="X365" s="16">
        <f>IFERROR(K365/E365*100,"")</f>
        <v/>
      </c>
      <c r="Y365" s="16">
        <f>IFERROR((N365+O365)/E365*100,"")</f>
        <v/>
      </c>
      <c r="Z365" s="16">
        <f>IFERROR(R365/F365*100,"")</f>
        <v/>
      </c>
      <c r="AA365" s="16">
        <f>IFERROR(R365/E365*100,"")</f>
        <v/>
      </c>
      <c r="AB365" s="16">
        <f>IFERROR(S365/Q365*100,"")</f>
        <v/>
      </c>
      <c r="AC365" s="16">
        <f>IFERROR(T365/Q365*100,"")</f>
        <v/>
      </c>
      <c r="AD365" s="16">
        <f>IFERROR(U365/Q365*100,"")</f>
        <v/>
      </c>
      <c r="AE365" s="18" t="n"/>
      <c r="AF365" s="18" t="n"/>
      <c r="AG365" s="18" t="n"/>
      <c r="AH365">
        <f>P365&gt;0</f>
        <v/>
      </c>
    </row>
    <row r="366">
      <c r="A366" s="14" t="n">
        <v>44742</v>
      </c>
      <c r="B366" t="n">
        <v>18012</v>
      </c>
      <c r="C366" t="inlineStr">
        <is>
          <t>BANK OF NEW HAMPSHIRE</t>
        </is>
      </c>
      <c r="D366" t="inlineStr">
        <is>
          <t>NH</t>
        </is>
      </c>
      <c r="E366" t="n">
        <v>2374786</v>
      </c>
      <c r="F366" t="n">
        <v>2014310</v>
      </c>
      <c r="G366" t="n">
        <v>231360</v>
      </c>
      <c r="H366" s="16" t="n">
        <v>1.27634753581963</v>
      </c>
      <c r="I366" s="16" t="n">
        <v>12.6</v>
      </c>
      <c r="J366" s="16" t="n">
        <v>3.55342846169754</v>
      </c>
      <c r="K366" s="16" t="n">
        <v>1132</v>
      </c>
      <c r="L366" s="16" t="n">
        <v>22</v>
      </c>
      <c r="M366" s="16" t="n">
        <v>0.0598113617282313</v>
      </c>
      <c r="N366" s="16" t="n">
        <v>2539</v>
      </c>
      <c r="O366" s="16" t="n">
        <v>0</v>
      </c>
      <c r="P366" s="16" t="n">
        <v>12.69427600494311</v>
      </c>
      <c r="Q366" t="n">
        <v>1892617</v>
      </c>
      <c r="R366" t="n">
        <v>1869790</v>
      </c>
      <c r="S366" t="n">
        <v>1772602</v>
      </c>
      <c r="T366" t="n">
        <v>53604</v>
      </c>
      <c r="U366" t="n">
        <v>35736</v>
      </c>
      <c r="V366" t="n">
        <v>1.206107733366022</v>
      </c>
      <c r="W366" t="n">
        <v>0.02</v>
      </c>
      <c r="X366" s="16">
        <f>IFERROR(K366/E366*100,"")</f>
        <v/>
      </c>
      <c r="Y366" s="16">
        <f>IFERROR((N366+O366)/E366*100,"")</f>
        <v/>
      </c>
      <c r="Z366" s="16">
        <f>IFERROR(R366/F366*100,"")</f>
        <v/>
      </c>
      <c r="AA366" s="16">
        <f>IFERROR(R366/E366*100,"")</f>
        <v/>
      </c>
      <c r="AB366" s="16">
        <f>IFERROR(S366/Q366*100,"")</f>
        <v/>
      </c>
      <c r="AC366" s="16">
        <f>IFERROR(T366/Q366*100,"")</f>
        <v/>
      </c>
      <c r="AD366" s="16">
        <f>IFERROR(U366/Q366*100,"")</f>
        <v/>
      </c>
      <c r="AE366" s="18" t="n"/>
      <c r="AF366" s="18" t="n"/>
      <c r="AG366" s="18" t="n"/>
      <c r="AH366">
        <f>P366&gt;0</f>
        <v/>
      </c>
    </row>
    <row r="367">
      <c r="A367" s="14" t="n">
        <v>44834</v>
      </c>
      <c r="B367" t="n">
        <v>18012</v>
      </c>
      <c r="C367" t="inlineStr">
        <is>
          <t>BANK OF NEW HAMPSHIRE</t>
        </is>
      </c>
      <c r="D367" t="inlineStr">
        <is>
          <t>NH</t>
        </is>
      </c>
      <c r="E367" t="n">
        <v>2400019</v>
      </c>
      <c r="F367" t="n">
        <v>2088751</v>
      </c>
      <c r="G367" t="n">
        <v>230722</v>
      </c>
      <c r="H367" s="16" t="n">
        <v>1.216975750656782</v>
      </c>
      <c r="I367" s="16" t="n">
        <v>12.17</v>
      </c>
      <c r="J367" s="16" t="n">
        <v>3.581618183671667</v>
      </c>
      <c r="K367" s="16" t="n">
        <v>1056</v>
      </c>
      <c r="L367" s="16" t="n">
        <v>38</v>
      </c>
      <c r="M367" s="16" t="n">
        <v>0.0548896204039688</v>
      </c>
      <c r="N367" s="16" t="n">
        <v>1681</v>
      </c>
      <c r="O367" s="16" t="n">
        <v>0</v>
      </c>
      <c r="P367" s="16" t="n">
        <v>12.87291265612581</v>
      </c>
      <c r="Q367" t="n">
        <v>1923861</v>
      </c>
      <c r="R367" t="n">
        <v>1901049</v>
      </c>
      <c r="S367" t="n">
        <v>1803269</v>
      </c>
      <c r="T367" t="n">
        <v>50796</v>
      </c>
      <c r="U367" t="n">
        <v>36004</v>
      </c>
      <c r="V367" t="n">
        <v>1.18574054986301</v>
      </c>
      <c r="W367" t="n">
        <v>0.01</v>
      </c>
      <c r="X367" s="16">
        <f>IFERROR(K367/E367*100,"")</f>
        <v/>
      </c>
      <c r="Y367" s="16">
        <f>IFERROR((N367+O367)/E367*100,"")</f>
        <v/>
      </c>
      <c r="Z367" s="16">
        <f>IFERROR(R367/F367*100,"")</f>
        <v/>
      </c>
      <c r="AA367" s="16">
        <f>IFERROR(R367/E367*100,"")</f>
        <v/>
      </c>
      <c r="AB367" s="16">
        <f>IFERROR(S367/Q367*100,"")</f>
        <v/>
      </c>
      <c r="AC367" s="16">
        <f>IFERROR(T367/Q367*100,"")</f>
        <v/>
      </c>
      <c r="AD367" s="16">
        <f>IFERROR(U367/Q367*100,"")</f>
        <v/>
      </c>
      <c r="AE367" s="18" t="n"/>
      <c r="AF367" s="18" t="n"/>
      <c r="AG367" s="18" t="n"/>
      <c r="AH367">
        <f>P367&gt;0</f>
        <v/>
      </c>
    </row>
    <row r="368">
      <c r="A368" s="14" t="n">
        <v>44926</v>
      </c>
      <c r="B368" t="n">
        <v>18012</v>
      </c>
      <c r="C368" t="inlineStr">
        <is>
          <t>BANK OF NEW HAMPSHIRE</t>
        </is>
      </c>
      <c r="D368" t="inlineStr">
        <is>
          <t>NH</t>
        </is>
      </c>
      <c r="E368" t="n">
        <v>2432022</v>
      </c>
      <c r="F368" t="n">
        <v>2055299</v>
      </c>
      <c r="G368" t="n">
        <v>239523</v>
      </c>
      <c r="H368" s="16" t="n">
        <v>1.147944714868087</v>
      </c>
      <c r="I368" s="16" t="n">
        <v>11.52</v>
      </c>
      <c r="J368" s="16" t="n">
        <v>3.567736172133573</v>
      </c>
      <c r="K368" s="16" t="n">
        <v>1509</v>
      </c>
      <c r="L368" s="16" t="n">
        <v>51</v>
      </c>
      <c r="M368" s="16" t="n">
        <v>0.0768588613581251</v>
      </c>
      <c r="N368" s="16" t="n">
        <v>1590</v>
      </c>
      <c r="O368" s="16" t="n">
        <v>0</v>
      </c>
      <c r="P368" s="16" t="n">
        <v>12.96161020233478</v>
      </c>
      <c r="Q368" t="n">
        <v>1963339</v>
      </c>
      <c r="R368" t="n">
        <v>1940541</v>
      </c>
      <c r="S368" t="n">
        <v>1858029</v>
      </c>
      <c r="T368" t="n">
        <v>45540</v>
      </c>
      <c r="U368" t="n">
        <v>34202</v>
      </c>
      <c r="V368" t="n">
        <v>1.161185103540448</v>
      </c>
      <c r="W368" t="n">
        <v>0.01</v>
      </c>
      <c r="X368" s="16">
        <f>IFERROR(K368/E368*100,"")</f>
        <v/>
      </c>
      <c r="Y368" s="16">
        <f>IFERROR((N368+O368)/E368*100,"")</f>
        <v/>
      </c>
      <c r="Z368" s="16">
        <f>IFERROR(R368/F368*100,"")</f>
        <v/>
      </c>
      <c r="AA368" s="16">
        <f>IFERROR(R368/E368*100,"")</f>
        <v/>
      </c>
      <c r="AB368" s="16">
        <f>IFERROR(S368/Q368*100,"")</f>
        <v/>
      </c>
      <c r="AC368" s="16">
        <f>IFERROR(T368/Q368*100,"")</f>
        <v/>
      </c>
      <c r="AD368" s="16">
        <f>IFERROR(U368/Q368*100,"")</f>
        <v/>
      </c>
      <c r="AE368" s="18" t="n"/>
      <c r="AF368" s="18" t="n"/>
      <c r="AG368" s="18" t="n"/>
      <c r="AH368">
        <f>P368&gt;0</f>
        <v/>
      </c>
    </row>
    <row r="369">
      <c r="A369" s="14" t="n">
        <v>45016</v>
      </c>
      <c r="B369" t="n">
        <v>18012</v>
      </c>
      <c r="C369" t="inlineStr">
        <is>
          <t>BANK OF NEW HAMPSHIRE</t>
        </is>
      </c>
      <c r="D369" t="inlineStr">
        <is>
          <t>NH</t>
        </is>
      </c>
      <c r="E369" t="n">
        <v>2429028</v>
      </c>
      <c r="F369" t="n">
        <v>2050411</v>
      </c>
      <c r="G369" t="n">
        <v>248764</v>
      </c>
      <c r="H369" s="16" t="n">
        <v>0.9935302043797122</v>
      </c>
      <c r="I369" s="16" t="n">
        <v>9.890000000000001</v>
      </c>
      <c r="J369" s="16" t="n">
        <v>3.238797748455347</v>
      </c>
      <c r="K369" s="16" t="n">
        <v>1410</v>
      </c>
      <c r="L369" s="16" t="n">
        <v>46</v>
      </c>
      <c r="M369" s="16" t="n">
        <v>0.0713745885204351</v>
      </c>
      <c r="N369" s="16" t="n">
        <v>1100</v>
      </c>
      <c r="O369" s="16" t="n">
        <v>0</v>
      </c>
      <c r="P369" s="16" t="n">
        <v>13.33707507653778</v>
      </c>
      <c r="Q369" t="n">
        <v>1975493</v>
      </c>
      <c r="R369" t="n">
        <v>1950430</v>
      </c>
      <c r="S369" t="n">
        <v>1870355</v>
      </c>
      <c r="T369" t="n">
        <v>46030</v>
      </c>
      <c r="U369" t="n">
        <v>34042</v>
      </c>
      <c r="V369" t="n">
        <v>1.268695966019622</v>
      </c>
      <c r="W369" t="n">
        <v>0.06</v>
      </c>
      <c r="X369" s="16">
        <f>IFERROR(K369/E369*100,"")</f>
        <v/>
      </c>
      <c r="Y369" s="16">
        <f>IFERROR((N369+O369)/E369*100,"")</f>
        <v/>
      </c>
      <c r="Z369" s="16">
        <f>IFERROR(R369/F369*100,"")</f>
        <v/>
      </c>
      <c r="AA369" s="16">
        <f>IFERROR(R369/E369*100,"")</f>
        <v/>
      </c>
      <c r="AB369" s="16">
        <f>IFERROR(S369/Q369*100,"")</f>
        <v/>
      </c>
      <c r="AC369" s="16">
        <f>IFERROR(T369/Q369*100,"")</f>
        <v/>
      </c>
      <c r="AD369" s="16">
        <f>IFERROR(U369/Q369*100,"")</f>
        <v/>
      </c>
      <c r="AE369" s="18">
        <f>IFERROR(E369/E365-1,"")</f>
        <v/>
      </c>
      <c r="AF369" s="18">
        <f>IFERROR(R369/R365-1,"")</f>
        <v/>
      </c>
      <c r="AG369" s="18">
        <f>IFERROR(F369/F365-1,"")</f>
        <v/>
      </c>
      <c r="AH369">
        <f>P369&gt;0</f>
        <v/>
      </c>
    </row>
    <row r="370">
      <c r="A370" s="14" t="n">
        <v>45107</v>
      </c>
      <c r="B370" t="n">
        <v>18012</v>
      </c>
      <c r="C370" t="inlineStr">
        <is>
          <t>BANK OF NEW HAMPSHIRE</t>
        </is>
      </c>
      <c r="D370" t="inlineStr">
        <is>
          <t>NH</t>
        </is>
      </c>
      <c r="E370" t="n">
        <v>2459524</v>
      </c>
      <c r="F370" t="n">
        <v>2061672</v>
      </c>
      <c r="G370" t="n">
        <v>250653</v>
      </c>
      <c r="H370" s="16" t="n">
        <v>0.8530478620938741</v>
      </c>
      <c r="I370" s="16" t="n">
        <v>8.449999999999999</v>
      </c>
      <c r="J370" s="16" t="n">
        <v>3.087855155041744</v>
      </c>
      <c r="K370" s="16" t="n">
        <v>1011</v>
      </c>
      <c r="L370" s="16" t="n">
        <v>74</v>
      </c>
      <c r="M370" s="16" t="n">
        <v>0.0504142344665815</v>
      </c>
      <c r="N370" s="16" t="n">
        <v>2254</v>
      </c>
      <c r="O370" s="16" t="n">
        <v>0</v>
      </c>
      <c r="P370" s="16" t="n">
        <v>13.52209367758328</v>
      </c>
      <c r="Q370" t="n">
        <v>2005386</v>
      </c>
      <c r="R370" t="n">
        <v>1979964</v>
      </c>
      <c r="S370" t="n">
        <v>1892192</v>
      </c>
      <c r="T370" t="n">
        <v>50060</v>
      </c>
      <c r="U370" t="n">
        <v>34372</v>
      </c>
      <c r="V370" t="n">
        <v>1.267686121275405</v>
      </c>
      <c r="W370" t="n">
        <v>0.06</v>
      </c>
      <c r="X370" s="16">
        <f>IFERROR(K370/E370*100,"")</f>
        <v/>
      </c>
      <c r="Y370" s="16">
        <f>IFERROR((N370+O370)/E370*100,"")</f>
        <v/>
      </c>
      <c r="Z370" s="16">
        <f>IFERROR(R370/F370*100,"")</f>
        <v/>
      </c>
      <c r="AA370" s="16">
        <f>IFERROR(R370/E370*100,"")</f>
        <v/>
      </c>
      <c r="AB370" s="16">
        <f>IFERROR(S370/Q370*100,"")</f>
        <v/>
      </c>
      <c r="AC370" s="16">
        <f>IFERROR(T370/Q370*100,"")</f>
        <v/>
      </c>
      <c r="AD370" s="16">
        <f>IFERROR(U370/Q370*100,"")</f>
        <v/>
      </c>
      <c r="AE370" s="18">
        <f>IFERROR(E370/E366-1,"")</f>
        <v/>
      </c>
      <c r="AF370" s="18">
        <f>IFERROR(R370/R366-1,"")</f>
        <v/>
      </c>
      <c r="AG370" s="18">
        <f>IFERROR(F370/F366-1,"")</f>
        <v/>
      </c>
      <c r="AH370">
        <f>P370&gt;0</f>
        <v/>
      </c>
    </row>
    <row r="371">
      <c r="A371" s="14" t="n">
        <v>45199</v>
      </c>
      <c r="B371" t="n">
        <v>18012</v>
      </c>
      <c r="C371" t="inlineStr">
        <is>
          <t>BANK OF NEW HAMPSHIRE</t>
        </is>
      </c>
      <c r="D371" t="inlineStr">
        <is>
          <t>NH</t>
        </is>
      </c>
      <c r="E371" t="n">
        <v>2450354</v>
      </c>
      <c r="F371" t="n">
        <v>2087557</v>
      </c>
      <c r="G371" t="n">
        <v>251689</v>
      </c>
      <c r="H371" s="16" t="n">
        <v>0.8710793775166493</v>
      </c>
      <c r="I371" s="16" t="n">
        <v>8.59</v>
      </c>
      <c r="J371" s="16" t="n">
        <v>3.043741130691134</v>
      </c>
      <c r="K371" s="16" t="n">
        <v>742</v>
      </c>
      <c r="L371" s="16" t="n">
        <v>134</v>
      </c>
      <c r="M371" s="16" t="n">
        <v>0.0371687622100886</v>
      </c>
      <c r="N371" s="16" t="n">
        <v>2224</v>
      </c>
      <c r="O371" s="16" t="n">
        <v>0</v>
      </c>
      <c r="P371" s="16" t="n">
        <v>13.79632408731365</v>
      </c>
      <c r="Q371" t="n">
        <v>1996300</v>
      </c>
      <c r="R371" t="n">
        <v>1971438</v>
      </c>
      <c r="S371" t="n">
        <v>1885157</v>
      </c>
      <c r="T371" t="n">
        <v>48455</v>
      </c>
      <c r="U371" t="n">
        <v>33439</v>
      </c>
      <c r="V371" t="n">
        <v>1.245403997395181</v>
      </c>
      <c r="W371" t="n">
        <v>0.01</v>
      </c>
      <c r="X371" s="16">
        <f>IFERROR(K371/E371*100,"")</f>
        <v/>
      </c>
      <c r="Y371" s="16">
        <f>IFERROR((N371+O371)/E371*100,"")</f>
        <v/>
      </c>
      <c r="Z371" s="16">
        <f>IFERROR(R371/F371*100,"")</f>
        <v/>
      </c>
      <c r="AA371" s="16">
        <f>IFERROR(R371/E371*100,"")</f>
        <v/>
      </c>
      <c r="AB371" s="16">
        <f>IFERROR(S371/Q371*100,"")</f>
        <v/>
      </c>
      <c r="AC371" s="16">
        <f>IFERROR(T371/Q371*100,"")</f>
        <v/>
      </c>
      <c r="AD371" s="16">
        <f>IFERROR(U371/Q371*100,"")</f>
        <v/>
      </c>
      <c r="AE371" s="18">
        <f>IFERROR(E371/E367-1,"")</f>
        <v/>
      </c>
      <c r="AF371" s="18">
        <f>IFERROR(R371/R367-1,"")</f>
        <v/>
      </c>
      <c r="AG371" s="18">
        <f>IFERROR(F371/F367-1,"")</f>
        <v/>
      </c>
      <c r="AH371">
        <f>P371&gt;0</f>
        <v/>
      </c>
    </row>
    <row r="372">
      <c r="A372" s="14" t="n">
        <v>45291</v>
      </c>
      <c r="B372" t="n">
        <v>18012</v>
      </c>
      <c r="C372" t="inlineStr">
        <is>
          <t>BANK OF NEW HAMPSHIRE</t>
        </is>
      </c>
      <c r="D372" t="inlineStr">
        <is>
          <t>NH</t>
        </is>
      </c>
      <c r="E372" t="n">
        <v>2515915</v>
      </c>
      <c r="F372" t="n">
        <v>2106019</v>
      </c>
      <c r="G372" t="n">
        <v>266248</v>
      </c>
      <c r="H372" s="16" t="n">
        <v>0.8779716644869638</v>
      </c>
      <c r="I372" s="16" t="n">
        <v>8.58</v>
      </c>
      <c r="J372" s="16" t="n">
        <v>3.005368898299274</v>
      </c>
      <c r="K372" s="16" t="n">
        <v>555</v>
      </c>
      <c r="L372" s="16" t="n">
        <v>162</v>
      </c>
      <c r="M372" s="16" t="n">
        <v>0.0278400346721296</v>
      </c>
      <c r="N372" s="16" t="n">
        <v>3215</v>
      </c>
      <c r="O372" s="16" t="n">
        <v>0</v>
      </c>
      <c r="P372" s="16" t="n">
        <v>14.20742194895445</v>
      </c>
      <c r="Q372" t="n">
        <v>1993532</v>
      </c>
      <c r="R372" t="n">
        <v>1969524</v>
      </c>
      <c r="S372" t="n">
        <v>1887130</v>
      </c>
      <c r="T372" t="n">
        <v>49841</v>
      </c>
      <c r="U372" t="n">
        <v>33148</v>
      </c>
      <c r="V372" t="n">
        <v>1.204294689024305</v>
      </c>
      <c r="W372" t="n">
        <v>-0.02</v>
      </c>
      <c r="X372" s="16">
        <f>IFERROR(K372/E372*100,"")</f>
        <v/>
      </c>
      <c r="Y372" s="16">
        <f>IFERROR((N372+O372)/E372*100,"")</f>
        <v/>
      </c>
      <c r="Z372" s="16">
        <f>IFERROR(R372/F372*100,"")</f>
        <v/>
      </c>
      <c r="AA372" s="16">
        <f>IFERROR(R372/E372*100,"")</f>
        <v/>
      </c>
      <c r="AB372" s="16">
        <f>IFERROR(S372/Q372*100,"")</f>
        <v/>
      </c>
      <c r="AC372" s="16">
        <f>IFERROR(T372/Q372*100,"")</f>
        <v/>
      </c>
      <c r="AD372" s="16">
        <f>IFERROR(U372/Q372*100,"")</f>
        <v/>
      </c>
      <c r="AE372" s="18">
        <f>IFERROR(E372/E368-1,"")</f>
        <v/>
      </c>
      <c r="AF372" s="18">
        <f>IFERROR(R372/R368-1,"")</f>
        <v/>
      </c>
      <c r="AG372" s="18">
        <f>IFERROR(F372/F368-1,"")</f>
        <v/>
      </c>
      <c r="AH372">
        <f>P372&gt;0</f>
        <v/>
      </c>
    </row>
    <row r="373">
      <c r="A373" s="14" t="n">
        <v>45382</v>
      </c>
      <c r="B373" t="n">
        <v>18012</v>
      </c>
      <c r="C373" t="inlineStr">
        <is>
          <t>BANK OF NEW HAMPSHIRE</t>
        </is>
      </c>
      <c r="D373" t="inlineStr">
        <is>
          <t>NH</t>
        </is>
      </c>
      <c r="E373" t="n">
        <v>2475597</v>
      </c>
      <c r="F373" t="n">
        <v>2087993</v>
      </c>
      <c r="G373" t="n">
        <v>269535</v>
      </c>
      <c r="H373" s="16" t="n">
        <v>0.6673729322898553</v>
      </c>
      <c r="I373" s="16" t="n">
        <v>6.22</v>
      </c>
      <c r="J373" s="16" t="n">
        <v>2.681098769272546</v>
      </c>
      <c r="K373" s="16" t="n">
        <v>790</v>
      </c>
      <c r="L373" s="16" t="n">
        <v>22</v>
      </c>
      <c r="M373" s="16" t="n">
        <v>0.0395591211064936</v>
      </c>
      <c r="N373" s="16" t="n">
        <v>4940</v>
      </c>
      <c r="O373" s="16" t="n">
        <v>0</v>
      </c>
      <c r="P373" s="16" t="n">
        <v>14.37102929663977</v>
      </c>
      <c r="Q373" t="n">
        <v>1997011</v>
      </c>
      <c r="R373" t="n">
        <v>1972623</v>
      </c>
      <c r="S373" t="n">
        <v>1892259</v>
      </c>
      <c r="T373" t="n">
        <v>50469</v>
      </c>
      <c r="U373" t="n">
        <v>31306</v>
      </c>
      <c r="V373" t="n">
        <v>1.22122512094325</v>
      </c>
      <c r="W373" t="n">
        <v>0.06</v>
      </c>
      <c r="X373" s="16">
        <f>IFERROR(K373/E373*100,"")</f>
        <v/>
      </c>
      <c r="Y373" s="16">
        <f>IFERROR((N373+O373)/E373*100,"")</f>
        <v/>
      </c>
      <c r="Z373" s="16">
        <f>IFERROR(R373/F373*100,"")</f>
        <v/>
      </c>
      <c r="AA373" s="16">
        <f>IFERROR(R373/E373*100,"")</f>
        <v/>
      </c>
      <c r="AB373" s="16">
        <f>IFERROR(S373/Q373*100,"")</f>
        <v/>
      </c>
      <c r="AC373" s="16">
        <f>IFERROR(T373/Q373*100,"")</f>
        <v/>
      </c>
      <c r="AD373" s="16">
        <f>IFERROR(U373/Q373*100,"")</f>
        <v/>
      </c>
      <c r="AE373" s="18">
        <f>IFERROR(E373/E369-1,"")</f>
        <v/>
      </c>
      <c r="AF373" s="18">
        <f>IFERROR(R373/R369-1,"")</f>
        <v/>
      </c>
      <c r="AG373" s="18">
        <f>IFERROR(F373/F369-1,"")</f>
        <v/>
      </c>
      <c r="AH373">
        <f>P373&gt;0</f>
        <v/>
      </c>
    </row>
    <row r="374">
      <c r="A374" s="14" t="n">
        <v>45473</v>
      </c>
      <c r="B374" t="n">
        <v>18012</v>
      </c>
      <c r="C374" t="inlineStr">
        <is>
          <t>BANK OF NEW HAMPSHIRE</t>
        </is>
      </c>
      <c r="D374" t="inlineStr">
        <is>
          <t>NH</t>
        </is>
      </c>
      <c r="E374" t="n">
        <v>2499818</v>
      </c>
      <c r="F374" t="n">
        <v>2102355</v>
      </c>
      <c r="G374" t="n">
        <v>274634</v>
      </c>
      <c r="H374" s="16" t="n">
        <v>0.6584411579786233</v>
      </c>
      <c r="I374" s="16" t="n">
        <v>6.09</v>
      </c>
      <c r="J374" s="16" t="n">
        <v>2.682057103302691</v>
      </c>
      <c r="K374" s="16" t="n">
        <v>990</v>
      </c>
      <c r="L374" s="16" t="n">
        <v>49</v>
      </c>
      <c r="M374" s="16" t="n">
        <v>0.0486455171681822</v>
      </c>
      <c r="N374" s="16" t="n">
        <v>2843</v>
      </c>
      <c r="O374" s="16" t="n">
        <v>0</v>
      </c>
      <c r="P374" s="16" t="n">
        <v>14.60418459308908</v>
      </c>
      <c r="Q374" t="n">
        <v>2035131</v>
      </c>
      <c r="R374" t="n">
        <v>2010844</v>
      </c>
      <c r="S374" t="n">
        <v>1928747</v>
      </c>
      <c r="T374" t="n">
        <v>51095</v>
      </c>
      <c r="U374" t="n">
        <v>30545</v>
      </c>
      <c r="V374" t="n">
        <v>1.193387550973377</v>
      </c>
      <c r="W374" t="n">
        <v>0.04</v>
      </c>
      <c r="X374" s="16">
        <f>IFERROR(K374/E374*100,"")</f>
        <v/>
      </c>
      <c r="Y374" s="16">
        <f>IFERROR((N374+O374)/E374*100,"")</f>
        <v/>
      </c>
      <c r="Z374" s="16">
        <f>IFERROR(R374/F374*100,"")</f>
        <v/>
      </c>
      <c r="AA374" s="16">
        <f>IFERROR(R374/E374*100,"")</f>
        <v/>
      </c>
      <c r="AB374" s="16">
        <f>IFERROR(S374/Q374*100,"")</f>
        <v/>
      </c>
      <c r="AC374" s="16">
        <f>IFERROR(T374/Q374*100,"")</f>
        <v/>
      </c>
      <c r="AD374" s="16">
        <f>IFERROR(U374/Q374*100,"")</f>
        <v/>
      </c>
      <c r="AE374" s="18">
        <f>IFERROR(E374/E370-1,"")</f>
        <v/>
      </c>
      <c r="AF374" s="18">
        <f>IFERROR(R374/R370-1,"")</f>
        <v/>
      </c>
      <c r="AG374" s="18">
        <f>IFERROR(F374/F370-1,"")</f>
        <v/>
      </c>
      <c r="AH374">
        <f>P374&gt;0</f>
        <v/>
      </c>
    </row>
    <row r="375">
      <c r="A375" s="14" t="n">
        <v>45565</v>
      </c>
      <c r="B375" t="n">
        <v>18012</v>
      </c>
      <c r="C375" t="inlineStr">
        <is>
          <t>BANK OF NEW HAMPSHIRE</t>
        </is>
      </c>
      <c r="D375" t="inlineStr">
        <is>
          <t>NH</t>
        </is>
      </c>
      <c r="E375" t="n">
        <v>2583718</v>
      </c>
      <c r="F375" t="n">
        <v>2179694</v>
      </c>
      <c r="G375" t="n">
        <v>287158</v>
      </c>
      <c r="H375" s="16" t="n">
        <v>0.7081079554161924</v>
      </c>
      <c r="I375" s="16" t="n">
        <v>6.5</v>
      </c>
      <c r="J375" s="16" t="n">
        <v>2.69914361948279</v>
      </c>
      <c r="K375" s="16" t="n">
        <v>551</v>
      </c>
      <c r="L375" s="16" t="n">
        <v>81</v>
      </c>
      <c r="M375" s="16" t="n">
        <v>0.0265144898559218</v>
      </c>
      <c r="N375" s="16" t="n">
        <v>4359</v>
      </c>
      <c r="O375" s="16" t="n">
        <v>0</v>
      </c>
      <c r="P375" s="16" t="n">
        <v>14.42096962426796</v>
      </c>
      <c r="Q375" t="n">
        <v>2078109</v>
      </c>
      <c r="R375" t="n">
        <v>2053852</v>
      </c>
      <c r="S375" t="n">
        <v>1973661</v>
      </c>
      <c r="T375" t="n">
        <v>48301</v>
      </c>
      <c r="U375" t="n">
        <v>28594</v>
      </c>
      <c r="V375" t="n">
        <v>1.167263122386747</v>
      </c>
      <c r="W375" t="n">
        <v>0.03</v>
      </c>
      <c r="X375" s="16">
        <f>IFERROR(K375/E375*100,"")</f>
        <v/>
      </c>
      <c r="Y375" s="16">
        <f>IFERROR((N375+O375)/E375*100,"")</f>
        <v/>
      </c>
      <c r="Z375" s="16">
        <f>IFERROR(R375/F375*100,"")</f>
        <v/>
      </c>
      <c r="AA375" s="16">
        <f>IFERROR(R375/E375*100,"")</f>
        <v/>
      </c>
      <c r="AB375" s="16">
        <f>IFERROR(S375/Q375*100,"")</f>
        <v/>
      </c>
      <c r="AC375" s="16">
        <f>IFERROR(T375/Q375*100,"")</f>
        <v/>
      </c>
      <c r="AD375" s="16">
        <f>IFERROR(U375/Q375*100,"")</f>
        <v/>
      </c>
      <c r="AE375" s="18">
        <f>IFERROR(E375/E371-1,"")</f>
        <v/>
      </c>
      <c r="AF375" s="18">
        <f>IFERROR(R375/R371-1,"")</f>
        <v/>
      </c>
      <c r="AG375" s="18">
        <f>IFERROR(F375/F371-1,"")</f>
        <v/>
      </c>
      <c r="AH375">
        <f>P375&gt;0</f>
        <v/>
      </c>
    </row>
    <row r="376">
      <c r="A376" s="14" t="n">
        <v>45657</v>
      </c>
      <c r="B376" t="n">
        <v>18012</v>
      </c>
      <c r="C376" t="inlineStr">
        <is>
          <t>BANK OF NEW HAMPSHIRE</t>
        </is>
      </c>
      <c r="D376" t="inlineStr">
        <is>
          <t>NH</t>
        </is>
      </c>
      <c r="E376" t="n">
        <v>2624175</v>
      </c>
      <c r="F376" t="n">
        <v>2255597</v>
      </c>
      <c r="G376" t="n">
        <v>284572</v>
      </c>
      <c r="H376" s="16" t="n">
        <v>0.6642926106581482</v>
      </c>
      <c r="I376" s="16" t="n">
        <v>6.1</v>
      </c>
      <c r="J376" s="16" t="n">
        <v>2.725846468954887</v>
      </c>
      <c r="K376" s="16" t="n">
        <v>1092</v>
      </c>
      <c r="L376" s="16" t="n">
        <v>111</v>
      </c>
      <c r="M376" s="16" t="n">
        <v>0.0521552986105771</v>
      </c>
      <c r="N376" s="16" t="n">
        <v>1990</v>
      </c>
      <c r="O376" s="16" t="n">
        <v>0</v>
      </c>
      <c r="P376" s="16" t="n">
        <v>14.04479927819273</v>
      </c>
      <c r="Q376" t="n">
        <v>2093747</v>
      </c>
      <c r="R376" t="n">
        <v>2069142</v>
      </c>
      <c r="S376" t="n">
        <v>1993083</v>
      </c>
      <c r="T376" t="n">
        <v>49333</v>
      </c>
      <c r="U376" t="n">
        <v>27667</v>
      </c>
      <c r="V376" t="n">
        <v>1.175165862924222</v>
      </c>
      <c r="W376" t="n">
        <v>0.04</v>
      </c>
      <c r="X376" s="16">
        <f>IFERROR(K376/E376*100,"")</f>
        <v/>
      </c>
      <c r="Y376" s="16">
        <f>IFERROR((N376+O376)/E376*100,"")</f>
        <v/>
      </c>
      <c r="Z376" s="16">
        <f>IFERROR(R376/F376*100,"")</f>
        <v/>
      </c>
      <c r="AA376" s="16">
        <f>IFERROR(R376/E376*100,"")</f>
        <v/>
      </c>
      <c r="AB376" s="16">
        <f>IFERROR(S376/Q376*100,"")</f>
        <v/>
      </c>
      <c r="AC376" s="16">
        <f>IFERROR(T376/Q376*100,"")</f>
        <v/>
      </c>
      <c r="AD376" s="16">
        <f>IFERROR(U376/Q376*100,"")</f>
        <v/>
      </c>
      <c r="AE376" s="18">
        <f>IFERROR(E376/E372-1,"")</f>
        <v/>
      </c>
      <c r="AF376" s="18">
        <f>IFERROR(R376/R372-1,"")</f>
        <v/>
      </c>
      <c r="AG376" s="18">
        <f>IFERROR(F376/F372-1,"")</f>
        <v/>
      </c>
      <c r="AH376">
        <f>P376&gt;0</f>
        <v/>
      </c>
    </row>
    <row r="377">
      <c r="A377" s="14" t="n">
        <v>45747</v>
      </c>
      <c r="B377" t="n">
        <v>18012</v>
      </c>
      <c r="C377" t="inlineStr">
        <is>
          <t>BANK OF NEW HAMPSHIRE</t>
        </is>
      </c>
      <c r="D377" t="inlineStr">
        <is>
          <t>NH</t>
        </is>
      </c>
      <c r="E377" t="n">
        <v>2654603</v>
      </c>
      <c r="F377" t="n">
        <v>2299127</v>
      </c>
      <c r="G377" t="n">
        <v>293951</v>
      </c>
      <c r="H377" s="16" t="n">
        <v>0.7459302133940847</v>
      </c>
      <c r="I377" s="16" t="n">
        <v>6.81</v>
      </c>
      <c r="J377" s="16" t="n">
        <v>2.799759531349893</v>
      </c>
      <c r="K377" s="16" t="n">
        <v>1089</v>
      </c>
      <c r="L377" s="16" t="n">
        <v>19</v>
      </c>
      <c r="M377" s="16" t="n">
        <v>0.0513427133186015</v>
      </c>
      <c r="N377" s="16" t="n">
        <v>3239</v>
      </c>
      <c r="O377" s="16" t="n">
        <v>0</v>
      </c>
      <c r="P377" s="16" t="n">
        <v>14.06437606167573</v>
      </c>
      <c r="Q377" t="n">
        <v>2121041</v>
      </c>
      <c r="R377" t="n">
        <v>2096206</v>
      </c>
      <c r="S377" t="n">
        <v>2023412</v>
      </c>
      <c r="T377" t="n">
        <v>49493</v>
      </c>
      <c r="U377" t="n">
        <v>26074</v>
      </c>
      <c r="V377" t="n">
        <v>1.170887314295197</v>
      </c>
      <c r="W377" t="n">
        <v>0.04</v>
      </c>
      <c r="X377" s="16">
        <f>IFERROR(K377/E377*100,"")</f>
        <v/>
      </c>
      <c r="Y377" s="16">
        <f>IFERROR((N377+O377)/E377*100,"")</f>
        <v/>
      </c>
      <c r="Z377" s="16">
        <f>IFERROR(R377/F377*100,"")</f>
        <v/>
      </c>
      <c r="AA377" s="16">
        <f>IFERROR(R377/E377*100,"")</f>
        <v/>
      </c>
      <c r="AB377" s="16">
        <f>IFERROR(S377/Q377*100,"")</f>
        <v/>
      </c>
      <c r="AC377" s="16">
        <f>IFERROR(T377/Q377*100,"")</f>
        <v/>
      </c>
      <c r="AD377" s="16">
        <f>IFERROR(U377/Q377*100,"")</f>
        <v/>
      </c>
      <c r="AE377" s="18">
        <f>IFERROR(E377/E373-1,"")</f>
        <v/>
      </c>
      <c r="AF377" s="18">
        <f>IFERROR(R377/R373-1,"")</f>
        <v/>
      </c>
      <c r="AG377" s="18">
        <f>IFERROR(F377/F373-1,"")</f>
        <v/>
      </c>
      <c r="AH377">
        <f>P377&gt;0</f>
        <v/>
      </c>
    </row>
    <row r="378">
      <c r="A378" s="14" t="n">
        <v>45838</v>
      </c>
      <c r="B378" t="n">
        <v>18012</v>
      </c>
      <c r="C378" t="inlineStr">
        <is>
          <t>BANK OF NEW HAMPSHIRE</t>
        </is>
      </c>
      <c r="D378" t="inlineStr">
        <is>
          <t>NH</t>
        </is>
      </c>
      <c r="E378" t="n">
        <v>2642289</v>
      </c>
      <c r="F378" t="n">
        <v>2262357</v>
      </c>
      <c r="G378" t="n">
        <v>301653</v>
      </c>
      <c r="H378" s="16" t="n">
        <v>0.7908025522319152</v>
      </c>
      <c r="I378" s="16" t="n">
        <v>7.12</v>
      </c>
      <c r="J378" s="16" t="n">
        <v>2.895600039123149</v>
      </c>
      <c r="K378" s="16" t="n">
        <v>1020</v>
      </c>
      <c r="L378" s="16" t="n">
        <v>115</v>
      </c>
      <c r="M378" s="16" t="n">
        <v>0.047422781067152</v>
      </c>
      <c r="N378" s="16" t="n">
        <v>4968</v>
      </c>
      <c r="O378" s="16" t="n">
        <v>0</v>
      </c>
      <c r="P378" s="16" t="n">
        <v>13.94832031930094</v>
      </c>
      <c r="Q378" t="n">
        <v>2150865</v>
      </c>
      <c r="R378" t="n">
        <v>2125751</v>
      </c>
      <c r="S378" t="n">
        <v>2050812</v>
      </c>
      <c r="T378" t="n">
        <v>52326</v>
      </c>
      <c r="U378" t="n">
        <v>25170</v>
      </c>
      <c r="V378" t="n">
        <v>1.167623258549467</v>
      </c>
      <c r="W378" t="n">
        <v>0.05</v>
      </c>
      <c r="X378" s="16">
        <f>IFERROR(K378/E378*100,"")</f>
        <v/>
      </c>
      <c r="Y378" s="16">
        <f>IFERROR((N378+O378)/E378*100,"")</f>
        <v/>
      </c>
      <c r="Z378" s="16">
        <f>IFERROR(R378/F378*100,"")</f>
        <v/>
      </c>
      <c r="AA378" s="16">
        <f>IFERROR(R378/E378*100,"")</f>
        <v/>
      </c>
      <c r="AB378" s="16">
        <f>IFERROR(S378/Q378*100,"")</f>
        <v/>
      </c>
      <c r="AC378" s="16">
        <f>IFERROR(T378/Q378*100,"")</f>
        <v/>
      </c>
      <c r="AD378" s="16">
        <f>IFERROR(U378/Q378*100,"")</f>
        <v/>
      </c>
      <c r="AE378" s="18">
        <f>IFERROR(E378/E374-1,"")</f>
        <v/>
      </c>
      <c r="AF378" s="18">
        <f>IFERROR(R378/R374-1,"")</f>
        <v/>
      </c>
      <c r="AG378" s="18">
        <f>IFERROR(F378/F374-1,"")</f>
        <v/>
      </c>
      <c r="AH378">
        <f>P378&gt;0</f>
        <v/>
      </c>
    </row>
    <row r="379">
      <c r="A379" s="14" t="n">
        <v>44651</v>
      </c>
      <c r="B379" t="n">
        <v>18013</v>
      </c>
      <c r="C379" t="inlineStr">
        <is>
          <t>MASCOMA BANK</t>
        </is>
      </c>
      <c r="D379" t="inlineStr">
        <is>
          <t>NH</t>
        </is>
      </c>
      <c r="E379" t="n">
        <v>2600482</v>
      </c>
      <c r="F379" t="n">
        <v>2300252</v>
      </c>
      <c r="G379" t="n">
        <v>212897</v>
      </c>
      <c r="H379" s="16" t="n">
        <v>0.7311500380807311</v>
      </c>
      <c r="I379" s="16" t="n">
        <v>8.73</v>
      </c>
      <c r="J379" s="16" t="n">
        <v>3.002971773826436</v>
      </c>
      <c r="K379" s="16" t="n">
        <v>1382</v>
      </c>
      <c r="L379" s="16" t="n">
        <v>-26</v>
      </c>
      <c r="M379" s="16" t="n">
        <v>0.08246593877007639</v>
      </c>
      <c r="N379" s="16" t="n">
        <v>2301</v>
      </c>
      <c r="O379" s="16" t="n">
        <v>210</v>
      </c>
      <c r="P379" s="16" t="n">
        <v>14.32748349058959</v>
      </c>
      <c r="Q379" t="n">
        <v>1930494</v>
      </c>
      <c r="R379" t="n">
        <v>1912027</v>
      </c>
      <c r="S379" t="n">
        <v>1765339</v>
      </c>
      <c r="T379" t="n">
        <v>115058</v>
      </c>
      <c r="U379" t="n">
        <v>10633</v>
      </c>
      <c r="V379" t="n">
        <v>0.956594529690328</v>
      </c>
      <c r="W379" t="n">
        <v>0</v>
      </c>
      <c r="X379" s="16">
        <f>IFERROR(K379/E379*100,"")</f>
        <v/>
      </c>
      <c r="Y379" s="16">
        <f>IFERROR((N379+O379)/E379*100,"")</f>
        <v/>
      </c>
      <c r="Z379" s="16">
        <f>IFERROR(R379/F379*100,"")</f>
        <v/>
      </c>
      <c r="AA379" s="16">
        <f>IFERROR(R379/E379*100,"")</f>
        <v/>
      </c>
      <c r="AB379" s="16">
        <f>IFERROR(S379/Q379*100,"")</f>
        <v/>
      </c>
      <c r="AC379" s="16">
        <f>IFERROR(T379/Q379*100,"")</f>
        <v/>
      </c>
      <c r="AD379" s="16">
        <f>IFERROR(U379/Q379*100,"")</f>
        <v/>
      </c>
      <c r="AE379" s="18" t="n"/>
      <c r="AF379" s="18" t="n"/>
      <c r="AG379" s="18" t="n"/>
      <c r="AH379">
        <f>P379&gt;0</f>
        <v/>
      </c>
    </row>
    <row r="380">
      <c r="A380" s="14" t="n">
        <v>44742</v>
      </c>
      <c r="B380" t="n">
        <v>18013</v>
      </c>
      <c r="C380" t="inlineStr">
        <is>
          <t>MASCOMA BANK</t>
        </is>
      </c>
      <c r="D380" t="inlineStr">
        <is>
          <t>NH</t>
        </is>
      </c>
      <c r="E380" t="n">
        <v>2601325</v>
      </c>
      <c r="F380" t="n">
        <v>2273331</v>
      </c>
      <c r="G380" t="n">
        <v>196477</v>
      </c>
      <c r="H380" s="16" t="n">
        <v>0.7348255840627215</v>
      </c>
      <c r="I380" s="16" t="n">
        <v>9.07</v>
      </c>
      <c r="J380" s="16" t="n">
        <v>3.10393830317986</v>
      </c>
      <c r="K380" s="16" t="n">
        <v>1506</v>
      </c>
      <c r="L380" s="16" t="n">
        <v>-43</v>
      </c>
      <c r="M380" s="16" t="n">
        <v>0.1132815286220369</v>
      </c>
      <c r="N380" s="16" t="n">
        <v>3104</v>
      </c>
      <c r="O380" s="16" t="n">
        <v>781</v>
      </c>
      <c r="P380" s="16" t="n">
        <v>13.70380544504974</v>
      </c>
      <c r="Q380" t="n">
        <v>2018864</v>
      </c>
      <c r="R380" t="n">
        <v>2000239</v>
      </c>
      <c r="S380" t="n">
        <v>1844412</v>
      </c>
      <c r="T380" t="n">
        <v>113370</v>
      </c>
      <c r="U380" t="n">
        <v>12266</v>
      </c>
      <c r="V380" t="n">
        <v>0.9225485223373144</v>
      </c>
      <c r="W380" t="n">
        <v>0.01</v>
      </c>
      <c r="X380" s="16">
        <f>IFERROR(K380/E380*100,"")</f>
        <v/>
      </c>
      <c r="Y380" s="16">
        <f>IFERROR((N380+O380)/E380*100,"")</f>
        <v/>
      </c>
      <c r="Z380" s="16">
        <f>IFERROR(R380/F380*100,"")</f>
        <v/>
      </c>
      <c r="AA380" s="16">
        <f>IFERROR(R380/E380*100,"")</f>
        <v/>
      </c>
      <c r="AB380" s="16">
        <f>IFERROR(S380/Q380*100,"")</f>
        <v/>
      </c>
      <c r="AC380" s="16">
        <f>IFERROR(T380/Q380*100,"")</f>
        <v/>
      </c>
      <c r="AD380" s="16">
        <f>IFERROR(U380/Q380*100,"")</f>
        <v/>
      </c>
      <c r="AE380" s="18" t="n"/>
      <c r="AF380" s="18" t="n"/>
      <c r="AG380" s="18" t="n"/>
      <c r="AH380">
        <f>P380&gt;0</f>
        <v/>
      </c>
    </row>
    <row r="381">
      <c r="A381" s="14" t="n">
        <v>44834</v>
      </c>
      <c r="B381" t="n">
        <v>18013</v>
      </c>
      <c r="C381" t="inlineStr">
        <is>
          <t>MASCOMA BANK</t>
        </is>
      </c>
      <c r="D381" t="inlineStr">
        <is>
          <t>NH</t>
        </is>
      </c>
      <c r="E381" t="n">
        <v>2685566</v>
      </c>
      <c r="F381" t="n">
        <v>2352806</v>
      </c>
      <c r="G381" t="n">
        <v>195855</v>
      </c>
      <c r="H381" s="16" t="n">
        <v>0.6766047537837321</v>
      </c>
      <c r="I381" s="16" t="n">
        <v>8.57</v>
      </c>
      <c r="J381" s="16" t="n">
        <v>3.155931374584956</v>
      </c>
      <c r="K381" s="16" t="n">
        <v>1930</v>
      </c>
      <c r="L381" s="16" t="n">
        <v>-39</v>
      </c>
      <c r="M381" s="16" t="n">
        <v>0.1017971234865774</v>
      </c>
      <c r="N381" s="16" t="n">
        <v>2713</v>
      </c>
      <c r="O381" s="16" t="n">
        <v>223</v>
      </c>
      <c r="P381" s="16" t="n">
        <v>13.44871187732499</v>
      </c>
      <c r="Q381" t="n">
        <v>2114991</v>
      </c>
      <c r="R381" t="n">
        <v>2095543</v>
      </c>
      <c r="S381" t="n">
        <v>1943255</v>
      </c>
      <c r="T381" t="n">
        <v>102062</v>
      </c>
      <c r="U381" t="n">
        <v>16559</v>
      </c>
      <c r="V381" t="n">
        <v>0.9195310996595256</v>
      </c>
      <c r="W381" t="n">
        <v>0.05</v>
      </c>
      <c r="X381" s="16">
        <f>IFERROR(K381/E381*100,"")</f>
        <v/>
      </c>
      <c r="Y381" s="16">
        <f>IFERROR((N381+O381)/E381*100,"")</f>
        <v/>
      </c>
      <c r="Z381" s="16">
        <f>IFERROR(R381/F381*100,"")</f>
        <v/>
      </c>
      <c r="AA381" s="16">
        <f>IFERROR(R381/E381*100,"")</f>
        <v/>
      </c>
      <c r="AB381" s="16">
        <f>IFERROR(S381/Q381*100,"")</f>
        <v/>
      </c>
      <c r="AC381" s="16">
        <f>IFERROR(T381/Q381*100,"")</f>
        <v/>
      </c>
      <c r="AD381" s="16">
        <f>IFERROR(U381/Q381*100,"")</f>
        <v/>
      </c>
      <c r="AE381" s="18" t="n"/>
      <c r="AF381" s="18" t="n"/>
      <c r="AG381" s="18" t="n"/>
      <c r="AH381">
        <f>P381&gt;0</f>
        <v/>
      </c>
    </row>
    <row r="382">
      <c r="A382" s="14" t="n">
        <v>44926</v>
      </c>
      <c r="B382" t="n">
        <v>18013</v>
      </c>
      <c r="C382" t="inlineStr">
        <is>
          <t>MASCOMA BANK</t>
        </is>
      </c>
      <c r="D382" t="inlineStr">
        <is>
          <t>NH</t>
        </is>
      </c>
      <c r="E382" t="n">
        <v>2733504</v>
      </c>
      <c r="F382" t="n">
        <v>2369151</v>
      </c>
      <c r="G382" t="n">
        <v>202913</v>
      </c>
      <c r="H382" s="16" t="n">
        <v>0.7103588693658821</v>
      </c>
      <c r="I382" s="16" t="n">
        <v>9.109999999999999</v>
      </c>
      <c r="J382" s="16" t="n">
        <v>3.17602118840462</v>
      </c>
      <c r="K382" s="16" t="n">
        <v>1584</v>
      </c>
      <c r="L382" s="16" t="n">
        <v>-34</v>
      </c>
      <c r="M382" s="16" t="n">
        <v>0.0758704008178884</v>
      </c>
      <c r="N382" s="16" t="n">
        <v>2395</v>
      </c>
      <c r="O382" s="16" t="n">
        <v>62</v>
      </c>
      <c r="P382" s="16" t="n">
        <v>13.29492574711207</v>
      </c>
      <c r="Q382" t="n">
        <v>2169489</v>
      </c>
      <c r="R382" t="n">
        <v>2150741</v>
      </c>
      <c r="S382" t="n">
        <v>1987119</v>
      </c>
      <c r="T382" t="n">
        <v>109331</v>
      </c>
      <c r="U382" t="n">
        <v>20430</v>
      </c>
      <c r="V382" t="n">
        <v>0.8641666309439688</v>
      </c>
      <c r="W382" t="n">
        <v>0.01</v>
      </c>
      <c r="X382" s="16">
        <f>IFERROR(K382/E382*100,"")</f>
        <v/>
      </c>
      <c r="Y382" s="16">
        <f>IFERROR((N382+O382)/E382*100,"")</f>
        <v/>
      </c>
      <c r="Z382" s="16">
        <f>IFERROR(R382/F382*100,"")</f>
        <v/>
      </c>
      <c r="AA382" s="16">
        <f>IFERROR(R382/E382*100,"")</f>
        <v/>
      </c>
      <c r="AB382" s="16">
        <f>IFERROR(S382/Q382*100,"")</f>
        <v/>
      </c>
      <c r="AC382" s="16">
        <f>IFERROR(T382/Q382*100,"")</f>
        <v/>
      </c>
      <c r="AD382" s="16">
        <f>IFERROR(U382/Q382*100,"")</f>
        <v/>
      </c>
      <c r="AE382" s="18" t="n"/>
      <c r="AF382" s="18" t="n"/>
      <c r="AG382" s="18" t="n"/>
      <c r="AH382">
        <f>P382&gt;0</f>
        <v/>
      </c>
    </row>
    <row r="383">
      <c r="A383" s="14" t="n">
        <v>45016</v>
      </c>
      <c r="B383" t="n">
        <v>18013</v>
      </c>
      <c r="C383" t="inlineStr">
        <is>
          <t>MASCOMA BANK</t>
        </is>
      </c>
      <c r="D383" t="inlineStr">
        <is>
          <t>NH</t>
        </is>
      </c>
      <c r="E383" t="n">
        <v>2733301</v>
      </c>
      <c r="F383" t="n">
        <v>2369188</v>
      </c>
      <c r="G383" t="n">
        <v>210055</v>
      </c>
      <c r="H383" s="16" t="n">
        <v>0.4434034138770268</v>
      </c>
      <c r="I383" s="16" t="n">
        <v>5.87</v>
      </c>
      <c r="J383" s="16" t="n">
        <v>2.981196328955302</v>
      </c>
      <c r="K383" s="16" t="n">
        <v>1023</v>
      </c>
      <c r="L383" s="16" t="n">
        <v>9</v>
      </c>
      <c r="M383" s="16" t="n">
        <v>0.0464231275211093</v>
      </c>
      <c r="N383" s="16" t="n">
        <v>3732</v>
      </c>
      <c r="O383" s="16" t="n">
        <v>0</v>
      </c>
      <c r="P383" s="16" t="n">
        <v>13.31038715286657</v>
      </c>
      <c r="Q383" t="n">
        <v>2203643</v>
      </c>
      <c r="R383" t="n">
        <v>2187281</v>
      </c>
      <c r="S383" t="n">
        <v>2017963</v>
      </c>
      <c r="T383" t="n">
        <v>110218</v>
      </c>
      <c r="U383" t="n">
        <v>23888</v>
      </c>
      <c r="V383" t="n">
        <v>0.7424977639300013</v>
      </c>
      <c r="W383" t="n">
        <v>0.04</v>
      </c>
      <c r="X383" s="16">
        <f>IFERROR(K383/E383*100,"")</f>
        <v/>
      </c>
      <c r="Y383" s="16">
        <f>IFERROR((N383+O383)/E383*100,"")</f>
        <v/>
      </c>
      <c r="Z383" s="16">
        <f>IFERROR(R383/F383*100,"")</f>
        <v/>
      </c>
      <c r="AA383" s="16">
        <f>IFERROR(R383/E383*100,"")</f>
        <v/>
      </c>
      <c r="AB383" s="16">
        <f>IFERROR(S383/Q383*100,"")</f>
        <v/>
      </c>
      <c r="AC383" s="16">
        <f>IFERROR(T383/Q383*100,"")</f>
        <v/>
      </c>
      <c r="AD383" s="16">
        <f>IFERROR(U383/Q383*100,"")</f>
        <v/>
      </c>
      <c r="AE383" s="18">
        <f>IFERROR(E383/E379-1,"")</f>
        <v/>
      </c>
      <c r="AF383" s="18">
        <f>IFERROR(R383/R379-1,"")</f>
        <v/>
      </c>
      <c r="AG383" s="18">
        <f>IFERROR(F383/F379-1,"")</f>
        <v/>
      </c>
      <c r="AH383">
        <f>P383&gt;0</f>
        <v/>
      </c>
    </row>
    <row r="384">
      <c r="A384" s="14" t="n">
        <v>45107</v>
      </c>
      <c r="B384" t="n">
        <v>18013</v>
      </c>
      <c r="C384" t="inlineStr">
        <is>
          <t>MASCOMA BANK</t>
        </is>
      </c>
      <c r="D384" t="inlineStr">
        <is>
          <t>NH</t>
        </is>
      </c>
      <c r="E384" t="n">
        <v>2835749</v>
      </c>
      <c r="F384" t="n">
        <v>2403310</v>
      </c>
      <c r="G384" t="n">
        <v>211459</v>
      </c>
      <c r="H384" s="16" t="n">
        <v>0.4585336030334762</v>
      </c>
      <c r="I384" s="16" t="n">
        <v>6.1</v>
      </c>
      <c r="J384" s="16" t="n">
        <v>2.836846740803542</v>
      </c>
      <c r="K384" s="16" t="n">
        <v>1133</v>
      </c>
      <c r="L384" s="16" t="n">
        <v>93</v>
      </c>
      <c r="M384" s="16" t="n">
        <v>0.050939394059989</v>
      </c>
      <c r="N384" s="16" t="n">
        <v>3815</v>
      </c>
      <c r="O384" s="16" t="n">
        <v>19</v>
      </c>
      <c r="P384" s="16" t="n">
        <v>13.05797571244118</v>
      </c>
      <c r="Q384" t="n">
        <v>2261511</v>
      </c>
      <c r="R384" t="n">
        <v>2245221</v>
      </c>
      <c r="S384" t="n">
        <v>2073740</v>
      </c>
      <c r="T384" t="n">
        <v>108738</v>
      </c>
      <c r="U384" t="n">
        <v>25577</v>
      </c>
      <c r="V384" t="n">
        <v>0.7203148691295334</v>
      </c>
      <c r="W384" t="n">
        <v>0.02</v>
      </c>
      <c r="X384" s="16">
        <f>IFERROR(K384/E384*100,"")</f>
        <v/>
      </c>
      <c r="Y384" s="16">
        <f>IFERROR((N384+O384)/E384*100,"")</f>
        <v/>
      </c>
      <c r="Z384" s="16">
        <f>IFERROR(R384/F384*100,"")</f>
        <v/>
      </c>
      <c r="AA384" s="16">
        <f>IFERROR(R384/E384*100,"")</f>
        <v/>
      </c>
      <c r="AB384" s="16">
        <f>IFERROR(S384/Q384*100,"")</f>
        <v/>
      </c>
      <c r="AC384" s="16">
        <f>IFERROR(T384/Q384*100,"")</f>
        <v/>
      </c>
      <c r="AD384" s="16">
        <f>IFERROR(U384/Q384*100,"")</f>
        <v/>
      </c>
      <c r="AE384" s="18">
        <f>IFERROR(E384/E380-1,"")</f>
        <v/>
      </c>
      <c r="AF384" s="18">
        <f>IFERROR(R384/R380-1,"")</f>
        <v/>
      </c>
      <c r="AG384" s="18">
        <f>IFERROR(F384/F380-1,"")</f>
        <v/>
      </c>
      <c r="AH384">
        <f>P384&gt;0</f>
        <v/>
      </c>
    </row>
    <row r="385">
      <c r="A385" s="14" t="n">
        <v>45199</v>
      </c>
      <c r="B385" t="n">
        <v>18013</v>
      </c>
      <c r="C385" t="inlineStr">
        <is>
          <t>MASCOMA BANK</t>
        </is>
      </c>
      <c r="D385" t="inlineStr">
        <is>
          <t>NH</t>
        </is>
      </c>
      <c r="E385" t="n">
        <v>2857828</v>
      </c>
      <c r="F385" t="n">
        <v>2426366</v>
      </c>
      <c r="G385" t="n">
        <v>208913</v>
      </c>
      <c r="H385" s="16" t="n">
        <v>0.4556002545432585</v>
      </c>
      <c r="I385" s="16" t="n">
        <v>6.1</v>
      </c>
      <c r="J385" s="16" t="n">
        <v>2.78616306186857</v>
      </c>
      <c r="K385" s="16" t="n">
        <v>1061</v>
      </c>
      <c r="L385" s="16" t="n">
        <v>129</v>
      </c>
      <c r="M385" s="16" t="n">
        <v>0.0460472415651961</v>
      </c>
      <c r="N385" s="16" t="n">
        <v>4243</v>
      </c>
      <c r="O385" s="16" t="n">
        <v>17</v>
      </c>
      <c r="P385" s="16" t="n">
        <v>12.71841779195602</v>
      </c>
      <c r="Q385" t="n">
        <v>2341074</v>
      </c>
      <c r="R385" t="n">
        <v>2324826</v>
      </c>
      <c r="S385" t="n">
        <v>2134736</v>
      </c>
      <c r="T385" t="n">
        <v>111358</v>
      </c>
      <c r="U385" t="n">
        <v>26647</v>
      </c>
      <c r="V385" t="n">
        <v>0.694040427598615</v>
      </c>
      <c r="W385" t="n">
        <v>0.01</v>
      </c>
      <c r="X385" s="16">
        <f>IFERROR(K385/E385*100,"")</f>
        <v/>
      </c>
      <c r="Y385" s="16">
        <f>IFERROR((N385+O385)/E385*100,"")</f>
        <v/>
      </c>
      <c r="Z385" s="16">
        <f>IFERROR(R385/F385*100,"")</f>
        <v/>
      </c>
      <c r="AA385" s="16">
        <f>IFERROR(R385/E385*100,"")</f>
        <v/>
      </c>
      <c r="AB385" s="16">
        <f>IFERROR(S385/Q385*100,"")</f>
        <v/>
      </c>
      <c r="AC385" s="16">
        <f>IFERROR(T385/Q385*100,"")</f>
        <v/>
      </c>
      <c r="AD385" s="16">
        <f>IFERROR(U385/Q385*100,"")</f>
        <v/>
      </c>
      <c r="AE385" s="18">
        <f>IFERROR(E385/E381-1,"")</f>
        <v/>
      </c>
      <c r="AF385" s="18">
        <f>IFERROR(R385/R381-1,"")</f>
        <v/>
      </c>
      <c r="AG385" s="18">
        <f>IFERROR(F385/F381-1,"")</f>
        <v/>
      </c>
      <c r="AH385">
        <f>P385&gt;0</f>
        <v/>
      </c>
    </row>
    <row r="386">
      <c r="A386" s="14" t="n">
        <v>45291</v>
      </c>
      <c r="B386" t="n">
        <v>18013</v>
      </c>
      <c r="C386" t="inlineStr">
        <is>
          <t>MASCOMA BANK</t>
        </is>
      </c>
      <c r="D386" t="inlineStr">
        <is>
          <t>NH</t>
        </is>
      </c>
      <c r="E386" t="n">
        <v>2931539</v>
      </c>
      <c r="F386" t="n">
        <v>2493477</v>
      </c>
      <c r="G386" t="n">
        <v>220301</v>
      </c>
      <c r="H386" s="16" t="n">
        <v>0.3945168298913966</v>
      </c>
      <c r="I386" s="16" t="n">
        <v>5.28</v>
      </c>
      <c r="J386" s="16" t="n">
        <v>2.732794948033593</v>
      </c>
      <c r="K386" s="16" t="n">
        <v>686</v>
      </c>
      <c r="L386" s="16" t="n">
        <v>320</v>
      </c>
      <c r="M386" s="16" t="n">
        <v>0.0298996340874357</v>
      </c>
      <c r="N386" s="16" t="n">
        <v>5925</v>
      </c>
      <c r="O386" s="16" t="n">
        <v>24</v>
      </c>
      <c r="P386" s="16" t="n">
        <v>12.68299719311687</v>
      </c>
      <c r="Q386" t="n">
        <v>2374611</v>
      </c>
      <c r="R386" t="n">
        <v>2357750</v>
      </c>
      <c r="S386" t="n">
        <v>2161468</v>
      </c>
      <c r="T386" t="n">
        <v>110574</v>
      </c>
      <c r="U386" t="n">
        <v>26129</v>
      </c>
      <c r="V386" t="n">
        <v>0.7100531413355703</v>
      </c>
      <c r="W386" t="n">
        <v>0.05</v>
      </c>
      <c r="X386" s="16">
        <f>IFERROR(K386/E386*100,"")</f>
        <v/>
      </c>
      <c r="Y386" s="16">
        <f>IFERROR((N386+O386)/E386*100,"")</f>
        <v/>
      </c>
      <c r="Z386" s="16">
        <f>IFERROR(R386/F386*100,"")</f>
        <v/>
      </c>
      <c r="AA386" s="16">
        <f>IFERROR(R386/E386*100,"")</f>
        <v/>
      </c>
      <c r="AB386" s="16">
        <f>IFERROR(S386/Q386*100,"")</f>
        <v/>
      </c>
      <c r="AC386" s="16">
        <f>IFERROR(T386/Q386*100,"")</f>
        <v/>
      </c>
      <c r="AD386" s="16">
        <f>IFERROR(U386/Q386*100,"")</f>
        <v/>
      </c>
      <c r="AE386" s="18">
        <f>IFERROR(E386/E382-1,"")</f>
        <v/>
      </c>
      <c r="AF386" s="18">
        <f>IFERROR(R386/R382-1,"")</f>
        <v/>
      </c>
      <c r="AG386" s="18">
        <f>IFERROR(F386/F382-1,"")</f>
        <v/>
      </c>
      <c r="AH386">
        <f>P386&gt;0</f>
        <v/>
      </c>
    </row>
    <row r="387">
      <c r="A387" s="14" t="n">
        <v>45382</v>
      </c>
      <c r="B387" t="n">
        <v>18013</v>
      </c>
      <c r="C387" t="inlineStr">
        <is>
          <t>MASCOMA BANK</t>
        </is>
      </c>
      <c r="D387" t="inlineStr">
        <is>
          <t>NH</t>
        </is>
      </c>
      <c r="E387" t="n">
        <v>2943126</v>
      </c>
      <c r="F387" t="n">
        <v>2511525</v>
      </c>
      <c r="G387" t="n">
        <v>220450</v>
      </c>
      <c r="H387" s="16" t="n">
        <v>0.2624149632362015</v>
      </c>
      <c r="I387" s="16" t="n">
        <v>3.5</v>
      </c>
      <c r="J387" s="16" t="n">
        <v>2.466662045575865</v>
      </c>
      <c r="K387" s="16" t="n">
        <v>990</v>
      </c>
      <c r="L387" s="16" t="n">
        <v>12</v>
      </c>
      <c r="M387" s="16" t="n">
        <v>0.0564308079534343</v>
      </c>
      <c r="N387" s="16" t="n">
        <v>4721</v>
      </c>
      <c r="O387" s="16" t="n">
        <v>357</v>
      </c>
      <c r="P387" s="16" t="n">
        <v>12.43790688061883</v>
      </c>
      <c r="Q387" t="n">
        <v>2386994</v>
      </c>
      <c r="R387" t="n">
        <v>2370272</v>
      </c>
      <c r="S387" t="n">
        <v>2170356</v>
      </c>
      <c r="T387" t="n">
        <v>113938</v>
      </c>
      <c r="U387" t="n">
        <v>28036</v>
      </c>
      <c r="V387" t="n">
        <v>0.7005463775778239</v>
      </c>
      <c r="W387" t="n">
        <v>-0.01</v>
      </c>
      <c r="X387" s="16">
        <f>IFERROR(K387/E387*100,"")</f>
        <v/>
      </c>
      <c r="Y387" s="16">
        <f>IFERROR((N387+O387)/E387*100,"")</f>
        <v/>
      </c>
      <c r="Z387" s="16">
        <f>IFERROR(R387/F387*100,"")</f>
        <v/>
      </c>
      <c r="AA387" s="16">
        <f>IFERROR(R387/E387*100,"")</f>
        <v/>
      </c>
      <c r="AB387" s="16">
        <f>IFERROR(S387/Q387*100,"")</f>
        <v/>
      </c>
      <c r="AC387" s="16">
        <f>IFERROR(T387/Q387*100,"")</f>
        <v/>
      </c>
      <c r="AD387" s="16">
        <f>IFERROR(U387/Q387*100,"")</f>
        <v/>
      </c>
      <c r="AE387" s="18">
        <f>IFERROR(E387/E383-1,"")</f>
        <v/>
      </c>
      <c r="AF387" s="18">
        <f>IFERROR(R387/R383-1,"")</f>
        <v/>
      </c>
      <c r="AG387" s="18">
        <f>IFERROR(F387/F383-1,"")</f>
        <v/>
      </c>
      <c r="AH387">
        <f>P387&gt;0</f>
        <v/>
      </c>
    </row>
    <row r="388">
      <c r="A388" s="14" t="n">
        <v>45473</v>
      </c>
      <c r="B388" t="n">
        <v>18013</v>
      </c>
      <c r="C388" t="inlineStr">
        <is>
          <t>MASCOMA BANK</t>
        </is>
      </c>
      <c r="D388" t="inlineStr">
        <is>
          <t>NH</t>
        </is>
      </c>
      <c r="E388" t="n">
        <v>2913389</v>
      </c>
      <c r="F388" t="n">
        <v>2458436</v>
      </c>
      <c r="G388" t="n">
        <v>223415</v>
      </c>
      <c r="H388" s="16" t="n">
        <v>0.2227796961648164</v>
      </c>
      <c r="I388" s="16" t="n">
        <v>2.95</v>
      </c>
      <c r="J388" s="16" t="n">
        <v>2.423719243018345</v>
      </c>
      <c r="K388" s="16" t="n">
        <v>1084</v>
      </c>
      <c r="L388" s="16" t="n">
        <v>107</v>
      </c>
      <c r="M388" s="16" t="n">
        <v>0.0543040077852351</v>
      </c>
      <c r="N388" s="16" t="n">
        <v>5903</v>
      </c>
      <c r="O388" s="16" t="n">
        <v>224</v>
      </c>
      <c r="P388" s="16" t="n">
        <v>12.29701787521326</v>
      </c>
      <c r="Q388" t="n">
        <v>2408662</v>
      </c>
      <c r="R388" t="n">
        <v>2391651</v>
      </c>
      <c r="S388" t="n">
        <v>2192853</v>
      </c>
      <c r="T388" t="n">
        <v>108697</v>
      </c>
      <c r="U388" t="n">
        <v>24275</v>
      </c>
      <c r="V388" t="n">
        <v>0.7062427189867237</v>
      </c>
      <c r="W388" t="n">
        <v>0.01</v>
      </c>
      <c r="X388" s="16">
        <f>IFERROR(K388/E388*100,"")</f>
        <v/>
      </c>
      <c r="Y388" s="16">
        <f>IFERROR((N388+O388)/E388*100,"")</f>
        <v/>
      </c>
      <c r="Z388" s="16">
        <f>IFERROR(R388/F388*100,"")</f>
        <v/>
      </c>
      <c r="AA388" s="16">
        <f>IFERROR(R388/E388*100,"")</f>
        <v/>
      </c>
      <c r="AB388" s="16">
        <f>IFERROR(S388/Q388*100,"")</f>
        <v/>
      </c>
      <c r="AC388" s="16">
        <f>IFERROR(T388/Q388*100,"")</f>
        <v/>
      </c>
      <c r="AD388" s="16">
        <f>IFERROR(U388/Q388*100,"")</f>
        <v/>
      </c>
      <c r="AE388" s="18">
        <f>IFERROR(E388/E384-1,"")</f>
        <v/>
      </c>
      <c r="AF388" s="18">
        <f>IFERROR(R388/R384-1,"")</f>
        <v/>
      </c>
      <c r="AG388" s="18">
        <f>IFERROR(F388/F384-1,"")</f>
        <v/>
      </c>
      <c r="AH388">
        <f>P388&gt;0</f>
        <v/>
      </c>
    </row>
    <row r="389">
      <c r="A389" s="14" t="n">
        <v>45565</v>
      </c>
      <c r="B389" t="n">
        <v>18013</v>
      </c>
      <c r="C389" t="inlineStr">
        <is>
          <t>MASCOMA BANK</t>
        </is>
      </c>
      <c r="D389" t="inlineStr">
        <is>
          <t>NH</t>
        </is>
      </c>
      <c r="E389" t="n">
        <v>2889853</v>
      </c>
      <c r="F389" t="n">
        <v>2534229</v>
      </c>
      <c r="G389" t="n">
        <v>234630</v>
      </c>
      <c r="H389" s="16" t="n">
        <v>0.2533724031198399</v>
      </c>
      <c r="I389" s="16" t="n">
        <v>3.29</v>
      </c>
      <c r="J389" s="16" t="n">
        <v>2.452484291316999</v>
      </c>
      <c r="K389" s="16" t="n">
        <v>1627</v>
      </c>
      <c r="L389" s="16" t="n">
        <v>296</v>
      </c>
      <c r="M389" s="16" t="n">
        <v>0.071065069450334</v>
      </c>
      <c r="N389" s="16" t="n">
        <v>5926</v>
      </c>
      <c r="O389" s="16" t="n">
        <v>74</v>
      </c>
      <c r="P389" s="16" t="n">
        <v>12.61332656629409</v>
      </c>
      <c r="Q389" t="n">
        <v>2393581</v>
      </c>
      <c r="R389" t="n">
        <v>2376792</v>
      </c>
      <c r="S389" t="n">
        <v>2183396</v>
      </c>
      <c r="T389" t="n">
        <v>105437</v>
      </c>
      <c r="U389" t="n">
        <v>23430</v>
      </c>
      <c r="V389" t="n">
        <v>0.7014176666676415</v>
      </c>
      <c r="W389" t="n">
        <v>0</v>
      </c>
      <c r="X389" s="16">
        <f>IFERROR(K389/E389*100,"")</f>
        <v/>
      </c>
      <c r="Y389" s="16">
        <f>IFERROR((N389+O389)/E389*100,"")</f>
        <v/>
      </c>
      <c r="Z389" s="16">
        <f>IFERROR(R389/F389*100,"")</f>
        <v/>
      </c>
      <c r="AA389" s="16">
        <f>IFERROR(R389/E389*100,"")</f>
        <v/>
      </c>
      <c r="AB389" s="16">
        <f>IFERROR(S389/Q389*100,"")</f>
        <v/>
      </c>
      <c r="AC389" s="16">
        <f>IFERROR(T389/Q389*100,"")</f>
        <v/>
      </c>
      <c r="AD389" s="16">
        <f>IFERROR(U389/Q389*100,"")</f>
        <v/>
      </c>
      <c r="AE389" s="18">
        <f>IFERROR(E389/E385-1,"")</f>
        <v/>
      </c>
      <c r="AF389" s="18">
        <f>IFERROR(R389/R385-1,"")</f>
        <v/>
      </c>
      <c r="AG389" s="18">
        <f>IFERROR(F389/F385-1,"")</f>
        <v/>
      </c>
      <c r="AH389">
        <f>P389&gt;0</f>
        <v/>
      </c>
    </row>
    <row r="390">
      <c r="A390" s="14" t="n">
        <v>45657</v>
      </c>
      <c r="B390" t="n">
        <v>18013</v>
      </c>
      <c r="C390" t="inlineStr">
        <is>
          <t>MASCOMA BANK</t>
        </is>
      </c>
      <c r="D390" t="inlineStr">
        <is>
          <t>NH</t>
        </is>
      </c>
      <c r="E390" t="n">
        <v>2917813</v>
      </c>
      <c r="F390" t="n">
        <v>2614357</v>
      </c>
      <c r="G390" t="n">
        <v>228244</v>
      </c>
      <c r="H390" s="16" t="n">
        <v>0.2236272003025544</v>
      </c>
      <c r="I390" s="16" t="n">
        <v>2.9</v>
      </c>
      <c r="J390" s="16" t="n">
        <v>2.500925502830165</v>
      </c>
      <c r="K390" s="16" t="n">
        <v>2327</v>
      </c>
      <c r="L390" s="16" t="n">
        <v>460</v>
      </c>
      <c r="M390" s="16" t="n">
        <v>0.1009170502953313</v>
      </c>
      <c r="N390" s="16" t="n">
        <v>5516</v>
      </c>
      <c r="O390" s="16" t="n">
        <v>128</v>
      </c>
      <c r="P390" s="16" t="n">
        <v>12.49493225074258</v>
      </c>
      <c r="Q390" t="n">
        <v>2432691</v>
      </c>
      <c r="R390" t="n">
        <v>2415094</v>
      </c>
      <c r="S390" t="n">
        <v>2216800</v>
      </c>
      <c r="T390" t="n">
        <v>116248</v>
      </c>
      <c r="U390" t="n">
        <v>23931</v>
      </c>
      <c r="V390" t="n">
        <v>0.723355329550691</v>
      </c>
      <c r="W390" t="n">
        <v>0.04</v>
      </c>
      <c r="X390" s="16">
        <f>IFERROR(K390/E390*100,"")</f>
        <v/>
      </c>
      <c r="Y390" s="16">
        <f>IFERROR((N390+O390)/E390*100,"")</f>
        <v/>
      </c>
      <c r="Z390" s="16">
        <f>IFERROR(R390/F390*100,"")</f>
        <v/>
      </c>
      <c r="AA390" s="16">
        <f>IFERROR(R390/E390*100,"")</f>
        <v/>
      </c>
      <c r="AB390" s="16">
        <f>IFERROR(S390/Q390*100,"")</f>
        <v/>
      </c>
      <c r="AC390" s="16">
        <f>IFERROR(T390/Q390*100,"")</f>
        <v/>
      </c>
      <c r="AD390" s="16">
        <f>IFERROR(U390/Q390*100,"")</f>
        <v/>
      </c>
      <c r="AE390" s="18">
        <f>IFERROR(E390/E386-1,"")</f>
        <v/>
      </c>
      <c r="AF390" s="18">
        <f>IFERROR(R390/R386-1,"")</f>
        <v/>
      </c>
      <c r="AG390" s="18">
        <f>IFERROR(F390/F386-1,"")</f>
        <v/>
      </c>
      <c r="AH390">
        <f>P390&gt;0</f>
        <v/>
      </c>
    </row>
    <row r="391">
      <c r="A391" s="14" t="n">
        <v>45747</v>
      </c>
      <c r="B391" t="n">
        <v>18013</v>
      </c>
      <c r="C391" t="inlineStr">
        <is>
          <t>MASCOMA BANK</t>
        </is>
      </c>
      <c r="D391" t="inlineStr">
        <is>
          <t>NH</t>
        </is>
      </c>
      <c r="E391" t="n">
        <v>2886966</v>
      </c>
      <c r="F391" t="n">
        <v>2567945</v>
      </c>
      <c r="G391" t="n">
        <v>233883</v>
      </c>
      <c r="H391" s="16" t="n">
        <v>0.352950560219433</v>
      </c>
      <c r="I391" s="16" t="n">
        <v>4.43</v>
      </c>
      <c r="J391" s="16" t="n">
        <v>2.794069002167276</v>
      </c>
      <c r="K391" s="16" t="n">
        <v>2219</v>
      </c>
      <c r="L391" s="16" t="n">
        <v>-199</v>
      </c>
      <c r="M391" s="16" t="n">
        <v>0.09414552468822319</v>
      </c>
      <c r="N391" s="16" t="n">
        <v>5622</v>
      </c>
      <c r="O391" s="16" t="n">
        <v>52</v>
      </c>
      <c r="P391" s="16" t="n">
        <v>12.69456708477269</v>
      </c>
      <c r="Q391" t="n">
        <v>2412223</v>
      </c>
      <c r="R391" t="n">
        <v>2394181</v>
      </c>
      <c r="S391" t="n">
        <v>2202612</v>
      </c>
      <c r="T391" t="n">
        <v>115671</v>
      </c>
      <c r="U391" t="n">
        <v>21720</v>
      </c>
      <c r="V391" t="n">
        <v>0.7479407998348411</v>
      </c>
      <c r="W391" t="n">
        <v>0.06</v>
      </c>
      <c r="X391" s="16">
        <f>IFERROR(K391/E391*100,"")</f>
        <v/>
      </c>
      <c r="Y391" s="16">
        <f>IFERROR((N391+O391)/E391*100,"")</f>
        <v/>
      </c>
      <c r="Z391" s="16">
        <f>IFERROR(R391/F391*100,"")</f>
        <v/>
      </c>
      <c r="AA391" s="16">
        <f>IFERROR(R391/E391*100,"")</f>
        <v/>
      </c>
      <c r="AB391" s="16">
        <f>IFERROR(S391/Q391*100,"")</f>
        <v/>
      </c>
      <c r="AC391" s="16">
        <f>IFERROR(T391/Q391*100,"")</f>
        <v/>
      </c>
      <c r="AD391" s="16">
        <f>IFERROR(U391/Q391*100,"")</f>
        <v/>
      </c>
      <c r="AE391" s="18">
        <f>IFERROR(E391/E387-1,"")</f>
        <v/>
      </c>
      <c r="AF391" s="18">
        <f>IFERROR(R391/R387-1,"")</f>
        <v/>
      </c>
      <c r="AG391" s="18">
        <f>IFERROR(F391/F387-1,"")</f>
        <v/>
      </c>
      <c r="AH391">
        <f>P391&gt;0</f>
        <v/>
      </c>
    </row>
    <row r="392">
      <c r="A392" s="14" t="n">
        <v>45838</v>
      </c>
      <c r="B392" t="n">
        <v>18013</v>
      </c>
      <c r="C392" t="inlineStr">
        <is>
          <t>MASCOMA BANK</t>
        </is>
      </c>
      <c r="D392" t="inlineStr">
        <is>
          <t>NH</t>
        </is>
      </c>
      <c r="E392" t="n">
        <v>2896306</v>
      </c>
      <c r="F392" t="n">
        <v>2573471</v>
      </c>
      <c r="G392" t="n">
        <v>235044</v>
      </c>
      <c r="H392" s="16" t="n">
        <v>0.336164972529288</v>
      </c>
      <c r="I392" s="16" t="n">
        <v>4.2</v>
      </c>
      <c r="J392" s="16" t="n">
        <v>2.8369626762913</v>
      </c>
      <c r="K392" s="16" t="n">
        <v>1401</v>
      </c>
      <c r="L392" s="16" t="n">
        <v>-48</v>
      </c>
      <c r="M392" s="16" t="n">
        <v>0.0641309492907422</v>
      </c>
      <c r="N392" s="16" t="n">
        <v>4609</v>
      </c>
      <c r="O392" s="16" t="n">
        <v>153</v>
      </c>
      <c r="P392" s="16" t="n">
        <v>12.6358689440193</v>
      </c>
      <c r="Q392" t="n">
        <v>2423167</v>
      </c>
      <c r="R392" t="n">
        <v>2405533</v>
      </c>
      <c r="S392" t="n">
        <v>2224117</v>
      </c>
      <c r="T392" t="n">
        <v>112059</v>
      </c>
      <c r="U392" t="n">
        <v>20548</v>
      </c>
      <c r="V392" t="n">
        <v>0.7277253280520906</v>
      </c>
      <c r="W392" t="n">
        <v>0.04</v>
      </c>
      <c r="X392" s="16">
        <f>IFERROR(K392/E392*100,"")</f>
        <v/>
      </c>
      <c r="Y392" s="16">
        <f>IFERROR((N392+O392)/E392*100,"")</f>
        <v/>
      </c>
      <c r="Z392" s="16">
        <f>IFERROR(R392/F392*100,"")</f>
        <v/>
      </c>
      <c r="AA392" s="16">
        <f>IFERROR(R392/E392*100,"")</f>
        <v/>
      </c>
      <c r="AB392" s="16">
        <f>IFERROR(S392/Q392*100,"")</f>
        <v/>
      </c>
      <c r="AC392" s="16">
        <f>IFERROR(T392/Q392*100,"")</f>
        <v/>
      </c>
      <c r="AD392" s="16">
        <f>IFERROR(U392/Q392*100,"")</f>
        <v/>
      </c>
      <c r="AE392" s="18">
        <f>IFERROR(E392/E388-1,"")</f>
        <v/>
      </c>
      <c r="AF392" s="18">
        <f>IFERROR(R392/R388-1,"")</f>
        <v/>
      </c>
      <c r="AG392" s="18">
        <f>IFERROR(F392/F388-1,"")</f>
        <v/>
      </c>
      <c r="AH392">
        <f>P392&gt;0</f>
        <v/>
      </c>
    </row>
    <row r="393">
      <c r="A393" s="14" t="n">
        <v>44651</v>
      </c>
      <c r="B393" t="n">
        <v>18028</v>
      </c>
      <c r="C393" t="inlineStr">
        <is>
          <t>SUGAR RIVER BANK</t>
        </is>
      </c>
      <c r="D393" t="inlineStr">
        <is>
          <t>NH</t>
        </is>
      </c>
      <c r="E393" t="n">
        <v>376087</v>
      </c>
      <c r="F393" t="n">
        <v>329792</v>
      </c>
      <c r="G393" t="n">
        <v>41683</v>
      </c>
      <c r="H393" s="16" t="n">
        <v>0.7994677312042582</v>
      </c>
      <c r="I393" s="16" t="n">
        <v>6.76</v>
      </c>
      <c r="J393" s="16" t="n">
        <v>3.142586441103616</v>
      </c>
      <c r="K393" s="16" t="n">
        <v>1080</v>
      </c>
      <c r="L393" s="16" t="n">
        <v>22</v>
      </c>
      <c r="M393" s="16" t="n">
        <v>0.4880078358629417</v>
      </c>
      <c r="N393" s="16" t="n">
        <v>1113</v>
      </c>
      <c r="O393" s="16" t="n">
        <v>46</v>
      </c>
      <c r="P393" s="16" t="n">
        <v>0</v>
      </c>
      <c r="Q393" t="n">
        <v>230734</v>
      </c>
      <c r="R393" t="n">
        <v>228591</v>
      </c>
      <c r="S393" t="n">
        <v>205024</v>
      </c>
      <c r="T393" t="n">
        <v>15550</v>
      </c>
      <c r="U393" t="n">
        <v>5989</v>
      </c>
      <c r="V393" t="n">
        <v>0.928775126335954</v>
      </c>
      <c r="W393" t="n">
        <v>-0.11</v>
      </c>
      <c r="X393" s="16">
        <f>IFERROR(K393/E393*100,"")</f>
        <v/>
      </c>
      <c r="Y393" s="16">
        <f>IFERROR((N393+O393)/E393*100,"")</f>
        <v/>
      </c>
      <c r="Z393" s="16">
        <f>IFERROR(R393/F393*100,"")</f>
        <v/>
      </c>
      <c r="AA393" s="16">
        <f>IFERROR(R393/E393*100,"")</f>
        <v/>
      </c>
      <c r="AB393" s="16">
        <f>IFERROR(S393/Q393*100,"")</f>
        <v/>
      </c>
      <c r="AC393" s="16">
        <f>IFERROR(T393/Q393*100,"")</f>
        <v/>
      </c>
      <c r="AD393" s="16">
        <f>IFERROR(U393/Q393*100,"")</f>
        <v/>
      </c>
      <c r="AE393" s="18" t="n"/>
      <c r="AF393" s="18" t="n"/>
      <c r="AG393" s="18" t="n"/>
      <c r="AH393">
        <f>P393&gt;0</f>
        <v/>
      </c>
    </row>
    <row r="394">
      <c r="A394" s="14" t="n">
        <v>44742</v>
      </c>
      <c r="B394" t="n">
        <v>18028</v>
      </c>
      <c r="C394" t="inlineStr">
        <is>
          <t>SUGAR RIVER BANK</t>
        </is>
      </c>
      <c r="D394" t="inlineStr">
        <is>
          <t>NH</t>
        </is>
      </c>
      <c r="E394" t="n">
        <v>377551</v>
      </c>
      <c r="F394" t="n">
        <v>335244</v>
      </c>
      <c r="G394" t="n">
        <v>38122</v>
      </c>
      <c r="H394" s="16" t="n">
        <v>0.7035997488155983</v>
      </c>
      <c r="I394" s="16" t="n">
        <v>6.26</v>
      </c>
      <c r="J394" s="16" t="n">
        <v>3.219510523199022</v>
      </c>
      <c r="K394" s="16" t="n">
        <v>1077</v>
      </c>
      <c r="L394" s="16" t="n">
        <v>61</v>
      </c>
      <c r="M394" s="16" t="n">
        <v>0.4580615930733772</v>
      </c>
      <c r="N394" s="16" t="n">
        <v>879</v>
      </c>
      <c r="O394" s="16" t="n">
        <v>25</v>
      </c>
      <c r="P394" s="16" t="n">
        <v>0</v>
      </c>
      <c r="Q394" t="n">
        <v>240579</v>
      </c>
      <c r="R394" t="n">
        <v>238410</v>
      </c>
      <c r="S394" t="n">
        <v>210223</v>
      </c>
      <c r="T394" t="n">
        <v>16916</v>
      </c>
      <c r="U394" t="n">
        <v>6431</v>
      </c>
      <c r="V394" t="n">
        <v>0.9015749504320828</v>
      </c>
      <c r="W394" t="n">
        <v>-0.02</v>
      </c>
      <c r="X394" s="16">
        <f>IFERROR(K394/E394*100,"")</f>
        <v/>
      </c>
      <c r="Y394" s="16">
        <f>IFERROR((N394+O394)/E394*100,"")</f>
        <v/>
      </c>
      <c r="Z394" s="16">
        <f>IFERROR(R394/F394*100,"")</f>
        <v/>
      </c>
      <c r="AA394" s="16">
        <f>IFERROR(R394/E394*100,"")</f>
        <v/>
      </c>
      <c r="AB394" s="16">
        <f>IFERROR(S394/Q394*100,"")</f>
        <v/>
      </c>
      <c r="AC394" s="16">
        <f>IFERROR(T394/Q394*100,"")</f>
        <v/>
      </c>
      <c r="AD394" s="16">
        <f>IFERROR(U394/Q394*100,"")</f>
        <v/>
      </c>
      <c r="AE394" s="18" t="n"/>
      <c r="AF394" s="18" t="n"/>
      <c r="AG394" s="18" t="n"/>
      <c r="AH394">
        <f>P394&gt;0</f>
        <v/>
      </c>
    </row>
    <row r="395">
      <c r="A395" s="14" t="n">
        <v>44834</v>
      </c>
      <c r="B395" t="n">
        <v>18028</v>
      </c>
      <c r="C395" t="inlineStr">
        <is>
          <t>SUGAR RIVER BANK</t>
        </is>
      </c>
      <c r="D395" t="inlineStr">
        <is>
          <t>NH</t>
        </is>
      </c>
      <c r="E395" t="n">
        <v>379383</v>
      </c>
      <c r="F395" t="n">
        <v>337295</v>
      </c>
      <c r="G395" t="n">
        <v>34470</v>
      </c>
      <c r="H395" s="16" t="n">
        <v>0.7113601523169062</v>
      </c>
      <c r="I395" s="16" t="n">
        <v>6.65</v>
      </c>
      <c r="J395" s="16" t="n">
        <v>3.34674640434086</v>
      </c>
      <c r="K395" s="16" t="n">
        <v>1067</v>
      </c>
      <c r="L395" s="16" t="n">
        <v>110</v>
      </c>
      <c r="M395" s="16" t="n">
        <v>0.5552948856565821</v>
      </c>
      <c r="N395" s="16" t="n">
        <v>351</v>
      </c>
      <c r="O395" s="16" t="n">
        <v>294</v>
      </c>
      <c r="P395" s="16" t="n">
        <v>0</v>
      </c>
      <c r="Q395" t="n">
        <v>245095</v>
      </c>
      <c r="R395" t="n">
        <v>242821</v>
      </c>
      <c r="S395" t="n">
        <v>213616</v>
      </c>
      <c r="T395" t="n">
        <v>16788</v>
      </c>
      <c r="U395" t="n">
        <v>8019</v>
      </c>
      <c r="V395" t="n">
        <v>0.9278035047634592</v>
      </c>
      <c r="W395" t="n">
        <v>0.04</v>
      </c>
      <c r="X395" s="16">
        <f>IFERROR(K395/E395*100,"")</f>
        <v/>
      </c>
      <c r="Y395" s="16">
        <f>IFERROR((N395+O395)/E395*100,"")</f>
        <v/>
      </c>
      <c r="Z395" s="16">
        <f>IFERROR(R395/F395*100,"")</f>
        <v/>
      </c>
      <c r="AA395" s="16">
        <f>IFERROR(R395/E395*100,"")</f>
        <v/>
      </c>
      <c r="AB395" s="16">
        <f>IFERROR(S395/Q395*100,"")</f>
        <v/>
      </c>
      <c r="AC395" s="16">
        <f>IFERROR(T395/Q395*100,"")</f>
        <v/>
      </c>
      <c r="AD395" s="16">
        <f>IFERROR(U395/Q395*100,"")</f>
        <v/>
      </c>
      <c r="AE395" s="18" t="n"/>
      <c r="AF395" s="18" t="n"/>
      <c r="AG395" s="18" t="n"/>
      <c r="AH395">
        <f>P395&gt;0</f>
        <v/>
      </c>
    </row>
    <row r="396">
      <c r="A396" s="14" t="n">
        <v>44926</v>
      </c>
      <c r="B396" t="n">
        <v>18028</v>
      </c>
      <c r="C396" t="inlineStr">
        <is>
          <t>SUGAR RIVER BANK</t>
        </is>
      </c>
      <c r="D396" t="inlineStr">
        <is>
          <t>NH</t>
        </is>
      </c>
      <c r="E396" t="n">
        <v>382131</v>
      </c>
      <c r="F396" t="n">
        <v>329968</v>
      </c>
      <c r="G396" t="n">
        <v>35637</v>
      </c>
      <c r="H396" s="16" t="n">
        <v>0.675459452597504</v>
      </c>
      <c r="I396" s="16" t="n">
        <v>6.48</v>
      </c>
      <c r="J396" s="16" t="n">
        <v>3.441827970246167</v>
      </c>
      <c r="K396" s="16" t="n">
        <v>1059</v>
      </c>
      <c r="L396" s="16" t="n">
        <v>220</v>
      </c>
      <c r="M396" s="16" t="n">
        <v>0.6006279833172108</v>
      </c>
      <c r="N396" s="16" t="n">
        <v>820</v>
      </c>
      <c r="O396" s="16" t="n">
        <v>456</v>
      </c>
      <c r="P396" s="16" t="n">
        <v>0</v>
      </c>
      <c r="Q396" t="n">
        <v>252236</v>
      </c>
      <c r="R396" t="n">
        <v>249816</v>
      </c>
      <c r="S396" t="n">
        <v>218425</v>
      </c>
      <c r="T396" t="n">
        <v>18569</v>
      </c>
      <c r="U396" t="n">
        <v>8838</v>
      </c>
      <c r="V396" t="n">
        <v>0.9594189568499344</v>
      </c>
      <c r="W396" t="n">
        <v>0.1</v>
      </c>
      <c r="X396" s="16">
        <f>IFERROR(K396/E396*100,"")</f>
        <v/>
      </c>
      <c r="Y396" s="16">
        <f>IFERROR((N396+O396)/E396*100,"")</f>
        <v/>
      </c>
      <c r="Z396" s="16">
        <f>IFERROR(R396/F396*100,"")</f>
        <v/>
      </c>
      <c r="AA396" s="16">
        <f>IFERROR(R396/E396*100,"")</f>
        <v/>
      </c>
      <c r="AB396" s="16">
        <f>IFERROR(S396/Q396*100,"")</f>
        <v/>
      </c>
      <c r="AC396" s="16">
        <f>IFERROR(T396/Q396*100,"")</f>
        <v/>
      </c>
      <c r="AD396" s="16">
        <f>IFERROR(U396/Q396*100,"")</f>
        <v/>
      </c>
      <c r="AE396" s="18" t="n"/>
      <c r="AF396" s="18" t="n"/>
      <c r="AG396" s="18" t="n"/>
      <c r="AH396">
        <f>P396&gt;0</f>
        <v/>
      </c>
    </row>
    <row r="397">
      <c r="A397" s="14" t="n">
        <v>45016</v>
      </c>
      <c r="B397" t="n">
        <v>18028</v>
      </c>
      <c r="C397" t="inlineStr">
        <is>
          <t>SUGAR RIVER BANK</t>
        </is>
      </c>
      <c r="D397" t="inlineStr">
        <is>
          <t>NH</t>
        </is>
      </c>
      <c r="E397" t="n">
        <v>384151</v>
      </c>
      <c r="F397" t="n">
        <v>321675</v>
      </c>
      <c r="G397" t="n">
        <v>38054</v>
      </c>
      <c r="H397" s="16" t="n">
        <v>0.6086532112198904</v>
      </c>
      <c r="I397" s="16" t="n">
        <v>6.33</v>
      </c>
      <c r="J397" s="16" t="n">
        <v>3.578143760052557</v>
      </c>
      <c r="K397" s="16" t="n">
        <v>1519</v>
      </c>
      <c r="L397" s="16" t="n">
        <v>87</v>
      </c>
      <c r="M397" s="16" t="n">
        <v>0.6638565248965931</v>
      </c>
      <c r="N397" s="16" t="n">
        <v>1473</v>
      </c>
      <c r="O397" s="16" t="n">
        <v>163</v>
      </c>
      <c r="P397" s="16" t="n">
        <v>0</v>
      </c>
      <c r="Q397" t="n">
        <v>253368</v>
      </c>
      <c r="R397" t="n">
        <v>250892</v>
      </c>
      <c r="S397" t="n">
        <v>222649</v>
      </c>
      <c r="T397" t="n">
        <v>15846</v>
      </c>
      <c r="U397" t="n">
        <v>8663</v>
      </c>
      <c r="V397" t="n">
        <v>0.977234694199741</v>
      </c>
      <c r="W397" t="n">
        <v>0.15</v>
      </c>
      <c r="X397" s="16">
        <f>IFERROR(K397/E397*100,"")</f>
        <v/>
      </c>
      <c r="Y397" s="16">
        <f>IFERROR((N397+O397)/E397*100,"")</f>
        <v/>
      </c>
      <c r="Z397" s="16">
        <f>IFERROR(R397/F397*100,"")</f>
        <v/>
      </c>
      <c r="AA397" s="16">
        <f>IFERROR(R397/E397*100,"")</f>
        <v/>
      </c>
      <c r="AB397" s="16">
        <f>IFERROR(S397/Q397*100,"")</f>
        <v/>
      </c>
      <c r="AC397" s="16">
        <f>IFERROR(T397/Q397*100,"")</f>
        <v/>
      </c>
      <c r="AD397" s="16">
        <f>IFERROR(U397/Q397*100,"")</f>
        <v/>
      </c>
      <c r="AE397" s="18">
        <f>IFERROR(E397/E393-1,"")</f>
        <v/>
      </c>
      <c r="AF397" s="18">
        <f>IFERROR(R397/R393-1,"")</f>
        <v/>
      </c>
      <c r="AG397" s="18">
        <f>IFERROR(F397/F393-1,"")</f>
        <v/>
      </c>
      <c r="AH397">
        <f>P397&gt;0</f>
        <v/>
      </c>
    </row>
    <row r="398">
      <c r="A398" s="14" t="n">
        <v>45107</v>
      </c>
      <c r="B398" t="n">
        <v>18028</v>
      </c>
      <c r="C398" t="inlineStr">
        <is>
          <t>SUGAR RIVER BANK</t>
        </is>
      </c>
      <c r="D398" t="inlineStr">
        <is>
          <t>NH</t>
        </is>
      </c>
      <c r="E398" t="n">
        <v>385140</v>
      </c>
      <c r="F398" t="n">
        <v>318025</v>
      </c>
      <c r="G398" t="n">
        <v>37896</v>
      </c>
      <c r="H398" s="16" t="n">
        <v>0.5752886430865487</v>
      </c>
      <c r="I398" s="16" t="n">
        <v>5.94</v>
      </c>
      <c r="J398" s="16" t="n">
        <v>3.498009688101206</v>
      </c>
      <c r="K398" s="16" t="n">
        <v>855</v>
      </c>
      <c r="L398" s="16" t="n">
        <v>234</v>
      </c>
      <c r="M398" s="16" t="n">
        <v>0.3394946767234689</v>
      </c>
      <c r="N398" s="16" t="n">
        <v>417</v>
      </c>
      <c r="O398" s="16" t="n">
        <v>20</v>
      </c>
      <c r="P398" s="16" t="n">
        <v>0</v>
      </c>
      <c r="Q398" t="n">
        <v>257736</v>
      </c>
      <c r="R398" t="n">
        <v>255297</v>
      </c>
      <c r="S398" t="n">
        <v>228527</v>
      </c>
      <c r="T398" t="n">
        <v>15285</v>
      </c>
      <c r="U398" t="n">
        <v>7701</v>
      </c>
      <c r="V398" t="n">
        <v>0.9463171617469038</v>
      </c>
      <c r="W398" t="n">
        <v>0.13</v>
      </c>
      <c r="X398" s="16">
        <f>IFERROR(K398/E398*100,"")</f>
        <v/>
      </c>
      <c r="Y398" s="16">
        <f>IFERROR((N398+O398)/E398*100,"")</f>
        <v/>
      </c>
      <c r="Z398" s="16">
        <f>IFERROR(R398/F398*100,"")</f>
        <v/>
      </c>
      <c r="AA398" s="16">
        <f>IFERROR(R398/E398*100,"")</f>
        <v/>
      </c>
      <c r="AB398" s="16">
        <f>IFERROR(S398/Q398*100,"")</f>
        <v/>
      </c>
      <c r="AC398" s="16">
        <f>IFERROR(T398/Q398*100,"")</f>
        <v/>
      </c>
      <c r="AD398" s="16">
        <f>IFERROR(U398/Q398*100,"")</f>
        <v/>
      </c>
      <c r="AE398" s="18">
        <f>IFERROR(E398/E394-1,"")</f>
        <v/>
      </c>
      <c r="AF398" s="18">
        <f>IFERROR(R398/R394-1,"")</f>
        <v/>
      </c>
      <c r="AG398" s="18">
        <f>IFERROR(F398/F394-1,"")</f>
        <v/>
      </c>
      <c r="AH398">
        <f>P398&gt;0</f>
        <v/>
      </c>
    </row>
    <row r="399">
      <c r="A399" s="14" t="n">
        <v>45199</v>
      </c>
      <c r="B399" t="n">
        <v>18028</v>
      </c>
      <c r="C399" t="inlineStr">
        <is>
          <t>SUGAR RIVER BANK</t>
        </is>
      </c>
      <c r="D399" t="inlineStr">
        <is>
          <t>NH</t>
        </is>
      </c>
      <c r="E399" t="n">
        <v>381526</v>
      </c>
      <c r="F399" t="n">
        <v>312777</v>
      </c>
      <c r="G399" t="n">
        <v>35629</v>
      </c>
      <c r="H399" s="16" t="n">
        <v>0.5764782888917303</v>
      </c>
      <c r="I399" s="16" t="n">
        <v>6</v>
      </c>
      <c r="J399" s="16" t="n">
        <v>3.461735271254384</v>
      </c>
      <c r="K399" s="16" t="n">
        <v>831</v>
      </c>
      <c r="L399" s="16" t="n">
        <v>324</v>
      </c>
      <c r="M399" s="16" t="n">
        <v>0.4064093504707702</v>
      </c>
      <c r="N399" s="16" t="n">
        <v>925</v>
      </c>
      <c r="O399" s="16" t="n">
        <v>233</v>
      </c>
      <c r="P399" s="16" t="n">
        <v>0</v>
      </c>
      <c r="Q399" t="n">
        <v>261805</v>
      </c>
      <c r="R399" t="n">
        <v>259438</v>
      </c>
      <c r="S399" t="n">
        <v>235366</v>
      </c>
      <c r="T399" t="n">
        <v>14223</v>
      </c>
      <c r="U399" t="n">
        <v>6237</v>
      </c>
      <c r="V399" t="n">
        <v>0.904108019327362</v>
      </c>
      <c r="W399" t="n">
        <v>0.09</v>
      </c>
      <c r="X399" s="16">
        <f>IFERROR(K399/E399*100,"")</f>
        <v/>
      </c>
      <c r="Y399" s="16">
        <f>IFERROR((N399+O399)/E399*100,"")</f>
        <v/>
      </c>
      <c r="Z399" s="16">
        <f>IFERROR(R399/F399*100,"")</f>
        <v/>
      </c>
      <c r="AA399" s="16">
        <f>IFERROR(R399/E399*100,"")</f>
        <v/>
      </c>
      <c r="AB399" s="16">
        <f>IFERROR(S399/Q399*100,"")</f>
        <v/>
      </c>
      <c r="AC399" s="16">
        <f>IFERROR(T399/Q399*100,"")</f>
        <v/>
      </c>
      <c r="AD399" s="16">
        <f>IFERROR(U399/Q399*100,"")</f>
        <v/>
      </c>
      <c r="AE399" s="18">
        <f>IFERROR(E399/E395-1,"")</f>
        <v/>
      </c>
      <c r="AF399" s="18">
        <f>IFERROR(R399/R395-1,"")</f>
        <v/>
      </c>
      <c r="AG399" s="18">
        <f>IFERROR(F399/F395-1,"")</f>
        <v/>
      </c>
      <c r="AH399">
        <f>P399&gt;0</f>
        <v/>
      </c>
    </row>
    <row r="400">
      <c r="A400" s="14" t="n">
        <v>45291</v>
      </c>
      <c r="B400" t="n">
        <v>18028</v>
      </c>
      <c r="C400" t="inlineStr">
        <is>
          <t>SUGAR RIVER BANK</t>
        </is>
      </c>
      <c r="D400" t="inlineStr">
        <is>
          <t>NH</t>
        </is>
      </c>
      <c r="E400" t="n">
        <v>392854</v>
      </c>
      <c r="F400" t="n">
        <v>313497</v>
      </c>
      <c r="G400" t="n">
        <v>40632</v>
      </c>
      <c r="H400" s="16" t="n">
        <v>0.6103950458042935</v>
      </c>
      <c r="I400" s="16" t="n">
        <v>6.26</v>
      </c>
      <c r="J400" s="16" t="n">
        <v>3.41924397656439</v>
      </c>
      <c r="K400" s="16" t="n">
        <v>817</v>
      </c>
      <c r="L400" s="16" t="n">
        <v>383</v>
      </c>
      <c r="M400" s="16" t="n">
        <v>0.3474580107745937</v>
      </c>
      <c r="N400" s="16" t="n">
        <v>1644</v>
      </c>
      <c r="O400" s="16" t="n">
        <v>104</v>
      </c>
      <c r="P400" s="16" t="n">
        <v>0</v>
      </c>
      <c r="Q400" t="n">
        <v>265068</v>
      </c>
      <c r="R400" t="n">
        <v>262743</v>
      </c>
      <c r="S400" t="n">
        <v>237654</v>
      </c>
      <c r="T400" t="n">
        <v>15393</v>
      </c>
      <c r="U400" t="n">
        <v>6367</v>
      </c>
      <c r="V400" t="n">
        <v>0.877133414821857</v>
      </c>
      <c r="W400" t="n">
        <v>0.07000000000000001</v>
      </c>
      <c r="X400" s="16">
        <f>IFERROR(K400/E400*100,"")</f>
        <v/>
      </c>
      <c r="Y400" s="16">
        <f>IFERROR((N400+O400)/E400*100,"")</f>
        <v/>
      </c>
      <c r="Z400" s="16">
        <f>IFERROR(R400/F400*100,"")</f>
        <v/>
      </c>
      <c r="AA400" s="16">
        <f>IFERROR(R400/E400*100,"")</f>
        <v/>
      </c>
      <c r="AB400" s="16">
        <f>IFERROR(S400/Q400*100,"")</f>
        <v/>
      </c>
      <c r="AC400" s="16">
        <f>IFERROR(T400/Q400*100,"")</f>
        <v/>
      </c>
      <c r="AD400" s="16">
        <f>IFERROR(U400/Q400*100,"")</f>
        <v/>
      </c>
      <c r="AE400" s="18">
        <f>IFERROR(E400/E396-1,"")</f>
        <v/>
      </c>
      <c r="AF400" s="18">
        <f>IFERROR(R400/R396-1,"")</f>
        <v/>
      </c>
      <c r="AG400" s="18">
        <f>IFERROR(F400/F396-1,"")</f>
        <v/>
      </c>
      <c r="AH400">
        <f>P400&gt;0</f>
        <v/>
      </c>
    </row>
    <row r="401">
      <c r="A401" s="14" t="n">
        <v>45382</v>
      </c>
      <c r="B401" t="n">
        <v>18028</v>
      </c>
      <c r="C401" t="inlineStr">
        <is>
          <t>SUGAR RIVER BANK</t>
        </is>
      </c>
      <c r="D401" t="inlineStr">
        <is>
          <t>NH</t>
        </is>
      </c>
      <c r="E401" t="n">
        <v>397277</v>
      </c>
      <c r="F401" t="n">
        <v>325871</v>
      </c>
      <c r="G401" t="n">
        <v>40522</v>
      </c>
      <c r="H401" s="16" t="n">
        <v>0.3979087012153681</v>
      </c>
      <c r="I401" s="16" t="n">
        <v>3.87</v>
      </c>
      <c r="J401" s="16" t="n">
        <v>3.217261104925711</v>
      </c>
      <c r="K401" s="16" t="n">
        <v>704</v>
      </c>
      <c r="L401" s="16" t="n">
        <v>99</v>
      </c>
      <c r="M401" s="16" t="n">
        <v>0.2852251147629229</v>
      </c>
      <c r="N401" s="16" t="n">
        <v>2237</v>
      </c>
      <c r="O401" s="16" t="n">
        <v>59</v>
      </c>
      <c r="P401" s="16" t="n">
        <v>0</v>
      </c>
      <c r="Q401" t="n">
        <v>267508</v>
      </c>
      <c r="R401" t="n">
        <v>265249</v>
      </c>
      <c r="S401" t="n">
        <v>240691</v>
      </c>
      <c r="T401" t="n">
        <v>14766</v>
      </c>
      <c r="U401" t="n">
        <v>6592</v>
      </c>
      <c r="V401" t="n">
        <v>0.8444607264081823</v>
      </c>
      <c r="W401" t="n">
        <v>0.03</v>
      </c>
      <c r="X401" s="16">
        <f>IFERROR(K401/E401*100,"")</f>
        <v/>
      </c>
      <c r="Y401" s="16">
        <f>IFERROR((N401+O401)/E401*100,"")</f>
        <v/>
      </c>
      <c r="Z401" s="16">
        <f>IFERROR(R401/F401*100,"")</f>
        <v/>
      </c>
      <c r="AA401" s="16">
        <f>IFERROR(R401/E401*100,"")</f>
        <v/>
      </c>
      <c r="AB401" s="16">
        <f>IFERROR(S401/Q401*100,"")</f>
        <v/>
      </c>
      <c r="AC401" s="16">
        <f>IFERROR(T401/Q401*100,"")</f>
        <v/>
      </c>
      <c r="AD401" s="16">
        <f>IFERROR(U401/Q401*100,"")</f>
        <v/>
      </c>
      <c r="AE401" s="18">
        <f>IFERROR(E401/E397-1,"")</f>
        <v/>
      </c>
      <c r="AF401" s="18">
        <f>IFERROR(R401/R397-1,"")</f>
        <v/>
      </c>
      <c r="AG401" s="18">
        <f>IFERROR(F401/F397-1,"")</f>
        <v/>
      </c>
      <c r="AH401">
        <f>P401&gt;0</f>
        <v/>
      </c>
    </row>
    <row r="402">
      <c r="A402" s="14" t="n">
        <v>45473</v>
      </c>
      <c r="B402" t="n">
        <v>18028</v>
      </c>
      <c r="C402" t="inlineStr">
        <is>
          <t>SUGAR RIVER BANK</t>
        </is>
      </c>
      <c r="D402" t="inlineStr">
        <is>
          <t>NH</t>
        </is>
      </c>
      <c r="E402" t="n">
        <v>393662</v>
      </c>
      <c r="F402" t="n">
        <v>324859</v>
      </c>
      <c r="G402" t="n">
        <v>40845</v>
      </c>
      <c r="H402" s="16" t="n">
        <v>0.4703525025067727</v>
      </c>
      <c r="I402" s="16" t="n">
        <v>4.56</v>
      </c>
      <c r="J402" s="16" t="n">
        <v>3.257367757552232</v>
      </c>
      <c r="K402" s="16" t="n">
        <v>548</v>
      </c>
      <c r="L402" s="16" t="n">
        <v>299</v>
      </c>
      <c r="M402" s="16" t="n">
        <v>0.2279640882546684</v>
      </c>
      <c r="N402" s="16" t="n">
        <v>1523</v>
      </c>
      <c r="O402" s="16" t="n">
        <v>68</v>
      </c>
      <c r="P402" s="16" t="n">
        <v>0</v>
      </c>
      <c r="Q402" t="n">
        <v>270218</v>
      </c>
      <c r="R402" t="n">
        <v>268158</v>
      </c>
      <c r="S402" t="n">
        <v>243503</v>
      </c>
      <c r="T402" t="n">
        <v>14637</v>
      </c>
      <c r="U402" t="n">
        <v>6650</v>
      </c>
      <c r="V402" t="n">
        <v>0.7623474379945081</v>
      </c>
      <c r="W402" t="n">
        <v>0.02</v>
      </c>
      <c r="X402" s="16">
        <f>IFERROR(K402/E402*100,"")</f>
        <v/>
      </c>
      <c r="Y402" s="16">
        <f>IFERROR((N402+O402)/E402*100,"")</f>
        <v/>
      </c>
      <c r="Z402" s="16">
        <f>IFERROR(R402/F402*100,"")</f>
        <v/>
      </c>
      <c r="AA402" s="16">
        <f>IFERROR(R402/E402*100,"")</f>
        <v/>
      </c>
      <c r="AB402" s="16">
        <f>IFERROR(S402/Q402*100,"")</f>
        <v/>
      </c>
      <c r="AC402" s="16">
        <f>IFERROR(T402/Q402*100,"")</f>
        <v/>
      </c>
      <c r="AD402" s="16">
        <f>IFERROR(U402/Q402*100,"")</f>
        <v/>
      </c>
      <c r="AE402" s="18">
        <f>IFERROR(E402/E398-1,"")</f>
        <v/>
      </c>
      <c r="AF402" s="18">
        <f>IFERROR(R402/R398-1,"")</f>
        <v/>
      </c>
      <c r="AG402" s="18">
        <f>IFERROR(F402/F398-1,"")</f>
        <v/>
      </c>
      <c r="AH402">
        <f>P402&gt;0</f>
        <v/>
      </c>
    </row>
    <row r="403">
      <c r="A403" s="14" t="n">
        <v>45565</v>
      </c>
      <c r="B403" t="n">
        <v>18028</v>
      </c>
      <c r="C403" t="inlineStr">
        <is>
          <t>SUGAR RIVER BANK</t>
        </is>
      </c>
      <c r="D403" t="inlineStr">
        <is>
          <t>NH</t>
        </is>
      </c>
      <c r="E403" t="n">
        <v>407460</v>
      </c>
      <c r="F403" t="n">
        <v>337570</v>
      </c>
      <c r="G403" t="n">
        <v>43831</v>
      </c>
      <c r="H403" s="16" t="n">
        <v>0.4494458894971446</v>
      </c>
      <c r="I403" s="16" t="n">
        <v>4.31</v>
      </c>
      <c r="J403" s="16" t="n">
        <v>3.299661889516127</v>
      </c>
      <c r="K403" s="16" t="n">
        <v>908</v>
      </c>
      <c r="L403" s="16" t="n">
        <v>376</v>
      </c>
      <c r="M403" s="16" t="n">
        <v>0.4620606591481441</v>
      </c>
      <c r="N403" s="16" t="n">
        <v>845</v>
      </c>
      <c r="O403" s="16" t="n">
        <v>358</v>
      </c>
      <c r="P403" s="16" t="n">
        <v>0</v>
      </c>
      <c r="Q403" t="n">
        <v>273990</v>
      </c>
      <c r="R403" t="n">
        <v>271740</v>
      </c>
      <c r="S403" t="n">
        <v>249806</v>
      </c>
      <c r="T403" t="n">
        <v>12374</v>
      </c>
      <c r="U403" t="n">
        <v>6660</v>
      </c>
      <c r="V403" t="n">
        <v>0.8211978539362751</v>
      </c>
      <c r="W403" t="n">
        <v>0.09</v>
      </c>
      <c r="X403" s="16">
        <f>IFERROR(K403/E403*100,"")</f>
        <v/>
      </c>
      <c r="Y403" s="16">
        <f>IFERROR((N403+O403)/E403*100,"")</f>
        <v/>
      </c>
      <c r="Z403" s="16">
        <f>IFERROR(R403/F403*100,"")</f>
        <v/>
      </c>
      <c r="AA403" s="16">
        <f>IFERROR(R403/E403*100,"")</f>
        <v/>
      </c>
      <c r="AB403" s="16">
        <f>IFERROR(S403/Q403*100,"")</f>
        <v/>
      </c>
      <c r="AC403" s="16">
        <f>IFERROR(T403/Q403*100,"")</f>
        <v/>
      </c>
      <c r="AD403" s="16">
        <f>IFERROR(U403/Q403*100,"")</f>
        <v/>
      </c>
      <c r="AE403" s="18">
        <f>IFERROR(E403/E399-1,"")</f>
        <v/>
      </c>
      <c r="AF403" s="18">
        <f>IFERROR(R403/R399-1,"")</f>
        <v/>
      </c>
      <c r="AG403" s="18">
        <f>IFERROR(F403/F399-1,"")</f>
        <v/>
      </c>
      <c r="AH403">
        <f>P403&gt;0</f>
        <v/>
      </c>
    </row>
    <row r="404">
      <c r="A404" s="14" t="n">
        <v>45657</v>
      </c>
      <c r="B404" t="n">
        <v>18028</v>
      </c>
      <c r="C404" t="inlineStr">
        <is>
          <t>SUGAR RIVER BANK</t>
        </is>
      </c>
      <c r="D404" t="inlineStr">
        <is>
          <t>NH</t>
        </is>
      </c>
      <c r="E404" t="n">
        <v>402051</v>
      </c>
      <c r="F404" t="n">
        <v>341523</v>
      </c>
      <c r="G404" t="n">
        <v>42186</v>
      </c>
      <c r="H404" s="16" t="n">
        <v>0.4274310391189703</v>
      </c>
      <c r="I404" s="16" t="n">
        <v>4.1</v>
      </c>
      <c r="J404" s="16" t="n">
        <v>3.289721837641929</v>
      </c>
      <c r="K404" s="16" t="n">
        <v>888</v>
      </c>
      <c r="L404" s="16" t="n">
        <v>452</v>
      </c>
      <c r="M404" s="16" t="n">
        <v>0.3833172872159568</v>
      </c>
      <c r="N404" s="16" t="n">
        <v>2095</v>
      </c>
      <c r="O404" s="16" t="n">
        <v>183</v>
      </c>
      <c r="P404" s="16" t="n">
        <v>0</v>
      </c>
      <c r="Q404" t="n">
        <v>279403</v>
      </c>
      <c r="R404" t="n">
        <v>277108</v>
      </c>
      <c r="S404" t="n">
        <v>254756</v>
      </c>
      <c r="T404" t="n">
        <v>13467</v>
      </c>
      <c r="U404" t="n">
        <v>5649</v>
      </c>
      <c r="V404" t="n">
        <v>0.8213941868913363</v>
      </c>
      <c r="W404" t="n">
        <v>0.1</v>
      </c>
      <c r="X404" s="16">
        <f>IFERROR(K404/E404*100,"")</f>
        <v/>
      </c>
      <c r="Y404" s="16">
        <f>IFERROR((N404+O404)/E404*100,"")</f>
        <v/>
      </c>
      <c r="Z404" s="16">
        <f>IFERROR(R404/F404*100,"")</f>
        <v/>
      </c>
      <c r="AA404" s="16">
        <f>IFERROR(R404/E404*100,"")</f>
        <v/>
      </c>
      <c r="AB404" s="16">
        <f>IFERROR(S404/Q404*100,"")</f>
        <v/>
      </c>
      <c r="AC404" s="16">
        <f>IFERROR(T404/Q404*100,"")</f>
        <v/>
      </c>
      <c r="AD404" s="16">
        <f>IFERROR(U404/Q404*100,"")</f>
        <v/>
      </c>
      <c r="AE404" s="18">
        <f>IFERROR(E404/E400-1,"")</f>
        <v/>
      </c>
      <c r="AF404" s="18">
        <f>IFERROR(R404/R400-1,"")</f>
        <v/>
      </c>
      <c r="AG404" s="18">
        <f>IFERROR(F404/F400-1,"")</f>
        <v/>
      </c>
      <c r="AH404">
        <f>P404&gt;0</f>
        <v/>
      </c>
    </row>
    <row r="405">
      <c r="A405" s="14" t="n">
        <v>45747</v>
      </c>
      <c r="B405" t="n">
        <v>18028</v>
      </c>
      <c r="C405" t="inlineStr">
        <is>
          <t>SUGAR RIVER BANK</t>
        </is>
      </c>
      <c r="D405" t="inlineStr">
        <is>
          <t>NH</t>
        </is>
      </c>
      <c r="E405" t="n">
        <v>400477</v>
      </c>
      <c r="F405" t="n">
        <v>340672</v>
      </c>
      <c r="G405" t="n">
        <v>43552</v>
      </c>
      <c r="H405" s="16" t="n">
        <v>0.5363052753299573</v>
      </c>
      <c r="I405" s="16" t="n">
        <v>5.02</v>
      </c>
      <c r="J405" s="16" t="n">
        <v>3.467174898515145</v>
      </c>
      <c r="K405" s="16" t="n">
        <v>1021</v>
      </c>
      <c r="L405" s="16" t="n">
        <v>70</v>
      </c>
      <c r="M405" s="16" t="n">
        <v>0.391383067532552</v>
      </c>
      <c r="N405" s="16" t="n">
        <v>1383</v>
      </c>
      <c r="O405" s="16" t="n">
        <v>62</v>
      </c>
      <c r="P405" s="16" t="n">
        <v>0</v>
      </c>
      <c r="Q405" t="n">
        <v>276711</v>
      </c>
      <c r="R405" t="n">
        <v>274397</v>
      </c>
      <c r="S405" t="n">
        <v>254230</v>
      </c>
      <c r="T405" t="n">
        <v>12296</v>
      </c>
      <c r="U405" t="n">
        <v>5085</v>
      </c>
      <c r="V405" t="n">
        <v>0.8362515404158128</v>
      </c>
      <c r="W405" t="n">
        <v>0.09</v>
      </c>
      <c r="X405" s="16">
        <f>IFERROR(K405/E405*100,"")</f>
        <v/>
      </c>
      <c r="Y405" s="16">
        <f>IFERROR((N405+O405)/E405*100,"")</f>
        <v/>
      </c>
      <c r="Z405" s="16">
        <f>IFERROR(R405/F405*100,"")</f>
        <v/>
      </c>
      <c r="AA405" s="16">
        <f>IFERROR(R405/E405*100,"")</f>
        <v/>
      </c>
      <c r="AB405" s="16">
        <f>IFERROR(S405/Q405*100,"")</f>
        <v/>
      </c>
      <c r="AC405" s="16">
        <f>IFERROR(T405/Q405*100,"")</f>
        <v/>
      </c>
      <c r="AD405" s="16">
        <f>IFERROR(U405/Q405*100,"")</f>
        <v/>
      </c>
      <c r="AE405" s="18">
        <f>IFERROR(E405/E401-1,"")</f>
        <v/>
      </c>
      <c r="AF405" s="18">
        <f>IFERROR(R405/R401-1,"")</f>
        <v/>
      </c>
      <c r="AG405" s="18">
        <f>IFERROR(F405/F401-1,"")</f>
        <v/>
      </c>
      <c r="AH405">
        <f>P405&gt;0</f>
        <v/>
      </c>
    </row>
    <row r="406">
      <c r="A406" s="14" t="n">
        <v>45838</v>
      </c>
      <c r="B406" t="n">
        <v>18028</v>
      </c>
      <c r="C406" t="inlineStr">
        <is>
          <t>SUGAR RIVER BANK</t>
        </is>
      </c>
      <c r="D406" t="inlineStr">
        <is>
          <t>NH</t>
        </is>
      </c>
      <c r="E406" t="n">
        <v>404550</v>
      </c>
      <c r="F406" t="n">
        <v>343782</v>
      </c>
      <c r="G406" t="n">
        <v>44056</v>
      </c>
      <c r="H406" s="16" t="n">
        <v>0.5149625790545433</v>
      </c>
      <c r="I406" s="16" t="n">
        <v>4.79</v>
      </c>
      <c r="J406" s="16" t="n">
        <v>3.484540582313081</v>
      </c>
      <c r="K406" s="16" t="n">
        <v>1323</v>
      </c>
      <c r="L406" s="16" t="n">
        <v>214</v>
      </c>
      <c r="M406" s="16" t="n">
        <v>0.4976658467848922</v>
      </c>
      <c r="N406" s="16" t="n">
        <v>1104</v>
      </c>
      <c r="O406" s="16" t="n">
        <v>65</v>
      </c>
      <c r="P406" s="16" t="n">
        <v>0</v>
      </c>
      <c r="Q406" t="n">
        <v>278902</v>
      </c>
      <c r="R406" t="n">
        <v>276472</v>
      </c>
      <c r="S406" t="n">
        <v>256176</v>
      </c>
      <c r="T406" t="n">
        <v>13239</v>
      </c>
      <c r="U406" t="n">
        <v>4410</v>
      </c>
      <c r="V406" t="n">
        <v>0.8712737807545303</v>
      </c>
      <c r="W406" t="n">
        <v>0.17</v>
      </c>
      <c r="X406" s="16">
        <f>IFERROR(K406/E406*100,"")</f>
        <v/>
      </c>
      <c r="Y406" s="16">
        <f>IFERROR((N406+O406)/E406*100,"")</f>
        <v/>
      </c>
      <c r="Z406" s="16">
        <f>IFERROR(R406/F406*100,"")</f>
        <v/>
      </c>
      <c r="AA406" s="16">
        <f>IFERROR(R406/E406*100,"")</f>
        <v/>
      </c>
      <c r="AB406" s="16">
        <f>IFERROR(S406/Q406*100,"")</f>
        <v/>
      </c>
      <c r="AC406" s="16">
        <f>IFERROR(T406/Q406*100,"")</f>
        <v/>
      </c>
      <c r="AD406" s="16">
        <f>IFERROR(U406/Q406*100,"")</f>
        <v/>
      </c>
      <c r="AE406" s="18">
        <f>IFERROR(E406/E402-1,"")</f>
        <v/>
      </c>
      <c r="AF406" s="18">
        <f>IFERROR(R406/R402-1,"")</f>
        <v/>
      </c>
      <c r="AG406" s="18">
        <f>IFERROR(F406/F402-1,"")</f>
        <v/>
      </c>
      <c r="AH406">
        <f>P406&gt;0</f>
        <v/>
      </c>
    </row>
    <row r="407">
      <c r="A407" s="14" t="n">
        <v>44651</v>
      </c>
      <c r="B407" t="n">
        <v>18030</v>
      </c>
      <c r="C407" t="inlineStr">
        <is>
          <t>SAVINGS BANK OF WALPOLE</t>
        </is>
      </c>
      <c r="D407" t="inlineStr">
        <is>
          <t>NH</t>
        </is>
      </c>
      <c r="E407" t="n">
        <v>675480</v>
      </c>
      <c r="F407" t="n">
        <v>625612</v>
      </c>
      <c r="G407" t="n">
        <v>47946</v>
      </c>
      <c r="H407" s="16" t="n">
        <v>0.3546257538028554</v>
      </c>
      <c r="I407" s="16" t="n">
        <v>4.73</v>
      </c>
      <c r="J407" s="16" t="n">
        <v>2.947572623592937</v>
      </c>
      <c r="K407" s="16" t="n">
        <v>602</v>
      </c>
      <c r="L407" s="16" t="n">
        <v>-1</v>
      </c>
      <c r="M407" s="16" t="n">
        <v>0.148721857169341</v>
      </c>
      <c r="N407" s="16" t="n">
        <v>184</v>
      </c>
      <c r="O407" s="16" t="n">
        <v>120</v>
      </c>
      <c r="P407" s="16" t="n">
        <v>14.50806912066837</v>
      </c>
      <c r="Q407" t="n">
        <v>485470</v>
      </c>
      <c r="R407" t="n">
        <v>480899</v>
      </c>
      <c r="S407" t="n">
        <v>383166</v>
      </c>
      <c r="T407" t="n">
        <v>24798</v>
      </c>
      <c r="U407" t="n">
        <v>77370</v>
      </c>
      <c r="V407" t="n">
        <v>0.9415617854862298</v>
      </c>
      <c r="W407" t="n">
        <v>0.1</v>
      </c>
      <c r="X407" s="16">
        <f>IFERROR(K407/E407*100,"")</f>
        <v/>
      </c>
      <c r="Y407" s="16">
        <f>IFERROR((N407+O407)/E407*100,"")</f>
        <v/>
      </c>
      <c r="Z407" s="16">
        <f>IFERROR(R407/F407*100,"")</f>
        <v/>
      </c>
      <c r="AA407" s="16">
        <f>IFERROR(R407/E407*100,"")</f>
        <v/>
      </c>
      <c r="AB407" s="16">
        <f>IFERROR(S407/Q407*100,"")</f>
        <v/>
      </c>
      <c r="AC407" s="16">
        <f>IFERROR(T407/Q407*100,"")</f>
        <v/>
      </c>
      <c r="AD407" s="16">
        <f>IFERROR(U407/Q407*100,"")</f>
        <v/>
      </c>
      <c r="AE407" s="18" t="n"/>
      <c r="AF407" s="18" t="n"/>
      <c r="AG407" s="18" t="n"/>
      <c r="AH407">
        <f>P407&gt;0</f>
        <v/>
      </c>
    </row>
    <row r="408">
      <c r="A408" s="14" t="n">
        <v>44742</v>
      </c>
      <c r="B408" t="n">
        <v>18030</v>
      </c>
      <c r="C408" t="inlineStr">
        <is>
          <t>SAVINGS BANK OF WALPOLE</t>
        </is>
      </c>
      <c r="D408" t="inlineStr">
        <is>
          <t>NH</t>
        </is>
      </c>
      <c r="E408" t="n">
        <v>687772</v>
      </c>
      <c r="F408" t="n">
        <v>640669</v>
      </c>
      <c r="G408" t="n">
        <v>44729</v>
      </c>
      <c r="H408" s="16" t="n">
        <v>0.3787848966288242</v>
      </c>
      <c r="I408" s="16" t="n">
        <v>5.29</v>
      </c>
      <c r="J408" s="16" t="n">
        <v>3.018931710615281</v>
      </c>
      <c r="K408" s="16" t="n">
        <v>564</v>
      </c>
      <c r="L408" s="16" t="n">
        <v>-30</v>
      </c>
      <c r="M408" s="16" t="n">
        <v>0.1101614138162726</v>
      </c>
      <c r="N408" s="16" t="n">
        <v>123</v>
      </c>
      <c r="O408" s="16" t="n">
        <v>0</v>
      </c>
      <c r="P408" s="16" t="n">
        <v>13.6627788194807</v>
      </c>
      <c r="Q408" t="n">
        <v>511976</v>
      </c>
      <c r="R408" t="n">
        <v>507226</v>
      </c>
      <c r="S408" t="n">
        <v>399387</v>
      </c>
      <c r="T408" t="n">
        <v>28037</v>
      </c>
      <c r="U408" t="n">
        <v>84156</v>
      </c>
      <c r="V408" t="n">
        <v>0.9277778645874024</v>
      </c>
      <c r="W408" t="n">
        <v>0.1</v>
      </c>
      <c r="X408" s="16">
        <f>IFERROR(K408/E408*100,"")</f>
        <v/>
      </c>
      <c r="Y408" s="16">
        <f>IFERROR((N408+O408)/E408*100,"")</f>
        <v/>
      </c>
      <c r="Z408" s="16">
        <f>IFERROR(R408/F408*100,"")</f>
        <v/>
      </c>
      <c r="AA408" s="16">
        <f>IFERROR(R408/E408*100,"")</f>
        <v/>
      </c>
      <c r="AB408" s="16">
        <f>IFERROR(S408/Q408*100,"")</f>
        <v/>
      </c>
      <c r="AC408" s="16">
        <f>IFERROR(T408/Q408*100,"")</f>
        <v/>
      </c>
      <c r="AD408" s="16">
        <f>IFERROR(U408/Q408*100,"")</f>
        <v/>
      </c>
      <c r="AE408" s="18" t="n"/>
      <c r="AF408" s="18" t="n"/>
      <c r="AG408" s="18" t="n"/>
      <c r="AH408">
        <f>P408&gt;0</f>
        <v/>
      </c>
    </row>
    <row r="409">
      <c r="A409" s="14" t="n">
        <v>44834</v>
      </c>
      <c r="B409" t="n">
        <v>18030</v>
      </c>
      <c r="C409" t="inlineStr">
        <is>
          <t>SAVINGS BANK OF WALPOLE</t>
        </is>
      </c>
      <c r="D409" t="inlineStr">
        <is>
          <t>NH</t>
        </is>
      </c>
      <c r="E409" t="n">
        <v>703383</v>
      </c>
      <c r="F409" t="n">
        <v>659450</v>
      </c>
      <c r="G409" t="n">
        <v>40935</v>
      </c>
      <c r="H409" s="16" t="n">
        <v>0.4109553232095526</v>
      </c>
      <c r="I409" s="16" t="n">
        <v>6.03</v>
      </c>
      <c r="J409" s="16" t="n">
        <v>3.13216431026469</v>
      </c>
      <c r="K409" s="16" t="n">
        <v>929</v>
      </c>
      <c r="L409" s="16" t="n">
        <v>-30</v>
      </c>
      <c r="M409" s="16" t="n">
        <v>0.1944532173836402</v>
      </c>
      <c r="N409" s="16" t="n">
        <v>19</v>
      </c>
      <c r="O409" s="16" t="n">
        <v>130</v>
      </c>
      <c r="P409" s="16" t="n">
        <v>13.02082889999234</v>
      </c>
      <c r="Q409" t="n">
        <v>544604</v>
      </c>
      <c r="R409" t="n">
        <v>539539</v>
      </c>
      <c r="S409" t="n">
        <v>424875</v>
      </c>
      <c r="T409" t="n">
        <v>30312</v>
      </c>
      <c r="U409" t="n">
        <v>89007</v>
      </c>
      <c r="V409" t="n">
        <v>0.9300335656734068</v>
      </c>
      <c r="W409" t="n">
        <v>0.13</v>
      </c>
      <c r="X409" s="16">
        <f>IFERROR(K409/E409*100,"")</f>
        <v/>
      </c>
      <c r="Y409" s="16">
        <f>IFERROR((N409+O409)/E409*100,"")</f>
        <v/>
      </c>
      <c r="Z409" s="16">
        <f>IFERROR(R409/F409*100,"")</f>
        <v/>
      </c>
      <c r="AA409" s="16">
        <f>IFERROR(R409/E409*100,"")</f>
        <v/>
      </c>
      <c r="AB409" s="16">
        <f>IFERROR(S409/Q409*100,"")</f>
        <v/>
      </c>
      <c r="AC409" s="16">
        <f>IFERROR(T409/Q409*100,"")</f>
        <v/>
      </c>
      <c r="AD409" s="16">
        <f>IFERROR(U409/Q409*100,"")</f>
        <v/>
      </c>
      <c r="AE409" s="18" t="n"/>
      <c r="AF409" s="18" t="n"/>
      <c r="AG409" s="18" t="n"/>
      <c r="AH409">
        <f>P409&gt;0</f>
        <v/>
      </c>
    </row>
    <row r="410">
      <c r="A410" s="14" t="n">
        <v>44926</v>
      </c>
      <c r="B410" t="n">
        <v>18030</v>
      </c>
      <c r="C410" t="inlineStr">
        <is>
          <t>SAVINGS BANK OF WALPOLE</t>
        </is>
      </c>
      <c r="D410" t="inlineStr">
        <is>
          <t>NH</t>
        </is>
      </c>
      <c r="E410" t="n">
        <v>702716</v>
      </c>
      <c r="F410" t="n">
        <v>654989</v>
      </c>
      <c r="G410" t="n">
        <v>42204</v>
      </c>
      <c r="H410" s="16" t="n">
        <v>0.3857913608910224</v>
      </c>
      <c r="I410" s="16" t="n">
        <v>5.8</v>
      </c>
      <c r="J410" s="16" t="n">
        <v>3.234388572312142</v>
      </c>
      <c r="K410" s="16" t="n">
        <v>822</v>
      </c>
      <c r="L410" s="16" t="n">
        <v>172</v>
      </c>
      <c r="M410" s="16" t="n">
        <v>0.1490639977803609</v>
      </c>
      <c r="N410" s="16" t="n">
        <v>415</v>
      </c>
      <c r="O410" s="16" t="n">
        <v>0</v>
      </c>
      <c r="P410" s="16" t="n">
        <v>12.96636430692335</v>
      </c>
      <c r="Q410" t="n">
        <v>551441</v>
      </c>
      <c r="R410" t="n">
        <v>545923</v>
      </c>
      <c r="S410" t="n">
        <v>430473</v>
      </c>
      <c r="T410" t="n">
        <v>34512</v>
      </c>
      <c r="U410" t="n">
        <v>86350</v>
      </c>
      <c r="V410" t="n">
        <v>1.000651021596145</v>
      </c>
      <c r="W410" t="n">
        <v>0.19</v>
      </c>
      <c r="X410" s="16">
        <f>IFERROR(K410/E410*100,"")</f>
        <v/>
      </c>
      <c r="Y410" s="16">
        <f>IFERROR((N410+O410)/E410*100,"")</f>
        <v/>
      </c>
      <c r="Z410" s="16">
        <f>IFERROR(R410/F410*100,"")</f>
        <v/>
      </c>
      <c r="AA410" s="16">
        <f>IFERROR(R410/E410*100,"")</f>
        <v/>
      </c>
      <c r="AB410" s="16">
        <f>IFERROR(S410/Q410*100,"")</f>
        <v/>
      </c>
      <c r="AC410" s="16">
        <f>IFERROR(T410/Q410*100,"")</f>
        <v/>
      </c>
      <c r="AD410" s="16">
        <f>IFERROR(U410/Q410*100,"")</f>
        <v/>
      </c>
      <c r="AE410" s="18" t="n"/>
      <c r="AF410" s="18" t="n"/>
      <c r="AG410" s="18" t="n"/>
      <c r="AH410">
        <f>P410&gt;0</f>
        <v/>
      </c>
    </row>
    <row r="411">
      <c r="A411" s="14" t="n">
        <v>45016</v>
      </c>
      <c r="B411" t="n">
        <v>18030</v>
      </c>
      <c r="C411" t="inlineStr">
        <is>
          <t>SAVINGS BANK OF WALPOLE</t>
        </is>
      </c>
      <c r="D411" t="inlineStr">
        <is>
          <t>NH</t>
        </is>
      </c>
      <c r="E411" t="n">
        <v>704016</v>
      </c>
      <c r="F411" t="n">
        <v>652422</v>
      </c>
      <c r="G411" t="n">
        <v>44712</v>
      </c>
      <c r="H411" s="16" t="n">
        <v>0.6261320564258153</v>
      </c>
      <c r="I411" s="16" t="n">
        <v>10.13</v>
      </c>
      <c r="J411" s="16" t="n">
        <v>3.504928806133625</v>
      </c>
      <c r="K411" s="16" t="n">
        <v>501</v>
      </c>
      <c r="L411" s="16" t="n">
        <v>-12</v>
      </c>
      <c r="M411" s="16" t="n">
        <v>0.0897061719994986</v>
      </c>
      <c r="N411" s="16" t="n">
        <v>714</v>
      </c>
      <c r="O411" s="16" t="n">
        <v>0</v>
      </c>
      <c r="P411" s="16" t="n">
        <v>12.98981187197351</v>
      </c>
      <c r="Q411" t="n">
        <v>558490</v>
      </c>
      <c r="R411" t="n">
        <v>552801</v>
      </c>
      <c r="S411" t="n">
        <v>437108</v>
      </c>
      <c r="T411" t="n">
        <v>34886</v>
      </c>
      <c r="U411" t="n">
        <v>86405</v>
      </c>
      <c r="V411" t="n">
        <v>1.018639545918459</v>
      </c>
      <c r="W411" t="n">
        <v>0.11</v>
      </c>
      <c r="X411" s="16">
        <f>IFERROR(K411/E411*100,"")</f>
        <v/>
      </c>
      <c r="Y411" s="16">
        <f>IFERROR((N411+O411)/E411*100,"")</f>
        <v/>
      </c>
      <c r="Z411" s="16">
        <f>IFERROR(R411/F411*100,"")</f>
        <v/>
      </c>
      <c r="AA411" s="16">
        <f>IFERROR(R411/E411*100,"")</f>
        <v/>
      </c>
      <c r="AB411" s="16">
        <f>IFERROR(S411/Q411*100,"")</f>
        <v/>
      </c>
      <c r="AC411" s="16">
        <f>IFERROR(T411/Q411*100,"")</f>
        <v/>
      </c>
      <c r="AD411" s="16">
        <f>IFERROR(U411/Q411*100,"")</f>
        <v/>
      </c>
      <c r="AE411" s="18">
        <f>IFERROR(E411/E407-1,"")</f>
        <v/>
      </c>
      <c r="AF411" s="18">
        <f>IFERROR(R411/R407-1,"")</f>
        <v/>
      </c>
      <c r="AG411" s="18">
        <f>IFERROR(F411/F407-1,"")</f>
        <v/>
      </c>
      <c r="AH411">
        <f>P411&gt;0</f>
        <v/>
      </c>
    </row>
    <row r="412">
      <c r="A412" s="14" t="n">
        <v>45107</v>
      </c>
      <c r="B412" t="n">
        <v>18030</v>
      </c>
      <c r="C412" t="inlineStr">
        <is>
          <t>SAVINGS BANK OF WALPOLE</t>
        </is>
      </c>
      <c r="D412" t="inlineStr">
        <is>
          <t>NH</t>
        </is>
      </c>
      <c r="E412" t="n">
        <v>736677</v>
      </c>
      <c r="F412" t="n">
        <v>664243</v>
      </c>
      <c r="G412" t="n">
        <v>44564</v>
      </c>
      <c r="H412" s="16" t="n">
        <v>0.584769402386572</v>
      </c>
      <c r="I412" s="16" t="n">
        <v>9.529999999999999</v>
      </c>
      <c r="J412" s="16" t="n">
        <v>3.484651637481268</v>
      </c>
      <c r="K412" s="16" t="n">
        <v>490</v>
      </c>
      <c r="L412" s="16" t="n">
        <v>-4</v>
      </c>
      <c r="M412" s="16" t="n">
        <v>0.08348525377813359</v>
      </c>
      <c r="N412" s="16" t="n">
        <v>161</v>
      </c>
      <c r="O412" s="16" t="n">
        <v>0</v>
      </c>
      <c r="P412" s="16" t="n">
        <v>12.50099575081554</v>
      </c>
      <c r="Q412" t="n">
        <v>586930</v>
      </c>
      <c r="R412" t="n">
        <v>581110</v>
      </c>
      <c r="S412" t="n">
        <v>449340</v>
      </c>
      <c r="T412" t="n">
        <v>41828</v>
      </c>
      <c r="U412" t="n">
        <v>95640</v>
      </c>
      <c r="V412" t="n">
        <v>0.9916003612015062</v>
      </c>
      <c r="W412" t="n">
        <v>0.13</v>
      </c>
      <c r="X412" s="16">
        <f>IFERROR(K412/E412*100,"")</f>
        <v/>
      </c>
      <c r="Y412" s="16">
        <f>IFERROR((N412+O412)/E412*100,"")</f>
        <v/>
      </c>
      <c r="Z412" s="16">
        <f>IFERROR(R412/F412*100,"")</f>
        <v/>
      </c>
      <c r="AA412" s="16">
        <f>IFERROR(R412/E412*100,"")</f>
        <v/>
      </c>
      <c r="AB412" s="16">
        <f>IFERROR(S412/Q412*100,"")</f>
        <v/>
      </c>
      <c r="AC412" s="16">
        <f>IFERROR(T412/Q412*100,"")</f>
        <v/>
      </c>
      <c r="AD412" s="16">
        <f>IFERROR(U412/Q412*100,"")</f>
        <v/>
      </c>
      <c r="AE412" s="18">
        <f>IFERROR(E412/E408-1,"")</f>
        <v/>
      </c>
      <c r="AF412" s="18">
        <f>IFERROR(R412/R408-1,"")</f>
        <v/>
      </c>
      <c r="AG412" s="18">
        <f>IFERROR(F412/F408-1,"")</f>
        <v/>
      </c>
      <c r="AH412">
        <f>P412&gt;0</f>
        <v/>
      </c>
    </row>
    <row r="413">
      <c r="A413" s="14" t="n">
        <v>45199</v>
      </c>
      <c r="B413" t="n">
        <v>18030</v>
      </c>
      <c r="C413" t="inlineStr">
        <is>
          <t>SAVINGS BANK OF WALPOLE</t>
        </is>
      </c>
      <c r="D413" t="inlineStr">
        <is>
          <t>NH</t>
        </is>
      </c>
      <c r="E413" t="n">
        <v>734470</v>
      </c>
      <c r="F413" t="n">
        <v>660381</v>
      </c>
      <c r="G413" t="n">
        <v>43119</v>
      </c>
      <c r="H413" s="16" t="n">
        <v>0.5654022702135844</v>
      </c>
      <c r="I413" s="16" t="n">
        <v>9.32</v>
      </c>
      <c r="J413" s="16" t="n">
        <v>3.475601936655293</v>
      </c>
      <c r="K413" s="16" t="n">
        <v>457</v>
      </c>
      <c r="L413" s="16" t="n">
        <v>10</v>
      </c>
      <c r="M413" s="16" t="n">
        <v>0.0998440675560841</v>
      </c>
      <c r="N413" s="16" t="n">
        <v>226</v>
      </c>
      <c r="O413" s="16" t="n">
        <v>134</v>
      </c>
      <c r="P413" s="16" t="n">
        <v>12.61442320674292</v>
      </c>
      <c r="Q413" t="n">
        <v>591923</v>
      </c>
      <c r="R413" t="n">
        <v>585877</v>
      </c>
      <c r="S413" t="n">
        <v>453550</v>
      </c>
      <c r="T413" t="n">
        <v>41868</v>
      </c>
      <c r="U413" t="n">
        <v>96224</v>
      </c>
      <c r="V413" t="n">
        <v>1.021416636961226</v>
      </c>
      <c r="W413" t="n">
        <v>0.13</v>
      </c>
      <c r="X413" s="16">
        <f>IFERROR(K413/E413*100,"")</f>
        <v/>
      </c>
      <c r="Y413" s="16">
        <f>IFERROR((N413+O413)/E413*100,"")</f>
        <v/>
      </c>
      <c r="Z413" s="16">
        <f>IFERROR(R413/F413*100,"")</f>
        <v/>
      </c>
      <c r="AA413" s="16">
        <f>IFERROR(R413/E413*100,"")</f>
        <v/>
      </c>
      <c r="AB413" s="16">
        <f>IFERROR(S413/Q413*100,"")</f>
        <v/>
      </c>
      <c r="AC413" s="16">
        <f>IFERROR(T413/Q413*100,"")</f>
        <v/>
      </c>
      <c r="AD413" s="16">
        <f>IFERROR(U413/Q413*100,"")</f>
        <v/>
      </c>
      <c r="AE413" s="18">
        <f>IFERROR(E413/E409-1,"")</f>
        <v/>
      </c>
      <c r="AF413" s="18">
        <f>IFERROR(R413/R409-1,"")</f>
        <v/>
      </c>
      <c r="AG413" s="18">
        <f>IFERROR(F413/F409-1,"")</f>
        <v/>
      </c>
      <c r="AH413">
        <f>P413&gt;0</f>
        <v/>
      </c>
    </row>
    <row r="414">
      <c r="A414" s="14" t="n">
        <v>45291</v>
      </c>
      <c r="B414" t="n">
        <v>18030</v>
      </c>
      <c r="C414" t="inlineStr">
        <is>
          <t>SAVINGS BANK OF WALPOLE</t>
        </is>
      </c>
      <c r="D414" t="inlineStr">
        <is>
          <t>NH</t>
        </is>
      </c>
      <c r="E414" t="n">
        <v>727730</v>
      </c>
      <c r="F414" t="n">
        <v>660214</v>
      </c>
      <c r="G414" t="n">
        <v>49050</v>
      </c>
      <c r="H414" s="16" t="n">
        <v>0.7032099154400824</v>
      </c>
      <c r="I414" s="16" t="n">
        <v>11.34</v>
      </c>
      <c r="J414" s="16" t="n">
        <v>3.491418753482472</v>
      </c>
      <c r="K414" s="16" t="n">
        <v>456</v>
      </c>
      <c r="L414" s="16" t="n">
        <v>-350</v>
      </c>
      <c r="M414" s="16" t="n">
        <v>0.0775714686694621</v>
      </c>
      <c r="N414" s="16" t="n">
        <v>829</v>
      </c>
      <c r="O414" s="16" t="n">
        <v>0</v>
      </c>
      <c r="P414" s="16" t="n">
        <v>13.29598904989655</v>
      </c>
      <c r="Q414" t="n">
        <v>587845</v>
      </c>
      <c r="R414" t="n">
        <v>581874</v>
      </c>
      <c r="S414" t="n">
        <v>451120</v>
      </c>
      <c r="T414" t="n">
        <v>41412</v>
      </c>
      <c r="U414" t="n">
        <v>95210</v>
      </c>
      <c r="V414" t="n">
        <v>1.015743946108243</v>
      </c>
      <c r="W414" t="n">
        <v>0.04</v>
      </c>
      <c r="X414" s="16">
        <f>IFERROR(K414/E414*100,"")</f>
        <v/>
      </c>
      <c r="Y414" s="16">
        <f>IFERROR((N414+O414)/E414*100,"")</f>
        <v/>
      </c>
      <c r="Z414" s="16">
        <f>IFERROR(R414/F414*100,"")</f>
        <v/>
      </c>
      <c r="AA414" s="16">
        <f>IFERROR(R414/E414*100,"")</f>
        <v/>
      </c>
      <c r="AB414" s="16">
        <f>IFERROR(S414/Q414*100,"")</f>
        <v/>
      </c>
      <c r="AC414" s="16">
        <f>IFERROR(T414/Q414*100,"")</f>
        <v/>
      </c>
      <c r="AD414" s="16">
        <f>IFERROR(U414/Q414*100,"")</f>
        <v/>
      </c>
      <c r="AE414" s="18">
        <f>IFERROR(E414/E410-1,"")</f>
        <v/>
      </c>
      <c r="AF414" s="18">
        <f>IFERROR(R414/R410-1,"")</f>
        <v/>
      </c>
      <c r="AG414" s="18">
        <f>IFERROR(F414/F410-1,"")</f>
        <v/>
      </c>
      <c r="AH414">
        <f>P414&gt;0</f>
        <v/>
      </c>
    </row>
    <row r="415">
      <c r="A415" s="14" t="n">
        <v>45382</v>
      </c>
      <c r="B415" t="n">
        <v>18030</v>
      </c>
      <c r="C415" t="inlineStr">
        <is>
          <t>SAVINGS BANK OF WALPOLE</t>
        </is>
      </c>
      <c r="D415" t="inlineStr">
        <is>
          <t>NH</t>
        </is>
      </c>
      <c r="E415" t="n">
        <v>760475</v>
      </c>
      <c r="F415" t="n">
        <v>679167</v>
      </c>
      <c r="G415" t="n">
        <v>49359</v>
      </c>
      <c r="H415" s="16" t="n">
        <v>0.6805514025285495</v>
      </c>
      <c r="I415" s="16" t="n">
        <v>10.29</v>
      </c>
      <c r="J415" s="16" t="n">
        <v>3.436227121569465</v>
      </c>
      <c r="K415" s="16" t="n">
        <v>508</v>
      </c>
      <c r="L415" s="16" t="n">
        <v>-1</v>
      </c>
      <c r="M415" s="16" t="n">
        <v>0.1112804719264194</v>
      </c>
      <c r="N415" s="16" t="n">
        <v>2582</v>
      </c>
      <c r="O415" s="16" t="n">
        <v>133</v>
      </c>
      <c r="P415" s="16" t="n">
        <v>13.50076849221432</v>
      </c>
      <c r="Q415" t="n">
        <v>576022</v>
      </c>
      <c r="R415" t="n">
        <v>570090</v>
      </c>
      <c r="S415" t="n">
        <v>444671</v>
      </c>
      <c r="T415" t="n">
        <v>36835</v>
      </c>
      <c r="U415" t="n">
        <v>94431</v>
      </c>
      <c r="V415" t="n">
        <v>1.029821777640437</v>
      </c>
      <c r="W415" t="n">
        <v>-0.01</v>
      </c>
      <c r="X415" s="16">
        <f>IFERROR(K415/E415*100,"")</f>
        <v/>
      </c>
      <c r="Y415" s="16">
        <f>IFERROR((N415+O415)/E415*100,"")</f>
        <v/>
      </c>
      <c r="Z415" s="16">
        <f>IFERROR(R415/F415*100,"")</f>
        <v/>
      </c>
      <c r="AA415" s="16">
        <f>IFERROR(R415/E415*100,"")</f>
        <v/>
      </c>
      <c r="AB415" s="16">
        <f>IFERROR(S415/Q415*100,"")</f>
        <v/>
      </c>
      <c r="AC415" s="16">
        <f>IFERROR(T415/Q415*100,"")</f>
        <v/>
      </c>
      <c r="AD415" s="16">
        <f>IFERROR(U415/Q415*100,"")</f>
        <v/>
      </c>
      <c r="AE415" s="18">
        <f>IFERROR(E415/E411-1,"")</f>
        <v/>
      </c>
      <c r="AF415" s="18">
        <f>IFERROR(R415/R411-1,"")</f>
        <v/>
      </c>
      <c r="AG415" s="18">
        <f>IFERROR(F415/F411-1,"")</f>
        <v/>
      </c>
      <c r="AH415">
        <f>P415&gt;0</f>
        <v/>
      </c>
    </row>
    <row r="416">
      <c r="A416" s="14" t="n">
        <v>45473</v>
      </c>
      <c r="B416" t="n">
        <v>18030</v>
      </c>
      <c r="C416" t="inlineStr">
        <is>
          <t>SAVINGS BANK OF WALPOLE</t>
        </is>
      </c>
      <c r="D416" t="inlineStr">
        <is>
          <t>NH</t>
        </is>
      </c>
      <c r="E416" t="n">
        <v>764903</v>
      </c>
      <c r="F416" t="n">
        <v>682796</v>
      </c>
      <c r="G416" t="n">
        <v>50593</v>
      </c>
      <c r="H416" s="16" t="n">
        <v>0.6740023114737509</v>
      </c>
      <c r="I416" s="16" t="n">
        <v>10.19</v>
      </c>
      <c r="J416" s="16" t="n">
        <v>3.415271757747698</v>
      </c>
      <c r="K416" s="16" t="n">
        <v>1934</v>
      </c>
      <c r="L416" s="16" t="n">
        <v>79</v>
      </c>
      <c r="M416" s="16" t="n">
        <v>0.3260937376176273</v>
      </c>
      <c r="N416" s="16" t="n">
        <v>1233</v>
      </c>
      <c r="O416" s="16" t="n">
        <v>0</v>
      </c>
      <c r="P416" s="16" t="n">
        <v>13.44368874742413</v>
      </c>
      <c r="Q416" t="n">
        <v>593081</v>
      </c>
      <c r="R416" t="n">
        <v>587194</v>
      </c>
      <c r="S416" t="n">
        <v>452116</v>
      </c>
      <c r="T416" t="n">
        <v>41777</v>
      </c>
      <c r="U416" t="n">
        <v>99073</v>
      </c>
      <c r="V416" t="n">
        <v>0.9926131506488995</v>
      </c>
      <c r="W416" t="n">
        <v>0.02</v>
      </c>
      <c r="X416" s="16">
        <f>IFERROR(K416/E416*100,"")</f>
        <v/>
      </c>
      <c r="Y416" s="16">
        <f>IFERROR((N416+O416)/E416*100,"")</f>
        <v/>
      </c>
      <c r="Z416" s="16">
        <f>IFERROR(R416/F416*100,"")</f>
        <v/>
      </c>
      <c r="AA416" s="16">
        <f>IFERROR(R416/E416*100,"")</f>
        <v/>
      </c>
      <c r="AB416" s="16">
        <f>IFERROR(S416/Q416*100,"")</f>
        <v/>
      </c>
      <c r="AC416" s="16">
        <f>IFERROR(T416/Q416*100,"")</f>
        <v/>
      </c>
      <c r="AD416" s="16">
        <f>IFERROR(U416/Q416*100,"")</f>
        <v/>
      </c>
      <c r="AE416" s="18">
        <f>IFERROR(E416/E412-1,"")</f>
        <v/>
      </c>
      <c r="AF416" s="18">
        <f>IFERROR(R416/R412-1,"")</f>
        <v/>
      </c>
      <c r="AG416" s="18">
        <f>IFERROR(F416/F412-1,"")</f>
        <v/>
      </c>
      <c r="AH416">
        <f>P416&gt;0</f>
        <v/>
      </c>
    </row>
    <row r="417">
      <c r="A417" s="14" t="n">
        <v>45565</v>
      </c>
      <c r="B417" t="n">
        <v>18030</v>
      </c>
      <c r="C417" t="inlineStr">
        <is>
          <t>SAVINGS BANK OF WALPOLE</t>
        </is>
      </c>
      <c r="D417" t="inlineStr">
        <is>
          <t>NH</t>
        </is>
      </c>
      <c r="E417" t="n">
        <v>794567</v>
      </c>
      <c r="F417" t="n">
        <v>707506</v>
      </c>
      <c r="G417" t="n">
        <v>54737</v>
      </c>
      <c r="H417" s="16" t="n">
        <v>0.6973447628109952</v>
      </c>
      <c r="I417" s="16" t="n">
        <v>10.43</v>
      </c>
      <c r="J417" s="16" t="n">
        <v>3.416191450570458</v>
      </c>
      <c r="K417" s="16" t="n">
        <v>1967</v>
      </c>
      <c r="L417" s="16" t="n">
        <v>111</v>
      </c>
      <c r="M417" s="16" t="n">
        <v>0.3340829109882196</v>
      </c>
      <c r="N417" s="16" t="n">
        <v>1330</v>
      </c>
      <c r="O417" s="16" t="n">
        <v>0</v>
      </c>
      <c r="P417" s="16" t="n">
        <v>13.67053932610317</v>
      </c>
      <c r="Q417" t="n">
        <v>588776</v>
      </c>
      <c r="R417" t="n">
        <v>582921</v>
      </c>
      <c r="S417" t="n">
        <v>447654</v>
      </c>
      <c r="T417" t="n">
        <v>42189</v>
      </c>
      <c r="U417" t="n">
        <v>98640</v>
      </c>
      <c r="V417" t="n">
        <v>0.9944359145073848</v>
      </c>
      <c r="W417" t="n">
        <v>0.01</v>
      </c>
      <c r="X417" s="16">
        <f>IFERROR(K417/E417*100,"")</f>
        <v/>
      </c>
      <c r="Y417" s="16">
        <f>IFERROR((N417+O417)/E417*100,"")</f>
        <v/>
      </c>
      <c r="Z417" s="16">
        <f>IFERROR(R417/F417*100,"")</f>
        <v/>
      </c>
      <c r="AA417" s="16">
        <f>IFERROR(R417/E417*100,"")</f>
        <v/>
      </c>
      <c r="AB417" s="16">
        <f>IFERROR(S417/Q417*100,"")</f>
        <v/>
      </c>
      <c r="AC417" s="16">
        <f>IFERROR(T417/Q417*100,"")</f>
        <v/>
      </c>
      <c r="AD417" s="16">
        <f>IFERROR(U417/Q417*100,"")</f>
        <v/>
      </c>
      <c r="AE417" s="18">
        <f>IFERROR(E417/E413-1,"")</f>
        <v/>
      </c>
      <c r="AF417" s="18">
        <f>IFERROR(R417/R413-1,"")</f>
        <v/>
      </c>
      <c r="AG417" s="18">
        <f>IFERROR(F417/F413-1,"")</f>
        <v/>
      </c>
      <c r="AH417">
        <f>P417&gt;0</f>
        <v/>
      </c>
    </row>
    <row r="418">
      <c r="A418" s="14" t="n">
        <v>45657</v>
      </c>
      <c r="B418" t="n">
        <v>18030</v>
      </c>
      <c r="C418" t="inlineStr">
        <is>
          <t>SAVINGS BANK OF WALPOLE</t>
        </is>
      </c>
      <c r="D418" t="inlineStr">
        <is>
          <t>NH</t>
        </is>
      </c>
      <c r="E418" t="n">
        <v>777879</v>
      </c>
      <c r="F418" t="n">
        <v>716969</v>
      </c>
      <c r="G418" t="n">
        <v>53665</v>
      </c>
      <c r="H418" s="16" t="n">
        <v>0.7078713305314733</v>
      </c>
      <c r="I418" s="16" t="n">
        <v>10.52</v>
      </c>
      <c r="J418" s="16" t="n">
        <v>3.453909297338452</v>
      </c>
      <c r="K418" s="16" t="n">
        <v>2023</v>
      </c>
      <c r="L418" s="16" t="n">
        <v>140</v>
      </c>
      <c r="M418" s="16" t="n">
        <v>0.34237765456921</v>
      </c>
      <c r="N418" s="16" t="n">
        <v>1966</v>
      </c>
      <c r="O418" s="16" t="n">
        <v>0</v>
      </c>
      <c r="P418" s="16" t="n">
        <v>13.99870961723827</v>
      </c>
      <c r="Q418" t="n">
        <v>590868</v>
      </c>
      <c r="R418" t="n">
        <v>585037</v>
      </c>
      <c r="S418" t="n">
        <v>455091</v>
      </c>
      <c r="T418" t="n">
        <v>39526</v>
      </c>
      <c r="U418" t="n">
        <v>96186</v>
      </c>
      <c r="V418" t="n">
        <v>0.9868532396406644</v>
      </c>
      <c r="W418" t="n">
        <v>0.01</v>
      </c>
      <c r="X418" s="16">
        <f>IFERROR(K418/E418*100,"")</f>
        <v/>
      </c>
      <c r="Y418" s="16">
        <f>IFERROR((N418+O418)/E418*100,"")</f>
        <v/>
      </c>
      <c r="Z418" s="16">
        <f>IFERROR(R418/F418*100,"")</f>
        <v/>
      </c>
      <c r="AA418" s="16">
        <f>IFERROR(R418/E418*100,"")</f>
        <v/>
      </c>
      <c r="AB418" s="16">
        <f>IFERROR(S418/Q418*100,"")</f>
        <v/>
      </c>
      <c r="AC418" s="16">
        <f>IFERROR(T418/Q418*100,"")</f>
        <v/>
      </c>
      <c r="AD418" s="16">
        <f>IFERROR(U418/Q418*100,"")</f>
        <v/>
      </c>
      <c r="AE418" s="18">
        <f>IFERROR(E418/E414-1,"")</f>
        <v/>
      </c>
      <c r="AF418" s="18">
        <f>IFERROR(R418/R414-1,"")</f>
        <v/>
      </c>
      <c r="AG418" s="18">
        <f>IFERROR(F418/F414-1,"")</f>
        <v/>
      </c>
      <c r="AH418">
        <f>P418&gt;0</f>
        <v/>
      </c>
    </row>
    <row r="419">
      <c r="A419" s="14" t="n">
        <v>45747</v>
      </c>
      <c r="B419" t="n">
        <v>18030</v>
      </c>
      <c r="C419" t="inlineStr">
        <is>
          <t>SAVINGS BANK OF WALPOLE</t>
        </is>
      </c>
      <c r="D419" t="inlineStr">
        <is>
          <t>NH</t>
        </is>
      </c>
      <c r="E419" t="n">
        <v>800795</v>
      </c>
      <c r="F419" t="n">
        <v>736585</v>
      </c>
      <c r="G419" t="n">
        <v>56520</v>
      </c>
      <c r="H419" s="16" t="n">
        <v>0.6461118635006341</v>
      </c>
      <c r="I419" s="16" t="n">
        <v>9.26</v>
      </c>
      <c r="J419" s="16" t="n">
        <v>3.62784293997723</v>
      </c>
      <c r="K419" s="16" t="n">
        <v>1821</v>
      </c>
      <c r="L419" s="16" t="n">
        <v>78</v>
      </c>
      <c r="M419" s="16" t="n">
        <v>0.3069485671519522</v>
      </c>
      <c r="N419" s="16" t="n">
        <v>2217</v>
      </c>
      <c r="O419" s="16" t="n">
        <v>0</v>
      </c>
      <c r="P419" s="16" t="n">
        <v>14.16834923066212</v>
      </c>
      <c r="Q419" t="n">
        <v>593259</v>
      </c>
      <c r="R419" t="n">
        <v>587341</v>
      </c>
      <c r="S419" t="n">
        <v>457374</v>
      </c>
      <c r="T419" t="n">
        <v>40723</v>
      </c>
      <c r="U419" t="n">
        <v>95064</v>
      </c>
      <c r="V419" t="n">
        <v>0.9975407031330328</v>
      </c>
      <c r="W419" t="n">
        <v>0.08</v>
      </c>
      <c r="X419" s="16">
        <f>IFERROR(K419/E419*100,"")</f>
        <v/>
      </c>
      <c r="Y419" s="16">
        <f>IFERROR((N419+O419)/E419*100,"")</f>
        <v/>
      </c>
      <c r="Z419" s="16">
        <f>IFERROR(R419/F419*100,"")</f>
        <v/>
      </c>
      <c r="AA419" s="16">
        <f>IFERROR(R419/E419*100,"")</f>
        <v/>
      </c>
      <c r="AB419" s="16">
        <f>IFERROR(S419/Q419*100,"")</f>
        <v/>
      </c>
      <c r="AC419" s="16">
        <f>IFERROR(T419/Q419*100,"")</f>
        <v/>
      </c>
      <c r="AD419" s="16">
        <f>IFERROR(U419/Q419*100,"")</f>
        <v/>
      </c>
      <c r="AE419" s="18">
        <f>IFERROR(E419/E415-1,"")</f>
        <v/>
      </c>
      <c r="AF419" s="18">
        <f>IFERROR(R419/R415-1,"")</f>
        <v/>
      </c>
      <c r="AG419" s="18">
        <f>IFERROR(F419/F415-1,"")</f>
        <v/>
      </c>
      <c r="AH419">
        <f>P419&gt;0</f>
        <v/>
      </c>
    </row>
    <row r="420">
      <c r="A420" s="14" t="n">
        <v>45838</v>
      </c>
      <c r="B420" t="n">
        <v>18030</v>
      </c>
      <c r="C420" t="inlineStr">
        <is>
          <t>SAVINGS BANK OF WALPOLE</t>
        </is>
      </c>
      <c r="D420" t="inlineStr">
        <is>
          <t>NH</t>
        </is>
      </c>
      <c r="E420" t="n">
        <v>805858</v>
      </c>
      <c r="F420" t="n">
        <v>738321</v>
      </c>
      <c r="G420" t="n">
        <v>58470</v>
      </c>
      <c r="H420" s="16" t="n">
        <v>0.7183799588346895</v>
      </c>
      <c r="I420" s="16" t="n">
        <v>10.16</v>
      </c>
      <c r="J420" s="16" t="n">
        <v>3.709384166025054</v>
      </c>
      <c r="K420" s="16" t="n">
        <v>1404</v>
      </c>
      <c r="L420" s="16" t="n">
        <v>94</v>
      </c>
      <c r="M420" s="16" t="n">
        <v>0.233333056347274</v>
      </c>
      <c r="N420" s="16" t="n">
        <v>1148</v>
      </c>
      <c r="O420" s="16" t="n">
        <v>0</v>
      </c>
      <c r="P420" s="16" t="n">
        <v>14.14166814773359</v>
      </c>
      <c r="Q420" t="n">
        <v>601715</v>
      </c>
      <c r="R420" t="n">
        <v>595703</v>
      </c>
      <c r="S420" t="n">
        <v>463695</v>
      </c>
      <c r="T420" t="n">
        <v>41693</v>
      </c>
      <c r="U420" t="n">
        <v>96046</v>
      </c>
      <c r="V420" t="n">
        <v>0.9991441130767889</v>
      </c>
      <c r="W420" t="n">
        <v>0.07000000000000001</v>
      </c>
      <c r="X420" s="16">
        <f>IFERROR(K420/E420*100,"")</f>
        <v/>
      </c>
      <c r="Y420" s="16">
        <f>IFERROR((N420+O420)/E420*100,"")</f>
        <v/>
      </c>
      <c r="Z420" s="16">
        <f>IFERROR(R420/F420*100,"")</f>
        <v/>
      </c>
      <c r="AA420" s="16">
        <f>IFERROR(R420/E420*100,"")</f>
        <v/>
      </c>
      <c r="AB420" s="16">
        <f>IFERROR(S420/Q420*100,"")</f>
        <v/>
      </c>
      <c r="AC420" s="16">
        <f>IFERROR(T420/Q420*100,"")</f>
        <v/>
      </c>
      <c r="AD420" s="16">
        <f>IFERROR(U420/Q420*100,"")</f>
        <v/>
      </c>
      <c r="AE420" s="18">
        <f>IFERROR(E420/E416-1,"")</f>
        <v/>
      </c>
      <c r="AF420" s="18">
        <f>IFERROR(R420/R416-1,"")</f>
        <v/>
      </c>
      <c r="AG420" s="18">
        <f>IFERROR(F420/F416-1,"")</f>
        <v/>
      </c>
      <c r="AH420">
        <f>P420&gt;0</f>
        <v/>
      </c>
    </row>
    <row r="421">
      <c r="A421" s="14" t="n">
        <v>44651</v>
      </c>
      <c r="B421" t="n">
        <v>18031</v>
      </c>
      <c r="C421" t="inlineStr">
        <is>
          <t>WOODSVILLE GUARANTY SAVINGS BANK</t>
        </is>
      </c>
      <c r="D421" t="inlineStr">
        <is>
          <t>NH</t>
        </is>
      </c>
      <c r="E421" t="n">
        <v>618579</v>
      </c>
      <c r="F421" t="n">
        <v>539167</v>
      </c>
      <c r="G421" t="n">
        <v>45852</v>
      </c>
      <c r="H421" s="16" t="n">
        <v>0.474826734203215</v>
      </c>
      <c r="I421" s="16" t="n">
        <v>5.98</v>
      </c>
      <c r="J421" s="16" t="n">
        <v>2.834947166893708</v>
      </c>
      <c r="K421" s="16" t="n">
        <v>602</v>
      </c>
      <c r="L421" s="16" t="n">
        <v>19</v>
      </c>
      <c r="M421" s="16" t="n">
        <v>0.1453148044888274</v>
      </c>
      <c r="N421" s="16" t="n">
        <v>1504</v>
      </c>
      <c r="O421" s="16" t="n">
        <v>0</v>
      </c>
      <c r="P421" s="16" t="n">
        <v>0</v>
      </c>
      <c r="Q421" t="n">
        <v>414273</v>
      </c>
      <c r="R421" t="n">
        <v>409259</v>
      </c>
      <c r="S421" t="n">
        <v>368428</v>
      </c>
      <c r="T421" t="n">
        <v>32100</v>
      </c>
      <c r="U421" t="n">
        <v>8415</v>
      </c>
      <c r="V421" t="n">
        <v>1.210313006157775</v>
      </c>
      <c r="W421" t="n">
        <v>0</v>
      </c>
      <c r="X421" s="16">
        <f>IFERROR(K421/E421*100,"")</f>
        <v/>
      </c>
      <c r="Y421" s="16">
        <f>IFERROR((N421+O421)/E421*100,"")</f>
        <v/>
      </c>
      <c r="Z421" s="16">
        <f>IFERROR(R421/F421*100,"")</f>
        <v/>
      </c>
      <c r="AA421" s="16">
        <f>IFERROR(R421/E421*100,"")</f>
        <v/>
      </c>
      <c r="AB421" s="16">
        <f>IFERROR(S421/Q421*100,"")</f>
        <v/>
      </c>
      <c r="AC421" s="16">
        <f>IFERROR(T421/Q421*100,"")</f>
        <v/>
      </c>
      <c r="AD421" s="16">
        <f>IFERROR(U421/Q421*100,"")</f>
        <v/>
      </c>
      <c r="AE421" s="18" t="n"/>
      <c r="AF421" s="18" t="n"/>
      <c r="AG421" s="18" t="n"/>
      <c r="AH421">
        <f>P421&gt;0</f>
        <v/>
      </c>
    </row>
    <row r="422">
      <c r="A422" s="14" t="n">
        <v>44742</v>
      </c>
      <c r="B422" t="n">
        <v>18031</v>
      </c>
      <c r="C422" t="inlineStr">
        <is>
          <t>WOODSVILLE GUARANTY SAVINGS BANK</t>
        </is>
      </c>
      <c r="D422" t="inlineStr">
        <is>
          <t>NH</t>
        </is>
      </c>
      <c r="E422" t="n">
        <v>627001</v>
      </c>
      <c r="F422" t="n">
        <v>558118</v>
      </c>
      <c r="G422" t="n">
        <v>39966</v>
      </c>
      <c r="H422" s="16" t="n">
        <v>0.460576991796965</v>
      </c>
      <c r="I422" s="16" t="n">
        <v>6.21</v>
      </c>
      <c r="J422" s="16" t="n">
        <v>2.910345144852449</v>
      </c>
      <c r="K422" s="16" t="n">
        <v>527</v>
      </c>
      <c r="L422" s="16" t="n">
        <v>3</v>
      </c>
      <c r="M422" s="16" t="n">
        <v>0.1232843704894179</v>
      </c>
      <c r="N422" s="16" t="n">
        <v>1081</v>
      </c>
      <c r="O422" s="16" t="n">
        <v>0</v>
      </c>
      <c r="P422" s="16" t="n">
        <v>0</v>
      </c>
      <c r="Q422" t="n">
        <v>427467</v>
      </c>
      <c r="R422" t="n">
        <v>422436</v>
      </c>
      <c r="S422" t="n">
        <v>382501</v>
      </c>
      <c r="T422" t="n">
        <v>30545</v>
      </c>
      <c r="U422" t="n">
        <v>8127</v>
      </c>
      <c r="V422" t="n">
        <v>1.1769329562282</v>
      </c>
      <c r="W422" t="n">
        <v>0</v>
      </c>
      <c r="X422" s="16">
        <f>IFERROR(K422/E422*100,"")</f>
        <v/>
      </c>
      <c r="Y422" s="16">
        <f>IFERROR((N422+O422)/E422*100,"")</f>
        <v/>
      </c>
      <c r="Z422" s="16">
        <f>IFERROR(R422/F422*100,"")</f>
        <v/>
      </c>
      <c r="AA422" s="16">
        <f>IFERROR(R422/E422*100,"")</f>
        <v/>
      </c>
      <c r="AB422" s="16">
        <f>IFERROR(S422/Q422*100,"")</f>
        <v/>
      </c>
      <c r="AC422" s="16">
        <f>IFERROR(T422/Q422*100,"")</f>
        <v/>
      </c>
      <c r="AD422" s="16">
        <f>IFERROR(U422/Q422*100,"")</f>
        <v/>
      </c>
      <c r="AE422" s="18" t="n"/>
      <c r="AF422" s="18" t="n"/>
      <c r="AG422" s="18" t="n"/>
      <c r="AH422">
        <f>P422&gt;0</f>
        <v/>
      </c>
    </row>
    <row r="423">
      <c r="A423" s="14" t="n">
        <v>44834</v>
      </c>
      <c r="B423" t="n">
        <v>18031</v>
      </c>
      <c r="C423" t="inlineStr">
        <is>
          <t>WOODSVILLE GUARANTY SAVINGS BANK</t>
        </is>
      </c>
      <c r="D423" t="inlineStr">
        <is>
          <t>NH</t>
        </is>
      </c>
      <c r="E423" t="n">
        <v>641019</v>
      </c>
      <c r="F423" t="n">
        <v>568656</v>
      </c>
      <c r="G423" t="n">
        <v>33282</v>
      </c>
      <c r="H423" s="16" t="n">
        <v>0.528270442861807</v>
      </c>
      <c r="I423" s="16" t="n">
        <v>7.71</v>
      </c>
      <c r="J423" s="16" t="n">
        <v>3.004075500020149</v>
      </c>
      <c r="K423" s="16" t="n">
        <v>638</v>
      </c>
      <c r="L423" s="16" t="n">
        <v>3</v>
      </c>
      <c r="M423" s="16" t="n">
        <v>0.140669923976505</v>
      </c>
      <c r="N423" s="16" t="n">
        <v>868</v>
      </c>
      <c r="O423" s="16" t="n">
        <v>0</v>
      </c>
      <c r="P423" s="16" t="n">
        <v>16.45047346447451</v>
      </c>
      <c r="Q423" t="n">
        <v>453544</v>
      </c>
      <c r="R423" t="n">
        <v>448513</v>
      </c>
      <c r="S423" t="n">
        <v>411232</v>
      </c>
      <c r="T423" t="n">
        <v>28825</v>
      </c>
      <c r="U423" t="n">
        <v>8856</v>
      </c>
      <c r="V423" t="n">
        <v>1.109263930291218</v>
      </c>
      <c r="W423" t="n">
        <v>0</v>
      </c>
      <c r="X423" s="16">
        <f>IFERROR(K423/E423*100,"")</f>
        <v/>
      </c>
      <c r="Y423" s="16">
        <f>IFERROR((N423+O423)/E423*100,"")</f>
        <v/>
      </c>
      <c r="Z423" s="16">
        <f>IFERROR(R423/F423*100,"")</f>
        <v/>
      </c>
      <c r="AA423" s="16">
        <f>IFERROR(R423/E423*100,"")</f>
        <v/>
      </c>
      <c r="AB423" s="16">
        <f>IFERROR(S423/Q423*100,"")</f>
        <v/>
      </c>
      <c r="AC423" s="16">
        <f>IFERROR(T423/Q423*100,"")</f>
        <v/>
      </c>
      <c r="AD423" s="16">
        <f>IFERROR(U423/Q423*100,"")</f>
        <v/>
      </c>
      <c r="AE423" s="18" t="n"/>
      <c r="AF423" s="18" t="n"/>
      <c r="AG423" s="18" t="n"/>
      <c r="AH423">
        <f>P423&gt;0</f>
        <v/>
      </c>
    </row>
    <row r="424">
      <c r="A424" s="14" t="n">
        <v>44926</v>
      </c>
      <c r="B424" t="n">
        <v>18031</v>
      </c>
      <c r="C424" t="inlineStr">
        <is>
          <t>WOODSVILLE GUARANTY SAVINGS BANK</t>
        </is>
      </c>
      <c r="D424" t="inlineStr">
        <is>
          <t>NH</t>
        </is>
      </c>
      <c r="E424" t="n">
        <v>648071</v>
      </c>
      <c r="F424" t="n">
        <v>582524</v>
      </c>
      <c r="G424" t="n">
        <v>35327</v>
      </c>
      <c r="H424" s="16" t="n">
        <v>0.6341989128468152</v>
      </c>
      <c r="I424" s="16" t="n">
        <v>9.66</v>
      </c>
      <c r="J424" s="16" t="n">
        <v>3.044361266210751</v>
      </c>
      <c r="K424" s="16" t="n">
        <v>630</v>
      </c>
      <c r="L424" s="16" t="n">
        <v>6</v>
      </c>
      <c r="M424" s="16" t="n">
        <v>0.1360165292467922</v>
      </c>
      <c r="N424" s="16" t="n">
        <v>1137</v>
      </c>
      <c r="O424" s="16" t="n">
        <v>0</v>
      </c>
      <c r="P424" s="16" t="n">
        <v>16.36551202525049</v>
      </c>
      <c r="Q424" t="n">
        <v>463179</v>
      </c>
      <c r="R424" t="n">
        <v>458902</v>
      </c>
      <c r="S424" t="n">
        <v>421449</v>
      </c>
      <c r="T424" t="n">
        <v>28982</v>
      </c>
      <c r="U424" t="n">
        <v>8276</v>
      </c>
      <c r="V424" t="n">
        <v>0.9234011041087786</v>
      </c>
      <c r="W424" t="n">
        <v>-0.12</v>
      </c>
      <c r="X424" s="16">
        <f>IFERROR(K424/E424*100,"")</f>
        <v/>
      </c>
      <c r="Y424" s="16">
        <f>IFERROR((N424+O424)/E424*100,"")</f>
        <v/>
      </c>
      <c r="Z424" s="16">
        <f>IFERROR(R424/F424*100,"")</f>
        <v/>
      </c>
      <c r="AA424" s="16">
        <f>IFERROR(R424/E424*100,"")</f>
        <v/>
      </c>
      <c r="AB424" s="16">
        <f>IFERROR(S424/Q424*100,"")</f>
        <v/>
      </c>
      <c r="AC424" s="16">
        <f>IFERROR(T424/Q424*100,"")</f>
        <v/>
      </c>
      <c r="AD424" s="16">
        <f>IFERROR(U424/Q424*100,"")</f>
        <v/>
      </c>
      <c r="AE424" s="18" t="n"/>
      <c r="AF424" s="18" t="n"/>
      <c r="AG424" s="18" t="n"/>
      <c r="AH424">
        <f>P424&gt;0</f>
        <v/>
      </c>
    </row>
    <row r="425">
      <c r="A425" s="14" t="n">
        <v>45016</v>
      </c>
      <c r="B425" t="n">
        <v>18031</v>
      </c>
      <c r="C425" t="inlineStr">
        <is>
          <t>WOODSVILLE GUARANTY SAVINGS BANK</t>
        </is>
      </c>
      <c r="D425" t="inlineStr">
        <is>
          <t>NH</t>
        </is>
      </c>
      <c r="E425" t="n">
        <v>653889</v>
      </c>
      <c r="F425" t="n">
        <v>579895</v>
      </c>
      <c r="G425" t="n">
        <v>37639</v>
      </c>
      <c r="H425" s="16" t="n">
        <v>0.3115303081507881</v>
      </c>
      <c r="I425" s="16" t="n">
        <v>5.56</v>
      </c>
      <c r="J425" s="16" t="n">
        <v>2.865295281051132</v>
      </c>
      <c r="K425" s="16" t="n">
        <v>861</v>
      </c>
      <c r="L425" s="16" t="n">
        <v>3</v>
      </c>
      <c r="M425" s="16" t="n">
        <v>0.1841368558150675</v>
      </c>
      <c r="N425" s="16" t="n">
        <v>1064</v>
      </c>
      <c r="O425" s="16" t="n">
        <v>0</v>
      </c>
      <c r="P425" s="16" t="n">
        <v>16.39836347515837</v>
      </c>
      <c r="Q425" t="n">
        <v>467587</v>
      </c>
      <c r="R425" t="n">
        <v>463458</v>
      </c>
      <c r="S425" t="n">
        <v>424817</v>
      </c>
      <c r="T425" t="n">
        <v>28272</v>
      </c>
      <c r="U425" t="n">
        <v>7125</v>
      </c>
      <c r="V425" t="n">
        <v>0.8830442249249871</v>
      </c>
      <c r="W425" t="n">
        <v>0.06</v>
      </c>
      <c r="X425" s="16">
        <f>IFERROR(K425/E425*100,"")</f>
        <v/>
      </c>
      <c r="Y425" s="16">
        <f>IFERROR((N425+O425)/E425*100,"")</f>
        <v/>
      </c>
      <c r="Z425" s="16">
        <f>IFERROR(R425/F425*100,"")</f>
        <v/>
      </c>
      <c r="AA425" s="16">
        <f>IFERROR(R425/E425*100,"")</f>
        <v/>
      </c>
      <c r="AB425" s="16">
        <f>IFERROR(S425/Q425*100,"")</f>
        <v/>
      </c>
      <c r="AC425" s="16">
        <f>IFERROR(T425/Q425*100,"")</f>
        <v/>
      </c>
      <c r="AD425" s="16">
        <f>IFERROR(U425/Q425*100,"")</f>
        <v/>
      </c>
      <c r="AE425" s="18">
        <f>IFERROR(E425/E421-1,"")</f>
        <v/>
      </c>
      <c r="AF425" s="18">
        <f>IFERROR(R425/R421-1,"")</f>
        <v/>
      </c>
      <c r="AG425" s="18">
        <f>IFERROR(F425/F421-1,"")</f>
        <v/>
      </c>
      <c r="AH425">
        <f>P425&gt;0</f>
        <v/>
      </c>
    </row>
    <row r="426">
      <c r="A426" s="14" t="n">
        <v>45107</v>
      </c>
      <c r="B426" t="n">
        <v>18031</v>
      </c>
      <c r="C426" t="inlineStr">
        <is>
          <t>WOODSVILLE GUARANTY SAVINGS BANK</t>
        </is>
      </c>
      <c r="D426" t="inlineStr">
        <is>
          <t>NH</t>
        </is>
      </c>
      <c r="E426" t="n">
        <v>686908</v>
      </c>
      <c r="F426" t="n">
        <v>578969</v>
      </c>
      <c r="G426" t="n">
        <v>36036</v>
      </c>
      <c r="H426" s="16" t="n">
        <v>0.2899136594283784</v>
      </c>
      <c r="I426" s="16" t="n">
        <v>5.29</v>
      </c>
      <c r="J426" s="16" t="n">
        <v>2.744322838821658</v>
      </c>
      <c r="K426" s="16" t="n">
        <v>1022</v>
      </c>
      <c r="L426" s="16" t="n">
        <v>-1</v>
      </c>
      <c r="M426" s="16" t="n">
        <v>0.2128337501848238</v>
      </c>
      <c r="N426" s="16" t="n">
        <v>1125</v>
      </c>
      <c r="O426" s="16" t="n">
        <v>0</v>
      </c>
      <c r="P426" s="16" t="n">
        <v>16.12051226120801</v>
      </c>
      <c r="Q426" t="n">
        <v>480187</v>
      </c>
      <c r="R426" t="n">
        <v>476083</v>
      </c>
      <c r="S426" t="n">
        <v>433545</v>
      </c>
      <c r="T426" t="n">
        <v>28192</v>
      </c>
      <c r="U426" t="n">
        <v>10462</v>
      </c>
      <c r="V426" t="n">
        <v>0.8546670359672378</v>
      </c>
      <c r="W426" t="n">
        <v>0.01</v>
      </c>
      <c r="X426" s="16">
        <f>IFERROR(K426/E426*100,"")</f>
        <v/>
      </c>
      <c r="Y426" s="16">
        <f>IFERROR((N426+O426)/E426*100,"")</f>
        <v/>
      </c>
      <c r="Z426" s="16">
        <f>IFERROR(R426/F426*100,"")</f>
        <v/>
      </c>
      <c r="AA426" s="16">
        <f>IFERROR(R426/E426*100,"")</f>
        <v/>
      </c>
      <c r="AB426" s="16">
        <f>IFERROR(S426/Q426*100,"")</f>
        <v/>
      </c>
      <c r="AC426" s="16">
        <f>IFERROR(T426/Q426*100,"")</f>
        <v/>
      </c>
      <c r="AD426" s="16">
        <f>IFERROR(U426/Q426*100,"")</f>
        <v/>
      </c>
      <c r="AE426" s="18">
        <f>IFERROR(E426/E422-1,"")</f>
        <v/>
      </c>
      <c r="AF426" s="18">
        <f>IFERROR(R426/R422-1,"")</f>
        <v/>
      </c>
      <c r="AG426" s="18">
        <f>IFERROR(F426/F422-1,"")</f>
        <v/>
      </c>
      <c r="AH426">
        <f>P426&gt;0</f>
        <v/>
      </c>
    </row>
    <row r="427">
      <c r="A427" s="14" t="n">
        <v>45199</v>
      </c>
      <c r="B427" t="n">
        <v>18031</v>
      </c>
      <c r="C427" t="inlineStr">
        <is>
          <t>WOODSVILLE GUARANTY SAVINGS BANK</t>
        </is>
      </c>
      <c r="D427" t="inlineStr">
        <is>
          <t>NH</t>
        </is>
      </c>
      <c r="E427" t="n">
        <v>671966</v>
      </c>
      <c r="F427" t="n">
        <v>568415</v>
      </c>
      <c r="G427" t="n">
        <v>31180</v>
      </c>
      <c r="H427" s="16" t="n">
        <v>0.2884236596495685</v>
      </c>
      <c r="I427" s="16" t="n">
        <v>5.47</v>
      </c>
      <c r="J427" s="16" t="n">
        <v>2.739928607853136</v>
      </c>
      <c r="K427" s="16" t="n">
        <v>790</v>
      </c>
      <c r="L427" s="16" t="n">
        <v>7</v>
      </c>
      <c r="M427" s="16" t="n">
        <v>0.1642927405484882</v>
      </c>
      <c r="N427" s="16" t="n">
        <v>1516</v>
      </c>
      <c r="O427" s="16" t="n">
        <v>0</v>
      </c>
      <c r="P427" s="16" t="n">
        <v>16.13642168233748</v>
      </c>
      <c r="Q427" t="n">
        <v>480849</v>
      </c>
      <c r="R427" t="n">
        <v>476843</v>
      </c>
      <c r="S427" t="n">
        <v>434791</v>
      </c>
      <c r="T427" t="n">
        <v>26820</v>
      </c>
      <c r="U427" t="n">
        <v>11759</v>
      </c>
      <c r="V427" t="n">
        <v>0.8331097704268908</v>
      </c>
      <c r="W427" t="n">
        <v>-0.01</v>
      </c>
      <c r="X427" s="16">
        <f>IFERROR(K427/E427*100,"")</f>
        <v/>
      </c>
      <c r="Y427" s="16">
        <f>IFERROR((N427+O427)/E427*100,"")</f>
        <v/>
      </c>
      <c r="Z427" s="16">
        <f>IFERROR(R427/F427*100,"")</f>
        <v/>
      </c>
      <c r="AA427" s="16">
        <f>IFERROR(R427/E427*100,"")</f>
        <v/>
      </c>
      <c r="AB427" s="16">
        <f>IFERROR(S427/Q427*100,"")</f>
        <v/>
      </c>
      <c r="AC427" s="16">
        <f>IFERROR(T427/Q427*100,"")</f>
        <v/>
      </c>
      <c r="AD427" s="16">
        <f>IFERROR(U427/Q427*100,"")</f>
        <v/>
      </c>
      <c r="AE427" s="18">
        <f>IFERROR(E427/E423-1,"")</f>
        <v/>
      </c>
      <c r="AF427" s="18">
        <f>IFERROR(R427/R423-1,"")</f>
        <v/>
      </c>
      <c r="AG427" s="18">
        <f>IFERROR(F427/F423-1,"")</f>
        <v/>
      </c>
      <c r="AH427">
        <f>P427&gt;0</f>
        <v/>
      </c>
    </row>
    <row r="428">
      <c r="A428" s="14" t="n">
        <v>45291</v>
      </c>
      <c r="B428" t="n">
        <v>18031</v>
      </c>
      <c r="C428" t="inlineStr">
        <is>
          <t>WOODSVILLE GUARANTY SAVINGS BANK</t>
        </is>
      </c>
      <c r="D428" t="inlineStr">
        <is>
          <t>NH</t>
        </is>
      </c>
      <c r="E428" t="n">
        <v>684364</v>
      </c>
      <c r="F428" t="n">
        <v>562404</v>
      </c>
      <c r="G428" t="n">
        <v>37606</v>
      </c>
      <c r="H428" s="16" t="n">
        <v>0.2573838678607364</v>
      </c>
      <c r="I428" s="16" t="n">
        <v>4.84</v>
      </c>
      <c r="J428" s="16" t="n">
        <v>2.721560040224967</v>
      </c>
      <c r="K428" s="16" t="n">
        <v>697</v>
      </c>
      <c r="L428" s="16" t="n">
        <v>-8</v>
      </c>
      <c r="M428" s="16" t="n">
        <v>0.1451291170236246</v>
      </c>
      <c r="N428" s="16" t="n">
        <v>1155</v>
      </c>
      <c r="O428" s="16" t="n">
        <v>0</v>
      </c>
      <c r="P428" s="16" t="n">
        <v>16.09384630783739</v>
      </c>
      <c r="Q428" t="n">
        <v>480262</v>
      </c>
      <c r="R428" t="n">
        <v>476247</v>
      </c>
      <c r="S428" t="n">
        <v>439722</v>
      </c>
      <c r="T428" t="n">
        <v>23262</v>
      </c>
      <c r="U428" t="n">
        <v>10669</v>
      </c>
      <c r="V428" t="n">
        <v>0.8360020155665032</v>
      </c>
      <c r="W428" t="n">
        <v>-0.01</v>
      </c>
      <c r="X428" s="16">
        <f>IFERROR(K428/E428*100,"")</f>
        <v/>
      </c>
      <c r="Y428" s="16">
        <f>IFERROR((N428+O428)/E428*100,"")</f>
        <v/>
      </c>
      <c r="Z428" s="16">
        <f>IFERROR(R428/F428*100,"")</f>
        <v/>
      </c>
      <c r="AA428" s="16">
        <f>IFERROR(R428/E428*100,"")</f>
        <v/>
      </c>
      <c r="AB428" s="16">
        <f>IFERROR(S428/Q428*100,"")</f>
        <v/>
      </c>
      <c r="AC428" s="16">
        <f>IFERROR(T428/Q428*100,"")</f>
        <v/>
      </c>
      <c r="AD428" s="16">
        <f>IFERROR(U428/Q428*100,"")</f>
        <v/>
      </c>
      <c r="AE428" s="18">
        <f>IFERROR(E428/E424-1,"")</f>
        <v/>
      </c>
      <c r="AF428" s="18">
        <f>IFERROR(R428/R424-1,"")</f>
        <v/>
      </c>
      <c r="AG428" s="18">
        <f>IFERROR(F428/F424-1,"")</f>
        <v/>
      </c>
      <c r="AH428">
        <f>P428&gt;0</f>
        <v/>
      </c>
    </row>
    <row r="429">
      <c r="A429" s="14" t="n">
        <v>45382</v>
      </c>
      <c r="B429" t="n">
        <v>18031</v>
      </c>
      <c r="C429" t="inlineStr">
        <is>
          <t>WOODSVILLE GUARANTY SAVINGS BANK</t>
        </is>
      </c>
      <c r="D429" t="inlineStr">
        <is>
          <t>NH</t>
        </is>
      </c>
      <c r="E429" t="n">
        <v>669872</v>
      </c>
      <c r="F429" t="n">
        <v>532494</v>
      </c>
      <c r="G429" t="n">
        <v>36392</v>
      </c>
      <c r="H429" s="16" t="n">
        <v>0.4578227133232317</v>
      </c>
      <c r="I429" s="16" t="n">
        <v>8.380000000000001</v>
      </c>
      <c r="J429" s="16" t="n">
        <v>2.612941476264598</v>
      </c>
      <c r="K429" s="16" t="n">
        <v>893</v>
      </c>
      <c r="L429" s="16" t="n">
        <v>13</v>
      </c>
      <c r="M429" s="16" t="n">
        <v>0.1890113301908364</v>
      </c>
      <c r="N429" s="16" t="n">
        <v>1463</v>
      </c>
      <c r="O429" s="16" t="n">
        <v>8</v>
      </c>
      <c r="P429" s="16" t="n">
        <v>16.33613194362952</v>
      </c>
      <c r="Q429" t="n">
        <v>476691</v>
      </c>
      <c r="R429" t="n">
        <v>472840</v>
      </c>
      <c r="S429" t="n">
        <v>436768</v>
      </c>
      <c r="T429" t="n">
        <v>23631</v>
      </c>
      <c r="U429" t="n">
        <v>10269</v>
      </c>
      <c r="V429" t="n">
        <v>0.8078608574527314</v>
      </c>
      <c r="W429" t="n">
        <v>-0.1</v>
      </c>
      <c r="X429" s="16">
        <f>IFERROR(K429/E429*100,"")</f>
        <v/>
      </c>
      <c r="Y429" s="16">
        <f>IFERROR((N429+O429)/E429*100,"")</f>
        <v/>
      </c>
      <c r="Z429" s="16">
        <f>IFERROR(R429/F429*100,"")</f>
        <v/>
      </c>
      <c r="AA429" s="16">
        <f>IFERROR(R429/E429*100,"")</f>
        <v/>
      </c>
      <c r="AB429" s="16">
        <f>IFERROR(S429/Q429*100,"")</f>
        <v/>
      </c>
      <c r="AC429" s="16">
        <f>IFERROR(T429/Q429*100,"")</f>
        <v/>
      </c>
      <c r="AD429" s="16">
        <f>IFERROR(U429/Q429*100,"")</f>
        <v/>
      </c>
      <c r="AE429" s="18">
        <f>IFERROR(E429/E425-1,"")</f>
        <v/>
      </c>
      <c r="AF429" s="18">
        <f>IFERROR(R429/R425-1,"")</f>
        <v/>
      </c>
      <c r="AG429" s="18">
        <f>IFERROR(F429/F425-1,"")</f>
        <v/>
      </c>
      <c r="AH429">
        <f>P429&gt;0</f>
        <v/>
      </c>
    </row>
    <row r="430">
      <c r="A430" s="14" t="n">
        <v>45473</v>
      </c>
      <c r="B430" t="n">
        <v>18031</v>
      </c>
      <c r="C430" t="inlineStr">
        <is>
          <t>WOODSVILLE GUARANTY SAVINGS BANK</t>
        </is>
      </c>
      <c r="D430" t="inlineStr">
        <is>
          <t>NH</t>
        </is>
      </c>
      <c r="E430" t="n">
        <v>669965</v>
      </c>
      <c r="F430" t="n">
        <v>520982</v>
      </c>
      <c r="G430" t="n">
        <v>36939</v>
      </c>
      <c r="H430" s="16" t="n">
        <v>0.4286135615978849</v>
      </c>
      <c r="I430" s="16" t="n">
        <v>7.82</v>
      </c>
      <c r="J430" s="16" t="n">
        <v>2.62341205153674</v>
      </c>
      <c r="K430" s="16" t="n">
        <v>900</v>
      </c>
      <c r="L430" s="16" t="n">
        <v>13</v>
      </c>
      <c r="M430" s="16" t="n">
        <v>0.1959951032938594</v>
      </c>
      <c r="N430" s="16" t="n">
        <v>286</v>
      </c>
      <c r="O430" s="16" t="n">
        <v>27</v>
      </c>
      <c r="P430" s="16" t="n">
        <v>16.53164550155008</v>
      </c>
      <c r="Q430" t="n">
        <v>472971</v>
      </c>
      <c r="R430" t="n">
        <v>469119</v>
      </c>
      <c r="S430" t="n">
        <v>433316</v>
      </c>
      <c r="T430" t="n">
        <v>24050</v>
      </c>
      <c r="U430" t="n">
        <v>9330</v>
      </c>
      <c r="V430" t="n">
        <v>0.8144262544638045</v>
      </c>
      <c r="W430" t="n">
        <v>-0.05</v>
      </c>
      <c r="X430" s="16">
        <f>IFERROR(K430/E430*100,"")</f>
        <v/>
      </c>
      <c r="Y430" s="16">
        <f>IFERROR((N430+O430)/E430*100,"")</f>
        <v/>
      </c>
      <c r="Z430" s="16">
        <f>IFERROR(R430/F430*100,"")</f>
        <v/>
      </c>
      <c r="AA430" s="16">
        <f>IFERROR(R430/E430*100,"")</f>
        <v/>
      </c>
      <c r="AB430" s="16">
        <f>IFERROR(S430/Q430*100,"")</f>
        <v/>
      </c>
      <c r="AC430" s="16">
        <f>IFERROR(T430/Q430*100,"")</f>
        <v/>
      </c>
      <c r="AD430" s="16">
        <f>IFERROR(U430/Q430*100,"")</f>
        <v/>
      </c>
      <c r="AE430" s="18">
        <f>IFERROR(E430/E426-1,"")</f>
        <v/>
      </c>
      <c r="AF430" s="18">
        <f>IFERROR(R430/R426-1,"")</f>
        <v/>
      </c>
      <c r="AG430" s="18">
        <f>IFERROR(F430/F426-1,"")</f>
        <v/>
      </c>
      <c r="AH430">
        <f>P430&gt;0</f>
        <v/>
      </c>
    </row>
    <row r="431">
      <c r="A431" s="14" t="n">
        <v>45565</v>
      </c>
      <c r="B431" t="n">
        <v>18031</v>
      </c>
      <c r="C431" t="inlineStr">
        <is>
          <t>WOODSVILLE GUARANTY SAVINGS BANK</t>
        </is>
      </c>
      <c r="D431" t="inlineStr">
        <is>
          <t>NH</t>
        </is>
      </c>
      <c r="E431" t="n">
        <v>677501</v>
      </c>
      <c r="F431" t="n">
        <v>528633</v>
      </c>
      <c r="G431" t="n">
        <v>41575</v>
      </c>
      <c r="H431" s="16" t="n">
        <v>0.4261898166415096</v>
      </c>
      <c r="I431" s="16" t="n">
        <v>7.55</v>
      </c>
      <c r="J431" s="16" t="n">
        <v>2.630462773286173</v>
      </c>
      <c r="K431" s="16" t="n">
        <v>973</v>
      </c>
      <c r="L431" s="16" t="n">
        <v>34</v>
      </c>
      <c r="M431" s="16" t="n">
        <v>0.2078091829019815</v>
      </c>
      <c r="N431" s="16" t="n">
        <v>243</v>
      </c>
      <c r="O431" s="16" t="n">
        <v>0</v>
      </c>
      <c r="P431" s="16" t="n">
        <v>16.74871508652338</v>
      </c>
      <c r="Q431" t="n">
        <v>468218</v>
      </c>
      <c r="R431" t="n">
        <v>464366</v>
      </c>
      <c r="S431" t="n">
        <v>431155</v>
      </c>
      <c r="T431" t="n">
        <v>22338</v>
      </c>
      <c r="U431" t="n">
        <v>8244</v>
      </c>
      <c r="V431" t="n">
        <v>0.8226937025060976</v>
      </c>
      <c r="W431" t="n">
        <v>-0.03</v>
      </c>
      <c r="X431" s="16">
        <f>IFERROR(K431/E431*100,"")</f>
        <v/>
      </c>
      <c r="Y431" s="16">
        <f>IFERROR((N431+O431)/E431*100,"")</f>
        <v/>
      </c>
      <c r="Z431" s="16">
        <f>IFERROR(R431/F431*100,"")</f>
        <v/>
      </c>
      <c r="AA431" s="16">
        <f>IFERROR(R431/E431*100,"")</f>
        <v/>
      </c>
      <c r="AB431" s="16">
        <f>IFERROR(S431/Q431*100,"")</f>
        <v/>
      </c>
      <c r="AC431" s="16">
        <f>IFERROR(T431/Q431*100,"")</f>
        <v/>
      </c>
      <c r="AD431" s="16">
        <f>IFERROR(U431/Q431*100,"")</f>
        <v/>
      </c>
      <c r="AE431" s="18">
        <f>IFERROR(E431/E427-1,"")</f>
        <v/>
      </c>
      <c r="AF431" s="18">
        <f>IFERROR(R431/R427-1,"")</f>
        <v/>
      </c>
      <c r="AG431" s="18">
        <f>IFERROR(F431/F427-1,"")</f>
        <v/>
      </c>
      <c r="AH431">
        <f>P431&gt;0</f>
        <v/>
      </c>
    </row>
    <row r="432">
      <c r="A432" s="14" t="n">
        <v>45657</v>
      </c>
      <c r="B432" t="n">
        <v>18031</v>
      </c>
      <c r="C432" t="inlineStr">
        <is>
          <t>WOODSVILLE GUARANTY SAVINGS BANK</t>
        </is>
      </c>
      <c r="D432" t="inlineStr">
        <is>
          <t>NH</t>
        </is>
      </c>
      <c r="E432" t="n">
        <v>675378</v>
      </c>
      <c r="F432" t="n">
        <v>530034</v>
      </c>
      <c r="G432" t="n">
        <v>38022</v>
      </c>
      <c r="H432" s="16" t="n">
        <v>0.4271441600435879</v>
      </c>
      <c r="I432" s="16" t="n">
        <v>7.57</v>
      </c>
      <c r="J432" s="16" t="n">
        <v>2.645042423475641</v>
      </c>
      <c r="K432" s="16" t="n">
        <v>884</v>
      </c>
      <c r="L432" s="16" t="n">
        <v>132</v>
      </c>
      <c r="M432" s="16" t="n">
        <v>0.1923997736473251</v>
      </c>
      <c r="N432" s="16" t="n">
        <v>1775</v>
      </c>
      <c r="O432" s="16" t="n">
        <v>0</v>
      </c>
      <c r="P432" s="16" t="n">
        <v>17.09413486261034</v>
      </c>
      <c r="Q432" t="n">
        <v>459460</v>
      </c>
      <c r="R432" t="n">
        <v>455780</v>
      </c>
      <c r="S432" t="n">
        <v>420845</v>
      </c>
      <c r="T432" t="n">
        <v>21100</v>
      </c>
      <c r="U432" t="n">
        <v>8372</v>
      </c>
      <c r="V432" t="n">
        <v>0.8009402341879598</v>
      </c>
      <c r="W432" t="n">
        <v>-0.03</v>
      </c>
      <c r="X432" s="16">
        <f>IFERROR(K432/E432*100,"")</f>
        <v/>
      </c>
      <c r="Y432" s="16">
        <f>IFERROR((N432+O432)/E432*100,"")</f>
        <v/>
      </c>
      <c r="Z432" s="16">
        <f>IFERROR(R432/F432*100,"")</f>
        <v/>
      </c>
      <c r="AA432" s="16">
        <f>IFERROR(R432/E432*100,"")</f>
        <v/>
      </c>
      <c r="AB432" s="16">
        <f>IFERROR(S432/Q432*100,"")</f>
        <v/>
      </c>
      <c r="AC432" s="16">
        <f>IFERROR(T432/Q432*100,"")</f>
        <v/>
      </c>
      <c r="AD432" s="16">
        <f>IFERROR(U432/Q432*100,"")</f>
        <v/>
      </c>
      <c r="AE432" s="18">
        <f>IFERROR(E432/E428-1,"")</f>
        <v/>
      </c>
      <c r="AF432" s="18">
        <f>IFERROR(R432/R428-1,"")</f>
        <v/>
      </c>
      <c r="AG432" s="18">
        <f>IFERROR(F432/F428-1,"")</f>
        <v/>
      </c>
      <c r="AH432">
        <f>P432&gt;0</f>
        <v/>
      </c>
    </row>
    <row r="433">
      <c r="A433" s="14" t="n">
        <v>45747</v>
      </c>
      <c r="B433" t="n">
        <v>18031</v>
      </c>
      <c r="C433" t="inlineStr">
        <is>
          <t>WOODSVILLE GUARANTY SAVINGS BANK</t>
        </is>
      </c>
      <c r="D433" t="inlineStr">
        <is>
          <t>NH</t>
        </is>
      </c>
      <c r="E433" t="n">
        <v>669787</v>
      </c>
      <c r="F433" t="n">
        <v>527059</v>
      </c>
      <c r="G433" t="n">
        <v>40246</v>
      </c>
      <c r="H433" s="16" t="n">
        <v>0.3003349031531447</v>
      </c>
      <c r="I433" s="16" t="n">
        <v>5.16</v>
      </c>
      <c r="J433" s="16" t="n">
        <v>2.719127695201212</v>
      </c>
      <c r="K433" s="16" t="n">
        <v>848</v>
      </c>
      <c r="L433" s="16" t="n">
        <v>10</v>
      </c>
      <c r="M433" s="16" t="n">
        <v>0.1881171206545056</v>
      </c>
      <c r="N433" s="16" t="n">
        <v>1454</v>
      </c>
      <c r="O433" s="16" t="n">
        <v>0</v>
      </c>
      <c r="P433" s="16" t="n">
        <v>17.3844145899069</v>
      </c>
      <c r="Q433" t="n">
        <v>450783</v>
      </c>
      <c r="R433" t="n">
        <v>447072</v>
      </c>
      <c r="S433" t="n">
        <v>414125</v>
      </c>
      <c r="T433" t="n">
        <v>22344</v>
      </c>
      <c r="U433" t="n">
        <v>7590</v>
      </c>
      <c r="V433" t="n">
        <v>0.823234239090649</v>
      </c>
      <c r="W433" t="n">
        <v>0.03</v>
      </c>
      <c r="X433" s="16">
        <f>IFERROR(K433/E433*100,"")</f>
        <v/>
      </c>
      <c r="Y433" s="16">
        <f>IFERROR((N433+O433)/E433*100,"")</f>
        <v/>
      </c>
      <c r="Z433" s="16">
        <f>IFERROR(R433/F433*100,"")</f>
        <v/>
      </c>
      <c r="AA433" s="16">
        <f>IFERROR(R433/E433*100,"")</f>
        <v/>
      </c>
      <c r="AB433" s="16">
        <f>IFERROR(S433/Q433*100,"")</f>
        <v/>
      </c>
      <c r="AC433" s="16">
        <f>IFERROR(T433/Q433*100,"")</f>
        <v/>
      </c>
      <c r="AD433" s="16">
        <f>IFERROR(U433/Q433*100,"")</f>
        <v/>
      </c>
      <c r="AE433" s="18">
        <f>IFERROR(E433/E429-1,"")</f>
        <v/>
      </c>
      <c r="AF433" s="18">
        <f>IFERROR(R433/R429-1,"")</f>
        <v/>
      </c>
      <c r="AG433" s="18">
        <f>IFERROR(F433/F429-1,"")</f>
        <v/>
      </c>
      <c r="AH433">
        <f>P433&gt;0</f>
        <v/>
      </c>
    </row>
    <row r="434">
      <c r="A434" s="14" t="n">
        <v>45838</v>
      </c>
      <c r="B434" t="n">
        <v>18031</v>
      </c>
      <c r="C434" t="inlineStr">
        <is>
          <t>WOODSVILLE GUARANTY SAVINGS BANK</t>
        </is>
      </c>
      <c r="D434" t="inlineStr">
        <is>
          <t>NH</t>
        </is>
      </c>
      <c r="E434" t="n">
        <v>669249</v>
      </c>
      <c r="F434" t="n">
        <v>526372</v>
      </c>
      <c r="G434" t="n">
        <v>40753</v>
      </c>
      <c r="H434" s="16" t="n">
        <v>0.1930089842505065</v>
      </c>
      <c r="I434" s="16" t="n">
        <v>3.27</v>
      </c>
      <c r="J434" s="16" t="n">
        <v>2.765732029741244</v>
      </c>
      <c r="K434" s="16" t="n">
        <v>562</v>
      </c>
      <c r="L434" s="16" t="n">
        <v>172</v>
      </c>
      <c r="M434" s="16" t="n">
        <v>0.1250925485949189</v>
      </c>
      <c r="N434" s="16" t="n">
        <v>654</v>
      </c>
      <c r="O434" s="16" t="n">
        <v>4</v>
      </c>
      <c r="P434" s="16" t="n">
        <v>16.95483758094983</v>
      </c>
      <c r="Q434" t="n">
        <v>452465</v>
      </c>
      <c r="R434" t="n">
        <v>448706</v>
      </c>
      <c r="S434" t="n">
        <v>416232</v>
      </c>
      <c r="T434" t="n">
        <v>22546</v>
      </c>
      <c r="U434" t="n">
        <v>7202</v>
      </c>
      <c r="V434" t="n">
        <v>0.8307824914634282</v>
      </c>
      <c r="W434" t="n">
        <v>0.08</v>
      </c>
      <c r="X434" s="16">
        <f>IFERROR(K434/E434*100,"")</f>
        <v/>
      </c>
      <c r="Y434" s="16">
        <f>IFERROR((N434+O434)/E434*100,"")</f>
        <v/>
      </c>
      <c r="Z434" s="16">
        <f>IFERROR(R434/F434*100,"")</f>
        <v/>
      </c>
      <c r="AA434" s="16">
        <f>IFERROR(R434/E434*100,"")</f>
        <v/>
      </c>
      <c r="AB434" s="16">
        <f>IFERROR(S434/Q434*100,"")</f>
        <v/>
      </c>
      <c r="AC434" s="16">
        <f>IFERROR(T434/Q434*100,"")</f>
        <v/>
      </c>
      <c r="AD434" s="16">
        <f>IFERROR(U434/Q434*100,"")</f>
        <v/>
      </c>
      <c r="AE434" s="18">
        <f>IFERROR(E434/E430-1,"")</f>
        <v/>
      </c>
      <c r="AF434" s="18">
        <f>IFERROR(R434/R430-1,"")</f>
        <v/>
      </c>
      <c r="AG434" s="18">
        <f>IFERROR(F434/F430-1,"")</f>
        <v/>
      </c>
      <c r="AH434">
        <f>P434&gt;0</f>
        <v/>
      </c>
    </row>
    <row r="435">
      <c r="A435" s="14" t="n">
        <v>44651</v>
      </c>
      <c r="B435" t="n">
        <v>18038</v>
      </c>
      <c r="C435" t="inlineStr">
        <is>
          <t>CLAREMONT SAVINGS BANK</t>
        </is>
      </c>
      <c r="D435" t="inlineStr">
        <is>
          <t>NH</t>
        </is>
      </c>
      <c r="E435" t="n">
        <v>483496</v>
      </c>
      <c r="F435" t="n">
        <v>404536</v>
      </c>
      <c r="G435" t="n">
        <v>69131</v>
      </c>
      <c r="H435" s="16" t="n">
        <v>-0.7082333148683859</v>
      </c>
      <c r="I435" s="16" t="n">
        <v>-4.87</v>
      </c>
      <c r="J435" s="16" t="n">
        <v>3.138095295601683</v>
      </c>
      <c r="K435" s="16" t="n">
        <v>2487</v>
      </c>
      <c r="L435" s="16" t="n">
        <v>-82</v>
      </c>
      <c r="M435" s="16" t="n">
        <v>0.6969275778193761</v>
      </c>
      <c r="N435" s="16" t="n">
        <v>1771</v>
      </c>
      <c r="O435" s="16" t="n">
        <v>0</v>
      </c>
      <c r="P435" s="16" t="n">
        <v>0</v>
      </c>
      <c r="Q435" t="n">
        <v>356852</v>
      </c>
      <c r="R435" t="n">
        <v>352425</v>
      </c>
      <c r="S435" t="n">
        <v>335633</v>
      </c>
      <c r="T435" t="n">
        <v>17613</v>
      </c>
      <c r="U435" t="n">
        <v>3264</v>
      </c>
      <c r="V435" t="n">
        <v>1.24057032046899</v>
      </c>
      <c r="W435" t="n">
        <v>0.04</v>
      </c>
      <c r="X435" s="16">
        <f>IFERROR(K435/E435*100,"")</f>
        <v/>
      </c>
      <c r="Y435" s="16">
        <f>IFERROR((N435+O435)/E435*100,"")</f>
        <v/>
      </c>
      <c r="Z435" s="16">
        <f>IFERROR(R435/F435*100,"")</f>
        <v/>
      </c>
      <c r="AA435" s="16">
        <f>IFERROR(R435/E435*100,"")</f>
        <v/>
      </c>
      <c r="AB435" s="16">
        <f>IFERROR(S435/Q435*100,"")</f>
        <v/>
      </c>
      <c r="AC435" s="16">
        <f>IFERROR(T435/Q435*100,"")</f>
        <v/>
      </c>
      <c r="AD435" s="16">
        <f>IFERROR(U435/Q435*100,"")</f>
        <v/>
      </c>
      <c r="AE435" s="18" t="n"/>
      <c r="AF435" s="18" t="n"/>
      <c r="AG435" s="18" t="n"/>
      <c r="AH435">
        <f>P435&gt;0</f>
        <v/>
      </c>
    </row>
    <row r="436">
      <c r="A436" s="14" t="n">
        <v>44742</v>
      </c>
      <c r="B436" t="n">
        <v>18038</v>
      </c>
      <c r="C436" t="inlineStr">
        <is>
          <t>CLAREMONT SAVINGS BANK</t>
        </is>
      </c>
      <c r="D436" t="inlineStr">
        <is>
          <t>NH</t>
        </is>
      </c>
      <c r="E436" t="n">
        <v>488764</v>
      </c>
      <c r="F436" t="n">
        <v>401670</v>
      </c>
      <c r="G436" t="n">
        <v>64314</v>
      </c>
      <c r="H436" s="16" t="n">
        <v>-1.250765244769005</v>
      </c>
      <c r="I436" s="16" t="n">
        <v>-8.880000000000001</v>
      </c>
      <c r="J436" s="16" t="n">
        <v>3.160436023118005</v>
      </c>
      <c r="K436" s="16" t="n">
        <v>2488</v>
      </c>
      <c r="L436" s="16" t="n">
        <v>-72</v>
      </c>
      <c r="M436" s="16" t="n">
        <v>0.6812052514134735</v>
      </c>
      <c r="N436" s="16" t="n">
        <v>680</v>
      </c>
      <c r="O436" s="16" t="n">
        <v>0</v>
      </c>
      <c r="P436" s="16" t="n">
        <v>0</v>
      </c>
      <c r="Q436" t="n">
        <v>365235</v>
      </c>
      <c r="R436" t="n">
        <v>361193</v>
      </c>
      <c r="S436" t="n">
        <v>344078</v>
      </c>
      <c r="T436" t="n">
        <v>17550</v>
      </c>
      <c r="U436" t="n">
        <v>3145</v>
      </c>
      <c r="V436" t="n">
        <v>1.106684737223979</v>
      </c>
      <c r="W436" t="n">
        <v>-0.13</v>
      </c>
      <c r="X436" s="16">
        <f>IFERROR(K436/E436*100,"")</f>
        <v/>
      </c>
      <c r="Y436" s="16">
        <f>IFERROR((N436+O436)/E436*100,"")</f>
        <v/>
      </c>
      <c r="Z436" s="16">
        <f>IFERROR(R436/F436*100,"")</f>
        <v/>
      </c>
      <c r="AA436" s="16">
        <f>IFERROR(R436/E436*100,"")</f>
        <v/>
      </c>
      <c r="AB436" s="16">
        <f>IFERROR(S436/Q436*100,"")</f>
        <v/>
      </c>
      <c r="AC436" s="16">
        <f>IFERROR(T436/Q436*100,"")</f>
        <v/>
      </c>
      <c r="AD436" s="16">
        <f>IFERROR(U436/Q436*100,"")</f>
        <v/>
      </c>
      <c r="AE436" s="18" t="n"/>
      <c r="AF436" s="18" t="n"/>
      <c r="AG436" s="18" t="n"/>
      <c r="AH436">
        <f>P436&gt;0</f>
        <v/>
      </c>
    </row>
    <row r="437">
      <c r="A437" s="14" t="n">
        <v>44834</v>
      </c>
      <c r="B437" t="n">
        <v>18038</v>
      </c>
      <c r="C437" t="inlineStr">
        <is>
          <t>CLAREMONT SAVINGS BANK</t>
        </is>
      </c>
      <c r="D437" t="inlineStr">
        <is>
          <t>NH</t>
        </is>
      </c>
      <c r="E437" t="n">
        <v>492676</v>
      </c>
      <c r="F437" t="n">
        <v>386477</v>
      </c>
      <c r="G437" t="n">
        <v>61616</v>
      </c>
      <c r="H437" s="16" t="n">
        <v>-1.069224458916504</v>
      </c>
      <c r="I437" s="16" t="n">
        <v>-7.81</v>
      </c>
      <c r="J437" s="16" t="n">
        <v>3.18243691660641</v>
      </c>
      <c r="K437" s="16" t="n">
        <v>2589</v>
      </c>
      <c r="L437" s="16" t="n">
        <v>-168</v>
      </c>
      <c r="M437" s="16" t="n">
        <v>0.6708453065444342</v>
      </c>
      <c r="N437" s="16" t="n">
        <v>1188</v>
      </c>
      <c r="O437" s="16" t="n">
        <v>0</v>
      </c>
      <c r="P437" s="16" t="n">
        <v>0</v>
      </c>
      <c r="Q437" t="n">
        <v>385931</v>
      </c>
      <c r="R437" t="n">
        <v>381793</v>
      </c>
      <c r="S437" t="n">
        <v>364802</v>
      </c>
      <c r="T437" t="n">
        <v>17520</v>
      </c>
      <c r="U437" t="n">
        <v>3246</v>
      </c>
      <c r="V437" t="n">
        <v>1.072212390297748</v>
      </c>
      <c r="W437" t="n">
        <v>-0.09</v>
      </c>
      <c r="X437" s="16">
        <f>IFERROR(K437/E437*100,"")</f>
        <v/>
      </c>
      <c r="Y437" s="16">
        <f>IFERROR((N437+O437)/E437*100,"")</f>
        <v/>
      </c>
      <c r="Z437" s="16">
        <f>IFERROR(R437/F437*100,"")</f>
        <v/>
      </c>
      <c r="AA437" s="16">
        <f>IFERROR(R437/E437*100,"")</f>
        <v/>
      </c>
      <c r="AB437" s="16">
        <f>IFERROR(S437/Q437*100,"")</f>
        <v/>
      </c>
      <c r="AC437" s="16">
        <f>IFERROR(T437/Q437*100,"")</f>
        <v/>
      </c>
      <c r="AD437" s="16">
        <f>IFERROR(U437/Q437*100,"")</f>
        <v/>
      </c>
      <c r="AE437" s="18" t="n"/>
      <c r="AF437" s="18" t="n"/>
      <c r="AG437" s="18" t="n"/>
      <c r="AH437">
        <f>P437&gt;0</f>
        <v/>
      </c>
    </row>
    <row r="438">
      <c r="A438" s="14" t="n">
        <v>44926</v>
      </c>
      <c r="B438" t="n">
        <v>18038</v>
      </c>
      <c r="C438" t="inlineStr">
        <is>
          <t>CLAREMONT SAVINGS BANK</t>
        </is>
      </c>
      <c r="D438" t="inlineStr">
        <is>
          <t>NH</t>
        </is>
      </c>
      <c r="E438" t="n">
        <v>530980</v>
      </c>
      <c r="F438" t="n">
        <v>432649</v>
      </c>
      <c r="G438" t="n">
        <v>63947</v>
      </c>
      <c r="H438" s="16" t="n">
        <v>-0.2822405557967868</v>
      </c>
      <c r="I438" s="16" t="n">
        <v>-2.12</v>
      </c>
      <c r="J438" s="16" t="n">
        <v>3.108363445783797</v>
      </c>
      <c r="K438" s="16" t="n">
        <v>2186</v>
      </c>
      <c r="L438" s="16" t="n">
        <v>-169</v>
      </c>
      <c r="M438" s="16" t="n">
        <v>0.5395892111778399</v>
      </c>
      <c r="N438" s="16" t="n">
        <v>3681</v>
      </c>
      <c r="O438" s="16" t="n">
        <v>0</v>
      </c>
      <c r="P438" s="16" t="n">
        <v>0</v>
      </c>
      <c r="Q438" t="n">
        <v>405123</v>
      </c>
      <c r="R438" t="n">
        <v>400869</v>
      </c>
      <c r="S438" t="n">
        <v>384424</v>
      </c>
      <c r="T438" t="n">
        <v>16994</v>
      </c>
      <c r="U438" t="n">
        <v>3229</v>
      </c>
      <c r="V438" t="n">
        <v>1.050051465851112</v>
      </c>
      <c r="W438" t="n">
        <v>-0.04</v>
      </c>
      <c r="X438" s="16">
        <f>IFERROR(K438/E438*100,"")</f>
        <v/>
      </c>
      <c r="Y438" s="16">
        <f>IFERROR((N438+O438)/E438*100,"")</f>
        <v/>
      </c>
      <c r="Z438" s="16">
        <f>IFERROR(R438/F438*100,"")</f>
        <v/>
      </c>
      <c r="AA438" s="16">
        <f>IFERROR(R438/E438*100,"")</f>
        <v/>
      </c>
      <c r="AB438" s="16">
        <f>IFERROR(S438/Q438*100,"")</f>
        <v/>
      </c>
      <c r="AC438" s="16">
        <f>IFERROR(T438/Q438*100,"")</f>
        <v/>
      </c>
      <c r="AD438" s="16">
        <f>IFERROR(U438/Q438*100,"")</f>
        <v/>
      </c>
      <c r="AE438" s="18" t="n"/>
      <c r="AF438" s="18" t="n"/>
      <c r="AG438" s="18" t="n"/>
      <c r="AH438">
        <f>P438&gt;0</f>
        <v/>
      </c>
    </row>
    <row r="439">
      <c r="A439" s="14" t="n">
        <v>45016</v>
      </c>
      <c r="B439" t="n">
        <v>18038</v>
      </c>
      <c r="C439" t="inlineStr">
        <is>
          <t>CLAREMONT SAVINGS BANK</t>
        </is>
      </c>
      <c r="D439" t="inlineStr">
        <is>
          <t>NH</t>
        </is>
      </c>
      <c r="E439" t="n">
        <v>548592</v>
      </c>
      <c r="F439" t="n">
        <v>453467</v>
      </c>
      <c r="G439" t="n">
        <v>65334</v>
      </c>
      <c r="H439" s="16" t="n">
        <v>0.07039826894361829</v>
      </c>
      <c r="I439" s="16" t="n">
        <v>0.59</v>
      </c>
      <c r="J439" s="16" t="n">
        <v>2.596464779857416</v>
      </c>
      <c r="K439" s="16" t="n">
        <v>2269</v>
      </c>
      <c r="L439" s="16" t="n">
        <v>0</v>
      </c>
      <c r="M439" s="16" t="n">
        <v>0.5424336600525939</v>
      </c>
      <c r="N439" s="16" t="n">
        <v>1813</v>
      </c>
      <c r="O439" s="16" t="n">
        <v>0</v>
      </c>
      <c r="P439" s="16" t="n">
        <v>0</v>
      </c>
      <c r="Q439" t="n">
        <v>418300</v>
      </c>
      <c r="R439" t="n">
        <v>414195</v>
      </c>
      <c r="S439" t="n">
        <v>397248</v>
      </c>
      <c r="T439" t="n">
        <v>17283</v>
      </c>
      <c r="U439" t="n">
        <v>3452</v>
      </c>
      <c r="V439" t="n">
        <v>0.9813530958642124</v>
      </c>
      <c r="W439" t="n">
        <v>0.12</v>
      </c>
      <c r="X439" s="16">
        <f>IFERROR(K439/E439*100,"")</f>
        <v/>
      </c>
      <c r="Y439" s="16">
        <f>IFERROR((N439+O439)/E439*100,"")</f>
        <v/>
      </c>
      <c r="Z439" s="16">
        <f>IFERROR(R439/F439*100,"")</f>
        <v/>
      </c>
      <c r="AA439" s="16">
        <f>IFERROR(R439/E439*100,"")</f>
        <v/>
      </c>
      <c r="AB439" s="16">
        <f>IFERROR(S439/Q439*100,"")</f>
        <v/>
      </c>
      <c r="AC439" s="16">
        <f>IFERROR(T439/Q439*100,"")</f>
        <v/>
      </c>
      <c r="AD439" s="16">
        <f>IFERROR(U439/Q439*100,"")</f>
        <v/>
      </c>
      <c r="AE439" s="18">
        <f>IFERROR(E439/E435-1,"")</f>
        <v/>
      </c>
      <c r="AF439" s="18">
        <f>IFERROR(R439/R435-1,"")</f>
        <v/>
      </c>
      <c r="AG439" s="18">
        <f>IFERROR(F439/F435-1,"")</f>
        <v/>
      </c>
      <c r="AH439">
        <f>P439&gt;0</f>
        <v/>
      </c>
    </row>
    <row r="440">
      <c r="A440" s="14" t="n">
        <v>45107</v>
      </c>
      <c r="B440" t="n">
        <v>18038</v>
      </c>
      <c r="C440" t="inlineStr">
        <is>
          <t>CLAREMONT SAVINGS BANK</t>
        </is>
      </c>
      <c r="D440" t="inlineStr">
        <is>
          <t>NH</t>
        </is>
      </c>
      <c r="E440" t="n">
        <v>548920</v>
      </c>
      <c r="F440" t="n">
        <v>429568</v>
      </c>
      <c r="G440" t="n">
        <v>65364</v>
      </c>
      <c r="H440" s="16" t="n">
        <v>0.3887031683299642</v>
      </c>
      <c r="I440" s="16" t="n">
        <v>3.25</v>
      </c>
      <c r="J440" s="16" t="n">
        <v>2.592639905665012</v>
      </c>
      <c r="K440" s="16" t="n">
        <v>2268</v>
      </c>
      <c r="L440" s="16" t="n">
        <v>-9</v>
      </c>
      <c r="M440" s="16" t="n">
        <v>0.5399884288193825</v>
      </c>
      <c r="N440" s="16" t="n">
        <v>765</v>
      </c>
      <c r="O440" s="16" t="n">
        <v>0</v>
      </c>
      <c r="P440" s="16" t="n">
        <v>0</v>
      </c>
      <c r="Q440" t="n">
        <v>420009</v>
      </c>
      <c r="R440" t="n">
        <v>415859</v>
      </c>
      <c r="S440" t="n">
        <v>399161</v>
      </c>
      <c r="T440" t="n">
        <v>16670</v>
      </c>
      <c r="U440" t="n">
        <v>3651</v>
      </c>
      <c r="V440" t="n">
        <v>0.9880740650795578</v>
      </c>
      <c r="W440" t="n">
        <v>0.06</v>
      </c>
      <c r="X440" s="16">
        <f>IFERROR(K440/E440*100,"")</f>
        <v/>
      </c>
      <c r="Y440" s="16">
        <f>IFERROR((N440+O440)/E440*100,"")</f>
        <v/>
      </c>
      <c r="Z440" s="16">
        <f>IFERROR(R440/F440*100,"")</f>
        <v/>
      </c>
      <c r="AA440" s="16">
        <f>IFERROR(R440/E440*100,"")</f>
        <v/>
      </c>
      <c r="AB440" s="16">
        <f>IFERROR(S440/Q440*100,"")</f>
        <v/>
      </c>
      <c r="AC440" s="16">
        <f>IFERROR(T440/Q440*100,"")</f>
        <v/>
      </c>
      <c r="AD440" s="16">
        <f>IFERROR(U440/Q440*100,"")</f>
        <v/>
      </c>
      <c r="AE440" s="18">
        <f>IFERROR(E440/E436-1,"")</f>
        <v/>
      </c>
      <c r="AF440" s="18">
        <f>IFERROR(R440/R436-1,"")</f>
        <v/>
      </c>
      <c r="AG440" s="18">
        <f>IFERROR(F440/F436-1,"")</f>
        <v/>
      </c>
      <c r="AH440">
        <f>P440&gt;0</f>
        <v/>
      </c>
    </row>
    <row r="441">
      <c r="A441" s="14" t="n">
        <v>45199</v>
      </c>
      <c r="B441" t="n">
        <v>18038</v>
      </c>
      <c r="C441" t="inlineStr">
        <is>
          <t>CLAREMONT SAVINGS BANK</t>
        </is>
      </c>
      <c r="D441" t="inlineStr">
        <is>
          <t>NH</t>
        </is>
      </c>
      <c r="E441" t="n">
        <v>555533</v>
      </c>
      <c r="F441" t="n">
        <v>444746</v>
      </c>
      <c r="G441" t="n">
        <v>62652</v>
      </c>
      <c r="H441" s="16" t="n">
        <v>-0.0175817767653758</v>
      </c>
      <c r="I441" s="16" t="n">
        <v>-0.15</v>
      </c>
      <c r="J441" s="16" t="n">
        <v>2.509310951095344</v>
      </c>
      <c r="K441" s="16" t="n">
        <v>2136</v>
      </c>
      <c r="L441" s="16" t="n">
        <v>-19</v>
      </c>
      <c r="M441" s="16" t="n">
        <v>0.5161011038695558</v>
      </c>
      <c r="N441" s="16" t="n">
        <v>1391</v>
      </c>
      <c r="O441" s="16" t="n">
        <v>10</v>
      </c>
      <c r="P441" s="16" t="n">
        <v>0</v>
      </c>
      <c r="Q441" t="n">
        <v>415810</v>
      </c>
      <c r="R441" t="n">
        <v>411642</v>
      </c>
      <c r="S441" t="n">
        <v>395105</v>
      </c>
      <c r="T441" t="n">
        <v>16653</v>
      </c>
      <c r="U441" t="n">
        <v>3686</v>
      </c>
      <c r="V441" t="n">
        <v>1.002380895120367</v>
      </c>
      <c r="W441" t="n">
        <v>0.04</v>
      </c>
      <c r="X441" s="16">
        <f>IFERROR(K441/E441*100,"")</f>
        <v/>
      </c>
      <c r="Y441" s="16">
        <f>IFERROR((N441+O441)/E441*100,"")</f>
        <v/>
      </c>
      <c r="Z441" s="16">
        <f>IFERROR(R441/F441*100,"")</f>
        <v/>
      </c>
      <c r="AA441" s="16">
        <f>IFERROR(R441/E441*100,"")</f>
        <v/>
      </c>
      <c r="AB441" s="16">
        <f>IFERROR(S441/Q441*100,"")</f>
        <v/>
      </c>
      <c r="AC441" s="16">
        <f>IFERROR(T441/Q441*100,"")</f>
        <v/>
      </c>
      <c r="AD441" s="16">
        <f>IFERROR(U441/Q441*100,"")</f>
        <v/>
      </c>
      <c r="AE441" s="18">
        <f>IFERROR(E441/E437-1,"")</f>
        <v/>
      </c>
      <c r="AF441" s="18">
        <f>IFERROR(R441/R437-1,"")</f>
        <v/>
      </c>
      <c r="AG441" s="18">
        <f>IFERROR(F441/F437-1,"")</f>
        <v/>
      </c>
      <c r="AH441">
        <f>P441&gt;0</f>
        <v/>
      </c>
    </row>
    <row r="442">
      <c r="A442" s="14" t="n">
        <v>45291</v>
      </c>
      <c r="B442" t="n">
        <v>18038</v>
      </c>
      <c r="C442" t="inlineStr">
        <is>
          <t>CLAREMONT SAVINGS BANK</t>
        </is>
      </c>
      <c r="D442" t="inlineStr">
        <is>
          <t>NH</t>
        </is>
      </c>
      <c r="E442" t="n">
        <v>552093</v>
      </c>
      <c r="F442" t="n">
        <v>419606</v>
      </c>
      <c r="G442" t="n">
        <v>66547</v>
      </c>
      <c r="H442" s="16" t="n">
        <v>0.3119383009066129</v>
      </c>
      <c r="I442" s="16" t="n">
        <v>2.64</v>
      </c>
      <c r="J442" s="16" t="n">
        <v>2.450514265048371</v>
      </c>
      <c r="K442" s="16" t="n">
        <v>2367</v>
      </c>
      <c r="L442" s="16" t="n">
        <v>-77</v>
      </c>
      <c r="M442" s="16" t="n">
        <v>0.565934880429221</v>
      </c>
      <c r="N442" s="16" t="n">
        <v>822</v>
      </c>
      <c r="O442" s="16" t="n">
        <v>0</v>
      </c>
      <c r="P442" s="16" t="n">
        <v>0</v>
      </c>
      <c r="Q442" t="n">
        <v>418246</v>
      </c>
      <c r="R442" t="n">
        <v>414367</v>
      </c>
      <c r="S442" t="n">
        <v>392161</v>
      </c>
      <c r="T442" t="n">
        <v>21976</v>
      </c>
      <c r="U442" t="n">
        <v>3848</v>
      </c>
      <c r="V442" t="n">
        <v>0.9274446139353396</v>
      </c>
      <c r="W442" t="n">
        <v>-0.04</v>
      </c>
      <c r="X442" s="16">
        <f>IFERROR(K442/E442*100,"")</f>
        <v/>
      </c>
      <c r="Y442" s="16">
        <f>IFERROR((N442+O442)/E442*100,"")</f>
        <v/>
      </c>
      <c r="Z442" s="16">
        <f>IFERROR(R442/F442*100,"")</f>
        <v/>
      </c>
      <c r="AA442" s="16">
        <f>IFERROR(R442/E442*100,"")</f>
        <v/>
      </c>
      <c r="AB442" s="16">
        <f>IFERROR(S442/Q442*100,"")</f>
        <v/>
      </c>
      <c r="AC442" s="16">
        <f>IFERROR(T442/Q442*100,"")</f>
        <v/>
      </c>
      <c r="AD442" s="16">
        <f>IFERROR(U442/Q442*100,"")</f>
        <v/>
      </c>
      <c r="AE442" s="18">
        <f>IFERROR(E442/E438-1,"")</f>
        <v/>
      </c>
      <c r="AF442" s="18">
        <f>IFERROR(R442/R438-1,"")</f>
        <v/>
      </c>
      <c r="AG442" s="18">
        <f>IFERROR(F442/F438-1,"")</f>
        <v/>
      </c>
      <c r="AH442">
        <f>P442&gt;0</f>
        <v/>
      </c>
    </row>
    <row r="443">
      <c r="A443" s="14" t="n">
        <v>45382</v>
      </c>
      <c r="B443" t="n">
        <v>18038</v>
      </c>
      <c r="C443" t="inlineStr">
        <is>
          <t>CLAREMONT SAVINGS BANK</t>
        </is>
      </c>
      <c r="D443" t="inlineStr">
        <is>
          <t>NH</t>
        </is>
      </c>
      <c r="E443" t="n">
        <v>522345</v>
      </c>
      <c r="F443" t="n">
        <v>409953</v>
      </c>
      <c r="G443" t="n">
        <v>65908</v>
      </c>
      <c r="H443" s="16" t="n">
        <v>1.087079943188904</v>
      </c>
      <c r="I443" s="16" t="n">
        <v>8.82</v>
      </c>
      <c r="J443" s="16" t="n">
        <v>2.403425636076801</v>
      </c>
      <c r="K443" s="16" t="n">
        <v>2189</v>
      </c>
      <c r="L443" s="16" t="n">
        <v>-3</v>
      </c>
      <c r="M443" s="16" t="n">
        <v>0.5253734495603087</v>
      </c>
      <c r="N443" s="16" t="n">
        <v>1700</v>
      </c>
      <c r="O443" s="16" t="n">
        <v>0</v>
      </c>
      <c r="P443" s="16" t="n">
        <v>0</v>
      </c>
      <c r="Q443" t="n">
        <v>416656</v>
      </c>
      <c r="R443" t="n">
        <v>412772</v>
      </c>
      <c r="S443" t="n">
        <v>389167</v>
      </c>
      <c r="T443" t="n">
        <v>23498</v>
      </c>
      <c r="U443" t="n">
        <v>3734</v>
      </c>
      <c r="V443" t="n">
        <v>0.932183863906916</v>
      </c>
      <c r="W443" t="n">
        <v>0</v>
      </c>
      <c r="X443" s="16">
        <f>IFERROR(K443/E443*100,"")</f>
        <v/>
      </c>
      <c r="Y443" s="16">
        <f>IFERROR((N443+O443)/E443*100,"")</f>
        <v/>
      </c>
      <c r="Z443" s="16">
        <f>IFERROR(R443/F443*100,"")</f>
        <v/>
      </c>
      <c r="AA443" s="16">
        <f>IFERROR(R443/E443*100,"")</f>
        <v/>
      </c>
      <c r="AB443" s="16">
        <f>IFERROR(S443/Q443*100,"")</f>
        <v/>
      </c>
      <c r="AC443" s="16">
        <f>IFERROR(T443/Q443*100,"")</f>
        <v/>
      </c>
      <c r="AD443" s="16">
        <f>IFERROR(U443/Q443*100,"")</f>
        <v/>
      </c>
      <c r="AE443" s="18">
        <f>IFERROR(E443/E439-1,"")</f>
        <v/>
      </c>
      <c r="AF443" s="18">
        <f>IFERROR(R443/R439-1,"")</f>
        <v/>
      </c>
      <c r="AG443" s="18">
        <f>IFERROR(F443/F439-1,"")</f>
        <v/>
      </c>
      <c r="AH443">
        <f>P443&gt;0</f>
        <v/>
      </c>
    </row>
    <row r="444">
      <c r="A444" s="14" t="n">
        <v>45473</v>
      </c>
      <c r="B444" t="n">
        <v>18038</v>
      </c>
      <c r="C444" t="inlineStr">
        <is>
          <t>CLAREMONT SAVINGS BANK</t>
        </is>
      </c>
      <c r="D444" t="inlineStr">
        <is>
          <t>NH</t>
        </is>
      </c>
      <c r="E444" t="n">
        <v>528195</v>
      </c>
      <c r="F444" t="n">
        <v>406919</v>
      </c>
      <c r="G444" t="n">
        <v>66574</v>
      </c>
      <c r="H444" s="16" t="n">
        <v>0.655171832852562</v>
      </c>
      <c r="I444" s="16" t="n">
        <v>5.28</v>
      </c>
      <c r="J444" s="16" t="n">
        <v>2.450394636962652</v>
      </c>
      <c r="K444" s="16" t="n">
        <v>2632</v>
      </c>
      <c r="L444" s="16" t="n">
        <v>-4</v>
      </c>
      <c r="M444" s="16" t="n">
        <v>0.6298850794775208</v>
      </c>
      <c r="N444" s="16" t="n">
        <v>1085</v>
      </c>
      <c r="O444" s="16" t="n">
        <v>0</v>
      </c>
      <c r="P444" s="16" t="n">
        <v>0</v>
      </c>
      <c r="Q444" t="n">
        <v>417854</v>
      </c>
      <c r="R444" t="n">
        <v>413931</v>
      </c>
      <c r="S444" t="n">
        <v>385504</v>
      </c>
      <c r="T444" t="n">
        <v>27415</v>
      </c>
      <c r="U444" t="n">
        <v>4069</v>
      </c>
      <c r="V444" t="n">
        <v>0.938844668233402</v>
      </c>
      <c r="W444" t="n">
        <v>0.03</v>
      </c>
      <c r="X444" s="16">
        <f>IFERROR(K444/E444*100,"")</f>
        <v/>
      </c>
      <c r="Y444" s="16">
        <f>IFERROR((N444+O444)/E444*100,"")</f>
        <v/>
      </c>
      <c r="Z444" s="16">
        <f>IFERROR(R444/F444*100,"")</f>
        <v/>
      </c>
      <c r="AA444" s="16">
        <f>IFERROR(R444/E444*100,"")</f>
        <v/>
      </c>
      <c r="AB444" s="16">
        <f>IFERROR(S444/Q444*100,"")</f>
        <v/>
      </c>
      <c r="AC444" s="16">
        <f>IFERROR(T444/Q444*100,"")</f>
        <v/>
      </c>
      <c r="AD444" s="16">
        <f>IFERROR(U444/Q444*100,"")</f>
        <v/>
      </c>
      <c r="AE444" s="18">
        <f>IFERROR(E444/E440-1,"")</f>
        <v/>
      </c>
      <c r="AF444" s="18">
        <f>IFERROR(R444/R440-1,"")</f>
        <v/>
      </c>
      <c r="AG444" s="18">
        <f>IFERROR(F444/F440-1,"")</f>
        <v/>
      </c>
      <c r="AH444">
        <f>P444&gt;0</f>
        <v/>
      </c>
    </row>
    <row r="445">
      <c r="A445" s="14" t="n">
        <v>45565</v>
      </c>
      <c r="B445" t="n">
        <v>18038</v>
      </c>
      <c r="C445" t="inlineStr">
        <is>
          <t>CLAREMONT SAVINGS BANK</t>
        </is>
      </c>
      <c r="D445" t="inlineStr">
        <is>
          <t>NH</t>
        </is>
      </c>
      <c r="E445" t="n">
        <v>578941</v>
      </c>
      <c r="F445" t="n">
        <v>436224</v>
      </c>
      <c r="G445" t="n">
        <v>68568</v>
      </c>
      <c r="H445" s="16" t="n">
        <v>0.4801306212853655</v>
      </c>
      <c r="I445" s="16" t="n">
        <v>3.91</v>
      </c>
      <c r="J445" s="16" t="n">
        <v>2.503113599328416</v>
      </c>
      <c r="K445" s="16" t="n">
        <v>2472</v>
      </c>
      <c r="L445" s="16" t="n">
        <v>-9</v>
      </c>
      <c r="M445" s="16" t="n">
        <v>0.5886372998883209</v>
      </c>
      <c r="N445" s="16" t="n">
        <v>765</v>
      </c>
      <c r="O445" s="16" t="n">
        <v>0</v>
      </c>
      <c r="P445" s="16" t="n">
        <v>0</v>
      </c>
      <c r="Q445" t="n">
        <v>419953</v>
      </c>
      <c r="R445" t="n">
        <v>416031</v>
      </c>
      <c r="S445" t="n">
        <v>385462</v>
      </c>
      <c r="T445" t="n">
        <v>28944</v>
      </c>
      <c r="U445" t="n">
        <v>4689</v>
      </c>
      <c r="V445" t="n">
        <v>0.9339140332370528</v>
      </c>
      <c r="W445" t="n">
        <v>0.02</v>
      </c>
      <c r="X445" s="16">
        <f>IFERROR(K445/E445*100,"")</f>
        <v/>
      </c>
      <c r="Y445" s="16">
        <f>IFERROR((N445+O445)/E445*100,"")</f>
        <v/>
      </c>
      <c r="Z445" s="16">
        <f>IFERROR(R445/F445*100,"")</f>
        <v/>
      </c>
      <c r="AA445" s="16">
        <f>IFERROR(R445/E445*100,"")</f>
        <v/>
      </c>
      <c r="AB445" s="16">
        <f>IFERROR(S445/Q445*100,"")</f>
        <v/>
      </c>
      <c r="AC445" s="16">
        <f>IFERROR(T445/Q445*100,"")</f>
        <v/>
      </c>
      <c r="AD445" s="16">
        <f>IFERROR(U445/Q445*100,"")</f>
        <v/>
      </c>
      <c r="AE445" s="18">
        <f>IFERROR(E445/E441-1,"")</f>
        <v/>
      </c>
      <c r="AF445" s="18">
        <f>IFERROR(R445/R441-1,"")</f>
        <v/>
      </c>
      <c r="AG445" s="18">
        <f>IFERROR(F445/F441-1,"")</f>
        <v/>
      </c>
      <c r="AH445">
        <f>P445&gt;0</f>
        <v/>
      </c>
    </row>
    <row r="446">
      <c r="A446" s="14" t="n">
        <v>45657</v>
      </c>
      <c r="B446" t="n">
        <v>18038</v>
      </c>
      <c r="C446" t="inlineStr">
        <is>
          <t>CLAREMONT SAVINGS BANK</t>
        </is>
      </c>
      <c r="D446" t="inlineStr">
        <is>
          <t>NH</t>
        </is>
      </c>
      <c r="E446" t="n">
        <v>559057</v>
      </c>
      <c r="F446" t="n">
        <v>417615</v>
      </c>
      <c r="G446" t="n">
        <v>67734</v>
      </c>
      <c r="H446" s="16" t="n">
        <v>0.4581061806569363</v>
      </c>
      <c r="I446" s="16" t="n">
        <v>3.74</v>
      </c>
      <c r="J446" s="16" t="n">
        <v>2.560096266326438</v>
      </c>
      <c r="K446" s="16" t="n">
        <v>2689</v>
      </c>
      <c r="L446" s="16" t="n">
        <v>-13</v>
      </c>
      <c r="M446" s="16" t="n">
        <v>0.6197951840830881</v>
      </c>
      <c r="N446" s="16" t="n">
        <v>2946</v>
      </c>
      <c r="O446" s="16" t="n">
        <v>0</v>
      </c>
      <c r="P446" s="16" t="n">
        <v>0</v>
      </c>
      <c r="Q446" t="n">
        <v>433853</v>
      </c>
      <c r="R446" t="n">
        <v>429922</v>
      </c>
      <c r="S446" t="n">
        <v>399538</v>
      </c>
      <c r="T446" t="n">
        <v>27975</v>
      </c>
      <c r="U446" t="n">
        <v>4139</v>
      </c>
      <c r="V446" t="n">
        <v>0.9060672624137668</v>
      </c>
      <c r="W446" t="n">
        <v>0.02</v>
      </c>
      <c r="X446" s="16">
        <f>IFERROR(K446/E446*100,"")</f>
        <v/>
      </c>
      <c r="Y446" s="16">
        <f>IFERROR((N446+O446)/E446*100,"")</f>
        <v/>
      </c>
      <c r="Z446" s="16">
        <f>IFERROR(R446/F446*100,"")</f>
        <v/>
      </c>
      <c r="AA446" s="16">
        <f>IFERROR(R446/E446*100,"")</f>
        <v/>
      </c>
      <c r="AB446" s="16">
        <f>IFERROR(S446/Q446*100,"")</f>
        <v/>
      </c>
      <c r="AC446" s="16">
        <f>IFERROR(T446/Q446*100,"")</f>
        <v/>
      </c>
      <c r="AD446" s="16">
        <f>IFERROR(U446/Q446*100,"")</f>
        <v/>
      </c>
      <c r="AE446" s="18">
        <f>IFERROR(E446/E442-1,"")</f>
        <v/>
      </c>
      <c r="AF446" s="18">
        <f>IFERROR(R446/R442-1,"")</f>
        <v/>
      </c>
      <c r="AG446" s="18">
        <f>IFERROR(F446/F442-1,"")</f>
        <v/>
      </c>
      <c r="AH446">
        <f>P446&gt;0</f>
        <v/>
      </c>
    </row>
    <row r="447">
      <c r="A447" s="14" t="n">
        <v>45747</v>
      </c>
      <c r="B447" t="n">
        <v>18038</v>
      </c>
      <c r="C447" t="inlineStr">
        <is>
          <t>CLAREMONT SAVINGS BANK</t>
        </is>
      </c>
      <c r="D447" t="inlineStr">
        <is>
          <t>NH</t>
        </is>
      </c>
      <c r="E447" t="n">
        <v>575681</v>
      </c>
      <c r="F447" t="n">
        <v>443411</v>
      </c>
      <c r="G447" t="n">
        <v>68850</v>
      </c>
      <c r="H447" s="16" t="n">
        <v>0.2425229436222282</v>
      </c>
      <c r="I447" s="16" t="n">
        <v>2.01</v>
      </c>
      <c r="J447" s="16" t="n">
        <v>2.827485410504059</v>
      </c>
      <c r="K447" s="16" t="n">
        <v>2863</v>
      </c>
      <c r="L447" s="16" t="n">
        <v>-51</v>
      </c>
      <c r="M447" s="16" t="n">
        <v>0.6296140727431865</v>
      </c>
      <c r="N447" s="16" t="n">
        <v>2982</v>
      </c>
      <c r="O447" s="16" t="n">
        <v>0</v>
      </c>
      <c r="P447" s="16" t="n">
        <v>0</v>
      </c>
      <c r="Q447" t="n">
        <v>454723</v>
      </c>
      <c r="R447" t="n">
        <v>450662</v>
      </c>
      <c r="S447" t="n">
        <v>417170</v>
      </c>
      <c r="T447" t="n">
        <v>31307</v>
      </c>
      <c r="U447" t="n">
        <v>4078</v>
      </c>
      <c r="V447" t="n">
        <v>0.8930711664024032</v>
      </c>
      <c r="W447" t="n">
        <v>0</v>
      </c>
      <c r="X447" s="16">
        <f>IFERROR(K447/E447*100,"")</f>
        <v/>
      </c>
      <c r="Y447" s="16">
        <f>IFERROR((N447+O447)/E447*100,"")</f>
        <v/>
      </c>
      <c r="Z447" s="16">
        <f>IFERROR(R447/F447*100,"")</f>
        <v/>
      </c>
      <c r="AA447" s="16">
        <f>IFERROR(R447/E447*100,"")</f>
        <v/>
      </c>
      <c r="AB447" s="16">
        <f>IFERROR(S447/Q447*100,"")</f>
        <v/>
      </c>
      <c r="AC447" s="16">
        <f>IFERROR(T447/Q447*100,"")</f>
        <v/>
      </c>
      <c r="AD447" s="16">
        <f>IFERROR(U447/Q447*100,"")</f>
        <v/>
      </c>
      <c r="AE447" s="18">
        <f>IFERROR(E447/E443-1,"")</f>
        <v/>
      </c>
      <c r="AF447" s="18">
        <f>IFERROR(R447/R443-1,"")</f>
        <v/>
      </c>
      <c r="AG447" s="18">
        <f>IFERROR(F447/F443-1,"")</f>
        <v/>
      </c>
      <c r="AH447">
        <f>P447&gt;0</f>
        <v/>
      </c>
    </row>
    <row r="448">
      <c r="A448" s="14" t="n">
        <v>45838</v>
      </c>
      <c r="B448" t="n">
        <v>18038</v>
      </c>
      <c r="C448" t="inlineStr">
        <is>
          <t>CLAREMONT SAVINGS BANK</t>
        </is>
      </c>
      <c r="D448" t="inlineStr">
        <is>
          <t>NH</t>
        </is>
      </c>
      <c r="E448" t="n">
        <v>597834</v>
      </c>
      <c r="F448" t="n">
        <v>447963</v>
      </c>
      <c r="G448" t="n">
        <v>69475</v>
      </c>
      <c r="H448" s="16" t="n">
        <v>0.425956323893033</v>
      </c>
      <c r="I448" s="16" t="n">
        <v>3.58</v>
      </c>
      <c r="J448" s="16" t="n">
        <v>2.89442109724558</v>
      </c>
      <c r="K448" s="16" t="n">
        <v>2194</v>
      </c>
      <c r="L448" s="16" t="n">
        <v>-54</v>
      </c>
      <c r="M448" s="16" t="n">
        <v>0.478485595271847</v>
      </c>
      <c r="N448" s="16" t="n">
        <v>950</v>
      </c>
      <c r="O448" s="16" t="n">
        <v>0</v>
      </c>
      <c r="P448" s="16" t="n">
        <v>0</v>
      </c>
      <c r="Q448" t="n">
        <v>458530</v>
      </c>
      <c r="R448" t="n">
        <v>454589</v>
      </c>
      <c r="S448" t="n">
        <v>420497</v>
      </c>
      <c r="T448" t="n">
        <v>30598</v>
      </c>
      <c r="U448" t="n">
        <v>4861</v>
      </c>
      <c r="V448" t="n">
        <v>0.859485747933614</v>
      </c>
      <c r="W448" t="n">
        <v>0</v>
      </c>
      <c r="X448" s="16">
        <f>IFERROR(K448/E448*100,"")</f>
        <v/>
      </c>
      <c r="Y448" s="16">
        <f>IFERROR((N448+O448)/E448*100,"")</f>
        <v/>
      </c>
      <c r="Z448" s="16">
        <f>IFERROR(R448/F448*100,"")</f>
        <v/>
      </c>
      <c r="AA448" s="16">
        <f>IFERROR(R448/E448*100,"")</f>
        <v/>
      </c>
      <c r="AB448" s="16">
        <f>IFERROR(S448/Q448*100,"")</f>
        <v/>
      </c>
      <c r="AC448" s="16">
        <f>IFERROR(T448/Q448*100,"")</f>
        <v/>
      </c>
      <c r="AD448" s="16">
        <f>IFERROR(U448/Q448*100,"")</f>
        <v/>
      </c>
      <c r="AE448" s="18">
        <f>IFERROR(E448/E444-1,"")</f>
        <v/>
      </c>
      <c r="AF448" s="18">
        <f>IFERROR(R448/R444-1,"")</f>
        <v/>
      </c>
      <c r="AG448" s="18">
        <f>IFERROR(F448/F444-1,"")</f>
        <v/>
      </c>
      <c r="AH448">
        <f>P448&gt;0</f>
        <v/>
      </c>
    </row>
    <row r="449">
      <c r="A449" s="14" t="n">
        <v>44651</v>
      </c>
      <c r="B449" t="n">
        <v>18408</v>
      </c>
      <c r="C449" t="inlineStr">
        <is>
          <t>BANGOR SAVINGS BANK</t>
        </is>
      </c>
      <c r="D449" t="inlineStr">
        <is>
          <t>ME</t>
        </is>
      </c>
      <c r="E449" t="n">
        <v>6919263</v>
      </c>
      <c r="F449" t="n">
        <v>5759296</v>
      </c>
      <c r="G449" t="n">
        <v>446779</v>
      </c>
      <c r="H449" s="16" t="n">
        <v>0.5993500002964931</v>
      </c>
      <c r="I449" s="16" t="n">
        <v>8.390000000000001</v>
      </c>
      <c r="J449" s="16" t="n">
        <v>2.737214108176079</v>
      </c>
      <c r="K449" s="16" t="n">
        <v>4978</v>
      </c>
      <c r="L449" s="16" t="n">
        <v>182</v>
      </c>
      <c r="M449" s="16" t="n">
        <v>0.1251648792075941</v>
      </c>
      <c r="N449" s="16" t="n">
        <v>3765</v>
      </c>
      <c r="O449" s="16" t="n">
        <v>0</v>
      </c>
      <c r="P449" s="16" t="n">
        <v>13.12330756122939</v>
      </c>
      <c r="Q449" t="n">
        <v>3977154</v>
      </c>
      <c r="R449" t="n">
        <v>3927693</v>
      </c>
      <c r="S449" t="n">
        <v>3596517</v>
      </c>
      <c r="T449" t="n">
        <v>286708</v>
      </c>
      <c r="U449" t="n">
        <v>28127</v>
      </c>
      <c r="V449" t="n">
        <v>1.243627981214708</v>
      </c>
      <c r="W449" t="n">
        <v>0</v>
      </c>
      <c r="X449" s="16">
        <f>IFERROR(K449/E449*100,"")</f>
        <v/>
      </c>
      <c r="Y449" s="16">
        <f>IFERROR((N449+O449)/E449*100,"")</f>
        <v/>
      </c>
      <c r="Z449" s="16">
        <f>IFERROR(R449/F449*100,"")</f>
        <v/>
      </c>
      <c r="AA449" s="16">
        <f>IFERROR(R449/E449*100,"")</f>
        <v/>
      </c>
      <c r="AB449" s="16">
        <f>IFERROR(S449/Q449*100,"")</f>
        <v/>
      </c>
      <c r="AC449" s="16">
        <f>IFERROR(T449/Q449*100,"")</f>
        <v/>
      </c>
      <c r="AD449" s="16">
        <f>IFERROR(U449/Q449*100,"")</f>
        <v/>
      </c>
      <c r="AE449" s="18" t="n"/>
      <c r="AF449" s="18" t="n"/>
      <c r="AG449" s="18" t="n"/>
      <c r="AH449">
        <f>P449&gt;0</f>
        <v/>
      </c>
    </row>
    <row r="450">
      <c r="A450" s="14" t="n">
        <v>44742</v>
      </c>
      <c r="B450" t="n">
        <v>18408</v>
      </c>
      <c r="C450" t="inlineStr">
        <is>
          <t>BANGOR SAVINGS BANK</t>
        </is>
      </c>
      <c r="D450" t="inlineStr">
        <is>
          <t>ME</t>
        </is>
      </c>
      <c r="E450" t="n">
        <v>7044628</v>
      </c>
      <c r="F450" t="n">
        <v>5698679</v>
      </c>
      <c r="G450" t="n">
        <v>400181</v>
      </c>
      <c r="H450" s="16" t="n">
        <v>0.6837368685257689</v>
      </c>
      <c r="I450" s="16" t="n">
        <v>10.28</v>
      </c>
      <c r="J450" s="16" t="n">
        <v>2.71187008580479</v>
      </c>
      <c r="K450" s="16" t="n">
        <v>3286</v>
      </c>
      <c r="L450" s="16" t="n">
        <v>330</v>
      </c>
      <c r="M450" s="16" t="n">
        <v>0.0778965190022702</v>
      </c>
      <c r="N450" s="16" t="n">
        <v>2128</v>
      </c>
      <c r="O450" s="16" t="n">
        <v>0</v>
      </c>
      <c r="P450" s="16" t="n">
        <v>12.63566732750236</v>
      </c>
      <c r="Q450" t="n">
        <v>4218417</v>
      </c>
      <c r="R450" t="n">
        <v>4174105</v>
      </c>
      <c r="S450" t="n">
        <v>3811693</v>
      </c>
      <c r="T450" t="n">
        <v>300704</v>
      </c>
      <c r="U450" t="n">
        <v>28143</v>
      </c>
      <c r="V450" t="n">
        <v>1.050441433362325</v>
      </c>
      <c r="W450" t="n">
        <v>-0.14</v>
      </c>
      <c r="X450" s="16">
        <f>IFERROR(K450/E450*100,"")</f>
        <v/>
      </c>
      <c r="Y450" s="16">
        <f>IFERROR((N450+O450)/E450*100,"")</f>
        <v/>
      </c>
      <c r="Z450" s="16">
        <f>IFERROR(R450/F450*100,"")</f>
        <v/>
      </c>
      <c r="AA450" s="16">
        <f>IFERROR(R450/E450*100,"")</f>
        <v/>
      </c>
      <c r="AB450" s="16">
        <f>IFERROR(S450/Q450*100,"")</f>
        <v/>
      </c>
      <c r="AC450" s="16">
        <f>IFERROR(T450/Q450*100,"")</f>
        <v/>
      </c>
      <c r="AD450" s="16">
        <f>IFERROR(U450/Q450*100,"")</f>
        <v/>
      </c>
      <c r="AE450" s="18" t="n"/>
      <c r="AF450" s="18" t="n"/>
      <c r="AG450" s="18" t="n"/>
      <c r="AH450">
        <f>P450&gt;0</f>
        <v/>
      </c>
    </row>
    <row r="451">
      <c r="A451" s="14" t="n">
        <v>44834</v>
      </c>
      <c r="B451" t="n">
        <v>18408</v>
      </c>
      <c r="C451" t="inlineStr">
        <is>
          <t>BANGOR SAVINGS BANK</t>
        </is>
      </c>
      <c r="D451" t="inlineStr">
        <is>
          <t>ME</t>
        </is>
      </c>
      <c r="E451" t="n">
        <v>7207176</v>
      </c>
      <c r="F451" t="n">
        <v>5866760</v>
      </c>
      <c r="G451" t="n">
        <v>323363</v>
      </c>
      <c r="H451" s="16" t="n">
        <v>0.7771093098682847</v>
      </c>
      <c r="I451" s="16" t="n">
        <v>12.75</v>
      </c>
      <c r="J451" s="16" t="n">
        <v>2.6901115457965</v>
      </c>
      <c r="K451" s="16" t="n">
        <v>2950</v>
      </c>
      <c r="L451" s="16" t="n">
        <v>268</v>
      </c>
      <c r="M451" s="16" t="n">
        <v>0.06554273830895289</v>
      </c>
      <c r="N451" s="16" t="n">
        <v>1920</v>
      </c>
      <c r="O451" s="16" t="n">
        <v>0</v>
      </c>
      <c r="P451" s="16" t="n">
        <v>11.98054347653975</v>
      </c>
      <c r="Q451" t="n">
        <v>4500880</v>
      </c>
      <c r="R451" t="n">
        <v>4461506</v>
      </c>
      <c r="S451" t="n">
        <v>4105596</v>
      </c>
      <c r="T451" t="n">
        <v>297616</v>
      </c>
      <c r="U451" t="n">
        <v>28938</v>
      </c>
      <c r="V451" t="n">
        <v>0.8748067044666821</v>
      </c>
      <c r="W451" t="n">
        <v>-0.19</v>
      </c>
      <c r="X451" s="16">
        <f>IFERROR(K451/E451*100,"")</f>
        <v/>
      </c>
      <c r="Y451" s="16">
        <f>IFERROR((N451+O451)/E451*100,"")</f>
        <v/>
      </c>
      <c r="Z451" s="16">
        <f>IFERROR(R451/F451*100,"")</f>
        <v/>
      </c>
      <c r="AA451" s="16">
        <f>IFERROR(R451/E451*100,"")</f>
        <v/>
      </c>
      <c r="AB451" s="16">
        <f>IFERROR(S451/Q451*100,"")</f>
        <v/>
      </c>
      <c r="AC451" s="16">
        <f>IFERROR(T451/Q451*100,"")</f>
        <v/>
      </c>
      <c r="AD451" s="16">
        <f>IFERROR(U451/Q451*100,"")</f>
        <v/>
      </c>
      <c r="AE451" s="18" t="n"/>
      <c r="AF451" s="18" t="n"/>
      <c r="AG451" s="18" t="n"/>
      <c r="AH451">
        <f>P451&gt;0</f>
        <v/>
      </c>
    </row>
    <row r="452">
      <c r="A452" s="14" t="n">
        <v>44926</v>
      </c>
      <c r="B452" t="n">
        <v>18408</v>
      </c>
      <c r="C452" t="inlineStr">
        <is>
          <t>BANGOR SAVINGS BANK</t>
        </is>
      </c>
      <c r="D452" t="inlineStr">
        <is>
          <t>ME</t>
        </is>
      </c>
      <c r="E452" t="n">
        <v>7377141</v>
      </c>
      <c r="F452" t="n">
        <v>5909658</v>
      </c>
      <c r="G452" t="n">
        <v>349062</v>
      </c>
      <c r="H452" s="16" t="n">
        <v>0.7196974814099421</v>
      </c>
      <c r="I452" s="16" t="n">
        <v>12.38</v>
      </c>
      <c r="J452" s="16" t="n">
        <v>2.637153369981305</v>
      </c>
      <c r="K452" s="16" t="n">
        <v>5657</v>
      </c>
      <c r="L452" s="16" t="n">
        <v>246</v>
      </c>
      <c r="M452" s="16" t="n">
        <v>0.1204302705114656</v>
      </c>
      <c r="N452" s="16" t="n">
        <v>7442</v>
      </c>
      <c r="O452" s="16" t="n">
        <v>0</v>
      </c>
      <c r="P452" s="16" t="n">
        <v>11.766441688643</v>
      </c>
      <c r="Q452" t="n">
        <v>4697324</v>
      </c>
      <c r="R452" t="n">
        <v>4659427</v>
      </c>
      <c r="S452" t="n">
        <v>4276244</v>
      </c>
      <c r="T452" t="n">
        <v>320720</v>
      </c>
      <c r="U452" t="n">
        <v>29697</v>
      </c>
      <c r="V452" t="n">
        <v>0.8067784977148692</v>
      </c>
      <c r="W452" t="n">
        <v>-0.16</v>
      </c>
      <c r="X452" s="16">
        <f>IFERROR(K452/E452*100,"")</f>
        <v/>
      </c>
      <c r="Y452" s="16">
        <f>IFERROR((N452+O452)/E452*100,"")</f>
        <v/>
      </c>
      <c r="Z452" s="16">
        <f>IFERROR(R452/F452*100,"")</f>
        <v/>
      </c>
      <c r="AA452" s="16">
        <f>IFERROR(R452/E452*100,"")</f>
        <v/>
      </c>
      <c r="AB452" s="16">
        <f>IFERROR(S452/Q452*100,"")</f>
        <v/>
      </c>
      <c r="AC452" s="16">
        <f>IFERROR(T452/Q452*100,"")</f>
        <v/>
      </c>
      <c r="AD452" s="16">
        <f>IFERROR(U452/Q452*100,"")</f>
        <v/>
      </c>
      <c r="AE452" s="18" t="n"/>
      <c r="AF452" s="18" t="n"/>
      <c r="AG452" s="18" t="n"/>
      <c r="AH452">
        <f>P452&gt;0</f>
        <v/>
      </c>
    </row>
    <row r="453">
      <c r="A453" s="14" t="n">
        <v>45016</v>
      </c>
      <c r="B453" t="n">
        <v>18408</v>
      </c>
      <c r="C453" t="inlineStr">
        <is>
          <t>BANGOR SAVINGS BANK</t>
        </is>
      </c>
      <c r="D453" t="inlineStr">
        <is>
          <t>ME</t>
        </is>
      </c>
      <c r="E453" t="n">
        <v>7408655</v>
      </c>
      <c r="F453" t="n">
        <v>5909216</v>
      </c>
      <c r="G453" t="n">
        <v>379605</v>
      </c>
      <c r="H453" s="16" t="n">
        <v>0.0727725446773376</v>
      </c>
      <c r="I453" s="16" t="n">
        <v>1.48</v>
      </c>
      <c r="J453" s="16" t="n">
        <v>2.196734224216201</v>
      </c>
      <c r="K453" s="16" t="n">
        <v>2650</v>
      </c>
      <c r="L453" s="16" t="n">
        <v>1465</v>
      </c>
      <c r="M453" s="16" t="n">
        <v>0.056267128297758</v>
      </c>
      <c r="N453" s="16" t="n">
        <v>5472</v>
      </c>
      <c r="O453" s="16" t="n">
        <v>0</v>
      </c>
      <c r="P453" s="16" t="n">
        <v>11.78607491470099</v>
      </c>
      <c r="Q453" t="n">
        <v>4709677</v>
      </c>
      <c r="R453" t="n">
        <v>4673246</v>
      </c>
      <c r="S453" t="n">
        <v>4284764</v>
      </c>
      <c r="T453" t="n">
        <v>323957</v>
      </c>
      <c r="U453" t="n">
        <v>30117</v>
      </c>
      <c r="V453" t="n">
        <v>0.7735350003832534</v>
      </c>
      <c r="W453" t="n">
        <v>0</v>
      </c>
      <c r="X453" s="16">
        <f>IFERROR(K453/E453*100,"")</f>
        <v/>
      </c>
      <c r="Y453" s="16">
        <f>IFERROR((N453+O453)/E453*100,"")</f>
        <v/>
      </c>
      <c r="Z453" s="16">
        <f>IFERROR(R453/F453*100,"")</f>
        <v/>
      </c>
      <c r="AA453" s="16">
        <f>IFERROR(R453/E453*100,"")</f>
        <v/>
      </c>
      <c r="AB453" s="16">
        <f>IFERROR(S453/Q453*100,"")</f>
        <v/>
      </c>
      <c r="AC453" s="16">
        <f>IFERROR(T453/Q453*100,"")</f>
        <v/>
      </c>
      <c r="AD453" s="16">
        <f>IFERROR(U453/Q453*100,"")</f>
        <v/>
      </c>
      <c r="AE453" s="18">
        <f>IFERROR(E453/E449-1,"")</f>
        <v/>
      </c>
      <c r="AF453" s="18">
        <f>IFERROR(R453/R449-1,"")</f>
        <v/>
      </c>
      <c r="AG453" s="18">
        <f>IFERROR(F453/F449-1,"")</f>
        <v/>
      </c>
      <c r="AH453">
        <f>P453&gt;0</f>
        <v/>
      </c>
    </row>
    <row r="454">
      <c r="A454" s="14" t="n">
        <v>45107</v>
      </c>
      <c r="B454" t="n">
        <v>18408</v>
      </c>
      <c r="C454" t="inlineStr">
        <is>
          <t>BANGOR SAVINGS BANK</t>
        </is>
      </c>
      <c r="D454" t="inlineStr">
        <is>
          <t>ME</t>
        </is>
      </c>
      <c r="E454" t="n">
        <v>7459345</v>
      </c>
      <c r="F454" t="n">
        <v>5594077</v>
      </c>
      <c r="G454" t="n">
        <v>367424</v>
      </c>
      <c r="H454" s="16" t="n">
        <v>0.0746320286304321</v>
      </c>
      <c r="I454" s="16" t="n">
        <v>1.51</v>
      </c>
      <c r="J454" s="16" t="n">
        <v>2.121599524305039</v>
      </c>
      <c r="K454" s="16" t="n">
        <v>3474</v>
      </c>
      <c r="L454" s="16" t="n">
        <v>1521</v>
      </c>
      <c r="M454" s="16" t="n">
        <v>0.0727550237406721</v>
      </c>
      <c r="N454" s="16" t="n">
        <v>3273</v>
      </c>
      <c r="O454" s="16" t="n">
        <v>0</v>
      </c>
      <c r="P454" s="16" t="n">
        <v>11.66890790546047</v>
      </c>
      <c r="Q454" t="n">
        <v>4774928</v>
      </c>
      <c r="R454" t="n">
        <v>4736854</v>
      </c>
      <c r="S454" t="n">
        <v>4349363</v>
      </c>
      <c r="T454" t="n">
        <v>309355</v>
      </c>
      <c r="U454" t="n">
        <v>32242</v>
      </c>
      <c r="V454" t="n">
        <v>0.7973732797646373</v>
      </c>
      <c r="W454" t="n">
        <v>0.07000000000000001</v>
      </c>
      <c r="X454" s="16">
        <f>IFERROR(K454/E454*100,"")</f>
        <v/>
      </c>
      <c r="Y454" s="16">
        <f>IFERROR((N454+O454)/E454*100,"")</f>
        <v/>
      </c>
      <c r="Z454" s="16">
        <f>IFERROR(R454/F454*100,"")</f>
        <v/>
      </c>
      <c r="AA454" s="16">
        <f>IFERROR(R454/E454*100,"")</f>
        <v/>
      </c>
      <c r="AB454" s="16">
        <f>IFERROR(S454/Q454*100,"")</f>
        <v/>
      </c>
      <c r="AC454" s="16">
        <f>IFERROR(T454/Q454*100,"")</f>
        <v/>
      </c>
      <c r="AD454" s="16">
        <f>IFERROR(U454/Q454*100,"")</f>
        <v/>
      </c>
      <c r="AE454" s="18">
        <f>IFERROR(E454/E450-1,"")</f>
        <v/>
      </c>
      <c r="AF454" s="18">
        <f>IFERROR(R454/R450-1,"")</f>
        <v/>
      </c>
      <c r="AG454" s="18">
        <f>IFERROR(F454/F450-1,"")</f>
        <v/>
      </c>
      <c r="AH454">
        <f>P454&gt;0</f>
        <v/>
      </c>
    </row>
    <row r="455">
      <c r="A455" s="14" t="n">
        <v>45199</v>
      </c>
      <c r="B455" t="n">
        <v>18408</v>
      </c>
      <c r="C455" t="inlineStr">
        <is>
          <t>BANGOR SAVINGS BANK</t>
        </is>
      </c>
      <c r="D455" t="inlineStr">
        <is>
          <t>ME</t>
        </is>
      </c>
      <c r="E455" t="n">
        <v>7253561</v>
      </c>
      <c r="F455" t="n">
        <v>5526161</v>
      </c>
      <c r="G455" t="n">
        <v>339914</v>
      </c>
      <c r="H455" s="16" t="n">
        <v>0.1927629846221708</v>
      </c>
      <c r="I455" s="16" t="n">
        <v>3.96</v>
      </c>
      <c r="J455" s="16" t="n">
        <v>2.109612676007523</v>
      </c>
      <c r="K455" s="16" t="n">
        <v>3957</v>
      </c>
      <c r="L455" s="16" t="n">
        <v>1597</v>
      </c>
      <c r="M455" s="16" t="n">
        <v>0.08230057242263179</v>
      </c>
      <c r="N455" s="16" t="n">
        <v>2852</v>
      </c>
      <c r="O455" s="16" t="n">
        <v>0</v>
      </c>
      <c r="P455" s="16" t="n">
        <v>11.66478204100891</v>
      </c>
      <c r="Q455" t="n">
        <v>4807986</v>
      </c>
      <c r="R455" t="n">
        <v>4774908</v>
      </c>
      <c r="S455" t="n">
        <v>4382847</v>
      </c>
      <c r="T455" t="n">
        <v>321633</v>
      </c>
      <c r="U455" t="n">
        <v>33238</v>
      </c>
      <c r="V455" t="n">
        <v>0.6879803726549952</v>
      </c>
      <c r="W455" t="n">
        <v>-0.06</v>
      </c>
      <c r="X455" s="16">
        <f>IFERROR(K455/E455*100,"")</f>
        <v/>
      </c>
      <c r="Y455" s="16">
        <f>IFERROR((N455+O455)/E455*100,"")</f>
        <v/>
      </c>
      <c r="Z455" s="16">
        <f>IFERROR(R455/F455*100,"")</f>
        <v/>
      </c>
      <c r="AA455" s="16">
        <f>IFERROR(R455/E455*100,"")</f>
        <v/>
      </c>
      <c r="AB455" s="16">
        <f>IFERROR(S455/Q455*100,"")</f>
        <v/>
      </c>
      <c r="AC455" s="16">
        <f>IFERROR(T455/Q455*100,"")</f>
        <v/>
      </c>
      <c r="AD455" s="16">
        <f>IFERROR(U455/Q455*100,"")</f>
        <v/>
      </c>
      <c r="AE455" s="18">
        <f>IFERROR(E455/E451-1,"")</f>
        <v/>
      </c>
      <c r="AF455" s="18">
        <f>IFERROR(R455/R451-1,"")</f>
        <v/>
      </c>
      <c r="AG455" s="18">
        <f>IFERROR(F455/F451-1,"")</f>
        <v/>
      </c>
      <c r="AH455">
        <f>P455&gt;0</f>
        <v/>
      </c>
    </row>
    <row r="456">
      <c r="A456" s="14" t="n">
        <v>45291</v>
      </c>
      <c r="B456" t="n">
        <v>18408</v>
      </c>
      <c r="C456" t="inlineStr">
        <is>
          <t>BANGOR SAVINGS BANK</t>
        </is>
      </c>
      <c r="D456" t="inlineStr">
        <is>
          <t>ME</t>
        </is>
      </c>
      <c r="E456" t="n">
        <v>7260613</v>
      </c>
      <c r="F456" t="n">
        <v>5329154</v>
      </c>
      <c r="G456" t="n">
        <v>408311</v>
      </c>
      <c r="H456" s="16" t="n">
        <v>0.2457744383974511</v>
      </c>
      <c r="I456" s="16" t="n">
        <v>4.9</v>
      </c>
      <c r="J456" s="16" t="n">
        <v>2.09802163979008</v>
      </c>
      <c r="K456" s="16" t="n">
        <v>3682</v>
      </c>
      <c r="L456" s="16" t="n">
        <v>1220</v>
      </c>
      <c r="M456" s="16" t="n">
        <v>0.0762417181346579</v>
      </c>
      <c r="N456" s="16" t="n">
        <v>7936</v>
      </c>
      <c r="O456" s="16" t="n">
        <v>0</v>
      </c>
      <c r="P456" s="16" t="n">
        <v>11.80120921467044</v>
      </c>
      <c r="Q456" t="n">
        <v>4829377</v>
      </c>
      <c r="R456" t="n">
        <v>4797557</v>
      </c>
      <c r="S456" t="n">
        <v>4395557</v>
      </c>
      <c r="T456" t="n">
        <v>333151</v>
      </c>
      <c r="U456" t="n">
        <v>34286</v>
      </c>
      <c r="V456" t="n">
        <v>0.6588841583500314</v>
      </c>
      <c r="W456" t="n">
        <v>-0.07000000000000001</v>
      </c>
      <c r="X456" s="16">
        <f>IFERROR(K456/E456*100,"")</f>
        <v/>
      </c>
      <c r="Y456" s="16">
        <f>IFERROR((N456+O456)/E456*100,"")</f>
        <v/>
      </c>
      <c r="Z456" s="16">
        <f>IFERROR(R456/F456*100,"")</f>
        <v/>
      </c>
      <c r="AA456" s="16">
        <f>IFERROR(R456/E456*100,"")</f>
        <v/>
      </c>
      <c r="AB456" s="16">
        <f>IFERROR(S456/Q456*100,"")</f>
        <v/>
      </c>
      <c r="AC456" s="16">
        <f>IFERROR(T456/Q456*100,"")</f>
        <v/>
      </c>
      <c r="AD456" s="16">
        <f>IFERROR(U456/Q456*100,"")</f>
        <v/>
      </c>
      <c r="AE456" s="18">
        <f>IFERROR(E456/E452-1,"")</f>
        <v/>
      </c>
      <c r="AF456" s="18">
        <f>IFERROR(R456/R452-1,"")</f>
        <v/>
      </c>
      <c r="AG456" s="18">
        <f>IFERROR(F456/F452-1,"")</f>
        <v/>
      </c>
      <c r="AH456">
        <f>P456&gt;0</f>
        <v/>
      </c>
    </row>
    <row r="457">
      <c r="A457" s="14" t="n">
        <v>45382</v>
      </c>
      <c r="B457" t="n">
        <v>18408</v>
      </c>
      <c r="C457" t="inlineStr">
        <is>
          <t>BANGOR SAVINGS BANK</t>
        </is>
      </c>
      <c r="D457" t="inlineStr">
        <is>
          <t>ME</t>
        </is>
      </c>
      <c r="E457" t="n">
        <v>7209064</v>
      </c>
      <c r="F457" t="n">
        <v>5243296</v>
      </c>
      <c r="G457" t="n">
        <v>402922</v>
      </c>
      <c r="H457" s="16" t="n">
        <v>-0.0140431607422888</v>
      </c>
      <c r="I457" s="16" t="n">
        <v>-0.25</v>
      </c>
      <c r="J457" s="16" t="n">
        <v>2.026413728584278</v>
      </c>
      <c r="K457" s="16" t="n">
        <v>4530</v>
      </c>
      <c r="L457" s="16" t="n">
        <v>-238</v>
      </c>
      <c r="M457" s="16" t="n">
        <v>0.09357851040776879</v>
      </c>
      <c r="N457" s="16" t="n">
        <v>7195</v>
      </c>
      <c r="O457" s="16" t="n">
        <v>0</v>
      </c>
      <c r="P457" s="16" t="n">
        <v>11.64774045895091</v>
      </c>
      <c r="Q457" t="n">
        <v>4840855</v>
      </c>
      <c r="R457" t="n">
        <v>4808792</v>
      </c>
      <c r="S457" t="n">
        <v>4375722</v>
      </c>
      <c r="T457" t="n">
        <v>359864</v>
      </c>
      <c r="U457" t="n">
        <v>34725</v>
      </c>
      <c r="V457" t="n">
        <v>0.6623416731135306</v>
      </c>
      <c r="W457" t="n">
        <v>0.02</v>
      </c>
      <c r="X457" s="16">
        <f>IFERROR(K457/E457*100,"")</f>
        <v/>
      </c>
      <c r="Y457" s="16">
        <f>IFERROR((N457+O457)/E457*100,"")</f>
        <v/>
      </c>
      <c r="Z457" s="16">
        <f>IFERROR(R457/F457*100,"")</f>
        <v/>
      </c>
      <c r="AA457" s="16">
        <f>IFERROR(R457/E457*100,"")</f>
        <v/>
      </c>
      <c r="AB457" s="16">
        <f>IFERROR(S457/Q457*100,"")</f>
        <v/>
      </c>
      <c r="AC457" s="16">
        <f>IFERROR(T457/Q457*100,"")</f>
        <v/>
      </c>
      <c r="AD457" s="16">
        <f>IFERROR(U457/Q457*100,"")</f>
        <v/>
      </c>
      <c r="AE457" s="18">
        <f>IFERROR(E457/E453-1,"")</f>
        <v/>
      </c>
      <c r="AF457" s="18">
        <f>IFERROR(R457/R453-1,"")</f>
        <v/>
      </c>
      <c r="AG457" s="18">
        <f>IFERROR(F457/F453-1,"")</f>
        <v/>
      </c>
      <c r="AH457">
        <f>P457&gt;0</f>
        <v/>
      </c>
    </row>
    <row r="458">
      <c r="A458" s="14" t="n">
        <v>45473</v>
      </c>
      <c r="B458" t="n">
        <v>18408</v>
      </c>
      <c r="C458" t="inlineStr">
        <is>
          <t>BANGOR SAVINGS BANK</t>
        </is>
      </c>
      <c r="D458" t="inlineStr">
        <is>
          <t>ME</t>
        </is>
      </c>
      <c r="E458" t="n">
        <v>7222033</v>
      </c>
      <c r="F458" t="n">
        <v>5353465</v>
      </c>
      <c r="G458" t="n">
        <v>408904</v>
      </c>
      <c r="H458" s="16" t="n">
        <v>0.0504801142925108</v>
      </c>
      <c r="I458" s="16" t="n">
        <v>0.9</v>
      </c>
      <c r="J458" s="16" t="n">
        <v>2.062140646579114</v>
      </c>
      <c r="K458" s="16" t="n">
        <v>4032</v>
      </c>
      <c r="L458" s="16" t="n">
        <v>-491</v>
      </c>
      <c r="M458" s="16" t="n">
        <v>0.0824994552212313</v>
      </c>
      <c r="N458" s="16" t="n">
        <v>4991</v>
      </c>
      <c r="O458" s="16" t="n">
        <v>0</v>
      </c>
      <c r="P458" s="16" t="n">
        <v>11.39569623619954</v>
      </c>
      <c r="Q458" t="n">
        <v>4887305</v>
      </c>
      <c r="R458" t="n">
        <v>4854929</v>
      </c>
      <c r="S458" t="n">
        <v>4394120</v>
      </c>
      <c r="T458" t="n">
        <v>370343</v>
      </c>
      <c r="U458" t="n">
        <v>36119</v>
      </c>
      <c r="V458" t="n">
        <v>0.662450982699054</v>
      </c>
      <c r="W458" t="n">
        <v>0.01</v>
      </c>
      <c r="X458" s="16">
        <f>IFERROR(K458/E458*100,"")</f>
        <v/>
      </c>
      <c r="Y458" s="16">
        <f>IFERROR((N458+O458)/E458*100,"")</f>
        <v/>
      </c>
      <c r="Z458" s="16">
        <f>IFERROR(R458/F458*100,"")</f>
        <v/>
      </c>
      <c r="AA458" s="16">
        <f>IFERROR(R458/E458*100,"")</f>
        <v/>
      </c>
      <c r="AB458" s="16">
        <f>IFERROR(S458/Q458*100,"")</f>
        <v/>
      </c>
      <c r="AC458" s="16">
        <f>IFERROR(T458/Q458*100,"")</f>
        <v/>
      </c>
      <c r="AD458" s="16">
        <f>IFERROR(U458/Q458*100,"")</f>
        <v/>
      </c>
      <c r="AE458" s="18">
        <f>IFERROR(E458/E454-1,"")</f>
        <v/>
      </c>
      <c r="AF458" s="18">
        <f>IFERROR(R458/R454-1,"")</f>
        <v/>
      </c>
      <c r="AG458" s="18">
        <f>IFERROR(F458/F454-1,"")</f>
        <v/>
      </c>
      <c r="AH458">
        <f>P458&gt;0</f>
        <v/>
      </c>
    </row>
    <row r="459">
      <c r="A459" s="14" t="n">
        <v>45565</v>
      </c>
      <c r="B459" t="n">
        <v>18408</v>
      </c>
      <c r="C459" t="inlineStr">
        <is>
          <t>BANGOR SAVINGS BANK</t>
        </is>
      </c>
      <c r="D459" t="inlineStr">
        <is>
          <t>ME</t>
        </is>
      </c>
      <c r="E459" t="n">
        <v>7218777</v>
      </c>
      <c r="F459" t="n">
        <v>5440947</v>
      </c>
      <c r="G459" t="n">
        <v>451617</v>
      </c>
      <c r="H459" s="16" t="n">
        <v>0.155178563405037</v>
      </c>
      <c r="I459" s="16" t="n">
        <v>2.68</v>
      </c>
      <c r="J459" s="16" t="n">
        <v>2.126122075447252</v>
      </c>
      <c r="K459" s="16" t="n">
        <v>3776</v>
      </c>
      <c r="L459" s="16" t="n">
        <v>-375</v>
      </c>
      <c r="M459" s="16" t="n">
        <v>0.07762644002596859</v>
      </c>
      <c r="N459" s="16" t="n">
        <v>4839</v>
      </c>
      <c r="O459" s="16" t="n">
        <v>0</v>
      </c>
      <c r="P459" s="16" t="n">
        <v>11.53009267537212</v>
      </c>
      <c r="Q459" t="n">
        <v>4864322</v>
      </c>
      <c r="R459" t="n">
        <v>4833234</v>
      </c>
      <c r="S459" t="n">
        <v>4390169</v>
      </c>
      <c r="T459" t="n">
        <v>361664</v>
      </c>
      <c r="U459" t="n">
        <v>37287</v>
      </c>
      <c r="V459" t="n">
        <v>0.6391024278409201</v>
      </c>
      <c r="W459" t="n">
        <v>-0.02</v>
      </c>
      <c r="X459" s="16">
        <f>IFERROR(K459/E459*100,"")</f>
        <v/>
      </c>
      <c r="Y459" s="16">
        <f>IFERROR((N459+O459)/E459*100,"")</f>
        <v/>
      </c>
      <c r="Z459" s="16">
        <f>IFERROR(R459/F459*100,"")</f>
        <v/>
      </c>
      <c r="AA459" s="16">
        <f>IFERROR(R459/E459*100,"")</f>
        <v/>
      </c>
      <c r="AB459" s="16">
        <f>IFERROR(S459/Q459*100,"")</f>
        <v/>
      </c>
      <c r="AC459" s="16">
        <f>IFERROR(T459/Q459*100,"")</f>
        <v/>
      </c>
      <c r="AD459" s="16">
        <f>IFERROR(U459/Q459*100,"")</f>
        <v/>
      </c>
      <c r="AE459" s="18">
        <f>IFERROR(E459/E455-1,"")</f>
        <v/>
      </c>
      <c r="AF459" s="18">
        <f>IFERROR(R459/R455-1,"")</f>
        <v/>
      </c>
      <c r="AG459" s="18">
        <f>IFERROR(F459/F455-1,"")</f>
        <v/>
      </c>
      <c r="AH459">
        <f>P459&gt;0</f>
        <v/>
      </c>
    </row>
    <row r="460">
      <c r="A460" s="14" t="n">
        <v>45657</v>
      </c>
      <c r="B460" t="n">
        <v>18408</v>
      </c>
      <c r="C460" t="inlineStr">
        <is>
          <t>BANGOR SAVINGS BANK</t>
        </is>
      </c>
      <c r="D460" t="inlineStr">
        <is>
          <t>ME</t>
        </is>
      </c>
      <c r="E460" t="n">
        <v>7237664</v>
      </c>
      <c r="F460" t="n">
        <v>5962875</v>
      </c>
      <c r="G460" t="n">
        <v>430159</v>
      </c>
      <c r="H460" s="16" t="n">
        <v>0.1705758062148185</v>
      </c>
      <c r="I460" s="16" t="n">
        <v>2.93</v>
      </c>
      <c r="J460" s="16" t="n">
        <v>2.171138675982821</v>
      </c>
      <c r="K460" s="16" t="n">
        <v>6486</v>
      </c>
      <c r="L460" s="16" t="n">
        <v>-193</v>
      </c>
      <c r="M460" s="16" t="n">
        <v>0.1313708321509755</v>
      </c>
      <c r="N460" s="16" t="n">
        <v>11654</v>
      </c>
      <c r="O460" s="16" t="n">
        <v>0</v>
      </c>
      <c r="P460" s="16" t="n">
        <v>11.12203304626012</v>
      </c>
      <c r="Q460" t="n">
        <v>4937169</v>
      </c>
      <c r="R460" t="n">
        <v>4905696</v>
      </c>
      <c r="S460" t="n">
        <v>4424778</v>
      </c>
      <c r="T460" t="n">
        <v>371808</v>
      </c>
      <c r="U460" t="n">
        <v>61663</v>
      </c>
      <c r="V460" t="n">
        <v>0.6374705828380597</v>
      </c>
      <c r="W460" t="n">
        <v>-0.01</v>
      </c>
      <c r="X460" s="16">
        <f>IFERROR(K460/E460*100,"")</f>
        <v/>
      </c>
      <c r="Y460" s="16">
        <f>IFERROR((N460+O460)/E460*100,"")</f>
        <v/>
      </c>
      <c r="Z460" s="16">
        <f>IFERROR(R460/F460*100,"")</f>
        <v/>
      </c>
      <c r="AA460" s="16">
        <f>IFERROR(R460/E460*100,"")</f>
        <v/>
      </c>
      <c r="AB460" s="16">
        <f>IFERROR(S460/Q460*100,"")</f>
        <v/>
      </c>
      <c r="AC460" s="16">
        <f>IFERROR(T460/Q460*100,"")</f>
        <v/>
      </c>
      <c r="AD460" s="16">
        <f>IFERROR(U460/Q460*100,"")</f>
        <v/>
      </c>
      <c r="AE460" s="18">
        <f>IFERROR(E460/E456-1,"")</f>
        <v/>
      </c>
      <c r="AF460" s="18">
        <f>IFERROR(R460/R456-1,"")</f>
        <v/>
      </c>
      <c r="AG460" s="18">
        <f>IFERROR(F460/F456-1,"")</f>
        <v/>
      </c>
      <c r="AH460">
        <f>P460&gt;0</f>
        <v/>
      </c>
    </row>
    <row r="461">
      <c r="A461" s="14" t="n">
        <v>45747</v>
      </c>
      <c r="B461" t="n">
        <v>18408</v>
      </c>
      <c r="C461" t="inlineStr">
        <is>
          <t>BANGOR SAVINGS BANK</t>
        </is>
      </c>
      <c r="D461" t="inlineStr">
        <is>
          <t>ME</t>
        </is>
      </c>
      <c r="E461" t="n">
        <v>7235355</v>
      </c>
      <c r="F461" t="n">
        <v>6181793</v>
      </c>
      <c r="G461" t="n">
        <v>455151</v>
      </c>
      <c r="H461" s="16" t="n">
        <v>0.1251984813949321</v>
      </c>
      <c r="I461" s="16" t="n">
        <v>2.05</v>
      </c>
      <c r="J461" s="16" t="n">
        <v>2.371113356344028</v>
      </c>
      <c r="K461" s="16" t="n">
        <v>8109</v>
      </c>
      <c r="L461" s="16" t="n">
        <v>158</v>
      </c>
      <c r="M461" s="16" t="n">
        <v>0.1629311451654417</v>
      </c>
      <c r="N461" s="16" t="n">
        <v>10783</v>
      </c>
      <c r="O461" s="16" t="n">
        <v>0</v>
      </c>
      <c r="P461" s="16" t="n">
        <v>11.3560231469601</v>
      </c>
      <c r="Q461" t="n">
        <v>4976949</v>
      </c>
      <c r="R461" t="n">
        <v>4943904</v>
      </c>
      <c r="S461" t="n">
        <v>4459056</v>
      </c>
      <c r="T461" t="n">
        <v>395278</v>
      </c>
      <c r="U461" t="n">
        <v>58940</v>
      </c>
      <c r="V461" t="n">
        <v>0.6639609929697894</v>
      </c>
      <c r="W461" t="n">
        <v>0.1</v>
      </c>
      <c r="X461" s="16">
        <f>IFERROR(K461/E461*100,"")</f>
        <v/>
      </c>
      <c r="Y461" s="16">
        <f>IFERROR((N461+O461)/E461*100,"")</f>
        <v/>
      </c>
      <c r="Z461" s="16">
        <f>IFERROR(R461/F461*100,"")</f>
        <v/>
      </c>
      <c r="AA461" s="16">
        <f>IFERROR(R461/E461*100,"")</f>
        <v/>
      </c>
      <c r="AB461" s="16">
        <f>IFERROR(S461/Q461*100,"")</f>
        <v/>
      </c>
      <c r="AC461" s="16">
        <f>IFERROR(T461/Q461*100,"")</f>
        <v/>
      </c>
      <c r="AD461" s="16">
        <f>IFERROR(U461/Q461*100,"")</f>
        <v/>
      </c>
      <c r="AE461" s="18">
        <f>IFERROR(E461/E457-1,"")</f>
        <v/>
      </c>
      <c r="AF461" s="18">
        <f>IFERROR(R461/R457-1,"")</f>
        <v/>
      </c>
      <c r="AG461" s="18">
        <f>IFERROR(F461/F457-1,"")</f>
        <v/>
      </c>
      <c r="AH461">
        <f>P461&gt;0</f>
        <v/>
      </c>
    </row>
    <row r="462">
      <c r="A462" s="14" t="n">
        <v>45838</v>
      </c>
      <c r="B462" t="n">
        <v>18408</v>
      </c>
      <c r="C462" t="inlineStr">
        <is>
          <t>BANGOR SAVINGS BANK</t>
        </is>
      </c>
      <c r="D462" t="inlineStr">
        <is>
          <t>ME</t>
        </is>
      </c>
      <c r="E462" t="n">
        <v>7335916</v>
      </c>
      <c r="F462" t="n">
        <v>5915806</v>
      </c>
      <c r="G462" t="n">
        <v>467639</v>
      </c>
      <c r="H462" s="16" t="n">
        <v>0.1062775417506632</v>
      </c>
      <c r="I462" s="16" t="n">
        <v>1.71</v>
      </c>
      <c r="J462" s="16" t="n">
        <v>2.418524645581098</v>
      </c>
      <c r="K462" s="16" t="n">
        <v>33535</v>
      </c>
      <c r="L462" s="16" t="n">
        <v>458</v>
      </c>
      <c r="M462" s="16" t="n">
        <v>0.6613649657809945</v>
      </c>
      <c r="N462" s="16" t="n">
        <v>11898</v>
      </c>
      <c r="O462" s="16" t="n">
        <v>0</v>
      </c>
      <c r="P462" s="16" t="n">
        <v>11.14890025183202</v>
      </c>
      <c r="Q462" t="n">
        <v>5070574</v>
      </c>
      <c r="R462" t="n">
        <v>5032756</v>
      </c>
      <c r="S462" t="n">
        <v>4566132</v>
      </c>
      <c r="T462" t="n">
        <v>368953</v>
      </c>
      <c r="U462" t="n">
        <v>57245</v>
      </c>
      <c r="V462" t="n">
        <v>0.7458327203192381</v>
      </c>
      <c r="W462" t="n">
        <v>0.2</v>
      </c>
      <c r="X462" s="16">
        <f>IFERROR(K462/E462*100,"")</f>
        <v/>
      </c>
      <c r="Y462" s="16">
        <f>IFERROR((N462+O462)/E462*100,"")</f>
        <v/>
      </c>
      <c r="Z462" s="16">
        <f>IFERROR(R462/F462*100,"")</f>
        <v/>
      </c>
      <c r="AA462" s="16">
        <f>IFERROR(R462/E462*100,"")</f>
        <v/>
      </c>
      <c r="AB462" s="16">
        <f>IFERROR(S462/Q462*100,"")</f>
        <v/>
      </c>
      <c r="AC462" s="16">
        <f>IFERROR(T462/Q462*100,"")</f>
        <v/>
      </c>
      <c r="AD462" s="16">
        <f>IFERROR(U462/Q462*100,"")</f>
        <v/>
      </c>
      <c r="AE462" s="18">
        <f>IFERROR(E462/E458-1,"")</f>
        <v/>
      </c>
      <c r="AF462" s="18">
        <f>IFERROR(R462/R458-1,"")</f>
        <v/>
      </c>
      <c r="AG462" s="18">
        <f>IFERROR(F462/F458-1,"")</f>
        <v/>
      </c>
      <c r="AH462">
        <f>P462&gt;0</f>
        <v/>
      </c>
    </row>
    <row r="463">
      <c r="A463" s="14" t="n">
        <v>44651</v>
      </c>
      <c r="B463" t="n">
        <v>19531</v>
      </c>
      <c r="C463" t="inlineStr">
        <is>
          <t>MACHIAS SAVINGS BANK</t>
        </is>
      </c>
      <c r="D463" t="inlineStr">
        <is>
          <t>ME</t>
        </is>
      </c>
      <c r="E463" t="n">
        <v>2173098</v>
      </c>
      <c r="F463" t="n">
        <v>1922538</v>
      </c>
      <c r="G463" t="n">
        <v>230604</v>
      </c>
      <c r="H463" s="16" t="n">
        <v>0.7257844029936403</v>
      </c>
      <c r="I463" s="16" t="n">
        <v>6.95</v>
      </c>
      <c r="J463" s="16" t="n">
        <v>3.519544505696672</v>
      </c>
      <c r="K463" s="16" t="n">
        <v>5998</v>
      </c>
      <c r="L463" s="16" t="n">
        <v>24</v>
      </c>
      <c r="M463" s="16" t="n">
        <v>0.3904509903677396</v>
      </c>
      <c r="N463" s="16" t="n">
        <v>2467</v>
      </c>
      <c r="O463" s="16" t="n">
        <v>418</v>
      </c>
      <c r="P463" s="16" t="n">
        <v>15.65631818615763</v>
      </c>
      <c r="Q463" t="n">
        <v>1643228</v>
      </c>
      <c r="R463" t="n">
        <v>1619552</v>
      </c>
      <c r="S463" t="n">
        <v>1345130</v>
      </c>
      <c r="T463" t="n">
        <v>204310</v>
      </c>
      <c r="U463" t="n">
        <v>12774</v>
      </c>
      <c r="V463" t="n">
        <v>1.440822576051528</v>
      </c>
      <c r="W463" t="n">
        <v>0.01</v>
      </c>
      <c r="X463" s="16">
        <f>IFERROR(K463/E463*100,"")</f>
        <v/>
      </c>
      <c r="Y463" s="16">
        <f>IFERROR((N463+O463)/E463*100,"")</f>
        <v/>
      </c>
      <c r="Z463" s="16">
        <f>IFERROR(R463/F463*100,"")</f>
        <v/>
      </c>
      <c r="AA463" s="16">
        <f>IFERROR(R463/E463*100,"")</f>
        <v/>
      </c>
      <c r="AB463" s="16">
        <f>IFERROR(S463/Q463*100,"")</f>
        <v/>
      </c>
      <c r="AC463" s="16">
        <f>IFERROR(T463/Q463*100,"")</f>
        <v/>
      </c>
      <c r="AD463" s="16">
        <f>IFERROR(U463/Q463*100,"")</f>
        <v/>
      </c>
      <c r="AE463" s="18" t="n"/>
      <c r="AF463" s="18" t="n"/>
      <c r="AG463" s="18" t="n"/>
      <c r="AH463">
        <f>P463&gt;0</f>
        <v/>
      </c>
    </row>
    <row r="464">
      <c r="A464" s="14" t="n">
        <v>44742</v>
      </c>
      <c r="B464" t="n">
        <v>19531</v>
      </c>
      <c r="C464" t="inlineStr">
        <is>
          <t>MACHIAS SAVINGS BANK</t>
        </is>
      </c>
      <c r="D464" t="inlineStr">
        <is>
          <t>ME</t>
        </is>
      </c>
      <c r="E464" t="n">
        <v>2272024</v>
      </c>
      <c r="F464" t="n">
        <v>1925714</v>
      </c>
      <c r="G464" t="n">
        <v>222030</v>
      </c>
      <c r="H464" s="16" t="n">
        <v>0.3934158778455151</v>
      </c>
      <c r="I464" s="16" t="n">
        <v>3.85</v>
      </c>
      <c r="J464" s="16" t="n">
        <v>3.530927268030681</v>
      </c>
      <c r="K464" s="16" t="n">
        <v>5750</v>
      </c>
      <c r="L464" s="16" t="n">
        <v>33</v>
      </c>
      <c r="M464" s="16" t="n">
        <v>0.325838850871208</v>
      </c>
      <c r="N464" s="16" t="n">
        <v>3231</v>
      </c>
      <c r="O464" s="16" t="n">
        <v>0</v>
      </c>
      <c r="P464" s="16" t="n">
        <v>14.68732326175256</v>
      </c>
      <c r="Q464" t="n">
        <v>1764676</v>
      </c>
      <c r="R464" t="n">
        <v>1741067</v>
      </c>
      <c r="S464" t="n">
        <v>1421672</v>
      </c>
      <c r="T464" t="n">
        <v>242350</v>
      </c>
      <c r="U464" t="n">
        <v>12873</v>
      </c>
      <c r="V464" t="n">
        <v>1.337865987864061</v>
      </c>
      <c r="W464" t="n">
        <v>0</v>
      </c>
      <c r="X464" s="16">
        <f>IFERROR(K464/E464*100,"")</f>
        <v/>
      </c>
      <c r="Y464" s="16">
        <f>IFERROR((N464+O464)/E464*100,"")</f>
        <v/>
      </c>
      <c r="Z464" s="16">
        <f>IFERROR(R464/F464*100,"")</f>
        <v/>
      </c>
      <c r="AA464" s="16">
        <f>IFERROR(R464/E464*100,"")</f>
        <v/>
      </c>
      <c r="AB464" s="16">
        <f>IFERROR(S464/Q464*100,"")</f>
        <v/>
      </c>
      <c r="AC464" s="16">
        <f>IFERROR(T464/Q464*100,"")</f>
        <v/>
      </c>
      <c r="AD464" s="16">
        <f>IFERROR(U464/Q464*100,"")</f>
        <v/>
      </c>
      <c r="AE464" s="18" t="n"/>
      <c r="AF464" s="18" t="n"/>
      <c r="AG464" s="18" t="n"/>
      <c r="AH464">
        <f>P464&gt;0</f>
        <v/>
      </c>
    </row>
    <row r="465">
      <c r="A465" s="14" t="n">
        <v>44834</v>
      </c>
      <c r="B465" t="n">
        <v>19531</v>
      </c>
      <c r="C465" t="inlineStr">
        <is>
          <t>MACHIAS SAVINGS BANK</t>
        </is>
      </c>
      <c r="D465" t="inlineStr">
        <is>
          <t>ME</t>
        </is>
      </c>
      <c r="E465" t="n">
        <v>2290994</v>
      </c>
      <c r="F465" t="n">
        <v>1937924</v>
      </c>
      <c r="G465" t="n">
        <v>213958</v>
      </c>
      <c r="H465" s="16" t="n">
        <v>0.5718093491979385</v>
      </c>
      <c r="I465" s="16" t="n">
        <v>5.72</v>
      </c>
      <c r="J465" s="16" t="n">
        <v>3.578979121471769</v>
      </c>
      <c r="K465" s="16" t="n">
        <v>5667</v>
      </c>
      <c r="L465" s="16" t="n">
        <v>93</v>
      </c>
      <c r="M465" s="16" t="n">
        <v>0.3143746225961856</v>
      </c>
      <c r="N465" s="16" t="n">
        <v>3339</v>
      </c>
      <c r="O465" s="16" t="n">
        <v>39</v>
      </c>
      <c r="P465" s="16" t="n">
        <v>14.55898560404528</v>
      </c>
      <c r="Q465" t="n">
        <v>1815032</v>
      </c>
      <c r="R465" t="n">
        <v>1791483</v>
      </c>
      <c r="S465" t="n">
        <v>1463937</v>
      </c>
      <c r="T465" t="n">
        <v>236379</v>
      </c>
      <c r="U465" t="n">
        <v>13005</v>
      </c>
      <c r="V465" t="n">
        <v>1.297442689715664</v>
      </c>
      <c r="W465" t="n">
        <v>0</v>
      </c>
      <c r="X465" s="16">
        <f>IFERROR(K465/E465*100,"")</f>
        <v/>
      </c>
      <c r="Y465" s="16">
        <f>IFERROR((N465+O465)/E465*100,"")</f>
        <v/>
      </c>
      <c r="Z465" s="16">
        <f>IFERROR(R465/F465*100,"")</f>
        <v/>
      </c>
      <c r="AA465" s="16">
        <f>IFERROR(R465/E465*100,"")</f>
        <v/>
      </c>
      <c r="AB465" s="16">
        <f>IFERROR(S465/Q465*100,"")</f>
        <v/>
      </c>
      <c r="AC465" s="16">
        <f>IFERROR(T465/Q465*100,"")</f>
        <v/>
      </c>
      <c r="AD465" s="16">
        <f>IFERROR(U465/Q465*100,"")</f>
        <v/>
      </c>
      <c r="AE465" s="18" t="n"/>
      <c r="AF465" s="18" t="n"/>
      <c r="AG465" s="18" t="n"/>
      <c r="AH465">
        <f>P465&gt;0</f>
        <v/>
      </c>
    </row>
    <row r="466">
      <c r="A466" s="14" t="n">
        <v>44926</v>
      </c>
      <c r="B466" t="n">
        <v>19531</v>
      </c>
      <c r="C466" t="inlineStr">
        <is>
          <t>MACHIAS SAVINGS BANK</t>
        </is>
      </c>
      <c r="D466" t="inlineStr">
        <is>
          <t>ME</t>
        </is>
      </c>
      <c r="E466" t="n">
        <v>2360784</v>
      </c>
      <c r="F466" t="n">
        <v>1966979</v>
      </c>
      <c r="G466" t="n">
        <v>223250</v>
      </c>
      <c r="H466" s="16" t="n">
        <v>0.7039672627088576</v>
      </c>
      <c r="I466" s="16" t="n">
        <v>7.12</v>
      </c>
      <c r="J466" s="16" t="n">
        <v>3.514971758300852</v>
      </c>
      <c r="K466" s="16" t="n">
        <v>8354</v>
      </c>
      <c r="L466" s="16" t="n">
        <v>201</v>
      </c>
      <c r="M466" s="16" t="n">
        <v>0.4430483465768761</v>
      </c>
      <c r="N466" s="16" t="n">
        <v>8421</v>
      </c>
      <c r="O466" s="16" t="n">
        <v>0</v>
      </c>
      <c r="P466" s="16" t="n">
        <v>14.36140982223742</v>
      </c>
      <c r="Q466" t="n">
        <v>1885573</v>
      </c>
      <c r="R466" t="n">
        <v>1862223</v>
      </c>
      <c r="S466" t="n">
        <v>1530116</v>
      </c>
      <c r="T466" t="n">
        <v>244556</v>
      </c>
      <c r="U466" t="n">
        <v>13770</v>
      </c>
      <c r="V466" t="n">
        <v>1.238350358220021</v>
      </c>
      <c r="W466" t="n">
        <v>0</v>
      </c>
      <c r="X466" s="16">
        <f>IFERROR(K466/E466*100,"")</f>
        <v/>
      </c>
      <c r="Y466" s="16">
        <f>IFERROR((N466+O466)/E466*100,"")</f>
        <v/>
      </c>
      <c r="Z466" s="16">
        <f>IFERROR(R466/F466*100,"")</f>
        <v/>
      </c>
      <c r="AA466" s="16">
        <f>IFERROR(R466/E466*100,"")</f>
        <v/>
      </c>
      <c r="AB466" s="16">
        <f>IFERROR(S466/Q466*100,"")</f>
        <v/>
      </c>
      <c r="AC466" s="16">
        <f>IFERROR(T466/Q466*100,"")</f>
        <v/>
      </c>
      <c r="AD466" s="16">
        <f>IFERROR(U466/Q466*100,"")</f>
        <v/>
      </c>
      <c r="AE466" s="18" t="n"/>
      <c r="AF466" s="18" t="n"/>
      <c r="AG466" s="18" t="n"/>
      <c r="AH466">
        <f>P466&gt;0</f>
        <v/>
      </c>
    </row>
    <row r="467">
      <c r="A467" s="14" t="n">
        <v>45016</v>
      </c>
      <c r="B467" t="n">
        <v>19531</v>
      </c>
      <c r="C467" t="inlineStr">
        <is>
          <t>MACHIAS SAVINGS BANK</t>
        </is>
      </c>
      <c r="D467" t="inlineStr">
        <is>
          <t>ME</t>
        </is>
      </c>
      <c r="E467" t="n">
        <v>2391401</v>
      </c>
      <c r="F467" t="n">
        <v>1997122</v>
      </c>
      <c r="G467" t="n">
        <v>231126</v>
      </c>
      <c r="H467" s="16" t="n">
        <v>0.5987982370214964</v>
      </c>
      <c r="I467" s="16" t="n">
        <v>6.26</v>
      </c>
      <c r="J467" s="16" t="n">
        <v>2.839034146315493</v>
      </c>
      <c r="K467" s="16" t="n">
        <v>14969</v>
      </c>
      <c r="L467" s="16" t="n">
        <v>24</v>
      </c>
      <c r="M467" s="16" t="n">
        <v>0.7827083623099439</v>
      </c>
      <c r="N467" s="16" t="n">
        <v>8568</v>
      </c>
      <c r="O467" s="16" t="n">
        <v>0</v>
      </c>
      <c r="P467" s="16" t="n">
        <v>14.23705525693063</v>
      </c>
      <c r="Q467" t="n">
        <v>1912462</v>
      </c>
      <c r="R467" t="n">
        <v>1889220</v>
      </c>
      <c r="S467" t="n">
        <v>1564296</v>
      </c>
      <c r="T467" t="n">
        <v>238788</v>
      </c>
      <c r="U467" t="n">
        <v>14418</v>
      </c>
      <c r="V467" t="n">
        <v>1.215292120836911</v>
      </c>
      <c r="W467" t="n">
        <v>0</v>
      </c>
      <c r="X467" s="16">
        <f>IFERROR(K467/E467*100,"")</f>
        <v/>
      </c>
      <c r="Y467" s="16">
        <f>IFERROR((N467+O467)/E467*100,"")</f>
        <v/>
      </c>
      <c r="Z467" s="16">
        <f>IFERROR(R467/F467*100,"")</f>
        <v/>
      </c>
      <c r="AA467" s="16">
        <f>IFERROR(R467/E467*100,"")</f>
        <v/>
      </c>
      <c r="AB467" s="16">
        <f>IFERROR(S467/Q467*100,"")</f>
        <v/>
      </c>
      <c r="AC467" s="16">
        <f>IFERROR(T467/Q467*100,"")</f>
        <v/>
      </c>
      <c r="AD467" s="16">
        <f>IFERROR(U467/Q467*100,"")</f>
        <v/>
      </c>
      <c r="AE467" s="18">
        <f>IFERROR(E467/E463-1,"")</f>
        <v/>
      </c>
      <c r="AF467" s="18">
        <f>IFERROR(R467/R463-1,"")</f>
        <v/>
      </c>
      <c r="AG467" s="18">
        <f>IFERROR(F467/F463-1,"")</f>
        <v/>
      </c>
      <c r="AH467">
        <f>P467&gt;0</f>
        <v/>
      </c>
    </row>
    <row r="468">
      <c r="A468" s="14" t="n">
        <v>45107</v>
      </c>
      <c r="B468" t="n">
        <v>19531</v>
      </c>
      <c r="C468" t="inlineStr">
        <is>
          <t>MACHIAS SAVINGS BANK</t>
        </is>
      </c>
      <c r="D468" t="inlineStr">
        <is>
          <t>ME</t>
        </is>
      </c>
      <c r="E468" t="n">
        <v>2396062</v>
      </c>
      <c r="F468" t="n">
        <v>1963859</v>
      </c>
      <c r="G468" t="n">
        <v>235363</v>
      </c>
      <c r="H468" s="16" t="n">
        <v>0.462742823520228</v>
      </c>
      <c r="I468" s="16" t="n">
        <v>4.8</v>
      </c>
      <c r="J468" s="16" t="n">
        <v>2.737569031030944</v>
      </c>
      <c r="K468" s="16" t="n">
        <v>11853</v>
      </c>
      <c r="L468" s="16" t="n">
        <v>1077</v>
      </c>
      <c r="M468" s="16" t="n">
        <v>0.6114949558592792</v>
      </c>
      <c r="N468" s="16" t="n">
        <v>2559</v>
      </c>
      <c r="O468" s="16" t="n">
        <v>65</v>
      </c>
      <c r="P468" s="16" t="n">
        <v>14.33145139586425</v>
      </c>
      <c r="Q468" t="n">
        <v>1948994</v>
      </c>
      <c r="R468" t="n">
        <v>1926354</v>
      </c>
      <c r="S468" t="n">
        <v>1592985</v>
      </c>
      <c r="T468" t="n">
        <v>238802</v>
      </c>
      <c r="U468" t="n">
        <v>15221</v>
      </c>
      <c r="V468" t="n">
        <v>1.161624920343521</v>
      </c>
      <c r="W468" t="n">
        <v>0</v>
      </c>
      <c r="X468" s="16">
        <f>IFERROR(K468/E468*100,"")</f>
        <v/>
      </c>
      <c r="Y468" s="16">
        <f>IFERROR((N468+O468)/E468*100,"")</f>
        <v/>
      </c>
      <c r="Z468" s="16">
        <f>IFERROR(R468/F468*100,"")</f>
        <v/>
      </c>
      <c r="AA468" s="16">
        <f>IFERROR(R468/E468*100,"")</f>
        <v/>
      </c>
      <c r="AB468" s="16">
        <f>IFERROR(S468/Q468*100,"")</f>
        <v/>
      </c>
      <c r="AC468" s="16">
        <f>IFERROR(T468/Q468*100,"")</f>
        <v/>
      </c>
      <c r="AD468" s="16">
        <f>IFERROR(U468/Q468*100,"")</f>
        <v/>
      </c>
      <c r="AE468" s="18">
        <f>IFERROR(E468/E464-1,"")</f>
        <v/>
      </c>
      <c r="AF468" s="18">
        <f>IFERROR(R468/R464-1,"")</f>
        <v/>
      </c>
      <c r="AG468" s="18">
        <f>IFERROR(F468/F464-1,"")</f>
        <v/>
      </c>
      <c r="AH468">
        <f>P468&gt;0</f>
        <v/>
      </c>
    </row>
    <row r="469">
      <c r="A469" s="14" t="n">
        <v>45199</v>
      </c>
      <c r="B469" t="n">
        <v>19531</v>
      </c>
      <c r="C469" t="inlineStr">
        <is>
          <t>MACHIAS SAVINGS BANK</t>
        </is>
      </c>
      <c r="D469" t="inlineStr">
        <is>
          <t>ME</t>
        </is>
      </c>
      <c r="E469" t="n">
        <v>2461701</v>
      </c>
      <c r="F469" t="n">
        <v>2036756</v>
      </c>
      <c r="G469" t="n">
        <v>225877</v>
      </c>
      <c r="H469" s="16" t="n">
        <v>0.4479690254307307</v>
      </c>
      <c r="I469" s="16" t="n">
        <v>4.7</v>
      </c>
      <c r="J469" s="16" t="n">
        <v>2.71472125457892</v>
      </c>
      <c r="K469" s="16" t="n">
        <v>9780</v>
      </c>
      <c r="L469" s="16" t="n">
        <v>1145</v>
      </c>
      <c r="M469" s="16" t="n">
        <v>0.492369035122828</v>
      </c>
      <c r="N469" s="16" t="n">
        <v>4674</v>
      </c>
      <c r="O469" s="16" t="n">
        <v>0</v>
      </c>
      <c r="P469" s="16" t="n">
        <v>14.2913702341625</v>
      </c>
      <c r="Q469" t="n">
        <v>1986315</v>
      </c>
      <c r="R469" t="n">
        <v>1963619</v>
      </c>
      <c r="S469" t="n">
        <v>1627608</v>
      </c>
      <c r="T469" t="n">
        <v>237278</v>
      </c>
      <c r="U469" t="n">
        <v>14701</v>
      </c>
      <c r="V469" t="n">
        <v>1.142618366170522</v>
      </c>
      <c r="W469" t="n">
        <v>0</v>
      </c>
      <c r="X469" s="16">
        <f>IFERROR(K469/E469*100,"")</f>
        <v/>
      </c>
      <c r="Y469" s="16">
        <f>IFERROR((N469+O469)/E469*100,"")</f>
        <v/>
      </c>
      <c r="Z469" s="16">
        <f>IFERROR(R469/F469*100,"")</f>
        <v/>
      </c>
      <c r="AA469" s="16">
        <f>IFERROR(R469/E469*100,"")</f>
        <v/>
      </c>
      <c r="AB469" s="16">
        <f>IFERROR(S469/Q469*100,"")</f>
        <v/>
      </c>
      <c r="AC469" s="16">
        <f>IFERROR(T469/Q469*100,"")</f>
        <v/>
      </c>
      <c r="AD469" s="16">
        <f>IFERROR(U469/Q469*100,"")</f>
        <v/>
      </c>
      <c r="AE469" s="18">
        <f>IFERROR(E469/E465-1,"")</f>
        <v/>
      </c>
      <c r="AF469" s="18">
        <f>IFERROR(R469/R465-1,"")</f>
        <v/>
      </c>
      <c r="AG469" s="18">
        <f>IFERROR(F469/F465-1,"")</f>
        <v/>
      </c>
      <c r="AH469">
        <f>P469&gt;0</f>
        <v/>
      </c>
    </row>
    <row r="470">
      <c r="A470" s="14" t="n">
        <v>45291</v>
      </c>
      <c r="B470" t="n">
        <v>19531</v>
      </c>
      <c r="C470" t="inlineStr">
        <is>
          <t>MACHIAS SAVINGS BANK</t>
        </is>
      </c>
      <c r="D470" t="inlineStr">
        <is>
          <t>ME</t>
        </is>
      </c>
      <c r="E470" t="n">
        <v>2483046</v>
      </c>
      <c r="F470" t="n">
        <v>2045823</v>
      </c>
      <c r="G470" t="n">
        <v>242363</v>
      </c>
      <c r="H470" s="16" t="n">
        <v>0.4831309764976316</v>
      </c>
      <c r="I470" s="16" t="n">
        <v>5.05</v>
      </c>
      <c r="J470" s="16" t="n">
        <v>2.728259419630834</v>
      </c>
      <c r="K470" s="16" t="n">
        <v>6950</v>
      </c>
      <c r="L470" s="16" t="n">
        <v>433</v>
      </c>
      <c r="M470" s="16" t="n">
        <v>0.3507675262299278</v>
      </c>
      <c r="N470" s="16" t="n">
        <v>8747</v>
      </c>
      <c r="O470" s="16" t="n">
        <v>53</v>
      </c>
      <c r="P470" s="16" t="n">
        <v>14.43252248213245</v>
      </c>
      <c r="Q470" t="n">
        <v>1996479</v>
      </c>
      <c r="R470" t="n">
        <v>1975432</v>
      </c>
      <c r="S470" t="n">
        <v>1632308</v>
      </c>
      <c r="T470" t="n">
        <v>248052</v>
      </c>
      <c r="U470" t="n">
        <v>14524</v>
      </c>
      <c r="V470" t="n">
        <v>1.054205929538953</v>
      </c>
      <c r="W470" t="n">
        <v>-0.1</v>
      </c>
      <c r="X470" s="16">
        <f>IFERROR(K470/E470*100,"")</f>
        <v/>
      </c>
      <c r="Y470" s="16">
        <f>IFERROR((N470+O470)/E470*100,"")</f>
        <v/>
      </c>
      <c r="Z470" s="16">
        <f>IFERROR(R470/F470*100,"")</f>
        <v/>
      </c>
      <c r="AA470" s="16">
        <f>IFERROR(R470/E470*100,"")</f>
        <v/>
      </c>
      <c r="AB470" s="16">
        <f>IFERROR(S470/Q470*100,"")</f>
        <v/>
      </c>
      <c r="AC470" s="16">
        <f>IFERROR(T470/Q470*100,"")</f>
        <v/>
      </c>
      <c r="AD470" s="16">
        <f>IFERROR(U470/Q470*100,"")</f>
        <v/>
      </c>
      <c r="AE470" s="18">
        <f>IFERROR(E470/E466-1,"")</f>
        <v/>
      </c>
      <c r="AF470" s="18">
        <f>IFERROR(R470/R466-1,"")</f>
        <v/>
      </c>
      <c r="AG470" s="18">
        <f>IFERROR(F470/F466-1,"")</f>
        <v/>
      </c>
      <c r="AH470">
        <f>P470&gt;0</f>
        <v/>
      </c>
    </row>
    <row r="471">
      <c r="A471" s="14" t="n">
        <v>45382</v>
      </c>
      <c r="B471" t="n">
        <v>19531</v>
      </c>
      <c r="C471" t="inlineStr">
        <is>
          <t>MACHIAS SAVINGS BANK</t>
        </is>
      </c>
      <c r="D471" t="inlineStr">
        <is>
          <t>ME</t>
        </is>
      </c>
      <c r="E471" t="n">
        <v>2536962</v>
      </c>
      <c r="F471" t="n">
        <v>1943034</v>
      </c>
      <c r="G471" t="n">
        <v>242536</v>
      </c>
      <c r="H471" s="16" t="n">
        <v>0.3031070866819336</v>
      </c>
      <c r="I471" s="16" t="n">
        <v>3.14</v>
      </c>
      <c r="J471" s="16" t="n">
        <v>2.580732211739214</v>
      </c>
      <c r="K471" s="16" t="n">
        <v>8011</v>
      </c>
      <c r="L471" s="16" t="n">
        <v>141</v>
      </c>
      <c r="M471" s="16" t="n">
        <v>0.3944094654345767</v>
      </c>
      <c r="N471" s="16" t="n">
        <v>9492</v>
      </c>
      <c r="O471" s="16" t="n">
        <v>26</v>
      </c>
      <c r="P471" s="16" t="n">
        <v>14.31606596239269</v>
      </c>
      <c r="Q471" t="n">
        <v>2037730</v>
      </c>
      <c r="R471" t="n">
        <v>2016789</v>
      </c>
      <c r="S471" t="n">
        <v>1667925</v>
      </c>
      <c r="T471" t="n">
        <v>257202</v>
      </c>
      <c r="U471" t="n">
        <v>12370</v>
      </c>
      <c r="V471" t="n">
        <v>1.027663134958998</v>
      </c>
      <c r="W471" t="n">
        <v>0</v>
      </c>
      <c r="X471" s="16">
        <f>IFERROR(K471/E471*100,"")</f>
        <v/>
      </c>
      <c r="Y471" s="16">
        <f>IFERROR((N471+O471)/E471*100,"")</f>
        <v/>
      </c>
      <c r="Z471" s="16">
        <f>IFERROR(R471/F471*100,"")</f>
        <v/>
      </c>
      <c r="AA471" s="16">
        <f>IFERROR(R471/E471*100,"")</f>
        <v/>
      </c>
      <c r="AB471" s="16">
        <f>IFERROR(S471/Q471*100,"")</f>
        <v/>
      </c>
      <c r="AC471" s="16">
        <f>IFERROR(T471/Q471*100,"")</f>
        <v/>
      </c>
      <c r="AD471" s="16">
        <f>IFERROR(U471/Q471*100,"")</f>
        <v/>
      </c>
      <c r="AE471" s="18">
        <f>IFERROR(E471/E467-1,"")</f>
        <v/>
      </c>
      <c r="AF471" s="18">
        <f>IFERROR(R471/R467-1,"")</f>
        <v/>
      </c>
      <c r="AG471" s="18">
        <f>IFERROR(F471/F467-1,"")</f>
        <v/>
      </c>
      <c r="AH471">
        <f>P471&gt;0</f>
        <v/>
      </c>
    </row>
    <row r="472">
      <c r="A472" s="14" t="n">
        <v>45473</v>
      </c>
      <c r="B472" t="n">
        <v>19531</v>
      </c>
      <c r="C472" t="inlineStr">
        <is>
          <t>MACHIAS SAVINGS BANK</t>
        </is>
      </c>
      <c r="D472" t="inlineStr">
        <is>
          <t>ME</t>
        </is>
      </c>
      <c r="E472" t="n">
        <v>2602801</v>
      </c>
      <c r="F472" t="n">
        <v>2007423</v>
      </c>
      <c r="G472" t="n">
        <v>245672</v>
      </c>
      <c r="H472" s="16" t="n">
        <v>0.3634880527637515</v>
      </c>
      <c r="I472" s="16" t="n">
        <v>3.79</v>
      </c>
      <c r="J472" s="16" t="n">
        <v>2.591852718937591</v>
      </c>
      <c r="K472" s="16" t="n">
        <v>8076</v>
      </c>
      <c r="L472" s="16" t="n">
        <v>452</v>
      </c>
      <c r="M472" s="16" t="n">
        <v>0.3781398865112808</v>
      </c>
      <c r="N472" s="16" t="n">
        <v>3260</v>
      </c>
      <c r="O472" s="16" t="n">
        <v>12</v>
      </c>
      <c r="P472" s="16" t="n">
        <v>13.72462378286043</v>
      </c>
      <c r="Q472" t="n">
        <v>2138891</v>
      </c>
      <c r="R472" t="n">
        <v>2118435</v>
      </c>
      <c r="S472" t="n">
        <v>1752265</v>
      </c>
      <c r="T472" t="n">
        <v>263338</v>
      </c>
      <c r="U472" t="n">
        <v>10817</v>
      </c>
      <c r="V472" t="n">
        <v>0.9563834716215086</v>
      </c>
      <c r="W472" t="n">
        <v>0</v>
      </c>
      <c r="X472" s="16">
        <f>IFERROR(K472/E472*100,"")</f>
        <v/>
      </c>
      <c r="Y472" s="16">
        <f>IFERROR((N472+O472)/E472*100,"")</f>
        <v/>
      </c>
      <c r="Z472" s="16">
        <f>IFERROR(R472/F472*100,"")</f>
        <v/>
      </c>
      <c r="AA472" s="16">
        <f>IFERROR(R472/E472*100,"")</f>
        <v/>
      </c>
      <c r="AB472" s="16">
        <f>IFERROR(S472/Q472*100,"")</f>
        <v/>
      </c>
      <c r="AC472" s="16">
        <f>IFERROR(T472/Q472*100,"")</f>
        <v/>
      </c>
      <c r="AD472" s="16">
        <f>IFERROR(U472/Q472*100,"")</f>
        <v/>
      </c>
      <c r="AE472" s="18">
        <f>IFERROR(E472/E468-1,"")</f>
        <v/>
      </c>
      <c r="AF472" s="18">
        <f>IFERROR(R472/R468-1,"")</f>
        <v/>
      </c>
      <c r="AG472" s="18">
        <f>IFERROR(F472/F468-1,"")</f>
        <v/>
      </c>
      <c r="AH472">
        <f>P472&gt;0</f>
        <v/>
      </c>
    </row>
    <row r="473">
      <c r="A473" s="14" t="n">
        <v>45565</v>
      </c>
      <c r="B473" t="n">
        <v>19531</v>
      </c>
      <c r="C473" t="inlineStr">
        <is>
          <t>MACHIAS SAVINGS BANK</t>
        </is>
      </c>
      <c r="D473" t="inlineStr">
        <is>
          <t>ME</t>
        </is>
      </c>
      <c r="E473" t="n">
        <v>2632240</v>
      </c>
      <c r="F473" t="n">
        <v>2115575</v>
      </c>
      <c r="G473" t="n">
        <v>257463</v>
      </c>
      <c r="H473" s="16" t="n">
        <v>0.4541649250042588</v>
      </c>
      <c r="I473" s="16" t="n">
        <v>4.71</v>
      </c>
      <c r="J473" s="16" t="n">
        <v>2.672510822994447</v>
      </c>
      <c r="K473" s="16" t="n">
        <v>6917</v>
      </c>
      <c r="L473" s="16" t="n">
        <v>495</v>
      </c>
      <c r="M473" s="16" t="n">
        <v>0.3204017490928119</v>
      </c>
      <c r="N473" s="16" t="n">
        <v>3153</v>
      </c>
      <c r="O473" s="16" t="n">
        <v>8</v>
      </c>
      <c r="P473" s="16" t="n">
        <v>13.81530549697813</v>
      </c>
      <c r="Q473" t="n">
        <v>2161349</v>
      </c>
      <c r="R473" t="n">
        <v>2141895</v>
      </c>
      <c r="S473" t="n">
        <v>1773165</v>
      </c>
      <c r="T473" t="n">
        <v>265218</v>
      </c>
      <c r="U473" t="n">
        <v>9142</v>
      </c>
      <c r="V473" t="n">
        <v>0.9000860110976987</v>
      </c>
      <c r="W473" t="n">
        <v>-0.05</v>
      </c>
      <c r="X473" s="16">
        <f>IFERROR(K473/E473*100,"")</f>
        <v/>
      </c>
      <c r="Y473" s="16">
        <f>IFERROR((N473+O473)/E473*100,"")</f>
        <v/>
      </c>
      <c r="Z473" s="16">
        <f>IFERROR(R473/F473*100,"")</f>
        <v/>
      </c>
      <c r="AA473" s="16">
        <f>IFERROR(R473/E473*100,"")</f>
        <v/>
      </c>
      <c r="AB473" s="16">
        <f>IFERROR(S473/Q473*100,"")</f>
        <v/>
      </c>
      <c r="AC473" s="16">
        <f>IFERROR(T473/Q473*100,"")</f>
        <v/>
      </c>
      <c r="AD473" s="16">
        <f>IFERROR(U473/Q473*100,"")</f>
        <v/>
      </c>
      <c r="AE473" s="18">
        <f>IFERROR(E473/E469-1,"")</f>
        <v/>
      </c>
      <c r="AF473" s="18">
        <f>IFERROR(R473/R469-1,"")</f>
        <v/>
      </c>
      <c r="AG473" s="18">
        <f>IFERROR(F473/F469-1,"")</f>
        <v/>
      </c>
      <c r="AH473">
        <f>P473&gt;0</f>
        <v/>
      </c>
    </row>
    <row r="474">
      <c r="A474" s="14" t="n">
        <v>45657</v>
      </c>
      <c r="B474" t="n">
        <v>19531</v>
      </c>
      <c r="C474" t="inlineStr">
        <is>
          <t>MACHIAS SAVINGS BANK</t>
        </is>
      </c>
      <c r="D474" t="inlineStr">
        <is>
          <t>ME</t>
        </is>
      </c>
      <c r="E474" t="n">
        <v>2607826</v>
      </c>
      <c r="F474" t="n">
        <v>2305045</v>
      </c>
      <c r="G474" t="n">
        <v>258848</v>
      </c>
      <c r="H474" s="16" t="n">
        <v>0.5683410590556155</v>
      </c>
      <c r="I474" s="16" t="n">
        <v>5.86</v>
      </c>
      <c r="J474" s="16" t="n">
        <v>2.787532726389008</v>
      </c>
      <c r="K474" s="16" t="n">
        <v>6433</v>
      </c>
      <c r="L474" s="16" t="n">
        <v>853</v>
      </c>
      <c r="M474" s="16" t="n">
        <v>0.3005659266776843</v>
      </c>
      <c r="N474" s="16" t="n">
        <v>11164</v>
      </c>
      <c r="O474" s="16" t="n">
        <v>47</v>
      </c>
      <c r="P474" s="16" t="n">
        <v>14.10694862093431</v>
      </c>
      <c r="Q474" t="n">
        <v>2155933</v>
      </c>
      <c r="R474" t="n">
        <v>2136837</v>
      </c>
      <c r="S474" t="n">
        <v>1794381</v>
      </c>
      <c r="T474" t="n">
        <v>255345</v>
      </c>
      <c r="U474" t="n">
        <v>8027</v>
      </c>
      <c r="V474" t="n">
        <v>0.8857418110859661</v>
      </c>
      <c r="W474" t="n">
        <v>-0.04</v>
      </c>
      <c r="X474" s="16">
        <f>IFERROR(K474/E474*100,"")</f>
        <v/>
      </c>
      <c r="Y474" s="16">
        <f>IFERROR((N474+O474)/E474*100,"")</f>
        <v/>
      </c>
      <c r="Z474" s="16">
        <f>IFERROR(R474/F474*100,"")</f>
        <v/>
      </c>
      <c r="AA474" s="16">
        <f>IFERROR(R474/E474*100,"")</f>
        <v/>
      </c>
      <c r="AB474" s="16">
        <f>IFERROR(S474/Q474*100,"")</f>
        <v/>
      </c>
      <c r="AC474" s="16">
        <f>IFERROR(T474/Q474*100,"")</f>
        <v/>
      </c>
      <c r="AD474" s="16">
        <f>IFERROR(U474/Q474*100,"")</f>
        <v/>
      </c>
      <c r="AE474" s="18">
        <f>IFERROR(E474/E470-1,"")</f>
        <v/>
      </c>
      <c r="AF474" s="18">
        <f>IFERROR(R474/R470-1,"")</f>
        <v/>
      </c>
      <c r="AG474" s="18">
        <f>IFERROR(F474/F470-1,"")</f>
        <v/>
      </c>
      <c r="AH474">
        <f>P474&gt;0</f>
        <v/>
      </c>
    </row>
    <row r="475">
      <c r="A475" s="14" t="n">
        <v>45747</v>
      </c>
      <c r="B475" t="n">
        <v>19531</v>
      </c>
      <c r="C475" t="inlineStr">
        <is>
          <t>MACHIAS SAVINGS BANK</t>
        </is>
      </c>
      <c r="D475" t="inlineStr">
        <is>
          <t>ME</t>
        </is>
      </c>
      <c r="E475" t="n">
        <v>2567242</v>
      </c>
      <c r="F475" t="n">
        <v>2162803</v>
      </c>
      <c r="G475" t="n">
        <v>266786</v>
      </c>
      <c r="H475" s="16" t="n">
        <v>0.6365906689535288</v>
      </c>
      <c r="I475" s="16" t="n">
        <v>6.27</v>
      </c>
      <c r="J475" s="16" t="n">
        <v>3.125552139293168</v>
      </c>
      <c r="K475" s="16" t="n">
        <v>7253</v>
      </c>
      <c r="L475" s="16" t="n">
        <v>-334</v>
      </c>
      <c r="M475" s="16" t="n">
        <v>0.3349669415760564</v>
      </c>
      <c r="N475" s="16" t="n">
        <v>22725</v>
      </c>
      <c r="O475" s="16" t="n">
        <v>46</v>
      </c>
      <c r="P475" s="16" t="n">
        <v>14.927898270842</v>
      </c>
      <c r="Q475" t="n">
        <v>2179021</v>
      </c>
      <c r="R475" t="n">
        <v>2159699</v>
      </c>
      <c r="S475" t="n">
        <v>1814549</v>
      </c>
      <c r="T475" t="n">
        <v>257734</v>
      </c>
      <c r="U475" t="n">
        <v>6994</v>
      </c>
      <c r="V475" t="n">
        <v>0.8867284895372739</v>
      </c>
      <c r="W475" t="n">
        <v>0</v>
      </c>
      <c r="X475" s="16">
        <f>IFERROR(K475/E475*100,"")</f>
        <v/>
      </c>
      <c r="Y475" s="16">
        <f>IFERROR((N475+O475)/E475*100,"")</f>
        <v/>
      </c>
      <c r="Z475" s="16">
        <f>IFERROR(R475/F475*100,"")</f>
        <v/>
      </c>
      <c r="AA475" s="16">
        <f>IFERROR(R475/E475*100,"")</f>
        <v/>
      </c>
      <c r="AB475" s="16">
        <f>IFERROR(S475/Q475*100,"")</f>
        <v/>
      </c>
      <c r="AC475" s="16">
        <f>IFERROR(T475/Q475*100,"")</f>
        <v/>
      </c>
      <c r="AD475" s="16">
        <f>IFERROR(U475/Q475*100,"")</f>
        <v/>
      </c>
      <c r="AE475" s="18">
        <f>IFERROR(E475/E471-1,"")</f>
        <v/>
      </c>
      <c r="AF475" s="18">
        <f>IFERROR(R475/R471-1,"")</f>
        <v/>
      </c>
      <c r="AG475" s="18">
        <f>IFERROR(F475/F471-1,"")</f>
        <v/>
      </c>
      <c r="AH475">
        <f>P475&gt;0</f>
        <v/>
      </c>
    </row>
    <row r="476">
      <c r="A476" s="14" t="n">
        <v>45838</v>
      </c>
      <c r="B476" t="n">
        <v>19531</v>
      </c>
      <c r="C476" t="inlineStr">
        <is>
          <t>MACHIAS SAVINGS BANK</t>
        </is>
      </c>
      <c r="D476" t="inlineStr">
        <is>
          <t>ME</t>
        </is>
      </c>
      <c r="E476" t="n">
        <v>2611219</v>
      </c>
      <c r="F476" t="n">
        <v>2294497</v>
      </c>
      <c r="G476" t="n">
        <v>275708</v>
      </c>
      <c r="H476" s="16" t="n">
        <v>0.8449470203191842</v>
      </c>
      <c r="I476" s="16" t="n">
        <v>8.210000000000001</v>
      </c>
      <c r="J476" s="16" t="n">
        <v>3.210908694605972</v>
      </c>
      <c r="K476" s="16" t="n">
        <v>9735</v>
      </c>
      <c r="L476" s="16" t="n">
        <v>-418</v>
      </c>
      <c r="M476" s="16" t="n">
        <v>0.4396013077913239</v>
      </c>
      <c r="N476" s="16" t="n">
        <v>29206</v>
      </c>
      <c r="O476" s="16" t="n">
        <v>5</v>
      </c>
      <c r="P476" s="16" t="n">
        <v>14.15329758838452</v>
      </c>
      <c r="Q476" t="n">
        <v>2215644</v>
      </c>
      <c r="R476" t="n">
        <v>2196251</v>
      </c>
      <c r="S476" t="n">
        <v>1826881</v>
      </c>
      <c r="T476" t="n">
        <v>266423</v>
      </c>
      <c r="U476" t="n">
        <v>6284</v>
      </c>
      <c r="V476" t="n">
        <v>0.8752759919914933</v>
      </c>
      <c r="W476" t="n">
        <v>0</v>
      </c>
      <c r="X476" s="16">
        <f>IFERROR(K476/E476*100,"")</f>
        <v/>
      </c>
      <c r="Y476" s="16">
        <f>IFERROR((N476+O476)/E476*100,"")</f>
        <v/>
      </c>
      <c r="Z476" s="16">
        <f>IFERROR(R476/F476*100,"")</f>
        <v/>
      </c>
      <c r="AA476" s="16">
        <f>IFERROR(R476/E476*100,"")</f>
        <v/>
      </c>
      <c r="AB476" s="16">
        <f>IFERROR(S476/Q476*100,"")</f>
        <v/>
      </c>
      <c r="AC476" s="16">
        <f>IFERROR(T476/Q476*100,"")</f>
        <v/>
      </c>
      <c r="AD476" s="16">
        <f>IFERROR(U476/Q476*100,"")</f>
        <v/>
      </c>
      <c r="AE476" s="18">
        <f>IFERROR(E476/E472-1,"")</f>
        <v/>
      </c>
      <c r="AF476" s="18">
        <f>IFERROR(R476/R472-1,"")</f>
        <v/>
      </c>
      <c r="AG476" s="18">
        <f>IFERROR(F476/F472-1,"")</f>
        <v/>
      </c>
      <c r="AH476">
        <f>P476&gt;0</f>
        <v/>
      </c>
    </row>
    <row r="477">
      <c r="A477" s="14" t="n">
        <v>44651</v>
      </c>
      <c r="B477" t="n">
        <v>19532</v>
      </c>
      <c r="C477" t="inlineStr">
        <is>
          <t>SKOWHEGAN SAVINGS BANK</t>
        </is>
      </c>
      <c r="D477" t="inlineStr">
        <is>
          <t>ME</t>
        </is>
      </c>
      <c r="E477" t="n">
        <v>770032</v>
      </c>
      <c r="F477" t="n">
        <v>660375</v>
      </c>
      <c r="G477" t="n">
        <v>96137</v>
      </c>
      <c r="H477" s="16" t="n">
        <v>0.7461054880160676</v>
      </c>
      <c r="I477" s="16" t="n">
        <v>5.79</v>
      </c>
      <c r="J477" s="16" t="n">
        <v>3.104180995103524</v>
      </c>
      <c r="K477" s="16" t="n">
        <v>2804</v>
      </c>
      <c r="L477" s="16" t="n">
        <v>2</v>
      </c>
      <c r="M477" s="16" t="n">
        <v>0.5603640367793856</v>
      </c>
      <c r="N477" s="16" t="n">
        <v>615</v>
      </c>
      <c r="O477" s="16" t="n">
        <v>0</v>
      </c>
      <c r="P477" s="16" t="n">
        <v>21.79675616382142</v>
      </c>
      <c r="Q477" t="n">
        <v>500389</v>
      </c>
      <c r="R477" t="n">
        <v>494485</v>
      </c>
      <c r="S477" t="n">
        <v>433748</v>
      </c>
      <c r="T477" t="n">
        <v>20391</v>
      </c>
      <c r="U477" t="n">
        <v>38849</v>
      </c>
      <c r="V477" t="n">
        <v>1.179882051763728</v>
      </c>
      <c r="W477" t="n">
        <v>0.02</v>
      </c>
      <c r="X477" s="16">
        <f>IFERROR(K477/E477*100,"")</f>
        <v/>
      </c>
      <c r="Y477" s="16">
        <f>IFERROR((N477+O477)/E477*100,"")</f>
        <v/>
      </c>
      <c r="Z477" s="16">
        <f>IFERROR(R477/F477*100,"")</f>
        <v/>
      </c>
      <c r="AA477" s="16">
        <f>IFERROR(R477/E477*100,"")</f>
        <v/>
      </c>
      <c r="AB477" s="16">
        <f>IFERROR(S477/Q477*100,"")</f>
        <v/>
      </c>
      <c r="AC477" s="16">
        <f>IFERROR(T477/Q477*100,"")</f>
        <v/>
      </c>
      <c r="AD477" s="16">
        <f>IFERROR(U477/Q477*100,"")</f>
        <v/>
      </c>
      <c r="AE477" s="18" t="n"/>
      <c r="AF477" s="18" t="n"/>
      <c r="AG477" s="18" t="n"/>
      <c r="AH477">
        <f>P477&gt;0</f>
        <v/>
      </c>
    </row>
    <row r="478">
      <c r="A478" s="14" t="n">
        <v>44742</v>
      </c>
      <c r="B478" t="n">
        <v>19532</v>
      </c>
      <c r="C478" t="inlineStr">
        <is>
          <t>SKOWHEGAN SAVINGS BANK</t>
        </is>
      </c>
      <c r="D478" t="inlineStr">
        <is>
          <t>ME</t>
        </is>
      </c>
      <c r="E478" t="n">
        <v>754376</v>
      </c>
      <c r="F478" t="n">
        <v>650205</v>
      </c>
      <c r="G478" t="n">
        <v>89980</v>
      </c>
      <c r="H478" s="16" t="n">
        <v>0.4776931197005242</v>
      </c>
      <c r="I478" s="16" t="n">
        <v>3.8</v>
      </c>
      <c r="J478" s="16" t="n">
        <v>3.214382146936986</v>
      </c>
      <c r="K478" s="16" t="n">
        <v>597</v>
      </c>
      <c r="L478" s="16" t="n">
        <v>-4</v>
      </c>
      <c r="M478" s="16" t="n">
        <v>0.152178343701777</v>
      </c>
      <c r="N478" s="16" t="n">
        <v>596</v>
      </c>
      <c r="O478" s="16" t="n">
        <v>187</v>
      </c>
      <c r="P478" s="16" t="n">
        <v>21.35397634387921</v>
      </c>
      <c r="Q478" t="n">
        <v>515185</v>
      </c>
      <c r="R478" t="n">
        <v>509274</v>
      </c>
      <c r="S478" t="n">
        <v>443130</v>
      </c>
      <c r="T478" t="n">
        <v>22566</v>
      </c>
      <c r="U478" t="n">
        <v>41806</v>
      </c>
      <c r="V478" t="n">
        <v>1.147354833700515</v>
      </c>
      <c r="W478" t="n">
        <v>0.01</v>
      </c>
      <c r="X478" s="16">
        <f>IFERROR(K478/E478*100,"")</f>
        <v/>
      </c>
      <c r="Y478" s="16">
        <f>IFERROR((N478+O478)/E478*100,"")</f>
        <v/>
      </c>
      <c r="Z478" s="16">
        <f>IFERROR(R478/F478*100,"")</f>
        <v/>
      </c>
      <c r="AA478" s="16">
        <f>IFERROR(R478/E478*100,"")</f>
        <v/>
      </c>
      <c r="AB478" s="16">
        <f>IFERROR(S478/Q478*100,"")</f>
        <v/>
      </c>
      <c r="AC478" s="16">
        <f>IFERROR(T478/Q478*100,"")</f>
        <v/>
      </c>
      <c r="AD478" s="16">
        <f>IFERROR(U478/Q478*100,"")</f>
        <v/>
      </c>
      <c r="AE478" s="18" t="n"/>
      <c r="AF478" s="18" t="n"/>
      <c r="AG478" s="18" t="n"/>
      <c r="AH478">
        <f>P478&gt;0</f>
        <v/>
      </c>
    </row>
    <row r="479">
      <c r="A479" s="14" t="n">
        <v>44834</v>
      </c>
      <c r="B479" t="n">
        <v>19532</v>
      </c>
      <c r="C479" t="inlineStr">
        <is>
          <t>SKOWHEGAN SAVINGS BANK</t>
        </is>
      </c>
      <c r="D479" t="inlineStr">
        <is>
          <t>ME</t>
        </is>
      </c>
      <c r="E479" t="n">
        <v>779214</v>
      </c>
      <c r="F479" t="n">
        <v>683500</v>
      </c>
      <c r="G479" t="n">
        <v>83123</v>
      </c>
      <c r="H479" s="16" t="n">
        <v>0.438029053439951</v>
      </c>
      <c r="I479" s="16" t="n">
        <v>3.62</v>
      </c>
      <c r="J479" s="16" t="n">
        <v>3.294432405063291</v>
      </c>
      <c r="K479" s="16" t="n">
        <v>598</v>
      </c>
      <c r="L479" s="16" t="n">
        <v>23</v>
      </c>
      <c r="M479" s="16" t="n">
        <v>0.113015491437848</v>
      </c>
      <c r="N479" s="16" t="n">
        <v>596</v>
      </c>
      <c r="O479" s="16" t="n">
        <v>0</v>
      </c>
      <c r="P479" s="16" t="n">
        <v>20.85188026196195</v>
      </c>
      <c r="Q479" t="n">
        <v>529131</v>
      </c>
      <c r="R479" t="n">
        <v>523247</v>
      </c>
      <c r="S479" t="n">
        <v>452724</v>
      </c>
      <c r="T479" t="n">
        <v>25822</v>
      </c>
      <c r="U479" t="n">
        <v>43323</v>
      </c>
      <c r="V479" t="n">
        <v>1.112011959231268</v>
      </c>
      <c r="W479" t="n">
        <v>0.01</v>
      </c>
      <c r="X479" s="16">
        <f>IFERROR(K479/E479*100,"")</f>
        <v/>
      </c>
      <c r="Y479" s="16">
        <f>IFERROR((N479+O479)/E479*100,"")</f>
        <v/>
      </c>
      <c r="Z479" s="16">
        <f>IFERROR(R479/F479*100,"")</f>
        <v/>
      </c>
      <c r="AA479" s="16">
        <f>IFERROR(R479/E479*100,"")</f>
        <v/>
      </c>
      <c r="AB479" s="16">
        <f>IFERROR(S479/Q479*100,"")</f>
        <v/>
      </c>
      <c r="AC479" s="16">
        <f>IFERROR(T479/Q479*100,"")</f>
        <v/>
      </c>
      <c r="AD479" s="16">
        <f>IFERROR(U479/Q479*100,"")</f>
        <v/>
      </c>
      <c r="AE479" s="18" t="n"/>
      <c r="AF479" s="18" t="n"/>
      <c r="AG479" s="18" t="n"/>
      <c r="AH479">
        <f>P479&gt;0</f>
        <v/>
      </c>
    </row>
    <row r="480">
      <c r="A480" s="14" t="n">
        <v>44926</v>
      </c>
      <c r="B480" t="n">
        <v>19532</v>
      </c>
      <c r="C480" t="inlineStr">
        <is>
          <t>SKOWHEGAN SAVINGS BANK</t>
        </is>
      </c>
      <c r="D480" t="inlineStr">
        <is>
          <t>ME</t>
        </is>
      </c>
      <c r="E480" t="n">
        <v>774373</v>
      </c>
      <c r="F480" t="n">
        <v>673912</v>
      </c>
      <c r="G480" t="n">
        <v>87739</v>
      </c>
      <c r="H480" s="16" t="n">
        <v>0.7225766856537427</v>
      </c>
      <c r="I480" s="16" t="n">
        <v>6.05</v>
      </c>
      <c r="J480" s="16" t="n">
        <v>3.355947960533233</v>
      </c>
      <c r="K480" s="16" t="n">
        <v>797</v>
      </c>
      <c r="L480" s="16" t="n">
        <v>45</v>
      </c>
      <c r="M480" s="16" t="n">
        <v>0.1464314454639323</v>
      </c>
      <c r="N480" s="16" t="n">
        <v>790</v>
      </c>
      <c r="O480" s="16" t="n">
        <v>0</v>
      </c>
      <c r="P480" s="16" t="n">
        <v>20.88459285295841</v>
      </c>
      <c r="Q480" t="n">
        <v>544282</v>
      </c>
      <c r="R480" t="n">
        <v>538421</v>
      </c>
      <c r="S480" t="n">
        <v>460817</v>
      </c>
      <c r="T480" t="n">
        <v>30200</v>
      </c>
      <c r="U480" t="n">
        <v>46433</v>
      </c>
      <c r="V480" t="n">
        <v>1.076831495438027</v>
      </c>
      <c r="W480" t="n">
        <v>0</v>
      </c>
      <c r="X480" s="16">
        <f>IFERROR(K480/E480*100,"")</f>
        <v/>
      </c>
      <c r="Y480" s="16">
        <f>IFERROR((N480+O480)/E480*100,"")</f>
        <v/>
      </c>
      <c r="Z480" s="16">
        <f>IFERROR(R480/F480*100,"")</f>
        <v/>
      </c>
      <c r="AA480" s="16">
        <f>IFERROR(R480/E480*100,"")</f>
        <v/>
      </c>
      <c r="AB480" s="16">
        <f>IFERROR(S480/Q480*100,"")</f>
        <v/>
      </c>
      <c r="AC480" s="16">
        <f>IFERROR(T480/Q480*100,"")</f>
        <v/>
      </c>
      <c r="AD480" s="16">
        <f>IFERROR(U480/Q480*100,"")</f>
        <v/>
      </c>
      <c r="AE480" s="18" t="n"/>
      <c r="AF480" s="18" t="n"/>
      <c r="AG480" s="18" t="n"/>
      <c r="AH480">
        <f>P480&gt;0</f>
        <v/>
      </c>
    </row>
    <row r="481">
      <c r="A481" s="14" t="n">
        <v>45016</v>
      </c>
      <c r="B481" t="n">
        <v>19532</v>
      </c>
      <c r="C481" t="inlineStr">
        <is>
          <t>SKOWHEGAN SAVINGS BANK</t>
        </is>
      </c>
      <c r="D481" t="inlineStr">
        <is>
          <t>ME</t>
        </is>
      </c>
      <c r="E481" t="n">
        <v>781513</v>
      </c>
      <c r="F481" t="n">
        <v>676028</v>
      </c>
      <c r="G481" t="n">
        <v>91464</v>
      </c>
      <c r="H481" s="16" t="n">
        <v>0.8293666759646915</v>
      </c>
      <c r="I481" s="16" t="n">
        <v>7.2</v>
      </c>
      <c r="J481" s="16" t="n">
        <v>3.56459940305092</v>
      </c>
      <c r="K481" s="16" t="n">
        <v>712</v>
      </c>
      <c r="L481" s="16" t="n">
        <v>16</v>
      </c>
      <c r="M481" s="16" t="n">
        <v>0.1275745603425878</v>
      </c>
      <c r="N481" s="16" t="n">
        <v>427</v>
      </c>
      <c r="O481" s="16" t="n">
        <v>0</v>
      </c>
      <c r="P481" s="16" t="n">
        <v>21.64950947553332</v>
      </c>
      <c r="Q481" t="n">
        <v>558105</v>
      </c>
      <c r="R481" t="n">
        <v>552337</v>
      </c>
      <c r="S481" t="n">
        <v>465968</v>
      </c>
      <c r="T481" t="n">
        <v>34197</v>
      </c>
      <c r="U481" t="n">
        <v>47272</v>
      </c>
      <c r="V481" t="n">
        <v>1.033497280977594</v>
      </c>
      <c r="W481" t="n">
        <v>0</v>
      </c>
      <c r="X481" s="16">
        <f>IFERROR(K481/E481*100,"")</f>
        <v/>
      </c>
      <c r="Y481" s="16">
        <f>IFERROR((N481+O481)/E481*100,"")</f>
        <v/>
      </c>
      <c r="Z481" s="16">
        <f>IFERROR(R481/F481*100,"")</f>
        <v/>
      </c>
      <c r="AA481" s="16">
        <f>IFERROR(R481/E481*100,"")</f>
        <v/>
      </c>
      <c r="AB481" s="16">
        <f>IFERROR(S481/Q481*100,"")</f>
        <v/>
      </c>
      <c r="AC481" s="16">
        <f>IFERROR(T481/Q481*100,"")</f>
        <v/>
      </c>
      <c r="AD481" s="16">
        <f>IFERROR(U481/Q481*100,"")</f>
        <v/>
      </c>
      <c r="AE481" s="18">
        <f>IFERROR(E481/E477-1,"")</f>
        <v/>
      </c>
      <c r="AF481" s="18">
        <f>IFERROR(R481/R477-1,"")</f>
        <v/>
      </c>
      <c r="AG481" s="18">
        <f>IFERROR(F481/F477-1,"")</f>
        <v/>
      </c>
      <c r="AH481">
        <f>P481&gt;0</f>
        <v/>
      </c>
    </row>
    <row r="482">
      <c r="A482" s="14" t="n">
        <v>45107</v>
      </c>
      <c r="B482" t="n">
        <v>19532</v>
      </c>
      <c r="C482" t="inlineStr">
        <is>
          <t>SKOWHEGAN SAVINGS BANK</t>
        </is>
      </c>
      <c r="D482" t="inlineStr">
        <is>
          <t>ME</t>
        </is>
      </c>
      <c r="E482" t="n">
        <v>792753</v>
      </c>
      <c r="F482" t="n">
        <v>647966</v>
      </c>
      <c r="G482" t="n">
        <v>91641</v>
      </c>
      <c r="H482" s="16" t="n">
        <v>0.8200493988220413</v>
      </c>
      <c r="I482" s="16" t="n">
        <v>7.11</v>
      </c>
      <c r="J482" s="16" t="n">
        <v>3.449404937233105</v>
      </c>
      <c r="K482" s="16" t="n">
        <v>876</v>
      </c>
      <c r="L482" s="16" t="n">
        <v>30</v>
      </c>
      <c r="M482" s="16" t="n">
        <v>0.1576125069951618</v>
      </c>
      <c r="N482" s="16" t="n">
        <v>999</v>
      </c>
      <c r="O482" s="16" t="n">
        <v>14</v>
      </c>
      <c r="P482" s="16" t="n">
        <v>20.73539547903391</v>
      </c>
      <c r="Q482" t="n">
        <v>564676</v>
      </c>
      <c r="R482" t="n">
        <v>558921</v>
      </c>
      <c r="S482" t="n">
        <v>466819</v>
      </c>
      <c r="T482" t="n">
        <v>38262</v>
      </c>
      <c r="U482" t="n">
        <v>49373</v>
      </c>
      <c r="V482" t="n">
        <v>1.019168514333884</v>
      </c>
      <c r="W482" t="n">
        <v>0</v>
      </c>
      <c r="X482" s="16">
        <f>IFERROR(K482/E482*100,"")</f>
        <v/>
      </c>
      <c r="Y482" s="16">
        <f>IFERROR((N482+O482)/E482*100,"")</f>
        <v/>
      </c>
      <c r="Z482" s="16">
        <f>IFERROR(R482/F482*100,"")</f>
        <v/>
      </c>
      <c r="AA482" s="16">
        <f>IFERROR(R482/E482*100,"")</f>
        <v/>
      </c>
      <c r="AB482" s="16">
        <f>IFERROR(S482/Q482*100,"")</f>
        <v/>
      </c>
      <c r="AC482" s="16">
        <f>IFERROR(T482/Q482*100,"")</f>
        <v/>
      </c>
      <c r="AD482" s="16">
        <f>IFERROR(U482/Q482*100,"")</f>
        <v/>
      </c>
      <c r="AE482" s="18">
        <f>IFERROR(E482/E478-1,"")</f>
        <v/>
      </c>
      <c r="AF482" s="18">
        <f>IFERROR(R482/R478-1,"")</f>
        <v/>
      </c>
      <c r="AG482" s="18">
        <f>IFERROR(F482/F478-1,"")</f>
        <v/>
      </c>
      <c r="AH482">
        <f>P482&gt;0</f>
        <v/>
      </c>
    </row>
    <row r="483">
      <c r="A483" s="14" t="n">
        <v>45199</v>
      </c>
      <c r="B483" t="n">
        <v>19532</v>
      </c>
      <c r="C483" t="inlineStr">
        <is>
          <t>SKOWHEGAN SAVINGS BANK</t>
        </is>
      </c>
      <c r="D483" t="inlineStr">
        <is>
          <t>ME</t>
        </is>
      </c>
      <c r="E483" t="n">
        <v>816575</v>
      </c>
      <c r="F483" t="n">
        <v>712795</v>
      </c>
      <c r="G483" t="n">
        <v>89758</v>
      </c>
      <c r="H483" s="16" t="n">
        <v>0.6881300537657169</v>
      </c>
      <c r="I483" s="16" t="n">
        <v>6.04</v>
      </c>
      <c r="J483" s="16" t="n">
        <v>3.372672088199719</v>
      </c>
      <c r="K483" s="16" t="n">
        <v>1137</v>
      </c>
      <c r="L483" s="16" t="n">
        <v>83</v>
      </c>
      <c r="M483" s="16" t="n">
        <v>0.1950227183456859</v>
      </c>
      <c r="N483" s="16" t="n">
        <v>847</v>
      </c>
      <c r="O483" s="16" t="n">
        <v>0</v>
      </c>
      <c r="P483" s="16" t="n">
        <v>21.3660838090436</v>
      </c>
      <c r="Q483" t="n">
        <v>583009</v>
      </c>
      <c r="R483" t="n">
        <v>577235</v>
      </c>
      <c r="S483" t="n">
        <v>480800</v>
      </c>
      <c r="T483" t="n">
        <v>40005</v>
      </c>
      <c r="U483" t="n">
        <v>51182</v>
      </c>
      <c r="V483" t="n">
        <v>0.9903792222761568</v>
      </c>
      <c r="W483" t="n">
        <v>0.01</v>
      </c>
      <c r="X483" s="16">
        <f>IFERROR(K483/E483*100,"")</f>
        <v/>
      </c>
      <c r="Y483" s="16">
        <f>IFERROR((N483+O483)/E483*100,"")</f>
        <v/>
      </c>
      <c r="Z483" s="16">
        <f>IFERROR(R483/F483*100,"")</f>
        <v/>
      </c>
      <c r="AA483" s="16">
        <f>IFERROR(R483/E483*100,"")</f>
        <v/>
      </c>
      <c r="AB483" s="16">
        <f>IFERROR(S483/Q483*100,"")</f>
        <v/>
      </c>
      <c r="AC483" s="16">
        <f>IFERROR(T483/Q483*100,"")</f>
        <v/>
      </c>
      <c r="AD483" s="16">
        <f>IFERROR(U483/Q483*100,"")</f>
        <v/>
      </c>
      <c r="AE483" s="18">
        <f>IFERROR(E483/E479-1,"")</f>
        <v/>
      </c>
      <c r="AF483" s="18">
        <f>IFERROR(R483/R479-1,"")</f>
        <v/>
      </c>
      <c r="AG483" s="18">
        <f>IFERROR(F483/F479-1,"")</f>
        <v/>
      </c>
      <c r="AH483">
        <f>P483&gt;0</f>
        <v/>
      </c>
    </row>
    <row r="484">
      <c r="A484" s="14" t="n">
        <v>45291</v>
      </c>
      <c r="B484" t="n">
        <v>19532</v>
      </c>
      <c r="C484" t="inlineStr">
        <is>
          <t>SKOWHEGAN SAVINGS BANK</t>
        </is>
      </c>
      <c r="D484" t="inlineStr">
        <is>
          <t>ME</t>
        </is>
      </c>
      <c r="E484" t="n">
        <v>876702</v>
      </c>
      <c r="F484" t="n">
        <v>727881</v>
      </c>
      <c r="G484" t="n">
        <v>96676</v>
      </c>
      <c r="H484" s="16" t="n">
        <v>0.7683237355749105</v>
      </c>
      <c r="I484" s="16" t="n">
        <v>6.79</v>
      </c>
      <c r="J484" s="16" t="n">
        <v>3.292137493596931</v>
      </c>
      <c r="K484" s="16" t="n">
        <v>1128</v>
      </c>
      <c r="L484" s="16" t="n">
        <v>102</v>
      </c>
      <c r="M484" s="16" t="n">
        <v>0.194712031153925</v>
      </c>
      <c r="N484" s="16" t="n">
        <v>1388</v>
      </c>
      <c r="O484" s="16" t="n">
        <v>12</v>
      </c>
      <c r="P484" s="16" t="n">
        <v>20.84025819087091</v>
      </c>
      <c r="Q484" t="n">
        <v>585480</v>
      </c>
      <c r="R484" t="n">
        <v>579563</v>
      </c>
      <c r="S484" t="n">
        <v>482338</v>
      </c>
      <c r="T484" t="n">
        <v>43720</v>
      </c>
      <c r="U484" t="n">
        <v>53648</v>
      </c>
      <c r="V484" t="n">
        <v>1.010623761699802</v>
      </c>
      <c r="W484" t="n">
        <v>0.03</v>
      </c>
      <c r="X484" s="16">
        <f>IFERROR(K484/E484*100,"")</f>
        <v/>
      </c>
      <c r="Y484" s="16">
        <f>IFERROR((N484+O484)/E484*100,"")</f>
        <v/>
      </c>
      <c r="Z484" s="16">
        <f>IFERROR(R484/F484*100,"")</f>
        <v/>
      </c>
      <c r="AA484" s="16">
        <f>IFERROR(R484/E484*100,"")</f>
        <v/>
      </c>
      <c r="AB484" s="16">
        <f>IFERROR(S484/Q484*100,"")</f>
        <v/>
      </c>
      <c r="AC484" s="16">
        <f>IFERROR(T484/Q484*100,"")</f>
        <v/>
      </c>
      <c r="AD484" s="16">
        <f>IFERROR(U484/Q484*100,"")</f>
        <v/>
      </c>
      <c r="AE484" s="18">
        <f>IFERROR(E484/E480-1,"")</f>
        <v/>
      </c>
      <c r="AF484" s="18">
        <f>IFERROR(R484/R480-1,"")</f>
        <v/>
      </c>
      <c r="AG484" s="18">
        <f>IFERROR(F484/F480-1,"")</f>
        <v/>
      </c>
      <c r="AH484">
        <f>P484&gt;0</f>
        <v/>
      </c>
    </row>
    <row r="485">
      <c r="A485" s="14" t="n">
        <v>45382</v>
      </c>
      <c r="B485" t="n">
        <v>19532</v>
      </c>
      <c r="C485" t="inlineStr">
        <is>
          <t>SKOWHEGAN SAVINGS BANK</t>
        </is>
      </c>
      <c r="D485" t="inlineStr">
        <is>
          <t>ME</t>
        </is>
      </c>
      <c r="E485" t="n">
        <v>898226</v>
      </c>
      <c r="F485" t="n">
        <v>728574</v>
      </c>
      <c r="G485" t="n">
        <v>97076</v>
      </c>
      <c r="H485" s="16" t="n">
        <v>0.943362209622024</v>
      </c>
      <c r="I485" s="16" t="n">
        <v>8.640000000000001</v>
      </c>
      <c r="J485" s="16" t="n">
        <v>2.92777746211838</v>
      </c>
      <c r="K485" s="16" t="n">
        <v>1722</v>
      </c>
      <c r="L485" s="16" t="n">
        <v>26</v>
      </c>
      <c r="M485" s="16" t="n">
        <v>0.2910253658520097</v>
      </c>
      <c r="N485" s="16" t="n">
        <v>894</v>
      </c>
      <c r="O485" s="16" t="n">
        <v>0</v>
      </c>
      <c r="P485" s="16" t="n">
        <v>20.96153092837058</v>
      </c>
      <c r="Q485" t="n">
        <v>591701</v>
      </c>
      <c r="R485" t="n">
        <v>585768</v>
      </c>
      <c r="S485" t="n">
        <v>486940</v>
      </c>
      <c r="T485" t="n">
        <v>47376</v>
      </c>
      <c r="U485" t="n">
        <v>51912</v>
      </c>
      <c r="V485" t="n">
        <v>1.002702378397197</v>
      </c>
      <c r="W485" t="n">
        <v>0.02</v>
      </c>
      <c r="X485" s="16">
        <f>IFERROR(K485/E485*100,"")</f>
        <v/>
      </c>
      <c r="Y485" s="16">
        <f>IFERROR((N485+O485)/E485*100,"")</f>
        <v/>
      </c>
      <c r="Z485" s="16">
        <f>IFERROR(R485/F485*100,"")</f>
        <v/>
      </c>
      <c r="AA485" s="16">
        <f>IFERROR(R485/E485*100,"")</f>
        <v/>
      </c>
      <c r="AB485" s="16">
        <f>IFERROR(S485/Q485*100,"")</f>
        <v/>
      </c>
      <c r="AC485" s="16">
        <f>IFERROR(T485/Q485*100,"")</f>
        <v/>
      </c>
      <c r="AD485" s="16">
        <f>IFERROR(U485/Q485*100,"")</f>
        <v/>
      </c>
      <c r="AE485" s="18">
        <f>IFERROR(E485/E481-1,"")</f>
        <v/>
      </c>
      <c r="AF485" s="18">
        <f>IFERROR(R485/R481-1,"")</f>
        <v/>
      </c>
      <c r="AG485" s="18">
        <f>IFERROR(F485/F481-1,"")</f>
        <v/>
      </c>
      <c r="AH485">
        <f>P485&gt;0</f>
        <v/>
      </c>
    </row>
    <row r="486">
      <c r="A486" s="14" t="n">
        <v>45473</v>
      </c>
      <c r="B486" t="n">
        <v>19532</v>
      </c>
      <c r="C486" t="inlineStr">
        <is>
          <t>SKOWHEGAN SAVINGS BANK</t>
        </is>
      </c>
      <c r="D486" t="inlineStr">
        <is>
          <t>ME</t>
        </is>
      </c>
      <c r="E486" t="n">
        <v>880879</v>
      </c>
      <c r="F486" t="n">
        <v>709469</v>
      </c>
      <c r="G486" t="n">
        <v>98709</v>
      </c>
      <c r="H486" s="16" t="n">
        <v>0.8584961181290658</v>
      </c>
      <c r="I486" s="16" t="n">
        <v>7.8</v>
      </c>
      <c r="J486" s="16" t="n">
        <v>3.029813596061635</v>
      </c>
      <c r="K486" s="16" t="n">
        <v>1611</v>
      </c>
      <c r="L486" s="16" t="n">
        <v>40</v>
      </c>
      <c r="M486" s="16" t="n">
        <v>0.2701397482720111</v>
      </c>
      <c r="N486" s="16" t="n">
        <v>1413</v>
      </c>
      <c r="O486" s="16" t="n">
        <v>0</v>
      </c>
      <c r="P486" s="16" t="n">
        <v>21.26034069069248</v>
      </c>
      <c r="Q486" t="n">
        <v>596358</v>
      </c>
      <c r="R486" t="n">
        <v>590440</v>
      </c>
      <c r="S486" t="n">
        <v>490094</v>
      </c>
      <c r="T486" t="n">
        <v>49136</v>
      </c>
      <c r="U486" t="n">
        <v>51678</v>
      </c>
      <c r="V486" t="n">
        <v>0.9923569399588836</v>
      </c>
      <c r="W486" t="n">
        <v>0.01</v>
      </c>
      <c r="X486" s="16">
        <f>IFERROR(K486/E486*100,"")</f>
        <v/>
      </c>
      <c r="Y486" s="16">
        <f>IFERROR((N486+O486)/E486*100,"")</f>
        <v/>
      </c>
      <c r="Z486" s="16">
        <f>IFERROR(R486/F486*100,"")</f>
        <v/>
      </c>
      <c r="AA486" s="16">
        <f>IFERROR(R486/E486*100,"")</f>
        <v/>
      </c>
      <c r="AB486" s="16">
        <f>IFERROR(S486/Q486*100,"")</f>
        <v/>
      </c>
      <c r="AC486" s="16">
        <f>IFERROR(T486/Q486*100,"")</f>
        <v/>
      </c>
      <c r="AD486" s="16">
        <f>IFERROR(U486/Q486*100,"")</f>
        <v/>
      </c>
      <c r="AE486" s="18">
        <f>IFERROR(E486/E482-1,"")</f>
        <v/>
      </c>
      <c r="AF486" s="18">
        <f>IFERROR(R486/R482-1,"")</f>
        <v/>
      </c>
      <c r="AG486" s="18">
        <f>IFERROR(F486/F482-1,"")</f>
        <v/>
      </c>
      <c r="AH486">
        <f>P486&gt;0</f>
        <v/>
      </c>
    </row>
    <row r="487">
      <c r="A487" s="14" t="n">
        <v>45565</v>
      </c>
      <c r="B487" t="n">
        <v>19532</v>
      </c>
      <c r="C487" t="inlineStr">
        <is>
          <t>SKOWHEGAN SAVINGS BANK</t>
        </is>
      </c>
      <c r="D487" t="inlineStr">
        <is>
          <t>ME</t>
        </is>
      </c>
      <c r="E487" t="n">
        <v>870742</v>
      </c>
      <c r="F487" t="n">
        <v>721893</v>
      </c>
      <c r="G487" t="n">
        <v>105663</v>
      </c>
      <c r="H487" s="16" t="n">
        <v>0.8934668311712101</v>
      </c>
      <c r="I487" s="16" t="n">
        <v>7.91</v>
      </c>
      <c r="J487" s="16" t="n">
        <v>3.087446462142141</v>
      </c>
      <c r="K487" s="16" t="n">
        <v>1698</v>
      </c>
      <c r="L487" s="16" t="n">
        <v>57</v>
      </c>
      <c r="M487" s="16" t="n">
        <v>0.2804280077885658</v>
      </c>
      <c r="N487" s="16" t="n">
        <v>1374</v>
      </c>
      <c r="O487" s="16" t="n">
        <v>0</v>
      </c>
      <c r="P487" s="16" t="n">
        <v>21.31376283746413</v>
      </c>
      <c r="Q487" t="n">
        <v>605503</v>
      </c>
      <c r="R487" t="n">
        <v>599555</v>
      </c>
      <c r="S487" t="n">
        <v>500065</v>
      </c>
      <c r="T487" t="n">
        <v>49678</v>
      </c>
      <c r="U487" t="n">
        <v>50753</v>
      </c>
      <c r="V487" t="n">
        <v>0.9823237870002296</v>
      </c>
      <c r="W487" t="n">
        <v>0.01</v>
      </c>
      <c r="X487" s="16">
        <f>IFERROR(K487/E487*100,"")</f>
        <v/>
      </c>
      <c r="Y487" s="16">
        <f>IFERROR((N487+O487)/E487*100,"")</f>
        <v/>
      </c>
      <c r="Z487" s="16">
        <f>IFERROR(R487/F487*100,"")</f>
        <v/>
      </c>
      <c r="AA487" s="16">
        <f>IFERROR(R487/E487*100,"")</f>
        <v/>
      </c>
      <c r="AB487" s="16">
        <f>IFERROR(S487/Q487*100,"")</f>
        <v/>
      </c>
      <c r="AC487" s="16">
        <f>IFERROR(T487/Q487*100,"")</f>
        <v/>
      </c>
      <c r="AD487" s="16">
        <f>IFERROR(U487/Q487*100,"")</f>
        <v/>
      </c>
      <c r="AE487" s="18">
        <f>IFERROR(E487/E483-1,"")</f>
        <v/>
      </c>
      <c r="AF487" s="18">
        <f>IFERROR(R487/R483-1,"")</f>
        <v/>
      </c>
      <c r="AG487" s="18">
        <f>IFERROR(F487/F483-1,"")</f>
        <v/>
      </c>
      <c r="AH487">
        <f>P487&gt;0</f>
        <v/>
      </c>
    </row>
    <row r="488">
      <c r="A488" s="14" t="n">
        <v>45657</v>
      </c>
      <c r="B488" t="n">
        <v>19532</v>
      </c>
      <c r="C488" t="inlineStr">
        <is>
          <t>SKOWHEGAN SAVINGS BANK</t>
        </is>
      </c>
      <c r="D488" t="inlineStr">
        <is>
          <t>ME</t>
        </is>
      </c>
      <c r="E488" t="n">
        <v>841355</v>
      </c>
      <c r="F488" t="n">
        <v>726139</v>
      </c>
      <c r="G488" t="n">
        <v>102611</v>
      </c>
      <c r="H488" s="16" t="n">
        <v>0.8609392514121189</v>
      </c>
      <c r="I488" s="16" t="n">
        <v>7.51</v>
      </c>
      <c r="J488" s="16" t="n">
        <v>3.192601675115446</v>
      </c>
      <c r="K488" s="16" t="n">
        <v>1747</v>
      </c>
      <c r="L488" s="16" t="n">
        <v>95</v>
      </c>
      <c r="M488" s="16" t="n">
        <v>0.2861054610605063</v>
      </c>
      <c r="N488" s="16" t="n">
        <v>1403</v>
      </c>
      <c r="O488" s="16" t="n">
        <v>0</v>
      </c>
      <c r="P488" s="16" t="n">
        <v>21.43830936151064</v>
      </c>
      <c r="Q488" t="n">
        <v>610614</v>
      </c>
      <c r="R488" t="n">
        <v>604580</v>
      </c>
      <c r="S488" t="n">
        <v>502892</v>
      </c>
      <c r="T488" t="n">
        <v>51731</v>
      </c>
      <c r="U488" t="n">
        <v>51267</v>
      </c>
      <c r="V488" t="n">
        <v>0.9881856623005696</v>
      </c>
      <c r="W488" t="n">
        <v>0.04</v>
      </c>
      <c r="X488" s="16">
        <f>IFERROR(K488/E488*100,"")</f>
        <v/>
      </c>
      <c r="Y488" s="16">
        <f>IFERROR((N488+O488)/E488*100,"")</f>
        <v/>
      </c>
      <c r="Z488" s="16">
        <f>IFERROR(R488/F488*100,"")</f>
        <v/>
      </c>
      <c r="AA488" s="16">
        <f>IFERROR(R488/E488*100,"")</f>
        <v/>
      </c>
      <c r="AB488" s="16">
        <f>IFERROR(S488/Q488*100,"")</f>
        <v/>
      </c>
      <c r="AC488" s="16">
        <f>IFERROR(T488/Q488*100,"")</f>
        <v/>
      </c>
      <c r="AD488" s="16">
        <f>IFERROR(U488/Q488*100,"")</f>
        <v/>
      </c>
      <c r="AE488" s="18">
        <f>IFERROR(E488/E484-1,"")</f>
        <v/>
      </c>
      <c r="AF488" s="18">
        <f>IFERROR(R488/R484-1,"")</f>
        <v/>
      </c>
      <c r="AG488" s="18">
        <f>IFERROR(F488/F484-1,"")</f>
        <v/>
      </c>
      <c r="AH488">
        <f>P488&gt;0</f>
        <v/>
      </c>
    </row>
    <row r="489">
      <c r="A489" s="14" t="n">
        <v>45747</v>
      </c>
      <c r="B489" t="n">
        <v>19532</v>
      </c>
      <c r="C489" t="inlineStr">
        <is>
          <t>SKOWHEGAN SAVINGS BANK</t>
        </is>
      </c>
      <c r="D489" t="inlineStr">
        <is>
          <t>ME</t>
        </is>
      </c>
      <c r="E489" t="n">
        <v>842808</v>
      </c>
      <c r="F489" t="n">
        <v>725198</v>
      </c>
      <c r="G489" t="n">
        <v>106845</v>
      </c>
      <c r="H489" s="16" t="n">
        <v>0.7600214468552035</v>
      </c>
      <c r="I489" s="16" t="n">
        <v>6.11</v>
      </c>
      <c r="J489" s="16" t="n">
        <v>3.552414587439477</v>
      </c>
      <c r="K489" s="16" t="n">
        <v>1797</v>
      </c>
      <c r="L489" s="16" t="n">
        <v>17</v>
      </c>
      <c r="M489" s="16" t="n">
        <v>0.2889973544760817</v>
      </c>
      <c r="N489" s="16" t="n">
        <v>1058</v>
      </c>
      <c r="O489" s="16" t="n">
        <v>0</v>
      </c>
      <c r="P489" s="16" t="n">
        <v>21.44506768871416</v>
      </c>
      <c r="Q489" t="n">
        <v>621805</v>
      </c>
      <c r="R489" t="n">
        <v>615665</v>
      </c>
      <c r="S489" t="n">
        <v>513632</v>
      </c>
      <c r="T489" t="n">
        <v>52325</v>
      </c>
      <c r="U489" t="n">
        <v>50922</v>
      </c>
      <c r="V489" t="n">
        <v>0.987447833323952</v>
      </c>
      <c r="W489" t="n">
        <v>0.08</v>
      </c>
      <c r="X489" s="16">
        <f>IFERROR(K489/E489*100,"")</f>
        <v/>
      </c>
      <c r="Y489" s="16">
        <f>IFERROR((N489+O489)/E489*100,"")</f>
        <v/>
      </c>
      <c r="Z489" s="16">
        <f>IFERROR(R489/F489*100,"")</f>
        <v/>
      </c>
      <c r="AA489" s="16">
        <f>IFERROR(R489/E489*100,"")</f>
        <v/>
      </c>
      <c r="AB489" s="16">
        <f>IFERROR(S489/Q489*100,"")</f>
        <v/>
      </c>
      <c r="AC489" s="16">
        <f>IFERROR(T489/Q489*100,"")</f>
        <v/>
      </c>
      <c r="AD489" s="16">
        <f>IFERROR(U489/Q489*100,"")</f>
        <v/>
      </c>
      <c r="AE489" s="18">
        <f>IFERROR(E489/E485-1,"")</f>
        <v/>
      </c>
      <c r="AF489" s="18">
        <f>IFERROR(R489/R485-1,"")</f>
        <v/>
      </c>
      <c r="AG489" s="18">
        <f>IFERROR(F489/F485-1,"")</f>
        <v/>
      </c>
      <c r="AH489">
        <f>P489&gt;0</f>
        <v/>
      </c>
    </row>
    <row r="490">
      <c r="A490" s="14" t="n">
        <v>45838</v>
      </c>
      <c r="B490" t="n">
        <v>19532</v>
      </c>
      <c r="C490" t="inlineStr">
        <is>
          <t>SKOWHEGAN SAVINGS BANK</t>
        </is>
      </c>
      <c r="D490" t="inlineStr">
        <is>
          <t>ME</t>
        </is>
      </c>
      <c r="E490" t="n">
        <v>843145</v>
      </c>
      <c r="F490" t="n">
        <v>706708</v>
      </c>
      <c r="G490" t="n">
        <v>110106</v>
      </c>
      <c r="H490" s="16" t="n">
        <v>0.98381360720577</v>
      </c>
      <c r="I490" s="16" t="n">
        <v>7.78</v>
      </c>
      <c r="J490" s="16" t="n">
        <v>3.615556108535241</v>
      </c>
      <c r="K490" s="16" t="n">
        <v>1705</v>
      </c>
      <c r="L490" s="16" t="n">
        <v>46</v>
      </c>
      <c r="M490" s="16" t="n">
        <v>0.3066367261429665</v>
      </c>
      <c r="N490" s="16" t="n">
        <v>817</v>
      </c>
      <c r="O490" s="16" t="n">
        <v>189</v>
      </c>
      <c r="P490" s="16" t="n">
        <v>21.87055482390716</v>
      </c>
      <c r="Q490" t="n">
        <v>617669</v>
      </c>
      <c r="R490" t="n">
        <v>611568</v>
      </c>
      <c r="S490" t="n">
        <v>511357</v>
      </c>
      <c r="T490" t="n">
        <v>52195</v>
      </c>
      <c r="U490" t="n">
        <v>49375</v>
      </c>
      <c r="V490" t="n">
        <v>0.9877458638850258</v>
      </c>
      <c r="W490" t="n">
        <v>-0.01</v>
      </c>
      <c r="X490" s="16">
        <f>IFERROR(K490/E490*100,"")</f>
        <v/>
      </c>
      <c r="Y490" s="16">
        <f>IFERROR((N490+O490)/E490*100,"")</f>
        <v/>
      </c>
      <c r="Z490" s="16">
        <f>IFERROR(R490/F490*100,"")</f>
        <v/>
      </c>
      <c r="AA490" s="16">
        <f>IFERROR(R490/E490*100,"")</f>
        <v/>
      </c>
      <c r="AB490" s="16">
        <f>IFERROR(S490/Q490*100,"")</f>
        <v/>
      </c>
      <c r="AC490" s="16">
        <f>IFERROR(T490/Q490*100,"")</f>
        <v/>
      </c>
      <c r="AD490" s="16">
        <f>IFERROR(U490/Q490*100,"")</f>
        <v/>
      </c>
      <c r="AE490" s="18">
        <f>IFERROR(E490/E486-1,"")</f>
        <v/>
      </c>
      <c r="AF490" s="18">
        <f>IFERROR(R490/R486-1,"")</f>
        <v/>
      </c>
      <c r="AG490" s="18">
        <f>IFERROR(F490/F486-1,"")</f>
        <v/>
      </c>
      <c r="AH490">
        <f>P490&gt;0</f>
        <v/>
      </c>
    </row>
    <row r="491">
      <c r="A491" s="14" t="n">
        <v>44651</v>
      </c>
      <c r="B491" t="n">
        <v>19690</v>
      </c>
      <c r="C491" t="inlineStr">
        <is>
          <t>NORTHEAST BANK</t>
        </is>
      </c>
      <c r="D491" t="inlineStr">
        <is>
          <t>ME</t>
        </is>
      </c>
      <c r="E491" t="n">
        <v>1566116</v>
      </c>
      <c r="F491" t="n">
        <v>1284535</v>
      </c>
      <c r="G491" t="n">
        <v>247469</v>
      </c>
      <c r="H491" s="16" t="n">
        <v>2.798876827410857</v>
      </c>
      <c r="I491" s="16" t="n">
        <v>17.4</v>
      </c>
      <c r="J491" s="16" t="n">
        <v>5.763816795520608</v>
      </c>
      <c r="K491" s="16" t="n">
        <v>17912</v>
      </c>
      <c r="L491" s="16" t="n">
        <v>-63</v>
      </c>
      <c r="M491" s="16" t="n">
        <v>1.453512669141663</v>
      </c>
      <c r="N491" s="16" t="n">
        <v>6729</v>
      </c>
      <c r="O491" s="16" t="n">
        <v>0</v>
      </c>
      <c r="P491" s="16" t="n">
        <v>20.60195378777085</v>
      </c>
      <c r="Q491" t="n">
        <v>1232325</v>
      </c>
      <c r="R491" t="n">
        <v>1226509</v>
      </c>
      <c r="S491" t="n">
        <v>894476</v>
      </c>
      <c r="T491" t="n">
        <v>25804</v>
      </c>
      <c r="U491" t="n">
        <v>777</v>
      </c>
      <c r="V491" t="n">
        <v>0.471953421378289</v>
      </c>
      <c r="W491" t="n">
        <v>-0.08</v>
      </c>
      <c r="X491" s="16">
        <f>IFERROR(K491/E491*100,"")</f>
        <v/>
      </c>
      <c r="Y491" s="16">
        <f>IFERROR((N491+O491)/E491*100,"")</f>
        <v/>
      </c>
      <c r="Z491" s="16">
        <f>IFERROR(R491/F491*100,"")</f>
        <v/>
      </c>
      <c r="AA491" s="16">
        <f>IFERROR(R491/E491*100,"")</f>
        <v/>
      </c>
      <c r="AB491" s="16">
        <f>IFERROR(S491/Q491*100,"")</f>
        <v/>
      </c>
      <c r="AC491" s="16">
        <f>IFERROR(T491/Q491*100,"")</f>
        <v/>
      </c>
      <c r="AD491" s="16">
        <f>IFERROR(U491/Q491*100,"")</f>
        <v/>
      </c>
      <c r="AE491" s="18" t="n"/>
      <c r="AF491" s="18" t="n"/>
      <c r="AG491" s="18" t="n"/>
      <c r="AH491">
        <f>P491&gt;0</f>
        <v/>
      </c>
    </row>
    <row r="492">
      <c r="A492" s="14" t="n">
        <v>44742</v>
      </c>
      <c r="B492" t="n">
        <v>19690</v>
      </c>
      <c r="C492" t="inlineStr">
        <is>
          <t>NORTHEAST BANK</t>
        </is>
      </c>
      <c r="D492" t="inlineStr">
        <is>
          <t>ME</t>
        </is>
      </c>
      <c r="E492" t="n">
        <v>1582759</v>
      </c>
      <c r="F492" t="n">
        <v>1302616</v>
      </c>
      <c r="G492" t="n">
        <v>248321</v>
      </c>
      <c r="H492" s="16" t="n">
        <v>2.718650937439654</v>
      </c>
      <c r="I492" s="16" t="n">
        <v>17.05</v>
      </c>
      <c r="J492" s="16" t="n">
        <v>6.028078557567399</v>
      </c>
      <c r="K492" s="16" t="n">
        <v>12946</v>
      </c>
      <c r="L492" s="16" t="n">
        <v>-155</v>
      </c>
      <c r="M492" s="16" t="n">
        <v>0.9921325254853754</v>
      </c>
      <c r="N492" s="16" t="n">
        <v>590</v>
      </c>
      <c r="O492" s="16" t="n">
        <v>0</v>
      </c>
      <c r="P492" s="16" t="n">
        <v>19.4670764547208</v>
      </c>
      <c r="Q492" t="n">
        <v>1304866</v>
      </c>
      <c r="R492" t="n">
        <v>1299838</v>
      </c>
      <c r="S492" t="n">
        <v>951396</v>
      </c>
      <c r="T492" t="n">
        <v>24614</v>
      </c>
      <c r="U492" t="n">
        <v>719</v>
      </c>
      <c r="V492" t="n">
        <v>0.3853269224579382</v>
      </c>
      <c r="W492" t="n">
        <v>-0.15</v>
      </c>
      <c r="X492" s="16">
        <f>IFERROR(K492/E492*100,"")</f>
        <v/>
      </c>
      <c r="Y492" s="16">
        <f>IFERROR((N492+O492)/E492*100,"")</f>
        <v/>
      </c>
      <c r="Z492" s="16">
        <f>IFERROR(R492/F492*100,"")</f>
        <v/>
      </c>
      <c r="AA492" s="16">
        <f>IFERROR(R492/E492*100,"")</f>
        <v/>
      </c>
      <c r="AB492" s="16">
        <f>IFERROR(S492/Q492*100,"")</f>
        <v/>
      </c>
      <c r="AC492" s="16">
        <f>IFERROR(T492/Q492*100,"")</f>
        <v/>
      </c>
      <c r="AD492" s="16">
        <f>IFERROR(U492/Q492*100,"")</f>
        <v/>
      </c>
      <c r="AE492" s="18" t="n"/>
      <c r="AF492" s="18" t="n"/>
      <c r="AG492" s="18" t="n"/>
      <c r="AH492">
        <f>P492&gt;0</f>
        <v/>
      </c>
    </row>
    <row r="493">
      <c r="A493" s="14" t="n">
        <v>44834</v>
      </c>
      <c r="B493" t="n">
        <v>19690</v>
      </c>
      <c r="C493" t="inlineStr">
        <is>
          <t>NORTHEAST BANK</t>
        </is>
      </c>
      <c r="D493" t="inlineStr">
        <is>
          <t>ME</t>
        </is>
      </c>
      <c r="E493" t="n">
        <v>1742943</v>
      </c>
      <c r="F493" t="n">
        <v>1344811</v>
      </c>
      <c r="G493" t="n">
        <v>252162</v>
      </c>
      <c r="H493" s="16" t="n">
        <v>2.449228648441939</v>
      </c>
      <c r="I493" s="16" t="n">
        <v>15.76</v>
      </c>
      <c r="J493" s="16" t="n">
        <v>5.949533429432749</v>
      </c>
      <c r="K493" s="16" t="n">
        <v>13597</v>
      </c>
      <c r="L493" s="16" t="n">
        <v>-174</v>
      </c>
      <c r="M493" s="16" t="n">
        <v>0.9286172842878802</v>
      </c>
      <c r="N493" s="16" t="n">
        <v>4098</v>
      </c>
      <c r="O493" s="16" t="n">
        <v>0</v>
      </c>
      <c r="P493" s="16" t="n">
        <v>17.76606837659573</v>
      </c>
      <c r="Q493" t="n">
        <v>1464220</v>
      </c>
      <c r="R493" t="n">
        <v>1458322</v>
      </c>
      <c r="S493" t="n">
        <v>1069457</v>
      </c>
      <c r="T493" t="n">
        <v>22707</v>
      </c>
      <c r="U493" t="n">
        <v>653</v>
      </c>
      <c r="V493" t="n">
        <v>0.4028083211539249</v>
      </c>
      <c r="W493" t="n">
        <v>-0.03</v>
      </c>
      <c r="X493" s="16">
        <f>IFERROR(K493/E493*100,"")</f>
        <v/>
      </c>
      <c r="Y493" s="16">
        <f>IFERROR((N493+O493)/E493*100,"")</f>
        <v/>
      </c>
      <c r="Z493" s="16">
        <f>IFERROR(R493/F493*100,"")</f>
        <v/>
      </c>
      <c r="AA493" s="16">
        <f>IFERROR(R493/E493*100,"")</f>
        <v/>
      </c>
      <c r="AB493" s="16">
        <f>IFERROR(S493/Q493*100,"")</f>
        <v/>
      </c>
      <c r="AC493" s="16">
        <f>IFERROR(T493/Q493*100,"")</f>
        <v/>
      </c>
      <c r="AD493" s="16">
        <f>IFERROR(U493/Q493*100,"")</f>
        <v/>
      </c>
      <c r="AE493" s="18" t="n"/>
      <c r="AF493" s="18" t="n"/>
      <c r="AG493" s="18" t="n"/>
      <c r="AH493">
        <f>P493&gt;0</f>
        <v/>
      </c>
    </row>
    <row r="494">
      <c r="A494" s="14" t="n">
        <v>44926</v>
      </c>
      <c r="B494" t="n">
        <v>19690</v>
      </c>
      <c r="C494" t="inlineStr">
        <is>
          <t>NORTHEAST BANK</t>
        </is>
      </c>
      <c r="D494" t="inlineStr">
        <is>
          <t>ME</t>
        </is>
      </c>
      <c r="E494" t="n">
        <v>2809418</v>
      </c>
      <c r="F494" t="n">
        <v>2251472</v>
      </c>
      <c r="G494" t="n">
        <v>263427</v>
      </c>
      <c r="H494" s="16" t="n">
        <v>2.208664790418626</v>
      </c>
      <c r="I494" s="16" t="n">
        <v>16.18</v>
      </c>
      <c r="J494" s="16" t="n">
        <v>5.490301541109463</v>
      </c>
      <c r="K494" s="16" t="n">
        <v>12899</v>
      </c>
      <c r="L494" s="16" t="n">
        <v>-362</v>
      </c>
      <c r="M494" s="16" t="n">
        <v>0.5149800958735717</v>
      </c>
      <c r="N494" s="16" t="n">
        <v>10727</v>
      </c>
      <c r="O494" s="16" t="n">
        <v>0</v>
      </c>
      <c r="P494" s="16" t="n">
        <v>11.10473757156364</v>
      </c>
      <c r="Q494" t="n">
        <v>2504757</v>
      </c>
      <c r="R494" t="n">
        <v>2498346</v>
      </c>
      <c r="S494" t="n">
        <v>2024933</v>
      </c>
      <c r="T494" t="n">
        <v>46473</v>
      </c>
      <c r="U494" t="n">
        <v>609</v>
      </c>
      <c r="V494" t="n">
        <v>0.2559529726835777</v>
      </c>
      <c r="W494" t="n">
        <v>0</v>
      </c>
      <c r="X494" s="16">
        <f>IFERROR(K494/E494*100,"")</f>
        <v/>
      </c>
      <c r="Y494" s="16">
        <f>IFERROR((N494+O494)/E494*100,"")</f>
        <v/>
      </c>
      <c r="Z494" s="16">
        <f>IFERROR(R494/F494*100,"")</f>
        <v/>
      </c>
      <c r="AA494" s="16">
        <f>IFERROR(R494/E494*100,"")</f>
        <v/>
      </c>
      <c r="AB494" s="16">
        <f>IFERROR(S494/Q494*100,"")</f>
        <v/>
      </c>
      <c r="AC494" s="16">
        <f>IFERROR(T494/Q494*100,"")</f>
        <v/>
      </c>
      <c r="AD494" s="16">
        <f>IFERROR(U494/Q494*100,"")</f>
        <v/>
      </c>
      <c r="AE494" s="18" t="n"/>
      <c r="AF494" s="18" t="n"/>
      <c r="AG494" s="18" t="n"/>
      <c r="AH494">
        <f>P494&gt;0</f>
        <v/>
      </c>
    </row>
    <row r="495">
      <c r="A495" s="14" t="n">
        <v>45016</v>
      </c>
      <c r="B495" t="n">
        <v>19690</v>
      </c>
      <c r="C495" t="inlineStr">
        <is>
          <t>NORTHEAST BANK</t>
        </is>
      </c>
      <c r="D495" t="inlineStr">
        <is>
          <t>ME</t>
        </is>
      </c>
      <c r="E495" t="n">
        <v>2866479</v>
      </c>
      <c r="F495" t="n">
        <v>2150204</v>
      </c>
      <c r="G495" t="n">
        <v>283869</v>
      </c>
      <c r="H495" s="16" t="n">
        <v>1.764232155727984</v>
      </c>
      <c r="I495" s="16" t="n">
        <v>18.3</v>
      </c>
      <c r="J495" s="16" t="n">
        <v>4.699121920824386</v>
      </c>
      <c r="K495" s="16" t="n">
        <v>14522</v>
      </c>
      <c r="L495" s="16" t="n">
        <v>-5</v>
      </c>
      <c r="M495" s="16" t="n">
        <v>0.5786129942883782</v>
      </c>
      <c r="N495" s="16" t="n">
        <v>6586</v>
      </c>
      <c r="O495" s="16" t="n">
        <v>0</v>
      </c>
      <c r="P495" s="16" t="n">
        <v>11.88942711508536</v>
      </c>
      <c r="Q495" t="n">
        <v>2509795</v>
      </c>
      <c r="R495" t="n">
        <v>2502703</v>
      </c>
      <c r="S495" t="n">
        <v>2010351</v>
      </c>
      <c r="T495" t="n">
        <v>41557</v>
      </c>
      <c r="U495" t="n">
        <v>534</v>
      </c>
      <c r="V495" t="n">
        <v>0.2825728794582824</v>
      </c>
      <c r="W495" t="n">
        <v>0.1</v>
      </c>
      <c r="X495" s="16">
        <f>IFERROR(K495/E495*100,"")</f>
        <v/>
      </c>
      <c r="Y495" s="16">
        <f>IFERROR((N495+O495)/E495*100,"")</f>
        <v/>
      </c>
      <c r="Z495" s="16">
        <f>IFERROR(R495/F495*100,"")</f>
        <v/>
      </c>
      <c r="AA495" s="16">
        <f>IFERROR(R495/E495*100,"")</f>
        <v/>
      </c>
      <c r="AB495" s="16">
        <f>IFERROR(S495/Q495*100,"")</f>
        <v/>
      </c>
      <c r="AC495" s="16">
        <f>IFERROR(T495/Q495*100,"")</f>
        <v/>
      </c>
      <c r="AD495" s="16">
        <f>IFERROR(U495/Q495*100,"")</f>
        <v/>
      </c>
      <c r="AE495" s="18">
        <f>IFERROR(E495/E491-1,"")</f>
        <v/>
      </c>
      <c r="AF495" s="18">
        <f>IFERROR(R495/R491-1,"")</f>
        <v/>
      </c>
      <c r="AG495" s="18">
        <f>IFERROR(F495/F491-1,"")</f>
        <v/>
      </c>
      <c r="AH495">
        <f>P495&gt;0</f>
        <v/>
      </c>
    </row>
    <row r="496">
      <c r="A496" s="14" t="n">
        <v>45107</v>
      </c>
      <c r="B496" t="n">
        <v>19690</v>
      </c>
      <c r="C496" t="inlineStr">
        <is>
          <t>NORTHEAST BANK</t>
        </is>
      </c>
      <c r="D496" t="inlineStr">
        <is>
          <t>ME</t>
        </is>
      </c>
      <c r="E496" t="n">
        <v>2869938</v>
      </c>
      <c r="F496" t="n">
        <v>1960331</v>
      </c>
      <c r="G496" t="n">
        <v>296663</v>
      </c>
      <c r="H496" s="16" t="n">
        <v>1.727297566592381</v>
      </c>
      <c r="I496" s="16" t="n">
        <v>17.49</v>
      </c>
      <c r="J496" s="16" t="n">
        <v>4.826908082348386</v>
      </c>
      <c r="K496" s="16" t="n">
        <v>15683</v>
      </c>
      <c r="L496" s="16" t="n">
        <v>234</v>
      </c>
      <c r="M496" s="16" t="n">
        <v>0.6222523766446063</v>
      </c>
      <c r="N496" s="16" t="n">
        <v>645</v>
      </c>
      <c r="O496" s="16" t="n">
        <v>0</v>
      </c>
      <c r="P496" s="16" t="n">
        <v>12.29838905293389</v>
      </c>
      <c r="Q496" t="n">
        <v>2520360</v>
      </c>
      <c r="R496" t="n">
        <v>2513056</v>
      </c>
      <c r="S496" t="n">
        <v>2020060</v>
      </c>
      <c r="T496" t="n">
        <v>37835</v>
      </c>
      <c r="U496" t="n">
        <v>470</v>
      </c>
      <c r="V496" t="n">
        <v>0.2897998698598613</v>
      </c>
      <c r="W496" t="n">
        <v>0.08</v>
      </c>
      <c r="X496" s="16">
        <f>IFERROR(K496/E496*100,"")</f>
        <v/>
      </c>
      <c r="Y496" s="16">
        <f>IFERROR((N496+O496)/E496*100,"")</f>
        <v/>
      </c>
      <c r="Z496" s="16">
        <f>IFERROR(R496/F496*100,"")</f>
        <v/>
      </c>
      <c r="AA496" s="16">
        <f>IFERROR(R496/E496*100,"")</f>
        <v/>
      </c>
      <c r="AB496" s="16">
        <f>IFERROR(S496/Q496*100,"")</f>
        <v/>
      </c>
      <c r="AC496" s="16">
        <f>IFERROR(T496/Q496*100,"")</f>
        <v/>
      </c>
      <c r="AD496" s="16">
        <f>IFERROR(U496/Q496*100,"")</f>
        <v/>
      </c>
      <c r="AE496" s="18">
        <f>IFERROR(E496/E492-1,"")</f>
        <v/>
      </c>
      <c r="AF496" s="18">
        <f>IFERROR(R496/R492-1,"")</f>
        <v/>
      </c>
      <c r="AG496" s="18">
        <f>IFERROR(F496/F492-1,"")</f>
        <v/>
      </c>
      <c r="AH496">
        <f>P496&gt;0</f>
        <v/>
      </c>
    </row>
    <row r="497">
      <c r="A497" s="14" t="n">
        <v>45199</v>
      </c>
      <c r="B497" t="n">
        <v>19690</v>
      </c>
      <c r="C497" t="inlineStr">
        <is>
          <t>NORTHEAST BANK</t>
        </is>
      </c>
      <c r="D497" t="inlineStr">
        <is>
          <t>ME</t>
        </is>
      </c>
      <c r="E497" t="n">
        <v>2876461</v>
      </c>
      <c r="F497" t="n">
        <v>1996495</v>
      </c>
      <c r="G497" t="n">
        <v>311569</v>
      </c>
      <c r="H497" s="16" t="n">
        <v>1.857186709222034</v>
      </c>
      <c r="I497" s="16" t="n">
        <v>18.36</v>
      </c>
      <c r="J497" s="16" t="n">
        <v>5.012798871779711</v>
      </c>
      <c r="K497" s="16" t="n">
        <v>17448</v>
      </c>
      <c r="L497" s="16" t="n">
        <v>1773</v>
      </c>
      <c r="M497" s="16" t="n">
        <v>0.6901325443693364</v>
      </c>
      <c r="N497" s="16" t="n">
        <v>10951</v>
      </c>
      <c r="O497" s="16" t="n">
        <v>0</v>
      </c>
      <c r="P497" s="16" t="n">
        <v>13.46098253201878</v>
      </c>
      <c r="Q497" t="n">
        <v>2528210</v>
      </c>
      <c r="R497" t="n">
        <v>2502907</v>
      </c>
      <c r="S497" t="n">
        <v>2043563</v>
      </c>
      <c r="T497" t="n">
        <v>42688</v>
      </c>
      <c r="U497" t="n">
        <v>421</v>
      </c>
      <c r="V497" t="n">
        <v>1.000826671835014</v>
      </c>
      <c r="W497" t="n">
        <v>0.06</v>
      </c>
      <c r="X497" s="16">
        <f>IFERROR(K497/E497*100,"")</f>
        <v/>
      </c>
      <c r="Y497" s="16">
        <f>IFERROR((N497+O497)/E497*100,"")</f>
        <v/>
      </c>
      <c r="Z497" s="16">
        <f>IFERROR(R497/F497*100,"")</f>
        <v/>
      </c>
      <c r="AA497" s="16">
        <f>IFERROR(R497/E497*100,"")</f>
        <v/>
      </c>
      <c r="AB497" s="16">
        <f>IFERROR(S497/Q497*100,"")</f>
        <v/>
      </c>
      <c r="AC497" s="16">
        <f>IFERROR(T497/Q497*100,"")</f>
        <v/>
      </c>
      <c r="AD497" s="16">
        <f>IFERROR(U497/Q497*100,"")</f>
        <v/>
      </c>
      <c r="AE497" s="18">
        <f>IFERROR(E497/E493-1,"")</f>
        <v/>
      </c>
      <c r="AF497" s="18">
        <f>IFERROR(R497/R493-1,"")</f>
        <v/>
      </c>
      <c r="AG497" s="18">
        <f>IFERROR(F497/F493-1,"")</f>
        <v/>
      </c>
      <c r="AH497">
        <f>P497&gt;0</f>
        <v/>
      </c>
    </row>
    <row r="498">
      <c r="A498" s="14" t="n">
        <v>45291</v>
      </c>
      <c r="B498" t="n">
        <v>19690</v>
      </c>
      <c r="C498" t="inlineStr">
        <is>
          <t>NORTHEAST BANK</t>
        </is>
      </c>
      <c r="D498" t="inlineStr">
        <is>
          <t>ME</t>
        </is>
      </c>
      <c r="E498" t="n">
        <v>2968976</v>
      </c>
      <c r="F498" t="n">
        <v>2150988</v>
      </c>
      <c r="G498" t="n">
        <v>327540</v>
      </c>
      <c r="H498" s="16" t="n">
        <v>1.870230789884313</v>
      </c>
      <c r="I498" s="16" t="n">
        <v>18.15</v>
      </c>
      <c r="J498" s="16" t="n">
        <v>5.063983788332686</v>
      </c>
      <c r="K498" s="16" t="n">
        <v>30772</v>
      </c>
      <c r="L498" s="16" t="n">
        <v>2768</v>
      </c>
      <c r="M498" s="16" t="n">
        <v>1.178526099381936</v>
      </c>
      <c r="N498" s="16" t="n">
        <v>3570</v>
      </c>
      <c r="O498" s="16" t="n">
        <v>0</v>
      </c>
      <c r="P498" s="16" t="n">
        <v>13.70633300704354</v>
      </c>
      <c r="Q498" t="n">
        <v>2611058</v>
      </c>
      <c r="R498" t="n">
        <v>2583464</v>
      </c>
      <c r="S498" t="n">
        <v>2127332</v>
      </c>
      <c r="T498" t="n">
        <v>48038</v>
      </c>
      <c r="U498" t="n">
        <v>382</v>
      </c>
      <c r="V498" t="n">
        <v>1.056812985387532</v>
      </c>
      <c r="W498" t="n">
        <v>0.06</v>
      </c>
      <c r="X498" s="16">
        <f>IFERROR(K498/E498*100,"")</f>
        <v/>
      </c>
      <c r="Y498" s="16">
        <f>IFERROR((N498+O498)/E498*100,"")</f>
        <v/>
      </c>
      <c r="Z498" s="16">
        <f>IFERROR(R498/F498*100,"")</f>
        <v/>
      </c>
      <c r="AA498" s="16">
        <f>IFERROR(R498/E498*100,"")</f>
        <v/>
      </c>
      <c r="AB498" s="16">
        <f>IFERROR(S498/Q498*100,"")</f>
        <v/>
      </c>
      <c r="AC498" s="16">
        <f>IFERROR(T498/Q498*100,"")</f>
        <v/>
      </c>
      <c r="AD498" s="16">
        <f>IFERROR(U498/Q498*100,"")</f>
        <v/>
      </c>
      <c r="AE498" s="18">
        <f>IFERROR(E498/E494-1,"")</f>
        <v/>
      </c>
      <c r="AF498" s="18">
        <f>IFERROR(R498/R494-1,"")</f>
        <v/>
      </c>
      <c r="AG498" s="18">
        <f>IFERROR(F498/F494-1,"")</f>
        <v/>
      </c>
      <c r="AH498">
        <f>P498&gt;0</f>
        <v/>
      </c>
    </row>
    <row r="499">
      <c r="A499" s="14" t="n">
        <v>45382</v>
      </c>
      <c r="B499" t="n">
        <v>19690</v>
      </c>
      <c r="C499" t="inlineStr">
        <is>
          <t>NORTHEAST BANK</t>
        </is>
      </c>
      <c r="D499" t="inlineStr">
        <is>
          <t>ME</t>
        </is>
      </c>
      <c r="E499" t="n">
        <v>3001015</v>
      </c>
      <c r="F499" t="n">
        <v>2249394</v>
      </c>
      <c r="G499" t="n">
        <v>351913</v>
      </c>
      <c r="H499" s="16" t="n">
        <v>1.857959249854816</v>
      </c>
      <c r="I499" s="16" t="n">
        <v>16.32</v>
      </c>
      <c r="J499" s="16" t="n">
        <v>5.078608650959368</v>
      </c>
      <c r="K499" s="16" t="n">
        <v>27951</v>
      </c>
      <c r="L499" s="16" t="n">
        <v>2248</v>
      </c>
      <c r="M499" s="16" t="n">
        <v>1.052062627668596</v>
      </c>
      <c r="N499" s="16" t="n">
        <v>5111</v>
      </c>
      <c r="O499" s="16" t="n">
        <v>0</v>
      </c>
      <c r="P499" s="16" t="n">
        <v>14.22264496667688</v>
      </c>
      <c r="Q499" t="n">
        <v>2656781</v>
      </c>
      <c r="R499" t="n">
        <v>2630839</v>
      </c>
      <c r="S499" t="n">
        <v>2071416</v>
      </c>
      <c r="T499" t="n">
        <v>53076</v>
      </c>
      <c r="U499" t="n">
        <v>319</v>
      </c>
      <c r="V499" t="n">
        <v>0.9764448029400994</v>
      </c>
      <c r="W499" t="n">
        <v>0.07000000000000001</v>
      </c>
      <c r="X499" s="16">
        <f>IFERROR(K499/E499*100,"")</f>
        <v/>
      </c>
      <c r="Y499" s="16">
        <f>IFERROR((N499+O499)/E499*100,"")</f>
        <v/>
      </c>
      <c r="Z499" s="16">
        <f>IFERROR(R499/F499*100,"")</f>
        <v/>
      </c>
      <c r="AA499" s="16">
        <f>IFERROR(R499/E499*100,"")</f>
        <v/>
      </c>
      <c r="AB499" s="16">
        <f>IFERROR(S499/Q499*100,"")</f>
        <v/>
      </c>
      <c r="AC499" s="16">
        <f>IFERROR(T499/Q499*100,"")</f>
        <v/>
      </c>
      <c r="AD499" s="16">
        <f>IFERROR(U499/Q499*100,"")</f>
        <v/>
      </c>
      <c r="AE499" s="18">
        <f>IFERROR(E499/E495-1,"")</f>
        <v/>
      </c>
      <c r="AF499" s="18">
        <f>IFERROR(R499/R495-1,"")</f>
        <v/>
      </c>
      <c r="AG499" s="18">
        <f>IFERROR(F499/F495-1,"")</f>
        <v/>
      </c>
      <c r="AH499">
        <f>P499&gt;0</f>
        <v/>
      </c>
    </row>
    <row r="500">
      <c r="A500" s="14" t="n">
        <v>45473</v>
      </c>
      <c r="B500" t="n">
        <v>19690</v>
      </c>
      <c r="C500" t="inlineStr">
        <is>
          <t>NORTHEAST BANK</t>
        </is>
      </c>
      <c r="D500" t="inlineStr">
        <is>
          <t>ME</t>
        </is>
      </c>
      <c r="E500" t="n">
        <v>3132203</v>
      </c>
      <c r="F500" t="n">
        <v>2362286</v>
      </c>
      <c r="G500" t="n">
        <v>376634</v>
      </c>
      <c r="H500" s="16" t="n">
        <v>1.911890693606399</v>
      </c>
      <c r="I500" s="16" t="n">
        <v>16.48</v>
      </c>
      <c r="J500" s="16" t="n">
        <v>5.089704608032652</v>
      </c>
      <c r="K500" s="16" t="n">
        <v>28260</v>
      </c>
      <c r="L500" s="16" t="n">
        <v>3594</v>
      </c>
      <c r="M500" s="16" t="n">
        <v>1.023483996020509</v>
      </c>
      <c r="N500" s="16" t="n">
        <v>3926</v>
      </c>
      <c r="O500" s="16" t="n">
        <v>0</v>
      </c>
      <c r="P500" s="16" t="n">
        <v>14.82290158438195</v>
      </c>
      <c r="Q500" t="n">
        <v>2761157</v>
      </c>
      <c r="R500" t="n">
        <v>2734448</v>
      </c>
      <c r="S500" t="n">
        <v>2127514</v>
      </c>
      <c r="T500" t="n">
        <v>66187</v>
      </c>
      <c r="U500" t="n">
        <v>285</v>
      </c>
      <c r="V500" t="n">
        <v>0.967311891355689</v>
      </c>
      <c r="W500" t="n">
        <v>0.07000000000000001</v>
      </c>
      <c r="X500" s="16">
        <f>IFERROR(K500/E500*100,"")</f>
        <v/>
      </c>
      <c r="Y500" s="16">
        <f>IFERROR((N500+O500)/E500*100,"")</f>
        <v/>
      </c>
      <c r="Z500" s="16">
        <f>IFERROR(R500/F500*100,"")</f>
        <v/>
      </c>
      <c r="AA500" s="16">
        <f>IFERROR(R500/E500*100,"")</f>
        <v/>
      </c>
      <c r="AB500" s="16">
        <f>IFERROR(S500/Q500*100,"")</f>
        <v/>
      </c>
      <c r="AC500" s="16">
        <f>IFERROR(T500/Q500*100,"")</f>
        <v/>
      </c>
      <c r="AD500" s="16">
        <f>IFERROR(U500/Q500*100,"")</f>
        <v/>
      </c>
      <c r="AE500" s="18">
        <f>IFERROR(E500/E496-1,"")</f>
        <v/>
      </c>
      <c r="AF500" s="18">
        <f>IFERROR(R500/R496-1,"")</f>
        <v/>
      </c>
      <c r="AG500" s="18">
        <f>IFERROR(F500/F496-1,"")</f>
        <v/>
      </c>
      <c r="AH500">
        <f>P500&gt;0</f>
        <v/>
      </c>
    </row>
    <row r="501">
      <c r="A501" s="14" t="n">
        <v>45565</v>
      </c>
      <c r="B501" t="n">
        <v>19690</v>
      </c>
      <c r="C501" t="inlineStr">
        <is>
          <t>NORTHEAST BANK</t>
        </is>
      </c>
      <c r="D501" t="inlineStr">
        <is>
          <t>ME</t>
        </is>
      </c>
      <c r="E501" t="n">
        <v>3939898</v>
      </c>
      <c r="F501" t="n">
        <v>3161567</v>
      </c>
      <c r="G501" t="n">
        <v>392557</v>
      </c>
      <c r="H501" s="16" t="n">
        <v>1.885703496034225</v>
      </c>
      <c r="I501" s="16" t="n">
        <v>16.98</v>
      </c>
      <c r="J501" s="16" t="n">
        <v>4.798855384098994</v>
      </c>
      <c r="K501" s="16" t="n">
        <v>37172</v>
      </c>
      <c r="L501" s="16" t="n">
        <v>5198</v>
      </c>
      <c r="M501" s="16" t="n">
        <v>1.055842154267935</v>
      </c>
      <c r="N501" s="16" t="n">
        <v>1367</v>
      </c>
      <c r="O501" s="16" t="n">
        <v>0</v>
      </c>
      <c r="P501" s="16" t="n">
        <v>12.69931963811743</v>
      </c>
      <c r="Q501" t="n">
        <v>3520602</v>
      </c>
      <c r="R501" t="n">
        <v>3476962</v>
      </c>
      <c r="S501" t="n">
        <v>2821610</v>
      </c>
      <c r="T501" t="n">
        <v>90449</v>
      </c>
      <c r="U501" t="n">
        <v>223</v>
      </c>
      <c r="V501" t="n">
        <v>1.239560734215342</v>
      </c>
      <c r="W501" t="n">
        <v>0.06</v>
      </c>
      <c r="X501" s="16">
        <f>IFERROR(K501/E501*100,"")</f>
        <v/>
      </c>
      <c r="Y501" s="16">
        <f>IFERROR((N501+O501)/E501*100,"")</f>
        <v/>
      </c>
      <c r="Z501" s="16">
        <f>IFERROR(R501/F501*100,"")</f>
        <v/>
      </c>
      <c r="AA501" s="16">
        <f>IFERROR(R501/E501*100,"")</f>
        <v/>
      </c>
      <c r="AB501" s="16">
        <f>IFERROR(S501/Q501*100,"")</f>
        <v/>
      </c>
      <c r="AC501" s="16">
        <f>IFERROR(T501/Q501*100,"")</f>
        <v/>
      </c>
      <c r="AD501" s="16">
        <f>IFERROR(U501/Q501*100,"")</f>
        <v/>
      </c>
      <c r="AE501" s="18">
        <f>IFERROR(E501/E497-1,"")</f>
        <v/>
      </c>
      <c r="AF501" s="18">
        <f>IFERROR(R501/R497-1,"")</f>
        <v/>
      </c>
      <c r="AG501" s="18">
        <f>IFERROR(F501/F497-1,"")</f>
        <v/>
      </c>
      <c r="AH501">
        <f>P501&gt;0</f>
        <v/>
      </c>
    </row>
    <row r="502">
      <c r="A502" s="14" t="n">
        <v>45657</v>
      </c>
      <c r="B502" t="n">
        <v>19690</v>
      </c>
      <c r="C502" t="inlineStr">
        <is>
          <t>NORTHEAST BANK</t>
        </is>
      </c>
      <c r="D502" t="inlineStr">
        <is>
          <t>ME</t>
        </is>
      </c>
      <c r="E502" t="n">
        <v>4083054</v>
      </c>
      <c r="F502" t="n">
        <v>3178140</v>
      </c>
      <c r="G502" t="n">
        <v>444101</v>
      </c>
      <c r="H502" s="16" t="n">
        <v>2.00155957794462</v>
      </c>
      <c r="I502" s="16" t="n">
        <v>18.11</v>
      </c>
      <c r="J502" s="16" t="n">
        <v>4.88319431994812</v>
      </c>
      <c r="K502" s="16" t="n">
        <v>30066</v>
      </c>
      <c r="L502" s="16" t="n">
        <v>6066</v>
      </c>
      <c r="M502" s="16" t="n">
        <v>0.8291735842604289</v>
      </c>
      <c r="N502" s="16" t="n">
        <v>3018</v>
      </c>
      <c r="O502" s="16" t="n">
        <v>0</v>
      </c>
      <c r="P502" s="16" t="n">
        <v>13.91248372519832</v>
      </c>
      <c r="Q502" t="n">
        <v>3626020</v>
      </c>
      <c r="R502" t="n">
        <v>3581247</v>
      </c>
      <c r="S502" t="n">
        <v>2812366</v>
      </c>
      <c r="T502" t="n">
        <v>125867</v>
      </c>
      <c r="U502" t="n">
        <v>200</v>
      </c>
      <c r="V502" t="n">
        <v>1.234769802703791</v>
      </c>
      <c r="W502" t="n">
        <v>0.1</v>
      </c>
      <c r="X502" s="16">
        <f>IFERROR(K502/E502*100,"")</f>
        <v/>
      </c>
      <c r="Y502" s="16">
        <f>IFERROR((N502+O502)/E502*100,"")</f>
        <v/>
      </c>
      <c r="Z502" s="16">
        <f>IFERROR(R502/F502*100,"")</f>
        <v/>
      </c>
      <c r="AA502" s="16">
        <f>IFERROR(R502/E502*100,"")</f>
        <v/>
      </c>
      <c r="AB502" s="16">
        <f>IFERROR(S502/Q502*100,"")</f>
        <v/>
      </c>
      <c r="AC502" s="16">
        <f>IFERROR(T502/Q502*100,"")</f>
        <v/>
      </c>
      <c r="AD502" s="16">
        <f>IFERROR(U502/Q502*100,"")</f>
        <v/>
      </c>
      <c r="AE502" s="18">
        <f>IFERROR(E502/E498-1,"")</f>
        <v/>
      </c>
      <c r="AF502" s="18">
        <f>IFERROR(R502/R498-1,"")</f>
        <v/>
      </c>
      <c r="AG502" s="18">
        <f>IFERROR(F502/F498-1,"")</f>
        <v/>
      </c>
      <c r="AH502">
        <f>P502&gt;0</f>
        <v/>
      </c>
    </row>
    <row r="503">
      <c r="A503" s="14" t="n">
        <v>45747</v>
      </c>
      <c r="B503" t="n">
        <v>19690</v>
      </c>
      <c r="C503" t="inlineStr">
        <is>
          <t>NORTHEAST BANK</t>
        </is>
      </c>
      <c r="D503" t="inlineStr">
        <is>
          <t>ME</t>
        </is>
      </c>
      <c r="E503" t="n">
        <v>4228502</v>
      </c>
      <c r="F503" t="n">
        <v>3328164</v>
      </c>
      <c r="G503" t="n">
        <v>467516</v>
      </c>
      <c r="H503" s="16" t="n">
        <v>1.798074873104386</v>
      </c>
      <c r="I503" s="16" t="n">
        <v>16.39</v>
      </c>
      <c r="J503" s="16" t="n">
        <v>4.542584942085181</v>
      </c>
      <c r="K503" s="16" t="n">
        <v>32232</v>
      </c>
      <c r="L503" s="16" t="n">
        <v>2081</v>
      </c>
      <c r="M503" s="16" t="n">
        <v>0.8480344475844358</v>
      </c>
      <c r="N503" s="16" t="n">
        <v>4376</v>
      </c>
      <c r="O503" s="16" t="n">
        <v>0</v>
      </c>
      <c r="P503" s="16" t="n">
        <v>13.98169707980472</v>
      </c>
      <c r="Q503" t="n">
        <v>3800789</v>
      </c>
      <c r="R503" t="n">
        <v>3754765</v>
      </c>
      <c r="S503" t="n">
        <v>2887276</v>
      </c>
      <c r="T503" t="n">
        <v>172540</v>
      </c>
      <c r="U503" t="n">
        <v>172</v>
      </c>
      <c r="V503" t="n">
        <v>1.210906472314038</v>
      </c>
      <c r="W503" t="n">
        <v>0.29</v>
      </c>
      <c r="X503" s="16">
        <f>IFERROR(K503/E503*100,"")</f>
        <v/>
      </c>
      <c r="Y503" s="16">
        <f>IFERROR((N503+O503)/E503*100,"")</f>
        <v/>
      </c>
      <c r="Z503" s="16">
        <f>IFERROR(R503/F503*100,"")</f>
        <v/>
      </c>
      <c r="AA503" s="16">
        <f>IFERROR(R503/E503*100,"")</f>
        <v/>
      </c>
      <c r="AB503" s="16">
        <f>IFERROR(S503/Q503*100,"")</f>
        <v/>
      </c>
      <c r="AC503" s="16">
        <f>IFERROR(T503/Q503*100,"")</f>
        <v/>
      </c>
      <c r="AD503" s="16">
        <f>IFERROR(U503/Q503*100,"")</f>
        <v/>
      </c>
      <c r="AE503" s="18">
        <f>IFERROR(E503/E499-1,"")</f>
        <v/>
      </c>
      <c r="AF503" s="18">
        <f>IFERROR(R503/R499-1,"")</f>
        <v/>
      </c>
      <c r="AG503" s="18">
        <f>IFERROR(F503/F499-1,"")</f>
        <v/>
      </c>
      <c r="AH503">
        <f>P503&gt;0</f>
        <v/>
      </c>
    </row>
    <row r="504">
      <c r="A504" s="14" t="n">
        <v>45838</v>
      </c>
      <c r="B504" t="n">
        <v>19690</v>
      </c>
      <c r="C504" t="inlineStr">
        <is>
          <t>NORTHEAST BANK</t>
        </is>
      </c>
      <c r="D504" t="inlineStr">
        <is>
          <t>ME</t>
        </is>
      </c>
      <c r="E504" t="n">
        <v>4279069</v>
      </c>
      <c r="F504" t="n">
        <v>3405883</v>
      </c>
      <c r="G504" t="n">
        <v>494286</v>
      </c>
      <c r="H504" s="16" t="n">
        <v>2.091842144452718</v>
      </c>
      <c r="I504" s="16" t="n">
        <v>18.73</v>
      </c>
      <c r="J504" s="16" t="n">
        <v>4.88660948292711</v>
      </c>
      <c r="K504" s="16" t="n">
        <v>35011</v>
      </c>
      <c r="L504" s="16" t="n">
        <v>2575</v>
      </c>
      <c r="M504" s="16" t="n">
        <v>0.9237348215390552</v>
      </c>
      <c r="N504" s="16" t="n">
        <v>1334</v>
      </c>
      <c r="O504" s="16" t="n">
        <v>0</v>
      </c>
      <c r="P504" s="16" t="n">
        <v>14.69658110236606</v>
      </c>
      <c r="Q504" t="n">
        <v>3790157</v>
      </c>
      <c r="R504" t="n">
        <v>3742227</v>
      </c>
      <c r="S504" t="n">
        <v>2852951</v>
      </c>
      <c r="T504" t="n">
        <v>157469</v>
      </c>
      <c r="U504" t="n">
        <v>145</v>
      </c>
      <c r="V504" t="n">
        <v>1.264591414023219</v>
      </c>
      <c r="W504" t="n">
        <v>0.3</v>
      </c>
      <c r="X504" s="16">
        <f>IFERROR(K504/E504*100,"")</f>
        <v/>
      </c>
      <c r="Y504" s="16">
        <f>IFERROR((N504+O504)/E504*100,"")</f>
        <v/>
      </c>
      <c r="Z504" s="16">
        <f>IFERROR(R504/F504*100,"")</f>
        <v/>
      </c>
      <c r="AA504" s="16">
        <f>IFERROR(R504/E504*100,"")</f>
        <v/>
      </c>
      <c r="AB504" s="16">
        <f>IFERROR(S504/Q504*100,"")</f>
        <v/>
      </c>
      <c r="AC504" s="16">
        <f>IFERROR(T504/Q504*100,"")</f>
        <v/>
      </c>
      <c r="AD504" s="16">
        <f>IFERROR(U504/Q504*100,"")</f>
        <v/>
      </c>
      <c r="AE504" s="18">
        <f>IFERROR(E504/E500-1,"")</f>
        <v/>
      </c>
      <c r="AF504" s="18">
        <f>IFERROR(R504/R500-1,"")</f>
        <v/>
      </c>
      <c r="AG504" s="18">
        <f>IFERROR(F504/F500-1,"")</f>
        <v/>
      </c>
      <c r="AH504">
        <f>P504&gt;0</f>
        <v/>
      </c>
    </row>
    <row r="505">
      <c r="A505" s="14" t="n">
        <v>44651</v>
      </c>
      <c r="B505" t="n">
        <v>19836</v>
      </c>
      <c r="C505" t="inlineStr">
        <is>
          <t>FRANKLIN SAVINGS BANK</t>
        </is>
      </c>
      <c r="D505" t="inlineStr">
        <is>
          <t>ME</t>
        </is>
      </c>
      <c r="E505" t="n">
        <v>568589</v>
      </c>
      <c r="F505" t="n">
        <v>449964</v>
      </c>
      <c r="G505" t="n">
        <v>112557</v>
      </c>
      <c r="H505" s="16" t="n">
        <v>0.7074851611361191</v>
      </c>
      <c r="I505" s="16" t="n">
        <v>3.52</v>
      </c>
      <c r="J505" s="16" t="n">
        <v>3.874297323992147</v>
      </c>
      <c r="K505" s="16" t="n">
        <v>1696</v>
      </c>
      <c r="L505" s="16" t="n">
        <v>2</v>
      </c>
      <c r="M505" s="16" t="n">
        <v>0.4177127015516379</v>
      </c>
      <c r="N505" s="16" t="n">
        <v>3713</v>
      </c>
      <c r="O505" s="16" t="n">
        <v>91</v>
      </c>
      <c r="P505" s="16" t="n">
        <v>31.7038496016565</v>
      </c>
      <c r="Q505" t="n">
        <v>427806</v>
      </c>
      <c r="R505" t="n">
        <v>423906</v>
      </c>
      <c r="S505" t="n">
        <v>366535</v>
      </c>
      <c r="T505" t="n">
        <v>44135</v>
      </c>
      <c r="U505" t="n">
        <v>11311</v>
      </c>
      <c r="V505" t="n">
        <v>0.9116281679078836</v>
      </c>
      <c r="W505" t="n">
        <v>0</v>
      </c>
      <c r="X505" s="16">
        <f>IFERROR(K505/E505*100,"")</f>
        <v/>
      </c>
      <c r="Y505" s="16">
        <f>IFERROR((N505+O505)/E505*100,"")</f>
        <v/>
      </c>
      <c r="Z505" s="16">
        <f>IFERROR(R505/F505*100,"")</f>
        <v/>
      </c>
      <c r="AA505" s="16">
        <f>IFERROR(R505/E505*100,"")</f>
        <v/>
      </c>
      <c r="AB505" s="16">
        <f>IFERROR(S505/Q505*100,"")</f>
        <v/>
      </c>
      <c r="AC505" s="16">
        <f>IFERROR(T505/Q505*100,"")</f>
        <v/>
      </c>
      <c r="AD505" s="16">
        <f>IFERROR(U505/Q505*100,"")</f>
        <v/>
      </c>
      <c r="AE505" s="18" t="n"/>
      <c r="AF505" s="18" t="n"/>
      <c r="AG505" s="18" t="n"/>
      <c r="AH505">
        <f>P505&gt;0</f>
        <v/>
      </c>
    </row>
    <row r="506">
      <c r="A506" s="14" t="n">
        <v>44742</v>
      </c>
      <c r="B506" t="n">
        <v>19836</v>
      </c>
      <c r="C506" t="inlineStr">
        <is>
          <t>FRANKLIN SAVINGS BANK</t>
        </is>
      </c>
      <c r="D506" t="inlineStr">
        <is>
          <t>ME</t>
        </is>
      </c>
      <c r="E506" t="n">
        <v>565870</v>
      </c>
      <c r="F506" t="n">
        <v>441969</v>
      </c>
      <c r="G506" t="n">
        <v>116691</v>
      </c>
      <c r="H506" s="16" t="n">
        <v>0.8595669136923808</v>
      </c>
      <c r="I506" s="16" t="n">
        <v>4.24</v>
      </c>
      <c r="J506" s="16" t="n">
        <v>3.968270421346038</v>
      </c>
      <c r="K506" s="16" t="n">
        <v>1685</v>
      </c>
      <c r="L506" s="16" t="n">
        <v>-18</v>
      </c>
      <c r="M506" s="16" t="n">
        <v>0.3736879339825376</v>
      </c>
      <c r="N506" s="16" t="n">
        <v>1378</v>
      </c>
      <c r="O506" s="16" t="n">
        <v>0</v>
      </c>
      <c r="P506" s="16" t="n">
        <v>29.30045064481666</v>
      </c>
      <c r="Q506" t="n">
        <v>450911</v>
      </c>
      <c r="R506" t="n">
        <v>447011</v>
      </c>
      <c r="S506" t="n">
        <v>383579</v>
      </c>
      <c r="T506" t="n">
        <v>49522</v>
      </c>
      <c r="U506" t="n">
        <v>11852</v>
      </c>
      <c r="V506" t="n">
        <v>0.864915692897268</v>
      </c>
      <c r="W506" t="n">
        <v>-0.01</v>
      </c>
      <c r="X506" s="16">
        <f>IFERROR(K506/E506*100,"")</f>
        <v/>
      </c>
      <c r="Y506" s="16">
        <f>IFERROR((N506+O506)/E506*100,"")</f>
        <v/>
      </c>
      <c r="Z506" s="16">
        <f>IFERROR(R506/F506*100,"")</f>
        <v/>
      </c>
      <c r="AA506" s="16">
        <f>IFERROR(R506/E506*100,"")</f>
        <v/>
      </c>
      <c r="AB506" s="16">
        <f>IFERROR(S506/Q506*100,"")</f>
        <v/>
      </c>
      <c r="AC506" s="16">
        <f>IFERROR(T506/Q506*100,"")</f>
        <v/>
      </c>
      <c r="AD506" s="16">
        <f>IFERROR(U506/Q506*100,"")</f>
        <v/>
      </c>
      <c r="AE506" s="18" t="n"/>
      <c r="AF506" s="18" t="n"/>
      <c r="AG506" s="18" t="n"/>
      <c r="AH506">
        <f>P506&gt;0</f>
        <v/>
      </c>
    </row>
    <row r="507">
      <c r="A507" s="14" t="n">
        <v>44834</v>
      </c>
      <c r="B507" t="n">
        <v>19836</v>
      </c>
      <c r="C507" t="inlineStr">
        <is>
          <t>FRANKLIN SAVINGS BANK</t>
        </is>
      </c>
      <c r="D507" t="inlineStr">
        <is>
          <t>ME</t>
        </is>
      </c>
      <c r="E507" t="n">
        <v>579332</v>
      </c>
      <c r="F507" t="n">
        <v>456854</v>
      </c>
      <c r="G507" t="n">
        <v>115337</v>
      </c>
      <c r="H507" s="16" t="n">
        <v>0.9330838209506878</v>
      </c>
      <c r="I507" s="16" t="n">
        <v>4.62</v>
      </c>
      <c r="J507" s="16" t="n">
        <v>4.095078044051021</v>
      </c>
      <c r="K507" s="16" t="n">
        <v>1439</v>
      </c>
      <c r="L507" s="16" t="n">
        <v>-15</v>
      </c>
      <c r="M507" s="16" t="n">
        <v>0.3348834054675014</v>
      </c>
      <c r="N507" s="16" t="n">
        <v>1421</v>
      </c>
      <c r="O507" s="16" t="n">
        <v>141</v>
      </c>
      <c r="P507" s="16" t="n">
        <v>28.35282595172654</v>
      </c>
      <c r="Q507" t="n">
        <v>471806</v>
      </c>
      <c r="R507" t="n">
        <v>467906</v>
      </c>
      <c r="S507" t="n">
        <v>401514</v>
      </c>
      <c r="T507" t="n">
        <v>53274</v>
      </c>
      <c r="U507" t="n">
        <v>11850</v>
      </c>
      <c r="V507" t="n">
        <v>0.8266109375463644</v>
      </c>
      <c r="W507" t="n">
        <v>0</v>
      </c>
      <c r="X507" s="16">
        <f>IFERROR(K507/E507*100,"")</f>
        <v/>
      </c>
      <c r="Y507" s="16">
        <f>IFERROR((N507+O507)/E507*100,"")</f>
        <v/>
      </c>
      <c r="Z507" s="16">
        <f>IFERROR(R507/F507*100,"")</f>
        <v/>
      </c>
      <c r="AA507" s="16">
        <f>IFERROR(R507/E507*100,"")</f>
        <v/>
      </c>
      <c r="AB507" s="16">
        <f>IFERROR(S507/Q507*100,"")</f>
        <v/>
      </c>
      <c r="AC507" s="16">
        <f>IFERROR(T507/Q507*100,"")</f>
        <v/>
      </c>
      <c r="AD507" s="16">
        <f>IFERROR(U507/Q507*100,"")</f>
        <v/>
      </c>
      <c r="AE507" s="18" t="n"/>
      <c r="AF507" s="18" t="n"/>
      <c r="AG507" s="18" t="n"/>
      <c r="AH507">
        <f>P507&gt;0</f>
        <v/>
      </c>
    </row>
    <row r="508">
      <c r="A508" s="14" t="n">
        <v>44926</v>
      </c>
      <c r="B508" t="n">
        <v>19836</v>
      </c>
      <c r="C508" t="inlineStr">
        <is>
          <t>FRANKLIN SAVINGS BANK</t>
        </is>
      </c>
      <c r="D508" t="inlineStr">
        <is>
          <t>ME</t>
        </is>
      </c>
      <c r="E508" t="n">
        <v>578817</v>
      </c>
      <c r="F508" t="n">
        <v>445845</v>
      </c>
      <c r="G508" t="n">
        <v>116585</v>
      </c>
      <c r="H508" s="16" t="n">
        <v>0.83577055943012</v>
      </c>
      <c r="I508" s="16" t="n">
        <v>4.14</v>
      </c>
      <c r="J508" s="16" t="n">
        <v>4.223694184691258</v>
      </c>
      <c r="K508" s="16" t="n">
        <v>1681</v>
      </c>
      <c r="L508" s="16" t="n">
        <v>111</v>
      </c>
      <c r="M508" s="16" t="n">
        <v>0.3698751490263611</v>
      </c>
      <c r="N508" s="16" t="n">
        <v>2966</v>
      </c>
      <c r="O508" s="16" t="n">
        <v>106</v>
      </c>
      <c r="P508" s="16" t="n">
        <v>28.27942780890452</v>
      </c>
      <c r="Q508" t="n">
        <v>483136</v>
      </c>
      <c r="R508" t="n">
        <v>478823</v>
      </c>
      <c r="S508" t="n">
        <v>416786</v>
      </c>
      <c r="T508" t="n">
        <v>49718</v>
      </c>
      <c r="U508" t="n">
        <v>11831</v>
      </c>
      <c r="V508" t="n">
        <v>0.892709299244933</v>
      </c>
      <c r="W508" t="n">
        <v>0.09</v>
      </c>
      <c r="X508" s="16">
        <f>IFERROR(K508/E508*100,"")</f>
        <v/>
      </c>
      <c r="Y508" s="16">
        <f>IFERROR((N508+O508)/E508*100,"")</f>
        <v/>
      </c>
      <c r="Z508" s="16">
        <f>IFERROR(R508/F508*100,"")</f>
        <v/>
      </c>
      <c r="AA508" s="16">
        <f>IFERROR(R508/E508*100,"")</f>
        <v/>
      </c>
      <c r="AB508" s="16">
        <f>IFERROR(S508/Q508*100,"")</f>
        <v/>
      </c>
      <c r="AC508" s="16">
        <f>IFERROR(T508/Q508*100,"")</f>
        <v/>
      </c>
      <c r="AD508" s="16">
        <f>IFERROR(U508/Q508*100,"")</f>
        <v/>
      </c>
      <c r="AE508" s="18" t="n"/>
      <c r="AF508" s="18" t="n"/>
      <c r="AG508" s="18" t="n"/>
      <c r="AH508">
        <f>P508&gt;0</f>
        <v/>
      </c>
    </row>
    <row r="509">
      <c r="A509" s="14" t="n">
        <v>45016</v>
      </c>
      <c r="B509" t="n">
        <v>19836</v>
      </c>
      <c r="C509" t="inlineStr">
        <is>
          <t>FRANKLIN SAVINGS BANK</t>
        </is>
      </c>
      <c r="D509" t="inlineStr">
        <is>
          <t>ME</t>
        </is>
      </c>
      <c r="E509" t="n">
        <v>600233</v>
      </c>
      <c r="F509" t="n">
        <v>442530</v>
      </c>
      <c r="G509" t="n">
        <v>118387</v>
      </c>
      <c r="H509" s="16" t="n">
        <v>0.6615495526059115</v>
      </c>
      <c r="I509" s="16" t="n">
        <v>3.32</v>
      </c>
      <c r="J509" s="16" t="n">
        <v>4.185195445200986</v>
      </c>
      <c r="K509" s="16" t="n">
        <v>2423</v>
      </c>
      <c r="L509" s="16" t="n">
        <v>14</v>
      </c>
      <c r="M509" s="16" t="n">
        <v>0.4955495106876126</v>
      </c>
      <c r="N509" s="16" t="n">
        <v>2008</v>
      </c>
      <c r="O509" s="16" t="n">
        <v>40</v>
      </c>
      <c r="P509" s="16" t="n">
        <v>27.6259114445736</v>
      </c>
      <c r="Q509" t="n">
        <v>497024</v>
      </c>
      <c r="R509" t="n">
        <v>492711</v>
      </c>
      <c r="S509" t="n">
        <v>430517</v>
      </c>
      <c r="T509" t="n">
        <v>49653</v>
      </c>
      <c r="U509" t="n">
        <v>12278</v>
      </c>
      <c r="V509" t="n">
        <v>0.8677649369044552</v>
      </c>
      <c r="W509" t="n">
        <v>0.01</v>
      </c>
      <c r="X509" s="16">
        <f>IFERROR(K509/E509*100,"")</f>
        <v/>
      </c>
      <c r="Y509" s="16">
        <f>IFERROR((N509+O509)/E509*100,"")</f>
        <v/>
      </c>
      <c r="Z509" s="16">
        <f>IFERROR(R509/F509*100,"")</f>
        <v/>
      </c>
      <c r="AA509" s="16">
        <f>IFERROR(R509/E509*100,"")</f>
        <v/>
      </c>
      <c r="AB509" s="16">
        <f>IFERROR(S509/Q509*100,"")</f>
        <v/>
      </c>
      <c r="AC509" s="16">
        <f>IFERROR(T509/Q509*100,"")</f>
        <v/>
      </c>
      <c r="AD509" s="16">
        <f>IFERROR(U509/Q509*100,"")</f>
        <v/>
      </c>
      <c r="AE509" s="18">
        <f>IFERROR(E509/E505-1,"")</f>
        <v/>
      </c>
      <c r="AF509" s="18">
        <f>IFERROR(R509/R505-1,"")</f>
        <v/>
      </c>
      <c r="AG509" s="18">
        <f>IFERROR(F509/F505-1,"")</f>
        <v/>
      </c>
      <c r="AH509">
        <f>P509&gt;0</f>
        <v/>
      </c>
    </row>
    <row r="510">
      <c r="A510" s="14" t="n">
        <v>45107</v>
      </c>
      <c r="B510" t="n">
        <v>19836</v>
      </c>
      <c r="C510" t="inlineStr">
        <is>
          <t>FRANKLIN SAVINGS BANK</t>
        </is>
      </c>
      <c r="D510" t="inlineStr">
        <is>
          <t>ME</t>
        </is>
      </c>
      <c r="E510" t="n">
        <v>608950</v>
      </c>
      <c r="F510" t="n">
        <v>446012</v>
      </c>
      <c r="G510" t="n">
        <v>119294</v>
      </c>
      <c r="H510" s="16" t="n">
        <v>0.8359060402684564</v>
      </c>
      <c r="I510" s="16" t="n">
        <v>4.22</v>
      </c>
      <c r="J510" s="16" t="n">
        <v>4.154643249652155</v>
      </c>
      <c r="K510" s="16" t="n">
        <v>3354</v>
      </c>
      <c r="L510" s="16" t="n">
        <v>85</v>
      </c>
      <c r="M510" s="16" t="n">
        <v>0.7249322225861572</v>
      </c>
      <c r="N510" s="16" t="n">
        <v>2513</v>
      </c>
      <c r="O510" s="16" t="n">
        <v>320</v>
      </c>
      <c r="P510" s="16" t="n">
        <v>27.23654939441377</v>
      </c>
      <c r="Q510" t="n">
        <v>506806</v>
      </c>
      <c r="R510" t="n">
        <v>502493</v>
      </c>
      <c r="S510" t="n">
        <v>437325</v>
      </c>
      <c r="T510" t="n">
        <v>52848</v>
      </c>
      <c r="U510" t="n">
        <v>12252</v>
      </c>
      <c r="V510" t="n">
        <v>0.8510159706080828</v>
      </c>
      <c r="W510" t="n">
        <v>0.03</v>
      </c>
      <c r="X510" s="16">
        <f>IFERROR(K510/E510*100,"")</f>
        <v/>
      </c>
      <c r="Y510" s="16">
        <f>IFERROR((N510+O510)/E510*100,"")</f>
        <v/>
      </c>
      <c r="Z510" s="16">
        <f>IFERROR(R510/F510*100,"")</f>
        <v/>
      </c>
      <c r="AA510" s="16">
        <f>IFERROR(R510/E510*100,"")</f>
        <v/>
      </c>
      <c r="AB510" s="16">
        <f>IFERROR(S510/Q510*100,"")</f>
        <v/>
      </c>
      <c r="AC510" s="16">
        <f>IFERROR(T510/Q510*100,"")</f>
        <v/>
      </c>
      <c r="AD510" s="16">
        <f>IFERROR(U510/Q510*100,"")</f>
        <v/>
      </c>
      <c r="AE510" s="18">
        <f>IFERROR(E510/E506-1,"")</f>
        <v/>
      </c>
      <c r="AF510" s="18">
        <f>IFERROR(R510/R506-1,"")</f>
        <v/>
      </c>
      <c r="AG510" s="18">
        <f>IFERROR(F510/F506-1,"")</f>
        <v/>
      </c>
      <c r="AH510">
        <f>P510&gt;0</f>
        <v/>
      </c>
    </row>
    <row r="511">
      <c r="A511" s="14" t="n">
        <v>45199</v>
      </c>
      <c r="B511" t="n">
        <v>19836</v>
      </c>
      <c r="C511" t="inlineStr">
        <is>
          <t>FRANKLIN SAVINGS BANK</t>
        </is>
      </c>
      <c r="D511" t="inlineStr">
        <is>
          <t>ME</t>
        </is>
      </c>
      <c r="E511" t="n">
        <v>636045</v>
      </c>
      <c r="F511" t="n">
        <v>487132</v>
      </c>
      <c r="G511" t="n">
        <v>119013</v>
      </c>
      <c r="H511" s="16" t="n">
        <v>0.9066711715335318</v>
      </c>
      <c r="I511" s="16" t="n">
        <v>4.64</v>
      </c>
      <c r="J511" s="16" t="n">
        <v>4.056193188922578</v>
      </c>
      <c r="K511" s="16" t="n">
        <v>3230</v>
      </c>
      <c r="L511" s="16" t="n">
        <v>35</v>
      </c>
      <c r="M511" s="16" t="n">
        <v>0.6292340380932417</v>
      </c>
      <c r="N511" s="16" t="n">
        <v>2063</v>
      </c>
      <c r="O511" s="16" t="n">
        <v>72</v>
      </c>
      <c r="P511" s="16" t="n">
        <v>26.46638959518829</v>
      </c>
      <c r="Q511" t="n">
        <v>524765</v>
      </c>
      <c r="R511" t="n">
        <v>520452</v>
      </c>
      <c r="S511" t="n">
        <v>456725</v>
      </c>
      <c r="T511" t="n">
        <v>51639</v>
      </c>
      <c r="U511" t="n">
        <v>12237</v>
      </c>
      <c r="V511" t="n">
        <v>0.8218917039055578</v>
      </c>
      <c r="W511" t="n">
        <v>0.01</v>
      </c>
      <c r="X511" s="16">
        <f>IFERROR(K511/E511*100,"")</f>
        <v/>
      </c>
      <c r="Y511" s="16">
        <f>IFERROR((N511+O511)/E511*100,"")</f>
        <v/>
      </c>
      <c r="Z511" s="16">
        <f>IFERROR(R511/F511*100,"")</f>
        <v/>
      </c>
      <c r="AA511" s="16">
        <f>IFERROR(R511/E511*100,"")</f>
        <v/>
      </c>
      <c r="AB511" s="16">
        <f>IFERROR(S511/Q511*100,"")</f>
        <v/>
      </c>
      <c r="AC511" s="16">
        <f>IFERROR(T511/Q511*100,"")</f>
        <v/>
      </c>
      <c r="AD511" s="16">
        <f>IFERROR(U511/Q511*100,"")</f>
        <v/>
      </c>
      <c r="AE511" s="18">
        <f>IFERROR(E511/E507-1,"")</f>
        <v/>
      </c>
      <c r="AF511" s="18">
        <f>IFERROR(R511/R507-1,"")</f>
        <v/>
      </c>
      <c r="AG511" s="18">
        <f>IFERROR(F511/F507-1,"")</f>
        <v/>
      </c>
      <c r="AH511">
        <f>P511&gt;0</f>
        <v/>
      </c>
    </row>
    <row r="512">
      <c r="A512" s="14" t="n">
        <v>45291</v>
      </c>
      <c r="B512" t="n">
        <v>19836</v>
      </c>
      <c r="C512" t="inlineStr">
        <is>
          <t>FRANKLIN SAVINGS BANK</t>
        </is>
      </c>
      <c r="D512" t="inlineStr">
        <is>
          <t>ME</t>
        </is>
      </c>
      <c r="E512" t="n">
        <v>659684</v>
      </c>
      <c r="F512" t="n">
        <v>484649</v>
      </c>
      <c r="G512" t="n">
        <v>120787</v>
      </c>
      <c r="H512" s="16" t="n">
        <v>0.7876827049328912</v>
      </c>
      <c r="I512" s="16" t="n">
        <v>4.09</v>
      </c>
      <c r="J512" s="16" t="n">
        <v>3.921696224530027</v>
      </c>
      <c r="K512" s="16" t="n">
        <v>3751</v>
      </c>
      <c r="L512" s="16" t="n">
        <v>72</v>
      </c>
      <c r="M512" s="16" t="n">
        <v>0.7079600735372054</v>
      </c>
      <c r="N512" s="16" t="n">
        <v>3494</v>
      </c>
      <c r="O512" s="16" t="n">
        <v>123</v>
      </c>
      <c r="P512" s="16" t="n">
        <v>25.79087343346408</v>
      </c>
      <c r="Q512" t="n">
        <v>547206</v>
      </c>
      <c r="R512" t="n">
        <v>542743</v>
      </c>
      <c r="S512" t="n">
        <v>481157</v>
      </c>
      <c r="T512" t="n">
        <v>49815</v>
      </c>
      <c r="U512" t="n">
        <v>11959</v>
      </c>
      <c r="V512" t="n">
        <v>0.8155977821880609</v>
      </c>
      <c r="W512" t="n">
        <v>0.04</v>
      </c>
      <c r="X512" s="16">
        <f>IFERROR(K512/E512*100,"")</f>
        <v/>
      </c>
      <c r="Y512" s="16">
        <f>IFERROR((N512+O512)/E512*100,"")</f>
        <v/>
      </c>
      <c r="Z512" s="16">
        <f>IFERROR(R512/F512*100,"")</f>
        <v/>
      </c>
      <c r="AA512" s="16">
        <f>IFERROR(R512/E512*100,"")</f>
        <v/>
      </c>
      <c r="AB512" s="16">
        <f>IFERROR(S512/Q512*100,"")</f>
        <v/>
      </c>
      <c r="AC512" s="16">
        <f>IFERROR(T512/Q512*100,"")</f>
        <v/>
      </c>
      <c r="AD512" s="16">
        <f>IFERROR(U512/Q512*100,"")</f>
        <v/>
      </c>
      <c r="AE512" s="18">
        <f>IFERROR(E512/E508-1,"")</f>
        <v/>
      </c>
      <c r="AF512" s="18">
        <f>IFERROR(R512/R508-1,"")</f>
        <v/>
      </c>
      <c r="AG512" s="18">
        <f>IFERROR(F512/F508-1,"")</f>
        <v/>
      </c>
      <c r="AH512">
        <f>P512&gt;0</f>
        <v/>
      </c>
    </row>
    <row r="513">
      <c r="A513" s="14" t="n">
        <v>45382</v>
      </c>
      <c r="B513" t="n">
        <v>19836</v>
      </c>
      <c r="C513" t="inlineStr">
        <is>
          <t>FRANKLIN SAVINGS BANK</t>
        </is>
      </c>
      <c r="D513" t="inlineStr">
        <is>
          <t>ME</t>
        </is>
      </c>
      <c r="E513" t="n">
        <v>677132</v>
      </c>
      <c r="F513" t="n">
        <v>501943</v>
      </c>
      <c r="G513" t="n">
        <v>121076</v>
      </c>
      <c r="H513" s="16" t="n">
        <v>0.6193821737621333</v>
      </c>
      <c r="I513" s="16" t="n">
        <v>3.42</v>
      </c>
      <c r="J513" s="16" t="n">
        <v>3.556855641255118</v>
      </c>
      <c r="K513" s="16" t="n">
        <v>4708</v>
      </c>
      <c r="L513" s="16" t="n">
        <v>-6</v>
      </c>
      <c r="M513" s="16" t="n">
        <v>0.8586476565409373</v>
      </c>
      <c r="N513" s="16" t="n">
        <v>1775</v>
      </c>
      <c r="O513" s="16" t="n">
        <v>134</v>
      </c>
      <c r="P513" s="16" t="n">
        <v>25.40673597420233</v>
      </c>
      <c r="Q513" t="n">
        <v>563910</v>
      </c>
      <c r="R513" t="n">
        <v>559447</v>
      </c>
      <c r="S513" t="n">
        <v>501814</v>
      </c>
      <c r="T513" t="n">
        <v>47004</v>
      </c>
      <c r="U513" t="n">
        <v>11321</v>
      </c>
      <c r="V513" t="n">
        <v>0.7914383500913267</v>
      </c>
      <c r="W513" t="n">
        <v>0</v>
      </c>
      <c r="X513" s="16">
        <f>IFERROR(K513/E513*100,"")</f>
        <v/>
      </c>
      <c r="Y513" s="16">
        <f>IFERROR((N513+O513)/E513*100,"")</f>
        <v/>
      </c>
      <c r="Z513" s="16">
        <f>IFERROR(R513/F513*100,"")</f>
        <v/>
      </c>
      <c r="AA513" s="16">
        <f>IFERROR(R513/E513*100,"")</f>
        <v/>
      </c>
      <c r="AB513" s="16">
        <f>IFERROR(S513/Q513*100,"")</f>
        <v/>
      </c>
      <c r="AC513" s="16">
        <f>IFERROR(T513/Q513*100,"")</f>
        <v/>
      </c>
      <c r="AD513" s="16">
        <f>IFERROR(U513/Q513*100,"")</f>
        <v/>
      </c>
      <c r="AE513" s="18">
        <f>IFERROR(E513/E509-1,"")</f>
        <v/>
      </c>
      <c r="AF513" s="18">
        <f>IFERROR(R513/R509-1,"")</f>
        <v/>
      </c>
      <c r="AG513" s="18">
        <f>IFERROR(F513/F509-1,"")</f>
        <v/>
      </c>
      <c r="AH513">
        <f>P513&gt;0</f>
        <v/>
      </c>
    </row>
    <row r="514">
      <c r="A514" s="14" t="n">
        <v>45473</v>
      </c>
      <c r="B514" t="n">
        <v>19836</v>
      </c>
      <c r="C514" t="inlineStr">
        <is>
          <t>FRANKLIN SAVINGS BANK</t>
        </is>
      </c>
      <c r="D514" t="inlineStr">
        <is>
          <t>ME</t>
        </is>
      </c>
      <c r="E514" t="n">
        <v>693631</v>
      </c>
      <c r="F514" t="n">
        <v>494603</v>
      </c>
      <c r="G514" t="n">
        <v>122241</v>
      </c>
      <c r="H514" s="16" t="n">
        <v>0.6592636990770998</v>
      </c>
      <c r="I514" s="16" t="n">
        <v>3.68</v>
      </c>
      <c r="J514" s="16" t="n">
        <v>3.570965021295155</v>
      </c>
      <c r="K514" s="16" t="n">
        <v>5114</v>
      </c>
      <c r="L514" s="16" t="n">
        <v>9</v>
      </c>
      <c r="M514" s="16" t="n">
        <v>0.9695932270834332</v>
      </c>
      <c r="N514" s="16" t="n">
        <v>2908</v>
      </c>
      <c r="O514" s="16" t="n">
        <v>539</v>
      </c>
      <c r="P514" s="16" t="n">
        <v>24.75471466328479</v>
      </c>
      <c r="Q514" t="n">
        <v>583028</v>
      </c>
      <c r="R514" t="n">
        <v>578565</v>
      </c>
      <c r="S514" t="n">
        <v>520353</v>
      </c>
      <c r="T514" t="n">
        <v>47016</v>
      </c>
      <c r="U514" t="n">
        <v>11688</v>
      </c>
      <c r="V514" t="n">
        <v>0.7654863917341878</v>
      </c>
      <c r="W514" t="n">
        <v>0</v>
      </c>
      <c r="X514" s="16">
        <f>IFERROR(K514/E514*100,"")</f>
        <v/>
      </c>
      <c r="Y514" s="16">
        <f>IFERROR((N514+O514)/E514*100,"")</f>
        <v/>
      </c>
      <c r="Z514" s="16">
        <f>IFERROR(R514/F514*100,"")</f>
        <v/>
      </c>
      <c r="AA514" s="16">
        <f>IFERROR(R514/E514*100,"")</f>
        <v/>
      </c>
      <c r="AB514" s="16">
        <f>IFERROR(S514/Q514*100,"")</f>
        <v/>
      </c>
      <c r="AC514" s="16">
        <f>IFERROR(T514/Q514*100,"")</f>
        <v/>
      </c>
      <c r="AD514" s="16">
        <f>IFERROR(U514/Q514*100,"")</f>
        <v/>
      </c>
      <c r="AE514" s="18">
        <f>IFERROR(E514/E510-1,"")</f>
        <v/>
      </c>
      <c r="AF514" s="18">
        <f>IFERROR(R514/R510-1,"")</f>
        <v/>
      </c>
      <c r="AG514" s="18">
        <f>IFERROR(F514/F510-1,"")</f>
        <v/>
      </c>
      <c r="AH514">
        <f>P514&gt;0</f>
        <v/>
      </c>
    </row>
    <row r="515">
      <c r="A515" s="14" t="n">
        <v>45565</v>
      </c>
      <c r="B515" t="n">
        <v>19836</v>
      </c>
      <c r="C515" t="inlineStr">
        <is>
          <t>FRANKLIN SAVINGS BANK</t>
        </is>
      </c>
      <c r="D515" t="inlineStr">
        <is>
          <t>ME</t>
        </is>
      </c>
      <c r="E515" t="n">
        <v>712547</v>
      </c>
      <c r="F515" t="n">
        <v>529260</v>
      </c>
      <c r="G515" t="n">
        <v>125592</v>
      </c>
      <c r="H515" s="16" t="n">
        <v>0.7291120578462804</v>
      </c>
      <c r="I515" s="16" t="n">
        <v>4.08</v>
      </c>
      <c r="J515" s="16" t="n">
        <v>3.613974685671735</v>
      </c>
      <c r="K515" s="16" t="n">
        <v>5741</v>
      </c>
      <c r="L515" s="16" t="n">
        <v>33</v>
      </c>
      <c r="M515" s="16" t="n">
        <v>1.00101661901094</v>
      </c>
      <c r="N515" s="16" t="n">
        <v>1912</v>
      </c>
      <c r="O515" s="16" t="n">
        <v>354</v>
      </c>
      <c r="P515" s="16" t="n">
        <v>23.93551775490389</v>
      </c>
      <c r="Q515" t="n">
        <v>608881</v>
      </c>
      <c r="R515" t="n">
        <v>604418</v>
      </c>
      <c r="S515" t="n">
        <v>548608</v>
      </c>
      <c r="T515" t="n">
        <v>45189</v>
      </c>
      <c r="U515" t="n">
        <v>11613</v>
      </c>
      <c r="V515" t="n">
        <v>0.7329839492445979</v>
      </c>
      <c r="W515" t="n">
        <v>0.01</v>
      </c>
      <c r="X515" s="16">
        <f>IFERROR(K515/E515*100,"")</f>
        <v/>
      </c>
      <c r="Y515" s="16">
        <f>IFERROR((N515+O515)/E515*100,"")</f>
        <v/>
      </c>
      <c r="Z515" s="16">
        <f>IFERROR(R515/F515*100,"")</f>
        <v/>
      </c>
      <c r="AA515" s="16">
        <f>IFERROR(R515/E515*100,"")</f>
        <v/>
      </c>
      <c r="AB515" s="16">
        <f>IFERROR(S515/Q515*100,"")</f>
        <v/>
      </c>
      <c r="AC515" s="16">
        <f>IFERROR(T515/Q515*100,"")</f>
        <v/>
      </c>
      <c r="AD515" s="16">
        <f>IFERROR(U515/Q515*100,"")</f>
        <v/>
      </c>
      <c r="AE515" s="18">
        <f>IFERROR(E515/E511-1,"")</f>
        <v/>
      </c>
      <c r="AF515" s="18">
        <f>IFERROR(R515/R511-1,"")</f>
        <v/>
      </c>
      <c r="AG515" s="18">
        <f>IFERROR(F515/F511-1,"")</f>
        <v/>
      </c>
      <c r="AH515">
        <f>P515&gt;0</f>
        <v/>
      </c>
    </row>
    <row r="516">
      <c r="A516" s="14" t="n">
        <v>45657</v>
      </c>
      <c r="B516" t="n">
        <v>19836</v>
      </c>
      <c r="C516" t="inlineStr">
        <is>
          <t>FRANKLIN SAVINGS BANK</t>
        </is>
      </c>
      <c r="D516" t="inlineStr">
        <is>
          <t>ME</t>
        </is>
      </c>
      <c r="E516" t="n">
        <v>725956</v>
      </c>
      <c r="F516" t="n">
        <v>546072</v>
      </c>
      <c r="G516" t="n">
        <v>126418</v>
      </c>
      <c r="H516" s="16" t="n">
        <v>0.6357831620519178</v>
      </c>
      <c r="I516" s="16" t="n">
        <v>3.58</v>
      </c>
      <c r="J516" s="16" t="n">
        <v>3.668144620639661</v>
      </c>
      <c r="K516" s="16" t="n">
        <v>5575</v>
      </c>
      <c r="L516" s="16" t="n">
        <v>393</v>
      </c>
      <c r="M516" s="16" t="n">
        <v>0.9158585167598888</v>
      </c>
      <c r="N516" s="16" t="n">
        <v>5473</v>
      </c>
      <c r="O516" s="16" t="n">
        <v>115</v>
      </c>
      <c r="P516" s="16" t="n">
        <v>23.40273154592588</v>
      </c>
      <c r="Q516" t="n">
        <v>621275</v>
      </c>
      <c r="R516" t="n">
        <v>616812</v>
      </c>
      <c r="S516" t="n">
        <v>565995</v>
      </c>
      <c r="T516" t="n">
        <v>41567</v>
      </c>
      <c r="U516" t="n">
        <v>10758</v>
      </c>
      <c r="V516" t="n">
        <v>0.7183614341475192</v>
      </c>
      <c r="W516" t="n">
        <v>0.06</v>
      </c>
      <c r="X516" s="16">
        <f>IFERROR(K516/E516*100,"")</f>
        <v/>
      </c>
      <c r="Y516" s="16">
        <f>IFERROR((N516+O516)/E516*100,"")</f>
        <v/>
      </c>
      <c r="Z516" s="16">
        <f>IFERROR(R516/F516*100,"")</f>
        <v/>
      </c>
      <c r="AA516" s="16">
        <f>IFERROR(R516/E516*100,"")</f>
        <v/>
      </c>
      <c r="AB516" s="16">
        <f>IFERROR(S516/Q516*100,"")</f>
        <v/>
      </c>
      <c r="AC516" s="16">
        <f>IFERROR(T516/Q516*100,"")</f>
        <v/>
      </c>
      <c r="AD516" s="16">
        <f>IFERROR(U516/Q516*100,"")</f>
        <v/>
      </c>
      <c r="AE516" s="18">
        <f>IFERROR(E516/E512-1,"")</f>
        <v/>
      </c>
      <c r="AF516" s="18">
        <f>IFERROR(R516/R512-1,"")</f>
        <v/>
      </c>
      <c r="AG516" s="18">
        <f>IFERROR(F516/F512-1,"")</f>
        <v/>
      </c>
      <c r="AH516">
        <f>P516&gt;0</f>
        <v/>
      </c>
    </row>
    <row r="517">
      <c r="A517" s="14" t="n">
        <v>45747</v>
      </c>
      <c r="B517" t="n">
        <v>19836</v>
      </c>
      <c r="C517" t="inlineStr">
        <is>
          <t>FRANKLIN SAVINGS BANK</t>
        </is>
      </c>
      <c r="D517" t="inlineStr">
        <is>
          <t>ME</t>
        </is>
      </c>
      <c r="E517" t="n">
        <v>733639</v>
      </c>
      <c r="F517" t="n">
        <v>586835</v>
      </c>
      <c r="G517" t="n">
        <v>128641</v>
      </c>
      <c r="H517" s="16" t="n">
        <v>0.7563741996923804</v>
      </c>
      <c r="I517" s="16" t="n">
        <v>4.33</v>
      </c>
      <c r="J517" s="16" t="n">
        <v>3.887397497396177</v>
      </c>
      <c r="K517" s="16" t="n">
        <v>6387</v>
      </c>
      <c r="L517" s="16" t="n">
        <v>34</v>
      </c>
      <c r="M517" s="16" t="n">
        <v>1.04898727539064</v>
      </c>
      <c r="N517" s="16" t="n">
        <v>7070</v>
      </c>
      <c r="O517" s="16" t="n">
        <v>194</v>
      </c>
      <c r="P517" s="16" t="n">
        <v>23.60612741435272</v>
      </c>
      <c r="Q517" t="n">
        <v>627367</v>
      </c>
      <c r="R517" t="n">
        <v>622904</v>
      </c>
      <c r="S517" t="n">
        <v>573366</v>
      </c>
      <c r="T517" t="n">
        <v>42016</v>
      </c>
      <c r="U517" t="n">
        <v>10284</v>
      </c>
      <c r="V517" t="n">
        <v>0.711385839548462</v>
      </c>
      <c r="W517" t="n">
        <v>0.02</v>
      </c>
      <c r="X517" s="16">
        <f>IFERROR(K517/E517*100,"")</f>
        <v/>
      </c>
      <c r="Y517" s="16">
        <f>IFERROR((N517+O517)/E517*100,"")</f>
        <v/>
      </c>
      <c r="Z517" s="16">
        <f>IFERROR(R517/F517*100,"")</f>
        <v/>
      </c>
      <c r="AA517" s="16">
        <f>IFERROR(R517/E517*100,"")</f>
        <v/>
      </c>
      <c r="AB517" s="16">
        <f>IFERROR(S517/Q517*100,"")</f>
        <v/>
      </c>
      <c r="AC517" s="16">
        <f>IFERROR(T517/Q517*100,"")</f>
        <v/>
      </c>
      <c r="AD517" s="16">
        <f>IFERROR(U517/Q517*100,"")</f>
        <v/>
      </c>
      <c r="AE517" s="18">
        <f>IFERROR(E517/E513-1,"")</f>
        <v/>
      </c>
      <c r="AF517" s="18">
        <f>IFERROR(R517/R513-1,"")</f>
        <v/>
      </c>
      <c r="AG517" s="18">
        <f>IFERROR(F517/F513-1,"")</f>
        <v/>
      </c>
      <c r="AH517">
        <f>P517&gt;0</f>
        <v/>
      </c>
    </row>
    <row r="518">
      <c r="A518" s="14" t="n">
        <v>45838</v>
      </c>
      <c r="B518" t="n">
        <v>19836</v>
      </c>
      <c r="C518" t="inlineStr">
        <is>
          <t>FRANKLIN SAVINGS BANK</t>
        </is>
      </c>
      <c r="D518" t="inlineStr">
        <is>
          <t>ME</t>
        </is>
      </c>
      <c r="E518" t="n">
        <v>755186</v>
      </c>
      <c r="F518" t="n">
        <v>587526</v>
      </c>
      <c r="G518" t="n">
        <v>130465</v>
      </c>
      <c r="H518" s="16" t="n">
        <v>0.8395412458387532</v>
      </c>
      <c r="I518" s="16" t="n">
        <v>4.82</v>
      </c>
      <c r="J518" s="16" t="n">
        <v>3.964578032399982</v>
      </c>
      <c r="K518" s="16" t="n">
        <v>8281</v>
      </c>
      <c r="L518" s="16" t="n">
        <v>31</v>
      </c>
      <c r="M518" s="16" t="n">
        <v>1.309480126128031</v>
      </c>
      <c r="N518" s="16" t="n">
        <v>5102</v>
      </c>
      <c r="O518" s="16" t="n">
        <v>141</v>
      </c>
      <c r="P518" s="16" t="n">
        <v>23.05485163745294</v>
      </c>
      <c r="Q518" t="n">
        <v>643156</v>
      </c>
      <c r="R518" t="n">
        <v>638618</v>
      </c>
      <c r="S518" t="n">
        <v>587491</v>
      </c>
      <c r="T518" t="n">
        <v>43608</v>
      </c>
      <c r="U518" t="n">
        <v>10432</v>
      </c>
      <c r="V518" t="n">
        <v>0.7055830933708152</v>
      </c>
      <c r="W518" t="n">
        <v>0.03</v>
      </c>
      <c r="X518" s="16">
        <f>IFERROR(K518/E518*100,"")</f>
        <v/>
      </c>
      <c r="Y518" s="16">
        <f>IFERROR((N518+O518)/E518*100,"")</f>
        <v/>
      </c>
      <c r="Z518" s="16">
        <f>IFERROR(R518/F518*100,"")</f>
        <v/>
      </c>
      <c r="AA518" s="16">
        <f>IFERROR(R518/E518*100,"")</f>
        <v/>
      </c>
      <c r="AB518" s="16">
        <f>IFERROR(S518/Q518*100,"")</f>
        <v/>
      </c>
      <c r="AC518" s="16">
        <f>IFERROR(T518/Q518*100,"")</f>
        <v/>
      </c>
      <c r="AD518" s="16">
        <f>IFERROR(U518/Q518*100,"")</f>
        <v/>
      </c>
      <c r="AE518" s="18">
        <f>IFERROR(E518/E514-1,"")</f>
        <v/>
      </c>
      <c r="AF518" s="18">
        <f>IFERROR(R518/R514-1,"")</f>
        <v/>
      </c>
      <c r="AG518" s="18">
        <f>IFERROR(F518/F514-1,"")</f>
        <v/>
      </c>
      <c r="AH518">
        <f>P518&gt;0</f>
        <v/>
      </c>
    </row>
    <row r="519">
      <c r="A519" s="14" t="n">
        <v>44651</v>
      </c>
      <c r="B519" t="n">
        <v>24540</v>
      </c>
      <c r="C519" t="inlineStr">
        <is>
          <t>BANK OF NEW ENGLAND</t>
        </is>
      </c>
      <c r="D519" t="inlineStr">
        <is>
          <t>NH</t>
        </is>
      </c>
      <c r="E519" t="n">
        <v>1244446</v>
      </c>
      <c r="F519" t="n">
        <v>1040872</v>
      </c>
      <c r="G519" t="n">
        <v>192853</v>
      </c>
      <c r="H519" s="16" t="n">
        <v>2.228500337772553</v>
      </c>
      <c r="I519" s="16" t="n">
        <v>14.73</v>
      </c>
      <c r="J519" s="16" t="n">
        <v>4.186552819537463</v>
      </c>
      <c r="K519" s="16" t="n">
        <v>815</v>
      </c>
      <c r="L519" s="16" t="n">
        <v>0</v>
      </c>
      <c r="M519" s="16" t="n">
        <v>0.07983855957523921</v>
      </c>
      <c r="N519" s="16" t="n">
        <v>0</v>
      </c>
      <c r="O519" s="16" t="n">
        <v>0</v>
      </c>
      <c r="P519" s="16" t="n">
        <v>0</v>
      </c>
      <c r="Q519" t="n">
        <v>1020810</v>
      </c>
      <c r="R519" t="n">
        <v>1008814</v>
      </c>
      <c r="S519" t="n">
        <v>977701</v>
      </c>
      <c r="T519" t="n">
        <v>46308</v>
      </c>
      <c r="U519" t="n">
        <v>17</v>
      </c>
      <c r="V519" t="n">
        <v>1.175145227809289</v>
      </c>
      <c r="W519" t="n">
        <v>-0.21</v>
      </c>
      <c r="X519" s="16">
        <f>IFERROR(K519/E519*100,"")</f>
        <v/>
      </c>
      <c r="Y519" s="16">
        <f>IFERROR((N519+O519)/E519*100,"")</f>
        <v/>
      </c>
      <c r="Z519" s="16">
        <f>IFERROR(R519/F519*100,"")</f>
        <v/>
      </c>
      <c r="AA519" s="16">
        <f>IFERROR(R519/E519*100,"")</f>
        <v/>
      </c>
      <c r="AB519" s="16">
        <f>IFERROR(S519/Q519*100,"")</f>
        <v/>
      </c>
      <c r="AC519" s="16">
        <f>IFERROR(T519/Q519*100,"")</f>
        <v/>
      </c>
      <c r="AD519" s="16">
        <f>IFERROR(U519/Q519*100,"")</f>
        <v/>
      </c>
      <c r="AE519" s="18" t="n"/>
      <c r="AF519" s="18" t="n"/>
      <c r="AG519" s="18" t="n"/>
      <c r="AH519">
        <f>P519&gt;0</f>
        <v/>
      </c>
    </row>
    <row r="520">
      <c r="A520" s="14" t="n">
        <v>44742</v>
      </c>
      <c r="B520" t="n">
        <v>24540</v>
      </c>
      <c r="C520" t="inlineStr">
        <is>
          <t>BANK OF NEW ENGLAND</t>
        </is>
      </c>
      <c r="D520" t="inlineStr">
        <is>
          <t>NH</t>
        </is>
      </c>
      <c r="E520" t="n">
        <v>1234978</v>
      </c>
      <c r="F520" t="n">
        <v>1010154</v>
      </c>
      <c r="G520" t="n">
        <v>198951</v>
      </c>
      <c r="H520" s="16" t="n">
        <v>2.154763235428608</v>
      </c>
      <c r="I520" s="16" t="n">
        <v>13.94</v>
      </c>
      <c r="J520" s="16" t="n">
        <v>4.29022601129675</v>
      </c>
      <c r="K520" s="16" t="n">
        <v>782</v>
      </c>
      <c r="L520" s="16" t="n">
        <v>-15</v>
      </c>
      <c r="M520" s="16" t="n">
        <v>0.0750809136060633</v>
      </c>
      <c r="N520" s="16" t="n">
        <v>0</v>
      </c>
      <c r="O520" s="16" t="n">
        <v>0</v>
      </c>
      <c r="P520" s="16" t="n">
        <v>0</v>
      </c>
      <c r="Q520" t="n">
        <v>1041543</v>
      </c>
      <c r="R520" t="n">
        <v>1028877</v>
      </c>
      <c r="S520" t="n">
        <v>1001399</v>
      </c>
      <c r="T520" t="n">
        <v>42956</v>
      </c>
      <c r="U520" t="n">
        <v>114</v>
      </c>
      <c r="V520" t="n">
        <v>1.21608037306189</v>
      </c>
      <c r="W520" t="n">
        <v>0</v>
      </c>
      <c r="X520" s="16">
        <f>IFERROR(K520/E520*100,"")</f>
        <v/>
      </c>
      <c r="Y520" s="16">
        <f>IFERROR((N520+O520)/E520*100,"")</f>
        <v/>
      </c>
      <c r="Z520" s="16">
        <f>IFERROR(R520/F520*100,"")</f>
        <v/>
      </c>
      <c r="AA520" s="16">
        <f>IFERROR(R520/E520*100,"")</f>
        <v/>
      </c>
      <c r="AB520" s="16">
        <f>IFERROR(S520/Q520*100,"")</f>
        <v/>
      </c>
      <c r="AC520" s="16">
        <f>IFERROR(T520/Q520*100,"")</f>
        <v/>
      </c>
      <c r="AD520" s="16">
        <f>IFERROR(U520/Q520*100,"")</f>
        <v/>
      </c>
      <c r="AE520" s="18" t="n"/>
      <c r="AF520" s="18" t="n"/>
      <c r="AG520" s="18" t="n"/>
      <c r="AH520">
        <f>P520&gt;0</f>
        <v/>
      </c>
    </row>
    <row r="521">
      <c r="A521" s="14" t="n">
        <v>44834</v>
      </c>
      <c r="B521" t="n">
        <v>24540</v>
      </c>
      <c r="C521" t="inlineStr">
        <is>
          <t>BANK OF NEW ENGLAND</t>
        </is>
      </c>
      <c r="D521" t="inlineStr">
        <is>
          <t>NH</t>
        </is>
      </c>
      <c r="E521" t="n">
        <v>1199727</v>
      </c>
      <c r="F521" t="n">
        <v>965688</v>
      </c>
      <c r="G521" t="n">
        <v>206211</v>
      </c>
      <c r="H521" s="16" t="n">
        <v>2.279325716810049</v>
      </c>
      <c r="I521" s="16" t="n">
        <v>14.36</v>
      </c>
      <c r="J521" s="16" t="n">
        <v>4.576965729028156</v>
      </c>
      <c r="K521" s="16" t="n">
        <v>693</v>
      </c>
      <c r="L521" s="16" t="n">
        <v>-15</v>
      </c>
      <c r="M521" s="16" t="n">
        <v>0.0635206964728139</v>
      </c>
      <c r="N521" s="16" t="n">
        <v>0</v>
      </c>
      <c r="O521" s="16" t="n">
        <v>0</v>
      </c>
      <c r="P521" s="16" t="n">
        <v>0</v>
      </c>
      <c r="Q521" t="n">
        <v>1090983</v>
      </c>
      <c r="R521" t="n">
        <v>1077894</v>
      </c>
      <c r="S521" t="n">
        <v>1048616</v>
      </c>
      <c r="T521" t="n">
        <v>45436</v>
      </c>
      <c r="U521" t="n">
        <v>177</v>
      </c>
      <c r="V521" t="n">
        <v>1.199743717363149</v>
      </c>
      <c r="W521" t="n">
        <v>0.05</v>
      </c>
      <c r="X521" s="16">
        <f>IFERROR(K521/E521*100,"")</f>
        <v/>
      </c>
      <c r="Y521" s="16">
        <f>IFERROR((N521+O521)/E521*100,"")</f>
        <v/>
      </c>
      <c r="Z521" s="16">
        <f>IFERROR(R521/F521*100,"")</f>
        <v/>
      </c>
      <c r="AA521" s="16">
        <f>IFERROR(R521/E521*100,"")</f>
        <v/>
      </c>
      <c r="AB521" s="16">
        <f>IFERROR(S521/Q521*100,"")</f>
        <v/>
      </c>
      <c r="AC521" s="16">
        <f>IFERROR(T521/Q521*100,"")</f>
        <v/>
      </c>
      <c r="AD521" s="16">
        <f>IFERROR(U521/Q521*100,"")</f>
        <v/>
      </c>
      <c r="AE521" s="18" t="n"/>
      <c r="AF521" s="18" t="n"/>
      <c r="AG521" s="18" t="n"/>
      <c r="AH521">
        <f>P521&gt;0</f>
        <v/>
      </c>
    </row>
    <row r="522">
      <c r="A522" s="14" t="n">
        <v>44926</v>
      </c>
      <c r="B522" t="n">
        <v>24540</v>
      </c>
      <c r="C522" t="inlineStr">
        <is>
          <t>BANK OF NEW ENGLAND</t>
        </is>
      </c>
      <c r="D522" t="inlineStr">
        <is>
          <t>NH</t>
        </is>
      </c>
      <c r="E522" t="n">
        <v>1260196</v>
      </c>
      <c r="F522" t="n">
        <v>1017970</v>
      </c>
      <c r="G522" t="n">
        <v>214985</v>
      </c>
      <c r="H522" s="16" t="n">
        <v>2.449050696462402</v>
      </c>
      <c r="I522" s="16" t="n">
        <v>15.2</v>
      </c>
      <c r="J522" s="16" t="n">
        <v>4.744226738682848</v>
      </c>
      <c r="K522" s="16" t="n">
        <v>372</v>
      </c>
      <c r="L522" s="16" t="n">
        <v>-15</v>
      </c>
      <c r="M522" s="16" t="n">
        <v>0.0342166817361102</v>
      </c>
      <c r="N522" s="16" t="n">
        <v>2026</v>
      </c>
      <c r="O522" s="16" t="n">
        <v>0</v>
      </c>
      <c r="P522" s="16" t="n">
        <v>0</v>
      </c>
      <c r="Q522" t="n">
        <v>1087189</v>
      </c>
      <c r="R522" t="n">
        <v>1073926</v>
      </c>
      <c r="S522" t="n">
        <v>1047480</v>
      </c>
      <c r="T522" t="n">
        <v>42837</v>
      </c>
      <c r="U522" t="n">
        <v>32</v>
      </c>
      <c r="V522" t="n">
        <v>1.219935080285029</v>
      </c>
      <c r="W522" t="n">
        <v>0.05</v>
      </c>
      <c r="X522" s="16">
        <f>IFERROR(K522/E522*100,"")</f>
        <v/>
      </c>
      <c r="Y522" s="16">
        <f>IFERROR((N522+O522)/E522*100,"")</f>
        <v/>
      </c>
      <c r="Z522" s="16">
        <f>IFERROR(R522/F522*100,"")</f>
        <v/>
      </c>
      <c r="AA522" s="16">
        <f>IFERROR(R522/E522*100,"")</f>
        <v/>
      </c>
      <c r="AB522" s="16">
        <f>IFERROR(S522/Q522*100,"")</f>
        <v/>
      </c>
      <c r="AC522" s="16">
        <f>IFERROR(T522/Q522*100,"")</f>
        <v/>
      </c>
      <c r="AD522" s="16">
        <f>IFERROR(U522/Q522*100,"")</f>
        <v/>
      </c>
      <c r="AE522" s="18" t="n"/>
      <c r="AF522" s="18" t="n"/>
      <c r="AG522" s="18" t="n"/>
      <c r="AH522">
        <f>P522&gt;0</f>
        <v/>
      </c>
    </row>
    <row r="523">
      <c r="A523" s="14" t="n">
        <v>45016</v>
      </c>
      <c r="B523" t="n">
        <v>24540</v>
      </c>
      <c r="C523" t="inlineStr">
        <is>
          <t>BANK OF NEW ENGLAND</t>
        </is>
      </c>
      <c r="D523" t="inlineStr">
        <is>
          <t>NH</t>
        </is>
      </c>
      <c r="E523" t="n">
        <v>1306028</v>
      </c>
      <c r="F523" t="n">
        <v>1050825</v>
      </c>
      <c r="G523" t="n">
        <v>223212</v>
      </c>
      <c r="H523" s="16" t="n">
        <v>2.219291846697716</v>
      </c>
      <c r="I523" s="16" t="n">
        <v>13</v>
      </c>
      <c r="J523" s="16" t="n">
        <v>5.051403422494842</v>
      </c>
      <c r="K523" s="16" t="n">
        <v>358</v>
      </c>
      <c r="L523" s="16" t="n">
        <v>0</v>
      </c>
      <c r="M523" s="16" t="n">
        <v>0.0315567527925081</v>
      </c>
      <c r="N523" s="16" t="n">
        <v>0</v>
      </c>
      <c r="O523" s="16" t="n">
        <v>0</v>
      </c>
      <c r="P523" s="16" t="n">
        <v>0</v>
      </c>
      <c r="Q523" t="n">
        <v>1134464</v>
      </c>
      <c r="R523" t="n">
        <v>1123136</v>
      </c>
      <c r="S523" t="n">
        <v>1099219</v>
      </c>
      <c r="T523" t="n">
        <v>38781</v>
      </c>
      <c r="U523" t="n">
        <v>84</v>
      </c>
      <c r="V523" t="n">
        <v>0.9985332280266276</v>
      </c>
      <c r="W523" t="n">
        <v>0.44</v>
      </c>
      <c r="X523" s="16">
        <f>IFERROR(K523/E523*100,"")</f>
        <v/>
      </c>
      <c r="Y523" s="16">
        <f>IFERROR((N523+O523)/E523*100,"")</f>
        <v/>
      </c>
      <c r="Z523" s="16">
        <f>IFERROR(R523/F523*100,"")</f>
        <v/>
      </c>
      <c r="AA523" s="16">
        <f>IFERROR(R523/E523*100,"")</f>
        <v/>
      </c>
      <c r="AB523" s="16">
        <f>IFERROR(S523/Q523*100,"")</f>
        <v/>
      </c>
      <c r="AC523" s="16">
        <f>IFERROR(T523/Q523*100,"")</f>
        <v/>
      </c>
      <c r="AD523" s="16">
        <f>IFERROR(U523/Q523*100,"")</f>
        <v/>
      </c>
      <c r="AE523" s="18">
        <f>IFERROR(E523/E519-1,"")</f>
        <v/>
      </c>
      <c r="AF523" s="18">
        <f>IFERROR(R523/R519-1,"")</f>
        <v/>
      </c>
      <c r="AG523" s="18">
        <f>IFERROR(F523/F519-1,"")</f>
        <v/>
      </c>
      <c r="AH523">
        <f>P523&gt;0</f>
        <v/>
      </c>
    </row>
    <row r="524">
      <c r="A524" s="14" t="n">
        <v>45107</v>
      </c>
      <c r="B524" t="n">
        <v>24540</v>
      </c>
      <c r="C524" t="inlineStr">
        <is>
          <t>BANK OF NEW ENGLAND</t>
        </is>
      </c>
      <c r="D524" t="inlineStr">
        <is>
          <t>NH</t>
        </is>
      </c>
      <c r="E524" t="n">
        <v>1353335</v>
      </c>
      <c r="F524" t="n">
        <v>1091222</v>
      </c>
      <c r="G524" t="n">
        <v>232110</v>
      </c>
      <c r="H524" s="16" t="n">
        <v>2.53176441533346</v>
      </c>
      <c r="I524" s="16" t="n">
        <v>14.8</v>
      </c>
      <c r="J524" s="16" t="n">
        <v>5.004381062205808</v>
      </c>
      <c r="K524" s="16" t="n">
        <v>342</v>
      </c>
      <c r="L524" s="16" t="n">
        <v>0</v>
      </c>
      <c r="M524" s="16" t="n">
        <v>0.029846161364755</v>
      </c>
      <c r="N524" s="16" t="n">
        <v>118</v>
      </c>
      <c r="O524" s="16" t="n">
        <v>0</v>
      </c>
      <c r="P524" s="16" t="n">
        <v>0</v>
      </c>
      <c r="Q524" t="n">
        <v>1145876</v>
      </c>
      <c r="R524" t="n">
        <v>1135036</v>
      </c>
      <c r="S524" t="n">
        <v>1109265</v>
      </c>
      <c r="T524" t="n">
        <v>40277</v>
      </c>
      <c r="U524" t="n">
        <v>135</v>
      </c>
      <c r="V524" t="n">
        <v>0.946001137993989</v>
      </c>
      <c r="W524" t="n">
        <v>0.16</v>
      </c>
      <c r="X524" s="16">
        <f>IFERROR(K524/E524*100,"")</f>
        <v/>
      </c>
      <c r="Y524" s="16">
        <f>IFERROR((N524+O524)/E524*100,"")</f>
        <v/>
      </c>
      <c r="Z524" s="16">
        <f>IFERROR(R524/F524*100,"")</f>
        <v/>
      </c>
      <c r="AA524" s="16">
        <f>IFERROR(R524/E524*100,"")</f>
        <v/>
      </c>
      <c r="AB524" s="16">
        <f>IFERROR(S524/Q524*100,"")</f>
        <v/>
      </c>
      <c r="AC524" s="16">
        <f>IFERROR(T524/Q524*100,"")</f>
        <v/>
      </c>
      <c r="AD524" s="16">
        <f>IFERROR(U524/Q524*100,"")</f>
        <v/>
      </c>
      <c r="AE524" s="18">
        <f>IFERROR(E524/E520-1,"")</f>
        <v/>
      </c>
      <c r="AF524" s="18">
        <f>IFERROR(R524/R520-1,"")</f>
        <v/>
      </c>
      <c r="AG524" s="18">
        <f>IFERROR(F524/F520-1,"")</f>
        <v/>
      </c>
      <c r="AH524">
        <f>P524&gt;0</f>
        <v/>
      </c>
    </row>
    <row r="525">
      <c r="A525" s="14" t="n">
        <v>45199</v>
      </c>
      <c r="B525" t="n">
        <v>24540</v>
      </c>
      <c r="C525" t="inlineStr">
        <is>
          <t>BANK OF NEW ENGLAND</t>
        </is>
      </c>
      <c r="D525" t="inlineStr">
        <is>
          <t>NH</t>
        </is>
      </c>
      <c r="E525" t="n">
        <v>1388131</v>
      </c>
      <c r="F525" t="n">
        <v>1118585</v>
      </c>
      <c r="G525" t="n">
        <v>238721</v>
      </c>
      <c r="H525" s="16" t="n">
        <v>2.379984045790164</v>
      </c>
      <c r="I525" s="16" t="n">
        <v>13.9</v>
      </c>
      <c r="J525" s="16" t="n">
        <v>4.958557257296588</v>
      </c>
      <c r="K525" s="16" t="n">
        <v>445</v>
      </c>
      <c r="L525" s="16" t="n">
        <v>0</v>
      </c>
      <c r="M525" s="16" t="n">
        <v>0.0371642585062306</v>
      </c>
      <c r="N525" s="16" t="n">
        <v>0</v>
      </c>
      <c r="O525" s="16" t="n">
        <v>0</v>
      </c>
      <c r="P525" s="16" t="n">
        <v>18.7852347950974</v>
      </c>
      <c r="Q525" t="n">
        <v>1197387</v>
      </c>
      <c r="R525" t="n">
        <v>1186141</v>
      </c>
      <c r="S525" t="n">
        <v>1160736</v>
      </c>
      <c r="T525" t="n">
        <v>40839</v>
      </c>
      <c r="U525" t="n">
        <v>84</v>
      </c>
      <c r="V525" t="n">
        <v>0.9392118003619548</v>
      </c>
      <c r="W525" t="n">
        <v>0.29</v>
      </c>
      <c r="X525" s="16">
        <f>IFERROR(K525/E525*100,"")</f>
        <v/>
      </c>
      <c r="Y525" s="16">
        <f>IFERROR((N525+O525)/E525*100,"")</f>
        <v/>
      </c>
      <c r="Z525" s="16">
        <f>IFERROR(R525/F525*100,"")</f>
        <v/>
      </c>
      <c r="AA525" s="16">
        <f>IFERROR(R525/E525*100,"")</f>
        <v/>
      </c>
      <c r="AB525" s="16">
        <f>IFERROR(S525/Q525*100,"")</f>
        <v/>
      </c>
      <c r="AC525" s="16">
        <f>IFERROR(T525/Q525*100,"")</f>
        <v/>
      </c>
      <c r="AD525" s="16">
        <f>IFERROR(U525/Q525*100,"")</f>
        <v/>
      </c>
      <c r="AE525" s="18">
        <f>IFERROR(E525/E521-1,"")</f>
        <v/>
      </c>
      <c r="AF525" s="18">
        <f>IFERROR(R525/R521-1,"")</f>
        <v/>
      </c>
      <c r="AG525" s="18">
        <f>IFERROR(F525/F521-1,"")</f>
        <v/>
      </c>
      <c r="AH525">
        <f>P525&gt;0</f>
        <v/>
      </c>
    </row>
    <row r="526">
      <c r="A526" s="14" t="n">
        <v>45291</v>
      </c>
      <c r="B526" t="n">
        <v>24540</v>
      </c>
      <c r="C526" t="inlineStr">
        <is>
          <t>BANK OF NEW ENGLAND</t>
        </is>
      </c>
      <c r="D526" t="inlineStr">
        <is>
          <t>NH</t>
        </is>
      </c>
      <c r="E526" t="n">
        <v>1381838</v>
      </c>
      <c r="F526" t="n">
        <v>1106164</v>
      </c>
      <c r="G526" t="n">
        <v>246470</v>
      </c>
      <c r="H526" s="16" t="n">
        <v>2.387761886937314</v>
      </c>
      <c r="I526" s="16" t="n">
        <v>13.82</v>
      </c>
      <c r="J526" s="16" t="n">
        <v>4.941786385745639</v>
      </c>
      <c r="K526" s="16" t="n">
        <v>430</v>
      </c>
      <c r="L526" s="16" t="n">
        <v>0</v>
      </c>
      <c r="M526" s="16" t="n">
        <v>0.0356991639753924</v>
      </c>
      <c r="N526" s="16" t="n">
        <v>21674</v>
      </c>
      <c r="O526" s="16" t="n">
        <v>0</v>
      </c>
      <c r="P526" s="16" t="n">
        <v>19.06527458311458</v>
      </c>
      <c r="Q526" t="n">
        <v>1204510</v>
      </c>
      <c r="R526" t="n">
        <v>1192899</v>
      </c>
      <c r="S526" t="n">
        <v>1166184</v>
      </c>
      <c r="T526" t="n">
        <v>42620</v>
      </c>
      <c r="U526" t="n">
        <v>66</v>
      </c>
      <c r="V526" t="n">
        <v>0.9639604486471676</v>
      </c>
      <c r="W526" t="n">
        <v>0.3</v>
      </c>
      <c r="X526" s="16">
        <f>IFERROR(K526/E526*100,"")</f>
        <v/>
      </c>
      <c r="Y526" s="16">
        <f>IFERROR((N526+O526)/E526*100,"")</f>
        <v/>
      </c>
      <c r="Z526" s="16">
        <f>IFERROR(R526/F526*100,"")</f>
        <v/>
      </c>
      <c r="AA526" s="16">
        <f>IFERROR(R526/E526*100,"")</f>
        <v/>
      </c>
      <c r="AB526" s="16">
        <f>IFERROR(S526/Q526*100,"")</f>
        <v/>
      </c>
      <c r="AC526" s="16">
        <f>IFERROR(T526/Q526*100,"")</f>
        <v/>
      </c>
      <c r="AD526" s="16">
        <f>IFERROR(U526/Q526*100,"")</f>
        <v/>
      </c>
      <c r="AE526" s="18">
        <f>IFERROR(E526/E522-1,"")</f>
        <v/>
      </c>
      <c r="AF526" s="18">
        <f>IFERROR(R526/R522-1,"")</f>
        <v/>
      </c>
      <c r="AG526" s="18">
        <f>IFERROR(F526/F522-1,"")</f>
        <v/>
      </c>
      <c r="AH526">
        <f>P526&gt;0</f>
        <v/>
      </c>
    </row>
    <row r="527">
      <c r="A527" s="14" t="n">
        <v>45382</v>
      </c>
      <c r="B527" t="n">
        <v>24540</v>
      </c>
      <c r="C527" t="inlineStr">
        <is>
          <t>BANK OF NEW ENGLAND</t>
        </is>
      </c>
      <c r="D527" t="inlineStr">
        <is>
          <t>NH</t>
        </is>
      </c>
      <c r="E527" t="n">
        <v>1433532</v>
      </c>
      <c r="F527" t="n">
        <v>1156113</v>
      </c>
      <c r="G527" t="n">
        <v>252599</v>
      </c>
      <c r="H527" s="16" t="n">
        <v>1.891048068282322</v>
      </c>
      <c r="I527" s="16" t="n">
        <v>10.67</v>
      </c>
      <c r="J527" s="16" t="n">
        <v>4.098942928065117</v>
      </c>
      <c r="K527" s="16" t="n">
        <v>30157</v>
      </c>
      <c r="L527" s="16" t="n">
        <v>0</v>
      </c>
      <c r="M527" s="16" t="n">
        <v>2.471871063034885</v>
      </c>
      <c r="N527" s="16" t="n">
        <v>0</v>
      </c>
      <c r="O527" s="16" t="n">
        <v>0</v>
      </c>
      <c r="P527" s="16" t="n">
        <v>18.91864926713868</v>
      </c>
      <c r="Q527" t="n">
        <v>1220007</v>
      </c>
      <c r="R527" t="n">
        <v>1208384</v>
      </c>
      <c r="S527" t="n">
        <v>1181027</v>
      </c>
      <c r="T527" t="n">
        <v>42959</v>
      </c>
      <c r="U527" t="n">
        <v>75</v>
      </c>
      <c r="V527" t="n">
        <v>0.9526994517244574</v>
      </c>
      <c r="W527" t="n">
        <v>0.06</v>
      </c>
      <c r="X527" s="16">
        <f>IFERROR(K527/E527*100,"")</f>
        <v/>
      </c>
      <c r="Y527" s="16">
        <f>IFERROR((N527+O527)/E527*100,"")</f>
        <v/>
      </c>
      <c r="Z527" s="16">
        <f>IFERROR(R527/F527*100,"")</f>
        <v/>
      </c>
      <c r="AA527" s="16">
        <f>IFERROR(R527/E527*100,"")</f>
        <v/>
      </c>
      <c r="AB527" s="16">
        <f>IFERROR(S527/Q527*100,"")</f>
        <v/>
      </c>
      <c r="AC527" s="16">
        <f>IFERROR(T527/Q527*100,"")</f>
        <v/>
      </c>
      <c r="AD527" s="16">
        <f>IFERROR(U527/Q527*100,"")</f>
        <v/>
      </c>
      <c r="AE527" s="18">
        <f>IFERROR(E527/E523-1,"")</f>
        <v/>
      </c>
      <c r="AF527" s="18">
        <f>IFERROR(R527/R523-1,"")</f>
        <v/>
      </c>
      <c r="AG527" s="18">
        <f>IFERROR(F527/F523-1,"")</f>
        <v/>
      </c>
      <c r="AH527">
        <f>P527&gt;0</f>
        <v/>
      </c>
    </row>
    <row r="528">
      <c r="A528" s="14" t="n">
        <v>45473</v>
      </c>
      <c r="B528" t="n">
        <v>24540</v>
      </c>
      <c r="C528" t="inlineStr">
        <is>
          <t>BANK OF NEW ENGLAND</t>
        </is>
      </c>
      <c r="D528" t="inlineStr">
        <is>
          <t>NH</t>
        </is>
      </c>
      <c r="E528" t="n">
        <v>1450962</v>
      </c>
      <c r="F528" t="n">
        <v>1167579</v>
      </c>
      <c r="G528" t="n">
        <v>259158</v>
      </c>
      <c r="H528" s="16" t="n">
        <v>1.932620339907912</v>
      </c>
      <c r="I528" s="16" t="n">
        <v>10.87</v>
      </c>
      <c r="J528" s="16" t="n">
        <v>4.205189771515029</v>
      </c>
      <c r="K528" s="16" t="n">
        <v>30086</v>
      </c>
      <c r="L528" s="16" t="n">
        <v>0</v>
      </c>
      <c r="M528" s="16" t="n">
        <v>2.343137293079077</v>
      </c>
      <c r="N528" s="16" t="n">
        <v>0</v>
      </c>
      <c r="O528" s="16" t="n">
        <v>0</v>
      </c>
      <c r="P528" s="16" t="n">
        <v>18.6244989044056</v>
      </c>
      <c r="Q528" t="n">
        <v>1284005</v>
      </c>
      <c r="R528" t="n">
        <v>1271461</v>
      </c>
      <c r="S528" t="n">
        <v>1244382</v>
      </c>
      <c r="T528" t="n">
        <v>43419</v>
      </c>
      <c r="U528" t="n">
        <v>169</v>
      </c>
      <c r="V528" t="n">
        <v>0.9769432362023512</v>
      </c>
      <c r="W528" t="n">
        <v>0.15</v>
      </c>
      <c r="X528" s="16">
        <f>IFERROR(K528/E528*100,"")</f>
        <v/>
      </c>
      <c r="Y528" s="16">
        <f>IFERROR((N528+O528)/E528*100,"")</f>
        <v/>
      </c>
      <c r="Z528" s="16">
        <f>IFERROR(R528/F528*100,"")</f>
        <v/>
      </c>
      <c r="AA528" s="16">
        <f>IFERROR(R528/E528*100,"")</f>
        <v/>
      </c>
      <c r="AB528" s="16">
        <f>IFERROR(S528/Q528*100,"")</f>
        <v/>
      </c>
      <c r="AC528" s="16">
        <f>IFERROR(T528/Q528*100,"")</f>
        <v/>
      </c>
      <c r="AD528" s="16">
        <f>IFERROR(U528/Q528*100,"")</f>
        <v/>
      </c>
      <c r="AE528" s="18">
        <f>IFERROR(E528/E524-1,"")</f>
        <v/>
      </c>
      <c r="AF528" s="18">
        <f>IFERROR(R528/R524-1,"")</f>
        <v/>
      </c>
      <c r="AG528" s="18">
        <f>IFERROR(F528/F524-1,"")</f>
        <v/>
      </c>
      <c r="AH528">
        <f>P528&gt;0</f>
        <v/>
      </c>
    </row>
    <row r="529">
      <c r="A529" s="14" t="n">
        <v>45565</v>
      </c>
      <c r="B529" t="n">
        <v>24540</v>
      </c>
      <c r="C529" t="inlineStr">
        <is>
          <t>BANK OF NEW ENGLAND</t>
        </is>
      </c>
      <c r="D529" t="inlineStr">
        <is>
          <t>NH</t>
        </is>
      </c>
      <c r="E529" t="n">
        <v>1490469</v>
      </c>
      <c r="F529" t="n">
        <v>1197002</v>
      </c>
      <c r="G529" t="n">
        <v>267573</v>
      </c>
      <c r="H529" s="16" t="n">
        <v>2.097594035298424</v>
      </c>
      <c r="I529" s="16" t="n">
        <v>11.77</v>
      </c>
      <c r="J529" s="16" t="n">
        <v>4.309292157850497</v>
      </c>
      <c r="K529" s="16" t="n">
        <v>22568</v>
      </c>
      <c r="L529" s="16" t="n">
        <v>5</v>
      </c>
      <c r="M529" s="16" t="n">
        <v>1.738492731116</v>
      </c>
      <c r="N529" s="16" t="n">
        <v>0</v>
      </c>
      <c r="O529" s="16" t="n">
        <v>0</v>
      </c>
      <c r="P529" s="16" t="n">
        <v>19.04789957370236</v>
      </c>
      <c r="Q529" t="n">
        <v>1298136</v>
      </c>
      <c r="R529" t="n">
        <v>1285628</v>
      </c>
      <c r="S529" t="n">
        <v>1257005</v>
      </c>
      <c r="T529" t="n">
        <v>45011</v>
      </c>
      <c r="U529" t="n">
        <v>65</v>
      </c>
      <c r="V529" t="n">
        <v>0.9635354076922602</v>
      </c>
      <c r="W529" t="n">
        <v>0.05</v>
      </c>
      <c r="X529" s="16">
        <f>IFERROR(K529/E529*100,"")</f>
        <v/>
      </c>
      <c r="Y529" s="16">
        <f>IFERROR((N529+O529)/E529*100,"")</f>
        <v/>
      </c>
      <c r="Z529" s="16">
        <f>IFERROR(R529/F529*100,"")</f>
        <v/>
      </c>
      <c r="AA529" s="16">
        <f>IFERROR(R529/E529*100,"")</f>
        <v/>
      </c>
      <c r="AB529" s="16">
        <f>IFERROR(S529/Q529*100,"")</f>
        <v/>
      </c>
      <c r="AC529" s="16">
        <f>IFERROR(T529/Q529*100,"")</f>
        <v/>
      </c>
      <c r="AD529" s="16">
        <f>IFERROR(U529/Q529*100,"")</f>
        <v/>
      </c>
      <c r="AE529" s="18">
        <f>IFERROR(E529/E525-1,"")</f>
        <v/>
      </c>
      <c r="AF529" s="18">
        <f>IFERROR(R529/R525-1,"")</f>
        <v/>
      </c>
      <c r="AG529" s="18">
        <f>IFERROR(F529/F525-1,"")</f>
        <v/>
      </c>
      <c r="AH529">
        <f>P529&gt;0</f>
        <v/>
      </c>
    </row>
    <row r="530">
      <c r="A530" s="14" t="n">
        <v>45657</v>
      </c>
      <c r="B530" t="n">
        <v>24540</v>
      </c>
      <c r="C530" t="inlineStr">
        <is>
          <t>BANK OF NEW ENGLAND</t>
        </is>
      </c>
      <c r="D530" t="inlineStr">
        <is>
          <t>NH</t>
        </is>
      </c>
      <c r="E530" t="n">
        <v>1527088</v>
      </c>
      <c r="F530" t="n">
        <v>1227168</v>
      </c>
      <c r="G530" t="n">
        <v>276022</v>
      </c>
      <c r="H530" s="16" t="n">
        <v>2.16766070982136</v>
      </c>
      <c r="I530" s="16" t="n">
        <v>12.13</v>
      </c>
      <c r="J530" s="16" t="n">
        <v>4.318044347987621</v>
      </c>
      <c r="K530" s="16" t="n">
        <v>28862</v>
      </c>
      <c r="L530" s="16" t="n">
        <v>5</v>
      </c>
      <c r="M530" s="16" t="n">
        <v>2.104305361232282</v>
      </c>
      <c r="N530" s="16" t="n">
        <v>0</v>
      </c>
      <c r="O530" s="16" t="n">
        <v>0</v>
      </c>
      <c r="P530" s="16" t="n">
        <v>18.6892666157372</v>
      </c>
      <c r="Q530" t="n">
        <v>1371569</v>
      </c>
      <c r="R530" t="n">
        <v>1358292</v>
      </c>
      <c r="S530" t="n">
        <v>1331608</v>
      </c>
      <c r="T530" t="n">
        <v>43779</v>
      </c>
      <c r="U530" t="n">
        <v>170</v>
      </c>
      <c r="V530" t="n">
        <v>0.9680154625833626</v>
      </c>
      <c r="W530" t="n">
        <v>0.08</v>
      </c>
      <c r="X530" s="16">
        <f>IFERROR(K530/E530*100,"")</f>
        <v/>
      </c>
      <c r="Y530" s="16">
        <f>IFERROR((N530+O530)/E530*100,"")</f>
        <v/>
      </c>
      <c r="Z530" s="16">
        <f>IFERROR(R530/F530*100,"")</f>
        <v/>
      </c>
      <c r="AA530" s="16">
        <f>IFERROR(R530/E530*100,"")</f>
        <v/>
      </c>
      <c r="AB530" s="16">
        <f>IFERROR(S530/Q530*100,"")</f>
        <v/>
      </c>
      <c r="AC530" s="16">
        <f>IFERROR(T530/Q530*100,"")</f>
        <v/>
      </c>
      <c r="AD530" s="16">
        <f>IFERROR(U530/Q530*100,"")</f>
        <v/>
      </c>
      <c r="AE530" s="18">
        <f>IFERROR(E530/E526-1,"")</f>
        <v/>
      </c>
      <c r="AF530" s="18">
        <f>IFERROR(R530/R526-1,"")</f>
        <v/>
      </c>
      <c r="AG530" s="18">
        <f>IFERROR(F530/F526-1,"")</f>
        <v/>
      </c>
      <c r="AH530">
        <f>P530&gt;0</f>
        <v/>
      </c>
    </row>
    <row r="531">
      <c r="A531" s="14" t="n">
        <v>45747</v>
      </c>
      <c r="B531" t="n">
        <v>24540</v>
      </c>
      <c r="C531" t="inlineStr">
        <is>
          <t>BANK OF NEW ENGLAND</t>
        </is>
      </c>
      <c r="D531" t="inlineStr">
        <is>
          <t>NH</t>
        </is>
      </c>
      <c r="E531" t="n">
        <v>1688107</v>
      </c>
      <c r="F531" t="n">
        <v>1385459</v>
      </c>
      <c r="G531" t="n">
        <v>273377</v>
      </c>
      <c r="H531" s="16" t="n">
        <v>1.947004769539639</v>
      </c>
      <c r="I531" s="16" t="n">
        <v>11.39</v>
      </c>
      <c r="J531" s="16" t="n">
        <v>4.218292112868268</v>
      </c>
      <c r="K531" s="16" t="n">
        <v>11794</v>
      </c>
      <c r="L531" s="16" t="n">
        <v>0</v>
      </c>
      <c r="M531" s="16" t="n">
        <v>0.8076472429125428</v>
      </c>
      <c r="N531" s="16" t="n">
        <v>0</v>
      </c>
      <c r="O531" s="16" t="n">
        <v>0</v>
      </c>
      <c r="P531" s="16" t="n">
        <v>0</v>
      </c>
      <c r="Q531" t="n">
        <v>1460291</v>
      </c>
      <c r="R531" t="n">
        <v>1445759</v>
      </c>
      <c r="S531" t="n">
        <v>1421528</v>
      </c>
      <c r="T531" t="n">
        <v>42943</v>
      </c>
      <c r="U531" t="n">
        <v>38</v>
      </c>
      <c r="V531" t="n">
        <v>0.9951441185352782</v>
      </c>
      <c r="W531" t="n">
        <v>0.15</v>
      </c>
      <c r="X531" s="16">
        <f>IFERROR(K531/E531*100,"")</f>
        <v/>
      </c>
      <c r="Y531" s="16">
        <f>IFERROR((N531+O531)/E531*100,"")</f>
        <v/>
      </c>
      <c r="Z531" s="16">
        <f>IFERROR(R531/F531*100,"")</f>
        <v/>
      </c>
      <c r="AA531" s="16">
        <f>IFERROR(R531/E531*100,"")</f>
        <v/>
      </c>
      <c r="AB531" s="16">
        <f>IFERROR(S531/Q531*100,"")</f>
        <v/>
      </c>
      <c r="AC531" s="16">
        <f>IFERROR(T531/Q531*100,"")</f>
        <v/>
      </c>
      <c r="AD531" s="16">
        <f>IFERROR(U531/Q531*100,"")</f>
        <v/>
      </c>
      <c r="AE531" s="18">
        <f>IFERROR(E531/E527-1,"")</f>
        <v/>
      </c>
      <c r="AF531" s="18">
        <f>IFERROR(R531/R527-1,"")</f>
        <v/>
      </c>
      <c r="AG531" s="18">
        <f>IFERROR(F531/F527-1,"")</f>
        <v/>
      </c>
      <c r="AH531">
        <f>P531&gt;0</f>
        <v/>
      </c>
    </row>
    <row r="532">
      <c r="A532" s="14" t="n">
        <v>45838</v>
      </c>
      <c r="B532" t="n">
        <v>24540</v>
      </c>
      <c r="C532" t="inlineStr">
        <is>
          <t>BANK OF NEW ENGLAND</t>
        </is>
      </c>
      <c r="D532" t="inlineStr">
        <is>
          <t>NH</t>
        </is>
      </c>
      <c r="E532" t="n">
        <v>1748522</v>
      </c>
      <c r="F532" t="n">
        <v>1440031</v>
      </c>
      <c r="G532" t="n">
        <v>282051</v>
      </c>
      <c r="H532" s="16" t="n">
        <v>2.051768865952672</v>
      </c>
      <c r="I532" s="16" t="n">
        <v>12.25</v>
      </c>
      <c r="J532" s="16" t="n">
        <v>4.286497387218186</v>
      </c>
      <c r="K532" s="16" t="n">
        <v>11424</v>
      </c>
      <c r="L532" s="16" t="n">
        <v>0</v>
      </c>
      <c r="M532" s="16" t="n">
        <v>0.7372429668608512</v>
      </c>
      <c r="N532" s="16" t="n">
        <v>0</v>
      </c>
      <c r="O532" s="16" t="n">
        <v>0</v>
      </c>
      <c r="P532" s="16" t="n">
        <v>0</v>
      </c>
      <c r="Q532" t="n">
        <v>1549557</v>
      </c>
      <c r="R532" t="n">
        <v>1533999</v>
      </c>
      <c r="S532" t="n">
        <v>1506054</v>
      </c>
      <c r="T532" t="n">
        <v>47445</v>
      </c>
      <c r="U532" t="n">
        <v>126</v>
      </c>
      <c r="V532" t="n">
        <v>1.004028893419216</v>
      </c>
      <c r="W532" t="n">
        <v>0.14</v>
      </c>
      <c r="X532" s="16">
        <f>IFERROR(K532/E532*100,"")</f>
        <v/>
      </c>
      <c r="Y532" s="16">
        <f>IFERROR((N532+O532)/E532*100,"")</f>
        <v/>
      </c>
      <c r="Z532" s="16">
        <f>IFERROR(R532/F532*100,"")</f>
        <v/>
      </c>
      <c r="AA532" s="16">
        <f>IFERROR(R532/E532*100,"")</f>
        <v/>
      </c>
      <c r="AB532" s="16">
        <f>IFERROR(S532/Q532*100,"")</f>
        <v/>
      </c>
      <c r="AC532" s="16">
        <f>IFERROR(T532/Q532*100,"")</f>
        <v/>
      </c>
      <c r="AD532" s="16">
        <f>IFERROR(U532/Q532*100,"")</f>
        <v/>
      </c>
      <c r="AE532" s="18">
        <f>IFERROR(E532/E528-1,"")</f>
        <v/>
      </c>
      <c r="AF532" s="18">
        <f>IFERROR(R532/R528-1,"")</f>
        <v/>
      </c>
      <c r="AG532" s="18">
        <f>IFERROR(F532/F528-1,"")</f>
        <v/>
      </c>
      <c r="AH532">
        <f>P532&gt;0</f>
        <v/>
      </c>
    </row>
    <row r="533">
      <c r="A533" s="14" t="n">
        <v>44651</v>
      </c>
      <c r="B533" t="n">
        <v>27824</v>
      </c>
      <c r="C533" t="inlineStr">
        <is>
          <t>SALEM CO-OPERATIVE BANK</t>
        </is>
      </c>
      <c r="D533" t="inlineStr">
        <is>
          <t>NH</t>
        </is>
      </c>
      <c r="E533" t="n">
        <v>458925</v>
      </c>
      <c r="F533" t="n">
        <v>369032</v>
      </c>
      <c r="G533" t="n">
        <v>69307</v>
      </c>
      <c r="H533" s="16" t="n">
        <v>0.2663298464179299</v>
      </c>
      <c r="I533" s="16" t="n">
        <v>1.72</v>
      </c>
      <c r="J533" s="16" t="n">
        <v>2.870846188294709</v>
      </c>
      <c r="K533" s="16" t="n">
        <v>916</v>
      </c>
      <c r="L533" s="16" t="n">
        <v>0</v>
      </c>
      <c r="M533" s="16" t="n">
        <v>0.2515709452036735</v>
      </c>
      <c r="N533" s="16" t="n">
        <v>408</v>
      </c>
      <c r="O533" s="16" t="n">
        <v>0</v>
      </c>
      <c r="P533" s="16" t="n">
        <v>25.94295617415732</v>
      </c>
      <c r="Q533" t="n">
        <v>364112</v>
      </c>
      <c r="R533" t="n">
        <v>361042</v>
      </c>
      <c r="S533" t="n">
        <v>321326</v>
      </c>
      <c r="T533" t="n">
        <v>22180</v>
      </c>
      <c r="U533" t="n">
        <v>20605</v>
      </c>
      <c r="V533" t="n">
        <v>0.8431471635101286</v>
      </c>
      <c r="W533" t="n">
        <v>0</v>
      </c>
      <c r="X533" s="16">
        <f>IFERROR(K533/E533*100,"")</f>
        <v/>
      </c>
      <c r="Y533" s="16">
        <f>IFERROR((N533+O533)/E533*100,"")</f>
        <v/>
      </c>
      <c r="Z533" s="16">
        <f>IFERROR(R533/F533*100,"")</f>
        <v/>
      </c>
      <c r="AA533" s="16">
        <f>IFERROR(R533/E533*100,"")</f>
        <v/>
      </c>
      <c r="AB533" s="16">
        <f>IFERROR(S533/Q533*100,"")</f>
        <v/>
      </c>
      <c r="AC533" s="16">
        <f>IFERROR(T533/Q533*100,"")</f>
        <v/>
      </c>
      <c r="AD533" s="16">
        <f>IFERROR(U533/Q533*100,"")</f>
        <v/>
      </c>
      <c r="AE533" s="18" t="n"/>
      <c r="AF533" s="18" t="n"/>
      <c r="AG533" s="18" t="n"/>
      <c r="AH533">
        <f>P533&gt;0</f>
        <v/>
      </c>
    </row>
    <row r="534">
      <c r="A534" s="14" t="n">
        <v>44742</v>
      </c>
      <c r="B534" t="n">
        <v>27824</v>
      </c>
      <c r="C534" t="inlineStr">
        <is>
          <t>SALEM CO-OPERATIVE BANK</t>
        </is>
      </c>
      <c r="D534" t="inlineStr">
        <is>
          <t>NH</t>
        </is>
      </c>
      <c r="E534" t="n">
        <v>469898</v>
      </c>
      <c r="F534" t="n">
        <v>371733</v>
      </c>
      <c r="G534" t="n">
        <v>67598</v>
      </c>
      <c r="H534" s="16" t="n">
        <v>0.3829582836016419</v>
      </c>
      <c r="I534" s="16" t="n">
        <v>2.53</v>
      </c>
      <c r="J534" s="16" t="n">
        <v>2.935612329696399</v>
      </c>
      <c r="K534" s="16" t="n">
        <v>861</v>
      </c>
      <c r="L534" s="16" t="n">
        <v>0</v>
      </c>
      <c r="M534" s="16" t="n">
        <v>0.2266165180016687</v>
      </c>
      <c r="N534" s="16" t="n">
        <v>848</v>
      </c>
      <c r="O534" s="16" t="n">
        <v>0</v>
      </c>
      <c r="P534" s="16" t="n">
        <v>24.65785475839751</v>
      </c>
      <c r="Q534" t="n">
        <v>379937</v>
      </c>
      <c r="R534" t="n">
        <v>376867</v>
      </c>
      <c r="S534" t="n">
        <v>328679</v>
      </c>
      <c r="T534" t="n">
        <v>22410</v>
      </c>
      <c r="U534" t="n">
        <v>28849</v>
      </c>
      <c r="V534" t="n">
        <v>0.8080286994949162</v>
      </c>
      <c r="W534" t="n">
        <v>0</v>
      </c>
      <c r="X534" s="16">
        <f>IFERROR(K534/E534*100,"")</f>
        <v/>
      </c>
      <c r="Y534" s="16">
        <f>IFERROR((N534+O534)/E534*100,"")</f>
        <v/>
      </c>
      <c r="Z534" s="16">
        <f>IFERROR(R534/F534*100,"")</f>
        <v/>
      </c>
      <c r="AA534" s="16">
        <f>IFERROR(R534/E534*100,"")</f>
        <v/>
      </c>
      <c r="AB534" s="16">
        <f>IFERROR(S534/Q534*100,"")</f>
        <v/>
      </c>
      <c r="AC534" s="16">
        <f>IFERROR(T534/Q534*100,"")</f>
        <v/>
      </c>
      <c r="AD534" s="16">
        <f>IFERROR(U534/Q534*100,"")</f>
        <v/>
      </c>
      <c r="AE534" s="18" t="n"/>
      <c r="AF534" s="18" t="n"/>
      <c r="AG534" s="18" t="n"/>
      <c r="AH534">
        <f>P534&gt;0</f>
        <v/>
      </c>
    </row>
    <row r="535">
      <c r="A535" s="14" t="n">
        <v>44834</v>
      </c>
      <c r="B535" t="n">
        <v>27824</v>
      </c>
      <c r="C535" t="inlineStr">
        <is>
          <t>SALEM CO-OPERATIVE BANK</t>
        </is>
      </c>
      <c r="D535" t="inlineStr">
        <is>
          <t>NH</t>
        </is>
      </c>
      <c r="E535" t="n">
        <v>478442</v>
      </c>
      <c r="F535" t="n">
        <v>398401</v>
      </c>
      <c r="G535" t="n">
        <v>66369</v>
      </c>
      <c r="H535" s="16" t="n">
        <v>0.3166843186600463</v>
      </c>
      <c r="I535" s="16" t="n">
        <v>2.14</v>
      </c>
      <c r="J535" s="16" t="n">
        <v>2.909696145334358</v>
      </c>
      <c r="K535" s="16" t="n">
        <v>1040</v>
      </c>
      <c r="L535" s="16" t="n">
        <v>0</v>
      </c>
      <c r="M535" s="16" t="n">
        <v>0.2671948904115572</v>
      </c>
      <c r="N535" s="16" t="n">
        <v>773</v>
      </c>
      <c r="O535" s="16" t="n">
        <v>0</v>
      </c>
      <c r="P535" s="16" t="n">
        <v>24.0539268875851</v>
      </c>
      <c r="Q535" t="n">
        <v>389229</v>
      </c>
      <c r="R535" t="n">
        <v>386057</v>
      </c>
      <c r="S535" t="n">
        <v>332914</v>
      </c>
      <c r="T535" t="n">
        <v>21793</v>
      </c>
      <c r="U535" t="n">
        <v>34521</v>
      </c>
      <c r="V535" t="n">
        <v>0.8149444157552495</v>
      </c>
      <c r="W535" t="n">
        <v>0.03</v>
      </c>
      <c r="X535" s="16">
        <f>IFERROR(K535/E535*100,"")</f>
        <v/>
      </c>
      <c r="Y535" s="16">
        <f>IFERROR((N535+O535)/E535*100,"")</f>
        <v/>
      </c>
      <c r="Z535" s="16">
        <f>IFERROR(R535/F535*100,"")</f>
        <v/>
      </c>
      <c r="AA535" s="16">
        <f>IFERROR(R535/E535*100,"")</f>
        <v/>
      </c>
      <c r="AB535" s="16">
        <f>IFERROR(S535/Q535*100,"")</f>
        <v/>
      </c>
      <c r="AC535" s="16">
        <f>IFERROR(T535/Q535*100,"")</f>
        <v/>
      </c>
      <c r="AD535" s="16">
        <f>IFERROR(U535/Q535*100,"")</f>
        <v/>
      </c>
      <c r="AE535" s="18" t="n"/>
      <c r="AF535" s="18" t="n"/>
      <c r="AG535" s="18" t="n"/>
      <c r="AH535">
        <f>P535&gt;0</f>
        <v/>
      </c>
    </row>
    <row r="536">
      <c r="A536" s="14" t="n">
        <v>44926</v>
      </c>
      <c r="B536" t="n">
        <v>27824</v>
      </c>
      <c r="C536" t="inlineStr">
        <is>
          <t>SALEM CO-OPERATIVE BANK</t>
        </is>
      </c>
      <c r="D536" t="inlineStr">
        <is>
          <t>NH</t>
        </is>
      </c>
      <c r="E536" t="n">
        <v>487232</v>
      </c>
      <c r="F536" t="n">
        <v>385881</v>
      </c>
      <c r="G536" t="n">
        <v>66059</v>
      </c>
      <c r="H536" s="16" t="n">
        <v>0.2457565326360401</v>
      </c>
      <c r="I536" s="16" t="n">
        <v>1.69</v>
      </c>
      <c r="J536" s="16" t="n">
        <v>2.835525343308622</v>
      </c>
      <c r="K536" s="16" t="n">
        <v>881</v>
      </c>
      <c r="L536" s="16" t="n">
        <v>58</v>
      </c>
      <c r="M536" s="16" t="n">
        <v>0.2182719108082998</v>
      </c>
      <c r="N536" s="16" t="n">
        <v>967</v>
      </c>
      <c r="O536" s="16" t="n">
        <v>0</v>
      </c>
      <c r="P536" s="16" t="n">
        <v>23.09704428652224</v>
      </c>
      <c r="Q536" t="n">
        <v>403625</v>
      </c>
      <c r="R536" t="n">
        <v>400511</v>
      </c>
      <c r="S536" t="n">
        <v>342567</v>
      </c>
      <c r="T536" t="n">
        <v>21116</v>
      </c>
      <c r="U536" t="n">
        <v>39942</v>
      </c>
      <c r="V536" t="n">
        <v>0.7715082068751935</v>
      </c>
      <c r="W536" t="n">
        <v>0.02</v>
      </c>
      <c r="X536" s="16">
        <f>IFERROR(K536/E536*100,"")</f>
        <v/>
      </c>
      <c r="Y536" s="16">
        <f>IFERROR((N536+O536)/E536*100,"")</f>
        <v/>
      </c>
      <c r="Z536" s="16">
        <f>IFERROR(R536/F536*100,"")</f>
        <v/>
      </c>
      <c r="AA536" s="16">
        <f>IFERROR(R536/E536*100,"")</f>
        <v/>
      </c>
      <c r="AB536" s="16">
        <f>IFERROR(S536/Q536*100,"")</f>
        <v/>
      </c>
      <c r="AC536" s="16">
        <f>IFERROR(T536/Q536*100,"")</f>
        <v/>
      </c>
      <c r="AD536" s="16">
        <f>IFERROR(U536/Q536*100,"")</f>
        <v/>
      </c>
      <c r="AE536" s="18" t="n"/>
      <c r="AF536" s="18" t="n"/>
      <c r="AG536" s="18" t="n"/>
      <c r="AH536">
        <f>P536&gt;0</f>
        <v/>
      </c>
    </row>
    <row r="537">
      <c r="A537" s="14" t="n">
        <v>45016</v>
      </c>
      <c r="B537" t="n">
        <v>27824</v>
      </c>
      <c r="C537" t="inlineStr">
        <is>
          <t>SALEM CO-OPERATIVE BANK</t>
        </is>
      </c>
      <c r="D537" t="inlineStr">
        <is>
          <t>NH</t>
        </is>
      </c>
      <c r="E537" t="n">
        <v>495672</v>
      </c>
      <c r="F537" t="n">
        <v>388458</v>
      </c>
      <c r="G537" t="n">
        <v>66508</v>
      </c>
      <c r="H537" s="16" t="n">
        <v>-0.2042925860511301</v>
      </c>
      <c r="I537" s="16" t="n">
        <v>-1.51</v>
      </c>
      <c r="J537" s="16" t="n">
        <v>2.102642377321313</v>
      </c>
      <c r="K537" s="16" t="n">
        <v>1218</v>
      </c>
      <c r="L537" s="16" t="n">
        <v>49</v>
      </c>
      <c r="M537" s="16" t="n">
        <v>0.2976750551725317</v>
      </c>
      <c r="N537" s="16" t="n">
        <v>948</v>
      </c>
      <c r="O537" s="16" t="n">
        <v>0</v>
      </c>
      <c r="P537" s="16" t="n">
        <v>23.05438931003785</v>
      </c>
      <c r="Q537" t="n">
        <v>409171</v>
      </c>
      <c r="R537" t="n">
        <v>406105</v>
      </c>
      <c r="S537" t="n">
        <v>347963</v>
      </c>
      <c r="T537" t="n">
        <v>20795</v>
      </c>
      <c r="U537" t="n">
        <v>40413</v>
      </c>
      <c r="V537" t="n">
        <v>0.7493199664687868</v>
      </c>
      <c r="W537" t="n">
        <v>0</v>
      </c>
      <c r="X537" s="16">
        <f>IFERROR(K537/E537*100,"")</f>
        <v/>
      </c>
      <c r="Y537" s="16">
        <f>IFERROR((N537+O537)/E537*100,"")</f>
        <v/>
      </c>
      <c r="Z537" s="16">
        <f>IFERROR(R537/F537*100,"")</f>
        <v/>
      </c>
      <c r="AA537" s="16">
        <f>IFERROR(R537/E537*100,"")</f>
        <v/>
      </c>
      <c r="AB537" s="16">
        <f>IFERROR(S537/Q537*100,"")</f>
        <v/>
      </c>
      <c r="AC537" s="16">
        <f>IFERROR(T537/Q537*100,"")</f>
        <v/>
      </c>
      <c r="AD537" s="16">
        <f>IFERROR(U537/Q537*100,"")</f>
        <v/>
      </c>
      <c r="AE537" s="18">
        <f>IFERROR(E537/E533-1,"")</f>
        <v/>
      </c>
      <c r="AF537" s="18">
        <f>IFERROR(R537/R533-1,"")</f>
        <v/>
      </c>
      <c r="AG537" s="18">
        <f>IFERROR(F537/F533-1,"")</f>
        <v/>
      </c>
      <c r="AH537">
        <f>P537&gt;0</f>
        <v/>
      </c>
    </row>
    <row r="538">
      <c r="A538" s="14" t="n">
        <v>45107</v>
      </c>
      <c r="B538" t="n">
        <v>27824</v>
      </c>
      <c r="C538" t="inlineStr">
        <is>
          <t>SALEM CO-OPERATIVE BANK</t>
        </is>
      </c>
      <c r="D538" t="inlineStr">
        <is>
          <t>NH</t>
        </is>
      </c>
      <c r="E538" t="n">
        <v>511371</v>
      </c>
      <c r="F538" t="n">
        <v>380476</v>
      </c>
      <c r="G538" t="n">
        <v>65899</v>
      </c>
      <c r="H538" s="16" t="n">
        <v>-0.1794850345485268</v>
      </c>
      <c r="I538" s="16" t="n">
        <v>-1.35</v>
      </c>
      <c r="J538" s="16" t="n">
        <v>2.034156939152025</v>
      </c>
      <c r="K538" s="16" t="n">
        <v>1230</v>
      </c>
      <c r="L538" s="16" t="n">
        <v>-6</v>
      </c>
      <c r="M538" s="16" t="n">
        <v>0.2887364610769166</v>
      </c>
      <c r="N538" s="16" t="n">
        <v>1038</v>
      </c>
      <c r="O538" s="16" t="n">
        <v>0</v>
      </c>
      <c r="P538" s="16" t="n">
        <v>21.8651868052185</v>
      </c>
      <c r="Q538" t="n">
        <v>425994</v>
      </c>
      <c r="R538" t="n">
        <v>422760</v>
      </c>
      <c r="S538" t="n">
        <v>362683</v>
      </c>
      <c r="T538" t="n">
        <v>21394</v>
      </c>
      <c r="U538" t="n">
        <v>41917</v>
      </c>
      <c r="V538" t="n">
        <v>0.7591656220510148</v>
      </c>
      <c r="W538" t="n">
        <v>0</v>
      </c>
      <c r="X538" s="16">
        <f>IFERROR(K538/E538*100,"")</f>
        <v/>
      </c>
      <c r="Y538" s="16">
        <f>IFERROR((N538+O538)/E538*100,"")</f>
        <v/>
      </c>
      <c r="Z538" s="16">
        <f>IFERROR(R538/F538*100,"")</f>
        <v/>
      </c>
      <c r="AA538" s="16">
        <f>IFERROR(R538/E538*100,"")</f>
        <v/>
      </c>
      <c r="AB538" s="16">
        <f>IFERROR(S538/Q538*100,"")</f>
        <v/>
      </c>
      <c r="AC538" s="16">
        <f>IFERROR(T538/Q538*100,"")</f>
        <v/>
      </c>
      <c r="AD538" s="16">
        <f>IFERROR(U538/Q538*100,"")</f>
        <v/>
      </c>
      <c r="AE538" s="18">
        <f>IFERROR(E538/E534-1,"")</f>
        <v/>
      </c>
      <c r="AF538" s="18">
        <f>IFERROR(R538/R534-1,"")</f>
        <v/>
      </c>
      <c r="AG538" s="18">
        <f>IFERROR(F538/F534-1,"")</f>
        <v/>
      </c>
      <c r="AH538">
        <f>P538&gt;0</f>
        <v/>
      </c>
    </row>
    <row r="539">
      <c r="A539" s="14" t="n">
        <v>45199</v>
      </c>
      <c r="B539" t="n">
        <v>27824</v>
      </c>
      <c r="C539" t="inlineStr">
        <is>
          <t>SALEM CO-OPERATIVE BANK</t>
        </is>
      </c>
      <c r="D539" t="inlineStr">
        <is>
          <t>NH</t>
        </is>
      </c>
      <c r="E539" t="n">
        <v>525416</v>
      </c>
      <c r="F539" t="n">
        <v>391764</v>
      </c>
      <c r="G539" t="n">
        <v>64487</v>
      </c>
      <c r="H539" s="16" t="n">
        <v>-0.1996295076821157</v>
      </c>
      <c r="I539" s="16" t="n">
        <v>-1.53</v>
      </c>
      <c r="J539" s="16" t="n">
        <v>1.9506679893547</v>
      </c>
      <c r="K539" s="16" t="n">
        <v>1101</v>
      </c>
      <c r="L539" s="16" t="n">
        <v>82</v>
      </c>
      <c r="M539" s="16" t="n">
        <v>0.2488270550267133</v>
      </c>
      <c r="N539" s="16" t="n">
        <v>1118</v>
      </c>
      <c r="O539" s="16" t="n">
        <v>0</v>
      </c>
      <c r="P539" s="16" t="n">
        <v>21.00958101766173</v>
      </c>
      <c r="Q539" t="n">
        <v>442476</v>
      </c>
      <c r="R539" t="n">
        <v>439330</v>
      </c>
      <c r="S539" t="n">
        <v>376428</v>
      </c>
      <c r="T539" t="n">
        <v>21545</v>
      </c>
      <c r="U539" t="n">
        <v>44503</v>
      </c>
      <c r="V539" t="n">
        <v>0.710999014635822</v>
      </c>
      <c r="W539" t="n">
        <v>-0.01</v>
      </c>
      <c r="X539" s="16">
        <f>IFERROR(K539/E539*100,"")</f>
        <v/>
      </c>
      <c r="Y539" s="16">
        <f>IFERROR((N539+O539)/E539*100,"")</f>
        <v/>
      </c>
      <c r="Z539" s="16">
        <f>IFERROR(R539/F539*100,"")</f>
        <v/>
      </c>
      <c r="AA539" s="16">
        <f>IFERROR(R539/E539*100,"")</f>
        <v/>
      </c>
      <c r="AB539" s="16">
        <f>IFERROR(S539/Q539*100,"")</f>
        <v/>
      </c>
      <c r="AC539" s="16">
        <f>IFERROR(T539/Q539*100,"")</f>
        <v/>
      </c>
      <c r="AD539" s="16">
        <f>IFERROR(U539/Q539*100,"")</f>
        <v/>
      </c>
      <c r="AE539" s="18">
        <f>IFERROR(E539/E535-1,"")</f>
        <v/>
      </c>
      <c r="AF539" s="18">
        <f>IFERROR(R539/R535-1,"")</f>
        <v/>
      </c>
      <c r="AG539" s="18">
        <f>IFERROR(F539/F535-1,"")</f>
        <v/>
      </c>
      <c r="AH539">
        <f>P539&gt;0</f>
        <v/>
      </c>
    </row>
    <row r="540">
      <c r="A540" s="14" t="n">
        <v>45291</v>
      </c>
      <c r="B540" t="n">
        <v>27824</v>
      </c>
      <c r="C540" t="inlineStr">
        <is>
          <t>SALEM CO-OPERATIVE BANK</t>
        </is>
      </c>
      <c r="D540" t="inlineStr">
        <is>
          <t>NH</t>
        </is>
      </c>
      <c r="E540" t="n">
        <v>540887</v>
      </c>
      <c r="F540" t="n">
        <v>387033</v>
      </c>
      <c r="G540" t="n">
        <v>65160</v>
      </c>
      <c r="H540" s="16" t="n">
        <v>-0.1899961649283872</v>
      </c>
      <c r="I540" s="16" t="n">
        <v>-1.48</v>
      </c>
      <c r="J540" s="16" t="n">
        <v>1.874945514045641</v>
      </c>
      <c r="K540" s="16" t="n">
        <v>1178</v>
      </c>
      <c r="L540" s="16" t="n">
        <v>122</v>
      </c>
      <c r="M540" s="16" t="n">
        <v>0.2598307791394263</v>
      </c>
      <c r="N540" s="16" t="n">
        <v>1408</v>
      </c>
      <c r="O540" s="16" t="n">
        <v>0</v>
      </c>
      <c r="P540" s="16" t="n">
        <v>21.05901719649804</v>
      </c>
      <c r="Q540" t="n">
        <v>453372</v>
      </c>
      <c r="R540" t="n">
        <v>450372</v>
      </c>
      <c r="S540" t="n">
        <v>388283</v>
      </c>
      <c r="T540" t="n">
        <v>21688</v>
      </c>
      <c r="U540" t="n">
        <v>43401</v>
      </c>
      <c r="V540" t="n">
        <v>0.6617082660596596</v>
      </c>
      <c r="W540" t="n">
        <v>-0.04</v>
      </c>
      <c r="X540" s="16">
        <f>IFERROR(K540/E540*100,"")</f>
        <v/>
      </c>
      <c r="Y540" s="16">
        <f>IFERROR((N540+O540)/E540*100,"")</f>
        <v/>
      </c>
      <c r="Z540" s="16">
        <f>IFERROR(R540/F540*100,"")</f>
        <v/>
      </c>
      <c r="AA540" s="16">
        <f>IFERROR(R540/E540*100,"")</f>
        <v/>
      </c>
      <c r="AB540" s="16">
        <f>IFERROR(S540/Q540*100,"")</f>
        <v/>
      </c>
      <c r="AC540" s="16">
        <f>IFERROR(T540/Q540*100,"")</f>
        <v/>
      </c>
      <c r="AD540" s="16">
        <f>IFERROR(U540/Q540*100,"")</f>
        <v/>
      </c>
      <c r="AE540" s="18">
        <f>IFERROR(E540/E536-1,"")</f>
        <v/>
      </c>
      <c r="AF540" s="18">
        <f>IFERROR(R540/R536-1,"")</f>
        <v/>
      </c>
      <c r="AG540" s="18">
        <f>IFERROR(F540/F536-1,"")</f>
        <v/>
      </c>
      <c r="AH540">
        <f>P540&gt;0</f>
        <v/>
      </c>
    </row>
    <row r="541">
      <c r="A541" s="14" t="n">
        <v>45382</v>
      </c>
      <c r="B541" t="n">
        <v>27824</v>
      </c>
      <c r="C541" t="inlineStr">
        <is>
          <t>SALEM CO-OPERATIVE BANK</t>
        </is>
      </c>
      <c r="D541" t="inlineStr">
        <is>
          <t>NH</t>
        </is>
      </c>
      <c r="E541" t="n">
        <v>541415</v>
      </c>
      <c r="F541" t="n">
        <v>385991</v>
      </c>
      <c r="G541" t="n">
        <v>64777</v>
      </c>
      <c r="H541" s="16" t="n">
        <v>-0.393235899037422</v>
      </c>
      <c r="I541" s="16" t="n">
        <v>-3.28</v>
      </c>
      <c r="J541" s="16" t="n">
        <v>1.628901502610089</v>
      </c>
      <c r="K541" s="16" t="n">
        <v>1045</v>
      </c>
      <c r="L541" s="16" t="n">
        <v>116</v>
      </c>
      <c r="M541" s="16" t="n">
        <v>0.2305423370595152</v>
      </c>
      <c r="N541" s="16" t="n">
        <v>1418</v>
      </c>
      <c r="O541" s="16" t="n">
        <v>0</v>
      </c>
      <c r="P541" s="16" t="n">
        <v>21.02361731191633</v>
      </c>
      <c r="Q541" t="n">
        <v>453279</v>
      </c>
      <c r="R541" t="n">
        <v>450353</v>
      </c>
      <c r="S541" t="n">
        <v>390846</v>
      </c>
      <c r="T541" t="n">
        <v>20617</v>
      </c>
      <c r="U541" t="n">
        <v>41816</v>
      </c>
      <c r="V541" t="n">
        <v>0.6455185437666426</v>
      </c>
      <c r="W541" t="n">
        <v>0.09</v>
      </c>
      <c r="X541" s="16">
        <f>IFERROR(K541/E541*100,"")</f>
        <v/>
      </c>
      <c r="Y541" s="16">
        <f>IFERROR((N541+O541)/E541*100,"")</f>
        <v/>
      </c>
      <c r="Z541" s="16">
        <f>IFERROR(R541/F541*100,"")</f>
        <v/>
      </c>
      <c r="AA541" s="16">
        <f>IFERROR(R541/E541*100,"")</f>
        <v/>
      </c>
      <c r="AB541" s="16">
        <f>IFERROR(S541/Q541*100,"")</f>
        <v/>
      </c>
      <c r="AC541" s="16">
        <f>IFERROR(T541/Q541*100,"")</f>
        <v/>
      </c>
      <c r="AD541" s="16">
        <f>IFERROR(U541/Q541*100,"")</f>
        <v/>
      </c>
      <c r="AE541" s="18">
        <f>IFERROR(E541/E537-1,"")</f>
        <v/>
      </c>
      <c r="AF541" s="18">
        <f>IFERROR(R541/R537-1,"")</f>
        <v/>
      </c>
      <c r="AG541" s="18">
        <f>IFERROR(F541/F537-1,"")</f>
        <v/>
      </c>
      <c r="AH541">
        <f>P541&gt;0</f>
        <v/>
      </c>
    </row>
    <row r="542">
      <c r="A542" s="14" t="n">
        <v>45473</v>
      </c>
      <c r="B542" t="n">
        <v>27824</v>
      </c>
      <c r="C542" t="inlineStr">
        <is>
          <t>SALEM CO-OPERATIVE BANK</t>
        </is>
      </c>
      <c r="D542" t="inlineStr">
        <is>
          <t>NH</t>
        </is>
      </c>
      <c r="E542" t="n">
        <v>557168</v>
      </c>
      <c r="F542" t="n">
        <v>362991</v>
      </c>
      <c r="G542" t="n">
        <v>64563</v>
      </c>
      <c r="H542" s="16" t="n">
        <v>-0.374023312411938</v>
      </c>
      <c r="I542" s="16" t="n">
        <v>-3.15</v>
      </c>
      <c r="J542" s="16" t="n">
        <v>1.624449790001683</v>
      </c>
      <c r="K542" s="16" t="n">
        <v>1077</v>
      </c>
      <c r="L542" s="16" t="n">
        <v>118</v>
      </c>
      <c r="M542" s="16" t="n">
        <v>0.2338482917349719</v>
      </c>
      <c r="N542" s="16" t="n">
        <v>2739</v>
      </c>
      <c r="O542" s="16" t="n">
        <v>0</v>
      </c>
      <c r="P542" s="16" t="n">
        <v>20.35778385032141</v>
      </c>
      <c r="Q542" t="n">
        <v>460555</v>
      </c>
      <c r="R542" t="n">
        <v>457681</v>
      </c>
      <c r="S542" t="n">
        <v>398633</v>
      </c>
      <c r="T542" t="n">
        <v>18789</v>
      </c>
      <c r="U542" t="n">
        <v>43133</v>
      </c>
      <c r="V542" t="n">
        <v>0.6240297032927664</v>
      </c>
      <c r="W542" t="n">
        <v>0.05</v>
      </c>
      <c r="X542" s="16">
        <f>IFERROR(K542/E542*100,"")</f>
        <v/>
      </c>
      <c r="Y542" s="16">
        <f>IFERROR((N542+O542)/E542*100,"")</f>
        <v/>
      </c>
      <c r="Z542" s="16">
        <f>IFERROR(R542/F542*100,"")</f>
        <v/>
      </c>
      <c r="AA542" s="16">
        <f>IFERROR(R542/E542*100,"")</f>
        <v/>
      </c>
      <c r="AB542" s="16">
        <f>IFERROR(S542/Q542*100,"")</f>
        <v/>
      </c>
      <c r="AC542" s="16">
        <f>IFERROR(T542/Q542*100,"")</f>
        <v/>
      </c>
      <c r="AD542" s="16">
        <f>IFERROR(U542/Q542*100,"")</f>
        <v/>
      </c>
      <c r="AE542" s="18">
        <f>IFERROR(E542/E538-1,"")</f>
        <v/>
      </c>
      <c r="AF542" s="18">
        <f>IFERROR(R542/R538-1,"")</f>
        <v/>
      </c>
      <c r="AG542" s="18">
        <f>IFERROR(F542/F538-1,"")</f>
        <v/>
      </c>
      <c r="AH542">
        <f>P542&gt;0</f>
        <v/>
      </c>
    </row>
    <row r="543">
      <c r="A543" s="14" t="n">
        <v>45565</v>
      </c>
      <c r="B543" t="n">
        <v>27824</v>
      </c>
      <c r="C543" t="inlineStr">
        <is>
          <t>SALEM CO-OPERATIVE BANK</t>
        </is>
      </c>
      <c r="D543" t="inlineStr">
        <is>
          <t>NH</t>
        </is>
      </c>
      <c r="E543" t="n">
        <v>565595</v>
      </c>
      <c r="F543" t="n">
        <v>371884</v>
      </c>
      <c r="G543" t="n">
        <v>63535</v>
      </c>
      <c r="H543" s="16" t="n">
        <v>-0.6568954293864353</v>
      </c>
      <c r="I543" s="16" t="n">
        <v>-5.61</v>
      </c>
      <c r="J543" s="16" t="n">
        <v>1.608590376008624</v>
      </c>
      <c r="K543" s="16" t="n">
        <v>2900</v>
      </c>
      <c r="L543" s="16" t="n">
        <v>183</v>
      </c>
      <c r="M543" s="16" t="n">
        <v>0.6195958952840207</v>
      </c>
      <c r="N543" s="16" t="n">
        <v>3537</v>
      </c>
      <c r="O543" s="16" t="n">
        <v>0</v>
      </c>
      <c r="P543" s="16" t="n">
        <v>19.39559166314527</v>
      </c>
      <c r="Q543" t="n">
        <v>468047</v>
      </c>
      <c r="R543" t="n">
        <v>465220</v>
      </c>
      <c r="S543" t="n">
        <v>407195</v>
      </c>
      <c r="T543" t="n">
        <v>18226</v>
      </c>
      <c r="U543" t="n">
        <v>42626</v>
      </c>
      <c r="V543" t="n">
        <v>0.6039991710234229</v>
      </c>
      <c r="W543" t="n">
        <v>0.02</v>
      </c>
      <c r="X543" s="16">
        <f>IFERROR(K543/E543*100,"")</f>
        <v/>
      </c>
      <c r="Y543" s="16">
        <f>IFERROR((N543+O543)/E543*100,"")</f>
        <v/>
      </c>
      <c r="Z543" s="16">
        <f>IFERROR(R543/F543*100,"")</f>
        <v/>
      </c>
      <c r="AA543" s="16">
        <f>IFERROR(R543/E543*100,"")</f>
        <v/>
      </c>
      <c r="AB543" s="16">
        <f>IFERROR(S543/Q543*100,"")</f>
        <v/>
      </c>
      <c r="AC543" s="16">
        <f>IFERROR(T543/Q543*100,"")</f>
        <v/>
      </c>
      <c r="AD543" s="16">
        <f>IFERROR(U543/Q543*100,"")</f>
        <v/>
      </c>
      <c r="AE543" s="18">
        <f>IFERROR(E543/E539-1,"")</f>
        <v/>
      </c>
      <c r="AF543" s="18">
        <f>IFERROR(R543/R539-1,"")</f>
        <v/>
      </c>
      <c r="AG543" s="18">
        <f>IFERROR(F543/F539-1,"")</f>
        <v/>
      </c>
      <c r="AH543">
        <f>P543&gt;0</f>
        <v/>
      </c>
    </row>
    <row r="544">
      <c r="A544" s="14" t="n">
        <v>45657</v>
      </c>
      <c r="B544" t="n">
        <v>27824</v>
      </c>
      <c r="C544" t="inlineStr">
        <is>
          <t>SALEM CO-OPERATIVE BANK</t>
        </is>
      </c>
      <c r="D544" t="inlineStr">
        <is>
          <t>NH</t>
        </is>
      </c>
      <c r="E544" t="n">
        <v>567213</v>
      </c>
      <c r="F544" t="n">
        <v>364594</v>
      </c>
      <c r="G544" t="n">
        <v>62425</v>
      </c>
      <c r="H544" s="16" t="n">
        <v>-0.5255605678795562</v>
      </c>
      <c r="I544" s="16" t="n">
        <v>-4.55</v>
      </c>
      <c r="J544" s="16" t="n">
        <v>1.66620323995382</v>
      </c>
      <c r="K544" s="16" t="n">
        <v>1549</v>
      </c>
      <c r="L544" s="16" t="n">
        <v>239</v>
      </c>
      <c r="M544" s="16" t="n">
        <v>0.3245753176081586</v>
      </c>
      <c r="N544" s="16" t="n">
        <v>1070</v>
      </c>
      <c r="O544" s="16" t="n">
        <v>0</v>
      </c>
      <c r="P544" s="16" t="n">
        <v>19.03459419994202</v>
      </c>
      <c r="Q544" t="n">
        <v>477239</v>
      </c>
      <c r="R544" t="n">
        <v>474451</v>
      </c>
      <c r="S544" t="n">
        <v>418833</v>
      </c>
      <c r="T544" t="n">
        <v>18705</v>
      </c>
      <c r="U544" t="n">
        <v>39701</v>
      </c>
      <c r="V544" t="n">
        <v>0.5841936639713016</v>
      </c>
      <c r="W544" t="n">
        <v>0.02</v>
      </c>
      <c r="X544" s="16">
        <f>IFERROR(K544/E544*100,"")</f>
        <v/>
      </c>
      <c r="Y544" s="16">
        <f>IFERROR((N544+O544)/E544*100,"")</f>
        <v/>
      </c>
      <c r="Z544" s="16">
        <f>IFERROR(R544/F544*100,"")</f>
        <v/>
      </c>
      <c r="AA544" s="16">
        <f>IFERROR(R544/E544*100,"")</f>
        <v/>
      </c>
      <c r="AB544" s="16">
        <f>IFERROR(S544/Q544*100,"")</f>
        <v/>
      </c>
      <c r="AC544" s="16">
        <f>IFERROR(T544/Q544*100,"")</f>
        <v/>
      </c>
      <c r="AD544" s="16">
        <f>IFERROR(U544/Q544*100,"")</f>
        <v/>
      </c>
      <c r="AE544" s="18">
        <f>IFERROR(E544/E540-1,"")</f>
        <v/>
      </c>
      <c r="AF544" s="18">
        <f>IFERROR(R544/R540-1,"")</f>
        <v/>
      </c>
      <c r="AG544" s="18">
        <f>IFERROR(F544/F540-1,"")</f>
        <v/>
      </c>
      <c r="AH544">
        <f>P544&gt;0</f>
        <v/>
      </c>
    </row>
    <row r="545">
      <c r="A545" s="14" t="n">
        <v>45747</v>
      </c>
      <c r="B545" t="n">
        <v>27824</v>
      </c>
      <c r="C545" t="inlineStr">
        <is>
          <t>SALEM CO-OPERATIVE BANK</t>
        </is>
      </c>
      <c r="D545" t="inlineStr">
        <is>
          <t>NH</t>
        </is>
      </c>
      <c r="E545" t="n">
        <v>575397</v>
      </c>
      <c r="F545" t="n">
        <v>382749</v>
      </c>
      <c r="G545" t="n">
        <v>62093</v>
      </c>
      <c r="H545" s="16" t="n">
        <v>-0.6336370240064414</v>
      </c>
      <c r="I545" s="16" t="n">
        <v>-5.81</v>
      </c>
      <c r="J545" s="16" t="n">
        <v>1.82604182072874</v>
      </c>
      <c r="K545" s="16" t="n">
        <v>2067</v>
      </c>
      <c r="L545" s="16" t="n">
        <v>44</v>
      </c>
      <c r="M545" s="16" t="n">
        <v>0.4367974945955027</v>
      </c>
      <c r="N545" s="16" t="n">
        <v>844</v>
      </c>
      <c r="O545" s="16" t="n">
        <v>0</v>
      </c>
      <c r="P545" s="16" t="n">
        <v>18.73257694209464</v>
      </c>
      <c r="Q545" t="n">
        <v>473217</v>
      </c>
      <c r="R545" t="n">
        <v>470321</v>
      </c>
      <c r="S545" t="n">
        <v>420218</v>
      </c>
      <c r="T545" t="n">
        <v>17729</v>
      </c>
      <c r="U545" t="n">
        <v>35270</v>
      </c>
      <c r="V545" t="n">
        <v>0.6119813954274678</v>
      </c>
      <c r="W545" t="n">
        <v>0.09</v>
      </c>
      <c r="X545" s="16">
        <f>IFERROR(K545/E545*100,"")</f>
        <v/>
      </c>
      <c r="Y545" s="16">
        <f>IFERROR((N545+O545)/E545*100,"")</f>
        <v/>
      </c>
      <c r="Z545" s="16">
        <f>IFERROR(R545/F545*100,"")</f>
        <v/>
      </c>
      <c r="AA545" s="16">
        <f>IFERROR(R545/E545*100,"")</f>
        <v/>
      </c>
      <c r="AB545" s="16">
        <f>IFERROR(S545/Q545*100,"")</f>
        <v/>
      </c>
      <c r="AC545" s="16">
        <f>IFERROR(T545/Q545*100,"")</f>
        <v/>
      </c>
      <c r="AD545" s="16">
        <f>IFERROR(U545/Q545*100,"")</f>
        <v/>
      </c>
      <c r="AE545" s="18">
        <f>IFERROR(E545/E541-1,"")</f>
        <v/>
      </c>
      <c r="AF545" s="18">
        <f>IFERROR(R545/R541-1,"")</f>
        <v/>
      </c>
      <c r="AG545" s="18">
        <f>IFERROR(F545/F541-1,"")</f>
        <v/>
      </c>
      <c r="AH545">
        <f>P545&gt;0</f>
        <v/>
      </c>
    </row>
    <row r="546">
      <c r="A546" s="14" t="n">
        <v>45838</v>
      </c>
      <c r="B546" t="n">
        <v>27824</v>
      </c>
      <c r="C546" t="inlineStr">
        <is>
          <t>SALEM CO-OPERATIVE BANK</t>
        </is>
      </c>
      <c r="D546" t="inlineStr">
        <is>
          <t>NH</t>
        </is>
      </c>
      <c r="E546" t="n">
        <v>571650</v>
      </c>
      <c r="F546" t="n">
        <v>388196</v>
      </c>
      <c r="G546" t="n">
        <v>62136</v>
      </c>
      <c r="H546" s="16" t="n">
        <v>-0.3059045885688285</v>
      </c>
      <c r="I546" s="16" t="n">
        <v>-2.81</v>
      </c>
      <c r="J546" s="16" t="n">
        <v>1.915056440131239</v>
      </c>
      <c r="K546" s="16" t="n">
        <v>2044</v>
      </c>
      <c r="L546" s="16" t="n">
        <v>42</v>
      </c>
      <c r="M546" s="16" t="n">
        <v>0.4335744437138069</v>
      </c>
      <c r="N546" s="16" t="n">
        <v>1687</v>
      </c>
      <c r="O546" s="16" t="n">
        <v>0</v>
      </c>
      <c r="P546" s="16" t="n">
        <v>18.95901440034583</v>
      </c>
      <c r="Q546" t="n">
        <v>471430</v>
      </c>
      <c r="R546" t="n">
        <v>468470</v>
      </c>
      <c r="S546" t="n">
        <v>421364</v>
      </c>
      <c r="T546" t="n">
        <v>18433</v>
      </c>
      <c r="U546" t="n">
        <v>31632</v>
      </c>
      <c r="V546" t="n">
        <v>0.6278768852215599</v>
      </c>
      <c r="W546" t="n">
        <v>0.06</v>
      </c>
      <c r="X546" s="16">
        <f>IFERROR(K546/E546*100,"")</f>
        <v/>
      </c>
      <c r="Y546" s="16">
        <f>IFERROR((N546+O546)/E546*100,"")</f>
        <v/>
      </c>
      <c r="Z546" s="16">
        <f>IFERROR(R546/F546*100,"")</f>
        <v/>
      </c>
      <c r="AA546" s="16">
        <f>IFERROR(R546/E546*100,"")</f>
        <v/>
      </c>
      <c r="AB546" s="16">
        <f>IFERROR(S546/Q546*100,"")</f>
        <v/>
      </c>
      <c r="AC546" s="16">
        <f>IFERROR(T546/Q546*100,"")</f>
        <v/>
      </c>
      <c r="AD546" s="16">
        <f>IFERROR(U546/Q546*100,"")</f>
        <v/>
      </c>
      <c r="AE546" s="18">
        <f>IFERROR(E546/E542-1,"")</f>
        <v/>
      </c>
      <c r="AF546" s="18">
        <f>IFERROR(R546/R542-1,"")</f>
        <v/>
      </c>
      <c r="AG546" s="18">
        <f>IFERROR(F546/F542-1,"")</f>
        <v/>
      </c>
      <c r="AH546">
        <f>P546&gt;0</f>
        <v/>
      </c>
    </row>
    <row r="547">
      <c r="A547" s="14" t="n">
        <v>44651</v>
      </c>
      <c r="B547" t="n">
        <v>28155</v>
      </c>
      <c r="C547" t="inlineStr">
        <is>
          <t>PROFILE BANK</t>
        </is>
      </c>
      <c r="D547" t="inlineStr">
        <is>
          <t>NH</t>
        </is>
      </c>
      <c r="E547" t="n">
        <v>281830</v>
      </c>
      <c r="F547" t="n">
        <v>253420</v>
      </c>
      <c r="G547" t="n">
        <v>27480</v>
      </c>
      <c r="H547" s="16" t="n">
        <v>0.2251685685787817</v>
      </c>
      <c r="I547" s="16" t="n">
        <v>2.32</v>
      </c>
      <c r="J547" s="16" t="n">
        <v>2.679203869961146</v>
      </c>
      <c r="K547" s="16" t="n">
        <v>206</v>
      </c>
      <c r="L547" s="16" t="n">
        <v>0</v>
      </c>
      <c r="M547" s="16" t="n">
        <v>0.1399485043852796</v>
      </c>
      <c r="N547" s="16" t="n">
        <v>357</v>
      </c>
      <c r="O547" s="16" t="n">
        <v>0</v>
      </c>
      <c r="P547" s="16" t="n">
        <v>19.37870514559928</v>
      </c>
      <c r="Q547" t="n">
        <v>147197</v>
      </c>
      <c r="R547" t="n">
        <v>146330</v>
      </c>
      <c r="S547" t="n">
        <v>137297</v>
      </c>
      <c r="T547" t="n">
        <v>5388</v>
      </c>
      <c r="U547" t="n">
        <v>3851</v>
      </c>
      <c r="V547" t="n">
        <v>0.5890065694273661</v>
      </c>
      <c r="W547" t="n">
        <v>0.07000000000000001</v>
      </c>
      <c r="X547" s="16">
        <f>IFERROR(K547/E547*100,"")</f>
        <v/>
      </c>
      <c r="Y547" s="16">
        <f>IFERROR((N547+O547)/E547*100,"")</f>
        <v/>
      </c>
      <c r="Z547" s="16">
        <f>IFERROR(R547/F547*100,"")</f>
        <v/>
      </c>
      <c r="AA547" s="16">
        <f>IFERROR(R547/E547*100,"")</f>
        <v/>
      </c>
      <c r="AB547" s="16">
        <f>IFERROR(S547/Q547*100,"")</f>
        <v/>
      </c>
      <c r="AC547" s="16">
        <f>IFERROR(T547/Q547*100,"")</f>
        <v/>
      </c>
      <c r="AD547" s="16">
        <f>IFERROR(U547/Q547*100,"")</f>
        <v/>
      </c>
      <c r="AE547" s="18" t="n"/>
      <c r="AF547" s="18" t="n"/>
      <c r="AG547" s="18" t="n"/>
      <c r="AH547">
        <f>P547&gt;0</f>
        <v/>
      </c>
    </row>
    <row r="548">
      <c r="A548" s="14" t="n">
        <v>44742</v>
      </c>
      <c r="B548" t="n">
        <v>28155</v>
      </c>
      <c r="C548" t="inlineStr">
        <is>
          <t>PROFILE BANK</t>
        </is>
      </c>
      <c r="D548" t="inlineStr">
        <is>
          <t>NH</t>
        </is>
      </c>
      <c r="E548" t="n">
        <v>299676</v>
      </c>
      <c r="F548" t="n">
        <v>271184</v>
      </c>
      <c r="G548" t="n">
        <v>27573</v>
      </c>
      <c r="H548" s="16" t="n">
        <v>0.2564105517664798</v>
      </c>
      <c r="I548" s="16" t="n">
        <v>2.69</v>
      </c>
      <c r="J548" s="16" t="n">
        <v>2.68514754596641</v>
      </c>
      <c r="K548" s="16" t="n">
        <v>12</v>
      </c>
      <c r="L548" s="16" t="n">
        <v>5</v>
      </c>
      <c r="M548" s="16" t="n">
        <v>0.0080121785113372</v>
      </c>
      <c r="N548" s="16" t="n">
        <v>958</v>
      </c>
      <c r="O548" s="16" t="n">
        <v>0</v>
      </c>
      <c r="P548" s="16" t="n">
        <v>19.02249320904419</v>
      </c>
      <c r="Q548" t="n">
        <v>149772</v>
      </c>
      <c r="R548" t="n">
        <v>148908</v>
      </c>
      <c r="S548" t="n">
        <v>139442</v>
      </c>
      <c r="T548" t="n">
        <v>5461</v>
      </c>
      <c r="U548" t="n">
        <v>4201</v>
      </c>
      <c r="V548" t="n">
        <v>0.5768768528162808</v>
      </c>
      <c r="W548" t="n">
        <v>0.03</v>
      </c>
      <c r="X548" s="16">
        <f>IFERROR(K548/E548*100,"")</f>
        <v/>
      </c>
      <c r="Y548" s="16">
        <f>IFERROR((N548+O548)/E548*100,"")</f>
        <v/>
      </c>
      <c r="Z548" s="16">
        <f>IFERROR(R548/F548*100,"")</f>
        <v/>
      </c>
      <c r="AA548" s="16">
        <f>IFERROR(R548/E548*100,"")</f>
        <v/>
      </c>
      <c r="AB548" s="16">
        <f>IFERROR(S548/Q548*100,"")</f>
        <v/>
      </c>
      <c r="AC548" s="16">
        <f>IFERROR(T548/Q548*100,"")</f>
        <v/>
      </c>
      <c r="AD548" s="16">
        <f>IFERROR(U548/Q548*100,"")</f>
        <v/>
      </c>
      <c r="AE548" s="18" t="n"/>
      <c r="AF548" s="18" t="n"/>
      <c r="AG548" s="18" t="n"/>
      <c r="AH548">
        <f>P548&gt;0</f>
        <v/>
      </c>
    </row>
    <row r="549">
      <c r="A549" s="14" t="n">
        <v>44834</v>
      </c>
      <c r="B549" t="n">
        <v>28155</v>
      </c>
      <c r="C549" t="inlineStr">
        <is>
          <t>PROFILE BANK</t>
        </is>
      </c>
      <c r="D549" t="inlineStr">
        <is>
          <t>NH</t>
        </is>
      </c>
      <c r="E549" t="n">
        <v>306788</v>
      </c>
      <c r="F549" t="n">
        <v>278328</v>
      </c>
      <c r="G549" t="n">
        <v>27419</v>
      </c>
      <c r="H549" s="16" t="n">
        <v>0.2110716665801364</v>
      </c>
      <c r="I549" s="16" t="n">
        <v>2.25</v>
      </c>
      <c r="J549" s="16" t="n">
        <v>2.712770626163867</v>
      </c>
      <c r="K549" s="16" t="n">
        <v>222</v>
      </c>
      <c r="L549" s="16" t="n">
        <v>5</v>
      </c>
      <c r="M549" s="16" t="n">
        <v>0.1429887219255814</v>
      </c>
      <c r="N549" s="16" t="n">
        <v>420</v>
      </c>
      <c r="O549" s="16" t="n">
        <v>0</v>
      </c>
      <c r="P549" s="16" t="n">
        <v>18.39481242709679</v>
      </c>
      <c r="Q549" t="n">
        <v>155257</v>
      </c>
      <c r="R549" t="n">
        <v>154358</v>
      </c>
      <c r="S549" t="n">
        <v>143872</v>
      </c>
      <c r="T549" t="n">
        <v>6105</v>
      </c>
      <c r="U549" t="n">
        <v>4615</v>
      </c>
      <c r="V549" t="n">
        <v>0.5790399144644042</v>
      </c>
      <c r="W549" t="n">
        <v>0.04</v>
      </c>
      <c r="X549" s="16">
        <f>IFERROR(K549/E549*100,"")</f>
        <v/>
      </c>
      <c r="Y549" s="16">
        <f>IFERROR((N549+O549)/E549*100,"")</f>
        <v/>
      </c>
      <c r="Z549" s="16">
        <f>IFERROR(R549/F549*100,"")</f>
        <v/>
      </c>
      <c r="AA549" s="16">
        <f>IFERROR(R549/E549*100,"")</f>
        <v/>
      </c>
      <c r="AB549" s="16">
        <f>IFERROR(S549/Q549*100,"")</f>
        <v/>
      </c>
      <c r="AC549" s="16">
        <f>IFERROR(T549/Q549*100,"")</f>
        <v/>
      </c>
      <c r="AD549" s="16">
        <f>IFERROR(U549/Q549*100,"")</f>
        <v/>
      </c>
      <c r="AE549" s="18" t="n"/>
      <c r="AF549" s="18" t="n"/>
      <c r="AG549" s="18" t="n"/>
      <c r="AH549">
        <f>P549&gt;0</f>
        <v/>
      </c>
    </row>
    <row r="550">
      <c r="A550" s="14" t="n">
        <v>44926</v>
      </c>
      <c r="B550" t="n">
        <v>28155</v>
      </c>
      <c r="C550" t="inlineStr">
        <is>
          <t>PROFILE BANK</t>
        </is>
      </c>
      <c r="D550" t="inlineStr">
        <is>
          <t>NH</t>
        </is>
      </c>
      <c r="E550" t="n">
        <v>297675</v>
      </c>
      <c r="F550" t="n">
        <v>258019</v>
      </c>
      <c r="G550" t="n">
        <v>27626</v>
      </c>
      <c r="H550" s="16" t="n">
        <v>0.129023320625668</v>
      </c>
      <c r="I550" s="16" t="n">
        <v>1.38</v>
      </c>
      <c r="J550" s="16" t="n">
        <v>2.778764747512108</v>
      </c>
      <c r="K550" s="16" t="n">
        <v>67</v>
      </c>
      <c r="L550" s="16" t="n">
        <v>5</v>
      </c>
      <c r="M550" s="16" t="n">
        <v>0.0423822627067716</v>
      </c>
      <c r="N550" s="16" t="n">
        <v>732</v>
      </c>
      <c r="O550" s="16" t="n">
        <v>0</v>
      </c>
      <c r="P550" s="16" t="n">
        <v>18.19329246303642</v>
      </c>
      <c r="Q550" t="n">
        <v>158085</v>
      </c>
      <c r="R550" t="n">
        <v>157171</v>
      </c>
      <c r="S550" t="n">
        <v>146082</v>
      </c>
      <c r="T550" t="n">
        <v>6284</v>
      </c>
      <c r="U550" t="n">
        <v>5033</v>
      </c>
      <c r="V550" t="n">
        <v>0.5781699718505867</v>
      </c>
      <c r="W550" t="n">
        <v>0.03</v>
      </c>
      <c r="X550" s="16">
        <f>IFERROR(K550/E550*100,"")</f>
        <v/>
      </c>
      <c r="Y550" s="16">
        <f>IFERROR((N550+O550)/E550*100,"")</f>
        <v/>
      </c>
      <c r="Z550" s="16">
        <f>IFERROR(R550/F550*100,"")</f>
        <v/>
      </c>
      <c r="AA550" s="16">
        <f>IFERROR(R550/E550*100,"")</f>
        <v/>
      </c>
      <c r="AB550" s="16">
        <f>IFERROR(S550/Q550*100,"")</f>
        <v/>
      </c>
      <c r="AC550" s="16">
        <f>IFERROR(T550/Q550*100,"")</f>
        <v/>
      </c>
      <c r="AD550" s="16">
        <f>IFERROR(U550/Q550*100,"")</f>
        <v/>
      </c>
      <c r="AE550" s="18" t="n"/>
      <c r="AF550" s="18" t="n"/>
      <c r="AG550" s="18" t="n"/>
      <c r="AH550">
        <f>P550&gt;0</f>
        <v/>
      </c>
    </row>
    <row r="551">
      <c r="A551" s="14" t="n">
        <v>45016</v>
      </c>
      <c r="B551" t="n">
        <v>28155</v>
      </c>
      <c r="C551" t="inlineStr">
        <is>
          <t>PROFILE BANK</t>
        </is>
      </c>
      <c r="D551" t="inlineStr">
        <is>
          <t>NH</t>
        </is>
      </c>
      <c r="E551" t="n">
        <v>300236</v>
      </c>
      <c r="F551" t="n">
        <v>253151</v>
      </c>
      <c r="G551" t="n">
        <v>27786</v>
      </c>
      <c r="H551" s="16" t="n">
        <v>0.09232143245399391</v>
      </c>
      <c r="I551" s="16" t="n">
        <v>1</v>
      </c>
      <c r="J551" s="16" t="n">
        <v>2.598013769616674</v>
      </c>
      <c r="K551" s="16" t="n">
        <v>52</v>
      </c>
      <c r="L551" s="16" t="n">
        <v>0</v>
      </c>
      <c r="M551" s="16" t="n">
        <v>0.0323348899681003</v>
      </c>
      <c r="N551" s="16" t="n">
        <v>344</v>
      </c>
      <c r="O551" s="16" t="n">
        <v>0</v>
      </c>
      <c r="P551" s="16" t="n">
        <v>17.85464263320976</v>
      </c>
      <c r="Q551" t="n">
        <v>160817</v>
      </c>
      <c r="R551" t="n">
        <v>159904</v>
      </c>
      <c r="S551" t="n">
        <v>148519</v>
      </c>
      <c r="T551" t="n">
        <v>6272</v>
      </c>
      <c r="U551" t="n">
        <v>5371</v>
      </c>
      <c r="V551" t="n">
        <v>0.5677260488629934</v>
      </c>
      <c r="W551" t="n">
        <v>0</v>
      </c>
      <c r="X551" s="16">
        <f>IFERROR(K551/E551*100,"")</f>
        <v/>
      </c>
      <c r="Y551" s="16">
        <f>IFERROR((N551+O551)/E551*100,"")</f>
        <v/>
      </c>
      <c r="Z551" s="16">
        <f>IFERROR(R551/F551*100,"")</f>
        <v/>
      </c>
      <c r="AA551" s="16">
        <f>IFERROR(R551/E551*100,"")</f>
        <v/>
      </c>
      <c r="AB551" s="16">
        <f>IFERROR(S551/Q551*100,"")</f>
        <v/>
      </c>
      <c r="AC551" s="16">
        <f>IFERROR(T551/Q551*100,"")</f>
        <v/>
      </c>
      <c r="AD551" s="16">
        <f>IFERROR(U551/Q551*100,"")</f>
        <v/>
      </c>
      <c r="AE551" s="18">
        <f>IFERROR(E551/E547-1,"")</f>
        <v/>
      </c>
      <c r="AF551" s="18">
        <f>IFERROR(R551/R547-1,"")</f>
        <v/>
      </c>
      <c r="AG551" s="18">
        <f>IFERROR(F551/F547-1,"")</f>
        <v/>
      </c>
      <c r="AH551">
        <f>P551&gt;0</f>
        <v/>
      </c>
    </row>
    <row r="552">
      <c r="A552" s="14" t="n">
        <v>45107</v>
      </c>
      <c r="B552" t="n">
        <v>28155</v>
      </c>
      <c r="C552" t="inlineStr">
        <is>
          <t>PROFILE BANK</t>
        </is>
      </c>
      <c r="D552" t="inlineStr">
        <is>
          <t>NH</t>
        </is>
      </c>
      <c r="E552" t="n">
        <v>297569</v>
      </c>
      <c r="F552" t="n">
        <v>264006</v>
      </c>
      <c r="G552" t="n">
        <v>27564</v>
      </c>
      <c r="H552" s="16" t="n">
        <v>0.0381918077455666</v>
      </c>
      <c r="I552" s="16" t="n">
        <v>0.41</v>
      </c>
      <c r="J552" s="16" t="n">
        <v>2.470809232607293</v>
      </c>
      <c r="K552" s="16" t="n">
        <v>52</v>
      </c>
      <c r="L552" s="16" t="n">
        <v>0</v>
      </c>
      <c r="M552" s="16" t="n">
        <v>0.0326719360635343</v>
      </c>
      <c r="N552" s="16" t="n">
        <v>767</v>
      </c>
      <c r="O552" s="16" t="n">
        <v>0</v>
      </c>
      <c r="P552" s="16" t="n">
        <v>17.83793386505924</v>
      </c>
      <c r="Q552" t="n">
        <v>159158</v>
      </c>
      <c r="R552" t="n">
        <v>158345</v>
      </c>
      <c r="S552" t="n">
        <v>147112</v>
      </c>
      <c r="T552" t="n">
        <v>5813</v>
      </c>
      <c r="U552" t="n">
        <v>5560</v>
      </c>
      <c r="V552" t="n">
        <v>0.5108131542241043</v>
      </c>
      <c r="W552" t="n">
        <v>-0.07000000000000001</v>
      </c>
      <c r="X552" s="16">
        <f>IFERROR(K552/E552*100,"")</f>
        <v/>
      </c>
      <c r="Y552" s="16">
        <f>IFERROR((N552+O552)/E552*100,"")</f>
        <v/>
      </c>
      <c r="Z552" s="16">
        <f>IFERROR(R552/F552*100,"")</f>
        <v/>
      </c>
      <c r="AA552" s="16">
        <f>IFERROR(R552/E552*100,"")</f>
        <v/>
      </c>
      <c r="AB552" s="16">
        <f>IFERROR(S552/Q552*100,"")</f>
        <v/>
      </c>
      <c r="AC552" s="16">
        <f>IFERROR(T552/Q552*100,"")</f>
        <v/>
      </c>
      <c r="AD552" s="16">
        <f>IFERROR(U552/Q552*100,"")</f>
        <v/>
      </c>
      <c r="AE552" s="18">
        <f>IFERROR(E552/E548-1,"")</f>
        <v/>
      </c>
      <c r="AF552" s="18">
        <f>IFERROR(R552/R548-1,"")</f>
        <v/>
      </c>
      <c r="AG552" s="18">
        <f>IFERROR(F552/F548-1,"")</f>
        <v/>
      </c>
      <c r="AH552">
        <f>P552&gt;0</f>
        <v/>
      </c>
    </row>
    <row r="553">
      <c r="A553" s="14" t="n">
        <v>45199</v>
      </c>
      <c r="B553" t="n">
        <v>28155</v>
      </c>
      <c r="C553" t="inlineStr">
        <is>
          <t>PROFILE BANK</t>
        </is>
      </c>
      <c r="D553" t="inlineStr">
        <is>
          <t>NH</t>
        </is>
      </c>
      <c r="E553" t="n">
        <v>298875</v>
      </c>
      <c r="F553" t="n">
        <v>265401</v>
      </c>
      <c r="G553" t="n">
        <v>27404</v>
      </c>
      <c r="H553" s="16" t="n">
        <v>0.0370623139686274</v>
      </c>
      <c r="I553" s="16" t="n">
        <v>0.4</v>
      </c>
      <c r="J553" s="16" t="n">
        <v>2.46018753591954</v>
      </c>
      <c r="K553" s="16" t="n">
        <v>23</v>
      </c>
      <c r="L553" s="16" t="n">
        <v>5</v>
      </c>
      <c r="M553" s="16" t="n">
        <v>0.0139935872865217</v>
      </c>
      <c r="N553" s="16" t="n">
        <v>1393</v>
      </c>
      <c r="O553" s="16" t="n">
        <v>0</v>
      </c>
      <c r="P553" s="16" t="n">
        <v>18.18391722726308</v>
      </c>
      <c r="Q553" t="n">
        <v>164361</v>
      </c>
      <c r="R553" t="n">
        <v>163552</v>
      </c>
      <c r="S553" t="n">
        <v>146698</v>
      </c>
      <c r="T553" t="n">
        <v>11483</v>
      </c>
      <c r="U553" t="n">
        <v>5666</v>
      </c>
      <c r="V553" t="n">
        <v>0.4922092223824386</v>
      </c>
      <c r="W553" t="n">
        <v>-0.04</v>
      </c>
      <c r="X553" s="16">
        <f>IFERROR(K553/E553*100,"")</f>
        <v/>
      </c>
      <c r="Y553" s="16">
        <f>IFERROR((N553+O553)/E553*100,"")</f>
        <v/>
      </c>
      <c r="Z553" s="16">
        <f>IFERROR(R553/F553*100,"")</f>
        <v/>
      </c>
      <c r="AA553" s="16">
        <f>IFERROR(R553/E553*100,"")</f>
        <v/>
      </c>
      <c r="AB553" s="16">
        <f>IFERROR(S553/Q553*100,"")</f>
        <v/>
      </c>
      <c r="AC553" s="16">
        <f>IFERROR(T553/Q553*100,"")</f>
        <v/>
      </c>
      <c r="AD553" s="16">
        <f>IFERROR(U553/Q553*100,"")</f>
        <v/>
      </c>
      <c r="AE553" s="18">
        <f>IFERROR(E553/E549-1,"")</f>
        <v/>
      </c>
      <c r="AF553" s="18">
        <f>IFERROR(R553/R549-1,"")</f>
        <v/>
      </c>
      <c r="AG553" s="18">
        <f>IFERROR(F553/F549-1,"")</f>
        <v/>
      </c>
      <c r="AH553">
        <f>P553&gt;0</f>
        <v/>
      </c>
    </row>
    <row r="554">
      <c r="A554" s="14" t="n">
        <v>45291</v>
      </c>
      <c r="B554" t="n">
        <v>28155</v>
      </c>
      <c r="C554" t="inlineStr">
        <is>
          <t>PROFILE BANK</t>
        </is>
      </c>
      <c r="D554" t="inlineStr">
        <is>
          <t>NH</t>
        </is>
      </c>
      <c r="E554" t="n">
        <v>300333</v>
      </c>
      <c r="F554" t="n">
        <v>262408</v>
      </c>
      <c r="G554" t="n">
        <v>27418</v>
      </c>
      <c r="H554" s="16" t="n">
        <v>-0.0555299835149542</v>
      </c>
      <c r="I554" s="16" t="n">
        <v>-0.6</v>
      </c>
      <c r="J554" s="16" t="n">
        <v>2.447696089923794</v>
      </c>
      <c r="K554" s="16" t="n">
        <v>0</v>
      </c>
      <c r="L554" s="16" t="n">
        <v>5</v>
      </c>
      <c r="M554" s="16" t="n">
        <v>0</v>
      </c>
      <c r="N554" s="16" t="n">
        <v>931</v>
      </c>
      <c r="O554" s="16" t="n">
        <v>0</v>
      </c>
      <c r="P554" s="16" t="n">
        <v>17.46516337696098</v>
      </c>
      <c r="Q554" t="n">
        <v>167102</v>
      </c>
      <c r="R554" t="n">
        <v>166294</v>
      </c>
      <c r="S554" t="n">
        <v>149453</v>
      </c>
      <c r="T554" t="n">
        <v>11200</v>
      </c>
      <c r="U554" t="n">
        <v>5939</v>
      </c>
      <c r="V554" t="n">
        <v>0.4835370013524674</v>
      </c>
      <c r="W554" t="n">
        <v>-0.03</v>
      </c>
      <c r="X554" s="16">
        <f>IFERROR(K554/E554*100,"")</f>
        <v/>
      </c>
      <c r="Y554" s="16">
        <f>IFERROR((N554+O554)/E554*100,"")</f>
        <v/>
      </c>
      <c r="Z554" s="16">
        <f>IFERROR(R554/F554*100,"")</f>
        <v/>
      </c>
      <c r="AA554" s="16">
        <f>IFERROR(R554/E554*100,"")</f>
        <v/>
      </c>
      <c r="AB554" s="16">
        <f>IFERROR(S554/Q554*100,"")</f>
        <v/>
      </c>
      <c r="AC554" s="16">
        <f>IFERROR(T554/Q554*100,"")</f>
        <v/>
      </c>
      <c r="AD554" s="16">
        <f>IFERROR(U554/Q554*100,"")</f>
        <v/>
      </c>
      <c r="AE554" s="18">
        <f>IFERROR(E554/E550-1,"")</f>
        <v/>
      </c>
      <c r="AF554" s="18">
        <f>IFERROR(R554/R550-1,"")</f>
        <v/>
      </c>
      <c r="AG554" s="18">
        <f>IFERROR(F554/F550-1,"")</f>
        <v/>
      </c>
      <c r="AH554">
        <f>P554&gt;0</f>
        <v/>
      </c>
    </row>
    <row r="555">
      <c r="A555" s="14" t="n">
        <v>45382</v>
      </c>
      <c r="B555" t="n">
        <v>28155</v>
      </c>
      <c r="C555" t="inlineStr">
        <is>
          <t>PROFILE BANK</t>
        </is>
      </c>
      <c r="D555" t="inlineStr">
        <is>
          <t>NH</t>
        </is>
      </c>
      <c r="E555" t="n">
        <v>297031</v>
      </c>
      <c r="F555" t="n">
        <v>249108</v>
      </c>
      <c r="G555" t="n">
        <v>27388</v>
      </c>
      <c r="H555" s="16" t="n">
        <v>-0.0455333766346816</v>
      </c>
      <c r="I555" s="16" t="n">
        <v>-0.5</v>
      </c>
      <c r="J555" s="16" t="n">
        <v>2.367503755171753</v>
      </c>
      <c r="K555" s="16" t="n">
        <v>130</v>
      </c>
      <c r="L555" s="16" t="n">
        <v>1</v>
      </c>
      <c r="M555" s="16" t="n">
        <v>0.0779474634096619</v>
      </c>
      <c r="N555" s="16" t="n">
        <v>447</v>
      </c>
      <c r="O555" s="16" t="n">
        <v>0</v>
      </c>
      <c r="P555" s="16" t="n">
        <v>17.72502059333391</v>
      </c>
      <c r="Q555" t="n">
        <v>166779</v>
      </c>
      <c r="R555" t="n">
        <v>165991</v>
      </c>
      <c r="S555" t="n">
        <v>149746</v>
      </c>
      <c r="T555" t="n">
        <v>10532</v>
      </c>
      <c r="U555" t="n">
        <v>5990</v>
      </c>
      <c r="V555" t="n">
        <v>0.4724815474370274</v>
      </c>
      <c r="W555" t="n">
        <v>-0.03</v>
      </c>
      <c r="X555" s="16">
        <f>IFERROR(K555/E555*100,"")</f>
        <v/>
      </c>
      <c r="Y555" s="16">
        <f>IFERROR((N555+O555)/E555*100,"")</f>
        <v/>
      </c>
      <c r="Z555" s="16">
        <f>IFERROR(R555/F555*100,"")</f>
        <v/>
      </c>
      <c r="AA555" s="16">
        <f>IFERROR(R555/E555*100,"")</f>
        <v/>
      </c>
      <c r="AB555" s="16">
        <f>IFERROR(S555/Q555*100,"")</f>
        <v/>
      </c>
      <c r="AC555" s="16">
        <f>IFERROR(T555/Q555*100,"")</f>
        <v/>
      </c>
      <c r="AD555" s="16">
        <f>IFERROR(U555/Q555*100,"")</f>
        <v/>
      </c>
      <c r="AE555" s="18">
        <f>IFERROR(E555/E551-1,"")</f>
        <v/>
      </c>
      <c r="AF555" s="18">
        <f>IFERROR(R555/R551-1,"")</f>
        <v/>
      </c>
      <c r="AG555" s="18">
        <f>IFERROR(F555/F551-1,"")</f>
        <v/>
      </c>
      <c r="AH555">
        <f>P555&gt;0</f>
        <v/>
      </c>
    </row>
    <row r="556">
      <c r="A556" s="14" t="n">
        <v>45473</v>
      </c>
      <c r="B556" t="n">
        <v>28155</v>
      </c>
      <c r="C556" t="inlineStr">
        <is>
          <t>PROFILE BANK</t>
        </is>
      </c>
      <c r="D556" t="inlineStr">
        <is>
          <t>NH</t>
        </is>
      </c>
      <c r="E556" t="n">
        <v>302055</v>
      </c>
      <c r="F556" t="n">
        <v>259692</v>
      </c>
      <c r="G556" t="n">
        <v>27301</v>
      </c>
      <c r="H556" s="16" t="n">
        <v>-0.0547019798336481</v>
      </c>
      <c r="I556" s="16" t="n">
        <v>-0.6</v>
      </c>
      <c r="J556" s="16" t="n">
        <v>2.341000790316542</v>
      </c>
      <c r="K556" s="16" t="n">
        <v>0</v>
      </c>
      <c r="L556" s="16" t="n">
        <v>1</v>
      </c>
      <c r="M556" s="16" t="n">
        <v>0</v>
      </c>
      <c r="N556" s="16" t="n">
        <v>1271</v>
      </c>
      <c r="O556" s="16" t="n">
        <v>0</v>
      </c>
      <c r="P556" s="16" t="n">
        <v>16.92627023467222</v>
      </c>
      <c r="Q556" t="n">
        <v>173251</v>
      </c>
      <c r="R556" t="n">
        <v>172463</v>
      </c>
      <c r="S556" t="n">
        <v>155404</v>
      </c>
      <c r="T556" t="n">
        <v>11217</v>
      </c>
      <c r="U556" t="n">
        <v>6116</v>
      </c>
      <c r="V556" t="n">
        <v>0.4548314295444182</v>
      </c>
      <c r="W556" t="n">
        <v>-0.01</v>
      </c>
      <c r="X556" s="16">
        <f>IFERROR(K556/E556*100,"")</f>
        <v/>
      </c>
      <c r="Y556" s="16">
        <f>IFERROR((N556+O556)/E556*100,"")</f>
        <v/>
      </c>
      <c r="Z556" s="16">
        <f>IFERROR(R556/F556*100,"")</f>
        <v/>
      </c>
      <c r="AA556" s="16">
        <f>IFERROR(R556/E556*100,"")</f>
        <v/>
      </c>
      <c r="AB556" s="16">
        <f>IFERROR(S556/Q556*100,"")</f>
        <v/>
      </c>
      <c r="AC556" s="16">
        <f>IFERROR(T556/Q556*100,"")</f>
        <v/>
      </c>
      <c r="AD556" s="16">
        <f>IFERROR(U556/Q556*100,"")</f>
        <v/>
      </c>
      <c r="AE556" s="18">
        <f>IFERROR(E556/E552-1,"")</f>
        <v/>
      </c>
      <c r="AF556" s="18">
        <f>IFERROR(R556/R552-1,"")</f>
        <v/>
      </c>
      <c r="AG556" s="18">
        <f>IFERROR(F556/F552-1,"")</f>
        <v/>
      </c>
      <c r="AH556">
        <f>P556&gt;0</f>
        <v/>
      </c>
    </row>
    <row r="557">
      <c r="A557" s="14" t="n">
        <v>45565</v>
      </c>
      <c r="B557" t="n">
        <v>28155</v>
      </c>
      <c r="C557" t="inlineStr">
        <is>
          <t>PROFILE BANK</t>
        </is>
      </c>
      <c r="D557" t="inlineStr">
        <is>
          <t>NH</t>
        </is>
      </c>
      <c r="E557" t="n">
        <v>298193</v>
      </c>
      <c r="F557" t="n">
        <v>259984</v>
      </c>
      <c r="G557" t="n">
        <v>27490</v>
      </c>
      <c r="H557" s="16" t="n">
        <v>0</v>
      </c>
      <c r="I557" s="16" t="n">
        <v>0</v>
      </c>
      <c r="J557" s="16" t="n">
        <v>2.42072302479044</v>
      </c>
      <c r="K557" s="16" t="n">
        <v>46</v>
      </c>
      <c r="L557" s="16" t="n">
        <v>1</v>
      </c>
      <c r="M557" s="16" t="n">
        <v>0.0264900662251655</v>
      </c>
      <c r="N557" s="16" t="n">
        <v>1482</v>
      </c>
      <c r="O557" s="16" t="n">
        <v>0</v>
      </c>
      <c r="P557" s="16" t="n">
        <v>17.56844750886972</v>
      </c>
      <c r="Q557" t="n">
        <v>173650</v>
      </c>
      <c r="R557" t="n">
        <v>172862</v>
      </c>
      <c r="S557" t="n">
        <v>156786</v>
      </c>
      <c r="T557" t="n">
        <v>10105</v>
      </c>
      <c r="U557" t="n">
        <v>6248</v>
      </c>
      <c r="V557" t="n">
        <v>0.4537863518571839</v>
      </c>
      <c r="W557" t="n">
        <v>-0.01</v>
      </c>
      <c r="X557" s="16">
        <f>IFERROR(K557/E557*100,"")</f>
        <v/>
      </c>
      <c r="Y557" s="16">
        <f>IFERROR((N557+O557)/E557*100,"")</f>
        <v/>
      </c>
      <c r="Z557" s="16">
        <f>IFERROR(R557/F557*100,"")</f>
        <v/>
      </c>
      <c r="AA557" s="16">
        <f>IFERROR(R557/E557*100,"")</f>
        <v/>
      </c>
      <c r="AB557" s="16">
        <f>IFERROR(S557/Q557*100,"")</f>
        <v/>
      </c>
      <c r="AC557" s="16">
        <f>IFERROR(T557/Q557*100,"")</f>
        <v/>
      </c>
      <c r="AD557" s="16">
        <f>IFERROR(U557/Q557*100,"")</f>
        <v/>
      </c>
      <c r="AE557" s="18">
        <f>IFERROR(E557/E553-1,"")</f>
        <v/>
      </c>
      <c r="AF557" s="18">
        <f>IFERROR(R557/R553-1,"")</f>
        <v/>
      </c>
      <c r="AG557" s="18">
        <f>IFERROR(F557/F553-1,"")</f>
        <v/>
      </c>
      <c r="AH557">
        <f>P557&gt;0</f>
        <v/>
      </c>
    </row>
    <row r="558">
      <c r="A558" s="14" t="n">
        <v>45657</v>
      </c>
      <c r="B558" t="n">
        <v>28155</v>
      </c>
      <c r="C558" t="inlineStr">
        <is>
          <t>PROFILE BANK</t>
        </is>
      </c>
      <c r="D558" t="inlineStr">
        <is>
          <t>NH</t>
        </is>
      </c>
      <c r="E558" t="n">
        <v>295833</v>
      </c>
      <c r="F558" t="n">
        <v>257082</v>
      </c>
      <c r="G558" t="n">
        <v>27363</v>
      </c>
      <c r="H558" s="16" t="n">
        <v>-0.0231009511565541</v>
      </c>
      <c r="I558" s="16" t="n">
        <v>-0.25</v>
      </c>
      <c r="J558" s="16" t="n">
        <v>2.461301206473916</v>
      </c>
      <c r="K558" s="16" t="n">
        <v>0</v>
      </c>
      <c r="L558" s="16" t="n">
        <v>1</v>
      </c>
      <c r="M558" s="16" t="n">
        <v>0</v>
      </c>
      <c r="N558" s="16" t="n">
        <v>1275</v>
      </c>
      <c r="O558" s="16" t="n">
        <v>0</v>
      </c>
      <c r="P558" s="16" t="n">
        <v>17.61094362467819</v>
      </c>
      <c r="Q558" t="n">
        <v>174792</v>
      </c>
      <c r="R558" t="n">
        <v>174004</v>
      </c>
      <c r="S558" t="n">
        <v>157930</v>
      </c>
      <c r="T558" t="n">
        <v>9970</v>
      </c>
      <c r="U558" t="n">
        <v>6380</v>
      </c>
      <c r="V558" t="n">
        <v>0.4508215478969289</v>
      </c>
      <c r="W558" t="n">
        <v>-0.01</v>
      </c>
      <c r="X558" s="16">
        <f>IFERROR(K558/E558*100,"")</f>
        <v/>
      </c>
      <c r="Y558" s="16">
        <f>IFERROR((N558+O558)/E558*100,"")</f>
        <v/>
      </c>
      <c r="Z558" s="16">
        <f>IFERROR(R558/F558*100,"")</f>
        <v/>
      </c>
      <c r="AA558" s="16">
        <f>IFERROR(R558/E558*100,"")</f>
        <v/>
      </c>
      <c r="AB558" s="16">
        <f>IFERROR(S558/Q558*100,"")</f>
        <v/>
      </c>
      <c r="AC558" s="16">
        <f>IFERROR(T558/Q558*100,"")</f>
        <v/>
      </c>
      <c r="AD558" s="16">
        <f>IFERROR(U558/Q558*100,"")</f>
        <v/>
      </c>
      <c r="AE558" s="18">
        <f>IFERROR(E558/E554-1,"")</f>
        <v/>
      </c>
      <c r="AF558" s="18">
        <f>IFERROR(R558/R554-1,"")</f>
        <v/>
      </c>
      <c r="AG558" s="18">
        <f>IFERROR(F558/F554-1,"")</f>
        <v/>
      </c>
      <c r="AH558">
        <f>P558&gt;0</f>
        <v/>
      </c>
    </row>
    <row r="559">
      <c r="A559" s="14" t="n">
        <v>45747</v>
      </c>
      <c r="B559" t="n">
        <v>28155</v>
      </c>
      <c r="C559" t="inlineStr">
        <is>
          <t>PROFILE BANK</t>
        </is>
      </c>
      <c r="D559" t="inlineStr">
        <is>
          <t>NH</t>
        </is>
      </c>
      <c r="E559" t="n">
        <v>299190</v>
      </c>
      <c r="F559" t="n">
        <v>270079</v>
      </c>
      <c r="G559" t="n">
        <v>27411</v>
      </c>
      <c r="H559" s="16" t="n">
        <v>-0.1035254099421367</v>
      </c>
      <c r="I559" s="16" t="n">
        <v>-1.12</v>
      </c>
      <c r="J559" s="16" t="n">
        <v>2.618759034305671</v>
      </c>
      <c r="K559" s="16" t="n">
        <v>304</v>
      </c>
      <c r="L559" s="16" t="n">
        <v>0</v>
      </c>
      <c r="M559" s="16" t="n">
        <v>0.1726242866471707</v>
      </c>
      <c r="N559" s="16" t="n">
        <v>1504</v>
      </c>
      <c r="O559" s="16" t="n">
        <v>0</v>
      </c>
      <c r="P559" s="16" t="n">
        <v>17.47640748875895</v>
      </c>
      <c r="Q559" t="n">
        <v>176105</v>
      </c>
      <c r="R559" t="n">
        <v>175317</v>
      </c>
      <c r="S559" t="n">
        <v>159503</v>
      </c>
      <c r="T559" t="n">
        <v>9840</v>
      </c>
      <c r="U559" t="n">
        <v>6251</v>
      </c>
      <c r="V559" t="n">
        <v>0.4474603219670083</v>
      </c>
      <c r="W559" t="n">
        <v>0</v>
      </c>
      <c r="X559" s="16">
        <f>IFERROR(K559/E559*100,"")</f>
        <v/>
      </c>
      <c r="Y559" s="16">
        <f>IFERROR((N559+O559)/E559*100,"")</f>
        <v/>
      </c>
      <c r="Z559" s="16">
        <f>IFERROR(R559/F559*100,"")</f>
        <v/>
      </c>
      <c r="AA559" s="16">
        <f>IFERROR(R559/E559*100,"")</f>
        <v/>
      </c>
      <c r="AB559" s="16">
        <f>IFERROR(S559/Q559*100,"")</f>
        <v/>
      </c>
      <c r="AC559" s="16">
        <f>IFERROR(T559/Q559*100,"")</f>
        <v/>
      </c>
      <c r="AD559" s="16">
        <f>IFERROR(U559/Q559*100,"")</f>
        <v/>
      </c>
      <c r="AE559" s="18">
        <f>IFERROR(E559/E555-1,"")</f>
        <v/>
      </c>
      <c r="AF559" s="18">
        <f>IFERROR(R559/R555-1,"")</f>
        <v/>
      </c>
      <c r="AG559" s="18">
        <f>IFERROR(F559/F555-1,"")</f>
        <v/>
      </c>
      <c r="AH559">
        <f>P559&gt;0</f>
        <v/>
      </c>
    </row>
    <row r="560">
      <c r="A560" s="14" t="n">
        <v>45838</v>
      </c>
      <c r="B560" t="n">
        <v>28155</v>
      </c>
      <c r="C560" t="inlineStr">
        <is>
          <t>PROFILE BANK</t>
        </is>
      </c>
      <c r="D560" t="inlineStr">
        <is>
          <t>NH</t>
        </is>
      </c>
      <c r="E560" t="n">
        <v>317001</v>
      </c>
      <c r="F560" t="n">
        <v>287929</v>
      </c>
      <c r="G560" t="n">
        <v>27470</v>
      </c>
      <c r="H560" s="16" t="n">
        <v>-0.0309202389410805</v>
      </c>
      <c r="I560" s="16" t="n">
        <v>-0.34</v>
      </c>
      <c r="J560" s="16" t="n">
        <v>2.661899458073212</v>
      </c>
      <c r="K560" s="16" t="n">
        <v>0</v>
      </c>
      <c r="L560" s="16" t="n">
        <v>22</v>
      </c>
      <c r="M560" s="16" t="n">
        <v>0</v>
      </c>
      <c r="N560" s="16" t="n">
        <v>1753</v>
      </c>
      <c r="O560" s="16" t="n">
        <v>0</v>
      </c>
      <c r="P560" s="16" t="n">
        <v>17.18116470714875</v>
      </c>
      <c r="Q560" t="n">
        <v>180807</v>
      </c>
      <c r="R560" t="n">
        <v>180041</v>
      </c>
      <c r="S560" t="n">
        <v>165552</v>
      </c>
      <c r="T560" t="n">
        <v>8456</v>
      </c>
      <c r="U560" t="n">
        <v>6285</v>
      </c>
      <c r="V560" t="n">
        <v>0.4236561637547218</v>
      </c>
      <c r="W560" t="n">
        <v>0</v>
      </c>
      <c r="X560" s="16">
        <f>IFERROR(K560/E560*100,"")</f>
        <v/>
      </c>
      <c r="Y560" s="16">
        <f>IFERROR((N560+O560)/E560*100,"")</f>
        <v/>
      </c>
      <c r="Z560" s="16">
        <f>IFERROR(R560/F560*100,"")</f>
        <v/>
      </c>
      <c r="AA560" s="16">
        <f>IFERROR(R560/E560*100,"")</f>
        <v/>
      </c>
      <c r="AB560" s="16">
        <f>IFERROR(S560/Q560*100,"")</f>
        <v/>
      </c>
      <c r="AC560" s="16">
        <f>IFERROR(T560/Q560*100,"")</f>
        <v/>
      </c>
      <c r="AD560" s="16">
        <f>IFERROR(U560/Q560*100,"")</f>
        <v/>
      </c>
      <c r="AE560" s="18">
        <f>IFERROR(E560/E556-1,"")</f>
        <v/>
      </c>
      <c r="AF560" s="18">
        <f>IFERROR(R560/R556-1,"")</f>
        <v/>
      </c>
      <c r="AG560" s="18">
        <f>IFERROR(F560/F556-1,"")</f>
        <v/>
      </c>
      <c r="AH560">
        <f>P560&gt;0</f>
        <v/>
      </c>
    </row>
    <row r="561">
      <c r="A561" s="14" t="n">
        <v>44651</v>
      </c>
      <c r="B561" t="n">
        <v>28288</v>
      </c>
      <c r="C561" t="inlineStr">
        <is>
          <t>AUBURN SAVINGS BANK, FSB</t>
        </is>
      </c>
      <c r="D561" t="inlineStr">
        <is>
          <t>ME</t>
        </is>
      </c>
      <c r="E561" t="n">
        <v>92044</v>
      </c>
      <c r="F561" t="n">
        <v>76920</v>
      </c>
      <c r="G561" t="n">
        <v>7147</v>
      </c>
      <c r="H561" s="16" t="n">
        <v>0.0043253764429185</v>
      </c>
      <c r="I561" s="16" t="n">
        <v>0.05</v>
      </c>
      <c r="J561" s="16" t="n">
        <v>3.433944886321642</v>
      </c>
      <c r="K561" s="16" t="n">
        <v>606</v>
      </c>
      <c r="L561" s="16" t="n">
        <v>-2</v>
      </c>
      <c r="M561" s="16" t="n">
        <v>0.8118318463146048</v>
      </c>
      <c r="N561" s="16" t="n">
        <v>345</v>
      </c>
      <c r="O561" s="16" t="n">
        <v>0</v>
      </c>
      <c r="P561" s="16" t="n">
        <v>14.46742965036355</v>
      </c>
      <c r="Q561" t="n">
        <v>74646</v>
      </c>
      <c r="R561" t="n">
        <v>73777</v>
      </c>
      <c r="S561" t="n">
        <v>70352</v>
      </c>
      <c r="T561" t="n">
        <v>3708</v>
      </c>
      <c r="U561" t="n">
        <v>587</v>
      </c>
      <c r="V561" t="n">
        <v>1.164161508989095</v>
      </c>
      <c r="W561" t="n">
        <v>0</v>
      </c>
      <c r="X561" s="16">
        <f>IFERROR(K561/E561*100,"")</f>
        <v/>
      </c>
      <c r="Y561" s="16">
        <f>IFERROR((N561+O561)/E561*100,"")</f>
        <v/>
      </c>
      <c r="Z561" s="16">
        <f>IFERROR(R561/F561*100,"")</f>
        <v/>
      </c>
      <c r="AA561" s="16">
        <f>IFERROR(R561/E561*100,"")</f>
        <v/>
      </c>
      <c r="AB561" s="16">
        <f>IFERROR(S561/Q561*100,"")</f>
        <v/>
      </c>
      <c r="AC561" s="16">
        <f>IFERROR(T561/Q561*100,"")</f>
        <v/>
      </c>
      <c r="AD561" s="16">
        <f>IFERROR(U561/Q561*100,"")</f>
        <v/>
      </c>
      <c r="AE561" s="18" t="n"/>
      <c r="AF561" s="18" t="n"/>
      <c r="AG561" s="18" t="n"/>
      <c r="AH561">
        <f>P561&gt;0</f>
        <v/>
      </c>
    </row>
    <row r="562">
      <c r="A562" s="14" t="n">
        <v>44742</v>
      </c>
      <c r="B562" t="n">
        <v>28288</v>
      </c>
      <c r="C562" t="inlineStr">
        <is>
          <t>AUBURN SAVINGS BANK, FSB</t>
        </is>
      </c>
      <c r="D562" t="inlineStr">
        <is>
          <t>ME</t>
        </is>
      </c>
      <c r="E562" t="n">
        <v>98212</v>
      </c>
      <c r="F562" t="n">
        <v>80509</v>
      </c>
      <c r="G562" t="n">
        <v>6561</v>
      </c>
      <c r="H562" s="16" t="n">
        <v>0.0974689847333905</v>
      </c>
      <c r="I562" s="16" t="n">
        <v>1.28</v>
      </c>
      <c r="J562" s="16" t="n">
        <v>3.521506075340914</v>
      </c>
      <c r="K562" s="16" t="n">
        <v>408</v>
      </c>
      <c r="L562" s="16" t="n">
        <v>47</v>
      </c>
      <c r="M562" s="16" t="n">
        <v>0.5289290483166315</v>
      </c>
      <c r="N562" s="16" t="n">
        <v>38</v>
      </c>
      <c r="O562" s="16" t="n">
        <v>0</v>
      </c>
      <c r="P562" s="16" t="n">
        <v>13.43650805704479</v>
      </c>
      <c r="Q562" t="n">
        <v>77137</v>
      </c>
      <c r="R562" t="n">
        <v>76277</v>
      </c>
      <c r="S562" t="n">
        <v>73486</v>
      </c>
      <c r="T562" t="n">
        <v>3133</v>
      </c>
      <c r="U562" t="n">
        <v>518</v>
      </c>
      <c r="V562" t="n">
        <v>1.114899464588978</v>
      </c>
      <c r="W562" t="n">
        <v>0.08</v>
      </c>
      <c r="X562" s="16">
        <f>IFERROR(K562/E562*100,"")</f>
        <v/>
      </c>
      <c r="Y562" s="16">
        <f>IFERROR((N562+O562)/E562*100,"")</f>
        <v/>
      </c>
      <c r="Z562" s="16">
        <f>IFERROR(R562/F562*100,"")</f>
        <v/>
      </c>
      <c r="AA562" s="16">
        <f>IFERROR(R562/E562*100,"")</f>
        <v/>
      </c>
      <c r="AB562" s="16">
        <f>IFERROR(S562/Q562*100,"")</f>
        <v/>
      </c>
      <c r="AC562" s="16">
        <f>IFERROR(T562/Q562*100,"")</f>
        <v/>
      </c>
      <c r="AD562" s="16">
        <f>IFERROR(U562/Q562*100,"")</f>
        <v/>
      </c>
      <c r="AE562" s="18" t="n"/>
      <c r="AF562" s="18" t="n"/>
      <c r="AG562" s="18" t="n"/>
      <c r="AH562">
        <f>P562&gt;0</f>
        <v/>
      </c>
    </row>
    <row r="563">
      <c r="A563" s="14" t="n">
        <v>44834</v>
      </c>
      <c r="B563" t="n">
        <v>28288</v>
      </c>
      <c r="C563" t="inlineStr">
        <is>
          <t>AUBURN SAVINGS BANK, FSB</t>
        </is>
      </c>
      <c r="D563" t="inlineStr">
        <is>
          <t>ME</t>
        </is>
      </c>
      <c r="E563" t="n">
        <v>98792</v>
      </c>
      <c r="F563" t="n">
        <v>81542</v>
      </c>
      <c r="G563" t="n">
        <v>5736</v>
      </c>
      <c r="H563" s="16" t="n">
        <v>0.1005318371867137</v>
      </c>
      <c r="I563" s="16" t="n">
        <v>1.41</v>
      </c>
      <c r="J563" s="16" t="n">
        <v>3.53829172909139</v>
      </c>
      <c r="K563" s="16" t="n">
        <v>387</v>
      </c>
      <c r="L563" s="16" t="n">
        <v>46</v>
      </c>
      <c r="M563" s="16" t="n">
        <v>0.4956327962910786</v>
      </c>
      <c r="N563" s="16" t="n">
        <v>133</v>
      </c>
      <c r="O563" s="16" t="n">
        <v>0</v>
      </c>
      <c r="P563" s="16" t="n">
        <v>13.80471905556508</v>
      </c>
      <c r="Q563" t="n">
        <v>78082</v>
      </c>
      <c r="R563" t="n">
        <v>77221</v>
      </c>
      <c r="S563" t="n">
        <v>74509</v>
      </c>
      <c r="T563" t="n">
        <v>3129</v>
      </c>
      <c r="U563" t="n">
        <v>444</v>
      </c>
      <c r="V563" t="n">
        <v>1.102686918880152</v>
      </c>
      <c r="W563" t="n">
        <v>0.06</v>
      </c>
      <c r="X563" s="16">
        <f>IFERROR(K563/E563*100,"")</f>
        <v/>
      </c>
      <c r="Y563" s="16">
        <f>IFERROR((N563+O563)/E563*100,"")</f>
        <v/>
      </c>
      <c r="Z563" s="16">
        <f>IFERROR(R563/F563*100,"")</f>
        <v/>
      </c>
      <c r="AA563" s="16">
        <f>IFERROR(R563/E563*100,"")</f>
        <v/>
      </c>
      <c r="AB563" s="16">
        <f>IFERROR(S563/Q563*100,"")</f>
        <v/>
      </c>
      <c r="AC563" s="16">
        <f>IFERROR(T563/Q563*100,"")</f>
        <v/>
      </c>
      <c r="AD563" s="16">
        <f>IFERROR(U563/Q563*100,"")</f>
        <v/>
      </c>
      <c r="AE563" s="18" t="n"/>
      <c r="AF563" s="18" t="n"/>
      <c r="AG563" s="18" t="n"/>
      <c r="AH563">
        <f>P563&gt;0</f>
        <v/>
      </c>
    </row>
    <row r="564">
      <c r="A564" s="14" t="n">
        <v>44926</v>
      </c>
      <c r="B564" t="n">
        <v>28288</v>
      </c>
      <c r="C564" t="inlineStr">
        <is>
          <t>AUBURN SAVINGS BANK, FSB</t>
        </is>
      </c>
      <c r="D564" t="inlineStr">
        <is>
          <t>ME</t>
        </is>
      </c>
      <c r="E564" t="n">
        <v>101567</v>
      </c>
      <c r="F564" t="n">
        <v>81268</v>
      </c>
      <c r="G564" t="n">
        <v>5901</v>
      </c>
      <c r="H564" s="16" t="n">
        <v>0.0982367028867113</v>
      </c>
      <c r="I564" s="16" t="n">
        <v>1.43</v>
      </c>
      <c r="J564" s="16" t="n">
        <v>3.467383731057307</v>
      </c>
      <c r="K564" s="16" t="n">
        <v>364</v>
      </c>
      <c r="L564" s="16" t="n">
        <v>45</v>
      </c>
      <c r="M564" s="16" t="n">
        <v>0.4623513870541612</v>
      </c>
      <c r="N564" s="16" t="n">
        <v>54</v>
      </c>
      <c r="O564" s="16" t="n">
        <v>0</v>
      </c>
      <c r="P564" s="16" t="n">
        <v>13.6622857582046</v>
      </c>
      <c r="Q564" t="n">
        <v>78728</v>
      </c>
      <c r="R564" t="n">
        <v>77866</v>
      </c>
      <c r="S564" t="n">
        <v>74650</v>
      </c>
      <c r="T564" t="n">
        <v>3446</v>
      </c>
      <c r="U564" t="n">
        <v>633</v>
      </c>
      <c r="V564" t="n">
        <v>1.094909053957931</v>
      </c>
      <c r="W564" t="n">
        <v>0.04</v>
      </c>
      <c r="X564" s="16">
        <f>IFERROR(K564/E564*100,"")</f>
        <v/>
      </c>
      <c r="Y564" s="16">
        <f>IFERROR((N564+O564)/E564*100,"")</f>
        <v/>
      </c>
      <c r="Z564" s="16">
        <f>IFERROR(R564/F564*100,"")</f>
        <v/>
      </c>
      <c r="AA564" s="16">
        <f>IFERROR(R564/E564*100,"")</f>
        <v/>
      </c>
      <c r="AB564" s="16">
        <f>IFERROR(S564/Q564*100,"")</f>
        <v/>
      </c>
      <c r="AC564" s="16">
        <f>IFERROR(T564/Q564*100,"")</f>
        <v/>
      </c>
      <c r="AD564" s="16">
        <f>IFERROR(U564/Q564*100,"")</f>
        <v/>
      </c>
      <c r="AE564" s="18" t="n"/>
      <c r="AF564" s="18" t="n"/>
      <c r="AG564" s="18" t="n"/>
      <c r="AH564">
        <f>P564&gt;0</f>
        <v/>
      </c>
    </row>
    <row r="565">
      <c r="A565" s="14" t="n">
        <v>45016</v>
      </c>
      <c r="B565" t="n">
        <v>28288</v>
      </c>
      <c r="C565" t="inlineStr">
        <is>
          <t>AUBURN SAVINGS BANK, FSB</t>
        </is>
      </c>
      <c r="D565" t="inlineStr">
        <is>
          <t>ME</t>
        </is>
      </c>
      <c r="E565" t="n">
        <v>101744</v>
      </c>
      <c r="F565" t="n">
        <v>79637</v>
      </c>
      <c r="G565" t="n">
        <v>6128</v>
      </c>
      <c r="H565" s="16" t="n">
        <v>0.0747623099586348</v>
      </c>
      <c r="I565" s="16" t="n">
        <v>1.26</v>
      </c>
      <c r="J565" s="16" t="n">
        <v>3.007799923143234</v>
      </c>
      <c r="K565" s="16" t="n">
        <v>270</v>
      </c>
      <c r="L565" s="16" t="n">
        <v>-1</v>
      </c>
      <c r="M565" s="16" t="n">
        <v>0.3410813542193027</v>
      </c>
      <c r="N565" s="16" t="n">
        <v>844</v>
      </c>
      <c r="O565" s="16" t="n">
        <v>0</v>
      </c>
      <c r="P565" s="16" t="n">
        <v>13.76414919280015</v>
      </c>
      <c r="Q565" t="n">
        <v>79160</v>
      </c>
      <c r="R565" t="n">
        <v>78296</v>
      </c>
      <c r="S565" t="n">
        <v>75313</v>
      </c>
      <c r="T565" t="n">
        <v>3222</v>
      </c>
      <c r="U565" t="n">
        <v>625</v>
      </c>
      <c r="V565" t="n">
        <v>1.091460333501768</v>
      </c>
      <c r="W565" t="n">
        <v>0</v>
      </c>
      <c r="X565" s="16">
        <f>IFERROR(K565/E565*100,"")</f>
        <v/>
      </c>
      <c r="Y565" s="16">
        <f>IFERROR((N565+O565)/E565*100,"")</f>
        <v/>
      </c>
      <c r="Z565" s="16">
        <f>IFERROR(R565/F565*100,"")</f>
        <v/>
      </c>
      <c r="AA565" s="16">
        <f>IFERROR(R565/E565*100,"")</f>
        <v/>
      </c>
      <c r="AB565" s="16">
        <f>IFERROR(S565/Q565*100,"")</f>
        <v/>
      </c>
      <c r="AC565" s="16">
        <f>IFERROR(T565/Q565*100,"")</f>
        <v/>
      </c>
      <c r="AD565" s="16">
        <f>IFERROR(U565/Q565*100,"")</f>
        <v/>
      </c>
      <c r="AE565" s="18">
        <f>IFERROR(E565/E561-1,"")</f>
        <v/>
      </c>
      <c r="AF565" s="18">
        <f>IFERROR(R565/R561-1,"")</f>
        <v/>
      </c>
      <c r="AG565" s="18">
        <f>IFERROR(F565/F561-1,"")</f>
        <v/>
      </c>
      <c r="AH565">
        <f>P565&gt;0</f>
        <v/>
      </c>
    </row>
    <row r="566">
      <c r="A566" s="14" t="n">
        <v>45107</v>
      </c>
      <c r="B566" t="n">
        <v>28288</v>
      </c>
      <c r="C566" t="inlineStr">
        <is>
          <t>AUBURN SAVINGS BANK, FSB</t>
        </is>
      </c>
      <c r="D566" t="inlineStr">
        <is>
          <t>ME</t>
        </is>
      </c>
      <c r="E566" t="n">
        <v>103989</v>
      </c>
      <c r="F566" t="n">
        <v>78624</v>
      </c>
      <c r="G566" t="n">
        <v>5937</v>
      </c>
      <c r="H566" s="16" t="n">
        <v>-0.0292873413602343</v>
      </c>
      <c r="I566" s="16" t="n">
        <v>-0.5</v>
      </c>
      <c r="J566" s="16" t="n">
        <v>2.819089518637543</v>
      </c>
      <c r="K566" s="16" t="n">
        <v>266</v>
      </c>
      <c r="L566" s="16" t="n">
        <v>-8</v>
      </c>
      <c r="M566" s="16" t="n">
        <v>0.3280265380868407</v>
      </c>
      <c r="N566" s="16" t="n">
        <v>831</v>
      </c>
      <c r="O566" s="16" t="n">
        <v>0</v>
      </c>
      <c r="P566" s="16" t="n">
        <v>13.43290350863932</v>
      </c>
      <c r="Q566" t="n">
        <v>81091</v>
      </c>
      <c r="R566" t="n">
        <v>80221</v>
      </c>
      <c r="S566" t="n">
        <v>75531</v>
      </c>
      <c r="T566" t="n">
        <v>4909</v>
      </c>
      <c r="U566" t="n">
        <v>651</v>
      </c>
      <c r="V566" t="n">
        <v>1.072868752389291</v>
      </c>
      <c r="W566" t="n">
        <v>0</v>
      </c>
      <c r="X566" s="16">
        <f>IFERROR(K566/E566*100,"")</f>
        <v/>
      </c>
      <c r="Y566" s="16">
        <f>IFERROR((N566+O566)/E566*100,"")</f>
        <v/>
      </c>
      <c r="Z566" s="16">
        <f>IFERROR(R566/F566*100,"")</f>
        <v/>
      </c>
      <c r="AA566" s="16">
        <f>IFERROR(R566/E566*100,"")</f>
        <v/>
      </c>
      <c r="AB566" s="16">
        <f>IFERROR(S566/Q566*100,"")</f>
        <v/>
      </c>
      <c r="AC566" s="16">
        <f>IFERROR(T566/Q566*100,"")</f>
        <v/>
      </c>
      <c r="AD566" s="16">
        <f>IFERROR(U566/Q566*100,"")</f>
        <v/>
      </c>
      <c r="AE566" s="18">
        <f>IFERROR(E566/E562-1,"")</f>
        <v/>
      </c>
      <c r="AF566" s="18">
        <f>IFERROR(R566/R562-1,"")</f>
        <v/>
      </c>
      <c r="AG566" s="18">
        <f>IFERROR(F566/F562-1,"")</f>
        <v/>
      </c>
      <c r="AH566">
        <f>P566&gt;0</f>
        <v/>
      </c>
    </row>
    <row r="567">
      <c r="A567" s="14" t="n">
        <v>45199</v>
      </c>
      <c r="B567" t="n">
        <v>28288</v>
      </c>
      <c r="C567" t="inlineStr">
        <is>
          <t>AUBURN SAVINGS BANK, FSB</t>
        </is>
      </c>
      <c r="D567" t="inlineStr">
        <is>
          <t>ME</t>
        </is>
      </c>
      <c r="E567" t="n">
        <v>101273</v>
      </c>
      <c r="F567" t="n">
        <v>77424</v>
      </c>
      <c r="G567" t="n">
        <v>5334</v>
      </c>
      <c r="H567" s="16" t="n">
        <v>-0.0352437385730334</v>
      </c>
      <c r="I567" s="16" t="n">
        <v>-0.62</v>
      </c>
      <c r="J567" s="16" t="n">
        <v>2.737185498202257</v>
      </c>
      <c r="K567" s="16" t="n">
        <v>264</v>
      </c>
      <c r="L567" s="16" t="n">
        <v>-8</v>
      </c>
      <c r="M567" s="16" t="n">
        <v>0.3251591925213385</v>
      </c>
      <c r="N567" s="16" t="n">
        <v>37</v>
      </c>
      <c r="O567" s="16" t="n">
        <v>0</v>
      </c>
      <c r="P567" s="16" t="n">
        <v>13.26811053024645</v>
      </c>
      <c r="Q567" t="n">
        <v>81191</v>
      </c>
      <c r="R567" t="n">
        <v>80321</v>
      </c>
      <c r="S567" t="n">
        <v>76188</v>
      </c>
      <c r="T567" t="n">
        <v>4476</v>
      </c>
      <c r="U567" t="n">
        <v>527</v>
      </c>
      <c r="V567" t="n">
        <v>1.071547338990775</v>
      </c>
      <c r="W567" t="n">
        <v>0</v>
      </c>
      <c r="X567" s="16">
        <f>IFERROR(K567/E567*100,"")</f>
        <v/>
      </c>
      <c r="Y567" s="16">
        <f>IFERROR((N567+O567)/E567*100,"")</f>
        <v/>
      </c>
      <c r="Z567" s="16">
        <f>IFERROR(R567/F567*100,"")</f>
        <v/>
      </c>
      <c r="AA567" s="16">
        <f>IFERROR(R567/E567*100,"")</f>
        <v/>
      </c>
      <c r="AB567" s="16">
        <f>IFERROR(S567/Q567*100,"")</f>
        <v/>
      </c>
      <c r="AC567" s="16">
        <f>IFERROR(T567/Q567*100,"")</f>
        <v/>
      </c>
      <c r="AD567" s="16">
        <f>IFERROR(U567/Q567*100,"")</f>
        <v/>
      </c>
      <c r="AE567" s="18">
        <f>IFERROR(E567/E563-1,"")</f>
        <v/>
      </c>
      <c r="AF567" s="18">
        <f>IFERROR(R567/R563-1,"")</f>
        <v/>
      </c>
      <c r="AG567" s="18">
        <f>IFERROR(F567/F563-1,"")</f>
        <v/>
      </c>
      <c r="AH567">
        <f>P567&gt;0</f>
        <v/>
      </c>
    </row>
    <row r="568">
      <c r="A568" s="14" t="n">
        <v>45291</v>
      </c>
      <c r="B568" t="n">
        <v>28288</v>
      </c>
      <c r="C568" t="inlineStr">
        <is>
          <t>AUBURN SAVINGS BANK, FSB</t>
        </is>
      </c>
      <c r="D568" t="inlineStr">
        <is>
          <t>ME</t>
        </is>
      </c>
      <c r="E568" t="n">
        <v>105413</v>
      </c>
      <c r="F568" t="n">
        <v>79221</v>
      </c>
      <c r="G568" t="n">
        <v>6044</v>
      </c>
      <c r="H568" s="16" t="n">
        <v>-0.06614966166393629</v>
      </c>
      <c r="I568" s="16" t="n">
        <v>-1.16</v>
      </c>
      <c r="J568" s="16" t="n">
        <v>2.660468816639874</v>
      </c>
      <c r="K568" s="16" t="n">
        <v>257</v>
      </c>
      <c r="L568" s="16" t="n">
        <v>-8</v>
      </c>
      <c r="M568" s="16" t="n">
        <v>0.3025807666949232</v>
      </c>
      <c r="N568" s="16" t="n">
        <v>125</v>
      </c>
      <c r="O568" s="16" t="n">
        <v>0</v>
      </c>
      <c r="P568" s="16" t="n">
        <v>12.81717819779203</v>
      </c>
      <c r="Q568" t="n">
        <v>84936</v>
      </c>
      <c r="R568" t="n">
        <v>84066</v>
      </c>
      <c r="S568" t="n">
        <v>76865</v>
      </c>
      <c r="T568" t="n">
        <v>5007</v>
      </c>
      <c r="U568" t="n">
        <v>3064</v>
      </c>
      <c r="V568" t="n">
        <v>1.024300649901102</v>
      </c>
      <c r="W568" t="n">
        <v>0</v>
      </c>
      <c r="X568" s="16">
        <f>IFERROR(K568/E568*100,"")</f>
        <v/>
      </c>
      <c r="Y568" s="16">
        <f>IFERROR((N568+O568)/E568*100,"")</f>
        <v/>
      </c>
      <c r="Z568" s="16">
        <f>IFERROR(R568/F568*100,"")</f>
        <v/>
      </c>
      <c r="AA568" s="16">
        <f>IFERROR(R568/E568*100,"")</f>
        <v/>
      </c>
      <c r="AB568" s="16">
        <f>IFERROR(S568/Q568*100,"")</f>
        <v/>
      </c>
      <c r="AC568" s="16">
        <f>IFERROR(T568/Q568*100,"")</f>
        <v/>
      </c>
      <c r="AD568" s="16">
        <f>IFERROR(U568/Q568*100,"")</f>
        <v/>
      </c>
      <c r="AE568" s="18">
        <f>IFERROR(E568/E564-1,"")</f>
        <v/>
      </c>
      <c r="AF568" s="18">
        <f>IFERROR(R568/R564-1,"")</f>
        <v/>
      </c>
      <c r="AG568" s="18">
        <f>IFERROR(F568/F564-1,"")</f>
        <v/>
      </c>
      <c r="AH568">
        <f>P568&gt;0</f>
        <v/>
      </c>
    </row>
    <row r="569">
      <c r="A569" s="14" t="n">
        <v>45382</v>
      </c>
      <c r="B569" t="n">
        <v>28288</v>
      </c>
      <c r="C569" t="inlineStr">
        <is>
          <t>AUBURN SAVINGS BANK, FSB</t>
        </is>
      </c>
      <c r="D569" t="inlineStr">
        <is>
          <t>ME</t>
        </is>
      </c>
      <c r="E569" t="n">
        <v>103458</v>
      </c>
      <c r="F569" t="n">
        <v>74972</v>
      </c>
      <c r="G569" t="n">
        <v>5859</v>
      </c>
      <c r="H569" s="16" t="n">
        <v>0.0727721895332525</v>
      </c>
      <c r="I569" s="16" t="n">
        <v>1.28</v>
      </c>
      <c r="J569" s="16" t="n">
        <v>2.71613383497978</v>
      </c>
      <c r="K569" s="16" t="n">
        <v>254</v>
      </c>
      <c r="L569" s="16" t="n">
        <v>0</v>
      </c>
      <c r="M569" s="16" t="n">
        <v>0.3032111734511161</v>
      </c>
      <c r="N569" s="16" t="n">
        <v>107</v>
      </c>
      <c r="O569" s="16" t="n">
        <v>0</v>
      </c>
      <c r="P569" s="16" t="n">
        <v>13.73965012762249</v>
      </c>
      <c r="Q569" t="n">
        <v>83770</v>
      </c>
      <c r="R569" t="n">
        <v>82900</v>
      </c>
      <c r="S569" t="n">
        <v>75913</v>
      </c>
      <c r="T569" t="n">
        <v>4949</v>
      </c>
      <c r="U569" t="n">
        <v>2908</v>
      </c>
      <c r="V569" t="n">
        <v>1.038557956308941</v>
      </c>
      <c r="W569" t="n">
        <v>0</v>
      </c>
      <c r="X569" s="16">
        <f>IFERROR(K569/E569*100,"")</f>
        <v/>
      </c>
      <c r="Y569" s="16">
        <f>IFERROR((N569+O569)/E569*100,"")</f>
        <v/>
      </c>
      <c r="Z569" s="16">
        <f>IFERROR(R569/F569*100,"")</f>
        <v/>
      </c>
      <c r="AA569" s="16">
        <f>IFERROR(R569/E569*100,"")</f>
        <v/>
      </c>
      <c r="AB569" s="16">
        <f>IFERROR(S569/Q569*100,"")</f>
        <v/>
      </c>
      <c r="AC569" s="16">
        <f>IFERROR(T569/Q569*100,"")</f>
        <v/>
      </c>
      <c r="AD569" s="16">
        <f>IFERROR(U569/Q569*100,"")</f>
        <v/>
      </c>
      <c r="AE569" s="18">
        <f>IFERROR(E569/E565-1,"")</f>
        <v/>
      </c>
      <c r="AF569" s="18">
        <f>IFERROR(R569/R565-1,"")</f>
        <v/>
      </c>
      <c r="AG569" s="18">
        <f>IFERROR(F569/F565-1,"")</f>
        <v/>
      </c>
      <c r="AH569">
        <f>P569&gt;0</f>
        <v/>
      </c>
    </row>
    <row r="570">
      <c r="A570" s="14" t="n">
        <v>45473</v>
      </c>
      <c r="B570" t="n">
        <v>28288</v>
      </c>
      <c r="C570" t="inlineStr">
        <is>
          <t>AUBURN SAVINGS BANK, FSB</t>
        </is>
      </c>
      <c r="D570" t="inlineStr">
        <is>
          <t>ME</t>
        </is>
      </c>
      <c r="E570" t="n">
        <v>102466</v>
      </c>
      <c r="F570" t="n">
        <v>74553</v>
      </c>
      <c r="G570" t="n">
        <v>5947</v>
      </c>
      <c r="H570" s="16" t="n">
        <v>0.1040672968519642</v>
      </c>
      <c r="I570" s="16" t="n">
        <v>1.82</v>
      </c>
      <c r="J570" s="16" t="n">
        <v>2.675332220863538</v>
      </c>
      <c r="K570" s="16" t="n">
        <v>251</v>
      </c>
      <c r="L570" s="16" t="n">
        <v>0</v>
      </c>
      <c r="M570" s="16" t="n">
        <v>0.3055609661082976</v>
      </c>
      <c r="N570" s="16" t="n">
        <v>111</v>
      </c>
      <c r="O570" s="16" t="n">
        <v>0</v>
      </c>
      <c r="P570" s="16" t="n">
        <v>13.16404055931652</v>
      </c>
      <c r="Q570" t="n">
        <v>82144</v>
      </c>
      <c r="R570" t="n">
        <v>81276</v>
      </c>
      <c r="S570" t="n">
        <v>74830</v>
      </c>
      <c r="T570" t="n">
        <v>4600</v>
      </c>
      <c r="U570" t="n">
        <v>2714</v>
      </c>
      <c r="V570" t="n">
        <v>1.056680950525906</v>
      </c>
      <c r="W570" t="n">
        <v>-0.02</v>
      </c>
      <c r="X570" s="16">
        <f>IFERROR(K570/E570*100,"")</f>
        <v/>
      </c>
      <c r="Y570" s="16">
        <f>IFERROR((N570+O570)/E570*100,"")</f>
        <v/>
      </c>
      <c r="Z570" s="16">
        <f>IFERROR(R570/F570*100,"")</f>
        <v/>
      </c>
      <c r="AA570" s="16">
        <f>IFERROR(R570/E570*100,"")</f>
        <v/>
      </c>
      <c r="AB570" s="16">
        <f>IFERROR(S570/Q570*100,"")</f>
        <v/>
      </c>
      <c r="AC570" s="16">
        <f>IFERROR(T570/Q570*100,"")</f>
        <v/>
      </c>
      <c r="AD570" s="16">
        <f>IFERROR(U570/Q570*100,"")</f>
        <v/>
      </c>
      <c r="AE570" s="18">
        <f>IFERROR(E570/E566-1,"")</f>
        <v/>
      </c>
      <c r="AF570" s="18">
        <f>IFERROR(R570/R566-1,"")</f>
        <v/>
      </c>
      <c r="AG570" s="18">
        <f>IFERROR(F570/F566-1,"")</f>
        <v/>
      </c>
      <c r="AH570">
        <f>P570&gt;0</f>
        <v/>
      </c>
    </row>
    <row r="571">
      <c r="A571" s="14" t="n">
        <v>45565</v>
      </c>
      <c r="B571" t="n">
        <v>28288</v>
      </c>
      <c r="C571" t="inlineStr">
        <is>
          <t>AUBURN SAVINGS BANK, FSB</t>
        </is>
      </c>
      <c r="D571" t="inlineStr">
        <is>
          <t>ME</t>
        </is>
      </c>
      <c r="E571" t="n">
        <v>102402</v>
      </c>
      <c r="F571" t="n">
        <v>74874</v>
      </c>
      <c r="G571" t="n">
        <v>6447</v>
      </c>
      <c r="H571" s="16" t="n">
        <v>0.0863646888497337</v>
      </c>
      <c r="I571" s="16" t="n">
        <v>1.47</v>
      </c>
      <c r="J571" s="16" t="n">
        <v>2.649445754447013</v>
      </c>
      <c r="K571" s="16" t="n">
        <v>140</v>
      </c>
      <c r="L571" s="16" t="n">
        <v>0</v>
      </c>
      <c r="M571" s="16" t="n">
        <v>0.1727755152412686</v>
      </c>
      <c r="N571" s="16" t="n">
        <v>6</v>
      </c>
      <c r="O571" s="16" t="n">
        <v>0</v>
      </c>
      <c r="P571" s="16" t="n">
        <v>13.38062034142823</v>
      </c>
      <c r="Q571" t="n">
        <v>81030</v>
      </c>
      <c r="R571" t="n">
        <v>80193</v>
      </c>
      <c r="S571" t="n">
        <v>74225</v>
      </c>
      <c r="T571" t="n">
        <v>4248</v>
      </c>
      <c r="U571" t="n">
        <v>2557</v>
      </c>
      <c r="V571" t="n">
        <v>1.032950758978156</v>
      </c>
      <c r="W571" t="n">
        <v>-0.05</v>
      </c>
      <c r="X571" s="16">
        <f>IFERROR(K571/E571*100,"")</f>
        <v/>
      </c>
      <c r="Y571" s="16">
        <f>IFERROR((N571+O571)/E571*100,"")</f>
        <v/>
      </c>
      <c r="Z571" s="16">
        <f>IFERROR(R571/F571*100,"")</f>
        <v/>
      </c>
      <c r="AA571" s="16">
        <f>IFERROR(R571/E571*100,"")</f>
        <v/>
      </c>
      <c r="AB571" s="16">
        <f>IFERROR(S571/Q571*100,"")</f>
        <v/>
      </c>
      <c r="AC571" s="16">
        <f>IFERROR(T571/Q571*100,"")</f>
        <v/>
      </c>
      <c r="AD571" s="16">
        <f>IFERROR(U571/Q571*100,"")</f>
        <v/>
      </c>
      <c r="AE571" s="18">
        <f>IFERROR(E571/E567-1,"")</f>
        <v/>
      </c>
      <c r="AF571" s="18">
        <f>IFERROR(R571/R567-1,"")</f>
        <v/>
      </c>
      <c r="AG571" s="18">
        <f>IFERROR(F571/F567-1,"")</f>
        <v/>
      </c>
      <c r="AH571">
        <f>P571&gt;0</f>
        <v/>
      </c>
    </row>
    <row r="572">
      <c r="A572" s="14" t="n">
        <v>45657</v>
      </c>
      <c r="B572" t="n">
        <v>28288</v>
      </c>
      <c r="C572" t="inlineStr">
        <is>
          <t>AUBURN SAVINGS BANK, FSB</t>
        </is>
      </c>
      <c r="D572" t="inlineStr">
        <is>
          <t>ME</t>
        </is>
      </c>
      <c r="E572" t="n">
        <v>102307</v>
      </c>
      <c r="F572" t="n">
        <v>74614</v>
      </c>
      <c r="G572" t="n">
        <v>5875</v>
      </c>
      <c r="H572" s="16" t="n">
        <v>0.0310049879274328</v>
      </c>
      <c r="I572" s="16" t="n">
        <v>0.53</v>
      </c>
      <c r="J572" s="16" t="n">
        <v>2.594130308378133</v>
      </c>
      <c r="K572" s="16" t="n">
        <v>137</v>
      </c>
      <c r="L572" s="16" t="n">
        <v>0</v>
      </c>
      <c r="M572" s="16" t="n">
        <v>0.1647505892539323</v>
      </c>
      <c r="N572" s="16" t="n">
        <v>493</v>
      </c>
      <c r="O572" s="16" t="n">
        <v>0</v>
      </c>
      <c r="P572" s="16" t="n">
        <v>13.02575423105224</v>
      </c>
      <c r="Q572" t="n">
        <v>83156</v>
      </c>
      <c r="R572" t="n">
        <v>82351</v>
      </c>
      <c r="S572" t="n">
        <v>75140</v>
      </c>
      <c r="T572" t="n">
        <v>4448</v>
      </c>
      <c r="U572" t="n">
        <v>3568</v>
      </c>
      <c r="V572" t="n">
        <v>0.9680600317475588</v>
      </c>
      <c r="W572" t="n">
        <v>-0.07000000000000001</v>
      </c>
      <c r="X572" s="16">
        <f>IFERROR(K572/E572*100,"")</f>
        <v/>
      </c>
      <c r="Y572" s="16">
        <f>IFERROR((N572+O572)/E572*100,"")</f>
        <v/>
      </c>
      <c r="Z572" s="16">
        <f>IFERROR(R572/F572*100,"")</f>
        <v/>
      </c>
      <c r="AA572" s="16">
        <f>IFERROR(R572/E572*100,"")</f>
        <v/>
      </c>
      <c r="AB572" s="16">
        <f>IFERROR(S572/Q572*100,"")</f>
        <v/>
      </c>
      <c r="AC572" s="16">
        <f>IFERROR(T572/Q572*100,"")</f>
        <v/>
      </c>
      <c r="AD572" s="16">
        <f>IFERROR(U572/Q572*100,"")</f>
        <v/>
      </c>
      <c r="AE572" s="18">
        <f>IFERROR(E572/E568-1,"")</f>
        <v/>
      </c>
      <c r="AF572" s="18">
        <f>IFERROR(R572/R568-1,"")</f>
        <v/>
      </c>
      <c r="AG572" s="18">
        <f>IFERROR(F572/F568-1,"")</f>
        <v/>
      </c>
      <c r="AH572">
        <f>P572&gt;0</f>
        <v/>
      </c>
    </row>
    <row r="573">
      <c r="A573" s="14" t="n">
        <v>45747</v>
      </c>
      <c r="B573" t="n">
        <v>28288</v>
      </c>
      <c r="C573" t="inlineStr">
        <is>
          <t>AUBURN SAVINGS BANK, FSB</t>
        </is>
      </c>
      <c r="D573" t="inlineStr">
        <is>
          <t>ME</t>
        </is>
      </c>
      <c r="E573" t="n">
        <v>101149</v>
      </c>
      <c r="F573" t="n">
        <v>72293</v>
      </c>
      <c r="G573" t="n">
        <v>6164</v>
      </c>
      <c r="H573" s="16" t="n">
        <v>0.2162629757785467</v>
      </c>
      <c r="I573" s="16" t="n">
        <v>3.65</v>
      </c>
      <c r="J573" s="16" t="n">
        <v>2.708855114623358</v>
      </c>
      <c r="K573" s="16" t="n">
        <v>1</v>
      </c>
      <c r="L573" s="16" t="n">
        <v>0</v>
      </c>
      <c r="M573" s="16" t="n">
        <v>0.0012236607033601</v>
      </c>
      <c r="N573" s="16" t="n">
        <v>668</v>
      </c>
      <c r="O573" s="16" t="n">
        <v>0</v>
      </c>
      <c r="P573" s="16" t="n">
        <v>13.3963087197846</v>
      </c>
      <c r="Q573" t="n">
        <v>81722</v>
      </c>
      <c r="R573" t="n">
        <v>80917</v>
      </c>
      <c r="S573" t="n">
        <v>73892</v>
      </c>
      <c r="T573" t="n">
        <v>4355</v>
      </c>
      <c r="U573" t="n">
        <v>3475</v>
      </c>
      <c r="V573" t="n">
        <v>0.9850468662049386</v>
      </c>
      <c r="W573" t="n">
        <v>0</v>
      </c>
      <c r="X573" s="16">
        <f>IFERROR(K573/E573*100,"")</f>
        <v/>
      </c>
      <c r="Y573" s="16">
        <f>IFERROR((N573+O573)/E573*100,"")</f>
        <v/>
      </c>
      <c r="Z573" s="16">
        <f>IFERROR(R573/F573*100,"")</f>
        <v/>
      </c>
      <c r="AA573" s="16">
        <f>IFERROR(R573/E573*100,"")</f>
        <v/>
      </c>
      <c r="AB573" s="16">
        <f>IFERROR(S573/Q573*100,"")</f>
        <v/>
      </c>
      <c r="AC573" s="16">
        <f>IFERROR(T573/Q573*100,"")</f>
        <v/>
      </c>
      <c r="AD573" s="16">
        <f>IFERROR(U573/Q573*100,"")</f>
        <v/>
      </c>
      <c r="AE573" s="18">
        <f>IFERROR(E573/E569-1,"")</f>
        <v/>
      </c>
      <c r="AF573" s="18">
        <f>IFERROR(R573/R569-1,"")</f>
        <v/>
      </c>
      <c r="AG573" s="18">
        <f>IFERROR(F573/F569-1,"")</f>
        <v/>
      </c>
      <c r="AH573">
        <f>P573&gt;0</f>
        <v/>
      </c>
    </row>
    <row r="574">
      <c r="A574" s="14" t="n">
        <v>45838</v>
      </c>
      <c r="B574" t="n">
        <v>28288</v>
      </c>
      <c r="C574" t="inlineStr">
        <is>
          <t>AUBURN SAVINGS BANK, FSB</t>
        </is>
      </c>
      <c r="D574" t="inlineStr">
        <is>
          <t>ME</t>
        </is>
      </c>
      <c r="E574" t="n">
        <v>102731</v>
      </c>
      <c r="F574" t="n">
        <v>76453</v>
      </c>
      <c r="G574" t="n">
        <v>6269</v>
      </c>
      <c r="H574" s="16" t="n">
        <v>0.2469079353466999</v>
      </c>
      <c r="I574" s="16" t="n">
        <v>4.13</v>
      </c>
      <c r="J574" s="16" t="n">
        <v>2.73418663286535</v>
      </c>
      <c r="K574" s="16" t="n">
        <v>99</v>
      </c>
      <c r="L574" s="16" t="n">
        <v>1</v>
      </c>
      <c r="M574" s="16" t="n">
        <v>0.1200931631811344</v>
      </c>
      <c r="N574" s="16" t="n">
        <v>160</v>
      </c>
      <c r="O574" s="16" t="n">
        <v>0</v>
      </c>
      <c r="P574" s="16" t="n">
        <v>13.18324668840133</v>
      </c>
      <c r="Q574" t="n">
        <v>82436</v>
      </c>
      <c r="R574" t="n">
        <v>81637</v>
      </c>
      <c r="S574" t="n">
        <v>74872</v>
      </c>
      <c r="T574" t="n">
        <v>4189</v>
      </c>
      <c r="U574" t="n">
        <v>3375</v>
      </c>
      <c r="V574" t="n">
        <v>0.9692367412295601</v>
      </c>
      <c r="W574" t="n">
        <v>0</v>
      </c>
      <c r="X574" s="16">
        <f>IFERROR(K574/E574*100,"")</f>
        <v/>
      </c>
      <c r="Y574" s="16">
        <f>IFERROR((N574+O574)/E574*100,"")</f>
        <v/>
      </c>
      <c r="Z574" s="16">
        <f>IFERROR(R574/F574*100,"")</f>
        <v/>
      </c>
      <c r="AA574" s="16">
        <f>IFERROR(R574/E574*100,"")</f>
        <v/>
      </c>
      <c r="AB574" s="16">
        <f>IFERROR(S574/Q574*100,"")</f>
        <v/>
      </c>
      <c r="AC574" s="16">
        <f>IFERROR(T574/Q574*100,"")</f>
        <v/>
      </c>
      <c r="AD574" s="16">
        <f>IFERROR(U574/Q574*100,"")</f>
        <v/>
      </c>
      <c r="AE574" s="18">
        <f>IFERROR(E574/E570-1,"")</f>
        <v/>
      </c>
      <c r="AF574" s="18">
        <f>IFERROR(R574/R570-1,"")</f>
        <v/>
      </c>
      <c r="AG574" s="18">
        <f>IFERROR(F574/F570-1,"")</f>
        <v/>
      </c>
      <c r="AH574">
        <f>P574&gt;0</f>
        <v/>
      </c>
    </row>
    <row r="575">
      <c r="A575" s="14" t="n">
        <v>44651</v>
      </c>
      <c r="B575" t="n">
        <v>28369</v>
      </c>
      <c r="C575" t="inlineStr">
        <is>
          <t>ROCKLAND SAVINGS BANK, FSB</t>
        </is>
      </c>
      <c r="D575" t="inlineStr">
        <is>
          <t>ME</t>
        </is>
      </c>
      <c r="E575" t="n">
        <v>85281</v>
      </c>
      <c r="F575" t="n">
        <v>75519</v>
      </c>
      <c r="G575" t="n">
        <v>9337</v>
      </c>
      <c r="H575" s="16" t="n">
        <v>-0.07930861548150819</v>
      </c>
      <c r="I575" s="16" t="n">
        <v>-0.73</v>
      </c>
      <c r="J575" s="16" t="n">
        <v>3.624812233741289</v>
      </c>
      <c r="K575" s="16" t="n">
        <v>440</v>
      </c>
      <c r="L575" s="16" t="n">
        <v>-3</v>
      </c>
      <c r="M575" s="16" t="n">
        <v>0.6078607446294122</v>
      </c>
      <c r="N575" s="16" t="n">
        <v>13</v>
      </c>
      <c r="O575" s="16" t="n">
        <v>0</v>
      </c>
      <c r="P575" s="16" t="n">
        <v>0</v>
      </c>
      <c r="Q575" t="n">
        <v>72385</v>
      </c>
      <c r="R575" t="n">
        <v>71823</v>
      </c>
      <c r="S575" t="n">
        <v>61802</v>
      </c>
      <c r="T575" t="n">
        <v>9635</v>
      </c>
      <c r="U575" t="n">
        <v>948</v>
      </c>
      <c r="V575" t="n">
        <v>0.7764039510948401</v>
      </c>
      <c r="W575" t="n">
        <v>0.07000000000000001</v>
      </c>
      <c r="X575" s="16">
        <f>IFERROR(K575/E575*100,"")</f>
        <v/>
      </c>
      <c r="Y575" s="16">
        <f>IFERROR((N575+O575)/E575*100,"")</f>
        <v/>
      </c>
      <c r="Z575" s="16">
        <f>IFERROR(R575/F575*100,"")</f>
        <v/>
      </c>
      <c r="AA575" s="16">
        <f>IFERROR(R575/E575*100,"")</f>
        <v/>
      </c>
      <c r="AB575" s="16">
        <f>IFERROR(S575/Q575*100,"")</f>
        <v/>
      </c>
      <c r="AC575" s="16">
        <f>IFERROR(T575/Q575*100,"")</f>
        <v/>
      </c>
      <c r="AD575" s="16">
        <f>IFERROR(U575/Q575*100,"")</f>
        <v/>
      </c>
      <c r="AE575" s="18" t="n"/>
      <c r="AF575" s="18" t="n"/>
      <c r="AG575" s="18" t="n"/>
      <c r="AH575">
        <f>P575&gt;0</f>
        <v/>
      </c>
    </row>
    <row r="576">
      <c r="A576" s="14" t="n">
        <v>44742</v>
      </c>
      <c r="B576" t="n">
        <v>28369</v>
      </c>
      <c r="C576" t="inlineStr">
        <is>
          <t>ROCKLAND SAVINGS BANK, FSB</t>
        </is>
      </c>
      <c r="D576" t="inlineStr">
        <is>
          <t>ME</t>
        </is>
      </c>
      <c r="E576" t="n">
        <v>87270</v>
      </c>
      <c r="F576" t="n">
        <v>75522</v>
      </c>
      <c r="G576" t="n">
        <v>9341</v>
      </c>
      <c r="H576" s="16" t="n">
        <v>-0.030144694533762</v>
      </c>
      <c r="I576" s="16" t="n">
        <v>-0.28</v>
      </c>
      <c r="J576" s="16" t="n">
        <v>3.606187639430266</v>
      </c>
      <c r="K576" s="16" t="n">
        <v>372</v>
      </c>
      <c r="L576" s="16" t="n">
        <v>-4</v>
      </c>
      <c r="M576" s="16" t="n">
        <v>0.5076627045321178</v>
      </c>
      <c r="N576" s="16" t="n">
        <v>89</v>
      </c>
      <c r="O576" s="16" t="n">
        <v>0</v>
      </c>
      <c r="P576" s="16" t="n">
        <v>0</v>
      </c>
      <c r="Q576" t="n">
        <v>73277</v>
      </c>
      <c r="R576" t="n">
        <v>72699</v>
      </c>
      <c r="S576" t="n">
        <v>61748</v>
      </c>
      <c r="T576" t="n">
        <v>10612</v>
      </c>
      <c r="U576" t="n">
        <v>917</v>
      </c>
      <c r="V576" t="n">
        <v>0.7887877505902261</v>
      </c>
      <c r="W576" t="n">
        <v>0.07000000000000001</v>
      </c>
      <c r="X576" s="16">
        <f>IFERROR(K576/E576*100,"")</f>
        <v/>
      </c>
      <c r="Y576" s="16">
        <f>IFERROR((N576+O576)/E576*100,"")</f>
        <v/>
      </c>
      <c r="Z576" s="16">
        <f>IFERROR(R576/F576*100,"")</f>
        <v/>
      </c>
      <c r="AA576" s="16">
        <f>IFERROR(R576/E576*100,"")</f>
        <v/>
      </c>
      <c r="AB576" s="16">
        <f>IFERROR(S576/Q576*100,"")</f>
        <v/>
      </c>
      <c r="AC576" s="16">
        <f>IFERROR(T576/Q576*100,"")</f>
        <v/>
      </c>
      <c r="AD576" s="16">
        <f>IFERROR(U576/Q576*100,"")</f>
        <v/>
      </c>
      <c r="AE576" s="18" t="n"/>
      <c r="AF576" s="18" t="n"/>
      <c r="AG576" s="18" t="n"/>
      <c r="AH576">
        <f>P576&gt;0</f>
        <v/>
      </c>
    </row>
    <row r="577">
      <c r="A577" s="14" t="n">
        <v>44834</v>
      </c>
      <c r="B577" t="n">
        <v>28369</v>
      </c>
      <c r="C577" t="inlineStr">
        <is>
          <t>ROCKLAND SAVINGS BANK, FSB</t>
        </is>
      </c>
      <c r="D577" t="inlineStr">
        <is>
          <t>ME</t>
        </is>
      </c>
      <c r="E577" t="n">
        <v>89339</v>
      </c>
      <c r="F577" t="n">
        <v>79460</v>
      </c>
      <c r="G577" t="n">
        <v>9472</v>
      </c>
      <c r="H577" s="16" t="n">
        <v>0.1807911149670631</v>
      </c>
      <c r="I577" s="16" t="n">
        <v>1.68</v>
      </c>
      <c r="J577" s="16" t="n">
        <v>3.620276686198766</v>
      </c>
      <c r="K577" s="16" t="n">
        <v>377</v>
      </c>
      <c r="L577" s="16" t="n">
        <v>-7</v>
      </c>
      <c r="M577" s="16" t="n">
        <v>0.5143948696957292</v>
      </c>
      <c r="N577" s="16" t="n">
        <v>68</v>
      </c>
      <c r="O577" s="16" t="n">
        <v>0</v>
      </c>
      <c r="P577" s="16" t="n">
        <v>0</v>
      </c>
      <c r="Q577" t="n">
        <v>73290</v>
      </c>
      <c r="R577" t="n">
        <v>72759</v>
      </c>
      <c r="S577" t="n">
        <v>61961</v>
      </c>
      <c r="T577" t="n">
        <v>10475</v>
      </c>
      <c r="U577" t="n">
        <v>854</v>
      </c>
      <c r="V577" t="n">
        <v>0.7245190339746214</v>
      </c>
      <c r="W577" t="n">
        <v>-0.03</v>
      </c>
      <c r="X577" s="16">
        <f>IFERROR(K577/E577*100,"")</f>
        <v/>
      </c>
      <c r="Y577" s="16">
        <f>IFERROR((N577+O577)/E577*100,"")</f>
        <v/>
      </c>
      <c r="Z577" s="16">
        <f>IFERROR(R577/F577*100,"")</f>
        <v/>
      </c>
      <c r="AA577" s="16">
        <f>IFERROR(R577/E577*100,"")</f>
        <v/>
      </c>
      <c r="AB577" s="16">
        <f>IFERROR(S577/Q577*100,"")</f>
        <v/>
      </c>
      <c r="AC577" s="16">
        <f>IFERROR(T577/Q577*100,"")</f>
        <v/>
      </c>
      <c r="AD577" s="16">
        <f>IFERROR(U577/Q577*100,"")</f>
        <v/>
      </c>
      <c r="AE577" s="18" t="n"/>
      <c r="AF577" s="18" t="n"/>
      <c r="AG577" s="18" t="n"/>
      <c r="AH577">
        <f>P577&gt;0</f>
        <v/>
      </c>
    </row>
    <row r="578">
      <c r="A578" s="14" t="n">
        <v>44926</v>
      </c>
      <c r="B578" t="n">
        <v>28369</v>
      </c>
      <c r="C578" t="inlineStr">
        <is>
          <t>ROCKLAND SAVINGS BANK, FSB</t>
        </is>
      </c>
      <c r="D578" t="inlineStr">
        <is>
          <t>ME</t>
        </is>
      </c>
      <c r="E578" t="n">
        <v>86156</v>
      </c>
      <c r="F578" t="n">
        <v>76209</v>
      </c>
      <c r="G578" t="n">
        <v>9537</v>
      </c>
      <c r="H578" s="16" t="n">
        <v>0.1208989353985174</v>
      </c>
      <c r="I578" s="16" t="n">
        <v>1.11</v>
      </c>
      <c r="J578" s="16" t="n">
        <v>3.681783019281012</v>
      </c>
      <c r="K578" s="16" t="n">
        <v>243</v>
      </c>
      <c r="L578" s="16" t="n">
        <v>-9</v>
      </c>
      <c r="M578" s="16" t="n">
        <v>0.3312251240390382</v>
      </c>
      <c r="N578" s="16" t="n">
        <v>299</v>
      </c>
      <c r="O578" s="16" t="n">
        <v>0</v>
      </c>
      <c r="P578" s="16" t="n">
        <v>0</v>
      </c>
      <c r="Q578" t="n">
        <v>73364</v>
      </c>
      <c r="R578" t="n">
        <v>72816</v>
      </c>
      <c r="S578" t="n">
        <v>62199</v>
      </c>
      <c r="T578" t="n">
        <v>10376</v>
      </c>
      <c r="U578" t="n">
        <v>789</v>
      </c>
      <c r="V578" t="n">
        <v>0.7469603620304237</v>
      </c>
      <c r="W578" t="n">
        <v>-0.01</v>
      </c>
      <c r="X578" s="16">
        <f>IFERROR(K578/E578*100,"")</f>
        <v/>
      </c>
      <c r="Y578" s="16">
        <f>IFERROR((N578+O578)/E578*100,"")</f>
        <v/>
      </c>
      <c r="Z578" s="16">
        <f>IFERROR(R578/F578*100,"")</f>
        <v/>
      </c>
      <c r="AA578" s="16">
        <f>IFERROR(R578/E578*100,"")</f>
        <v/>
      </c>
      <c r="AB578" s="16">
        <f>IFERROR(S578/Q578*100,"")</f>
        <v/>
      </c>
      <c r="AC578" s="16">
        <f>IFERROR(T578/Q578*100,"")</f>
        <v/>
      </c>
      <c r="AD578" s="16">
        <f>IFERROR(U578/Q578*100,"")</f>
        <v/>
      </c>
      <c r="AE578" s="18" t="n"/>
      <c r="AF578" s="18" t="n"/>
      <c r="AG578" s="18" t="n"/>
      <c r="AH578">
        <f>P578&gt;0</f>
        <v/>
      </c>
    </row>
    <row r="579">
      <c r="A579" s="14" t="n">
        <v>45016</v>
      </c>
      <c r="B579" t="n">
        <v>28369</v>
      </c>
      <c r="C579" t="inlineStr">
        <is>
          <t>ROCKLAND SAVINGS BANK, FSB</t>
        </is>
      </c>
      <c r="D579" t="inlineStr">
        <is>
          <t>ME</t>
        </is>
      </c>
      <c r="E579" t="n">
        <v>87275</v>
      </c>
      <c r="F579" t="n">
        <v>77349</v>
      </c>
      <c r="G579" t="n">
        <v>9500</v>
      </c>
      <c r="H579" s="16" t="n">
        <v>-0.092255709763537</v>
      </c>
      <c r="I579" s="16" t="n">
        <v>-0.84</v>
      </c>
      <c r="J579" s="16" t="n">
        <v>3.492194920000974</v>
      </c>
      <c r="K579" s="16" t="n">
        <v>326</v>
      </c>
      <c r="L579" s="16" t="n">
        <v>1</v>
      </c>
      <c r="M579" s="16" t="n">
        <v>0.4453126067179368</v>
      </c>
      <c r="N579" s="16" t="n">
        <v>230</v>
      </c>
      <c r="O579" s="16" t="n">
        <v>0</v>
      </c>
      <c r="P579" s="16" t="n">
        <v>0</v>
      </c>
      <c r="Q579" t="n">
        <v>73207</v>
      </c>
      <c r="R579" t="n">
        <v>72647</v>
      </c>
      <c r="S579" t="n">
        <v>61622</v>
      </c>
      <c r="T579" t="n">
        <v>10828</v>
      </c>
      <c r="U579" t="n">
        <v>757</v>
      </c>
      <c r="V579" t="n">
        <v>0.7649541710492166</v>
      </c>
      <c r="W579" t="n">
        <v>0.04</v>
      </c>
      <c r="X579" s="16">
        <f>IFERROR(K579/E579*100,"")</f>
        <v/>
      </c>
      <c r="Y579" s="16">
        <f>IFERROR((N579+O579)/E579*100,"")</f>
        <v/>
      </c>
      <c r="Z579" s="16">
        <f>IFERROR(R579/F579*100,"")</f>
        <v/>
      </c>
      <c r="AA579" s="16">
        <f>IFERROR(R579/E579*100,"")</f>
        <v/>
      </c>
      <c r="AB579" s="16">
        <f>IFERROR(S579/Q579*100,"")</f>
        <v/>
      </c>
      <c r="AC579" s="16">
        <f>IFERROR(T579/Q579*100,"")</f>
        <v/>
      </c>
      <c r="AD579" s="16">
        <f>IFERROR(U579/Q579*100,"")</f>
        <v/>
      </c>
      <c r="AE579" s="18">
        <f>IFERROR(E579/E575-1,"")</f>
        <v/>
      </c>
      <c r="AF579" s="18">
        <f>IFERROR(R579/R575-1,"")</f>
        <v/>
      </c>
      <c r="AG579" s="18">
        <f>IFERROR(F579/F575-1,"")</f>
        <v/>
      </c>
      <c r="AH579">
        <f>P579&gt;0</f>
        <v/>
      </c>
    </row>
    <row r="580">
      <c r="A580" s="14" t="n">
        <v>45107</v>
      </c>
      <c r="B580" t="n">
        <v>28369</v>
      </c>
      <c r="C580" t="inlineStr">
        <is>
          <t>ROCKLAND SAVINGS BANK, FSB</t>
        </is>
      </c>
      <c r="D580" t="inlineStr">
        <is>
          <t>ME</t>
        </is>
      </c>
      <c r="E580" t="n">
        <v>87702</v>
      </c>
      <c r="F580" t="n">
        <v>77819</v>
      </c>
      <c r="G580" t="n">
        <v>9428</v>
      </c>
      <c r="H580" s="16" t="n">
        <v>-0.2113865348309099</v>
      </c>
      <c r="I580" s="16" t="n">
        <v>-1.94</v>
      </c>
      <c r="J580" s="16" t="n">
        <v>3.387448509813424</v>
      </c>
      <c r="K580" s="16" t="n">
        <v>231</v>
      </c>
      <c r="L580" s="16" t="n">
        <v>-1</v>
      </c>
      <c r="M580" s="16" t="n">
        <v>0.3066385249492254</v>
      </c>
      <c r="N580" s="16" t="n">
        <v>76</v>
      </c>
      <c r="O580" s="16" t="n">
        <v>0</v>
      </c>
      <c r="P580" s="16" t="n">
        <v>0</v>
      </c>
      <c r="Q580" t="n">
        <v>75333</v>
      </c>
      <c r="R580" t="n">
        <v>74764</v>
      </c>
      <c r="S580" t="n">
        <v>63212</v>
      </c>
      <c r="T580" t="n">
        <v>11294</v>
      </c>
      <c r="U580" t="n">
        <v>827</v>
      </c>
      <c r="V580" t="n">
        <v>0.7553130766065337</v>
      </c>
      <c r="W580" t="n">
        <v>0.03</v>
      </c>
      <c r="X580" s="16">
        <f>IFERROR(K580/E580*100,"")</f>
        <v/>
      </c>
      <c r="Y580" s="16">
        <f>IFERROR((N580+O580)/E580*100,"")</f>
        <v/>
      </c>
      <c r="Z580" s="16">
        <f>IFERROR(R580/F580*100,"")</f>
        <v/>
      </c>
      <c r="AA580" s="16">
        <f>IFERROR(R580/E580*100,"")</f>
        <v/>
      </c>
      <c r="AB580" s="16">
        <f>IFERROR(S580/Q580*100,"")</f>
        <v/>
      </c>
      <c r="AC580" s="16">
        <f>IFERROR(T580/Q580*100,"")</f>
        <v/>
      </c>
      <c r="AD580" s="16">
        <f>IFERROR(U580/Q580*100,"")</f>
        <v/>
      </c>
      <c r="AE580" s="18">
        <f>IFERROR(E580/E576-1,"")</f>
        <v/>
      </c>
      <c r="AF580" s="18">
        <f>IFERROR(R580/R576-1,"")</f>
        <v/>
      </c>
      <c r="AG580" s="18">
        <f>IFERROR(F580/F576-1,"")</f>
        <v/>
      </c>
      <c r="AH580">
        <f>P580&gt;0</f>
        <v/>
      </c>
    </row>
    <row r="581">
      <c r="A581" s="14" t="n">
        <v>45199</v>
      </c>
      <c r="B581" t="n">
        <v>28369</v>
      </c>
      <c r="C581" t="inlineStr">
        <is>
          <t>ROCKLAND SAVINGS BANK, FSB</t>
        </is>
      </c>
      <c r="D581" t="inlineStr">
        <is>
          <t>ME</t>
        </is>
      </c>
      <c r="E581" t="n">
        <v>89908</v>
      </c>
      <c r="F581" t="n">
        <v>79937</v>
      </c>
      <c r="G581" t="n">
        <v>9426</v>
      </c>
      <c r="H581" s="16" t="n">
        <v>-0.1428097572648209</v>
      </c>
      <c r="I581" s="16" t="n">
        <v>-1.32</v>
      </c>
      <c r="J581" s="16" t="n">
        <v>3.354949073962862</v>
      </c>
      <c r="K581" s="16" t="n">
        <v>225</v>
      </c>
      <c r="L581" s="16" t="n">
        <v>-1</v>
      </c>
      <c r="M581" s="16" t="n">
        <v>0.2890359046823816</v>
      </c>
      <c r="N581" s="16" t="n">
        <v>180</v>
      </c>
      <c r="O581" s="16" t="n">
        <v>0</v>
      </c>
      <c r="P581" s="16" t="n">
        <v>0</v>
      </c>
      <c r="Q581" t="n">
        <v>77845</v>
      </c>
      <c r="R581" t="n">
        <v>77264</v>
      </c>
      <c r="S581" t="n">
        <v>65337</v>
      </c>
      <c r="T581" t="n">
        <v>11687</v>
      </c>
      <c r="U581" t="n">
        <v>821</v>
      </c>
      <c r="V581" t="n">
        <v>0.74635493609095</v>
      </c>
      <c r="W581" t="n">
        <v>0.04</v>
      </c>
      <c r="X581" s="16">
        <f>IFERROR(K581/E581*100,"")</f>
        <v/>
      </c>
      <c r="Y581" s="16">
        <f>IFERROR((N581+O581)/E581*100,"")</f>
        <v/>
      </c>
      <c r="Z581" s="16">
        <f>IFERROR(R581/F581*100,"")</f>
        <v/>
      </c>
      <c r="AA581" s="16">
        <f>IFERROR(R581/E581*100,"")</f>
        <v/>
      </c>
      <c r="AB581" s="16">
        <f>IFERROR(S581/Q581*100,"")</f>
        <v/>
      </c>
      <c r="AC581" s="16">
        <f>IFERROR(T581/Q581*100,"")</f>
        <v/>
      </c>
      <c r="AD581" s="16">
        <f>IFERROR(U581/Q581*100,"")</f>
        <v/>
      </c>
      <c r="AE581" s="18">
        <f>IFERROR(E581/E577-1,"")</f>
        <v/>
      </c>
      <c r="AF581" s="18">
        <f>IFERROR(R581/R577-1,"")</f>
        <v/>
      </c>
      <c r="AG581" s="18">
        <f>IFERROR(F581/F577-1,"")</f>
        <v/>
      </c>
      <c r="AH581">
        <f>P581&gt;0</f>
        <v/>
      </c>
    </row>
    <row r="582">
      <c r="A582" s="14" t="n">
        <v>45291</v>
      </c>
      <c r="B582" t="n">
        <v>28369</v>
      </c>
      <c r="C582" t="inlineStr">
        <is>
          <t>ROCKLAND SAVINGS BANK, FSB</t>
        </is>
      </c>
      <c r="D582" t="inlineStr">
        <is>
          <t>ME</t>
        </is>
      </c>
      <c r="E582" t="n">
        <v>93947</v>
      </c>
      <c r="F582" t="n">
        <v>77109</v>
      </c>
      <c r="G582" t="n">
        <v>9350</v>
      </c>
      <c r="H582" s="16" t="n">
        <v>-0.1910163869587494</v>
      </c>
      <c r="I582" s="16" t="n">
        <v>-1.8</v>
      </c>
      <c r="J582" s="16" t="n">
        <v>3.315287249933126</v>
      </c>
      <c r="K582" s="16" t="n">
        <v>178</v>
      </c>
      <c r="L582" s="16" t="n">
        <v>-2</v>
      </c>
      <c r="M582" s="16" t="n">
        <v>0.2256363451982557</v>
      </c>
      <c r="N582" s="16" t="n">
        <v>102</v>
      </c>
      <c r="O582" s="16" t="n">
        <v>0</v>
      </c>
      <c r="P582" s="16" t="n">
        <v>0</v>
      </c>
      <c r="Q582" t="n">
        <v>78888</v>
      </c>
      <c r="R582" t="n">
        <v>78298</v>
      </c>
      <c r="S582" t="n">
        <v>65888</v>
      </c>
      <c r="T582" t="n">
        <v>12166</v>
      </c>
      <c r="U582" t="n">
        <v>834</v>
      </c>
      <c r="V582" t="n">
        <v>0.7478957509380387</v>
      </c>
      <c r="W582" t="n">
        <v>0.03</v>
      </c>
      <c r="X582" s="16">
        <f>IFERROR(K582/E582*100,"")</f>
        <v/>
      </c>
      <c r="Y582" s="16">
        <f>IFERROR((N582+O582)/E582*100,"")</f>
        <v/>
      </c>
      <c r="Z582" s="16">
        <f>IFERROR(R582/F582*100,"")</f>
        <v/>
      </c>
      <c r="AA582" s="16">
        <f>IFERROR(R582/E582*100,"")</f>
        <v/>
      </c>
      <c r="AB582" s="16">
        <f>IFERROR(S582/Q582*100,"")</f>
        <v/>
      </c>
      <c r="AC582" s="16">
        <f>IFERROR(T582/Q582*100,"")</f>
        <v/>
      </c>
      <c r="AD582" s="16">
        <f>IFERROR(U582/Q582*100,"")</f>
        <v/>
      </c>
      <c r="AE582" s="18">
        <f>IFERROR(E582/E578-1,"")</f>
        <v/>
      </c>
      <c r="AF582" s="18">
        <f>IFERROR(R582/R578-1,"")</f>
        <v/>
      </c>
      <c r="AG582" s="18">
        <f>IFERROR(F582/F578-1,"")</f>
        <v/>
      </c>
      <c r="AH582">
        <f>P582&gt;0</f>
        <v/>
      </c>
    </row>
    <row r="583">
      <c r="A583" s="14" t="n">
        <v>45382</v>
      </c>
      <c r="B583" t="n">
        <v>28369</v>
      </c>
      <c r="C583" t="inlineStr">
        <is>
          <t>ROCKLAND SAVINGS BANK, FSB</t>
        </is>
      </c>
      <c r="D583" t="inlineStr">
        <is>
          <t>ME</t>
        </is>
      </c>
      <c r="E583" t="n">
        <v>95113</v>
      </c>
      <c r="F583" t="n">
        <v>75369</v>
      </c>
      <c r="G583" t="n">
        <v>9266</v>
      </c>
      <c r="H583" s="16" t="n">
        <v>-0.3554427165979054</v>
      </c>
      <c r="I583" s="16" t="n">
        <v>-3.61</v>
      </c>
      <c r="J583" s="16" t="n">
        <v>3.0142140002894</v>
      </c>
      <c r="K583" s="16" t="n">
        <v>174</v>
      </c>
      <c r="L583" s="16" t="n">
        <v>-1</v>
      </c>
      <c r="M583" s="16" t="n">
        <v>0.2152959081404125</v>
      </c>
      <c r="N583" s="16" t="n">
        <v>4</v>
      </c>
      <c r="O583" s="16" t="n">
        <v>0</v>
      </c>
      <c r="P583" s="16" t="n">
        <v>13.82898081124868</v>
      </c>
      <c r="Q583" t="n">
        <v>80819</v>
      </c>
      <c r="R583" t="n">
        <v>80220</v>
      </c>
      <c r="S583" t="n">
        <v>67466</v>
      </c>
      <c r="T583" t="n">
        <v>12521</v>
      </c>
      <c r="U583" t="n">
        <v>832</v>
      </c>
      <c r="V583" t="n">
        <v>0.7411623504373971</v>
      </c>
      <c r="W583" t="n">
        <v>0.03</v>
      </c>
      <c r="X583" s="16">
        <f>IFERROR(K583/E583*100,"")</f>
        <v/>
      </c>
      <c r="Y583" s="16">
        <f>IFERROR((N583+O583)/E583*100,"")</f>
        <v/>
      </c>
      <c r="Z583" s="16">
        <f>IFERROR(R583/F583*100,"")</f>
        <v/>
      </c>
      <c r="AA583" s="16">
        <f>IFERROR(R583/E583*100,"")</f>
        <v/>
      </c>
      <c r="AB583" s="16">
        <f>IFERROR(S583/Q583*100,"")</f>
        <v/>
      </c>
      <c r="AC583" s="16">
        <f>IFERROR(T583/Q583*100,"")</f>
        <v/>
      </c>
      <c r="AD583" s="16">
        <f>IFERROR(U583/Q583*100,"")</f>
        <v/>
      </c>
      <c r="AE583" s="18">
        <f>IFERROR(E583/E579-1,"")</f>
        <v/>
      </c>
      <c r="AF583" s="18">
        <f>IFERROR(R583/R579-1,"")</f>
        <v/>
      </c>
      <c r="AG583" s="18">
        <f>IFERROR(F583/F579-1,"")</f>
        <v/>
      </c>
      <c r="AH583">
        <f>P583&gt;0</f>
        <v/>
      </c>
    </row>
    <row r="584">
      <c r="A584" s="14" t="n">
        <v>45473</v>
      </c>
      <c r="B584" t="n">
        <v>28369</v>
      </c>
      <c r="C584" t="inlineStr">
        <is>
          <t>ROCKLAND SAVINGS BANK, FSB</t>
        </is>
      </c>
      <c r="D584" t="inlineStr">
        <is>
          <t>ME</t>
        </is>
      </c>
      <c r="E584" t="n">
        <v>95722</v>
      </c>
      <c r="F584" t="n">
        <v>71038</v>
      </c>
      <c r="G584" t="n">
        <v>9198</v>
      </c>
      <c r="H584" s="16" t="n">
        <v>-0.3202449593022031</v>
      </c>
      <c r="I584" s="16" t="n">
        <v>-3.28</v>
      </c>
      <c r="J584" s="16" t="n">
        <v>2.927229517709369</v>
      </c>
      <c r="K584" s="16" t="n">
        <v>141</v>
      </c>
      <c r="L584" s="16" t="n">
        <v>-2</v>
      </c>
      <c r="M584" s="16" t="n">
        <v>0.1723105500494934</v>
      </c>
      <c r="N584" s="16" t="n">
        <v>168</v>
      </c>
      <c r="O584" s="16" t="n">
        <v>0</v>
      </c>
      <c r="P584" s="16" t="n">
        <v>13.67094238896715</v>
      </c>
      <c r="Q584" t="n">
        <v>81829</v>
      </c>
      <c r="R584" t="n">
        <v>81228</v>
      </c>
      <c r="S584" t="n">
        <v>68216</v>
      </c>
      <c r="T584" t="n">
        <v>12761</v>
      </c>
      <c r="U584" t="n">
        <v>852</v>
      </c>
      <c r="V584" t="n">
        <v>0.7344584438279828</v>
      </c>
      <c r="W584" t="n">
        <v>0.02</v>
      </c>
      <c r="X584" s="16">
        <f>IFERROR(K584/E584*100,"")</f>
        <v/>
      </c>
      <c r="Y584" s="16">
        <f>IFERROR((N584+O584)/E584*100,"")</f>
        <v/>
      </c>
      <c r="Z584" s="16">
        <f>IFERROR(R584/F584*100,"")</f>
        <v/>
      </c>
      <c r="AA584" s="16">
        <f>IFERROR(R584/E584*100,"")</f>
        <v/>
      </c>
      <c r="AB584" s="16">
        <f>IFERROR(S584/Q584*100,"")</f>
        <v/>
      </c>
      <c r="AC584" s="16">
        <f>IFERROR(T584/Q584*100,"")</f>
        <v/>
      </c>
      <c r="AD584" s="16">
        <f>IFERROR(U584/Q584*100,"")</f>
        <v/>
      </c>
      <c r="AE584" s="18">
        <f>IFERROR(E584/E580-1,"")</f>
        <v/>
      </c>
      <c r="AF584" s="18">
        <f>IFERROR(R584/R580-1,"")</f>
        <v/>
      </c>
      <c r="AG584" s="18">
        <f>IFERROR(F584/F580-1,"")</f>
        <v/>
      </c>
      <c r="AH584">
        <f>P584&gt;0</f>
        <v/>
      </c>
    </row>
    <row r="585">
      <c r="A585" s="14" t="n">
        <v>45565</v>
      </c>
      <c r="B585" t="n">
        <v>28369</v>
      </c>
      <c r="C585" t="inlineStr">
        <is>
          <t>ROCKLAND SAVINGS BANK, FSB</t>
        </is>
      </c>
      <c r="D585" t="inlineStr">
        <is>
          <t>ME</t>
        </is>
      </c>
      <c r="E585" t="n">
        <v>94545</v>
      </c>
      <c r="F585" t="n">
        <v>75881</v>
      </c>
      <c r="G585" t="n">
        <v>9202</v>
      </c>
      <c r="H585" s="16" t="n">
        <v>-0.2080826305535856</v>
      </c>
      <c r="I585" s="16" t="n">
        <v>-2.13</v>
      </c>
      <c r="J585" s="16" t="n">
        <v>2.863112272726014</v>
      </c>
      <c r="K585" s="16" t="n">
        <v>135</v>
      </c>
      <c r="L585" s="16" t="n">
        <v>-3</v>
      </c>
      <c r="M585" s="16" t="n">
        <v>0.1651941949536232</v>
      </c>
      <c r="N585" s="16" t="n">
        <v>232</v>
      </c>
      <c r="O585" s="16" t="n">
        <v>0</v>
      </c>
      <c r="P585" s="16" t="n">
        <v>13.89026868367577</v>
      </c>
      <c r="Q585" t="n">
        <v>81722</v>
      </c>
      <c r="R585" t="n">
        <v>81118</v>
      </c>
      <c r="S585" t="n">
        <v>68636</v>
      </c>
      <c r="T585" t="n">
        <v>12366</v>
      </c>
      <c r="U585" t="n">
        <v>720</v>
      </c>
      <c r="V585" t="n">
        <v>0.739091064829544</v>
      </c>
      <c r="W585" t="n">
        <v>0.02</v>
      </c>
      <c r="X585" s="16">
        <f>IFERROR(K585/E585*100,"")</f>
        <v/>
      </c>
      <c r="Y585" s="16">
        <f>IFERROR((N585+O585)/E585*100,"")</f>
        <v/>
      </c>
      <c r="Z585" s="16">
        <f>IFERROR(R585/F585*100,"")</f>
        <v/>
      </c>
      <c r="AA585" s="16">
        <f>IFERROR(R585/E585*100,"")</f>
        <v/>
      </c>
      <c r="AB585" s="16">
        <f>IFERROR(S585/Q585*100,"")</f>
        <v/>
      </c>
      <c r="AC585" s="16">
        <f>IFERROR(T585/Q585*100,"")</f>
        <v/>
      </c>
      <c r="AD585" s="16">
        <f>IFERROR(U585/Q585*100,"")</f>
        <v/>
      </c>
      <c r="AE585" s="18">
        <f>IFERROR(E585/E581-1,"")</f>
        <v/>
      </c>
      <c r="AF585" s="18">
        <f>IFERROR(R585/R581-1,"")</f>
        <v/>
      </c>
      <c r="AG585" s="18">
        <f>IFERROR(F585/F581-1,"")</f>
        <v/>
      </c>
      <c r="AH585">
        <f>P585&gt;0</f>
        <v/>
      </c>
    </row>
    <row r="586">
      <c r="A586" s="14" t="n">
        <v>45657</v>
      </c>
      <c r="B586" t="n">
        <v>28369</v>
      </c>
      <c r="C586" t="inlineStr">
        <is>
          <t>ROCKLAND SAVINGS BANK, FSB</t>
        </is>
      </c>
      <c r="D586" t="inlineStr">
        <is>
          <t>ME</t>
        </is>
      </c>
      <c r="E586" t="n">
        <v>93759</v>
      </c>
      <c r="F586" t="n">
        <v>74708</v>
      </c>
      <c r="G586" t="n">
        <v>9043</v>
      </c>
      <c r="H586" s="16" t="n">
        <v>-0.3244653192020055</v>
      </c>
      <c r="I586" s="16" t="n">
        <v>-3.33</v>
      </c>
      <c r="J586" s="16" t="n">
        <v>2.910911487466909</v>
      </c>
      <c r="K586" s="16" t="n">
        <v>208</v>
      </c>
      <c r="L586" s="16" t="n">
        <v>-4</v>
      </c>
      <c r="M586" s="16" t="n">
        <v>0.2556193238377309</v>
      </c>
      <c r="N586" s="16" t="n">
        <v>150</v>
      </c>
      <c r="O586" s="16" t="n">
        <v>0</v>
      </c>
      <c r="P586" s="16" t="n">
        <v>13.82478018069828</v>
      </c>
      <c r="Q586" t="n">
        <v>81371</v>
      </c>
      <c r="R586" t="n">
        <v>80745</v>
      </c>
      <c r="S586" t="n">
        <v>68320</v>
      </c>
      <c r="T586" t="n">
        <v>12423</v>
      </c>
      <c r="U586" t="n">
        <v>628</v>
      </c>
      <c r="V586" t="n">
        <v>0.769315849627017</v>
      </c>
      <c r="W586" t="n">
        <v>0.04</v>
      </c>
      <c r="X586" s="16">
        <f>IFERROR(K586/E586*100,"")</f>
        <v/>
      </c>
      <c r="Y586" s="16">
        <f>IFERROR((N586+O586)/E586*100,"")</f>
        <v/>
      </c>
      <c r="Z586" s="16">
        <f>IFERROR(R586/F586*100,"")</f>
        <v/>
      </c>
      <c r="AA586" s="16">
        <f>IFERROR(R586/E586*100,"")</f>
        <v/>
      </c>
      <c r="AB586" s="16">
        <f>IFERROR(S586/Q586*100,"")</f>
        <v/>
      </c>
      <c r="AC586" s="16">
        <f>IFERROR(T586/Q586*100,"")</f>
        <v/>
      </c>
      <c r="AD586" s="16">
        <f>IFERROR(U586/Q586*100,"")</f>
        <v/>
      </c>
      <c r="AE586" s="18">
        <f>IFERROR(E586/E582-1,"")</f>
        <v/>
      </c>
      <c r="AF586" s="18">
        <f>IFERROR(R586/R582-1,"")</f>
        <v/>
      </c>
      <c r="AG586" s="18">
        <f>IFERROR(F586/F582-1,"")</f>
        <v/>
      </c>
      <c r="AH586">
        <f>P586&gt;0</f>
        <v/>
      </c>
    </row>
    <row r="587">
      <c r="A587" s="14" t="n">
        <v>45747</v>
      </c>
      <c r="B587" t="n">
        <v>28369</v>
      </c>
      <c r="C587" t="inlineStr">
        <is>
          <t>ROCKLAND SAVINGS BANK, FSB</t>
        </is>
      </c>
      <c r="D587" t="inlineStr">
        <is>
          <t>ME</t>
        </is>
      </c>
      <c r="E587" t="n">
        <v>93473</v>
      </c>
      <c r="F587" t="n">
        <v>72638</v>
      </c>
      <c r="G587" t="n">
        <v>9063</v>
      </c>
      <c r="H587" s="16" t="n">
        <v>0.0854554776961203</v>
      </c>
      <c r="I587" s="16" t="n">
        <v>0.88</v>
      </c>
      <c r="J587" s="16" t="n">
        <v>3.505478698885377</v>
      </c>
      <c r="K587" s="16" t="n">
        <v>88</v>
      </c>
      <c r="L587" s="16" t="n">
        <v>-1</v>
      </c>
      <c r="M587" s="16" t="n">
        <v>0.1088072010583973</v>
      </c>
      <c r="N587" s="16" t="n">
        <v>299</v>
      </c>
      <c r="O587" s="16" t="n">
        <v>0</v>
      </c>
      <c r="P587" s="16" t="n">
        <v>14.00238182484427</v>
      </c>
      <c r="Q587" t="n">
        <v>80877</v>
      </c>
      <c r="R587" t="n">
        <v>80247</v>
      </c>
      <c r="S587" t="n">
        <v>67131</v>
      </c>
      <c r="T587" t="n">
        <v>13089</v>
      </c>
      <c r="U587" t="n">
        <v>657</v>
      </c>
      <c r="V587" t="n">
        <v>0.778960643940799</v>
      </c>
      <c r="W587" t="n">
        <v>0.01</v>
      </c>
      <c r="X587" s="16">
        <f>IFERROR(K587/E587*100,"")</f>
        <v/>
      </c>
      <c r="Y587" s="16">
        <f>IFERROR((N587+O587)/E587*100,"")</f>
        <v/>
      </c>
      <c r="Z587" s="16">
        <f>IFERROR(R587/F587*100,"")</f>
        <v/>
      </c>
      <c r="AA587" s="16">
        <f>IFERROR(R587/E587*100,"")</f>
        <v/>
      </c>
      <c r="AB587" s="16">
        <f>IFERROR(S587/Q587*100,"")</f>
        <v/>
      </c>
      <c r="AC587" s="16">
        <f>IFERROR(T587/Q587*100,"")</f>
        <v/>
      </c>
      <c r="AD587" s="16">
        <f>IFERROR(U587/Q587*100,"")</f>
        <v/>
      </c>
      <c r="AE587" s="18">
        <f>IFERROR(E587/E583-1,"")</f>
        <v/>
      </c>
      <c r="AF587" s="18">
        <f>IFERROR(R587/R583-1,"")</f>
        <v/>
      </c>
      <c r="AG587" s="18">
        <f>IFERROR(F587/F583-1,"")</f>
        <v/>
      </c>
      <c r="AH587">
        <f>P587&gt;0</f>
        <v/>
      </c>
    </row>
    <row r="588">
      <c r="A588" s="14" t="n">
        <v>45838</v>
      </c>
      <c r="B588" t="n">
        <v>28369</v>
      </c>
      <c r="C588" t="inlineStr">
        <is>
          <t>ROCKLAND SAVINGS BANK, FSB</t>
        </is>
      </c>
      <c r="D588" t="inlineStr">
        <is>
          <t>ME</t>
        </is>
      </c>
      <c r="E588" t="n">
        <v>93177</v>
      </c>
      <c r="F588" t="n">
        <v>73160</v>
      </c>
      <c r="G588" t="n">
        <v>9091</v>
      </c>
      <c r="H588" s="16" t="n">
        <v>0.1027071171039445</v>
      </c>
      <c r="I588" s="16" t="n">
        <v>1.06</v>
      </c>
      <c r="J588" s="16" t="n">
        <v>3.431589189751284</v>
      </c>
      <c r="K588" s="16" t="n">
        <v>86</v>
      </c>
      <c r="L588" s="16" t="n">
        <v>-59</v>
      </c>
      <c r="M588" s="16" t="n">
        <v>0.1075107510751075</v>
      </c>
      <c r="N588" s="16" t="n">
        <v>180</v>
      </c>
      <c r="O588" s="16" t="n">
        <v>0</v>
      </c>
      <c r="P588" s="16" t="n">
        <v>14.13808435933212</v>
      </c>
      <c r="Q588" t="n">
        <v>79992</v>
      </c>
      <c r="R588" t="n">
        <v>79361</v>
      </c>
      <c r="S588" t="n">
        <v>66764</v>
      </c>
      <c r="T588" t="n">
        <v>12550</v>
      </c>
      <c r="U588" t="n">
        <v>678</v>
      </c>
      <c r="V588" t="n">
        <v>0.7888288828882888</v>
      </c>
      <c r="W588" t="n">
        <v>-0.1</v>
      </c>
      <c r="X588" s="16">
        <f>IFERROR(K588/E588*100,"")</f>
        <v/>
      </c>
      <c r="Y588" s="16">
        <f>IFERROR((N588+O588)/E588*100,"")</f>
        <v/>
      </c>
      <c r="Z588" s="16">
        <f>IFERROR(R588/F588*100,"")</f>
        <v/>
      </c>
      <c r="AA588" s="16">
        <f>IFERROR(R588/E588*100,"")</f>
        <v/>
      </c>
      <c r="AB588" s="16">
        <f>IFERROR(S588/Q588*100,"")</f>
        <v/>
      </c>
      <c r="AC588" s="16">
        <f>IFERROR(T588/Q588*100,"")</f>
        <v/>
      </c>
      <c r="AD588" s="16">
        <f>IFERROR(U588/Q588*100,"")</f>
        <v/>
      </c>
      <c r="AE588" s="18">
        <f>IFERROR(E588/E584-1,"")</f>
        <v/>
      </c>
      <c r="AF588" s="18">
        <f>IFERROR(R588/R584-1,"")</f>
        <v/>
      </c>
      <c r="AG588" s="18">
        <f>IFERROR(F588/F584-1,"")</f>
        <v/>
      </c>
      <c r="AH588">
        <f>P588&gt;0</f>
        <v/>
      </c>
    </row>
    <row r="589">
      <c r="A589" s="14" t="n">
        <v>44651</v>
      </c>
      <c r="B589" t="n">
        <v>28837</v>
      </c>
      <c r="C589" t="inlineStr">
        <is>
          <t>THE BRATTLEBORO SAVINGS AND LOAN ASSOCIATION</t>
        </is>
      </c>
      <c r="D589" t="inlineStr">
        <is>
          <t>VT</t>
        </is>
      </c>
      <c r="E589" t="n">
        <v>300452</v>
      </c>
      <c r="F589" t="n">
        <v>273714</v>
      </c>
      <c r="G589" t="n">
        <v>22104</v>
      </c>
      <c r="H589" s="16" t="n">
        <v>0.3087206972052827</v>
      </c>
      <c r="I589" s="16" t="n">
        <v>4.24</v>
      </c>
      <c r="J589" s="16" t="n">
        <v>2.374078537993665</v>
      </c>
      <c r="K589" s="16" t="n">
        <v>71</v>
      </c>
      <c r="L589" s="16" t="n">
        <v>128</v>
      </c>
      <c r="M589" s="16" t="n">
        <v>0.0374947190536544</v>
      </c>
      <c r="N589" s="16" t="n">
        <v>507</v>
      </c>
      <c r="O589" s="16" t="n">
        <v>0</v>
      </c>
      <c r="P589" s="16" t="n">
        <v>14.53405919758452</v>
      </c>
      <c r="Q589" t="n">
        <v>189360</v>
      </c>
      <c r="R589" t="n">
        <v>187142</v>
      </c>
      <c r="S589" t="n">
        <v>180942</v>
      </c>
      <c r="T589" t="n">
        <v>6477</v>
      </c>
      <c r="U589" t="n">
        <v>887</v>
      </c>
      <c r="V589" t="n">
        <v>1.171313899450782</v>
      </c>
      <c r="W589" t="n">
        <v>0.05</v>
      </c>
      <c r="X589" s="16">
        <f>IFERROR(K589/E589*100,"")</f>
        <v/>
      </c>
      <c r="Y589" s="16">
        <f>IFERROR((N589+O589)/E589*100,"")</f>
        <v/>
      </c>
      <c r="Z589" s="16">
        <f>IFERROR(R589/F589*100,"")</f>
        <v/>
      </c>
      <c r="AA589" s="16">
        <f>IFERROR(R589/E589*100,"")</f>
        <v/>
      </c>
      <c r="AB589" s="16">
        <f>IFERROR(S589/Q589*100,"")</f>
        <v/>
      </c>
      <c r="AC589" s="16">
        <f>IFERROR(T589/Q589*100,"")</f>
        <v/>
      </c>
      <c r="AD589" s="16">
        <f>IFERROR(U589/Q589*100,"")</f>
        <v/>
      </c>
      <c r="AE589" s="18" t="n"/>
      <c r="AF589" s="18" t="n"/>
      <c r="AG589" s="18" t="n"/>
      <c r="AH589">
        <f>P589&gt;0</f>
        <v/>
      </c>
    </row>
    <row r="590">
      <c r="A590" s="14" t="n">
        <v>44742</v>
      </c>
      <c r="B590" t="n">
        <v>28837</v>
      </c>
      <c r="C590" t="inlineStr">
        <is>
          <t>THE BRATTLEBORO SAVINGS AND LOAN ASSOCIATION</t>
        </is>
      </c>
      <c r="D590" t="inlineStr">
        <is>
          <t>VT</t>
        </is>
      </c>
      <c r="E590" t="n">
        <v>290878</v>
      </c>
      <c r="F590" t="n">
        <v>266261</v>
      </c>
      <c r="G590" t="n">
        <v>22419</v>
      </c>
      <c r="H590" s="16" t="n">
        <v>0.3681845617329488</v>
      </c>
      <c r="I590" s="16" t="n">
        <v>4.96</v>
      </c>
      <c r="J590" s="16" t="n">
        <v>2.603549735704557</v>
      </c>
      <c r="K590" s="16" t="n">
        <v>0</v>
      </c>
      <c r="L590" s="16" t="n">
        <v>135</v>
      </c>
      <c r="M590" s="16" t="n">
        <v>0</v>
      </c>
      <c r="N590" s="16" t="n">
        <v>65</v>
      </c>
      <c r="O590" s="16" t="n">
        <v>0</v>
      </c>
      <c r="P590" s="16" t="n">
        <v>14.76245305978254</v>
      </c>
      <c r="Q590" t="n">
        <v>188647</v>
      </c>
      <c r="R590" t="n">
        <v>186376</v>
      </c>
      <c r="S590" t="n">
        <v>179830</v>
      </c>
      <c r="T590" t="n">
        <v>6574</v>
      </c>
      <c r="U590" t="n">
        <v>1145</v>
      </c>
      <c r="V590" t="n">
        <v>1.203835735527202</v>
      </c>
      <c r="W590" t="n">
        <v>0.06</v>
      </c>
      <c r="X590" s="16">
        <f>IFERROR(K590/E590*100,"")</f>
        <v/>
      </c>
      <c r="Y590" s="16">
        <f>IFERROR((N590+O590)/E590*100,"")</f>
        <v/>
      </c>
      <c r="Z590" s="16">
        <f>IFERROR(R590/F590*100,"")</f>
        <v/>
      </c>
      <c r="AA590" s="16">
        <f>IFERROR(R590/E590*100,"")</f>
        <v/>
      </c>
      <c r="AB590" s="16">
        <f>IFERROR(S590/Q590*100,"")</f>
        <v/>
      </c>
      <c r="AC590" s="16">
        <f>IFERROR(T590/Q590*100,"")</f>
        <v/>
      </c>
      <c r="AD590" s="16">
        <f>IFERROR(U590/Q590*100,"")</f>
        <v/>
      </c>
      <c r="AE590" s="18" t="n"/>
      <c r="AF590" s="18" t="n"/>
      <c r="AG590" s="18" t="n"/>
      <c r="AH590">
        <f>P590&gt;0</f>
        <v/>
      </c>
    </row>
    <row r="591">
      <c r="A591" s="14" t="n">
        <v>44834</v>
      </c>
      <c r="B591" t="n">
        <v>28837</v>
      </c>
      <c r="C591" t="inlineStr">
        <is>
          <t>THE BRATTLEBORO SAVINGS AND LOAN ASSOCIATION</t>
        </is>
      </c>
      <c r="D591" t="inlineStr">
        <is>
          <t>VT</t>
        </is>
      </c>
      <c r="E591" t="n">
        <v>308029</v>
      </c>
      <c r="F591" t="n">
        <v>282630</v>
      </c>
      <c r="G591" t="n">
        <v>22847</v>
      </c>
      <c r="H591" s="16" t="n">
        <v>0.4811320299761617</v>
      </c>
      <c r="I591" s="16" t="n">
        <v>6.48</v>
      </c>
      <c r="J591" s="16" t="n">
        <v>2.819996634666634</v>
      </c>
      <c r="K591" s="16" t="n">
        <v>240</v>
      </c>
      <c r="L591" s="16" t="n">
        <v>132</v>
      </c>
      <c r="M591" s="16" t="n">
        <v>0.1263224380230538</v>
      </c>
      <c r="N591" s="16" t="n">
        <v>105</v>
      </c>
      <c r="O591" s="16" t="n">
        <v>0</v>
      </c>
      <c r="P591" s="16" t="n">
        <v>15.10269966474752</v>
      </c>
      <c r="Q591" t="n">
        <v>189990</v>
      </c>
      <c r="R591" t="n">
        <v>187677</v>
      </c>
      <c r="S591" t="n">
        <v>180618</v>
      </c>
      <c r="T591" t="n">
        <v>6504</v>
      </c>
      <c r="U591" t="n">
        <v>1852</v>
      </c>
      <c r="V591" t="n">
        <v>1.217432496447181</v>
      </c>
      <c r="W591" t="n">
        <v>0.06</v>
      </c>
      <c r="X591" s="16">
        <f>IFERROR(K591/E591*100,"")</f>
        <v/>
      </c>
      <c r="Y591" s="16">
        <f>IFERROR((N591+O591)/E591*100,"")</f>
        <v/>
      </c>
      <c r="Z591" s="16">
        <f>IFERROR(R591/F591*100,"")</f>
        <v/>
      </c>
      <c r="AA591" s="16">
        <f>IFERROR(R591/E591*100,"")</f>
        <v/>
      </c>
      <c r="AB591" s="16">
        <f>IFERROR(S591/Q591*100,"")</f>
        <v/>
      </c>
      <c r="AC591" s="16">
        <f>IFERROR(T591/Q591*100,"")</f>
        <v/>
      </c>
      <c r="AD591" s="16">
        <f>IFERROR(U591/Q591*100,"")</f>
        <v/>
      </c>
      <c r="AE591" s="18" t="n"/>
      <c r="AF591" s="18" t="n"/>
      <c r="AG591" s="18" t="n"/>
      <c r="AH591">
        <f>P591&gt;0</f>
        <v/>
      </c>
    </row>
    <row r="592">
      <c r="A592" s="14" t="n">
        <v>44926</v>
      </c>
      <c r="B592" t="n">
        <v>28837</v>
      </c>
      <c r="C592" t="inlineStr">
        <is>
          <t>THE BRATTLEBORO SAVINGS AND LOAN ASSOCIATION</t>
        </is>
      </c>
      <c r="D592" t="inlineStr">
        <is>
          <t>VT</t>
        </is>
      </c>
      <c r="E592" t="n">
        <v>309393</v>
      </c>
      <c r="F592" t="n">
        <v>282476</v>
      </c>
      <c r="G592" t="n">
        <v>23557</v>
      </c>
      <c r="H592" s="16" t="n">
        <v>0.5872697380168536</v>
      </c>
      <c r="I592" s="16" t="n">
        <v>7.87</v>
      </c>
      <c r="J592" s="16" t="n">
        <v>3.009546002309212</v>
      </c>
      <c r="K592" s="16" t="n">
        <v>19</v>
      </c>
      <c r="L592" s="16" t="n">
        <v>117</v>
      </c>
      <c r="M592" s="16" t="n">
        <v>0.0100791478345746</v>
      </c>
      <c r="N592" s="16" t="n">
        <v>480</v>
      </c>
      <c r="O592" s="16" t="n">
        <v>0</v>
      </c>
      <c r="P592" s="16" t="n">
        <v>15.40614978793835</v>
      </c>
      <c r="Q592" t="n">
        <v>188508</v>
      </c>
      <c r="R592" t="n">
        <v>186207</v>
      </c>
      <c r="S592" t="n">
        <v>179883</v>
      </c>
      <c r="T592" t="n">
        <v>6121</v>
      </c>
      <c r="U592" t="n">
        <v>1547</v>
      </c>
      <c r="V592" t="n">
        <v>1.220637850913489</v>
      </c>
      <c r="W592" t="n">
        <v>0.04</v>
      </c>
      <c r="X592" s="16">
        <f>IFERROR(K592/E592*100,"")</f>
        <v/>
      </c>
      <c r="Y592" s="16">
        <f>IFERROR((N592+O592)/E592*100,"")</f>
        <v/>
      </c>
      <c r="Z592" s="16">
        <f>IFERROR(R592/F592*100,"")</f>
        <v/>
      </c>
      <c r="AA592" s="16">
        <f>IFERROR(R592/E592*100,"")</f>
        <v/>
      </c>
      <c r="AB592" s="16">
        <f>IFERROR(S592/Q592*100,"")</f>
        <v/>
      </c>
      <c r="AC592" s="16">
        <f>IFERROR(T592/Q592*100,"")</f>
        <v/>
      </c>
      <c r="AD592" s="16">
        <f>IFERROR(U592/Q592*100,"")</f>
        <v/>
      </c>
      <c r="AE592" s="18" t="n"/>
      <c r="AF592" s="18" t="n"/>
      <c r="AG592" s="18" t="n"/>
      <c r="AH592">
        <f>P592&gt;0</f>
        <v/>
      </c>
    </row>
    <row r="593">
      <c r="A593" s="14" t="n">
        <v>45016</v>
      </c>
      <c r="B593" t="n">
        <v>28837</v>
      </c>
      <c r="C593" t="inlineStr">
        <is>
          <t>THE BRATTLEBORO SAVINGS AND LOAN ASSOCIATION</t>
        </is>
      </c>
      <c r="D593" t="inlineStr">
        <is>
          <t>VT</t>
        </is>
      </c>
      <c r="E593" t="n">
        <v>288419</v>
      </c>
      <c r="F593" t="n">
        <v>260987</v>
      </c>
      <c r="G593" t="n">
        <v>24341</v>
      </c>
      <c r="H593" s="16" t="n">
        <v>0.8591329715696573</v>
      </c>
      <c r="I593" s="16" t="n">
        <v>10.72</v>
      </c>
      <c r="J593" s="16" t="n">
        <v>3.672235844215088</v>
      </c>
      <c r="K593" s="16" t="n">
        <v>19</v>
      </c>
      <c r="L593" s="16" t="n">
        <v>-2</v>
      </c>
      <c r="M593" s="16" t="n">
        <v>0.0101010101010101</v>
      </c>
      <c r="N593" s="16" t="n">
        <v>454</v>
      </c>
      <c r="O593" s="16" t="n">
        <v>0</v>
      </c>
      <c r="P593" s="16" t="n">
        <v>16.34110972260276</v>
      </c>
      <c r="Q593" t="n">
        <v>188100</v>
      </c>
      <c r="R593" t="n">
        <v>185815</v>
      </c>
      <c r="S593" t="n">
        <v>179697</v>
      </c>
      <c r="T593" t="n">
        <v>6280</v>
      </c>
      <c r="U593" t="n">
        <v>1194</v>
      </c>
      <c r="V593" t="n">
        <v>1.214779372674109</v>
      </c>
      <c r="W593" t="n">
        <v>0.01</v>
      </c>
      <c r="X593" s="16">
        <f>IFERROR(K593/E593*100,"")</f>
        <v/>
      </c>
      <c r="Y593" s="16">
        <f>IFERROR((N593+O593)/E593*100,"")</f>
        <v/>
      </c>
      <c r="Z593" s="16">
        <f>IFERROR(R593/F593*100,"")</f>
        <v/>
      </c>
      <c r="AA593" s="16">
        <f>IFERROR(R593/E593*100,"")</f>
        <v/>
      </c>
      <c r="AB593" s="16">
        <f>IFERROR(S593/Q593*100,"")</f>
        <v/>
      </c>
      <c r="AC593" s="16">
        <f>IFERROR(T593/Q593*100,"")</f>
        <v/>
      </c>
      <c r="AD593" s="16">
        <f>IFERROR(U593/Q593*100,"")</f>
        <v/>
      </c>
      <c r="AE593" s="18">
        <f>IFERROR(E593/E589-1,"")</f>
        <v/>
      </c>
      <c r="AF593" s="18">
        <f>IFERROR(R593/R589-1,"")</f>
        <v/>
      </c>
      <c r="AG593" s="18">
        <f>IFERROR(F593/F589-1,"")</f>
        <v/>
      </c>
      <c r="AH593">
        <f>P593&gt;0</f>
        <v/>
      </c>
    </row>
    <row r="594">
      <c r="A594" s="14" t="n">
        <v>45107</v>
      </c>
      <c r="B594" t="n">
        <v>28837</v>
      </c>
      <c r="C594" t="inlineStr">
        <is>
          <t>THE BRATTLEBORO SAVINGS AND LOAN ASSOCIATION</t>
        </is>
      </c>
      <c r="D594" t="inlineStr">
        <is>
          <t>VT</t>
        </is>
      </c>
      <c r="E594" t="n">
        <v>285195</v>
      </c>
      <c r="F594" t="n">
        <v>256863</v>
      </c>
      <c r="G594" t="n">
        <v>24942</v>
      </c>
      <c r="H594" s="16" t="n">
        <v>0.9981800823776028</v>
      </c>
      <c r="I594" s="16" t="n">
        <v>12.1</v>
      </c>
      <c r="J594" s="16" t="n">
        <v>3.640304616664893</v>
      </c>
      <c r="K594" s="16" t="n">
        <v>38</v>
      </c>
      <c r="L594" s="16" t="n">
        <v>-4</v>
      </c>
      <c r="M594" s="16" t="n">
        <v>0.0196880990622247</v>
      </c>
      <c r="N594" s="16" t="n">
        <v>366</v>
      </c>
      <c r="O594" s="16" t="n">
        <v>0</v>
      </c>
      <c r="P594" s="16" t="n">
        <v>16.3569852514226</v>
      </c>
      <c r="Q594" t="n">
        <v>193010</v>
      </c>
      <c r="R594" t="n">
        <v>190734</v>
      </c>
      <c r="S594" t="n">
        <v>183990</v>
      </c>
      <c r="T594" t="n">
        <v>6474</v>
      </c>
      <c r="U594" t="n">
        <v>1267</v>
      </c>
      <c r="V594" t="n">
        <v>1.179213512253251</v>
      </c>
      <c r="W594" t="n">
        <v>0</v>
      </c>
      <c r="X594" s="16">
        <f>IFERROR(K594/E594*100,"")</f>
        <v/>
      </c>
      <c r="Y594" s="16">
        <f>IFERROR((N594+O594)/E594*100,"")</f>
        <v/>
      </c>
      <c r="Z594" s="16">
        <f>IFERROR(R594/F594*100,"")</f>
        <v/>
      </c>
      <c r="AA594" s="16">
        <f>IFERROR(R594/E594*100,"")</f>
        <v/>
      </c>
      <c r="AB594" s="16">
        <f>IFERROR(S594/Q594*100,"")</f>
        <v/>
      </c>
      <c r="AC594" s="16">
        <f>IFERROR(T594/Q594*100,"")</f>
        <v/>
      </c>
      <c r="AD594" s="16">
        <f>IFERROR(U594/Q594*100,"")</f>
        <v/>
      </c>
      <c r="AE594" s="18">
        <f>IFERROR(E594/E590-1,"")</f>
        <v/>
      </c>
      <c r="AF594" s="18">
        <f>IFERROR(R594/R590-1,"")</f>
        <v/>
      </c>
      <c r="AG594" s="18">
        <f>IFERROR(F594/F590-1,"")</f>
        <v/>
      </c>
      <c r="AH594">
        <f>P594&gt;0</f>
        <v/>
      </c>
    </row>
    <row r="595">
      <c r="A595" s="14" t="n">
        <v>45199</v>
      </c>
      <c r="B595" t="n">
        <v>28837</v>
      </c>
      <c r="C595" t="inlineStr">
        <is>
          <t>THE BRATTLEBORO SAVINGS AND LOAN ASSOCIATION</t>
        </is>
      </c>
      <c r="D595" t="inlineStr">
        <is>
          <t>VT</t>
        </is>
      </c>
      <c r="E595" t="n">
        <v>282885</v>
      </c>
      <c r="F595" t="n">
        <v>253635</v>
      </c>
      <c r="G595" t="n">
        <v>25486</v>
      </c>
      <c r="H595" s="16" t="n">
        <v>0.9167000717047548</v>
      </c>
      <c r="I595" s="16" t="n">
        <v>10.87</v>
      </c>
      <c r="J595" s="16" t="n">
        <v>3.61649026008213</v>
      </c>
      <c r="K595" s="16" t="n">
        <v>52</v>
      </c>
      <c r="L595" s="16" t="n">
        <v>49</v>
      </c>
      <c r="M595" s="16" t="n">
        <v>0.0267686621331535</v>
      </c>
      <c r="N595" s="16" t="n">
        <v>150</v>
      </c>
      <c r="O595" s="16" t="n">
        <v>0</v>
      </c>
      <c r="P595" s="16" t="n">
        <v>16.49202501606449</v>
      </c>
      <c r="Q595" t="n">
        <v>194257</v>
      </c>
      <c r="R595" t="n">
        <v>192043</v>
      </c>
      <c r="S595" t="n">
        <v>185306</v>
      </c>
      <c r="T595" t="n">
        <v>6214</v>
      </c>
      <c r="U595" t="n">
        <v>1468</v>
      </c>
      <c r="V595" t="n">
        <v>1.13972726851542</v>
      </c>
      <c r="W595" t="n">
        <v>0.03</v>
      </c>
      <c r="X595" s="16">
        <f>IFERROR(K595/E595*100,"")</f>
        <v/>
      </c>
      <c r="Y595" s="16">
        <f>IFERROR((N595+O595)/E595*100,"")</f>
        <v/>
      </c>
      <c r="Z595" s="16">
        <f>IFERROR(R595/F595*100,"")</f>
        <v/>
      </c>
      <c r="AA595" s="16">
        <f>IFERROR(R595/E595*100,"")</f>
        <v/>
      </c>
      <c r="AB595" s="16">
        <f>IFERROR(S595/Q595*100,"")</f>
        <v/>
      </c>
      <c r="AC595" s="16">
        <f>IFERROR(T595/Q595*100,"")</f>
        <v/>
      </c>
      <c r="AD595" s="16">
        <f>IFERROR(U595/Q595*100,"")</f>
        <v/>
      </c>
      <c r="AE595" s="18">
        <f>IFERROR(E595/E591-1,"")</f>
        <v/>
      </c>
      <c r="AF595" s="18">
        <f>IFERROR(R595/R591-1,"")</f>
        <v/>
      </c>
      <c r="AG595" s="18">
        <f>IFERROR(F595/F591-1,"")</f>
        <v/>
      </c>
      <c r="AH595">
        <f>P595&gt;0</f>
        <v/>
      </c>
    </row>
    <row r="596">
      <c r="A596" s="14" t="n">
        <v>45291</v>
      </c>
      <c r="B596" t="n">
        <v>28837</v>
      </c>
      <c r="C596" t="inlineStr">
        <is>
          <t>THE BRATTLEBORO SAVINGS AND LOAN ASSOCIATION</t>
        </is>
      </c>
      <c r="D596" t="inlineStr">
        <is>
          <t>VT</t>
        </is>
      </c>
      <c r="E596" t="n">
        <v>285205</v>
      </c>
      <c r="F596" t="n">
        <v>255839</v>
      </c>
      <c r="G596" t="n">
        <v>26107</v>
      </c>
      <c r="H596" s="16" t="n">
        <v>0.8434997798217486</v>
      </c>
      <c r="I596" s="16" t="n">
        <v>9.84</v>
      </c>
      <c r="J596" s="16" t="n">
        <v>3.603373239369351</v>
      </c>
      <c r="K596" s="16" t="n">
        <v>89</v>
      </c>
      <c r="L596" s="16" t="n">
        <v>44</v>
      </c>
      <c r="M596" s="16" t="n">
        <v>0.0448281419994358</v>
      </c>
      <c r="N596" s="16" t="n">
        <v>689</v>
      </c>
      <c r="O596" s="16" t="n">
        <v>0</v>
      </c>
      <c r="P596" s="16" t="n">
        <v>16.60324668381627</v>
      </c>
      <c r="Q596" t="n">
        <v>198536</v>
      </c>
      <c r="R596" t="n">
        <v>196215</v>
      </c>
      <c r="S596" t="n">
        <v>190865</v>
      </c>
      <c r="T596" t="n">
        <v>6136</v>
      </c>
      <c r="U596" t="n">
        <v>790</v>
      </c>
      <c r="V596" t="n">
        <v>1.169057500906637</v>
      </c>
      <c r="W596" t="n">
        <v>0.06</v>
      </c>
      <c r="X596" s="16">
        <f>IFERROR(K596/E596*100,"")</f>
        <v/>
      </c>
      <c r="Y596" s="16">
        <f>IFERROR((N596+O596)/E596*100,"")</f>
        <v/>
      </c>
      <c r="Z596" s="16">
        <f>IFERROR(R596/F596*100,"")</f>
        <v/>
      </c>
      <c r="AA596" s="16">
        <f>IFERROR(R596/E596*100,"")</f>
        <v/>
      </c>
      <c r="AB596" s="16">
        <f>IFERROR(S596/Q596*100,"")</f>
        <v/>
      </c>
      <c r="AC596" s="16">
        <f>IFERROR(T596/Q596*100,"")</f>
        <v/>
      </c>
      <c r="AD596" s="16">
        <f>IFERROR(U596/Q596*100,"")</f>
        <v/>
      </c>
      <c r="AE596" s="18">
        <f>IFERROR(E596/E592-1,"")</f>
        <v/>
      </c>
      <c r="AF596" s="18">
        <f>IFERROR(R596/R592-1,"")</f>
        <v/>
      </c>
      <c r="AG596" s="18">
        <f>IFERROR(F596/F592-1,"")</f>
        <v/>
      </c>
      <c r="AH596">
        <f>P596&gt;0</f>
        <v/>
      </c>
    </row>
    <row r="597">
      <c r="A597" s="14" t="n">
        <v>45382</v>
      </c>
      <c r="B597" t="n">
        <v>28837</v>
      </c>
      <c r="C597" t="inlineStr">
        <is>
          <t>THE BRATTLEBORO SAVINGS AND LOAN ASSOCIATION</t>
        </is>
      </c>
      <c r="D597" t="inlineStr">
        <is>
          <t>VT</t>
        </is>
      </c>
      <c r="E597" t="n">
        <v>280957</v>
      </c>
      <c r="F597" t="n">
        <v>251772</v>
      </c>
      <c r="G597" t="n">
        <v>26570</v>
      </c>
      <c r="H597" s="16" t="n">
        <v>0.7390110957641099</v>
      </c>
      <c r="I597" s="16" t="n">
        <v>7.94</v>
      </c>
      <c r="J597" s="16" t="n">
        <v>3.635695510500995</v>
      </c>
      <c r="K597" s="16" t="n">
        <v>89</v>
      </c>
      <c r="L597" s="16" t="n">
        <v>0</v>
      </c>
      <c r="M597" s="16" t="n">
        <v>0.06443952832294859</v>
      </c>
      <c r="N597" s="16" t="n">
        <v>795</v>
      </c>
      <c r="O597" s="16" t="n">
        <v>38</v>
      </c>
      <c r="P597" s="16" t="n">
        <v>16.8987480781902</v>
      </c>
      <c r="Q597" t="n">
        <v>197084</v>
      </c>
      <c r="R597" t="n">
        <v>194949</v>
      </c>
      <c r="S597" t="n">
        <v>188594</v>
      </c>
      <c r="T597" t="n">
        <v>6456</v>
      </c>
      <c r="U597" t="n">
        <v>1299</v>
      </c>
      <c r="V597" t="n">
        <v>1.083294432830671</v>
      </c>
      <c r="W597" t="n">
        <v>-0.21</v>
      </c>
      <c r="X597" s="16">
        <f>IFERROR(K597/E597*100,"")</f>
        <v/>
      </c>
      <c r="Y597" s="16">
        <f>IFERROR((N597+O597)/E597*100,"")</f>
        <v/>
      </c>
      <c r="Z597" s="16">
        <f>IFERROR(R597/F597*100,"")</f>
        <v/>
      </c>
      <c r="AA597" s="16">
        <f>IFERROR(R597/E597*100,"")</f>
        <v/>
      </c>
      <c r="AB597" s="16">
        <f>IFERROR(S597/Q597*100,"")</f>
        <v/>
      </c>
      <c r="AC597" s="16">
        <f>IFERROR(T597/Q597*100,"")</f>
        <v/>
      </c>
      <c r="AD597" s="16">
        <f>IFERROR(U597/Q597*100,"")</f>
        <v/>
      </c>
      <c r="AE597" s="18">
        <f>IFERROR(E597/E593-1,"")</f>
        <v/>
      </c>
      <c r="AF597" s="18">
        <f>IFERROR(R597/R593-1,"")</f>
        <v/>
      </c>
      <c r="AG597" s="18">
        <f>IFERROR(F597/F593-1,"")</f>
        <v/>
      </c>
      <c r="AH597">
        <f>P597&gt;0</f>
        <v/>
      </c>
    </row>
    <row r="598">
      <c r="A598" s="14" t="n">
        <v>45473</v>
      </c>
      <c r="B598" t="n">
        <v>28837</v>
      </c>
      <c r="C598" t="inlineStr">
        <is>
          <t>THE BRATTLEBORO SAVINGS AND LOAN ASSOCIATION</t>
        </is>
      </c>
      <c r="D598" t="inlineStr">
        <is>
          <t>VT</t>
        </is>
      </c>
      <c r="E598" t="n">
        <v>285118</v>
      </c>
      <c r="F598" t="n">
        <v>254557</v>
      </c>
      <c r="G598" t="n">
        <v>27060</v>
      </c>
      <c r="H598" s="16" t="n">
        <v>0.7160981110797857</v>
      </c>
      <c r="I598" s="16" t="n">
        <v>7.65</v>
      </c>
      <c r="J598" s="16" t="n">
        <v>3.680999962576251</v>
      </c>
      <c r="K598" s="16" t="n">
        <v>155</v>
      </c>
      <c r="L598" s="16" t="n">
        <v>0</v>
      </c>
      <c r="M598" s="16" t="n">
        <v>0.07662873132483659</v>
      </c>
      <c r="N598" s="16" t="n">
        <v>105</v>
      </c>
      <c r="O598" s="16" t="n">
        <v>0</v>
      </c>
      <c r="P598" s="16" t="n">
        <v>16.73953816924051</v>
      </c>
      <c r="Q598" t="n">
        <v>202274</v>
      </c>
      <c r="R598" t="n">
        <v>200039</v>
      </c>
      <c r="S598" t="n">
        <v>192922</v>
      </c>
      <c r="T598" t="n">
        <v>7061</v>
      </c>
      <c r="U598" t="n">
        <v>834</v>
      </c>
      <c r="V598" t="n">
        <v>1.104936867812966</v>
      </c>
      <c r="W598" t="n">
        <v>-0.1</v>
      </c>
      <c r="X598" s="16">
        <f>IFERROR(K598/E598*100,"")</f>
        <v/>
      </c>
      <c r="Y598" s="16">
        <f>IFERROR((N598+O598)/E598*100,"")</f>
        <v/>
      </c>
      <c r="Z598" s="16">
        <f>IFERROR(R598/F598*100,"")</f>
        <v/>
      </c>
      <c r="AA598" s="16">
        <f>IFERROR(R598/E598*100,"")</f>
        <v/>
      </c>
      <c r="AB598" s="16">
        <f>IFERROR(S598/Q598*100,"")</f>
        <v/>
      </c>
      <c r="AC598" s="16">
        <f>IFERROR(T598/Q598*100,"")</f>
        <v/>
      </c>
      <c r="AD598" s="16">
        <f>IFERROR(U598/Q598*100,"")</f>
        <v/>
      </c>
      <c r="AE598" s="18">
        <f>IFERROR(E598/E594-1,"")</f>
        <v/>
      </c>
      <c r="AF598" s="18">
        <f>IFERROR(R598/R594-1,"")</f>
        <v/>
      </c>
      <c r="AG598" s="18">
        <f>IFERROR(F598/F594-1,"")</f>
        <v/>
      </c>
      <c r="AH598">
        <f>P598&gt;0</f>
        <v/>
      </c>
    </row>
    <row r="599">
      <c r="A599" s="14" t="n">
        <v>45565</v>
      </c>
      <c r="B599" t="n">
        <v>28837</v>
      </c>
      <c r="C599" t="inlineStr">
        <is>
          <t>THE BRATTLEBORO SAVINGS AND LOAN ASSOCIATION</t>
        </is>
      </c>
      <c r="D599" t="inlineStr">
        <is>
          <t>VT</t>
        </is>
      </c>
      <c r="E599" t="n">
        <v>283014</v>
      </c>
      <c r="F599" t="n">
        <v>251476</v>
      </c>
      <c r="G599" t="n">
        <v>28217</v>
      </c>
      <c r="H599" s="16" t="n">
        <v>0.8853450340035299</v>
      </c>
      <c r="I599" s="16" t="n">
        <v>9.300000000000001</v>
      </c>
      <c r="J599" s="16" t="n">
        <v>3.778632028340449</v>
      </c>
      <c r="K599" s="16" t="n">
        <v>30</v>
      </c>
      <c r="L599" s="16" t="n">
        <v>-56</v>
      </c>
      <c r="M599" s="16" t="n">
        <v>0.0147228424901234</v>
      </c>
      <c r="N599" s="16" t="n">
        <v>79</v>
      </c>
      <c r="O599" s="16" t="n">
        <v>0</v>
      </c>
      <c r="P599" s="16" t="n">
        <v>17.73073189063919</v>
      </c>
      <c r="Q599" t="n">
        <v>203765</v>
      </c>
      <c r="R599" t="n">
        <v>201469</v>
      </c>
      <c r="S599" t="n">
        <v>194609</v>
      </c>
      <c r="T599" t="n">
        <v>6862</v>
      </c>
      <c r="U599" t="n">
        <v>1628</v>
      </c>
      <c r="V599" t="n">
        <v>1.126788211910779</v>
      </c>
      <c r="W599" t="n">
        <v>-0.07000000000000001</v>
      </c>
      <c r="X599" s="16">
        <f>IFERROR(K599/E599*100,"")</f>
        <v/>
      </c>
      <c r="Y599" s="16">
        <f>IFERROR((N599+O599)/E599*100,"")</f>
        <v/>
      </c>
      <c r="Z599" s="16">
        <f>IFERROR(R599/F599*100,"")</f>
        <v/>
      </c>
      <c r="AA599" s="16">
        <f>IFERROR(R599/E599*100,"")</f>
        <v/>
      </c>
      <c r="AB599" s="16">
        <f>IFERROR(S599/Q599*100,"")</f>
        <v/>
      </c>
      <c r="AC599" s="16">
        <f>IFERROR(T599/Q599*100,"")</f>
        <v/>
      </c>
      <c r="AD599" s="16">
        <f>IFERROR(U599/Q599*100,"")</f>
        <v/>
      </c>
      <c r="AE599" s="18">
        <f>IFERROR(E599/E595-1,"")</f>
        <v/>
      </c>
      <c r="AF599" s="18">
        <f>IFERROR(R599/R595-1,"")</f>
        <v/>
      </c>
      <c r="AG599" s="18">
        <f>IFERROR(F599/F595-1,"")</f>
        <v/>
      </c>
      <c r="AH599">
        <f>P599&gt;0</f>
        <v/>
      </c>
    </row>
    <row r="600">
      <c r="A600" s="14" t="n">
        <v>45657</v>
      </c>
      <c r="B600" t="n">
        <v>28837</v>
      </c>
      <c r="C600" t="inlineStr">
        <is>
          <t>THE BRATTLEBORO SAVINGS AND LOAN ASSOCIATION</t>
        </is>
      </c>
      <c r="D600" t="inlineStr">
        <is>
          <t>VT</t>
        </is>
      </c>
      <c r="E600" t="n">
        <v>287826</v>
      </c>
      <c r="F600" t="n">
        <v>255992</v>
      </c>
      <c r="G600" t="n">
        <v>28739</v>
      </c>
      <c r="H600" s="16" t="n">
        <v>0.8972519899867804</v>
      </c>
      <c r="I600" s="16" t="n">
        <v>9.33</v>
      </c>
      <c r="J600" s="16" t="n">
        <v>3.819362490999644</v>
      </c>
      <c r="K600" s="16" t="n">
        <v>0</v>
      </c>
      <c r="L600" s="16" t="n">
        <v>-56</v>
      </c>
      <c r="M600" s="16" t="n">
        <v>0</v>
      </c>
      <c r="N600" s="16" t="n">
        <v>688</v>
      </c>
      <c r="O600" s="16" t="n">
        <v>0</v>
      </c>
      <c r="P600" s="16" t="n">
        <v>17.85309969729038</v>
      </c>
      <c r="Q600" t="n">
        <v>205742</v>
      </c>
      <c r="R600" t="n">
        <v>203503</v>
      </c>
      <c r="S600" t="n">
        <v>197027</v>
      </c>
      <c r="T600" t="n">
        <v>7327</v>
      </c>
      <c r="U600" t="n">
        <v>776</v>
      </c>
      <c r="V600" t="n">
        <v>1.088256165488816</v>
      </c>
      <c r="W600" t="n">
        <v>-0.07000000000000001</v>
      </c>
      <c r="X600" s="16">
        <f>IFERROR(K600/E600*100,"")</f>
        <v/>
      </c>
      <c r="Y600" s="16">
        <f>IFERROR((N600+O600)/E600*100,"")</f>
        <v/>
      </c>
      <c r="Z600" s="16">
        <f>IFERROR(R600/F600*100,"")</f>
        <v/>
      </c>
      <c r="AA600" s="16">
        <f>IFERROR(R600/E600*100,"")</f>
        <v/>
      </c>
      <c r="AB600" s="16">
        <f>IFERROR(S600/Q600*100,"")</f>
        <v/>
      </c>
      <c r="AC600" s="16">
        <f>IFERROR(T600/Q600*100,"")</f>
        <v/>
      </c>
      <c r="AD600" s="16">
        <f>IFERROR(U600/Q600*100,"")</f>
        <v/>
      </c>
      <c r="AE600" s="18">
        <f>IFERROR(E600/E596-1,"")</f>
        <v/>
      </c>
      <c r="AF600" s="18">
        <f>IFERROR(R600/R596-1,"")</f>
        <v/>
      </c>
      <c r="AG600" s="18">
        <f>IFERROR(F600/F596-1,"")</f>
        <v/>
      </c>
      <c r="AH600">
        <f>P600&gt;0</f>
        <v/>
      </c>
    </row>
    <row r="601">
      <c r="A601" s="14" t="n">
        <v>45747</v>
      </c>
      <c r="B601" t="n">
        <v>28837</v>
      </c>
      <c r="C601" t="inlineStr">
        <is>
          <t>THE BRATTLEBORO SAVINGS AND LOAN ASSOCIATION</t>
        </is>
      </c>
      <c r="D601" t="inlineStr">
        <is>
          <t>VT</t>
        </is>
      </c>
      <c r="E601" t="n">
        <v>289565</v>
      </c>
      <c r="F601" t="n">
        <v>257144</v>
      </c>
      <c r="G601" t="n">
        <v>29273</v>
      </c>
      <c r="H601" s="16" t="n">
        <v>0.6983136210990473</v>
      </c>
      <c r="I601" s="16" t="n">
        <v>6.95</v>
      </c>
      <c r="J601" s="16" t="n">
        <v>3.955040302920467</v>
      </c>
      <c r="K601" s="16" t="n">
        <v>0</v>
      </c>
      <c r="L601" s="16" t="n">
        <v>0</v>
      </c>
      <c r="M601" s="16" t="n">
        <v>0</v>
      </c>
      <c r="N601" s="16" t="n">
        <v>1378</v>
      </c>
      <c r="O601" s="16" t="n">
        <v>0</v>
      </c>
      <c r="P601" s="16" t="n">
        <v>18.1761660582706</v>
      </c>
      <c r="Q601" t="n">
        <v>204142</v>
      </c>
      <c r="R601" t="n">
        <v>201936</v>
      </c>
      <c r="S601" t="n">
        <v>195050</v>
      </c>
      <c r="T601" t="n">
        <v>7281</v>
      </c>
      <c r="U601" t="n">
        <v>1412</v>
      </c>
      <c r="V601" t="n">
        <v>1.080620352499731</v>
      </c>
      <c r="W601" t="n">
        <v>0.05</v>
      </c>
      <c r="X601" s="16">
        <f>IFERROR(K601/E601*100,"")</f>
        <v/>
      </c>
      <c r="Y601" s="16">
        <f>IFERROR((N601+O601)/E601*100,"")</f>
        <v/>
      </c>
      <c r="Z601" s="16">
        <f>IFERROR(R601/F601*100,"")</f>
        <v/>
      </c>
      <c r="AA601" s="16">
        <f>IFERROR(R601/E601*100,"")</f>
        <v/>
      </c>
      <c r="AB601" s="16">
        <f>IFERROR(S601/Q601*100,"")</f>
        <v/>
      </c>
      <c r="AC601" s="16">
        <f>IFERROR(T601/Q601*100,"")</f>
        <v/>
      </c>
      <c r="AD601" s="16">
        <f>IFERROR(U601/Q601*100,"")</f>
        <v/>
      </c>
      <c r="AE601" s="18">
        <f>IFERROR(E601/E597-1,"")</f>
        <v/>
      </c>
      <c r="AF601" s="18">
        <f>IFERROR(R601/R597-1,"")</f>
        <v/>
      </c>
      <c r="AG601" s="18">
        <f>IFERROR(F601/F597-1,"")</f>
        <v/>
      </c>
      <c r="AH601">
        <f>P601&gt;0</f>
        <v/>
      </c>
    </row>
    <row r="602">
      <c r="A602" s="14" t="n">
        <v>45838</v>
      </c>
      <c r="B602" t="n">
        <v>28837</v>
      </c>
      <c r="C602" t="inlineStr">
        <is>
          <t>THE BRATTLEBORO SAVINGS AND LOAN ASSOCIATION</t>
        </is>
      </c>
      <c r="D602" t="inlineStr">
        <is>
          <t>VT</t>
        </is>
      </c>
      <c r="E602" t="n">
        <v>279103</v>
      </c>
      <c r="F602" t="n">
        <v>248250</v>
      </c>
      <c r="G602" t="n">
        <v>28295</v>
      </c>
      <c r="H602" s="16" t="n">
        <v>-0.326447120470196</v>
      </c>
      <c r="I602" s="16" t="n">
        <v>-3.24</v>
      </c>
      <c r="J602" s="16" t="n">
        <v>4.008648873565952</v>
      </c>
      <c r="K602" s="16" t="n">
        <v>253</v>
      </c>
      <c r="L602" s="16" t="n">
        <v>-2</v>
      </c>
      <c r="M602" s="16" t="n">
        <v>0.1551077855491246</v>
      </c>
      <c r="N602" s="16" t="n">
        <v>1246</v>
      </c>
      <c r="O602" s="16" t="n">
        <v>71</v>
      </c>
      <c r="P602" s="16" t="n">
        <v>17.98951214882308</v>
      </c>
      <c r="Q602" t="n">
        <v>208887</v>
      </c>
      <c r="R602" t="n">
        <v>206715</v>
      </c>
      <c r="S602" t="n">
        <v>199905</v>
      </c>
      <c r="T602" t="n">
        <v>7567</v>
      </c>
      <c r="U602" t="n">
        <v>1028</v>
      </c>
      <c r="V602" t="n">
        <v>1.039796636458947</v>
      </c>
      <c r="W602" t="n">
        <v>-0.05</v>
      </c>
      <c r="X602" s="16">
        <f>IFERROR(K602/E602*100,"")</f>
        <v/>
      </c>
      <c r="Y602" s="16">
        <f>IFERROR((N602+O602)/E602*100,"")</f>
        <v/>
      </c>
      <c r="Z602" s="16">
        <f>IFERROR(R602/F602*100,"")</f>
        <v/>
      </c>
      <c r="AA602" s="16">
        <f>IFERROR(R602/E602*100,"")</f>
        <v/>
      </c>
      <c r="AB602" s="16">
        <f>IFERROR(S602/Q602*100,"")</f>
        <v/>
      </c>
      <c r="AC602" s="16">
        <f>IFERROR(T602/Q602*100,"")</f>
        <v/>
      </c>
      <c r="AD602" s="16">
        <f>IFERROR(U602/Q602*100,"")</f>
        <v/>
      </c>
      <c r="AE602" s="18">
        <f>IFERROR(E602/E598-1,"")</f>
        <v/>
      </c>
      <c r="AF602" s="18">
        <f>IFERROR(R602/R598-1,"")</f>
        <v/>
      </c>
      <c r="AG602" s="18">
        <f>IFERROR(F602/F598-1,"")</f>
        <v/>
      </c>
      <c r="AH602">
        <f>P602&gt;0</f>
        <v/>
      </c>
    </row>
    <row r="603">
      <c r="A603" s="14" t="n">
        <v>44651</v>
      </c>
      <c r="B603" t="n">
        <v>29636</v>
      </c>
      <c r="C603" t="inlineStr">
        <is>
          <t>FIRST FEDERAL SAVINGS AND LOAN ASSOCIATION OF BATH</t>
        </is>
      </c>
      <c r="D603" t="inlineStr">
        <is>
          <t>ME</t>
        </is>
      </c>
      <c r="E603" t="n">
        <v>179872</v>
      </c>
      <c r="F603" t="n">
        <v>154524</v>
      </c>
      <c r="G603" t="n">
        <v>24006</v>
      </c>
      <c r="H603" s="16" t="n">
        <v>0.0400102248352356</v>
      </c>
      <c r="I603" s="16" t="n">
        <v>0.3</v>
      </c>
      <c r="J603" s="16" t="n">
        <v>2.994331908567181</v>
      </c>
      <c r="K603" s="16" t="n">
        <v>1233</v>
      </c>
      <c r="L603" s="16" t="n">
        <v>-2</v>
      </c>
      <c r="M603" s="16" t="n">
        <v>1.135024670447013</v>
      </c>
      <c r="N603" s="16" t="n">
        <v>2145</v>
      </c>
      <c r="O603" s="16" t="n">
        <v>0</v>
      </c>
      <c r="P603" s="16" t="n">
        <v>31.97682387390194</v>
      </c>
      <c r="Q603" t="n">
        <v>108632</v>
      </c>
      <c r="R603" t="n">
        <v>106963</v>
      </c>
      <c r="S603" t="n">
        <v>105234</v>
      </c>
      <c r="T603" t="n">
        <v>1323</v>
      </c>
      <c r="U603" t="n">
        <v>2075</v>
      </c>
      <c r="V603" t="n">
        <v>1.536379703954636</v>
      </c>
      <c r="W603" t="n">
        <v>0.03</v>
      </c>
      <c r="X603" s="16">
        <f>IFERROR(K603/E603*100,"")</f>
        <v/>
      </c>
      <c r="Y603" s="16">
        <f>IFERROR((N603+O603)/E603*100,"")</f>
        <v/>
      </c>
      <c r="Z603" s="16">
        <f>IFERROR(R603/F603*100,"")</f>
        <v/>
      </c>
      <c r="AA603" s="16">
        <f>IFERROR(R603/E603*100,"")</f>
        <v/>
      </c>
      <c r="AB603" s="16">
        <f>IFERROR(S603/Q603*100,"")</f>
        <v/>
      </c>
      <c r="AC603" s="16">
        <f>IFERROR(T603/Q603*100,"")</f>
        <v/>
      </c>
      <c r="AD603" s="16">
        <f>IFERROR(U603/Q603*100,"")</f>
        <v/>
      </c>
      <c r="AE603" s="18" t="n"/>
      <c r="AF603" s="18" t="n"/>
      <c r="AG603" s="18" t="n"/>
      <c r="AH603">
        <f>P603&gt;0</f>
        <v/>
      </c>
    </row>
    <row r="604">
      <c r="A604" s="14" t="n">
        <v>44742</v>
      </c>
      <c r="B604" t="n">
        <v>29636</v>
      </c>
      <c r="C604" t="inlineStr">
        <is>
          <t>FIRST FEDERAL SAVINGS AND LOAN ASSOCIATION OF BATH</t>
        </is>
      </c>
      <c r="D604" t="inlineStr">
        <is>
          <t>ME</t>
        </is>
      </c>
      <c r="E604" t="n">
        <v>182713</v>
      </c>
      <c r="F604" t="n">
        <v>157371</v>
      </c>
      <c r="G604" t="n">
        <v>23979</v>
      </c>
      <c r="H604" s="16" t="n">
        <v>0.1326892987923431</v>
      </c>
      <c r="I604" s="16" t="n">
        <v>0.99</v>
      </c>
      <c r="J604" s="16" t="n">
        <v>3.03270209827388</v>
      </c>
      <c r="K604" s="16" t="n">
        <v>2116</v>
      </c>
      <c r="L604" s="16" t="n">
        <v>-3</v>
      </c>
      <c r="M604" s="16" t="n">
        <v>1.892936377299077</v>
      </c>
      <c r="N604" s="16" t="n">
        <v>1771</v>
      </c>
      <c r="O604" s="16" t="n">
        <v>0</v>
      </c>
      <c r="P604" s="16" t="n">
        <v>30.84923253478697</v>
      </c>
      <c r="Q604" t="n">
        <v>111784</v>
      </c>
      <c r="R604" t="n">
        <v>110096</v>
      </c>
      <c r="S604" t="n">
        <v>108292</v>
      </c>
      <c r="T604" t="n">
        <v>1377</v>
      </c>
      <c r="U604" t="n">
        <v>2115</v>
      </c>
      <c r="V604" t="n">
        <v>1.510055106276391</v>
      </c>
      <c r="W604" t="n">
        <v>0.03</v>
      </c>
      <c r="X604" s="16">
        <f>IFERROR(K604/E604*100,"")</f>
        <v/>
      </c>
      <c r="Y604" s="16">
        <f>IFERROR((N604+O604)/E604*100,"")</f>
        <v/>
      </c>
      <c r="Z604" s="16">
        <f>IFERROR(R604/F604*100,"")</f>
        <v/>
      </c>
      <c r="AA604" s="16">
        <f>IFERROR(R604/E604*100,"")</f>
        <v/>
      </c>
      <c r="AB604" s="16">
        <f>IFERROR(S604/Q604*100,"")</f>
        <v/>
      </c>
      <c r="AC604" s="16">
        <f>IFERROR(T604/Q604*100,"")</f>
        <v/>
      </c>
      <c r="AD604" s="16">
        <f>IFERROR(U604/Q604*100,"")</f>
        <v/>
      </c>
      <c r="AE604" s="18" t="n"/>
      <c r="AF604" s="18" t="n"/>
      <c r="AG604" s="18" t="n"/>
      <c r="AH604">
        <f>P604&gt;0</f>
        <v/>
      </c>
    </row>
    <row r="605">
      <c r="A605" s="14" t="n">
        <v>44834</v>
      </c>
      <c r="B605" t="n">
        <v>29636</v>
      </c>
      <c r="C605" t="inlineStr">
        <is>
          <t>FIRST FEDERAL SAVINGS AND LOAN ASSOCIATION OF BATH</t>
        </is>
      </c>
      <c r="D605" t="inlineStr">
        <is>
          <t>ME</t>
        </is>
      </c>
      <c r="E605" t="n">
        <v>180105</v>
      </c>
      <c r="F605" t="n">
        <v>155107</v>
      </c>
      <c r="G605" t="n">
        <v>23599</v>
      </c>
      <c r="H605" s="16" t="n">
        <v>0.2767231288206042</v>
      </c>
      <c r="I605" s="16" t="n">
        <v>2.08</v>
      </c>
      <c r="J605" s="16" t="n">
        <v>3.25257717128124</v>
      </c>
      <c r="K605" s="16" t="n">
        <v>2099</v>
      </c>
      <c r="L605" s="16" t="n">
        <v>-4</v>
      </c>
      <c r="M605" s="16" t="n">
        <v>1.797165974570829</v>
      </c>
      <c r="N605" s="16" t="n">
        <v>1876</v>
      </c>
      <c r="O605" s="16" t="n">
        <v>0</v>
      </c>
      <c r="P605" s="16" t="n">
        <v>31.34737779274998</v>
      </c>
      <c r="Q605" t="n">
        <v>116795</v>
      </c>
      <c r="R605" t="n">
        <v>115074</v>
      </c>
      <c r="S605" t="n">
        <v>113497</v>
      </c>
      <c r="T605" t="n">
        <v>1340</v>
      </c>
      <c r="U605" t="n">
        <v>1958</v>
      </c>
      <c r="V605" t="n">
        <v>1.473521982961599</v>
      </c>
      <c r="W605" t="n">
        <v>0.05</v>
      </c>
      <c r="X605" s="16">
        <f>IFERROR(K605/E605*100,"")</f>
        <v/>
      </c>
      <c r="Y605" s="16">
        <f>IFERROR((N605+O605)/E605*100,"")</f>
        <v/>
      </c>
      <c r="Z605" s="16">
        <f>IFERROR(R605/F605*100,"")</f>
        <v/>
      </c>
      <c r="AA605" s="16">
        <f>IFERROR(R605/E605*100,"")</f>
        <v/>
      </c>
      <c r="AB605" s="16">
        <f>IFERROR(S605/Q605*100,"")</f>
        <v/>
      </c>
      <c r="AC605" s="16">
        <f>IFERROR(T605/Q605*100,"")</f>
        <v/>
      </c>
      <c r="AD605" s="16">
        <f>IFERROR(U605/Q605*100,"")</f>
        <v/>
      </c>
      <c r="AE605" s="18" t="n"/>
      <c r="AF605" s="18" t="n"/>
      <c r="AG605" s="18" t="n"/>
      <c r="AH605">
        <f>P605&gt;0</f>
        <v/>
      </c>
    </row>
    <row r="606">
      <c r="A606" s="14" t="n">
        <v>44926</v>
      </c>
      <c r="B606" t="n">
        <v>29636</v>
      </c>
      <c r="C606" t="inlineStr">
        <is>
          <t>FIRST FEDERAL SAVINGS AND LOAN ASSOCIATION OF BATH</t>
        </is>
      </c>
      <c r="D606" t="inlineStr">
        <is>
          <t>ME</t>
        </is>
      </c>
      <c r="E606" t="n">
        <v>181529</v>
      </c>
      <c r="F606" t="n">
        <v>149099</v>
      </c>
      <c r="G606" t="n">
        <v>24331</v>
      </c>
      <c r="H606" s="16" t="n">
        <v>0.3610707156720172</v>
      </c>
      <c r="I606" s="16" t="n">
        <v>2.71</v>
      </c>
      <c r="J606" s="16" t="n">
        <v>3.347025622700411</v>
      </c>
      <c r="K606" s="16" t="n">
        <v>2260</v>
      </c>
      <c r="L606" s="16" t="n">
        <v>-42</v>
      </c>
      <c r="M606" s="16" t="n">
        <v>1.802822294370568</v>
      </c>
      <c r="N606" s="16" t="n">
        <v>2724</v>
      </c>
      <c r="O606" s="16" t="n">
        <v>0</v>
      </c>
      <c r="P606" s="16" t="n">
        <v>27.50877265837504</v>
      </c>
      <c r="Q606" t="n">
        <v>125359</v>
      </c>
      <c r="R606" t="n">
        <v>123566</v>
      </c>
      <c r="S606" t="n">
        <v>121892</v>
      </c>
      <c r="T606" t="n">
        <v>1648</v>
      </c>
      <c r="U606" t="n">
        <v>1819</v>
      </c>
      <c r="V606" t="n">
        <v>1.430292200799304</v>
      </c>
      <c r="W606" t="n">
        <v>0.05</v>
      </c>
      <c r="X606" s="16">
        <f>IFERROR(K606/E606*100,"")</f>
        <v/>
      </c>
      <c r="Y606" s="16">
        <f>IFERROR((N606+O606)/E606*100,"")</f>
        <v/>
      </c>
      <c r="Z606" s="16">
        <f>IFERROR(R606/F606*100,"")</f>
        <v/>
      </c>
      <c r="AA606" s="16">
        <f>IFERROR(R606/E606*100,"")</f>
        <v/>
      </c>
      <c r="AB606" s="16">
        <f>IFERROR(S606/Q606*100,"")</f>
        <v/>
      </c>
      <c r="AC606" s="16">
        <f>IFERROR(T606/Q606*100,"")</f>
        <v/>
      </c>
      <c r="AD606" s="16">
        <f>IFERROR(U606/Q606*100,"")</f>
        <v/>
      </c>
      <c r="AE606" s="18" t="n"/>
      <c r="AF606" s="18" t="n"/>
      <c r="AG606" s="18" t="n"/>
      <c r="AH606">
        <f>P606&gt;0</f>
        <v/>
      </c>
    </row>
    <row r="607">
      <c r="A607" s="14" t="n">
        <v>45016</v>
      </c>
      <c r="B607" t="n">
        <v>29636</v>
      </c>
      <c r="C607" t="inlineStr">
        <is>
          <t>FIRST FEDERAL SAVINGS AND LOAN ASSOCIATION OF BATH</t>
        </is>
      </c>
      <c r="D607" t="inlineStr">
        <is>
          <t>ME</t>
        </is>
      </c>
      <c r="E607" t="n">
        <v>185057</v>
      </c>
      <c r="F607" t="n">
        <v>147344</v>
      </c>
      <c r="G607" t="n">
        <v>24743</v>
      </c>
      <c r="H607" s="16" t="n">
        <v>0.3273447431162128</v>
      </c>
      <c r="I607" s="16" t="n">
        <v>2.45</v>
      </c>
      <c r="J607" s="16" t="n">
        <v>3.568067336320534</v>
      </c>
      <c r="K607" s="16" t="n">
        <v>2472</v>
      </c>
      <c r="L607" s="16" t="n">
        <v>3</v>
      </c>
      <c r="M607" s="16" t="n">
        <v>1.931446162500879</v>
      </c>
      <c r="N607" s="16" t="n">
        <v>2283</v>
      </c>
      <c r="O607" s="16" t="n">
        <v>0</v>
      </c>
      <c r="P607" s="16" t="n">
        <v>26.45506843880183</v>
      </c>
      <c r="Q607" t="n">
        <v>127987</v>
      </c>
      <c r="R607" t="n">
        <v>126133</v>
      </c>
      <c r="S607" t="n">
        <v>124654</v>
      </c>
      <c r="T607" t="n">
        <v>1626</v>
      </c>
      <c r="U607" t="n">
        <v>1707</v>
      </c>
      <c r="V607" t="n">
        <v>1.448584621875659</v>
      </c>
      <c r="W607" t="n">
        <v>0.07000000000000001</v>
      </c>
      <c r="X607" s="16">
        <f>IFERROR(K607/E607*100,"")</f>
        <v/>
      </c>
      <c r="Y607" s="16">
        <f>IFERROR((N607+O607)/E607*100,"")</f>
        <v/>
      </c>
      <c r="Z607" s="16">
        <f>IFERROR(R607/F607*100,"")</f>
        <v/>
      </c>
      <c r="AA607" s="16">
        <f>IFERROR(R607/E607*100,"")</f>
        <v/>
      </c>
      <c r="AB607" s="16">
        <f>IFERROR(S607/Q607*100,"")</f>
        <v/>
      </c>
      <c r="AC607" s="16">
        <f>IFERROR(T607/Q607*100,"")</f>
        <v/>
      </c>
      <c r="AD607" s="16">
        <f>IFERROR(U607/Q607*100,"")</f>
        <v/>
      </c>
      <c r="AE607" s="18">
        <f>IFERROR(E607/E603-1,"")</f>
        <v/>
      </c>
      <c r="AF607" s="18">
        <f>IFERROR(R607/R603-1,"")</f>
        <v/>
      </c>
      <c r="AG607" s="18">
        <f>IFERROR(F607/F603-1,"")</f>
        <v/>
      </c>
      <c r="AH607">
        <f>P607&gt;0</f>
        <v/>
      </c>
    </row>
    <row r="608">
      <c r="A608" s="14" t="n">
        <v>45107</v>
      </c>
      <c r="B608" t="n">
        <v>29636</v>
      </c>
      <c r="C608" t="inlineStr">
        <is>
          <t>FIRST FEDERAL SAVINGS AND LOAN ASSOCIATION OF BATH</t>
        </is>
      </c>
      <c r="D608" t="inlineStr">
        <is>
          <t>ME</t>
        </is>
      </c>
      <c r="E608" t="n">
        <v>182034</v>
      </c>
      <c r="F608" t="n">
        <v>145903</v>
      </c>
      <c r="G608" t="n">
        <v>24760</v>
      </c>
      <c r="H608" s="16" t="n">
        <v>0.4101199372972184</v>
      </c>
      <c r="I608" s="16" t="n">
        <v>3.05</v>
      </c>
      <c r="J608" s="16" t="n">
        <v>3.550718456078259</v>
      </c>
      <c r="K608" s="16" t="n">
        <v>2061</v>
      </c>
      <c r="L608" s="16" t="n">
        <v>-5</v>
      </c>
      <c r="M608" s="16" t="n">
        <v>1.585335835820436</v>
      </c>
      <c r="N608" s="16" t="n">
        <v>2273</v>
      </c>
      <c r="O608" s="16" t="n">
        <v>0</v>
      </c>
      <c r="P608" s="16" t="n">
        <v>26.71162134784595</v>
      </c>
      <c r="Q608" t="n">
        <v>130004</v>
      </c>
      <c r="R608" t="n">
        <v>128110</v>
      </c>
      <c r="S608" t="n">
        <v>126522</v>
      </c>
      <c r="T608" t="n">
        <v>2015</v>
      </c>
      <c r="U608" t="n">
        <v>1467</v>
      </c>
      <c r="V608" t="n">
        <v>1.456878249900003</v>
      </c>
      <c r="W608" t="n">
        <v>0.07000000000000001</v>
      </c>
      <c r="X608" s="16">
        <f>IFERROR(K608/E608*100,"")</f>
        <v/>
      </c>
      <c r="Y608" s="16">
        <f>IFERROR((N608+O608)/E608*100,"")</f>
        <v/>
      </c>
      <c r="Z608" s="16">
        <f>IFERROR(R608/F608*100,"")</f>
        <v/>
      </c>
      <c r="AA608" s="16">
        <f>IFERROR(R608/E608*100,"")</f>
        <v/>
      </c>
      <c r="AB608" s="16">
        <f>IFERROR(S608/Q608*100,"")</f>
        <v/>
      </c>
      <c r="AC608" s="16">
        <f>IFERROR(T608/Q608*100,"")</f>
        <v/>
      </c>
      <c r="AD608" s="16">
        <f>IFERROR(U608/Q608*100,"")</f>
        <v/>
      </c>
      <c r="AE608" s="18">
        <f>IFERROR(E608/E604-1,"")</f>
        <v/>
      </c>
      <c r="AF608" s="18">
        <f>IFERROR(R608/R604-1,"")</f>
        <v/>
      </c>
      <c r="AG608" s="18">
        <f>IFERROR(F608/F604-1,"")</f>
        <v/>
      </c>
      <c r="AH608">
        <f>P608&gt;0</f>
        <v/>
      </c>
    </row>
    <row r="609">
      <c r="A609" s="14" t="n">
        <v>45199</v>
      </c>
      <c r="B609" t="n">
        <v>29636</v>
      </c>
      <c r="C609" t="inlineStr">
        <is>
          <t>FIRST FEDERAL SAVINGS AND LOAN ASSOCIATION OF BATH</t>
        </is>
      </c>
      <c r="D609" t="inlineStr">
        <is>
          <t>ME</t>
        </is>
      </c>
      <c r="E609" t="n">
        <v>180600</v>
      </c>
      <c r="F609" t="n">
        <v>148201</v>
      </c>
      <c r="G609" t="n">
        <v>24993</v>
      </c>
      <c r="H609" s="16" t="n">
        <v>0.4358886481445928</v>
      </c>
      <c r="I609" s="16" t="n">
        <v>3.22</v>
      </c>
      <c r="J609" s="16" t="n">
        <v>3.597957284654809</v>
      </c>
      <c r="K609" s="16" t="n">
        <v>1460</v>
      </c>
      <c r="L609" s="16" t="n">
        <v>-7</v>
      </c>
      <c r="M609" s="16" t="n">
        <v>1.102469229026656</v>
      </c>
      <c r="N609" s="16" t="n">
        <v>2021</v>
      </c>
      <c r="O609" s="16" t="n">
        <v>0</v>
      </c>
      <c r="P609" s="16" t="n">
        <v>26.9099099993054</v>
      </c>
      <c r="Q609" t="n">
        <v>132430</v>
      </c>
      <c r="R609" t="n">
        <v>130531</v>
      </c>
      <c r="S609" t="n">
        <v>129022</v>
      </c>
      <c r="T609" t="n">
        <v>1905</v>
      </c>
      <c r="U609" t="n">
        <v>1503</v>
      </c>
      <c r="V609" t="n">
        <v>1.433965113644945</v>
      </c>
      <c r="W609" t="n">
        <v>0.05</v>
      </c>
      <c r="X609" s="16">
        <f>IFERROR(K609/E609*100,"")</f>
        <v/>
      </c>
      <c r="Y609" s="16">
        <f>IFERROR((N609+O609)/E609*100,"")</f>
        <v/>
      </c>
      <c r="Z609" s="16">
        <f>IFERROR(R609/F609*100,"")</f>
        <v/>
      </c>
      <c r="AA609" s="16">
        <f>IFERROR(R609/E609*100,"")</f>
        <v/>
      </c>
      <c r="AB609" s="16">
        <f>IFERROR(S609/Q609*100,"")</f>
        <v/>
      </c>
      <c r="AC609" s="16">
        <f>IFERROR(T609/Q609*100,"")</f>
        <v/>
      </c>
      <c r="AD609" s="16">
        <f>IFERROR(U609/Q609*100,"")</f>
        <v/>
      </c>
      <c r="AE609" s="18">
        <f>IFERROR(E609/E605-1,"")</f>
        <v/>
      </c>
      <c r="AF609" s="18">
        <f>IFERROR(R609/R605-1,"")</f>
        <v/>
      </c>
      <c r="AG609" s="18">
        <f>IFERROR(F609/F605-1,"")</f>
        <v/>
      </c>
      <c r="AH609">
        <f>P609&gt;0</f>
        <v/>
      </c>
    </row>
    <row r="610">
      <c r="A610" s="14" t="n">
        <v>45291</v>
      </c>
      <c r="B610" t="n">
        <v>29636</v>
      </c>
      <c r="C610" t="inlineStr">
        <is>
          <t>FIRST FEDERAL SAVINGS AND LOAN ASSOCIATION OF BATH</t>
        </is>
      </c>
      <c r="D610" t="inlineStr">
        <is>
          <t>ME</t>
        </is>
      </c>
      <c r="E610" t="n">
        <v>179139</v>
      </c>
      <c r="F610" t="n">
        <v>140257</v>
      </c>
      <c r="G610" t="n">
        <v>25841</v>
      </c>
      <c r="H610" s="16" t="n">
        <v>0.4117314850185885</v>
      </c>
      <c r="I610" s="16" t="n">
        <v>3</v>
      </c>
      <c r="J610" s="16" t="n">
        <v>3.65429206434729</v>
      </c>
      <c r="K610" s="16" t="n">
        <v>1361</v>
      </c>
      <c r="L610" s="16" t="n">
        <v>-10</v>
      </c>
      <c r="M610" s="16" t="n">
        <v>1.008312465735157</v>
      </c>
      <c r="N610" s="16" t="n">
        <v>2467</v>
      </c>
      <c r="O610" s="16" t="n">
        <v>0</v>
      </c>
      <c r="P610" s="16" t="n">
        <v>27.10178200502897</v>
      </c>
      <c r="Q610" t="n">
        <v>134978</v>
      </c>
      <c r="R610" t="n">
        <v>133073</v>
      </c>
      <c r="S610" t="n">
        <v>131783</v>
      </c>
      <c r="T610" t="n">
        <v>1690</v>
      </c>
      <c r="U610" t="n">
        <v>1505</v>
      </c>
      <c r="V610" t="n">
        <v>1.411341107439731</v>
      </c>
      <c r="W610" t="n">
        <v>0.04</v>
      </c>
      <c r="X610" s="16">
        <f>IFERROR(K610/E610*100,"")</f>
        <v/>
      </c>
      <c r="Y610" s="16">
        <f>IFERROR((N610+O610)/E610*100,"")</f>
        <v/>
      </c>
      <c r="Z610" s="16">
        <f>IFERROR(R610/F610*100,"")</f>
        <v/>
      </c>
      <c r="AA610" s="16">
        <f>IFERROR(R610/E610*100,"")</f>
        <v/>
      </c>
      <c r="AB610" s="16">
        <f>IFERROR(S610/Q610*100,"")</f>
        <v/>
      </c>
      <c r="AC610" s="16">
        <f>IFERROR(T610/Q610*100,"")</f>
        <v/>
      </c>
      <c r="AD610" s="16">
        <f>IFERROR(U610/Q610*100,"")</f>
        <v/>
      </c>
      <c r="AE610" s="18">
        <f>IFERROR(E610/E606-1,"")</f>
        <v/>
      </c>
      <c r="AF610" s="18">
        <f>IFERROR(R610/R606-1,"")</f>
        <v/>
      </c>
      <c r="AG610" s="18">
        <f>IFERROR(F610/F606-1,"")</f>
        <v/>
      </c>
      <c r="AH610">
        <f>P610&gt;0</f>
        <v/>
      </c>
    </row>
    <row r="611">
      <c r="A611" s="14" t="n">
        <v>45382</v>
      </c>
      <c r="B611" t="n">
        <v>29636</v>
      </c>
      <c r="C611" t="inlineStr">
        <is>
          <t>FIRST FEDERAL SAVINGS AND LOAN ASSOCIATION OF BATH</t>
        </is>
      </c>
      <c r="D611" t="inlineStr">
        <is>
          <t>ME</t>
        </is>
      </c>
      <c r="E611" t="n">
        <v>178210</v>
      </c>
      <c r="F611" t="n">
        <v>137138</v>
      </c>
      <c r="G611" t="n">
        <v>25969</v>
      </c>
      <c r="H611" s="16" t="n">
        <v>0.3111803866808078</v>
      </c>
      <c r="I611" s="16" t="n">
        <v>2.15</v>
      </c>
      <c r="J611" s="16" t="n">
        <v>3.556945928386904</v>
      </c>
      <c r="K611" s="16" t="n">
        <v>899</v>
      </c>
      <c r="L611" s="16" t="n">
        <v>0</v>
      </c>
      <c r="M611" s="16" t="n">
        <v>0.6632728345875756</v>
      </c>
      <c r="N611" s="16" t="n">
        <v>3809</v>
      </c>
      <c r="O611" s="16" t="n">
        <v>0</v>
      </c>
      <c r="P611" s="16" t="n">
        <v>27.41023819766104</v>
      </c>
      <c r="Q611" t="n">
        <v>135540</v>
      </c>
      <c r="R611" t="n">
        <v>133633</v>
      </c>
      <c r="S611" t="n">
        <v>132513</v>
      </c>
      <c r="T611" t="n">
        <v>1456</v>
      </c>
      <c r="U611" t="n">
        <v>1571</v>
      </c>
      <c r="V611" t="n">
        <v>1.406964733657961</v>
      </c>
      <c r="W611" t="n">
        <v>0.01</v>
      </c>
      <c r="X611" s="16">
        <f>IFERROR(K611/E611*100,"")</f>
        <v/>
      </c>
      <c r="Y611" s="16">
        <f>IFERROR((N611+O611)/E611*100,"")</f>
        <v/>
      </c>
      <c r="Z611" s="16">
        <f>IFERROR(R611/F611*100,"")</f>
        <v/>
      </c>
      <c r="AA611" s="16">
        <f>IFERROR(R611/E611*100,"")</f>
        <v/>
      </c>
      <c r="AB611" s="16">
        <f>IFERROR(S611/Q611*100,"")</f>
        <v/>
      </c>
      <c r="AC611" s="16">
        <f>IFERROR(T611/Q611*100,"")</f>
        <v/>
      </c>
      <c r="AD611" s="16">
        <f>IFERROR(U611/Q611*100,"")</f>
        <v/>
      </c>
      <c r="AE611" s="18">
        <f>IFERROR(E611/E607-1,"")</f>
        <v/>
      </c>
      <c r="AF611" s="18">
        <f>IFERROR(R611/R607-1,"")</f>
        <v/>
      </c>
      <c r="AG611" s="18">
        <f>IFERROR(F611/F607-1,"")</f>
        <v/>
      </c>
      <c r="AH611">
        <f>P611&gt;0</f>
        <v/>
      </c>
    </row>
    <row r="612">
      <c r="A612" s="14" t="n">
        <v>45473</v>
      </c>
      <c r="B612" t="n">
        <v>29636</v>
      </c>
      <c r="C612" t="inlineStr">
        <is>
          <t>FIRST FEDERAL SAVINGS AND LOAN ASSOCIATION OF BATH</t>
        </is>
      </c>
      <c r="D612" t="inlineStr">
        <is>
          <t>ME</t>
        </is>
      </c>
      <c r="E612" t="n">
        <v>180255</v>
      </c>
      <c r="F612" t="n">
        <v>137021</v>
      </c>
      <c r="G612" t="n">
        <v>26121</v>
      </c>
      <c r="H612" s="16" t="n">
        <v>0.2477660136457317</v>
      </c>
      <c r="I612" s="16" t="n">
        <v>1.71</v>
      </c>
      <c r="J612" s="16" t="n">
        <v>3.444182953033868</v>
      </c>
      <c r="K612" s="16" t="n">
        <v>2731</v>
      </c>
      <c r="L612" s="16" t="n">
        <v>-1</v>
      </c>
      <c r="M612" s="16" t="n">
        <v>1.970745506108517</v>
      </c>
      <c r="N612" s="16" t="n">
        <v>3204</v>
      </c>
      <c r="O612" s="16" t="n">
        <v>0</v>
      </c>
      <c r="P612" s="16" t="n">
        <v>26.85838677873117</v>
      </c>
      <c r="Q612" t="n">
        <v>138577</v>
      </c>
      <c r="R612" t="n">
        <v>136650</v>
      </c>
      <c r="S612" t="n">
        <v>135371</v>
      </c>
      <c r="T612" t="n">
        <v>1433</v>
      </c>
      <c r="U612" t="n">
        <v>1772</v>
      </c>
      <c r="V612" t="n">
        <v>1.390562647481184</v>
      </c>
      <c r="W612" t="n">
        <v>0.02</v>
      </c>
      <c r="X612" s="16">
        <f>IFERROR(K612/E612*100,"")</f>
        <v/>
      </c>
      <c r="Y612" s="16">
        <f>IFERROR((N612+O612)/E612*100,"")</f>
        <v/>
      </c>
      <c r="Z612" s="16">
        <f>IFERROR(R612/F612*100,"")</f>
        <v/>
      </c>
      <c r="AA612" s="16">
        <f>IFERROR(R612/E612*100,"")</f>
        <v/>
      </c>
      <c r="AB612" s="16">
        <f>IFERROR(S612/Q612*100,"")</f>
        <v/>
      </c>
      <c r="AC612" s="16">
        <f>IFERROR(T612/Q612*100,"")</f>
        <v/>
      </c>
      <c r="AD612" s="16">
        <f>IFERROR(U612/Q612*100,"")</f>
        <v/>
      </c>
      <c r="AE612" s="18">
        <f>IFERROR(E612/E608-1,"")</f>
        <v/>
      </c>
      <c r="AF612" s="18">
        <f>IFERROR(R612/R608-1,"")</f>
        <v/>
      </c>
      <c r="AG612" s="18">
        <f>IFERROR(F612/F608-1,"")</f>
        <v/>
      </c>
      <c r="AH612">
        <f>P612&gt;0</f>
        <v/>
      </c>
    </row>
    <row r="613">
      <c r="A613" s="14" t="n">
        <v>45565</v>
      </c>
      <c r="B613" t="n">
        <v>29636</v>
      </c>
      <c r="C613" t="inlineStr">
        <is>
          <t>FIRST FEDERAL SAVINGS AND LOAN ASSOCIATION OF BATH</t>
        </is>
      </c>
      <c r="D613" t="inlineStr">
        <is>
          <t>ME</t>
        </is>
      </c>
      <c r="E613" t="n">
        <v>181616</v>
      </c>
      <c r="F613" t="n">
        <v>140789</v>
      </c>
      <c r="G613" t="n">
        <v>26607</v>
      </c>
      <c r="H613" s="16" t="n">
        <v>0.3359110703261866</v>
      </c>
      <c r="I613" s="16" t="n">
        <v>2.31</v>
      </c>
      <c r="J613" s="16" t="n">
        <v>3.530354313430759</v>
      </c>
      <c r="K613" s="16" t="n">
        <v>2870</v>
      </c>
      <c r="L613" s="16" t="n">
        <v>-2</v>
      </c>
      <c r="M613" s="16" t="n">
        <v>2.053770135176717</v>
      </c>
      <c r="N613" s="16" t="n">
        <v>2593</v>
      </c>
      <c r="O613" s="16" t="n">
        <v>0</v>
      </c>
      <c r="P613" s="16" t="n">
        <v>27.01771126452002</v>
      </c>
      <c r="Q613" t="n">
        <v>139743</v>
      </c>
      <c r="R613" t="n">
        <v>137784</v>
      </c>
      <c r="S613" t="n">
        <v>136319</v>
      </c>
      <c r="T613" t="n">
        <v>1634</v>
      </c>
      <c r="U613" t="n">
        <v>1790</v>
      </c>
      <c r="V613" t="n">
        <v>1.401859127111912</v>
      </c>
      <c r="W613" t="n">
        <v>0.04</v>
      </c>
      <c r="X613" s="16">
        <f>IFERROR(K613/E613*100,"")</f>
        <v/>
      </c>
      <c r="Y613" s="16">
        <f>IFERROR((N613+O613)/E613*100,"")</f>
        <v/>
      </c>
      <c r="Z613" s="16">
        <f>IFERROR(R613/F613*100,"")</f>
        <v/>
      </c>
      <c r="AA613" s="16">
        <f>IFERROR(R613/E613*100,"")</f>
        <v/>
      </c>
      <c r="AB613" s="16">
        <f>IFERROR(S613/Q613*100,"")</f>
        <v/>
      </c>
      <c r="AC613" s="16">
        <f>IFERROR(T613/Q613*100,"")</f>
        <v/>
      </c>
      <c r="AD613" s="16">
        <f>IFERROR(U613/Q613*100,"")</f>
        <v/>
      </c>
      <c r="AE613" s="18">
        <f>IFERROR(E613/E609-1,"")</f>
        <v/>
      </c>
      <c r="AF613" s="18">
        <f>IFERROR(R613/R609-1,"")</f>
        <v/>
      </c>
      <c r="AG613" s="18">
        <f>IFERROR(F613/F609-1,"")</f>
        <v/>
      </c>
      <c r="AH613">
        <f>P613&gt;0</f>
        <v/>
      </c>
    </row>
    <row r="614">
      <c r="A614" s="14" t="n">
        <v>45657</v>
      </c>
      <c r="B614" t="n">
        <v>29636</v>
      </c>
      <c r="C614" t="inlineStr">
        <is>
          <t>FIRST FEDERAL SAVINGS AND LOAN ASSOCIATION OF BATH</t>
        </is>
      </c>
      <c r="D614" t="inlineStr">
        <is>
          <t>ME</t>
        </is>
      </c>
      <c r="E614" t="n">
        <v>182860</v>
      </c>
      <c r="F614" t="n">
        <v>141498</v>
      </c>
      <c r="G614" t="n">
        <v>27319</v>
      </c>
      <c r="H614" s="16" t="n">
        <v>0.3757981553742461</v>
      </c>
      <c r="I614" s="16" t="n">
        <v>2.57</v>
      </c>
      <c r="J614" s="16" t="n">
        <v>3.514330611826598</v>
      </c>
      <c r="K614" s="16" t="n">
        <v>2868</v>
      </c>
      <c r="L614" s="16" t="n">
        <v>1</v>
      </c>
      <c r="M614" s="16" t="n">
        <v>2.000851129141406</v>
      </c>
      <c r="N614" s="16" t="n">
        <v>4173</v>
      </c>
      <c r="O614" s="16" t="n">
        <v>0</v>
      </c>
      <c r="P614" s="16" t="n">
        <v>26.75122843103646</v>
      </c>
      <c r="Q614" t="n">
        <v>143339</v>
      </c>
      <c r="R614" t="n">
        <v>141371</v>
      </c>
      <c r="S614" t="n">
        <v>139835</v>
      </c>
      <c r="T614" t="n">
        <v>1557</v>
      </c>
      <c r="U614" t="n">
        <v>1947</v>
      </c>
      <c r="V614" t="n">
        <v>1.372968975645149</v>
      </c>
      <c r="W614" t="n">
        <v>0.04</v>
      </c>
      <c r="X614" s="16">
        <f>IFERROR(K614/E614*100,"")</f>
        <v/>
      </c>
      <c r="Y614" s="16">
        <f>IFERROR((N614+O614)/E614*100,"")</f>
        <v/>
      </c>
      <c r="Z614" s="16">
        <f>IFERROR(R614/F614*100,"")</f>
        <v/>
      </c>
      <c r="AA614" s="16">
        <f>IFERROR(R614/E614*100,"")</f>
        <v/>
      </c>
      <c r="AB614" s="16">
        <f>IFERROR(S614/Q614*100,"")</f>
        <v/>
      </c>
      <c r="AC614" s="16">
        <f>IFERROR(T614/Q614*100,"")</f>
        <v/>
      </c>
      <c r="AD614" s="16">
        <f>IFERROR(U614/Q614*100,"")</f>
        <v/>
      </c>
      <c r="AE614" s="18">
        <f>IFERROR(E614/E610-1,"")</f>
        <v/>
      </c>
      <c r="AF614" s="18">
        <f>IFERROR(R614/R610-1,"")</f>
        <v/>
      </c>
      <c r="AG614" s="18">
        <f>IFERROR(F614/F610-1,"")</f>
        <v/>
      </c>
      <c r="AH614">
        <f>P614&gt;0</f>
        <v/>
      </c>
    </row>
    <row r="615">
      <c r="A615" s="14" t="n">
        <v>45747</v>
      </c>
      <c r="B615" t="n">
        <v>29636</v>
      </c>
      <c r="C615" t="inlineStr">
        <is>
          <t>FIRST FEDERAL SAVINGS AND LOAN ASSOCIATION OF BATH</t>
        </is>
      </c>
      <c r="D615" t="inlineStr">
        <is>
          <t>ME</t>
        </is>
      </c>
      <c r="E615" t="n">
        <v>186509</v>
      </c>
      <c r="F615" t="n">
        <v>143798</v>
      </c>
      <c r="G615" t="n">
        <v>27465</v>
      </c>
      <c r="H615" s="16" t="n">
        <v>0.1386147727611142</v>
      </c>
      <c r="I615" s="16" t="n">
        <v>0.93</v>
      </c>
      <c r="J615" s="16" t="n">
        <v>3.42549547345241</v>
      </c>
      <c r="K615" s="16" t="n">
        <v>3216</v>
      </c>
      <c r="L615" s="16" t="n">
        <v>10</v>
      </c>
      <c r="M615" s="16" t="n">
        <v>2.224127915018396</v>
      </c>
      <c r="N615" s="16" t="n">
        <v>3952</v>
      </c>
      <c r="O615" s="16" t="n">
        <v>0</v>
      </c>
      <c r="P615" s="16" t="n">
        <v>27.14094192764345</v>
      </c>
      <c r="Q615" t="n">
        <v>144596</v>
      </c>
      <c r="R615" t="n">
        <v>142637</v>
      </c>
      <c r="S615" t="n">
        <v>141230</v>
      </c>
      <c r="T615" t="n">
        <v>1641</v>
      </c>
      <c r="U615" t="n">
        <v>1725</v>
      </c>
      <c r="V615" t="n">
        <v>1.354809261666989</v>
      </c>
      <c r="W615" t="n">
        <v>0</v>
      </c>
      <c r="X615" s="16">
        <f>IFERROR(K615/E615*100,"")</f>
        <v/>
      </c>
      <c r="Y615" s="16">
        <f>IFERROR((N615+O615)/E615*100,"")</f>
        <v/>
      </c>
      <c r="Z615" s="16">
        <f>IFERROR(R615/F615*100,"")</f>
        <v/>
      </c>
      <c r="AA615" s="16">
        <f>IFERROR(R615/E615*100,"")</f>
        <v/>
      </c>
      <c r="AB615" s="16">
        <f>IFERROR(S615/Q615*100,"")</f>
        <v/>
      </c>
      <c r="AC615" s="16">
        <f>IFERROR(T615/Q615*100,"")</f>
        <v/>
      </c>
      <c r="AD615" s="16">
        <f>IFERROR(U615/Q615*100,"")</f>
        <v/>
      </c>
      <c r="AE615" s="18">
        <f>IFERROR(E615/E611-1,"")</f>
        <v/>
      </c>
      <c r="AF615" s="18">
        <f>IFERROR(R615/R611-1,"")</f>
        <v/>
      </c>
      <c r="AG615" s="18">
        <f>IFERROR(F615/F611-1,"")</f>
        <v/>
      </c>
      <c r="AH615">
        <f>P615&gt;0</f>
        <v/>
      </c>
    </row>
    <row r="616">
      <c r="A616" s="14" t="n">
        <v>45838</v>
      </c>
      <c r="B616" t="n">
        <v>29636</v>
      </c>
      <c r="C616" t="inlineStr">
        <is>
          <t>FIRST FEDERAL SAVINGS AND LOAN ASSOCIATION OF BATH</t>
        </is>
      </c>
      <c r="D616" t="inlineStr">
        <is>
          <t>ME</t>
        </is>
      </c>
      <c r="E616" t="n">
        <v>185573</v>
      </c>
      <c r="F616" t="n">
        <v>139676</v>
      </c>
      <c r="G616" t="n">
        <v>27646</v>
      </c>
      <c r="H616" s="16" t="n">
        <v>0.2346191133487824</v>
      </c>
      <c r="I616" s="16" t="n">
        <v>1.58</v>
      </c>
      <c r="J616" s="16" t="n">
        <v>3.507245167404793</v>
      </c>
      <c r="K616" s="16" t="n">
        <v>3102</v>
      </c>
      <c r="L616" s="16" t="n">
        <v>23</v>
      </c>
      <c r="M616" s="16" t="n">
        <v>2.11141060197664</v>
      </c>
      <c r="N616" s="16" t="n">
        <v>4225</v>
      </c>
      <c r="O616" s="16" t="n">
        <v>0</v>
      </c>
      <c r="P616" s="16" t="n">
        <v>27.16721387016877</v>
      </c>
      <c r="Q616" t="n">
        <v>146916</v>
      </c>
      <c r="R616" t="n">
        <v>144969</v>
      </c>
      <c r="S616" t="n">
        <v>143630</v>
      </c>
      <c r="T616" t="n">
        <v>1667</v>
      </c>
      <c r="U616" t="n">
        <v>1619</v>
      </c>
      <c r="V616" t="n">
        <v>1.325247079964061</v>
      </c>
      <c r="W616" t="n">
        <v>0</v>
      </c>
      <c r="X616" s="16">
        <f>IFERROR(K616/E616*100,"")</f>
        <v/>
      </c>
      <c r="Y616" s="16">
        <f>IFERROR((N616+O616)/E616*100,"")</f>
        <v/>
      </c>
      <c r="Z616" s="16">
        <f>IFERROR(R616/F616*100,"")</f>
        <v/>
      </c>
      <c r="AA616" s="16">
        <f>IFERROR(R616/E616*100,"")</f>
        <v/>
      </c>
      <c r="AB616" s="16">
        <f>IFERROR(S616/Q616*100,"")</f>
        <v/>
      </c>
      <c r="AC616" s="16">
        <f>IFERROR(T616/Q616*100,"")</f>
        <v/>
      </c>
      <c r="AD616" s="16">
        <f>IFERROR(U616/Q616*100,"")</f>
        <v/>
      </c>
      <c r="AE616" s="18">
        <f>IFERROR(E616/E612-1,"")</f>
        <v/>
      </c>
      <c r="AF616" s="18">
        <f>IFERROR(R616/R612-1,"")</f>
        <v/>
      </c>
      <c r="AG616" s="18">
        <f>IFERROR(F616/F612-1,"")</f>
        <v/>
      </c>
      <c r="AH616">
        <f>P616&gt;0</f>
        <v/>
      </c>
    </row>
    <row r="617">
      <c r="A617" s="14" t="n">
        <v>44651</v>
      </c>
      <c r="B617" t="n">
        <v>29743</v>
      </c>
      <c r="C617" t="inlineStr">
        <is>
          <t>AROOSTOOK COUNTY FEDERAL SAVINGS AND LOAN ASSOCIATION</t>
        </is>
      </c>
      <c r="D617" t="inlineStr">
        <is>
          <t>ME</t>
        </is>
      </c>
      <c r="E617" t="n">
        <v>172820</v>
      </c>
      <c r="F617" t="n">
        <v>154916</v>
      </c>
      <c r="G617" t="n">
        <v>15360</v>
      </c>
      <c r="H617" s="16" t="n">
        <v>0.6088071042753823</v>
      </c>
      <c r="I617" s="16" t="n">
        <v>6.58</v>
      </c>
      <c r="J617" s="16" t="n">
        <v>2.488467860235768</v>
      </c>
      <c r="K617" s="16" t="n">
        <v>442</v>
      </c>
      <c r="L617" s="16" t="n">
        <v>12</v>
      </c>
      <c r="M617" s="16" t="n">
        <v>0.377852056387153</v>
      </c>
      <c r="N617" s="16" t="n">
        <v>646</v>
      </c>
      <c r="O617" s="16" t="n">
        <v>0</v>
      </c>
      <c r="P617" s="16" t="n">
        <v>17.2715138879417</v>
      </c>
      <c r="Q617" t="n">
        <v>116977</v>
      </c>
      <c r="R617" t="n">
        <v>116459</v>
      </c>
      <c r="S617" t="n">
        <v>77243</v>
      </c>
      <c r="T617" t="n">
        <v>22643</v>
      </c>
      <c r="U617" t="n">
        <v>17066</v>
      </c>
      <c r="V617" t="n">
        <v>0.4428220932320028</v>
      </c>
      <c r="W617" t="n">
        <v>0</v>
      </c>
      <c r="X617" s="16">
        <f>IFERROR(K617/E617*100,"")</f>
        <v/>
      </c>
      <c r="Y617" s="16">
        <f>IFERROR((N617+O617)/E617*100,"")</f>
        <v/>
      </c>
      <c r="Z617" s="16">
        <f>IFERROR(R617/F617*100,"")</f>
        <v/>
      </c>
      <c r="AA617" s="16">
        <f>IFERROR(R617/E617*100,"")</f>
        <v/>
      </c>
      <c r="AB617" s="16">
        <f>IFERROR(S617/Q617*100,"")</f>
        <v/>
      </c>
      <c r="AC617" s="16">
        <f>IFERROR(T617/Q617*100,"")</f>
        <v/>
      </c>
      <c r="AD617" s="16">
        <f>IFERROR(U617/Q617*100,"")</f>
        <v/>
      </c>
      <c r="AE617" s="18" t="n"/>
      <c r="AF617" s="18" t="n"/>
      <c r="AG617" s="18" t="n"/>
      <c r="AH617">
        <f>P617&gt;0</f>
        <v/>
      </c>
    </row>
    <row r="618">
      <c r="A618" s="14" t="n">
        <v>44742</v>
      </c>
      <c r="B618" t="n">
        <v>29743</v>
      </c>
      <c r="C618" t="inlineStr">
        <is>
          <t>AROOSTOOK COUNTY FEDERAL SAVINGS AND LOAN ASSOCIATION</t>
        </is>
      </c>
      <c r="D618" t="inlineStr">
        <is>
          <t>ME</t>
        </is>
      </c>
      <c r="E618" t="n">
        <v>176966</v>
      </c>
      <c r="F618" t="n">
        <v>160168</v>
      </c>
      <c r="G618" t="n">
        <v>14544</v>
      </c>
      <c r="H618" s="16" t="n">
        <v>0.7532734918385875</v>
      </c>
      <c r="I618" s="16" t="n">
        <v>8.460000000000001</v>
      </c>
      <c r="J618" s="16" t="n">
        <v>2.561073793950506</v>
      </c>
      <c r="K618" s="16" t="n">
        <v>467</v>
      </c>
      <c r="L618" s="16" t="n">
        <v>98</v>
      </c>
      <c r="M618" s="16" t="n">
        <v>0.3929388799138395</v>
      </c>
      <c r="N618" s="16" t="n">
        <v>84</v>
      </c>
      <c r="O618" s="16" t="n">
        <v>0</v>
      </c>
      <c r="P618" s="16" t="n">
        <v>17.61236585913623</v>
      </c>
      <c r="Q618" t="n">
        <v>118848</v>
      </c>
      <c r="R618" t="n">
        <v>118416</v>
      </c>
      <c r="S618" t="n">
        <v>78376</v>
      </c>
      <c r="T618" t="n">
        <v>21981</v>
      </c>
      <c r="U618" t="n">
        <v>18389</v>
      </c>
      <c r="V618" t="n">
        <v>0.3634894991922455</v>
      </c>
      <c r="W618" t="n">
        <v>0</v>
      </c>
      <c r="X618" s="16">
        <f>IFERROR(K618/E618*100,"")</f>
        <v/>
      </c>
      <c r="Y618" s="16">
        <f>IFERROR((N618+O618)/E618*100,"")</f>
        <v/>
      </c>
      <c r="Z618" s="16">
        <f>IFERROR(R618/F618*100,"")</f>
        <v/>
      </c>
      <c r="AA618" s="16">
        <f>IFERROR(R618/E618*100,"")</f>
        <v/>
      </c>
      <c r="AB618" s="16">
        <f>IFERROR(S618/Q618*100,"")</f>
        <v/>
      </c>
      <c r="AC618" s="16">
        <f>IFERROR(T618/Q618*100,"")</f>
        <v/>
      </c>
      <c r="AD618" s="16">
        <f>IFERROR(U618/Q618*100,"")</f>
        <v/>
      </c>
      <c r="AE618" s="18" t="n"/>
      <c r="AF618" s="18" t="n"/>
      <c r="AG618" s="18" t="n"/>
      <c r="AH618">
        <f>P618&gt;0</f>
        <v/>
      </c>
    </row>
    <row r="619">
      <c r="A619" s="14" t="n">
        <v>44834</v>
      </c>
      <c r="B619" t="n">
        <v>29743</v>
      </c>
      <c r="C619" t="inlineStr">
        <is>
          <t>AROOSTOOK COUNTY FEDERAL SAVINGS AND LOAN ASSOCIATION</t>
        </is>
      </c>
      <c r="D619" t="inlineStr">
        <is>
          <t>ME</t>
        </is>
      </c>
      <c r="E619" t="n">
        <v>179520</v>
      </c>
      <c r="F619" t="n">
        <v>163392</v>
      </c>
      <c r="G619" t="n">
        <v>13788</v>
      </c>
      <c r="H619" s="16" t="n">
        <v>0.7795596171224126</v>
      </c>
      <c r="I619" s="16" t="n">
        <v>9.07</v>
      </c>
      <c r="J619" s="16" t="n">
        <v>2.637661376295843</v>
      </c>
      <c r="K619" s="16" t="n">
        <v>502</v>
      </c>
      <c r="L619" s="16" t="n">
        <v>128</v>
      </c>
      <c r="M619" s="16" t="n">
        <v>0.4104123745053795</v>
      </c>
      <c r="N619" s="16" t="n">
        <v>493</v>
      </c>
      <c r="O619" s="16" t="n">
        <v>0</v>
      </c>
      <c r="P619" s="16" t="n">
        <v>17.53191002232271</v>
      </c>
      <c r="Q619" t="n">
        <v>122316</v>
      </c>
      <c r="R619" t="n">
        <v>121914</v>
      </c>
      <c r="S619" t="n">
        <v>80448</v>
      </c>
      <c r="T619" t="n">
        <v>22426</v>
      </c>
      <c r="U619" t="n">
        <v>19352</v>
      </c>
      <c r="V619" t="n">
        <v>0.3286569214166585</v>
      </c>
      <c r="W619" t="n">
        <v>0</v>
      </c>
      <c r="X619" s="16">
        <f>IFERROR(K619/E619*100,"")</f>
        <v/>
      </c>
      <c r="Y619" s="16">
        <f>IFERROR((N619+O619)/E619*100,"")</f>
        <v/>
      </c>
      <c r="Z619" s="16">
        <f>IFERROR(R619/F619*100,"")</f>
        <v/>
      </c>
      <c r="AA619" s="16">
        <f>IFERROR(R619/E619*100,"")</f>
        <v/>
      </c>
      <c r="AB619" s="16">
        <f>IFERROR(S619/Q619*100,"")</f>
        <v/>
      </c>
      <c r="AC619" s="16">
        <f>IFERROR(T619/Q619*100,"")</f>
        <v/>
      </c>
      <c r="AD619" s="16">
        <f>IFERROR(U619/Q619*100,"")</f>
        <v/>
      </c>
      <c r="AE619" s="18" t="n"/>
      <c r="AF619" s="18" t="n"/>
      <c r="AG619" s="18" t="n"/>
      <c r="AH619">
        <f>P619&gt;0</f>
        <v/>
      </c>
    </row>
    <row r="620">
      <c r="A620" s="14" t="n">
        <v>44926</v>
      </c>
      <c r="B620" t="n">
        <v>29743</v>
      </c>
      <c r="C620" t="inlineStr">
        <is>
          <t>AROOSTOOK COUNTY FEDERAL SAVINGS AND LOAN ASSOCIATION</t>
        </is>
      </c>
      <c r="D620" t="inlineStr">
        <is>
          <t>ME</t>
        </is>
      </c>
      <c r="E620" t="n">
        <v>185569</v>
      </c>
      <c r="F620" t="n">
        <v>165554</v>
      </c>
      <c r="G620" t="n">
        <v>15292</v>
      </c>
      <c r="H620" s="16" t="n">
        <v>0.7800661962716088</v>
      </c>
      <c r="I620" s="16" t="n">
        <v>9.16</v>
      </c>
      <c r="J620" s="16" t="n">
        <v>2.658148548295392</v>
      </c>
      <c r="K620" s="16" t="n">
        <v>643</v>
      </c>
      <c r="L620" s="16" t="n">
        <v>128</v>
      </c>
      <c r="M620" s="16" t="n">
        <v>0.5190884064873941</v>
      </c>
      <c r="N620" s="16" t="n">
        <v>910</v>
      </c>
      <c r="O620" s="16" t="n">
        <v>0</v>
      </c>
      <c r="P620" s="16" t="n">
        <v>17.81500461109896</v>
      </c>
      <c r="Q620" t="n">
        <v>123871</v>
      </c>
      <c r="R620" t="n">
        <v>123469</v>
      </c>
      <c r="S620" t="n">
        <v>81025</v>
      </c>
      <c r="T620" t="n">
        <v>22468</v>
      </c>
      <c r="U620" t="n">
        <v>20308</v>
      </c>
      <c r="V620" t="n">
        <v>0.3245311654866756</v>
      </c>
      <c r="W620" t="n">
        <v>0</v>
      </c>
      <c r="X620" s="16">
        <f>IFERROR(K620/E620*100,"")</f>
        <v/>
      </c>
      <c r="Y620" s="16">
        <f>IFERROR((N620+O620)/E620*100,"")</f>
        <v/>
      </c>
      <c r="Z620" s="16">
        <f>IFERROR(R620/F620*100,"")</f>
        <v/>
      </c>
      <c r="AA620" s="16">
        <f>IFERROR(R620/E620*100,"")</f>
        <v/>
      </c>
      <c r="AB620" s="16">
        <f>IFERROR(S620/Q620*100,"")</f>
        <v/>
      </c>
      <c r="AC620" s="16">
        <f>IFERROR(T620/Q620*100,"")</f>
        <v/>
      </c>
      <c r="AD620" s="16">
        <f>IFERROR(U620/Q620*100,"")</f>
        <v/>
      </c>
      <c r="AE620" s="18" t="n"/>
      <c r="AF620" s="18" t="n"/>
      <c r="AG620" s="18" t="n"/>
      <c r="AH620">
        <f>P620&gt;0</f>
        <v/>
      </c>
    </row>
    <row r="621">
      <c r="A621" s="14" t="n">
        <v>45016</v>
      </c>
      <c r="B621" t="n">
        <v>29743</v>
      </c>
      <c r="C621" t="inlineStr">
        <is>
          <t>AROOSTOOK COUNTY FEDERAL SAVINGS AND LOAN ASSOCIATION</t>
        </is>
      </c>
      <c r="D621" t="inlineStr">
        <is>
          <t>ME</t>
        </is>
      </c>
      <c r="E621" t="n">
        <v>189487</v>
      </c>
      <c r="F621" t="n">
        <v>163950</v>
      </c>
      <c r="G621" t="n">
        <v>16226</v>
      </c>
      <c r="H621" s="16" t="n">
        <v>0.7102939294398704</v>
      </c>
      <c r="I621" s="16" t="n">
        <v>8.449999999999999</v>
      </c>
      <c r="J621" s="16" t="n">
        <v>2.473454298289968</v>
      </c>
      <c r="K621" s="16" t="n">
        <v>203</v>
      </c>
      <c r="L621" s="16" t="n">
        <v>0</v>
      </c>
      <c r="M621" s="16" t="n">
        <v>0.1607551532717237</v>
      </c>
      <c r="N621" s="16" t="n">
        <v>607</v>
      </c>
      <c r="O621" s="16" t="n">
        <v>0</v>
      </c>
      <c r="P621" s="16" t="n">
        <v>17.90958341117131</v>
      </c>
      <c r="Q621" t="n">
        <v>126279</v>
      </c>
      <c r="R621" t="n">
        <v>125326</v>
      </c>
      <c r="S621" t="n">
        <v>80937</v>
      </c>
      <c r="T621" t="n">
        <v>24692</v>
      </c>
      <c r="U621" t="n">
        <v>20551</v>
      </c>
      <c r="V621" t="n">
        <v>0.7546781333396685</v>
      </c>
      <c r="W621" t="n">
        <v>-0.03</v>
      </c>
      <c r="X621" s="16">
        <f>IFERROR(K621/E621*100,"")</f>
        <v/>
      </c>
      <c r="Y621" s="16">
        <f>IFERROR((N621+O621)/E621*100,"")</f>
        <v/>
      </c>
      <c r="Z621" s="16">
        <f>IFERROR(R621/F621*100,"")</f>
        <v/>
      </c>
      <c r="AA621" s="16">
        <f>IFERROR(R621/E621*100,"")</f>
        <v/>
      </c>
      <c r="AB621" s="16">
        <f>IFERROR(S621/Q621*100,"")</f>
        <v/>
      </c>
      <c r="AC621" s="16">
        <f>IFERROR(T621/Q621*100,"")</f>
        <v/>
      </c>
      <c r="AD621" s="16">
        <f>IFERROR(U621/Q621*100,"")</f>
        <v/>
      </c>
      <c r="AE621" s="18">
        <f>IFERROR(E621/E617-1,"")</f>
        <v/>
      </c>
      <c r="AF621" s="18">
        <f>IFERROR(R621/R617-1,"")</f>
        <v/>
      </c>
      <c r="AG621" s="18">
        <f>IFERROR(F621/F617-1,"")</f>
        <v/>
      </c>
      <c r="AH621">
        <f>P621&gt;0</f>
        <v/>
      </c>
    </row>
    <row r="622">
      <c r="A622" s="14" t="n">
        <v>45107</v>
      </c>
      <c r="B622" t="n">
        <v>29743</v>
      </c>
      <c r="C622" t="inlineStr">
        <is>
          <t>AROOSTOOK COUNTY FEDERAL SAVINGS AND LOAN ASSOCIATION</t>
        </is>
      </c>
      <c r="D622" t="inlineStr">
        <is>
          <t>ME</t>
        </is>
      </c>
      <c r="E622" t="n">
        <v>185445</v>
      </c>
      <c r="F622" t="n">
        <v>165388</v>
      </c>
      <c r="G622" t="n">
        <v>15742</v>
      </c>
      <c r="H622" s="16" t="n">
        <v>0.5930408687941681</v>
      </c>
      <c r="I622" s="16" t="n">
        <v>7.03</v>
      </c>
      <c r="J622" s="16" t="n">
        <v>2.398387004200973</v>
      </c>
      <c r="K622" s="16" t="n">
        <v>624</v>
      </c>
      <c r="L622" s="16" t="n">
        <v>8</v>
      </c>
      <c r="M622" s="16" t="n">
        <v>0.4797269246736473</v>
      </c>
      <c r="N622" s="16" t="n">
        <v>575</v>
      </c>
      <c r="O622" s="16" t="n">
        <v>0</v>
      </c>
      <c r="P622" s="16" t="n">
        <v>17.65434347113458</v>
      </c>
      <c r="Q622" t="n">
        <v>130074</v>
      </c>
      <c r="R622" t="n">
        <v>129129</v>
      </c>
      <c r="S622" t="n">
        <v>81523</v>
      </c>
      <c r="T622" t="n">
        <v>27495</v>
      </c>
      <c r="U622" t="n">
        <v>20952</v>
      </c>
      <c r="V622" t="n">
        <v>0.7265095253471101</v>
      </c>
      <c r="W622" t="n">
        <v>-0.01</v>
      </c>
      <c r="X622" s="16">
        <f>IFERROR(K622/E622*100,"")</f>
        <v/>
      </c>
      <c r="Y622" s="16">
        <f>IFERROR((N622+O622)/E622*100,"")</f>
        <v/>
      </c>
      <c r="Z622" s="16">
        <f>IFERROR(R622/F622*100,"")</f>
        <v/>
      </c>
      <c r="AA622" s="16">
        <f>IFERROR(R622/E622*100,"")</f>
        <v/>
      </c>
      <c r="AB622" s="16">
        <f>IFERROR(S622/Q622*100,"")</f>
        <v/>
      </c>
      <c r="AC622" s="16">
        <f>IFERROR(T622/Q622*100,"")</f>
        <v/>
      </c>
      <c r="AD622" s="16">
        <f>IFERROR(U622/Q622*100,"")</f>
        <v/>
      </c>
      <c r="AE622" s="18">
        <f>IFERROR(E622/E618-1,"")</f>
        <v/>
      </c>
      <c r="AF622" s="18">
        <f>IFERROR(R622/R618-1,"")</f>
        <v/>
      </c>
      <c r="AG622" s="18">
        <f>IFERROR(F622/F618-1,"")</f>
        <v/>
      </c>
      <c r="AH622">
        <f>P622&gt;0</f>
        <v/>
      </c>
    </row>
    <row r="623">
      <c r="A623" s="14" t="n">
        <v>45199</v>
      </c>
      <c r="B623" t="n">
        <v>29743</v>
      </c>
      <c r="C623" t="inlineStr">
        <is>
          <t>AROOSTOOK COUNTY FEDERAL SAVINGS AND LOAN ASSOCIATION</t>
        </is>
      </c>
      <c r="D623" t="inlineStr">
        <is>
          <t>ME</t>
        </is>
      </c>
      <c r="E623" t="n">
        <v>181231</v>
      </c>
      <c r="F623" t="n">
        <v>161163</v>
      </c>
      <c r="G623" t="n">
        <v>15641</v>
      </c>
      <c r="H623" s="16" t="n">
        <v>0.6097287969239563</v>
      </c>
      <c r="I623" s="16" t="n">
        <v>7.19</v>
      </c>
      <c r="J623" s="16" t="n">
        <v>2.419819374582047</v>
      </c>
      <c r="K623" s="16" t="n">
        <v>267</v>
      </c>
      <c r="L623" s="16" t="n">
        <v>9</v>
      </c>
      <c r="M623" s="16" t="n">
        <v>0.2013012960184564</v>
      </c>
      <c r="N623" s="16" t="n">
        <v>442</v>
      </c>
      <c r="O623" s="16" t="n">
        <v>0</v>
      </c>
      <c r="P623" s="16" t="n">
        <v>17.97716894977169</v>
      </c>
      <c r="Q623" t="n">
        <v>132637</v>
      </c>
      <c r="R623" t="n">
        <v>131689</v>
      </c>
      <c r="S623" t="n">
        <v>83811</v>
      </c>
      <c r="T623" t="n">
        <v>27176</v>
      </c>
      <c r="U623" t="n">
        <v>21550</v>
      </c>
      <c r="V623" t="n">
        <v>0.714732691481261</v>
      </c>
      <c r="W623" t="n">
        <v>-0.01</v>
      </c>
      <c r="X623" s="16">
        <f>IFERROR(K623/E623*100,"")</f>
        <v/>
      </c>
      <c r="Y623" s="16">
        <f>IFERROR((N623+O623)/E623*100,"")</f>
        <v/>
      </c>
      <c r="Z623" s="16">
        <f>IFERROR(R623/F623*100,"")</f>
        <v/>
      </c>
      <c r="AA623" s="16">
        <f>IFERROR(R623/E623*100,"")</f>
        <v/>
      </c>
      <c r="AB623" s="16">
        <f>IFERROR(S623/Q623*100,"")</f>
        <v/>
      </c>
      <c r="AC623" s="16">
        <f>IFERROR(T623/Q623*100,"")</f>
        <v/>
      </c>
      <c r="AD623" s="16">
        <f>IFERROR(U623/Q623*100,"")</f>
        <v/>
      </c>
      <c r="AE623" s="18">
        <f>IFERROR(E623/E619-1,"")</f>
        <v/>
      </c>
      <c r="AF623" s="18">
        <f>IFERROR(R623/R619-1,"")</f>
        <v/>
      </c>
      <c r="AG623" s="18">
        <f>IFERROR(F623/F619-1,"")</f>
        <v/>
      </c>
      <c r="AH623">
        <f>P623&gt;0</f>
        <v/>
      </c>
    </row>
    <row r="624">
      <c r="A624" s="14" t="n">
        <v>45291</v>
      </c>
      <c r="B624" t="n">
        <v>29743</v>
      </c>
      <c r="C624" t="inlineStr">
        <is>
          <t>AROOSTOOK COUNTY FEDERAL SAVINGS AND LOAN ASSOCIATION</t>
        </is>
      </c>
      <c r="D624" t="inlineStr">
        <is>
          <t>ME</t>
        </is>
      </c>
      <c r="E624" t="n">
        <v>188129</v>
      </c>
      <c r="F624" t="n">
        <v>163831</v>
      </c>
      <c r="G624" t="n">
        <v>16795</v>
      </c>
      <c r="H624" s="16" t="n">
        <v>0.5307244846272722</v>
      </c>
      <c r="I624" s="16" t="n">
        <v>6.19</v>
      </c>
      <c r="J624" s="16" t="n">
        <v>2.354176944167581</v>
      </c>
      <c r="K624" s="16" t="n">
        <v>436</v>
      </c>
      <c r="L624" s="16" t="n">
        <v>10</v>
      </c>
      <c r="M624" s="16" t="n">
        <v>0.3257426334349411</v>
      </c>
      <c r="N624" s="16" t="n">
        <v>573</v>
      </c>
      <c r="O624" s="16" t="n">
        <v>0</v>
      </c>
      <c r="P624" s="16" t="n">
        <v>17.8279612561101</v>
      </c>
      <c r="Q624" t="n">
        <v>133848</v>
      </c>
      <c r="R624" t="n">
        <v>132956</v>
      </c>
      <c r="S624" t="n">
        <v>85948</v>
      </c>
      <c r="T624" t="n">
        <v>26224</v>
      </c>
      <c r="U624" t="n">
        <v>21579</v>
      </c>
      <c r="V624" t="n">
        <v>0.6664275895045125</v>
      </c>
      <c r="W624" t="n">
        <v>-0.03</v>
      </c>
      <c r="X624" s="16">
        <f>IFERROR(K624/E624*100,"")</f>
        <v/>
      </c>
      <c r="Y624" s="16">
        <f>IFERROR((N624+O624)/E624*100,"")</f>
        <v/>
      </c>
      <c r="Z624" s="16">
        <f>IFERROR(R624/F624*100,"")</f>
        <v/>
      </c>
      <c r="AA624" s="16">
        <f>IFERROR(R624/E624*100,"")</f>
        <v/>
      </c>
      <c r="AB624" s="16">
        <f>IFERROR(S624/Q624*100,"")</f>
        <v/>
      </c>
      <c r="AC624" s="16">
        <f>IFERROR(T624/Q624*100,"")</f>
        <v/>
      </c>
      <c r="AD624" s="16">
        <f>IFERROR(U624/Q624*100,"")</f>
        <v/>
      </c>
      <c r="AE624" s="18">
        <f>IFERROR(E624/E620-1,"")</f>
        <v/>
      </c>
      <c r="AF624" s="18">
        <f>IFERROR(R624/R620-1,"")</f>
        <v/>
      </c>
      <c r="AG624" s="18">
        <f>IFERROR(F624/F620-1,"")</f>
        <v/>
      </c>
      <c r="AH624">
        <f>P624&gt;0</f>
        <v/>
      </c>
    </row>
    <row r="625">
      <c r="A625" s="14" t="n">
        <v>45382</v>
      </c>
      <c r="B625" t="n">
        <v>29743</v>
      </c>
      <c r="C625" t="inlineStr">
        <is>
          <t>AROOSTOOK COUNTY FEDERAL SAVINGS AND LOAN ASSOCIATION</t>
        </is>
      </c>
      <c r="D625" t="inlineStr">
        <is>
          <t>ME</t>
        </is>
      </c>
      <c r="E625" t="n">
        <v>184760</v>
      </c>
      <c r="F625" t="n">
        <v>160737</v>
      </c>
      <c r="G625" t="n">
        <v>16808</v>
      </c>
      <c r="H625" s="16" t="n">
        <v>0.3003574790353162</v>
      </c>
      <c r="I625" s="16" t="n">
        <v>3.33</v>
      </c>
      <c r="J625" s="16" t="n">
        <v>2.196746690472289</v>
      </c>
      <c r="K625" s="16" t="n">
        <v>140</v>
      </c>
      <c r="L625" s="16" t="n">
        <v>0</v>
      </c>
      <c r="M625" s="16" t="n">
        <v>0.1052512874487839</v>
      </c>
      <c r="N625" s="16" t="n">
        <v>596</v>
      </c>
      <c r="O625" s="16" t="n">
        <v>0</v>
      </c>
      <c r="P625" s="16" t="n">
        <v>18.30342367521053</v>
      </c>
      <c r="Q625" t="n">
        <v>133015</v>
      </c>
      <c r="R625" t="n">
        <v>132123</v>
      </c>
      <c r="S625" t="n">
        <v>85228</v>
      </c>
      <c r="T625" t="n">
        <v>26800</v>
      </c>
      <c r="U625" t="n">
        <v>20933</v>
      </c>
      <c r="V625" t="n">
        <v>0.6706010600308235</v>
      </c>
      <c r="W625" t="n">
        <v>0</v>
      </c>
      <c r="X625" s="16">
        <f>IFERROR(K625/E625*100,"")</f>
        <v/>
      </c>
      <c r="Y625" s="16">
        <f>IFERROR((N625+O625)/E625*100,"")</f>
        <v/>
      </c>
      <c r="Z625" s="16">
        <f>IFERROR(R625/F625*100,"")</f>
        <v/>
      </c>
      <c r="AA625" s="16">
        <f>IFERROR(R625/E625*100,"")</f>
        <v/>
      </c>
      <c r="AB625" s="16">
        <f>IFERROR(S625/Q625*100,"")</f>
        <v/>
      </c>
      <c r="AC625" s="16">
        <f>IFERROR(T625/Q625*100,"")</f>
        <v/>
      </c>
      <c r="AD625" s="16">
        <f>IFERROR(U625/Q625*100,"")</f>
        <v/>
      </c>
      <c r="AE625" s="18">
        <f>IFERROR(E625/E621-1,"")</f>
        <v/>
      </c>
      <c r="AF625" s="18">
        <f>IFERROR(R625/R621-1,"")</f>
        <v/>
      </c>
      <c r="AG625" s="18">
        <f>IFERROR(F625/F621-1,"")</f>
        <v/>
      </c>
      <c r="AH625">
        <f>P625&gt;0</f>
        <v/>
      </c>
    </row>
    <row r="626">
      <c r="A626" s="14" t="n">
        <v>45473</v>
      </c>
      <c r="B626" t="n">
        <v>29743</v>
      </c>
      <c r="C626" t="inlineStr">
        <is>
          <t>AROOSTOOK COUNTY FEDERAL SAVINGS AND LOAN ASSOCIATION</t>
        </is>
      </c>
      <c r="D626" t="inlineStr">
        <is>
          <t>ME</t>
        </is>
      </c>
      <c r="E626" t="n">
        <v>189887</v>
      </c>
      <c r="F626" t="n">
        <v>166017</v>
      </c>
      <c r="G626" t="n">
        <v>17099</v>
      </c>
      <c r="H626" s="16" t="n">
        <v>0.2963879056676191</v>
      </c>
      <c r="I626" s="16" t="n">
        <v>3.29</v>
      </c>
      <c r="J626" s="16" t="n">
        <v>2.155465388851755</v>
      </c>
      <c r="K626" s="16" t="n">
        <v>167</v>
      </c>
      <c r="L626" s="16" t="n">
        <v>-17</v>
      </c>
      <c r="M626" s="16" t="n">
        <v>0.1247833104190328</v>
      </c>
      <c r="N626" s="16" t="n">
        <v>907</v>
      </c>
      <c r="O626" s="16" t="n">
        <v>0</v>
      </c>
      <c r="P626" s="16" t="n">
        <v>18.342035357699</v>
      </c>
      <c r="Q626" t="n">
        <v>133832</v>
      </c>
      <c r="R626" t="n">
        <v>132963</v>
      </c>
      <c r="S626" t="n">
        <v>86883</v>
      </c>
      <c r="T626" t="n">
        <v>25921</v>
      </c>
      <c r="U626" t="n">
        <v>20978</v>
      </c>
      <c r="V626" t="n">
        <v>0.6493215374499373</v>
      </c>
      <c r="W626" t="n">
        <v>-0.04</v>
      </c>
      <c r="X626" s="16">
        <f>IFERROR(K626/E626*100,"")</f>
        <v/>
      </c>
      <c r="Y626" s="16">
        <f>IFERROR((N626+O626)/E626*100,"")</f>
        <v/>
      </c>
      <c r="Z626" s="16">
        <f>IFERROR(R626/F626*100,"")</f>
        <v/>
      </c>
      <c r="AA626" s="16">
        <f>IFERROR(R626/E626*100,"")</f>
        <v/>
      </c>
      <c r="AB626" s="16">
        <f>IFERROR(S626/Q626*100,"")</f>
        <v/>
      </c>
      <c r="AC626" s="16">
        <f>IFERROR(T626/Q626*100,"")</f>
        <v/>
      </c>
      <c r="AD626" s="16">
        <f>IFERROR(U626/Q626*100,"")</f>
        <v/>
      </c>
      <c r="AE626" s="18">
        <f>IFERROR(E626/E622-1,"")</f>
        <v/>
      </c>
      <c r="AF626" s="18">
        <f>IFERROR(R626/R622-1,"")</f>
        <v/>
      </c>
      <c r="AG626" s="18">
        <f>IFERROR(F626/F622-1,"")</f>
        <v/>
      </c>
      <c r="AH626">
        <f>P626&gt;0</f>
        <v/>
      </c>
    </row>
    <row r="627">
      <c r="A627" s="14" t="n">
        <v>45565</v>
      </c>
      <c r="B627" t="n">
        <v>29743</v>
      </c>
      <c r="C627" t="inlineStr">
        <is>
          <t>AROOSTOOK COUNTY FEDERAL SAVINGS AND LOAN ASSOCIATION</t>
        </is>
      </c>
      <c r="D627" t="inlineStr">
        <is>
          <t>ME</t>
        </is>
      </c>
      <c r="E627" t="n">
        <v>194865</v>
      </c>
      <c r="F627" t="n">
        <v>169632</v>
      </c>
      <c r="G627" t="n">
        <v>18304</v>
      </c>
      <c r="H627" s="16" t="n">
        <v>0.3076138170980715</v>
      </c>
      <c r="I627" s="16" t="n">
        <v>3.38</v>
      </c>
      <c r="J627" s="16" t="n">
        <v>2.173025162046953</v>
      </c>
      <c r="K627" s="16" t="n">
        <v>713</v>
      </c>
      <c r="L627" s="16" t="n">
        <v>-7</v>
      </c>
      <c r="M627" s="16" t="n">
        <v>0.5263002494943679</v>
      </c>
      <c r="N627" s="16" t="n">
        <v>555</v>
      </c>
      <c r="O627" s="16" t="n">
        <v>0</v>
      </c>
      <c r="P627" s="16" t="n">
        <v>18.22765594079536</v>
      </c>
      <c r="Q627" t="n">
        <v>135474</v>
      </c>
      <c r="R627" t="n">
        <v>134615</v>
      </c>
      <c r="S627" t="n">
        <v>88755</v>
      </c>
      <c r="T627" t="n">
        <v>25149</v>
      </c>
      <c r="U627" t="n">
        <v>21525</v>
      </c>
      <c r="V627" t="n">
        <v>0.6340700060528219</v>
      </c>
      <c r="W627" t="n">
        <v>-0.03</v>
      </c>
      <c r="X627" s="16">
        <f>IFERROR(K627/E627*100,"")</f>
        <v/>
      </c>
      <c r="Y627" s="16">
        <f>IFERROR((N627+O627)/E627*100,"")</f>
        <v/>
      </c>
      <c r="Z627" s="16">
        <f>IFERROR(R627/F627*100,"")</f>
        <v/>
      </c>
      <c r="AA627" s="16">
        <f>IFERROR(R627/E627*100,"")</f>
        <v/>
      </c>
      <c r="AB627" s="16">
        <f>IFERROR(S627/Q627*100,"")</f>
        <v/>
      </c>
      <c r="AC627" s="16">
        <f>IFERROR(T627/Q627*100,"")</f>
        <v/>
      </c>
      <c r="AD627" s="16">
        <f>IFERROR(U627/Q627*100,"")</f>
        <v/>
      </c>
      <c r="AE627" s="18">
        <f>IFERROR(E627/E623-1,"")</f>
        <v/>
      </c>
      <c r="AF627" s="18">
        <f>IFERROR(R627/R623-1,"")</f>
        <v/>
      </c>
      <c r="AG627" s="18">
        <f>IFERROR(F627/F623-1,"")</f>
        <v/>
      </c>
      <c r="AH627">
        <f>P627&gt;0</f>
        <v/>
      </c>
    </row>
    <row r="628">
      <c r="A628" s="14" t="n">
        <v>45657</v>
      </c>
      <c r="B628" t="n">
        <v>29743</v>
      </c>
      <c r="C628" t="inlineStr">
        <is>
          <t>AROOSTOOK COUNTY FEDERAL SAVINGS AND LOAN ASSOCIATION</t>
        </is>
      </c>
      <c r="D628" t="inlineStr">
        <is>
          <t>ME</t>
        </is>
      </c>
      <c r="E628" t="n">
        <v>202964</v>
      </c>
      <c r="F628" t="n">
        <v>178152</v>
      </c>
      <c r="G628" t="n">
        <v>18066</v>
      </c>
      <c r="H628" s="16" t="n">
        <v>0.3627921986664654</v>
      </c>
      <c r="I628" s="16" t="n">
        <v>4</v>
      </c>
      <c r="J628" s="16" t="n">
        <v>2.2949156982309</v>
      </c>
      <c r="K628" s="16" t="n">
        <v>647</v>
      </c>
      <c r="L628" s="16" t="n">
        <v>-7</v>
      </c>
      <c r="M628" s="16" t="n">
        <v>0.4791705239770413</v>
      </c>
      <c r="N628" s="16" t="n">
        <v>1156</v>
      </c>
      <c r="O628" s="16" t="n">
        <v>0</v>
      </c>
      <c r="P628" s="16" t="n">
        <v>18.41500662215856</v>
      </c>
      <c r="Q628" t="n">
        <v>135025</v>
      </c>
      <c r="R628" t="n">
        <v>134161</v>
      </c>
      <c r="S628" t="n">
        <v>88138</v>
      </c>
      <c r="T628" t="n">
        <v>25569</v>
      </c>
      <c r="U628" t="n">
        <v>21278</v>
      </c>
      <c r="V628" t="n">
        <v>0.6398815034252916</v>
      </c>
      <c r="W628" t="n">
        <v>-0.02</v>
      </c>
      <c r="X628" s="16">
        <f>IFERROR(K628/E628*100,"")</f>
        <v/>
      </c>
      <c r="Y628" s="16">
        <f>IFERROR((N628+O628)/E628*100,"")</f>
        <v/>
      </c>
      <c r="Z628" s="16">
        <f>IFERROR(R628/F628*100,"")</f>
        <v/>
      </c>
      <c r="AA628" s="16">
        <f>IFERROR(R628/E628*100,"")</f>
        <v/>
      </c>
      <c r="AB628" s="16">
        <f>IFERROR(S628/Q628*100,"")</f>
        <v/>
      </c>
      <c r="AC628" s="16">
        <f>IFERROR(T628/Q628*100,"")</f>
        <v/>
      </c>
      <c r="AD628" s="16">
        <f>IFERROR(U628/Q628*100,"")</f>
        <v/>
      </c>
      <c r="AE628" s="18">
        <f>IFERROR(E628/E624-1,"")</f>
        <v/>
      </c>
      <c r="AF628" s="18">
        <f>IFERROR(R628/R624-1,"")</f>
        <v/>
      </c>
      <c r="AG628" s="18">
        <f>IFERROR(F628/F624-1,"")</f>
        <v/>
      </c>
      <c r="AH628">
        <f>P628&gt;0</f>
        <v/>
      </c>
    </row>
    <row r="629">
      <c r="A629" s="14" t="n">
        <v>45747</v>
      </c>
      <c r="B629" t="n">
        <v>29743</v>
      </c>
      <c r="C629" t="inlineStr">
        <is>
          <t>AROOSTOOK COUNTY FEDERAL SAVINGS AND LOAN ASSOCIATION</t>
        </is>
      </c>
      <c r="D629" t="inlineStr">
        <is>
          <t>ME</t>
        </is>
      </c>
      <c r="E629" t="n">
        <v>199014</v>
      </c>
      <c r="F629" t="n">
        <v>176536</v>
      </c>
      <c r="G629" t="n">
        <v>18836</v>
      </c>
      <c r="H629" s="16" t="n">
        <v>0.6089885516122773</v>
      </c>
      <c r="I629" s="16" t="n">
        <v>6.63</v>
      </c>
      <c r="J629" s="16" t="n">
        <v>2.66721502501885</v>
      </c>
      <c r="K629" s="16" t="n">
        <v>448</v>
      </c>
      <c r="L629" s="16" t="n">
        <v>36</v>
      </c>
      <c r="M629" s="16" t="n">
        <v>0.3286288547871248</v>
      </c>
      <c r="N629" s="16" t="n">
        <v>816</v>
      </c>
      <c r="O629" s="16" t="n">
        <v>0</v>
      </c>
      <c r="P629" s="16" t="n">
        <v>18.4080928760645</v>
      </c>
      <c r="Q629" t="n">
        <v>136324</v>
      </c>
      <c r="R629" t="n">
        <v>135496</v>
      </c>
      <c r="S629" t="n">
        <v>87895</v>
      </c>
      <c r="T629" t="n">
        <v>26500</v>
      </c>
      <c r="U629" t="n">
        <v>21890</v>
      </c>
      <c r="V629" t="n">
        <v>0.6073765441154896</v>
      </c>
      <c r="W629" t="n">
        <v>0</v>
      </c>
      <c r="X629" s="16">
        <f>IFERROR(K629/E629*100,"")</f>
        <v/>
      </c>
      <c r="Y629" s="16">
        <f>IFERROR((N629+O629)/E629*100,"")</f>
        <v/>
      </c>
      <c r="Z629" s="16">
        <f>IFERROR(R629/F629*100,"")</f>
        <v/>
      </c>
      <c r="AA629" s="16">
        <f>IFERROR(R629/E629*100,"")</f>
        <v/>
      </c>
      <c r="AB629" s="16">
        <f>IFERROR(S629/Q629*100,"")</f>
        <v/>
      </c>
      <c r="AC629" s="16">
        <f>IFERROR(T629/Q629*100,"")</f>
        <v/>
      </c>
      <c r="AD629" s="16">
        <f>IFERROR(U629/Q629*100,"")</f>
        <v/>
      </c>
      <c r="AE629" s="18">
        <f>IFERROR(E629/E625-1,"")</f>
        <v/>
      </c>
      <c r="AF629" s="18">
        <f>IFERROR(R629/R625-1,"")</f>
        <v/>
      </c>
      <c r="AG629" s="18">
        <f>IFERROR(F629/F625-1,"")</f>
        <v/>
      </c>
      <c r="AH629">
        <f>P629&gt;0</f>
        <v/>
      </c>
    </row>
    <row r="630">
      <c r="A630" s="14" t="n">
        <v>45838</v>
      </c>
      <c r="B630" t="n">
        <v>29743</v>
      </c>
      <c r="C630" t="inlineStr">
        <is>
          <t>AROOSTOOK COUNTY FEDERAL SAVINGS AND LOAN ASSOCIATION</t>
        </is>
      </c>
      <c r="D630" t="inlineStr">
        <is>
          <t>ME</t>
        </is>
      </c>
      <c r="E630" t="n">
        <v>200783</v>
      </c>
      <c r="F630" t="n">
        <v>176912</v>
      </c>
      <c r="G630" t="n">
        <v>19214</v>
      </c>
      <c r="H630" s="16" t="n">
        <v>0.5385219017156053</v>
      </c>
      <c r="I630" s="16" t="n">
        <v>5.78</v>
      </c>
      <c r="J630" s="16" t="n">
        <v>2.756630469591546</v>
      </c>
      <c r="K630" s="16" t="n">
        <v>662</v>
      </c>
      <c r="L630" s="16" t="n">
        <v>36</v>
      </c>
      <c r="M630" s="16" t="n">
        <v>0.471718280152204</v>
      </c>
      <c r="N630" s="16" t="n">
        <v>763</v>
      </c>
      <c r="O630" s="16" t="n">
        <v>0</v>
      </c>
      <c r="P630" s="16" t="n">
        <v>18.1286751690254</v>
      </c>
      <c r="Q630" t="n">
        <v>140338</v>
      </c>
      <c r="R630" t="n">
        <v>139458</v>
      </c>
      <c r="S630" t="n">
        <v>89612</v>
      </c>
      <c r="T630" t="n">
        <v>26522</v>
      </c>
      <c r="U630" t="n">
        <v>23119</v>
      </c>
      <c r="V630" t="n">
        <v>0.6270575325286095</v>
      </c>
      <c r="W630" t="n">
        <v>0.05</v>
      </c>
      <c r="X630" s="16">
        <f>IFERROR(K630/E630*100,"")</f>
        <v/>
      </c>
      <c r="Y630" s="16">
        <f>IFERROR((N630+O630)/E630*100,"")</f>
        <v/>
      </c>
      <c r="Z630" s="16">
        <f>IFERROR(R630/F630*100,"")</f>
        <v/>
      </c>
      <c r="AA630" s="16">
        <f>IFERROR(R630/E630*100,"")</f>
        <v/>
      </c>
      <c r="AB630" s="16">
        <f>IFERROR(S630/Q630*100,"")</f>
        <v/>
      </c>
      <c r="AC630" s="16">
        <f>IFERROR(T630/Q630*100,"")</f>
        <v/>
      </c>
      <c r="AD630" s="16">
        <f>IFERROR(U630/Q630*100,"")</f>
        <v/>
      </c>
      <c r="AE630" s="18">
        <f>IFERROR(E630/E626-1,"")</f>
        <v/>
      </c>
      <c r="AF630" s="18">
        <f>IFERROR(R630/R626-1,"")</f>
        <v/>
      </c>
      <c r="AG630" s="18">
        <f>IFERROR(F630/F626-1,"")</f>
        <v/>
      </c>
      <c r="AH630">
        <f>P630&gt;0</f>
        <v/>
      </c>
    </row>
    <row r="631">
      <c r="A631" s="14" t="n">
        <v>44651</v>
      </c>
      <c r="B631" t="n">
        <v>29744</v>
      </c>
      <c r="C631" t="inlineStr">
        <is>
          <t>FIRST SEACOAST BANK</t>
        </is>
      </c>
      <c r="D631" t="inlineStr">
        <is>
          <t>NH</t>
        </is>
      </c>
      <c r="E631" t="n">
        <v>499707</v>
      </c>
      <c r="F631" t="n">
        <v>400905</v>
      </c>
      <c r="G631" t="n">
        <v>46362</v>
      </c>
      <c r="H631" s="16" t="n">
        <v>0.3192988391987949</v>
      </c>
      <c r="I631" s="16" t="n">
        <v>3.25</v>
      </c>
      <c r="J631" s="16" t="n">
        <v>3.187654378278726</v>
      </c>
      <c r="K631" s="16" t="n">
        <v>795</v>
      </c>
      <c r="L631" s="16" t="n">
        <v>8</v>
      </c>
      <c r="M631" s="16" t="n">
        <v>0.2095104570753921</v>
      </c>
      <c r="N631" s="16" t="n">
        <v>138</v>
      </c>
      <c r="O631" s="16" t="n">
        <v>0</v>
      </c>
      <c r="P631" s="16" t="n">
        <v>17.29698215188773</v>
      </c>
      <c r="Q631" t="n">
        <v>379456</v>
      </c>
      <c r="R631" t="n">
        <v>375814</v>
      </c>
      <c r="S631" t="n">
        <v>345285</v>
      </c>
      <c r="T631" t="n">
        <v>28459</v>
      </c>
      <c r="U631" t="n">
        <v>5712</v>
      </c>
      <c r="V631" t="n">
        <v>0.9597950750548152</v>
      </c>
      <c r="W631" t="n">
        <v>0.05</v>
      </c>
      <c r="X631" s="16">
        <f>IFERROR(K631/E631*100,"")</f>
        <v/>
      </c>
      <c r="Y631" s="16">
        <f>IFERROR((N631+O631)/E631*100,"")</f>
        <v/>
      </c>
      <c r="Z631" s="16">
        <f>IFERROR(R631/F631*100,"")</f>
        <v/>
      </c>
      <c r="AA631" s="16">
        <f>IFERROR(R631/E631*100,"")</f>
        <v/>
      </c>
      <c r="AB631" s="16">
        <f>IFERROR(S631/Q631*100,"")</f>
        <v/>
      </c>
      <c r="AC631" s="16">
        <f>IFERROR(T631/Q631*100,"")</f>
        <v/>
      </c>
      <c r="AD631" s="16">
        <f>IFERROR(U631/Q631*100,"")</f>
        <v/>
      </c>
      <c r="AE631" s="18" t="n"/>
      <c r="AF631" s="18" t="n"/>
      <c r="AG631" s="18" t="n"/>
      <c r="AH631">
        <f>P631&gt;0</f>
        <v/>
      </c>
    </row>
    <row r="632">
      <c r="A632" s="14" t="n">
        <v>44742</v>
      </c>
      <c r="B632" t="n">
        <v>29744</v>
      </c>
      <c r="C632" t="inlineStr">
        <is>
          <t>FIRST SEACOAST BANK</t>
        </is>
      </c>
      <c r="D632" t="inlineStr">
        <is>
          <t>NH</t>
        </is>
      </c>
      <c r="E632" t="n">
        <v>510338</v>
      </c>
      <c r="F632" t="n">
        <v>400169</v>
      </c>
      <c r="G632" t="n">
        <v>42675</v>
      </c>
      <c r="H632" s="16" t="n">
        <v>0.2556258727039247</v>
      </c>
      <c r="I632" s="16" t="n">
        <v>2.74</v>
      </c>
      <c r="J632" s="16" t="n">
        <v>3.18052641179198</v>
      </c>
      <c r="K632" s="16" t="n">
        <v>602</v>
      </c>
      <c r="L632" s="16" t="n">
        <v>7</v>
      </c>
      <c r="M632" s="16" t="n">
        <v>0.1565510910466818</v>
      </c>
      <c r="N632" s="16" t="n">
        <v>10</v>
      </c>
      <c r="O632" s="16" t="n">
        <v>0</v>
      </c>
      <c r="P632" s="16" t="n">
        <v>16.70100736136811</v>
      </c>
      <c r="Q632" t="n">
        <v>384539</v>
      </c>
      <c r="R632" t="n">
        <v>380896</v>
      </c>
      <c r="S632" t="n">
        <v>352732</v>
      </c>
      <c r="T632" t="n">
        <v>24641</v>
      </c>
      <c r="U632" t="n">
        <v>7166</v>
      </c>
      <c r="V632" t="n">
        <v>0.9473681473140566</v>
      </c>
      <c r="W632" t="n">
        <v>0.02</v>
      </c>
      <c r="X632" s="16">
        <f>IFERROR(K632/E632*100,"")</f>
        <v/>
      </c>
      <c r="Y632" s="16">
        <f>IFERROR((N632+O632)/E632*100,"")</f>
        <v/>
      </c>
      <c r="Z632" s="16">
        <f>IFERROR(R632/F632*100,"")</f>
        <v/>
      </c>
      <c r="AA632" s="16">
        <f>IFERROR(R632/E632*100,"")</f>
        <v/>
      </c>
      <c r="AB632" s="16">
        <f>IFERROR(S632/Q632*100,"")</f>
        <v/>
      </c>
      <c r="AC632" s="16">
        <f>IFERROR(T632/Q632*100,"")</f>
        <v/>
      </c>
      <c r="AD632" s="16">
        <f>IFERROR(U632/Q632*100,"")</f>
        <v/>
      </c>
      <c r="AE632" s="18" t="n"/>
      <c r="AF632" s="18" t="n"/>
      <c r="AG632" s="18" t="n"/>
      <c r="AH632">
        <f>P632&gt;0</f>
        <v/>
      </c>
    </row>
    <row r="633">
      <c r="A633" s="14" t="n">
        <v>44834</v>
      </c>
      <c r="B633" t="n">
        <v>29744</v>
      </c>
      <c r="C633" t="inlineStr">
        <is>
          <t>FIRST SEACOAST BANK</t>
        </is>
      </c>
      <c r="D633" t="inlineStr">
        <is>
          <t>NH</t>
        </is>
      </c>
      <c r="E633" t="n">
        <v>523655</v>
      </c>
      <c r="F633" t="n">
        <v>398937</v>
      </c>
      <c r="G633" t="n">
        <v>38532</v>
      </c>
      <c r="H633" s="16" t="n">
        <v>0.2915750194443179</v>
      </c>
      <c r="I633" s="16" t="n">
        <v>3.31</v>
      </c>
      <c r="J633" s="16" t="n">
        <v>3.154593386948019</v>
      </c>
      <c r="K633" s="16" t="n">
        <v>5</v>
      </c>
      <c r="L633" s="16" t="n">
        <v>6</v>
      </c>
      <c r="M633" s="16" t="n">
        <v>0.0012648013376538</v>
      </c>
      <c r="N633" s="16" t="n">
        <v>280</v>
      </c>
      <c r="O633" s="16" t="n">
        <v>0</v>
      </c>
      <c r="P633" s="16" t="n">
        <v>16.37153157580861</v>
      </c>
      <c r="Q633" t="n">
        <v>395319</v>
      </c>
      <c r="R633" t="n">
        <v>391735</v>
      </c>
      <c r="S633" t="n">
        <v>362877</v>
      </c>
      <c r="T633" t="n">
        <v>25090</v>
      </c>
      <c r="U633" t="n">
        <v>7352</v>
      </c>
      <c r="V633" t="n">
        <v>0.9066095988303118</v>
      </c>
      <c r="W633" t="n">
        <v>0</v>
      </c>
      <c r="X633" s="16">
        <f>IFERROR(K633/E633*100,"")</f>
        <v/>
      </c>
      <c r="Y633" s="16">
        <f>IFERROR((N633+O633)/E633*100,"")</f>
        <v/>
      </c>
      <c r="Z633" s="16">
        <f>IFERROR(R633/F633*100,"")</f>
        <v/>
      </c>
      <c r="AA633" s="16">
        <f>IFERROR(R633/E633*100,"")</f>
        <v/>
      </c>
      <c r="AB633" s="16">
        <f>IFERROR(S633/Q633*100,"")</f>
        <v/>
      </c>
      <c r="AC633" s="16">
        <f>IFERROR(T633/Q633*100,"")</f>
        <v/>
      </c>
      <c r="AD633" s="16">
        <f>IFERROR(U633/Q633*100,"")</f>
        <v/>
      </c>
      <c r="AE633" s="18" t="n"/>
      <c r="AF633" s="18" t="n"/>
      <c r="AG633" s="18" t="n"/>
      <c r="AH633">
        <f>P633&gt;0</f>
        <v/>
      </c>
    </row>
    <row r="634">
      <c r="A634" s="14" t="n">
        <v>44926</v>
      </c>
      <c r="B634" t="n">
        <v>29744</v>
      </c>
      <c r="C634" t="inlineStr">
        <is>
          <t>FIRST SEACOAST BANK</t>
        </is>
      </c>
      <c r="D634" t="inlineStr">
        <is>
          <t>NH</t>
        </is>
      </c>
      <c r="E634" t="n">
        <v>537395</v>
      </c>
      <c r="F634" t="n">
        <v>393417</v>
      </c>
      <c r="G634" t="n">
        <v>39950</v>
      </c>
      <c r="H634" s="16" t="n">
        <v>-0.09751613315505531</v>
      </c>
      <c r="I634" s="16" t="n">
        <v>-1.14</v>
      </c>
      <c r="J634" s="16" t="n">
        <v>3.104802137551784</v>
      </c>
      <c r="K634" s="16" t="n">
        <v>89</v>
      </c>
      <c r="L634" s="16" t="n">
        <v>10</v>
      </c>
      <c r="M634" s="16" t="n">
        <v>0.0221391382651373</v>
      </c>
      <c r="N634" s="16" t="n">
        <v>13</v>
      </c>
      <c r="O634" s="16" t="n">
        <v>0</v>
      </c>
      <c r="P634" s="16" t="n">
        <v>15.53222474145025</v>
      </c>
      <c r="Q634" t="n">
        <v>402003</v>
      </c>
      <c r="R634" t="n">
        <v>398423</v>
      </c>
      <c r="S634" t="n">
        <v>369776</v>
      </c>
      <c r="T634" t="n">
        <v>24059</v>
      </c>
      <c r="U634" t="n">
        <v>8168</v>
      </c>
      <c r="V634" t="n">
        <v>0.8905406178560856</v>
      </c>
      <c r="W634" t="n">
        <v>0</v>
      </c>
      <c r="X634" s="16">
        <f>IFERROR(K634/E634*100,"")</f>
        <v/>
      </c>
      <c r="Y634" s="16">
        <f>IFERROR((N634+O634)/E634*100,"")</f>
        <v/>
      </c>
      <c r="Z634" s="16">
        <f>IFERROR(R634/F634*100,"")</f>
        <v/>
      </c>
      <c r="AA634" s="16">
        <f>IFERROR(R634/E634*100,"")</f>
        <v/>
      </c>
      <c r="AB634" s="16">
        <f>IFERROR(S634/Q634*100,"")</f>
        <v/>
      </c>
      <c r="AC634" s="16">
        <f>IFERROR(T634/Q634*100,"")</f>
        <v/>
      </c>
      <c r="AD634" s="16">
        <f>IFERROR(U634/Q634*100,"")</f>
        <v/>
      </c>
      <c r="AE634" s="18" t="n"/>
      <c r="AF634" s="18" t="n"/>
      <c r="AG634" s="18" t="n"/>
      <c r="AH634">
        <f>P634&gt;0</f>
        <v/>
      </c>
    </row>
    <row r="635">
      <c r="A635" s="14" t="n">
        <v>45016</v>
      </c>
      <c r="B635" t="n">
        <v>29744</v>
      </c>
      <c r="C635" t="inlineStr">
        <is>
          <t>FIRST SEACOAST BANK</t>
        </is>
      </c>
      <c r="D635" t="inlineStr">
        <is>
          <t>NH</t>
        </is>
      </c>
      <c r="E635" t="n">
        <v>548387</v>
      </c>
      <c r="F635" t="n">
        <v>438333</v>
      </c>
      <c r="G635" t="n">
        <v>54173</v>
      </c>
      <c r="H635" s="16" t="n">
        <v>0.3418734147370282</v>
      </c>
      <c r="I635" s="16" t="n">
        <v>3.94</v>
      </c>
      <c r="J635" s="16" t="n">
        <v>2.482275650470627</v>
      </c>
      <c r="K635" s="16" t="n">
        <v>88</v>
      </c>
      <c r="L635" s="16" t="n">
        <v>-1</v>
      </c>
      <c r="M635" s="16" t="n">
        <v>0.0216850784482355</v>
      </c>
      <c r="N635" s="16" t="n">
        <v>240</v>
      </c>
      <c r="O635" s="16" t="n">
        <v>0</v>
      </c>
      <c r="P635" s="16" t="n">
        <v>19.76112823185176</v>
      </c>
      <c r="Q635" t="n">
        <v>405809</v>
      </c>
      <c r="R635" t="n">
        <v>402523</v>
      </c>
      <c r="S635" t="n">
        <v>372826</v>
      </c>
      <c r="T635" t="n">
        <v>24690</v>
      </c>
      <c r="U635" t="n">
        <v>8293</v>
      </c>
      <c r="V635" t="n">
        <v>0.8097405429647937</v>
      </c>
      <c r="W635" t="n">
        <v>0</v>
      </c>
      <c r="X635" s="16">
        <f>IFERROR(K635/E635*100,"")</f>
        <v/>
      </c>
      <c r="Y635" s="16">
        <f>IFERROR((N635+O635)/E635*100,"")</f>
        <v/>
      </c>
      <c r="Z635" s="16">
        <f>IFERROR(R635/F635*100,"")</f>
        <v/>
      </c>
      <c r="AA635" s="16">
        <f>IFERROR(R635/E635*100,"")</f>
        <v/>
      </c>
      <c r="AB635" s="16">
        <f>IFERROR(S635/Q635*100,"")</f>
        <v/>
      </c>
      <c r="AC635" s="16">
        <f>IFERROR(T635/Q635*100,"")</f>
        <v/>
      </c>
      <c r="AD635" s="16">
        <f>IFERROR(U635/Q635*100,"")</f>
        <v/>
      </c>
      <c r="AE635" s="18">
        <f>IFERROR(E635/E631-1,"")</f>
        <v/>
      </c>
      <c r="AF635" s="18">
        <f>IFERROR(R635/R631-1,"")</f>
        <v/>
      </c>
      <c r="AG635" s="18">
        <f>IFERROR(F635/F631-1,"")</f>
        <v/>
      </c>
      <c r="AH635">
        <f>P635&gt;0</f>
        <v/>
      </c>
    </row>
    <row r="636">
      <c r="A636" s="14" t="n">
        <v>45107</v>
      </c>
      <c r="B636" t="n">
        <v>29744</v>
      </c>
      <c r="C636" t="inlineStr">
        <is>
          <t>FIRST SEACOAST BANK</t>
        </is>
      </c>
      <c r="D636" t="inlineStr">
        <is>
          <t>NH</t>
        </is>
      </c>
      <c r="E636" t="n">
        <v>552677</v>
      </c>
      <c r="F636" t="n">
        <v>410619</v>
      </c>
      <c r="G636" t="n">
        <v>52781</v>
      </c>
      <c r="H636" s="16" t="n">
        <v>-0.0278310290339886</v>
      </c>
      <c r="I636" s="16" t="n">
        <v>-0.31</v>
      </c>
      <c r="J636" s="16" t="n">
        <v>2.380928080994675</v>
      </c>
      <c r="K636" s="16" t="n">
        <v>3</v>
      </c>
      <c r="L636" s="16" t="n">
        <v>2</v>
      </c>
      <c r="M636" s="16" t="n">
        <v>0.0007191674917115</v>
      </c>
      <c r="N636" s="16" t="n">
        <v>0</v>
      </c>
      <c r="O636" s="16" t="n">
        <v>0</v>
      </c>
      <c r="P636" s="16" t="n">
        <v>18.68773685524315</v>
      </c>
      <c r="Q636" t="n">
        <v>417149</v>
      </c>
      <c r="R636" t="n">
        <v>413830</v>
      </c>
      <c r="S636" t="n">
        <v>384059</v>
      </c>
      <c r="T636" t="n">
        <v>24168</v>
      </c>
      <c r="U636" t="n">
        <v>8922</v>
      </c>
      <c r="V636" t="n">
        <v>0.7956389683302608</v>
      </c>
      <c r="W636" t="n">
        <v>0.01</v>
      </c>
      <c r="X636" s="16">
        <f>IFERROR(K636/E636*100,"")</f>
        <v/>
      </c>
      <c r="Y636" s="16">
        <f>IFERROR((N636+O636)/E636*100,"")</f>
        <v/>
      </c>
      <c r="Z636" s="16">
        <f>IFERROR(R636/F636*100,"")</f>
        <v/>
      </c>
      <c r="AA636" s="16">
        <f>IFERROR(R636/E636*100,"")</f>
        <v/>
      </c>
      <c r="AB636" s="16">
        <f>IFERROR(S636/Q636*100,"")</f>
        <v/>
      </c>
      <c r="AC636" s="16">
        <f>IFERROR(T636/Q636*100,"")</f>
        <v/>
      </c>
      <c r="AD636" s="16">
        <f>IFERROR(U636/Q636*100,"")</f>
        <v/>
      </c>
      <c r="AE636" s="18">
        <f>IFERROR(E636/E632-1,"")</f>
        <v/>
      </c>
      <c r="AF636" s="18">
        <f>IFERROR(R636/R632-1,"")</f>
        <v/>
      </c>
      <c r="AG636" s="18">
        <f>IFERROR(F636/F632-1,"")</f>
        <v/>
      </c>
      <c r="AH636">
        <f>P636&gt;0</f>
        <v/>
      </c>
    </row>
    <row r="637">
      <c r="A637" s="14" t="n">
        <v>45199</v>
      </c>
      <c r="B637" t="n">
        <v>29744</v>
      </c>
      <c r="C637" t="inlineStr">
        <is>
          <t>FIRST SEACOAST BANK</t>
        </is>
      </c>
      <c r="D637" t="inlineStr">
        <is>
          <t>NH</t>
        </is>
      </c>
      <c r="E637" t="n">
        <v>556748</v>
      </c>
      <c r="F637" t="n">
        <v>435499</v>
      </c>
      <c r="G637" t="n">
        <v>47207</v>
      </c>
      <c r="H637" s="16" t="n">
        <v>-0.2397891588355904</v>
      </c>
      <c r="I637" s="16" t="n">
        <v>-2.71</v>
      </c>
      <c r="J637" s="16" t="n">
        <v>2.233887957920327</v>
      </c>
      <c r="K637" s="16" t="n">
        <v>0</v>
      </c>
      <c r="L637" s="16" t="n">
        <v>2</v>
      </c>
      <c r="M637" s="16" t="n">
        <v>0</v>
      </c>
      <c r="N637" s="16" t="n">
        <v>0</v>
      </c>
      <c r="O637" s="16" t="n">
        <v>0</v>
      </c>
      <c r="P637" s="16" t="n">
        <v>17.92485652060761</v>
      </c>
      <c r="Q637" t="n">
        <v>427991</v>
      </c>
      <c r="R637" t="n">
        <v>424642</v>
      </c>
      <c r="S637" t="n">
        <v>393303</v>
      </c>
      <c r="T637" t="n">
        <v>24875</v>
      </c>
      <c r="U637" t="n">
        <v>9813</v>
      </c>
      <c r="V637" t="n">
        <v>0.7824930898079632</v>
      </c>
      <c r="W637" t="n">
        <v>0.01</v>
      </c>
      <c r="X637" s="16">
        <f>IFERROR(K637/E637*100,"")</f>
        <v/>
      </c>
      <c r="Y637" s="16">
        <f>IFERROR((N637+O637)/E637*100,"")</f>
        <v/>
      </c>
      <c r="Z637" s="16">
        <f>IFERROR(R637/F637*100,"")</f>
        <v/>
      </c>
      <c r="AA637" s="16">
        <f>IFERROR(R637/E637*100,"")</f>
        <v/>
      </c>
      <c r="AB637" s="16">
        <f>IFERROR(S637/Q637*100,"")</f>
        <v/>
      </c>
      <c r="AC637" s="16">
        <f>IFERROR(T637/Q637*100,"")</f>
        <v/>
      </c>
      <c r="AD637" s="16">
        <f>IFERROR(U637/Q637*100,"")</f>
        <v/>
      </c>
      <c r="AE637" s="18">
        <f>IFERROR(E637/E633-1,"")</f>
        <v/>
      </c>
      <c r="AF637" s="18">
        <f>IFERROR(R637/R633-1,"")</f>
        <v/>
      </c>
      <c r="AG637" s="18">
        <f>IFERROR(F637/F633-1,"")</f>
        <v/>
      </c>
      <c r="AH637">
        <f>P637&gt;0</f>
        <v/>
      </c>
    </row>
    <row r="638">
      <c r="A638" s="14" t="n">
        <v>45291</v>
      </c>
      <c r="B638" t="n">
        <v>29744</v>
      </c>
      <c r="C638" t="inlineStr">
        <is>
          <t>FIRST SEACOAST BANK</t>
        </is>
      </c>
      <c r="D638" t="inlineStr">
        <is>
          <t>NH</t>
        </is>
      </c>
      <c r="E638" t="n">
        <v>571301</v>
      </c>
      <c r="F638" t="n">
        <v>426673</v>
      </c>
      <c r="G638" t="n">
        <v>46181</v>
      </c>
      <c r="H638" s="16" t="n">
        <v>-1.925893581366835</v>
      </c>
      <c r="I638" s="16" t="n">
        <v>-22.17</v>
      </c>
      <c r="J638" s="16" t="n">
        <v>2.181953275831146</v>
      </c>
      <c r="K638" s="16" t="n">
        <v>141</v>
      </c>
      <c r="L638" s="16" t="n">
        <v>1</v>
      </c>
      <c r="M638" s="16" t="n">
        <v>0.0328161110813723</v>
      </c>
      <c r="N638" s="16" t="n">
        <v>4</v>
      </c>
      <c r="O638" s="16" t="n">
        <v>0</v>
      </c>
      <c r="P638" s="16" t="n">
        <v>15.30666123984534</v>
      </c>
      <c r="Q638" t="n">
        <v>429667</v>
      </c>
      <c r="R638" t="n">
        <v>426277</v>
      </c>
      <c r="S638" t="n">
        <v>394330</v>
      </c>
      <c r="T638" t="n">
        <v>25511</v>
      </c>
      <c r="U638" t="n">
        <v>9826</v>
      </c>
      <c r="V638" t="n">
        <v>0.7889830962117175</v>
      </c>
      <c r="W638" t="n">
        <v>0.02</v>
      </c>
      <c r="X638" s="16">
        <f>IFERROR(K638/E638*100,"")</f>
        <v/>
      </c>
      <c r="Y638" s="16">
        <f>IFERROR((N638+O638)/E638*100,"")</f>
        <v/>
      </c>
      <c r="Z638" s="16">
        <f>IFERROR(R638/F638*100,"")</f>
        <v/>
      </c>
      <c r="AA638" s="16">
        <f>IFERROR(R638/E638*100,"")</f>
        <v/>
      </c>
      <c r="AB638" s="16">
        <f>IFERROR(S638/Q638*100,"")</f>
        <v/>
      </c>
      <c r="AC638" s="16">
        <f>IFERROR(T638/Q638*100,"")</f>
        <v/>
      </c>
      <c r="AD638" s="16">
        <f>IFERROR(U638/Q638*100,"")</f>
        <v/>
      </c>
      <c r="AE638" s="18">
        <f>IFERROR(E638/E634-1,"")</f>
        <v/>
      </c>
      <c r="AF638" s="18">
        <f>IFERROR(R638/R634-1,"")</f>
        <v/>
      </c>
      <c r="AG638" s="18">
        <f>IFERROR(F638/F634-1,"")</f>
        <v/>
      </c>
      <c r="AH638">
        <f>P638&gt;0</f>
        <v/>
      </c>
    </row>
    <row r="639">
      <c r="A639" s="14" t="n">
        <v>45382</v>
      </c>
      <c r="B639" t="n">
        <v>29744</v>
      </c>
      <c r="C639" t="inlineStr">
        <is>
          <t>FIRST SEACOAST BANK</t>
        </is>
      </c>
      <c r="D639" t="inlineStr">
        <is>
          <t>NH</t>
        </is>
      </c>
      <c r="E639" t="n">
        <v>576540</v>
      </c>
      <c r="F639" t="n">
        <v>428893</v>
      </c>
      <c r="G639" t="n">
        <v>44302</v>
      </c>
      <c r="H639" s="16" t="n">
        <v>-0.8035956199508469</v>
      </c>
      <c r="I639" s="16" t="n">
        <v>-10.19</v>
      </c>
      <c r="J639" s="16" t="n">
        <v>2.09105523042831</v>
      </c>
      <c r="K639" s="16" t="n">
        <v>141</v>
      </c>
      <c r="L639" s="16" t="n">
        <v>0</v>
      </c>
      <c r="M639" s="16" t="n">
        <v>0.0326685325573205</v>
      </c>
      <c r="N639" s="16" t="n">
        <v>0</v>
      </c>
      <c r="O639" s="16" t="n">
        <v>0</v>
      </c>
      <c r="P639" s="16" t="n">
        <v>14.86967420590578</v>
      </c>
      <c r="Q639" t="n">
        <v>431608</v>
      </c>
      <c r="R639" t="n">
        <v>428188</v>
      </c>
      <c r="S639" t="n">
        <v>396224</v>
      </c>
      <c r="T639" t="n">
        <v>25394</v>
      </c>
      <c r="U639" t="n">
        <v>9990</v>
      </c>
      <c r="V639" t="n">
        <v>0.7923856833052214</v>
      </c>
      <c r="W639" t="n">
        <v>-0.01</v>
      </c>
      <c r="X639" s="16">
        <f>IFERROR(K639/E639*100,"")</f>
        <v/>
      </c>
      <c r="Y639" s="16">
        <f>IFERROR((N639+O639)/E639*100,"")</f>
        <v/>
      </c>
      <c r="Z639" s="16">
        <f>IFERROR(R639/F639*100,"")</f>
        <v/>
      </c>
      <c r="AA639" s="16">
        <f>IFERROR(R639/E639*100,"")</f>
        <v/>
      </c>
      <c r="AB639" s="16">
        <f>IFERROR(S639/Q639*100,"")</f>
        <v/>
      </c>
      <c r="AC639" s="16">
        <f>IFERROR(T639/Q639*100,"")</f>
        <v/>
      </c>
      <c r="AD639" s="16">
        <f>IFERROR(U639/Q639*100,"")</f>
        <v/>
      </c>
      <c r="AE639" s="18">
        <f>IFERROR(E639/E635-1,"")</f>
        <v/>
      </c>
      <c r="AF639" s="18">
        <f>IFERROR(R639/R635-1,"")</f>
        <v/>
      </c>
      <c r="AG639" s="18">
        <f>IFERROR(F639/F635-1,"")</f>
        <v/>
      </c>
      <c r="AH639">
        <f>P639&gt;0</f>
        <v/>
      </c>
    </row>
    <row r="640">
      <c r="A640" s="14" t="n">
        <v>45473</v>
      </c>
      <c r="B640" t="n">
        <v>29744</v>
      </c>
      <c r="C640" t="inlineStr">
        <is>
          <t>FIRST SEACOAST BANK</t>
        </is>
      </c>
      <c r="D640" t="inlineStr">
        <is>
          <t>NH</t>
        </is>
      </c>
      <c r="E640" t="n">
        <v>602018</v>
      </c>
      <c r="F640" t="n">
        <v>471240</v>
      </c>
      <c r="G640" t="n">
        <v>46233</v>
      </c>
      <c r="H640" s="16" t="n">
        <v>0.2965953256805262</v>
      </c>
      <c r="I640" s="16" t="n">
        <v>3.8</v>
      </c>
      <c r="J640" s="16" t="n">
        <v>2.1079483156263</v>
      </c>
      <c r="K640" s="16" t="n">
        <v>141</v>
      </c>
      <c r="L640" s="16" t="n">
        <v>-1</v>
      </c>
      <c r="M640" s="16" t="n">
        <v>0.0324225881963383</v>
      </c>
      <c r="N640" s="16" t="n">
        <v>0</v>
      </c>
      <c r="O640" s="16" t="n">
        <v>0</v>
      </c>
      <c r="P640" s="16" t="n">
        <v>15.52735707463501</v>
      </c>
      <c r="Q640" t="n">
        <v>434882</v>
      </c>
      <c r="R640" t="n">
        <v>431431</v>
      </c>
      <c r="S640" t="n">
        <v>400003</v>
      </c>
      <c r="T640" t="n">
        <v>23531</v>
      </c>
      <c r="U640" t="n">
        <v>11348</v>
      </c>
      <c r="V640" t="n">
        <v>0.7935485947912306</v>
      </c>
      <c r="W640" t="n">
        <v>-0.01</v>
      </c>
      <c r="X640" s="16">
        <f>IFERROR(K640/E640*100,"")</f>
        <v/>
      </c>
      <c r="Y640" s="16">
        <f>IFERROR((N640+O640)/E640*100,"")</f>
        <v/>
      </c>
      <c r="Z640" s="16">
        <f>IFERROR(R640/F640*100,"")</f>
        <v/>
      </c>
      <c r="AA640" s="16">
        <f>IFERROR(R640/E640*100,"")</f>
        <v/>
      </c>
      <c r="AB640" s="16">
        <f>IFERROR(S640/Q640*100,"")</f>
        <v/>
      </c>
      <c r="AC640" s="16">
        <f>IFERROR(T640/Q640*100,"")</f>
        <v/>
      </c>
      <c r="AD640" s="16">
        <f>IFERROR(U640/Q640*100,"")</f>
        <v/>
      </c>
      <c r="AE640" s="18">
        <f>IFERROR(E640/E636-1,"")</f>
        <v/>
      </c>
      <c r="AF640" s="18">
        <f>IFERROR(R640/R636-1,"")</f>
        <v/>
      </c>
      <c r="AG640" s="18">
        <f>IFERROR(F640/F636-1,"")</f>
        <v/>
      </c>
      <c r="AH640">
        <f>P640&gt;0</f>
        <v/>
      </c>
    </row>
    <row r="641">
      <c r="A641" s="14" t="n">
        <v>45565</v>
      </c>
      <c r="B641" t="n">
        <v>29744</v>
      </c>
      <c r="C641" t="inlineStr">
        <is>
          <t>FIRST SEACOAST BANK</t>
        </is>
      </c>
      <c r="D641" t="inlineStr">
        <is>
          <t>NH</t>
        </is>
      </c>
      <c r="E641" t="n">
        <v>602075</v>
      </c>
      <c r="F641" t="n">
        <v>467670</v>
      </c>
      <c r="G641" t="n">
        <v>48662</v>
      </c>
      <c r="H641" s="16" t="n">
        <v>0.2079371444947009</v>
      </c>
      <c r="I641" s="16" t="n">
        <v>2.64</v>
      </c>
      <c r="J641" s="16" t="n">
        <v>2.09710586176728</v>
      </c>
      <c r="K641" s="16" t="n">
        <v>0</v>
      </c>
      <c r="L641" s="16" t="n">
        <v>25</v>
      </c>
      <c r="M641" s="16" t="n">
        <v>0</v>
      </c>
      <c r="N641" s="16" t="n">
        <v>0</v>
      </c>
      <c r="O641" s="16" t="n">
        <v>0</v>
      </c>
      <c r="P641" s="16" t="n">
        <v>15.66195392124353</v>
      </c>
      <c r="Q641" t="n">
        <v>436785</v>
      </c>
      <c r="R641" t="n">
        <v>433340</v>
      </c>
      <c r="S641" t="n">
        <v>400419</v>
      </c>
      <c r="T641" t="n">
        <v>24096</v>
      </c>
      <c r="U641" t="n">
        <v>12270</v>
      </c>
      <c r="V641" t="n">
        <v>0.7887175612715638</v>
      </c>
      <c r="W641" t="n">
        <v>0</v>
      </c>
      <c r="X641" s="16">
        <f>IFERROR(K641/E641*100,"")</f>
        <v/>
      </c>
      <c r="Y641" s="16">
        <f>IFERROR((N641+O641)/E641*100,"")</f>
        <v/>
      </c>
      <c r="Z641" s="16">
        <f>IFERROR(R641/F641*100,"")</f>
        <v/>
      </c>
      <c r="AA641" s="16">
        <f>IFERROR(R641/E641*100,"")</f>
        <v/>
      </c>
      <c r="AB641" s="16">
        <f>IFERROR(S641/Q641*100,"")</f>
        <v/>
      </c>
      <c r="AC641" s="16">
        <f>IFERROR(T641/Q641*100,"")</f>
        <v/>
      </c>
      <c r="AD641" s="16">
        <f>IFERROR(U641/Q641*100,"")</f>
        <v/>
      </c>
      <c r="AE641" s="18">
        <f>IFERROR(E641/E637-1,"")</f>
        <v/>
      </c>
      <c r="AF641" s="18">
        <f>IFERROR(R641/R637-1,"")</f>
        <v/>
      </c>
      <c r="AG641" s="18">
        <f>IFERROR(F641/F637-1,"")</f>
        <v/>
      </c>
      <c r="AH641">
        <f>P641&gt;0</f>
        <v/>
      </c>
    </row>
    <row r="642">
      <c r="A642" s="14" t="n">
        <v>45657</v>
      </c>
      <c r="B642" t="n">
        <v>29744</v>
      </c>
      <c r="C642" t="inlineStr">
        <is>
          <t>FIRST SEACOAST BANK</t>
        </is>
      </c>
      <c r="D642" t="inlineStr">
        <is>
          <t>NH</t>
        </is>
      </c>
      <c r="E642" t="n">
        <v>581057</v>
      </c>
      <c r="F642" t="n">
        <v>472402</v>
      </c>
      <c r="G642" t="n">
        <v>44991</v>
      </c>
      <c r="H642" s="16" t="n">
        <v>-0.0833620014517603</v>
      </c>
      <c r="I642" s="16" t="n">
        <v>-1.06</v>
      </c>
      <c r="J642" s="16" t="n">
        <v>2.109533482869586</v>
      </c>
      <c r="K642" s="16" t="n">
        <v>0</v>
      </c>
      <c r="L642" s="16" t="n">
        <v>24</v>
      </c>
      <c r="M642" s="16" t="n">
        <v>0</v>
      </c>
      <c r="N642" s="16" t="n">
        <v>0</v>
      </c>
      <c r="O642" s="16" t="n">
        <v>0</v>
      </c>
      <c r="P642" s="16" t="n">
        <v>15.55042555933457</v>
      </c>
      <c r="Q642" t="n">
        <v>437679</v>
      </c>
      <c r="R642" t="n">
        <v>434193</v>
      </c>
      <c r="S642" t="n">
        <v>401559</v>
      </c>
      <c r="T642" t="n">
        <v>23711</v>
      </c>
      <c r="U642" t="n">
        <v>12409</v>
      </c>
      <c r="V642" t="n">
        <v>0.7964741282995071</v>
      </c>
      <c r="W642" t="n">
        <v>-0.01</v>
      </c>
      <c r="X642" s="16">
        <f>IFERROR(K642/E642*100,"")</f>
        <v/>
      </c>
      <c r="Y642" s="16">
        <f>IFERROR((N642+O642)/E642*100,"")</f>
        <v/>
      </c>
      <c r="Z642" s="16">
        <f>IFERROR(R642/F642*100,"")</f>
        <v/>
      </c>
      <c r="AA642" s="16">
        <f>IFERROR(R642/E642*100,"")</f>
        <v/>
      </c>
      <c r="AB642" s="16">
        <f>IFERROR(S642/Q642*100,"")</f>
        <v/>
      </c>
      <c r="AC642" s="16">
        <f>IFERROR(T642/Q642*100,"")</f>
        <v/>
      </c>
      <c r="AD642" s="16">
        <f>IFERROR(U642/Q642*100,"")</f>
        <v/>
      </c>
      <c r="AE642" s="18">
        <f>IFERROR(E642/E638-1,"")</f>
        <v/>
      </c>
      <c r="AF642" s="18">
        <f>IFERROR(R642/R638-1,"")</f>
        <v/>
      </c>
      <c r="AG642" s="18">
        <f>IFERROR(F642/F638-1,"")</f>
        <v/>
      </c>
      <c r="AH642">
        <f>P642&gt;0</f>
        <v/>
      </c>
    </row>
    <row r="643">
      <c r="A643" s="14" t="n">
        <v>45747</v>
      </c>
      <c r="B643" t="n">
        <v>29744</v>
      </c>
      <c r="C643" t="inlineStr">
        <is>
          <t>FIRST SEACOAST BANK</t>
        </is>
      </c>
      <c r="D643" t="inlineStr">
        <is>
          <t>NH</t>
        </is>
      </c>
      <c r="E643" t="n">
        <v>592720</v>
      </c>
      <c r="F643" t="n">
        <v>473305</v>
      </c>
      <c r="G643" t="n">
        <v>44713</v>
      </c>
      <c r="H643" s="16" t="n">
        <v>-0.4082547195932447</v>
      </c>
      <c r="I643" s="16" t="n">
        <v>-5.34</v>
      </c>
      <c r="J643" s="16" t="n">
        <v>2.258738853166098</v>
      </c>
      <c r="K643" s="16" t="n">
        <v>0</v>
      </c>
      <c r="L643" s="16" t="n">
        <v>-1</v>
      </c>
      <c r="M643" s="16" t="n">
        <v>0</v>
      </c>
      <c r="N643" s="16" t="n">
        <v>0</v>
      </c>
      <c r="O643" s="16" t="n">
        <v>0</v>
      </c>
      <c r="P643" s="16" t="n">
        <v>15.16426904330567</v>
      </c>
      <c r="Q643" t="n">
        <v>448262</v>
      </c>
      <c r="R643" t="n">
        <v>444745</v>
      </c>
      <c r="S643" t="n">
        <v>411212</v>
      </c>
      <c r="T643" t="n">
        <v>24565</v>
      </c>
      <c r="U643" t="n">
        <v>12485</v>
      </c>
      <c r="V643" t="n">
        <v>0.7845858002685928</v>
      </c>
      <c r="W643" t="n">
        <v>0</v>
      </c>
      <c r="X643" s="16">
        <f>IFERROR(K643/E643*100,"")</f>
        <v/>
      </c>
      <c r="Y643" s="16">
        <f>IFERROR((N643+O643)/E643*100,"")</f>
        <v/>
      </c>
      <c r="Z643" s="16">
        <f>IFERROR(R643/F643*100,"")</f>
        <v/>
      </c>
      <c r="AA643" s="16">
        <f>IFERROR(R643/E643*100,"")</f>
        <v/>
      </c>
      <c r="AB643" s="16">
        <f>IFERROR(S643/Q643*100,"")</f>
        <v/>
      </c>
      <c r="AC643" s="16">
        <f>IFERROR(T643/Q643*100,"")</f>
        <v/>
      </c>
      <c r="AD643" s="16">
        <f>IFERROR(U643/Q643*100,"")</f>
        <v/>
      </c>
      <c r="AE643" s="18">
        <f>IFERROR(E643/E639-1,"")</f>
        <v/>
      </c>
      <c r="AF643" s="18">
        <f>IFERROR(R643/R639-1,"")</f>
        <v/>
      </c>
      <c r="AG643" s="18">
        <f>IFERROR(F643/F639-1,"")</f>
        <v/>
      </c>
      <c r="AH643">
        <f>P643&gt;0</f>
        <v/>
      </c>
    </row>
    <row r="644">
      <c r="A644" s="14" t="n">
        <v>45838</v>
      </c>
      <c r="B644" t="n">
        <v>29744</v>
      </c>
      <c r="C644" t="inlineStr">
        <is>
          <t>FIRST SEACOAST BANK</t>
        </is>
      </c>
      <c r="D644" t="inlineStr">
        <is>
          <t>NH</t>
        </is>
      </c>
      <c r="E644" t="n">
        <v>605109</v>
      </c>
      <c r="F644" t="n">
        <v>489906</v>
      </c>
      <c r="G644" t="n">
        <v>44554</v>
      </c>
      <c r="H644" s="16" t="n">
        <v>-0.3855221751140882</v>
      </c>
      <c r="I644" s="16" t="n">
        <v>-5.11</v>
      </c>
      <c r="J644" s="16" t="n">
        <v>2.325611144512812</v>
      </c>
      <c r="K644" s="16" t="n">
        <v>14</v>
      </c>
      <c r="L644" s="16" t="n">
        <v>-1</v>
      </c>
      <c r="M644" s="16" t="n">
        <v>0.0031837791003095</v>
      </c>
      <c r="N644" s="16" t="n">
        <v>200</v>
      </c>
      <c r="O644" s="16" t="n">
        <v>0</v>
      </c>
      <c r="P644" s="16" t="n">
        <v>15.23056200701747</v>
      </c>
      <c r="Q644" t="n">
        <v>439729</v>
      </c>
      <c r="R644" t="n">
        <v>436212</v>
      </c>
      <c r="S644" t="n">
        <v>402053</v>
      </c>
      <c r="T644" t="n">
        <v>24902</v>
      </c>
      <c r="U644" t="n">
        <v>12774</v>
      </c>
      <c r="V644" t="n">
        <v>0.7998107925563245</v>
      </c>
      <c r="W644" t="n">
        <v>0.02</v>
      </c>
      <c r="X644" s="16">
        <f>IFERROR(K644/E644*100,"")</f>
        <v/>
      </c>
      <c r="Y644" s="16">
        <f>IFERROR((N644+O644)/E644*100,"")</f>
        <v/>
      </c>
      <c r="Z644" s="16">
        <f>IFERROR(R644/F644*100,"")</f>
        <v/>
      </c>
      <c r="AA644" s="16">
        <f>IFERROR(R644/E644*100,"")</f>
        <v/>
      </c>
      <c r="AB644" s="16">
        <f>IFERROR(S644/Q644*100,"")</f>
        <v/>
      </c>
      <c r="AC644" s="16">
        <f>IFERROR(T644/Q644*100,"")</f>
        <v/>
      </c>
      <c r="AD644" s="16">
        <f>IFERROR(U644/Q644*100,"")</f>
        <v/>
      </c>
      <c r="AE644" s="18">
        <f>IFERROR(E644/E640-1,"")</f>
        <v/>
      </c>
      <c r="AF644" s="18">
        <f>IFERROR(R644/R640-1,"")</f>
        <v/>
      </c>
      <c r="AG644" s="18">
        <f>IFERROR(F644/F640-1,"")</f>
        <v/>
      </c>
      <c r="AH644">
        <f>P644&gt;0</f>
        <v/>
      </c>
    </row>
    <row r="645">
      <c r="A645" s="14" t="n">
        <v>44651</v>
      </c>
      <c r="B645" t="n">
        <v>30350</v>
      </c>
      <c r="C645" t="inlineStr">
        <is>
          <t>THE BANK OF BENNINGTON</t>
        </is>
      </c>
      <c r="D645" t="inlineStr">
        <is>
          <t>VT</t>
        </is>
      </c>
      <c r="E645" t="n">
        <v>558084</v>
      </c>
      <c r="F645" t="n">
        <v>471489</v>
      </c>
      <c r="G645" t="n">
        <v>51735</v>
      </c>
      <c r="H645" s="16" t="n">
        <v>0.6314586677057759</v>
      </c>
      <c r="I645" s="16" t="n">
        <v>6.56</v>
      </c>
      <c r="J645" s="16" t="n">
        <v>2.648789333045113</v>
      </c>
      <c r="K645" s="16" t="n">
        <v>2750</v>
      </c>
      <c r="L645" s="16" t="n">
        <v>-4</v>
      </c>
      <c r="M645" s="16" t="n">
        <v>0.7478475587536236</v>
      </c>
      <c r="N645" s="16" t="n">
        <v>1525</v>
      </c>
      <c r="O645" s="16" t="n">
        <v>0</v>
      </c>
      <c r="P645" s="16" t="n">
        <v>21.5752243865437</v>
      </c>
      <c r="Q645" t="n">
        <v>367722</v>
      </c>
      <c r="R645" t="n">
        <v>362415</v>
      </c>
      <c r="S645" t="n">
        <v>353740</v>
      </c>
      <c r="T645" t="n">
        <v>11781</v>
      </c>
      <c r="U645" t="n">
        <v>796</v>
      </c>
      <c r="V645" t="n">
        <v>1.443209816111084</v>
      </c>
      <c r="W645" t="n">
        <v>0</v>
      </c>
      <c r="X645" s="16">
        <f>IFERROR(K645/E645*100,"")</f>
        <v/>
      </c>
      <c r="Y645" s="16">
        <f>IFERROR((N645+O645)/E645*100,"")</f>
        <v/>
      </c>
      <c r="Z645" s="16">
        <f>IFERROR(R645/F645*100,"")</f>
        <v/>
      </c>
      <c r="AA645" s="16">
        <f>IFERROR(R645/E645*100,"")</f>
        <v/>
      </c>
      <c r="AB645" s="16">
        <f>IFERROR(S645/Q645*100,"")</f>
        <v/>
      </c>
      <c r="AC645" s="16">
        <f>IFERROR(T645/Q645*100,"")</f>
        <v/>
      </c>
      <c r="AD645" s="16">
        <f>IFERROR(U645/Q645*100,"")</f>
        <v/>
      </c>
      <c r="AE645" s="18" t="n"/>
      <c r="AF645" s="18" t="n"/>
      <c r="AG645" s="18" t="n"/>
      <c r="AH645">
        <f>P645&gt;0</f>
        <v/>
      </c>
    </row>
    <row r="646">
      <c r="A646" s="14" t="n">
        <v>44742</v>
      </c>
      <c r="B646" t="n">
        <v>30350</v>
      </c>
      <c r="C646" t="inlineStr">
        <is>
          <t>THE BANK OF BENNINGTON</t>
        </is>
      </c>
      <c r="D646" t="inlineStr">
        <is>
          <t>VT</t>
        </is>
      </c>
      <c r="E646" t="n">
        <v>543454</v>
      </c>
      <c r="F646" t="n">
        <v>468153</v>
      </c>
      <c r="G646" t="n">
        <v>50997</v>
      </c>
      <c r="H646" s="16" t="n">
        <v>0.502798290193913</v>
      </c>
      <c r="I646" s="16" t="n">
        <v>5.27</v>
      </c>
      <c r="J646" s="16" t="n">
        <v>2.722493574262884</v>
      </c>
      <c r="K646" s="16" t="n">
        <v>2718</v>
      </c>
      <c r="L646" s="16" t="n">
        <v>213</v>
      </c>
      <c r="M646" s="16" t="n">
        <v>0.7326066565320051</v>
      </c>
      <c r="N646" s="16" t="n">
        <v>662</v>
      </c>
      <c r="O646" s="16" t="n">
        <v>0</v>
      </c>
      <c r="P646" s="16" t="n">
        <v>21.23638704474635</v>
      </c>
      <c r="Q646" t="n">
        <v>371004</v>
      </c>
      <c r="R646" t="n">
        <v>365913</v>
      </c>
      <c r="S646" t="n">
        <v>358181</v>
      </c>
      <c r="T646" t="n">
        <v>10553</v>
      </c>
      <c r="U646" t="n">
        <v>876</v>
      </c>
      <c r="V646" t="n">
        <v>1.372222401914804</v>
      </c>
      <c r="W646" t="n">
        <v>0</v>
      </c>
      <c r="X646" s="16">
        <f>IFERROR(K646/E646*100,"")</f>
        <v/>
      </c>
      <c r="Y646" s="16">
        <f>IFERROR((N646+O646)/E646*100,"")</f>
        <v/>
      </c>
      <c r="Z646" s="16">
        <f>IFERROR(R646/F646*100,"")</f>
        <v/>
      </c>
      <c r="AA646" s="16">
        <f>IFERROR(R646/E646*100,"")</f>
        <v/>
      </c>
      <c r="AB646" s="16">
        <f>IFERROR(S646/Q646*100,"")</f>
        <v/>
      </c>
      <c r="AC646" s="16">
        <f>IFERROR(T646/Q646*100,"")</f>
        <v/>
      </c>
      <c r="AD646" s="16">
        <f>IFERROR(U646/Q646*100,"")</f>
        <v/>
      </c>
      <c r="AE646" s="18" t="n"/>
      <c r="AF646" s="18" t="n"/>
      <c r="AG646" s="18" t="n"/>
      <c r="AH646">
        <f>P646&gt;0</f>
        <v/>
      </c>
    </row>
    <row r="647">
      <c r="A647" s="14" t="n">
        <v>44834</v>
      </c>
      <c r="B647" t="n">
        <v>30350</v>
      </c>
      <c r="C647" t="inlineStr">
        <is>
          <t>THE BANK OF BENNINGTON</t>
        </is>
      </c>
      <c r="D647" t="inlineStr">
        <is>
          <t>VT</t>
        </is>
      </c>
      <c r="E647" t="n">
        <v>541685</v>
      </c>
      <c r="F647" t="n">
        <v>473333</v>
      </c>
      <c r="G647" t="n">
        <v>49256</v>
      </c>
      <c r="H647" s="16" t="n">
        <v>0.6491817415815143</v>
      </c>
      <c r="I647" s="16" t="n">
        <v>6.88</v>
      </c>
      <c r="J647" s="16" t="n">
        <v>2.870390732848</v>
      </c>
      <c r="K647" s="16" t="n">
        <v>1989</v>
      </c>
      <c r="L647" s="16" t="n">
        <v>206</v>
      </c>
      <c r="M647" s="16" t="n">
        <v>0.525775975553664</v>
      </c>
      <c r="N647" s="16" t="n">
        <v>720</v>
      </c>
      <c r="O647" s="16" t="n">
        <v>0</v>
      </c>
      <c r="P647" s="16" t="n">
        <v>21.27091830900012</v>
      </c>
      <c r="Q647" t="n">
        <v>378298</v>
      </c>
      <c r="R647" t="n">
        <v>373201</v>
      </c>
      <c r="S647" t="n">
        <v>363012</v>
      </c>
      <c r="T647" t="n">
        <v>11326</v>
      </c>
      <c r="U647" t="n">
        <v>1056</v>
      </c>
      <c r="V647" t="n">
        <v>1.347350501456524</v>
      </c>
      <c r="W647" t="n">
        <v>0</v>
      </c>
      <c r="X647" s="16">
        <f>IFERROR(K647/E647*100,"")</f>
        <v/>
      </c>
      <c r="Y647" s="16">
        <f>IFERROR((N647+O647)/E647*100,"")</f>
        <v/>
      </c>
      <c r="Z647" s="16">
        <f>IFERROR(R647/F647*100,"")</f>
        <v/>
      </c>
      <c r="AA647" s="16">
        <f>IFERROR(R647/E647*100,"")</f>
        <v/>
      </c>
      <c r="AB647" s="16">
        <f>IFERROR(S647/Q647*100,"")</f>
        <v/>
      </c>
      <c r="AC647" s="16">
        <f>IFERROR(T647/Q647*100,"")</f>
        <v/>
      </c>
      <c r="AD647" s="16">
        <f>IFERROR(U647/Q647*100,"")</f>
        <v/>
      </c>
      <c r="AE647" s="18" t="n"/>
      <c r="AF647" s="18" t="n"/>
      <c r="AG647" s="18" t="n"/>
      <c r="AH647">
        <f>P647&gt;0</f>
        <v/>
      </c>
    </row>
    <row r="648">
      <c r="A648" s="14" t="n">
        <v>44926</v>
      </c>
      <c r="B648" t="n">
        <v>30350</v>
      </c>
      <c r="C648" t="inlineStr">
        <is>
          <t>THE BANK OF BENNINGTON</t>
        </is>
      </c>
      <c r="D648" t="inlineStr">
        <is>
          <t>VT</t>
        </is>
      </c>
      <c r="E648" t="n">
        <v>551789</v>
      </c>
      <c r="F648" t="n">
        <v>463644</v>
      </c>
      <c r="G648" t="n">
        <v>51142</v>
      </c>
      <c r="H648" s="16" t="n">
        <v>0.726111639299295</v>
      </c>
      <c r="I648" s="16" t="n">
        <v>7.72</v>
      </c>
      <c r="J648" s="16" t="n">
        <v>2.920726901931037</v>
      </c>
      <c r="K648" s="16" t="n">
        <v>1476</v>
      </c>
      <c r="L648" s="16" t="n">
        <v>194</v>
      </c>
      <c r="M648" s="16" t="n">
        <v>0.3758460355373121</v>
      </c>
      <c r="N648" s="16" t="n">
        <v>909</v>
      </c>
      <c r="O648" s="16" t="n">
        <v>0</v>
      </c>
      <c r="P648" s="16" t="n">
        <v>20.9587789111335</v>
      </c>
      <c r="Q648" t="n">
        <v>392714</v>
      </c>
      <c r="R648" t="n">
        <v>387605</v>
      </c>
      <c r="S648" t="n">
        <v>373732</v>
      </c>
      <c r="T648" t="n">
        <v>16386</v>
      </c>
      <c r="U648" t="n">
        <v>1149</v>
      </c>
      <c r="V648" t="n">
        <v>1.300946744959436</v>
      </c>
      <c r="W648" t="n">
        <v>0</v>
      </c>
      <c r="X648" s="16">
        <f>IFERROR(K648/E648*100,"")</f>
        <v/>
      </c>
      <c r="Y648" s="16">
        <f>IFERROR((N648+O648)/E648*100,"")</f>
        <v/>
      </c>
      <c r="Z648" s="16">
        <f>IFERROR(R648/F648*100,"")</f>
        <v/>
      </c>
      <c r="AA648" s="16">
        <f>IFERROR(R648/E648*100,"")</f>
        <v/>
      </c>
      <c r="AB648" s="16">
        <f>IFERROR(S648/Q648*100,"")</f>
        <v/>
      </c>
      <c r="AC648" s="16">
        <f>IFERROR(T648/Q648*100,"")</f>
        <v/>
      </c>
      <c r="AD648" s="16">
        <f>IFERROR(U648/Q648*100,"")</f>
        <v/>
      </c>
      <c r="AE648" s="18" t="n"/>
      <c r="AF648" s="18" t="n"/>
      <c r="AG648" s="18" t="n"/>
      <c r="AH648">
        <f>P648&gt;0</f>
        <v/>
      </c>
    </row>
    <row r="649">
      <c r="A649" s="14" t="n">
        <v>45016</v>
      </c>
      <c r="B649" t="n">
        <v>30350</v>
      </c>
      <c r="C649" t="inlineStr">
        <is>
          <t>THE BANK OF BENNINGTON</t>
        </is>
      </c>
      <c r="D649" t="inlineStr">
        <is>
          <t>VT</t>
        </is>
      </c>
      <c r="E649" t="n">
        <v>554362</v>
      </c>
      <c r="F649" t="n">
        <v>454335</v>
      </c>
      <c r="G649" t="n">
        <v>53124</v>
      </c>
      <c r="H649" s="16" t="n">
        <v>0.8215876494258016</v>
      </c>
      <c r="I649" s="16" t="n">
        <v>8.720000000000001</v>
      </c>
      <c r="J649" s="16" t="n">
        <v>3.03436326107607</v>
      </c>
      <c r="K649" s="16" t="n">
        <v>1313</v>
      </c>
      <c r="L649" s="16" t="n">
        <v>-16</v>
      </c>
      <c r="M649" s="16" t="n">
        <v>0.333991310629725</v>
      </c>
      <c r="N649" s="16" t="n">
        <v>1612</v>
      </c>
      <c r="O649" s="16" t="n">
        <v>0</v>
      </c>
      <c r="P649" s="16" t="n">
        <v>21.48672851847994</v>
      </c>
      <c r="Q649" t="n">
        <v>393124</v>
      </c>
      <c r="R649" t="n">
        <v>387999</v>
      </c>
      <c r="S649" t="n">
        <v>373761</v>
      </c>
      <c r="T649" t="n">
        <v>16693</v>
      </c>
      <c r="U649" t="n">
        <v>1231</v>
      </c>
      <c r="V649" t="n">
        <v>1.30365991392029</v>
      </c>
      <c r="W649" t="n">
        <v>0</v>
      </c>
      <c r="X649" s="16">
        <f>IFERROR(K649/E649*100,"")</f>
        <v/>
      </c>
      <c r="Y649" s="16">
        <f>IFERROR((N649+O649)/E649*100,"")</f>
        <v/>
      </c>
      <c r="Z649" s="16">
        <f>IFERROR(R649/F649*100,"")</f>
        <v/>
      </c>
      <c r="AA649" s="16">
        <f>IFERROR(R649/E649*100,"")</f>
        <v/>
      </c>
      <c r="AB649" s="16">
        <f>IFERROR(S649/Q649*100,"")</f>
        <v/>
      </c>
      <c r="AC649" s="16">
        <f>IFERROR(T649/Q649*100,"")</f>
        <v/>
      </c>
      <c r="AD649" s="16">
        <f>IFERROR(U649/Q649*100,"")</f>
        <v/>
      </c>
      <c r="AE649" s="18">
        <f>IFERROR(E649/E645-1,"")</f>
        <v/>
      </c>
      <c r="AF649" s="18">
        <f>IFERROR(R649/R645-1,"")</f>
        <v/>
      </c>
      <c r="AG649" s="18">
        <f>IFERROR(F649/F645-1,"")</f>
        <v/>
      </c>
      <c r="AH649">
        <f>P649&gt;0</f>
        <v/>
      </c>
    </row>
    <row r="650">
      <c r="A650" s="14" t="n">
        <v>45107</v>
      </c>
      <c r="B650" t="n">
        <v>30350</v>
      </c>
      <c r="C650" t="inlineStr">
        <is>
          <t>THE BANK OF BENNINGTON</t>
        </is>
      </c>
      <c r="D650" t="inlineStr">
        <is>
          <t>VT</t>
        </is>
      </c>
      <c r="E650" t="n">
        <v>551849</v>
      </c>
      <c r="F650" t="n">
        <v>438525</v>
      </c>
      <c r="G650" t="n">
        <v>53168</v>
      </c>
      <c r="H650" s="16" t="n">
        <v>0.6799758745476477</v>
      </c>
      <c r="I650" s="16" t="n">
        <v>7.16</v>
      </c>
      <c r="J650" s="16" t="n">
        <v>2.968834924574159</v>
      </c>
      <c r="K650" s="16" t="n">
        <v>1166</v>
      </c>
      <c r="L650" s="16" t="n">
        <v>-20</v>
      </c>
      <c r="M650" s="16" t="n">
        <v>0.2939033950127165</v>
      </c>
      <c r="N650" s="16" t="n">
        <v>486</v>
      </c>
      <c r="O650" s="16" t="n">
        <v>0</v>
      </c>
      <c r="P650" s="16" t="n">
        <v>21.50000665397974</v>
      </c>
      <c r="Q650" t="n">
        <v>396729</v>
      </c>
      <c r="R650" t="n">
        <v>391600</v>
      </c>
      <c r="S650" t="n">
        <v>376669</v>
      </c>
      <c r="T650" t="n">
        <v>17162</v>
      </c>
      <c r="U650" t="n">
        <v>1216</v>
      </c>
      <c r="V650" t="n">
        <v>1.292822052332953</v>
      </c>
      <c r="W650" t="n">
        <v>0</v>
      </c>
      <c r="X650" s="16">
        <f>IFERROR(K650/E650*100,"")</f>
        <v/>
      </c>
      <c r="Y650" s="16">
        <f>IFERROR((N650+O650)/E650*100,"")</f>
        <v/>
      </c>
      <c r="Z650" s="16">
        <f>IFERROR(R650/F650*100,"")</f>
        <v/>
      </c>
      <c r="AA650" s="16">
        <f>IFERROR(R650/E650*100,"")</f>
        <v/>
      </c>
      <c r="AB650" s="16">
        <f>IFERROR(S650/Q650*100,"")</f>
        <v/>
      </c>
      <c r="AC650" s="16">
        <f>IFERROR(T650/Q650*100,"")</f>
        <v/>
      </c>
      <c r="AD650" s="16">
        <f>IFERROR(U650/Q650*100,"")</f>
        <v/>
      </c>
      <c r="AE650" s="18">
        <f>IFERROR(E650/E646-1,"")</f>
        <v/>
      </c>
      <c r="AF650" s="18">
        <f>IFERROR(R650/R646-1,"")</f>
        <v/>
      </c>
      <c r="AG650" s="18">
        <f>IFERROR(F650/F646-1,"")</f>
        <v/>
      </c>
      <c r="AH650">
        <f>P650&gt;0</f>
        <v/>
      </c>
    </row>
    <row r="651">
      <c r="A651" s="14" t="n">
        <v>45199</v>
      </c>
      <c r="B651" t="n">
        <v>30350</v>
      </c>
      <c r="C651" t="inlineStr">
        <is>
          <t>THE BANK OF BENNINGTON</t>
        </is>
      </c>
      <c r="D651" t="inlineStr">
        <is>
          <t>VT</t>
        </is>
      </c>
      <c r="E651" t="n">
        <v>558317</v>
      </c>
      <c r="F651" t="n">
        <v>447436</v>
      </c>
      <c r="G651" t="n">
        <v>53432</v>
      </c>
      <c r="H651" s="16" t="n">
        <v>0.6891741930418799</v>
      </c>
      <c r="I651" s="16" t="n">
        <v>7.24</v>
      </c>
      <c r="J651" s="16" t="n">
        <v>2.888044926266454</v>
      </c>
      <c r="K651" s="16" t="n">
        <v>1501</v>
      </c>
      <c r="L651" s="16" t="n">
        <v>-26</v>
      </c>
      <c r="M651" s="16" t="n">
        <v>0.3702379043695966</v>
      </c>
      <c r="N651" s="16" t="n">
        <v>857</v>
      </c>
      <c r="O651" s="16" t="n">
        <v>0</v>
      </c>
      <c r="P651" s="16" t="n">
        <v>20.0620932556609</v>
      </c>
      <c r="Q651" t="n">
        <v>405415</v>
      </c>
      <c r="R651" t="n">
        <v>400147</v>
      </c>
      <c r="S651" t="n">
        <v>383676</v>
      </c>
      <c r="T651" t="n">
        <v>16937</v>
      </c>
      <c r="U651" t="n">
        <v>1367</v>
      </c>
      <c r="V651" t="n">
        <v>1.29940924731448</v>
      </c>
      <c r="W651" t="n">
        <v>0</v>
      </c>
      <c r="X651" s="16">
        <f>IFERROR(K651/E651*100,"")</f>
        <v/>
      </c>
      <c r="Y651" s="16">
        <f>IFERROR((N651+O651)/E651*100,"")</f>
        <v/>
      </c>
      <c r="Z651" s="16">
        <f>IFERROR(R651/F651*100,"")</f>
        <v/>
      </c>
      <c r="AA651" s="16">
        <f>IFERROR(R651/E651*100,"")</f>
        <v/>
      </c>
      <c r="AB651" s="16">
        <f>IFERROR(S651/Q651*100,"")</f>
        <v/>
      </c>
      <c r="AC651" s="16">
        <f>IFERROR(T651/Q651*100,"")</f>
        <v/>
      </c>
      <c r="AD651" s="16">
        <f>IFERROR(U651/Q651*100,"")</f>
        <v/>
      </c>
      <c r="AE651" s="18">
        <f>IFERROR(E651/E647-1,"")</f>
        <v/>
      </c>
      <c r="AF651" s="18">
        <f>IFERROR(R651/R647-1,"")</f>
        <v/>
      </c>
      <c r="AG651" s="18">
        <f>IFERROR(F651/F647-1,"")</f>
        <v/>
      </c>
      <c r="AH651">
        <f>P651&gt;0</f>
        <v/>
      </c>
    </row>
    <row r="652">
      <c r="A652" s="14" t="n">
        <v>45291</v>
      </c>
      <c r="B652" t="n">
        <v>30350</v>
      </c>
      <c r="C652" t="inlineStr">
        <is>
          <t>THE BANK OF BENNINGTON</t>
        </is>
      </c>
      <c r="D652" t="inlineStr">
        <is>
          <t>VT</t>
        </is>
      </c>
      <c r="E652" t="n">
        <v>552031</v>
      </c>
      <c r="F652" t="n">
        <v>441306</v>
      </c>
      <c r="G652" t="n">
        <v>56419</v>
      </c>
      <c r="H652" s="16" t="n">
        <v>0.6946381018571365</v>
      </c>
      <c r="I652" s="16" t="n">
        <v>7.19</v>
      </c>
      <c r="J652" s="16" t="n">
        <v>2.832985261100277</v>
      </c>
      <c r="K652" s="16" t="n">
        <v>2020</v>
      </c>
      <c r="L652" s="16" t="n">
        <v>-22</v>
      </c>
      <c r="M652" s="16" t="n">
        <v>0.5007672646951641</v>
      </c>
      <c r="N652" s="16" t="n">
        <v>904</v>
      </c>
      <c r="O652" s="16" t="n">
        <v>0</v>
      </c>
      <c r="P652" s="16" t="n">
        <v>20.71879703915209</v>
      </c>
      <c r="Q652" t="n">
        <v>403381</v>
      </c>
      <c r="R652" t="n">
        <v>398118</v>
      </c>
      <c r="S652" t="n">
        <v>383810</v>
      </c>
      <c r="T652" t="n">
        <v>16929</v>
      </c>
      <c r="U652" t="n">
        <v>1371</v>
      </c>
      <c r="V652" t="n">
        <v>1.304721838658737</v>
      </c>
      <c r="W652" t="n">
        <v>0</v>
      </c>
      <c r="X652" s="16">
        <f>IFERROR(K652/E652*100,"")</f>
        <v/>
      </c>
      <c r="Y652" s="16">
        <f>IFERROR((N652+O652)/E652*100,"")</f>
        <v/>
      </c>
      <c r="Z652" s="16">
        <f>IFERROR(R652/F652*100,"")</f>
        <v/>
      </c>
      <c r="AA652" s="16">
        <f>IFERROR(R652/E652*100,"")</f>
        <v/>
      </c>
      <c r="AB652" s="16">
        <f>IFERROR(S652/Q652*100,"")</f>
        <v/>
      </c>
      <c r="AC652" s="16">
        <f>IFERROR(T652/Q652*100,"")</f>
        <v/>
      </c>
      <c r="AD652" s="16">
        <f>IFERROR(U652/Q652*100,"")</f>
        <v/>
      </c>
      <c r="AE652" s="18">
        <f>IFERROR(E652/E648-1,"")</f>
        <v/>
      </c>
      <c r="AF652" s="18">
        <f>IFERROR(R652/R648-1,"")</f>
        <v/>
      </c>
      <c r="AG652" s="18">
        <f>IFERROR(F652/F648-1,"")</f>
        <v/>
      </c>
      <c r="AH652">
        <f>P652&gt;0</f>
        <v/>
      </c>
    </row>
    <row r="653">
      <c r="A653" s="14" t="n">
        <v>45382</v>
      </c>
      <c r="B653" t="n">
        <v>30350</v>
      </c>
      <c r="C653" t="inlineStr">
        <is>
          <t>THE BANK OF BENNINGTON</t>
        </is>
      </c>
      <c r="D653" t="inlineStr">
        <is>
          <t>VT</t>
        </is>
      </c>
      <c r="E653" t="n">
        <v>558824</v>
      </c>
      <c r="F653" t="n">
        <v>445096</v>
      </c>
      <c r="G653" t="n">
        <v>56764</v>
      </c>
      <c r="H653" s="16" t="n">
        <v>0.4565852428984881</v>
      </c>
      <c r="I653" s="16" t="n">
        <v>4.48</v>
      </c>
      <c r="J653" s="16" t="n">
        <v>2.552786083642771</v>
      </c>
      <c r="K653" s="16" t="n">
        <v>1795</v>
      </c>
      <c r="L653" s="16" t="n">
        <v>-7</v>
      </c>
      <c r="M653" s="16" t="n">
        <v>0.4442431532106776</v>
      </c>
      <c r="N653" s="16" t="n">
        <v>726</v>
      </c>
      <c r="O653" s="16" t="n">
        <v>0</v>
      </c>
      <c r="P653" s="16" t="n">
        <v>20.94434981536969</v>
      </c>
      <c r="Q653" t="n">
        <v>404058</v>
      </c>
      <c r="R653" t="n">
        <v>398919</v>
      </c>
      <c r="S653" t="n">
        <v>385261</v>
      </c>
      <c r="T653" t="n">
        <v>16001</v>
      </c>
      <c r="U653" t="n">
        <v>1534</v>
      </c>
      <c r="V653" t="n">
        <v>1.271847111058313</v>
      </c>
      <c r="W653" t="n">
        <v>0.04</v>
      </c>
      <c r="X653" s="16">
        <f>IFERROR(K653/E653*100,"")</f>
        <v/>
      </c>
      <c r="Y653" s="16">
        <f>IFERROR((N653+O653)/E653*100,"")</f>
        <v/>
      </c>
      <c r="Z653" s="16">
        <f>IFERROR(R653/F653*100,"")</f>
        <v/>
      </c>
      <c r="AA653" s="16">
        <f>IFERROR(R653/E653*100,"")</f>
        <v/>
      </c>
      <c r="AB653" s="16">
        <f>IFERROR(S653/Q653*100,"")</f>
        <v/>
      </c>
      <c r="AC653" s="16">
        <f>IFERROR(T653/Q653*100,"")</f>
        <v/>
      </c>
      <c r="AD653" s="16">
        <f>IFERROR(U653/Q653*100,"")</f>
        <v/>
      </c>
      <c r="AE653" s="18">
        <f>IFERROR(E653/E649-1,"")</f>
        <v/>
      </c>
      <c r="AF653" s="18">
        <f>IFERROR(R653/R649-1,"")</f>
        <v/>
      </c>
      <c r="AG653" s="18">
        <f>IFERROR(F653/F649-1,"")</f>
        <v/>
      </c>
      <c r="AH653">
        <f>P653&gt;0</f>
        <v/>
      </c>
    </row>
    <row r="654">
      <c r="A654" s="14" t="n">
        <v>45473</v>
      </c>
      <c r="B654" t="n">
        <v>30350</v>
      </c>
      <c r="C654" t="inlineStr">
        <is>
          <t>THE BANK OF BENNINGTON</t>
        </is>
      </c>
      <c r="D654" t="inlineStr">
        <is>
          <t>VT</t>
        </is>
      </c>
      <c r="E654" t="n">
        <v>564787</v>
      </c>
      <c r="F654" t="n">
        <v>443952</v>
      </c>
      <c r="G654" t="n">
        <v>57863</v>
      </c>
      <c r="H654" s="16" t="n">
        <v>0.5356752814742051</v>
      </c>
      <c r="I654" s="16" t="n">
        <v>5.25</v>
      </c>
      <c r="J654" s="16" t="n">
        <v>2.612386448269049</v>
      </c>
      <c r="K654" s="16" t="n">
        <v>1683</v>
      </c>
      <c r="L654" s="16" t="n">
        <v>-210</v>
      </c>
      <c r="M654" s="16" t="n">
        <v>0.4045235491353099</v>
      </c>
      <c r="N654" s="16" t="n">
        <v>1867</v>
      </c>
      <c r="O654" s="16" t="n">
        <v>0</v>
      </c>
      <c r="P654" s="16" t="n">
        <v>20.79011819827494</v>
      </c>
      <c r="Q654" t="n">
        <v>416045</v>
      </c>
      <c r="R654" t="n">
        <v>410747</v>
      </c>
      <c r="S654" t="n">
        <v>396859</v>
      </c>
      <c r="T654" t="n">
        <v>16189</v>
      </c>
      <c r="U654" t="n">
        <v>1741</v>
      </c>
      <c r="V654" t="n">
        <v>1.273419942554291</v>
      </c>
      <c r="W654" t="n">
        <v>0.02</v>
      </c>
      <c r="X654" s="16">
        <f>IFERROR(K654/E654*100,"")</f>
        <v/>
      </c>
      <c r="Y654" s="16">
        <f>IFERROR((N654+O654)/E654*100,"")</f>
        <v/>
      </c>
      <c r="Z654" s="16">
        <f>IFERROR(R654/F654*100,"")</f>
        <v/>
      </c>
      <c r="AA654" s="16">
        <f>IFERROR(R654/E654*100,"")</f>
        <v/>
      </c>
      <c r="AB654" s="16">
        <f>IFERROR(S654/Q654*100,"")</f>
        <v/>
      </c>
      <c r="AC654" s="16">
        <f>IFERROR(T654/Q654*100,"")</f>
        <v/>
      </c>
      <c r="AD654" s="16">
        <f>IFERROR(U654/Q654*100,"")</f>
        <v/>
      </c>
      <c r="AE654" s="18">
        <f>IFERROR(E654/E650-1,"")</f>
        <v/>
      </c>
      <c r="AF654" s="18">
        <f>IFERROR(R654/R650-1,"")</f>
        <v/>
      </c>
      <c r="AG654" s="18">
        <f>IFERROR(F654/F650-1,"")</f>
        <v/>
      </c>
      <c r="AH654">
        <f>P654&gt;0</f>
        <v/>
      </c>
    </row>
    <row r="655">
      <c r="A655" s="14" t="n">
        <v>45565</v>
      </c>
      <c r="B655" t="n">
        <v>30350</v>
      </c>
      <c r="C655" t="inlineStr">
        <is>
          <t>THE BANK OF BENNINGTON</t>
        </is>
      </c>
      <c r="D655" t="inlineStr">
        <is>
          <t>VT</t>
        </is>
      </c>
      <c r="E655" t="n">
        <v>583685</v>
      </c>
      <c r="F655" t="n">
        <v>462099</v>
      </c>
      <c r="G655" t="n">
        <v>60586</v>
      </c>
      <c r="H655" s="16" t="n">
        <v>0.6217625337102597</v>
      </c>
      <c r="I655" s="16" t="n">
        <v>6.06</v>
      </c>
      <c r="J655" s="16" t="n">
        <v>2.614005743859894</v>
      </c>
      <c r="K655" s="16" t="n">
        <v>1774</v>
      </c>
      <c r="L655" s="16" t="n">
        <v>-211</v>
      </c>
      <c r="M655" s="16" t="n">
        <v>0.4080984773371919</v>
      </c>
      <c r="N655" s="16" t="n">
        <v>639</v>
      </c>
      <c r="O655" s="16" t="n">
        <v>0</v>
      </c>
      <c r="P655" s="16" t="n">
        <v>20.68335003255605</v>
      </c>
      <c r="Q655" t="n">
        <v>434699</v>
      </c>
      <c r="R655" t="n">
        <v>429399</v>
      </c>
      <c r="S655" t="n">
        <v>415141</v>
      </c>
      <c r="T655" t="n">
        <v>14987</v>
      </c>
      <c r="U655" t="n">
        <v>1823</v>
      </c>
      <c r="V655" t="n">
        <v>1.219234458786425</v>
      </c>
      <c r="W655" t="n">
        <v>-0.01</v>
      </c>
      <c r="X655" s="16">
        <f>IFERROR(K655/E655*100,"")</f>
        <v/>
      </c>
      <c r="Y655" s="16">
        <f>IFERROR((N655+O655)/E655*100,"")</f>
        <v/>
      </c>
      <c r="Z655" s="16">
        <f>IFERROR(R655/F655*100,"")</f>
        <v/>
      </c>
      <c r="AA655" s="16">
        <f>IFERROR(R655/E655*100,"")</f>
        <v/>
      </c>
      <c r="AB655" s="16">
        <f>IFERROR(S655/Q655*100,"")</f>
        <v/>
      </c>
      <c r="AC655" s="16">
        <f>IFERROR(T655/Q655*100,"")</f>
        <v/>
      </c>
      <c r="AD655" s="16">
        <f>IFERROR(U655/Q655*100,"")</f>
        <v/>
      </c>
      <c r="AE655" s="18">
        <f>IFERROR(E655/E651-1,"")</f>
        <v/>
      </c>
      <c r="AF655" s="18">
        <f>IFERROR(R655/R651-1,"")</f>
        <v/>
      </c>
      <c r="AG655" s="18">
        <f>IFERROR(F655/F651-1,"")</f>
        <v/>
      </c>
      <c r="AH655">
        <f>P655&gt;0</f>
        <v/>
      </c>
    </row>
    <row r="656">
      <c r="A656" s="14" t="n">
        <v>45657</v>
      </c>
      <c r="B656" t="n">
        <v>30350</v>
      </c>
      <c r="C656" t="inlineStr">
        <is>
          <t>THE BANK OF BENNINGTON</t>
        </is>
      </c>
      <c r="D656" t="inlineStr">
        <is>
          <t>VT</t>
        </is>
      </c>
      <c r="E656" t="n">
        <v>593799</v>
      </c>
      <c r="F656" t="n">
        <v>466175</v>
      </c>
      <c r="G656" t="n">
        <v>60826</v>
      </c>
      <c r="H656" s="16" t="n">
        <v>0.6599778628774194</v>
      </c>
      <c r="I656" s="16" t="n">
        <v>6.44</v>
      </c>
      <c r="J656" s="16" t="n">
        <v>2.647029654977988</v>
      </c>
      <c r="K656" s="16" t="n">
        <v>1585</v>
      </c>
      <c r="L656" s="16" t="n">
        <v>-208</v>
      </c>
      <c r="M656" s="16" t="n">
        <v>0.3472944991618918</v>
      </c>
      <c r="N656" s="16" t="n">
        <v>5535</v>
      </c>
      <c r="O656" s="16" t="n">
        <v>0</v>
      </c>
      <c r="P656" s="16" t="n">
        <v>20.2115949468161</v>
      </c>
      <c r="Q656" t="n">
        <v>456385</v>
      </c>
      <c r="R656" t="n">
        <v>451089</v>
      </c>
      <c r="S656" t="n">
        <v>438311</v>
      </c>
      <c r="T656" t="n">
        <v>15211</v>
      </c>
      <c r="U656" t="n">
        <v>1706</v>
      </c>
      <c r="V656" t="n">
        <v>1.160423765022952</v>
      </c>
      <c r="W656" t="n">
        <v>0</v>
      </c>
      <c r="X656" s="16">
        <f>IFERROR(K656/E656*100,"")</f>
        <v/>
      </c>
      <c r="Y656" s="16">
        <f>IFERROR((N656+O656)/E656*100,"")</f>
        <v/>
      </c>
      <c r="Z656" s="16">
        <f>IFERROR(R656/F656*100,"")</f>
        <v/>
      </c>
      <c r="AA656" s="16">
        <f>IFERROR(R656/E656*100,"")</f>
        <v/>
      </c>
      <c r="AB656" s="16">
        <f>IFERROR(S656/Q656*100,"")</f>
        <v/>
      </c>
      <c r="AC656" s="16">
        <f>IFERROR(T656/Q656*100,"")</f>
        <v/>
      </c>
      <c r="AD656" s="16">
        <f>IFERROR(U656/Q656*100,"")</f>
        <v/>
      </c>
      <c r="AE656" s="18">
        <f>IFERROR(E656/E652-1,"")</f>
        <v/>
      </c>
      <c r="AF656" s="18">
        <f>IFERROR(R656/R652-1,"")</f>
        <v/>
      </c>
      <c r="AG656" s="18">
        <f>IFERROR(F656/F652-1,"")</f>
        <v/>
      </c>
      <c r="AH656">
        <f>P656&gt;0</f>
        <v/>
      </c>
    </row>
    <row r="657">
      <c r="A657" s="14" t="n">
        <v>45747</v>
      </c>
      <c r="B657" t="n">
        <v>30350</v>
      </c>
      <c r="C657" t="inlineStr">
        <is>
          <t>THE BANK OF BENNINGTON</t>
        </is>
      </c>
      <c r="D657" t="inlineStr">
        <is>
          <t>VT</t>
        </is>
      </c>
      <c r="E657" t="n">
        <v>609028</v>
      </c>
      <c r="F657" t="n">
        <v>474831</v>
      </c>
      <c r="G657" t="n">
        <v>62866</v>
      </c>
      <c r="H657" s="16" t="n">
        <v>0.7768365691824344</v>
      </c>
      <c r="I657" s="16" t="n">
        <v>7.55</v>
      </c>
      <c r="J657" s="16" t="n">
        <v>2.713024113916103</v>
      </c>
      <c r="K657" s="16" t="n">
        <v>1587</v>
      </c>
      <c r="L657" s="16" t="n">
        <v>40</v>
      </c>
      <c r="M657" s="16" t="n">
        <v>0.3414988939481317</v>
      </c>
      <c r="N657" s="16" t="n">
        <v>4067</v>
      </c>
      <c r="O657" s="16" t="n">
        <v>0</v>
      </c>
      <c r="P657" s="16" t="n">
        <v>20.18623110120964</v>
      </c>
      <c r="Q657" t="n">
        <v>464716</v>
      </c>
      <c r="R657" t="n">
        <v>459408</v>
      </c>
      <c r="S657" t="n">
        <v>446528</v>
      </c>
      <c r="T657" t="n">
        <v>15504</v>
      </c>
      <c r="U657" t="n">
        <v>1535</v>
      </c>
      <c r="V657" t="n">
        <v>1.142202979884489</v>
      </c>
      <c r="W657" t="n">
        <v>0.03</v>
      </c>
      <c r="X657" s="16">
        <f>IFERROR(K657/E657*100,"")</f>
        <v/>
      </c>
      <c r="Y657" s="16">
        <f>IFERROR((N657+O657)/E657*100,"")</f>
        <v/>
      </c>
      <c r="Z657" s="16">
        <f>IFERROR(R657/F657*100,"")</f>
        <v/>
      </c>
      <c r="AA657" s="16">
        <f>IFERROR(R657/E657*100,"")</f>
        <v/>
      </c>
      <c r="AB657" s="16">
        <f>IFERROR(S657/Q657*100,"")</f>
        <v/>
      </c>
      <c r="AC657" s="16">
        <f>IFERROR(T657/Q657*100,"")</f>
        <v/>
      </c>
      <c r="AD657" s="16">
        <f>IFERROR(U657/Q657*100,"")</f>
        <v/>
      </c>
      <c r="AE657" s="18">
        <f>IFERROR(E657/E653-1,"")</f>
        <v/>
      </c>
      <c r="AF657" s="18">
        <f>IFERROR(R657/R653-1,"")</f>
        <v/>
      </c>
      <c r="AG657" s="18">
        <f>IFERROR(F657/F653-1,"")</f>
        <v/>
      </c>
      <c r="AH657">
        <f>P657&gt;0</f>
        <v/>
      </c>
    </row>
    <row r="658">
      <c r="A658" s="14" t="n">
        <v>45838</v>
      </c>
      <c r="B658" t="n">
        <v>30350</v>
      </c>
      <c r="C658" t="inlineStr">
        <is>
          <t>THE BANK OF BENNINGTON</t>
        </is>
      </c>
      <c r="D658" t="inlineStr">
        <is>
          <t>VT</t>
        </is>
      </c>
      <c r="E658" t="n">
        <v>621434</v>
      </c>
      <c r="F658" t="n">
        <v>477487</v>
      </c>
      <c r="G658" t="n">
        <v>64425</v>
      </c>
      <c r="H658" s="16" t="n">
        <v>0.7525238987184399</v>
      </c>
      <c r="I658" s="16" t="n">
        <v>7.3</v>
      </c>
      <c r="J658" s="16" t="n">
        <v>2.756266451823504</v>
      </c>
      <c r="K658" s="16" t="n">
        <v>1787</v>
      </c>
      <c r="L658" s="16" t="n">
        <v>35</v>
      </c>
      <c r="M658" s="16" t="n">
        <v>0.3730229470691502</v>
      </c>
      <c r="N658" s="16" t="n">
        <v>1554</v>
      </c>
      <c r="O658" s="16" t="n">
        <v>0</v>
      </c>
      <c r="P658" s="16" t="n">
        <v>20.01403114149068</v>
      </c>
      <c r="Q658" t="n">
        <v>479059</v>
      </c>
      <c r="R658" t="n">
        <v>473746</v>
      </c>
      <c r="S658" t="n">
        <v>461052</v>
      </c>
      <c r="T658" t="n">
        <v>15301</v>
      </c>
      <c r="U658" t="n">
        <v>1564</v>
      </c>
      <c r="V658" t="n">
        <v>1.109049198532957</v>
      </c>
      <c r="W658" t="n">
        <v>0.03</v>
      </c>
      <c r="X658" s="16">
        <f>IFERROR(K658/E658*100,"")</f>
        <v/>
      </c>
      <c r="Y658" s="16">
        <f>IFERROR((N658+O658)/E658*100,"")</f>
        <v/>
      </c>
      <c r="Z658" s="16">
        <f>IFERROR(R658/F658*100,"")</f>
        <v/>
      </c>
      <c r="AA658" s="16">
        <f>IFERROR(R658/E658*100,"")</f>
        <v/>
      </c>
      <c r="AB658" s="16">
        <f>IFERROR(S658/Q658*100,"")</f>
        <v/>
      </c>
      <c r="AC658" s="16">
        <f>IFERROR(T658/Q658*100,"")</f>
        <v/>
      </c>
      <c r="AD658" s="16">
        <f>IFERROR(U658/Q658*100,"")</f>
        <v/>
      </c>
      <c r="AE658" s="18">
        <f>IFERROR(E658/E654-1,"")</f>
        <v/>
      </c>
      <c r="AF658" s="18">
        <f>IFERROR(R658/R654-1,"")</f>
        <v/>
      </c>
      <c r="AG658" s="18">
        <f>IFERROR(F658/F654-1,"")</f>
        <v/>
      </c>
      <c r="AH658">
        <f>P658&gt;0</f>
        <v/>
      </c>
    </row>
    <row r="659">
      <c r="A659" s="14" t="n">
        <v>44651</v>
      </c>
      <c r="B659" t="n">
        <v>30878</v>
      </c>
      <c r="C659" t="inlineStr">
        <is>
          <t>BAR HARBOR SAVINGS AND LOAN ASSOCIATION</t>
        </is>
      </c>
      <c r="D659" t="inlineStr">
        <is>
          <t>ME</t>
        </is>
      </c>
      <c r="E659" t="n">
        <v>100633</v>
      </c>
      <c r="F659" t="n">
        <v>78705</v>
      </c>
      <c r="G659" t="n">
        <v>12369</v>
      </c>
      <c r="H659" s="16" t="n">
        <v>0.1751025991792065</v>
      </c>
      <c r="I659" s="16" t="n">
        <v>1.41</v>
      </c>
      <c r="J659" s="16" t="n">
        <v>1.98516265592569</v>
      </c>
      <c r="K659" s="16" t="n">
        <v>539</v>
      </c>
      <c r="L659" s="16" t="n">
        <v>0</v>
      </c>
      <c r="M659" s="16" t="n">
        <v>0.7825657703699402</v>
      </c>
      <c r="N659" s="16" t="n">
        <v>375</v>
      </c>
      <c r="O659" s="16" t="n">
        <v>0</v>
      </c>
      <c r="P659" s="16" t="n">
        <v>0</v>
      </c>
      <c r="Q659" t="n">
        <v>68876</v>
      </c>
      <c r="R659" t="n">
        <v>68091</v>
      </c>
      <c r="S659" t="n">
        <v>68753</v>
      </c>
      <c r="T659" t="n">
        <v>0</v>
      </c>
      <c r="U659" t="n">
        <v>122</v>
      </c>
      <c r="V659" t="n">
        <v>1.139729368720599</v>
      </c>
      <c r="W659" t="n">
        <v>0</v>
      </c>
      <c r="X659" s="16">
        <f>IFERROR(K659/E659*100,"")</f>
        <v/>
      </c>
      <c r="Y659" s="16">
        <f>IFERROR((N659+O659)/E659*100,"")</f>
        <v/>
      </c>
      <c r="Z659" s="16">
        <f>IFERROR(R659/F659*100,"")</f>
        <v/>
      </c>
      <c r="AA659" s="16">
        <f>IFERROR(R659/E659*100,"")</f>
        <v/>
      </c>
      <c r="AB659" s="16">
        <f>IFERROR(S659/Q659*100,"")</f>
        <v/>
      </c>
      <c r="AC659" s="16">
        <f>IFERROR(T659/Q659*100,"")</f>
        <v/>
      </c>
      <c r="AD659" s="16">
        <f>IFERROR(U659/Q659*100,"")</f>
        <v/>
      </c>
      <c r="AE659" s="18" t="n"/>
      <c r="AF659" s="18" t="n"/>
      <c r="AG659" s="18" t="n"/>
      <c r="AH659">
        <f>P659&gt;0</f>
        <v/>
      </c>
    </row>
    <row r="660">
      <c r="A660" s="14" t="n">
        <v>44742</v>
      </c>
      <c r="B660" t="n">
        <v>30878</v>
      </c>
      <c r="C660" t="inlineStr">
        <is>
          <t>BAR HARBOR SAVINGS AND LOAN ASSOCIATION</t>
        </is>
      </c>
      <c r="D660" t="inlineStr">
        <is>
          <t>ME</t>
        </is>
      </c>
      <c r="E660" t="n">
        <v>100800</v>
      </c>
      <c r="F660" t="n">
        <v>78524</v>
      </c>
      <c r="G660" t="n">
        <v>12406</v>
      </c>
      <c r="H660" s="16" t="n">
        <v>0.3101134763521909</v>
      </c>
      <c r="I660" s="16" t="n">
        <v>2.51</v>
      </c>
      <c r="J660" s="16" t="n">
        <v>2.047452150817338</v>
      </c>
      <c r="K660" s="16" t="n">
        <v>466</v>
      </c>
      <c r="L660" s="16" t="n">
        <v>0</v>
      </c>
      <c r="M660" s="16" t="n">
        <v>0.6422271223814774</v>
      </c>
      <c r="N660" s="16" t="n">
        <v>361</v>
      </c>
      <c r="O660" s="16" t="n">
        <v>0</v>
      </c>
      <c r="P660" s="16" t="n">
        <v>0</v>
      </c>
      <c r="Q660" t="n">
        <v>72560</v>
      </c>
      <c r="R660" t="n">
        <v>71756</v>
      </c>
      <c r="S660" t="n">
        <v>72468</v>
      </c>
      <c r="T660" t="n">
        <v>0</v>
      </c>
      <c r="U660" t="n">
        <v>92</v>
      </c>
      <c r="V660" t="n">
        <v>1.108048511576626</v>
      </c>
      <c r="W660" t="n">
        <v>0.04</v>
      </c>
      <c r="X660" s="16">
        <f>IFERROR(K660/E660*100,"")</f>
        <v/>
      </c>
      <c r="Y660" s="16">
        <f>IFERROR((N660+O660)/E660*100,"")</f>
        <v/>
      </c>
      <c r="Z660" s="16">
        <f>IFERROR(R660/F660*100,"")</f>
        <v/>
      </c>
      <c r="AA660" s="16">
        <f>IFERROR(R660/E660*100,"")</f>
        <v/>
      </c>
      <c r="AB660" s="16">
        <f>IFERROR(S660/Q660*100,"")</f>
        <v/>
      </c>
      <c r="AC660" s="16">
        <f>IFERROR(T660/Q660*100,"")</f>
        <v/>
      </c>
      <c r="AD660" s="16">
        <f>IFERROR(U660/Q660*100,"")</f>
        <v/>
      </c>
      <c r="AE660" s="18" t="n"/>
      <c r="AF660" s="18" t="n"/>
      <c r="AG660" s="18" t="n"/>
      <c r="AH660">
        <f>P660&gt;0</f>
        <v/>
      </c>
    </row>
    <row r="661">
      <c r="A661" s="14" t="n">
        <v>44834</v>
      </c>
      <c r="B661" t="n">
        <v>30878</v>
      </c>
      <c r="C661" t="inlineStr">
        <is>
          <t>BAR HARBOR SAVINGS AND LOAN ASSOCIATION</t>
        </is>
      </c>
      <c r="D661" t="inlineStr">
        <is>
          <t>ME</t>
        </is>
      </c>
      <c r="E661" t="n">
        <v>100514</v>
      </c>
      <c r="F661" t="n">
        <v>76264</v>
      </c>
      <c r="G661" t="n">
        <v>12319</v>
      </c>
      <c r="H661" s="16" t="n">
        <v>0.295597394237198</v>
      </c>
      <c r="I661" s="16" t="n">
        <v>2.4</v>
      </c>
      <c r="J661" s="16" t="n">
        <v>2.149577883044421</v>
      </c>
      <c r="K661" s="16" t="n">
        <v>589</v>
      </c>
      <c r="L661" s="16" t="n">
        <v>0</v>
      </c>
      <c r="M661" s="16" t="n">
        <v>0.7642998027613412</v>
      </c>
      <c r="N661" s="16" t="n">
        <v>284</v>
      </c>
      <c r="O661" s="16" t="n">
        <v>0</v>
      </c>
      <c r="P661" s="16" t="n">
        <v>0</v>
      </c>
      <c r="Q661" t="n">
        <v>77064</v>
      </c>
      <c r="R661" t="n">
        <v>76223</v>
      </c>
      <c r="S661" t="n">
        <v>76961</v>
      </c>
      <c r="T661" t="n">
        <v>0</v>
      </c>
      <c r="U661" t="n">
        <v>103</v>
      </c>
      <c r="V661" t="n">
        <v>1.091300737049725</v>
      </c>
      <c r="W661" t="n">
        <v>0.08</v>
      </c>
      <c r="X661" s="16">
        <f>IFERROR(K661/E661*100,"")</f>
        <v/>
      </c>
      <c r="Y661" s="16">
        <f>IFERROR((N661+O661)/E661*100,"")</f>
        <v/>
      </c>
      <c r="Z661" s="16">
        <f>IFERROR(R661/F661*100,"")</f>
        <v/>
      </c>
      <c r="AA661" s="16">
        <f>IFERROR(R661/E661*100,"")</f>
        <v/>
      </c>
      <c r="AB661" s="16">
        <f>IFERROR(S661/Q661*100,"")</f>
        <v/>
      </c>
      <c r="AC661" s="16">
        <f>IFERROR(T661/Q661*100,"")</f>
        <v/>
      </c>
      <c r="AD661" s="16">
        <f>IFERROR(U661/Q661*100,"")</f>
        <v/>
      </c>
      <c r="AE661" s="18" t="n"/>
      <c r="AF661" s="18" t="n"/>
      <c r="AG661" s="18" t="n"/>
      <c r="AH661">
        <f>P661&gt;0</f>
        <v/>
      </c>
    </row>
    <row r="662">
      <c r="A662" s="14" t="n">
        <v>44926</v>
      </c>
      <c r="B662" t="n">
        <v>30878</v>
      </c>
      <c r="C662" t="inlineStr">
        <is>
          <t>BAR HARBOR SAVINGS AND LOAN ASSOCIATION</t>
        </is>
      </c>
      <c r="D662" t="inlineStr">
        <is>
          <t>ME</t>
        </is>
      </c>
      <c r="E662" t="n">
        <v>101068</v>
      </c>
      <c r="F662" t="n">
        <v>73524</v>
      </c>
      <c r="G662" t="n">
        <v>12458</v>
      </c>
      <c r="H662" s="16" t="n">
        <v>0.3118748845367665</v>
      </c>
      <c r="I662" s="16" t="n">
        <v>2.53</v>
      </c>
      <c r="J662" s="16" t="n">
        <v>2.205900475685801</v>
      </c>
      <c r="K662" s="16" t="n">
        <v>710</v>
      </c>
      <c r="L662" s="16" t="n">
        <v>0</v>
      </c>
      <c r="M662" s="16" t="n">
        <v>0.8694054980713892</v>
      </c>
      <c r="N662" s="16" t="n">
        <v>0</v>
      </c>
      <c r="O662" s="16" t="n">
        <v>0</v>
      </c>
      <c r="P662" s="16" t="n">
        <v>0</v>
      </c>
      <c r="Q662" t="n">
        <v>81665</v>
      </c>
      <c r="R662" t="n">
        <v>80805</v>
      </c>
      <c r="S662" t="n">
        <v>81554</v>
      </c>
      <c r="T662" t="n">
        <v>0</v>
      </c>
      <c r="U662" t="n">
        <v>110</v>
      </c>
      <c r="V662" t="n">
        <v>1.053082715973795</v>
      </c>
      <c r="W662" t="n">
        <v>0.08</v>
      </c>
      <c r="X662" s="16">
        <f>IFERROR(K662/E662*100,"")</f>
        <v/>
      </c>
      <c r="Y662" s="16">
        <f>IFERROR((N662+O662)/E662*100,"")</f>
        <v/>
      </c>
      <c r="Z662" s="16">
        <f>IFERROR(R662/F662*100,"")</f>
        <v/>
      </c>
      <c r="AA662" s="16">
        <f>IFERROR(R662/E662*100,"")</f>
        <v/>
      </c>
      <c r="AB662" s="16">
        <f>IFERROR(S662/Q662*100,"")</f>
        <v/>
      </c>
      <c r="AC662" s="16">
        <f>IFERROR(T662/Q662*100,"")</f>
        <v/>
      </c>
      <c r="AD662" s="16">
        <f>IFERROR(U662/Q662*100,"")</f>
        <v/>
      </c>
      <c r="AE662" s="18" t="n"/>
      <c r="AF662" s="18" t="n"/>
      <c r="AG662" s="18" t="n"/>
      <c r="AH662">
        <f>P662&gt;0</f>
        <v/>
      </c>
    </row>
    <row r="663">
      <c r="A663" s="14" t="n">
        <v>45016</v>
      </c>
      <c r="B663" t="n">
        <v>30878</v>
      </c>
      <c r="C663" t="inlineStr">
        <is>
          <t>BAR HARBOR SAVINGS AND LOAN ASSOCIATION</t>
        </is>
      </c>
      <c r="D663" t="inlineStr">
        <is>
          <t>ME</t>
        </is>
      </c>
      <c r="E663" t="n">
        <v>104047</v>
      </c>
      <c r="F663" t="n">
        <v>76408</v>
      </c>
      <c r="G663" t="n">
        <v>12490</v>
      </c>
      <c r="H663" s="16" t="n">
        <v>-0.3003193330570655</v>
      </c>
      <c r="I663" s="16" t="n">
        <v>-2.47</v>
      </c>
      <c r="J663" s="16" t="n">
        <v>2.005792940296319</v>
      </c>
      <c r="K663" s="16" t="n">
        <v>710</v>
      </c>
      <c r="L663" s="16" t="n">
        <v>0</v>
      </c>
      <c r="M663" s="16" t="n">
        <v>0.854207271589788</v>
      </c>
      <c r="N663" s="16" t="n">
        <v>25</v>
      </c>
      <c r="O663" s="16" t="n">
        <v>0</v>
      </c>
      <c r="P663" s="16" t="n">
        <v>0</v>
      </c>
      <c r="Q663" t="n">
        <v>83118</v>
      </c>
      <c r="R663" t="n">
        <v>82273</v>
      </c>
      <c r="S663" t="n">
        <v>83020</v>
      </c>
      <c r="T663" t="n">
        <v>0</v>
      </c>
      <c r="U663" t="n">
        <v>97</v>
      </c>
      <c r="V663" t="n">
        <v>1.01662696407517</v>
      </c>
      <c r="W663" t="n">
        <v>0.34</v>
      </c>
      <c r="X663" s="16">
        <f>IFERROR(K663/E663*100,"")</f>
        <v/>
      </c>
      <c r="Y663" s="16">
        <f>IFERROR((N663+O663)/E663*100,"")</f>
        <v/>
      </c>
      <c r="Z663" s="16">
        <f>IFERROR(R663/F663*100,"")</f>
        <v/>
      </c>
      <c r="AA663" s="16">
        <f>IFERROR(R663/E663*100,"")</f>
        <v/>
      </c>
      <c r="AB663" s="16">
        <f>IFERROR(S663/Q663*100,"")</f>
        <v/>
      </c>
      <c r="AC663" s="16">
        <f>IFERROR(T663/Q663*100,"")</f>
        <v/>
      </c>
      <c r="AD663" s="16">
        <f>IFERROR(U663/Q663*100,"")</f>
        <v/>
      </c>
      <c r="AE663" s="18">
        <f>IFERROR(E663/E659-1,"")</f>
        <v/>
      </c>
      <c r="AF663" s="18">
        <f>IFERROR(R663/R659-1,"")</f>
        <v/>
      </c>
      <c r="AG663" s="18">
        <f>IFERROR(F663/F659-1,"")</f>
        <v/>
      </c>
      <c r="AH663">
        <f>P663&gt;0</f>
        <v/>
      </c>
    </row>
    <row r="664">
      <c r="A664" s="14" t="n">
        <v>45107</v>
      </c>
      <c r="B664" t="n">
        <v>30878</v>
      </c>
      <c r="C664" t="inlineStr">
        <is>
          <t>BAR HARBOR SAVINGS AND LOAN ASSOCIATION</t>
        </is>
      </c>
      <c r="D664" t="inlineStr">
        <is>
          <t>ME</t>
        </is>
      </c>
      <c r="E664" t="n">
        <v>102023</v>
      </c>
      <c r="F664" t="n">
        <v>73248</v>
      </c>
      <c r="G664" t="n">
        <v>12549</v>
      </c>
      <c r="H664" s="16" t="n">
        <v>0.095722443982835</v>
      </c>
      <c r="I664" s="16" t="n">
        <v>0.78</v>
      </c>
      <c r="J664" s="16" t="n">
        <v>1.784181608061257</v>
      </c>
      <c r="K664" s="16" t="n">
        <v>704</v>
      </c>
      <c r="L664" s="16" t="n">
        <v>0</v>
      </c>
      <c r="M664" s="16" t="n">
        <v>0.8337577128510014</v>
      </c>
      <c r="N664" s="16" t="n">
        <v>109</v>
      </c>
      <c r="O664" s="16" t="n">
        <v>0</v>
      </c>
      <c r="P664" s="16" t="n">
        <v>0</v>
      </c>
      <c r="Q664" t="n">
        <v>84437</v>
      </c>
      <c r="R664" t="n">
        <v>83741</v>
      </c>
      <c r="S664" t="n">
        <v>84259</v>
      </c>
      <c r="T664" t="n">
        <v>0</v>
      </c>
      <c r="U664" t="n">
        <v>178</v>
      </c>
      <c r="V664" t="n">
        <v>0.8242831933867854</v>
      </c>
      <c r="W664" t="n">
        <v>-0.12</v>
      </c>
      <c r="X664" s="16">
        <f>IFERROR(K664/E664*100,"")</f>
        <v/>
      </c>
      <c r="Y664" s="16">
        <f>IFERROR((N664+O664)/E664*100,"")</f>
        <v/>
      </c>
      <c r="Z664" s="16">
        <f>IFERROR(R664/F664*100,"")</f>
        <v/>
      </c>
      <c r="AA664" s="16">
        <f>IFERROR(R664/E664*100,"")</f>
        <v/>
      </c>
      <c r="AB664" s="16">
        <f>IFERROR(S664/Q664*100,"")</f>
        <v/>
      </c>
      <c r="AC664" s="16">
        <f>IFERROR(T664/Q664*100,"")</f>
        <v/>
      </c>
      <c r="AD664" s="16">
        <f>IFERROR(U664/Q664*100,"")</f>
        <v/>
      </c>
      <c r="AE664" s="18">
        <f>IFERROR(E664/E660-1,"")</f>
        <v/>
      </c>
      <c r="AF664" s="18">
        <f>IFERROR(R664/R660-1,"")</f>
        <v/>
      </c>
      <c r="AG664" s="18">
        <f>IFERROR(F664/F660-1,"")</f>
        <v/>
      </c>
      <c r="AH664">
        <f>P664&gt;0</f>
        <v/>
      </c>
    </row>
    <row r="665">
      <c r="A665" s="14" t="n">
        <v>45199</v>
      </c>
      <c r="B665" t="n">
        <v>30878</v>
      </c>
      <c r="C665" t="inlineStr">
        <is>
          <t>BAR HARBOR SAVINGS AND LOAN ASSOCIATION</t>
        </is>
      </c>
      <c r="D665" t="inlineStr">
        <is>
          <t>ME</t>
        </is>
      </c>
      <c r="E665" t="n">
        <v>103998</v>
      </c>
      <c r="F665" t="n">
        <v>73816</v>
      </c>
      <c r="G665" t="n">
        <v>12376</v>
      </c>
      <c r="H665" s="16" t="n">
        <v>-0.1893892045454545</v>
      </c>
      <c r="I665" s="16" t="n">
        <v>-1.56</v>
      </c>
      <c r="J665" s="16" t="n">
        <v>1.578634958478977</v>
      </c>
      <c r="K665" s="16" t="n">
        <v>700</v>
      </c>
      <c r="L665" s="16" t="n">
        <v>0</v>
      </c>
      <c r="M665" s="16" t="n">
        <v>0.8109736317716298</v>
      </c>
      <c r="N665" s="16" t="n">
        <v>215</v>
      </c>
      <c r="O665" s="16" t="n">
        <v>0</v>
      </c>
      <c r="P665" s="16" t="n">
        <v>0</v>
      </c>
      <c r="Q665" t="n">
        <v>86316</v>
      </c>
      <c r="R665" t="n">
        <v>85600</v>
      </c>
      <c r="S665" t="n">
        <v>86120</v>
      </c>
      <c r="T665" t="n">
        <v>0</v>
      </c>
      <c r="U665" t="n">
        <v>196</v>
      </c>
      <c r="V665" t="n">
        <v>0.8295101719264099</v>
      </c>
      <c r="W665" t="n">
        <v>-0.06</v>
      </c>
      <c r="X665" s="16">
        <f>IFERROR(K665/E665*100,"")</f>
        <v/>
      </c>
      <c r="Y665" s="16">
        <f>IFERROR((N665+O665)/E665*100,"")</f>
        <v/>
      </c>
      <c r="Z665" s="16">
        <f>IFERROR(R665/F665*100,"")</f>
        <v/>
      </c>
      <c r="AA665" s="16">
        <f>IFERROR(R665/E665*100,"")</f>
        <v/>
      </c>
      <c r="AB665" s="16">
        <f>IFERROR(S665/Q665*100,"")</f>
        <v/>
      </c>
      <c r="AC665" s="16">
        <f>IFERROR(T665/Q665*100,"")</f>
        <v/>
      </c>
      <c r="AD665" s="16">
        <f>IFERROR(U665/Q665*100,"")</f>
        <v/>
      </c>
      <c r="AE665" s="18">
        <f>IFERROR(E665/E661-1,"")</f>
        <v/>
      </c>
      <c r="AF665" s="18">
        <f>IFERROR(R665/R661-1,"")</f>
        <v/>
      </c>
      <c r="AG665" s="18">
        <f>IFERROR(F665/F661-1,"")</f>
        <v/>
      </c>
      <c r="AH665">
        <f>P665&gt;0</f>
        <v/>
      </c>
    </row>
    <row r="666">
      <c r="A666" s="14" t="n">
        <v>45291</v>
      </c>
      <c r="B666" t="n">
        <v>30878</v>
      </c>
      <c r="C666" t="inlineStr">
        <is>
          <t>BAR HARBOR SAVINGS AND LOAN ASSOCIATION</t>
        </is>
      </c>
      <c r="D666" t="inlineStr">
        <is>
          <t>ME</t>
        </is>
      </c>
      <c r="E666" t="n">
        <v>105203</v>
      </c>
      <c r="F666" t="n">
        <v>73899</v>
      </c>
      <c r="G666" t="n">
        <v>12316</v>
      </c>
      <c r="H666" s="16" t="n">
        <v>-0.2846966818311225</v>
      </c>
      <c r="I666" s="16" t="n">
        <v>-2.36</v>
      </c>
      <c r="J666" s="16" t="n">
        <v>1.43139746208405</v>
      </c>
      <c r="K666" s="16" t="n">
        <v>584</v>
      </c>
      <c r="L666" s="16" t="n">
        <v>0</v>
      </c>
      <c r="M666" s="16" t="n">
        <v>0.6740691151688636</v>
      </c>
      <c r="N666" s="16" t="n">
        <v>151</v>
      </c>
      <c r="O666" s="16" t="n">
        <v>0</v>
      </c>
      <c r="P666" s="16" t="n">
        <v>0</v>
      </c>
      <c r="Q666" t="n">
        <v>86638</v>
      </c>
      <c r="R666" t="n">
        <v>85932</v>
      </c>
      <c r="S666" t="n">
        <v>86535</v>
      </c>
      <c r="T666" t="n">
        <v>0</v>
      </c>
      <c r="U666" t="n">
        <v>104</v>
      </c>
      <c r="V666" t="n">
        <v>0.8148849234746878</v>
      </c>
      <c r="W666" t="n">
        <v>-0.05</v>
      </c>
      <c r="X666" s="16">
        <f>IFERROR(K666/E666*100,"")</f>
        <v/>
      </c>
      <c r="Y666" s="16">
        <f>IFERROR((N666+O666)/E666*100,"")</f>
        <v/>
      </c>
      <c r="Z666" s="16">
        <f>IFERROR(R666/F666*100,"")</f>
        <v/>
      </c>
      <c r="AA666" s="16">
        <f>IFERROR(R666/E666*100,"")</f>
        <v/>
      </c>
      <c r="AB666" s="16">
        <f>IFERROR(S666/Q666*100,"")</f>
        <v/>
      </c>
      <c r="AC666" s="16">
        <f>IFERROR(T666/Q666*100,"")</f>
        <v/>
      </c>
      <c r="AD666" s="16">
        <f>IFERROR(U666/Q666*100,"")</f>
        <v/>
      </c>
      <c r="AE666" s="18">
        <f>IFERROR(E666/E662-1,"")</f>
        <v/>
      </c>
      <c r="AF666" s="18">
        <f>IFERROR(R666/R662-1,"")</f>
        <v/>
      </c>
      <c r="AG666" s="18">
        <f>IFERROR(F666/F662-1,"")</f>
        <v/>
      </c>
      <c r="AH666">
        <f>P666&gt;0</f>
        <v/>
      </c>
    </row>
    <row r="667">
      <c r="A667" s="14" t="n">
        <v>45382</v>
      </c>
      <c r="B667" t="n">
        <v>30878</v>
      </c>
      <c r="C667" t="inlineStr">
        <is>
          <t>BAR HARBOR SAVINGS AND LOAN ASSOCIATION</t>
        </is>
      </c>
      <c r="D667" t="inlineStr">
        <is>
          <t>ME</t>
        </is>
      </c>
      <c r="E667" t="n">
        <v>102792</v>
      </c>
      <c r="F667" t="n">
        <v>74987</v>
      </c>
      <c r="G667" t="n">
        <v>12317</v>
      </c>
      <c r="H667" s="16" t="n">
        <v>0.061539940863963</v>
      </c>
      <c r="I667" s="16" t="n">
        <v>0.52</v>
      </c>
      <c r="J667" s="16" t="n">
        <v>0.966458498694582</v>
      </c>
      <c r="K667" s="16" t="n">
        <v>836</v>
      </c>
      <c r="L667" s="16" t="n">
        <v>0</v>
      </c>
      <c r="M667" s="16" t="n">
        <v>0.9513621776634726</v>
      </c>
      <c r="N667" s="16" t="n">
        <v>1125</v>
      </c>
      <c r="O667" s="16" t="n">
        <v>0</v>
      </c>
      <c r="P667" s="16" t="n">
        <v>0</v>
      </c>
      <c r="Q667" t="n">
        <v>87874</v>
      </c>
      <c r="R667" t="n">
        <v>87327</v>
      </c>
      <c r="S667" t="n">
        <v>87769</v>
      </c>
      <c r="T667" t="n">
        <v>0</v>
      </c>
      <c r="U667" t="n">
        <v>105</v>
      </c>
      <c r="V667" t="n">
        <v>0.6224821904089948</v>
      </c>
      <c r="W667" t="n">
        <v>-0.62</v>
      </c>
      <c r="X667" s="16">
        <f>IFERROR(K667/E667*100,"")</f>
        <v/>
      </c>
      <c r="Y667" s="16">
        <f>IFERROR((N667+O667)/E667*100,"")</f>
        <v/>
      </c>
      <c r="Z667" s="16">
        <f>IFERROR(R667/F667*100,"")</f>
        <v/>
      </c>
      <c r="AA667" s="16">
        <f>IFERROR(R667/E667*100,"")</f>
        <v/>
      </c>
      <c r="AB667" s="16">
        <f>IFERROR(S667/Q667*100,"")</f>
        <v/>
      </c>
      <c r="AC667" s="16">
        <f>IFERROR(T667/Q667*100,"")</f>
        <v/>
      </c>
      <c r="AD667" s="16">
        <f>IFERROR(U667/Q667*100,"")</f>
        <v/>
      </c>
      <c r="AE667" s="18">
        <f>IFERROR(E667/E663-1,"")</f>
        <v/>
      </c>
      <c r="AF667" s="18">
        <f>IFERROR(R667/R663-1,"")</f>
        <v/>
      </c>
      <c r="AG667" s="18">
        <f>IFERROR(F667/F663-1,"")</f>
        <v/>
      </c>
      <c r="AH667">
        <f>P667&gt;0</f>
        <v/>
      </c>
    </row>
    <row r="668">
      <c r="A668" s="14" t="n">
        <v>45473</v>
      </c>
      <c r="B668" t="n">
        <v>30878</v>
      </c>
      <c r="C668" t="inlineStr">
        <is>
          <t>BAR HARBOR SAVINGS AND LOAN ASSOCIATION</t>
        </is>
      </c>
      <c r="D668" t="inlineStr">
        <is>
          <t>ME</t>
        </is>
      </c>
      <c r="E668" t="n">
        <v>102920</v>
      </c>
      <c r="F668" t="n">
        <v>76575</v>
      </c>
      <c r="G668" t="n">
        <v>12189</v>
      </c>
      <c r="H668" s="16" t="n">
        <v>-0.2277149703295113</v>
      </c>
      <c r="I668" s="16" t="n">
        <v>-1.92</v>
      </c>
      <c r="J668" s="16" t="n">
        <v>0.954583739989572</v>
      </c>
      <c r="K668" s="16" t="n">
        <v>1829</v>
      </c>
      <c r="L668" s="16" t="n">
        <v>0</v>
      </c>
      <c r="M668" s="16" t="n">
        <v>2.074731158401017</v>
      </c>
      <c r="N668" s="16" t="n">
        <v>1197</v>
      </c>
      <c r="O668" s="16" t="n">
        <v>0</v>
      </c>
      <c r="P668" s="16" t="n">
        <v>0</v>
      </c>
      <c r="Q668" t="n">
        <v>88156</v>
      </c>
      <c r="R668" t="n">
        <v>87632</v>
      </c>
      <c r="S668" t="n">
        <v>87984</v>
      </c>
      <c r="T668" t="n">
        <v>0</v>
      </c>
      <c r="U668" t="n">
        <v>172</v>
      </c>
      <c r="V668" t="n">
        <v>0.5944008348836154</v>
      </c>
      <c r="W668" t="n">
        <v>-0.41</v>
      </c>
      <c r="X668" s="16">
        <f>IFERROR(K668/E668*100,"")</f>
        <v/>
      </c>
      <c r="Y668" s="16">
        <f>IFERROR((N668+O668)/E668*100,"")</f>
        <v/>
      </c>
      <c r="Z668" s="16">
        <f>IFERROR(R668/F668*100,"")</f>
        <v/>
      </c>
      <c r="AA668" s="16">
        <f>IFERROR(R668/E668*100,"")</f>
        <v/>
      </c>
      <c r="AB668" s="16">
        <f>IFERROR(S668/Q668*100,"")</f>
        <v/>
      </c>
      <c r="AC668" s="16">
        <f>IFERROR(T668/Q668*100,"")</f>
        <v/>
      </c>
      <c r="AD668" s="16">
        <f>IFERROR(U668/Q668*100,"")</f>
        <v/>
      </c>
      <c r="AE668" s="18">
        <f>IFERROR(E668/E664-1,"")</f>
        <v/>
      </c>
      <c r="AF668" s="18">
        <f>IFERROR(R668/R664-1,"")</f>
        <v/>
      </c>
      <c r="AG668" s="18">
        <f>IFERROR(F668/F664-1,"")</f>
        <v/>
      </c>
      <c r="AH668">
        <f>P668&gt;0</f>
        <v/>
      </c>
    </row>
    <row r="669">
      <c r="A669" s="14" t="n">
        <v>45565</v>
      </c>
      <c r="B669" t="n">
        <v>30878</v>
      </c>
      <c r="C669" t="inlineStr">
        <is>
          <t>BAR HARBOR SAVINGS AND LOAN ASSOCIATION</t>
        </is>
      </c>
      <c r="D669" t="inlineStr">
        <is>
          <t>ME</t>
        </is>
      </c>
      <c r="E669" t="n">
        <v>101059</v>
      </c>
      <c r="F669" t="n">
        <v>76246</v>
      </c>
      <c r="G669" t="n">
        <v>11989</v>
      </c>
      <c r="H669" s="16" t="n">
        <v>-0.5333536582405685</v>
      </c>
      <c r="I669" s="16" t="n">
        <v>-4.5</v>
      </c>
      <c r="J669" s="16" t="n">
        <v>1.002041289840964</v>
      </c>
      <c r="K669" s="16" t="n">
        <v>1674</v>
      </c>
      <c r="L669" s="16" t="n">
        <v>0</v>
      </c>
      <c r="M669" s="16" t="n">
        <v>1.90727933552849</v>
      </c>
      <c r="N669" s="16" t="n">
        <v>365</v>
      </c>
      <c r="O669" s="16" t="n">
        <v>0</v>
      </c>
      <c r="P669" s="16" t="n">
        <v>0</v>
      </c>
      <c r="Q669" t="n">
        <v>87769</v>
      </c>
      <c r="R669" t="n">
        <v>87073</v>
      </c>
      <c r="S669" t="n">
        <v>87603</v>
      </c>
      <c r="T669" t="n">
        <v>0</v>
      </c>
      <c r="U669" t="n">
        <v>166</v>
      </c>
      <c r="V669" t="n">
        <v>0.7929906914742108</v>
      </c>
      <c r="W669" t="n">
        <v>-0.04</v>
      </c>
      <c r="X669" s="16">
        <f>IFERROR(K669/E669*100,"")</f>
        <v/>
      </c>
      <c r="Y669" s="16">
        <f>IFERROR((N669+O669)/E669*100,"")</f>
        <v/>
      </c>
      <c r="Z669" s="16">
        <f>IFERROR(R669/F669*100,"")</f>
        <v/>
      </c>
      <c r="AA669" s="16">
        <f>IFERROR(R669/E669*100,"")</f>
        <v/>
      </c>
      <c r="AB669" s="16">
        <f>IFERROR(S669/Q669*100,"")</f>
        <v/>
      </c>
      <c r="AC669" s="16">
        <f>IFERROR(T669/Q669*100,"")</f>
        <v/>
      </c>
      <c r="AD669" s="16">
        <f>IFERROR(U669/Q669*100,"")</f>
        <v/>
      </c>
      <c r="AE669" s="18">
        <f>IFERROR(E669/E665-1,"")</f>
        <v/>
      </c>
      <c r="AF669" s="18">
        <f>IFERROR(R669/R665-1,"")</f>
        <v/>
      </c>
      <c r="AG669" s="18">
        <f>IFERROR(F669/F665-1,"")</f>
        <v/>
      </c>
      <c r="AH669">
        <f>P669&gt;0</f>
        <v/>
      </c>
    </row>
    <row r="670">
      <c r="A670" s="14" t="n">
        <v>45657</v>
      </c>
      <c r="B670" t="n">
        <v>30878</v>
      </c>
      <c r="C670" t="inlineStr">
        <is>
          <t>BAR HARBOR SAVINGS AND LOAN ASSOCIATION</t>
        </is>
      </c>
      <c r="D670" t="inlineStr">
        <is>
          <t>ME</t>
        </is>
      </c>
      <c r="E670" t="n">
        <v>99802</v>
      </c>
      <c r="F670" t="n">
        <v>75762</v>
      </c>
      <c r="G670" t="n">
        <v>11821</v>
      </c>
      <c r="H670" s="16" t="n">
        <v>-0.519758644406928</v>
      </c>
      <c r="I670" s="16" t="n">
        <v>-4.39</v>
      </c>
      <c r="J670" s="16" t="n">
        <v>1.052727752624206</v>
      </c>
      <c r="K670" s="16" t="n">
        <v>1428</v>
      </c>
      <c r="L670" s="16" t="n">
        <v>0</v>
      </c>
      <c r="M670" s="16" t="n">
        <v>1.659577435325291</v>
      </c>
      <c r="N670" s="16" t="n">
        <v>720</v>
      </c>
      <c r="O670" s="16" t="n">
        <v>0</v>
      </c>
      <c r="P670" s="16" t="n">
        <v>0</v>
      </c>
      <c r="Q670" t="n">
        <v>86046</v>
      </c>
      <c r="R670" t="n">
        <v>85338</v>
      </c>
      <c r="S670" t="n">
        <v>85877</v>
      </c>
      <c r="T670" t="n">
        <v>0</v>
      </c>
      <c r="U670" t="n">
        <v>168</v>
      </c>
      <c r="V670" t="n">
        <v>0.8228157032285056</v>
      </c>
      <c r="W670" t="n">
        <v>0</v>
      </c>
      <c r="X670" s="16">
        <f>IFERROR(K670/E670*100,"")</f>
        <v/>
      </c>
      <c r="Y670" s="16">
        <f>IFERROR((N670+O670)/E670*100,"")</f>
        <v/>
      </c>
      <c r="Z670" s="16">
        <f>IFERROR(R670/F670*100,"")</f>
        <v/>
      </c>
      <c r="AA670" s="16">
        <f>IFERROR(R670/E670*100,"")</f>
        <v/>
      </c>
      <c r="AB670" s="16">
        <f>IFERROR(S670/Q670*100,"")</f>
        <v/>
      </c>
      <c r="AC670" s="16">
        <f>IFERROR(T670/Q670*100,"")</f>
        <v/>
      </c>
      <c r="AD670" s="16">
        <f>IFERROR(U670/Q670*100,"")</f>
        <v/>
      </c>
      <c r="AE670" s="18">
        <f>IFERROR(E670/E666-1,"")</f>
        <v/>
      </c>
      <c r="AF670" s="18">
        <f>IFERROR(R670/R666-1,"")</f>
        <v/>
      </c>
      <c r="AG670" s="18">
        <f>IFERROR(F670/F666-1,"")</f>
        <v/>
      </c>
      <c r="AH670">
        <f>P670&gt;0</f>
        <v/>
      </c>
    </row>
    <row r="671">
      <c r="A671" s="14" t="n">
        <v>45747</v>
      </c>
      <c r="B671" t="n">
        <v>30878</v>
      </c>
      <c r="C671" t="inlineStr">
        <is>
          <t>BAR HARBOR SAVINGS AND LOAN ASSOCIATION</t>
        </is>
      </c>
      <c r="D671" t="inlineStr">
        <is>
          <t>ME</t>
        </is>
      </c>
      <c r="E671" t="n">
        <v>98994</v>
      </c>
      <c r="F671" t="n">
        <v>72918</v>
      </c>
      <c r="G671" t="n">
        <v>11849</v>
      </c>
      <c r="H671" s="16" t="n">
        <v>-0.06841183927241989</v>
      </c>
      <c r="I671" s="16" t="n">
        <v>-0.57</v>
      </c>
      <c r="J671" s="16" t="n">
        <v>1.434583714547118</v>
      </c>
      <c r="K671" s="16" t="n">
        <v>1420</v>
      </c>
      <c r="L671" s="16" t="n">
        <v>0</v>
      </c>
      <c r="M671" s="16" t="n">
        <v>1.657755259286932</v>
      </c>
      <c r="N671" s="16" t="n">
        <v>405</v>
      </c>
      <c r="O671" s="16" t="n">
        <v>0</v>
      </c>
      <c r="P671" s="16" t="n">
        <v>0</v>
      </c>
      <c r="Q671" t="n">
        <v>85658</v>
      </c>
      <c r="R671" t="n">
        <v>84960</v>
      </c>
      <c r="S671" t="n">
        <v>85506</v>
      </c>
      <c r="T671" t="n">
        <v>0</v>
      </c>
      <c r="U671" t="n">
        <v>153</v>
      </c>
      <c r="V671" t="n">
        <v>0.8148684302692101</v>
      </c>
      <c r="W671" t="n">
        <v>-0.09</v>
      </c>
      <c r="X671" s="16">
        <f>IFERROR(K671/E671*100,"")</f>
        <v/>
      </c>
      <c r="Y671" s="16">
        <f>IFERROR((N671+O671)/E671*100,"")</f>
        <v/>
      </c>
      <c r="Z671" s="16">
        <f>IFERROR(R671/F671*100,"")</f>
        <v/>
      </c>
      <c r="AA671" s="16">
        <f>IFERROR(R671/E671*100,"")</f>
        <v/>
      </c>
      <c r="AB671" s="16">
        <f>IFERROR(S671/Q671*100,"")</f>
        <v/>
      </c>
      <c r="AC671" s="16">
        <f>IFERROR(T671/Q671*100,"")</f>
        <v/>
      </c>
      <c r="AD671" s="16">
        <f>IFERROR(U671/Q671*100,"")</f>
        <v/>
      </c>
      <c r="AE671" s="18">
        <f>IFERROR(E671/E667-1,"")</f>
        <v/>
      </c>
      <c r="AF671" s="18">
        <f>IFERROR(R671/R667-1,"")</f>
        <v/>
      </c>
      <c r="AG671" s="18">
        <f>IFERROR(F671/F667-1,"")</f>
        <v/>
      </c>
      <c r="AH671">
        <f>P671&gt;0</f>
        <v/>
      </c>
    </row>
    <row r="672">
      <c r="A672" s="14" t="n">
        <v>45838</v>
      </c>
      <c r="B672" t="n">
        <v>30878</v>
      </c>
      <c r="C672" t="inlineStr">
        <is>
          <t>BAR HARBOR SAVINGS AND LOAN ASSOCIATION</t>
        </is>
      </c>
      <c r="D672" t="inlineStr">
        <is>
          <t>ME</t>
        </is>
      </c>
      <c r="E672" t="n">
        <v>98909</v>
      </c>
      <c r="F672" t="n">
        <v>72725</v>
      </c>
      <c r="G672" t="n">
        <v>11891</v>
      </c>
      <c r="H672" s="16" t="n">
        <v>0.0020154179472968</v>
      </c>
      <c r="I672" s="16" t="n">
        <v>0.02</v>
      </c>
      <c r="J672" s="16" t="n">
        <v>1.492266204641675</v>
      </c>
      <c r="K672" s="16" t="n">
        <v>1353</v>
      </c>
      <c r="L672" s="16" t="n">
        <v>0</v>
      </c>
      <c r="M672" s="16" t="n">
        <v>1.572597517318332</v>
      </c>
      <c r="N672" s="16" t="n">
        <v>771</v>
      </c>
      <c r="O672" s="16" t="n">
        <v>0</v>
      </c>
      <c r="P672" s="16" t="n">
        <v>0</v>
      </c>
      <c r="Q672" t="n">
        <v>86036</v>
      </c>
      <c r="R672" t="n">
        <v>85358</v>
      </c>
      <c r="S672" t="n">
        <v>85860</v>
      </c>
      <c r="T672" t="n">
        <v>0</v>
      </c>
      <c r="U672" t="n">
        <v>176</v>
      </c>
      <c r="V672" t="n">
        <v>0.7880422148867916</v>
      </c>
      <c r="W672" t="n">
        <v>-0.11</v>
      </c>
      <c r="X672" s="16">
        <f>IFERROR(K672/E672*100,"")</f>
        <v/>
      </c>
      <c r="Y672" s="16">
        <f>IFERROR((N672+O672)/E672*100,"")</f>
        <v/>
      </c>
      <c r="Z672" s="16">
        <f>IFERROR(R672/F672*100,"")</f>
        <v/>
      </c>
      <c r="AA672" s="16">
        <f>IFERROR(R672/E672*100,"")</f>
        <v/>
      </c>
      <c r="AB672" s="16">
        <f>IFERROR(S672/Q672*100,"")</f>
        <v/>
      </c>
      <c r="AC672" s="16">
        <f>IFERROR(T672/Q672*100,"")</f>
        <v/>
      </c>
      <c r="AD672" s="16">
        <f>IFERROR(U672/Q672*100,"")</f>
        <v/>
      </c>
      <c r="AE672" s="18">
        <f>IFERROR(E672/E668-1,"")</f>
        <v/>
      </c>
      <c r="AF672" s="18">
        <f>IFERROR(R672/R668-1,"")</f>
        <v/>
      </c>
      <c r="AG672" s="18">
        <f>IFERROR(F672/F668-1,"")</f>
        <v/>
      </c>
      <c r="AH672">
        <f>P672&gt;0</f>
        <v/>
      </c>
    </row>
    <row r="673">
      <c r="A673" s="14" t="n">
        <v>44651</v>
      </c>
      <c r="B673" t="n">
        <v>33418</v>
      </c>
      <c r="C673" t="inlineStr">
        <is>
          <t>LEDYARD NATIONAL BANK</t>
        </is>
      </c>
      <c r="D673" t="inlineStr">
        <is>
          <t>VT</t>
        </is>
      </c>
      <c r="E673" t="n">
        <v>757509</v>
      </c>
      <c r="F673" t="n">
        <v>686918</v>
      </c>
      <c r="G673" t="n">
        <v>49895</v>
      </c>
      <c r="H673" s="16" t="n">
        <v>1.087630237168911</v>
      </c>
      <c r="I673" s="16" t="n">
        <v>13.83</v>
      </c>
      <c r="J673" s="16" t="n">
        <v>2.64547208066041</v>
      </c>
      <c r="K673" s="16" t="n">
        <v>1659</v>
      </c>
      <c r="L673" s="16" t="n">
        <v>-5</v>
      </c>
      <c r="M673" s="16" t="n">
        <v>0.4621697742639131</v>
      </c>
      <c r="N673" s="16" t="n">
        <v>308</v>
      </c>
      <c r="O673" s="16" t="n">
        <v>0</v>
      </c>
      <c r="P673" s="16" t="n">
        <v>15.1005735502168</v>
      </c>
      <c r="Q673" t="n">
        <v>358959</v>
      </c>
      <c r="R673" t="n">
        <v>351485</v>
      </c>
      <c r="S673" t="n">
        <v>303204</v>
      </c>
      <c r="T673" t="n">
        <v>41526</v>
      </c>
      <c r="U673" t="n">
        <v>14294</v>
      </c>
      <c r="V673" t="n">
        <v>2.08213194264526</v>
      </c>
      <c r="W673" t="n">
        <v>0</v>
      </c>
      <c r="X673" s="16">
        <f>IFERROR(K673/E673*100,"")</f>
        <v/>
      </c>
      <c r="Y673" s="16">
        <f>IFERROR((N673+O673)/E673*100,"")</f>
        <v/>
      </c>
      <c r="Z673" s="16">
        <f>IFERROR(R673/F673*100,"")</f>
        <v/>
      </c>
      <c r="AA673" s="16">
        <f>IFERROR(R673/E673*100,"")</f>
        <v/>
      </c>
      <c r="AB673" s="16">
        <f>IFERROR(S673/Q673*100,"")</f>
        <v/>
      </c>
      <c r="AC673" s="16">
        <f>IFERROR(T673/Q673*100,"")</f>
        <v/>
      </c>
      <c r="AD673" s="16">
        <f>IFERROR(U673/Q673*100,"")</f>
        <v/>
      </c>
      <c r="AE673" s="18" t="n"/>
      <c r="AF673" s="18" t="n"/>
      <c r="AG673" s="18" t="n"/>
      <c r="AH673">
        <f>P673&gt;0</f>
        <v/>
      </c>
    </row>
    <row r="674">
      <c r="A674" s="14" t="n">
        <v>44742</v>
      </c>
      <c r="B674" t="n">
        <v>33418</v>
      </c>
      <c r="C674" t="inlineStr">
        <is>
          <t>LEDYARD NATIONAL BANK</t>
        </is>
      </c>
      <c r="D674" t="inlineStr">
        <is>
          <t>VT</t>
        </is>
      </c>
      <c r="E674" t="n">
        <v>732318</v>
      </c>
      <c r="F674" t="n">
        <v>570903</v>
      </c>
      <c r="G674" t="n">
        <v>59389</v>
      </c>
      <c r="H674" s="16" t="n">
        <v>1.165692304695179</v>
      </c>
      <c r="I674" s="16" t="n">
        <v>14.67</v>
      </c>
      <c r="J674" s="16" t="n">
        <v>2.716920402049042</v>
      </c>
      <c r="K674" s="16" t="n">
        <v>2652</v>
      </c>
      <c r="L674" s="16" t="n">
        <v>2</v>
      </c>
      <c r="M674" s="16" t="n">
        <v>0.7470885519666007</v>
      </c>
      <c r="N674" s="16" t="n">
        <v>497</v>
      </c>
      <c r="O674" s="16" t="n">
        <v>0</v>
      </c>
      <c r="P674" s="16" t="n">
        <v>18.6076360363737</v>
      </c>
      <c r="Q674" t="n">
        <v>354978</v>
      </c>
      <c r="R674" t="n">
        <v>347512</v>
      </c>
      <c r="S674" t="n">
        <v>301150</v>
      </c>
      <c r="T674" t="n">
        <v>40513</v>
      </c>
      <c r="U674" t="n">
        <v>13342</v>
      </c>
      <c r="V674" t="n">
        <v>2.103228932497225</v>
      </c>
      <c r="W674" t="n">
        <v>0</v>
      </c>
      <c r="X674" s="16">
        <f>IFERROR(K674/E674*100,"")</f>
        <v/>
      </c>
      <c r="Y674" s="16">
        <f>IFERROR((N674+O674)/E674*100,"")</f>
        <v/>
      </c>
      <c r="Z674" s="16">
        <f>IFERROR(R674/F674*100,"")</f>
        <v/>
      </c>
      <c r="AA674" s="16">
        <f>IFERROR(R674/E674*100,"")</f>
        <v/>
      </c>
      <c r="AB674" s="16">
        <f>IFERROR(S674/Q674*100,"")</f>
        <v/>
      </c>
      <c r="AC674" s="16">
        <f>IFERROR(T674/Q674*100,"")</f>
        <v/>
      </c>
      <c r="AD674" s="16">
        <f>IFERROR(U674/Q674*100,"")</f>
        <v/>
      </c>
      <c r="AE674" s="18" t="n"/>
      <c r="AF674" s="18" t="n"/>
      <c r="AG674" s="18" t="n"/>
      <c r="AH674">
        <f>P674&gt;0</f>
        <v/>
      </c>
    </row>
    <row r="675">
      <c r="A675" s="14" t="n">
        <v>44834</v>
      </c>
      <c r="B675" t="n">
        <v>33418</v>
      </c>
      <c r="C675" t="inlineStr">
        <is>
          <t>LEDYARD NATIONAL BANK</t>
        </is>
      </c>
      <c r="D675" t="inlineStr">
        <is>
          <t>VT</t>
        </is>
      </c>
      <c r="E675" t="n">
        <v>728017</v>
      </c>
      <c r="F675" t="n">
        <v>571364</v>
      </c>
      <c r="G675" t="n">
        <v>59731</v>
      </c>
      <c r="H675" s="16" t="n">
        <v>1.197322631269318</v>
      </c>
      <c r="I675" s="16" t="n">
        <v>14.95</v>
      </c>
      <c r="J675" s="16" t="n">
        <v>2.742881981498173</v>
      </c>
      <c r="K675" s="16" t="n">
        <v>3182</v>
      </c>
      <c r="L675" s="16" t="n">
        <v>-1</v>
      </c>
      <c r="M675" s="16" t="n">
        <v>0.9000115966296235</v>
      </c>
      <c r="N675" s="16" t="n">
        <v>192</v>
      </c>
      <c r="O675" s="16" t="n">
        <v>0</v>
      </c>
      <c r="P675" s="16" t="n">
        <v>18.9996701825354</v>
      </c>
      <c r="Q675" t="n">
        <v>353551</v>
      </c>
      <c r="R675" t="n">
        <v>346831</v>
      </c>
      <c r="S675" t="n">
        <v>302851</v>
      </c>
      <c r="T675" t="n">
        <v>38891</v>
      </c>
      <c r="U675" t="n">
        <v>11836</v>
      </c>
      <c r="V675" t="n">
        <v>1.900715879745779</v>
      </c>
      <c r="W675" t="n">
        <v>-0.13</v>
      </c>
      <c r="X675" s="16">
        <f>IFERROR(K675/E675*100,"")</f>
        <v/>
      </c>
      <c r="Y675" s="16">
        <f>IFERROR((N675+O675)/E675*100,"")</f>
        <v/>
      </c>
      <c r="Z675" s="16">
        <f>IFERROR(R675/F675*100,"")</f>
        <v/>
      </c>
      <c r="AA675" s="16">
        <f>IFERROR(R675/E675*100,"")</f>
        <v/>
      </c>
      <c r="AB675" s="16">
        <f>IFERROR(S675/Q675*100,"")</f>
        <v/>
      </c>
      <c r="AC675" s="16">
        <f>IFERROR(T675/Q675*100,"")</f>
        <v/>
      </c>
      <c r="AD675" s="16">
        <f>IFERROR(U675/Q675*100,"")</f>
        <v/>
      </c>
      <c r="AE675" s="18" t="n"/>
      <c r="AF675" s="18" t="n"/>
      <c r="AG675" s="18" t="n"/>
      <c r="AH675">
        <f>P675&gt;0</f>
        <v/>
      </c>
    </row>
    <row r="676">
      <c r="A676" s="14" t="n">
        <v>44926</v>
      </c>
      <c r="B676" t="n">
        <v>33418</v>
      </c>
      <c r="C676" t="inlineStr">
        <is>
          <t>LEDYARD NATIONAL BANK</t>
        </is>
      </c>
      <c r="D676" t="inlineStr">
        <is>
          <t>VT</t>
        </is>
      </c>
      <c r="E676" t="n">
        <v>742176</v>
      </c>
      <c r="F676" t="n">
        <v>574586</v>
      </c>
      <c r="G676" t="n">
        <v>65423</v>
      </c>
      <c r="H676" s="16" t="n">
        <v>1.034390743315816</v>
      </c>
      <c r="I676" s="16" t="n">
        <v>12.66</v>
      </c>
      <c r="J676" s="16" t="n">
        <v>2.813766761009036</v>
      </c>
      <c r="K676" s="16" t="n">
        <v>1487</v>
      </c>
      <c r="L676" s="16" t="n">
        <v>-8</v>
      </c>
      <c r="M676" s="16" t="n">
        <v>0.4107088110435649</v>
      </c>
      <c r="N676" s="16" t="n">
        <v>238</v>
      </c>
      <c r="O676" s="16" t="n">
        <v>0</v>
      </c>
      <c r="P676" s="16" t="n">
        <v>18.76248775925137</v>
      </c>
      <c r="Q676" t="n">
        <v>362057</v>
      </c>
      <c r="R676" t="n">
        <v>358214</v>
      </c>
      <c r="S676" t="n">
        <v>308351</v>
      </c>
      <c r="T676" t="n">
        <v>41788</v>
      </c>
      <c r="U676" t="n">
        <v>11928</v>
      </c>
      <c r="V676" t="n">
        <v>1.061435077902098</v>
      </c>
      <c r="W676" t="n">
        <v>-0.49</v>
      </c>
      <c r="X676" s="16">
        <f>IFERROR(K676/E676*100,"")</f>
        <v/>
      </c>
      <c r="Y676" s="16">
        <f>IFERROR((N676+O676)/E676*100,"")</f>
        <v/>
      </c>
      <c r="Z676" s="16">
        <f>IFERROR(R676/F676*100,"")</f>
        <v/>
      </c>
      <c r="AA676" s="16">
        <f>IFERROR(R676/E676*100,"")</f>
        <v/>
      </c>
      <c r="AB676" s="16">
        <f>IFERROR(S676/Q676*100,"")</f>
        <v/>
      </c>
      <c r="AC676" s="16">
        <f>IFERROR(T676/Q676*100,"")</f>
        <v/>
      </c>
      <c r="AD676" s="16">
        <f>IFERROR(U676/Q676*100,"")</f>
        <v/>
      </c>
      <c r="AE676" s="18" t="n"/>
      <c r="AF676" s="18" t="n"/>
      <c r="AG676" s="18" t="n"/>
      <c r="AH676">
        <f>P676&gt;0</f>
        <v/>
      </c>
    </row>
    <row r="677">
      <c r="A677" s="14" t="n">
        <v>45016</v>
      </c>
      <c r="B677" t="n">
        <v>33418</v>
      </c>
      <c r="C677" t="inlineStr">
        <is>
          <t>LEDYARD NATIONAL BANK</t>
        </is>
      </c>
      <c r="D677" t="inlineStr">
        <is>
          <t>VT</t>
        </is>
      </c>
      <c r="E677" t="n">
        <v>745394</v>
      </c>
      <c r="F677" t="n">
        <v>529254</v>
      </c>
      <c r="G677" t="n">
        <v>67356</v>
      </c>
      <c r="H677" s="16" t="n">
        <v>0.9319897551039616</v>
      </c>
      <c r="I677" s="16" t="n">
        <v>10.44</v>
      </c>
      <c r="J677" s="16" t="n">
        <v>3.007552268240186</v>
      </c>
      <c r="K677" s="16" t="n">
        <v>1287</v>
      </c>
      <c r="L677" s="16" t="n">
        <v>2</v>
      </c>
      <c r="M677" s="16" t="n">
        <v>0.3540587456911848</v>
      </c>
      <c r="N677" s="16" t="n">
        <v>237</v>
      </c>
      <c r="O677" s="16" t="n">
        <v>0</v>
      </c>
      <c r="P677" s="16" t="n">
        <v>18.90578508767114</v>
      </c>
      <c r="Q677" t="n">
        <v>363499</v>
      </c>
      <c r="R677" t="n">
        <v>360651</v>
      </c>
      <c r="S677" t="n">
        <v>305729</v>
      </c>
      <c r="T677" t="n">
        <v>46441</v>
      </c>
      <c r="U677" t="n">
        <v>11330</v>
      </c>
      <c r="V677" t="n">
        <v>0.7834959656010058</v>
      </c>
      <c r="W677" t="n">
        <v>0.01</v>
      </c>
      <c r="X677" s="16">
        <f>IFERROR(K677/E677*100,"")</f>
        <v/>
      </c>
      <c r="Y677" s="16">
        <f>IFERROR((N677+O677)/E677*100,"")</f>
        <v/>
      </c>
      <c r="Z677" s="16">
        <f>IFERROR(R677/F677*100,"")</f>
        <v/>
      </c>
      <c r="AA677" s="16">
        <f>IFERROR(R677/E677*100,"")</f>
        <v/>
      </c>
      <c r="AB677" s="16">
        <f>IFERROR(S677/Q677*100,"")</f>
        <v/>
      </c>
      <c r="AC677" s="16">
        <f>IFERROR(T677/Q677*100,"")</f>
        <v/>
      </c>
      <c r="AD677" s="16">
        <f>IFERROR(U677/Q677*100,"")</f>
        <v/>
      </c>
      <c r="AE677" s="18">
        <f>IFERROR(E677/E673-1,"")</f>
        <v/>
      </c>
      <c r="AF677" s="18">
        <f>IFERROR(R677/R673-1,"")</f>
        <v/>
      </c>
      <c r="AG677" s="18">
        <f>IFERROR(F677/F673-1,"")</f>
        <v/>
      </c>
      <c r="AH677">
        <f>P677&gt;0</f>
        <v/>
      </c>
    </row>
    <row r="678">
      <c r="A678" s="14" t="n">
        <v>45107</v>
      </c>
      <c r="B678" t="n">
        <v>33418</v>
      </c>
      <c r="C678" t="inlineStr">
        <is>
          <t>LEDYARD NATIONAL BANK</t>
        </is>
      </c>
      <c r="D678" t="inlineStr">
        <is>
          <t>VT</t>
        </is>
      </c>
      <c r="E678" t="n">
        <v>749197</v>
      </c>
      <c r="F678" t="n">
        <v>565840</v>
      </c>
      <c r="G678" t="n">
        <v>68367</v>
      </c>
      <c r="H678" s="16" t="n">
        <v>0.7296244982155048</v>
      </c>
      <c r="I678" s="16" t="n">
        <v>8.109999999999999</v>
      </c>
      <c r="J678" s="16" t="n">
        <v>2.807106801687814</v>
      </c>
      <c r="K678" s="16" t="n">
        <v>1120</v>
      </c>
      <c r="L678" s="16" t="n">
        <v>-24</v>
      </c>
      <c r="M678" s="16" t="n">
        <v>0.3012291224012264</v>
      </c>
      <c r="N678" s="16" t="n">
        <v>58</v>
      </c>
      <c r="O678" s="16" t="n">
        <v>0</v>
      </c>
      <c r="P678" s="16" t="n">
        <v>18.5404060518078</v>
      </c>
      <c r="Q678" t="n">
        <v>371810</v>
      </c>
      <c r="R678" t="n">
        <v>368699</v>
      </c>
      <c r="S678" t="n">
        <v>314793</v>
      </c>
      <c r="T678" t="n">
        <v>45951</v>
      </c>
      <c r="U678" t="n">
        <v>11428</v>
      </c>
      <c r="V678" t="n">
        <v>0.8367176783841209</v>
      </c>
      <c r="W678" t="n">
        <v>0.07000000000000001</v>
      </c>
      <c r="X678" s="16">
        <f>IFERROR(K678/E678*100,"")</f>
        <v/>
      </c>
      <c r="Y678" s="16">
        <f>IFERROR((N678+O678)/E678*100,"")</f>
        <v/>
      </c>
      <c r="Z678" s="16">
        <f>IFERROR(R678/F678*100,"")</f>
        <v/>
      </c>
      <c r="AA678" s="16">
        <f>IFERROR(R678/E678*100,"")</f>
        <v/>
      </c>
      <c r="AB678" s="16">
        <f>IFERROR(S678/Q678*100,"")</f>
        <v/>
      </c>
      <c r="AC678" s="16">
        <f>IFERROR(T678/Q678*100,"")</f>
        <v/>
      </c>
      <c r="AD678" s="16">
        <f>IFERROR(U678/Q678*100,"")</f>
        <v/>
      </c>
      <c r="AE678" s="18">
        <f>IFERROR(E678/E674-1,"")</f>
        <v/>
      </c>
      <c r="AF678" s="18">
        <f>IFERROR(R678/R674-1,"")</f>
        <v/>
      </c>
      <c r="AG678" s="18">
        <f>IFERROR(F678/F674-1,"")</f>
        <v/>
      </c>
      <c r="AH678">
        <f>P678&gt;0</f>
        <v/>
      </c>
    </row>
    <row r="679">
      <c r="A679" s="14" t="n">
        <v>45199</v>
      </c>
      <c r="B679" t="n">
        <v>33418</v>
      </c>
      <c r="C679" t="inlineStr">
        <is>
          <t>LEDYARD NATIONAL BANK</t>
        </is>
      </c>
      <c r="D679" t="inlineStr">
        <is>
          <t>VT</t>
        </is>
      </c>
      <c r="E679" t="n">
        <v>798886</v>
      </c>
      <c r="F679" t="n">
        <v>597610</v>
      </c>
      <c r="G679" t="n">
        <v>66192</v>
      </c>
      <c r="H679" s="16" t="n">
        <v>0.6651450346927004</v>
      </c>
      <c r="I679" s="16" t="n">
        <v>7.55</v>
      </c>
      <c r="J679" s="16" t="n">
        <v>2.649053504094918</v>
      </c>
      <c r="K679" s="16" t="n">
        <v>1080</v>
      </c>
      <c r="L679" s="16" t="n">
        <v>-27</v>
      </c>
      <c r="M679" s="16" t="n">
        <v>0.2805391546939655</v>
      </c>
      <c r="N679" s="16" t="n">
        <v>452</v>
      </c>
      <c r="O679" s="16" t="n">
        <v>0</v>
      </c>
      <c r="P679" s="16" t="n">
        <v>17.53883974857439</v>
      </c>
      <c r="Q679" t="n">
        <v>384973</v>
      </c>
      <c r="R679" t="n">
        <v>382241</v>
      </c>
      <c r="S679" t="n">
        <v>329540</v>
      </c>
      <c r="T679" t="n">
        <v>45738</v>
      </c>
      <c r="U679" t="n">
        <v>10764</v>
      </c>
      <c r="V679" t="n">
        <v>0.7096601579851054</v>
      </c>
      <c r="W679" t="n">
        <v>-0.01</v>
      </c>
      <c r="X679" s="16">
        <f>IFERROR(K679/E679*100,"")</f>
        <v/>
      </c>
      <c r="Y679" s="16">
        <f>IFERROR((N679+O679)/E679*100,"")</f>
        <v/>
      </c>
      <c r="Z679" s="16">
        <f>IFERROR(R679/F679*100,"")</f>
        <v/>
      </c>
      <c r="AA679" s="16">
        <f>IFERROR(R679/E679*100,"")</f>
        <v/>
      </c>
      <c r="AB679" s="16">
        <f>IFERROR(S679/Q679*100,"")</f>
        <v/>
      </c>
      <c r="AC679" s="16">
        <f>IFERROR(T679/Q679*100,"")</f>
        <v/>
      </c>
      <c r="AD679" s="16">
        <f>IFERROR(U679/Q679*100,"")</f>
        <v/>
      </c>
      <c r="AE679" s="18">
        <f>IFERROR(E679/E675-1,"")</f>
        <v/>
      </c>
      <c r="AF679" s="18">
        <f>IFERROR(R679/R675-1,"")</f>
        <v/>
      </c>
      <c r="AG679" s="18">
        <f>IFERROR(F679/F675-1,"")</f>
        <v/>
      </c>
      <c r="AH679">
        <f>P679&gt;0</f>
        <v/>
      </c>
    </row>
    <row r="680">
      <c r="A680" s="14" t="n">
        <v>45291</v>
      </c>
      <c r="B680" t="n">
        <v>33418</v>
      </c>
      <c r="C680" t="inlineStr">
        <is>
          <t>LEDYARD NATIONAL BANK</t>
        </is>
      </c>
      <c r="D680" t="inlineStr">
        <is>
          <t>VT</t>
        </is>
      </c>
      <c r="E680" t="n">
        <v>854116</v>
      </c>
      <c r="F680" t="n">
        <v>664122</v>
      </c>
      <c r="G680" t="n">
        <v>68784</v>
      </c>
      <c r="H680" s="16" t="n">
        <v>0.532293820018618</v>
      </c>
      <c r="I680" s="16" t="n">
        <v>6.16</v>
      </c>
      <c r="J680" s="16" t="n">
        <v>2.54550855392525</v>
      </c>
      <c r="K680" s="16" t="n">
        <v>1741</v>
      </c>
      <c r="L680" s="16" t="n">
        <v>-50</v>
      </c>
      <c r="M680" s="16" t="n">
        <v>0.4157314102870242</v>
      </c>
      <c r="N680" s="16" t="n">
        <v>1957</v>
      </c>
      <c r="O680" s="16" t="n">
        <v>0</v>
      </c>
      <c r="P680" s="16" t="n">
        <v>16.20275384761596</v>
      </c>
      <c r="Q680" t="n">
        <v>418780</v>
      </c>
      <c r="R680" t="n">
        <v>416000</v>
      </c>
      <c r="S680" t="n">
        <v>354004</v>
      </c>
      <c r="T680" t="n">
        <v>52712</v>
      </c>
      <c r="U680" t="n">
        <v>11771</v>
      </c>
      <c r="V680" t="n">
        <v>0.6638330388270691</v>
      </c>
      <c r="W680" t="n">
        <v>0.09</v>
      </c>
      <c r="X680" s="16">
        <f>IFERROR(K680/E680*100,"")</f>
        <v/>
      </c>
      <c r="Y680" s="16">
        <f>IFERROR((N680+O680)/E680*100,"")</f>
        <v/>
      </c>
      <c r="Z680" s="16">
        <f>IFERROR(R680/F680*100,"")</f>
        <v/>
      </c>
      <c r="AA680" s="16">
        <f>IFERROR(R680/E680*100,"")</f>
        <v/>
      </c>
      <c r="AB680" s="16">
        <f>IFERROR(S680/Q680*100,"")</f>
        <v/>
      </c>
      <c r="AC680" s="16">
        <f>IFERROR(T680/Q680*100,"")</f>
        <v/>
      </c>
      <c r="AD680" s="16">
        <f>IFERROR(U680/Q680*100,"")</f>
        <v/>
      </c>
      <c r="AE680" s="18">
        <f>IFERROR(E680/E676-1,"")</f>
        <v/>
      </c>
      <c r="AF680" s="18">
        <f>IFERROR(R680/R676-1,"")</f>
        <v/>
      </c>
      <c r="AG680" s="18">
        <f>IFERROR(F680/F676-1,"")</f>
        <v/>
      </c>
      <c r="AH680">
        <f>P680&gt;0</f>
        <v/>
      </c>
    </row>
    <row r="681">
      <c r="A681" s="14" t="n">
        <v>45382</v>
      </c>
      <c r="B681" t="n">
        <v>33418</v>
      </c>
      <c r="C681" t="inlineStr">
        <is>
          <t>LEDYARD NATIONAL BANK</t>
        </is>
      </c>
      <c r="D681" t="inlineStr">
        <is>
          <t>VT</t>
        </is>
      </c>
      <c r="E681" t="n">
        <v>893621</v>
      </c>
      <c r="F681" t="n">
        <v>783873</v>
      </c>
      <c r="G681" t="n">
        <v>68407</v>
      </c>
      <c r="H681" s="16" t="n">
        <v>0.3172101981018883</v>
      </c>
      <c r="I681" s="16" t="n">
        <v>4.04</v>
      </c>
      <c r="J681" s="16" t="n">
        <v>2.16942321806463</v>
      </c>
      <c r="K681" s="16" t="n">
        <v>1692</v>
      </c>
      <c r="L681" s="16" t="n">
        <v>-5</v>
      </c>
      <c r="M681" s="16" t="n">
        <v>0.3698772977971315</v>
      </c>
      <c r="N681" s="16" t="n">
        <v>118</v>
      </c>
      <c r="O681" s="16" t="n">
        <v>0</v>
      </c>
      <c r="P681" s="16" t="n">
        <v>14.9143227744402</v>
      </c>
      <c r="Q681" t="n">
        <v>457449</v>
      </c>
      <c r="R681" t="n">
        <v>454127</v>
      </c>
      <c r="S681" t="n">
        <v>381804</v>
      </c>
      <c r="T681" t="n">
        <v>61228</v>
      </c>
      <c r="U681" t="n">
        <v>14835</v>
      </c>
      <c r="V681" t="n">
        <v>0.7262011721525241</v>
      </c>
      <c r="W681" t="n">
        <v>0.22</v>
      </c>
      <c r="X681" s="16">
        <f>IFERROR(K681/E681*100,"")</f>
        <v/>
      </c>
      <c r="Y681" s="16">
        <f>IFERROR((N681+O681)/E681*100,"")</f>
        <v/>
      </c>
      <c r="Z681" s="16">
        <f>IFERROR(R681/F681*100,"")</f>
        <v/>
      </c>
      <c r="AA681" s="16">
        <f>IFERROR(R681/E681*100,"")</f>
        <v/>
      </c>
      <c r="AB681" s="16">
        <f>IFERROR(S681/Q681*100,"")</f>
        <v/>
      </c>
      <c r="AC681" s="16">
        <f>IFERROR(T681/Q681*100,"")</f>
        <v/>
      </c>
      <c r="AD681" s="16">
        <f>IFERROR(U681/Q681*100,"")</f>
        <v/>
      </c>
      <c r="AE681" s="18">
        <f>IFERROR(E681/E677-1,"")</f>
        <v/>
      </c>
      <c r="AF681" s="18">
        <f>IFERROR(R681/R677-1,"")</f>
        <v/>
      </c>
      <c r="AG681" s="18">
        <f>IFERROR(F681/F677-1,"")</f>
        <v/>
      </c>
      <c r="AH681">
        <f>P681&gt;0</f>
        <v/>
      </c>
    </row>
    <row r="682">
      <c r="A682" s="14" t="n">
        <v>45473</v>
      </c>
      <c r="B682" t="n">
        <v>33418</v>
      </c>
      <c r="C682" t="inlineStr">
        <is>
          <t>LEDYARD NATIONAL BANK</t>
        </is>
      </c>
      <c r="D682" t="inlineStr">
        <is>
          <t>VT</t>
        </is>
      </c>
      <c r="E682" t="n">
        <v>907185</v>
      </c>
      <c r="F682" t="n">
        <v>797623</v>
      </c>
      <c r="G682" t="n">
        <v>68495</v>
      </c>
      <c r="H682" s="16" t="n">
        <v>0.3747002736803567</v>
      </c>
      <c r="I682" s="16" t="n">
        <v>4.84</v>
      </c>
      <c r="J682" s="16" t="n">
        <v>2.213732173413508</v>
      </c>
      <c r="K682" s="16" t="n">
        <v>964</v>
      </c>
      <c r="L682" s="16" t="n">
        <v>-4</v>
      </c>
      <c r="M682" s="16" t="n">
        <v>0.1943242796495712</v>
      </c>
      <c r="N682" s="16" t="n">
        <v>641</v>
      </c>
      <c r="O682" s="16" t="n">
        <v>0</v>
      </c>
      <c r="P682" s="16" t="n">
        <v>14.39763039786014</v>
      </c>
      <c r="Q682" t="n">
        <v>496078</v>
      </c>
      <c r="R682" t="n">
        <v>492669</v>
      </c>
      <c r="S682" t="n">
        <v>409365</v>
      </c>
      <c r="T682" t="n">
        <v>70095</v>
      </c>
      <c r="U682" t="n">
        <v>17201</v>
      </c>
      <c r="V682" t="n">
        <v>0.6871903208769589</v>
      </c>
      <c r="W682" t="n">
        <v>0.14</v>
      </c>
      <c r="X682" s="16">
        <f>IFERROR(K682/E682*100,"")</f>
        <v/>
      </c>
      <c r="Y682" s="16">
        <f>IFERROR((N682+O682)/E682*100,"")</f>
        <v/>
      </c>
      <c r="Z682" s="16">
        <f>IFERROR(R682/F682*100,"")</f>
        <v/>
      </c>
      <c r="AA682" s="16">
        <f>IFERROR(R682/E682*100,"")</f>
        <v/>
      </c>
      <c r="AB682" s="16">
        <f>IFERROR(S682/Q682*100,"")</f>
        <v/>
      </c>
      <c r="AC682" s="16">
        <f>IFERROR(T682/Q682*100,"")</f>
        <v/>
      </c>
      <c r="AD682" s="16">
        <f>IFERROR(U682/Q682*100,"")</f>
        <v/>
      </c>
      <c r="AE682" s="18">
        <f>IFERROR(E682/E678-1,"")</f>
        <v/>
      </c>
      <c r="AF682" s="18">
        <f>IFERROR(R682/R678-1,"")</f>
        <v/>
      </c>
      <c r="AG682" s="18">
        <f>IFERROR(F682/F678-1,"")</f>
        <v/>
      </c>
      <c r="AH682">
        <f>P682&gt;0</f>
        <v/>
      </c>
    </row>
    <row r="683">
      <c r="A683" s="14" t="n">
        <v>45565</v>
      </c>
      <c r="B683" t="n">
        <v>33418</v>
      </c>
      <c r="C683" t="inlineStr">
        <is>
          <t>LEDYARD NATIONAL BANK</t>
        </is>
      </c>
      <c r="D683" t="inlineStr">
        <is>
          <t>VT</t>
        </is>
      </c>
      <c r="E683" t="n">
        <v>938865</v>
      </c>
      <c r="F683" t="n">
        <v>826469</v>
      </c>
      <c r="G683" t="n">
        <v>69813</v>
      </c>
      <c r="H683" s="16" t="n">
        <v>0.3957842910556468</v>
      </c>
      <c r="I683" s="16" t="n">
        <v>5.16</v>
      </c>
      <c r="J683" s="16" t="n">
        <v>2.233295946208788</v>
      </c>
      <c r="K683" s="16" t="n">
        <v>1024</v>
      </c>
      <c r="L683" s="16" t="n">
        <v>-5</v>
      </c>
      <c r="M683" s="16" t="n">
        <v>0.1924258624869163</v>
      </c>
      <c r="N683" s="16" t="n">
        <v>278</v>
      </c>
      <c r="O683" s="16" t="n">
        <v>0</v>
      </c>
      <c r="P683" s="16" t="n">
        <v>13.95292523811182</v>
      </c>
      <c r="Q683" t="n">
        <v>532153</v>
      </c>
      <c r="R683" t="n">
        <v>528482</v>
      </c>
      <c r="S683" t="n">
        <v>442986</v>
      </c>
      <c r="T683" t="n">
        <v>72013</v>
      </c>
      <c r="U683" t="n">
        <v>16431</v>
      </c>
      <c r="V683" t="n">
        <v>0.6898392003803417</v>
      </c>
      <c r="W683" t="n">
        <v>0.12</v>
      </c>
      <c r="X683" s="16">
        <f>IFERROR(K683/E683*100,"")</f>
        <v/>
      </c>
      <c r="Y683" s="16">
        <f>IFERROR((N683+O683)/E683*100,"")</f>
        <v/>
      </c>
      <c r="Z683" s="16">
        <f>IFERROR(R683/F683*100,"")</f>
        <v/>
      </c>
      <c r="AA683" s="16">
        <f>IFERROR(R683/E683*100,"")</f>
        <v/>
      </c>
      <c r="AB683" s="16">
        <f>IFERROR(S683/Q683*100,"")</f>
        <v/>
      </c>
      <c r="AC683" s="16">
        <f>IFERROR(T683/Q683*100,"")</f>
        <v/>
      </c>
      <c r="AD683" s="16">
        <f>IFERROR(U683/Q683*100,"")</f>
        <v/>
      </c>
      <c r="AE683" s="18">
        <f>IFERROR(E683/E679-1,"")</f>
        <v/>
      </c>
      <c r="AF683" s="18">
        <f>IFERROR(R683/R679-1,"")</f>
        <v/>
      </c>
      <c r="AG683" s="18">
        <f>IFERROR(F683/F679-1,"")</f>
        <v/>
      </c>
      <c r="AH683">
        <f>P683&gt;0</f>
        <v/>
      </c>
    </row>
    <row r="684">
      <c r="A684" s="14" t="n">
        <v>45657</v>
      </c>
      <c r="B684" t="n">
        <v>33418</v>
      </c>
      <c r="C684" t="inlineStr">
        <is>
          <t>LEDYARD NATIONAL BANK</t>
        </is>
      </c>
      <c r="D684" t="inlineStr">
        <is>
          <t>VT</t>
        </is>
      </c>
      <c r="E684" t="n">
        <v>950082</v>
      </c>
      <c r="F684" t="n">
        <v>811387</v>
      </c>
      <c r="G684" t="n">
        <v>69717</v>
      </c>
      <c r="H684" s="16" t="n">
        <v>0.4663426696500273</v>
      </c>
      <c r="I684" s="16" t="n">
        <v>6.14</v>
      </c>
      <c r="J684" s="16" t="n">
        <v>2.292826260376585</v>
      </c>
      <c r="K684" s="16" t="n">
        <v>1277</v>
      </c>
      <c r="L684" s="16" t="n">
        <v>-53</v>
      </c>
      <c r="M684" s="16" t="n">
        <v>0.2202768554055802</v>
      </c>
      <c r="N684" s="16" t="n">
        <v>451</v>
      </c>
      <c r="O684" s="16" t="n">
        <v>0</v>
      </c>
      <c r="P684" s="16" t="n">
        <v>12.72446699767464</v>
      </c>
      <c r="Q684" t="n">
        <v>579725</v>
      </c>
      <c r="R684" t="n">
        <v>575966</v>
      </c>
      <c r="S684" t="n">
        <v>490295</v>
      </c>
      <c r="T684" t="n">
        <v>72559</v>
      </c>
      <c r="U684" t="n">
        <v>17090</v>
      </c>
      <c r="V684" t="n">
        <v>0.6484108844710854</v>
      </c>
      <c r="W684" t="n">
        <v>0.07000000000000001</v>
      </c>
      <c r="X684" s="16">
        <f>IFERROR(K684/E684*100,"")</f>
        <v/>
      </c>
      <c r="Y684" s="16">
        <f>IFERROR((N684+O684)/E684*100,"")</f>
        <v/>
      </c>
      <c r="Z684" s="16">
        <f>IFERROR(R684/F684*100,"")</f>
        <v/>
      </c>
      <c r="AA684" s="16">
        <f>IFERROR(R684/E684*100,"")</f>
        <v/>
      </c>
      <c r="AB684" s="16">
        <f>IFERROR(S684/Q684*100,"")</f>
        <v/>
      </c>
      <c r="AC684" s="16">
        <f>IFERROR(T684/Q684*100,"")</f>
        <v/>
      </c>
      <c r="AD684" s="16">
        <f>IFERROR(U684/Q684*100,"")</f>
        <v/>
      </c>
      <c r="AE684" s="18">
        <f>IFERROR(E684/E680-1,"")</f>
        <v/>
      </c>
      <c r="AF684" s="18">
        <f>IFERROR(R684/R680-1,"")</f>
        <v/>
      </c>
      <c r="AG684" s="18">
        <f>IFERROR(F684/F680-1,"")</f>
        <v/>
      </c>
      <c r="AH684">
        <f>P684&gt;0</f>
        <v/>
      </c>
    </row>
    <row r="685">
      <c r="A685" s="14" t="n">
        <v>45747</v>
      </c>
      <c r="B685" t="n">
        <v>33418</v>
      </c>
      <c r="C685" t="inlineStr">
        <is>
          <t>LEDYARD NATIONAL BANK</t>
        </is>
      </c>
      <c r="D685" t="inlineStr">
        <is>
          <t>VT</t>
        </is>
      </c>
      <c r="E685" t="n">
        <v>974770</v>
      </c>
      <c r="F685" t="n">
        <v>799352</v>
      </c>
      <c r="G685" t="n">
        <v>70425</v>
      </c>
      <c r="H685" s="16" t="n">
        <v>0.599734421139911</v>
      </c>
      <c r="I685" s="16" t="n">
        <v>8.24</v>
      </c>
      <c r="J685" s="16" t="n">
        <v>2.574887907925945</v>
      </c>
      <c r="K685" s="16" t="n">
        <v>1231</v>
      </c>
      <c r="L685" s="16" t="n">
        <v>18</v>
      </c>
      <c r="M685" s="16" t="n">
        <v>0.2022468956498023</v>
      </c>
      <c r="N685" s="16" t="n">
        <v>526</v>
      </c>
      <c r="O685" s="16" t="n">
        <v>0</v>
      </c>
      <c r="P685" s="16" t="n">
        <v>12.45162425237481</v>
      </c>
      <c r="Q685" t="n">
        <v>608662</v>
      </c>
      <c r="R685" t="n">
        <v>604485</v>
      </c>
      <c r="S685" t="n">
        <v>511573</v>
      </c>
      <c r="T685" t="n">
        <v>78920</v>
      </c>
      <c r="U685" t="n">
        <v>18037</v>
      </c>
      <c r="V685" t="n">
        <v>0.6862593689108241</v>
      </c>
      <c r="W685" t="n">
        <v>0.2</v>
      </c>
      <c r="X685" s="16">
        <f>IFERROR(K685/E685*100,"")</f>
        <v/>
      </c>
      <c r="Y685" s="16">
        <f>IFERROR((N685+O685)/E685*100,"")</f>
        <v/>
      </c>
      <c r="Z685" s="16">
        <f>IFERROR(R685/F685*100,"")</f>
        <v/>
      </c>
      <c r="AA685" s="16">
        <f>IFERROR(R685/E685*100,"")</f>
        <v/>
      </c>
      <c r="AB685" s="16">
        <f>IFERROR(S685/Q685*100,"")</f>
        <v/>
      </c>
      <c r="AC685" s="16">
        <f>IFERROR(T685/Q685*100,"")</f>
        <v/>
      </c>
      <c r="AD685" s="16">
        <f>IFERROR(U685/Q685*100,"")</f>
        <v/>
      </c>
      <c r="AE685" s="18">
        <f>IFERROR(E685/E681-1,"")</f>
        <v/>
      </c>
      <c r="AF685" s="18">
        <f>IFERROR(R685/R681-1,"")</f>
        <v/>
      </c>
      <c r="AG685" s="18">
        <f>IFERROR(F685/F681-1,"")</f>
        <v/>
      </c>
      <c r="AH685">
        <f>P685&gt;0</f>
        <v/>
      </c>
    </row>
    <row r="686">
      <c r="A686" s="14" t="n">
        <v>45838</v>
      </c>
      <c r="B686" t="n">
        <v>33418</v>
      </c>
      <c r="C686" t="inlineStr">
        <is>
          <t>LEDYARD NATIONAL BANK</t>
        </is>
      </c>
      <c r="D686" t="inlineStr">
        <is>
          <t>VT</t>
        </is>
      </c>
      <c r="E686" t="n">
        <v>993609</v>
      </c>
      <c r="F686" t="n">
        <v>817518</v>
      </c>
      <c r="G686" t="n">
        <v>69945</v>
      </c>
      <c r="H686" s="16" t="n">
        <v>0.6188193023651849</v>
      </c>
      <c r="I686" s="16" t="n">
        <v>8.6</v>
      </c>
      <c r="J686" s="16" t="n">
        <v>2.58498658033812</v>
      </c>
      <c r="K686" s="16" t="n">
        <v>1191</v>
      </c>
      <c r="L686" s="16" t="n">
        <v>-3</v>
      </c>
      <c r="M686" s="16" t="n">
        <v>0.1892413661605929</v>
      </c>
      <c r="N686" s="16" t="n">
        <v>580</v>
      </c>
      <c r="O686" s="16" t="n">
        <v>0</v>
      </c>
      <c r="P686" s="16" t="n">
        <v>12.42610390755167</v>
      </c>
      <c r="Q686" t="n">
        <v>629355</v>
      </c>
      <c r="R686" t="n">
        <v>624935</v>
      </c>
      <c r="S686" t="n">
        <v>528008</v>
      </c>
      <c r="T686" t="n">
        <v>83984</v>
      </c>
      <c r="U686" t="n">
        <v>17087</v>
      </c>
      <c r="V686" t="n">
        <v>0.7023063294960713</v>
      </c>
      <c r="W686" t="n">
        <v>0.14</v>
      </c>
      <c r="X686" s="16">
        <f>IFERROR(K686/E686*100,"")</f>
        <v/>
      </c>
      <c r="Y686" s="16">
        <f>IFERROR((N686+O686)/E686*100,"")</f>
        <v/>
      </c>
      <c r="Z686" s="16">
        <f>IFERROR(R686/F686*100,"")</f>
        <v/>
      </c>
      <c r="AA686" s="16">
        <f>IFERROR(R686/E686*100,"")</f>
        <v/>
      </c>
      <c r="AB686" s="16">
        <f>IFERROR(S686/Q686*100,"")</f>
        <v/>
      </c>
      <c r="AC686" s="16">
        <f>IFERROR(T686/Q686*100,"")</f>
        <v/>
      </c>
      <c r="AD686" s="16">
        <f>IFERROR(U686/Q686*100,"")</f>
        <v/>
      </c>
      <c r="AE686" s="18">
        <f>IFERROR(E686/E682-1,"")</f>
        <v/>
      </c>
      <c r="AF686" s="18">
        <f>IFERROR(R686/R682-1,"")</f>
        <v/>
      </c>
      <c r="AG686" s="18">
        <f>IFERROR(F686/F682-1,"")</f>
        <v/>
      </c>
      <c r="AH686">
        <f>P686&gt;0</f>
        <v/>
      </c>
    </row>
    <row r="687">
      <c r="A687" s="14" t="n">
        <v>44742</v>
      </c>
      <c r="B687" t="n">
        <v>35206</v>
      </c>
      <c r="C687" t="inlineStr">
        <is>
          <t>FIDELITY PERSONAL TRUST COMPANY, FSB</t>
        </is>
      </c>
      <c r="D687" t="inlineStr">
        <is>
          <t>NH</t>
        </is>
      </c>
      <c r="E687" t="n">
        <v>62457</v>
      </c>
      <c r="F687" t="n">
        <v>500</v>
      </c>
      <c r="G687" t="n">
        <v>57487</v>
      </c>
      <c r="H687" s="16" t="n">
        <v>2.277314679280751</v>
      </c>
      <c r="I687" s="16" t="n">
        <v>2.59</v>
      </c>
      <c r="J687" s="16" t="n">
        <v>3.172668325799516</v>
      </c>
      <c r="K687" s="16" t="n">
        <v>0</v>
      </c>
      <c r="L687" s="16" t="n">
        <v>0</v>
      </c>
      <c r="M687" s="16" t="n">
        <v>0</v>
      </c>
      <c r="N687" s="16" t="n">
        <v>0</v>
      </c>
      <c r="O687" s="16" t="n">
        <v>0</v>
      </c>
      <c r="P687" s="16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s="16">
        <f>IFERROR(K687/E687*100,"")</f>
        <v/>
      </c>
      <c r="Y687" s="16">
        <f>IFERROR((N687+O687)/E687*100,"")</f>
        <v/>
      </c>
      <c r="Z687" s="16">
        <f>IFERROR(R687/F687*100,"")</f>
        <v/>
      </c>
      <c r="AA687" s="16">
        <f>IFERROR(R687/E687*100,"")</f>
        <v/>
      </c>
      <c r="AB687" s="16">
        <f>IFERROR(S687/Q687*100,"")</f>
        <v/>
      </c>
      <c r="AC687" s="16">
        <f>IFERROR(T687/Q687*100,"")</f>
        <v/>
      </c>
      <c r="AD687" s="16">
        <f>IFERROR(U687/Q687*100,"")</f>
        <v/>
      </c>
      <c r="AE687" s="18" t="n"/>
      <c r="AF687" s="18" t="n"/>
      <c r="AG687" s="18" t="n"/>
      <c r="AH687">
        <f>P687&gt;0</f>
        <v/>
      </c>
    </row>
    <row r="688">
      <c r="A688" s="14" t="n">
        <v>44834</v>
      </c>
      <c r="B688" t="n">
        <v>35206</v>
      </c>
      <c r="C688" t="inlineStr">
        <is>
          <t>FIDELITY PERSONAL TRUST COMPANY, FSB</t>
        </is>
      </c>
      <c r="D688" t="inlineStr">
        <is>
          <t>NH</t>
        </is>
      </c>
      <c r="E688" t="n">
        <v>60178</v>
      </c>
      <c r="F688" t="n">
        <v>500</v>
      </c>
      <c r="G688" t="n">
        <v>57817</v>
      </c>
      <c r="H688" s="16" t="n">
        <v>2.236804940344709</v>
      </c>
      <c r="I688" s="16" t="n">
        <v>2.49</v>
      </c>
      <c r="J688" s="16" t="n">
        <v>3.624022627712049</v>
      </c>
      <c r="K688" s="16" t="n">
        <v>0</v>
      </c>
      <c r="L688" s="16" t="n">
        <v>0</v>
      </c>
      <c r="M688" s="16" t="n">
        <v>0</v>
      </c>
      <c r="N688" s="16" t="n">
        <v>0</v>
      </c>
      <c r="O688" s="16" t="n">
        <v>0</v>
      </c>
      <c r="P688" s="16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s="16">
        <f>IFERROR(K688/E688*100,"")</f>
        <v/>
      </c>
      <c r="Y688" s="16">
        <f>IFERROR((N688+O688)/E688*100,"")</f>
        <v/>
      </c>
      <c r="Z688" s="16">
        <f>IFERROR(R688/F688*100,"")</f>
        <v/>
      </c>
      <c r="AA688" s="16">
        <f>IFERROR(R688/E688*100,"")</f>
        <v/>
      </c>
      <c r="AB688" s="16">
        <f>IFERROR(S688/Q688*100,"")</f>
        <v/>
      </c>
      <c r="AC688" s="16">
        <f>IFERROR(T688/Q688*100,"")</f>
        <v/>
      </c>
      <c r="AD688" s="16">
        <f>IFERROR(U688/Q688*100,"")</f>
        <v/>
      </c>
      <c r="AE688" s="18" t="n"/>
      <c r="AF688" s="18" t="n"/>
      <c r="AG688" s="18" t="n"/>
      <c r="AH688">
        <f>P688&gt;0</f>
        <v/>
      </c>
    </row>
    <row r="689">
      <c r="A689" s="14" t="n">
        <v>44926</v>
      </c>
      <c r="B689" t="n">
        <v>35206</v>
      </c>
      <c r="C689" t="inlineStr">
        <is>
          <t>FIDELITY PERSONAL TRUST COMPANY, FSB</t>
        </is>
      </c>
      <c r="D689" t="inlineStr">
        <is>
          <t>NH</t>
        </is>
      </c>
      <c r="E689" t="n">
        <v>65008</v>
      </c>
      <c r="F689" t="n">
        <v>500</v>
      </c>
      <c r="G689" t="n">
        <v>60620</v>
      </c>
      <c r="H689" s="16" t="n">
        <v>6.052099321952302</v>
      </c>
      <c r="I689" s="16" t="n">
        <v>6.69</v>
      </c>
      <c r="J689" s="16" t="n">
        <v>4.031065851629273</v>
      </c>
      <c r="K689" s="16" t="n">
        <v>0</v>
      </c>
      <c r="L689" s="16" t="n">
        <v>0</v>
      </c>
      <c r="M689" s="16" t="n">
        <v>0</v>
      </c>
      <c r="N689" s="16" t="n">
        <v>0</v>
      </c>
      <c r="O689" s="16" t="n">
        <v>0</v>
      </c>
      <c r="P689" s="16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s="16">
        <f>IFERROR(K689/E689*100,"")</f>
        <v/>
      </c>
      <c r="Y689" s="16">
        <f>IFERROR((N689+O689)/E689*100,"")</f>
        <v/>
      </c>
      <c r="Z689" s="16">
        <f>IFERROR(R689/F689*100,"")</f>
        <v/>
      </c>
      <c r="AA689" s="16">
        <f>IFERROR(R689/E689*100,"")</f>
        <v/>
      </c>
      <c r="AB689" s="16">
        <f>IFERROR(S689/Q689*100,"")</f>
        <v/>
      </c>
      <c r="AC689" s="16">
        <f>IFERROR(T689/Q689*100,"")</f>
        <v/>
      </c>
      <c r="AD689" s="16">
        <f>IFERROR(U689/Q689*100,"")</f>
        <v/>
      </c>
      <c r="AE689" s="18" t="n"/>
      <c r="AF689" s="18" t="n"/>
      <c r="AG689" s="18" t="n"/>
      <c r="AH689">
        <f>P689&gt;0</f>
        <v/>
      </c>
    </row>
    <row r="690">
      <c r="A690" s="14" t="n">
        <v>45016</v>
      </c>
      <c r="B690" t="n">
        <v>35206</v>
      </c>
      <c r="C690" t="inlineStr">
        <is>
          <t>FIDELITY PERSONAL TRUST COMPANY, FSB</t>
        </is>
      </c>
      <c r="D690" t="inlineStr">
        <is>
          <t>NH</t>
        </is>
      </c>
      <c r="E690" t="n">
        <v>66610</v>
      </c>
      <c r="F690" t="n">
        <v>500</v>
      </c>
      <c r="G690" t="n">
        <v>64048</v>
      </c>
      <c r="H690" s="16" t="n">
        <v>20.83605585862116</v>
      </c>
      <c r="I690" s="16" t="n">
        <v>22</v>
      </c>
      <c r="J690" s="16" t="n">
        <v>4.349433632482942</v>
      </c>
      <c r="K690" s="16" t="n">
        <v>0</v>
      </c>
      <c r="L690" s="16" t="n">
        <v>0</v>
      </c>
      <c r="M690" s="16" t="n">
        <v>0</v>
      </c>
      <c r="N690" s="16" t="n">
        <v>0</v>
      </c>
      <c r="O690" s="16" t="n">
        <v>0</v>
      </c>
      <c r="P690" s="16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s="16">
        <f>IFERROR(K690/E690*100,"")</f>
        <v/>
      </c>
      <c r="Y690" s="16">
        <f>IFERROR((N690+O690)/E690*100,"")</f>
        <v/>
      </c>
      <c r="Z690" s="16">
        <f>IFERROR(R690/F690*100,"")</f>
        <v/>
      </c>
      <c r="AA690" s="16">
        <f>IFERROR(R690/E690*100,"")</f>
        <v/>
      </c>
      <c r="AB690" s="16">
        <f>IFERROR(S690/Q690*100,"")</f>
        <v/>
      </c>
      <c r="AC690" s="16">
        <f>IFERROR(T690/Q690*100,"")</f>
        <v/>
      </c>
      <c r="AD690" s="16">
        <f>IFERROR(U690/Q690*100,"")</f>
        <v/>
      </c>
      <c r="AE690" s="18" t="n"/>
      <c r="AF690" s="18" t="n"/>
      <c r="AG690" s="18" t="n"/>
      <c r="AH690">
        <f>P690&gt;0</f>
        <v/>
      </c>
    </row>
    <row r="691">
      <c r="A691" s="14" t="n">
        <v>45107</v>
      </c>
      <c r="B691" t="n">
        <v>35206</v>
      </c>
      <c r="C691" t="inlineStr">
        <is>
          <t>FIDELITY PERSONAL TRUST COMPANY, FSB</t>
        </is>
      </c>
      <c r="D691" t="inlineStr">
        <is>
          <t>NH</t>
        </is>
      </c>
      <c r="E691" t="n">
        <v>69697</v>
      </c>
      <c r="F691" t="n">
        <v>500</v>
      </c>
      <c r="G691" t="n">
        <v>67177</v>
      </c>
      <c r="H691" s="16" t="n">
        <v>19.54250800983533</v>
      </c>
      <c r="I691" s="16" t="n">
        <v>20.51</v>
      </c>
      <c r="J691" s="16" t="n">
        <v>4.70983556889856</v>
      </c>
      <c r="K691" s="16" t="n">
        <v>0</v>
      </c>
      <c r="L691" s="16" t="n">
        <v>0</v>
      </c>
      <c r="M691" s="16" t="n">
        <v>0</v>
      </c>
      <c r="N691" s="16" t="n">
        <v>0</v>
      </c>
      <c r="O691" s="16" t="n">
        <v>0</v>
      </c>
      <c r="P691" s="16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s="16">
        <f>IFERROR(K691/E691*100,"")</f>
        <v/>
      </c>
      <c r="Y691" s="16">
        <f>IFERROR((N691+O691)/E691*100,"")</f>
        <v/>
      </c>
      <c r="Z691" s="16">
        <f>IFERROR(R691/F691*100,"")</f>
        <v/>
      </c>
      <c r="AA691" s="16">
        <f>IFERROR(R691/E691*100,"")</f>
        <v/>
      </c>
      <c r="AB691" s="16">
        <f>IFERROR(S691/Q691*100,"")</f>
        <v/>
      </c>
      <c r="AC691" s="16">
        <f>IFERROR(T691/Q691*100,"")</f>
        <v/>
      </c>
      <c r="AD691" s="16">
        <f>IFERROR(U691/Q691*100,"")</f>
        <v/>
      </c>
      <c r="AE691" s="18">
        <f>IFERROR(E691/E687-1,"")</f>
        <v/>
      </c>
      <c r="AF691" s="18">
        <f>IFERROR(R691/R687-1,"")</f>
        <v/>
      </c>
      <c r="AG691" s="18">
        <f>IFERROR(F691/F687-1,"")</f>
        <v/>
      </c>
      <c r="AH691">
        <f>P691&gt;0</f>
        <v/>
      </c>
    </row>
    <row r="692">
      <c r="A692" s="14" t="n">
        <v>45199</v>
      </c>
      <c r="B692" t="n">
        <v>35206</v>
      </c>
      <c r="C692" t="inlineStr">
        <is>
          <t>FIDELITY PERSONAL TRUST COMPANY, FSB</t>
        </is>
      </c>
      <c r="D692" t="inlineStr">
        <is>
          <t>NH</t>
        </is>
      </c>
      <c r="E692" t="n">
        <v>71615</v>
      </c>
      <c r="F692" t="n">
        <v>500</v>
      </c>
      <c r="G692" t="n">
        <v>69069</v>
      </c>
      <c r="H692" s="16" t="n">
        <v>16.50980353936907</v>
      </c>
      <c r="I692" s="16" t="n">
        <v>17.27</v>
      </c>
      <c r="J692" s="16" t="n">
        <v>4.553337809736584</v>
      </c>
      <c r="K692" s="16" t="n">
        <v>0</v>
      </c>
      <c r="L692" s="16" t="n">
        <v>0</v>
      </c>
      <c r="M692" s="16" t="n">
        <v>0</v>
      </c>
      <c r="N692" s="16" t="n">
        <v>0</v>
      </c>
      <c r="O692" s="16" t="n">
        <v>0</v>
      </c>
      <c r="P692" s="16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s="16">
        <f>IFERROR(K692/E692*100,"")</f>
        <v/>
      </c>
      <c r="Y692" s="16">
        <f>IFERROR((N692+O692)/E692*100,"")</f>
        <v/>
      </c>
      <c r="Z692" s="16">
        <f>IFERROR(R692/F692*100,"")</f>
        <v/>
      </c>
      <c r="AA692" s="16">
        <f>IFERROR(R692/E692*100,"")</f>
        <v/>
      </c>
      <c r="AB692" s="16">
        <f>IFERROR(S692/Q692*100,"")</f>
        <v/>
      </c>
      <c r="AC692" s="16">
        <f>IFERROR(T692/Q692*100,"")</f>
        <v/>
      </c>
      <c r="AD692" s="16">
        <f>IFERROR(U692/Q692*100,"")</f>
        <v/>
      </c>
      <c r="AE692" s="18">
        <f>IFERROR(E692/E688-1,"")</f>
        <v/>
      </c>
      <c r="AF692" s="18">
        <f>IFERROR(R692/R688-1,"")</f>
        <v/>
      </c>
      <c r="AG692" s="18">
        <f>IFERROR(F692/F688-1,"")</f>
        <v/>
      </c>
      <c r="AH692">
        <f>P692&gt;0</f>
        <v/>
      </c>
    </row>
    <row r="693">
      <c r="A693" s="14" t="n">
        <v>45291</v>
      </c>
      <c r="B693" t="n">
        <v>35206</v>
      </c>
      <c r="C693" t="inlineStr">
        <is>
          <t>FIDELITY PERSONAL TRUST COMPANY, FSB</t>
        </is>
      </c>
      <c r="D693" t="inlineStr">
        <is>
          <t>NH</t>
        </is>
      </c>
      <c r="E693" t="n">
        <v>78004</v>
      </c>
      <c r="F693" t="n">
        <v>500</v>
      </c>
      <c r="G693" t="n">
        <v>74403</v>
      </c>
      <c r="H693" s="16" t="n">
        <v>19.6375956732605</v>
      </c>
      <c r="I693" s="16" t="n">
        <v>20.55</v>
      </c>
      <c r="J693" s="16" t="n">
        <v>4.442825239411031</v>
      </c>
      <c r="K693" s="16" t="n">
        <v>0</v>
      </c>
      <c r="L693" s="16" t="n">
        <v>0</v>
      </c>
      <c r="M693" s="16" t="n">
        <v>0</v>
      </c>
      <c r="N693" s="16" t="n">
        <v>0</v>
      </c>
      <c r="O693" s="16" t="n">
        <v>0</v>
      </c>
      <c r="P693" s="16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s="16">
        <f>IFERROR(K693/E693*100,"")</f>
        <v/>
      </c>
      <c r="Y693" s="16">
        <f>IFERROR((N693+O693)/E693*100,"")</f>
        <v/>
      </c>
      <c r="Z693" s="16">
        <f>IFERROR(R693/F693*100,"")</f>
        <v/>
      </c>
      <c r="AA693" s="16">
        <f>IFERROR(R693/E693*100,"")</f>
        <v/>
      </c>
      <c r="AB693" s="16">
        <f>IFERROR(S693/Q693*100,"")</f>
        <v/>
      </c>
      <c r="AC693" s="16">
        <f>IFERROR(T693/Q693*100,"")</f>
        <v/>
      </c>
      <c r="AD693" s="16">
        <f>IFERROR(U693/Q693*100,"")</f>
        <v/>
      </c>
      <c r="AE693" s="18">
        <f>IFERROR(E693/E689-1,"")</f>
        <v/>
      </c>
      <c r="AF693" s="18">
        <f>IFERROR(R693/R689-1,"")</f>
        <v/>
      </c>
      <c r="AG693" s="18">
        <f>IFERROR(F693/F689-1,"")</f>
        <v/>
      </c>
      <c r="AH693">
        <f>P693&gt;0</f>
        <v/>
      </c>
    </row>
    <row r="694">
      <c r="A694" s="14" t="n">
        <v>45382</v>
      </c>
      <c r="B694" t="n">
        <v>35206</v>
      </c>
      <c r="C694" t="inlineStr">
        <is>
          <t>FIDELITY PERSONAL TRUST COMPANY, FSB</t>
        </is>
      </c>
      <c r="D694" t="inlineStr">
        <is>
          <t>NH</t>
        </is>
      </c>
      <c r="E694" t="n">
        <v>79848</v>
      </c>
      <c r="F694" t="n">
        <v>500</v>
      </c>
      <c r="G694" t="n">
        <v>77369</v>
      </c>
      <c r="H694" s="16" t="n">
        <v>15.03180194105872</v>
      </c>
      <c r="I694" s="16" t="n">
        <v>15.63</v>
      </c>
      <c r="J694" s="16" t="n">
        <v>4.569620077455893</v>
      </c>
      <c r="K694" s="16" t="n">
        <v>0</v>
      </c>
      <c r="L694" s="16" t="n">
        <v>0</v>
      </c>
      <c r="M694" s="16" t="n">
        <v>0</v>
      </c>
      <c r="N694" s="16" t="n">
        <v>0</v>
      </c>
      <c r="O694" s="16" t="n">
        <v>0</v>
      </c>
      <c r="P694" s="16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s="16">
        <f>IFERROR(K694/E694*100,"")</f>
        <v/>
      </c>
      <c r="Y694" s="16">
        <f>IFERROR((N694+O694)/E694*100,"")</f>
        <v/>
      </c>
      <c r="Z694" s="16">
        <f>IFERROR(R694/F694*100,"")</f>
        <v/>
      </c>
      <c r="AA694" s="16">
        <f>IFERROR(R694/E694*100,"")</f>
        <v/>
      </c>
      <c r="AB694" s="16">
        <f>IFERROR(S694/Q694*100,"")</f>
        <v/>
      </c>
      <c r="AC694" s="16">
        <f>IFERROR(T694/Q694*100,"")</f>
        <v/>
      </c>
      <c r="AD694" s="16">
        <f>IFERROR(U694/Q694*100,"")</f>
        <v/>
      </c>
      <c r="AE694" s="18">
        <f>IFERROR(E694/E690-1,"")</f>
        <v/>
      </c>
      <c r="AF694" s="18">
        <f>IFERROR(R694/R690-1,"")</f>
        <v/>
      </c>
      <c r="AG694" s="18">
        <f>IFERROR(F694/F690-1,"")</f>
        <v/>
      </c>
      <c r="AH694">
        <f>P694&gt;0</f>
        <v/>
      </c>
    </row>
    <row r="695">
      <c r="A695" s="14" t="n">
        <v>45473</v>
      </c>
      <c r="B695" t="n">
        <v>35206</v>
      </c>
      <c r="C695" t="inlineStr">
        <is>
          <t>FIDELITY PERSONAL TRUST COMPANY, FSB</t>
        </is>
      </c>
      <c r="D695" t="inlineStr">
        <is>
          <t>NH</t>
        </is>
      </c>
      <c r="E695" t="n">
        <v>84424</v>
      </c>
      <c r="F695" t="n">
        <v>500</v>
      </c>
      <c r="G695" t="n">
        <v>82008</v>
      </c>
      <c r="H695" s="16" t="n">
        <v>18.83389192491208</v>
      </c>
      <c r="I695" s="16" t="n">
        <v>19.52</v>
      </c>
      <c r="J695" s="16" t="n">
        <v>4.695976107714689</v>
      </c>
      <c r="K695" s="16" t="n">
        <v>0</v>
      </c>
      <c r="L695" s="16" t="n">
        <v>0</v>
      </c>
      <c r="M695" s="16" t="n">
        <v>0</v>
      </c>
      <c r="N695" s="16" t="n">
        <v>0</v>
      </c>
      <c r="O695" s="16" t="n">
        <v>0</v>
      </c>
      <c r="P695" s="16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s="16">
        <f>IFERROR(K695/E695*100,"")</f>
        <v/>
      </c>
      <c r="Y695" s="16">
        <f>IFERROR((N695+O695)/E695*100,"")</f>
        <v/>
      </c>
      <c r="Z695" s="16">
        <f>IFERROR(R695/F695*100,"")</f>
        <v/>
      </c>
      <c r="AA695" s="16">
        <f>IFERROR(R695/E695*100,"")</f>
        <v/>
      </c>
      <c r="AB695" s="16">
        <f>IFERROR(S695/Q695*100,"")</f>
        <v/>
      </c>
      <c r="AC695" s="16">
        <f>IFERROR(T695/Q695*100,"")</f>
        <v/>
      </c>
      <c r="AD695" s="16">
        <f>IFERROR(U695/Q695*100,"")</f>
        <v/>
      </c>
      <c r="AE695" s="18">
        <f>IFERROR(E695/E691-1,"")</f>
        <v/>
      </c>
      <c r="AF695" s="18">
        <f>IFERROR(R695/R691-1,"")</f>
        <v/>
      </c>
      <c r="AG695" s="18">
        <f>IFERROR(F695/F691-1,"")</f>
        <v/>
      </c>
      <c r="AH695">
        <f>P695&gt;0</f>
        <v/>
      </c>
    </row>
    <row r="696">
      <c r="A696" s="14" t="n">
        <v>45565</v>
      </c>
      <c r="B696" t="n">
        <v>35206</v>
      </c>
      <c r="C696" t="inlineStr">
        <is>
          <t>FIDELITY PERSONAL TRUST COMPANY, FSB</t>
        </is>
      </c>
      <c r="D696" t="inlineStr">
        <is>
          <t>NH</t>
        </is>
      </c>
      <c r="E696" t="n">
        <v>90470</v>
      </c>
      <c r="F696" t="n">
        <v>500</v>
      </c>
      <c r="G696" t="n">
        <v>87835</v>
      </c>
      <c r="H696" s="16" t="n">
        <v>21.52859610633937</v>
      </c>
      <c r="I696" s="16" t="n">
        <v>22.27</v>
      </c>
      <c r="J696" s="16" t="n">
        <v>4.716079836604865</v>
      </c>
      <c r="K696" s="16" t="n">
        <v>0</v>
      </c>
      <c r="L696" s="16" t="n">
        <v>0</v>
      </c>
      <c r="M696" s="16" t="n">
        <v>0</v>
      </c>
      <c r="N696" s="16" t="n">
        <v>0</v>
      </c>
      <c r="O696" s="16" t="n">
        <v>0</v>
      </c>
      <c r="P696" s="1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s="16">
        <f>IFERROR(K696/E696*100,"")</f>
        <v/>
      </c>
      <c r="Y696" s="16">
        <f>IFERROR((N696+O696)/E696*100,"")</f>
        <v/>
      </c>
      <c r="Z696" s="16">
        <f>IFERROR(R696/F696*100,"")</f>
        <v/>
      </c>
      <c r="AA696" s="16">
        <f>IFERROR(R696/E696*100,"")</f>
        <v/>
      </c>
      <c r="AB696" s="16">
        <f>IFERROR(S696/Q696*100,"")</f>
        <v/>
      </c>
      <c r="AC696" s="16">
        <f>IFERROR(T696/Q696*100,"")</f>
        <v/>
      </c>
      <c r="AD696" s="16">
        <f>IFERROR(U696/Q696*100,"")</f>
        <v/>
      </c>
      <c r="AE696" s="18">
        <f>IFERROR(E696/E692-1,"")</f>
        <v/>
      </c>
      <c r="AF696" s="18">
        <f>IFERROR(R696/R692-1,"")</f>
        <v/>
      </c>
      <c r="AG696" s="18">
        <f>IFERROR(F696/F692-1,"")</f>
        <v/>
      </c>
      <c r="AH696">
        <f>P696&gt;0</f>
        <v/>
      </c>
    </row>
    <row r="697">
      <c r="A697" s="14" t="n">
        <v>45657</v>
      </c>
      <c r="B697" t="n">
        <v>35206</v>
      </c>
      <c r="C697" t="inlineStr">
        <is>
          <t>FIDELITY PERSONAL TRUST COMPANY, FSB</t>
        </is>
      </c>
      <c r="D697" t="inlineStr">
        <is>
          <t>NH</t>
        </is>
      </c>
      <c r="E697" t="n">
        <v>63348</v>
      </c>
      <c r="F697" t="n">
        <v>500</v>
      </c>
      <c r="G697" t="n">
        <v>60476</v>
      </c>
      <c r="H697" s="16" t="n">
        <v>20.28937575424015</v>
      </c>
      <c r="I697" s="16" t="n">
        <v>21.03</v>
      </c>
      <c r="J697" s="16" t="n">
        <v>5.074962497877895</v>
      </c>
      <c r="K697" s="16" t="n">
        <v>0</v>
      </c>
      <c r="L697" s="16" t="n">
        <v>0</v>
      </c>
      <c r="M697" s="16" t="n">
        <v>0</v>
      </c>
      <c r="N697" s="16" t="n">
        <v>0</v>
      </c>
      <c r="O697" s="16" t="n">
        <v>0</v>
      </c>
      <c r="P697" s="16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s="16">
        <f>IFERROR(K697/E697*100,"")</f>
        <v/>
      </c>
      <c r="Y697" s="16">
        <f>IFERROR((N697+O697)/E697*100,"")</f>
        <v/>
      </c>
      <c r="Z697" s="16">
        <f>IFERROR(R697/F697*100,"")</f>
        <v/>
      </c>
      <c r="AA697" s="16">
        <f>IFERROR(R697/E697*100,"")</f>
        <v/>
      </c>
      <c r="AB697" s="16">
        <f>IFERROR(S697/Q697*100,"")</f>
        <v/>
      </c>
      <c r="AC697" s="16">
        <f>IFERROR(T697/Q697*100,"")</f>
        <v/>
      </c>
      <c r="AD697" s="16">
        <f>IFERROR(U697/Q697*100,"")</f>
        <v/>
      </c>
      <c r="AE697" s="18">
        <f>IFERROR(E697/E693-1,"")</f>
        <v/>
      </c>
      <c r="AF697" s="18">
        <f>IFERROR(R697/R693-1,"")</f>
        <v/>
      </c>
      <c r="AG697" s="18">
        <f>IFERROR(F697/F693-1,"")</f>
        <v/>
      </c>
      <c r="AH697">
        <f>P697&gt;0</f>
        <v/>
      </c>
    </row>
    <row r="698">
      <c r="A698" s="14" t="n">
        <v>45747</v>
      </c>
      <c r="B698" t="n">
        <v>35206</v>
      </c>
      <c r="C698" t="inlineStr">
        <is>
          <t>FIDELITY PERSONAL TRUST COMPANY, FSB</t>
        </is>
      </c>
      <c r="D698" t="inlineStr">
        <is>
          <t>NH</t>
        </is>
      </c>
      <c r="E698" t="n">
        <v>67144</v>
      </c>
      <c r="F698" t="n">
        <v>500</v>
      </c>
      <c r="G698" t="n">
        <v>65181</v>
      </c>
      <c r="H698" s="16" t="n">
        <v>28.84468013364804</v>
      </c>
      <c r="I698" s="16" t="n">
        <v>29.95</v>
      </c>
      <c r="J698" s="16" t="n">
        <v>4.23196683239003</v>
      </c>
      <c r="K698" s="16" t="n">
        <v>0</v>
      </c>
      <c r="L698" s="16" t="n">
        <v>0</v>
      </c>
      <c r="M698" s="16" t="n">
        <v>0</v>
      </c>
      <c r="N698" s="16" t="n">
        <v>0</v>
      </c>
      <c r="O698" s="16" t="n">
        <v>0</v>
      </c>
      <c r="P698" s="16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s="16">
        <f>IFERROR(K698/E698*100,"")</f>
        <v/>
      </c>
      <c r="Y698" s="16">
        <f>IFERROR((N698+O698)/E698*100,"")</f>
        <v/>
      </c>
      <c r="Z698" s="16">
        <f>IFERROR(R698/F698*100,"")</f>
        <v/>
      </c>
      <c r="AA698" s="16">
        <f>IFERROR(R698/E698*100,"")</f>
        <v/>
      </c>
      <c r="AB698" s="16">
        <f>IFERROR(S698/Q698*100,"")</f>
        <v/>
      </c>
      <c r="AC698" s="16">
        <f>IFERROR(T698/Q698*100,"")</f>
        <v/>
      </c>
      <c r="AD698" s="16">
        <f>IFERROR(U698/Q698*100,"")</f>
        <v/>
      </c>
      <c r="AE698" s="18">
        <f>IFERROR(E698/E694-1,"")</f>
        <v/>
      </c>
      <c r="AF698" s="18">
        <f>IFERROR(R698/R694-1,"")</f>
        <v/>
      </c>
      <c r="AG698" s="18">
        <f>IFERROR(F698/F694-1,"")</f>
        <v/>
      </c>
      <c r="AH698">
        <f>P698&gt;0</f>
        <v/>
      </c>
    </row>
    <row r="699">
      <c r="A699" s="14" t="n">
        <v>45838</v>
      </c>
      <c r="B699" t="n">
        <v>35206</v>
      </c>
      <c r="C699" t="inlineStr">
        <is>
          <t>FIDELITY PERSONAL TRUST COMPANY, FSB</t>
        </is>
      </c>
      <c r="D699" t="inlineStr">
        <is>
          <t>NH</t>
        </is>
      </c>
      <c r="E699" t="n">
        <v>72604</v>
      </c>
      <c r="F699" t="n">
        <v>500</v>
      </c>
      <c r="G699" t="n">
        <v>70119</v>
      </c>
      <c r="H699" s="16" t="n">
        <v>28.48800567219443</v>
      </c>
      <c r="I699" s="16" t="n">
        <v>29.55</v>
      </c>
      <c r="J699" s="16" t="n">
        <v>4.14720593593693</v>
      </c>
      <c r="K699" s="16" t="n">
        <v>0</v>
      </c>
      <c r="L699" s="16" t="n">
        <v>0</v>
      </c>
      <c r="M699" s="16" t="n">
        <v>0</v>
      </c>
      <c r="N699" s="16" t="n">
        <v>0</v>
      </c>
      <c r="O699" s="16" t="n">
        <v>0</v>
      </c>
      <c r="P699" s="16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s="16">
        <f>IFERROR(K699/E699*100,"")</f>
        <v/>
      </c>
      <c r="Y699" s="16">
        <f>IFERROR((N699+O699)/E699*100,"")</f>
        <v/>
      </c>
      <c r="Z699" s="16">
        <f>IFERROR(R699/F699*100,"")</f>
        <v/>
      </c>
      <c r="AA699" s="16">
        <f>IFERROR(R699/E699*100,"")</f>
        <v/>
      </c>
      <c r="AB699" s="16">
        <f>IFERROR(S699/Q699*100,"")</f>
        <v/>
      </c>
      <c r="AC699" s="16">
        <f>IFERROR(T699/Q699*100,"")</f>
        <v/>
      </c>
      <c r="AD699" s="16">
        <f>IFERROR(U699/Q699*100,"")</f>
        <v/>
      </c>
      <c r="AE699" s="18">
        <f>IFERROR(E699/E695-1,"")</f>
        <v/>
      </c>
      <c r="AF699" s="18">
        <f>IFERROR(R699/R695-1,"")</f>
        <v/>
      </c>
      <c r="AG699" s="18">
        <f>IFERROR(F699/F695-1,"")</f>
        <v/>
      </c>
      <c r="AH699">
        <f>P699&gt;0</f>
        <v/>
      </c>
    </row>
    <row r="700">
      <c r="A700" s="14" t="n">
        <v>44651</v>
      </c>
      <c r="B700" t="n">
        <v>59086</v>
      </c>
      <c r="C700" t="inlineStr">
        <is>
          <t>PRIMARY BANK</t>
        </is>
      </c>
      <c r="D700" t="inlineStr">
        <is>
          <t>NH</t>
        </is>
      </c>
      <c r="E700" t="n">
        <v>702304</v>
      </c>
      <c r="F700" t="n">
        <v>631646</v>
      </c>
      <c r="G700" t="n">
        <v>66816</v>
      </c>
      <c r="H700" s="16" t="n">
        <v>1.129138682176301</v>
      </c>
      <c r="I700" s="16" t="n">
        <v>11.87</v>
      </c>
      <c r="J700" s="16" t="n">
        <v>3.224722875377897</v>
      </c>
      <c r="K700" s="16" t="n">
        <v>2111</v>
      </c>
      <c r="L700" s="16" t="n">
        <v>0</v>
      </c>
      <c r="M700" s="16" t="n">
        <v>0.06575610847251059</v>
      </c>
      <c r="N700" s="16" t="n">
        <v>0</v>
      </c>
      <c r="O700" s="16" t="n">
        <v>341</v>
      </c>
      <c r="P700" s="16" t="n">
        <v>13.60811442460503</v>
      </c>
      <c r="Q700" t="n">
        <v>518583</v>
      </c>
      <c r="R700" t="n">
        <v>512616</v>
      </c>
      <c r="S700" t="n">
        <v>404171</v>
      </c>
      <c r="T700" t="n">
        <v>115306</v>
      </c>
      <c r="U700" t="n">
        <v>0</v>
      </c>
      <c r="V700" t="n">
        <v>1.150635481687599</v>
      </c>
      <c r="W700" t="n">
        <v>0.15</v>
      </c>
      <c r="X700" s="16">
        <f>IFERROR(K700/E700*100,"")</f>
        <v/>
      </c>
      <c r="Y700" s="16">
        <f>IFERROR((N700+O700)/E700*100,"")</f>
        <v/>
      </c>
      <c r="Z700" s="16">
        <f>IFERROR(R700/F700*100,"")</f>
        <v/>
      </c>
      <c r="AA700" s="16">
        <f>IFERROR(R700/E700*100,"")</f>
        <v/>
      </c>
      <c r="AB700" s="16">
        <f>IFERROR(S700/Q700*100,"")</f>
        <v/>
      </c>
      <c r="AC700" s="16">
        <f>IFERROR(T700/Q700*100,"")</f>
        <v/>
      </c>
      <c r="AD700" s="16">
        <f>IFERROR(U700/Q700*100,"")</f>
        <v/>
      </c>
      <c r="AE700" s="18" t="n"/>
      <c r="AF700" s="18" t="n"/>
      <c r="AG700" s="18" t="n"/>
      <c r="AH700">
        <f>P700&gt;0</f>
        <v/>
      </c>
    </row>
    <row r="701">
      <c r="A701" s="14" t="n">
        <v>44742</v>
      </c>
      <c r="B701" t="n">
        <v>59086</v>
      </c>
      <c r="C701" t="inlineStr">
        <is>
          <t>PRIMARY BANK</t>
        </is>
      </c>
      <c r="D701" t="inlineStr">
        <is>
          <t>NH</t>
        </is>
      </c>
      <c r="E701" t="n">
        <v>670113</v>
      </c>
      <c r="F701" t="n">
        <v>597579</v>
      </c>
      <c r="G701" t="n">
        <v>69673</v>
      </c>
      <c r="H701" s="16" t="n">
        <v>1.260672623024234</v>
      </c>
      <c r="I701" s="16" t="n">
        <v>12.86</v>
      </c>
      <c r="J701" s="16" t="n">
        <v>3.412459440307321</v>
      </c>
      <c r="K701" s="16" t="n">
        <v>2111</v>
      </c>
      <c r="L701" s="16" t="n">
        <v>0</v>
      </c>
      <c r="M701" s="16" t="n">
        <v>0.0638463194749997</v>
      </c>
      <c r="N701" s="16" t="n">
        <v>0</v>
      </c>
      <c r="O701" s="16" t="n">
        <v>341</v>
      </c>
      <c r="P701" s="16" t="n">
        <v>13.6305606679535</v>
      </c>
      <c r="Q701" t="n">
        <v>534095</v>
      </c>
      <c r="R701" t="n">
        <v>527856</v>
      </c>
      <c r="S701" t="n">
        <v>420476</v>
      </c>
      <c r="T701" t="n">
        <v>114300</v>
      </c>
      <c r="U701" t="n">
        <v>0</v>
      </c>
      <c r="V701" t="n">
        <v>1.168144244001535</v>
      </c>
      <c r="W701" t="n">
        <v>0.16</v>
      </c>
      <c r="X701" s="16">
        <f>IFERROR(K701/E701*100,"")</f>
        <v/>
      </c>
      <c r="Y701" s="16">
        <f>IFERROR((N701+O701)/E701*100,"")</f>
        <v/>
      </c>
      <c r="Z701" s="16">
        <f>IFERROR(R701/F701*100,"")</f>
        <v/>
      </c>
      <c r="AA701" s="16">
        <f>IFERROR(R701/E701*100,"")</f>
        <v/>
      </c>
      <c r="AB701" s="16">
        <f>IFERROR(S701/Q701*100,"")</f>
        <v/>
      </c>
      <c r="AC701" s="16">
        <f>IFERROR(T701/Q701*100,"")</f>
        <v/>
      </c>
      <c r="AD701" s="16">
        <f>IFERROR(U701/Q701*100,"")</f>
        <v/>
      </c>
      <c r="AE701" s="18" t="n"/>
      <c r="AF701" s="18" t="n"/>
      <c r="AG701" s="18" t="n"/>
      <c r="AH701">
        <f>P701&gt;0</f>
        <v/>
      </c>
    </row>
    <row r="702">
      <c r="A702" s="14" t="n">
        <v>44834</v>
      </c>
      <c r="B702" t="n">
        <v>59086</v>
      </c>
      <c r="C702" t="inlineStr">
        <is>
          <t>PRIMARY BANK</t>
        </is>
      </c>
      <c r="D702" t="inlineStr">
        <is>
          <t>NH</t>
        </is>
      </c>
      <c r="E702" t="n">
        <v>686995</v>
      </c>
      <c r="F702" t="n">
        <v>610836</v>
      </c>
      <c r="G702" t="n">
        <v>72795</v>
      </c>
      <c r="H702" s="16" t="n">
        <v>1.412906632871705</v>
      </c>
      <c r="I702" s="16" t="n">
        <v>14.12</v>
      </c>
      <c r="J702" s="16" t="n">
        <v>3.626617524185105</v>
      </c>
      <c r="K702" s="16" t="n">
        <v>2111</v>
      </c>
      <c r="L702" s="16" t="n">
        <v>0</v>
      </c>
      <c r="M702" s="16" t="n">
        <v>0.0617030400961192</v>
      </c>
      <c r="N702" s="16" t="n">
        <v>0</v>
      </c>
      <c r="O702" s="16" t="n">
        <v>341</v>
      </c>
      <c r="P702" s="16" t="n">
        <v>13.7494495435112</v>
      </c>
      <c r="Q702" t="n">
        <v>552647</v>
      </c>
      <c r="R702" t="n">
        <v>546136</v>
      </c>
      <c r="S702" t="n">
        <v>433350</v>
      </c>
      <c r="T702" t="n">
        <v>119943</v>
      </c>
      <c r="U702" t="n">
        <v>0</v>
      </c>
      <c r="V702" t="n">
        <v>1.178148076439391</v>
      </c>
      <c r="W702" t="n">
        <v>0.16</v>
      </c>
      <c r="X702" s="16">
        <f>IFERROR(K702/E702*100,"")</f>
        <v/>
      </c>
      <c r="Y702" s="16">
        <f>IFERROR((N702+O702)/E702*100,"")</f>
        <v/>
      </c>
      <c r="Z702" s="16">
        <f>IFERROR(R702/F702*100,"")</f>
        <v/>
      </c>
      <c r="AA702" s="16">
        <f>IFERROR(R702/E702*100,"")</f>
        <v/>
      </c>
      <c r="AB702" s="16">
        <f>IFERROR(S702/Q702*100,"")</f>
        <v/>
      </c>
      <c r="AC702" s="16">
        <f>IFERROR(T702/Q702*100,"")</f>
        <v/>
      </c>
      <c r="AD702" s="16">
        <f>IFERROR(U702/Q702*100,"")</f>
        <v/>
      </c>
      <c r="AE702" s="18" t="n"/>
      <c r="AF702" s="18" t="n"/>
      <c r="AG702" s="18" t="n"/>
      <c r="AH702">
        <f>P702&gt;0</f>
        <v/>
      </c>
    </row>
    <row r="703">
      <c r="A703" s="14" t="n">
        <v>44926</v>
      </c>
      <c r="B703" t="n">
        <v>59086</v>
      </c>
      <c r="C703" t="inlineStr">
        <is>
          <t>PRIMARY BANK</t>
        </is>
      </c>
      <c r="D703" t="inlineStr">
        <is>
          <t>NH</t>
        </is>
      </c>
      <c r="E703" t="n">
        <v>654191</v>
      </c>
      <c r="F703" t="n">
        <v>564578</v>
      </c>
      <c r="G703" t="n">
        <v>76313</v>
      </c>
      <c r="H703" s="16" t="n">
        <v>1.575915950361381</v>
      </c>
      <c r="I703" s="16" t="n">
        <v>15.26</v>
      </c>
      <c r="J703" s="16" t="n">
        <v>3.913191146591005</v>
      </c>
      <c r="K703" s="16" t="n">
        <v>2111</v>
      </c>
      <c r="L703" s="16" t="n">
        <v>0</v>
      </c>
      <c r="M703" s="16" t="n">
        <v>0.0592558095890149</v>
      </c>
      <c r="N703" s="16" t="n">
        <v>0</v>
      </c>
      <c r="O703" s="16" t="n">
        <v>341</v>
      </c>
      <c r="P703" s="16" t="n">
        <v>13.93125882977693</v>
      </c>
      <c r="Q703" t="n">
        <v>575471</v>
      </c>
      <c r="R703" t="n">
        <v>568360</v>
      </c>
      <c r="S703" t="n">
        <v>455851</v>
      </c>
      <c r="T703" t="n">
        <v>120243</v>
      </c>
      <c r="U703" t="n">
        <v>0</v>
      </c>
      <c r="V703" t="n">
        <v>1.235683466238959</v>
      </c>
      <c r="W703" t="n">
        <v>0.21</v>
      </c>
      <c r="X703" s="16">
        <f>IFERROR(K703/E703*100,"")</f>
        <v/>
      </c>
      <c r="Y703" s="16">
        <f>IFERROR((N703+O703)/E703*100,"")</f>
        <v/>
      </c>
      <c r="Z703" s="16">
        <f>IFERROR(R703/F703*100,"")</f>
        <v/>
      </c>
      <c r="AA703" s="16">
        <f>IFERROR(R703/E703*100,"")</f>
        <v/>
      </c>
      <c r="AB703" s="16">
        <f>IFERROR(S703/Q703*100,"")</f>
        <v/>
      </c>
      <c r="AC703" s="16">
        <f>IFERROR(T703/Q703*100,"")</f>
        <v/>
      </c>
      <c r="AD703" s="16">
        <f>IFERROR(U703/Q703*100,"")</f>
        <v/>
      </c>
      <c r="AE703" s="18" t="n"/>
      <c r="AF703" s="18" t="n"/>
      <c r="AG703" s="18" t="n"/>
      <c r="AH703">
        <f>P703&gt;0</f>
        <v/>
      </c>
    </row>
    <row r="704">
      <c r="A704" s="14" t="n">
        <v>45016</v>
      </c>
      <c r="B704" t="n">
        <v>59086</v>
      </c>
      <c r="C704" t="inlineStr">
        <is>
          <t>PRIMARY BANK</t>
        </is>
      </c>
      <c r="D704" t="inlineStr">
        <is>
          <t>NH</t>
        </is>
      </c>
      <c r="E704" t="n">
        <v>693867</v>
      </c>
      <c r="F704" t="n">
        <v>607363</v>
      </c>
      <c r="G704" t="n">
        <v>80605</v>
      </c>
      <c r="H704" s="16" t="n">
        <v>1.650374093696265</v>
      </c>
      <c r="I704" s="16" t="n">
        <v>14.18</v>
      </c>
      <c r="J704" s="16" t="n">
        <v>4.144726386608041</v>
      </c>
      <c r="K704" s="16" t="n">
        <v>4263</v>
      </c>
      <c r="L704" s="16" t="n">
        <v>0</v>
      </c>
      <c r="M704" s="16" t="n">
        <v>0.3702945321332028</v>
      </c>
      <c r="N704" s="16" t="n">
        <v>200</v>
      </c>
      <c r="O704" s="16" t="n">
        <v>0</v>
      </c>
      <c r="P704" s="16" t="n">
        <v>14.35034529167952</v>
      </c>
      <c r="Q704" t="n">
        <v>581159</v>
      </c>
      <c r="R704" t="n">
        <v>574758</v>
      </c>
      <c r="S704" t="n">
        <v>463062</v>
      </c>
      <c r="T704" t="n">
        <v>118646</v>
      </c>
      <c r="U704" t="n">
        <v>0</v>
      </c>
      <c r="V704" t="n">
        <v>1.101419749156427</v>
      </c>
      <c r="W704" t="n">
        <v>-0.07000000000000001</v>
      </c>
      <c r="X704" s="16">
        <f>IFERROR(K704/E704*100,"")</f>
        <v/>
      </c>
      <c r="Y704" s="16">
        <f>IFERROR((N704+O704)/E704*100,"")</f>
        <v/>
      </c>
      <c r="Z704" s="16">
        <f>IFERROR(R704/F704*100,"")</f>
        <v/>
      </c>
      <c r="AA704" s="16">
        <f>IFERROR(R704/E704*100,"")</f>
        <v/>
      </c>
      <c r="AB704" s="16">
        <f>IFERROR(S704/Q704*100,"")</f>
        <v/>
      </c>
      <c r="AC704" s="16">
        <f>IFERROR(T704/Q704*100,"")</f>
        <v/>
      </c>
      <c r="AD704" s="16">
        <f>IFERROR(U704/Q704*100,"")</f>
        <v/>
      </c>
      <c r="AE704" s="18">
        <f>IFERROR(E704/E700-1,"")</f>
        <v/>
      </c>
      <c r="AF704" s="18">
        <f>IFERROR(R704/R700-1,"")</f>
        <v/>
      </c>
      <c r="AG704" s="18">
        <f>IFERROR(F704/F700-1,"")</f>
        <v/>
      </c>
      <c r="AH704">
        <f>P704&gt;0</f>
        <v/>
      </c>
    </row>
    <row r="705">
      <c r="A705" s="14" t="n">
        <v>45107</v>
      </c>
      <c r="B705" t="n">
        <v>59086</v>
      </c>
      <c r="C705" t="inlineStr">
        <is>
          <t>PRIMARY BANK</t>
        </is>
      </c>
      <c r="D705" t="inlineStr">
        <is>
          <t>NH</t>
        </is>
      </c>
      <c r="E705" t="n">
        <v>695227</v>
      </c>
      <c r="F705" t="n">
        <v>607749</v>
      </c>
      <c r="G705" t="n">
        <v>83914</v>
      </c>
      <c r="H705" s="16" t="n">
        <v>1.692568584411866</v>
      </c>
      <c r="I705" s="16" t="n">
        <v>14.36</v>
      </c>
      <c r="J705" s="16" t="n">
        <v>4.132536027640019</v>
      </c>
      <c r="K705" s="16" t="n">
        <v>4947</v>
      </c>
      <c r="L705" s="16" t="n">
        <v>313</v>
      </c>
      <c r="M705" s="16" t="n">
        <v>0.4948046371833404</v>
      </c>
      <c r="N705" s="16" t="n">
        <v>1699</v>
      </c>
      <c r="O705" s="16" t="n">
        <v>45</v>
      </c>
      <c r="P705" s="16" t="n">
        <v>14.70679135998901</v>
      </c>
      <c r="Q705" t="n">
        <v>582250</v>
      </c>
      <c r="R705" t="n">
        <v>576228</v>
      </c>
      <c r="S705" t="n">
        <v>466335</v>
      </c>
      <c r="T705" t="n">
        <v>116363</v>
      </c>
      <c r="U705" t="n">
        <v>0</v>
      </c>
      <c r="V705" t="n">
        <v>1.034263632460283</v>
      </c>
      <c r="W705" t="n">
        <v>-0.05</v>
      </c>
      <c r="X705" s="16">
        <f>IFERROR(K705/E705*100,"")</f>
        <v/>
      </c>
      <c r="Y705" s="16">
        <f>IFERROR((N705+O705)/E705*100,"")</f>
        <v/>
      </c>
      <c r="Z705" s="16">
        <f>IFERROR(R705/F705*100,"")</f>
        <v/>
      </c>
      <c r="AA705" s="16">
        <f>IFERROR(R705/E705*100,"")</f>
        <v/>
      </c>
      <c r="AB705" s="16">
        <f>IFERROR(S705/Q705*100,"")</f>
        <v/>
      </c>
      <c r="AC705" s="16">
        <f>IFERROR(T705/Q705*100,"")</f>
        <v/>
      </c>
      <c r="AD705" s="16">
        <f>IFERROR(U705/Q705*100,"")</f>
        <v/>
      </c>
      <c r="AE705" s="18">
        <f>IFERROR(E705/E701-1,"")</f>
        <v/>
      </c>
      <c r="AF705" s="18">
        <f>IFERROR(R705/R701-1,"")</f>
        <v/>
      </c>
      <c r="AG705" s="18">
        <f>IFERROR(F705/F701-1,"")</f>
        <v/>
      </c>
      <c r="AH705">
        <f>P705&gt;0</f>
        <v/>
      </c>
    </row>
    <row r="706">
      <c r="A706" s="14" t="n">
        <v>45199</v>
      </c>
      <c r="B706" t="n">
        <v>59086</v>
      </c>
      <c r="C706" t="inlineStr">
        <is>
          <t>PRIMARY BANK</t>
        </is>
      </c>
      <c r="D706" t="inlineStr">
        <is>
          <t>NH</t>
        </is>
      </c>
      <c r="E706" t="n">
        <v>697563</v>
      </c>
      <c r="F706" t="n">
        <v>607269</v>
      </c>
      <c r="G706" t="n">
        <v>86533</v>
      </c>
      <c r="H706" s="16" t="n">
        <v>1.594405848117079</v>
      </c>
      <c r="I706" s="16" t="n">
        <v>13.35</v>
      </c>
      <c r="J706" s="16" t="n">
        <v>4.075260206428922</v>
      </c>
      <c r="K706" s="16" t="n">
        <v>6396</v>
      </c>
      <c r="L706" s="16" t="n">
        <v>513</v>
      </c>
      <c r="M706" s="16" t="n">
        <v>0.9870596258600298</v>
      </c>
      <c r="N706" s="16" t="n">
        <v>2283</v>
      </c>
      <c r="O706" s="16" t="n">
        <v>1232</v>
      </c>
      <c r="P706" s="16" t="n">
        <v>15.28788522113495</v>
      </c>
      <c r="Q706" t="n">
        <v>579195</v>
      </c>
      <c r="R706" t="n">
        <v>572834</v>
      </c>
      <c r="S706" t="n">
        <v>463924</v>
      </c>
      <c r="T706" t="n">
        <v>115698</v>
      </c>
      <c r="U706" t="n">
        <v>0</v>
      </c>
      <c r="V706" t="n">
        <v>1.098248431012008</v>
      </c>
      <c r="W706" t="n">
        <v>0.07000000000000001</v>
      </c>
      <c r="X706" s="16">
        <f>IFERROR(K706/E706*100,"")</f>
        <v/>
      </c>
      <c r="Y706" s="16">
        <f>IFERROR((N706+O706)/E706*100,"")</f>
        <v/>
      </c>
      <c r="Z706" s="16">
        <f>IFERROR(R706/F706*100,"")</f>
        <v/>
      </c>
      <c r="AA706" s="16">
        <f>IFERROR(R706/E706*100,"")</f>
        <v/>
      </c>
      <c r="AB706" s="16">
        <f>IFERROR(S706/Q706*100,"")</f>
        <v/>
      </c>
      <c r="AC706" s="16">
        <f>IFERROR(T706/Q706*100,"")</f>
        <v/>
      </c>
      <c r="AD706" s="16">
        <f>IFERROR(U706/Q706*100,"")</f>
        <v/>
      </c>
      <c r="AE706" s="18">
        <f>IFERROR(E706/E702-1,"")</f>
        <v/>
      </c>
      <c r="AF706" s="18">
        <f>IFERROR(R706/R702-1,"")</f>
        <v/>
      </c>
      <c r="AG706" s="18">
        <f>IFERROR(F706/F702-1,"")</f>
        <v/>
      </c>
      <c r="AH706">
        <f>P706&gt;0</f>
        <v/>
      </c>
    </row>
    <row r="707">
      <c r="A707" s="14" t="n">
        <v>45291</v>
      </c>
      <c r="B707" t="n">
        <v>59086</v>
      </c>
      <c r="C707" t="inlineStr">
        <is>
          <t>PRIMARY BANK</t>
        </is>
      </c>
      <c r="D707" t="inlineStr">
        <is>
          <t>NH</t>
        </is>
      </c>
      <c r="E707" t="n">
        <v>693138</v>
      </c>
      <c r="F707" t="n">
        <v>600781</v>
      </c>
      <c r="G707" t="n">
        <v>88263</v>
      </c>
      <c r="H707" s="16" t="n">
        <v>1.456179495198874</v>
      </c>
      <c r="I707" s="16" t="n">
        <v>12.03</v>
      </c>
      <c r="J707" s="16" t="n">
        <v>4.076425940676596</v>
      </c>
      <c r="K707" s="16" t="n">
        <v>4555</v>
      </c>
      <c r="L707" s="16" t="n">
        <v>540</v>
      </c>
      <c r="M707" s="16" t="n">
        <v>0.6381568887303125</v>
      </c>
      <c r="N707" s="16" t="n">
        <v>0</v>
      </c>
      <c r="O707" s="16" t="n">
        <v>1112</v>
      </c>
      <c r="P707" s="16" t="n">
        <v>15.23513445879613</v>
      </c>
      <c r="Q707" t="n">
        <v>588570</v>
      </c>
      <c r="R707" t="n">
        <v>581858</v>
      </c>
      <c r="S707" t="n">
        <v>473617</v>
      </c>
      <c r="T707" t="n">
        <v>115313</v>
      </c>
      <c r="U707" t="n">
        <v>0</v>
      </c>
      <c r="V707" t="n">
        <v>1.140391117454168</v>
      </c>
      <c r="W707" t="n">
        <v>0.11</v>
      </c>
      <c r="X707" s="16">
        <f>IFERROR(K707/E707*100,"")</f>
        <v/>
      </c>
      <c r="Y707" s="16">
        <f>IFERROR((N707+O707)/E707*100,"")</f>
        <v/>
      </c>
      <c r="Z707" s="16">
        <f>IFERROR(R707/F707*100,"")</f>
        <v/>
      </c>
      <c r="AA707" s="16">
        <f>IFERROR(R707/E707*100,"")</f>
        <v/>
      </c>
      <c r="AB707" s="16">
        <f>IFERROR(S707/Q707*100,"")</f>
        <v/>
      </c>
      <c r="AC707" s="16">
        <f>IFERROR(T707/Q707*100,"")</f>
        <v/>
      </c>
      <c r="AD707" s="16">
        <f>IFERROR(U707/Q707*100,"")</f>
        <v/>
      </c>
      <c r="AE707" s="18">
        <f>IFERROR(E707/E703-1,"")</f>
        <v/>
      </c>
      <c r="AF707" s="18">
        <f>IFERROR(R707/R703-1,"")</f>
        <v/>
      </c>
      <c r="AG707" s="18">
        <f>IFERROR(F707/F703-1,"")</f>
        <v/>
      </c>
      <c r="AH707">
        <f>P707&gt;0</f>
        <v/>
      </c>
    </row>
    <row r="708">
      <c r="A708" s="14" t="n">
        <v>45382</v>
      </c>
      <c r="B708" t="n">
        <v>59086</v>
      </c>
      <c r="C708" t="inlineStr">
        <is>
          <t>PRIMARY BANK</t>
        </is>
      </c>
      <c r="D708" t="inlineStr">
        <is>
          <t>NH</t>
        </is>
      </c>
      <c r="E708" t="n">
        <v>697280</v>
      </c>
      <c r="F708" t="n">
        <v>594743</v>
      </c>
      <c r="G708" t="n">
        <v>90844</v>
      </c>
      <c r="H708" s="16" t="n">
        <v>1.508611079545863</v>
      </c>
      <c r="I708" s="16" t="n">
        <v>11.71</v>
      </c>
      <c r="J708" s="16" t="n">
        <v>3.691766258523352</v>
      </c>
      <c r="K708" s="16" t="n">
        <v>4483</v>
      </c>
      <c r="L708" s="16" t="n">
        <v>160</v>
      </c>
      <c r="M708" s="16" t="n">
        <v>0.4392241511805429</v>
      </c>
      <c r="N708" s="16" t="n">
        <v>366</v>
      </c>
      <c r="O708" s="16" t="n">
        <v>0</v>
      </c>
      <c r="P708" s="16" t="n">
        <v>15.57227245328511</v>
      </c>
      <c r="Q708" t="n">
        <v>585578</v>
      </c>
      <c r="R708" t="n">
        <v>579542</v>
      </c>
      <c r="S708" t="n">
        <v>474718</v>
      </c>
      <c r="T708" t="n">
        <v>111257</v>
      </c>
      <c r="U708" t="n">
        <v>0</v>
      </c>
      <c r="V708" t="n">
        <v>1.030776429442363</v>
      </c>
      <c r="W708" t="n">
        <v>0.09</v>
      </c>
      <c r="X708" s="16">
        <f>IFERROR(K708/E708*100,"")</f>
        <v/>
      </c>
      <c r="Y708" s="16">
        <f>IFERROR((N708+O708)/E708*100,"")</f>
        <v/>
      </c>
      <c r="Z708" s="16">
        <f>IFERROR(R708/F708*100,"")</f>
        <v/>
      </c>
      <c r="AA708" s="16">
        <f>IFERROR(R708/E708*100,"")</f>
        <v/>
      </c>
      <c r="AB708" s="16">
        <f>IFERROR(S708/Q708*100,"")</f>
        <v/>
      </c>
      <c r="AC708" s="16">
        <f>IFERROR(T708/Q708*100,"")</f>
        <v/>
      </c>
      <c r="AD708" s="16">
        <f>IFERROR(U708/Q708*100,"")</f>
        <v/>
      </c>
      <c r="AE708" s="18">
        <f>IFERROR(E708/E704-1,"")</f>
        <v/>
      </c>
      <c r="AF708" s="18">
        <f>IFERROR(R708/R704-1,"")</f>
        <v/>
      </c>
      <c r="AG708" s="18">
        <f>IFERROR(F708/F704-1,"")</f>
        <v/>
      </c>
      <c r="AH708">
        <f>P708&gt;0</f>
        <v/>
      </c>
    </row>
    <row r="709">
      <c r="A709" s="14" t="n">
        <v>45473</v>
      </c>
      <c r="B709" t="n">
        <v>59086</v>
      </c>
      <c r="C709" t="inlineStr">
        <is>
          <t>PRIMARY BANK</t>
        </is>
      </c>
      <c r="D709" t="inlineStr">
        <is>
          <t>NH</t>
        </is>
      </c>
      <c r="E709" t="n">
        <v>706680</v>
      </c>
      <c r="F709" t="n">
        <v>602024</v>
      </c>
      <c r="G709" t="n">
        <v>93282</v>
      </c>
      <c r="H709" s="16" t="n">
        <v>1.415670607668311</v>
      </c>
      <c r="I709" s="16" t="n">
        <v>10.9</v>
      </c>
      <c r="J709" s="16" t="n">
        <v>3.756916931656655</v>
      </c>
      <c r="K709" s="16" t="n">
        <v>4045</v>
      </c>
      <c r="L709" s="16" t="n">
        <v>326</v>
      </c>
      <c r="M709" s="16" t="n">
        <v>0.3589166569957633</v>
      </c>
      <c r="N709" s="16" t="n">
        <v>4573</v>
      </c>
      <c r="O709" s="16" t="n">
        <v>0</v>
      </c>
      <c r="P709" s="16" t="n">
        <v>15.72585902730759</v>
      </c>
      <c r="Q709" t="n">
        <v>594567</v>
      </c>
      <c r="R709" t="n">
        <v>588781</v>
      </c>
      <c r="S709" t="n">
        <v>475386</v>
      </c>
      <c r="T709" t="n">
        <v>119550</v>
      </c>
      <c r="U709" t="n">
        <v>0</v>
      </c>
      <c r="V709" t="n">
        <v>0.9731451627823272</v>
      </c>
      <c r="W709" t="n">
        <v>0.13</v>
      </c>
      <c r="X709" s="16">
        <f>IFERROR(K709/E709*100,"")</f>
        <v/>
      </c>
      <c r="Y709" s="16">
        <f>IFERROR((N709+O709)/E709*100,"")</f>
        <v/>
      </c>
      <c r="Z709" s="16">
        <f>IFERROR(R709/F709*100,"")</f>
        <v/>
      </c>
      <c r="AA709" s="16">
        <f>IFERROR(R709/E709*100,"")</f>
        <v/>
      </c>
      <c r="AB709" s="16">
        <f>IFERROR(S709/Q709*100,"")</f>
        <v/>
      </c>
      <c r="AC709" s="16">
        <f>IFERROR(T709/Q709*100,"")</f>
        <v/>
      </c>
      <c r="AD709" s="16">
        <f>IFERROR(U709/Q709*100,"")</f>
        <v/>
      </c>
      <c r="AE709" s="18">
        <f>IFERROR(E709/E705-1,"")</f>
        <v/>
      </c>
      <c r="AF709" s="18">
        <f>IFERROR(R709/R705-1,"")</f>
        <v/>
      </c>
      <c r="AG709" s="18">
        <f>IFERROR(F709/F705-1,"")</f>
        <v/>
      </c>
      <c r="AH709">
        <f>P709&gt;0</f>
        <v/>
      </c>
    </row>
    <row r="710">
      <c r="A710" s="14" t="n">
        <v>45565</v>
      </c>
      <c r="B710" t="n">
        <v>59086</v>
      </c>
      <c r="C710" t="inlineStr">
        <is>
          <t>PRIMARY BANK</t>
        </is>
      </c>
      <c r="D710" t="inlineStr">
        <is>
          <t>NH</t>
        </is>
      </c>
      <c r="E710" t="n">
        <v>716744</v>
      </c>
      <c r="F710" t="n">
        <v>614764</v>
      </c>
      <c r="G710" t="n">
        <v>96571</v>
      </c>
      <c r="H710" s="16" t="n">
        <v>1.444252520219685</v>
      </c>
      <c r="I710" s="16" t="n">
        <v>11.01</v>
      </c>
      <c r="J710" s="16" t="n">
        <v>3.766694322707286</v>
      </c>
      <c r="K710" s="16" t="n">
        <v>3521</v>
      </c>
      <c r="L710" s="16" t="n">
        <v>325</v>
      </c>
      <c r="M710" s="16" t="n">
        <v>1.405735440656833</v>
      </c>
      <c r="N710" s="16" t="n">
        <v>2343</v>
      </c>
      <c r="O710" s="16" t="n">
        <v>6307</v>
      </c>
      <c r="P710" s="16" t="n">
        <v>16.04398705132339</v>
      </c>
      <c r="Q710" t="n">
        <v>599117</v>
      </c>
      <c r="R710" t="n">
        <v>593281</v>
      </c>
      <c r="S710" t="n">
        <v>474334</v>
      </c>
      <c r="T710" t="n">
        <v>125183</v>
      </c>
      <c r="U710" t="n">
        <v>0</v>
      </c>
      <c r="V710" t="n">
        <v>0.9741002174867348</v>
      </c>
      <c r="W710" t="n">
        <v>0.1</v>
      </c>
      <c r="X710" s="16">
        <f>IFERROR(K710/E710*100,"")</f>
        <v/>
      </c>
      <c r="Y710" s="16">
        <f>IFERROR((N710+O710)/E710*100,"")</f>
        <v/>
      </c>
      <c r="Z710" s="16">
        <f>IFERROR(R710/F710*100,"")</f>
        <v/>
      </c>
      <c r="AA710" s="16">
        <f>IFERROR(R710/E710*100,"")</f>
        <v/>
      </c>
      <c r="AB710" s="16">
        <f>IFERROR(S710/Q710*100,"")</f>
        <v/>
      </c>
      <c r="AC710" s="16">
        <f>IFERROR(T710/Q710*100,"")</f>
        <v/>
      </c>
      <c r="AD710" s="16">
        <f>IFERROR(U710/Q710*100,"")</f>
        <v/>
      </c>
      <c r="AE710" s="18">
        <f>IFERROR(E710/E706-1,"")</f>
        <v/>
      </c>
      <c r="AF710" s="18">
        <f>IFERROR(R710/R706-1,"")</f>
        <v/>
      </c>
      <c r="AG710" s="18">
        <f>IFERROR(F710/F706-1,"")</f>
        <v/>
      </c>
      <c r="AH710">
        <f>P710&gt;0</f>
        <v/>
      </c>
    </row>
    <row r="711">
      <c r="A711" s="14" t="n">
        <v>45657</v>
      </c>
      <c r="B711" t="n">
        <v>59086</v>
      </c>
      <c r="C711" t="inlineStr">
        <is>
          <t>PRIMARY BANK</t>
        </is>
      </c>
      <c r="D711" t="inlineStr">
        <is>
          <t>NH</t>
        </is>
      </c>
      <c r="E711" t="n">
        <v>708844</v>
      </c>
      <c r="F711" t="n">
        <v>603651</v>
      </c>
      <c r="G711" t="n">
        <v>99876</v>
      </c>
      <c r="H711" s="16" t="n">
        <v>1.514753230915273</v>
      </c>
      <c r="I711" s="16" t="n">
        <v>11.38</v>
      </c>
      <c r="J711" s="16" t="n">
        <v>3.841896203685616</v>
      </c>
      <c r="K711" s="16" t="n">
        <v>4078</v>
      </c>
      <c r="L711" s="16" t="n">
        <v>405</v>
      </c>
      <c r="M711" s="16" t="n">
        <v>0.5406704714466232</v>
      </c>
      <c r="N711" s="16" t="n">
        <v>513</v>
      </c>
      <c r="O711" s="16" t="n">
        <v>486</v>
      </c>
      <c r="P711" s="16" t="n">
        <v>16.45474851729184</v>
      </c>
      <c r="Q711" t="n">
        <v>599071</v>
      </c>
      <c r="R711" t="n">
        <v>593209</v>
      </c>
      <c r="S711" t="n">
        <v>477361</v>
      </c>
      <c r="T711" t="n">
        <v>122091</v>
      </c>
      <c r="U711" t="n">
        <v>0</v>
      </c>
      <c r="V711" t="n">
        <v>0.9785150674961732</v>
      </c>
      <c r="W711" t="n">
        <v>0.09</v>
      </c>
      <c r="X711" s="16">
        <f>IFERROR(K711/E711*100,"")</f>
        <v/>
      </c>
      <c r="Y711" s="16">
        <f>IFERROR((N711+O711)/E711*100,"")</f>
        <v/>
      </c>
      <c r="Z711" s="16">
        <f>IFERROR(R711/F711*100,"")</f>
        <v/>
      </c>
      <c r="AA711" s="16">
        <f>IFERROR(R711/E711*100,"")</f>
        <v/>
      </c>
      <c r="AB711" s="16">
        <f>IFERROR(S711/Q711*100,"")</f>
        <v/>
      </c>
      <c r="AC711" s="16">
        <f>IFERROR(T711/Q711*100,"")</f>
        <v/>
      </c>
      <c r="AD711" s="16">
        <f>IFERROR(U711/Q711*100,"")</f>
        <v/>
      </c>
      <c r="AE711" s="18">
        <f>IFERROR(E711/E707-1,"")</f>
        <v/>
      </c>
      <c r="AF711" s="18">
        <f>IFERROR(R711/R707-1,"")</f>
        <v/>
      </c>
      <c r="AG711" s="18">
        <f>IFERROR(F711/F707-1,"")</f>
        <v/>
      </c>
      <c r="AH711">
        <f>P711&gt;0</f>
        <v/>
      </c>
    </row>
    <row r="712">
      <c r="A712" s="14" t="n">
        <v>45747</v>
      </c>
      <c r="B712" t="n">
        <v>59086</v>
      </c>
      <c r="C712" t="inlineStr">
        <is>
          <t>PRIMARY BANK</t>
        </is>
      </c>
      <c r="D712" t="inlineStr">
        <is>
          <t>NH</t>
        </is>
      </c>
      <c r="E712" t="n">
        <v>699078</v>
      </c>
      <c r="F712" t="n">
        <v>590147</v>
      </c>
      <c r="G712" t="n">
        <v>102573</v>
      </c>
      <c r="H712" s="16" t="n">
        <v>1.372235109615448</v>
      </c>
      <c r="I712" s="16" t="n">
        <v>9.539999999999999</v>
      </c>
      <c r="J712" s="16" t="n">
        <v>3.787884264232397</v>
      </c>
      <c r="K712" s="16" t="n">
        <v>4011</v>
      </c>
      <c r="L712" s="16" t="n">
        <v>-1</v>
      </c>
      <c r="M712" s="16" t="n">
        <v>0.6041391719671486</v>
      </c>
      <c r="N712" s="16" t="n">
        <v>5858</v>
      </c>
      <c r="O712" s="16" t="n">
        <v>100</v>
      </c>
      <c r="P712" s="16" t="n">
        <v>16.87937276982002</v>
      </c>
      <c r="Q712" t="n">
        <v>604662</v>
      </c>
      <c r="R712" t="n">
        <v>598779</v>
      </c>
      <c r="S712" t="n">
        <v>482306</v>
      </c>
      <c r="T712" t="n">
        <v>122650</v>
      </c>
      <c r="U712" t="n">
        <v>0</v>
      </c>
      <c r="V712" t="n">
        <v>0.9729402542246742</v>
      </c>
      <c r="W712" t="n">
        <v>0.05</v>
      </c>
      <c r="X712" s="16">
        <f>IFERROR(K712/E712*100,"")</f>
        <v/>
      </c>
      <c r="Y712" s="16">
        <f>IFERROR((N712+O712)/E712*100,"")</f>
        <v/>
      </c>
      <c r="Z712" s="16">
        <f>IFERROR(R712/F712*100,"")</f>
        <v/>
      </c>
      <c r="AA712" s="16">
        <f>IFERROR(R712/E712*100,"")</f>
        <v/>
      </c>
      <c r="AB712" s="16">
        <f>IFERROR(S712/Q712*100,"")</f>
        <v/>
      </c>
      <c r="AC712" s="16">
        <f>IFERROR(T712/Q712*100,"")</f>
        <v/>
      </c>
      <c r="AD712" s="16">
        <f>IFERROR(U712/Q712*100,"")</f>
        <v/>
      </c>
      <c r="AE712" s="18">
        <f>IFERROR(E712/E708-1,"")</f>
        <v/>
      </c>
      <c r="AF712" s="18">
        <f>IFERROR(R712/R708-1,"")</f>
        <v/>
      </c>
      <c r="AG712" s="18">
        <f>IFERROR(F712/F708-1,"")</f>
        <v/>
      </c>
      <c r="AH712">
        <f>P712&gt;0</f>
        <v/>
      </c>
    </row>
    <row r="713">
      <c r="A713" s="14" t="n">
        <v>45838</v>
      </c>
      <c r="B713" t="n">
        <v>59086</v>
      </c>
      <c r="C713" t="inlineStr">
        <is>
          <t>PRIMARY BANK</t>
        </is>
      </c>
      <c r="D713" t="inlineStr">
        <is>
          <t>NH</t>
        </is>
      </c>
      <c r="E713" t="n">
        <v>724753</v>
      </c>
      <c r="F713" t="n">
        <v>612986</v>
      </c>
      <c r="G713" t="n">
        <v>105815</v>
      </c>
      <c r="H713" s="16" t="n">
        <v>1.556917955150222</v>
      </c>
      <c r="I713" s="16" t="n">
        <v>10.77</v>
      </c>
      <c r="J713" s="16" t="n">
        <v>3.907462083607311</v>
      </c>
      <c r="K713" s="16" t="n">
        <v>5998</v>
      </c>
      <c r="L713" s="16" t="n">
        <v>-2</v>
      </c>
      <c r="M713" s="16" t="n">
        <v>2.229031356656324</v>
      </c>
      <c r="N713" s="16" t="n">
        <v>2944</v>
      </c>
      <c r="O713" s="16" t="n">
        <v>7830</v>
      </c>
      <c r="P713" s="16" t="n">
        <v>16.78059006580041</v>
      </c>
      <c r="Q713" t="n">
        <v>619103</v>
      </c>
      <c r="R713" t="n">
        <v>613079</v>
      </c>
      <c r="S713" t="n">
        <v>495338</v>
      </c>
      <c r="T713" t="n">
        <v>124137</v>
      </c>
      <c r="U713" t="n">
        <v>0</v>
      </c>
      <c r="V713" t="n">
        <v>0.9730206443838908</v>
      </c>
      <c r="W713" t="n">
        <v>0.08</v>
      </c>
      <c r="X713" s="16">
        <f>IFERROR(K713/E713*100,"")</f>
        <v/>
      </c>
      <c r="Y713" s="16">
        <f>IFERROR((N713+O713)/E713*100,"")</f>
        <v/>
      </c>
      <c r="Z713" s="16">
        <f>IFERROR(R713/F713*100,"")</f>
        <v/>
      </c>
      <c r="AA713" s="16">
        <f>IFERROR(R713/E713*100,"")</f>
        <v/>
      </c>
      <c r="AB713" s="16">
        <f>IFERROR(S713/Q713*100,"")</f>
        <v/>
      </c>
      <c r="AC713" s="16">
        <f>IFERROR(T713/Q713*100,"")</f>
        <v/>
      </c>
      <c r="AD713" s="16">
        <f>IFERROR(U713/Q713*100,"")</f>
        <v/>
      </c>
      <c r="AE713" s="18">
        <f>IFERROR(E713/E709-1,"")</f>
        <v/>
      </c>
      <c r="AF713" s="18">
        <f>IFERROR(R713/R709-1,"")</f>
        <v/>
      </c>
      <c r="AG713" s="18">
        <f>IFERROR(F713/F709-1,"")</f>
        <v/>
      </c>
      <c r="AH713">
        <f>P713&gt;0</f>
        <v/>
      </c>
    </row>
    <row r="714">
      <c r="A714" s="14" t="n">
        <v>44651</v>
      </c>
      <c r="B714" t="n">
        <v>59176</v>
      </c>
      <c r="C714" t="inlineStr">
        <is>
          <t>THE MILLYARD BANK</t>
        </is>
      </c>
      <c r="D714" t="inlineStr">
        <is>
          <t>NH</t>
        </is>
      </c>
      <c r="E714" t="n">
        <v>146747</v>
      </c>
      <c r="F714" t="n">
        <v>124821</v>
      </c>
      <c r="G714" t="n">
        <v>21476</v>
      </c>
      <c r="H714" s="16" t="n">
        <v>0.031957931740763</v>
      </c>
      <c r="I714" s="16" t="n">
        <v>0.23</v>
      </c>
      <c r="J714" s="16" t="n">
        <v>2.98511873974789</v>
      </c>
      <c r="K714" s="16" t="n">
        <v>42</v>
      </c>
      <c r="L714" s="16" t="n">
        <v>0</v>
      </c>
      <c r="M714" s="16" t="n">
        <v>0.0373160850095955</v>
      </c>
      <c r="N714" s="16" t="n">
        <v>0</v>
      </c>
      <c r="O714" s="16" t="n">
        <v>0</v>
      </c>
      <c r="P714" s="16" t="n">
        <v>19.84482956907915</v>
      </c>
      <c r="Q714" t="n">
        <v>112552</v>
      </c>
      <c r="R714" t="n">
        <v>111596</v>
      </c>
      <c r="S714" t="n">
        <v>97793</v>
      </c>
      <c r="T714" t="n">
        <v>14832</v>
      </c>
      <c r="U714" t="n">
        <v>14</v>
      </c>
      <c r="V714" t="n">
        <v>0.8493851730755562</v>
      </c>
      <c r="W714" t="n">
        <v>0.31</v>
      </c>
      <c r="X714" s="16">
        <f>IFERROR(K714/E714*100,"")</f>
        <v/>
      </c>
      <c r="Y714" s="16">
        <f>IFERROR((N714+O714)/E714*100,"")</f>
        <v/>
      </c>
      <c r="Z714" s="16">
        <f>IFERROR(R714/F714*100,"")</f>
        <v/>
      </c>
      <c r="AA714" s="16">
        <f>IFERROR(R714/E714*100,"")</f>
        <v/>
      </c>
      <c r="AB714" s="16">
        <f>IFERROR(S714/Q714*100,"")</f>
        <v/>
      </c>
      <c r="AC714" s="16">
        <f>IFERROR(T714/Q714*100,"")</f>
        <v/>
      </c>
      <c r="AD714" s="16">
        <f>IFERROR(U714/Q714*100,"")</f>
        <v/>
      </c>
      <c r="AE714" s="18" t="n"/>
      <c r="AF714" s="18" t="n"/>
      <c r="AG714" s="18" t="n"/>
      <c r="AH714">
        <f>P714&gt;0</f>
        <v/>
      </c>
    </row>
    <row r="715">
      <c r="A715" s="14" t="n">
        <v>44742</v>
      </c>
      <c r="B715" t="n">
        <v>59176</v>
      </c>
      <c r="C715" t="inlineStr">
        <is>
          <t>THE MILLYARD BANK</t>
        </is>
      </c>
      <c r="D715" t="inlineStr">
        <is>
          <t>NH</t>
        </is>
      </c>
      <c r="E715" t="n">
        <v>167702</v>
      </c>
      <c r="F715" t="n">
        <v>142565</v>
      </c>
      <c r="G715" t="n">
        <v>21565</v>
      </c>
      <c r="H715" s="16" t="n">
        <v>0.1665673582146145</v>
      </c>
      <c r="I715" s="16" t="n">
        <v>1.23</v>
      </c>
      <c r="J715" s="16" t="n">
        <v>3.107544465676908</v>
      </c>
      <c r="K715" s="16" t="n">
        <v>39</v>
      </c>
      <c r="L715" s="16" t="n">
        <v>0</v>
      </c>
      <c r="M715" s="16" t="n">
        <v>0.0313696470512531</v>
      </c>
      <c r="N715" s="16" t="n">
        <v>0</v>
      </c>
      <c r="O715" s="16" t="n">
        <v>0</v>
      </c>
      <c r="P715" s="16" t="n">
        <v>18.88724129227663</v>
      </c>
      <c r="Q715" t="n">
        <v>124324</v>
      </c>
      <c r="R715" t="n">
        <v>123240</v>
      </c>
      <c r="S715" t="n">
        <v>106199</v>
      </c>
      <c r="T715" t="n">
        <v>18121</v>
      </c>
      <c r="U715" t="n">
        <v>13</v>
      </c>
      <c r="V715" t="n">
        <v>0.8719153180399601</v>
      </c>
      <c r="W715" t="n">
        <v>0.32</v>
      </c>
      <c r="X715" s="16">
        <f>IFERROR(K715/E715*100,"")</f>
        <v/>
      </c>
      <c r="Y715" s="16">
        <f>IFERROR((N715+O715)/E715*100,"")</f>
        <v/>
      </c>
      <c r="Z715" s="16">
        <f>IFERROR(R715/F715*100,"")</f>
        <v/>
      </c>
      <c r="AA715" s="16">
        <f>IFERROR(R715/E715*100,"")</f>
        <v/>
      </c>
      <c r="AB715" s="16">
        <f>IFERROR(S715/Q715*100,"")</f>
        <v/>
      </c>
      <c r="AC715" s="16">
        <f>IFERROR(T715/Q715*100,"")</f>
        <v/>
      </c>
      <c r="AD715" s="16">
        <f>IFERROR(U715/Q715*100,"")</f>
        <v/>
      </c>
      <c r="AE715" s="18" t="n"/>
      <c r="AF715" s="18" t="n"/>
      <c r="AG715" s="18" t="n"/>
      <c r="AH715">
        <f>P715&gt;0</f>
        <v/>
      </c>
    </row>
    <row r="716">
      <c r="A716" s="14" t="n">
        <v>44834</v>
      </c>
      <c r="B716" t="n">
        <v>59176</v>
      </c>
      <c r="C716" t="inlineStr">
        <is>
          <t>THE MILLYARD BANK</t>
        </is>
      </c>
      <c r="D716" t="inlineStr">
        <is>
          <t>NH</t>
        </is>
      </c>
      <c r="E716" t="n">
        <v>182612</v>
      </c>
      <c r="F716" t="n">
        <v>160518</v>
      </c>
      <c r="G716" t="n">
        <v>21662</v>
      </c>
      <c r="H716" s="16" t="n">
        <v>0.2241785844430663</v>
      </c>
      <c r="I716" s="16" t="n">
        <v>1.72</v>
      </c>
      <c r="J716" s="16" t="n">
        <v>3.093222883095814</v>
      </c>
      <c r="K716" s="16" t="n">
        <v>0</v>
      </c>
      <c r="L716" s="16" t="n">
        <v>0</v>
      </c>
      <c r="M716" s="16" t="n">
        <v>0</v>
      </c>
      <c r="N716" s="16" t="n">
        <v>0</v>
      </c>
      <c r="O716" s="16" t="n">
        <v>0</v>
      </c>
      <c r="P716" s="16" t="n">
        <v>18.62796427471512</v>
      </c>
      <c r="Q716" t="n">
        <v>124839</v>
      </c>
      <c r="R716" t="n">
        <v>123660</v>
      </c>
      <c r="S716" t="n">
        <v>107791</v>
      </c>
      <c r="T716" t="n">
        <v>17036</v>
      </c>
      <c r="U716" t="n">
        <v>12</v>
      </c>
      <c r="V716" t="n">
        <v>0.944416408333934</v>
      </c>
      <c r="W716" t="n">
        <v>0.28</v>
      </c>
      <c r="X716" s="16">
        <f>IFERROR(K716/E716*100,"")</f>
        <v/>
      </c>
      <c r="Y716" s="16">
        <f>IFERROR((N716+O716)/E716*100,"")</f>
        <v/>
      </c>
      <c r="Z716" s="16">
        <f>IFERROR(R716/F716*100,"")</f>
        <v/>
      </c>
      <c r="AA716" s="16">
        <f>IFERROR(R716/E716*100,"")</f>
        <v/>
      </c>
      <c r="AB716" s="16">
        <f>IFERROR(S716/Q716*100,"")</f>
        <v/>
      </c>
      <c r="AC716" s="16">
        <f>IFERROR(T716/Q716*100,"")</f>
        <v/>
      </c>
      <c r="AD716" s="16">
        <f>IFERROR(U716/Q716*100,"")</f>
        <v/>
      </c>
      <c r="AE716" s="18" t="n"/>
      <c r="AF716" s="18" t="n"/>
      <c r="AG716" s="18" t="n"/>
      <c r="AH716">
        <f>P716&gt;0</f>
        <v/>
      </c>
    </row>
    <row r="717">
      <c r="A717" s="14" t="n">
        <v>44926</v>
      </c>
      <c r="B717" t="n">
        <v>59176</v>
      </c>
      <c r="C717" t="inlineStr">
        <is>
          <t>THE MILLYARD BANK</t>
        </is>
      </c>
      <c r="D717" t="inlineStr">
        <is>
          <t>NH</t>
        </is>
      </c>
      <c r="E717" t="n">
        <v>176672</v>
      </c>
      <c r="F717" t="n">
        <v>151831</v>
      </c>
      <c r="G717" t="n">
        <v>23234</v>
      </c>
      <c r="H717" s="16" t="n">
        <v>0.8768015873411537</v>
      </c>
      <c r="I717" s="16" t="n">
        <v>6.71</v>
      </c>
      <c r="J717" s="16" t="n">
        <v>3.229165209940235</v>
      </c>
      <c r="K717" s="16" t="n">
        <v>0</v>
      </c>
      <c r="L717" s="16" t="n">
        <v>0</v>
      </c>
      <c r="M717" s="16" t="n">
        <v>0</v>
      </c>
      <c r="N717" s="16" t="n">
        <v>0</v>
      </c>
      <c r="O717" s="16" t="n">
        <v>0</v>
      </c>
      <c r="P717" s="16" t="n">
        <v>18.31291921843103</v>
      </c>
      <c r="Q717" t="n">
        <v>134845</v>
      </c>
      <c r="R717" t="n">
        <v>133568</v>
      </c>
      <c r="S717" t="n">
        <v>116593</v>
      </c>
      <c r="T717" t="n">
        <v>18249</v>
      </c>
      <c r="U717" t="n">
        <v>9</v>
      </c>
      <c r="V717" t="n">
        <v>0.9470132374207424</v>
      </c>
      <c r="W717" t="n">
        <v>0.27</v>
      </c>
      <c r="X717" s="16">
        <f>IFERROR(K717/E717*100,"")</f>
        <v/>
      </c>
      <c r="Y717" s="16">
        <f>IFERROR((N717+O717)/E717*100,"")</f>
        <v/>
      </c>
      <c r="Z717" s="16">
        <f>IFERROR(R717/F717*100,"")</f>
        <v/>
      </c>
      <c r="AA717" s="16">
        <f>IFERROR(R717/E717*100,"")</f>
        <v/>
      </c>
      <c r="AB717" s="16">
        <f>IFERROR(S717/Q717*100,"")</f>
        <v/>
      </c>
      <c r="AC717" s="16">
        <f>IFERROR(T717/Q717*100,"")</f>
        <v/>
      </c>
      <c r="AD717" s="16">
        <f>IFERROR(U717/Q717*100,"")</f>
        <v/>
      </c>
      <c r="AE717" s="18" t="n"/>
      <c r="AF717" s="18" t="n"/>
      <c r="AG717" s="18" t="n"/>
      <c r="AH717">
        <f>P717&gt;0</f>
        <v/>
      </c>
    </row>
    <row r="718">
      <c r="A718" s="14" t="n">
        <v>45016</v>
      </c>
      <c r="B718" t="n">
        <v>59176</v>
      </c>
      <c r="C718" t="inlineStr">
        <is>
          <t>THE MILLYARD BANK</t>
        </is>
      </c>
      <c r="D718" t="inlineStr">
        <is>
          <t>NH</t>
        </is>
      </c>
      <c r="E718" t="n">
        <v>191655</v>
      </c>
      <c r="F718" t="n">
        <v>161440</v>
      </c>
      <c r="G718" t="n">
        <v>23472</v>
      </c>
      <c r="H718" s="16" t="n">
        <v>0.2106823556242143</v>
      </c>
      <c r="I718" s="16" t="n">
        <v>1.66</v>
      </c>
      <c r="J718" s="16" t="n">
        <v>2.881979794815569</v>
      </c>
      <c r="K718" s="16" t="n">
        <v>0</v>
      </c>
      <c r="L718" s="16" t="n">
        <v>0</v>
      </c>
      <c r="M718" s="16" t="n">
        <v>0</v>
      </c>
      <c r="N718" s="16" t="n">
        <v>0</v>
      </c>
      <c r="O718" s="16" t="n">
        <v>0</v>
      </c>
      <c r="P718" s="16" t="n">
        <v>18.2380826024283</v>
      </c>
      <c r="Q718" t="n">
        <v>138506</v>
      </c>
      <c r="R718" t="n">
        <v>137137</v>
      </c>
      <c r="S718" t="n">
        <v>119629</v>
      </c>
      <c r="T718" t="n">
        <v>18881</v>
      </c>
      <c r="U718" t="n">
        <v>8</v>
      </c>
      <c r="V718" t="n">
        <v>0.9884048344476052</v>
      </c>
      <c r="W718" t="n">
        <v>0.2</v>
      </c>
      <c r="X718" s="16">
        <f>IFERROR(K718/E718*100,"")</f>
        <v/>
      </c>
      <c r="Y718" s="16">
        <f>IFERROR((N718+O718)/E718*100,"")</f>
        <v/>
      </c>
      <c r="Z718" s="16">
        <f>IFERROR(R718/F718*100,"")</f>
        <v/>
      </c>
      <c r="AA718" s="16">
        <f>IFERROR(R718/E718*100,"")</f>
        <v/>
      </c>
      <c r="AB718" s="16">
        <f>IFERROR(S718/Q718*100,"")</f>
        <v/>
      </c>
      <c r="AC718" s="16">
        <f>IFERROR(T718/Q718*100,"")</f>
        <v/>
      </c>
      <c r="AD718" s="16">
        <f>IFERROR(U718/Q718*100,"")</f>
        <v/>
      </c>
      <c r="AE718" s="18">
        <f>IFERROR(E718/E714-1,"")</f>
        <v/>
      </c>
      <c r="AF718" s="18">
        <f>IFERROR(R718/R714-1,"")</f>
        <v/>
      </c>
      <c r="AG718" s="18">
        <f>IFERROR(F718/F714-1,"")</f>
        <v/>
      </c>
      <c r="AH718">
        <f>P718&gt;0</f>
        <v/>
      </c>
    </row>
    <row r="719">
      <c r="A719" s="14" t="n">
        <v>45107</v>
      </c>
      <c r="B719" t="n">
        <v>59176</v>
      </c>
      <c r="C719" t="inlineStr">
        <is>
          <t>THE MILLYARD BANK</t>
        </is>
      </c>
      <c r="D719" t="inlineStr">
        <is>
          <t>NH</t>
        </is>
      </c>
      <c r="E719" t="n">
        <v>202708</v>
      </c>
      <c r="F719" t="n">
        <v>173553</v>
      </c>
      <c r="G719" t="n">
        <v>23273</v>
      </c>
      <c r="H719" s="16" t="n">
        <v>-0.1134781580813785</v>
      </c>
      <c r="I719" s="16" t="n">
        <v>-0.93</v>
      </c>
      <c r="J719" s="16" t="n">
        <v>2.546661764387828</v>
      </c>
      <c r="K719" s="16" t="n">
        <v>0</v>
      </c>
      <c r="L719" s="16" t="n">
        <v>34</v>
      </c>
      <c r="M719" s="16" t="n">
        <v>0</v>
      </c>
      <c r="N719" s="16" t="n">
        <v>0</v>
      </c>
      <c r="O719" s="16" t="n">
        <v>0</v>
      </c>
      <c r="P719" s="16" t="n">
        <v>18.48544200187091</v>
      </c>
      <c r="Q719" t="n">
        <v>137040</v>
      </c>
      <c r="R719" t="n">
        <v>135608</v>
      </c>
      <c r="S719" t="n">
        <v>117163</v>
      </c>
      <c r="T719" t="n">
        <v>19871</v>
      </c>
      <c r="U719" t="n">
        <v>6</v>
      </c>
      <c r="V719" t="n">
        <v>1.044950379451255</v>
      </c>
      <c r="W719" t="n">
        <v>0.2</v>
      </c>
      <c r="X719" s="16">
        <f>IFERROR(K719/E719*100,"")</f>
        <v/>
      </c>
      <c r="Y719" s="16">
        <f>IFERROR((N719+O719)/E719*100,"")</f>
        <v/>
      </c>
      <c r="Z719" s="16">
        <f>IFERROR(R719/F719*100,"")</f>
        <v/>
      </c>
      <c r="AA719" s="16">
        <f>IFERROR(R719/E719*100,"")</f>
        <v/>
      </c>
      <c r="AB719" s="16">
        <f>IFERROR(S719/Q719*100,"")</f>
        <v/>
      </c>
      <c r="AC719" s="16">
        <f>IFERROR(T719/Q719*100,"")</f>
        <v/>
      </c>
      <c r="AD719" s="16">
        <f>IFERROR(U719/Q719*100,"")</f>
        <v/>
      </c>
      <c r="AE719" s="18">
        <f>IFERROR(E719/E715-1,"")</f>
        <v/>
      </c>
      <c r="AF719" s="18">
        <f>IFERROR(R719/R715-1,"")</f>
        <v/>
      </c>
      <c r="AG719" s="18">
        <f>IFERROR(F719/F715-1,"")</f>
        <v/>
      </c>
      <c r="AH719">
        <f>P719&gt;0</f>
        <v/>
      </c>
    </row>
    <row r="720">
      <c r="A720" s="14" t="n">
        <v>45199</v>
      </c>
      <c r="B720" t="n">
        <v>59176</v>
      </c>
      <c r="C720" t="inlineStr">
        <is>
          <t>THE MILLYARD BANK</t>
        </is>
      </c>
      <c r="D720" t="inlineStr">
        <is>
          <t>NH</t>
        </is>
      </c>
      <c r="E720" t="n">
        <v>219071</v>
      </c>
      <c r="F720" t="n">
        <v>188051</v>
      </c>
      <c r="G720" t="n">
        <v>23030</v>
      </c>
      <c r="H720" s="16" t="n">
        <v>-0.2240993486949852</v>
      </c>
      <c r="I720" s="16" t="n">
        <v>-1.9</v>
      </c>
      <c r="J720" s="16" t="n">
        <v>2.377426272830538</v>
      </c>
      <c r="K720" s="16" t="n">
        <v>0</v>
      </c>
      <c r="L720" s="16" t="n">
        <v>34</v>
      </c>
      <c r="M720" s="16" t="n">
        <v>0</v>
      </c>
      <c r="N720" s="16" t="n">
        <v>0</v>
      </c>
      <c r="O720" s="16" t="n">
        <v>0</v>
      </c>
      <c r="P720" s="16" t="n">
        <v>17.31839736100612</v>
      </c>
      <c r="Q720" t="n">
        <v>145767</v>
      </c>
      <c r="R720" t="n">
        <v>144227</v>
      </c>
      <c r="S720" t="n">
        <v>124886</v>
      </c>
      <c r="T720" t="n">
        <v>20876</v>
      </c>
      <c r="U720" t="n">
        <v>5</v>
      </c>
      <c r="V720" t="n">
        <v>1.056480547723422</v>
      </c>
      <c r="W720" t="n">
        <v>0.2</v>
      </c>
      <c r="X720" s="16">
        <f>IFERROR(K720/E720*100,"")</f>
        <v/>
      </c>
      <c r="Y720" s="16">
        <f>IFERROR((N720+O720)/E720*100,"")</f>
        <v/>
      </c>
      <c r="Z720" s="16">
        <f>IFERROR(R720/F720*100,"")</f>
        <v/>
      </c>
      <c r="AA720" s="16">
        <f>IFERROR(R720/E720*100,"")</f>
        <v/>
      </c>
      <c r="AB720" s="16">
        <f>IFERROR(S720/Q720*100,"")</f>
        <v/>
      </c>
      <c r="AC720" s="16">
        <f>IFERROR(T720/Q720*100,"")</f>
        <v/>
      </c>
      <c r="AD720" s="16">
        <f>IFERROR(U720/Q720*100,"")</f>
        <v/>
      </c>
      <c r="AE720" s="18">
        <f>IFERROR(E720/E716-1,"")</f>
        <v/>
      </c>
      <c r="AF720" s="18">
        <f>IFERROR(R720/R716-1,"")</f>
        <v/>
      </c>
      <c r="AG720" s="18">
        <f>IFERROR(F720/F716-1,"")</f>
        <v/>
      </c>
      <c r="AH720">
        <f>P720&gt;0</f>
        <v/>
      </c>
    </row>
    <row r="721">
      <c r="A721" s="14" t="n">
        <v>45291</v>
      </c>
      <c r="B721" t="n">
        <v>59176</v>
      </c>
      <c r="C721" t="inlineStr">
        <is>
          <t>THE MILLYARD BANK</t>
        </is>
      </c>
      <c r="D721" t="inlineStr">
        <is>
          <t>NH</t>
        </is>
      </c>
      <c r="E721" t="n">
        <v>238058</v>
      </c>
      <c r="F721" t="n">
        <v>197828</v>
      </c>
      <c r="G721" t="n">
        <v>23051</v>
      </c>
      <c r="H721" s="16" t="n">
        <v>-0.1916036741220272</v>
      </c>
      <c r="I721" s="16" t="n">
        <v>-1.7</v>
      </c>
      <c r="J721" s="16" t="n">
        <v>2.303184881432702</v>
      </c>
      <c r="K721" s="16" t="n">
        <v>0</v>
      </c>
      <c r="L721" s="16" t="n">
        <v>66</v>
      </c>
      <c r="M721" s="16" t="n">
        <v>0</v>
      </c>
      <c r="N721" s="16" t="n">
        <v>0</v>
      </c>
      <c r="O721" s="16" t="n">
        <v>0</v>
      </c>
      <c r="P721" s="16" t="n">
        <v>16.05448842343689</v>
      </c>
      <c r="Q721" t="n">
        <v>151977</v>
      </c>
      <c r="R721" t="n">
        <v>150485</v>
      </c>
      <c r="S721" t="n">
        <v>128774</v>
      </c>
      <c r="T721" t="n">
        <v>23200</v>
      </c>
      <c r="U721" t="n">
        <v>4</v>
      </c>
      <c r="V721" t="n">
        <v>0.9817274982398652</v>
      </c>
      <c r="W721" t="n">
        <v>0.2</v>
      </c>
      <c r="X721" s="16">
        <f>IFERROR(K721/E721*100,"")</f>
        <v/>
      </c>
      <c r="Y721" s="16">
        <f>IFERROR((N721+O721)/E721*100,"")</f>
        <v/>
      </c>
      <c r="Z721" s="16">
        <f>IFERROR(R721/F721*100,"")</f>
        <v/>
      </c>
      <c r="AA721" s="16">
        <f>IFERROR(R721/E721*100,"")</f>
        <v/>
      </c>
      <c r="AB721" s="16">
        <f>IFERROR(S721/Q721*100,"")</f>
        <v/>
      </c>
      <c r="AC721" s="16">
        <f>IFERROR(T721/Q721*100,"")</f>
        <v/>
      </c>
      <c r="AD721" s="16">
        <f>IFERROR(U721/Q721*100,"")</f>
        <v/>
      </c>
      <c r="AE721" s="18">
        <f>IFERROR(E721/E717-1,"")</f>
        <v/>
      </c>
      <c r="AF721" s="18">
        <f>IFERROR(R721/R717-1,"")</f>
        <v/>
      </c>
      <c r="AG721" s="18">
        <f>IFERROR(F721/F717-1,"")</f>
        <v/>
      </c>
      <c r="AH721">
        <f>P721&gt;0</f>
        <v/>
      </c>
    </row>
    <row r="722">
      <c r="A722" s="14" t="n">
        <v>45382</v>
      </c>
      <c r="B722" t="n">
        <v>59176</v>
      </c>
      <c r="C722" t="inlineStr">
        <is>
          <t>THE MILLYARD BANK</t>
        </is>
      </c>
      <c r="D722" t="inlineStr">
        <is>
          <t>NH</t>
        </is>
      </c>
      <c r="E722" t="n">
        <v>222037</v>
      </c>
      <c r="F722" t="n">
        <v>182535</v>
      </c>
      <c r="G722" t="n">
        <v>26809</v>
      </c>
      <c r="H722" s="16" t="n">
        <v>-0.0643345396059509</v>
      </c>
      <c r="I722" s="16" t="n">
        <v>-0.59</v>
      </c>
      <c r="J722" s="16" t="n">
        <v>2.283952685721945</v>
      </c>
      <c r="K722" s="16" t="n">
        <v>0</v>
      </c>
      <c r="L722" s="16" t="n">
        <v>-32</v>
      </c>
      <c r="M722" s="16" t="n">
        <v>0</v>
      </c>
      <c r="N722" s="16" t="n">
        <v>0</v>
      </c>
      <c r="O722" s="16" t="n">
        <v>0</v>
      </c>
      <c r="P722" s="16" t="n">
        <v>18.01629370933564</v>
      </c>
      <c r="Q722" t="n">
        <v>155520</v>
      </c>
      <c r="R722" t="n">
        <v>154019</v>
      </c>
      <c r="S722" t="n">
        <v>132126</v>
      </c>
      <c r="T722" t="n">
        <v>23317</v>
      </c>
      <c r="U722" t="n">
        <v>93</v>
      </c>
      <c r="V722" t="n">
        <v>0.9651491769547323</v>
      </c>
      <c r="W722" t="n">
        <v>0.05</v>
      </c>
      <c r="X722" s="16">
        <f>IFERROR(K722/E722*100,"")</f>
        <v/>
      </c>
      <c r="Y722" s="16">
        <f>IFERROR((N722+O722)/E722*100,"")</f>
        <v/>
      </c>
      <c r="Z722" s="16">
        <f>IFERROR(R722/F722*100,"")</f>
        <v/>
      </c>
      <c r="AA722" s="16">
        <f>IFERROR(R722/E722*100,"")</f>
        <v/>
      </c>
      <c r="AB722" s="16">
        <f>IFERROR(S722/Q722*100,"")</f>
        <v/>
      </c>
      <c r="AC722" s="16">
        <f>IFERROR(T722/Q722*100,"")</f>
        <v/>
      </c>
      <c r="AD722" s="16">
        <f>IFERROR(U722/Q722*100,"")</f>
        <v/>
      </c>
      <c r="AE722" s="18">
        <f>IFERROR(E722/E718-1,"")</f>
        <v/>
      </c>
      <c r="AF722" s="18">
        <f>IFERROR(R722/R718-1,"")</f>
        <v/>
      </c>
      <c r="AG722" s="18">
        <f>IFERROR(F722/F718-1,"")</f>
        <v/>
      </c>
      <c r="AH722">
        <f>P722&gt;0</f>
        <v/>
      </c>
    </row>
    <row r="723">
      <c r="A723" s="14" t="n">
        <v>45473</v>
      </c>
      <c r="B723" t="n">
        <v>59176</v>
      </c>
      <c r="C723" t="inlineStr">
        <is>
          <t>THE MILLYARD BANK</t>
        </is>
      </c>
      <c r="D723" t="inlineStr">
        <is>
          <t>NH</t>
        </is>
      </c>
      <c r="E723" t="n">
        <v>229589</v>
      </c>
      <c r="F723" t="n">
        <v>190049</v>
      </c>
      <c r="G723" t="n">
        <v>26811</v>
      </c>
      <c r="H723" s="16" t="n">
        <v>-0.0574175999443223</v>
      </c>
      <c r="I723" s="16" t="n">
        <v>-0.52</v>
      </c>
      <c r="J723" s="16" t="n">
        <v>2.335441283016843</v>
      </c>
      <c r="K723" s="16" t="n">
        <v>0</v>
      </c>
      <c r="L723" s="16" t="n">
        <v>-32</v>
      </c>
      <c r="M723" s="16" t="n">
        <v>0</v>
      </c>
      <c r="N723" s="16" t="n">
        <v>2371</v>
      </c>
      <c r="O723" s="16" t="n">
        <v>0</v>
      </c>
      <c r="P723" s="16" t="n">
        <v>0</v>
      </c>
      <c r="Q723" t="n">
        <v>167384</v>
      </c>
      <c r="R723" t="n">
        <v>165775</v>
      </c>
      <c r="S723" t="n">
        <v>145359</v>
      </c>
      <c r="T723" t="n">
        <v>21990</v>
      </c>
      <c r="U723" t="n">
        <v>1</v>
      </c>
      <c r="V723" t="n">
        <v>0.9612627252306074</v>
      </c>
      <c r="W723" t="n">
        <v>0.09</v>
      </c>
      <c r="X723" s="16">
        <f>IFERROR(K723/E723*100,"")</f>
        <v/>
      </c>
      <c r="Y723" s="16">
        <f>IFERROR((N723+O723)/E723*100,"")</f>
        <v/>
      </c>
      <c r="Z723" s="16">
        <f>IFERROR(R723/F723*100,"")</f>
        <v/>
      </c>
      <c r="AA723" s="16">
        <f>IFERROR(R723/E723*100,"")</f>
        <v/>
      </c>
      <c r="AB723" s="16">
        <f>IFERROR(S723/Q723*100,"")</f>
        <v/>
      </c>
      <c r="AC723" s="16">
        <f>IFERROR(T723/Q723*100,"")</f>
        <v/>
      </c>
      <c r="AD723" s="16">
        <f>IFERROR(U723/Q723*100,"")</f>
        <v/>
      </c>
      <c r="AE723" s="18">
        <f>IFERROR(E723/E719-1,"")</f>
        <v/>
      </c>
      <c r="AF723" s="18">
        <f>IFERROR(R723/R719-1,"")</f>
        <v/>
      </c>
      <c r="AG723" s="18">
        <f>IFERROR(F723/F719-1,"")</f>
        <v/>
      </c>
      <c r="AH723">
        <f>P723&gt;0</f>
        <v/>
      </c>
    </row>
    <row r="724">
      <c r="A724" s="14" t="n">
        <v>45565</v>
      </c>
      <c r="B724" t="n">
        <v>59176</v>
      </c>
      <c r="C724" t="inlineStr">
        <is>
          <t>THE MILLYARD BANK</t>
        </is>
      </c>
      <c r="D724" t="inlineStr">
        <is>
          <t>NH</t>
        </is>
      </c>
      <c r="E724" t="n">
        <v>228046</v>
      </c>
      <c r="F724" t="n">
        <v>192544</v>
      </c>
      <c r="G724" t="n">
        <v>27016</v>
      </c>
      <c r="H724" s="16" t="n">
        <v>0.0476526211412942</v>
      </c>
      <c r="I724" s="16" t="n">
        <v>0.42</v>
      </c>
      <c r="J724" s="16" t="n">
        <v>2.448461114472003</v>
      </c>
      <c r="K724" s="16" t="n">
        <v>0</v>
      </c>
      <c r="L724" s="16" t="n">
        <v>-32</v>
      </c>
      <c r="M724" s="16" t="n">
        <v>0</v>
      </c>
      <c r="N724" s="16" t="n">
        <v>0</v>
      </c>
      <c r="O724" s="16" t="n">
        <v>0</v>
      </c>
      <c r="P724" s="16" t="n">
        <v>0</v>
      </c>
      <c r="Q724" t="n">
        <v>169029</v>
      </c>
      <c r="R724" t="n">
        <v>167420</v>
      </c>
      <c r="S724" t="n">
        <v>146756</v>
      </c>
      <c r="T724" t="n">
        <v>22234</v>
      </c>
      <c r="U724" t="n">
        <v>0</v>
      </c>
      <c r="V724" t="n">
        <v>0.9519076608155996</v>
      </c>
      <c r="W724" t="n">
        <v>0.06</v>
      </c>
      <c r="X724" s="16">
        <f>IFERROR(K724/E724*100,"")</f>
        <v/>
      </c>
      <c r="Y724" s="16">
        <f>IFERROR((N724+O724)/E724*100,"")</f>
        <v/>
      </c>
      <c r="Z724" s="16">
        <f>IFERROR(R724/F724*100,"")</f>
        <v/>
      </c>
      <c r="AA724" s="16">
        <f>IFERROR(R724/E724*100,"")</f>
        <v/>
      </c>
      <c r="AB724" s="16">
        <f>IFERROR(S724/Q724*100,"")</f>
        <v/>
      </c>
      <c r="AC724" s="16">
        <f>IFERROR(T724/Q724*100,"")</f>
        <v/>
      </c>
      <c r="AD724" s="16">
        <f>IFERROR(U724/Q724*100,"")</f>
        <v/>
      </c>
      <c r="AE724" s="18">
        <f>IFERROR(E724/E720-1,"")</f>
        <v/>
      </c>
      <c r="AF724" s="18">
        <f>IFERROR(R724/R720-1,"")</f>
        <v/>
      </c>
      <c r="AG724" s="18">
        <f>IFERROR(F724/F720-1,"")</f>
        <v/>
      </c>
      <c r="AH724">
        <f>P724&gt;0</f>
        <v/>
      </c>
    </row>
    <row r="725">
      <c r="A725" s="14" t="n">
        <v>45657</v>
      </c>
      <c r="B725" t="n">
        <v>59176</v>
      </c>
      <c r="C725" t="inlineStr">
        <is>
          <t>THE MILLYARD BANK</t>
        </is>
      </c>
      <c r="D725" t="inlineStr">
        <is>
          <t>NH</t>
        </is>
      </c>
      <c r="E725" t="n">
        <v>237381</v>
      </c>
      <c r="F725" t="n">
        <v>196927</v>
      </c>
      <c r="G725" t="n">
        <v>27230</v>
      </c>
      <c r="H725" s="16" t="n">
        <v>0.1134090143717789</v>
      </c>
      <c r="I725" s="16" t="n">
        <v>1</v>
      </c>
      <c r="J725" s="16" t="n">
        <v>2.527367204206821</v>
      </c>
      <c r="K725" s="16" t="n">
        <v>0</v>
      </c>
      <c r="L725" s="16" t="n">
        <v>-32</v>
      </c>
      <c r="M725" s="16" t="n">
        <v>0</v>
      </c>
      <c r="N725" s="16" t="n">
        <v>0</v>
      </c>
      <c r="O725" s="16" t="n">
        <v>0</v>
      </c>
      <c r="P725" s="16" t="n">
        <v>0</v>
      </c>
      <c r="Q725" t="n">
        <v>180752</v>
      </c>
      <c r="R725" t="n">
        <v>179056</v>
      </c>
      <c r="S725" t="n">
        <v>156611</v>
      </c>
      <c r="T725" t="n">
        <v>24140</v>
      </c>
      <c r="U725" t="n">
        <v>0</v>
      </c>
      <c r="V725" t="n">
        <v>0.938302204124989</v>
      </c>
      <c r="W725" t="n">
        <v>0.09</v>
      </c>
      <c r="X725" s="16">
        <f>IFERROR(K725/E725*100,"")</f>
        <v/>
      </c>
      <c r="Y725" s="16">
        <f>IFERROR((N725+O725)/E725*100,"")</f>
        <v/>
      </c>
      <c r="Z725" s="16">
        <f>IFERROR(R725/F725*100,"")</f>
        <v/>
      </c>
      <c r="AA725" s="16">
        <f>IFERROR(R725/E725*100,"")</f>
        <v/>
      </c>
      <c r="AB725" s="16">
        <f>IFERROR(S725/Q725*100,"")</f>
        <v/>
      </c>
      <c r="AC725" s="16">
        <f>IFERROR(T725/Q725*100,"")</f>
        <v/>
      </c>
      <c r="AD725" s="16">
        <f>IFERROR(U725/Q725*100,"")</f>
        <v/>
      </c>
      <c r="AE725" s="18">
        <f>IFERROR(E725/E721-1,"")</f>
        <v/>
      </c>
      <c r="AF725" s="18">
        <f>IFERROR(R725/R721-1,"")</f>
        <v/>
      </c>
      <c r="AG725" s="18">
        <f>IFERROR(F725/F721-1,"")</f>
        <v/>
      </c>
      <c r="AH725">
        <f>P725&gt;0</f>
        <v/>
      </c>
    </row>
    <row r="726">
      <c r="A726" s="14" t="n">
        <v>45747</v>
      </c>
      <c r="B726" t="n">
        <v>59176</v>
      </c>
      <c r="C726" t="inlineStr">
        <is>
          <t>THE MILLYARD BANK</t>
        </is>
      </c>
      <c r="D726" t="inlineStr">
        <is>
          <t>NH</t>
        </is>
      </c>
      <c r="E726" t="n">
        <v>253661</v>
      </c>
      <c r="F726" t="n">
        <v>203852</v>
      </c>
      <c r="G726" t="n">
        <v>27423</v>
      </c>
      <c r="H726" s="16" t="n">
        <v>0.1971318135719551</v>
      </c>
      <c r="I726" s="16" t="n">
        <v>1.77</v>
      </c>
      <c r="J726" s="16" t="n">
        <v>2.802210763994204</v>
      </c>
      <c r="K726" s="16" t="n">
        <v>0</v>
      </c>
      <c r="L726" s="16" t="n">
        <v>0</v>
      </c>
      <c r="M726" s="16" t="n">
        <v>0</v>
      </c>
      <c r="N726" s="16" t="n">
        <v>0</v>
      </c>
      <c r="O726" s="16" t="n">
        <v>0</v>
      </c>
      <c r="P726" s="16" t="n">
        <v>0</v>
      </c>
      <c r="Q726" t="n">
        <v>193343</v>
      </c>
      <c r="R726" t="n">
        <v>191538</v>
      </c>
      <c r="S726" t="n">
        <v>166487</v>
      </c>
      <c r="T726" t="n">
        <v>25658</v>
      </c>
      <c r="U726" t="n">
        <v>0</v>
      </c>
      <c r="V726" t="n">
        <v>0.9335740109546248</v>
      </c>
      <c r="W726" t="n">
        <v>0.16</v>
      </c>
      <c r="X726" s="16">
        <f>IFERROR(K726/E726*100,"")</f>
        <v/>
      </c>
      <c r="Y726" s="16">
        <f>IFERROR((N726+O726)/E726*100,"")</f>
        <v/>
      </c>
      <c r="Z726" s="16">
        <f>IFERROR(R726/F726*100,"")</f>
        <v/>
      </c>
      <c r="AA726" s="16">
        <f>IFERROR(R726/E726*100,"")</f>
        <v/>
      </c>
      <c r="AB726" s="16">
        <f>IFERROR(S726/Q726*100,"")</f>
        <v/>
      </c>
      <c r="AC726" s="16">
        <f>IFERROR(T726/Q726*100,"")</f>
        <v/>
      </c>
      <c r="AD726" s="16">
        <f>IFERROR(U726/Q726*100,"")</f>
        <v/>
      </c>
      <c r="AE726" s="18">
        <f>IFERROR(E726/E722-1,"")</f>
        <v/>
      </c>
      <c r="AF726" s="18">
        <f>IFERROR(R726/R722-1,"")</f>
        <v/>
      </c>
      <c r="AG726" s="18">
        <f>IFERROR(F726/F722-1,"")</f>
        <v/>
      </c>
      <c r="AH726">
        <f>P726&gt;0</f>
        <v/>
      </c>
    </row>
    <row r="727">
      <c r="A727" s="14" t="n">
        <v>45838</v>
      </c>
      <c r="B727" t="n">
        <v>59176</v>
      </c>
      <c r="C727" t="inlineStr">
        <is>
          <t>THE MILLYARD BANK</t>
        </is>
      </c>
      <c r="D727" t="inlineStr">
        <is>
          <t>NH</t>
        </is>
      </c>
      <c r="E727" t="n">
        <v>279006</v>
      </c>
      <c r="F727" t="n">
        <v>229104</v>
      </c>
      <c r="G727" t="n">
        <v>28607</v>
      </c>
      <c r="H727" s="16" t="n">
        <v>0.1683011968085106</v>
      </c>
      <c r="I727" s="16" t="n">
        <v>1.56</v>
      </c>
      <c r="J727" s="16" t="n">
        <v>2.743210198515069</v>
      </c>
      <c r="K727" s="16" t="n">
        <v>0</v>
      </c>
      <c r="L727" s="16" t="n">
        <v>0</v>
      </c>
      <c r="M727" s="16" t="n">
        <v>0</v>
      </c>
      <c r="N727" s="16" t="n">
        <v>0</v>
      </c>
      <c r="O727" s="16" t="n">
        <v>0</v>
      </c>
      <c r="P727" s="16" t="n">
        <v>0</v>
      </c>
      <c r="Q727" t="n">
        <v>209550</v>
      </c>
      <c r="R727" t="n">
        <v>207565</v>
      </c>
      <c r="S727" t="n">
        <v>180172</v>
      </c>
      <c r="T727" t="n">
        <v>28021</v>
      </c>
      <c r="U727" t="n">
        <v>0</v>
      </c>
      <c r="V727" t="n">
        <v>0.9472679551419708</v>
      </c>
      <c r="W727" t="n">
        <v>0.27</v>
      </c>
      <c r="X727" s="16">
        <f>IFERROR(K727/E727*100,"")</f>
        <v/>
      </c>
      <c r="Y727" s="16">
        <f>IFERROR((N727+O727)/E727*100,"")</f>
        <v/>
      </c>
      <c r="Z727" s="16">
        <f>IFERROR(R727/F727*100,"")</f>
        <v/>
      </c>
      <c r="AA727" s="16">
        <f>IFERROR(R727/E727*100,"")</f>
        <v/>
      </c>
      <c r="AB727" s="16">
        <f>IFERROR(S727/Q727*100,"")</f>
        <v/>
      </c>
      <c r="AC727" s="16">
        <f>IFERROR(T727/Q727*100,"")</f>
        <v/>
      </c>
      <c r="AD727" s="16">
        <f>IFERROR(U727/Q727*100,"")</f>
        <v/>
      </c>
      <c r="AE727" s="18">
        <f>IFERROR(E727/E723-1,"")</f>
        <v/>
      </c>
      <c r="AF727" s="18">
        <f>IFERROR(R727/R723-1,"")</f>
        <v/>
      </c>
      <c r="AG727" s="18">
        <f>IFERROR(F727/F723-1,"")</f>
        <v/>
      </c>
      <c r="AH727">
        <f>P727&gt;0</f>
        <v/>
      </c>
    </row>
    <row r="728">
      <c r="A728" s="14" t="n">
        <v>44926</v>
      </c>
      <c r="B728" t="n">
        <v>59289</v>
      </c>
      <c r="C728" t="inlineStr">
        <is>
          <t>WALDEN MUTUAL BANK</t>
        </is>
      </c>
      <c r="D728" t="inlineStr">
        <is>
          <t>NH</t>
        </is>
      </c>
      <c r="E728" t="n">
        <v>22693</v>
      </c>
      <c r="F728" t="n">
        <v>525</v>
      </c>
      <c r="G728" t="n">
        <v>21542</v>
      </c>
      <c r="H728" s="16" t="n">
        <v>-12.4840259110739</v>
      </c>
      <c r="I728" s="16" t="n">
        <v>-13.15</v>
      </c>
      <c r="J728" s="16" t="n">
        <v>1.368410908740484</v>
      </c>
      <c r="K728" s="16" t="n">
        <v>0</v>
      </c>
      <c r="L728" s="16" t="n">
        <v>0</v>
      </c>
      <c r="M728" s="16" t="n">
        <v>0</v>
      </c>
      <c r="N728" s="16" t="n">
        <v>0</v>
      </c>
      <c r="O728" s="16" t="n">
        <v>0</v>
      </c>
      <c r="P728" s="16" t="n">
        <v>0</v>
      </c>
      <c r="Q728" t="n">
        <v>4726</v>
      </c>
      <c r="R728" t="n">
        <v>4675</v>
      </c>
      <c r="S728" t="n">
        <v>2961</v>
      </c>
      <c r="T728" t="n">
        <v>1605</v>
      </c>
      <c r="U728" t="n">
        <v>0</v>
      </c>
      <c r="V728" t="n">
        <v>1.079136690647482</v>
      </c>
      <c r="W728" t="n">
        <v>0.22</v>
      </c>
      <c r="X728" s="16">
        <f>IFERROR(K728/E728*100,"")</f>
        <v/>
      </c>
      <c r="Y728" s="16">
        <f>IFERROR((N728+O728)/E728*100,"")</f>
        <v/>
      </c>
      <c r="Z728" s="16">
        <f>IFERROR(R728/F728*100,"")</f>
        <v/>
      </c>
      <c r="AA728" s="16">
        <f>IFERROR(R728/E728*100,"")</f>
        <v/>
      </c>
      <c r="AB728" s="16">
        <f>IFERROR(S728/Q728*100,"")</f>
        <v/>
      </c>
      <c r="AC728" s="16">
        <f>IFERROR(T728/Q728*100,"")</f>
        <v/>
      </c>
      <c r="AD728" s="16">
        <f>IFERROR(U728/Q728*100,"")</f>
        <v/>
      </c>
      <c r="AE728" s="18" t="n"/>
      <c r="AF728" s="18" t="n"/>
      <c r="AG728" s="18" t="n"/>
      <c r="AH728">
        <f>P728&gt;0</f>
        <v/>
      </c>
    </row>
    <row r="729">
      <c r="A729" s="14" t="n">
        <v>45016</v>
      </c>
      <c r="B729" t="n">
        <v>59289</v>
      </c>
      <c r="C729" t="inlineStr">
        <is>
          <t>WALDEN MUTUAL BANK</t>
        </is>
      </c>
      <c r="D729" t="inlineStr">
        <is>
          <t>NH</t>
        </is>
      </c>
      <c r="E729" t="n">
        <v>44619</v>
      </c>
      <c r="F729" t="n">
        <v>22939</v>
      </c>
      <c r="G729" t="n">
        <v>20800</v>
      </c>
      <c r="H729" s="16" t="n">
        <v>-8.188733063941051</v>
      </c>
      <c r="I729" s="16" t="n">
        <v>-13.02</v>
      </c>
      <c r="J729" s="16" t="n">
        <v>3.924361104517762</v>
      </c>
      <c r="K729" s="16" t="n">
        <v>0</v>
      </c>
      <c r="L729" s="16" t="n">
        <v>0</v>
      </c>
      <c r="M729" s="16" t="n">
        <v>0</v>
      </c>
      <c r="N729" s="16" t="n">
        <v>0</v>
      </c>
      <c r="O729" s="16" t="n">
        <v>0</v>
      </c>
      <c r="P729" s="16" t="n">
        <v>0</v>
      </c>
      <c r="Q729" t="n">
        <v>11029</v>
      </c>
      <c r="R729" t="n">
        <v>10902</v>
      </c>
      <c r="S729" t="n">
        <v>4676</v>
      </c>
      <c r="T729" t="n">
        <v>5881</v>
      </c>
      <c r="U729" t="n">
        <v>0</v>
      </c>
      <c r="V729" t="n">
        <v>1.151509656360505</v>
      </c>
      <c r="W729" t="n">
        <v>0.9</v>
      </c>
      <c r="X729" s="16">
        <f>IFERROR(K729/E729*100,"")</f>
        <v/>
      </c>
      <c r="Y729" s="16">
        <f>IFERROR((N729+O729)/E729*100,"")</f>
        <v/>
      </c>
      <c r="Z729" s="16">
        <f>IFERROR(R729/F729*100,"")</f>
        <v/>
      </c>
      <c r="AA729" s="16">
        <f>IFERROR(R729/E729*100,"")</f>
        <v/>
      </c>
      <c r="AB729" s="16">
        <f>IFERROR(S729/Q729*100,"")</f>
        <v/>
      </c>
      <c r="AC729" s="16">
        <f>IFERROR(T729/Q729*100,"")</f>
        <v/>
      </c>
      <c r="AD729" s="16">
        <f>IFERROR(U729/Q729*100,"")</f>
        <v/>
      </c>
      <c r="AE729" s="18" t="n"/>
      <c r="AF729" s="18" t="n"/>
      <c r="AG729" s="18" t="n"/>
      <c r="AH729">
        <f>P729&gt;0</f>
        <v/>
      </c>
    </row>
    <row r="730">
      <c r="A730" s="14" t="n">
        <v>45107</v>
      </c>
      <c r="B730" t="n">
        <v>59289</v>
      </c>
      <c r="C730" t="inlineStr">
        <is>
          <t>WALDEN MUTUAL BANK</t>
        </is>
      </c>
      <c r="D730" t="inlineStr">
        <is>
          <t>NH</t>
        </is>
      </c>
      <c r="E730" t="n">
        <v>50390</v>
      </c>
      <c r="F730" t="n">
        <v>29218</v>
      </c>
      <c r="G730" t="n">
        <v>20357</v>
      </c>
      <c r="H730" s="16" t="n">
        <v>-5.770505174083703</v>
      </c>
      <c r="I730" s="16" t="n">
        <v>-10.83</v>
      </c>
      <c r="J730" s="16" t="n">
        <v>4.459946559546653</v>
      </c>
      <c r="K730" s="16" t="n">
        <v>0</v>
      </c>
      <c r="L730" s="16" t="n">
        <v>0</v>
      </c>
      <c r="M730" s="16" t="n">
        <v>0</v>
      </c>
      <c r="N730" s="16" t="n">
        <v>0</v>
      </c>
      <c r="O730" s="16" t="n">
        <v>0</v>
      </c>
      <c r="P730" s="16" t="n">
        <v>0</v>
      </c>
      <c r="Q730" t="n">
        <v>17374</v>
      </c>
      <c r="R730" t="n">
        <v>17169</v>
      </c>
      <c r="S730" t="n">
        <v>7760</v>
      </c>
      <c r="T730" t="n">
        <v>8750</v>
      </c>
      <c r="U730" t="n">
        <v>0</v>
      </c>
      <c r="V730" t="n">
        <v>1.179924024404282</v>
      </c>
      <c r="W730" t="n">
        <v>0.79</v>
      </c>
      <c r="X730" s="16">
        <f>IFERROR(K730/E730*100,"")</f>
        <v/>
      </c>
      <c r="Y730" s="16">
        <f>IFERROR((N730+O730)/E730*100,"")</f>
        <v/>
      </c>
      <c r="Z730" s="16">
        <f>IFERROR(R730/F730*100,"")</f>
        <v/>
      </c>
      <c r="AA730" s="16">
        <f>IFERROR(R730/E730*100,"")</f>
        <v/>
      </c>
      <c r="AB730" s="16">
        <f>IFERROR(S730/Q730*100,"")</f>
        <v/>
      </c>
      <c r="AC730" s="16">
        <f>IFERROR(T730/Q730*100,"")</f>
        <v/>
      </c>
      <c r="AD730" s="16">
        <f>IFERROR(U730/Q730*100,"")</f>
        <v/>
      </c>
      <c r="AE730" s="18" t="n"/>
      <c r="AF730" s="18" t="n"/>
      <c r="AG730" s="18" t="n"/>
      <c r="AH730">
        <f>P730&gt;0</f>
        <v/>
      </c>
    </row>
    <row r="731">
      <c r="A731" s="14" t="n">
        <v>45199</v>
      </c>
      <c r="B731" t="n">
        <v>59289</v>
      </c>
      <c r="C731" t="inlineStr">
        <is>
          <t>WALDEN MUTUAL BANK</t>
        </is>
      </c>
      <c r="D731" t="inlineStr">
        <is>
          <t>NH</t>
        </is>
      </c>
      <c r="E731" t="n">
        <v>61993</v>
      </c>
      <c r="F731" t="n">
        <v>41455</v>
      </c>
      <c r="G731" t="n">
        <v>19641</v>
      </c>
      <c r="H731" s="16" t="n">
        <v>-5.484712206794847</v>
      </c>
      <c r="I731" s="16" t="n">
        <v>-11.97</v>
      </c>
      <c r="J731" s="16" t="n">
        <v>4.555629149126238</v>
      </c>
      <c r="K731" s="16" t="n">
        <v>0</v>
      </c>
      <c r="L731" s="16" t="n">
        <v>0</v>
      </c>
      <c r="M731" s="16" t="n">
        <v>0</v>
      </c>
      <c r="N731" s="16" t="n">
        <v>0</v>
      </c>
      <c r="O731" s="16" t="n">
        <v>0</v>
      </c>
      <c r="P731" s="16" t="n">
        <v>0</v>
      </c>
      <c r="Q731" t="n">
        <v>30270</v>
      </c>
      <c r="R731" t="n">
        <v>29876</v>
      </c>
      <c r="S731" t="n">
        <v>13029</v>
      </c>
      <c r="T731" t="n">
        <v>16338</v>
      </c>
      <c r="U731" t="n">
        <v>0</v>
      </c>
      <c r="V731" t="n">
        <v>1.301618764453254</v>
      </c>
      <c r="W731" t="n">
        <v>1.02</v>
      </c>
      <c r="X731" s="16">
        <f>IFERROR(K731/E731*100,"")</f>
        <v/>
      </c>
      <c r="Y731" s="16">
        <f>IFERROR((N731+O731)/E731*100,"")</f>
        <v/>
      </c>
      <c r="Z731" s="16">
        <f>IFERROR(R731/F731*100,"")</f>
        <v/>
      </c>
      <c r="AA731" s="16">
        <f>IFERROR(R731/E731*100,"")</f>
        <v/>
      </c>
      <c r="AB731" s="16">
        <f>IFERROR(S731/Q731*100,"")</f>
        <v/>
      </c>
      <c r="AC731" s="16">
        <f>IFERROR(T731/Q731*100,"")</f>
        <v/>
      </c>
      <c r="AD731" s="16">
        <f>IFERROR(U731/Q731*100,"")</f>
        <v/>
      </c>
      <c r="AE731" s="18" t="n"/>
      <c r="AF731" s="18" t="n"/>
      <c r="AG731" s="18" t="n"/>
      <c r="AH731">
        <f>P731&gt;0</f>
        <v/>
      </c>
    </row>
    <row r="732">
      <c r="A732" s="14" t="n">
        <v>45291</v>
      </c>
      <c r="B732" t="n">
        <v>59289</v>
      </c>
      <c r="C732" t="inlineStr">
        <is>
          <t>WALDEN MUTUAL BANK</t>
        </is>
      </c>
      <c r="D732" t="inlineStr">
        <is>
          <t>NH</t>
        </is>
      </c>
      <c r="E732" t="n">
        <v>75597</v>
      </c>
      <c r="F732" t="n">
        <v>55515</v>
      </c>
      <c r="G732" t="n">
        <v>19214</v>
      </c>
      <c r="H732" s="16" t="n">
        <v>-4.455682120865519</v>
      </c>
      <c r="I732" s="16" t="n">
        <v>-11.2</v>
      </c>
      <c r="J732" s="16" t="n">
        <v>4.585995060922097</v>
      </c>
      <c r="K732" s="16" t="n">
        <v>0</v>
      </c>
      <c r="L732" s="16" t="n">
        <v>0</v>
      </c>
      <c r="M732" s="16" t="n">
        <v>0</v>
      </c>
      <c r="N732" s="16" t="n">
        <v>0</v>
      </c>
      <c r="O732" s="16" t="n">
        <v>0</v>
      </c>
      <c r="P732" s="16" t="n">
        <v>0</v>
      </c>
      <c r="Q732" t="n">
        <v>34267</v>
      </c>
      <c r="R732" t="n">
        <v>33802</v>
      </c>
      <c r="S732" t="n">
        <v>13703</v>
      </c>
      <c r="T732" t="n">
        <v>19039</v>
      </c>
      <c r="U732" t="n">
        <v>0</v>
      </c>
      <c r="V732" t="n">
        <v>1.356990690752036</v>
      </c>
      <c r="W732" t="n">
        <v>0.8100000000000001</v>
      </c>
      <c r="X732" s="16">
        <f>IFERROR(K732/E732*100,"")</f>
        <v/>
      </c>
      <c r="Y732" s="16">
        <f>IFERROR((N732+O732)/E732*100,"")</f>
        <v/>
      </c>
      <c r="Z732" s="16">
        <f>IFERROR(R732/F732*100,"")</f>
        <v/>
      </c>
      <c r="AA732" s="16">
        <f>IFERROR(R732/E732*100,"")</f>
        <v/>
      </c>
      <c r="AB732" s="16">
        <f>IFERROR(S732/Q732*100,"")</f>
        <v/>
      </c>
      <c r="AC732" s="16">
        <f>IFERROR(T732/Q732*100,"")</f>
        <v/>
      </c>
      <c r="AD732" s="16">
        <f>IFERROR(U732/Q732*100,"")</f>
        <v/>
      </c>
      <c r="AE732" s="18">
        <f>IFERROR(E732/E728-1,"")</f>
        <v/>
      </c>
      <c r="AF732" s="18">
        <f>IFERROR(R732/R728-1,"")</f>
        <v/>
      </c>
      <c r="AG732" s="18">
        <f>IFERROR(F732/F728-1,"")</f>
        <v/>
      </c>
      <c r="AH732">
        <f>P732&gt;0</f>
        <v/>
      </c>
    </row>
    <row r="733">
      <c r="A733" s="14" t="n">
        <v>45382</v>
      </c>
      <c r="B733" t="n">
        <v>59289</v>
      </c>
      <c r="C733" t="inlineStr">
        <is>
          <t>WALDEN MUTUAL BANK</t>
        </is>
      </c>
      <c r="D733" t="inlineStr">
        <is>
          <t>NH</t>
        </is>
      </c>
      <c r="E733" t="n">
        <v>93964</v>
      </c>
      <c r="F733" t="n">
        <v>74106</v>
      </c>
      <c r="G733" t="n">
        <v>18864</v>
      </c>
      <c r="H733" s="16" t="n">
        <v>-1.656041188716745</v>
      </c>
      <c r="I733" s="16" t="n">
        <v>-7.37</v>
      </c>
      <c r="J733" s="16" t="n">
        <v>4.140015718517623</v>
      </c>
      <c r="K733" s="16" t="n">
        <v>327</v>
      </c>
      <c r="L733" s="16" t="n">
        <v>0</v>
      </c>
      <c r="M733" s="16" t="n">
        <v>0.7180342987637514</v>
      </c>
      <c r="N733" s="16" t="n">
        <v>0</v>
      </c>
      <c r="O733" s="16" t="n">
        <v>0</v>
      </c>
      <c r="P733" s="16" t="n">
        <v>0</v>
      </c>
      <c r="Q733" t="n">
        <v>45541</v>
      </c>
      <c r="R733" t="n">
        <v>44938</v>
      </c>
      <c r="S733" t="n">
        <v>18119</v>
      </c>
      <c r="T733" t="n">
        <v>25938</v>
      </c>
      <c r="U733" t="n">
        <v>0</v>
      </c>
      <c r="V733" t="n">
        <v>1.324081596802881</v>
      </c>
      <c r="W733" t="n">
        <v>0.65</v>
      </c>
      <c r="X733" s="16">
        <f>IFERROR(K733/E733*100,"")</f>
        <v/>
      </c>
      <c r="Y733" s="16">
        <f>IFERROR((N733+O733)/E733*100,"")</f>
        <v/>
      </c>
      <c r="Z733" s="16">
        <f>IFERROR(R733/F733*100,"")</f>
        <v/>
      </c>
      <c r="AA733" s="16">
        <f>IFERROR(R733/E733*100,"")</f>
        <v/>
      </c>
      <c r="AB733" s="16">
        <f>IFERROR(S733/Q733*100,"")</f>
        <v/>
      </c>
      <c r="AC733" s="16">
        <f>IFERROR(T733/Q733*100,"")</f>
        <v/>
      </c>
      <c r="AD733" s="16">
        <f>IFERROR(U733/Q733*100,"")</f>
        <v/>
      </c>
      <c r="AE733" s="18">
        <f>IFERROR(E733/E729-1,"")</f>
        <v/>
      </c>
      <c r="AF733" s="18">
        <f>IFERROR(R733/R729-1,"")</f>
        <v/>
      </c>
      <c r="AG733" s="18">
        <f>IFERROR(F733/F729-1,"")</f>
        <v/>
      </c>
      <c r="AH733">
        <f>P733&gt;0</f>
        <v/>
      </c>
    </row>
    <row r="734">
      <c r="A734" s="14" t="n">
        <v>45473</v>
      </c>
      <c r="B734" t="n">
        <v>59289</v>
      </c>
      <c r="C734" t="inlineStr">
        <is>
          <t>WALDEN MUTUAL BANK</t>
        </is>
      </c>
      <c r="D734" t="inlineStr">
        <is>
          <t>NH</t>
        </is>
      </c>
      <c r="E734" t="n">
        <v>105919</v>
      </c>
      <c r="F734" t="n">
        <v>86145</v>
      </c>
      <c r="G734" t="n">
        <v>18695</v>
      </c>
      <c r="H734" s="16" t="n">
        <v>-1.130390590968491</v>
      </c>
      <c r="I734" s="16" t="n">
        <v>-5.49</v>
      </c>
      <c r="J734" s="16" t="n">
        <v>4.062581292504366</v>
      </c>
      <c r="K734" s="16" t="n">
        <v>326</v>
      </c>
      <c r="L734" s="16" t="n">
        <v>0</v>
      </c>
      <c r="M734" s="16" t="n">
        <v>0.6345992875357692</v>
      </c>
      <c r="N734" s="16" t="n">
        <v>4505</v>
      </c>
      <c r="O734" s="16" t="n">
        <v>0</v>
      </c>
      <c r="P734" s="16" t="n">
        <v>0</v>
      </c>
      <c r="Q734" t="n">
        <v>51371</v>
      </c>
      <c r="R734" t="n">
        <v>50775</v>
      </c>
      <c r="S734" t="n">
        <v>20661</v>
      </c>
      <c r="T734" t="n">
        <v>29253</v>
      </c>
      <c r="U734" t="n">
        <v>0</v>
      </c>
      <c r="V734" t="n">
        <v>1.160187654513247</v>
      </c>
      <c r="W734" t="n">
        <v>0.29</v>
      </c>
      <c r="X734" s="16">
        <f>IFERROR(K734/E734*100,"")</f>
        <v/>
      </c>
      <c r="Y734" s="16">
        <f>IFERROR((N734+O734)/E734*100,"")</f>
        <v/>
      </c>
      <c r="Z734" s="16">
        <f>IFERROR(R734/F734*100,"")</f>
        <v/>
      </c>
      <c r="AA734" s="16">
        <f>IFERROR(R734/E734*100,"")</f>
        <v/>
      </c>
      <c r="AB734" s="16">
        <f>IFERROR(S734/Q734*100,"")</f>
        <v/>
      </c>
      <c r="AC734" s="16">
        <f>IFERROR(T734/Q734*100,"")</f>
        <v/>
      </c>
      <c r="AD734" s="16">
        <f>IFERROR(U734/Q734*100,"")</f>
        <v/>
      </c>
      <c r="AE734" s="18">
        <f>IFERROR(E734/E730-1,"")</f>
        <v/>
      </c>
      <c r="AF734" s="18">
        <f>IFERROR(R734/R730-1,"")</f>
        <v/>
      </c>
      <c r="AG734" s="18">
        <f>IFERROR(F734/F730-1,"")</f>
        <v/>
      </c>
      <c r="AH734">
        <f>P734&gt;0</f>
        <v/>
      </c>
    </row>
    <row r="735">
      <c r="A735" s="14" t="n">
        <v>45565</v>
      </c>
      <c r="B735" t="n">
        <v>59289</v>
      </c>
      <c r="C735" t="inlineStr">
        <is>
          <t>WALDEN MUTUAL BANK</t>
        </is>
      </c>
      <c r="D735" t="inlineStr">
        <is>
          <t>NH</t>
        </is>
      </c>
      <c r="E735" t="n">
        <v>120497</v>
      </c>
      <c r="F735" t="n">
        <v>102833</v>
      </c>
      <c r="G735" t="n">
        <v>16578</v>
      </c>
      <c r="H735" s="16" t="n">
        <v>-3.550285799427745</v>
      </c>
      <c r="I735" s="16" t="n">
        <v>-19.17</v>
      </c>
      <c r="J735" s="16" t="n">
        <v>3.761167113411113</v>
      </c>
      <c r="K735" s="16" t="n">
        <v>4832</v>
      </c>
      <c r="L735" s="16" t="n">
        <v>0</v>
      </c>
      <c r="M735" s="16" t="n">
        <v>6.598208433471707</v>
      </c>
      <c r="N735" s="16" t="n">
        <v>0</v>
      </c>
      <c r="O735" s="16" t="n">
        <v>0</v>
      </c>
      <c r="P735" s="16" t="n">
        <v>0</v>
      </c>
      <c r="Q735" t="n">
        <v>73232</v>
      </c>
      <c r="R735" t="n">
        <v>70789</v>
      </c>
      <c r="S735" t="n">
        <v>31000</v>
      </c>
      <c r="T735" t="n">
        <v>37285</v>
      </c>
      <c r="U735" t="n">
        <v>0</v>
      </c>
      <c r="V735" t="n">
        <v>3.335973344985799</v>
      </c>
      <c r="W735" t="n">
        <v>2.66</v>
      </c>
      <c r="X735" s="16">
        <f>IFERROR(K735/E735*100,"")</f>
        <v/>
      </c>
      <c r="Y735" s="16">
        <f>IFERROR((N735+O735)/E735*100,"")</f>
        <v/>
      </c>
      <c r="Z735" s="16">
        <f>IFERROR(R735/F735*100,"")</f>
        <v/>
      </c>
      <c r="AA735" s="16">
        <f>IFERROR(R735/E735*100,"")</f>
        <v/>
      </c>
      <c r="AB735" s="16">
        <f>IFERROR(S735/Q735*100,"")</f>
        <v/>
      </c>
      <c r="AC735" s="16">
        <f>IFERROR(T735/Q735*100,"")</f>
        <v/>
      </c>
      <c r="AD735" s="16">
        <f>IFERROR(U735/Q735*100,"")</f>
        <v/>
      </c>
      <c r="AE735" s="18">
        <f>IFERROR(E735/E731-1,"")</f>
        <v/>
      </c>
      <c r="AF735" s="18">
        <f>IFERROR(R735/R731-1,"")</f>
        <v/>
      </c>
      <c r="AG735" s="18">
        <f>IFERROR(F735/F731-1,"")</f>
        <v/>
      </c>
      <c r="AH735">
        <f>P735&gt;0</f>
        <v/>
      </c>
    </row>
    <row r="736">
      <c r="A736" s="14" t="n">
        <v>45657</v>
      </c>
      <c r="B736" t="n">
        <v>59289</v>
      </c>
      <c r="C736" t="inlineStr">
        <is>
          <t>WALDEN MUTUAL BANK</t>
        </is>
      </c>
      <c r="D736" t="inlineStr">
        <is>
          <t>NH</t>
        </is>
      </c>
      <c r="E736" t="n">
        <v>123766</v>
      </c>
      <c r="F736" t="n">
        <v>107030</v>
      </c>
      <c r="G736" t="n">
        <v>15858</v>
      </c>
      <c r="H736" s="16" t="n">
        <v>-3.227556696290282</v>
      </c>
      <c r="I736" s="16" t="n">
        <v>-18.8</v>
      </c>
      <c r="J736" s="16" t="n">
        <v>3.819975542719634</v>
      </c>
      <c r="K736" s="16" t="n">
        <v>2234</v>
      </c>
      <c r="L736" s="16" t="n">
        <v>2553</v>
      </c>
      <c r="M736" s="16" t="n">
        <v>2.591076212899709</v>
      </c>
      <c r="N736" s="16" t="n">
        <v>2590</v>
      </c>
      <c r="O736" s="16" t="n">
        <v>0</v>
      </c>
      <c r="P736" s="16" t="n">
        <v>0</v>
      </c>
      <c r="Q736" t="n">
        <v>86219</v>
      </c>
      <c r="R736" t="n">
        <v>85644</v>
      </c>
      <c r="S736" t="n">
        <v>35426</v>
      </c>
      <c r="T736" t="n">
        <v>38749</v>
      </c>
      <c r="U736" t="n">
        <v>0</v>
      </c>
      <c r="V736" t="n">
        <v>0.666906366346165</v>
      </c>
      <c r="W736" t="n">
        <v>2.56</v>
      </c>
      <c r="X736" s="16">
        <f>IFERROR(K736/E736*100,"")</f>
        <v/>
      </c>
      <c r="Y736" s="16">
        <f>IFERROR((N736+O736)/E736*100,"")</f>
        <v/>
      </c>
      <c r="Z736" s="16">
        <f>IFERROR(R736/F736*100,"")</f>
        <v/>
      </c>
      <c r="AA736" s="16">
        <f>IFERROR(R736/E736*100,"")</f>
        <v/>
      </c>
      <c r="AB736" s="16">
        <f>IFERROR(S736/Q736*100,"")</f>
        <v/>
      </c>
      <c r="AC736" s="16">
        <f>IFERROR(T736/Q736*100,"")</f>
        <v/>
      </c>
      <c r="AD736" s="16">
        <f>IFERROR(U736/Q736*100,"")</f>
        <v/>
      </c>
      <c r="AE736" s="18">
        <f>IFERROR(E736/E732-1,"")</f>
        <v/>
      </c>
      <c r="AF736" s="18">
        <f>IFERROR(R736/R732-1,"")</f>
        <v/>
      </c>
      <c r="AG736" s="18">
        <f>IFERROR(F736/F732-1,"")</f>
        <v/>
      </c>
      <c r="AH736">
        <f>P736&gt;0</f>
        <v/>
      </c>
    </row>
    <row r="737">
      <c r="A737" s="14" t="n">
        <v>45747</v>
      </c>
      <c r="B737" t="n">
        <v>59289</v>
      </c>
      <c r="C737" t="inlineStr">
        <is>
          <t>WALDEN MUTUAL BANK</t>
        </is>
      </c>
      <c r="D737" t="inlineStr">
        <is>
          <t>NH</t>
        </is>
      </c>
      <c r="E737" t="n">
        <v>130262</v>
      </c>
      <c r="F737" t="n">
        <v>113554</v>
      </c>
      <c r="G737" t="n">
        <v>15654</v>
      </c>
      <c r="H737" s="16" t="n">
        <v>-0.6424488639047664</v>
      </c>
      <c r="I737" s="16" t="n">
        <v>-5.18</v>
      </c>
      <c r="J737" s="16" t="n">
        <v>3.916133219032664</v>
      </c>
      <c r="K737" s="16" t="n">
        <v>4568</v>
      </c>
      <c r="L737" s="16" t="n">
        <v>33</v>
      </c>
      <c r="M737" s="16" t="n">
        <v>4.6799922136732</v>
      </c>
      <c r="N737" s="16" t="n">
        <v>174</v>
      </c>
      <c r="O737" s="16" t="n">
        <v>0</v>
      </c>
      <c r="P737" s="16" t="n">
        <v>0</v>
      </c>
      <c r="Q737" t="n">
        <v>97607</v>
      </c>
      <c r="R737" t="n">
        <v>96952</v>
      </c>
      <c r="S737" t="n">
        <v>38027</v>
      </c>
      <c r="T737" t="n">
        <v>47651</v>
      </c>
      <c r="U737" t="n">
        <v>0</v>
      </c>
      <c r="V737" t="n">
        <v>0.671058428186503</v>
      </c>
      <c r="W737" t="n">
        <v>0.36</v>
      </c>
      <c r="X737" s="16">
        <f>IFERROR(K737/E737*100,"")</f>
        <v/>
      </c>
      <c r="Y737" s="16">
        <f>IFERROR((N737+O737)/E737*100,"")</f>
        <v/>
      </c>
      <c r="Z737" s="16">
        <f>IFERROR(R737/F737*100,"")</f>
        <v/>
      </c>
      <c r="AA737" s="16">
        <f>IFERROR(R737/E737*100,"")</f>
        <v/>
      </c>
      <c r="AB737" s="16">
        <f>IFERROR(S737/Q737*100,"")</f>
        <v/>
      </c>
      <c r="AC737" s="16">
        <f>IFERROR(T737/Q737*100,"")</f>
        <v/>
      </c>
      <c r="AD737" s="16">
        <f>IFERROR(U737/Q737*100,"")</f>
        <v/>
      </c>
      <c r="AE737" s="18">
        <f>IFERROR(E737/E733-1,"")</f>
        <v/>
      </c>
      <c r="AF737" s="18">
        <f>IFERROR(R737/R733-1,"")</f>
        <v/>
      </c>
      <c r="AG737" s="18">
        <f>IFERROR(F737/F733-1,"")</f>
        <v/>
      </c>
      <c r="AH737">
        <f>P737&gt;0</f>
        <v/>
      </c>
    </row>
    <row r="738">
      <c r="A738" s="14" t="n">
        <v>45838</v>
      </c>
      <c r="B738" t="n">
        <v>59289</v>
      </c>
      <c r="C738" t="inlineStr">
        <is>
          <t>WALDEN MUTUAL BANK</t>
        </is>
      </c>
      <c r="D738" t="inlineStr">
        <is>
          <t>NH</t>
        </is>
      </c>
      <c r="E738" t="n">
        <v>145991</v>
      </c>
      <c r="F738" t="n">
        <v>129078</v>
      </c>
      <c r="G738" t="n">
        <v>15698</v>
      </c>
      <c r="H738" s="16" t="n">
        <v>-0.2399886005414742</v>
      </c>
      <c r="I738" s="16" t="n">
        <v>-2.03</v>
      </c>
      <c r="J738" s="16" t="n">
        <v>3.992186546209254</v>
      </c>
      <c r="K738" s="16" t="n">
        <v>2835</v>
      </c>
      <c r="L738" s="16" t="n">
        <v>-98</v>
      </c>
      <c r="M738" s="16" t="n">
        <v>2.669390983390456</v>
      </c>
      <c r="N738" s="16" t="n">
        <v>3478</v>
      </c>
      <c r="O738" s="16" t="n">
        <v>0</v>
      </c>
      <c r="P738" s="16" t="n">
        <v>0</v>
      </c>
      <c r="Q738" t="n">
        <v>106204</v>
      </c>
      <c r="R738" t="n">
        <v>105482</v>
      </c>
      <c r="S738" t="n">
        <v>38420</v>
      </c>
      <c r="T738" t="n">
        <v>52242</v>
      </c>
      <c r="U738" t="n">
        <v>0</v>
      </c>
      <c r="V738" t="n">
        <v>0.6798237354525253</v>
      </c>
      <c r="W738" t="n">
        <v>0.07000000000000001</v>
      </c>
      <c r="X738" s="16">
        <f>IFERROR(K738/E738*100,"")</f>
        <v/>
      </c>
      <c r="Y738" s="16">
        <f>IFERROR((N738+O738)/E738*100,"")</f>
        <v/>
      </c>
      <c r="Z738" s="16">
        <f>IFERROR(R738/F738*100,"")</f>
        <v/>
      </c>
      <c r="AA738" s="16">
        <f>IFERROR(R738/E738*100,"")</f>
        <v/>
      </c>
      <c r="AB738" s="16">
        <f>IFERROR(S738/Q738*100,"")</f>
        <v/>
      </c>
      <c r="AC738" s="16">
        <f>IFERROR(T738/Q738*100,"")</f>
        <v/>
      </c>
      <c r="AD738" s="16">
        <f>IFERROR(U738/Q738*100,"")</f>
        <v/>
      </c>
      <c r="AE738" s="18">
        <f>IFERROR(E738/E734-1,"")</f>
        <v/>
      </c>
      <c r="AF738" s="18">
        <f>IFERROR(R738/R734-1,"")</f>
        <v/>
      </c>
      <c r="AG738" s="18">
        <f>IFERROR(F738/F734-1,"")</f>
        <v/>
      </c>
      <c r="AH738">
        <f>P738&gt;0</f>
        <v/>
      </c>
    </row>
    <row r="739">
      <c r="A739" s="14" t="n">
        <v>44834</v>
      </c>
      <c r="B739" t="n">
        <v>59298</v>
      </c>
      <c r="C739" t="inlineStr">
        <is>
          <t>BANK OF BURLINGTON</t>
        </is>
      </c>
      <c r="D739" t="inlineStr">
        <is>
          <t>VT</t>
        </is>
      </c>
      <c r="E739" t="n">
        <v>38217</v>
      </c>
      <c r="F739" t="n">
        <v>6690</v>
      </c>
      <c r="G739" t="n">
        <v>30598</v>
      </c>
      <c r="H739" s="16" t="n">
        <v>-1.793223434597169</v>
      </c>
      <c r="I739" s="16" t="n">
        <v>-2.24</v>
      </c>
      <c r="J739" s="16" t="n">
        <v>0.5684937272801815</v>
      </c>
      <c r="K739" s="16" t="n">
        <v>0</v>
      </c>
      <c r="L739" s="16" t="n">
        <v>0</v>
      </c>
      <c r="M739" s="16" t="n">
        <v>0</v>
      </c>
      <c r="N739" s="16" t="n">
        <v>0</v>
      </c>
      <c r="O739" s="16" t="n">
        <v>0</v>
      </c>
      <c r="P739" s="16" t="n">
        <v>0</v>
      </c>
      <c r="Q739" t="n">
        <v>7648</v>
      </c>
      <c r="R739" t="n">
        <v>7572</v>
      </c>
      <c r="S739" t="n">
        <v>4565</v>
      </c>
      <c r="T739" t="n">
        <v>3084</v>
      </c>
      <c r="U739" t="n">
        <v>0</v>
      </c>
      <c r="V739" t="n">
        <v>0.9937238493723848</v>
      </c>
      <c r="W739" t="n">
        <v>0.26</v>
      </c>
      <c r="X739" s="16">
        <f>IFERROR(K739/E739*100,"")</f>
        <v/>
      </c>
      <c r="Y739" s="16">
        <f>IFERROR((N739+O739)/E739*100,"")</f>
        <v/>
      </c>
      <c r="Z739" s="16">
        <f>IFERROR(R739/F739*100,"")</f>
        <v/>
      </c>
      <c r="AA739" s="16">
        <f>IFERROR(R739/E739*100,"")</f>
        <v/>
      </c>
      <c r="AB739" s="16">
        <f>IFERROR(S739/Q739*100,"")</f>
        <v/>
      </c>
      <c r="AC739" s="16">
        <f>IFERROR(T739/Q739*100,"")</f>
        <v/>
      </c>
      <c r="AD739" s="16">
        <f>IFERROR(U739/Q739*100,"")</f>
        <v/>
      </c>
      <c r="AE739" s="18" t="n"/>
      <c r="AF739" s="18" t="n"/>
      <c r="AG739" s="18" t="n"/>
      <c r="AH739">
        <f>P739&gt;0</f>
        <v/>
      </c>
    </row>
    <row r="740">
      <c r="A740" s="14" t="n">
        <v>44926</v>
      </c>
      <c r="B740" t="n">
        <v>59298</v>
      </c>
      <c r="C740" t="inlineStr">
        <is>
          <t>BANK OF BURLINGTON</t>
        </is>
      </c>
      <c r="D740" t="inlineStr">
        <is>
          <t>VT</t>
        </is>
      </c>
      <c r="E740" t="n">
        <v>87230</v>
      </c>
      <c r="F740" t="n">
        <v>56740</v>
      </c>
      <c r="G740" t="n">
        <v>29627</v>
      </c>
      <c r="H740" s="16" t="n">
        <v>-2.338836321314978</v>
      </c>
      <c r="I740" s="16" t="n">
        <v>-4.87</v>
      </c>
      <c r="J740" s="16" t="n">
        <v>0.8211364791110091</v>
      </c>
      <c r="K740" s="16" t="n">
        <v>0</v>
      </c>
      <c r="L740" s="16" t="n">
        <v>0</v>
      </c>
      <c r="M740" s="16" t="n">
        <v>0</v>
      </c>
      <c r="N740" s="16" t="n">
        <v>0</v>
      </c>
      <c r="O740" s="16" t="n">
        <v>0</v>
      </c>
      <c r="P740" s="16" t="n">
        <v>0</v>
      </c>
      <c r="Q740" t="n">
        <v>22351</v>
      </c>
      <c r="R740" t="n">
        <v>22127</v>
      </c>
      <c r="S740" t="n">
        <v>15722</v>
      </c>
      <c r="T740" t="n">
        <v>6633</v>
      </c>
      <c r="U740" t="n">
        <v>0</v>
      </c>
      <c r="V740" t="n">
        <v>1.002192295646727</v>
      </c>
      <c r="W740" t="n">
        <v>0.36</v>
      </c>
      <c r="X740" s="16">
        <f>IFERROR(K740/E740*100,"")</f>
        <v/>
      </c>
      <c r="Y740" s="16">
        <f>IFERROR((N740+O740)/E740*100,"")</f>
        <v/>
      </c>
      <c r="Z740" s="16">
        <f>IFERROR(R740/F740*100,"")</f>
        <v/>
      </c>
      <c r="AA740" s="16">
        <f>IFERROR(R740/E740*100,"")</f>
        <v/>
      </c>
      <c r="AB740" s="16">
        <f>IFERROR(S740/Q740*100,"")</f>
        <v/>
      </c>
      <c r="AC740" s="16">
        <f>IFERROR(T740/Q740*100,"")</f>
        <v/>
      </c>
      <c r="AD740" s="16">
        <f>IFERROR(U740/Q740*100,"")</f>
        <v/>
      </c>
      <c r="AE740" s="18" t="n"/>
      <c r="AF740" s="18" t="n"/>
      <c r="AG740" s="18" t="n"/>
      <c r="AH740">
        <f>P740&gt;0</f>
        <v/>
      </c>
    </row>
    <row r="741">
      <c r="A741" s="14" t="n">
        <v>45016</v>
      </c>
      <c r="B741" t="n">
        <v>59298</v>
      </c>
      <c r="C741" t="inlineStr">
        <is>
          <t>BANK OF BURLINGTON</t>
        </is>
      </c>
      <c r="D741" t="inlineStr">
        <is>
          <t>VT</t>
        </is>
      </c>
      <c r="E741" t="n">
        <v>115337</v>
      </c>
      <c r="F741" t="n">
        <v>85635</v>
      </c>
      <c r="G741" t="n">
        <v>28720</v>
      </c>
      <c r="H741" s="16" t="n">
        <v>-3.58202471281107</v>
      </c>
      <c r="I741" s="16" t="n">
        <v>-12.44</v>
      </c>
      <c r="J741" s="16" t="n">
        <v>2.418097508474406</v>
      </c>
      <c r="K741" s="16" t="n">
        <v>0</v>
      </c>
      <c r="L741" s="16" t="n">
        <v>0</v>
      </c>
      <c r="M741" s="16" t="n">
        <v>0</v>
      </c>
      <c r="N741" s="16" t="n">
        <v>0</v>
      </c>
      <c r="O741" s="16" t="n">
        <v>0</v>
      </c>
      <c r="P741" s="16" t="n">
        <v>0</v>
      </c>
      <c r="Q741" t="n">
        <v>37121</v>
      </c>
      <c r="R741" t="n">
        <v>36750</v>
      </c>
      <c r="S741" t="n">
        <v>28863</v>
      </c>
      <c r="T741" t="n">
        <v>8264</v>
      </c>
      <c r="U741" t="n">
        <v>0</v>
      </c>
      <c r="V741" t="n">
        <v>0.9994342824816144</v>
      </c>
      <c r="W741" t="n">
        <v>0.58</v>
      </c>
      <c r="X741" s="16">
        <f>IFERROR(K741/E741*100,"")</f>
        <v/>
      </c>
      <c r="Y741" s="16">
        <f>IFERROR((N741+O741)/E741*100,"")</f>
        <v/>
      </c>
      <c r="Z741" s="16">
        <f>IFERROR(R741/F741*100,"")</f>
        <v/>
      </c>
      <c r="AA741" s="16">
        <f>IFERROR(R741/E741*100,"")</f>
        <v/>
      </c>
      <c r="AB741" s="16">
        <f>IFERROR(S741/Q741*100,"")</f>
        <v/>
      </c>
      <c r="AC741" s="16">
        <f>IFERROR(T741/Q741*100,"")</f>
        <v/>
      </c>
      <c r="AD741" s="16">
        <f>IFERROR(U741/Q741*100,"")</f>
        <v/>
      </c>
      <c r="AE741" s="18" t="n"/>
      <c r="AF741" s="18" t="n"/>
      <c r="AG741" s="18" t="n"/>
      <c r="AH741">
        <f>P741&gt;0</f>
        <v/>
      </c>
    </row>
    <row r="742">
      <c r="A742" s="14" t="n">
        <v>45107</v>
      </c>
      <c r="B742" t="n">
        <v>59298</v>
      </c>
      <c r="C742" t="inlineStr">
        <is>
          <t>BANK OF BURLINGTON</t>
        </is>
      </c>
      <c r="D742" t="inlineStr">
        <is>
          <t>VT</t>
        </is>
      </c>
      <c r="E742" t="n">
        <v>125919</v>
      </c>
      <c r="F742" t="n">
        <v>96751</v>
      </c>
      <c r="G742" t="n">
        <v>28131</v>
      </c>
      <c r="H742" s="16" t="n">
        <v>-2.725230299008177</v>
      </c>
      <c r="I742" s="16" t="n">
        <v>-10.35</v>
      </c>
      <c r="J742" s="16" t="n">
        <v>2.646684364922759</v>
      </c>
      <c r="K742" s="16" t="n">
        <v>0</v>
      </c>
      <c r="L742" s="16" t="n">
        <v>0</v>
      </c>
      <c r="M742" s="16" t="n">
        <v>0</v>
      </c>
      <c r="N742" s="16" t="n">
        <v>0</v>
      </c>
      <c r="O742" s="16" t="n">
        <v>0</v>
      </c>
      <c r="P742" s="16" t="n">
        <v>0</v>
      </c>
      <c r="Q742" t="n">
        <v>45897</v>
      </c>
      <c r="R742" t="n">
        <v>45544</v>
      </c>
      <c r="S742" t="n">
        <v>35680</v>
      </c>
      <c r="T742" t="n">
        <v>10224</v>
      </c>
      <c r="U742" t="n">
        <v>0</v>
      </c>
      <c r="V742" t="n">
        <v>0.769113449680807</v>
      </c>
      <c r="W742" t="n">
        <v>0.24</v>
      </c>
      <c r="X742" s="16">
        <f>IFERROR(K742/E742*100,"")</f>
        <v/>
      </c>
      <c r="Y742" s="16">
        <f>IFERROR((N742+O742)/E742*100,"")</f>
        <v/>
      </c>
      <c r="Z742" s="16">
        <f>IFERROR(R742/F742*100,"")</f>
        <v/>
      </c>
      <c r="AA742" s="16">
        <f>IFERROR(R742/E742*100,"")</f>
        <v/>
      </c>
      <c r="AB742" s="16">
        <f>IFERROR(S742/Q742*100,"")</f>
        <v/>
      </c>
      <c r="AC742" s="16">
        <f>IFERROR(T742/Q742*100,"")</f>
        <v/>
      </c>
      <c r="AD742" s="16">
        <f>IFERROR(U742/Q742*100,"")</f>
        <v/>
      </c>
      <c r="AE742" s="18" t="n"/>
      <c r="AF742" s="18" t="n"/>
      <c r="AG742" s="18" t="n"/>
      <c r="AH742">
        <f>P742&gt;0</f>
        <v/>
      </c>
    </row>
    <row r="743">
      <c r="A743" s="14" t="n">
        <v>45199</v>
      </c>
      <c r="B743" t="n">
        <v>59298</v>
      </c>
      <c r="C743" t="inlineStr">
        <is>
          <t>BANK OF BURLINGTON</t>
        </is>
      </c>
      <c r="D743" t="inlineStr">
        <is>
          <t>VT</t>
        </is>
      </c>
      <c r="E743" t="n">
        <v>134128</v>
      </c>
      <c r="F743" t="n">
        <v>105729</v>
      </c>
      <c r="G743" t="n">
        <v>27342</v>
      </c>
      <c r="H743" s="16" t="n">
        <v>-2.334501333725309</v>
      </c>
      <c r="I743" s="16" t="n">
        <v>-9.49</v>
      </c>
      <c r="J743" s="16" t="n">
        <v>2.77001222612168</v>
      </c>
      <c r="K743" s="16" t="n">
        <v>0</v>
      </c>
      <c r="L743" s="16" t="n">
        <v>0</v>
      </c>
      <c r="M743" s="16" t="n">
        <v>0</v>
      </c>
      <c r="N743" s="16" t="n">
        <v>0</v>
      </c>
      <c r="O743" s="16" t="n">
        <v>0</v>
      </c>
      <c r="P743" s="16" t="n">
        <v>0</v>
      </c>
      <c r="Q743" t="n">
        <v>53456</v>
      </c>
      <c r="R743" t="n">
        <v>53034</v>
      </c>
      <c r="S743" t="n">
        <v>38015</v>
      </c>
      <c r="T743" t="n">
        <v>15440</v>
      </c>
      <c r="U743" t="n">
        <v>0</v>
      </c>
      <c r="V743" t="n">
        <v>0.7894343011074528</v>
      </c>
      <c r="W743" t="n">
        <v>0.23</v>
      </c>
      <c r="X743" s="16">
        <f>IFERROR(K743/E743*100,"")</f>
        <v/>
      </c>
      <c r="Y743" s="16">
        <f>IFERROR((N743+O743)/E743*100,"")</f>
        <v/>
      </c>
      <c r="Z743" s="16">
        <f>IFERROR(R743/F743*100,"")</f>
        <v/>
      </c>
      <c r="AA743" s="16">
        <f>IFERROR(R743/E743*100,"")</f>
        <v/>
      </c>
      <c r="AB743" s="16">
        <f>IFERROR(S743/Q743*100,"")</f>
        <v/>
      </c>
      <c r="AC743" s="16">
        <f>IFERROR(T743/Q743*100,"")</f>
        <v/>
      </c>
      <c r="AD743" s="16">
        <f>IFERROR(U743/Q743*100,"")</f>
        <v/>
      </c>
      <c r="AE743" s="18">
        <f>IFERROR(E743/E739-1,"")</f>
        <v/>
      </c>
      <c r="AF743" s="18">
        <f>IFERROR(R743/R739-1,"")</f>
        <v/>
      </c>
      <c r="AG743" s="18">
        <f>IFERROR(F743/F739-1,"")</f>
        <v/>
      </c>
      <c r="AH743">
        <f>P743&gt;0</f>
        <v/>
      </c>
    </row>
    <row r="744">
      <c r="A744" s="14" t="n">
        <v>45291</v>
      </c>
      <c r="B744" t="n">
        <v>59298</v>
      </c>
      <c r="C744" t="inlineStr">
        <is>
          <t>BANK OF BURLINGTON</t>
        </is>
      </c>
      <c r="D744" t="inlineStr">
        <is>
          <t>VT</t>
        </is>
      </c>
      <c r="E744" t="n">
        <v>159178</v>
      </c>
      <c r="F744" t="n">
        <v>130214</v>
      </c>
      <c r="G744" t="n">
        <v>27360</v>
      </c>
      <c r="H744" s="16" t="n">
        <v>-2.106009726725336</v>
      </c>
      <c r="I744" s="16" t="n">
        <v>-9.279999999999999</v>
      </c>
      <c r="J744" s="16" t="n">
        <v>2.777105794817813</v>
      </c>
      <c r="K744" s="16" t="n">
        <v>0</v>
      </c>
      <c r="L744" s="16" t="n">
        <v>0</v>
      </c>
      <c r="M744" s="16" t="n">
        <v>0</v>
      </c>
      <c r="N744" s="16" t="n">
        <v>0</v>
      </c>
      <c r="O744" s="16" t="n">
        <v>0</v>
      </c>
      <c r="P744" s="16" t="n">
        <v>0</v>
      </c>
      <c r="Q744" t="n">
        <v>77426</v>
      </c>
      <c r="R744" t="n">
        <v>76814</v>
      </c>
      <c r="S744" t="n">
        <v>58407</v>
      </c>
      <c r="T744" t="n">
        <v>19027</v>
      </c>
      <c r="U744" t="n">
        <v>0</v>
      </c>
      <c r="V744" t="n">
        <v>0.7904321545733992</v>
      </c>
      <c r="W744" t="n">
        <v>0.31</v>
      </c>
      <c r="X744" s="16">
        <f>IFERROR(K744/E744*100,"")</f>
        <v/>
      </c>
      <c r="Y744" s="16">
        <f>IFERROR((N744+O744)/E744*100,"")</f>
        <v/>
      </c>
      <c r="Z744" s="16">
        <f>IFERROR(R744/F744*100,"")</f>
        <v/>
      </c>
      <c r="AA744" s="16">
        <f>IFERROR(R744/E744*100,"")</f>
        <v/>
      </c>
      <c r="AB744" s="16">
        <f>IFERROR(S744/Q744*100,"")</f>
        <v/>
      </c>
      <c r="AC744" s="16">
        <f>IFERROR(T744/Q744*100,"")</f>
        <v/>
      </c>
      <c r="AD744" s="16">
        <f>IFERROR(U744/Q744*100,"")</f>
        <v/>
      </c>
      <c r="AE744" s="18">
        <f>IFERROR(E744/E740-1,"")</f>
        <v/>
      </c>
      <c r="AF744" s="18">
        <f>IFERROR(R744/R740-1,"")</f>
        <v/>
      </c>
      <c r="AG744" s="18">
        <f>IFERROR(F744/F740-1,"")</f>
        <v/>
      </c>
      <c r="AH744">
        <f>P744&gt;0</f>
        <v/>
      </c>
    </row>
    <row r="745">
      <c r="A745" s="14" t="n">
        <v>45382</v>
      </c>
      <c r="B745" t="n">
        <v>59298</v>
      </c>
      <c r="C745" t="inlineStr">
        <is>
          <t>BANK OF BURLINGTON</t>
        </is>
      </c>
      <c r="D745" t="inlineStr">
        <is>
          <t>VT</t>
        </is>
      </c>
      <c r="E745" t="n">
        <v>169806</v>
      </c>
      <c r="F745" t="n">
        <v>142779</v>
      </c>
      <c r="G745" t="n">
        <v>26235</v>
      </c>
      <c r="H745" s="16" t="n">
        <v>-1.276657831383897</v>
      </c>
      <c r="I745" s="16" t="n">
        <v>-7.84</v>
      </c>
      <c r="J745" s="16" t="n">
        <v>2.251763429191536</v>
      </c>
      <c r="K745" s="16" t="n">
        <v>0</v>
      </c>
      <c r="L745" s="16" t="n">
        <v>0</v>
      </c>
      <c r="M745" s="16" t="n">
        <v>0</v>
      </c>
      <c r="N745" s="16" t="n">
        <v>0</v>
      </c>
      <c r="O745" s="16" t="n">
        <v>0</v>
      </c>
      <c r="P745" s="16" t="n">
        <v>0</v>
      </c>
      <c r="Q745" t="n">
        <v>84880</v>
      </c>
      <c r="R745" t="n">
        <v>84201</v>
      </c>
      <c r="S745" t="n">
        <v>66264</v>
      </c>
      <c r="T745" t="n">
        <v>18628</v>
      </c>
      <c r="U745" t="n">
        <v>0</v>
      </c>
      <c r="V745" t="n">
        <v>0.7999528746465598</v>
      </c>
      <c r="W745" t="n">
        <v>0.17</v>
      </c>
      <c r="X745" s="16">
        <f>IFERROR(K745/E745*100,"")</f>
        <v/>
      </c>
      <c r="Y745" s="16">
        <f>IFERROR((N745+O745)/E745*100,"")</f>
        <v/>
      </c>
      <c r="Z745" s="16">
        <f>IFERROR(R745/F745*100,"")</f>
        <v/>
      </c>
      <c r="AA745" s="16">
        <f>IFERROR(R745/E745*100,"")</f>
        <v/>
      </c>
      <c r="AB745" s="16">
        <f>IFERROR(S745/Q745*100,"")</f>
        <v/>
      </c>
      <c r="AC745" s="16">
        <f>IFERROR(T745/Q745*100,"")</f>
        <v/>
      </c>
      <c r="AD745" s="16">
        <f>IFERROR(U745/Q745*100,"")</f>
        <v/>
      </c>
      <c r="AE745" s="18">
        <f>IFERROR(E745/E741-1,"")</f>
        <v/>
      </c>
      <c r="AF745" s="18">
        <f>IFERROR(R745/R741-1,"")</f>
        <v/>
      </c>
      <c r="AG745" s="18">
        <f>IFERROR(F745/F741-1,"")</f>
        <v/>
      </c>
      <c r="AH745">
        <f>P745&gt;0</f>
        <v/>
      </c>
    </row>
    <row r="746">
      <c r="A746" s="14" t="n">
        <v>45473</v>
      </c>
      <c r="B746" t="n">
        <v>59298</v>
      </c>
      <c r="C746" t="inlineStr">
        <is>
          <t>BANK OF BURLINGTON</t>
        </is>
      </c>
      <c r="D746" t="inlineStr">
        <is>
          <t>VT</t>
        </is>
      </c>
      <c r="E746" t="n">
        <v>218470</v>
      </c>
      <c r="F746" t="n">
        <v>191471</v>
      </c>
      <c r="G746" t="n">
        <v>25754</v>
      </c>
      <c r="H746" s="16" t="n">
        <v>-1.249420042597186</v>
      </c>
      <c r="I746" s="16" t="n">
        <v>-8.619999999999999</v>
      </c>
      <c r="J746" s="16" t="n">
        <v>2.093338167718639</v>
      </c>
      <c r="K746" s="16" t="n">
        <v>0</v>
      </c>
      <c r="L746" s="16" t="n">
        <v>0</v>
      </c>
      <c r="M746" s="16" t="n">
        <v>0</v>
      </c>
      <c r="N746" s="16" t="n">
        <v>0</v>
      </c>
      <c r="O746" s="16" t="n">
        <v>0</v>
      </c>
      <c r="P746" s="16" t="n">
        <v>0</v>
      </c>
      <c r="Q746" t="n">
        <v>98920</v>
      </c>
      <c r="R746" t="n">
        <v>98140</v>
      </c>
      <c r="S746" t="n">
        <v>79488</v>
      </c>
      <c r="T746" t="n">
        <v>19454</v>
      </c>
      <c r="U746" t="n">
        <v>0</v>
      </c>
      <c r="V746" t="n">
        <v>0.7885159725030328</v>
      </c>
      <c r="W746" t="n">
        <v>0.25</v>
      </c>
      <c r="X746" s="16">
        <f>IFERROR(K746/E746*100,"")</f>
        <v/>
      </c>
      <c r="Y746" s="16">
        <f>IFERROR((N746+O746)/E746*100,"")</f>
        <v/>
      </c>
      <c r="Z746" s="16">
        <f>IFERROR(R746/F746*100,"")</f>
        <v/>
      </c>
      <c r="AA746" s="16">
        <f>IFERROR(R746/E746*100,"")</f>
        <v/>
      </c>
      <c r="AB746" s="16">
        <f>IFERROR(S746/Q746*100,"")</f>
        <v/>
      </c>
      <c r="AC746" s="16">
        <f>IFERROR(T746/Q746*100,"")</f>
        <v/>
      </c>
      <c r="AD746" s="16">
        <f>IFERROR(U746/Q746*100,"")</f>
        <v/>
      </c>
      <c r="AE746" s="18">
        <f>IFERROR(E746/E742-1,"")</f>
        <v/>
      </c>
      <c r="AF746" s="18">
        <f>IFERROR(R746/R742-1,"")</f>
        <v/>
      </c>
      <c r="AG746" s="18">
        <f>IFERROR(F746/F742-1,"")</f>
        <v/>
      </c>
      <c r="AH746">
        <f>P746&gt;0</f>
        <v/>
      </c>
    </row>
    <row r="747">
      <c r="A747" s="14" t="n">
        <v>45565</v>
      </c>
      <c r="B747" t="n">
        <v>59298</v>
      </c>
      <c r="C747" t="inlineStr">
        <is>
          <t>BANK OF BURLINGTON</t>
        </is>
      </c>
      <c r="D747" t="inlineStr">
        <is>
          <t>VT</t>
        </is>
      </c>
      <c r="E747" t="n">
        <v>257839</v>
      </c>
      <c r="F747" t="n">
        <v>230108</v>
      </c>
      <c r="G747" t="n">
        <v>26808</v>
      </c>
      <c r="H747" s="16" t="n">
        <v>-1.047046131035536</v>
      </c>
      <c r="I747" s="16" t="n">
        <v>-7.94</v>
      </c>
      <c r="J747" s="16" t="n">
        <v>1.984792579465329</v>
      </c>
      <c r="K747" s="16" t="n">
        <v>0</v>
      </c>
      <c r="L747" s="16" t="n">
        <v>0</v>
      </c>
      <c r="M747" s="16" t="n">
        <v>0</v>
      </c>
      <c r="N747" s="16" t="n">
        <v>0</v>
      </c>
      <c r="O747" s="16" t="n">
        <v>0</v>
      </c>
      <c r="P747" s="16" t="n">
        <v>0</v>
      </c>
      <c r="Q747" t="n">
        <v>111891</v>
      </c>
      <c r="R747" t="n">
        <v>111010</v>
      </c>
      <c r="S747" t="n">
        <v>88153</v>
      </c>
      <c r="T747" t="n">
        <v>23764</v>
      </c>
      <c r="U747" t="n">
        <v>0</v>
      </c>
      <c r="V747" t="n">
        <v>0.7873734259234433</v>
      </c>
      <c r="W747" t="n">
        <v>0.2</v>
      </c>
      <c r="X747" s="16">
        <f>IFERROR(K747/E747*100,"")</f>
        <v/>
      </c>
      <c r="Y747" s="16">
        <f>IFERROR((N747+O747)/E747*100,"")</f>
        <v/>
      </c>
      <c r="Z747" s="16">
        <f>IFERROR(R747/F747*100,"")</f>
        <v/>
      </c>
      <c r="AA747" s="16">
        <f>IFERROR(R747/E747*100,"")</f>
        <v/>
      </c>
      <c r="AB747" s="16">
        <f>IFERROR(S747/Q747*100,"")</f>
        <v/>
      </c>
      <c r="AC747" s="16">
        <f>IFERROR(T747/Q747*100,"")</f>
        <v/>
      </c>
      <c r="AD747" s="16">
        <f>IFERROR(U747/Q747*100,"")</f>
        <v/>
      </c>
      <c r="AE747" s="18">
        <f>IFERROR(E747/E743-1,"")</f>
        <v/>
      </c>
      <c r="AF747" s="18">
        <f>IFERROR(R747/R743-1,"")</f>
        <v/>
      </c>
      <c r="AG747" s="18">
        <f>IFERROR(F747/F743-1,"")</f>
        <v/>
      </c>
      <c r="AH747">
        <f>P747&gt;0</f>
        <v/>
      </c>
    </row>
    <row r="748">
      <c r="A748" s="14" t="n">
        <v>45657</v>
      </c>
      <c r="B748" t="n">
        <v>59298</v>
      </c>
      <c r="C748" t="inlineStr">
        <is>
          <t>BANK OF BURLINGTON</t>
        </is>
      </c>
      <c r="D748" t="inlineStr">
        <is>
          <t>VT</t>
        </is>
      </c>
      <c r="E748" t="n">
        <v>261157</v>
      </c>
      <c r="F748" t="n">
        <v>236473</v>
      </c>
      <c r="G748" t="n">
        <v>23720</v>
      </c>
      <c r="H748" s="16" t="n">
        <v>-0.940503539781518</v>
      </c>
      <c r="I748" s="16" t="n">
        <v>-7.72</v>
      </c>
      <c r="J748" s="16" t="n">
        <v>2.05742766499991</v>
      </c>
      <c r="K748" s="16" t="n">
        <v>0</v>
      </c>
      <c r="L748" s="16" t="n">
        <v>0</v>
      </c>
      <c r="M748" s="16" t="n">
        <v>0</v>
      </c>
      <c r="N748" s="16" t="n">
        <v>0</v>
      </c>
      <c r="O748" s="16" t="n">
        <v>0</v>
      </c>
      <c r="P748" s="16" t="n">
        <v>17.57724779934563</v>
      </c>
      <c r="Q748" t="n">
        <v>137574</v>
      </c>
      <c r="R748" t="n">
        <v>136473</v>
      </c>
      <c r="S748" t="n">
        <v>105764</v>
      </c>
      <c r="T748" t="n">
        <v>31832</v>
      </c>
      <c r="U748" t="n">
        <v>0</v>
      </c>
      <c r="V748" t="n">
        <v>0.8002965676654018</v>
      </c>
      <c r="W748" t="n">
        <v>0.27</v>
      </c>
      <c r="X748" s="16">
        <f>IFERROR(K748/E748*100,"")</f>
        <v/>
      </c>
      <c r="Y748" s="16">
        <f>IFERROR((N748+O748)/E748*100,"")</f>
        <v/>
      </c>
      <c r="Z748" s="16">
        <f>IFERROR(R748/F748*100,"")</f>
        <v/>
      </c>
      <c r="AA748" s="16">
        <f>IFERROR(R748/E748*100,"")</f>
        <v/>
      </c>
      <c r="AB748" s="16">
        <f>IFERROR(S748/Q748*100,"")</f>
        <v/>
      </c>
      <c r="AC748" s="16">
        <f>IFERROR(T748/Q748*100,"")</f>
        <v/>
      </c>
      <c r="AD748" s="16">
        <f>IFERROR(U748/Q748*100,"")</f>
        <v/>
      </c>
      <c r="AE748" s="18">
        <f>IFERROR(E748/E744-1,"")</f>
        <v/>
      </c>
      <c r="AF748" s="18">
        <f>IFERROR(R748/R744-1,"")</f>
        <v/>
      </c>
      <c r="AG748" s="18">
        <f>IFERROR(F748/F744-1,"")</f>
        <v/>
      </c>
      <c r="AH748">
        <f>P748&gt;0</f>
        <v/>
      </c>
    </row>
    <row r="749">
      <c r="A749" s="14" t="n">
        <v>45747</v>
      </c>
      <c r="B749" t="n">
        <v>59298</v>
      </c>
      <c r="C749" t="inlineStr">
        <is>
          <t>BANK OF BURLINGTON</t>
        </is>
      </c>
      <c r="D749" t="inlineStr">
        <is>
          <t>VT</t>
        </is>
      </c>
      <c r="E749" t="n">
        <v>273586</v>
      </c>
      <c r="F749" t="n">
        <v>247768</v>
      </c>
      <c r="G749" t="n">
        <v>24927</v>
      </c>
      <c r="H749" s="16" t="n">
        <v>0.0209446406965589</v>
      </c>
      <c r="I749" s="16" t="n">
        <v>0.23</v>
      </c>
      <c r="J749" s="16" t="n">
        <v>2.315548864835368</v>
      </c>
      <c r="K749" s="16" t="n">
        <v>0</v>
      </c>
      <c r="L749" s="16" t="n">
        <v>0</v>
      </c>
      <c r="M749" s="16" t="n">
        <v>0</v>
      </c>
      <c r="N749" s="16" t="n">
        <v>0</v>
      </c>
      <c r="O749" s="16" t="n">
        <v>0</v>
      </c>
      <c r="P749" s="16" t="n">
        <v>17.82880662893661</v>
      </c>
      <c r="Q749" t="n">
        <v>143380</v>
      </c>
      <c r="R749" t="n">
        <v>142208</v>
      </c>
      <c r="S749" t="n">
        <v>109081</v>
      </c>
      <c r="T749" t="n">
        <v>34338</v>
      </c>
      <c r="U749" t="n">
        <v>0</v>
      </c>
      <c r="V749" t="n">
        <v>0.8174082856744316</v>
      </c>
      <c r="W749" t="n">
        <v>0.08</v>
      </c>
      <c r="X749" s="16">
        <f>IFERROR(K749/E749*100,"")</f>
        <v/>
      </c>
      <c r="Y749" s="16">
        <f>IFERROR((N749+O749)/E749*100,"")</f>
        <v/>
      </c>
      <c r="Z749" s="16">
        <f>IFERROR(R749/F749*100,"")</f>
        <v/>
      </c>
      <c r="AA749" s="16">
        <f>IFERROR(R749/E749*100,"")</f>
        <v/>
      </c>
      <c r="AB749" s="16">
        <f>IFERROR(S749/Q749*100,"")</f>
        <v/>
      </c>
      <c r="AC749" s="16">
        <f>IFERROR(T749/Q749*100,"")</f>
        <v/>
      </c>
      <c r="AD749" s="16">
        <f>IFERROR(U749/Q749*100,"")</f>
        <v/>
      </c>
      <c r="AE749" s="18">
        <f>IFERROR(E749/E745-1,"")</f>
        <v/>
      </c>
      <c r="AF749" s="18">
        <f>IFERROR(R749/R745-1,"")</f>
        <v/>
      </c>
      <c r="AG749" s="18">
        <f>IFERROR(F749/F745-1,"")</f>
        <v/>
      </c>
      <c r="AH749">
        <f>P749&gt;0</f>
        <v/>
      </c>
    </row>
    <row r="750">
      <c r="A750" s="14" t="n">
        <v>45838</v>
      </c>
      <c r="B750" t="n">
        <v>59298</v>
      </c>
      <c r="C750" t="inlineStr">
        <is>
          <t>BANK OF BURLINGTON</t>
        </is>
      </c>
      <c r="D750" t="inlineStr">
        <is>
          <t>VT</t>
        </is>
      </c>
      <c r="E750" t="n">
        <v>269483</v>
      </c>
      <c r="F750" t="n">
        <v>242655</v>
      </c>
      <c r="G750" t="n">
        <v>25838</v>
      </c>
      <c r="H750" s="16" t="n">
        <v>0.0611768333776823</v>
      </c>
      <c r="I750" s="16" t="n">
        <v>0.66</v>
      </c>
      <c r="J750" s="16" t="n">
        <v>2.353978164674325</v>
      </c>
      <c r="K750" s="16" t="n">
        <v>0</v>
      </c>
      <c r="L750" s="16" t="n">
        <v>0</v>
      </c>
      <c r="M750" s="16" t="n">
        <v>0</v>
      </c>
      <c r="N750" s="16" t="n">
        <v>0</v>
      </c>
      <c r="O750" s="16" t="n">
        <v>0</v>
      </c>
      <c r="P750" s="16" t="n">
        <v>16.87794981443124</v>
      </c>
      <c r="Q750" t="n">
        <v>150271</v>
      </c>
      <c r="R750" t="n">
        <v>148986</v>
      </c>
      <c r="S750" t="n">
        <v>114258</v>
      </c>
      <c r="T750" t="n">
        <v>35490</v>
      </c>
      <c r="U750" t="n">
        <v>0</v>
      </c>
      <c r="V750" t="n">
        <v>0.8551217467109422</v>
      </c>
      <c r="W750" t="n">
        <v>0.14</v>
      </c>
      <c r="X750" s="16">
        <f>IFERROR(K750/E750*100,"")</f>
        <v/>
      </c>
      <c r="Y750" s="16">
        <f>IFERROR((N750+O750)/E750*100,"")</f>
        <v/>
      </c>
      <c r="Z750" s="16">
        <f>IFERROR(R750/F750*100,"")</f>
        <v/>
      </c>
      <c r="AA750" s="16">
        <f>IFERROR(R750/E750*100,"")</f>
        <v/>
      </c>
      <c r="AB750" s="16">
        <f>IFERROR(S750/Q750*100,"")</f>
        <v/>
      </c>
      <c r="AC750" s="16">
        <f>IFERROR(T750/Q750*100,"")</f>
        <v/>
      </c>
      <c r="AD750" s="16">
        <f>IFERROR(U750/Q750*100,"")</f>
        <v/>
      </c>
      <c r="AE750" s="18">
        <f>IFERROR(E750/E746-1,"")</f>
        <v/>
      </c>
      <c r="AF750" s="18">
        <f>IFERROR(R750/R746-1,"")</f>
        <v/>
      </c>
      <c r="AG750" s="18">
        <f>IFERROR(F750/F746-1,"")</f>
        <v/>
      </c>
      <c r="AH750">
        <f>P750&gt;0</f>
        <v/>
      </c>
    </row>
  </sheetData>
  <mergeCells count="2">
    <mergeCell ref="A2:AH2"/>
    <mergeCell ref="A1:AH1"/>
  </mergeCells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58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10" customWidth="1" min="3" max="3"/>
    <col width="13" customWidth="1" min="4" max="4"/>
    <col width="13" customWidth="1" min="5" max="5"/>
    <col width="12" customWidth="1" min="6" max="6"/>
    <col width="45" customWidth="1" min="7" max="7"/>
    <col width="9" customWidth="1" min="8" max="8"/>
    <col width="16" customWidth="1" min="9" max="9"/>
    <col width="18" customWidth="1" min="10" max="10"/>
    <col width="12" customWidth="1" min="11" max="11"/>
    <col width="12" customWidth="1" min="12" max="12"/>
    <col width="14" customWidth="1" min="13" max="13"/>
    <col width="35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</cols>
  <sheetData>
    <row r="1" ht="30" customHeight="1">
      <c r="A1" s="1" t="inlineStr">
        <is>
          <t>Institution Identity and Structural Events</t>
        </is>
      </c>
    </row>
    <row r="2" ht="34" customHeight="1">
      <c r="A2" s="2" t="inlineStr">
        <is>
          <t>All 54 financial-series certificates; current metadata snapshot may include post-period changes</t>
        </is>
      </c>
    </row>
    <row r="4">
      <c r="A4" s="12" t="inlineStr">
        <is>
          <t>CERT</t>
        </is>
      </c>
      <c r="B4" s="12" t="inlineStr">
        <is>
          <t>Financial-series name</t>
        </is>
      </c>
      <c r="C4" s="12" t="inlineStr">
        <is>
          <t>Financial state</t>
        </is>
      </c>
      <c r="D4" s="12" t="inlineStr">
        <is>
          <t>First report</t>
        </is>
      </c>
      <c r="E4" s="12" t="inlineStr">
        <is>
          <t>Last report</t>
        </is>
      </c>
      <c r="F4" s="12" t="inlineStr">
        <is>
          <t>Quarter count</t>
        </is>
      </c>
      <c r="G4" s="12" t="inlineStr">
        <is>
          <t>Current snapshot name</t>
        </is>
      </c>
      <c r="H4" s="12" t="inlineStr">
        <is>
          <t>Active</t>
        </is>
      </c>
      <c r="I4" s="12" t="inlineStr">
        <is>
          <t>Metadata report date</t>
        </is>
      </c>
      <c r="J4" s="12" t="inlineStr">
        <is>
          <t>City</t>
        </is>
      </c>
      <c r="K4" s="12" t="inlineStr">
        <is>
          <t>Class</t>
        </is>
      </c>
      <c r="L4" s="12" t="inlineStr">
        <is>
          <t>Regulator</t>
        </is>
      </c>
      <c r="M4" s="12" t="inlineStr">
        <is>
          <t>Community bank</t>
        </is>
      </c>
      <c r="N4" s="12" t="inlineStr">
        <is>
          <t>Specialization</t>
        </is>
      </c>
      <c r="O4" s="12" t="inlineStr">
        <is>
          <t>Change 1</t>
        </is>
      </c>
      <c r="P4" s="12" t="inlineStr">
        <is>
          <t>Change 2</t>
        </is>
      </c>
      <c r="Q4" s="12" t="inlineStr">
        <is>
          <t>New CERT</t>
        </is>
      </c>
      <c r="R4" s="12" t="inlineStr">
        <is>
          <t>Ultimate CERT</t>
        </is>
      </c>
      <c r="S4" s="12" t="inlineStr">
        <is>
          <t>Effective date</t>
        </is>
      </c>
      <c r="T4" s="12" t="inlineStr">
        <is>
          <t>End date</t>
        </is>
      </c>
    </row>
    <row r="5">
      <c r="A5" t="n">
        <v>4255</v>
      </c>
      <c r="B5" t="inlineStr">
        <is>
          <t>THE CAMDEN NATIONAL BANK</t>
        </is>
      </c>
      <c r="C5" t="inlineStr">
        <is>
          <t>ME</t>
        </is>
      </c>
      <c r="D5" s="14" t="n">
        <v>44651</v>
      </c>
      <c r="E5" s="14" t="n">
        <v>45838</v>
      </c>
      <c r="F5" t="n">
        <v>14</v>
      </c>
      <c r="G5" t="inlineStr">
        <is>
          <t>The Camden National Bank</t>
        </is>
      </c>
      <c r="H5" t="n">
        <v>1</v>
      </c>
      <c r="I5" t="inlineStr">
        <is>
          <t>06/30/2026</t>
        </is>
      </c>
      <c r="J5" t="inlineStr">
        <is>
          <t>Camden</t>
        </is>
      </c>
      <c r="K5" t="inlineStr">
        <is>
          <t>N</t>
        </is>
      </c>
      <c r="L5" t="inlineStr">
        <is>
          <t>OCC</t>
        </is>
      </c>
      <c r="M5" t="n">
        <v>1</v>
      </c>
      <c r="N5" t="inlineStr">
        <is>
          <t>Commercial Lending Specialization</t>
        </is>
      </c>
      <c r="O5" t="n">
        <v>810</v>
      </c>
      <c r="Q5" t="n">
        <v>0</v>
      </c>
      <c r="R5" t="n">
        <v>4255</v>
      </c>
      <c r="S5" t="inlineStr">
        <is>
          <t>01/02/2025</t>
        </is>
      </c>
      <c r="T5" t="inlineStr">
        <is>
          <t>12/31/9999</t>
        </is>
      </c>
    </row>
    <row r="6">
      <c r="A6" t="n">
        <v>4256</v>
      </c>
      <c r="B6" t="inlineStr">
        <is>
          <t>FIRST NATIONAL BANK</t>
        </is>
      </c>
      <c r="C6" t="inlineStr">
        <is>
          <t>ME</t>
        </is>
      </c>
      <c r="D6" s="14" t="n">
        <v>44651</v>
      </c>
      <c r="E6" s="14" t="n">
        <v>45838</v>
      </c>
      <c r="F6" t="n">
        <v>14</v>
      </c>
      <c r="G6" t="inlineStr">
        <is>
          <t>First National Bank</t>
        </is>
      </c>
      <c r="H6" t="n">
        <v>1</v>
      </c>
      <c r="I6" t="inlineStr">
        <is>
          <t>06/30/2026</t>
        </is>
      </c>
      <c r="J6" t="inlineStr">
        <is>
          <t>Damariscotta</t>
        </is>
      </c>
      <c r="K6" t="inlineStr">
        <is>
          <t>N</t>
        </is>
      </c>
      <c r="L6" t="inlineStr">
        <is>
          <t>OCC</t>
        </is>
      </c>
      <c r="M6" t="n">
        <v>1</v>
      </c>
      <c r="N6" t="inlineStr">
        <is>
          <t>Commercial Lending Specialization</t>
        </is>
      </c>
      <c r="Q6" t="n">
        <v>0</v>
      </c>
      <c r="R6" t="n">
        <v>4256</v>
      </c>
      <c r="S6" t="inlineStr">
        <is>
          <t>11/17/2024</t>
        </is>
      </c>
      <c r="T6" t="inlineStr">
        <is>
          <t>12/31/9999</t>
        </is>
      </c>
    </row>
    <row r="7">
      <c r="A7" t="n">
        <v>6271</v>
      </c>
      <c r="B7" t="inlineStr">
        <is>
          <t>COMMUNITY NATIONAL BANK</t>
        </is>
      </c>
      <c r="C7" t="inlineStr">
        <is>
          <t>VT</t>
        </is>
      </c>
      <c r="D7" s="14" t="n">
        <v>44651</v>
      </c>
      <c r="E7" s="14" t="n">
        <v>45838</v>
      </c>
      <c r="F7" t="n">
        <v>14</v>
      </c>
      <c r="G7" t="inlineStr">
        <is>
          <t>Community National Bank</t>
        </is>
      </c>
      <c r="H7" t="n">
        <v>1</v>
      </c>
      <c r="I7" t="inlineStr">
        <is>
          <t>06/30/2026</t>
        </is>
      </c>
      <c r="J7" t="inlineStr">
        <is>
          <t>Derby</t>
        </is>
      </c>
      <c r="K7" t="inlineStr">
        <is>
          <t>N</t>
        </is>
      </c>
      <c r="L7" t="inlineStr">
        <is>
          <t>OCC</t>
        </is>
      </c>
      <c r="M7" t="n">
        <v>1</v>
      </c>
      <c r="N7" t="inlineStr">
        <is>
          <t>Commercial Lending Specialization</t>
        </is>
      </c>
      <c r="Q7" t="n">
        <v>0</v>
      </c>
      <c r="R7" t="n">
        <v>6271</v>
      </c>
      <c r="S7" t="inlineStr">
        <is>
          <t>11/17/2024</t>
        </is>
      </c>
      <c r="T7" t="inlineStr">
        <is>
          <t>12/31/9999</t>
        </is>
      </c>
    </row>
    <row r="8">
      <c r="A8" t="n">
        <v>6275</v>
      </c>
      <c r="B8" t="inlineStr">
        <is>
          <t>THE NATIONAL BANK OF MIDDLEBURY</t>
        </is>
      </c>
      <c r="C8" t="inlineStr">
        <is>
          <t>VT</t>
        </is>
      </c>
      <c r="D8" s="14" t="n">
        <v>44651</v>
      </c>
      <c r="E8" s="14" t="n">
        <v>45838</v>
      </c>
      <c r="F8" t="n">
        <v>14</v>
      </c>
      <c r="G8" t="inlineStr">
        <is>
          <t>The National Bank of Middlebury</t>
        </is>
      </c>
      <c r="H8" t="n">
        <v>1</v>
      </c>
      <c r="I8" t="inlineStr">
        <is>
          <t>06/30/2026</t>
        </is>
      </c>
      <c r="J8" t="inlineStr">
        <is>
          <t>Middlebury</t>
        </is>
      </c>
      <c r="K8" t="inlineStr">
        <is>
          <t>N</t>
        </is>
      </c>
      <c r="L8" t="inlineStr">
        <is>
          <t>OCC</t>
        </is>
      </c>
      <c r="M8" t="n">
        <v>1</v>
      </c>
      <c r="N8" t="inlineStr">
        <is>
          <t>Mortgage Lending Specialization</t>
        </is>
      </c>
      <c r="Q8" t="n">
        <v>0</v>
      </c>
      <c r="R8" t="n">
        <v>6275</v>
      </c>
      <c r="S8" t="inlineStr">
        <is>
          <t>11/17/2024</t>
        </is>
      </c>
      <c r="T8" t="inlineStr">
        <is>
          <t>12/31/9999</t>
        </is>
      </c>
    </row>
    <row r="9">
      <c r="A9" t="n">
        <v>6280</v>
      </c>
      <c r="B9" t="inlineStr">
        <is>
          <t>THE FIRST NATIONAL BANK OF ORWELL</t>
        </is>
      </c>
      <c r="C9" t="inlineStr">
        <is>
          <t>VT</t>
        </is>
      </c>
      <c r="D9" s="14" t="n">
        <v>44651</v>
      </c>
      <c r="E9" s="14" t="n">
        <v>45838</v>
      </c>
      <c r="F9" t="n">
        <v>14</v>
      </c>
      <c r="G9" t="inlineStr">
        <is>
          <t>The First National Bank of Orwell</t>
        </is>
      </c>
      <c r="H9" t="n">
        <v>1</v>
      </c>
      <c r="I9" t="inlineStr">
        <is>
          <t>06/30/2026</t>
        </is>
      </c>
      <c r="J9" t="inlineStr">
        <is>
          <t>Orwell</t>
        </is>
      </c>
      <c r="K9" t="inlineStr">
        <is>
          <t>N</t>
        </is>
      </c>
      <c r="L9" t="inlineStr">
        <is>
          <t>OCC</t>
        </is>
      </c>
      <c r="M9" t="n">
        <v>1</v>
      </c>
      <c r="N9" t="inlineStr">
        <is>
          <t>Mortgage Lending Specialization</t>
        </is>
      </c>
      <c r="Q9" t="n">
        <v>0</v>
      </c>
      <c r="R9" t="n">
        <v>6280</v>
      </c>
      <c r="S9" t="inlineStr">
        <is>
          <t>11/17/2024</t>
        </is>
      </c>
      <c r="T9" t="inlineStr">
        <is>
          <t>12/31/9999</t>
        </is>
      </c>
    </row>
    <row r="10">
      <c r="A10" t="n">
        <v>11971</v>
      </c>
      <c r="B10" t="inlineStr">
        <is>
          <t>BAR HARBOR BANK &amp; TRUST</t>
        </is>
      </c>
      <c r="C10" t="inlineStr">
        <is>
          <t>ME</t>
        </is>
      </c>
      <c r="D10" s="14" t="n">
        <v>44651</v>
      </c>
      <c r="E10" s="14" t="n">
        <v>45838</v>
      </c>
      <c r="F10" t="n">
        <v>14</v>
      </c>
      <c r="G10" t="inlineStr">
        <is>
          <t>Bar Harbor Bank &amp; Trust</t>
        </is>
      </c>
      <c r="H10" t="n">
        <v>1</v>
      </c>
      <c r="I10" t="inlineStr">
        <is>
          <t>06/30/2026</t>
        </is>
      </c>
      <c r="J10" t="inlineStr">
        <is>
          <t>Bar Harbor</t>
        </is>
      </c>
      <c r="K10" t="inlineStr">
        <is>
          <t>NM</t>
        </is>
      </c>
      <c r="L10" t="inlineStr">
        <is>
          <t>FDIC</t>
        </is>
      </c>
      <c r="M10" t="n">
        <v>1</v>
      </c>
      <c r="N10" t="inlineStr">
        <is>
          <t>Commercial Lending Specialization</t>
        </is>
      </c>
      <c r="O10" t="n">
        <v>810</v>
      </c>
      <c r="Q10" t="n">
        <v>0</v>
      </c>
      <c r="R10" t="n">
        <v>11971</v>
      </c>
      <c r="S10" t="inlineStr">
        <is>
          <t>07/31/2025</t>
        </is>
      </c>
      <c r="T10" t="inlineStr">
        <is>
          <t>12/31/9999</t>
        </is>
      </c>
    </row>
    <row r="11">
      <c r="A11" t="n">
        <v>12874</v>
      </c>
      <c r="B11" t="inlineStr">
        <is>
          <t>KATAHDIN TRUST COMPANY</t>
        </is>
      </c>
      <c r="C11" t="inlineStr">
        <is>
          <t>ME</t>
        </is>
      </c>
      <c r="D11" s="14" t="n">
        <v>44651</v>
      </c>
      <c r="E11" s="14" t="n">
        <v>45838</v>
      </c>
      <c r="F11" t="n">
        <v>14</v>
      </c>
      <c r="G11" t="inlineStr">
        <is>
          <t>Katahdin Trust Company</t>
        </is>
      </c>
      <c r="H11" t="n">
        <v>1</v>
      </c>
      <c r="I11" t="inlineStr">
        <is>
          <t>06/30/2026</t>
        </is>
      </c>
      <c r="J11" t="inlineStr">
        <is>
          <t>Patten</t>
        </is>
      </c>
      <c r="K11" t="inlineStr">
        <is>
          <t>NM</t>
        </is>
      </c>
      <c r="L11" t="inlineStr">
        <is>
          <t>FDIC</t>
        </is>
      </c>
      <c r="M11" t="n">
        <v>1</v>
      </c>
      <c r="N11" t="inlineStr">
        <is>
          <t>Commercial Lending Specialization</t>
        </is>
      </c>
      <c r="Q11" t="n">
        <v>0</v>
      </c>
      <c r="R11" t="n">
        <v>12874</v>
      </c>
      <c r="S11" t="inlineStr">
        <is>
          <t>11/17/2024</t>
        </is>
      </c>
      <c r="T11" t="inlineStr">
        <is>
          <t>12/31/9999</t>
        </is>
      </c>
    </row>
    <row r="12">
      <c r="A12" t="n">
        <v>13063</v>
      </c>
      <c r="B12" t="inlineStr">
        <is>
          <t>KENNEBUNK SAVINGS BANK</t>
        </is>
      </c>
      <c r="C12" t="inlineStr">
        <is>
          <t>ME</t>
        </is>
      </c>
      <c r="D12" s="14" t="n">
        <v>44651</v>
      </c>
      <c r="E12" s="14" t="n">
        <v>45838</v>
      </c>
      <c r="F12" t="n">
        <v>14</v>
      </c>
      <c r="G12" t="inlineStr">
        <is>
          <t>Kennebunk Savings Bank</t>
        </is>
      </c>
      <c r="H12" t="n">
        <v>1</v>
      </c>
      <c r="I12" t="inlineStr">
        <is>
          <t>06/30/2026</t>
        </is>
      </c>
      <c r="J12" t="inlineStr">
        <is>
          <t>Kennebunk</t>
        </is>
      </c>
      <c r="K12" t="inlineStr">
        <is>
          <t>SI</t>
        </is>
      </c>
      <c r="L12" t="inlineStr">
        <is>
          <t>FDIC</t>
        </is>
      </c>
      <c r="M12" t="n">
        <v>1</v>
      </c>
      <c r="N12" t="inlineStr">
        <is>
          <t>Commercial Lending Specialization</t>
        </is>
      </c>
      <c r="Q12" t="n">
        <v>0</v>
      </c>
      <c r="R12" t="n">
        <v>13063</v>
      </c>
      <c r="S12" t="inlineStr">
        <is>
          <t>11/17/2024</t>
        </is>
      </c>
      <c r="T12" t="inlineStr">
        <is>
          <t>12/31/9999</t>
        </is>
      </c>
    </row>
    <row r="13">
      <c r="A13" t="n">
        <v>14134</v>
      </c>
      <c r="B13" t="inlineStr">
        <is>
          <t>PASSUMPSIC SAVINGS BANK</t>
        </is>
      </c>
      <c r="C13" t="inlineStr">
        <is>
          <t>VT</t>
        </is>
      </c>
      <c r="D13" s="14" t="n">
        <v>44651</v>
      </c>
      <c r="E13" s="14" t="n">
        <v>45838</v>
      </c>
      <c r="F13" t="n">
        <v>14</v>
      </c>
      <c r="G13" t="inlineStr">
        <is>
          <t>Passumpsic Savings Bank</t>
        </is>
      </c>
      <c r="H13" t="n">
        <v>1</v>
      </c>
      <c r="I13" t="inlineStr">
        <is>
          <t>06/30/2026</t>
        </is>
      </c>
      <c r="J13" t="inlineStr">
        <is>
          <t>Saint Johnsbury</t>
        </is>
      </c>
      <c r="K13" t="inlineStr">
        <is>
          <t>SI</t>
        </is>
      </c>
      <c r="L13" t="inlineStr">
        <is>
          <t>FDIC</t>
        </is>
      </c>
      <c r="M13" t="n">
        <v>1</v>
      </c>
      <c r="N13" t="inlineStr">
        <is>
          <t>Mortgage Lending Specialization</t>
        </is>
      </c>
      <c r="Q13" t="n">
        <v>0</v>
      </c>
      <c r="R13" t="n">
        <v>14134</v>
      </c>
      <c r="S13" t="inlineStr">
        <is>
          <t>11/17/2024</t>
        </is>
      </c>
      <c r="T13" t="inlineStr">
        <is>
          <t>12/31/9999</t>
        </is>
      </c>
    </row>
    <row r="14">
      <c r="A14" t="n">
        <v>14136</v>
      </c>
      <c r="B14" t="inlineStr">
        <is>
          <t>WELLS RIVER SAVINGS BANK</t>
        </is>
      </c>
      <c r="C14" t="inlineStr">
        <is>
          <t>VT</t>
        </is>
      </c>
      <c r="D14" s="14" t="n">
        <v>44651</v>
      </c>
      <c r="E14" s="14" t="n">
        <v>45838</v>
      </c>
      <c r="F14" t="n">
        <v>14</v>
      </c>
      <c r="G14" t="inlineStr">
        <is>
          <t>Wells River Savings Bank</t>
        </is>
      </c>
      <c r="H14" t="n">
        <v>1</v>
      </c>
      <c r="I14" t="inlineStr">
        <is>
          <t>06/30/2026</t>
        </is>
      </c>
      <c r="J14" t="inlineStr">
        <is>
          <t>Wells River</t>
        </is>
      </c>
      <c r="K14" t="inlineStr">
        <is>
          <t>SI</t>
        </is>
      </c>
      <c r="L14" t="inlineStr">
        <is>
          <t>FDIC</t>
        </is>
      </c>
      <c r="M14" t="n">
        <v>1</v>
      </c>
      <c r="N14" t="inlineStr">
        <is>
          <t>Mortgage Lending Specialization</t>
        </is>
      </c>
      <c r="Q14" t="n">
        <v>0</v>
      </c>
      <c r="R14" t="n">
        <v>14136</v>
      </c>
      <c r="S14" t="inlineStr">
        <is>
          <t>11/17/2024</t>
        </is>
      </c>
      <c r="T14" t="inlineStr">
        <is>
          <t>12/31/9999</t>
        </is>
      </c>
    </row>
    <row r="15">
      <c r="A15" t="n">
        <v>14140</v>
      </c>
      <c r="B15" t="inlineStr">
        <is>
          <t>NORTHFIELD SAVINGS BANK</t>
        </is>
      </c>
      <c r="C15" t="inlineStr">
        <is>
          <t>VT</t>
        </is>
      </c>
      <c r="D15" s="14" t="n">
        <v>44651</v>
      </c>
      <c r="E15" s="14" t="n">
        <v>45838</v>
      </c>
      <c r="F15" t="n">
        <v>14</v>
      </c>
      <c r="G15" t="inlineStr">
        <is>
          <t>Northfield Savings Bank</t>
        </is>
      </c>
      <c r="H15" t="n">
        <v>1</v>
      </c>
      <c r="I15" t="inlineStr">
        <is>
          <t>06/30/2026</t>
        </is>
      </c>
      <c r="J15" t="inlineStr">
        <is>
          <t>Northfield</t>
        </is>
      </c>
      <c r="K15" t="inlineStr">
        <is>
          <t>SI</t>
        </is>
      </c>
      <c r="L15" t="inlineStr">
        <is>
          <t>FDIC</t>
        </is>
      </c>
      <c r="M15" t="n">
        <v>1</v>
      </c>
      <c r="N15" t="inlineStr">
        <is>
          <t>Commercial Lending Specialization</t>
        </is>
      </c>
      <c r="Q15" t="n">
        <v>0</v>
      </c>
      <c r="R15" t="n">
        <v>14140</v>
      </c>
      <c r="S15" t="inlineStr">
        <is>
          <t>11/17/2024</t>
        </is>
      </c>
      <c r="T15" t="inlineStr">
        <is>
          <t>12/31/9999</t>
        </is>
      </c>
    </row>
    <row r="16">
      <c r="A16" t="n">
        <v>14158</v>
      </c>
      <c r="B16" t="inlineStr">
        <is>
          <t>UNION BANK</t>
        </is>
      </c>
      <c r="C16" t="inlineStr">
        <is>
          <t>VT</t>
        </is>
      </c>
      <c r="D16" s="14" t="n">
        <v>44651</v>
      </c>
      <c r="E16" s="14" t="n">
        <v>45838</v>
      </c>
      <c r="F16" t="n">
        <v>14</v>
      </c>
      <c r="G16" t="inlineStr">
        <is>
          <t>Union Bank</t>
        </is>
      </c>
      <c r="H16" t="n">
        <v>1</v>
      </c>
      <c r="I16" t="inlineStr">
        <is>
          <t>06/30/2026</t>
        </is>
      </c>
      <c r="J16" t="inlineStr">
        <is>
          <t>Morrisville</t>
        </is>
      </c>
      <c r="K16" t="inlineStr">
        <is>
          <t>NM</t>
        </is>
      </c>
      <c r="L16" t="inlineStr">
        <is>
          <t>FDIC</t>
        </is>
      </c>
      <c r="M16" t="n">
        <v>1</v>
      </c>
      <c r="N16" t="inlineStr">
        <is>
          <t>Commercial Lending Specialization</t>
        </is>
      </c>
      <c r="Q16" t="n">
        <v>0</v>
      </c>
      <c r="R16" t="n">
        <v>14158</v>
      </c>
      <c r="S16" t="inlineStr">
        <is>
          <t>11/17/2024</t>
        </is>
      </c>
      <c r="T16" t="inlineStr">
        <is>
          <t>12/31/9999</t>
        </is>
      </c>
    </row>
    <row r="17">
      <c r="A17" t="n">
        <v>14168</v>
      </c>
      <c r="B17" t="inlineStr">
        <is>
          <t>PEOPLES TRUST COMPANY OF ST. ALBANS</t>
        </is>
      </c>
      <c r="C17" t="inlineStr">
        <is>
          <t>VT</t>
        </is>
      </c>
      <c r="D17" s="14" t="n">
        <v>44651</v>
      </c>
      <c r="E17" s="14" t="n">
        <v>45838</v>
      </c>
      <c r="F17" t="n">
        <v>14</v>
      </c>
      <c r="G17" t="inlineStr">
        <is>
          <t>Peoples Trust Company of St. Albans</t>
        </is>
      </c>
      <c r="H17" t="n">
        <v>1</v>
      </c>
      <c r="I17" t="inlineStr">
        <is>
          <t>06/30/2026</t>
        </is>
      </c>
      <c r="J17" t="inlineStr">
        <is>
          <t>Saint Albans</t>
        </is>
      </c>
      <c r="K17" t="inlineStr">
        <is>
          <t>NM</t>
        </is>
      </c>
      <c r="L17" t="inlineStr">
        <is>
          <t>FDIC</t>
        </is>
      </c>
      <c r="M17" t="n">
        <v>1</v>
      </c>
      <c r="N17" t="inlineStr">
        <is>
          <t>Commercial Lending Specialization</t>
        </is>
      </c>
      <c r="Q17" t="n">
        <v>0</v>
      </c>
      <c r="R17" t="n">
        <v>14168</v>
      </c>
      <c r="S17" t="inlineStr">
        <is>
          <t>11/17/2024</t>
        </is>
      </c>
      <c r="T17" t="inlineStr">
        <is>
          <t>12/31/9999</t>
        </is>
      </c>
    </row>
    <row r="18">
      <c r="A18" t="n">
        <v>14240</v>
      </c>
      <c r="B18" t="inlineStr">
        <is>
          <t>NORTHWAY BANK</t>
        </is>
      </c>
      <c r="C18" t="inlineStr">
        <is>
          <t>NH</t>
        </is>
      </c>
      <c r="D18" s="14" t="n">
        <v>44651</v>
      </c>
      <c r="E18" s="14" t="n">
        <v>45657</v>
      </c>
      <c r="F18" t="n">
        <v>12</v>
      </c>
      <c r="G18" t="inlineStr">
        <is>
          <t>Northway Bank</t>
        </is>
      </c>
      <c r="H18" t="n">
        <v>0</v>
      </c>
      <c r="I18" t="inlineStr">
        <is>
          <t>12/31/2024</t>
        </is>
      </c>
      <c r="J18" t="inlineStr">
        <is>
          <t>Berlin</t>
        </is>
      </c>
      <c r="K18" t="inlineStr">
        <is>
          <t>NM</t>
        </is>
      </c>
      <c r="L18" t="inlineStr">
        <is>
          <t>FDIC</t>
        </is>
      </c>
      <c r="M18" t="n">
        <v>1</v>
      </c>
      <c r="N18" t="inlineStr">
        <is>
          <t>Commercial Lending Specialization</t>
        </is>
      </c>
      <c r="O18" t="n">
        <v>223</v>
      </c>
      <c r="Q18" t="n">
        <v>4255</v>
      </c>
      <c r="R18" t="n">
        <v>4255</v>
      </c>
      <c r="S18" t="inlineStr">
        <is>
          <t>01/02/2025</t>
        </is>
      </c>
      <c r="T18" t="inlineStr">
        <is>
          <t>01/02/2025</t>
        </is>
      </c>
    </row>
    <row r="19">
      <c r="A19" t="n">
        <v>17115</v>
      </c>
      <c r="B19" t="inlineStr">
        <is>
          <t>PARTNERS BANK OF NEW ENGLAND</t>
        </is>
      </c>
      <c r="C19" t="inlineStr">
        <is>
          <t>ME</t>
        </is>
      </c>
      <c r="D19" s="14" t="n">
        <v>44651</v>
      </c>
      <c r="E19" s="14" t="n">
        <v>45838</v>
      </c>
      <c r="F19" t="n">
        <v>14</v>
      </c>
      <c r="G19" t="inlineStr">
        <is>
          <t>Partners Bank of New England</t>
        </is>
      </c>
      <c r="H19" t="n">
        <v>1</v>
      </c>
      <c r="I19" t="inlineStr">
        <is>
          <t>06/30/2026</t>
        </is>
      </c>
      <c r="J19" t="inlineStr">
        <is>
          <t>Sanford</t>
        </is>
      </c>
      <c r="K19" t="inlineStr">
        <is>
          <t>SI</t>
        </is>
      </c>
      <c r="L19" t="inlineStr">
        <is>
          <t>FDIC</t>
        </is>
      </c>
      <c r="M19" t="n">
        <v>1</v>
      </c>
      <c r="N19" t="inlineStr">
        <is>
          <t>Commercial Lending Specialization</t>
        </is>
      </c>
      <c r="Q19" t="n">
        <v>0</v>
      </c>
      <c r="R19" t="n">
        <v>17115</v>
      </c>
      <c r="S19" t="inlineStr">
        <is>
          <t>11/17/2024</t>
        </is>
      </c>
      <c r="T19" t="inlineStr">
        <is>
          <t>12/31/9999</t>
        </is>
      </c>
    </row>
    <row r="20">
      <c r="A20" t="n">
        <v>17180</v>
      </c>
      <c r="B20" t="inlineStr">
        <is>
          <t>MEREDITH VILLAGE SAVINGS BANK</t>
        </is>
      </c>
      <c r="C20" t="inlineStr">
        <is>
          <t>NH</t>
        </is>
      </c>
      <c r="D20" s="14" t="n">
        <v>44651</v>
      </c>
      <c r="E20" s="14" t="n">
        <v>45838</v>
      </c>
      <c r="F20" t="n">
        <v>14</v>
      </c>
      <c r="G20" t="inlineStr">
        <is>
          <t>Meredith Village Savings Bank</t>
        </is>
      </c>
      <c r="H20" t="n">
        <v>1</v>
      </c>
      <c r="I20" t="inlineStr">
        <is>
          <t>06/30/2026</t>
        </is>
      </c>
      <c r="J20" t="inlineStr">
        <is>
          <t>Meredith</t>
        </is>
      </c>
      <c r="K20" t="inlineStr">
        <is>
          <t>SI</t>
        </is>
      </c>
      <c r="L20" t="inlineStr">
        <is>
          <t>FDIC</t>
        </is>
      </c>
      <c r="M20" t="n">
        <v>1</v>
      </c>
      <c r="N20" t="inlineStr">
        <is>
          <t>Mortgage Lending Specialization</t>
        </is>
      </c>
      <c r="Q20" t="n">
        <v>0</v>
      </c>
      <c r="R20" t="n">
        <v>17180</v>
      </c>
      <c r="S20" t="inlineStr">
        <is>
          <t>11/17/2024</t>
        </is>
      </c>
      <c r="T20" t="inlineStr">
        <is>
          <t>12/31/9999</t>
        </is>
      </c>
    </row>
    <row r="21">
      <c r="A21" t="n">
        <v>17443</v>
      </c>
      <c r="B21" t="inlineStr">
        <is>
          <t>PISCATAQUA SAVINGS BANK</t>
        </is>
      </c>
      <c r="C21" t="inlineStr">
        <is>
          <t>NH</t>
        </is>
      </c>
      <c r="D21" s="14" t="n">
        <v>44651</v>
      </c>
      <c r="E21" s="14" t="n">
        <v>45838</v>
      </c>
      <c r="F21" t="n">
        <v>14</v>
      </c>
      <c r="G21" t="inlineStr">
        <is>
          <t>Piscataqua Savings Bank</t>
        </is>
      </c>
      <c r="H21" t="n">
        <v>1</v>
      </c>
      <c r="I21" t="inlineStr">
        <is>
          <t>06/30/2026</t>
        </is>
      </c>
      <c r="J21" t="inlineStr">
        <is>
          <t>Portsmouth</t>
        </is>
      </c>
      <c r="K21" t="inlineStr">
        <is>
          <t>SI</t>
        </is>
      </c>
      <c r="L21" t="inlineStr">
        <is>
          <t>FDIC</t>
        </is>
      </c>
      <c r="M21" t="n">
        <v>1</v>
      </c>
      <c r="N21" t="inlineStr">
        <is>
          <t>Mortgage Lending Specialization</t>
        </is>
      </c>
      <c r="Q21" t="n">
        <v>0</v>
      </c>
      <c r="R21" t="n">
        <v>17443</v>
      </c>
      <c r="S21" t="inlineStr">
        <is>
          <t>11/17/2024</t>
        </is>
      </c>
      <c r="T21" t="inlineStr">
        <is>
          <t>12/31/9999</t>
        </is>
      </c>
    </row>
    <row r="22">
      <c r="A22" t="n">
        <v>17658</v>
      </c>
      <c r="B22" t="inlineStr">
        <is>
          <t>NORWAY SAVINGS BANK</t>
        </is>
      </c>
      <c r="C22" t="inlineStr">
        <is>
          <t>ME</t>
        </is>
      </c>
      <c r="D22" s="14" t="n">
        <v>44651</v>
      </c>
      <c r="E22" s="14" t="n">
        <v>45838</v>
      </c>
      <c r="F22" t="n">
        <v>14</v>
      </c>
      <c r="G22" t="inlineStr">
        <is>
          <t>Norway Savings Bank</t>
        </is>
      </c>
      <c r="H22" t="n">
        <v>1</v>
      </c>
      <c r="I22" t="inlineStr">
        <is>
          <t>06/30/2026</t>
        </is>
      </c>
      <c r="J22" t="inlineStr">
        <is>
          <t>Norway</t>
        </is>
      </c>
      <c r="K22" t="inlineStr">
        <is>
          <t>SI</t>
        </is>
      </c>
      <c r="L22" t="inlineStr">
        <is>
          <t>FDIC</t>
        </is>
      </c>
      <c r="M22" t="n">
        <v>1</v>
      </c>
      <c r="N22" t="inlineStr">
        <is>
          <t>Commercial Lending Specialization</t>
        </is>
      </c>
      <c r="Q22" t="n">
        <v>0</v>
      </c>
      <c r="R22" t="n">
        <v>17658</v>
      </c>
      <c r="S22" t="inlineStr">
        <is>
          <t>11/17/2024</t>
        </is>
      </c>
      <c r="T22" t="inlineStr">
        <is>
          <t>12/31/9999</t>
        </is>
      </c>
    </row>
    <row r="23">
      <c r="A23" t="n">
        <v>17741</v>
      </c>
      <c r="B23" t="inlineStr">
        <is>
          <t>MAINE COMMUNITY BANK</t>
        </is>
      </c>
      <c r="C23" t="inlineStr">
        <is>
          <t>ME</t>
        </is>
      </c>
      <c r="D23" s="14" t="n">
        <v>44651</v>
      </c>
      <c r="E23" s="14" t="n">
        <v>45838</v>
      </c>
      <c r="F23" t="n">
        <v>14</v>
      </c>
      <c r="G23" t="inlineStr">
        <is>
          <t>Maine Community Bank</t>
        </is>
      </c>
      <c r="H23" t="n">
        <v>1</v>
      </c>
      <c r="I23" t="inlineStr">
        <is>
          <t>06/30/2026</t>
        </is>
      </c>
      <c r="J23" t="inlineStr">
        <is>
          <t>Portland</t>
        </is>
      </c>
      <c r="K23" t="inlineStr">
        <is>
          <t>SI</t>
        </is>
      </c>
      <c r="L23" t="inlineStr">
        <is>
          <t>FDIC</t>
        </is>
      </c>
      <c r="M23" t="n">
        <v>1</v>
      </c>
      <c r="N23" t="inlineStr">
        <is>
          <t>Commercial Lending Specialization</t>
        </is>
      </c>
      <c r="Q23" t="n">
        <v>0</v>
      </c>
      <c r="R23" t="n">
        <v>17741</v>
      </c>
      <c r="S23" t="inlineStr">
        <is>
          <t>07/31/2025</t>
        </is>
      </c>
      <c r="T23" t="inlineStr">
        <is>
          <t>12/31/9999</t>
        </is>
      </c>
    </row>
    <row r="24">
      <c r="A24" t="n">
        <v>17743</v>
      </c>
      <c r="B24" t="inlineStr">
        <is>
          <t>SACO &amp; BIDDEFORD SAVINGS INSTITUTION</t>
        </is>
      </c>
      <c r="C24" t="inlineStr">
        <is>
          <t>ME</t>
        </is>
      </c>
      <c r="D24" s="14" t="n">
        <v>44651</v>
      </c>
      <c r="E24" s="14" t="n">
        <v>45838</v>
      </c>
      <c r="F24" t="n">
        <v>14</v>
      </c>
      <c r="G24" t="inlineStr">
        <is>
          <t>Saco &amp; Biddeford Savings Institution</t>
        </is>
      </c>
      <c r="H24" t="n">
        <v>1</v>
      </c>
      <c r="I24" t="inlineStr">
        <is>
          <t>06/30/2026</t>
        </is>
      </c>
      <c r="J24" t="inlineStr">
        <is>
          <t>Saco</t>
        </is>
      </c>
      <c r="K24" t="inlineStr">
        <is>
          <t>SI</t>
        </is>
      </c>
      <c r="L24" t="inlineStr">
        <is>
          <t>FDIC</t>
        </is>
      </c>
      <c r="M24" t="n">
        <v>1</v>
      </c>
      <c r="N24" t="inlineStr">
        <is>
          <t>Commercial Lending Specialization</t>
        </is>
      </c>
      <c r="Q24" t="n">
        <v>0</v>
      </c>
      <c r="R24" t="n">
        <v>17743</v>
      </c>
      <c r="S24" t="inlineStr">
        <is>
          <t>11/17/2024</t>
        </is>
      </c>
      <c r="T24" t="inlineStr">
        <is>
          <t>12/31/9999</t>
        </is>
      </c>
    </row>
    <row r="25">
      <c r="A25" t="n">
        <v>17748</v>
      </c>
      <c r="B25" t="inlineStr">
        <is>
          <t>GORHAM SAVINGS BANK</t>
        </is>
      </c>
      <c r="C25" t="inlineStr">
        <is>
          <t>ME</t>
        </is>
      </c>
      <c r="D25" s="14" t="n">
        <v>44651</v>
      </c>
      <c r="E25" s="14" t="n">
        <v>45657</v>
      </c>
      <c r="F25" t="n">
        <v>12</v>
      </c>
      <c r="G25" t="inlineStr">
        <is>
          <t>Gorham Savings Bank</t>
        </is>
      </c>
      <c r="H25" t="n">
        <v>0</v>
      </c>
      <c r="I25" t="inlineStr">
        <is>
          <t>12/31/2024</t>
        </is>
      </c>
      <c r="J25" t="inlineStr">
        <is>
          <t>Gorham</t>
        </is>
      </c>
      <c r="K25" t="inlineStr">
        <is>
          <t>SI</t>
        </is>
      </c>
      <c r="L25" t="inlineStr">
        <is>
          <t>FDIC</t>
        </is>
      </c>
      <c r="M25" t="n">
        <v>1</v>
      </c>
      <c r="N25" t="inlineStr">
        <is>
          <t>Commercial Lending Specialization</t>
        </is>
      </c>
      <c r="O25" t="n">
        <v>223</v>
      </c>
      <c r="Q25" t="n">
        <v>17741</v>
      </c>
      <c r="R25" t="n">
        <v>17741</v>
      </c>
      <c r="S25" t="inlineStr">
        <is>
          <t>01/01/2025</t>
        </is>
      </c>
      <c r="T25" t="inlineStr">
        <is>
          <t>01/01/2025</t>
        </is>
      </c>
    </row>
    <row r="26">
      <c r="A26" t="n">
        <v>17749</v>
      </c>
      <c r="B26" t="inlineStr">
        <is>
          <t>BATH SAVINGS INSTITUTION</t>
        </is>
      </c>
      <c r="C26" t="inlineStr">
        <is>
          <t>ME</t>
        </is>
      </c>
      <c r="D26" s="14" t="n">
        <v>44651</v>
      </c>
      <c r="E26" s="14" t="n">
        <v>45838</v>
      </c>
      <c r="F26" t="n">
        <v>14</v>
      </c>
      <c r="G26" t="inlineStr">
        <is>
          <t>Bath Savings Institution</t>
        </is>
      </c>
      <c r="H26" t="n">
        <v>1</v>
      </c>
      <c r="I26" t="inlineStr">
        <is>
          <t>06/30/2026</t>
        </is>
      </c>
      <c r="J26" t="inlineStr">
        <is>
          <t>Bath</t>
        </is>
      </c>
      <c r="K26" t="inlineStr">
        <is>
          <t>SI</t>
        </is>
      </c>
      <c r="L26" t="inlineStr">
        <is>
          <t>FDIC</t>
        </is>
      </c>
      <c r="M26" t="n">
        <v>1</v>
      </c>
      <c r="N26" t="inlineStr">
        <is>
          <t>Commercial Lending Specialization</t>
        </is>
      </c>
      <c r="Q26" t="n">
        <v>0</v>
      </c>
      <c r="R26" t="n">
        <v>17749</v>
      </c>
      <c r="S26" t="inlineStr">
        <is>
          <t>11/17/2024</t>
        </is>
      </c>
      <c r="T26" t="inlineStr">
        <is>
          <t>12/31/9999</t>
        </is>
      </c>
    </row>
    <row r="27">
      <c r="A27" t="n">
        <v>17751</v>
      </c>
      <c r="B27" t="inlineStr">
        <is>
          <t>ANDROSCOGGIN SAVINGS BANK</t>
        </is>
      </c>
      <c r="C27" t="inlineStr">
        <is>
          <t>ME</t>
        </is>
      </c>
      <c r="D27" s="14" t="n">
        <v>44651</v>
      </c>
      <c r="E27" s="14" t="n">
        <v>45838</v>
      </c>
      <c r="F27" t="n">
        <v>14</v>
      </c>
      <c r="G27" t="inlineStr">
        <is>
          <t>Androscoggin Savings Bank</t>
        </is>
      </c>
      <c r="H27" t="n">
        <v>1</v>
      </c>
      <c r="I27" t="inlineStr">
        <is>
          <t>06/30/2026</t>
        </is>
      </c>
      <c r="J27" t="inlineStr">
        <is>
          <t>Lewiston</t>
        </is>
      </c>
      <c r="K27" t="inlineStr">
        <is>
          <t>SI</t>
        </is>
      </c>
      <c r="L27" t="inlineStr">
        <is>
          <t>FDIC</t>
        </is>
      </c>
      <c r="M27" t="n">
        <v>1</v>
      </c>
      <c r="N27" t="inlineStr">
        <is>
          <t>Commercial Lending Specialization</t>
        </is>
      </c>
      <c r="O27" t="n">
        <v>520</v>
      </c>
      <c r="Q27" t="n">
        <v>0</v>
      </c>
      <c r="R27" t="n">
        <v>17751</v>
      </c>
      <c r="S27" t="inlineStr">
        <is>
          <t>04/30/2026</t>
        </is>
      </c>
      <c r="T27" t="inlineStr">
        <is>
          <t>12/31/9999</t>
        </is>
      </c>
    </row>
    <row r="28">
      <c r="A28" t="n">
        <v>17897</v>
      </c>
      <c r="B28" t="inlineStr">
        <is>
          <t>KENNEBEC SAVINGS BANK</t>
        </is>
      </c>
      <c r="C28" t="inlineStr">
        <is>
          <t>ME</t>
        </is>
      </c>
      <c r="D28" s="14" t="n">
        <v>44651</v>
      </c>
      <c r="E28" s="14" t="n">
        <v>45838</v>
      </c>
      <c r="F28" t="n">
        <v>14</v>
      </c>
      <c r="G28" t="inlineStr">
        <is>
          <t>Kennebec Savings Bank</t>
        </is>
      </c>
      <c r="H28" t="n">
        <v>1</v>
      </c>
      <c r="I28" t="inlineStr">
        <is>
          <t>06/30/2026</t>
        </is>
      </c>
      <c r="J28" t="inlineStr">
        <is>
          <t>Augusta</t>
        </is>
      </c>
      <c r="K28" t="inlineStr">
        <is>
          <t>SI</t>
        </is>
      </c>
      <c r="L28" t="inlineStr">
        <is>
          <t>FDIC</t>
        </is>
      </c>
      <c r="M28" t="n">
        <v>1</v>
      </c>
      <c r="N28" t="inlineStr">
        <is>
          <t>Commercial Lending Specialization</t>
        </is>
      </c>
      <c r="Q28" t="n">
        <v>0</v>
      </c>
      <c r="R28" t="n">
        <v>17897</v>
      </c>
      <c r="S28" t="inlineStr">
        <is>
          <t>11/17/2024</t>
        </is>
      </c>
      <c r="T28" t="inlineStr">
        <is>
          <t>12/31/9999</t>
        </is>
      </c>
    </row>
    <row r="29">
      <c r="A29" t="n">
        <v>17951</v>
      </c>
      <c r="B29" t="inlineStr">
        <is>
          <t>FRANKLIN SAVINGS BANK</t>
        </is>
      </c>
      <c r="C29" t="inlineStr">
        <is>
          <t>NH</t>
        </is>
      </c>
      <c r="D29" s="14" t="n">
        <v>44651</v>
      </c>
      <c r="E29" s="14" t="n">
        <v>45838</v>
      </c>
      <c r="F29" t="n">
        <v>14</v>
      </c>
      <c r="G29" t="inlineStr">
        <is>
          <t>Franklin Savings Bank</t>
        </is>
      </c>
      <c r="H29" t="n">
        <v>1</v>
      </c>
      <c r="I29" t="inlineStr">
        <is>
          <t>06/30/2026</t>
        </is>
      </c>
      <c r="J29" t="inlineStr">
        <is>
          <t>Franklin</t>
        </is>
      </c>
      <c r="K29" t="inlineStr">
        <is>
          <t>SI</t>
        </is>
      </c>
      <c r="L29" t="inlineStr">
        <is>
          <t>FDIC</t>
        </is>
      </c>
      <c r="M29" t="n">
        <v>1</v>
      </c>
      <c r="N29" t="inlineStr">
        <is>
          <t>Commercial Lending Specialization</t>
        </is>
      </c>
      <c r="Q29" t="n">
        <v>0</v>
      </c>
      <c r="R29" t="n">
        <v>17951</v>
      </c>
      <c r="S29" t="inlineStr">
        <is>
          <t>11/17/2024</t>
        </is>
      </c>
      <c r="T29" t="inlineStr">
        <is>
          <t>12/31/9999</t>
        </is>
      </c>
    </row>
    <row r="30">
      <c r="A30" t="n">
        <v>17960</v>
      </c>
      <c r="B30" t="inlineStr">
        <is>
          <t>MERRIMACK COUNTY SAVINGS BANK</t>
        </is>
      </c>
      <c r="C30" t="inlineStr">
        <is>
          <t>NH</t>
        </is>
      </c>
      <c r="D30" s="14" t="n">
        <v>44651</v>
      </c>
      <c r="E30" s="14" t="n">
        <v>45838</v>
      </c>
      <c r="F30" t="n">
        <v>14</v>
      </c>
      <c r="G30" t="inlineStr">
        <is>
          <t>Merrimack County Savings Bank</t>
        </is>
      </c>
      <c r="H30" t="n">
        <v>1</v>
      </c>
      <c r="I30" t="inlineStr">
        <is>
          <t>06/30/2026</t>
        </is>
      </c>
      <c r="J30" t="inlineStr">
        <is>
          <t>Concord</t>
        </is>
      </c>
      <c r="K30" t="inlineStr">
        <is>
          <t>SI</t>
        </is>
      </c>
      <c r="L30" t="inlineStr">
        <is>
          <t>FDIC</t>
        </is>
      </c>
      <c r="M30" t="n">
        <v>1</v>
      </c>
      <c r="N30" t="inlineStr">
        <is>
          <t>Commercial Lending Specialization</t>
        </is>
      </c>
      <c r="Q30" t="n">
        <v>0</v>
      </c>
      <c r="R30" t="n">
        <v>17960</v>
      </c>
      <c r="S30" t="inlineStr">
        <is>
          <t>11/17/2024</t>
        </is>
      </c>
      <c r="T30" t="inlineStr">
        <is>
          <t>12/31/9999</t>
        </is>
      </c>
    </row>
    <row r="31">
      <c r="A31" t="n">
        <v>18012</v>
      </c>
      <c r="B31" t="inlineStr">
        <is>
          <t>BANK OF NEW HAMPSHIRE</t>
        </is>
      </c>
      <c r="C31" t="inlineStr">
        <is>
          <t>NH</t>
        </is>
      </c>
      <c r="D31" s="14" t="n">
        <v>44651</v>
      </c>
      <c r="E31" s="14" t="n">
        <v>45838</v>
      </c>
      <c r="F31" t="n">
        <v>14</v>
      </c>
      <c r="G31" t="inlineStr">
        <is>
          <t>Bank of New Hampshire</t>
        </is>
      </c>
      <c r="H31" t="n">
        <v>1</v>
      </c>
      <c r="I31" t="inlineStr">
        <is>
          <t>06/30/2026</t>
        </is>
      </c>
      <c r="J31" t="inlineStr">
        <is>
          <t>Laconia</t>
        </is>
      </c>
      <c r="K31" t="inlineStr">
        <is>
          <t>SM</t>
        </is>
      </c>
      <c r="L31" t="inlineStr">
        <is>
          <t>FED</t>
        </is>
      </c>
      <c r="M31" t="n">
        <v>1</v>
      </c>
      <c r="N31" t="inlineStr">
        <is>
          <t>Commercial Lending Specialization</t>
        </is>
      </c>
      <c r="Q31" t="n">
        <v>0</v>
      </c>
      <c r="R31" t="n">
        <v>18012</v>
      </c>
      <c r="S31" t="inlineStr">
        <is>
          <t>11/17/2024</t>
        </is>
      </c>
      <c r="T31" t="inlineStr">
        <is>
          <t>12/31/9999</t>
        </is>
      </c>
    </row>
    <row r="32">
      <c r="A32" t="n">
        <v>18013</v>
      </c>
      <c r="B32" t="inlineStr">
        <is>
          <t>MASCOMA BANK</t>
        </is>
      </c>
      <c r="C32" t="inlineStr">
        <is>
          <t>NH</t>
        </is>
      </c>
      <c r="D32" s="14" t="n">
        <v>44651</v>
      </c>
      <c r="E32" s="14" t="n">
        <v>45838</v>
      </c>
      <c r="F32" t="n">
        <v>14</v>
      </c>
      <c r="G32" t="inlineStr">
        <is>
          <t>Mascoma Bank</t>
        </is>
      </c>
      <c r="H32" t="n">
        <v>1</v>
      </c>
      <c r="I32" t="inlineStr">
        <is>
          <t>06/30/2026</t>
        </is>
      </c>
      <c r="J32" t="inlineStr">
        <is>
          <t>Lebanon</t>
        </is>
      </c>
      <c r="K32" t="inlineStr">
        <is>
          <t>SM</t>
        </is>
      </c>
      <c r="L32" t="inlineStr">
        <is>
          <t>FED</t>
        </is>
      </c>
      <c r="M32" t="n">
        <v>1</v>
      </c>
      <c r="N32" t="inlineStr">
        <is>
          <t>Commercial Lending Specialization</t>
        </is>
      </c>
      <c r="Q32" t="n">
        <v>0</v>
      </c>
      <c r="R32" t="n">
        <v>18013</v>
      </c>
      <c r="S32" t="inlineStr">
        <is>
          <t>11/17/2024</t>
        </is>
      </c>
      <c r="T32" t="inlineStr">
        <is>
          <t>12/31/9999</t>
        </is>
      </c>
    </row>
    <row r="33">
      <c r="A33" t="n">
        <v>18028</v>
      </c>
      <c r="B33" t="inlineStr">
        <is>
          <t>SUGAR RIVER BANK</t>
        </is>
      </c>
      <c r="C33" t="inlineStr">
        <is>
          <t>NH</t>
        </is>
      </c>
      <c r="D33" s="14" t="n">
        <v>44651</v>
      </c>
      <c r="E33" s="14" t="n">
        <v>45838</v>
      </c>
      <c r="F33" t="n">
        <v>14</v>
      </c>
      <c r="G33" t="inlineStr">
        <is>
          <t>Sugar River Bank</t>
        </is>
      </c>
      <c r="H33" t="n">
        <v>1</v>
      </c>
      <c r="I33" t="inlineStr">
        <is>
          <t>06/30/2026</t>
        </is>
      </c>
      <c r="J33" t="inlineStr">
        <is>
          <t>Newport</t>
        </is>
      </c>
      <c r="K33" t="inlineStr">
        <is>
          <t>SI</t>
        </is>
      </c>
      <c r="L33" t="inlineStr">
        <is>
          <t>FDIC</t>
        </is>
      </c>
      <c r="M33" t="n">
        <v>1</v>
      </c>
      <c r="N33" t="inlineStr">
        <is>
          <t>Mortgage Lending Specialization</t>
        </is>
      </c>
      <c r="Q33" t="n">
        <v>0</v>
      </c>
      <c r="R33" t="n">
        <v>18028</v>
      </c>
      <c r="S33" t="inlineStr">
        <is>
          <t>11/17/2024</t>
        </is>
      </c>
      <c r="T33" t="inlineStr">
        <is>
          <t>12/31/9999</t>
        </is>
      </c>
    </row>
    <row r="34">
      <c r="A34" t="n">
        <v>18030</v>
      </c>
      <c r="B34" t="inlineStr">
        <is>
          <t>SAVINGS BANK OF WALPOLE</t>
        </is>
      </c>
      <c r="C34" t="inlineStr">
        <is>
          <t>NH</t>
        </is>
      </c>
      <c r="D34" s="14" t="n">
        <v>44651</v>
      </c>
      <c r="E34" s="14" t="n">
        <v>45838</v>
      </c>
      <c r="F34" t="n">
        <v>14</v>
      </c>
      <c r="G34" t="inlineStr">
        <is>
          <t>Savings Bank of Walpole</t>
        </is>
      </c>
      <c r="H34" t="n">
        <v>1</v>
      </c>
      <c r="I34" t="inlineStr">
        <is>
          <t>06/30/2026</t>
        </is>
      </c>
      <c r="J34" t="inlineStr">
        <is>
          <t>Walpole</t>
        </is>
      </c>
      <c r="K34" t="inlineStr">
        <is>
          <t>SI</t>
        </is>
      </c>
      <c r="L34" t="inlineStr">
        <is>
          <t>FDIC</t>
        </is>
      </c>
      <c r="M34" t="n">
        <v>1</v>
      </c>
      <c r="N34" t="inlineStr">
        <is>
          <t>Commercial Lending Specialization</t>
        </is>
      </c>
      <c r="Q34" t="n">
        <v>0</v>
      </c>
      <c r="R34" t="n">
        <v>18030</v>
      </c>
      <c r="S34" t="inlineStr">
        <is>
          <t>11/17/2024</t>
        </is>
      </c>
      <c r="T34" t="inlineStr">
        <is>
          <t>12/31/9999</t>
        </is>
      </c>
    </row>
    <row r="35">
      <c r="A35" t="n">
        <v>18031</v>
      </c>
      <c r="B35" t="inlineStr">
        <is>
          <t>WOODSVILLE GUARANTY SAVINGS BANK</t>
        </is>
      </c>
      <c r="C35" t="inlineStr">
        <is>
          <t>NH</t>
        </is>
      </c>
      <c r="D35" s="14" t="n">
        <v>44651</v>
      </c>
      <c r="E35" s="14" t="n">
        <v>45838</v>
      </c>
      <c r="F35" t="n">
        <v>14</v>
      </c>
      <c r="G35" t="inlineStr">
        <is>
          <t>Woodsville Guaranty Savings Bank</t>
        </is>
      </c>
      <c r="H35" t="n">
        <v>0</v>
      </c>
      <c r="I35" t="inlineStr">
        <is>
          <t>06/30/2025</t>
        </is>
      </c>
      <c r="J35" t="inlineStr">
        <is>
          <t>Woodsville</t>
        </is>
      </c>
      <c r="K35" t="inlineStr">
        <is>
          <t>SI</t>
        </is>
      </c>
      <c r="L35" t="inlineStr">
        <is>
          <t>FDIC</t>
        </is>
      </c>
      <c r="M35" t="n">
        <v>1</v>
      </c>
      <c r="N35" t="inlineStr">
        <is>
          <t>Mortgage Lending Specialization</t>
        </is>
      </c>
      <c r="O35" t="n">
        <v>223</v>
      </c>
      <c r="Q35" t="n">
        <v>11971</v>
      </c>
      <c r="R35" t="n">
        <v>11971</v>
      </c>
      <c r="S35" t="inlineStr">
        <is>
          <t>07/31/2025</t>
        </is>
      </c>
      <c r="T35" t="inlineStr">
        <is>
          <t>07/31/2025</t>
        </is>
      </c>
    </row>
    <row r="36">
      <c r="A36" t="n">
        <v>18038</v>
      </c>
      <c r="B36" t="inlineStr">
        <is>
          <t>CLAREMONT SAVINGS BANK</t>
        </is>
      </c>
      <c r="C36" t="inlineStr">
        <is>
          <t>NH</t>
        </is>
      </c>
      <c r="D36" s="14" t="n">
        <v>44651</v>
      </c>
      <c r="E36" s="14" t="n">
        <v>45838</v>
      </c>
      <c r="F36" t="n">
        <v>14</v>
      </c>
      <c r="G36" t="inlineStr">
        <is>
          <t>Claremont Savings Bank</t>
        </is>
      </c>
      <c r="H36" t="n">
        <v>1</v>
      </c>
      <c r="I36" t="inlineStr">
        <is>
          <t>06/30/2026</t>
        </is>
      </c>
      <c r="J36" t="inlineStr">
        <is>
          <t>Claremont</t>
        </is>
      </c>
      <c r="K36" t="inlineStr">
        <is>
          <t>SI</t>
        </is>
      </c>
      <c r="L36" t="inlineStr">
        <is>
          <t>FDIC</t>
        </is>
      </c>
      <c r="M36" t="n">
        <v>1</v>
      </c>
      <c r="N36" t="inlineStr">
        <is>
          <t>Commercial Lending Specialization</t>
        </is>
      </c>
      <c r="Q36" t="n">
        <v>0</v>
      </c>
      <c r="R36" t="n">
        <v>18038</v>
      </c>
      <c r="S36" t="inlineStr">
        <is>
          <t>11/17/2024</t>
        </is>
      </c>
      <c r="T36" t="inlineStr">
        <is>
          <t>12/31/9999</t>
        </is>
      </c>
    </row>
    <row r="37">
      <c r="A37" t="n">
        <v>18408</v>
      </c>
      <c r="B37" t="inlineStr">
        <is>
          <t>BANGOR SAVINGS BANK</t>
        </is>
      </c>
      <c r="C37" t="inlineStr">
        <is>
          <t>ME</t>
        </is>
      </c>
      <c r="D37" s="14" t="n">
        <v>44651</v>
      </c>
      <c r="E37" s="14" t="n">
        <v>45838</v>
      </c>
      <c r="F37" t="n">
        <v>14</v>
      </c>
      <c r="G37" t="inlineStr">
        <is>
          <t>Bangor Savings Bank</t>
        </is>
      </c>
      <c r="H37" t="n">
        <v>1</v>
      </c>
      <c r="I37" t="inlineStr">
        <is>
          <t>06/30/2026</t>
        </is>
      </c>
      <c r="J37" t="inlineStr">
        <is>
          <t>Bangor</t>
        </is>
      </c>
      <c r="K37" t="inlineStr">
        <is>
          <t>SI</t>
        </is>
      </c>
      <c r="L37" t="inlineStr">
        <is>
          <t>FDIC</t>
        </is>
      </c>
      <c r="M37" t="n">
        <v>1</v>
      </c>
      <c r="N37" t="inlineStr">
        <is>
          <t>Commercial Lending Specialization</t>
        </is>
      </c>
      <c r="Q37" t="n">
        <v>0</v>
      </c>
      <c r="R37" t="n">
        <v>18408</v>
      </c>
      <c r="S37" t="inlineStr">
        <is>
          <t>11/17/2024</t>
        </is>
      </c>
      <c r="T37" t="inlineStr">
        <is>
          <t>12/31/9999</t>
        </is>
      </c>
    </row>
    <row r="38">
      <c r="A38" t="n">
        <v>19531</v>
      </c>
      <c r="B38" t="inlineStr">
        <is>
          <t>MACHIAS SAVINGS BANK</t>
        </is>
      </c>
      <c r="C38" t="inlineStr">
        <is>
          <t>ME</t>
        </is>
      </c>
      <c r="D38" s="14" t="n">
        <v>44651</v>
      </c>
      <c r="E38" s="14" t="n">
        <v>45838</v>
      </c>
      <c r="F38" t="n">
        <v>14</v>
      </c>
      <c r="G38" t="inlineStr">
        <is>
          <t>Machias Savings Bank</t>
        </is>
      </c>
      <c r="H38" t="n">
        <v>1</v>
      </c>
      <c r="I38" t="inlineStr">
        <is>
          <t>06/30/2026</t>
        </is>
      </c>
      <c r="J38" t="inlineStr">
        <is>
          <t>Machias</t>
        </is>
      </c>
      <c r="K38" t="inlineStr">
        <is>
          <t>SI</t>
        </is>
      </c>
      <c r="L38" t="inlineStr">
        <is>
          <t>FDIC</t>
        </is>
      </c>
      <c r="M38" t="n">
        <v>1</v>
      </c>
      <c r="N38" t="inlineStr">
        <is>
          <t>Commercial Lending Specialization</t>
        </is>
      </c>
      <c r="Q38" t="n">
        <v>0</v>
      </c>
      <c r="R38" t="n">
        <v>19531</v>
      </c>
      <c r="S38" t="inlineStr">
        <is>
          <t>11/17/2024</t>
        </is>
      </c>
      <c r="T38" t="inlineStr">
        <is>
          <t>12/31/9999</t>
        </is>
      </c>
    </row>
    <row r="39">
      <c r="A39" t="n">
        <v>19532</v>
      </c>
      <c r="B39" t="inlineStr">
        <is>
          <t>SKOWHEGAN SAVINGS BANK</t>
        </is>
      </c>
      <c r="C39" t="inlineStr">
        <is>
          <t>ME</t>
        </is>
      </c>
      <c r="D39" s="14" t="n">
        <v>44651</v>
      </c>
      <c r="E39" s="14" t="n">
        <v>45838</v>
      </c>
      <c r="F39" t="n">
        <v>14</v>
      </c>
      <c r="G39" t="inlineStr">
        <is>
          <t>Skowhegan Savings Bank</t>
        </is>
      </c>
      <c r="H39" t="n">
        <v>1</v>
      </c>
      <c r="I39" t="inlineStr">
        <is>
          <t>06/30/2026</t>
        </is>
      </c>
      <c r="J39" t="inlineStr">
        <is>
          <t>Skowhegan</t>
        </is>
      </c>
      <c r="K39" t="inlineStr">
        <is>
          <t>SI</t>
        </is>
      </c>
      <c r="L39" t="inlineStr">
        <is>
          <t>FDIC</t>
        </is>
      </c>
      <c r="M39" t="n">
        <v>1</v>
      </c>
      <c r="N39" t="inlineStr">
        <is>
          <t>Commercial Lending Specialization</t>
        </is>
      </c>
      <c r="Q39" t="n">
        <v>0</v>
      </c>
      <c r="R39" t="n">
        <v>19532</v>
      </c>
      <c r="S39" t="inlineStr">
        <is>
          <t>03/31/2026</t>
        </is>
      </c>
      <c r="T39" t="inlineStr">
        <is>
          <t>12/31/9999</t>
        </is>
      </c>
    </row>
    <row r="40">
      <c r="A40" t="n">
        <v>19690</v>
      </c>
      <c r="B40" t="inlineStr">
        <is>
          <t>NORTHEAST BANK</t>
        </is>
      </c>
      <c r="C40" t="inlineStr">
        <is>
          <t>ME</t>
        </is>
      </c>
      <c r="D40" s="14" t="n">
        <v>44651</v>
      </c>
      <c r="E40" s="14" t="n">
        <v>45838</v>
      </c>
      <c r="F40" t="n">
        <v>14</v>
      </c>
      <c r="G40" t="inlineStr">
        <is>
          <t>Northeast Bank</t>
        </is>
      </c>
      <c r="H40" t="n">
        <v>1</v>
      </c>
      <c r="I40" t="inlineStr">
        <is>
          <t>06/30/2026</t>
        </is>
      </c>
      <c r="J40" t="inlineStr">
        <is>
          <t>Portland</t>
        </is>
      </c>
      <c r="K40" t="inlineStr">
        <is>
          <t>NM</t>
        </is>
      </c>
      <c r="L40" t="inlineStr">
        <is>
          <t>FDIC</t>
        </is>
      </c>
      <c r="M40" t="n">
        <v>0</v>
      </c>
      <c r="N40" t="inlineStr">
        <is>
          <t>Commercial Lending Specialization</t>
        </is>
      </c>
      <c r="Q40" t="n">
        <v>0</v>
      </c>
      <c r="R40" t="n">
        <v>19690</v>
      </c>
      <c r="S40" t="inlineStr">
        <is>
          <t>11/17/2024</t>
        </is>
      </c>
      <c r="T40" t="inlineStr">
        <is>
          <t>12/31/9999</t>
        </is>
      </c>
    </row>
    <row r="41">
      <c r="A41" t="n">
        <v>19836</v>
      </c>
      <c r="B41" t="inlineStr">
        <is>
          <t>FRANKLIN SAVINGS BANK</t>
        </is>
      </c>
      <c r="C41" t="inlineStr">
        <is>
          <t>ME</t>
        </is>
      </c>
      <c r="D41" s="14" t="n">
        <v>44651</v>
      </c>
      <c r="E41" s="14" t="n">
        <v>45838</v>
      </c>
      <c r="F41" t="n">
        <v>14</v>
      </c>
      <c r="G41" t="inlineStr">
        <is>
          <t>Franklin Savings Bank</t>
        </is>
      </c>
      <c r="H41" t="n">
        <v>1</v>
      </c>
      <c r="I41" t="inlineStr">
        <is>
          <t>06/30/2026</t>
        </is>
      </c>
      <c r="J41" t="inlineStr">
        <is>
          <t>Farmington</t>
        </is>
      </c>
      <c r="K41" t="inlineStr">
        <is>
          <t>SM</t>
        </is>
      </c>
      <c r="L41" t="inlineStr">
        <is>
          <t>FED</t>
        </is>
      </c>
      <c r="M41" t="n">
        <v>1</v>
      </c>
      <c r="N41" t="inlineStr">
        <is>
          <t>Commercial Lending Specialization</t>
        </is>
      </c>
      <c r="Q41" t="n">
        <v>0</v>
      </c>
      <c r="R41" t="n">
        <v>19836</v>
      </c>
      <c r="S41" t="inlineStr">
        <is>
          <t>11/17/2024</t>
        </is>
      </c>
      <c r="T41" t="inlineStr">
        <is>
          <t>12/31/9999</t>
        </is>
      </c>
    </row>
    <row r="42">
      <c r="A42" t="n">
        <v>24540</v>
      </c>
      <c r="B42" t="inlineStr">
        <is>
          <t>BANK OF NEW ENGLAND</t>
        </is>
      </c>
      <c r="C42" t="inlineStr">
        <is>
          <t>NH</t>
        </is>
      </c>
      <c r="D42" s="14" t="n">
        <v>44651</v>
      </c>
      <c r="E42" s="14" t="n">
        <v>45838</v>
      </c>
      <c r="F42" t="n">
        <v>14</v>
      </c>
      <c r="G42" t="inlineStr">
        <is>
          <t>Bank of New England</t>
        </is>
      </c>
      <c r="H42" t="n">
        <v>1</v>
      </c>
      <c r="I42" t="inlineStr">
        <is>
          <t>06/30/2026</t>
        </is>
      </c>
      <c r="J42" t="inlineStr">
        <is>
          <t>Salem</t>
        </is>
      </c>
      <c r="K42" t="inlineStr">
        <is>
          <t>NM</t>
        </is>
      </c>
      <c r="L42" t="inlineStr">
        <is>
          <t>FDIC</t>
        </is>
      </c>
      <c r="M42" t="n">
        <v>1</v>
      </c>
      <c r="N42" t="inlineStr">
        <is>
          <t>Commercial Lending Specialization</t>
        </is>
      </c>
      <c r="Q42" t="n">
        <v>0</v>
      </c>
      <c r="R42" t="n">
        <v>24540</v>
      </c>
      <c r="S42" t="inlineStr">
        <is>
          <t>11/17/2024</t>
        </is>
      </c>
      <c r="T42" t="inlineStr">
        <is>
          <t>12/31/9999</t>
        </is>
      </c>
    </row>
    <row r="43">
      <c r="A43" t="n">
        <v>27824</v>
      </c>
      <c r="B43" t="inlineStr">
        <is>
          <t>SALEM CO-OPERATIVE BANK</t>
        </is>
      </c>
      <c r="C43" t="inlineStr">
        <is>
          <t>NH</t>
        </is>
      </c>
      <c r="D43" s="14" t="n">
        <v>44651</v>
      </c>
      <c r="E43" s="14" t="n">
        <v>45838</v>
      </c>
      <c r="F43" t="n">
        <v>14</v>
      </c>
      <c r="G43" t="inlineStr">
        <is>
          <t>Salem Co-operative Bank</t>
        </is>
      </c>
      <c r="H43" t="n">
        <v>1</v>
      </c>
      <c r="I43" t="inlineStr">
        <is>
          <t>06/30/2026</t>
        </is>
      </c>
      <c r="J43" t="inlineStr">
        <is>
          <t>Salem</t>
        </is>
      </c>
      <c r="K43" t="inlineStr">
        <is>
          <t>SL</t>
        </is>
      </c>
      <c r="L43" t="inlineStr">
        <is>
          <t>FDIC</t>
        </is>
      </c>
      <c r="M43" t="n">
        <v>1</v>
      </c>
      <c r="N43" t="inlineStr">
        <is>
          <t>Commercial Lending Specialization</t>
        </is>
      </c>
      <c r="Q43" t="n">
        <v>0</v>
      </c>
      <c r="R43" t="n">
        <v>27824</v>
      </c>
      <c r="S43" t="inlineStr">
        <is>
          <t>11/17/2024</t>
        </is>
      </c>
      <c r="T43" t="inlineStr">
        <is>
          <t>12/31/9999</t>
        </is>
      </c>
    </row>
    <row r="44">
      <c r="A44" t="n">
        <v>28155</v>
      </c>
      <c r="B44" t="inlineStr">
        <is>
          <t>PROFILE BANK</t>
        </is>
      </c>
      <c r="C44" t="inlineStr">
        <is>
          <t>NH</t>
        </is>
      </c>
      <c r="D44" s="14" t="n">
        <v>44651</v>
      </c>
      <c r="E44" s="14" t="n">
        <v>45838</v>
      </c>
      <c r="F44" t="n">
        <v>14</v>
      </c>
      <c r="G44" t="inlineStr">
        <is>
          <t>Profile Bank</t>
        </is>
      </c>
      <c r="H44" t="n">
        <v>1</v>
      </c>
      <c r="I44" t="inlineStr">
        <is>
          <t>06/30/2026</t>
        </is>
      </c>
      <c r="J44" t="inlineStr">
        <is>
          <t>Rochester</t>
        </is>
      </c>
      <c r="K44" t="inlineStr">
        <is>
          <t>SM</t>
        </is>
      </c>
      <c r="L44" t="inlineStr">
        <is>
          <t>FED</t>
        </is>
      </c>
      <c r="M44" t="n">
        <v>1</v>
      </c>
      <c r="N44" t="inlineStr">
        <is>
          <t>Commercial Lending Specialization</t>
        </is>
      </c>
      <c r="Q44" t="n">
        <v>0</v>
      </c>
      <c r="R44" t="n">
        <v>28155</v>
      </c>
      <c r="S44" t="inlineStr">
        <is>
          <t>11/17/2024</t>
        </is>
      </c>
      <c r="T44" t="inlineStr">
        <is>
          <t>12/31/9999</t>
        </is>
      </c>
    </row>
    <row r="45">
      <c r="A45" t="n">
        <v>28288</v>
      </c>
      <c r="B45" t="inlineStr">
        <is>
          <t>AUBURN SAVINGS BANK, FSB</t>
        </is>
      </c>
      <c r="C45" t="inlineStr">
        <is>
          <t>ME</t>
        </is>
      </c>
      <c r="D45" s="14" t="n">
        <v>44651</v>
      </c>
      <c r="E45" s="14" t="n">
        <v>45838</v>
      </c>
      <c r="F45" t="n">
        <v>14</v>
      </c>
      <c r="G45" t="inlineStr">
        <is>
          <t>Auburn Savings Bank, FSB</t>
        </is>
      </c>
      <c r="H45" t="n">
        <v>1</v>
      </c>
      <c r="I45" t="inlineStr">
        <is>
          <t>06/30/2026</t>
        </is>
      </c>
      <c r="J45" t="inlineStr">
        <is>
          <t>Auburn</t>
        </is>
      </c>
      <c r="K45" t="inlineStr">
        <is>
          <t>SB</t>
        </is>
      </c>
      <c r="L45" t="inlineStr">
        <is>
          <t>OCC</t>
        </is>
      </c>
      <c r="M45" t="n">
        <v>1</v>
      </c>
      <c r="N45" t="inlineStr">
        <is>
          <t>Mortgage Lending Specialization</t>
        </is>
      </c>
      <c r="Q45" t="n">
        <v>0</v>
      </c>
      <c r="R45" t="n">
        <v>28288</v>
      </c>
      <c r="S45" t="inlineStr">
        <is>
          <t>11/17/2024</t>
        </is>
      </c>
      <c r="T45" t="inlineStr">
        <is>
          <t>12/31/9999</t>
        </is>
      </c>
    </row>
    <row r="46">
      <c r="A46" t="n">
        <v>28369</v>
      </c>
      <c r="B46" t="inlineStr">
        <is>
          <t>ROCKLAND SAVINGS BANK, FSB</t>
        </is>
      </c>
      <c r="C46" t="inlineStr">
        <is>
          <t>ME</t>
        </is>
      </c>
      <c r="D46" s="14" t="n">
        <v>44651</v>
      </c>
      <c r="E46" s="14" t="n">
        <v>45838</v>
      </c>
      <c r="F46" t="n">
        <v>14</v>
      </c>
      <c r="G46" t="inlineStr">
        <is>
          <t>Rockland Savings Bank, FSB</t>
        </is>
      </c>
      <c r="H46" t="n">
        <v>1</v>
      </c>
      <c r="I46" t="inlineStr">
        <is>
          <t>06/30/2026</t>
        </is>
      </c>
      <c r="J46" t="inlineStr">
        <is>
          <t>Rockland</t>
        </is>
      </c>
      <c r="K46" t="inlineStr">
        <is>
          <t>SB</t>
        </is>
      </c>
      <c r="L46" t="inlineStr">
        <is>
          <t>OCC</t>
        </is>
      </c>
      <c r="M46" t="n">
        <v>1</v>
      </c>
      <c r="N46" t="inlineStr">
        <is>
          <t>Mortgage Lending Specialization</t>
        </is>
      </c>
      <c r="Q46" t="n">
        <v>0</v>
      </c>
      <c r="R46" t="n">
        <v>28369</v>
      </c>
      <c r="S46" t="inlineStr">
        <is>
          <t>11/17/2024</t>
        </is>
      </c>
      <c r="T46" t="inlineStr">
        <is>
          <t>12/31/9999</t>
        </is>
      </c>
    </row>
    <row r="47">
      <c r="A47" t="n">
        <v>28837</v>
      </c>
      <c r="B47" t="inlineStr">
        <is>
          <t>THE BRATTLEBORO SAVINGS AND LOAN ASSOCIATION</t>
        </is>
      </c>
      <c r="C47" t="inlineStr">
        <is>
          <t>VT</t>
        </is>
      </c>
      <c r="D47" s="14" t="n">
        <v>44651</v>
      </c>
      <c r="E47" s="14" t="n">
        <v>45838</v>
      </c>
      <c r="F47" t="n">
        <v>14</v>
      </c>
      <c r="G47" t="inlineStr">
        <is>
          <t>The Brattleboro Savings and Loan Association</t>
        </is>
      </c>
      <c r="H47" t="n">
        <v>1</v>
      </c>
      <c r="I47" t="inlineStr">
        <is>
          <t>06/30/2026</t>
        </is>
      </c>
      <c r="J47" t="inlineStr">
        <is>
          <t>Brattleboro</t>
        </is>
      </c>
      <c r="K47" t="inlineStr">
        <is>
          <t>SM</t>
        </is>
      </c>
      <c r="L47" t="inlineStr">
        <is>
          <t>FED</t>
        </is>
      </c>
      <c r="M47" t="n">
        <v>1</v>
      </c>
      <c r="N47" t="inlineStr">
        <is>
          <t>Commercial Lending Specialization</t>
        </is>
      </c>
      <c r="Q47" t="n">
        <v>0</v>
      </c>
      <c r="R47" t="n">
        <v>28837</v>
      </c>
      <c r="S47" t="inlineStr">
        <is>
          <t>11/17/2024</t>
        </is>
      </c>
      <c r="T47" t="inlineStr">
        <is>
          <t>12/31/9999</t>
        </is>
      </c>
    </row>
    <row r="48">
      <c r="A48" t="n">
        <v>29636</v>
      </c>
      <c r="B48" t="inlineStr">
        <is>
          <t>FIRST FEDERAL SAVINGS AND LOAN ASSOCIATION OF BATH</t>
        </is>
      </c>
      <c r="C48" t="inlineStr">
        <is>
          <t>ME</t>
        </is>
      </c>
      <c r="D48" s="14" t="n">
        <v>44651</v>
      </c>
      <c r="E48" s="14" t="n">
        <v>45838</v>
      </c>
      <c r="F48" t="n">
        <v>14</v>
      </c>
      <c r="G48" t="inlineStr">
        <is>
          <t>First Federal Savings and Loan Association of Bath</t>
        </is>
      </c>
      <c r="H48" t="n">
        <v>1</v>
      </c>
      <c r="I48" t="inlineStr">
        <is>
          <t>06/30/2026</t>
        </is>
      </c>
      <c r="J48" t="inlineStr">
        <is>
          <t>Bath</t>
        </is>
      </c>
      <c r="K48" t="inlineStr">
        <is>
          <t>SB</t>
        </is>
      </c>
      <c r="L48" t="inlineStr">
        <is>
          <t>OCC</t>
        </is>
      </c>
      <c r="M48" t="n">
        <v>1</v>
      </c>
      <c r="N48" t="inlineStr">
        <is>
          <t>Mortgage Lending Specialization</t>
        </is>
      </c>
      <c r="Q48" t="n">
        <v>0</v>
      </c>
      <c r="R48" t="n">
        <v>29636</v>
      </c>
      <c r="S48" t="inlineStr">
        <is>
          <t>11/17/2024</t>
        </is>
      </c>
      <c r="T48" t="inlineStr">
        <is>
          <t>12/31/9999</t>
        </is>
      </c>
    </row>
    <row r="49">
      <c r="A49" t="n">
        <v>29743</v>
      </c>
      <c r="B49" t="inlineStr">
        <is>
          <t>AROOSTOOK COUNTY FEDERAL SAVINGS AND LOAN ASSOCIATION</t>
        </is>
      </c>
      <c r="C49" t="inlineStr">
        <is>
          <t>ME</t>
        </is>
      </c>
      <c r="D49" s="14" t="n">
        <v>44651</v>
      </c>
      <c r="E49" s="14" t="n">
        <v>45838</v>
      </c>
      <c r="F49" t="n">
        <v>14</v>
      </c>
      <c r="G49" t="inlineStr">
        <is>
          <t>Aroostook County Federal Savings and Loan Association</t>
        </is>
      </c>
      <c r="H49" t="n">
        <v>1</v>
      </c>
      <c r="I49" t="inlineStr">
        <is>
          <t>06/30/2026</t>
        </is>
      </c>
      <c r="J49" t="inlineStr">
        <is>
          <t>Caribou</t>
        </is>
      </c>
      <c r="K49" t="inlineStr">
        <is>
          <t>SL</t>
        </is>
      </c>
      <c r="L49" t="inlineStr">
        <is>
          <t>OCC</t>
        </is>
      </c>
      <c r="M49" t="n">
        <v>1</v>
      </c>
      <c r="N49" t="inlineStr">
        <is>
          <t>Consumer Lending Specialization</t>
        </is>
      </c>
      <c r="O49" t="n">
        <v>440</v>
      </c>
      <c r="P49" t="n">
        <v>430</v>
      </c>
      <c r="Q49" t="n">
        <v>0</v>
      </c>
      <c r="R49" t="n">
        <v>29743</v>
      </c>
      <c r="S49" t="inlineStr">
        <is>
          <t>11/14/2025</t>
        </is>
      </c>
      <c r="T49" t="inlineStr">
        <is>
          <t>12/31/9999</t>
        </is>
      </c>
    </row>
    <row r="50">
      <c r="A50" t="n">
        <v>29744</v>
      </c>
      <c r="B50" t="inlineStr">
        <is>
          <t>FIRST SEACOAST BANK</t>
        </is>
      </c>
      <c r="C50" t="inlineStr">
        <is>
          <t>NH</t>
        </is>
      </c>
      <c r="D50" s="14" t="n">
        <v>44651</v>
      </c>
      <c r="E50" s="14" t="n">
        <v>45838</v>
      </c>
      <c r="F50" t="n">
        <v>14</v>
      </c>
      <c r="G50" t="inlineStr">
        <is>
          <t>First Seacoast Bank</t>
        </is>
      </c>
      <c r="H50" t="n">
        <v>1</v>
      </c>
      <c r="I50" t="inlineStr">
        <is>
          <t>06/30/2026</t>
        </is>
      </c>
      <c r="J50" t="inlineStr">
        <is>
          <t>Dover</t>
        </is>
      </c>
      <c r="K50" t="inlineStr">
        <is>
          <t>SB</t>
        </is>
      </c>
      <c r="L50" t="inlineStr">
        <is>
          <t>OCC</t>
        </is>
      </c>
      <c r="M50" t="n">
        <v>1</v>
      </c>
      <c r="N50" t="inlineStr">
        <is>
          <t>Mortgage Lending Specialization</t>
        </is>
      </c>
      <c r="Q50" t="n">
        <v>0</v>
      </c>
      <c r="R50" t="n">
        <v>29744</v>
      </c>
      <c r="S50" t="inlineStr">
        <is>
          <t>11/17/2024</t>
        </is>
      </c>
      <c r="T50" t="inlineStr">
        <is>
          <t>12/31/9999</t>
        </is>
      </c>
    </row>
    <row r="51">
      <c r="A51" t="n">
        <v>30350</v>
      </c>
      <c r="B51" t="inlineStr">
        <is>
          <t>THE BANK OF BENNINGTON</t>
        </is>
      </c>
      <c r="C51" t="inlineStr">
        <is>
          <t>VT</t>
        </is>
      </c>
      <c r="D51" s="14" t="n">
        <v>44651</v>
      </c>
      <c r="E51" s="14" t="n">
        <v>45838</v>
      </c>
      <c r="F51" t="n">
        <v>14</v>
      </c>
      <c r="G51" t="inlineStr">
        <is>
          <t>The Bank of Bennington</t>
        </is>
      </c>
      <c r="H51" t="n">
        <v>1</v>
      </c>
      <c r="I51" t="inlineStr">
        <is>
          <t>06/30/2026</t>
        </is>
      </c>
      <c r="J51" t="inlineStr">
        <is>
          <t>Bennington</t>
        </is>
      </c>
      <c r="K51" t="inlineStr">
        <is>
          <t>SB</t>
        </is>
      </c>
      <c r="L51" t="inlineStr">
        <is>
          <t>OCC</t>
        </is>
      </c>
      <c r="M51" t="n">
        <v>1</v>
      </c>
      <c r="N51" t="inlineStr">
        <is>
          <t>Mortgage Lending Specialization</t>
        </is>
      </c>
      <c r="Q51" t="n">
        <v>0</v>
      </c>
      <c r="R51" t="n">
        <v>30350</v>
      </c>
      <c r="S51" t="inlineStr">
        <is>
          <t>11/17/2024</t>
        </is>
      </c>
      <c r="T51" t="inlineStr">
        <is>
          <t>12/31/9999</t>
        </is>
      </c>
    </row>
    <row r="52">
      <c r="A52" t="n">
        <v>30878</v>
      </c>
      <c r="B52" t="inlineStr">
        <is>
          <t>BAR HARBOR SAVINGS AND LOAN ASSOCIATION</t>
        </is>
      </c>
      <c r="C52" t="inlineStr">
        <is>
          <t>ME</t>
        </is>
      </c>
      <c r="D52" s="14" t="n">
        <v>44651</v>
      </c>
      <c r="E52" s="14" t="n">
        <v>45838</v>
      </c>
      <c r="F52" t="n">
        <v>14</v>
      </c>
      <c r="G52" t="inlineStr">
        <is>
          <t>Bar Harbor Savings and Loan Association</t>
        </is>
      </c>
      <c r="H52" t="n">
        <v>1</v>
      </c>
      <c r="I52" t="inlineStr">
        <is>
          <t>06/30/2026</t>
        </is>
      </c>
      <c r="J52" t="inlineStr">
        <is>
          <t>Bar Harbor</t>
        </is>
      </c>
      <c r="K52" t="inlineStr">
        <is>
          <t>SL</t>
        </is>
      </c>
      <c r="L52" t="inlineStr">
        <is>
          <t>FDIC</t>
        </is>
      </c>
      <c r="M52" t="n">
        <v>1</v>
      </c>
      <c r="N52" t="inlineStr">
        <is>
          <t>Mortgage Lending Specialization</t>
        </is>
      </c>
      <c r="Q52" t="n">
        <v>0</v>
      </c>
      <c r="R52" t="n">
        <v>30878</v>
      </c>
      <c r="S52" t="inlineStr">
        <is>
          <t>11/17/2024</t>
        </is>
      </c>
      <c r="T52" t="inlineStr">
        <is>
          <t>12/31/9999</t>
        </is>
      </c>
    </row>
    <row r="53">
      <c r="A53" t="n">
        <v>33418</v>
      </c>
      <c r="B53" t="inlineStr">
        <is>
          <t>LEDYARD NATIONAL BANK</t>
        </is>
      </c>
      <c r="C53" t="inlineStr">
        <is>
          <t>VT</t>
        </is>
      </c>
      <c r="D53" s="14" t="n">
        <v>44651</v>
      </c>
      <c r="E53" s="14" t="n">
        <v>45838</v>
      </c>
      <c r="F53" t="n">
        <v>14</v>
      </c>
      <c r="G53" t="inlineStr">
        <is>
          <t>Ledyard National Bank</t>
        </is>
      </c>
      <c r="H53" t="n">
        <v>1</v>
      </c>
      <c r="I53" t="inlineStr">
        <is>
          <t>06/30/2026</t>
        </is>
      </c>
      <c r="J53" t="inlineStr">
        <is>
          <t>Norwich</t>
        </is>
      </c>
      <c r="K53" t="inlineStr">
        <is>
          <t>N</t>
        </is>
      </c>
      <c r="L53" t="inlineStr">
        <is>
          <t>OCC</t>
        </is>
      </c>
      <c r="M53" t="n">
        <v>1</v>
      </c>
      <c r="N53" t="inlineStr">
        <is>
          <t>Commercial Lending Specialization</t>
        </is>
      </c>
      <c r="Q53" t="n">
        <v>0</v>
      </c>
      <c r="R53" t="n">
        <v>33418</v>
      </c>
      <c r="S53" t="inlineStr">
        <is>
          <t>11/17/2024</t>
        </is>
      </c>
      <c r="T53" t="inlineStr">
        <is>
          <t>12/31/9999</t>
        </is>
      </c>
    </row>
    <row r="54">
      <c r="A54" t="n">
        <v>35206</v>
      </c>
      <c r="B54" t="inlineStr">
        <is>
          <t>FIDELITY PERSONAL TRUST COMPANY, FSB</t>
        </is>
      </c>
      <c r="C54" t="inlineStr">
        <is>
          <t>NH</t>
        </is>
      </c>
      <c r="D54" s="14" t="n">
        <v>44742</v>
      </c>
      <c r="E54" s="14" t="n">
        <v>45838</v>
      </c>
      <c r="F54" t="n">
        <v>13</v>
      </c>
      <c r="G54" t="inlineStr">
        <is>
          <t>Fidelity Personal Trust Company, FSB</t>
        </is>
      </c>
      <c r="H54" t="n">
        <v>1</v>
      </c>
      <c r="I54" t="inlineStr">
        <is>
          <t>06/30/2026</t>
        </is>
      </c>
      <c r="J54" t="inlineStr">
        <is>
          <t>Merrimack</t>
        </is>
      </c>
      <c r="K54" t="inlineStr">
        <is>
          <t>SB</t>
        </is>
      </c>
      <c r="L54" t="inlineStr">
        <is>
          <t>OCC</t>
        </is>
      </c>
      <c r="M54" t="n">
        <v>0</v>
      </c>
      <c r="N54" t="inlineStr">
        <is>
          <t>Other Specialized Under 1 Billion</t>
        </is>
      </c>
      <c r="Q54" t="n">
        <v>0</v>
      </c>
      <c r="R54" t="n">
        <v>35206</v>
      </c>
      <c r="S54" t="inlineStr">
        <is>
          <t>11/17/2024</t>
        </is>
      </c>
      <c r="T54" t="inlineStr">
        <is>
          <t>12/31/9999</t>
        </is>
      </c>
    </row>
    <row r="55">
      <c r="A55" t="n">
        <v>59086</v>
      </c>
      <c r="B55" t="inlineStr">
        <is>
          <t>PRIMARY BANK</t>
        </is>
      </c>
      <c r="C55" t="inlineStr">
        <is>
          <t>NH</t>
        </is>
      </c>
      <c r="D55" s="14" t="n">
        <v>44651</v>
      </c>
      <c r="E55" s="14" t="n">
        <v>45838</v>
      </c>
      <c r="F55" t="n">
        <v>14</v>
      </c>
      <c r="G55" t="inlineStr">
        <is>
          <t>Primary Bank</t>
        </is>
      </c>
      <c r="H55" t="n">
        <v>1</v>
      </c>
      <c r="I55" t="inlineStr">
        <is>
          <t>06/30/2026</t>
        </is>
      </c>
      <c r="J55" t="inlineStr">
        <is>
          <t>Bedford</t>
        </is>
      </c>
      <c r="K55" t="inlineStr">
        <is>
          <t>NM</t>
        </is>
      </c>
      <c r="L55" t="inlineStr">
        <is>
          <t>FDIC</t>
        </is>
      </c>
      <c r="M55" t="n">
        <v>1</v>
      </c>
      <c r="N55" t="inlineStr">
        <is>
          <t>Commercial Lending Specialization</t>
        </is>
      </c>
      <c r="Q55" t="n">
        <v>0</v>
      </c>
      <c r="R55" t="n">
        <v>59086</v>
      </c>
      <c r="S55" t="inlineStr">
        <is>
          <t>11/17/2024</t>
        </is>
      </c>
      <c r="T55" t="inlineStr">
        <is>
          <t>12/31/9999</t>
        </is>
      </c>
    </row>
    <row r="56">
      <c r="A56" t="n">
        <v>59176</v>
      </c>
      <c r="B56" t="inlineStr">
        <is>
          <t>THE MILLYARD BANK</t>
        </is>
      </c>
      <c r="C56" t="inlineStr">
        <is>
          <t>NH</t>
        </is>
      </c>
      <c r="D56" s="14" t="n">
        <v>44651</v>
      </c>
      <c r="E56" s="14" t="n">
        <v>45838</v>
      </c>
      <c r="F56" t="n">
        <v>14</v>
      </c>
      <c r="G56" t="inlineStr">
        <is>
          <t>The Millyard Bank</t>
        </is>
      </c>
      <c r="H56" t="n">
        <v>1</v>
      </c>
      <c r="I56" t="inlineStr">
        <is>
          <t>06/30/2026</t>
        </is>
      </c>
      <c r="J56" t="inlineStr">
        <is>
          <t>Nashua</t>
        </is>
      </c>
      <c r="K56" t="inlineStr">
        <is>
          <t>NM</t>
        </is>
      </c>
      <c r="L56" t="inlineStr">
        <is>
          <t>FDIC</t>
        </is>
      </c>
      <c r="M56" t="n">
        <v>1</v>
      </c>
      <c r="N56" t="inlineStr">
        <is>
          <t>Commercial Lending Specialization</t>
        </is>
      </c>
      <c r="Q56" t="n">
        <v>0</v>
      </c>
      <c r="R56" t="n">
        <v>59176</v>
      </c>
      <c r="S56" t="inlineStr">
        <is>
          <t>11/17/2024</t>
        </is>
      </c>
      <c r="T56" t="inlineStr">
        <is>
          <t>12/31/9999</t>
        </is>
      </c>
    </row>
    <row r="57">
      <c r="A57" t="n">
        <v>59289</v>
      </c>
      <c r="B57" t="inlineStr">
        <is>
          <t>WALDEN MUTUAL BANK</t>
        </is>
      </c>
      <c r="C57" t="inlineStr">
        <is>
          <t>NH</t>
        </is>
      </c>
      <c r="D57" s="14" t="n">
        <v>44926</v>
      </c>
      <c r="E57" s="14" t="n">
        <v>45838</v>
      </c>
      <c r="F57" t="n">
        <v>11</v>
      </c>
      <c r="G57" t="inlineStr">
        <is>
          <t>Walden Mutual Bank</t>
        </is>
      </c>
      <c r="H57" t="n">
        <v>1</v>
      </c>
      <c r="I57" t="inlineStr">
        <is>
          <t>06/30/2026</t>
        </is>
      </c>
      <c r="J57" t="inlineStr">
        <is>
          <t>Concord</t>
        </is>
      </c>
      <c r="K57" t="inlineStr">
        <is>
          <t>SI</t>
        </is>
      </c>
      <c r="L57" t="inlineStr">
        <is>
          <t>FDIC</t>
        </is>
      </c>
      <c r="M57" t="n">
        <v>1</v>
      </c>
      <c r="N57" t="inlineStr">
        <is>
          <t>Commercial Lending Specialization</t>
        </is>
      </c>
      <c r="Q57" t="n">
        <v>0</v>
      </c>
      <c r="R57" t="n">
        <v>59289</v>
      </c>
      <c r="S57" t="inlineStr">
        <is>
          <t>11/17/2024</t>
        </is>
      </c>
      <c r="T57" t="inlineStr">
        <is>
          <t>12/31/9999</t>
        </is>
      </c>
    </row>
    <row r="58">
      <c r="A58" t="n">
        <v>59298</v>
      </c>
      <c r="B58" t="inlineStr">
        <is>
          <t>BANK OF BURLINGTON</t>
        </is>
      </c>
      <c r="C58" t="inlineStr">
        <is>
          <t>VT</t>
        </is>
      </c>
      <c r="D58" s="14" t="n">
        <v>44834</v>
      </c>
      <c r="E58" s="14" t="n">
        <v>45838</v>
      </c>
      <c r="F58" t="n">
        <v>12</v>
      </c>
      <c r="G58" t="inlineStr">
        <is>
          <t>Business Bank, The</t>
        </is>
      </c>
      <c r="H58" t="n">
        <v>1</v>
      </c>
      <c r="I58" t="inlineStr">
        <is>
          <t>06/30/2026</t>
        </is>
      </c>
      <c r="J58" t="inlineStr">
        <is>
          <t>S Burlington</t>
        </is>
      </c>
      <c r="K58" t="inlineStr">
        <is>
          <t>NM</t>
        </is>
      </c>
      <c r="L58" t="inlineStr">
        <is>
          <t>FDIC</t>
        </is>
      </c>
      <c r="M58" t="n">
        <v>1</v>
      </c>
      <c r="N58" t="inlineStr">
        <is>
          <t>Commercial Lending Specialization</t>
        </is>
      </c>
      <c r="O58" t="n">
        <v>510</v>
      </c>
      <c r="Q58" t="n">
        <v>0</v>
      </c>
      <c r="R58" t="n">
        <v>59298</v>
      </c>
      <c r="S58" t="inlineStr">
        <is>
          <t>07/24/2025</t>
        </is>
      </c>
      <c r="T58" t="inlineStr">
        <is>
          <t>12/31/9999</t>
        </is>
      </c>
    </row>
  </sheetData>
  <mergeCells count="2">
    <mergeCell ref="A1:T1"/>
    <mergeCell ref="A2:T2"/>
  </mergeCells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4" customWidth="1" min="3" max="3"/>
    <col width="22" customWidth="1" min="4" max="4"/>
    <col width="72" customWidth="1" min="5" max="5"/>
  </cols>
  <sheetData>
    <row r="1" ht="30" customHeight="1">
      <c r="A1" s="1" t="inlineStr">
        <is>
          <t>Metric Definitions and Model Logic</t>
        </is>
      </c>
    </row>
    <row r="2" ht="34" customHeight="1">
      <c r="A2" s="2" t="inlineStr">
        <is>
          <t>Source field meanings are based on the supplied FDIC definitions; derived formulas are explicit</t>
        </is>
      </c>
    </row>
    <row r="4">
      <c r="A4" s="12" t="inlineStr">
        <is>
          <t>Metric / field</t>
        </is>
      </c>
      <c r="B4" s="12" t="inlineStr">
        <is>
          <t>Definition / formula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Interpretation note</t>
        </is>
      </c>
    </row>
    <row r="5" ht="34" customHeight="1">
      <c r="A5" t="inlineStr">
        <is>
          <t>ASSET</t>
        </is>
      </c>
      <c r="B5" t="inlineStr">
        <is>
          <t>Total assets</t>
        </is>
      </c>
      <c r="C5" t="inlineStr">
        <is>
          <t>$000</t>
        </is>
      </c>
      <c r="D5" t="inlineStr">
        <is>
          <t>FDIC source field</t>
        </is>
      </c>
      <c r="E5" s="13" t="inlineStr">
        <is>
          <t>Sum of all assets, excluding off-balance-sheet accounts.</t>
        </is>
      </c>
    </row>
    <row r="6" ht="34" customHeight="1">
      <c r="A6" t="inlineStr">
        <is>
          <t>ROA</t>
        </is>
      </c>
      <c r="B6" t="inlineStr">
        <is>
          <t>Annualized net income / average assets</t>
        </is>
      </c>
      <c r="C6" t="inlineStr">
        <is>
          <t>%</t>
        </is>
      </c>
      <c r="D6" t="inlineStr">
        <is>
          <t>FDIC source field</t>
        </is>
      </c>
      <c r="E6" s="13" t="inlineStr">
        <is>
          <t>Return on assets after taxes and extraordinary items.</t>
        </is>
      </c>
    </row>
    <row r="7" ht="34" customHeight="1">
      <c r="A7" t="inlineStr">
        <is>
          <t>NAASSET</t>
        </is>
      </c>
      <c r="B7" t="inlineStr">
        <is>
          <t>Nonaccrual loans and leases</t>
        </is>
      </c>
      <c r="C7" t="inlineStr">
        <is>
          <t>$000</t>
        </is>
      </c>
      <c r="D7" t="inlineStr">
        <is>
          <t>FDIC source field</t>
        </is>
      </c>
      <c r="E7" s="13" t="inlineStr">
        <is>
          <t>Used as numerator for nonaccrual asset rate.</t>
        </is>
      </c>
    </row>
    <row r="8" ht="34" customHeight="1">
      <c r="A8" t="inlineStr">
        <is>
          <t>NPA rate</t>
        </is>
      </c>
      <c r="B8" t="inlineStr">
        <is>
          <t>NAASSET / ASSET × 100</t>
        </is>
      </c>
      <c r="C8" t="inlineStr">
        <is>
          <t>%</t>
        </is>
      </c>
      <c r="D8" t="inlineStr">
        <is>
          <t>Derived</t>
        </is>
      </c>
      <c r="E8" s="13" t="inlineStr">
        <is>
          <t>Called nonaccrual asset rate; not a broader NPA definition including OREO.</t>
        </is>
      </c>
    </row>
    <row r="9" ht="34" customHeight="1">
      <c r="A9" t="inlineStr">
        <is>
          <t>NCLNLSR</t>
        </is>
      </c>
      <c r="B9" t="inlineStr">
        <is>
          <t>Net charge-offs / gross loans and leases</t>
        </is>
      </c>
      <c r="C9" t="inlineStr">
        <is>
          <t>%</t>
        </is>
      </c>
      <c r="D9" t="inlineStr">
        <is>
          <t>FDIC source ratio</t>
        </is>
      </c>
      <c r="E9" s="13" t="inlineStr">
        <is>
          <t>Used directly and gross-loan weighted for portfolio totals.</t>
        </is>
      </c>
    </row>
    <row r="10" ht="34" customHeight="1">
      <c r="A10" t="inlineStr">
        <is>
          <t>RBCRWAJ</t>
        </is>
      </c>
      <c r="B10" t="inlineStr">
        <is>
          <t>Total risk-based capital ratio for PCA</t>
        </is>
      </c>
      <c r="C10" t="inlineStr">
        <is>
          <t>%</t>
        </is>
      </c>
      <c r="D10" t="inlineStr">
        <is>
          <t>FDIC source ratio</t>
        </is>
      </c>
      <c r="E10" s="13" t="inlineStr">
        <is>
          <t>Values of 0 treated as missing/not applicable.</t>
        </is>
      </c>
    </row>
    <row r="11" ht="34" customHeight="1">
      <c r="A11" t="inlineStr">
        <is>
          <t>EQV</t>
        </is>
      </c>
      <c r="B11" t="inlineStr">
        <is>
          <t>Equity capital / assets</t>
        </is>
      </c>
      <c r="C11" t="inlineStr">
        <is>
          <t>%</t>
        </is>
      </c>
      <c r="D11" t="inlineStr">
        <is>
          <t>FDIC source ratio</t>
        </is>
      </c>
      <c r="E11" s="13" t="inlineStr">
        <is>
          <t>Cross-check where RBC is unavailable.</t>
        </is>
      </c>
    </row>
    <row r="12" ht="34" customHeight="1">
      <c r="A12" t="inlineStr">
        <is>
          <t>NIMY</t>
        </is>
      </c>
      <c r="B12" t="inlineStr">
        <is>
          <t>Net interest margin</t>
        </is>
      </c>
      <c r="C12" t="inlineStr">
        <is>
          <t>%</t>
        </is>
      </c>
      <c r="D12" t="inlineStr">
        <is>
          <t>FDIC source ratio</t>
        </is>
      </c>
      <c r="E12" s="13" t="inlineStr">
        <is>
          <t>Annualized margin indicator.</t>
        </is>
      </c>
    </row>
    <row r="13" ht="34" customHeight="1">
      <c r="A13" t="inlineStr">
        <is>
          <t>L/D</t>
        </is>
      </c>
      <c r="B13" t="inlineStr">
        <is>
          <t>LNLSNET / DEP × 100</t>
        </is>
      </c>
      <c r="C13" t="inlineStr">
        <is>
          <t>%</t>
        </is>
      </c>
      <c r="D13" t="inlineStr">
        <is>
          <t>Derived</t>
        </is>
      </c>
      <c r="E13" s="13" t="inlineStr">
        <is>
          <t>On-balance-sheet loan-to-deposit proxy; not a full liquidity ratio.</t>
        </is>
      </c>
    </row>
    <row r="14" ht="34" customHeight="1">
      <c r="A14" t="inlineStr">
        <is>
          <t>Past due rate</t>
        </is>
      </c>
      <c r="B14" t="inlineStr">
        <is>
          <t>(P3ASSET + P9ASSET) / ASSET × 100</t>
        </is>
      </c>
      <c r="C14" t="inlineStr">
        <is>
          <t>%</t>
        </is>
      </c>
      <c r="D14" t="inlineStr">
        <is>
          <t>Derived</t>
        </is>
      </c>
      <c r="E14" s="13" t="inlineStr">
        <is>
          <t>30–89 and 90+ day past due amounts divided by assets.</t>
        </is>
      </c>
    </row>
    <row r="15" ht="34" customHeight="1">
      <c r="A15" t="inlineStr">
        <is>
          <t>RE share</t>
        </is>
      </c>
      <c r="B15" t="inlineStr">
        <is>
          <t>LNRE / LNLSGR × 100</t>
        </is>
      </c>
      <c r="C15" t="inlineStr">
        <is>
          <t>%</t>
        </is>
      </c>
      <c r="D15" t="inlineStr">
        <is>
          <t>Derived</t>
        </is>
      </c>
      <c r="E15" s="13" t="inlineStr">
        <is>
          <t>Broad real-estate loan share; does not isolate CRE or construction.</t>
        </is>
      </c>
    </row>
    <row r="16" ht="34" customHeight="1">
      <c r="A16" t="inlineStr">
        <is>
          <t>YoY growth</t>
        </is>
      </c>
      <c r="B16" t="inlineStr">
        <is>
          <t>Current / same quarter prior year − 1</t>
        </is>
      </c>
      <c r="C16" t="inlineStr">
        <is>
          <t>%</t>
        </is>
      </c>
      <c r="D16" t="inlineStr">
        <is>
          <t>Derived</t>
        </is>
      </c>
      <c r="E16" s="13" t="inlineStr">
        <is>
          <t>Shown for assets, net loans and deposits where four-quarter history exists.</t>
        </is>
      </c>
    </row>
    <row r="17" ht="34" customHeight="1">
      <c r="A17" t="inlineStr">
        <is>
          <t>Portfolio ROA</t>
        </is>
      </c>
      <c r="B17" t="inlineStr">
        <is>
          <t>Σ(ROA × assets) / Σassets</t>
        </is>
      </c>
      <c r="C17" t="inlineStr">
        <is>
          <t>%</t>
        </is>
      </c>
      <c r="D17" t="inlineStr">
        <is>
          <t>Derived</t>
        </is>
      </c>
      <c r="E17" s="13" t="inlineStr">
        <is>
          <t>Asset weighted.</t>
        </is>
      </c>
    </row>
    <row r="18" ht="34" customHeight="1">
      <c r="A18" t="inlineStr">
        <is>
          <t>Portfolio NPA</t>
        </is>
      </c>
      <c r="B18" t="inlineStr">
        <is>
          <t>ΣNAASSET / ΣASSET × 100</t>
        </is>
      </c>
      <c r="C18" t="inlineStr">
        <is>
          <t>%</t>
        </is>
      </c>
      <c r="D18" t="inlineStr">
        <is>
          <t>Derived</t>
        </is>
      </c>
      <c r="E18" s="13" t="inlineStr">
        <is>
          <t>Aggregate ratio.</t>
        </is>
      </c>
    </row>
    <row r="19" ht="34" customHeight="1">
      <c r="A19" t="inlineStr">
        <is>
          <t>Portfolio RBC</t>
        </is>
      </c>
      <c r="B19" t="inlineStr">
        <is>
          <t>Σ(RBC × assets) / Σassets among RBC reporters</t>
        </is>
      </c>
      <c r="C19" t="inlineStr">
        <is>
          <t>%</t>
        </is>
      </c>
      <c r="D19" t="inlineStr">
        <is>
          <t>Derived</t>
        </is>
      </c>
      <c r="E19" s="13" t="inlineStr">
        <is>
          <t>Coverage changes by quarter; not a risk-weighted-assets aggregation.</t>
        </is>
      </c>
    </row>
    <row r="20" ht="34" customHeight="1">
      <c r="A20" t="inlineStr">
        <is>
          <t>Composite score</t>
        </is>
      </c>
      <c r="B20" t="inlineStr">
        <is>
          <t>25% profit + 25% credit + 15% capital + 15% funding + 10% growth + 10% concentration</t>
        </is>
      </c>
      <c r="C20" t="inlineStr">
        <is>
          <t>0–100</t>
        </is>
      </c>
      <c r="D20" t="inlineStr">
        <is>
          <t>Derived</t>
        </is>
      </c>
      <c r="E20" s="13" t="inlineStr">
        <is>
          <t>Cross-sectional percentile screen; higher indicates more follow-up need, not failure probability.</t>
        </is>
      </c>
    </row>
  </sheetData>
  <mergeCells count="2">
    <mergeCell ref="A2:E2"/>
    <mergeCell ref="A1:E1"/>
  </mergeCells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9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Sources, Assumptions and Limitations</t>
        </is>
      </c>
    </row>
    <row r="2" ht="34" customHeight="1">
      <c r="A2" s="2" t="inlineStr">
        <is>
          <t>Read before decision use</t>
        </is>
      </c>
    </row>
    <row r="4">
      <c r="A4" s="12" t="inlineStr">
        <is>
          <t>Category</t>
        </is>
      </c>
      <c r="B4" s="12" t="inlineStr">
        <is>
          <t>Source</t>
        </is>
      </c>
      <c r="C4" s="12" t="inlineStr">
        <is>
          <t>Use / caveat</t>
        </is>
      </c>
      <c r="D4" s="12" t="n"/>
      <c r="E4" s="12" t="n"/>
      <c r="F4" s="12" t="n"/>
      <c r="G4" s="12" t="n"/>
      <c r="H4" s="12" t="n"/>
    </row>
    <row r="5" ht="45" customHeight="1">
      <c r="A5" t="inlineStr">
        <is>
          <t>Financial data</t>
        </is>
      </c>
      <c r="B5" t="inlineStr">
        <is>
          <t>fdic_financials_VT_NH_ME_2022_2025.csv</t>
        </is>
      </c>
      <c r="C5" s="13" t="inlineStr">
        <is>
          <t>746 institution-quarter observations; 54 certificates; 14 quarter-ends; no duplicate CERT/date keys or missing supplied fields.</t>
        </is>
      </c>
    </row>
    <row r="6" ht="45" customHeight="1">
      <c r="A6" t="inlineStr">
        <is>
          <t>Institution data</t>
        </is>
      </c>
      <c r="B6" t="inlineStr">
        <is>
          <t>fdic_institutions_VT_NH_ME.csv</t>
        </is>
      </c>
      <c r="C6" s="13" t="inlineStr">
        <is>
          <t>Identity and structural metadata snapshot with dates beyond 2025-06-30; not treated as information available at period-end.</t>
        </is>
      </c>
    </row>
    <row r="7" ht="45" customHeight="1">
      <c r="A7" t="inlineStr">
        <is>
          <t>Definitions</t>
        </is>
      </c>
      <c r="B7" t="inlineStr">
        <is>
          <t>financial_definitions.yaml; institution_definitions.yaml</t>
        </is>
      </c>
      <c r="C7" s="13" t="inlineStr">
        <is>
          <t>Field definitions and identifier meanings.</t>
        </is>
      </c>
    </row>
    <row r="8" ht="45" customHeight="1">
      <c r="A8" t="inlineStr">
        <is>
          <t>API documentation</t>
        </is>
      </c>
      <c r="B8" t="inlineStr">
        <is>
          <t>fdic_api_documentation.html</t>
        </is>
      </c>
      <c r="C8" s="13" t="inlineStr">
        <is>
          <t>Supplied BankFind Suite API documentation snapshot; analysis uses supplied CSV, not live API data.</t>
        </is>
      </c>
    </row>
    <row r="9" ht="45" customHeight="1">
      <c r="A9" t="inlineStr">
        <is>
          <t>Regulatory framing</t>
        </is>
      </c>
      <c r="B9" t="inlineStr">
        <is>
          <t>FDIC RMS Manual §3.2 Loans (supplied March 2026 edition)</t>
        </is>
      </c>
      <c r="C9" s="13" t="inlineStr">
        <is>
          <t>Supports risk-focused review by business model, concentrations, rapid growth, loan review, grading and problem-loan trends; post-period edition used as a review framework, not contemporaneous evidence.</t>
        </is>
      </c>
    </row>
    <row r="10" ht="45" customHeight="1">
      <c r="A10" t="inlineStr">
        <is>
          <t>Regulatory framing</t>
        </is>
      </c>
      <c r="B10" t="inlineStr">
        <is>
          <t>OCC Comptroller’s Handbook: Rating Credit Risk (supplied file)</t>
        </is>
      </c>
      <c r="C10" s="13" t="inlineStr">
        <is>
          <t>Supports evaluation of rating systems, controls, repayment capacity and credit-risk mitigation; not used to assign supervisory ratings.</t>
        </is>
      </c>
    </row>
    <row r="12">
      <c r="A12" s="10" t="inlineStr">
        <is>
          <t>Limitations</t>
        </is>
      </c>
    </row>
    <row r="13" ht="34" customHeight="1">
      <c r="A13" s="13" t="inlineStr">
        <is>
          <t>• This is a hypothetical, retrospective review of a provided public-data snapshot, not a real-time backtest of what was known on each historical date.</t>
        </is>
      </c>
    </row>
    <row r="14" ht="34" customHeight="1">
      <c r="A14" s="13" t="inlineStr">
        <is>
          <t>• Sample is headquarters-based in Maine, New Hampshire and Vermont; findings must not be generalized to the United States banking industry.</t>
        </is>
      </c>
    </row>
    <row r="15" ht="34" customHeight="1">
      <c r="A15" s="13" t="inlineStr">
        <is>
          <t>• Quarterly public ratios can be affected by annualization, seasonality, mergers, accounting elections, denominator changes and one-time items.</t>
        </is>
      </c>
    </row>
    <row r="16" ht="34" customHeight="1">
      <c r="A16" s="13" t="inlineStr">
        <is>
          <t>• No borrower-level files, risk grades, criticized/classified balances, ACL vintage analysis, CRE subsegments, collateral values, deposit concentrations, borrowing capacity, securities duration or stress tests were supplied.</t>
        </is>
      </c>
    </row>
    <row r="17" ht="34" customHeight="1">
      <c r="A17" s="13" t="inlineStr">
        <is>
          <t>• Correlation and timing support hypotheses, not causation. Management records and loan/deposit tapes are required to test explanations.</t>
        </is>
      </c>
    </row>
    <row r="18" ht="34" customHeight="1">
      <c r="A18" s="13" t="inlineStr">
        <is>
          <t>• Institution entry/exit and asset-weight changes alter portfolio aggregates. The attribution tab provides a mechanical bridge, not a causal decomposition.</t>
        </is>
      </c>
    </row>
    <row r="19" ht="34" customHeight="1">
      <c r="A19" s="13" t="inlineStr">
        <is>
          <t>• RBC zeros are excluded as missing/not applicable. Portfolio RBC coverage is therefore incomplete and changes through time.</t>
        </is>
      </c>
    </row>
    <row r="20" ht="34" customHeight="1">
      <c r="A20" s="13" t="inlineStr">
        <is>
          <t>• The priority score is sample-relative and sensitive to chosen weights; it is a triage tool, not a probability of default or regulatory rating.</t>
        </is>
      </c>
    </row>
  </sheetData>
  <mergeCells count="10">
    <mergeCell ref="A18:H18"/>
    <mergeCell ref="A15:H15"/>
    <mergeCell ref="A20:H20"/>
    <mergeCell ref="A2:H2"/>
    <mergeCell ref="A16:H16"/>
    <mergeCell ref="A13:H13"/>
    <mergeCell ref="A14:H14"/>
    <mergeCell ref="A19:H19"/>
    <mergeCell ref="A1:H1"/>
    <mergeCell ref="A17:H17"/>
  </mergeCells>
  <pageMargins left="0.25" right="0.25" top="1" bottom="1" header="0.5" footer="0.5"/>
  <pageSetup fitToHeight="0" fitToWidth="1"/>
  <headerFooter>
    <oddHeader/>
    <oddFooter>&amp;CInternal management use | Hypothetical retrospective analysis&amp;RPage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Internal Management Analysis</dc:creator>
  <dc:title xmlns:dc="http://purl.org/dc/elements/1.1/">Regional Bank Risk Model</dc:title>
  <dc:subject xmlns:dc="http://purl.org/dc/elements/1.1/">VT NH ME bank portfolio risk screening through 2025-06-30</dc:subject>
  <dcterms:created xmlns:dcterms="http://purl.org/dc/terms/" xmlns:xsi="http://www.w3.org/2001/XMLSchema-instance" xsi:type="dcterms:W3CDTF">2026-10-22T08:11:16Z</dcterms:created>
  <dcterms:modified xmlns:dcterms="http://purl.org/dc/terms/" xmlns:xsi="http://www.w3.org/2001/XMLSchema-instance" xsi:type="dcterms:W3CDTF">2026-10-22T08:11:16Z</dcterms:modified>
</cp:coreProperties>
</file>