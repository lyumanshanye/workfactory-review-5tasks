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11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trolPanel" sheetId="1" state="visible" r:id="rId2"/>
    <sheet name="DataAudit" sheetId="2" state="visible" r:id="rId3"/>
    <sheet name="Sources" sheetId="3" state="visible" r:id="rId4"/>
    <sheet name="Periods" sheetId="4" state="visible" r:id="rId5"/>
    <sheet name="OriginalFinancials" sheetId="5" state="hidden" r:id="rId6"/>
    <sheet name="RawFinancials" sheetId="6" state="visible" r:id="rId7"/>
    <sheet name="BankQuarter" sheetId="7" state="visible" r:id="rId8"/>
    <sheet name="BankCalc" sheetId="8" state="visible" r:id="rId9"/>
    <sheet name="EndpointBridge" sheetId="9" state="visible" r:id="rId10"/>
    <sheet name="PeerQuarter" sheetId="10" state="visible" r:id="rId11"/>
    <sheet name="Priority" sheetId="11" state="visible" r:id="rId12"/>
  </sheets>
  <definedNames>
    <definedName function="false" hidden="true" localSheetId="7" name="_xlnm._FilterDatabase" vbProcedure="false">BankCalc!$A$1:$Z$55</definedName>
    <definedName function="false" hidden="true" localSheetId="6" name="_xlnm._FilterDatabase" vbProcedure="false">BankQuarter!$A$1:$AF$747</definedName>
    <definedName function="false" hidden="true" localSheetId="0" name="_xlnm._FilterDatabase" vbProcedure="false">ControlPanel!$A$1:$C$11</definedName>
    <definedName function="false" hidden="true" localSheetId="1" name="_xlnm._FilterDatabase" vbProcedure="false">DataAudit!$A$1:$C$71</definedName>
    <definedName function="false" hidden="true" localSheetId="8" name="_xlnm._FilterDatabase" vbProcedure="false">EndpointBridge!$A$1:$Q$5</definedName>
    <definedName function="false" hidden="true" localSheetId="4" name="_xlnm._FilterDatabase" vbProcedure="false">OriginalFinancials!$A$1:$Z$747</definedName>
    <definedName function="false" hidden="true" localSheetId="9" name="_xlnm._FilterDatabase" vbProcedure="false">PeerQuarter!$A$1:$F$57</definedName>
    <definedName function="false" hidden="true" localSheetId="3" name="_xlnm._FilterDatabase" vbProcedure="false">Periods!$A$1:$A$15</definedName>
    <definedName function="false" hidden="true" localSheetId="10" name="_xlnm._FilterDatabase" vbProcedure="false">Priority!$A$1:$S$13</definedName>
    <definedName function="false" hidden="true" localSheetId="5" name="_xlnm._FilterDatabase" vbProcedure="false">RawFinancials!$A$1:$AE$747</definedName>
    <definedName function="false" hidden="true" localSheetId="2" name="_xlnm._FilterDatabase" vbProcedure="false">Sources!$A$1:$D$6</definedName>
    <definedName function="false" hidden="false" name="WF_COMMON_N_ALL" vbProcedure="false">EndpointBridge!$D$2</definedName>
    <definedName function="false" hidden="false" name="WF_COMMON_N_ME" vbProcedure="false">EndpointBridge!$D$3</definedName>
    <definedName function="false" hidden="false" name="WF_COMMON_N_NH" vbProcedure="false">EndpointBridge!$D$4</definedName>
    <definedName function="false" hidden="false" name="WF_COMMON_N_VT" vbProcedure="false">EndpointBridge!$D$5</definedName>
    <definedName function="false" hidden="false" name="WF_END_PERIOD" vbProcedure="false">ControlPanel!$B$3</definedName>
    <definedName function="false" hidden="false" name="WF_ENTERING_ASSETS_ALL" vbProcedure="false">EndpointBridge!$N$2</definedName>
    <definedName function="false" hidden="false" name="WF_ENTERING_ASSETS_ME" vbProcedure="false">EndpointBridge!$N$3</definedName>
    <definedName function="false" hidden="false" name="WF_ENTERING_ASSETS_NH" vbProcedure="false">EndpointBridge!$N$4</definedName>
    <definedName function="false" hidden="false" name="WF_ENTERING_ASSETS_VT" vbProcedure="false">EndpointBridge!$N$5</definedName>
    <definedName function="false" hidden="false" name="WF_ENTERING_N_ALL" vbProcedure="false">EndpointBridge!$L$2</definedName>
    <definedName function="false" hidden="false" name="WF_ENTERING_N_ME" vbProcedure="false">EndpointBridge!$L$3</definedName>
    <definedName function="false" hidden="false" name="WF_ENTERING_N_NH" vbProcedure="false">EndpointBridge!$L$4</definedName>
    <definedName function="false" hidden="false" name="WF_ENTERING_N_VT" vbProcedure="false">EndpointBridge!$L$5</definedName>
    <definedName function="false" hidden="false" name="WF_EXITING_ASSETS_ALL" vbProcedure="false">EndpointBridge!$O$2</definedName>
    <definedName function="false" hidden="false" name="WF_EXITING_ASSETS_ME" vbProcedure="false">EndpointBridge!$O$3</definedName>
    <definedName function="false" hidden="false" name="WF_EXITING_ASSETS_NH" vbProcedure="false">EndpointBridge!$O$4</definedName>
    <definedName function="false" hidden="false" name="WF_EXITING_ASSETS_VT" vbProcedure="false">EndpointBridge!$O$5</definedName>
    <definedName function="false" hidden="false" name="WF_EXITING_N_ALL" vbProcedure="false">EndpointBridge!$M$2</definedName>
    <definedName function="false" hidden="false" name="WF_EXITING_N_ME" vbProcedure="false">EndpointBridge!$M$3</definedName>
    <definedName function="false" hidden="false" name="WF_EXITING_N_NH" vbProcedure="false">EndpointBridge!$M$4</definedName>
    <definedName function="false" hidden="false" name="WF_EXITING_N_VT" vbProcedure="false">EndpointBridge!$M$5</definedName>
    <definedName function="false" hidden="false" name="WF_FIXED_CHANGE_ALL" vbProcedure="false">EndpointBridge!$J$2</definedName>
    <definedName function="false" hidden="false" name="WF_FIXED_CHANGE_ME" vbProcedure="false">EndpointBridge!$J$3</definedName>
    <definedName function="false" hidden="false" name="WF_FIXED_CHANGE_NH" vbProcedure="false">EndpointBridge!$J$4</definedName>
    <definedName function="false" hidden="false" name="WF_FIXED_CHANGE_VT" vbProcedure="false">EndpointBridge!$J$5</definedName>
    <definedName function="false" hidden="false" name="WF_FIXED_END_ALL" vbProcedure="false">EndpointBridge!$I$2</definedName>
    <definedName function="false" hidden="false" name="WF_FIXED_END_ME" vbProcedure="false">EndpointBridge!$I$3</definedName>
    <definedName function="false" hidden="false" name="WF_FIXED_END_NH" vbProcedure="false">EndpointBridge!$I$4</definedName>
    <definedName function="false" hidden="false" name="WF_FIXED_END_VT" vbProcedure="false">EndpointBridge!$I$5</definedName>
    <definedName function="false" hidden="false" name="WF_FIXED_START_ALL" vbProcedure="false">EndpointBridge!$H$2</definedName>
    <definedName function="false" hidden="false" name="WF_FIXED_START_ME" vbProcedure="false">EndpointBridge!$H$3</definedName>
    <definedName function="false" hidden="false" name="WF_FIXED_START_NH" vbProcedure="false">EndpointBridge!$H$4</definedName>
    <definedName function="false" hidden="false" name="WF_FIXED_START_VT" vbProcedure="false">EndpointBridge!$H$5</definedName>
    <definedName function="false" hidden="false" name="WF_MODEL_VALID" vbProcedure="false">ControlPanel!$B$5</definedName>
    <definedName function="false" hidden="false" name="WF_OBS_CHANGE_ALL" vbProcedure="false">EndpointBridge!$G$2</definedName>
    <definedName function="false" hidden="false" name="WF_OBS_CHANGE_ME" vbProcedure="false">EndpointBridge!$G$3</definedName>
    <definedName function="false" hidden="false" name="WF_OBS_CHANGE_NH" vbProcedure="false">EndpointBridge!$G$4</definedName>
    <definedName function="false" hidden="false" name="WF_OBS_CHANGE_VT" vbProcedure="false">EndpointBridge!$G$5</definedName>
    <definedName function="false" hidden="false" name="WF_OBS_END_ALL" vbProcedure="false">EndpointBridge!$F$2</definedName>
    <definedName function="false" hidden="false" name="WF_OBS_END_ME" vbProcedure="false">EndpointBridge!$F$3</definedName>
    <definedName function="false" hidden="false" name="WF_OBS_END_NH" vbProcedure="false">EndpointBridge!$F$4</definedName>
    <definedName function="false" hidden="false" name="WF_OBS_END_VT" vbProcedure="false">EndpointBridge!$F$5</definedName>
    <definedName function="false" hidden="false" name="WF_OBS_START_ALL" vbProcedure="false">EndpointBridge!$E$2</definedName>
    <definedName function="false" hidden="false" name="WF_OBS_START_ME" vbProcedure="false">EndpointBridge!$E$3</definedName>
    <definedName function="false" hidden="false" name="WF_OBS_START_NH" vbProcedure="false">EndpointBridge!$E$4</definedName>
    <definedName function="false" hidden="false" name="WF_OBS_START_VT" vbProcedure="false">EndpointBridge!$E$5</definedName>
    <definedName function="false" hidden="false" name="WF_PRIORITY_1" vbProcedure="false">Priority!$B$2</definedName>
    <definedName function="false" hidden="false" name="WF_PRIORITY_10" vbProcedure="false">Priority!$B$11</definedName>
    <definedName function="false" hidden="false" name="WF_PRIORITY_11" vbProcedure="false">Priority!$B$12</definedName>
    <definedName function="false" hidden="false" name="WF_PRIORITY_12" vbProcedure="false">Priority!$B$13</definedName>
    <definedName function="false" hidden="false" name="WF_PRIORITY_2" vbProcedure="false">Priority!$B$3</definedName>
    <definedName function="false" hidden="false" name="WF_PRIORITY_3" vbProcedure="false">Priority!$B$4</definedName>
    <definedName function="false" hidden="false" name="WF_PRIORITY_4" vbProcedure="false">Priority!$B$5</definedName>
    <definedName function="false" hidden="false" name="WF_PRIORITY_5" vbProcedure="false">Priority!$B$6</definedName>
    <definedName function="false" hidden="false" name="WF_PRIORITY_6" vbProcedure="false">Priority!$B$7</definedName>
    <definedName function="false" hidden="false" name="WF_PRIORITY_7" vbProcedure="false">Priority!$B$8</definedName>
    <definedName function="false" hidden="false" name="WF_PRIORITY_8" vbProcedure="false">Priority!$B$9</definedName>
    <definedName function="false" hidden="false" name="WF_PRIORITY_9" vbProcedure="false">Priority!$B$10</definedName>
    <definedName function="false" hidden="false" name="WF_PRIORITY_COUNT" vbProcedure="false">ControlPanel!$B$8</definedName>
    <definedName function="false" hidden="false" name="WF_RAW_UNCHANGED" vbProcedure="false">ControlPanel!$B$6</definedName>
    <definedName function="false" hidden="false" name="WF_RESIDUAL_ALL" vbProcedure="false">EndpointBridge!$K$2</definedName>
    <definedName function="false" hidden="false" name="WF_RESIDUAL_ME" vbProcedure="false">EndpointBridge!$K$3</definedName>
    <definedName function="false" hidden="false" name="WF_RESIDUAL_NH" vbProcedure="false">EndpointBridge!$K$4</definedName>
    <definedName function="false" hidden="false" name="WF_RESIDUAL_VT" vbProcedure="false">EndpointBridge!$K$5</definedName>
    <definedName function="false" hidden="false" name="WF_REVIEW_SLOTS" vbProcedure="false">ControlPanel!$B$4</definedName>
    <definedName function="false" hidden="false" name="WF_SNAPSHOT_CURRENT" vbProcedure="false">ControlPanel!$B$7</definedName>
    <definedName function="false" hidden="false" name="WF_START_PERIOD" vbProcedure="false">ControlPanel!$B$2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<sst xmlns="http://schemas.openxmlformats.org/spreadsheetml/2006/main" count="4874" uniqueCount="970">
  <si>
    <t xml:space="preserve">季度复核工作模型</t>
  </si>
  <si>
    <r>
      <rPr>
        <b val="true"/>
        <sz val="11"/>
        <color rgb="FFFFFFFF"/>
        <rFont val="Noto Sans SC"/>
        <family val="2"/>
      </rPr>
      <t xml:space="preserve">当前输入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SC"/>
        <family val="2"/>
      </rPr>
      <t xml:space="preserve">状态</t>
    </r>
  </si>
  <si>
    <t xml:space="preserve">含义</t>
  </si>
  <si>
    <t xml:space="preserve">起点季度</t>
  </si>
  <si>
    <r>
      <rPr>
        <sz val="11"/>
        <color rgb="FF000000"/>
        <rFont val="Calibri"/>
        <family val="2"/>
        <charset val="1"/>
      </rPr>
      <t xml:space="preserve">WF_START_PERIOD</t>
    </r>
    <r>
      <rPr>
        <sz val="11"/>
        <color rgb="FF000000"/>
        <rFont val="Noto Sans SC"/>
        <family val="2"/>
      </rPr>
      <t xml:space="preserve">；原始</t>
    </r>
    <r>
      <rPr>
        <sz val="11"/>
        <color rgb="FF000000"/>
        <rFont val="Calibri"/>
        <family val="2"/>
        <charset val="1"/>
      </rPr>
      <t xml:space="preserve">CSV</t>
    </r>
    <r>
      <rPr>
        <sz val="11"/>
        <color rgb="FF000000"/>
        <rFont val="Noto Sans SC"/>
        <family val="2"/>
      </rPr>
      <t xml:space="preserve">已有季度整数</t>
    </r>
  </si>
  <si>
    <t xml:space="preserve">终点季度</t>
  </si>
  <si>
    <r>
      <rPr>
        <sz val="11"/>
        <color rgb="FF000000"/>
        <rFont val="Calibri"/>
        <family val="2"/>
        <charset val="1"/>
      </rPr>
      <t xml:space="preserve">WF_END_PERIOD</t>
    </r>
    <r>
      <rPr>
        <sz val="11"/>
        <color rgb="FF000000"/>
        <rFont val="Noto Sans SC"/>
        <family val="2"/>
      </rPr>
      <t xml:space="preserve">；须晚于起点</t>
    </r>
  </si>
  <si>
    <t xml:space="preserve">核查容量</t>
  </si>
  <si>
    <r>
      <rPr>
        <sz val="11"/>
        <color rgb="FF000000"/>
        <rFont val="Calibri"/>
        <family val="2"/>
        <charset val="1"/>
      </rPr>
      <t xml:space="preserve">WF_REVIEW_SLOTS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3–12</t>
    </r>
    <r>
      <rPr>
        <sz val="11"/>
        <color rgb="FF000000"/>
        <rFont val="Noto Sans SC"/>
        <family val="2"/>
      </rPr>
      <t xml:space="preserve">整数</t>
    </r>
  </si>
  <si>
    <t xml:space="preserve">模型有效</t>
  </si>
  <si>
    <r>
      <rPr>
        <sz val="11"/>
        <color rgb="FF000000"/>
        <rFont val="Calibri"/>
        <family val="2"/>
        <charset val="1"/>
      </rPr>
      <t xml:space="preserve">FALSE</t>
    </r>
    <r>
      <rPr>
        <sz val="11"/>
        <color rgb="FF000000"/>
        <rFont val="Noto Sans SC"/>
        <family val="2"/>
      </rPr>
      <t xml:space="preserve">时没有可执行名单；请修正季度或容量</t>
    </r>
  </si>
  <si>
    <t xml:space="preserve">原始金额未修订</t>
  </si>
  <si>
    <r>
      <rPr>
        <sz val="11"/>
        <color rgb="FF000000"/>
        <rFont val="Noto Sans SC"/>
        <family val="2"/>
      </rPr>
      <t xml:space="preserve">逐行检查三项金额；空值与数值</t>
    </r>
    <r>
      <rPr>
        <sz val="11"/>
        <color rgb="FF000000"/>
        <rFont val="Calibri"/>
        <family val="2"/>
        <charset val="1"/>
      </rPr>
      <t xml:space="preserve">0</t>
    </r>
    <r>
      <rPr>
        <sz val="11"/>
        <color rgb="FF000000"/>
        <rFont val="Noto Sans SC"/>
        <family val="2"/>
      </rPr>
      <t xml:space="preserve">不同</t>
    </r>
  </si>
  <si>
    <t xml:space="preserve">静态快照仍适用</t>
  </si>
  <si>
    <r>
      <rPr>
        <sz val="11"/>
        <color rgb="FF000000"/>
        <rFont val="Calibri"/>
        <family val="2"/>
        <charset val="1"/>
      </rPr>
      <t xml:space="preserve">Word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CSV</t>
    </r>
    <r>
      <rPr>
        <sz val="11"/>
        <color rgb="FF000000"/>
        <rFont val="Noto Sans SC"/>
        <family val="2"/>
      </rPr>
      <t xml:space="preserve">为默认输入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SC"/>
        <family val="2"/>
      </rPr>
      <t xml:space="preserve">原始金额快照，</t>
    </r>
    <r>
      <rPr>
        <sz val="11"/>
        <color rgb="FF000000"/>
        <rFont val="Calibri"/>
        <family val="2"/>
        <charset val="1"/>
      </rPr>
      <t xml:space="preserve">FALSE</t>
    </r>
    <r>
      <rPr>
        <sz val="11"/>
        <color rgb="FF000000"/>
        <rFont val="Noto Sans SC"/>
        <family val="2"/>
      </rPr>
      <t xml:space="preserve">时必须重新导出</t>
    </r>
  </si>
  <si>
    <t xml:space="preserve">实际核查数</t>
  </si>
  <si>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SC"/>
        <family val="2"/>
      </rPr>
      <t xml:space="preserve">行读取接口，当前容量以外为空</t>
    </r>
  </si>
  <si>
    <r>
      <rPr>
        <sz val="11"/>
        <color rgb="FF000000"/>
        <rFont val="Noto Sans SC"/>
        <family val="2"/>
      </rPr>
      <t xml:space="preserve">需核实的资本比率</t>
    </r>
    <r>
      <rPr>
        <sz val="11"/>
        <color rgb="FF000000"/>
        <rFont val="Calibri"/>
        <family val="2"/>
        <charset val="1"/>
      </rPr>
      <t xml:space="preserve">0</t>
    </r>
  </si>
  <si>
    <t xml:space="preserve">原样保留并逐行标记</t>
  </si>
  <si>
    <r>
      <rPr>
        <sz val="11"/>
        <color rgb="FF000000"/>
        <rFont val="Calibri"/>
        <family val="2"/>
        <charset val="1"/>
      </rPr>
      <t xml:space="preserve">0</t>
    </r>
    <r>
      <rPr>
        <sz val="11"/>
        <color rgb="FF000000"/>
        <rFont val="Noto Sans SC"/>
        <family val="2"/>
      </rPr>
      <t xml:space="preserve">不能单独支持“资本为零”，也不擅自转缺失</t>
    </r>
  </si>
  <si>
    <t xml:space="preserve">可编辑副本</t>
  </si>
  <si>
    <r>
      <rPr>
        <sz val="11"/>
        <color rgb="FF000000"/>
        <rFont val="Calibri"/>
        <family val="2"/>
        <charset val="1"/>
      </rPr>
      <t xml:space="preserve">RawFinancials</t>
    </r>
    <r>
      <rPr>
        <sz val="11"/>
        <color rgb="FF000000"/>
        <rFont val="Noto Sans SC"/>
        <family val="2"/>
      </rPr>
      <t xml:space="preserve">仅三项金额可修订</t>
    </r>
  </si>
  <si>
    <r>
      <rPr>
        <sz val="11"/>
        <color rgb="FF000000"/>
        <rFont val="Calibri"/>
        <family val="2"/>
        <charset val="1"/>
      </rPr>
      <t xml:space="preserve">ASSET</t>
    </r>
    <r>
      <rPr>
        <sz val="11"/>
        <color rgb="FF000000"/>
        <rFont val="Noto Sans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P9ASSET</t>
    </r>
    <r>
      <rPr>
        <sz val="11"/>
        <color rgb="FF000000"/>
        <rFont val="Noto Sans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NAASSET</t>
    </r>
    <r>
      <rPr>
        <sz val="11"/>
        <color rgb="FF000000"/>
        <rFont val="Noto Sans SC"/>
        <family val="2"/>
      </rPr>
      <t xml:space="preserve">；原始</t>
    </r>
    <r>
      <rPr>
        <sz val="11"/>
        <color rgb="FF000000"/>
        <rFont val="Calibri"/>
        <family val="2"/>
        <charset val="1"/>
      </rPr>
      <t xml:space="preserve">CSV</t>
    </r>
    <r>
      <rPr>
        <sz val="11"/>
        <color rgb="FF000000"/>
        <rFont val="Noto Sans SC"/>
        <family val="2"/>
      </rPr>
      <t xml:space="preserve">始终只读</t>
    </r>
  </si>
  <si>
    <t xml:space="preserve">使用提示</t>
  </si>
  <si>
    <t xml:space="preserve">派生比率是复核代理，不是监管评级</t>
  </si>
  <si>
    <t xml:space="preserve">check</t>
  </si>
  <si>
    <t xml:space="preserve">CERT</t>
  </si>
  <si>
    <t xml:space="preserve">value</t>
  </si>
  <si>
    <t xml:space="preserve">financial_rows</t>
  </si>
  <si>
    <t xml:space="preserve">unique_banks</t>
  </si>
  <si>
    <t xml:space="preserve">quarters</t>
  </si>
  <si>
    <t xml:space="preserve">duplicate_bank_quarters</t>
  </si>
  <si>
    <t xml:space="preserve">institution_rows</t>
  </si>
  <si>
    <t xml:space="preserve">duplicate_institution_CERT</t>
  </si>
  <si>
    <t xml:space="preserve">unmatched_financial_rows</t>
  </si>
  <si>
    <t xml:space="preserve">ambiguous_financial_rows</t>
  </si>
  <si>
    <t xml:space="preserve">zero_or_missing_assets</t>
  </si>
  <si>
    <t xml:space="preserve">missing_proxy</t>
  </si>
  <si>
    <t xml:space="preserve">missing_quarters</t>
  </si>
  <si>
    <t xml:space="preserve">none</t>
  </si>
  <si>
    <t xml:space="preserve">20250331,20250630</t>
  </si>
  <si>
    <t xml:space="preserve">20220331</t>
  </si>
  <si>
    <t xml:space="preserve">20220331,20220630,20220930</t>
  </si>
  <si>
    <t xml:space="preserve">20220331,20220630</t>
  </si>
  <si>
    <t xml:space="preserve">institution_snapshot_RUNDATE</t>
  </si>
  <si>
    <t xml:space="preserve">10/09/2026</t>
  </si>
  <si>
    <t xml:space="preserve">institution_snapshot_RISDATE</t>
  </si>
  <si>
    <t xml:space="preserve">06/30/2026</t>
  </si>
  <si>
    <t xml:space="preserve">current_invalid_proxy_rows</t>
  </si>
  <si>
    <t xml:space="preserve">current_revised_amount_rows</t>
  </si>
  <si>
    <t xml:space="preserve">invalid_rows_locator</t>
  </si>
  <si>
    <r>
      <rPr>
        <sz val="11"/>
        <color rgb="FF000000"/>
        <rFont val="Calibri"/>
        <family val="2"/>
        <charset val="1"/>
      </rPr>
      <t xml:space="preserve">RawFinancials: proxy_valid=0</t>
    </r>
    <r>
      <rPr>
        <sz val="11"/>
        <color rgb="FF000000"/>
        <rFont val="Noto Sans SC"/>
        <family val="2"/>
      </rPr>
      <t xml:space="preserve">，原始行号在</t>
    </r>
    <r>
      <rPr>
        <sz val="11"/>
        <color rgb="FF000000"/>
        <rFont val="Calibri"/>
        <family val="2"/>
        <charset val="1"/>
      </rPr>
      <t xml:space="preserve">source_row</t>
    </r>
    <r>
      <rPr>
        <sz val="11"/>
        <color rgb="FF000000"/>
        <rFont val="Noto Sans SC"/>
        <family val="2"/>
      </rPr>
      <t xml:space="preserve">；不补零</t>
    </r>
  </si>
  <si>
    <t xml:space="preserve">capital_ratio_raw_zero</t>
  </si>
  <si>
    <r>
      <rPr>
        <sz val="11"/>
        <color rgb="FF000000"/>
        <rFont val="Calibri"/>
        <family val="2"/>
        <charset val="1"/>
      </rPr>
      <t xml:space="preserve">BankQuarter capital_zero_note</t>
    </r>
    <r>
      <rPr>
        <sz val="11"/>
        <color rgb="FF000000"/>
        <rFont val="Noto Sans SC"/>
        <family val="2"/>
      </rPr>
      <t xml:space="preserve">逐行标记；需核实适用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报告口径，保留原</t>
    </r>
    <r>
      <rPr>
        <sz val="11"/>
        <color rgb="FF000000"/>
        <rFont val="Calibri"/>
        <family val="2"/>
        <charset val="1"/>
      </rPr>
      <t xml:space="preserve">0</t>
    </r>
  </si>
  <si>
    <t xml:space="preserve">source</t>
  </si>
  <si>
    <t xml:space="preserve">locator</t>
  </si>
  <si>
    <t xml:space="preserve">reference</t>
  </si>
  <si>
    <t xml:space="preserve">use</t>
  </si>
  <si>
    <t xml:space="preserve">fdic_api_documentation.html</t>
  </si>
  <si>
    <t xml:space="preserve">Financial API Definitions (YAML format)</t>
  </si>
  <si>
    <t xml:space="preserve">https://api.fdic.gov/banks/docs/risview_properties.yaml</t>
  </si>
  <si>
    <t xml:space="preserve">网页实际引用；下游材料用于本题同一业务决定。</t>
  </si>
  <si>
    <t xml:space="preserve">financial_definitions.yaml</t>
  </si>
  <si>
    <t xml:space="preserve">ASSET, NAASSET, P9ASSET, ROA, RBCRWAJ</t>
  </si>
  <si>
    <t xml:space="preserve">FDIC API Financial definitions</t>
  </si>
  <si>
    <r>
      <rPr>
        <sz val="11"/>
        <color rgb="FF000000"/>
        <rFont val="Calibri"/>
        <family val="2"/>
        <charset val="1"/>
      </rPr>
      <t xml:space="preserve">ROA</t>
    </r>
    <r>
      <rPr>
        <sz val="11"/>
        <color rgb="FF000000"/>
        <rFont val="Noto Sans SC"/>
        <family val="2"/>
      </rPr>
      <t xml:space="preserve">为已年化百分数；</t>
    </r>
    <r>
      <rPr>
        <sz val="11"/>
        <color rgb="FF000000"/>
        <rFont val="Calibri"/>
        <family val="2"/>
        <charset val="1"/>
      </rPr>
      <t xml:space="preserve">P9ASSET</t>
    </r>
    <r>
      <rPr>
        <sz val="11"/>
        <color rgb="FF000000"/>
        <rFont val="Noto Sans SC"/>
        <family val="2"/>
      </rPr>
      <t xml:space="preserve">与</t>
    </r>
    <r>
      <rPr>
        <sz val="11"/>
        <color rgb="FF000000"/>
        <rFont val="Calibri"/>
        <family val="2"/>
        <charset val="1"/>
      </rPr>
      <t xml:space="preserve">NAASSET</t>
    </r>
    <r>
      <rPr>
        <sz val="11"/>
        <color rgb="FF000000"/>
        <rFont val="Noto Sans SC"/>
        <family val="2"/>
      </rPr>
      <t xml:space="preserve">为资产口径代理，非监管评级。</t>
    </r>
  </si>
  <si>
    <t xml:space="preserve">institution_definitions.yaml</t>
  </si>
  <si>
    <t xml:space="preserve">CERT, ACTIVE</t>
  </si>
  <si>
    <t xml:space="preserve">FDIC API Institution definitions</t>
  </si>
  <si>
    <r>
      <rPr>
        <sz val="11"/>
        <color rgb="FF000000"/>
        <rFont val="Calibri"/>
        <family val="2"/>
        <charset val="1"/>
      </rPr>
      <t xml:space="preserve">CERT</t>
    </r>
    <r>
      <rPr>
        <sz val="11"/>
        <color rgb="FF000000"/>
        <rFont val="Noto Sans SC"/>
        <family val="2"/>
      </rPr>
      <t xml:space="preserve">主键与更晚机构快照；不按</t>
    </r>
    <r>
      <rPr>
        <sz val="11"/>
        <color rgb="FF000000"/>
        <rFont val="Calibri"/>
        <family val="2"/>
        <charset val="1"/>
      </rPr>
      <t xml:space="preserve">ACTIVE</t>
    </r>
    <r>
      <rPr>
        <sz val="11"/>
        <color rgb="FF000000"/>
        <rFont val="Noto Sans SC"/>
        <family val="2"/>
      </rPr>
      <t xml:space="preserve">删除历史。</t>
    </r>
  </si>
  <si>
    <t xml:space="preserve">FDIC_RMS_Manual_3.2_Loans.pdf</t>
  </si>
  <si>
    <r>
      <rPr>
        <sz val="11"/>
        <color rgb="FF000000"/>
        <rFont val="Calibri"/>
        <family val="2"/>
        <charset val="1"/>
      </rPr>
      <t xml:space="preserve">Loan Review Systems</t>
    </r>
    <r>
      <rPr>
        <sz val="11"/>
        <color rgb="FF000000"/>
        <rFont val="Noto Sans SC"/>
        <family val="2"/>
      </rPr>
      <t xml:space="preserve">；本地</t>
    </r>
    <r>
      <rPr>
        <sz val="11"/>
        <color rgb="FF000000"/>
        <rFont val="Calibri"/>
        <family val="2"/>
        <charset val="1"/>
      </rPr>
      <t xml:space="preserve">PDF</t>
    </r>
    <r>
      <rPr>
        <sz val="11"/>
        <color rgb="FF000000"/>
        <rFont val="Noto Sans SC"/>
        <family val="2"/>
      </rPr>
      <t xml:space="preserve">页</t>
    </r>
    <r>
      <rPr>
        <sz val="11"/>
        <color rgb="FF000000"/>
        <rFont val="Calibri"/>
        <family val="2"/>
        <charset val="1"/>
      </rPr>
      <t xml:space="preserve">1,3,4,5,8</t>
    </r>
  </si>
  <si>
    <t xml:space="preserve">Section 3.2 Loans</t>
  </si>
  <si>
    <t xml:space="preserve">复核贷款质量、集中风险、分类、还款及内部贷款审查，代理指标不足以独立评级。</t>
  </si>
  <si>
    <t xml:space="preserve">instruction.md</t>
  </si>
  <si>
    <t xml:space="preserve">金额口径与核查名额规则</t>
  </si>
  <si>
    <t xml:space="preserve">本次桌面练习明确设定</t>
  </si>
  <si>
    <t xml:space="preserve">金额千美元、先州覆盖后区域高值；排序门槛不是监管规定。</t>
  </si>
  <si>
    <t xml:space="preserve">REPDTE</t>
  </si>
  <si>
    <t xml:space="preserve">source_row</t>
  </si>
  <si>
    <t xml:space="preserve">ASSET</t>
  </si>
  <si>
    <t xml:space="preserve">DEP</t>
  </si>
  <si>
    <t xml:space="preserve">ELNATRY</t>
  </si>
  <si>
    <t xml:space="preserve">EQ</t>
  </si>
  <si>
    <t xml:space="preserve">EQV</t>
  </si>
  <si>
    <t xml:space="preserve">ID</t>
  </si>
  <si>
    <t xml:space="preserve">LNATRESR</t>
  </si>
  <si>
    <t xml:space="preserve">LNCI</t>
  </si>
  <si>
    <t xml:space="preserve">LNCON</t>
  </si>
  <si>
    <t xml:space="preserve">LNLSGR</t>
  </si>
  <si>
    <t xml:space="preserve">LNLSNET</t>
  </si>
  <si>
    <t xml:space="preserve">LNRE</t>
  </si>
  <si>
    <t xml:space="preserve">NAASSET</t>
  </si>
  <si>
    <t xml:space="preserve">NAMEFULL</t>
  </si>
  <si>
    <t xml:space="preserve">NCLNLSR</t>
  </si>
  <si>
    <t xml:space="preserve">NIMY</t>
  </si>
  <si>
    <t xml:space="preserve">NTLNLS</t>
  </si>
  <si>
    <t xml:space="preserve">P3ASSET</t>
  </si>
  <si>
    <t xml:space="preserve">P9ASSET</t>
  </si>
  <si>
    <t xml:space="preserve">RBCRWAJ</t>
  </si>
  <si>
    <t xml:space="preserve">ROA</t>
  </si>
  <si>
    <t xml:space="preserve">ROE</t>
  </si>
  <si>
    <t xml:space="preserve">STALP</t>
  </si>
  <si>
    <t xml:space="preserve">11971_20220331</t>
  </si>
  <si>
    <t xml:space="preserve">BAR HARBOR BANK &amp; TRUST</t>
  </si>
  <si>
    <t xml:space="preserve">ME</t>
  </si>
  <si>
    <t xml:space="preserve">12874_20220331</t>
  </si>
  <si>
    <t xml:space="preserve">KATAHDIN TRUST COMPANY</t>
  </si>
  <si>
    <t xml:space="preserve">13063_20220331</t>
  </si>
  <si>
    <t xml:space="preserve">KENNEBUNK SAVINGS BANK</t>
  </si>
  <si>
    <t xml:space="preserve">14134_20220331</t>
  </si>
  <si>
    <t xml:space="preserve">PASSUMPSIC SAVINGS BANK</t>
  </si>
  <si>
    <t xml:space="preserve">VT</t>
  </si>
  <si>
    <t xml:space="preserve">14136_20220331</t>
  </si>
  <si>
    <t xml:space="preserve">WELLS RIVER SAVINGS BANK</t>
  </si>
  <si>
    <t xml:space="preserve">14140_20220331</t>
  </si>
  <si>
    <t xml:space="preserve">NORTHFIELD SAVINGS BANK</t>
  </si>
  <si>
    <t xml:space="preserve">14158_20220331</t>
  </si>
  <si>
    <t xml:space="preserve">UNION BANK</t>
  </si>
  <si>
    <t xml:space="preserve">14168_20220331</t>
  </si>
  <si>
    <t xml:space="preserve">PEOPLES TRUST COMPANY OF ST. ALBANS</t>
  </si>
  <si>
    <t xml:space="preserve">14240_20220331</t>
  </si>
  <si>
    <t xml:space="preserve">NORTHWAY BANK</t>
  </si>
  <si>
    <t xml:space="preserve">NH</t>
  </si>
  <si>
    <t xml:space="preserve">17115_20220331</t>
  </si>
  <si>
    <t xml:space="preserve">PARTNERS BANK OF NEW ENGLAND</t>
  </si>
  <si>
    <t xml:space="preserve">17180_20220331</t>
  </si>
  <si>
    <t xml:space="preserve">MEREDITH VILLAGE SAVINGS BANK</t>
  </si>
  <si>
    <t xml:space="preserve">17443_20220331</t>
  </si>
  <si>
    <t xml:space="preserve">PISCATAQUA SAVINGS BANK</t>
  </si>
  <si>
    <t xml:space="preserve">17658_20220331</t>
  </si>
  <si>
    <t xml:space="preserve">NORWAY SAVINGS BANK</t>
  </si>
  <si>
    <t xml:space="preserve">17741_20220331</t>
  </si>
  <si>
    <t xml:space="preserve">MAINE COMMUNITY BANK</t>
  </si>
  <si>
    <t xml:space="preserve">17743_20220331</t>
  </si>
  <si>
    <t xml:space="preserve">SACO &amp; BIDDEFORD SAVINGS INSTITUTION</t>
  </si>
  <si>
    <t xml:space="preserve">17748_20220331</t>
  </si>
  <si>
    <t xml:space="preserve">GORHAM SAVINGS BANK</t>
  </si>
  <si>
    <t xml:space="preserve">17749_20220331</t>
  </si>
  <si>
    <t xml:space="preserve">BATH SAVINGS INSTITUTION</t>
  </si>
  <si>
    <t xml:space="preserve">17751_20220331</t>
  </si>
  <si>
    <t xml:space="preserve">ANDROSCOGGIN SAVINGS BANK</t>
  </si>
  <si>
    <t xml:space="preserve">17897_20220331</t>
  </si>
  <si>
    <t xml:space="preserve">KENNEBEC SAVINGS BANK</t>
  </si>
  <si>
    <t xml:space="preserve">17951_20220331</t>
  </si>
  <si>
    <t xml:space="preserve">FRANKLIN SAVINGS BANK</t>
  </si>
  <si>
    <t xml:space="preserve">17960_20220331</t>
  </si>
  <si>
    <t xml:space="preserve">MERRIMACK COUNTY SAVINGS BANK</t>
  </si>
  <si>
    <t xml:space="preserve">18012_20220331</t>
  </si>
  <si>
    <t xml:space="preserve">BANK OF NEW HAMPSHIRE</t>
  </si>
  <si>
    <t xml:space="preserve">18013_20220331</t>
  </si>
  <si>
    <t xml:space="preserve">MASCOMA BANK</t>
  </si>
  <si>
    <t xml:space="preserve">18028_20220331</t>
  </si>
  <si>
    <t xml:space="preserve">SUGAR RIVER BANK</t>
  </si>
  <si>
    <t xml:space="preserve">18030_20220331</t>
  </si>
  <si>
    <t xml:space="preserve">SAVINGS BANK OF WALPOLE</t>
  </si>
  <si>
    <t xml:space="preserve">18031_20220331</t>
  </si>
  <si>
    <t xml:space="preserve">WOODSVILLE GUARANTY SAVINGS BANK</t>
  </si>
  <si>
    <t xml:space="preserve">18038_20220331</t>
  </si>
  <si>
    <t xml:space="preserve">CLAREMONT SAVINGS BANK</t>
  </si>
  <si>
    <t xml:space="preserve">18408_20220331</t>
  </si>
  <si>
    <t xml:space="preserve">BANGOR SAVINGS BANK</t>
  </si>
  <si>
    <t xml:space="preserve">19531_20220331</t>
  </si>
  <si>
    <t xml:space="preserve">MACHIAS SAVINGS BANK</t>
  </si>
  <si>
    <t xml:space="preserve">19532_20220331</t>
  </si>
  <si>
    <t xml:space="preserve">SKOWHEGAN SAVINGS BANK</t>
  </si>
  <si>
    <t xml:space="preserve">19690_20220331</t>
  </si>
  <si>
    <t xml:space="preserve">NORTHEAST BANK</t>
  </si>
  <si>
    <t xml:space="preserve">19836_20220331</t>
  </si>
  <si>
    <t xml:space="preserve">24540_20220331</t>
  </si>
  <si>
    <t xml:space="preserve">BANK OF NEW ENGLAND</t>
  </si>
  <si>
    <t xml:space="preserve">27824_20220331</t>
  </si>
  <si>
    <t xml:space="preserve">SALEM CO-OPERATIVE BANK</t>
  </si>
  <si>
    <t xml:space="preserve">28155_20220331</t>
  </si>
  <si>
    <t xml:space="preserve">PROFILE BANK</t>
  </si>
  <si>
    <t xml:space="preserve">28288_20220331</t>
  </si>
  <si>
    <t xml:space="preserve">AUBURN SAVINGS BANK, FSB</t>
  </si>
  <si>
    <t xml:space="preserve">28369_20220331</t>
  </si>
  <si>
    <t xml:space="preserve">ROCKLAND SAVINGS BANK, FSB</t>
  </si>
  <si>
    <t xml:space="preserve">28837_20220331</t>
  </si>
  <si>
    <t xml:space="preserve">THE BRATTLEBORO SAVINGS AND LOAN ASSOCIATION</t>
  </si>
  <si>
    <t xml:space="preserve">29636_20220331</t>
  </si>
  <si>
    <t xml:space="preserve">FIRST FEDERAL SAVINGS AND LOAN ASSOCIATION OF BATH</t>
  </si>
  <si>
    <t xml:space="preserve">29743_20220331</t>
  </si>
  <si>
    <t xml:space="preserve">AROOSTOOK COUNTY FEDERAL SAVINGS AND LOAN ASSOCIATION</t>
  </si>
  <si>
    <t xml:space="preserve">29744_20220331</t>
  </si>
  <si>
    <t xml:space="preserve">FIRST SEACOAST BANK</t>
  </si>
  <si>
    <t xml:space="preserve">30350_20220331</t>
  </si>
  <si>
    <t xml:space="preserve">THE BANK OF BENNINGTON</t>
  </si>
  <si>
    <t xml:space="preserve">30878_20220331</t>
  </si>
  <si>
    <t xml:space="preserve">BAR HARBOR SAVINGS AND LOAN ASSOCIATION</t>
  </si>
  <si>
    <t xml:space="preserve">33418_20220331</t>
  </si>
  <si>
    <t xml:space="preserve">LEDYARD NATIONAL BANK</t>
  </si>
  <si>
    <t xml:space="preserve">4255_20220331</t>
  </si>
  <si>
    <t xml:space="preserve">THE CAMDEN NATIONAL BANK</t>
  </si>
  <si>
    <t xml:space="preserve">4256_20220331</t>
  </si>
  <si>
    <t xml:space="preserve">FIRST NATIONAL BANK</t>
  </si>
  <si>
    <t xml:space="preserve">59086_20220331</t>
  </si>
  <si>
    <t xml:space="preserve">PRIMARY BANK</t>
  </si>
  <si>
    <t xml:space="preserve">59176_20220331</t>
  </si>
  <si>
    <t xml:space="preserve">THE MILLYARD BANK</t>
  </si>
  <si>
    <t xml:space="preserve">6271_20220331</t>
  </si>
  <si>
    <t xml:space="preserve">COMMUNITY NATIONAL BANK</t>
  </si>
  <si>
    <t xml:space="preserve">6275_20220331</t>
  </si>
  <si>
    <t xml:space="preserve">THE NATIONAL BANK OF MIDDLEBURY</t>
  </si>
  <si>
    <t xml:space="preserve">6280_20220331</t>
  </si>
  <si>
    <t xml:space="preserve">THE FIRST NATIONAL BANK OF ORWELL</t>
  </si>
  <si>
    <t xml:space="preserve">11971_20220630</t>
  </si>
  <si>
    <t xml:space="preserve">12874_20220630</t>
  </si>
  <si>
    <t xml:space="preserve">13063_20220630</t>
  </si>
  <si>
    <t xml:space="preserve">14134_20220630</t>
  </si>
  <si>
    <t xml:space="preserve">14136_20220630</t>
  </si>
  <si>
    <t xml:space="preserve">14140_20220630</t>
  </si>
  <si>
    <t xml:space="preserve">14158_20220630</t>
  </si>
  <si>
    <t xml:space="preserve">14168_20220630</t>
  </si>
  <si>
    <t xml:space="preserve">14240_20220630</t>
  </si>
  <si>
    <t xml:space="preserve">17115_20220630</t>
  </si>
  <si>
    <t xml:space="preserve">17180_20220630</t>
  </si>
  <si>
    <t xml:space="preserve">17443_20220630</t>
  </si>
  <si>
    <t xml:space="preserve">17658_20220630</t>
  </si>
  <si>
    <t xml:space="preserve">17741_20220630</t>
  </si>
  <si>
    <t xml:space="preserve">17743_20220630</t>
  </si>
  <si>
    <t xml:space="preserve">17748_20220630</t>
  </si>
  <si>
    <t xml:space="preserve">17749_20220630</t>
  </si>
  <si>
    <t xml:space="preserve">17751_20220630</t>
  </si>
  <si>
    <t xml:space="preserve">17897_20220630</t>
  </si>
  <si>
    <t xml:space="preserve">17951_20220630</t>
  </si>
  <si>
    <t xml:space="preserve">17960_20220630</t>
  </si>
  <si>
    <t xml:space="preserve">18012_20220630</t>
  </si>
  <si>
    <t xml:space="preserve">18013_20220630</t>
  </si>
  <si>
    <t xml:space="preserve">18028_20220630</t>
  </si>
  <si>
    <t xml:space="preserve">18030_20220630</t>
  </si>
  <si>
    <t xml:space="preserve">18031_20220630</t>
  </si>
  <si>
    <t xml:space="preserve">18038_20220630</t>
  </si>
  <si>
    <t xml:space="preserve">18408_20220630</t>
  </si>
  <si>
    <t xml:space="preserve">19531_20220630</t>
  </si>
  <si>
    <t xml:space="preserve">19532_20220630</t>
  </si>
  <si>
    <t xml:space="preserve">19690_20220630</t>
  </si>
  <si>
    <t xml:space="preserve">19836_20220630</t>
  </si>
  <si>
    <t xml:space="preserve">24540_20220630</t>
  </si>
  <si>
    <t xml:space="preserve">27824_20220630</t>
  </si>
  <si>
    <t xml:space="preserve">28155_20220630</t>
  </si>
  <si>
    <t xml:space="preserve">28288_20220630</t>
  </si>
  <si>
    <t xml:space="preserve">28369_20220630</t>
  </si>
  <si>
    <t xml:space="preserve">28837_20220630</t>
  </si>
  <si>
    <t xml:space="preserve">29636_20220630</t>
  </si>
  <si>
    <t xml:space="preserve">29743_20220630</t>
  </si>
  <si>
    <t xml:space="preserve">29744_20220630</t>
  </si>
  <si>
    <t xml:space="preserve">30350_20220630</t>
  </si>
  <si>
    <t xml:space="preserve">30878_20220630</t>
  </si>
  <si>
    <t xml:space="preserve">33418_20220630</t>
  </si>
  <si>
    <t xml:space="preserve">35206_20220630</t>
  </si>
  <si>
    <t xml:space="preserve">FIDELITY PERSONAL TRUST COMPANY, FSB</t>
  </si>
  <si>
    <t xml:space="preserve">4255_20220630</t>
  </si>
  <si>
    <t xml:space="preserve">4256_20220630</t>
  </si>
  <si>
    <t xml:space="preserve">59086_20220630</t>
  </si>
  <si>
    <t xml:space="preserve">59176_20220630</t>
  </si>
  <si>
    <t xml:space="preserve">6271_20220630</t>
  </si>
  <si>
    <t xml:space="preserve">6275_20220630</t>
  </si>
  <si>
    <t xml:space="preserve">6280_20220630</t>
  </si>
  <si>
    <t xml:space="preserve">11971_20220930</t>
  </si>
  <si>
    <t xml:space="preserve">12874_20220930</t>
  </si>
  <si>
    <t xml:space="preserve">13063_20220930</t>
  </si>
  <si>
    <t xml:space="preserve">14134_20220930</t>
  </si>
  <si>
    <t xml:space="preserve">14136_20220930</t>
  </si>
  <si>
    <t xml:space="preserve">14140_20220930</t>
  </si>
  <si>
    <t xml:space="preserve">14158_20220930</t>
  </si>
  <si>
    <t xml:space="preserve">14168_20220930</t>
  </si>
  <si>
    <t xml:space="preserve">14240_20220930</t>
  </si>
  <si>
    <t xml:space="preserve">17115_20220930</t>
  </si>
  <si>
    <t xml:space="preserve">17180_20220930</t>
  </si>
  <si>
    <t xml:space="preserve">17443_20220930</t>
  </si>
  <si>
    <t xml:space="preserve">17658_20220930</t>
  </si>
  <si>
    <t xml:space="preserve">17741_20220930</t>
  </si>
  <si>
    <t xml:space="preserve">17743_20220930</t>
  </si>
  <si>
    <t xml:space="preserve">17748_20220930</t>
  </si>
  <si>
    <t xml:space="preserve">17749_20220930</t>
  </si>
  <si>
    <t xml:space="preserve">17751_20220930</t>
  </si>
  <si>
    <t xml:space="preserve">17897_20220930</t>
  </si>
  <si>
    <t xml:space="preserve">17951_20220930</t>
  </si>
  <si>
    <t xml:space="preserve">17960_20220930</t>
  </si>
  <si>
    <t xml:space="preserve">18012_20220930</t>
  </si>
  <si>
    <t xml:space="preserve">18013_20220930</t>
  </si>
  <si>
    <t xml:space="preserve">18028_20220930</t>
  </si>
  <si>
    <t xml:space="preserve">18030_20220930</t>
  </si>
  <si>
    <t xml:space="preserve">18031_20220930</t>
  </si>
  <si>
    <t xml:space="preserve">18038_20220930</t>
  </si>
  <si>
    <t xml:space="preserve">18408_20220930</t>
  </si>
  <si>
    <t xml:space="preserve">19531_20220930</t>
  </si>
  <si>
    <t xml:space="preserve">19532_20220930</t>
  </si>
  <si>
    <t xml:space="preserve">19690_20220930</t>
  </si>
  <si>
    <t xml:space="preserve">19836_20220930</t>
  </si>
  <si>
    <t xml:space="preserve">24540_20220930</t>
  </si>
  <si>
    <t xml:space="preserve">27824_20220930</t>
  </si>
  <si>
    <t xml:space="preserve">28155_20220930</t>
  </si>
  <si>
    <t xml:space="preserve">28288_20220930</t>
  </si>
  <si>
    <t xml:space="preserve">28369_20220930</t>
  </si>
  <si>
    <t xml:space="preserve">28837_20220930</t>
  </si>
  <si>
    <t xml:space="preserve">29636_20220930</t>
  </si>
  <si>
    <t xml:space="preserve">29743_20220930</t>
  </si>
  <si>
    <t xml:space="preserve">29744_20220930</t>
  </si>
  <si>
    <t xml:space="preserve">30350_20220930</t>
  </si>
  <si>
    <t xml:space="preserve">30878_20220930</t>
  </si>
  <si>
    <t xml:space="preserve">33418_20220930</t>
  </si>
  <si>
    <t xml:space="preserve">35206_20220930</t>
  </si>
  <si>
    <t xml:space="preserve">4255_20220930</t>
  </si>
  <si>
    <t xml:space="preserve">4256_20220930</t>
  </si>
  <si>
    <t xml:space="preserve">59086_20220930</t>
  </si>
  <si>
    <t xml:space="preserve">59176_20220930</t>
  </si>
  <si>
    <t xml:space="preserve">59298_20220930</t>
  </si>
  <si>
    <t xml:space="preserve">BANK OF BURLINGTON</t>
  </si>
  <si>
    <t xml:space="preserve">6271_20220930</t>
  </si>
  <si>
    <t xml:space="preserve">6275_20220930</t>
  </si>
  <si>
    <t xml:space="preserve">6280_20220930</t>
  </si>
  <si>
    <t xml:space="preserve">11971_20221231</t>
  </si>
  <si>
    <t xml:space="preserve">12874_20221231</t>
  </si>
  <si>
    <t xml:space="preserve">13063_20221231</t>
  </si>
  <si>
    <t xml:space="preserve">14134_20221231</t>
  </si>
  <si>
    <t xml:space="preserve">14136_20221231</t>
  </si>
  <si>
    <t xml:space="preserve">14140_20221231</t>
  </si>
  <si>
    <t xml:space="preserve">14158_20221231</t>
  </si>
  <si>
    <t xml:space="preserve">14168_20221231</t>
  </si>
  <si>
    <t xml:space="preserve">14240_20221231</t>
  </si>
  <si>
    <t xml:space="preserve">17115_20221231</t>
  </si>
  <si>
    <t xml:space="preserve">17180_20221231</t>
  </si>
  <si>
    <t xml:space="preserve">17443_20221231</t>
  </si>
  <si>
    <t xml:space="preserve">17658_20221231</t>
  </si>
  <si>
    <t xml:space="preserve">17741_20221231</t>
  </si>
  <si>
    <t xml:space="preserve">17743_20221231</t>
  </si>
  <si>
    <t xml:space="preserve">17748_20221231</t>
  </si>
  <si>
    <t xml:space="preserve">17749_20221231</t>
  </si>
  <si>
    <t xml:space="preserve">17751_20221231</t>
  </si>
  <si>
    <t xml:space="preserve">17897_20221231</t>
  </si>
  <si>
    <t xml:space="preserve">17951_20221231</t>
  </si>
  <si>
    <t xml:space="preserve">17960_20221231</t>
  </si>
  <si>
    <t xml:space="preserve">18012_20221231</t>
  </si>
  <si>
    <t xml:space="preserve">18013_20221231</t>
  </si>
  <si>
    <t xml:space="preserve">18028_20221231</t>
  </si>
  <si>
    <t xml:space="preserve">18030_20221231</t>
  </si>
  <si>
    <t xml:space="preserve">18031_20221231</t>
  </si>
  <si>
    <t xml:space="preserve">18038_20221231</t>
  </si>
  <si>
    <t xml:space="preserve">18408_20221231</t>
  </si>
  <si>
    <t xml:space="preserve">19531_20221231</t>
  </si>
  <si>
    <t xml:space="preserve">19532_20221231</t>
  </si>
  <si>
    <t xml:space="preserve">19690_20221231</t>
  </si>
  <si>
    <t xml:space="preserve">19836_20221231</t>
  </si>
  <si>
    <t xml:space="preserve">24540_20221231</t>
  </si>
  <si>
    <t xml:space="preserve">27824_20221231</t>
  </si>
  <si>
    <t xml:space="preserve">28155_20221231</t>
  </si>
  <si>
    <t xml:space="preserve">28288_20221231</t>
  </si>
  <si>
    <t xml:space="preserve">28369_20221231</t>
  </si>
  <si>
    <t xml:space="preserve">28837_20221231</t>
  </si>
  <si>
    <t xml:space="preserve">29636_20221231</t>
  </si>
  <si>
    <t xml:space="preserve">29743_20221231</t>
  </si>
  <si>
    <t xml:space="preserve">29744_20221231</t>
  </si>
  <si>
    <t xml:space="preserve">30350_20221231</t>
  </si>
  <si>
    <t xml:space="preserve">30878_20221231</t>
  </si>
  <si>
    <t xml:space="preserve">33418_20221231</t>
  </si>
  <si>
    <t xml:space="preserve">35206_20221231</t>
  </si>
  <si>
    <t xml:space="preserve">4255_20221231</t>
  </si>
  <si>
    <t xml:space="preserve">4256_20221231</t>
  </si>
  <si>
    <t xml:space="preserve">59086_20221231</t>
  </si>
  <si>
    <t xml:space="preserve">59176_20221231</t>
  </si>
  <si>
    <t xml:space="preserve">59289_20221231</t>
  </si>
  <si>
    <t xml:space="preserve">WALDEN MUTUAL BANK</t>
  </si>
  <si>
    <t xml:space="preserve">59298_20221231</t>
  </si>
  <si>
    <t xml:space="preserve">6271_20221231</t>
  </si>
  <si>
    <t xml:space="preserve">6275_20221231</t>
  </si>
  <si>
    <t xml:space="preserve">6280_20221231</t>
  </si>
  <si>
    <t xml:space="preserve">11971_20230331</t>
  </si>
  <si>
    <t xml:space="preserve">12874_20230331</t>
  </si>
  <si>
    <t xml:space="preserve">13063_20230331</t>
  </si>
  <si>
    <t xml:space="preserve">14134_20230331</t>
  </si>
  <si>
    <t xml:space="preserve">14136_20230331</t>
  </si>
  <si>
    <t xml:space="preserve">14140_20230331</t>
  </si>
  <si>
    <t xml:space="preserve">14158_20230331</t>
  </si>
  <si>
    <t xml:space="preserve">14168_20230331</t>
  </si>
  <si>
    <t xml:space="preserve">14240_20230331</t>
  </si>
  <si>
    <t xml:space="preserve">17115_20230331</t>
  </si>
  <si>
    <t xml:space="preserve">17180_20230331</t>
  </si>
  <si>
    <t xml:space="preserve">17443_20230331</t>
  </si>
  <si>
    <t xml:space="preserve">17658_20230331</t>
  </si>
  <si>
    <t xml:space="preserve">17741_20230331</t>
  </si>
  <si>
    <t xml:space="preserve">17743_20230331</t>
  </si>
  <si>
    <t xml:space="preserve">17748_20230331</t>
  </si>
  <si>
    <t xml:space="preserve">17749_20230331</t>
  </si>
  <si>
    <t xml:space="preserve">17751_20230331</t>
  </si>
  <si>
    <t xml:space="preserve">17897_20230331</t>
  </si>
  <si>
    <t xml:space="preserve">17951_20230331</t>
  </si>
  <si>
    <t xml:space="preserve">17960_20230331</t>
  </si>
  <si>
    <t xml:space="preserve">18012_20230331</t>
  </si>
  <si>
    <t xml:space="preserve">18013_20230331</t>
  </si>
  <si>
    <t xml:space="preserve">18028_20230331</t>
  </si>
  <si>
    <t xml:space="preserve">18030_20230331</t>
  </si>
  <si>
    <t xml:space="preserve">18031_20230331</t>
  </si>
  <si>
    <t xml:space="preserve">18038_20230331</t>
  </si>
  <si>
    <t xml:space="preserve">18408_20230331</t>
  </si>
  <si>
    <t xml:space="preserve">19531_20230331</t>
  </si>
  <si>
    <t xml:space="preserve">19532_20230331</t>
  </si>
  <si>
    <t xml:space="preserve">19690_20230331</t>
  </si>
  <si>
    <t xml:space="preserve">19836_20230331</t>
  </si>
  <si>
    <t xml:space="preserve">24540_20230331</t>
  </si>
  <si>
    <t xml:space="preserve">27824_20230331</t>
  </si>
  <si>
    <t xml:space="preserve">28155_20230331</t>
  </si>
  <si>
    <t xml:space="preserve">28288_20230331</t>
  </si>
  <si>
    <t xml:space="preserve">28369_20230331</t>
  </si>
  <si>
    <t xml:space="preserve">28837_20230331</t>
  </si>
  <si>
    <t xml:space="preserve">29636_20230331</t>
  </si>
  <si>
    <t xml:space="preserve">29743_20230331</t>
  </si>
  <si>
    <t xml:space="preserve">29744_20230331</t>
  </si>
  <si>
    <t xml:space="preserve">30350_20230331</t>
  </si>
  <si>
    <t xml:space="preserve">30878_20230331</t>
  </si>
  <si>
    <t xml:space="preserve">33418_20230331</t>
  </si>
  <si>
    <t xml:space="preserve">35206_20230331</t>
  </si>
  <si>
    <t xml:space="preserve">4255_20230331</t>
  </si>
  <si>
    <t xml:space="preserve">4256_20230331</t>
  </si>
  <si>
    <t xml:space="preserve">59086_20230331</t>
  </si>
  <si>
    <t xml:space="preserve">59176_20230331</t>
  </si>
  <si>
    <t xml:space="preserve">59289_20230331</t>
  </si>
  <si>
    <t xml:space="preserve">59298_20230331</t>
  </si>
  <si>
    <t xml:space="preserve">6271_20230331</t>
  </si>
  <si>
    <t xml:space="preserve">6275_20230331</t>
  </si>
  <si>
    <t xml:space="preserve">6280_20230331</t>
  </si>
  <si>
    <t xml:space="preserve">11971_20230630</t>
  </si>
  <si>
    <t xml:space="preserve">12874_20230630</t>
  </si>
  <si>
    <t xml:space="preserve">13063_20230630</t>
  </si>
  <si>
    <t xml:space="preserve">14134_20230630</t>
  </si>
  <si>
    <t xml:space="preserve">14136_20230630</t>
  </si>
  <si>
    <t xml:space="preserve">14140_20230630</t>
  </si>
  <si>
    <t xml:space="preserve">14158_20230630</t>
  </si>
  <si>
    <t xml:space="preserve">14168_20230630</t>
  </si>
  <si>
    <t xml:space="preserve">14240_20230630</t>
  </si>
  <si>
    <t xml:space="preserve">17115_20230630</t>
  </si>
  <si>
    <t xml:space="preserve">17180_20230630</t>
  </si>
  <si>
    <t xml:space="preserve">17443_20230630</t>
  </si>
  <si>
    <t xml:space="preserve">17658_20230630</t>
  </si>
  <si>
    <t xml:space="preserve">17741_20230630</t>
  </si>
  <si>
    <t xml:space="preserve">17743_20230630</t>
  </si>
  <si>
    <t xml:space="preserve">17748_20230630</t>
  </si>
  <si>
    <t xml:space="preserve">17749_20230630</t>
  </si>
  <si>
    <t xml:space="preserve">17751_20230630</t>
  </si>
  <si>
    <t xml:space="preserve">17897_20230630</t>
  </si>
  <si>
    <t xml:space="preserve">17951_20230630</t>
  </si>
  <si>
    <t xml:space="preserve">17960_20230630</t>
  </si>
  <si>
    <t xml:space="preserve">18012_20230630</t>
  </si>
  <si>
    <t xml:space="preserve">18013_20230630</t>
  </si>
  <si>
    <t xml:space="preserve">18028_20230630</t>
  </si>
  <si>
    <t xml:space="preserve">18030_20230630</t>
  </si>
  <si>
    <t xml:space="preserve">18031_20230630</t>
  </si>
  <si>
    <t xml:space="preserve">18038_20230630</t>
  </si>
  <si>
    <t xml:space="preserve">18408_20230630</t>
  </si>
  <si>
    <t xml:space="preserve">19531_20230630</t>
  </si>
  <si>
    <t xml:space="preserve">19532_20230630</t>
  </si>
  <si>
    <t xml:space="preserve">19690_20230630</t>
  </si>
  <si>
    <t xml:space="preserve">19836_20230630</t>
  </si>
  <si>
    <t xml:space="preserve">24540_20230630</t>
  </si>
  <si>
    <t xml:space="preserve">27824_20230630</t>
  </si>
  <si>
    <t xml:space="preserve">28155_20230630</t>
  </si>
  <si>
    <t xml:space="preserve">28288_20230630</t>
  </si>
  <si>
    <t xml:space="preserve">28369_20230630</t>
  </si>
  <si>
    <t xml:space="preserve">28837_20230630</t>
  </si>
  <si>
    <t xml:space="preserve">29636_20230630</t>
  </si>
  <si>
    <t xml:space="preserve">29743_20230630</t>
  </si>
  <si>
    <t xml:space="preserve">29744_20230630</t>
  </si>
  <si>
    <t xml:space="preserve">30350_20230630</t>
  </si>
  <si>
    <t xml:space="preserve">30878_20230630</t>
  </si>
  <si>
    <t xml:space="preserve">33418_20230630</t>
  </si>
  <si>
    <t xml:space="preserve">35206_20230630</t>
  </si>
  <si>
    <t xml:space="preserve">4255_20230630</t>
  </si>
  <si>
    <t xml:space="preserve">4256_20230630</t>
  </si>
  <si>
    <t xml:space="preserve">59086_20230630</t>
  </si>
  <si>
    <t xml:space="preserve">59176_20230630</t>
  </si>
  <si>
    <t xml:space="preserve">59289_20230630</t>
  </si>
  <si>
    <t xml:space="preserve">59298_20230630</t>
  </si>
  <si>
    <t xml:space="preserve">6271_20230630</t>
  </si>
  <si>
    <t xml:space="preserve">6275_20230630</t>
  </si>
  <si>
    <t xml:space="preserve">6280_20230630</t>
  </si>
  <si>
    <t xml:space="preserve">11971_20230930</t>
  </si>
  <si>
    <t xml:space="preserve">12874_20230930</t>
  </si>
  <si>
    <t xml:space="preserve">13063_20230930</t>
  </si>
  <si>
    <t xml:space="preserve">14134_20230930</t>
  </si>
  <si>
    <t xml:space="preserve">14136_20230930</t>
  </si>
  <si>
    <t xml:space="preserve">14140_20230930</t>
  </si>
  <si>
    <t xml:space="preserve">14158_20230930</t>
  </si>
  <si>
    <t xml:space="preserve">14168_20230930</t>
  </si>
  <si>
    <t xml:space="preserve">14240_20230930</t>
  </si>
  <si>
    <t xml:space="preserve">17115_20230930</t>
  </si>
  <si>
    <t xml:space="preserve">17180_20230930</t>
  </si>
  <si>
    <t xml:space="preserve">17443_20230930</t>
  </si>
  <si>
    <t xml:space="preserve">17658_20230930</t>
  </si>
  <si>
    <t xml:space="preserve">17741_20230930</t>
  </si>
  <si>
    <t xml:space="preserve">17743_20230930</t>
  </si>
  <si>
    <t xml:space="preserve">17748_20230930</t>
  </si>
  <si>
    <t xml:space="preserve">17749_20230930</t>
  </si>
  <si>
    <t xml:space="preserve">17751_20230930</t>
  </si>
  <si>
    <t xml:space="preserve">17897_20230930</t>
  </si>
  <si>
    <t xml:space="preserve">17951_20230930</t>
  </si>
  <si>
    <t xml:space="preserve">17960_20230930</t>
  </si>
  <si>
    <t xml:space="preserve">18012_20230930</t>
  </si>
  <si>
    <t xml:space="preserve">18013_20230930</t>
  </si>
  <si>
    <t xml:space="preserve">18028_20230930</t>
  </si>
  <si>
    <t xml:space="preserve">18030_20230930</t>
  </si>
  <si>
    <t xml:space="preserve">18031_20230930</t>
  </si>
  <si>
    <t xml:space="preserve">18038_20230930</t>
  </si>
  <si>
    <t xml:space="preserve">18408_20230930</t>
  </si>
  <si>
    <t xml:space="preserve">19531_20230930</t>
  </si>
  <si>
    <t xml:space="preserve">19532_20230930</t>
  </si>
  <si>
    <t xml:space="preserve">19690_20230930</t>
  </si>
  <si>
    <t xml:space="preserve">19836_20230930</t>
  </si>
  <si>
    <t xml:space="preserve">24540_20230930</t>
  </si>
  <si>
    <t xml:space="preserve">27824_20230930</t>
  </si>
  <si>
    <t xml:space="preserve">28155_20230930</t>
  </si>
  <si>
    <t xml:space="preserve">28288_20230930</t>
  </si>
  <si>
    <t xml:space="preserve">28369_20230930</t>
  </si>
  <si>
    <t xml:space="preserve">28837_20230930</t>
  </si>
  <si>
    <t xml:space="preserve">29636_20230930</t>
  </si>
  <si>
    <t xml:space="preserve">29743_20230930</t>
  </si>
  <si>
    <t xml:space="preserve">29744_20230930</t>
  </si>
  <si>
    <t xml:space="preserve">30350_20230930</t>
  </si>
  <si>
    <t xml:space="preserve">30878_20230930</t>
  </si>
  <si>
    <t xml:space="preserve">33418_20230930</t>
  </si>
  <si>
    <t xml:space="preserve">35206_20230930</t>
  </si>
  <si>
    <t xml:space="preserve">4255_20230930</t>
  </si>
  <si>
    <t xml:space="preserve">4256_20230930</t>
  </si>
  <si>
    <t xml:space="preserve">59086_20230930</t>
  </si>
  <si>
    <t xml:space="preserve">59176_20230930</t>
  </si>
  <si>
    <t xml:space="preserve">59289_20230930</t>
  </si>
  <si>
    <t xml:space="preserve">59298_20230930</t>
  </si>
  <si>
    <t xml:space="preserve">6271_20230930</t>
  </si>
  <si>
    <t xml:space="preserve">6275_20230930</t>
  </si>
  <si>
    <t xml:space="preserve">6280_20230930</t>
  </si>
  <si>
    <t xml:space="preserve">11971_20231231</t>
  </si>
  <si>
    <t xml:space="preserve">12874_20231231</t>
  </si>
  <si>
    <t xml:space="preserve">13063_20231231</t>
  </si>
  <si>
    <t xml:space="preserve">14134_20231231</t>
  </si>
  <si>
    <t xml:space="preserve">14136_20231231</t>
  </si>
  <si>
    <t xml:space="preserve">14140_20231231</t>
  </si>
  <si>
    <t xml:space="preserve">14158_20231231</t>
  </si>
  <si>
    <t xml:space="preserve">14168_20231231</t>
  </si>
  <si>
    <t xml:space="preserve">14240_20231231</t>
  </si>
  <si>
    <t xml:space="preserve">17115_20231231</t>
  </si>
  <si>
    <t xml:space="preserve">17180_20231231</t>
  </si>
  <si>
    <t xml:space="preserve">17443_20231231</t>
  </si>
  <si>
    <t xml:space="preserve">17658_20231231</t>
  </si>
  <si>
    <t xml:space="preserve">17741_20231231</t>
  </si>
  <si>
    <t xml:space="preserve">17743_20231231</t>
  </si>
  <si>
    <t xml:space="preserve">17748_20231231</t>
  </si>
  <si>
    <t xml:space="preserve">17749_20231231</t>
  </si>
  <si>
    <t xml:space="preserve">17751_20231231</t>
  </si>
  <si>
    <t xml:space="preserve">17897_20231231</t>
  </si>
  <si>
    <t xml:space="preserve">17951_20231231</t>
  </si>
  <si>
    <t xml:space="preserve">17960_20231231</t>
  </si>
  <si>
    <t xml:space="preserve">18012_20231231</t>
  </si>
  <si>
    <t xml:space="preserve">18013_20231231</t>
  </si>
  <si>
    <t xml:space="preserve">18028_20231231</t>
  </si>
  <si>
    <t xml:space="preserve">18030_20231231</t>
  </si>
  <si>
    <t xml:space="preserve">18031_20231231</t>
  </si>
  <si>
    <t xml:space="preserve">18038_20231231</t>
  </si>
  <si>
    <t xml:space="preserve">18408_20231231</t>
  </si>
  <si>
    <t xml:space="preserve">19531_20231231</t>
  </si>
  <si>
    <t xml:space="preserve">19532_20231231</t>
  </si>
  <si>
    <t xml:space="preserve">19690_20231231</t>
  </si>
  <si>
    <t xml:space="preserve">19836_20231231</t>
  </si>
  <si>
    <t xml:space="preserve">24540_20231231</t>
  </si>
  <si>
    <t xml:space="preserve">27824_20231231</t>
  </si>
  <si>
    <t xml:space="preserve">28155_20231231</t>
  </si>
  <si>
    <t xml:space="preserve">28288_20231231</t>
  </si>
  <si>
    <t xml:space="preserve">28369_20231231</t>
  </si>
  <si>
    <t xml:space="preserve">28837_20231231</t>
  </si>
  <si>
    <t xml:space="preserve">29636_20231231</t>
  </si>
  <si>
    <t xml:space="preserve">29743_20231231</t>
  </si>
  <si>
    <t xml:space="preserve">29744_20231231</t>
  </si>
  <si>
    <t xml:space="preserve">30350_20231231</t>
  </si>
  <si>
    <t xml:space="preserve">30878_20231231</t>
  </si>
  <si>
    <t xml:space="preserve">33418_20231231</t>
  </si>
  <si>
    <t xml:space="preserve">35206_20231231</t>
  </si>
  <si>
    <t xml:space="preserve">4255_20231231</t>
  </si>
  <si>
    <t xml:space="preserve">4256_20231231</t>
  </si>
  <si>
    <t xml:space="preserve">59086_20231231</t>
  </si>
  <si>
    <t xml:space="preserve">59176_20231231</t>
  </si>
  <si>
    <t xml:space="preserve">59289_20231231</t>
  </si>
  <si>
    <t xml:space="preserve">59298_20231231</t>
  </si>
  <si>
    <t xml:space="preserve">6271_20231231</t>
  </si>
  <si>
    <t xml:space="preserve">6275_20231231</t>
  </si>
  <si>
    <t xml:space="preserve">6280_20231231</t>
  </si>
  <si>
    <t xml:space="preserve">11971_20240331</t>
  </si>
  <si>
    <t xml:space="preserve">12874_20240331</t>
  </si>
  <si>
    <t xml:space="preserve">13063_20240331</t>
  </si>
  <si>
    <t xml:space="preserve">14134_20240331</t>
  </si>
  <si>
    <t xml:space="preserve">14136_20240331</t>
  </si>
  <si>
    <t xml:space="preserve">14140_20240331</t>
  </si>
  <si>
    <t xml:space="preserve">14158_20240331</t>
  </si>
  <si>
    <t xml:space="preserve">14168_20240331</t>
  </si>
  <si>
    <t xml:space="preserve">14240_20240331</t>
  </si>
  <si>
    <t xml:space="preserve">17115_20240331</t>
  </si>
  <si>
    <t xml:space="preserve">17180_20240331</t>
  </si>
  <si>
    <t xml:space="preserve">17443_20240331</t>
  </si>
  <si>
    <t xml:space="preserve">17658_20240331</t>
  </si>
  <si>
    <t xml:space="preserve">17741_20240331</t>
  </si>
  <si>
    <t xml:space="preserve">17743_20240331</t>
  </si>
  <si>
    <t xml:space="preserve">17748_20240331</t>
  </si>
  <si>
    <t xml:space="preserve">17749_20240331</t>
  </si>
  <si>
    <t xml:space="preserve">17751_20240331</t>
  </si>
  <si>
    <t xml:space="preserve">17897_20240331</t>
  </si>
  <si>
    <t xml:space="preserve">17951_20240331</t>
  </si>
  <si>
    <t xml:space="preserve">17960_20240331</t>
  </si>
  <si>
    <t xml:space="preserve">18012_20240331</t>
  </si>
  <si>
    <t xml:space="preserve">18013_20240331</t>
  </si>
  <si>
    <t xml:space="preserve">18028_20240331</t>
  </si>
  <si>
    <t xml:space="preserve">18030_20240331</t>
  </si>
  <si>
    <t xml:space="preserve">18031_20240331</t>
  </si>
  <si>
    <t xml:space="preserve">18038_20240331</t>
  </si>
  <si>
    <t xml:space="preserve">18408_20240331</t>
  </si>
  <si>
    <t xml:space="preserve">19531_20240331</t>
  </si>
  <si>
    <t xml:space="preserve">19532_20240331</t>
  </si>
  <si>
    <t xml:space="preserve">19690_20240331</t>
  </si>
  <si>
    <t xml:space="preserve">19836_20240331</t>
  </si>
  <si>
    <t xml:space="preserve">24540_20240331</t>
  </si>
  <si>
    <t xml:space="preserve">27824_20240331</t>
  </si>
  <si>
    <t xml:space="preserve">28155_20240331</t>
  </si>
  <si>
    <t xml:space="preserve">28288_20240331</t>
  </si>
  <si>
    <t xml:space="preserve">28369_20240331</t>
  </si>
  <si>
    <t xml:space="preserve">28837_20240331</t>
  </si>
  <si>
    <t xml:space="preserve">29636_20240331</t>
  </si>
  <si>
    <t xml:space="preserve">29743_20240331</t>
  </si>
  <si>
    <t xml:space="preserve">29744_20240331</t>
  </si>
  <si>
    <t xml:space="preserve">30350_20240331</t>
  </si>
  <si>
    <t xml:space="preserve">30878_20240331</t>
  </si>
  <si>
    <t xml:space="preserve">33418_20240331</t>
  </si>
  <si>
    <t xml:space="preserve">35206_20240331</t>
  </si>
  <si>
    <t xml:space="preserve">4255_20240331</t>
  </si>
  <si>
    <t xml:space="preserve">4256_20240331</t>
  </si>
  <si>
    <t xml:space="preserve">59086_20240331</t>
  </si>
  <si>
    <t xml:space="preserve">59176_20240331</t>
  </si>
  <si>
    <t xml:space="preserve">59289_20240331</t>
  </si>
  <si>
    <t xml:space="preserve">59298_20240331</t>
  </si>
  <si>
    <t xml:space="preserve">6271_20240331</t>
  </si>
  <si>
    <t xml:space="preserve">6275_20240331</t>
  </si>
  <si>
    <t xml:space="preserve">6280_20240331</t>
  </si>
  <si>
    <t xml:space="preserve">11971_20240630</t>
  </si>
  <si>
    <t xml:space="preserve">12874_20240630</t>
  </si>
  <si>
    <t xml:space="preserve">13063_20240630</t>
  </si>
  <si>
    <t xml:space="preserve">14134_20240630</t>
  </si>
  <si>
    <t xml:space="preserve">14136_20240630</t>
  </si>
  <si>
    <t xml:space="preserve">14140_20240630</t>
  </si>
  <si>
    <t xml:space="preserve">14158_20240630</t>
  </si>
  <si>
    <t xml:space="preserve">14168_20240630</t>
  </si>
  <si>
    <t xml:space="preserve">14240_20240630</t>
  </si>
  <si>
    <t xml:space="preserve">17115_20240630</t>
  </si>
  <si>
    <t xml:space="preserve">17180_20240630</t>
  </si>
  <si>
    <t xml:space="preserve">17443_20240630</t>
  </si>
  <si>
    <t xml:space="preserve">17658_20240630</t>
  </si>
  <si>
    <t xml:space="preserve">17741_20240630</t>
  </si>
  <si>
    <t xml:space="preserve">17743_20240630</t>
  </si>
  <si>
    <t xml:space="preserve">17748_20240630</t>
  </si>
  <si>
    <t xml:space="preserve">17749_20240630</t>
  </si>
  <si>
    <t xml:space="preserve">17751_20240630</t>
  </si>
  <si>
    <t xml:space="preserve">17897_20240630</t>
  </si>
  <si>
    <t xml:space="preserve">17951_20240630</t>
  </si>
  <si>
    <t xml:space="preserve">17960_20240630</t>
  </si>
  <si>
    <t xml:space="preserve">18012_20240630</t>
  </si>
  <si>
    <t xml:space="preserve">18013_20240630</t>
  </si>
  <si>
    <t xml:space="preserve">18028_20240630</t>
  </si>
  <si>
    <t xml:space="preserve">18030_20240630</t>
  </si>
  <si>
    <t xml:space="preserve">18031_20240630</t>
  </si>
  <si>
    <t xml:space="preserve">18038_20240630</t>
  </si>
  <si>
    <t xml:space="preserve">18408_20240630</t>
  </si>
  <si>
    <t xml:space="preserve">19531_20240630</t>
  </si>
  <si>
    <t xml:space="preserve">19532_20240630</t>
  </si>
  <si>
    <t xml:space="preserve">19690_20240630</t>
  </si>
  <si>
    <t xml:space="preserve">19836_20240630</t>
  </si>
  <si>
    <t xml:space="preserve">24540_20240630</t>
  </si>
  <si>
    <t xml:space="preserve">27824_20240630</t>
  </si>
  <si>
    <t xml:space="preserve">28155_20240630</t>
  </si>
  <si>
    <t xml:space="preserve">28288_20240630</t>
  </si>
  <si>
    <t xml:space="preserve">28369_20240630</t>
  </si>
  <si>
    <t xml:space="preserve">28837_20240630</t>
  </si>
  <si>
    <t xml:space="preserve">29636_20240630</t>
  </si>
  <si>
    <t xml:space="preserve">29743_20240630</t>
  </si>
  <si>
    <t xml:space="preserve">29744_20240630</t>
  </si>
  <si>
    <t xml:space="preserve">30350_20240630</t>
  </si>
  <si>
    <t xml:space="preserve">30878_20240630</t>
  </si>
  <si>
    <t xml:space="preserve">33418_20240630</t>
  </si>
  <si>
    <t xml:space="preserve">35206_20240630</t>
  </si>
  <si>
    <t xml:space="preserve">4255_20240630</t>
  </si>
  <si>
    <t xml:space="preserve">4256_20240630</t>
  </si>
  <si>
    <t xml:space="preserve">59086_20240630</t>
  </si>
  <si>
    <t xml:space="preserve">59176_20240630</t>
  </si>
  <si>
    <t xml:space="preserve">59289_20240630</t>
  </si>
  <si>
    <t xml:space="preserve">59298_20240630</t>
  </si>
  <si>
    <t xml:space="preserve">6271_20240630</t>
  </si>
  <si>
    <t xml:space="preserve">6275_20240630</t>
  </si>
  <si>
    <t xml:space="preserve">6280_20240630</t>
  </si>
  <si>
    <t xml:space="preserve">11971_20240930</t>
  </si>
  <si>
    <t xml:space="preserve">12874_20240930</t>
  </si>
  <si>
    <t xml:space="preserve">13063_20240930</t>
  </si>
  <si>
    <t xml:space="preserve">14134_20240930</t>
  </si>
  <si>
    <t xml:space="preserve">14136_20240930</t>
  </si>
  <si>
    <t xml:space="preserve">14140_20240930</t>
  </si>
  <si>
    <t xml:space="preserve">14158_20240930</t>
  </si>
  <si>
    <t xml:space="preserve">14168_20240930</t>
  </si>
  <si>
    <t xml:space="preserve">14240_20240930</t>
  </si>
  <si>
    <t xml:space="preserve">17115_20240930</t>
  </si>
  <si>
    <t xml:space="preserve">17180_20240930</t>
  </si>
  <si>
    <t xml:space="preserve">17443_20240930</t>
  </si>
  <si>
    <t xml:space="preserve">17658_20240930</t>
  </si>
  <si>
    <t xml:space="preserve">17741_20240930</t>
  </si>
  <si>
    <t xml:space="preserve">17743_20240930</t>
  </si>
  <si>
    <t xml:space="preserve">17748_20240930</t>
  </si>
  <si>
    <t xml:space="preserve">17749_20240930</t>
  </si>
  <si>
    <t xml:space="preserve">17751_20240930</t>
  </si>
  <si>
    <t xml:space="preserve">17897_20240930</t>
  </si>
  <si>
    <t xml:space="preserve">17951_20240930</t>
  </si>
  <si>
    <t xml:space="preserve">17960_20240930</t>
  </si>
  <si>
    <t xml:space="preserve">18012_20240930</t>
  </si>
  <si>
    <t xml:space="preserve">18013_20240930</t>
  </si>
  <si>
    <t xml:space="preserve">18028_20240930</t>
  </si>
  <si>
    <t xml:space="preserve">18030_20240930</t>
  </si>
  <si>
    <t xml:space="preserve">18031_20240930</t>
  </si>
  <si>
    <t xml:space="preserve">18038_20240930</t>
  </si>
  <si>
    <t xml:space="preserve">18408_20240930</t>
  </si>
  <si>
    <t xml:space="preserve">19531_20240930</t>
  </si>
  <si>
    <t xml:space="preserve">19532_20240930</t>
  </si>
  <si>
    <t xml:space="preserve">19690_20240930</t>
  </si>
  <si>
    <t xml:space="preserve">19836_20240930</t>
  </si>
  <si>
    <t xml:space="preserve">24540_20240930</t>
  </si>
  <si>
    <t xml:space="preserve">27824_20240930</t>
  </si>
  <si>
    <t xml:space="preserve">28155_20240930</t>
  </si>
  <si>
    <t xml:space="preserve">28288_20240930</t>
  </si>
  <si>
    <t xml:space="preserve">28369_20240930</t>
  </si>
  <si>
    <t xml:space="preserve">28837_20240930</t>
  </si>
  <si>
    <t xml:space="preserve">29636_20240930</t>
  </si>
  <si>
    <t xml:space="preserve">29743_20240930</t>
  </si>
  <si>
    <t xml:space="preserve">29744_20240930</t>
  </si>
  <si>
    <t xml:space="preserve">30350_20240930</t>
  </si>
  <si>
    <t xml:space="preserve">30878_20240930</t>
  </si>
  <si>
    <t xml:space="preserve">33418_20240930</t>
  </si>
  <si>
    <t xml:space="preserve">35206_20240930</t>
  </si>
  <si>
    <t xml:space="preserve">4255_20240930</t>
  </si>
  <si>
    <t xml:space="preserve">4256_20240930</t>
  </si>
  <si>
    <t xml:space="preserve">59086_20240930</t>
  </si>
  <si>
    <t xml:space="preserve">59176_20240930</t>
  </si>
  <si>
    <t xml:space="preserve">59289_20240930</t>
  </si>
  <si>
    <t xml:space="preserve">59298_20240930</t>
  </si>
  <si>
    <t xml:space="preserve">6271_20240930</t>
  </si>
  <si>
    <t xml:space="preserve">6275_20240930</t>
  </si>
  <si>
    <t xml:space="preserve">6280_20240930</t>
  </si>
  <si>
    <t xml:space="preserve">11971_20241231</t>
  </si>
  <si>
    <t xml:space="preserve">12874_20241231</t>
  </si>
  <si>
    <t xml:space="preserve">13063_20241231</t>
  </si>
  <si>
    <t xml:space="preserve">14134_20241231</t>
  </si>
  <si>
    <t xml:space="preserve">14136_20241231</t>
  </si>
  <si>
    <t xml:space="preserve">14140_20241231</t>
  </si>
  <si>
    <t xml:space="preserve">14158_20241231</t>
  </si>
  <si>
    <t xml:space="preserve">14168_20241231</t>
  </si>
  <si>
    <t xml:space="preserve">14240_20241231</t>
  </si>
  <si>
    <t xml:space="preserve">17115_20241231</t>
  </si>
  <si>
    <t xml:space="preserve">17180_20241231</t>
  </si>
  <si>
    <t xml:space="preserve">17443_20241231</t>
  </si>
  <si>
    <t xml:space="preserve">17658_20241231</t>
  </si>
  <si>
    <t xml:space="preserve">17741_20241231</t>
  </si>
  <si>
    <t xml:space="preserve">17743_20241231</t>
  </si>
  <si>
    <t xml:space="preserve">17748_20241231</t>
  </si>
  <si>
    <t xml:space="preserve">17749_20241231</t>
  </si>
  <si>
    <t xml:space="preserve">17751_20241231</t>
  </si>
  <si>
    <t xml:space="preserve">17897_20241231</t>
  </si>
  <si>
    <t xml:space="preserve">17951_20241231</t>
  </si>
  <si>
    <t xml:space="preserve">17960_20241231</t>
  </si>
  <si>
    <t xml:space="preserve">18012_20241231</t>
  </si>
  <si>
    <t xml:space="preserve">18013_20241231</t>
  </si>
  <si>
    <t xml:space="preserve">18028_20241231</t>
  </si>
  <si>
    <t xml:space="preserve">18030_20241231</t>
  </si>
  <si>
    <t xml:space="preserve">18031_20241231</t>
  </si>
  <si>
    <t xml:space="preserve">18038_20241231</t>
  </si>
  <si>
    <t xml:space="preserve">18408_20241231</t>
  </si>
  <si>
    <t xml:space="preserve">19531_20241231</t>
  </si>
  <si>
    <t xml:space="preserve">19532_20241231</t>
  </si>
  <si>
    <t xml:space="preserve">19690_20241231</t>
  </si>
  <si>
    <t xml:space="preserve">19836_20241231</t>
  </si>
  <si>
    <t xml:space="preserve">24540_20241231</t>
  </si>
  <si>
    <t xml:space="preserve">27824_20241231</t>
  </si>
  <si>
    <t xml:space="preserve">28155_20241231</t>
  </si>
  <si>
    <t xml:space="preserve">28288_20241231</t>
  </si>
  <si>
    <t xml:space="preserve">28369_20241231</t>
  </si>
  <si>
    <t xml:space="preserve">28837_20241231</t>
  </si>
  <si>
    <t xml:space="preserve">29636_20241231</t>
  </si>
  <si>
    <t xml:space="preserve">29743_20241231</t>
  </si>
  <si>
    <t xml:space="preserve">29744_20241231</t>
  </si>
  <si>
    <t xml:space="preserve">30350_20241231</t>
  </si>
  <si>
    <t xml:space="preserve">30878_20241231</t>
  </si>
  <si>
    <t xml:space="preserve">33418_20241231</t>
  </si>
  <si>
    <t xml:space="preserve">35206_20241231</t>
  </si>
  <si>
    <t xml:space="preserve">4255_20241231</t>
  </si>
  <si>
    <t xml:space="preserve">4256_20241231</t>
  </si>
  <si>
    <t xml:space="preserve">59086_20241231</t>
  </si>
  <si>
    <t xml:space="preserve">59176_20241231</t>
  </si>
  <si>
    <t xml:space="preserve">59289_20241231</t>
  </si>
  <si>
    <t xml:space="preserve">59298_20241231</t>
  </si>
  <si>
    <t xml:space="preserve">6271_20241231</t>
  </si>
  <si>
    <t xml:space="preserve">6275_20241231</t>
  </si>
  <si>
    <t xml:space="preserve">6280_20241231</t>
  </si>
  <si>
    <t xml:space="preserve">11971_20250331</t>
  </si>
  <si>
    <t xml:space="preserve">12874_20250331</t>
  </si>
  <si>
    <t xml:space="preserve">13063_20250331</t>
  </si>
  <si>
    <t xml:space="preserve">14134_20250331</t>
  </si>
  <si>
    <t xml:space="preserve">14136_20250331</t>
  </si>
  <si>
    <t xml:space="preserve">14140_20250331</t>
  </si>
  <si>
    <t xml:space="preserve">14158_20250331</t>
  </si>
  <si>
    <t xml:space="preserve">14168_20250331</t>
  </si>
  <si>
    <t xml:space="preserve">17115_20250331</t>
  </si>
  <si>
    <t xml:space="preserve">17180_20250331</t>
  </si>
  <si>
    <t xml:space="preserve">17443_20250331</t>
  </si>
  <si>
    <t xml:space="preserve">17658_20250331</t>
  </si>
  <si>
    <t xml:space="preserve">17741_20250331</t>
  </si>
  <si>
    <t xml:space="preserve">17743_20250331</t>
  </si>
  <si>
    <t xml:space="preserve">17749_20250331</t>
  </si>
  <si>
    <t xml:space="preserve">17751_20250331</t>
  </si>
  <si>
    <t xml:space="preserve">17897_20250331</t>
  </si>
  <si>
    <t xml:space="preserve">17951_20250331</t>
  </si>
  <si>
    <t xml:space="preserve">17960_20250331</t>
  </si>
  <si>
    <t xml:space="preserve">18012_20250331</t>
  </si>
  <si>
    <t xml:space="preserve">18013_20250331</t>
  </si>
  <si>
    <t xml:space="preserve">18028_20250331</t>
  </si>
  <si>
    <t xml:space="preserve">18030_20250331</t>
  </si>
  <si>
    <t xml:space="preserve">18031_20250331</t>
  </si>
  <si>
    <t xml:space="preserve">18038_20250331</t>
  </si>
  <si>
    <t xml:space="preserve">18408_20250331</t>
  </si>
  <si>
    <t xml:space="preserve">19531_20250331</t>
  </si>
  <si>
    <t xml:space="preserve">19532_20250331</t>
  </si>
  <si>
    <t xml:space="preserve">19690_20250331</t>
  </si>
  <si>
    <t xml:space="preserve">19836_20250331</t>
  </si>
  <si>
    <t xml:space="preserve">24540_20250331</t>
  </si>
  <si>
    <t xml:space="preserve">27824_20250331</t>
  </si>
  <si>
    <t xml:space="preserve">28155_20250331</t>
  </si>
  <si>
    <t xml:space="preserve">28288_20250331</t>
  </si>
  <si>
    <t xml:space="preserve">28369_20250331</t>
  </si>
  <si>
    <t xml:space="preserve">28837_20250331</t>
  </si>
  <si>
    <t xml:space="preserve">29636_20250331</t>
  </si>
  <si>
    <t xml:space="preserve">29743_20250331</t>
  </si>
  <si>
    <t xml:space="preserve">29744_20250331</t>
  </si>
  <si>
    <t xml:space="preserve">30350_20250331</t>
  </si>
  <si>
    <t xml:space="preserve">30878_20250331</t>
  </si>
  <si>
    <t xml:space="preserve">33418_20250331</t>
  </si>
  <si>
    <t xml:space="preserve">35206_20250331</t>
  </si>
  <si>
    <t xml:space="preserve">4255_20250331</t>
  </si>
  <si>
    <t xml:space="preserve">4256_20250331</t>
  </si>
  <si>
    <t xml:space="preserve">59086_20250331</t>
  </si>
  <si>
    <t xml:space="preserve">59176_20250331</t>
  </si>
  <si>
    <t xml:space="preserve">59289_20250331</t>
  </si>
  <si>
    <t xml:space="preserve">59298_20250331</t>
  </si>
  <si>
    <t xml:space="preserve">6271_20250331</t>
  </si>
  <si>
    <t xml:space="preserve">6275_20250331</t>
  </si>
  <si>
    <t xml:space="preserve">6280_20250331</t>
  </si>
  <si>
    <t xml:space="preserve">11971_20250630</t>
  </si>
  <si>
    <t xml:space="preserve">12874_20250630</t>
  </si>
  <si>
    <t xml:space="preserve">13063_20250630</t>
  </si>
  <si>
    <t xml:space="preserve">14134_20250630</t>
  </si>
  <si>
    <t xml:space="preserve">14136_20250630</t>
  </si>
  <si>
    <t xml:space="preserve">14140_20250630</t>
  </si>
  <si>
    <t xml:space="preserve">14158_20250630</t>
  </si>
  <si>
    <t xml:space="preserve">14168_20250630</t>
  </si>
  <si>
    <t xml:space="preserve">17115_20250630</t>
  </si>
  <si>
    <t xml:space="preserve">17180_20250630</t>
  </si>
  <si>
    <t xml:space="preserve">17443_20250630</t>
  </si>
  <si>
    <t xml:space="preserve">17658_20250630</t>
  </si>
  <si>
    <t xml:space="preserve">17741_20250630</t>
  </si>
  <si>
    <t xml:space="preserve">17743_20250630</t>
  </si>
  <si>
    <t xml:space="preserve">17749_20250630</t>
  </si>
  <si>
    <t xml:space="preserve">17751_20250630</t>
  </si>
  <si>
    <t xml:space="preserve">17897_20250630</t>
  </si>
  <si>
    <t xml:space="preserve">17951_20250630</t>
  </si>
  <si>
    <t xml:space="preserve">17960_20250630</t>
  </si>
  <si>
    <t xml:space="preserve">18012_20250630</t>
  </si>
  <si>
    <t xml:space="preserve">18013_20250630</t>
  </si>
  <si>
    <t xml:space="preserve">18028_20250630</t>
  </si>
  <si>
    <t xml:space="preserve">18030_20250630</t>
  </si>
  <si>
    <t xml:space="preserve">18031_20250630</t>
  </si>
  <si>
    <t xml:space="preserve">18038_20250630</t>
  </si>
  <si>
    <t xml:space="preserve">18408_20250630</t>
  </si>
  <si>
    <t xml:space="preserve">19531_20250630</t>
  </si>
  <si>
    <t xml:space="preserve">19532_20250630</t>
  </si>
  <si>
    <t xml:space="preserve">19690_20250630</t>
  </si>
  <si>
    <t xml:space="preserve">19836_20250630</t>
  </si>
  <si>
    <t xml:space="preserve">24540_20250630</t>
  </si>
  <si>
    <t xml:space="preserve">27824_20250630</t>
  </si>
  <si>
    <t xml:space="preserve">28155_20250630</t>
  </si>
  <si>
    <t xml:space="preserve">28288_20250630</t>
  </si>
  <si>
    <t xml:space="preserve">28369_20250630</t>
  </si>
  <si>
    <t xml:space="preserve">28837_20250630</t>
  </si>
  <si>
    <t xml:space="preserve">29636_20250630</t>
  </si>
  <si>
    <t xml:space="preserve">29743_20250630</t>
  </si>
  <si>
    <t xml:space="preserve">29744_20250630</t>
  </si>
  <si>
    <t xml:space="preserve">30350_20250630</t>
  </si>
  <si>
    <t xml:space="preserve">30878_20250630</t>
  </si>
  <si>
    <t xml:space="preserve">33418_20250630</t>
  </si>
  <si>
    <t xml:space="preserve">35206_20250630</t>
  </si>
  <si>
    <t xml:space="preserve">4255_20250630</t>
  </si>
  <si>
    <t xml:space="preserve">4256_20250630</t>
  </si>
  <si>
    <t xml:space="preserve">59086_20250630</t>
  </si>
  <si>
    <t xml:space="preserve">59176_20250630</t>
  </si>
  <si>
    <t xml:space="preserve">59289_20250630</t>
  </si>
  <si>
    <t xml:space="preserve">59298_20250630</t>
  </si>
  <si>
    <t xml:space="preserve">6271_20250630</t>
  </si>
  <si>
    <t xml:space="preserve">6275_20250630</t>
  </si>
  <si>
    <t xml:space="preserve">6280_20250630</t>
  </si>
  <si>
    <t xml:space="preserve">proxy_valid</t>
  </si>
  <si>
    <t xml:space="preserve">proxy_numerator</t>
  </si>
  <si>
    <t xml:space="preserve">proxy_pct</t>
  </si>
  <si>
    <t xml:space="preserve">amount_changed</t>
  </si>
  <si>
    <t xml:space="preserve">capital_zero_note</t>
  </si>
  <si>
    <t xml:space="preserve">RE_loan_share_pct</t>
  </si>
  <si>
    <t xml:space="preserve">equity_asset_pct</t>
  </si>
  <si>
    <t xml:space="preserve">start_row</t>
  </si>
  <si>
    <t xml:space="preserve">end_row</t>
  </si>
  <si>
    <t xml:space="preserve">start_valid</t>
  </si>
  <si>
    <t xml:space="preserve">end_valid</t>
  </si>
  <si>
    <t xml:space="preserve">start_state</t>
  </si>
  <si>
    <t xml:space="preserve">end_state</t>
  </si>
  <si>
    <t xml:space="preserve">start_asset</t>
  </si>
  <si>
    <t xml:space="preserve">start_num</t>
  </si>
  <si>
    <t xml:space="preserve">start_proxy</t>
  </si>
  <si>
    <t xml:space="preserve">end_asset</t>
  </si>
  <si>
    <t xml:space="preserve">end_num</t>
  </si>
  <si>
    <t xml:space="preserve">end_proxy</t>
  </si>
  <si>
    <t xml:space="preserve">common</t>
  </si>
  <si>
    <t xml:space="preserve">weight</t>
  </si>
  <si>
    <t xml:space="preserve">weighted_start</t>
  </si>
  <si>
    <t xml:space="preserve">weighted_end</t>
  </si>
  <si>
    <t xml:space="preserve">end_global_rank</t>
  </si>
  <si>
    <t xml:space="preserve">state_leader</t>
  </si>
  <si>
    <t xml:space="preserve">fill_rank</t>
  </si>
  <si>
    <t xml:space="preserve">allocation_order</t>
  </si>
  <si>
    <t xml:space="preserve">bank</t>
  </si>
  <si>
    <t xml:space="preserve">entering</t>
  </si>
  <si>
    <t xml:space="preserve">exiting</t>
  </si>
  <si>
    <t xml:space="preserve">entering_assets</t>
  </si>
  <si>
    <t xml:space="preserve">exiting_assets</t>
  </si>
  <si>
    <t xml:space="preserve">state</t>
  </si>
  <si>
    <t xml:space="preserve">start_banks</t>
  </si>
  <si>
    <t xml:space="preserve">end_banks</t>
  </si>
  <si>
    <t xml:space="preserve">common_banks</t>
  </si>
  <si>
    <t xml:space="preserve">observed_start_pct</t>
  </si>
  <si>
    <t xml:space="preserve">observed_end_pct</t>
  </si>
  <si>
    <t xml:space="preserve">observed_change_pp</t>
  </si>
  <si>
    <t xml:space="preserve">fixed_start_pct</t>
  </si>
  <si>
    <t xml:space="preserve">fixed_end_pct</t>
  </si>
  <si>
    <t xml:space="preserve">fixed_change_pp</t>
  </si>
  <si>
    <t xml:space="preserve">scope_reweight_residual_pp</t>
  </si>
  <si>
    <t xml:space="preserve">entering_N</t>
  </si>
  <si>
    <t xml:space="preserve">exiting_N</t>
  </si>
  <si>
    <t xml:space="preserve">entering_end_assets</t>
  </si>
  <si>
    <t xml:space="preserve">exiting_start_assets</t>
  </si>
  <si>
    <t xml:space="preserve">entering_CERT</t>
  </si>
  <si>
    <t xml:space="preserve">exiting_CERT</t>
  </si>
  <si>
    <t xml:space="preserve">ALL</t>
  </si>
  <si>
    <t xml:space="preserve">banks</t>
  </si>
  <si>
    <t xml:space="preserve">ASSET_thousand</t>
  </si>
  <si>
    <t xml:space="preserve">proxy_numerator_thousand</t>
  </si>
  <si>
    <t xml:space="preserve">rank</t>
  </si>
  <si>
    <t xml:space="preserve">prior_proxy_pct</t>
  </si>
  <si>
    <t xml:space="preserve">change_pp</t>
  </si>
  <si>
    <t xml:space="preserve">ROA_pct</t>
  </si>
  <si>
    <t xml:space="preserve">RBCRWAJ_pct</t>
  </si>
  <si>
    <t xml:space="preserve">prior_source_row</t>
  </si>
  <si>
    <t xml:space="preserve">reason</t>
  </si>
  <si>
    <t xml:space="preserve">request</t>
  </si>
  <si>
    <t xml:space="preserve">owner</t>
  </si>
  <si>
    <t xml:space="preserve">due</t>
  </si>
  <si>
    <t xml:space="preserve">capital_note</t>
  </si>
  <si>
    <t xml:space="preserve">calc_row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</si>
</sst>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SC"/>
      <family val="2"/>
    </font>
    <font>
      <b val="true"/>
      <sz val="11"/>
      <color rgb="FFFFFFFF"/>
      <name val="Cambria"/>
      <family val="0"/>
      <charset val="1"/>
    </font>
    <font>
      <sz val="11"/>
      <color rgb="FF000000"/>
      <name val="Noto Sans SC"/>
      <family val="2"/>
    </font>
  </fonts>
  <fills count="3">
    <fill>
      <patternFill patternType="none"/>
    </fill>
    <fill>
      <patternFill patternType="gray125"/>
    </fill>
    <fill>
      <patternFill patternType="solid">
        <fgColor rgb="FF264B68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64B6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64B6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45"/>
    <col collapsed="false" customWidth="true" hidden="false" outlineLevel="0" max="3" min="3" style="0" width="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0" t="n">
        <v>20240630</v>
      </c>
      <c r="C2" s="0" t="s">
        <v>4</v>
      </c>
    </row>
    <row r="3" customFormat="false" ht="15" hidden="false" customHeight="false" outlineLevel="0" collapsed="false">
      <c r="A3" s="2" t="s">
        <v>5</v>
      </c>
      <c r="B3" s="0" t="n">
        <v>20250630</v>
      </c>
      <c r="C3" s="0" t="s">
        <v>6</v>
      </c>
    </row>
    <row r="4" customFormat="false" ht="15" hidden="false" customHeight="false" outlineLevel="0" collapsed="false">
      <c r="A4" s="2" t="s">
        <v>7</v>
      </c>
      <c r="B4" s="0" t="n">
        <v>8</v>
      </c>
      <c r="C4" s="0" t="s">
        <v>8</v>
      </c>
    </row>
    <row r="5" customFormat="false" ht="15" hidden="false" customHeight="false" outlineLevel="0" collapsed="false">
      <c r="A5" s="2" t="s">
        <v>9</v>
      </c>
      <c r="B5" s="3" t="b">
        <f aca="false">AND(COUNTIF(Periods!$A$2:$A$15,WF_START_PERIOD)=1,COUNTIF(Periods!$A$2:$A$15,WF_END_PERIOD)=1,WF_START_PERIOD&lt;WF_END_PERIOD,ISNUMBER(WF_REVIEW_SLOTS),WF_REVIEW_SLOTS=INT(WF_REVIEW_SLOTS),WF_REVIEW_SLOTS&gt;=3,WF_REVIEW_SLOTS&lt;=12,SUM(BankCalc!$E$2:$E$55)&gt;=WF_REVIEW_SLOTS,COUNTIFS(BankCalc!$G$2:$G$55,"VT",BankCalc!$E$2:$E$55,1)&gt;0,COUNTIFS(BankCalc!$G$2:$G$55,"NH",BankCalc!$E$2:$E$55,1)&gt;0,COUNTIFS(BankCalc!$G$2:$G$55,"ME",BankCalc!$E$2:$E$55,1)&gt;0)</f>
        <v>1</v>
      </c>
      <c r="C5" s="0" t="s">
        <v>10</v>
      </c>
    </row>
    <row r="6" customFormat="false" ht="15" hidden="false" customHeight="false" outlineLevel="0" collapsed="false">
      <c r="A6" s="2" t="s">
        <v>11</v>
      </c>
      <c r="B6" s="3" t="b">
        <f aca="false">SUM(RawFinancials!$AD$2:$AD$747)=0</f>
        <v>1</v>
      </c>
      <c r="C6" s="2" t="s">
        <v>12</v>
      </c>
    </row>
    <row r="7" customFormat="false" ht="15" hidden="false" customHeight="false" outlineLevel="0" collapsed="false">
      <c r="A7" s="2" t="s">
        <v>13</v>
      </c>
      <c r="B7" s="3" t="b">
        <f aca="false">AND(WF_START_PERIOD=20240630,WF_END_PERIOD=20250630,WF_REVIEW_SLOTS=8,WF_RAW_UNCHANGED)</f>
        <v>1</v>
      </c>
      <c r="C7" s="0" t="s">
        <v>14</v>
      </c>
    </row>
    <row r="8" customFormat="false" ht="15" hidden="false" customHeight="false" outlineLevel="0" collapsed="false">
      <c r="A8" s="2" t="s">
        <v>15</v>
      </c>
      <c r="B8" s="0" t="n">
        <f aca="false">COUNT(Priority!$B$2:$B$13)</f>
        <v>8</v>
      </c>
      <c r="C8" s="0" t="s">
        <v>16</v>
      </c>
    </row>
    <row r="9" customFormat="false" ht="15" hidden="false" customHeight="false" outlineLevel="0" collapsed="false">
      <c r="A9" s="2" t="s">
        <v>17</v>
      </c>
      <c r="B9" s="2" t="s">
        <v>18</v>
      </c>
      <c r="C9" s="0" t="s">
        <v>19</v>
      </c>
    </row>
    <row r="10" customFormat="false" ht="15" hidden="false" customHeight="false" outlineLevel="0" collapsed="false">
      <c r="A10" s="2" t="s">
        <v>20</v>
      </c>
      <c r="B10" s="0" t="s">
        <v>21</v>
      </c>
      <c r="C10" s="0" t="s">
        <v>22</v>
      </c>
    </row>
    <row r="11" customFormat="false" ht="15" hidden="false" customHeight="false" outlineLevel="0" collapsed="false">
      <c r="A11" s="2" t="s">
        <v>23</v>
      </c>
      <c r="B11" s="0" t="str">
        <f aca="false">IF(WF_MODEL_VALID,"当前模型有效；解释仍需贷款级补证","输入无效，请修正季度或名额；不得使用旧名单")</f>
        <v>当前模型有效；解释仍需贷款级补证</v>
      </c>
      <c r="C11" s="2" t="s">
        <v>24</v>
      </c>
    </row>
  </sheetData>
  <autoFilter ref="A1:C11"/>
  <dataValidations count="2">
    <dataValidation allowBlank="false" errorStyle="stop" operator="between" showDropDown="false" showErrorMessage="false" showInputMessage="false" sqref="B2:B3" type="list">
      <formula1>Periods!$A$2:$A$15</formula1>
      <formula2>0</formula2>
    </dataValidation>
    <dataValidation allowBlank="false" errorStyle="stop" operator="between" showDropDown="false" showErrorMessage="false" showInputMessage="false" sqref="B4" type="whole">
      <formula1>3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9"/>
  </cols>
  <sheetData>
    <row r="1" customFormat="false" ht="31.5" hidden="false" customHeight="true" outlineLevel="0" collapsed="false">
      <c r="A1" s="4" t="s">
        <v>25</v>
      </c>
      <c r="B1" s="4" t="s">
        <v>26</v>
      </c>
      <c r="C1" s="4" t="s">
        <v>27</v>
      </c>
    </row>
    <row r="2" customFormat="false" ht="15" hidden="false" customHeight="false" outlineLevel="0" collapsed="false">
      <c r="A2" s="5" t="s">
        <v>28</v>
      </c>
      <c r="B2" s="5"/>
      <c r="C2" s="5" t="n">
        <v>746</v>
      </c>
    </row>
    <row r="3" customFormat="false" ht="15" hidden="false" customHeight="false" outlineLevel="0" collapsed="false">
      <c r="A3" s="5" t="s">
        <v>29</v>
      </c>
      <c r="B3" s="5"/>
      <c r="C3" s="5" t="n">
        <v>54</v>
      </c>
    </row>
    <row r="4" customFormat="false" ht="15" hidden="false" customHeight="false" outlineLevel="0" collapsed="false">
      <c r="A4" s="5" t="s">
        <v>30</v>
      </c>
      <c r="B4" s="5"/>
      <c r="C4" s="5" t="n">
        <v>14</v>
      </c>
    </row>
    <row r="5" customFormat="false" ht="15" hidden="false" customHeight="false" outlineLevel="0" collapsed="false">
      <c r="A5" s="5" t="s">
        <v>31</v>
      </c>
      <c r="B5" s="5"/>
      <c r="C5" s="5" t="n">
        <v>0</v>
      </c>
    </row>
    <row r="6" customFormat="false" ht="15" hidden="false" customHeight="false" outlineLevel="0" collapsed="false">
      <c r="A6" s="5" t="s">
        <v>32</v>
      </c>
      <c r="B6" s="5"/>
      <c r="C6" s="5" t="n">
        <v>355</v>
      </c>
    </row>
    <row r="7" customFormat="false" ht="15" hidden="false" customHeight="false" outlineLevel="0" collapsed="false">
      <c r="A7" s="5" t="s">
        <v>33</v>
      </c>
      <c r="B7" s="5"/>
      <c r="C7" s="5" t="n">
        <v>0</v>
      </c>
    </row>
    <row r="8" customFormat="false" ht="15" hidden="false" customHeight="false" outlineLevel="0" collapsed="false">
      <c r="A8" s="5" t="s">
        <v>34</v>
      </c>
      <c r="B8" s="5"/>
      <c r="C8" s="5" t="n">
        <v>0</v>
      </c>
    </row>
    <row r="9" customFormat="false" ht="15" hidden="false" customHeight="false" outlineLevel="0" collapsed="false">
      <c r="A9" s="5" t="s">
        <v>35</v>
      </c>
      <c r="B9" s="5"/>
      <c r="C9" s="5" t="n">
        <v>0</v>
      </c>
    </row>
    <row r="10" customFormat="false" ht="15" hidden="false" customHeight="false" outlineLevel="0" collapsed="false">
      <c r="A10" s="5" t="s">
        <v>36</v>
      </c>
      <c r="B10" s="5"/>
      <c r="C10" s="5" t="n">
        <v>0</v>
      </c>
    </row>
    <row r="11" customFormat="false" ht="15" hidden="false" customHeight="false" outlineLevel="0" collapsed="false">
      <c r="A11" s="5" t="s">
        <v>37</v>
      </c>
      <c r="B11" s="5"/>
      <c r="C11" s="5" t="n">
        <v>0</v>
      </c>
    </row>
    <row r="12" customFormat="false" ht="15" hidden="false" customHeight="false" outlineLevel="0" collapsed="false">
      <c r="A12" s="5" t="s">
        <v>38</v>
      </c>
      <c r="B12" s="5" t="n">
        <v>4255</v>
      </c>
      <c r="C12" s="5" t="s">
        <v>39</v>
      </c>
    </row>
    <row r="13" customFormat="false" ht="15" hidden="false" customHeight="false" outlineLevel="0" collapsed="false">
      <c r="A13" s="5" t="s">
        <v>38</v>
      </c>
      <c r="B13" s="5" t="n">
        <v>4256</v>
      </c>
      <c r="C13" s="5" t="s">
        <v>39</v>
      </c>
    </row>
    <row r="14" customFormat="false" ht="15" hidden="false" customHeight="false" outlineLevel="0" collapsed="false">
      <c r="A14" s="5" t="s">
        <v>38</v>
      </c>
      <c r="B14" s="5" t="n">
        <v>6271</v>
      </c>
      <c r="C14" s="5" t="s">
        <v>39</v>
      </c>
    </row>
    <row r="15" customFormat="false" ht="15" hidden="false" customHeight="false" outlineLevel="0" collapsed="false">
      <c r="A15" s="5" t="s">
        <v>38</v>
      </c>
      <c r="B15" s="5" t="n">
        <v>6275</v>
      </c>
      <c r="C15" s="5" t="s">
        <v>39</v>
      </c>
    </row>
    <row r="16" customFormat="false" ht="15" hidden="false" customHeight="false" outlineLevel="0" collapsed="false">
      <c r="A16" s="5" t="s">
        <v>38</v>
      </c>
      <c r="B16" s="5" t="n">
        <v>6280</v>
      </c>
      <c r="C16" s="5" t="s">
        <v>39</v>
      </c>
    </row>
    <row r="17" customFormat="false" ht="15" hidden="false" customHeight="false" outlineLevel="0" collapsed="false">
      <c r="A17" s="5" t="s">
        <v>38</v>
      </c>
      <c r="B17" s="5" t="n">
        <v>11971</v>
      </c>
      <c r="C17" s="5" t="s">
        <v>39</v>
      </c>
    </row>
    <row r="18" customFormat="false" ht="15" hidden="false" customHeight="false" outlineLevel="0" collapsed="false">
      <c r="A18" s="5" t="s">
        <v>38</v>
      </c>
      <c r="B18" s="5" t="n">
        <v>12874</v>
      </c>
      <c r="C18" s="5" t="s">
        <v>39</v>
      </c>
    </row>
    <row r="19" customFormat="false" ht="15" hidden="false" customHeight="false" outlineLevel="0" collapsed="false">
      <c r="A19" s="5" t="s">
        <v>38</v>
      </c>
      <c r="B19" s="5" t="n">
        <v>13063</v>
      </c>
      <c r="C19" s="5" t="s">
        <v>39</v>
      </c>
    </row>
    <row r="20" customFormat="false" ht="15" hidden="false" customHeight="false" outlineLevel="0" collapsed="false">
      <c r="A20" s="5" t="s">
        <v>38</v>
      </c>
      <c r="B20" s="5" t="n">
        <v>14134</v>
      </c>
      <c r="C20" s="5" t="s">
        <v>39</v>
      </c>
    </row>
    <row r="21" customFormat="false" ht="15" hidden="false" customHeight="false" outlineLevel="0" collapsed="false">
      <c r="A21" s="5" t="s">
        <v>38</v>
      </c>
      <c r="B21" s="5" t="n">
        <v>14136</v>
      </c>
      <c r="C21" s="5" t="s">
        <v>39</v>
      </c>
    </row>
    <row r="22" customFormat="false" ht="15" hidden="false" customHeight="false" outlineLevel="0" collapsed="false">
      <c r="A22" s="5" t="s">
        <v>38</v>
      </c>
      <c r="B22" s="5" t="n">
        <v>14140</v>
      </c>
      <c r="C22" s="5" t="s">
        <v>39</v>
      </c>
    </row>
    <row r="23" customFormat="false" ht="15" hidden="false" customHeight="false" outlineLevel="0" collapsed="false">
      <c r="A23" s="5" t="s">
        <v>38</v>
      </c>
      <c r="B23" s="5" t="n">
        <v>14158</v>
      </c>
      <c r="C23" s="5" t="s">
        <v>39</v>
      </c>
    </row>
    <row r="24" customFormat="false" ht="15" hidden="false" customHeight="false" outlineLevel="0" collapsed="false">
      <c r="A24" s="5" t="s">
        <v>38</v>
      </c>
      <c r="B24" s="5" t="n">
        <v>14168</v>
      </c>
      <c r="C24" s="5" t="s">
        <v>39</v>
      </c>
    </row>
    <row r="25" customFormat="false" ht="15" hidden="false" customHeight="false" outlineLevel="0" collapsed="false">
      <c r="A25" s="5" t="s">
        <v>38</v>
      </c>
      <c r="B25" s="5" t="n">
        <v>14240</v>
      </c>
      <c r="C25" s="5" t="s">
        <v>40</v>
      </c>
    </row>
    <row r="26" customFormat="false" ht="15" hidden="false" customHeight="false" outlineLevel="0" collapsed="false">
      <c r="A26" s="5" t="s">
        <v>38</v>
      </c>
      <c r="B26" s="5" t="n">
        <v>17115</v>
      </c>
      <c r="C26" s="5" t="s">
        <v>39</v>
      </c>
    </row>
    <row r="27" customFormat="false" ht="15" hidden="false" customHeight="false" outlineLevel="0" collapsed="false">
      <c r="A27" s="5" t="s">
        <v>38</v>
      </c>
      <c r="B27" s="5" t="n">
        <v>17180</v>
      </c>
      <c r="C27" s="5" t="s">
        <v>39</v>
      </c>
    </row>
    <row r="28" customFormat="false" ht="15" hidden="false" customHeight="false" outlineLevel="0" collapsed="false">
      <c r="A28" s="5" t="s">
        <v>38</v>
      </c>
      <c r="B28" s="5" t="n">
        <v>17443</v>
      </c>
      <c r="C28" s="5" t="s">
        <v>39</v>
      </c>
    </row>
    <row r="29" customFormat="false" ht="15" hidden="false" customHeight="false" outlineLevel="0" collapsed="false">
      <c r="A29" s="5" t="s">
        <v>38</v>
      </c>
      <c r="B29" s="5" t="n">
        <v>17658</v>
      </c>
      <c r="C29" s="5" t="s">
        <v>39</v>
      </c>
    </row>
    <row r="30" customFormat="false" ht="15" hidden="false" customHeight="false" outlineLevel="0" collapsed="false">
      <c r="A30" s="5" t="s">
        <v>38</v>
      </c>
      <c r="B30" s="5" t="n">
        <v>17741</v>
      </c>
      <c r="C30" s="5" t="s">
        <v>39</v>
      </c>
    </row>
    <row r="31" customFormat="false" ht="15" hidden="false" customHeight="false" outlineLevel="0" collapsed="false">
      <c r="A31" s="5" t="s">
        <v>38</v>
      </c>
      <c r="B31" s="5" t="n">
        <v>17743</v>
      </c>
      <c r="C31" s="5" t="s">
        <v>39</v>
      </c>
    </row>
    <row r="32" customFormat="false" ht="15" hidden="false" customHeight="false" outlineLevel="0" collapsed="false">
      <c r="A32" s="5" t="s">
        <v>38</v>
      </c>
      <c r="B32" s="5" t="n">
        <v>17748</v>
      </c>
      <c r="C32" s="5" t="s">
        <v>40</v>
      </c>
    </row>
    <row r="33" customFormat="false" ht="15" hidden="false" customHeight="false" outlineLevel="0" collapsed="false">
      <c r="A33" s="5" t="s">
        <v>38</v>
      </c>
      <c r="B33" s="5" t="n">
        <v>17749</v>
      </c>
      <c r="C33" s="5" t="s">
        <v>39</v>
      </c>
    </row>
    <row r="34" customFormat="false" ht="15" hidden="false" customHeight="false" outlineLevel="0" collapsed="false">
      <c r="A34" s="5" t="s">
        <v>38</v>
      </c>
      <c r="B34" s="5" t="n">
        <v>17751</v>
      </c>
      <c r="C34" s="5" t="s">
        <v>39</v>
      </c>
    </row>
    <row r="35" customFormat="false" ht="15" hidden="false" customHeight="false" outlineLevel="0" collapsed="false">
      <c r="A35" s="5" t="s">
        <v>38</v>
      </c>
      <c r="B35" s="5" t="n">
        <v>17897</v>
      </c>
      <c r="C35" s="5" t="s">
        <v>39</v>
      </c>
    </row>
    <row r="36" customFormat="false" ht="15" hidden="false" customHeight="false" outlineLevel="0" collapsed="false">
      <c r="A36" s="5" t="s">
        <v>38</v>
      </c>
      <c r="B36" s="5" t="n">
        <v>17951</v>
      </c>
      <c r="C36" s="5" t="s">
        <v>39</v>
      </c>
    </row>
    <row r="37" customFormat="false" ht="15" hidden="false" customHeight="false" outlineLevel="0" collapsed="false">
      <c r="A37" s="5" t="s">
        <v>38</v>
      </c>
      <c r="B37" s="5" t="n">
        <v>17960</v>
      </c>
      <c r="C37" s="5" t="s">
        <v>39</v>
      </c>
    </row>
    <row r="38" customFormat="false" ht="15" hidden="false" customHeight="false" outlineLevel="0" collapsed="false">
      <c r="A38" s="5" t="s">
        <v>38</v>
      </c>
      <c r="B38" s="5" t="n">
        <v>18012</v>
      </c>
      <c r="C38" s="5" t="s">
        <v>39</v>
      </c>
    </row>
    <row r="39" customFormat="false" ht="15" hidden="false" customHeight="false" outlineLevel="0" collapsed="false">
      <c r="A39" s="5" t="s">
        <v>38</v>
      </c>
      <c r="B39" s="5" t="n">
        <v>18013</v>
      </c>
      <c r="C39" s="5" t="s">
        <v>39</v>
      </c>
    </row>
    <row r="40" customFormat="false" ht="15" hidden="false" customHeight="false" outlineLevel="0" collapsed="false">
      <c r="A40" s="5" t="s">
        <v>38</v>
      </c>
      <c r="B40" s="5" t="n">
        <v>18028</v>
      </c>
      <c r="C40" s="5" t="s">
        <v>39</v>
      </c>
    </row>
    <row r="41" customFormat="false" ht="15" hidden="false" customHeight="false" outlineLevel="0" collapsed="false">
      <c r="A41" s="5" t="s">
        <v>38</v>
      </c>
      <c r="B41" s="5" t="n">
        <v>18030</v>
      </c>
      <c r="C41" s="5" t="s">
        <v>39</v>
      </c>
    </row>
    <row r="42" customFormat="false" ht="15" hidden="false" customHeight="false" outlineLevel="0" collapsed="false">
      <c r="A42" s="5" t="s">
        <v>38</v>
      </c>
      <c r="B42" s="5" t="n">
        <v>18031</v>
      </c>
      <c r="C42" s="5" t="s">
        <v>39</v>
      </c>
    </row>
    <row r="43" customFormat="false" ht="15" hidden="false" customHeight="false" outlineLevel="0" collapsed="false">
      <c r="A43" s="5" t="s">
        <v>38</v>
      </c>
      <c r="B43" s="5" t="n">
        <v>18038</v>
      </c>
      <c r="C43" s="5" t="s">
        <v>39</v>
      </c>
    </row>
    <row r="44" customFormat="false" ht="15" hidden="false" customHeight="false" outlineLevel="0" collapsed="false">
      <c r="A44" s="5" t="s">
        <v>38</v>
      </c>
      <c r="B44" s="5" t="n">
        <v>18408</v>
      </c>
      <c r="C44" s="5" t="s">
        <v>39</v>
      </c>
    </row>
    <row r="45" customFormat="false" ht="15" hidden="false" customHeight="false" outlineLevel="0" collapsed="false">
      <c r="A45" s="5" t="s">
        <v>38</v>
      </c>
      <c r="B45" s="5" t="n">
        <v>19531</v>
      </c>
      <c r="C45" s="5" t="s">
        <v>39</v>
      </c>
    </row>
    <row r="46" customFormat="false" ht="15" hidden="false" customHeight="false" outlineLevel="0" collapsed="false">
      <c r="A46" s="5" t="s">
        <v>38</v>
      </c>
      <c r="B46" s="5" t="n">
        <v>19532</v>
      </c>
      <c r="C46" s="5" t="s">
        <v>39</v>
      </c>
    </row>
    <row r="47" customFormat="false" ht="15" hidden="false" customHeight="false" outlineLevel="0" collapsed="false">
      <c r="A47" s="5" t="s">
        <v>38</v>
      </c>
      <c r="B47" s="5" t="n">
        <v>19690</v>
      </c>
      <c r="C47" s="5" t="s">
        <v>39</v>
      </c>
    </row>
    <row r="48" customFormat="false" ht="15" hidden="false" customHeight="false" outlineLevel="0" collapsed="false">
      <c r="A48" s="5" t="s">
        <v>38</v>
      </c>
      <c r="B48" s="5" t="n">
        <v>19836</v>
      </c>
      <c r="C48" s="5" t="s">
        <v>39</v>
      </c>
    </row>
    <row r="49" customFormat="false" ht="15" hidden="false" customHeight="false" outlineLevel="0" collapsed="false">
      <c r="A49" s="5" t="s">
        <v>38</v>
      </c>
      <c r="B49" s="5" t="n">
        <v>24540</v>
      </c>
      <c r="C49" s="5" t="s">
        <v>39</v>
      </c>
    </row>
    <row r="50" customFormat="false" ht="15" hidden="false" customHeight="false" outlineLevel="0" collapsed="false">
      <c r="A50" s="5" t="s">
        <v>38</v>
      </c>
      <c r="B50" s="5" t="n">
        <v>27824</v>
      </c>
      <c r="C50" s="5" t="s">
        <v>39</v>
      </c>
    </row>
    <row r="51" customFormat="false" ht="15" hidden="false" customHeight="false" outlineLevel="0" collapsed="false">
      <c r="A51" s="5" t="s">
        <v>38</v>
      </c>
      <c r="B51" s="5" t="n">
        <v>28155</v>
      </c>
      <c r="C51" s="5" t="s">
        <v>39</v>
      </c>
    </row>
    <row r="52" customFormat="false" ht="15" hidden="false" customHeight="false" outlineLevel="0" collapsed="false">
      <c r="A52" s="5" t="s">
        <v>38</v>
      </c>
      <c r="B52" s="5" t="n">
        <v>28288</v>
      </c>
      <c r="C52" s="5" t="s">
        <v>39</v>
      </c>
    </row>
    <row r="53" customFormat="false" ht="15" hidden="false" customHeight="false" outlineLevel="0" collapsed="false">
      <c r="A53" s="5" t="s">
        <v>38</v>
      </c>
      <c r="B53" s="5" t="n">
        <v>28369</v>
      </c>
      <c r="C53" s="5" t="s">
        <v>39</v>
      </c>
    </row>
    <row r="54" customFormat="false" ht="15" hidden="false" customHeight="false" outlineLevel="0" collapsed="false">
      <c r="A54" s="5" t="s">
        <v>38</v>
      </c>
      <c r="B54" s="5" t="n">
        <v>28837</v>
      </c>
      <c r="C54" s="5" t="s">
        <v>39</v>
      </c>
    </row>
    <row r="55" customFormat="false" ht="15" hidden="false" customHeight="false" outlineLevel="0" collapsed="false">
      <c r="A55" s="5" t="s">
        <v>38</v>
      </c>
      <c r="B55" s="5" t="n">
        <v>29636</v>
      </c>
      <c r="C55" s="5" t="s">
        <v>39</v>
      </c>
    </row>
    <row r="56" customFormat="false" ht="15" hidden="false" customHeight="false" outlineLevel="0" collapsed="false">
      <c r="A56" s="5" t="s">
        <v>38</v>
      </c>
      <c r="B56" s="5" t="n">
        <v>29743</v>
      </c>
      <c r="C56" s="5" t="s">
        <v>39</v>
      </c>
    </row>
    <row r="57" customFormat="false" ht="15" hidden="false" customHeight="false" outlineLevel="0" collapsed="false">
      <c r="A57" s="5" t="s">
        <v>38</v>
      </c>
      <c r="B57" s="5" t="n">
        <v>29744</v>
      </c>
      <c r="C57" s="5" t="s">
        <v>39</v>
      </c>
    </row>
    <row r="58" customFormat="false" ht="15" hidden="false" customHeight="false" outlineLevel="0" collapsed="false">
      <c r="A58" s="5" t="s">
        <v>38</v>
      </c>
      <c r="B58" s="5" t="n">
        <v>30350</v>
      </c>
      <c r="C58" s="5" t="s">
        <v>39</v>
      </c>
    </row>
    <row r="59" customFormat="false" ht="15" hidden="false" customHeight="false" outlineLevel="0" collapsed="false">
      <c r="A59" s="5" t="s">
        <v>38</v>
      </c>
      <c r="B59" s="5" t="n">
        <v>30878</v>
      </c>
      <c r="C59" s="5" t="s">
        <v>39</v>
      </c>
    </row>
    <row r="60" customFormat="false" ht="15" hidden="false" customHeight="false" outlineLevel="0" collapsed="false">
      <c r="A60" s="5" t="s">
        <v>38</v>
      </c>
      <c r="B60" s="5" t="n">
        <v>33418</v>
      </c>
      <c r="C60" s="5" t="s">
        <v>39</v>
      </c>
    </row>
    <row r="61" customFormat="false" ht="15" hidden="false" customHeight="false" outlineLevel="0" collapsed="false">
      <c r="A61" s="5" t="s">
        <v>38</v>
      </c>
      <c r="B61" s="5" t="n">
        <v>35206</v>
      </c>
      <c r="C61" s="5" t="s">
        <v>41</v>
      </c>
    </row>
    <row r="62" customFormat="false" ht="15" hidden="false" customHeight="false" outlineLevel="0" collapsed="false">
      <c r="A62" s="5" t="s">
        <v>38</v>
      </c>
      <c r="B62" s="5" t="n">
        <v>59086</v>
      </c>
      <c r="C62" s="5" t="s">
        <v>39</v>
      </c>
    </row>
    <row r="63" customFormat="false" ht="15" hidden="false" customHeight="false" outlineLevel="0" collapsed="false">
      <c r="A63" s="5" t="s">
        <v>38</v>
      </c>
      <c r="B63" s="5" t="n">
        <v>59176</v>
      </c>
      <c r="C63" s="5" t="s">
        <v>39</v>
      </c>
    </row>
    <row r="64" customFormat="false" ht="15" hidden="false" customHeight="false" outlineLevel="0" collapsed="false">
      <c r="A64" s="5" t="s">
        <v>38</v>
      </c>
      <c r="B64" s="5" t="n">
        <v>59289</v>
      </c>
      <c r="C64" s="5" t="s">
        <v>42</v>
      </c>
    </row>
    <row r="65" customFormat="false" ht="15" hidden="false" customHeight="false" outlineLevel="0" collapsed="false">
      <c r="A65" s="5" t="s">
        <v>38</v>
      </c>
      <c r="B65" s="5" t="n">
        <v>59298</v>
      </c>
      <c r="C65" s="5" t="s">
        <v>43</v>
      </c>
    </row>
    <row r="66" customFormat="false" ht="15" hidden="false" customHeight="false" outlineLevel="0" collapsed="false">
      <c r="A66" s="5" t="s">
        <v>44</v>
      </c>
      <c r="B66" s="5"/>
      <c r="C66" s="5" t="s">
        <v>45</v>
      </c>
    </row>
    <row r="67" customFormat="false" ht="15" hidden="false" customHeight="false" outlineLevel="0" collapsed="false">
      <c r="A67" s="5" t="s">
        <v>46</v>
      </c>
      <c r="B67" s="5"/>
      <c r="C67" s="5" t="s">
        <v>47</v>
      </c>
    </row>
    <row r="68" customFormat="false" ht="15" hidden="false" customHeight="false" outlineLevel="0" collapsed="false">
      <c r="A68" s="0" t="s">
        <v>48</v>
      </c>
      <c r="C68" s="0" t="n">
        <f aca="false">COUNTIF(RawFinancials!$AA$2:$AA$747,0)</f>
        <v>0</v>
      </c>
    </row>
    <row r="69" customFormat="false" ht="15" hidden="false" customHeight="false" outlineLevel="0" collapsed="false">
      <c r="A69" s="0" t="s">
        <v>49</v>
      </c>
      <c r="C69" s="0" t="n">
        <f aca="false">SUM(RawFinancials!$AD$2:$AD$747)</f>
        <v>0</v>
      </c>
    </row>
    <row r="70" customFormat="false" ht="15" hidden="false" customHeight="false" outlineLevel="0" collapsed="false">
      <c r="A70" s="0" t="s">
        <v>50</v>
      </c>
      <c r="C70" s="0" t="s">
        <v>51</v>
      </c>
    </row>
    <row r="71" customFormat="false" ht="15" hidden="false" customHeight="false" outlineLevel="0" collapsed="false">
      <c r="A71" s="0" t="s">
        <v>52</v>
      </c>
      <c r="C71" s="0" t="s">
        <v>53</v>
      </c>
    </row>
  </sheetData>
  <autoFilter ref="A1:C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19"/>
  </cols>
  <sheetData>
    <row r="1" customFormat="false" ht="31.5" hidden="false" customHeight="true" outlineLevel="0" collapsed="false">
      <c r="A1" s="4" t="s">
        <v>54</v>
      </c>
      <c r="B1" s="4" t="s">
        <v>55</v>
      </c>
      <c r="C1" s="4" t="s">
        <v>56</v>
      </c>
      <c r="D1" s="4" t="s">
        <v>57</v>
      </c>
    </row>
    <row r="2" customFormat="false" ht="15" hidden="false" customHeight="false" outlineLevel="0" collapsed="false">
      <c r="A2" s="5" t="s">
        <v>58</v>
      </c>
      <c r="B2" s="5" t="s">
        <v>59</v>
      </c>
      <c r="C2" s="5" t="s">
        <v>60</v>
      </c>
      <c r="D2" s="6" t="s">
        <v>61</v>
      </c>
    </row>
    <row r="3" customFormat="false" ht="15" hidden="false" customHeight="false" outlineLevel="0" collapsed="false">
      <c r="A3" s="5" t="s">
        <v>62</v>
      </c>
      <c r="B3" s="5" t="s">
        <v>63</v>
      </c>
      <c r="C3" s="5" t="s">
        <v>64</v>
      </c>
      <c r="D3" s="5" t="s">
        <v>65</v>
      </c>
    </row>
    <row r="4" customFormat="false" ht="15" hidden="false" customHeight="false" outlineLevel="0" collapsed="false">
      <c r="A4" s="5" t="s">
        <v>66</v>
      </c>
      <c r="B4" s="5" t="s">
        <v>67</v>
      </c>
      <c r="C4" s="5" t="s">
        <v>68</v>
      </c>
      <c r="D4" s="5" t="s">
        <v>69</v>
      </c>
    </row>
    <row r="5" customFormat="false" ht="15" hidden="false" customHeight="false" outlineLevel="0" collapsed="false">
      <c r="A5" s="5" t="s">
        <v>70</v>
      </c>
      <c r="B5" s="5" t="s">
        <v>71</v>
      </c>
      <c r="C5" s="5" t="s">
        <v>72</v>
      </c>
      <c r="D5" s="6" t="s">
        <v>73</v>
      </c>
    </row>
    <row r="6" customFormat="false" ht="15" hidden="false" customHeight="false" outlineLevel="0" collapsed="false">
      <c r="A6" s="5" t="s">
        <v>74</v>
      </c>
      <c r="B6" s="6" t="s">
        <v>75</v>
      </c>
      <c r="C6" s="6" t="s">
        <v>76</v>
      </c>
      <c r="D6" s="6" t="s">
        <v>77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9"/>
  </cols>
  <sheetData>
    <row r="1" customFormat="false" ht="15" hidden="false" customHeight="false" outlineLevel="0" collapsed="false">
      <c r="A1" s="7" t="s">
        <v>78</v>
      </c>
    </row>
    <row r="2" customFormat="false" ht="15" hidden="false" customHeight="false" outlineLevel="0" collapsed="false">
      <c r="A2" s="0" t="n">
        <v>20220331</v>
      </c>
    </row>
    <row r="3" customFormat="false" ht="15" hidden="false" customHeight="false" outlineLevel="0" collapsed="false">
      <c r="A3" s="0" t="n">
        <v>20220630</v>
      </c>
    </row>
    <row r="4" customFormat="false" ht="15" hidden="false" customHeight="false" outlineLevel="0" collapsed="false">
      <c r="A4" s="0" t="n">
        <v>20220930</v>
      </c>
    </row>
    <row r="5" customFormat="false" ht="15" hidden="false" customHeight="false" outlineLevel="0" collapsed="false">
      <c r="A5" s="0" t="n">
        <v>20221231</v>
      </c>
    </row>
    <row r="6" customFormat="false" ht="15" hidden="false" customHeight="false" outlineLevel="0" collapsed="false">
      <c r="A6" s="0" t="n">
        <v>20230331</v>
      </c>
    </row>
    <row r="7" customFormat="false" ht="15" hidden="false" customHeight="false" outlineLevel="0" collapsed="false">
      <c r="A7" s="0" t="n">
        <v>20230630</v>
      </c>
    </row>
    <row r="8" customFormat="false" ht="15" hidden="false" customHeight="false" outlineLevel="0" collapsed="false">
      <c r="A8" s="0" t="n">
        <v>20230930</v>
      </c>
    </row>
    <row r="9" customFormat="false" ht="15" hidden="false" customHeight="false" outlineLevel="0" collapsed="false">
      <c r="A9" s="0" t="n">
        <v>20231231</v>
      </c>
    </row>
    <row r="10" customFormat="false" ht="15" hidden="false" customHeight="false" outlineLevel="0" collapsed="false">
      <c r="A10" s="0" t="n">
        <v>20240331</v>
      </c>
    </row>
    <row r="11" customFormat="false" ht="15" hidden="false" customHeight="false" outlineLevel="0" collapsed="false">
      <c r="A11" s="0" t="n">
        <v>20240630</v>
      </c>
    </row>
    <row r="12" customFormat="false" ht="15" hidden="false" customHeight="false" outlineLevel="0" collapsed="false">
      <c r="A12" s="0" t="n">
        <v>20240930</v>
      </c>
    </row>
    <row r="13" customFormat="false" ht="15" hidden="false" customHeight="false" outlineLevel="0" collapsed="false">
      <c r="A13" s="0" t="n">
        <v>20241231</v>
      </c>
    </row>
    <row r="14" customFormat="false" ht="15" hidden="false" customHeight="false" outlineLevel="0" collapsed="false">
      <c r="A14" s="0" t="n">
        <v>20250331</v>
      </c>
    </row>
    <row r="15" customFormat="false" ht="15" hidden="false" customHeight="false" outlineLevel="0" collapsed="false">
      <c r="A15" s="0" t="n">
        <v>20250630</v>
      </c>
    </row>
  </sheetData>
  <autoFilter ref="A1:A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7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6" min="1" style="0" width="19"/>
  </cols>
  <sheetData>
    <row r="1" customFormat="false" ht="15" hidden="false" customHeight="false" outlineLevel="0" collapsed="false">
      <c r="A1" s="7" t="s">
        <v>79</v>
      </c>
      <c r="B1" s="7" t="s">
        <v>80</v>
      </c>
      <c r="C1" s="7" t="s">
        <v>26</v>
      </c>
      <c r="D1" s="7" t="s">
        <v>81</v>
      </c>
      <c r="E1" s="7" t="s">
        <v>82</v>
      </c>
      <c r="F1" s="7" t="s">
        <v>83</v>
      </c>
      <c r="G1" s="7" t="s">
        <v>84</v>
      </c>
      <c r="H1" s="7" t="s">
        <v>85</v>
      </c>
      <c r="I1" s="7" t="s">
        <v>86</v>
      </c>
      <c r="J1" s="7" t="s">
        <v>87</v>
      </c>
      <c r="K1" s="7" t="s">
        <v>88</v>
      </c>
      <c r="L1" s="7" t="s">
        <v>89</v>
      </c>
      <c r="M1" s="7" t="s">
        <v>90</v>
      </c>
      <c r="N1" s="7" t="s">
        <v>91</v>
      </c>
      <c r="O1" s="7" t="s">
        <v>92</v>
      </c>
      <c r="P1" s="7" t="s">
        <v>93</v>
      </c>
      <c r="Q1" s="7" t="s">
        <v>94</v>
      </c>
      <c r="R1" s="7" t="s">
        <v>95</v>
      </c>
      <c r="S1" s="7" t="s">
        <v>96</v>
      </c>
      <c r="T1" s="7" t="s">
        <v>97</v>
      </c>
      <c r="U1" s="7" t="s">
        <v>98</v>
      </c>
      <c r="V1" s="7" t="s">
        <v>99</v>
      </c>
      <c r="W1" s="7" t="s">
        <v>78</v>
      </c>
      <c r="X1" s="7" t="s">
        <v>100</v>
      </c>
      <c r="Y1" s="7" t="s">
        <v>101</v>
      </c>
      <c r="Z1" s="7" t="s">
        <v>102</v>
      </c>
    </row>
    <row r="2" customFormat="false" ht="15" hidden="false" customHeight="false" outlineLevel="0" collapsed="false">
      <c r="A2" s="0" t="n">
        <v>2</v>
      </c>
      <c r="B2" s="0" t="n">
        <v>3688993</v>
      </c>
      <c r="C2" s="0" t="n">
        <v>11971</v>
      </c>
      <c r="D2" s="0" t="n">
        <v>3055632</v>
      </c>
      <c r="E2" s="0" t="n">
        <v>0.08</v>
      </c>
      <c r="F2" s="0" t="n">
        <v>461681</v>
      </c>
      <c r="G2" s="0" t="n">
        <v>12.5150955829951</v>
      </c>
      <c r="H2" s="0" t="s">
        <v>103</v>
      </c>
      <c r="I2" s="0" t="n">
        <v>0.872655514437764</v>
      </c>
      <c r="J2" s="0" t="n">
        <v>201303</v>
      </c>
      <c r="K2" s="0" t="n">
        <v>7873</v>
      </c>
      <c r="L2" s="0" t="n">
        <v>2657406</v>
      </c>
      <c r="M2" s="0" t="n">
        <v>2634216</v>
      </c>
      <c r="N2" s="0" t="n">
        <v>2317079</v>
      </c>
      <c r="O2" s="0" t="n">
        <v>9213</v>
      </c>
      <c r="P2" s="0" t="s">
        <v>104</v>
      </c>
      <c r="Q2" s="0" t="n">
        <v>0.378414137696686</v>
      </c>
      <c r="R2" s="0" t="n">
        <v>3.00674213850075</v>
      </c>
      <c r="S2" s="0" t="n">
        <v>-95</v>
      </c>
      <c r="T2" s="0" t="n">
        <v>4642</v>
      </c>
      <c r="U2" s="0" t="n">
        <v>843</v>
      </c>
      <c r="V2" s="0" t="n">
        <v>13.6789606326397</v>
      </c>
      <c r="W2" s="0" t="n">
        <v>20220331</v>
      </c>
      <c r="X2" s="0" t="n">
        <v>1.11623429129291</v>
      </c>
      <c r="Y2" s="0" t="n">
        <v>8.77</v>
      </c>
      <c r="Z2" s="0" t="s">
        <v>105</v>
      </c>
    </row>
    <row r="3" customFormat="false" ht="15" hidden="false" customHeight="false" outlineLevel="0" collapsed="false">
      <c r="A3" s="0" t="n">
        <v>3</v>
      </c>
      <c r="B3" s="0" t="n">
        <v>964163</v>
      </c>
      <c r="C3" s="0" t="n">
        <v>12874</v>
      </c>
      <c r="D3" s="0" t="n">
        <v>854194</v>
      </c>
      <c r="E3" s="0" t="n">
        <v>0</v>
      </c>
      <c r="F3" s="0" t="n">
        <v>97916</v>
      </c>
      <c r="G3" s="0" t="n">
        <v>10.1555442388891</v>
      </c>
      <c r="H3" s="0" t="s">
        <v>106</v>
      </c>
      <c r="I3" s="0" t="n">
        <v>1.0653480801085</v>
      </c>
      <c r="J3" s="0" t="n">
        <v>138143</v>
      </c>
      <c r="K3" s="0" t="n">
        <v>5249</v>
      </c>
      <c r="L3" s="0" t="n">
        <v>732906</v>
      </c>
      <c r="M3" s="0" t="n">
        <v>725098</v>
      </c>
      <c r="N3" s="0" t="n">
        <v>577596</v>
      </c>
      <c r="O3" s="0" t="n">
        <v>1069</v>
      </c>
      <c r="P3" s="0" t="s">
        <v>107</v>
      </c>
      <c r="Q3" s="0" t="n">
        <v>0.145857722545592</v>
      </c>
      <c r="R3" s="0" t="n">
        <v>3.40195044114991</v>
      </c>
      <c r="S3" s="0" t="n">
        <v>-5</v>
      </c>
      <c r="T3" s="0" t="n">
        <v>374</v>
      </c>
      <c r="U3" s="0" t="n">
        <v>0</v>
      </c>
      <c r="V3" s="0" t="n">
        <v>15.6016028760784</v>
      </c>
      <c r="W3" s="0" t="n">
        <v>20220331</v>
      </c>
      <c r="X3" s="0" t="n">
        <v>0.831497320164808</v>
      </c>
      <c r="Y3" s="0" t="n">
        <v>7.95</v>
      </c>
      <c r="Z3" s="0" t="s">
        <v>105</v>
      </c>
    </row>
    <row r="4" customFormat="false" ht="15" hidden="false" customHeight="false" outlineLevel="0" collapsed="false">
      <c r="A4" s="0" t="n">
        <v>4</v>
      </c>
      <c r="B4" s="0" t="n">
        <v>1784835</v>
      </c>
      <c r="C4" s="0" t="n">
        <v>13063</v>
      </c>
      <c r="D4" s="0" t="n">
        <v>1619076</v>
      </c>
      <c r="E4" s="0" t="n">
        <v>0</v>
      </c>
      <c r="F4" s="0" t="n">
        <v>148181</v>
      </c>
      <c r="G4" s="0" t="n">
        <v>8.30222401510504</v>
      </c>
      <c r="H4" s="0" t="s">
        <v>108</v>
      </c>
      <c r="I4" s="0" t="n">
        <v>1.21800997066346</v>
      </c>
      <c r="J4" s="0" t="n">
        <v>55361</v>
      </c>
      <c r="K4" s="0" t="n">
        <v>837</v>
      </c>
      <c r="L4" s="0" t="n">
        <v>1223389</v>
      </c>
      <c r="M4" s="0" t="n">
        <v>1208488</v>
      </c>
      <c r="N4" s="0" t="n">
        <v>1160807</v>
      </c>
      <c r="O4" s="0" t="n">
        <v>408</v>
      </c>
      <c r="P4" s="0" t="s">
        <v>109</v>
      </c>
      <c r="Q4" s="0" t="n">
        <v>0.131111200117052</v>
      </c>
      <c r="R4" s="0" t="n">
        <v>3.27111477410285</v>
      </c>
      <c r="S4" s="0" t="n">
        <v>-5</v>
      </c>
      <c r="T4" s="0" t="n">
        <v>3</v>
      </c>
      <c r="U4" s="0" t="n">
        <v>1196</v>
      </c>
      <c r="V4" s="0" t="n">
        <v>0</v>
      </c>
      <c r="W4" s="0" t="n">
        <v>20220331</v>
      </c>
      <c r="X4" s="0" t="n">
        <v>0.482373134010048</v>
      </c>
      <c r="Y4" s="0" t="n">
        <v>5.56</v>
      </c>
      <c r="Z4" s="0" t="s">
        <v>105</v>
      </c>
    </row>
    <row r="5" customFormat="false" ht="15" hidden="false" customHeight="false" outlineLevel="0" collapsed="false">
      <c r="A5" s="0" t="n">
        <v>5</v>
      </c>
      <c r="B5" s="0" t="n">
        <v>869402</v>
      </c>
      <c r="C5" s="0" t="n">
        <v>14134</v>
      </c>
      <c r="D5" s="0" t="n">
        <v>737795</v>
      </c>
      <c r="E5" s="0" t="n">
        <v>0.1</v>
      </c>
      <c r="F5" s="0" t="n">
        <v>101808</v>
      </c>
      <c r="G5" s="0" t="n">
        <v>11.7101179891466</v>
      </c>
      <c r="H5" s="0" t="s">
        <v>110</v>
      </c>
      <c r="I5" s="0" t="n">
        <v>1.40143664862472</v>
      </c>
      <c r="J5" s="0" t="n">
        <v>27870</v>
      </c>
      <c r="K5" s="0" t="n">
        <v>26813</v>
      </c>
      <c r="L5" s="0" t="n">
        <v>596388</v>
      </c>
      <c r="M5" s="0" t="n">
        <v>588030</v>
      </c>
      <c r="N5" s="0" t="n">
        <v>516229</v>
      </c>
      <c r="O5" s="0" t="n">
        <v>8014</v>
      </c>
      <c r="P5" s="0" t="s">
        <v>111</v>
      </c>
      <c r="Q5" s="0" t="n">
        <v>1.34375607825778</v>
      </c>
      <c r="R5" s="0" t="n">
        <v>2.7424379773478</v>
      </c>
      <c r="S5" s="0" t="n">
        <v>19</v>
      </c>
      <c r="T5" s="0" t="n">
        <v>4990</v>
      </c>
      <c r="U5" s="0" t="n">
        <v>0</v>
      </c>
      <c r="V5" s="0" t="n">
        <v>17.5709830780352</v>
      </c>
      <c r="W5" s="0" t="n">
        <v>20220331</v>
      </c>
      <c r="X5" s="0" t="n">
        <v>-0.387293393035349</v>
      </c>
      <c r="Y5" s="0" t="n">
        <v>-3.23</v>
      </c>
      <c r="Z5" s="0" t="s">
        <v>112</v>
      </c>
    </row>
    <row r="6" customFormat="false" ht="15" hidden="false" customHeight="false" outlineLevel="0" collapsed="false">
      <c r="A6" s="0" t="n">
        <v>6</v>
      </c>
      <c r="B6" s="0" t="n">
        <v>222692</v>
      </c>
      <c r="C6" s="0" t="n">
        <v>14136</v>
      </c>
      <c r="D6" s="0" t="n">
        <v>199279</v>
      </c>
      <c r="E6" s="0" t="n">
        <v>0.08</v>
      </c>
      <c r="F6" s="0" t="n">
        <v>18834</v>
      </c>
      <c r="G6" s="0" t="n">
        <v>8.45742101198067</v>
      </c>
      <c r="H6" s="0" t="s">
        <v>113</v>
      </c>
      <c r="I6" s="0" t="n">
        <v>1.15017450639032</v>
      </c>
      <c r="J6" s="0" t="n">
        <v>12518</v>
      </c>
      <c r="K6" s="0" t="n">
        <v>11422</v>
      </c>
      <c r="L6" s="0" t="n">
        <v>121199</v>
      </c>
      <c r="M6" s="0" t="n">
        <v>119805</v>
      </c>
      <c r="N6" s="0" t="n">
        <v>96809</v>
      </c>
      <c r="O6" s="0" t="n">
        <v>174</v>
      </c>
      <c r="P6" s="0" t="s">
        <v>114</v>
      </c>
      <c r="Q6" s="0" t="n">
        <v>0.670797613841698</v>
      </c>
      <c r="R6" s="0" t="n">
        <v>3.42236997582913</v>
      </c>
      <c r="S6" s="0" t="n">
        <v>7</v>
      </c>
      <c r="T6" s="0" t="n">
        <v>803</v>
      </c>
      <c r="U6" s="0" t="n">
        <v>639</v>
      </c>
      <c r="V6" s="0" t="n">
        <v>17.2762204998947</v>
      </c>
      <c r="W6" s="0" t="n">
        <v>20220331</v>
      </c>
      <c r="X6" s="0" t="n">
        <v>0.199549216522136</v>
      </c>
      <c r="Y6" s="0" t="n">
        <v>2.14</v>
      </c>
      <c r="Z6" s="0" t="s">
        <v>112</v>
      </c>
    </row>
    <row r="7" customFormat="false" ht="15" hidden="false" customHeight="false" outlineLevel="0" collapsed="false">
      <c r="A7" s="0" t="n">
        <v>7</v>
      </c>
      <c r="B7" s="0" t="n">
        <v>1414510</v>
      </c>
      <c r="C7" s="0" t="n">
        <v>14140</v>
      </c>
      <c r="D7" s="0" t="n">
        <v>1199427</v>
      </c>
      <c r="E7" s="0" t="n">
        <v>0</v>
      </c>
      <c r="F7" s="0" t="n">
        <v>123854</v>
      </c>
      <c r="G7" s="0" t="n">
        <v>8.75596496313211</v>
      </c>
      <c r="H7" s="0" t="s">
        <v>115</v>
      </c>
      <c r="I7" s="0" t="n">
        <v>1.10777383498962</v>
      </c>
      <c r="J7" s="0" t="n">
        <v>82518</v>
      </c>
      <c r="K7" s="0" t="n">
        <v>1318</v>
      </c>
      <c r="L7" s="0" t="n">
        <v>957867</v>
      </c>
      <c r="M7" s="0" t="n">
        <v>947256</v>
      </c>
      <c r="N7" s="0" t="n">
        <v>866005</v>
      </c>
      <c r="O7" s="0" t="n">
        <v>5589</v>
      </c>
      <c r="P7" s="0" t="s">
        <v>116</v>
      </c>
      <c r="Q7" s="0" t="n">
        <v>0.58348392835331</v>
      </c>
      <c r="R7" s="0" t="n">
        <v>2.96981313360941</v>
      </c>
      <c r="S7" s="0" t="n">
        <v>9</v>
      </c>
      <c r="T7" s="0" t="n">
        <v>785</v>
      </c>
      <c r="U7" s="0" t="n">
        <v>0</v>
      </c>
      <c r="V7" s="0" t="n">
        <v>0</v>
      </c>
      <c r="W7" s="0" t="n">
        <v>20220331</v>
      </c>
      <c r="X7" s="0" t="n">
        <v>0.662126324527825</v>
      </c>
      <c r="Y7" s="0" t="n">
        <v>7.07</v>
      </c>
      <c r="Z7" s="0" t="s">
        <v>112</v>
      </c>
    </row>
    <row r="8" customFormat="false" ht="15" hidden="false" customHeight="false" outlineLevel="0" collapsed="false">
      <c r="A8" s="0" t="n">
        <v>8</v>
      </c>
      <c r="B8" s="0" t="n">
        <v>1232701</v>
      </c>
      <c r="C8" s="0" t="n">
        <v>14158</v>
      </c>
      <c r="D8" s="0" t="n">
        <v>1137254</v>
      </c>
      <c r="E8" s="0" t="n">
        <v>0</v>
      </c>
      <c r="F8" s="0" t="n">
        <v>85105</v>
      </c>
      <c r="G8" s="0" t="n">
        <v>6.90394507670554</v>
      </c>
      <c r="H8" s="0" t="s">
        <v>117</v>
      </c>
      <c r="I8" s="0" t="n">
        <v>1.00317342649432</v>
      </c>
      <c r="J8" s="0" t="n">
        <v>44549</v>
      </c>
      <c r="K8" s="0" t="n">
        <v>2157</v>
      </c>
      <c r="L8" s="0" t="n">
        <v>830963</v>
      </c>
      <c r="M8" s="0" t="n">
        <v>822627</v>
      </c>
      <c r="N8" s="0" t="n">
        <v>698008</v>
      </c>
      <c r="O8" s="0" t="n">
        <v>4405</v>
      </c>
      <c r="P8" s="0" t="s">
        <v>118</v>
      </c>
      <c r="Q8" s="0" t="n">
        <v>0.557666225812702</v>
      </c>
      <c r="R8" s="0" t="n">
        <v>3.18537352046747</v>
      </c>
      <c r="S8" s="0" t="n">
        <v>0</v>
      </c>
      <c r="T8" s="0" t="n">
        <v>1620</v>
      </c>
      <c r="U8" s="0" t="n">
        <v>229</v>
      </c>
      <c r="V8" s="0" t="n">
        <v>14.788125615083</v>
      </c>
      <c r="W8" s="0" t="n">
        <v>20220331</v>
      </c>
      <c r="X8" s="0" t="n">
        <v>0.88329131873326</v>
      </c>
      <c r="Y8" s="0" t="n">
        <v>11.64</v>
      </c>
      <c r="Z8" s="0" t="s">
        <v>112</v>
      </c>
    </row>
    <row r="9" customFormat="false" ht="15" hidden="false" customHeight="false" outlineLevel="0" collapsed="false">
      <c r="A9" s="0" t="n">
        <v>9</v>
      </c>
      <c r="B9" s="0" t="n">
        <v>384095</v>
      </c>
      <c r="C9" s="0" t="n">
        <v>14168</v>
      </c>
      <c r="D9" s="0" t="n">
        <v>345364</v>
      </c>
      <c r="E9" s="0" t="n">
        <v>0</v>
      </c>
      <c r="F9" s="0" t="n">
        <v>34244</v>
      </c>
      <c r="G9" s="0" t="n">
        <v>8.91550267511944</v>
      </c>
      <c r="H9" s="0" t="s">
        <v>119</v>
      </c>
      <c r="I9" s="0" t="n">
        <v>1.5327875284455</v>
      </c>
      <c r="J9" s="0" t="n">
        <v>9537</v>
      </c>
      <c r="K9" s="0" t="n">
        <v>8111</v>
      </c>
      <c r="L9" s="0" t="n">
        <v>191155</v>
      </c>
      <c r="M9" s="0" t="n">
        <v>188225</v>
      </c>
      <c r="N9" s="0" t="n">
        <v>161619</v>
      </c>
      <c r="O9" s="0" t="n">
        <v>1188</v>
      </c>
      <c r="P9" s="0" t="s">
        <v>120</v>
      </c>
      <c r="Q9" s="0" t="n">
        <v>0.621485182181999</v>
      </c>
      <c r="R9" s="0" t="n">
        <v>2.41845908043839</v>
      </c>
      <c r="S9" s="0" t="n">
        <v>34</v>
      </c>
      <c r="T9" s="0" t="n">
        <v>187</v>
      </c>
      <c r="U9" s="0" t="n">
        <v>0</v>
      </c>
      <c r="V9" s="0" t="n">
        <v>19.8246428808378</v>
      </c>
      <c r="W9" s="0" t="n">
        <v>20220331</v>
      </c>
      <c r="X9" s="0" t="n">
        <v>0.135788316459894</v>
      </c>
      <c r="Y9" s="0" t="n">
        <v>1.45</v>
      </c>
      <c r="Z9" s="0" t="s">
        <v>112</v>
      </c>
    </row>
    <row r="10" customFormat="false" ht="15" hidden="false" customHeight="false" outlineLevel="0" collapsed="false">
      <c r="A10" s="0" t="n">
        <v>10</v>
      </c>
      <c r="B10" s="0" t="n">
        <v>1221074</v>
      </c>
      <c r="C10" s="0" t="n">
        <v>14240</v>
      </c>
      <c r="D10" s="0" t="n">
        <v>1020645</v>
      </c>
      <c r="E10" s="0" t="n">
        <v>0</v>
      </c>
      <c r="F10" s="0" t="n">
        <v>102113</v>
      </c>
      <c r="G10" s="0" t="n">
        <v>8.36255624147267</v>
      </c>
      <c r="H10" s="0" t="s">
        <v>121</v>
      </c>
      <c r="I10" s="0" t="n">
        <v>1.14833812312804</v>
      </c>
      <c r="J10" s="0" t="n">
        <v>29648</v>
      </c>
      <c r="K10" s="0" t="n">
        <v>17990</v>
      </c>
      <c r="L10" s="0" t="n">
        <v>824670</v>
      </c>
      <c r="M10" s="0" t="n">
        <v>815200</v>
      </c>
      <c r="N10" s="0" t="n">
        <v>705835</v>
      </c>
      <c r="O10" s="0" t="n">
        <v>2204</v>
      </c>
      <c r="P10" s="0" t="s">
        <v>122</v>
      </c>
      <c r="Q10" s="0" t="n">
        <v>0.267258418518923</v>
      </c>
      <c r="R10" s="0" t="n">
        <v>2.81942072615102</v>
      </c>
      <c r="S10" s="0" t="n">
        <v>-4</v>
      </c>
      <c r="T10" s="0" t="n">
        <v>1936</v>
      </c>
      <c r="U10" s="0" t="n">
        <v>0</v>
      </c>
      <c r="V10" s="0" t="n">
        <v>15.1069923364339</v>
      </c>
      <c r="W10" s="0" t="n">
        <v>20220331</v>
      </c>
      <c r="X10" s="0" t="n">
        <v>0.0698118813327899</v>
      </c>
      <c r="Y10" s="0" t="n">
        <v>0.79</v>
      </c>
      <c r="Z10" s="0" t="s">
        <v>123</v>
      </c>
    </row>
    <row r="11" customFormat="false" ht="15" hidden="false" customHeight="false" outlineLevel="0" collapsed="false">
      <c r="A11" s="0" t="n">
        <v>11</v>
      </c>
      <c r="B11" s="0" t="n">
        <v>836644</v>
      </c>
      <c r="C11" s="0" t="n">
        <v>17115</v>
      </c>
      <c r="D11" s="0" t="n">
        <v>738943</v>
      </c>
      <c r="E11" s="0" t="n">
        <v>-0.08</v>
      </c>
      <c r="F11" s="0" t="n">
        <v>83239</v>
      </c>
      <c r="G11" s="0" t="n">
        <v>9.94915400098489</v>
      </c>
      <c r="H11" s="0" t="s">
        <v>124</v>
      </c>
      <c r="I11" s="0" t="n">
        <v>1.16713202666947</v>
      </c>
      <c r="J11" s="0" t="n">
        <v>43003</v>
      </c>
      <c r="K11" s="0" t="n">
        <v>3606</v>
      </c>
      <c r="L11" s="0" t="n">
        <v>656481</v>
      </c>
      <c r="M11" s="0" t="n">
        <v>648819</v>
      </c>
      <c r="N11" s="0" t="n">
        <v>608827</v>
      </c>
      <c r="O11" s="0" t="n">
        <v>164</v>
      </c>
      <c r="P11" s="0" t="s">
        <v>125</v>
      </c>
      <c r="Q11" s="0" t="n">
        <v>0.0249816826381875</v>
      </c>
      <c r="R11" s="0" t="n">
        <v>3.51263617241704</v>
      </c>
      <c r="S11" s="0" t="n">
        <v>240</v>
      </c>
      <c r="T11" s="0" t="n">
        <v>62</v>
      </c>
      <c r="U11" s="0" t="n">
        <v>0</v>
      </c>
      <c r="V11" s="0" t="n">
        <v>15.6064687872223</v>
      </c>
      <c r="W11" s="0" t="n">
        <v>20220331</v>
      </c>
      <c r="X11" s="0" t="n">
        <v>1.11496929665211</v>
      </c>
      <c r="Y11" s="0" t="n">
        <v>11.05</v>
      </c>
      <c r="Z11" s="0" t="s">
        <v>105</v>
      </c>
    </row>
    <row r="12" customFormat="false" ht="15" hidden="false" customHeight="false" outlineLevel="0" collapsed="false">
      <c r="A12" s="0" t="n">
        <v>12</v>
      </c>
      <c r="B12" s="0" t="n">
        <v>1291920</v>
      </c>
      <c r="C12" s="0" t="n">
        <v>17180</v>
      </c>
      <c r="D12" s="0" t="n">
        <v>1121172</v>
      </c>
      <c r="E12" s="0" t="n">
        <v>0.06</v>
      </c>
      <c r="F12" s="0" t="n">
        <v>126979</v>
      </c>
      <c r="G12" s="0" t="n">
        <v>9.82870456375008</v>
      </c>
      <c r="H12" s="0" t="s">
        <v>126</v>
      </c>
      <c r="I12" s="0" t="n">
        <v>0.986162060581776</v>
      </c>
      <c r="J12" s="0" t="n">
        <v>44797</v>
      </c>
      <c r="K12" s="0" t="n">
        <v>141431</v>
      </c>
      <c r="L12" s="0" t="n">
        <v>1143017</v>
      </c>
      <c r="M12" s="0" t="n">
        <v>1131745</v>
      </c>
      <c r="N12" s="0" t="n">
        <v>937482</v>
      </c>
      <c r="O12" s="0" t="n">
        <v>5753</v>
      </c>
      <c r="P12" s="0" t="s">
        <v>127</v>
      </c>
      <c r="Q12" s="0" t="n">
        <v>0.503317098520844</v>
      </c>
      <c r="R12" s="0" t="n">
        <v>3.56999315523965</v>
      </c>
      <c r="S12" s="0" t="n">
        <v>36</v>
      </c>
      <c r="T12" s="0" t="n">
        <v>1540</v>
      </c>
      <c r="U12" s="0" t="n">
        <v>0</v>
      </c>
      <c r="V12" s="0" t="n">
        <v>16.0569431386633</v>
      </c>
      <c r="W12" s="0" t="n">
        <v>20220331</v>
      </c>
      <c r="X12" s="0" t="n">
        <v>0.802789289525275</v>
      </c>
      <c r="Y12" s="0" t="n">
        <v>8.11</v>
      </c>
      <c r="Z12" s="0" t="s">
        <v>123</v>
      </c>
    </row>
    <row r="13" customFormat="false" ht="15" hidden="false" customHeight="false" outlineLevel="0" collapsed="false">
      <c r="A13" s="0" t="n">
        <v>13</v>
      </c>
      <c r="B13" s="0" t="n">
        <v>352255</v>
      </c>
      <c r="C13" s="0" t="n">
        <v>17443</v>
      </c>
      <c r="D13" s="0" t="n">
        <v>302135</v>
      </c>
      <c r="E13" s="0" t="n">
        <v>0.06</v>
      </c>
      <c r="F13" s="0" t="n">
        <v>42822</v>
      </c>
      <c r="G13" s="0" t="n">
        <v>12.1565343288243</v>
      </c>
      <c r="H13" s="0" t="s">
        <v>128</v>
      </c>
      <c r="I13" s="0" t="n">
        <v>0.858419069393285</v>
      </c>
      <c r="J13" s="0" t="n">
        <v>0</v>
      </c>
      <c r="K13" s="0" t="n">
        <v>1909</v>
      </c>
      <c r="L13" s="0" t="n">
        <v>188952</v>
      </c>
      <c r="M13" s="0" t="n">
        <v>187330</v>
      </c>
      <c r="N13" s="0" t="n">
        <v>186037</v>
      </c>
      <c r="O13" s="0" t="n">
        <v>842</v>
      </c>
      <c r="P13" s="0" t="s">
        <v>129</v>
      </c>
      <c r="Q13" s="0" t="n">
        <v>0.445615817773826</v>
      </c>
      <c r="R13" s="0" t="n">
        <v>2.01221792023435</v>
      </c>
      <c r="S13" s="0" t="n">
        <v>0</v>
      </c>
      <c r="T13" s="0" t="n">
        <v>2524</v>
      </c>
      <c r="U13" s="0" t="n">
        <v>0</v>
      </c>
      <c r="V13" s="0" t="n">
        <v>0</v>
      </c>
      <c r="W13" s="0" t="n">
        <v>20220331</v>
      </c>
      <c r="X13" s="0" t="n">
        <v>0.619253411177981</v>
      </c>
      <c r="Y13" s="0" t="n">
        <v>4.79</v>
      </c>
      <c r="Z13" s="0" t="s">
        <v>123</v>
      </c>
    </row>
    <row r="14" customFormat="false" ht="15" hidden="false" customHeight="false" outlineLevel="0" collapsed="false">
      <c r="A14" s="0" t="n">
        <v>14</v>
      </c>
      <c r="B14" s="0" t="n">
        <v>1753308</v>
      </c>
      <c r="C14" s="0" t="n">
        <v>17658</v>
      </c>
      <c r="D14" s="0" t="n">
        <v>1508978</v>
      </c>
      <c r="E14" s="0" t="n">
        <v>0.02</v>
      </c>
      <c r="F14" s="0" t="n">
        <v>215496</v>
      </c>
      <c r="G14" s="0" t="n">
        <v>12.2908239738825</v>
      </c>
      <c r="H14" s="0" t="s">
        <v>130</v>
      </c>
      <c r="I14" s="0" t="n">
        <v>0.856276105128734</v>
      </c>
      <c r="J14" s="0" t="n">
        <v>77695</v>
      </c>
      <c r="K14" s="0" t="n">
        <v>58315</v>
      </c>
      <c r="L14" s="0" t="n">
        <v>1075938</v>
      </c>
      <c r="M14" s="0" t="n">
        <v>1066725</v>
      </c>
      <c r="N14" s="0" t="n">
        <v>932001</v>
      </c>
      <c r="O14" s="0" t="n">
        <v>1019</v>
      </c>
      <c r="P14" s="0" t="s">
        <v>131</v>
      </c>
      <c r="Q14" s="0" t="n">
        <v>0.108835267459649</v>
      </c>
      <c r="R14" s="0" t="n">
        <v>3.35985107999514</v>
      </c>
      <c r="S14" s="0" t="n">
        <v>2</v>
      </c>
      <c r="T14" s="0" t="n">
        <v>1175</v>
      </c>
      <c r="U14" s="0" t="n">
        <v>152</v>
      </c>
      <c r="V14" s="0" t="n">
        <v>0</v>
      </c>
      <c r="W14" s="0" t="n">
        <v>20220331</v>
      </c>
      <c r="X14" s="0" t="n">
        <v>0.857754399438039</v>
      </c>
      <c r="Y14" s="0" t="n">
        <v>6.72</v>
      </c>
      <c r="Z14" s="0" t="s">
        <v>105</v>
      </c>
    </row>
    <row r="15" customFormat="false" ht="15" hidden="false" customHeight="false" outlineLevel="0" collapsed="false">
      <c r="A15" s="0" t="n">
        <v>15</v>
      </c>
      <c r="B15" s="0" t="n">
        <v>1002149</v>
      </c>
      <c r="C15" s="0" t="n">
        <v>17741</v>
      </c>
      <c r="D15" s="0" t="n">
        <v>846927</v>
      </c>
      <c r="E15" s="0" t="n">
        <v>0.03</v>
      </c>
      <c r="F15" s="0" t="n">
        <v>129919</v>
      </c>
      <c r="G15" s="0" t="n">
        <v>12.9640402774438</v>
      </c>
      <c r="H15" s="0" t="s">
        <v>132</v>
      </c>
      <c r="I15" s="0" t="n">
        <v>0.97167922787773</v>
      </c>
      <c r="J15" s="0" t="n">
        <v>42174</v>
      </c>
      <c r="K15" s="0" t="n">
        <v>3486</v>
      </c>
      <c r="L15" s="0" t="n">
        <v>796765</v>
      </c>
      <c r="M15" s="0" t="n">
        <v>789023</v>
      </c>
      <c r="N15" s="0" t="n">
        <v>747285</v>
      </c>
      <c r="O15" s="0" t="n">
        <v>1717</v>
      </c>
      <c r="P15" s="0" t="s">
        <v>133</v>
      </c>
      <c r="Q15" s="0" t="n">
        <v>0.215496413622586</v>
      </c>
      <c r="R15" s="0" t="n">
        <v>3.25666940503881</v>
      </c>
      <c r="S15" s="0" t="n">
        <v>4</v>
      </c>
      <c r="T15" s="0" t="n">
        <v>1992</v>
      </c>
      <c r="U15" s="0" t="n">
        <v>0</v>
      </c>
      <c r="V15" s="0" t="n">
        <v>0</v>
      </c>
      <c r="W15" s="0" t="n">
        <v>20220331</v>
      </c>
      <c r="X15" s="0" t="n">
        <v>0.582462366574648</v>
      </c>
      <c r="Y15" s="0" t="n">
        <v>4.49</v>
      </c>
      <c r="Z15" s="0" t="s">
        <v>105</v>
      </c>
    </row>
    <row r="16" customFormat="false" ht="15" hidden="false" customHeight="false" outlineLevel="0" collapsed="false">
      <c r="A16" s="0" t="n">
        <v>16</v>
      </c>
      <c r="B16" s="0" t="n">
        <v>1158500</v>
      </c>
      <c r="C16" s="0" t="n">
        <v>17743</v>
      </c>
      <c r="D16" s="0" t="n">
        <v>899083</v>
      </c>
      <c r="E16" s="0" t="n">
        <v>0</v>
      </c>
      <c r="F16" s="0" t="n">
        <v>126783</v>
      </c>
      <c r="G16" s="0" t="n">
        <v>10.9437203280104</v>
      </c>
      <c r="H16" s="0" t="s">
        <v>134</v>
      </c>
      <c r="I16" s="0" t="n">
        <v>0.54432543188198</v>
      </c>
      <c r="J16" s="0" t="n">
        <v>25760</v>
      </c>
      <c r="K16" s="0" t="n">
        <v>5293</v>
      </c>
      <c r="L16" s="0" t="n">
        <v>918017</v>
      </c>
      <c r="M16" s="0" t="n">
        <v>913020</v>
      </c>
      <c r="N16" s="0" t="n">
        <v>873409</v>
      </c>
      <c r="O16" s="0" t="n">
        <v>3568</v>
      </c>
      <c r="P16" s="0" t="s">
        <v>135</v>
      </c>
      <c r="Q16" s="0" t="n">
        <v>0.392476392049385</v>
      </c>
      <c r="R16" s="0" t="n">
        <v>2.74686473547167</v>
      </c>
      <c r="S16" s="0" t="n">
        <v>-7</v>
      </c>
      <c r="T16" s="0" t="n">
        <v>1605</v>
      </c>
      <c r="U16" s="0" t="n">
        <v>35</v>
      </c>
      <c r="V16" s="0" t="n">
        <v>0</v>
      </c>
      <c r="W16" s="0" t="n">
        <v>20220331</v>
      </c>
      <c r="X16" s="0" t="n">
        <v>0.398424271744013</v>
      </c>
      <c r="Y16" s="0" t="n">
        <v>3.56</v>
      </c>
      <c r="Z16" s="0" t="s">
        <v>105</v>
      </c>
    </row>
    <row r="17" customFormat="false" ht="15" hidden="false" customHeight="false" outlineLevel="0" collapsed="false">
      <c r="A17" s="0" t="n">
        <v>17</v>
      </c>
      <c r="B17" s="0" t="n">
        <v>1547967</v>
      </c>
      <c r="C17" s="0" t="n">
        <v>17748</v>
      </c>
      <c r="D17" s="0" t="n">
        <v>1360876</v>
      </c>
      <c r="E17" s="0" t="n">
        <v>-0.06</v>
      </c>
      <c r="F17" s="0" t="n">
        <v>122781</v>
      </c>
      <c r="G17" s="0" t="n">
        <v>7.93175823515618</v>
      </c>
      <c r="H17" s="0" t="s">
        <v>136</v>
      </c>
      <c r="I17" s="0" t="n">
        <v>0.813721881642695</v>
      </c>
      <c r="J17" s="0" t="n">
        <v>144260</v>
      </c>
      <c r="K17" s="0" t="n">
        <v>2958</v>
      </c>
      <c r="L17" s="0" t="n">
        <v>1135646</v>
      </c>
      <c r="M17" s="0" t="n">
        <v>1126405</v>
      </c>
      <c r="N17" s="0" t="n">
        <v>958834</v>
      </c>
      <c r="O17" s="0" t="n">
        <v>7767</v>
      </c>
      <c r="P17" s="0" t="s">
        <v>137</v>
      </c>
      <c r="Q17" s="0" t="n">
        <v>0.683927914156348</v>
      </c>
      <c r="R17" s="0" t="n">
        <v>3.15264453148257</v>
      </c>
      <c r="S17" s="0" t="n">
        <v>47</v>
      </c>
      <c r="T17" s="0" t="n">
        <v>2878</v>
      </c>
      <c r="U17" s="0" t="n">
        <v>0</v>
      </c>
      <c r="V17" s="0" t="n">
        <v>0</v>
      </c>
      <c r="W17" s="0" t="n">
        <v>20220331</v>
      </c>
      <c r="X17" s="0" t="n">
        <v>-0.306198776629676</v>
      </c>
      <c r="Y17" s="0" t="n">
        <v>-3.64</v>
      </c>
      <c r="Z17" s="0" t="s">
        <v>105</v>
      </c>
    </row>
    <row r="18" customFormat="false" ht="15" hidden="false" customHeight="false" outlineLevel="0" collapsed="false">
      <c r="A18" s="0" t="n">
        <v>18</v>
      </c>
      <c r="B18" s="0" t="n">
        <v>1206621</v>
      </c>
      <c r="C18" s="0" t="n">
        <v>17749</v>
      </c>
      <c r="D18" s="0" t="n">
        <v>984705</v>
      </c>
      <c r="E18" s="0" t="n">
        <v>0.05</v>
      </c>
      <c r="F18" s="0" t="n">
        <v>164326</v>
      </c>
      <c r="G18" s="0" t="n">
        <v>13.6186921991247</v>
      </c>
      <c r="H18" s="0" t="s">
        <v>138</v>
      </c>
      <c r="I18" s="0" t="n">
        <v>1.44447114662501</v>
      </c>
      <c r="J18" s="0" t="n">
        <v>50144</v>
      </c>
      <c r="K18" s="0" t="n">
        <v>10017</v>
      </c>
      <c r="L18" s="0" t="n">
        <v>665780</v>
      </c>
      <c r="M18" s="0" t="n">
        <v>656163</v>
      </c>
      <c r="N18" s="0" t="n">
        <v>595069</v>
      </c>
      <c r="O18" s="0" t="n">
        <v>225</v>
      </c>
      <c r="P18" s="0" t="s">
        <v>139</v>
      </c>
      <c r="Q18" s="0" t="n">
        <v>0.0378503409534681</v>
      </c>
      <c r="R18" s="0" t="n">
        <v>2.79847262658</v>
      </c>
      <c r="S18" s="0" t="n">
        <v>1</v>
      </c>
      <c r="T18" s="0" t="n">
        <v>305</v>
      </c>
      <c r="U18" s="0" t="n">
        <v>27</v>
      </c>
      <c r="V18" s="0" t="n">
        <v>0</v>
      </c>
      <c r="W18" s="0" t="n">
        <v>20220331</v>
      </c>
      <c r="X18" s="0" t="n">
        <v>0.178286406605462</v>
      </c>
      <c r="Y18" s="0" t="n">
        <v>1.25</v>
      </c>
      <c r="Z18" s="0" t="s">
        <v>105</v>
      </c>
    </row>
    <row r="19" customFormat="false" ht="15" hidden="false" customHeight="false" outlineLevel="0" collapsed="false">
      <c r="A19" s="0" t="n">
        <v>19</v>
      </c>
      <c r="B19" s="0" t="n">
        <v>1361626</v>
      </c>
      <c r="C19" s="0" t="n">
        <v>17751</v>
      </c>
      <c r="D19" s="0" t="n">
        <v>1200633</v>
      </c>
      <c r="E19" s="0" t="n">
        <v>0.07</v>
      </c>
      <c r="F19" s="0" t="n">
        <v>129404</v>
      </c>
      <c r="G19" s="0" t="n">
        <v>9.50363756273749</v>
      </c>
      <c r="H19" s="0" t="s">
        <v>140</v>
      </c>
      <c r="I19" s="0" t="n">
        <v>1.08433723794644</v>
      </c>
      <c r="J19" s="0" t="n">
        <v>117124</v>
      </c>
      <c r="K19" s="0" t="n">
        <v>1660</v>
      </c>
      <c r="L19" s="0" t="n">
        <v>1081029</v>
      </c>
      <c r="M19" s="0" t="n">
        <v>1069307</v>
      </c>
      <c r="N19" s="0" t="n">
        <v>913702</v>
      </c>
      <c r="O19" s="0" t="n">
        <v>2344</v>
      </c>
      <c r="P19" s="0" t="s">
        <v>141</v>
      </c>
      <c r="Q19" s="0" t="n">
        <v>0.216830445806727</v>
      </c>
      <c r="R19" s="0" t="n">
        <v>2.98263106712459</v>
      </c>
      <c r="S19" s="0" t="n">
        <v>2</v>
      </c>
      <c r="T19" s="0" t="n">
        <v>1342</v>
      </c>
      <c r="U19" s="0" t="n">
        <v>0</v>
      </c>
      <c r="V19" s="0" t="n">
        <v>13.7738528053916</v>
      </c>
      <c r="W19" s="0" t="n">
        <v>20220331</v>
      </c>
      <c r="X19" s="0" t="n">
        <v>0.508705684917139</v>
      </c>
      <c r="Y19" s="0" t="n">
        <v>5.27</v>
      </c>
      <c r="Z19" s="0" t="s">
        <v>105</v>
      </c>
    </row>
    <row r="20" customFormat="false" ht="15" hidden="false" customHeight="false" outlineLevel="0" collapsed="false">
      <c r="A20" s="0" t="n">
        <v>20</v>
      </c>
      <c r="B20" s="0" t="n">
        <v>1471217</v>
      </c>
      <c r="C20" s="0" t="n">
        <v>17897</v>
      </c>
      <c r="D20" s="0" t="n">
        <v>1215413</v>
      </c>
      <c r="E20" s="0" t="n">
        <v>0.04</v>
      </c>
      <c r="F20" s="0" t="n">
        <v>198845</v>
      </c>
      <c r="G20" s="0" t="n">
        <v>13.515681235331</v>
      </c>
      <c r="H20" s="0" t="s">
        <v>142</v>
      </c>
      <c r="I20" s="0" t="n">
        <v>0.624670190614532</v>
      </c>
      <c r="J20" s="0" t="n">
        <v>58243</v>
      </c>
      <c r="K20" s="0" t="n">
        <v>2749</v>
      </c>
      <c r="L20" s="0" t="n">
        <v>1226087</v>
      </c>
      <c r="M20" s="0" t="n">
        <v>1218428</v>
      </c>
      <c r="N20" s="0" t="n">
        <v>1160300</v>
      </c>
      <c r="O20" s="0" t="n">
        <v>3293</v>
      </c>
      <c r="P20" s="0" t="s">
        <v>143</v>
      </c>
      <c r="Q20" s="0" t="n">
        <v>0.268578004660354</v>
      </c>
      <c r="R20" s="0" t="n">
        <v>3.238078097909</v>
      </c>
      <c r="S20" s="0" t="n">
        <v>12</v>
      </c>
      <c r="T20" s="0" t="n">
        <v>1421</v>
      </c>
      <c r="U20" s="0" t="n">
        <v>0</v>
      </c>
      <c r="V20" s="0" t="n">
        <v>0</v>
      </c>
      <c r="W20" s="0" t="n">
        <v>20220331</v>
      </c>
      <c r="X20" s="0" t="n">
        <v>-0.20422436033401</v>
      </c>
      <c r="Y20" s="0" t="n">
        <v>-1.48</v>
      </c>
      <c r="Z20" s="0" t="s">
        <v>105</v>
      </c>
    </row>
    <row r="21" customFormat="false" ht="15" hidden="false" customHeight="false" outlineLevel="0" collapsed="false">
      <c r="A21" s="0" t="n">
        <v>21</v>
      </c>
      <c r="B21" s="0" t="n">
        <v>702702</v>
      </c>
      <c r="C21" s="0" t="n">
        <v>17951</v>
      </c>
      <c r="D21" s="0" t="n">
        <v>626605</v>
      </c>
      <c r="E21" s="0" t="n">
        <v>0.05</v>
      </c>
      <c r="F21" s="0" t="n">
        <v>57001</v>
      </c>
      <c r="G21" s="0" t="n">
        <v>8.11168888091965</v>
      </c>
      <c r="H21" s="0" t="s">
        <v>144</v>
      </c>
      <c r="I21" s="0" t="n">
        <v>0.8551346529476</v>
      </c>
      <c r="J21" s="0" t="n">
        <v>24011</v>
      </c>
      <c r="K21" s="0" t="n">
        <v>1618</v>
      </c>
      <c r="L21" s="0" t="n">
        <v>455133</v>
      </c>
      <c r="M21" s="0" t="n">
        <v>451241</v>
      </c>
      <c r="N21" s="0" t="n">
        <v>417998</v>
      </c>
      <c r="O21" s="0" t="n">
        <v>1046</v>
      </c>
      <c r="P21" s="0" t="s">
        <v>145</v>
      </c>
      <c r="Q21" s="0" t="n">
        <v>0.229822930879545</v>
      </c>
      <c r="R21" s="0" t="n">
        <v>3.153855534702</v>
      </c>
      <c r="S21" s="0" t="n">
        <v>-3</v>
      </c>
      <c r="T21" s="0" t="n">
        <v>57</v>
      </c>
      <c r="U21" s="0" t="n">
        <v>0</v>
      </c>
      <c r="V21" s="0" t="n">
        <v>15.5380723051999</v>
      </c>
      <c r="W21" s="0" t="n">
        <v>20220331</v>
      </c>
      <c r="X21" s="0" t="n">
        <v>0.914855176699387</v>
      </c>
      <c r="Y21" s="0" t="n">
        <v>10.65</v>
      </c>
      <c r="Z21" s="0" t="s">
        <v>123</v>
      </c>
    </row>
    <row r="22" customFormat="false" ht="15" hidden="false" customHeight="false" outlineLevel="0" collapsed="false">
      <c r="A22" s="0" t="n">
        <v>22</v>
      </c>
      <c r="B22" s="0" t="n">
        <v>1150436</v>
      </c>
      <c r="C22" s="0" t="n">
        <v>17960</v>
      </c>
      <c r="D22" s="0" t="n">
        <v>962644</v>
      </c>
      <c r="E22" s="0" t="n">
        <v>0.07</v>
      </c>
      <c r="F22" s="0" t="n">
        <v>107341</v>
      </c>
      <c r="G22" s="0" t="n">
        <v>9.33046253768137</v>
      </c>
      <c r="H22" s="0" t="s">
        <v>146</v>
      </c>
      <c r="I22" s="0" t="n">
        <v>1.01419619556841</v>
      </c>
      <c r="J22" s="0" t="n">
        <v>96589</v>
      </c>
      <c r="K22" s="0" t="n">
        <v>142477</v>
      </c>
      <c r="L22" s="0" t="n">
        <v>940745</v>
      </c>
      <c r="M22" s="0" t="n">
        <v>931204</v>
      </c>
      <c r="N22" s="0" t="n">
        <v>701328</v>
      </c>
      <c r="O22" s="0" t="n">
        <v>462</v>
      </c>
      <c r="P22" s="0" t="s">
        <v>147</v>
      </c>
      <c r="Q22" s="0" t="n">
        <v>0.0491100138719844</v>
      </c>
      <c r="R22" s="0" t="n">
        <v>3.59463940740848</v>
      </c>
      <c r="S22" s="0" t="n">
        <v>7</v>
      </c>
      <c r="T22" s="0" t="n">
        <v>1292</v>
      </c>
      <c r="U22" s="0" t="n">
        <v>0</v>
      </c>
      <c r="V22" s="0" t="n">
        <v>14.4388795444508</v>
      </c>
      <c r="W22" s="0" t="n">
        <v>20220331</v>
      </c>
      <c r="X22" s="0" t="n">
        <v>0.833049601017634</v>
      </c>
      <c r="Y22" s="0" t="n">
        <v>8.77</v>
      </c>
      <c r="Z22" s="0" t="s">
        <v>123</v>
      </c>
    </row>
    <row r="23" customFormat="false" ht="15" hidden="false" customHeight="false" outlineLevel="0" collapsed="false">
      <c r="A23" s="0" t="n">
        <v>23</v>
      </c>
      <c r="B23" s="0" t="n">
        <v>2361388</v>
      </c>
      <c r="C23" s="0" t="n">
        <v>18012</v>
      </c>
      <c r="D23" s="0" t="n">
        <v>1985720</v>
      </c>
      <c r="E23" s="0" t="n">
        <v>0.04</v>
      </c>
      <c r="F23" s="0" t="n">
        <v>235718</v>
      </c>
      <c r="G23" s="0" t="n">
        <v>9.98217997211809</v>
      </c>
      <c r="H23" s="0" t="s">
        <v>148</v>
      </c>
      <c r="I23" s="0" t="n">
        <v>1.23592456852314</v>
      </c>
      <c r="J23" s="0" t="n">
        <v>56828</v>
      </c>
      <c r="K23" s="0" t="n">
        <v>37005</v>
      </c>
      <c r="L23" s="0" t="n">
        <v>1846391</v>
      </c>
      <c r="M23" s="0" t="n">
        <v>1823571</v>
      </c>
      <c r="N23" s="0" t="n">
        <v>1710167</v>
      </c>
      <c r="O23" s="0" t="n">
        <v>1611</v>
      </c>
      <c r="P23" s="0" t="s">
        <v>149</v>
      </c>
      <c r="Q23" s="0" t="n">
        <v>0.0872512918444684</v>
      </c>
      <c r="R23" s="0" t="n">
        <v>3.49821090392703</v>
      </c>
      <c r="S23" s="0" t="n">
        <v>30</v>
      </c>
      <c r="T23" s="0" t="n">
        <v>1160</v>
      </c>
      <c r="U23" s="0" t="n">
        <v>0</v>
      </c>
      <c r="V23" s="0" t="n">
        <v>12.5879724374004</v>
      </c>
      <c r="W23" s="0" t="n">
        <v>20220331</v>
      </c>
      <c r="X23" s="0" t="n">
        <v>1.38990310237064</v>
      </c>
      <c r="Y23" s="0" t="n">
        <v>13.47</v>
      </c>
      <c r="Z23" s="0" t="s">
        <v>123</v>
      </c>
    </row>
    <row r="24" customFormat="false" ht="15" hidden="false" customHeight="false" outlineLevel="0" collapsed="false">
      <c r="A24" s="0" t="n">
        <v>24</v>
      </c>
      <c r="B24" s="0" t="n">
        <v>2600482</v>
      </c>
      <c r="C24" s="0" t="n">
        <v>18013</v>
      </c>
      <c r="D24" s="0" t="n">
        <v>2300252</v>
      </c>
      <c r="E24" s="0" t="n">
        <v>0</v>
      </c>
      <c r="F24" s="0" t="n">
        <v>212897</v>
      </c>
      <c r="G24" s="0" t="n">
        <v>8.18682844180425</v>
      </c>
      <c r="H24" s="0" t="s">
        <v>150</v>
      </c>
      <c r="I24" s="0" t="n">
        <v>0.956594529690328</v>
      </c>
      <c r="J24" s="0" t="n">
        <v>115058</v>
      </c>
      <c r="K24" s="0" t="n">
        <v>10633</v>
      </c>
      <c r="L24" s="0" t="n">
        <v>1930494</v>
      </c>
      <c r="M24" s="0" t="n">
        <v>1912027</v>
      </c>
      <c r="N24" s="0" t="n">
        <v>1765339</v>
      </c>
      <c r="O24" s="0" t="n">
        <v>1382</v>
      </c>
      <c r="P24" s="0" t="s">
        <v>151</v>
      </c>
      <c r="Q24" s="0" t="n">
        <v>0.0824659387700764</v>
      </c>
      <c r="R24" s="0" t="n">
        <v>3.00297177382644</v>
      </c>
      <c r="S24" s="0" t="n">
        <v>-26</v>
      </c>
      <c r="T24" s="0" t="n">
        <v>2301</v>
      </c>
      <c r="U24" s="0" t="n">
        <v>210</v>
      </c>
      <c r="V24" s="0" t="n">
        <v>14.3274834905896</v>
      </c>
      <c r="W24" s="0" t="n">
        <v>20220331</v>
      </c>
      <c r="X24" s="0" t="n">
        <v>0.731150038080731</v>
      </c>
      <c r="Y24" s="0" t="n">
        <v>8.73</v>
      </c>
      <c r="Z24" s="0" t="s">
        <v>123</v>
      </c>
    </row>
    <row r="25" customFormat="false" ht="15" hidden="false" customHeight="false" outlineLevel="0" collapsed="false">
      <c r="A25" s="0" t="n">
        <v>25</v>
      </c>
      <c r="B25" s="0" t="n">
        <v>376087</v>
      </c>
      <c r="C25" s="0" t="n">
        <v>18028</v>
      </c>
      <c r="D25" s="0" t="n">
        <v>329792</v>
      </c>
      <c r="E25" s="0" t="n">
        <v>-0.11</v>
      </c>
      <c r="F25" s="0" t="n">
        <v>41683</v>
      </c>
      <c r="G25" s="0" t="n">
        <v>11.0833397591515</v>
      </c>
      <c r="H25" s="0" t="s">
        <v>152</v>
      </c>
      <c r="I25" s="0" t="n">
        <v>0.928775126335954</v>
      </c>
      <c r="J25" s="0" t="n">
        <v>15550</v>
      </c>
      <c r="K25" s="0" t="n">
        <v>5989</v>
      </c>
      <c r="L25" s="0" t="n">
        <v>230734</v>
      </c>
      <c r="M25" s="0" t="n">
        <v>228591</v>
      </c>
      <c r="N25" s="0" t="n">
        <v>205024</v>
      </c>
      <c r="O25" s="0" t="n">
        <v>1080</v>
      </c>
      <c r="P25" s="0" t="s">
        <v>153</v>
      </c>
      <c r="Q25" s="0" t="n">
        <v>0.488007835862942</v>
      </c>
      <c r="R25" s="0" t="n">
        <v>3.14258644110362</v>
      </c>
      <c r="S25" s="0" t="n">
        <v>22</v>
      </c>
      <c r="T25" s="0" t="n">
        <v>1113</v>
      </c>
      <c r="U25" s="0" t="n">
        <v>46</v>
      </c>
      <c r="V25" s="0" t="n">
        <v>0</v>
      </c>
      <c r="W25" s="0" t="n">
        <v>20220331</v>
      </c>
      <c r="X25" s="0" t="n">
        <v>0.799467731204258</v>
      </c>
      <c r="Y25" s="0" t="n">
        <v>6.76</v>
      </c>
      <c r="Z25" s="0" t="s">
        <v>123</v>
      </c>
    </row>
    <row r="26" customFormat="false" ht="15" hidden="false" customHeight="false" outlineLevel="0" collapsed="false">
      <c r="A26" s="0" t="n">
        <v>26</v>
      </c>
      <c r="B26" s="0" t="n">
        <v>675480</v>
      </c>
      <c r="C26" s="0" t="n">
        <v>18030</v>
      </c>
      <c r="D26" s="0" t="n">
        <v>625612</v>
      </c>
      <c r="E26" s="0" t="n">
        <v>0.1</v>
      </c>
      <c r="F26" s="0" t="n">
        <v>47946</v>
      </c>
      <c r="G26" s="0" t="n">
        <v>7.09806359921833</v>
      </c>
      <c r="H26" s="0" t="s">
        <v>154</v>
      </c>
      <c r="I26" s="0" t="n">
        <v>0.94156178548623</v>
      </c>
      <c r="J26" s="0" t="n">
        <v>24798</v>
      </c>
      <c r="K26" s="0" t="n">
        <v>77370</v>
      </c>
      <c r="L26" s="0" t="n">
        <v>485470</v>
      </c>
      <c r="M26" s="0" t="n">
        <v>480899</v>
      </c>
      <c r="N26" s="0" t="n">
        <v>383166</v>
      </c>
      <c r="O26" s="0" t="n">
        <v>602</v>
      </c>
      <c r="P26" s="0" t="s">
        <v>155</v>
      </c>
      <c r="Q26" s="0" t="n">
        <v>0.148721857169341</v>
      </c>
      <c r="R26" s="0" t="n">
        <v>2.94757262359294</v>
      </c>
      <c r="S26" s="0" t="n">
        <v>-1</v>
      </c>
      <c r="T26" s="0" t="n">
        <v>184</v>
      </c>
      <c r="U26" s="0" t="n">
        <v>120</v>
      </c>
      <c r="V26" s="0" t="n">
        <v>14.5080691206684</v>
      </c>
      <c r="W26" s="0" t="n">
        <v>20220331</v>
      </c>
      <c r="X26" s="0" t="n">
        <v>0.354625753802855</v>
      </c>
      <c r="Y26" s="0" t="n">
        <v>4.73</v>
      </c>
      <c r="Z26" s="0" t="s">
        <v>123</v>
      </c>
    </row>
    <row r="27" customFormat="false" ht="15" hidden="false" customHeight="false" outlineLevel="0" collapsed="false">
      <c r="A27" s="0" t="n">
        <v>27</v>
      </c>
      <c r="B27" s="0" t="n">
        <v>618579</v>
      </c>
      <c r="C27" s="0" t="n">
        <v>18031</v>
      </c>
      <c r="D27" s="0" t="n">
        <v>539167</v>
      </c>
      <c r="E27" s="0" t="n">
        <v>0</v>
      </c>
      <c r="F27" s="0" t="n">
        <v>45852</v>
      </c>
      <c r="G27" s="0" t="n">
        <v>7.41247278035627</v>
      </c>
      <c r="H27" s="0" t="s">
        <v>156</v>
      </c>
      <c r="I27" s="0" t="n">
        <v>1.21031300615778</v>
      </c>
      <c r="J27" s="0" t="n">
        <v>32100</v>
      </c>
      <c r="K27" s="0" t="n">
        <v>8415</v>
      </c>
      <c r="L27" s="0" t="n">
        <v>414273</v>
      </c>
      <c r="M27" s="0" t="n">
        <v>409259</v>
      </c>
      <c r="N27" s="0" t="n">
        <v>368428</v>
      </c>
      <c r="O27" s="0" t="n">
        <v>602</v>
      </c>
      <c r="P27" s="0" t="s">
        <v>157</v>
      </c>
      <c r="Q27" s="0" t="n">
        <v>0.145314804488827</v>
      </c>
      <c r="R27" s="0" t="n">
        <v>2.83494716689371</v>
      </c>
      <c r="S27" s="0" t="n">
        <v>19</v>
      </c>
      <c r="T27" s="0" t="n">
        <v>1504</v>
      </c>
      <c r="U27" s="0" t="n">
        <v>0</v>
      </c>
      <c r="V27" s="0" t="n">
        <v>0</v>
      </c>
      <c r="W27" s="0" t="n">
        <v>20220331</v>
      </c>
      <c r="X27" s="0" t="n">
        <v>0.474826734203215</v>
      </c>
      <c r="Y27" s="0" t="n">
        <v>5.98</v>
      </c>
      <c r="Z27" s="0" t="s">
        <v>123</v>
      </c>
    </row>
    <row r="28" customFormat="false" ht="15" hidden="false" customHeight="false" outlineLevel="0" collapsed="false">
      <c r="A28" s="0" t="n">
        <v>28</v>
      </c>
      <c r="B28" s="0" t="n">
        <v>483496</v>
      </c>
      <c r="C28" s="0" t="n">
        <v>18038</v>
      </c>
      <c r="D28" s="0" t="n">
        <v>404536</v>
      </c>
      <c r="E28" s="0" t="n">
        <v>0.04</v>
      </c>
      <c r="F28" s="0" t="n">
        <v>69131</v>
      </c>
      <c r="G28" s="0" t="n">
        <v>14.2981534490461</v>
      </c>
      <c r="H28" s="0" t="s">
        <v>158</v>
      </c>
      <c r="I28" s="0" t="n">
        <v>1.24057032046899</v>
      </c>
      <c r="J28" s="0" t="n">
        <v>17613</v>
      </c>
      <c r="K28" s="0" t="n">
        <v>3264</v>
      </c>
      <c r="L28" s="0" t="n">
        <v>356852</v>
      </c>
      <c r="M28" s="0" t="n">
        <v>352425</v>
      </c>
      <c r="N28" s="0" t="n">
        <v>335633</v>
      </c>
      <c r="O28" s="0" t="n">
        <v>2487</v>
      </c>
      <c r="P28" s="0" t="s">
        <v>159</v>
      </c>
      <c r="Q28" s="0" t="n">
        <v>0.696927577819376</v>
      </c>
      <c r="R28" s="0" t="n">
        <v>3.13809529560168</v>
      </c>
      <c r="S28" s="0" t="n">
        <v>-82</v>
      </c>
      <c r="T28" s="0" t="n">
        <v>1771</v>
      </c>
      <c r="U28" s="0" t="n">
        <v>0</v>
      </c>
      <c r="V28" s="0" t="n">
        <v>0</v>
      </c>
      <c r="W28" s="0" t="n">
        <v>20220331</v>
      </c>
      <c r="X28" s="0" t="n">
        <v>-0.708233314868386</v>
      </c>
      <c r="Y28" s="0" t="n">
        <v>-4.87</v>
      </c>
      <c r="Z28" s="0" t="s">
        <v>123</v>
      </c>
    </row>
    <row r="29" customFormat="false" ht="15" hidden="false" customHeight="false" outlineLevel="0" collapsed="false">
      <c r="A29" s="0" t="n">
        <v>29</v>
      </c>
      <c r="B29" s="0" t="n">
        <v>6919263</v>
      </c>
      <c r="C29" s="0" t="n">
        <v>18408</v>
      </c>
      <c r="D29" s="0" t="n">
        <v>5759296</v>
      </c>
      <c r="E29" s="0" t="n">
        <v>0</v>
      </c>
      <c r="F29" s="0" t="n">
        <v>446779</v>
      </c>
      <c r="G29" s="0" t="n">
        <v>6.45703162316565</v>
      </c>
      <c r="H29" s="0" t="s">
        <v>160</v>
      </c>
      <c r="I29" s="0" t="n">
        <v>1.24362798121471</v>
      </c>
      <c r="J29" s="0" t="n">
        <v>286708</v>
      </c>
      <c r="K29" s="0" t="n">
        <v>28127</v>
      </c>
      <c r="L29" s="0" t="n">
        <v>3977154</v>
      </c>
      <c r="M29" s="0" t="n">
        <v>3927693</v>
      </c>
      <c r="N29" s="0" t="n">
        <v>3596517</v>
      </c>
      <c r="O29" s="0" t="n">
        <v>4978</v>
      </c>
      <c r="P29" s="0" t="s">
        <v>161</v>
      </c>
      <c r="Q29" s="0" t="n">
        <v>0.125164879207594</v>
      </c>
      <c r="R29" s="0" t="n">
        <v>2.73721410817608</v>
      </c>
      <c r="S29" s="0" t="n">
        <v>182</v>
      </c>
      <c r="T29" s="0" t="n">
        <v>3765</v>
      </c>
      <c r="U29" s="0" t="n">
        <v>0</v>
      </c>
      <c r="V29" s="0" t="n">
        <v>13.1233075612294</v>
      </c>
      <c r="W29" s="0" t="n">
        <v>20220331</v>
      </c>
      <c r="X29" s="0" t="n">
        <v>0.599350000296493</v>
      </c>
      <c r="Y29" s="0" t="n">
        <v>8.39</v>
      </c>
      <c r="Z29" s="0" t="s">
        <v>105</v>
      </c>
    </row>
    <row r="30" customFormat="false" ht="15" hidden="false" customHeight="false" outlineLevel="0" collapsed="false">
      <c r="A30" s="0" t="n">
        <v>30</v>
      </c>
      <c r="B30" s="0" t="n">
        <v>2173098</v>
      </c>
      <c r="C30" s="0" t="n">
        <v>19531</v>
      </c>
      <c r="D30" s="0" t="n">
        <v>1922538</v>
      </c>
      <c r="E30" s="0" t="n">
        <v>0.01</v>
      </c>
      <c r="F30" s="0" t="n">
        <v>230604</v>
      </c>
      <c r="G30" s="0" t="n">
        <v>10.6117625620198</v>
      </c>
      <c r="H30" s="0" t="s">
        <v>162</v>
      </c>
      <c r="I30" s="0" t="n">
        <v>1.44082257605153</v>
      </c>
      <c r="J30" s="0" t="n">
        <v>204310</v>
      </c>
      <c r="K30" s="0" t="n">
        <v>12774</v>
      </c>
      <c r="L30" s="0" t="n">
        <v>1643228</v>
      </c>
      <c r="M30" s="0" t="n">
        <v>1619552</v>
      </c>
      <c r="N30" s="0" t="n">
        <v>1345130</v>
      </c>
      <c r="O30" s="0" t="n">
        <v>5998</v>
      </c>
      <c r="P30" s="0" t="s">
        <v>163</v>
      </c>
      <c r="Q30" s="0" t="n">
        <v>0.39045099036774</v>
      </c>
      <c r="R30" s="0" t="n">
        <v>3.51954450569667</v>
      </c>
      <c r="S30" s="0" t="n">
        <v>24</v>
      </c>
      <c r="T30" s="0" t="n">
        <v>2467</v>
      </c>
      <c r="U30" s="0" t="n">
        <v>418</v>
      </c>
      <c r="V30" s="0" t="n">
        <v>15.6563181861576</v>
      </c>
      <c r="W30" s="0" t="n">
        <v>20220331</v>
      </c>
      <c r="X30" s="0" t="n">
        <v>0.72578440299364</v>
      </c>
      <c r="Y30" s="0" t="n">
        <v>6.95</v>
      </c>
      <c r="Z30" s="0" t="s">
        <v>105</v>
      </c>
    </row>
    <row r="31" customFormat="false" ht="15" hidden="false" customHeight="false" outlineLevel="0" collapsed="false">
      <c r="A31" s="0" t="n">
        <v>31</v>
      </c>
      <c r="B31" s="0" t="n">
        <v>770032</v>
      </c>
      <c r="C31" s="0" t="n">
        <v>19532</v>
      </c>
      <c r="D31" s="0" t="n">
        <v>660375</v>
      </c>
      <c r="E31" s="0" t="n">
        <v>0.02</v>
      </c>
      <c r="F31" s="0" t="n">
        <v>96137</v>
      </c>
      <c r="G31" s="0" t="n">
        <v>12.4848058262514</v>
      </c>
      <c r="H31" s="0" t="s">
        <v>164</v>
      </c>
      <c r="I31" s="0" t="n">
        <v>1.17988205176373</v>
      </c>
      <c r="J31" s="0" t="n">
        <v>20391</v>
      </c>
      <c r="K31" s="0" t="n">
        <v>38849</v>
      </c>
      <c r="L31" s="0" t="n">
        <v>500389</v>
      </c>
      <c r="M31" s="0" t="n">
        <v>494485</v>
      </c>
      <c r="N31" s="0" t="n">
        <v>433748</v>
      </c>
      <c r="O31" s="0" t="n">
        <v>2804</v>
      </c>
      <c r="P31" s="0" t="s">
        <v>165</v>
      </c>
      <c r="Q31" s="0" t="n">
        <v>0.560364036779386</v>
      </c>
      <c r="R31" s="0" t="n">
        <v>3.10418099510352</v>
      </c>
      <c r="S31" s="0" t="n">
        <v>2</v>
      </c>
      <c r="T31" s="0" t="n">
        <v>615</v>
      </c>
      <c r="U31" s="0" t="n">
        <v>0</v>
      </c>
      <c r="V31" s="0" t="n">
        <v>21.7967561638214</v>
      </c>
      <c r="W31" s="0" t="n">
        <v>20220331</v>
      </c>
      <c r="X31" s="0" t="n">
        <v>0.746105488016068</v>
      </c>
      <c r="Y31" s="0" t="n">
        <v>5.79</v>
      </c>
      <c r="Z31" s="0" t="s">
        <v>105</v>
      </c>
    </row>
    <row r="32" customFormat="false" ht="15" hidden="false" customHeight="false" outlineLevel="0" collapsed="false">
      <c r="A32" s="0" t="n">
        <v>32</v>
      </c>
      <c r="B32" s="0" t="n">
        <v>1566116</v>
      </c>
      <c r="C32" s="0" t="n">
        <v>19690</v>
      </c>
      <c r="D32" s="0" t="n">
        <v>1284535</v>
      </c>
      <c r="E32" s="0" t="n">
        <v>-0.08</v>
      </c>
      <c r="F32" s="0" t="n">
        <v>247469</v>
      </c>
      <c r="G32" s="0" t="n">
        <v>15.8014476577725</v>
      </c>
      <c r="H32" s="0" t="s">
        <v>166</v>
      </c>
      <c r="I32" s="0" t="n">
        <v>0.471953421378289</v>
      </c>
      <c r="J32" s="0" t="n">
        <v>25804</v>
      </c>
      <c r="K32" s="0" t="n">
        <v>777</v>
      </c>
      <c r="L32" s="0" t="n">
        <v>1232325</v>
      </c>
      <c r="M32" s="0" t="n">
        <v>1226509</v>
      </c>
      <c r="N32" s="0" t="n">
        <v>894476</v>
      </c>
      <c r="O32" s="0" t="n">
        <v>17912</v>
      </c>
      <c r="P32" s="0" t="s">
        <v>167</v>
      </c>
      <c r="Q32" s="0" t="n">
        <v>1.45351266914166</v>
      </c>
      <c r="R32" s="0" t="n">
        <v>5.76381679552061</v>
      </c>
      <c r="S32" s="0" t="n">
        <v>-63</v>
      </c>
      <c r="T32" s="0" t="n">
        <v>6729</v>
      </c>
      <c r="U32" s="0" t="n">
        <v>0</v>
      </c>
      <c r="V32" s="0" t="n">
        <v>20.6019537877708</v>
      </c>
      <c r="W32" s="0" t="n">
        <v>20220331</v>
      </c>
      <c r="X32" s="0" t="n">
        <v>2.79887682741086</v>
      </c>
      <c r="Y32" s="0" t="n">
        <v>17.4</v>
      </c>
      <c r="Z32" s="0" t="s">
        <v>105</v>
      </c>
    </row>
    <row r="33" customFormat="false" ht="15" hidden="false" customHeight="false" outlineLevel="0" collapsed="false">
      <c r="A33" s="0" t="n">
        <v>33</v>
      </c>
      <c r="B33" s="0" t="n">
        <v>568589</v>
      </c>
      <c r="C33" s="0" t="n">
        <v>19836</v>
      </c>
      <c r="D33" s="0" t="n">
        <v>449964</v>
      </c>
      <c r="E33" s="0" t="n">
        <v>0</v>
      </c>
      <c r="F33" s="0" t="n">
        <v>112557</v>
      </c>
      <c r="G33" s="0" t="n">
        <v>19.7958455052771</v>
      </c>
      <c r="H33" s="0" t="s">
        <v>168</v>
      </c>
      <c r="I33" s="0" t="n">
        <v>0.911628167907884</v>
      </c>
      <c r="J33" s="0" t="n">
        <v>44135</v>
      </c>
      <c r="K33" s="0" t="n">
        <v>11311</v>
      </c>
      <c r="L33" s="0" t="n">
        <v>427806</v>
      </c>
      <c r="M33" s="0" t="n">
        <v>423906</v>
      </c>
      <c r="N33" s="0" t="n">
        <v>366535</v>
      </c>
      <c r="O33" s="0" t="n">
        <v>1696</v>
      </c>
      <c r="P33" s="0" t="s">
        <v>145</v>
      </c>
      <c r="Q33" s="0" t="n">
        <v>0.417712701551638</v>
      </c>
      <c r="R33" s="0" t="n">
        <v>3.87429732399215</v>
      </c>
      <c r="S33" s="0" t="n">
        <v>2</v>
      </c>
      <c r="T33" s="0" t="n">
        <v>3713</v>
      </c>
      <c r="U33" s="0" t="n">
        <v>91</v>
      </c>
      <c r="V33" s="0" t="n">
        <v>31.7038496016565</v>
      </c>
      <c r="W33" s="0" t="n">
        <v>20220331</v>
      </c>
      <c r="X33" s="0" t="n">
        <v>0.707485161136119</v>
      </c>
      <c r="Y33" s="0" t="n">
        <v>3.52</v>
      </c>
      <c r="Z33" s="0" t="s">
        <v>105</v>
      </c>
    </row>
    <row r="34" customFormat="false" ht="15" hidden="false" customHeight="false" outlineLevel="0" collapsed="false">
      <c r="A34" s="0" t="n">
        <v>34</v>
      </c>
      <c r="B34" s="0" t="n">
        <v>1244446</v>
      </c>
      <c r="C34" s="0" t="n">
        <v>24540</v>
      </c>
      <c r="D34" s="0" t="n">
        <v>1040872</v>
      </c>
      <c r="E34" s="0" t="n">
        <v>-0.21</v>
      </c>
      <c r="F34" s="0" t="n">
        <v>192853</v>
      </c>
      <c r="G34" s="0" t="n">
        <v>15.4970967000577</v>
      </c>
      <c r="H34" s="0" t="s">
        <v>169</v>
      </c>
      <c r="I34" s="0" t="n">
        <v>1.17514522780929</v>
      </c>
      <c r="J34" s="0" t="n">
        <v>46308</v>
      </c>
      <c r="K34" s="0" t="n">
        <v>17</v>
      </c>
      <c r="L34" s="0" t="n">
        <v>1020810</v>
      </c>
      <c r="M34" s="0" t="n">
        <v>1008814</v>
      </c>
      <c r="N34" s="0" t="n">
        <v>977701</v>
      </c>
      <c r="O34" s="0" t="n">
        <v>815</v>
      </c>
      <c r="P34" s="0" t="s">
        <v>170</v>
      </c>
      <c r="Q34" s="0" t="n">
        <v>0.0798385595752392</v>
      </c>
      <c r="R34" s="0" t="n">
        <v>4.18655281953746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20220331</v>
      </c>
      <c r="X34" s="0" t="n">
        <v>2.22850033777255</v>
      </c>
      <c r="Y34" s="0" t="n">
        <v>14.73</v>
      </c>
      <c r="Z34" s="0" t="s">
        <v>123</v>
      </c>
    </row>
    <row r="35" customFormat="false" ht="15" hidden="false" customHeight="false" outlineLevel="0" collapsed="false">
      <c r="A35" s="0" t="n">
        <v>35</v>
      </c>
      <c r="B35" s="0" t="n">
        <v>458925</v>
      </c>
      <c r="C35" s="0" t="n">
        <v>27824</v>
      </c>
      <c r="D35" s="0" t="n">
        <v>369032</v>
      </c>
      <c r="E35" s="0" t="n">
        <v>0</v>
      </c>
      <c r="F35" s="0" t="n">
        <v>69307</v>
      </c>
      <c r="G35" s="0" t="n">
        <v>15.1020319224274</v>
      </c>
      <c r="H35" s="0" t="s">
        <v>171</v>
      </c>
      <c r="I35" s="0" t="n">
        <v>0.843147163510129</v>
      </c>
      <c r="J35" s="0" t="n">
        <v>22180</v>
      </c>
      <c r="K35" s="0" t="n">
        <v>20605</v>
      </c>
      <c r="L35" s="0" t="n">
        <v>364112</v>
      </c>
      <c r="M35" s="0" t="n">
        <v>361042</v>
      </c>
      <c r="N35" s="0" t="n">
        <v>321326</v>
      </c>
      <c r="O35" s="0" t="n">
        <v>916</v>
      </c>
      <c r="P35" s="0" t="s">
        <v>172</v>
      </c>
      <c r="Q35" s="0" t="n">
        <v>0.251570945203673</v>
      </c>
      <c r="R35" s="0" t="n">
        <v>2.87084618829471</v>
      </c>
      <c r="S35" s="0" t="n">
        <v>0</v>
      </c>
      <c r="T35" s="0" t="n">
        <v>408</v>
      </c>
      <c r="U35" s="0" t="n">
        <v>0</v>
      </c>
      <c r="V35" s="0" t="n">
        <v>25.9429561741573</v>
      </c>
      <c r="W35" s="0" t="n">
        <v>20220331</v>
      </c>
      <c r="X35" s="0" t="n">
        <v>0.26632984641793</v>
      </c>
      <c r="Y35" s="0" t="n">
        <v>1.72</v>
      </c>
      <c r="Z35" s="0" t="s">
        <v>123</v>
      </c>
    </row>
    <row r="36" customFormat="false" ht="15" hidden="false" customHeight="false" outlineLevel="0" collapsed="false">
      <c r="A36" s="0" t="n">
        <v>36</v>
      </c>
      <c r="B36" s="0" t="n">
        <v>281830</v>
      </c>
      <c r="C36" s="0" t="n">
        <v>28155</v>
      </c>
      <c r="D36" s="0" t="n">
        <v>253420</v>
      </c>
      <c r="E36" s="0" t="n">
        <v>0.07</v>
      </c>
      <c r="F36" s="0" t="n">
        <v>27480</v>
      </c>
      <c r="G36" s="0" t="n">
        <v>9.7505588475322</v>
      </c>
      <c r="H36" s="0" t="s">
        <v>173</v>
      </c>
      <c r="I36" s="0" t="n">
        <v>0.589006569427366</v>
      </c>
      <c r="J36" s="0" t="n">
        <v>5388</v>
      </c>
      <c r="K36" s="0" t="n">
        <v>3851</v>
      </c>
      <c r="L36" s="0" t="n">
        <v>147197</v>
      </c>
      <c r="M36" s="0" t="n">
        <v>146330</v>
      </c>
      <c r="N36" s="0" t="n">
        <v>137297</v>
      </c>
      <c r="O36" s="0" t="n">
        <v>206</v>
      </c>
      <c r="P36" s="0" t="s">
        <v>174</v>
      </c>
      <c r="Q36" s="0" t="n">
        <v>0.13994850438528</v>
      </c>
      <c r="R36" s="0" t="n">
        <v>2.67920386996115</v>
      </c>
      <c r="S36" s="0" t="n">
        <v>0</v>
      </c>
      <c r="T36" s="0" t="n">
        <v>357</v>
      </c>
      <c r="U36" s="0" t="n">
        <v>0</v>
      </c>
      <c r="V36" s="0" t="n">
        <v>19.3787051455993</v>
      </c>
      <c r="W36" s="0" t="n">
        <v>20220331</v>
      </c>
      <c r="X36" s="0" t="n">
        <v>0.225168568578782</v>
      </c>
      <c r="Y36" s="0" t="n">
        <v>2.32</v>
      </c>
      <c r="Z36" s="0" t="s">
        <v>123</v>
      </c>
    </row>
    <row r="37" customFormat="false" ht="15" hidden="false" customHeight="false" outlineLevel="0" collapsed="false">
      <c r="A37" s="0" t="n">
        <v>37</v>
      </c>
      <c r="B37" s="0" t="n">
        <v>92044</v>
      </c>
      <c r="C37" s="0" t="n">
        <v>28288</v>
      </c>
      <c r="D37" s="0" t="n">
        <v>76920</v>
      </c>
      <c r="E37" s="0" t="n">
        <v>0</v>
      </c>
      <c r="F37" s="0" t="n">
        <v>7147</v>
      </c>
      <c r="G37" s="0" t="n">
        <v>7.76476467776281</v>
      </c>
      <c r="H37" s="0" t="s">
        <v>175</v>
      </c>
      <c r="I37" s="0" t="n">
        <v>1.1641615089891</v>
      </c>
      <c r="J37" s="0" t="n">
        <v>3708</v>
      </c>
      <c r="K37" s="0" t="n">
        <v>587</v>
      </c>
      <c r="L37" s="0" t="n">
        <v>74646</v>
      </c>
      <c r="M37" s="0" t="n">
        <v>73777</v>
      </c>
      <c r="N37" s="0" t="n">
        <v>70352</v>
      </c>
      <c r="O37" s="0" t="n">
        <v>606</v>
      </c>
      <c r="P37" s="0" t="s">
        <v>176</v>
      </c>
      <c r="Q37" s="0" t="n">
        <v>0.811831846314605</v>
      </c>
      <c r="R37" s="0" t="n">
        <v>3.43394488632164</v>
      </c>
      <c r="S37" s="0" t="n">
        <v>-2</v>
      </c>
      <c r="T37" s="0" t="n">
        <v>345</v>
      </c>
      <c r="U37" s="0" t="n">
        <v>0</v>
      </c>
      <c r="V37" s="0" t="n">
        <v>14.4674296503636</v>
      </c>
      <c r="W37" s="0" t="n">
        <v>20220331</v>
      </c>
      <c r="X37" s="0" t="n">
        <v>0.0043253764429185</v>
      </c>
      <c r="Y37" s="0" t="n">
        <v>0.05</v>
      </c>
      <c r="Z37" s="0" t="s">
        <v>105</v>
      </c>
    </row>
    <row r="38" customFormat="false" ht="15" hidden="false" customHeight="false" outlineLevel="0" collapsed="false">
      <c r="A38" s="0" t="n">
        <v>38</v>
      </c>
      <c r="B38" s="0" t="n">
        <v>85281</v>
      </c>
      <c r="C38" s="0" t="n">
        <v>28369</v>
      </c>
      <c r="D38" s="0" t="n">
        <v>75519</v>
      </c>
      <c r="E38" s="0" t="n">
        <v>0.07</v>
      </c>
      <c r="F38" s="0" t="n">
        <v>9337</v>
      </c>
      <c r="G38" s="0" t="n">
        <v>10.948511391752</v>
      </c>
      <c r="H38" s="0" t="s">
        <v>177</v>
      </c>
      <c r="I38" s="0" t="n">
        <v>0.77640395109484</v>
      </c>
      <c r="J38" s="0" t="n">
        <v>9635</v>
      </c>
      <c r="K38" s="0" t="n">
        <v>948</v>
      </c>
      <c r="L38" s="0" t="n">
        <v>72385</v>
      </c>
      <c r="M38" s="0" t="n">
        <v>71823</v>
      </c>
      <c r="N38" s="0" t="n">
        <v>61802</v>
      </c>
      <c r="O38" s="0" t="n">
        <v>440</v>
      </c>
      <c r="P38" s="0" t="s">
        <v>178</v>
      </c>
      <c r="Q38" s="0" t="n">
        <v>0.607860744629412</v>
      </c>
      <c r="R38" s="0" t="n">
        <v>3.62481223374129</v>
      </c>
      <c r="S38" s="0" t="n">
        <v>-3</v>
      </c>
      <c r="T38" s="0" t="n">
        <v>13</v>
      </c>
      <c r="U38" s="0" t="n">
        <v>0</v>
      </c>
      <c r="V38" s="0" t="n">
        <v>0</v>
      </c>
      <c r="W38" s="0" t="n">
        <v>20220331</v>
      </c>
      <c r="X38" s="0" t="n">
        <v>-0.0793086154815082</v>
      </c>
      <c r="Y38" s="0" t="n">
        <v>-0.73</v>
      </c>
      <c r="Z38" s="0" t="s">
        <v>105</v>
      </c>
    </row>
    <row r="39" customFormat="false" ht="15" hidden="false" customHeight="false" outlineLevel="0" collapsed="false">
      <c r="A39" s="0" t="n">
        <v>39</v>
      </c>
      <c r="B39" s="0" t="n">
        <v>300452</v>
      </c>
      <c r="C39" s="0" t="n">
        <v>28837</v>
      </c>
      <c r="D39" s="0" t="n">
        <v>273714</v>
      </c>
      <c r="E39" s="0" t="n">
        <v>0.05</v>
      </c>
      <c r="F39" s="0" t="n">
        <v>22104</v>
      </c>
      <c r="G39" s="0" t="n">
        <v>7.35691558052534</v>
      </c>
      <c r="H39" s="0" t="s">
        <v>179</v>
      </c>
      <c r="I39" s="0" t="n">
        <v>1.17131389945078</v>
      </c>
      <c r="J39" s="0" t="n">
        <v>6477</v>
      </c>
      <c r="K39" s="0" t="n">
        <v>887</v>
      </c>
      <c r="L39" s="0" t="n">
        <v>189360</v>
      </c>
      <c r="M39" s="0" t="n">
        <v>187142</v>
      </c>
      <c r="N39" s="0" t="n">
        <v>180942</v>
      </c>
      <c r="O39" s="0" t="n">
        <v>71</v>
      </c>
      <c r="P39" s="0" t="s">
        <v>180</v>
      </c>
      <c r="Q39" s="0" t="n">
        <v>0.0374947190536544</v>
      </c>
      <c r="R39" s="0" t="n">
        <v>2.37407853799366</v>
      </c>
      <c r="S39" s="0" t="n">
        <v>128</v>
      </c>
      <c r="T39" s="0" t="n">
        <v>507</v>
      </c>
      <c r="U39" s="0" t="n">
        <v>0</v>
      </c>
      <c r="V39" s="0" t="n">
        <v>14.5340591975845</v>
      </c>
      <c r="W39" s="0" t="n">
        <v>20220331</v>
      </c>
      <c r="X39" s="0" t="n">
        <v>0.308720697205283</v>
      </c>
      <c r="Y39" s="0" t="n">
        <v>4.24</v>
      </c>
      <c r="Z39" s="0" t="s">
        <v>112</v>
      </c>
    </row>
    <row r="40" customFormat="false" ht="15" hidden="false" customHeight="false" outlineLevel="0" collapsed="false">
      <c r="A40" s="0" t="n">
        <v>40</v>
      </c>
      <c r="B40" s="0" t="n">
        <v>179872</v>
      </c>
      <c r="C40" s="0" t="n">
        <v>29636</v>
      </c>
      <c r="D40" s="0" t="n">
        <v>154524</v>
      </c>
      <c r="E40" s="0" t="n">
        <v>0.03</v>
      </c>
      <c r="F40" s="0" t="n">
        <v>24006</v>
      </c>
      <c r="G40" s="0" t="n">
        <v>13.3461572673901</v>
      </c>
      <c r="H40" s="0" t="s">
        <v>181</v>
      </c>
      <c r="I40" s="0" t="n">
        <v>1.53637970395464</v>
      </c>
      <c r="J40" s="0" t="n">
        <v>1323</v>
      </c>
      <c r="K40" s="0" t="n">
        <v>2075</v>
      </c>
      <c r="L40" s="0" t="n">
        <v>108632</v>
      </c>
      <c r="M40" s="0" t="n">
        <v>106963</v>
      </c>
      <c r="N40" s="0" t="n">
        <v>105234</v>
      </c>
      <c r="O40" s="0" t="n">
        <v>1233</v>
      </c>
      <c r="P40" s="0" t="s">
        <v>182</v>
      </c>
      <c r="Q40" s="0" t="n">
        <v>1.13502467044701</v>
      </c>
      <c r="R40" s="0" t="n">
        <v>2.99433190856718</v>
      </c>
      <c r="S40" s="0" t="n">
        <v>-2</v>
      </c>
      <c r="T40" s="0" t="n">
        <v>2145</v>
      </c>
      <c r="U40" s="0" t="n">
        <v>0</v>
      </c>
      <c r="V40" s="0" t="n">
        <v>31.9768238739019</v>
      </c>
      <c r="W40" s="0" t="n">
        <v>20220331</v>
      </c>
      <c r="X40" s="0" t="n">
        <v>0.0400102248352356</v>
      </c>
      <c r="Y40" s="0" t="n">
        <v>0.3</v>
      </c>
      <c r="Z40" s="0" t="s">
        <v>105</v>
      </c>
    </row>
    <row r="41" customFormat="false" ht="15" hidden="false" customHeight="false" outlineLevel="0" collapsed="false">
      <c r="A41" s="0" t="n">
        <v>41</v>
      </c>
      <c r="B41" s="0" t="n">
        <v>172820</v>
      </c>
      <c r="C41" s="0" t="n">
        <v>29743</v>
      </c>
      <c r="D41" s="0" t="n">
        <v>154916</v>
      </c>
      <c r="E41" s="0" t="n">
        <v>0</v>
      </c>
      <c r="F41" s="0" t="n">
        <v>15360</v>
      </c>
      <c r="G41" s="0" t="n">
        <v>8.88786020136558</v>
      </c>
      <c r="H41" s="0" t="s">
        <v>183</v>
      </c>
      <c r="I41" s="0" t="n">
        <v>0.442822093232003</v>
      </c>
      <c r="J41" s="0" t="n">
        <v>22643</v>
      </c>
      <c r="K41" s="0" t="n">
        <v>17066</v>
      </c>
      <c r="L41" s="0" t="n">
        <v>116977</v>
      </c>
      <c r="M41" s="0" t="n">
        <v>116459</v>
      </c>
      <c r="N41" s="0" t="n">
        <v>77243</v>
      </c>
      <c r="O41" s="0" t="n">
        <v>442</v>
      </c>
      <c r="P41" s="0" t="s">
        <v>184</v>
      </c>
      <c r="Q41" s="0" t="n">
        <v>0.377852056387153</v>
      </c>
      <c r="R41" s="0" t="n">
        <v>2.48846786023577</v>
      </c>
      <c r="S41" s="0" t="n">
        <v>12</v>
      </c>
      <c r="T41" s="0" t="n">
        <v>646</v>
      </c>
      <c r="U41" s="0" t="n">
        <v>0</v>
      </c>
      <c r="V41" s="0" t="n">
        <v>17.2715138879417</v>
      </c>
      <c r="W41" s="0" t="n">
        <v>20220331</v>
      </c>
      <c r="X41" s="0" t="n">
        <v>0.608807104275382</v>
      </c>
      <c r="Y41" s="0" t="n">
        <v>6.58</v>
      </c>
      <c r="Z41" s="0" t="s">
        <v>105</v>
      </c>
    </row>
    <row r="42" customFormat="false" ht="15" hidden="false" customHeight="false" outlineLevel="0" collapsed="false">
      <c r="A42" s="0" t="n">
        <v>42</v>
      </c>
      <c r="B42" s="0" t="n">
        <v>499707</v>
      </c>
      <c r="C42" s="0" t="n">
        <v>29744</v>
      </c>
      <c r="D42" s="0" t="n">
        <v>400905</v>
      </c>
      <c r="E42" s="0" t="n">
        <v>0.05</v>
      </c>
      <c r="F42" s="0" t="n">
        <v>46362</v>
      </c>
      <c r="G42" s="0" t="n">
        <v>9.27783681237205</v>
      </c>
      <c r="H42" s="0" t="s">
        <v>185</v>
      </c>
      <c r="I42" s="0" t="n">
        <v>0.959795075054815</v>
      </c>
      <c r="J42" s="0" t="n">
        <v>28459</v>
      </c>
      <c r="K42" s="0" t="n">
        <v>5712</v>
      </c>
      <c r="L42" s="0" t="n">
        <v>379456</v>
      </c>
      <c r="M42" s="0" t="n">
        <v>375814</v>
      </c>
      <c r="N42" s="0" t="n">
        <v>345285</v>
      </c>
      <c r="O42" s="0" t="n">
        <v>795</v>
      </c>
      <c r="P42" s="0" t="s">
        <v>186</v>
      </c>
      <c r="Q42" s="0" t="n">
        <v>0.209510457075392</v>
      </c>
      <c r="R42" s="0" t="n">
        <v>3.18765437827873</v>
      </c>
      <c r="S42" s="0" t="n">
        <v>8</v>
      </c>
      <c r="T42" s="0" t="n">
        <v>138</v>
      </c>
      <c r="U42" s="0" t="n">
        <v>0</v>
      </c>
      <c r="V42" s="0" t="n">
        <v>17.2969821518877</v>
      </c>
      <c r="W42" s="0" t="n">
        <v>20220331</v>
      </c>
      <c r="X42" s="0" t="n">
        <v>0.319298839198795</v>
      </c>
      <c r="Y42" s="0" t="n">
        <v>3.25</v>
      </c>
      <c r="Z42" s="0" t="s">
        <v>123</v>
      </c>
    </row>
    <row r="43" customFormat="false" ht="15" hidden="false" customHeight="false" outlineLevel="0" collapsed="false">
      <c r="A43" s="0" t="n">
        <v>43</v>
      </c>
      <c r="B43" s="0" t="n">
        <v>558084</v>
      </c>
      <c r="C43" s="0" t="n">
        <v>30350</v>
      </c>
      <c r="D43" s="0" t="n">
        <v>471489</v>
      </c>
      <c r="E43" s="0" t="n">
        <v>0</v>
      </c>
      <c r="F43" s="0" t="n">
        <v>51735</v>
      </c>
      <c r="G43" s="0" t="n">
        <v>9.27010987593266</v>
      </c>
      <c r="H43" s="0" t="s">
        <v>187</v>
      </c>
      <c r="I43" s="0" t="n">
        <v>1.44320981611108</v>
      </c>
      <c r="J43" s="0" t="n">
        <v>11781</v>
      </c>
      <c r="K43" s="0" t="n">
        <v>796</v>
      </c>
      <c r="L43" s="0" t="n">
        <v>367722</v>
      </c>
      <c r="M43" s="0" t="n">
        <v>362415</v>
      </c>
      <c r="N43" s="0" t="n">
        <v>353740</v>
      </c>
      <c r="O43" s="0" t="n">
        <v>2750</v>
      </c>
      <c r="P43" s="0" t="s">
        <v>188</v>
      </c>
      <c r="Q43" s="0" t="n">
        <v>0.747847558753624</v>
      </c>
      <c r="R43" s="0" t="n">
        <v>2.64878933304511</v>
      </c>
      <c r="S43" s="0" t="n">
        <v>-4</v>
      </c>
      <c r="T43" s="0" t="n">
        <v>1525</v>
      </c>
      <c r="U43" s="0" t="n">
        <v>0</v>
      </c>
      <c r="V43" s="0" t="n">
        <v>21.5752243865437</v>
      </c>
      <c r="W43" s="0" t="n">
        <v>20220331</v>
      </c>
      <c r="X43" s="0" t="n">
        <v>0.631458667705776</v>
      </c>
      <c r="Y43" s="0" t="n">
        <v>6.56</v>
      </c>
      <c r="Z43" s="0" t="s">
        <v>112</v>
      </c>
    </row>
    <row r="44" customFormat="false" ht="15" hidden="false" customHeight="false" outlineLevel="0" collapsed="false">
      <c r="A44" s="0" t="n">
        <v>44</v>
      </c>
      <c r="B44" s="0" t="n">
        <v>100633</v>
      </c>
      <c r="C44" s="0" t="n">
        <v>30878</v>
      </c>
      <c r="D44" s="0" t="n">
        <v>78705</v>
      </c>
      <c r="E44" s="0" t="n">
        <v>0</v>
      </c>
      <c r="F44" s="0" t="n">
        <v>12369</v>
      </c>
      <c r="G44" s="0" t="n">
        <v>12.2911967247324</v>
      </c>
      <c r="H44" s="0" t="s">
        <v>189</v>
      </c>
      <c r="I44" s="0" t="n">
        <v>1.1397293687206</v>
      </c>
      <c r="J44" s="0" t="n">
        <v>0</v>
      </c>
      <c r="K44" s="0" t="n">
        <v>122</v>
      </c>
      <c r="L44" s="0" t="n">
        <v>68876</v>
      </c>
      <c r="M44" s="0" t="n">
        <v>68091</v>
      </c>
      <c r="N44" s="0" t="n">
        <v>68753</v>
      </c>
      <c r="O44" s="0" t="n">
        <v>539</v>
      </c>
      <c r="P44" s="0" t="s">
        <v>190</v>
      </c>
      <c r="Q44" s="0" t="n">
        <v>0.78256577036994</v>
      </c>
      <c r="R44" s="0" t="n">
        <v>1.98516265592569</v>
      </c>
      <c r="S44" s="0" t="n">
        <v>0</v>
      </c>
      <c r="T44" s="0" t="n">
        <v>375</v>
      </c>
      <c r="U44" s="0" t="n">
        <v>0</v>
      </c>
      <c r="V44" s="0" t="n">
        <v>0</v>
      </c>
      <c r="W44" s="0" t="n">
        <v>20220331</v>
      </c>
      <c r="X44" s="0" t="n">
        <v>0.175102599179207</v>
      </c>
      <c r="Y44" s="0" t="n">
        <v>1.41</v>
      </c>
      <c r="Z44" s="0" t="s">
        <v>105</v>
      </c>
    </row>
    <row r="45" customFormat="false" ht="15" hidden="false" customHeight="false" outlineLevel="0" collapsed="false">
      <c r="A45" s="0" t="n">
        <v>45</v>
      </c>
      <c r="B45" s="0" t="n">
        <v>757509</v>
      </c>
      <c r="C45" s="0" t="n">
        <v>33418</v>
      </c>
      <c r="D45" s="0" t="n">
        <v>686918</v>
      </c>
      <c r="E45" s="0" t="n">
        <v>0</v>
      </c>
      <c r="F45" s="0" t="n">
        <v>49895</v>
      </c>
      <c r="G45" s="0" t="n">
        <v>6.58672042180357</v>
      </c>
      <c r="H45" s="0" t="s">
        <v>191</v>
      </c>
      <c r="I45" s="0" t="n">
        <v>2.08213194264526</v>
      </c>
      <c r="J45" s="0" t="n">
        <v>41526</v>
      </c>
      <c r="K45" s="0" t="n">
        <v>14294</v>
      </c>
      <c r="L45" s="0" t="n">
        <v>358959</v>
      </c>
      <c r="M45" s="0" t="n">
        <v>351485</v>
      </c>
      <c r="N45" s="0" t="n">
        <v>303204</v>
      </c>
      <c r="O45" s="0" t="n">
        <v>1659</v>
      </c>
      <c r="P45" s="0" t="s">
        <v>192</v>
      </c>
      <c r="Q45" s="0" t="n">
        <v>0.462169774263913</v>
      </c>
      <c r="R45" s="0" t="n">
        <v>2.64547208066041</v>
      </c>
      <c r="S45" s="0" t="n">
        <v>-5</v>
      </c>
      <c r="T45" s="0" t="n">
        <v>308</v>
      </c>
      <c r="U45" s="0" t="n">
        <v>0</v>
      </c>
      <c r="V45" s="0" t="n">
        <v>15.1005735502168</v>
      </c>
      <c r="W45" s="0" t="n">
        <v>20220331</v>
      </c>
      <c r="X45" s="0" t="n">
        <v>1.08763023716891</v>
      </c>
      <c r="Y45" s="0" t="n">
        <v>13.83</v>
      </c>
      <c r="Z45" s="0" t="s">
        <v>112</v>
      </c>
    </row>
    <row r="46" customFormat="false" ht="15" hidden="false" customHeight="false" outlineLevel="0" collapsed="false">
      <c r="A46" s="0" t="n">
        <v>46</v>
      </c>
      <c r="B46" s="0" t="n">
        <v>5406954</v>
      </c>
      <c r="C46" s="0" t="n">
        <v>4255</v>
      </c>
      <c r="D46" s="0" t="n">
        <v>4617834</v>
      </c>
      <c r="E46" s="0" t="n">
        <v>-0.08</v>
      </c>
      <c r="F46" s="0" t="n">
        <v>494704</v>
      </c>
      <c r="G46" s="0" t="n">
        <v>9.14940278759538</v>
      </c>
      <c r="H46" s="0" t="s">
        <v>193</v>
      </c>
      <c r="I46" s="0" t="n">
        <v>0.897223689981397</v>
      </c>
      <c r="J46" s="0" t="n">
        <v>332872</v>
      </c>
      <c r="K46" s="0" t="n">
        <v>18973</v>
      </c>
      <c r="L46" s="0" t="n">
        <v>3540923</v>
      </c>
      <c r="M46" s="0" t="n">
        <v>3509153</v>
      </c>
      <c r="N46" s="0" t="n">
        <v>3145490</v>
      </c>
      <c r="O46" s="0" t="n">
        <v>4452</v>
      </c>
      <c r="P46" s="0" t="s">
        <v>194</v>
      </c>
      <c r="Q46" s="0" t="n">
        <v>0.125729929738659</v>
      </c>
      <c r="R46" s="0" t="n">
        <v>2.92744682140836</v>
      </c>
      <c r="S46" s="0" t="n">
        <v>250</v>
      </c>
      <c r="T46" s="0" t="n">
        <v>1301</v>
      </c>
      <c r="U46" s="0" t="n">
        <v>0</v>
      </c>
      <c r="V46" s="0" t="n">
        <v>13.5561410868159</v>
      </c>
      <c r="W46" s="0" t="n">
        <v>20220331</v>
      </c>
      <c r="X46" s="0" t="n">
        <v>1.27683285497104</v>
      </c>
      <c r="Y46" s="0" t="n">
        <v>13.21</v>
      </c>
      <c r="Z46" s="0" t="s">
        <v>105</v>
      </c>
    </row>
    <row r="47" customFormat="false" ht="15" hidden="false" customHeight="false" outlineLevel="0" collapsed="false">
      <c r="A47" s="0" t="n">
        <v>47</v>
      </c>
      <c r="B47" s="0" t="n">
        <v>2514032</v>
      </c>
      <c r="C47" s="0" t="n">
        <v>4256</v>
      </c>
      <c r="D47" s="0" t="n">
        <v>2159436</v>
      </c>
      <c r="E47" s="0" t="n">
        <v>0.07</v>
      </c>
      <c r="F47" s="0" t="n">
        <v>204756</v>
      </c>
      <c r="G47" s="0" t="n">
        <v>8.14452640220968</v>
      </c>
      <c r="H47" s="0" t="s">
        <v>195</v>
      </c>
      <c r="I47" s="0" t="n">
        <v>0.923204126135706</v>
      </c>
      <c r="J47" s="0" t="n">
        <v>226654</v>
      </c>
      <c r="K47" s="0" t="n">
        <v>22077</v>
      </c>
      <c r="L47" s="0" t="n">
        <v>1707748</v>
      </c>
      <c r="M47" s="0" t="n">
        <v>1691982</v>
      </c>
      <c r="N47" s="0" t="n">
        <v>1367138</v>
      </c>
      <c r="O47" s="0" t="n">
        <v>5049</v>
      </c>
      <c r="P47" s="0" t="s">
        <v>196</v>
      </c>
      <c r="Q47" s="0" t="n">
        <v>0.298346126009224</v>
      </c>
      <c r="R47" s="0" t="n">
        <v>3.15768402829308</v>
      </c>
      <c r="S47" s="0" t="n">
        <v>205</v>
      </c>
      <c r="T47" s="0" t="n">
        <v>892</v>
      </c>
      <c r="U47" s="0" t="n">
        <v>46</v>
      </c>
      <c r="V47" s="0" t="n">
        <v>14.0050565438216</v>
      </c>
      <c r="W47" s="0" t="n">
        <v>20220331</v>
      </c>
      <c r="X47" s="0" t="n">
        <v>1.58060734186442</v>
      </c>
      <c r="Y47" s="0" t="n">
        <v>18.79</v>
      </c>
      <c r="Z47" s="0" t="s">
        <v>105</v>
      </c>
    </row>
    <row r="48" customFormat="false" ht="15" hidden="false" customHeight="false" outlineLevel="0" collapsed="false">
      <c r="A48" s="0" t="n">
        <v>48</v>
      </c>
      <c r="B48" s="0" t="n">
        <v>702304</v>
      </c>
      <c r="C48" s="0" t="n">
        <v>59086</v>
      </c>
      <c r="D48" s="0" t="n">
        <v>631646</v>
      </c>
      <c r="E48" s="0" t="n">
        <v>0.15</v>
      </c>
      <c r="F48" s="0" t="n">
        <v>66816</v>
      </c>
      <c r="G48" s="0" t="n">
        <v>9.51382876930788</v>
      </c>
      <c r="H48" s="0" t="s">
        <v>197</v>
      </c>
      <c r="I48" s="0" t="n">
        <v>1.1506354816876</v>
      </c>
      <c r="J48" s="0" t="n">
        <v>115306</v>
      </c>
      <c r="K48" s="0" t="n">
        <v>0</v>
      </c>
      <c r="L48" s="0" t="n">
        <v>518583</v>
      </c>
      <c r="M48" s="0" t="n">
        <v>512616</v>
      </c>
      <c r="N48" s="0" t="n">
        <v>404171</v>
      </c>
      <c r="O48" s="0" t="n">
        <v>2111</v>
      </c>
      <c r="P48" s="0" t="s">
        <v>198</v>
      </c>
      <c r="Q48" s="0" t="n">
        <v>0.0657561084725106</v>
      </c>
      <c r="R48" s="0" t="n">
        <v>3.2247228753779</v>
      </c>
      <c r="S48" s="0" t="n">
        <v>0</v>
      </c>
      <c r="T48" s="0" t="n">
        <v>0</v>
      </c>
      <c r="U48" s="0" t="n">
        <v>341</v>
      </c>
      <c r="V48" s="0" t="n">
        <v>13.608114424605</v>
      </c>
      <c r="W48" s="0" t="n">
        <v>20220331</v>
      </c>
      <c r="X48" s="0" t="n">
        <v>1.1291386821763</v>
      </c>
      <c r="Y48" s="0" t="n">
        <v>11.87</v>
      </c>
      <c r="Z48" s="0" t="s">
        <v>123</v>
      </c>
    </row>
    <row r="49" customFormat="false" ht="15" hidden="false" customHeight="false" outlineLevel="0" collapsed="false">
      <c r="A49" s="0" t="n">
        <v>49</v>
      </c>
      <c r="B49" s="0" t="n">
        <v>146747</v>
      </c>
      <c r="C49" s="0" t="n">
        <v>59176</v>
      </c>
      <c r="D49" s="0" t="n">
        <v>124821</v>
      </c>
      <c r="E49" s="0" t="n">
        <v>0.31</v>
      </c>
      <c r="F49" s="0" t="n">
        <v>21476</v>
      </c>
      <c r="G49" s="0" t="n">
        <v>14.6347114421419</v>
      </c>
      <c r="H49" s="0" t="s">
        <v>199</v>
      </c>
      <c r="I49" s="0" t="n">
        <v>0.849385173075556</v>
      </c>
      <c r="J49" s="0" t="n">
        <v>14832</v>
      </c>
      <c r="K49" s="0" t="n">
        <v>14</v>
      </c>
      <c r="L49" s="0" t="n">
        <v>112552</v>
      </c>
      <c r="M49" s="0" t="n">
        <v>111596</v>
      </c>
      <c r="N49" s="0" t="n">
        <v>97793</v>
      </c>
      <c r="O49" s="0" t="n">
        <v>42</v>
      </c>
      <c r="P49" s="0" t="s">
        <v>200</v>
      </c>
      <c r="Q49" s="0" t="n">
        <v>0.0373160850095955</v>
      </c>
      <c r="R49" s="0" t="n">
        <v>2.98511873974789</v>
      </c>
      <c r="S49" s="0" t="n">
        <v>0</v>
      </c>
      <c r="T49" s="0" t="n">
        <v>0</v>
      </c>
      <c r="U49" s="0" t="n">
        <v>0</v>
      </c>
      <c r="V49" s="0" t="n">
        <v>19.8448295690792</v>
      </c>
      <c r="W49" s="0" t="n">
        <v>20220331</v>
      </c>
      <c r="X49" s="0" t="n">
        <v>0.031957931740763</v>
      </c>
      <c r="Y49" s="0" t="n">
        <v>0.23</v>
      </c>
      <c r="Z49" s="0" t="s">
        <v>123</v>
      </c>
    </row>
    <row r="50" customFormat="false" ht="15" hidden="false" customHeight="false" outlineLevel="0" collapsed="false">
      <c r="A50" s="0" t="n">
        <v>50</v>
      </c>
      <c r="B50" s="0" t="n">
        <v>1004765</v>
      </c>
      <c r="C50" s="0" t="n">
        <v>6271</v>
      </c>
      <c r="D50" s="0" t="n">
        <v>878431</v>
      </c>
      <c r="E50" s="0" t="n">
        <v>0.34</v>
      </c>
      <c r="F50" s="0" t="n">
        <v>89733</v>
      </c>
      <c r="G50" s="0" t="n">
        <v>8.93074500007464</v>
      </c>
      <c r="H50" s="0" t="s">
        <v>201</v>
      </c>
      <c r="I50" s="0" t="n">
        <v>1.13244155892614</v>
      </c>
      <c r="J50" s="0" t="n">
        <v>116404</v>
      </c>
      <c r="K50" s="0" t="n">
        <v>3056</v>
      </c>
      <c r="L50" s="0" t="n">
        <v>696813</v>
      </c>
      <c r="M50" s="0" t="n">
        <v>688922</v>
      </c>
      <c r="N50" s="0" t="n">
        <v>523731</v>
      </c>
      <c r="O50" s="0" t="n">
        <v>5415</v>
      </c>
      <c r="P50" s="0" t="s">
        <v>202</v>
      </c>
      <c r="Q50" s="0" t="n">
        <v>0.870965380955866</v>
      </c>
      <c r="R50" s="0" t="n">
        <v>3.22402305761983</v>
      </c>
      <c r="S50" s="0" t="n">
        <v>682</v>
      </c>
      <c r="T50" s="0" t="n">
        <v>2673</v>
      </c>
      <c r="U50" s="0" t="n">
        <v>654</v>
      </c>
      <c r="V50" s="0" t="n">
        <v>15.2204500210179</v>
      </c>
      <c r="W50" s="0" t="n">
        <v>20220331</v>
      </c>
      <c r="X50" s="0" t="n">
        <v>1.00825483937611</v>
      </c>
      <c r="Y50" s="0" t="n">
        <v>10.92</v>
      </c>
      <c r="Z50" s="0" t="s">
        <v>112</v>
      </c>
    </row>
    <row r="51" customFormat="false" ht="15" hidden="false" customHeight="false" outlineLevel="0" collapsed="false">
      <c r="A51" s="0" t="n">
        <v>51</v>
      </c>
      <c r="B51" s="0" t="n">
        <v>531651</v>
      </c>
      <c r="C51" s="0" t="n">
        <v>6275</v>
      </c>
      <c r="D51" s="0" t="n">
        <v>472420</v>
      </c>
      <c r="E51" s="0" t="n">
        <v>0</v>
      </c>
      <c r="F51" s="0" t="n">
        <v>32835</v>
      </c>
      <c r="G51" s="0" t="n">
        <v>6.17604405897854</v>
      </c>
      <c r="H51" s="0" t="s">
        <v>203</v>
      </c>
      <c r="I51" s="0" t="n">
        <v>1.09890496565702</v>
      </c>
      <c r="J51" s="0" t="n">
        <v>24050</v>
      </c>
      <c r="K51" s="0" t="n">
        <v>12501</v>
      </c>
      <c r="L51" s="0" t="n">
        <v>284192</v>
      </c>
      <c r="M51" s="0" t="n">
        <v>281069</v>
      </c>
      <c r="N51" s="0" t="n">
        <v>237696</v>
      </c>
      <c r="O51" s="0" t="n">
        <v>1559</v>
      </c>
      <c r="P51" s="0" t="s">
        <v>204</v>
      </c>
      <c r="Q51" s="0" t="n">
        <v>0.633726494764103</v>
      </c>
      <c r="R51" s="0" t="n">
        <v>2.5345588039533</v>
      </c>
      <c r="S51" s="0" t="n">
        <v>-3</v>
      </c>
      <c r="T51" s="0" t="n">
        <v>381</v>
      </c>
      <c r="U51" s="0" t="n">
        <v>242</v>
      </c>
      <c r="V51" s="0" t="n">
        <v>16.2466459160674</v>
      </c>
      <c r="W51" s="0" t="n">
        <v>20220331</v>
      </c>
      <c r="X51" s="0" t="n">
        <v>0.470223643178008</v>
      </c>
      <c r="Y51" s="0" t="n">
        <v>6.87</v>
      </c>
      <c r="Z51" s="0" t="s">
        <v>112</v>
      </c>
    </row>
    <row r="52" customFormat="false" ht="15" hidden="false" customHeight="false" outlineLevel="0" collapsed="false">
      <c r="A52" s="0" t="n">
        <v>52</v>
      </c>
      <c r="B52" s="0" t="n">
        <v>83998</v>
      </c>
      <c r="C52" s="0" t="n">
        <v>6280</v>
      </c>
      <c r="D52" s="0" t="n">
        <v>75709</v>
      </c>
      <c r="E52" s="0" t="n">
        <v>0.05</v>
      </c>
      <c r="F52" s="0" t="n">
        <v>8131</v>
      </c>
      <c r="G52" s="0" t="n">
        <v>9.67999238077097</v>
      </c>
      <c r="H52" s="0" t="s">
        <v>205</v>
      </c>
      <c r="I52" s="0" t="n">
        <v>1.33483980308288</v>
      </c>
      <c r="J52" s="0" t="n">
        <v>2686</v>
      </c>
      <c r="K52" s="0" t="n">
        <v>1876</v>
      </c>
      <c r="L52" s="0" t="n">
        <v>61955</v>
      </c>
      <c r="M52" s="0" t="n">
        <v>61128</v>
      </c>
      <c r="N52" s="0" t="n">
        <v>53939</v>
      </c>
      <c r="O52" s="0" t="n">
        <v>836</v>
      </c>
      <c r="P52" s="0" t="s">
        <v>206</v>
      </c>
      <c r="Q52" s="0" t="n">
        <v>1.34936647566782</v>
      </c>
      <c r="R52" s="0" t="n">
        <v>3.84047633815047</v>
      </c>
      <c r="S52" s="0" t="n">
        <v>-1</v>
      </c>
      <c r="T52" s="0" t="n">
        <v>644</v>
      </c>
      <c r="U52" s="0" t="n">
        <v>0</v>
      </c>
      <c r="V52" s="0" t="n">
        <v>0</v>
      </c>
      <c r="W52" s="0" t="n">
        <v>20220331</v>
      </c>
      <c r="X52" s="0" t="n">
        <v>1.18573807471095</v>
      </c>
      <c r="Y52" s="0" t="n">
        <v>12.54</v>
      </c>
      <c r="Z52" s="0" t="s">
        <v>112</v>
      </c>
    </row>
    <row r="53" customFormat="false" ht="15" hidden="false" customHeight="false" outlineLevel="0" collapsed="false">
      <c r="A53" s="0" t="n">
        <v>53</v>
      </c>
      <c r="B53" s="0" t="n">
        <v>3712836</v>
      </c>
      <c r="C53" s="0" t="n">
        <v>11971</v>
      </c>
      <c r="D53" s="0" t="n">
        <v>3085621</v>
      </c>
      <c r="E53" s="0" t="n">
        <v>0.07</v>
      </c>
      <c r="F53" s="0" t="n">
        <v>448597</v>
      </c>
      <c r="G53" s="0" t="n">
        <v>12.0823273637726</v>
      </c>
      <c r="H53" s="0" t="s">
        <v>207</v>
      </c>
      <c r="I53" s="0" t="n">
        <v>0.869924084878752</v>
      </c>
      <c r="J53" s="0" t="n">
        <v>204215</v>
      </c>
      <c r="K53" s="0" t="n">
        <v>8150</v>
      </c>
      <c r="L53" s="0" t="n">
        <v>2730813</v>
      </c>
      <c r="M53" s="0" t="n">
        <v>2707057</v>
      </c>
      <c r="N53" s="0" t="n">
        <v>2376853</v>
      </c>
      <c r="O53" s="0" t="n">
        <v>7878</v>
      </c>
      <c r="P53" s="0" t="s">
        <v>104</v>
      </c>
      <c r="Q53" s="0" t="n">
        <v>0.314814672407082</v>
      </c>
      <c r="R53" s="0" t="n">
        <v>3.14301219513661</v>
      </c>
      <c r="S53" s="0" t="n">
        <v>-127</v>
      </c>
      <c r="T53" s="0" t="n">
        <v>1169</v>
      </c>
      <c r="U53" s="0" t="n">
        <v>719</v>
      </c>
      <c r="V53" s="0" t="n">
        <v>13.5693025113801</v>
      </c>
      <c r="W53" s="0" t="n">
        <v>20220630</v>
      </c>
      <c r="X53" s="0" t="n">
        <v>1.16360424384539</v>
      </c>
      <c r="Y53" s="0" t="n">
        <v>9.3</v>
      </c>
      <c r="Z53" s="0" t="s">
        <v>105</v>
      </c>
    </row>
    <row r="54" customFormat="false" ht="15" hidden="false" customHeight="false" outlineLevel="0" collapsed="false">
      <c r="A54" s="0" t="n">
        <v>54</v>
      </c>
      <c r="B54" s="0" t="n">
        <v>964224</v>
      </c>
      <c r="C54" s="0" t="n">
        <v>12874</v>
      </c>
      <c r="D54" s="0" t="n">
        <v>854371</v>
      </c>
      <c r="E54" s="0" t="n">
        <v>0</v>
      </c>
      <c r="F54" s="0" t="n">
        <v>94455</v>
      </c>
      <c r="G54" s="0" t="n">
        <v>9.79596027479092</v>
      </c>
      <c r="H54" s="0" t="s">
        <v>208</v>
      </c>
      <c r="I54" s="0" t="n">
        <v>1.05823329055455</v>
      </c>
      <c r="J54" s="0" t="n">
        <v>135529</v>
      </c>
      <c r="K54" s="0" t="n">
        <v>5199</v>
      </c>
      <c r="L54" s="0" t="n">
        <v>738684</v>
      </c>
      <c r="M54" s="0" t="n">
        <v>730867</v>
      </c>
      <c r="N54" s="0" t="n">
        <v>583137</v>
      </c>
      <c r="O54" s="0" t="n">
        <v>891</v>
      </c>
      <c r="P54" s="0" t="s">
        <v>107</v>
      </c>
      <c r="Q54" s="0" t="n">
        <v>0.126305700407752</v>
      </c>
      <c r="R54" s="0" t="n">
        <v>3.50029411107719</v>
      </c>
      <c r="S54" s="0" t="n">
        <v>-13</v>
      </c>
      <c r="T54" s="0" t="n">
        <v>242</v>
      </c>
      <c r="U54" s="0" t="n">
        <v>42</v>
      </c>
      <c r="V54" s="0" t="n">
        <v>15.2920846966426</v>
      </c>
      <c r="W54" s="0" t="n">
        <v>20220630</v>
      </c>
      <c r="X54" s="0" t="n">
        <v>0.905775942828036</v>
      </c>
      <c r="Y54" s="0" t="n">
        <v>8.85</v>
      </c>
      <c r="Z54" s="0" t="s">
        <v>105</v>
      </c>
    </row>
    <row r="55" customFormat="false" ht="15" hidden="false" customHeight="false" outlineLevel="0" collapsed="false">
      <c r="A55" s="0" t="n">
        <v>55</v>
      </c>
      <c r="B55" s="0" t="n">
        <v>1796670</v>
      </c>
      <c r="C55" s="0" t="n">
        <v>13063</v>
      </c>
      <c r="D55" s="0" t="n">
        <v>1641103</v>
      </c>
      <c r="E55" s="0" t="n">
        <v>0</v>
      </c>
      <c r="F55" s="0" t="n">
        <v>138141</v>
      </c>
      <c r="G55" s="0" t="n">
        <v>7.68872413965837</v>
      </c>
      <c r="H55" s="0" t="s">
        <v>209</v>
      </c>
      <c r="I55" s="0" t="n">
        <v>1.17960076755983</v>
      </c>
      <c r="J55" s="0" t="n">
        <v>51462</v>
      </c>
      <c r="K55" s="0" t="n">
        <v>893</v>
      </c>
      <c r="L55" s="0" t="n">
        <v>1263224</v>
      </c>
      <c r="M55" s="0" t="n">
        <v>1248323</v>
      </c>
      <c r="N55" s="0" t="n">
        <v>1203684</v>
      </c>
      <c r="O55" s="0" t="n">
        <v>499</v>
      </c>
      <c r="P55" s="0" t="s">
        <v>109</v>
      </c>
      <c r="Q55" s="0" t="n">
        <v>0.11605225993173</v>
      </c>
      <c r="R55" s="0" t="n">
        <v>3.34802863649218</v>
      </c>
      <c r="S55" s="0" t="n">
        <v>-5</v>
      </c>
      <c r="T55" s="0" t="n">
        <v>1</v>
      </c>
      <c r="U55" s="0" t="n">
        <v>967</v>
      </c>
      <c r="V55" s="0" t="n">
        <v>0</v>
      </c>
      <c r="W55" s="0" t="n">
        <v>20220630</v>
      </c>
      <c r="X55" s="0" t="n">
        <v>0.589885287137242</v>
      </c>
      <c r="Y55" s="0" t="n">
        <v>7.06</v>
      </c>
      <c r="Z55" s="0" t="s">
        <v>105</v>
      </c>
    </row>
    <row r="56" customFormat="false" ht="15" hidden="false" customHeight="false" outlineLevel="0" collapsed="false">
      <c r="A56" s="0" t="n">
        <v>56</v>
      </c>
      <c r="B56" s="0" t="n">
        <v>842061</v>
      </c>
      <c r="C56" s="0" t="n">
        <v>14134</v>
      </c>
      <c r="D56" s="0" t="n">
        <v>714430</v>
      </c>
      <c r="E56" s="0" t="n">
        <v>0.1</v>
      </c>
      <c r="F56" s="0" t="n">
        <v>95205</v>
      </c>
      <c r="G56" s="0" t="n">
        <v>11.3061880315084</v>
      </c>
      <c r="H56" s="0" t="s">
        <v>210</v>
      </c>
      <c r="I56" s="0" t="n">
        <v>1.34312286170701</v>
      </c>
      <c r="J56" s="0" t="n">
        <v>33956</v>
      </c>
      <c r="K56" s="0" t="n">
        <v>24559</v>
      </c>
      <c r="L56" s="0" t="n">
        <v>618484</v>
      </c>
      <c r="M56" s="0" t="n">
        <v>610177</v>
      </c>
      <c r="N56" s="0" t="n">
        <v>541392</v>
      </c>
      <c r="O56" s="0" t="n">
        <v>8858</v>
      </c>
      <c r="P56" s="0" t="s">
        <v>111</v>
      </c>
      <c r="Q56" s="0" t="n">
        <v>1.43221166594447</v>
      </c>
      <c r="R56" s="0" t="n">
        <v>2.90948799338998</v>
      </c>
      <c r="S56" s="0" t="n">
        <v>295</v>
      </c>
      <c r="T56" s="0" t="n">
        <v>3228</v>
      </c>
      <c r="U56" s="0" t="n">
        <v>0</v>
      </c>
      <c r="V56" s="0" t="n">
        <v>17.3850644480774</v>
      </c>
      <c r="W56" s="0" t="n">
        <v>20220630</v>
      </c>
      <c r="X56" s="0" t="n">
        <v>-0.908691372525263</v>
      </c>
      <c r="Y56" s="0" t="n">
        <v>-7.73</v>
      </c>
      <c r="Z56" s="0" t="s">
        <v>112</v>
      </c>
    </row>
    <row r="57" customFormat="false" ht="15" hidden="false" customHeight="false" outlineLevel="0" collapsed="false">
      <c r="A57" s="0" t="n">
        <v>57</v>
      </c>
      <c r="B57" s="0" t="n">
        <v>222750</v>
      </c>
      <c r="C57" s="0" t="n">
        <v>14136</v>
      </c>
      <c r="D57" s="0" t="n">
        <v>202215</v>
      </c>
      <c r="E57" s="0" t="n">
        <v>0.04</v>
      </c>
      <c r="F57" s="0" t="n">
        <v>16002</v>
      </c>
      <c r="G57" s="0" t="n">
        <v>7.18383838383838</v>
      </c>
      <c r="H57" s="0" t="s">
        <v>211</v>
      </c>
      <c r="I57" s="0" t="n">
        <v>1.07631107561318</v>
      </c>
      <c r="J57" s="0" t="n">
        <v>13764</v>
      </c>
      <c r="K57" s="0" t="n">
        <v>12183</v>
      </c>
      <c r="L57" s="0" t="n">
        <v>128959</v>
      </c>
      <c r="M57" s="0" t="n">
        <v>127571</v>
      </c>
      <c r="N57" s="0" t="n">
        <v>102631</v>
      </c>
      <c r="O57" s="0" t="n">
        <v>126</v>
      </c>
      <c r="P57" s="0" t="s">
        <v>114</v>
      </c>
      <c r="Q57" s="0" t="n">
        <v>0.653696135981203</v>
      </c>
      <c r="R57" s="0" t="n">
        <v>3.47918730744697</v>
      </c>
      <c r="S57" s="0" t="n">
        <v>13</v>
      </c>
      <c r="T57" s="0" t="n">
        <v>887</v>
      </c>
      <c r="U57" s="0" t="n">
        <v>717</v>
      </c>
      <c r="V57" s="0" t="n">
        <v>16.7839694709842</v>
      </c>
      <c r="W57" s="0" t="n">
        <v>20220630</v>
      </c>
      <c r="X57" s="0" t="n">
        <v>0.311791935041849</v>
      </c>
      <c r="Y57" s="0" t="n">
        <v>3.62</v>
      </c>
      <c r="Z57" s="0" t="s">
        <v>112</v>
      </c>
    </row>
    <row r="58" customFormat="false" ht="15" hidden="false" customHeight="false" outlineLevel="0" collapsed="false">
      <c r="A58" s="0" t="n">
        <v>58</v>
      </c>
      <c r="B58" s="0" t="n">
        <v>1436600</v>
      </c>
      <c r="C58" s="0" t="n">
        <v>14140</v>
      </c>
      <c r="D58" s="0" t="n">
        <v>1234672</v>
      </c>
      <c r="E58" s="0" t="n">
        <v>0</v>
      </c>
      <c r="F58" s="0" t="n">
        <v>117324</v>
      </c>
      <c r="G58" s="0" t="n">
        <v>8.16678268133092</v>
      </c>
      <c r="H58" s="0" t="s">
        <v>212</v>
      </c>
      <c r="I58" s="0" t="n">
        <v>1.09678501398675</v>
      </c>
      <c r="J58" s="0" t="n">
        <v>88677</v>
      </c>
      <c r="K58" s="0" t="n">
        <v>1269</v>
      </c>
      <c r="L58" s="0" t="n">
        <v>965914</v>
      </c>
      <c r="M58" s="0" t="n">
        <v>955320</v>
      </c>
      <c r="N58" s="0" t="n">
        <v>868077</v>
      </c>
      <c r="O58" s="0" t="n">
        <v>2695</v>
      </c>
      <c r="P58" s="0" t="s">
        <v>116</v>
      </c>
      <c r="Q58" s="0" t="n">
        <v>0.279010346676826</v>
      </c>
      <c r="R58" s="0" t="n">
        <v>3.03639975122093</v>
      </c>
      <c r="S58" s="0" t="n">
        <v>26</v>
      </c>
      <c r="T58" s="0" t="n">
        <v>499</v>
      </c>
      <c r="U58" s="0" t="n">
        <v>0</v>
      </c>
      <c r="V58" s="0" t="n">
        <v>0</v>
      </c>
      <c r="W58" s="0" t="n">
        <v>20220630</v>
      </c>
      <c r="X58" s="0" t="n">
        <v>0.707644826064353</v>
      </c>
      <c r="Y58" s="0" t="n">
        <v>7.9</v>
      </c>
      <c r="Z58" s="0" t="s">
        <v>112</v>
      </c>
    </row>
    <row r="59" customFormat="false" ht="15" hidden="false" customHeight="false" outlineLevel="0" collapsed="false">
      <c r="A59" s="0" t="n">
        <v>59</v>
      </c>
      <c r="B59" s="0" t="n">
        <v>1191062</v>
      </c>
      <c r="C59" s="0" t="n">
        <v>14158</v>
      </c>
      <c r="D59" s="0" t="n">
        <v>1105727</v>
      </c>
      <c r="E59" s="0" t="n">
        <v>0</v>
      </c>
      <c r="F59" s="0" t="n">
        <v>75600</v>
      </c>
      <c r="G59" s="0" t="n">
        <v>6.34727663211487</v>
      </c>
      <c r="H59" s="0" t="s">
        <v>213</v>
      </c>
      <c r="I59" s="0" t="n">
        <v>1.01340760128608</v>
      </c>
      <c r="J59" s="0" t="n">
        <v>44278</v>
      </c>
      <c r="K59" s="0" t="n">
        <v>2085</v>
      </c>
      <c r="L59" s="0" t="n">
        <v>822966</v>
      </c>
      <c r="M59" s="0" t="n">
        <v>814626</v>
      </c>
      <c r="N59" s="0" t="n">
        <v>751338</v>
      </c>
      <c r="O59" s="0" t="n">
        <v>1416</v>
      </c>
      <c r="P59" s="0" t="s">
        <v>118</v>
      </c>
      <c r="Q59" s="0" t="n">
        <v>0.185305346757946</v>
      </c>
      <c r="R59" s="0" t="n">
        <v>3.35441193767321</v>
      </c>
      <c r="S59" s="0" t="n">
        <v>-4</v>
      </c>
      <c r="T59" s="0" t="n">
        <v>849</v>
      </c>
      <c r="U59" s="0" t="n">
        <v>109</v>
      </c>
      <c r="V59" s="0" t="n">
        <v>14.280952720623</v>
      </c>
      <c r="W59" s="0" t="n">
        <v>20220630</v>
      </c>
      <c r="X59" s="0" t="n">
        <v>0.965573503917802</v>
      </c>
      <c r="Y59" s="0" t="n">
        <v>13.45</v>
      </c>
      <c r="Z59" s="0" t="s">
        <v>112</v>
      </c>
    </row>
    <row r="60" customFormat="false" ht="15" hidden="false" customHeight="false" outlineLevel="0" collapsed="false">
      <c r="A60" s="0" t="n">
        <v>60</v>
      </c>
      <c r="B60" s="0" t="n">
        <v>366581</v>
      </c>
      <c r="C60" s="0" t="n">
        <v>14168</v>
      </c>
      <c r="D60" s="0" t="n">
        <v>329789</v>
      </c>
      <c r="E60" s="0" t="n">
        <v>0</v>
      </c>
      <c r="F60" s="0" t="n">
        <v>32327</v>
      </c>
      <c r="G60" s="0" t="n">
        <v>8.81851487120173</v>
      </c>
      <c r="H60" s="0" t="s">
        <v>214</v>
      </c>
      <c r="I60" s="0" t="n">
        <v>1.44746407480805</v>
      </c>
      <c r="J60" s="0" t="n">
        <v>11194</v>
      </c>
      <c r="K60" s="0" t="n">
        <v>8894</v>
      </c>
      <c r="L60" s="0" t="n">
        <v>200834</v>
      </c>
      <c r="M60" s="0" t="n">
        <v>197927</v>
      </c>
      <c r="N60" s="0" t="n">
        <v>167425</v>
      </c>
      <c r="O60" s="0" t="n">
        <v>1103</v>
      </c>
      <c r="P60" s="0" t="s">
        <v>120</v>
      </c>
      <c r="Q60" s="0" t="n">
        <v>0.549209795154207</v>
      </c>
      <c r="R60" s="0" t="n">
        <v>2.67035333231683</v>
      </c>
      <c r="S60" s="0" t="n">
        <v>57</v>
      </c>
      <c r="T60" s="0" t="n">
        <v>467</v>
      </c>
      <c r="U60" s="0" t="n">
        <v>0</v>
      </c>
      <c r="V60" s="0" t="n">
        <v>18.6461441659596</v>
      </c>
      <c r="W60" s="0" t="n">
        <v>20220630</v>
      </c>
      <c r="X60" s="0" t="n">
        <v>0.313118388950259</v>
      </c>
      <c r="Y60" s="0" t="n">
        <v>3.41</v>
      </c>
      <c r="Z60" s="0" t="s">
        <v>112</v>
      </c>
    </row>
    <row r="61" customFormat="false" ht="15" hidden="false" customHeight="false" outlineLevel="0" collapsed="false">
      <c r="A61" s="0" t="n">
        <v>61</v>
      </c>
      <c r="B61" s="0" t="n">
        <v>1238699</v>
      </c>
      <c r="C61" s="0" t="n">
        <v>14240</v>
      </c>
      <c r="D61" s="0" t="n">
        <v>1039863</v>
      </c>
      <c r="E61" s="0" t="n">
        <v>0.05</v>
      </c>
      <c r="F61" s="0" t="n">
        <v>89585</v>
      </c>
      <c r="G61" s="0" t="n">
        <v>7.23218473575905</v>
      </c>
      <c r="H61" s="0" t="s">
        <v>215</v>
      </c>
      <c r="I61" s="0" t="n">
        <v>1.13937295135095</v>
      </c>
      <c r="J61" s="0" t="n">
        <v>24677</v>
      </c>
      <c r="K61" s="0" t="n">
        <v>17572</v>
      </c>
      <c r="L61" s="0" t="n">
        <v>863984</v>
      </c>
      <c r="M61" s="0" t="n">
        <v>854140</v>
      </c>
      <c r="N61" s="0" t="n">
        <v>739584</v>
      </c>
      <c r="O61" s="0" t="n">
        <v>1924</v>
      </c>
      <c r="P61" s="0" t="s">
        <v>122</v>
      </c>
      <c r="Q61" s="0" t="n">
        <v>0.222689309061279</v>
      </c>
      <c r="R61" s="0" t="n">
        <v>2.91049898615787</v>
      </c>
      <c r="S61" s="0" t="n">
        <v>-78</v>
      </c>
      <c r="T61" s="0" t="n">
        <v>733</v>
      </c>
      <c r="U61" s="0" t="n">
        <v>0</v>
      </c>
      <c r="V61" s="0" t="n">
        <v>14.5547297139032</v>
      </c>
      <c r="W61" s="0" t="n">
        <v>20220630</v>
      </c>
      <c r="X61" s="0" t="n">
        <v>-0.0461854716711551</v>
      </c>
      <c r="Y61" s="0" t="n">
        <v>-0.55</v>
      </c>
      <c r="Z61" s="0" t="s">
        <v>123</v>
      </c>
    </row>
    <row r="62" customFormat="false" ht="15" hidden="false" customHeight="false" outlineLevel="0" collapsed="false">
      <c r="A62" s="0" t="n">
        <v>62</v>
      </c>
      <c r="B62" s="0" t="n">
        <v>914201</v>
      </c>
      <c r="C62" s="0" t="n">
        <v>17115</v>
      </c>
      <c r="D62" s="0" t="n">
        <v>774623</v>
      </c>
      <c r="E62" s="0" t="n">
        <v>-0.07</v>
      </c>
      <c r="F62" s="0" t="n">
        <v>77851</v>
      </c>
      <c r="G62" s="0" t="n">
        <v>8.51574216173467</v>
      </c>
      <c r="H62" s="0" t="s">
        <v>216</v>
      </c>
      <c r="I62" s="0" t="n">
        <v>1.02881523503668</v>
      </c>
      <c r="J62" s="0" t="n">
        <v>45258</v>
      </c>
      <c r="K62" s="0" t="n">
        <v>3773</v>
      </c>
      <c r="L62" s="0" t="n">
        <v>737353</v>
      </c>
      <c r="M62" s="0" t="n">
        <v>729767</v>
      </c>
      <c r="N62" s="0" t="n">
        <v>687325</v>
      </c>
      <c r="O62" s="0" t="n">
        <v>157</v>
      </c>
      <c r="P62" s="0" t="s">
        <v>125</v>
      </c>
      <c r="Q62" s="0" t="n">
        <v>0.0212923796336354</v>
      </c>
      <c r="R62" s="0" t="n">
        <v>3.53120065215428</v>
      </c>
      <c r="S62" s="0" t="n">
        <v>196</v>
      </c>
      <c r="T62" s="0" t="n">
        <v>394</v>
      </c>
      <c r="U62" s="0" t="n">
        <v>0</v>
      </c>
      <c r="V62" s="0" t="n">
        <v>14.6817189734327</v>
      </c>
      <c r="W62" s="0" t="n">
        <v>20220630</v>
      </c>
      <c r="X62" s="0" t="n">
        <v>0.413239234898123</v>
      </c>
      <c r="Y62" s="0" t="n">
        <v>4.33</v>
      </c>
      <c r="Z62" s="0" t="s">
        <v>105</v>
      </c>
    </row>
    <row r="63" customFormat="false" ht="15" hidden="false" customHeight="false" outlineLevel="0" collapsed="false">
      <c r="A63" s="0" t="n">
        <v>63</v>
      </c>
      <c r="B63" s="0" t="n">
        <v>1369843</v>
      </c>
      <c r="C63" s="0" t="n">
        <v>17180</v>
      </c>
      <c r="D63" s="0" t="n">
        <v>1167333</v>
      </c>
      <c r="E63" s="0" t="n">
        <v>0.03</v>
      </c>
      <c r="F63" s="0" t="n">
        <v>125334</v>
      </c>
      <c r="G63" s="0" t="n">
        <v>9.149515674424</v>
      </c>
      <c r="H63" s="0" t="s">
        <v>217</v>
      </c>
      <c r="I63" s="0" t="n">
        <v>0.920188809657924</v>
      </c>
      <c r="J63" s="0" t="n">
        <v>44037</v>
      </c>
      <c r="K63" s="0" t="n">
        <v>170718</v>
      </c>
      <c r="L63" s="0" t="n">
        <v>1219641</v>
      </c>
      <c r="M63" s="0" t="n">
        <v>1208418</v>
      </c>
      <c r="N63" s="0" t="n">
        <v>984334</v>
      </c>
      <c r="O63" s="0" t="n">
        <v>5496</v>
      </c>
      <c r="P63" s="0" t="s">
        <v>127</v>
      </c>
      <c r="Q63" s="0" t="n">
        <v>0.450624405050339</v>
      </c>
      <c r="R63" s="0" t="n">
        <v>3.58021996580859</v>
      </c>
      <c r="S63" s="0" t="n">
        <v>88</v>
      </c>
      <c r="T63" s="0" t="n">
        <v>692</v>
      </c>
      <c r="U63" s="0" t="n">
        <v>0</v>
      </c>
      <c r="V63" s="0" t="n">
        <v>14.7385258242796</v>
      </c>
      <c r="W63" s="0" t="n">
        <v>20220630</v>
      </c>
      <c r="X63" s="0" t="n">
        <v>0.751509742960674</v>
      </c>
      <c r="Y63" s="0" t="n">
        <v>7.8</v>
      </c>
      <c r="Z63" s="0" t="s">
        <v>123</v>
      </c>
    </row>
    <row r="64" customFormat="false" ht="15" hidden="false" customHeight="false" outlineLevel="0" collapsed="false">
      <c r="A64" s="0" t="n">
        <v>64</v>
      </c>
      <c r="B64" s="0" t="n">
        <v>353376</v>
      </c>
      <c r="C64" s="0" t="n">
        <v>17443</v>
      </c>
      <c r="D64" s="0" t="n">
        <v>298828</v>
      </c>
      <c r="E64" s="0" t="n">
        <v>0.03</v>
      </c>
      <c r="F64" s="0" t="n">
        <v>40397</v>
      </c>
      <c r="G64" s="0" t="n">
        <v>11.4317327718917</v>
      </c>
      <c r="H64" s="0" t="s">
        <v>218</v>
      </c>
      <c r="I64" s="0" t="n">
        <v>0.851501677279814</v>
      </c>
      <c r="J64" s="0" t="n">
        <v>0</v>
      </c>
      <c r="K64" s="0" t="n">
        <v>1410</v>
      </c>
      <c r="L64" s="0" t="n">
        <v>190487</v>
      </c>
      <c r="M64" s="0" t="n">
        <v>188865</v>
      </c>
      <c r="N64" s="0" t="n">
        <v>188077</v>
      </c>
      <c r="O64" s="0" t="n">
        <v>178</v>
      </c>
      <c r="P64" s="0" t="s">
        <v>129</v>
      </c>
      <c r="Q64" s="0" t="n">
        <v>0.0934446970134444</v>
      </c>
      <c r="R64" s="0" t="n">
        <v>2.07853120419656</v>
      </c>
      <c r="S64" s="0" t="n">
        <v>0</v>
      </c>
      <c r="T64" s="0" t="n">
        <v>141</v>
      </c>
      <c r="U64" s="0" t="n">
        <v>0</v>
      </c>
      <c r="V64" s="0" t="n">
        <v>0</v>
      </c>
      <c r="W64" s="0" t="n">
        <v>20220630</v>
      </c>
      <c r="X64" s="0" t="n">
        <v>0.604229033746087</v>
      </c>
      <c r="Y64" s="0" t="n">
        <v>4.86</v>
      </c>
      <c r="Z64" s="0" t="s">
        <v>123</v>
      </c>
    </row>
    <row r="65" customFormat="false" ht="15" hidden="false" customHeight="false" outlineLevel="0" collapsed="false">
      <c r="A65" s="0" t="n">
        <v>65</v>
      </c>
      <c r="B65" s="0" t="n">
        <v>1739201</v>
      </c>
      <c r="C65" s="0" t="n">
        <v>17658</v>
      </c>
      <c r="D65" s="0" t="n">
        <v>1514378</v>
      </c>
      <c r="E65" s="0" t="n">
        <v>0.02</v>
      </c>
      <c r="F65" s="0" t="n">
        <v>193833</v>
      </c>
      <c r="G65" s="0" t="n">
        <v>11.1449452938447</v>
      </c>
      <c r="H65" s="0" t="s">
        <v>219</v>
      </c>
      <c r="I65" s="0" t="n">
        <v>0.812179359635229</v>
      </c>
      <c r="J65" s="0" t="n">
        <v>78762</v>
      </c>
      <c r="K65" s="0" t="n">
        <v>60843</v>
      </c>
      <c r="L65" s="0" t="n">
        <v>1140881</v>
      </c>
      <c r="M65" s="0" t="n">
        <v>1131615</v>
      </c>
      <c r="N65" s="0" t="n">
        <v>992175</v>
      </c>
      <c r="O65" s="0" t="n">
        <v>519</v>
      </c>
      <c r="P65" s="0" t="s">
        <v>131</v>
      </c>
      <c r="Q65" s="0" t="n">
        <v>0.0454911599018653</v>
      </c>
      <c r="R65" s="0" t="n">
        <v>3.44171180472076</v>
      </c>
      <c r="S65" s="0" t="n">
        <v>24</v>
      </c>
      <c r="T65" s="0" t="n">
        <v>3501</v>
      </c>
      <c r="U65" s="0" t="n">
        <v>0</v>
      </c>
      <c r="V65" s="0" t="n">
        <v>0</v>
      </c>
      <c r="W65" s="0" t="n">
        <v>20220630</v>
      </c>
      <c r="X65" s="0" t="n">
        <v>-0.126062833693635</v>
      </c>
      <c r="Y65" s="0" t="n">
        <v>-1.03</v>
      </c>
      <c r="Z65" s="0" t="s">
        <v>105</v>
      </c>
    </row>
    <row r="66" customFormat="false" ht="15" hidden="false" customHeight="false" outlineLevel="0" collapsed="false">
      <c r="A66" s="0" t="n">
        <v>66</v>
      </c>
      <c r="B66" s="0" t="n">
        <v>999824</v>
      </c>
      <c r="C66" s="0" t="n">
        <v>17741</v>
      </c>
      <c r="D66" s="0" t="n">
        <v>843050</v>
      </c>
      <c r="E66" s="0" t="n">
        <v>0.02</v>
      </c>
      <c r="F66" s="0" t="n">
        <v>128637</v>
      </c>
      <c r="G66" s="0" t="n">
        <v>12.8659644097361</v>
      </c>
      <c r="H66" s="0" t="s">
        <v>220</v>
      </c>
      <c r="I66" s="0" t="n">
        <v>0.971910632242122</v>
      </c>
      <c r="J66" s="0" t="n">
        <v>42508</v>
      </c>
      <c r="K66" s="0" t="n">
        <v>3332</v>
      </c>
      <c r="L66" s="0" t="n">
        <v>799662</v>
      </c>
      <c r="M66" s="0" t="n">
        <v>791890</v>
      </c>
      <c r="N66" s="0" t="n">
        <v>750035</v>
      </c>
      <c r="O66" s="0" t="n">
        <v>1947</v>
      </c>
      <c r="P66" s="0" t="s">
        <v>133</v>
      </c>
      <c r="Q66" s="0" t="n">
        <v>0.243477869399821</v>
      </c>
      <c r="R66" s="0" t="n">
        <v>3.35845923911318</v>
      </c>
      <c r="S66" s="0" t="n">
        <v>-1</v>
      </c>
      <c r="T66" s="0" t="n">
        <v>1852</v>
      </c>
      <c r="U66" s="0" t="n">
        <v>0</v>
      </c>
      <c r="V66" s="0" t="n">
        <v>0</v>
      </c>
      <c r="W66" s="0" t="n">
        <v>20220630</v>
      </c>
      <c r="X66" s="0" t="n">
        <v>0.558922565605422</v>
      </c>
      <c r="Y66" s="0" t="n">
        <v>4.32</v>
      </c>
      <c r="Z66" s="0" t="s">
        <v>105</v>
      </c>
    </row>
    <row r="67" customFormat="false" ht="15" hidden="false" customHeight="false" outlineLevel="0" collapsed="false">
      <c r="A67" s="0" t="n">
        <v>67</v>
      </c>
      <c r="B67" s="0" t="n">
        <v>1226782</v>
      </c>
      <c r="C67" s="0" t="n">
        <v>17743</v>
      </c>
      <c r="D67" s="0" t="n">
        <v>933270</v>
      </c>
      <c r="E67" s="0" t="n">
        <v>-0.01</v>
      </c>
      <c r="F67" s="0" t="n">
        <v>121930</v>
      </c>
      <c r="G67" s="0" t="n">
        <v>9.93901116905856</v>
      </c>
      <c r="H67" s="0" t="s">
        <v>221</v>
      </c>
      <c r="I67" s="0" t="n">
        <v>0.520460697415211</v>
      </c>
      <c r="J67" s="0" t="n">
        <v>10654</v>
      </c>
      <c r="K67" s="0" t="n">
        <v>5546</v>
      </c>
      <c r="L67" s="0" t="n">
        <v>942050</v>
      </c>
      <c r="M67" s="0" t="n">
        <v>937147</v>
      </c>
      <c r="N67" s="0" t="n">
        <v>912536</v>
      </c>
      <c r="O67" s="0" t="n">
        <v>2944</v>
      </c>
      <c r="P67" s="0" t="s">
        <v>135</v>
      </c>
      <c r="Q67" s="0" t="n">
        <v>0.316225253436654</v>
      </c>
      <c r="R67" s="0" t="n">
        <v>2.80121730682431</v>
      </c>
      <c r="S67" s="0" t="n">
        <v>13</v>
      </c>
      <c r="T67" s="0" t="n">
        <v>735</v>
      </c>
      <c r="U67" s="0" t="n">
        <v>35</v>
      </c>
      <c r="V67" s="0" t="n">
        <v>0</v>
      </c>
      <c r="W67" s="0" t="n">
        <v>20220630</v>
      </c>
      <c r="X67" s="0" t="n">
        <v>0.302379907744483</v>
      </c>
      <c r="Y67" s="0" t="n">
        <v>2.81</v>
      </c>
      <c r="Z67" s="0" t="s">
        <v>105</v>
      </c>
    </row>
    <row r="68" customFormat="false" ht="15" hidden="false" customHeight="false" outlineLevel="0" collapsed="false">
      <c r="A68" s="0" t="n">
        <v>68</v>
      </c>
      <c r="B68" s="0" t="n">
        <v>1555791</v>
      </c>
      <c r="C68" s="0" t="n">
        <v>17748</v>
      </c>
      <c r="D68" s="0" t="n">
        <v>1381456</v>
      </c>
      <c r="E68" s="0" t="n">
        <v>0.04</v>
      </c>
      <c r="F68" s="0" t="n">
        <v>113025</v>
      </c>
      <c r="G68" s="0" t="n">
        <v>7.26479327878873</v>
      </c>
      <c r="H68" s="0" t="s">
        <v>222</v>
      </c>
      <c r="I68" s="0" t="n">
        <v>0.831653764100478</v>
      </c>
      <c r="J68" s="0" t="n">
        <v>151034</v>
      </c>
      <c r="K68" s="0" t="n">
        <v>2941</v>
      </c>
      <c r="L68" s="0" t="n">
        <v>1170439</v>
      </c>
      <c r="M68" s="0" t="n">
        <v>1160705</v>
      </c>
      <c r="N68" s="0" t="n">
        <v>984164</v>
      </c>
      <c r="O68" s="0" t="n">
        <v>7622</v>
      </c>
      <c r="P68" s="0" t="s">
        <v>137</v>
      </c>
      <c r="Q68" s="0" t="n">
        <v>0.651208649062446</v>
      </c>
      <c r="R68" s="0" t="n">
        <v>3.13610096670494</v>
      </c>
      <c r="S68" s="0" t="n">
        <v>100</v>
      </c>
      <c r="T68" s="0" t="n">
        <v>1109</v>
      </c>
      <c r="U68" s="0" t="n">
        <v>0</v>
      </c>
      <c r="V68" s="0" t="n">
        <v>0</v>
      </c>
      <c r="W68" s="0" t="n">
        <v>20220630</v>
      </c>
      <c r="X68" s="0" t="n">
        <v>0.205556396548565</v>
      </c>
      <c r="Y68" s="0" t="n">
        <v>2.56</v>
      </c>
      <c r="Z68" s="0" t="s">
        <v>105</v>
      </c>
    </row>
    <row r="69" customFormat="false" ht="15" hidden="false" customHeight="false" outlineLevel="0" collapsed="false">
      <c r="A69" s="0" t="n">
        <v>69</v>
      </c>
      <c r="B69" s="0" t="n">
        <v>1233246</v>
      </c>
      <c r="C69" s="0" t="n">
        <v>17749</v>
      </c>
      <c r="D69" s="0" t="n">
        <v>1026366</v>
      </c>
      <c r="E69" s="0" t="n">
        <v>0.05</v>
      </c>
      <c r="F69" s="0" t="n">
        <v>152379</v>
      </c>
      <c r="G69" s="0" t="n">
        <v>12.355928987404</v>
      </c>
      <c r="H69" s="0" t="s">
        <v>223</v>
      </c>
      <c r="I69" s="0" t="n">
        <v>1.41113989450366</v>
      </c>
      <c r="J69" s="0" t="n">
        <v>51726</v>
      </c>
      <c r="K69" s="0" t="n">
        <v>10530</v>
      </c>
      <c r="L69" s="0" t="n">
        <v>692915</v>
      </c>
      <c r="M69" s="0" t="n">
        <v>683137</v>
      </c>
      <c r="N69" s="0" t="n">
        <v>619470</v>
      </c>
      <c r="O69" s="0" t="n">
        <v>248</v>
      </c>
      <c r="P69" s="0" t="s">
        <v>139</v>
      </c>
      <c r="Q69" s="0" t="n">
        <v>0.0399760432376265</v>
      </c>
      <c r="R69" s="0" t="n">
        <v>2.83196913733009</v>
      </c>
      <c r="S69" s="0" t="n">
        <v>8</v>
      </c>
      <c r="T69" s="0" t="n">
        <v>253</v>
      </c>
      <c r="U69" s="0" t="n">
        <v>29</v>
      </c>
      <c r="V69" s="0" t="n">
        <v>0</v>
      </c>
      <c r="W69" s="0" t="n">
        <v>20220630</v>
      </c>
      <c r="X69" s="0" t="n">
        <v>-0.156467358353032</v>
      </c>
      <c r="Y69" s="0" t="n">
        <v>-1.15</v>
      </c>
      <c r="Z69" s="0" t="s">
        <v>105</v>
      </c>
    </row>
    <row r="70" customFormat="false" ht="15" hidden="false" customHeight="false" outlineLevel="0" collapsed="false">
      <c r="A70" s="0" t="n">
        <v>70</v>
      </c>
      <c r="B70" s="0" t="n">
        <v>1424885</v>
      </c>
      <c r="C70" s="0" t="n">
        <v>17751</v>
      </c>
      <c r="D70" s="0" t="n">
        <v>1261975</v>
      </c>
      <c r="E70" s="0" t="n">
        <v>0.04</v>
      </c>
      <c r="F70" s="0" t="n">
        <v>126112</v>
      </c>
      <c r="G70" s="0" t="n">
        <v>8.85067917761784</v>
      </c>
      <c r="H70" s="0" t="s">
        <v>224</v>
      </c>
      <c r="I70" s="0" t="n">
        <v>1.05858830143249</v>
      </c>
      <c r="J70" s="0" t="n">
        <v>116943</v>
      </c>
      <c r="K70" s="0" t="n">
        <v>3247</v>
      </c>
      <c r="L70" s="0" t="n">
        <v>1131318</v>
      </c>
      <c r="M70" s="0" t="n">
        <v>1119342</v>
      </c>
      <c r="N70" s="0" t="n">
        <v>964858</v>
      </c>
      <c r="O70" s="0" t="n">
        <v>1523</v>
      </c>
      <c r="P70" s="0" t="s">
        <v>141</v>
      </c>
      <c r="Q70" s="0" t="n">
        <v>0.134621742074289</v>
      </c>
      <c r="R70" s="0" t="n">
        <v>3.02145916647337</v>
      </c>
      <c r="S70" s="0" t="n">
        <v>-244</v>
      </c>
      <c r="T70" s="0" t="n">
        <v>2004</v>
      </c>
      <c r="U70" s="0" t="n">
        <v>0</v>
      </c>
      <c r="V70" s="0" t="n">
        <v>13.4571511662563</v>
      </c>
      <c r="W70" s="0" t="n">
        <v>20220630</v>
      </c>
      <c r="X70" s="0" t="n">
        <v>0.566526729353532</v>
      </c>
      <c r="Y70" s="0" t="n">
        <v>6.04</v>
      </c>
      <c r="Z70" s="0" t="s">
        <v>105</v>
      </c>
    </row>
    <row r="71" customFormat="false" ht="15" hidden="false" customHeight="false" outlineLevel="0" collapsed="false">
      <c r="A71" s="0" t="n">
        <v>71</v>
      </c>
      <c r="B71" s="0" t="n">
        <v>1531749</v>
      </c>
      <c r="C71" s="0" t="n">
        <v>17897</v>
      </c>
      <c r="D71" s="0" t="n">
        <v>1250686</v>
      </c>
      <c r="E71" s="0" t="n">
        <v>0.06</v>
      </c>
      <c r="F71" s="0" t="n">
        <v>191374</v>
      </c>
      <c r="G71" s="0" t="n">
        <v>12.4938224212975</v>
      </c>
      <c r="H71" s="0" t="s">
        <v>225</v>
      </c>
      <c r="I71" s="0" t="n">
        <v>0.621134006540635</v>
      </c>
      <c r="J71" s="0" t="n">
        <v>59285</v>
      </c>
      <c r="K71" s="0" t="n">
        <v>2829</v>
      </c>
      <c r="L71" s="0" t="n">
        <v>1281527</v>
      </c>
      <c r="M71" s="0" t="n">
        <v>1273567</v>
      </c>
      <c r="N71" s="0" t="n">
        <v>1214666</v>
      </c>
      <c r="O71" s="0" t="n">
        <v>3935</v>
      </c>
      <c r="P71" s="0" t="s">
        <v>143</v>
      </c>
      <c r="Q71" s="0" t="n">
        <v>0.307055567303693</v>
      </c>
      <c r="R71" s="0" t="n">
        <v>3.21931626860747</v>
      </c>
      <c r="S71" s="0" t="n">
        <v>11</v>
      </c>
      <c r="T71" s="0" t="n">
        <v>1718</v>
      </c>
      <c r="U71" s="0" t="n">
        <v>0</v>
      </c>
      <c r="V71" s="0" t="n">
        <v>0</v>
      </c>
      <c r="W71" s="0" t="n">
        <v>20220630</v>
      </c>
      <c r="X71" s="0" t="n">
        <v>-0.605378566093227</v>
      </c>
      <c r="Y71" s="0" t="n">
        <v>-4.54</v>
      </c>
      <c r="Z71" s="0" t="s">
        <v>105</v>
      </c>
    </row>
    <row r="72" customFormat="false" ht="15" hidden="false" customHeight="false" outlineLevel="0" collapsed="false">
      <c r="A72" s="0" t="n">
        <v>72</v>
      </c>
      <c r="B72" s="0" t="n">
        <v>724308</v>
      </c>
      <c r="C72" s="0" t="n">
        <v>17951</v>
      </c>
      <c r="D72" s="0" t="n">
        <v>640946</v>
      </c>
      <c r="E72" s="0" t="n">
        <v>0.05</v>
      </c>
      <c r="F72" s="0" t="n">
        <v>53765</v>
      </c>
      <c r="G72" s="0" t="n">
        <v>7.42294714403265</v>
      </c>
      <c r="H72" s="0" t="s">
        <v>226</v>
      </c>
      <c r="I72" s="0" t="n">
        <v>0.814495190979788</v>
      </c>
      <c r="J72" s="0" t="n">
        <v>24396</v>
      </c>
      <c r="K72" s="0" t="n">
        <v>1572</v>
      </c>
      <c r="L72" s="0" t="n">
        <v>488769</v>
      </c>
      <c r="M72" s="0" t="n">
        <v>484788</v>
      </c>
      <c r="N72" s="0" t="n">
        <v>448742</v>
      </c>
      <c r="O72" s="0" t="n">
        <v>782</v>
      </c>
      <c r="P72" s="0" t="s">
        <v>145</v>
      </c>
      <c r="Q72" s="0" t="n">
        <v>0.15999378029294</v>
      </c>
      <c r="R72" s="0" t="n">
        <v>3.18151383220779</v>
      </c>
      <c r="S72" s="0" t="n">
        <v>-2</v>
      </c>
      <c r="T72" s="0" t="n">
        <v>31</v>
      </c>
      <c r="U72" s="0" t="n">
        <v>0</v>
      </c>
      <c r="V72" s="0" t="n">
        <v>15.0065477421255</v>
      </c>
      <c r="W72" s="0" t="n">
        <v>20220630</v>
      </c>
      <c r="X72" s="0" t="n">
        <v>0.944250983121892</v>
      </c>
      <c r="Y72" s="0" t="n">
        <v>11.53</v>
      </c>
      <c r="Z72" s="0" t="s">
        <v>123</v>
      </c>
    </row>
    <row r="73" customFormat="false" ht="15" hidden="false" customHeight="false" outlineLevel="0" collapsed="false">
      <c r="A73" s="0" t="n">
        <v>73</v>
      </c>
      <c r="B73" s="0" t="n">
        <v>1230052</v>
      </c>
      <c r="C73" s="0" t="n">
        <v>17960</v>
      </c>
      <c r="D73" s="0" t="n">
        <v>1013410</v>
      </c>
      <c r="E73" s="0" t="n">
        <v>0.11</v>
      </c>
      <c r="F73" s="0" t="n">
        <v>104397</v>
      </c>
      <c r="G73" s="0" t="n">
        <v>8.48720216706286</v>
      </c>
      <c r="H73" s="0" t="s">
        <v>227</v>
      </c>
      <c r="I73" s="0" t="n">
        <v>0.987079029641062</v>
      </c>
      <c r="J73" s="0" t="n">
        <v>101427</v>
      </c>
      <c r="K73" s="0" t="n">
        <v>165699</v>
      </c>
      <c r="L73" s="0" t="n">
        <v>1010760</v>
      </c>
      <c r="M73" s="0" t="n">
        <v>1000783</v>
      </c>
      <c r="N73" s="0" t="n">
        <v>739326</v>
      </c>
      <c r="O73" s="0" t="n">
        <v>789</v>
      </c>
      <c r="P73" s="0" t="s">
        <v>147</v>
      </c>
      <c r="Q73" s="0" t="n">
        <v>0.0811270726977719</v>
      </c>
      <c r="R73" s="0" t="n">
        <v>3.61237032710627</v>
      </c>
      <c r="S73" s="0" t="n">
        <v>8</v>
      </c>
      <c r="T73" s="0" t="n">
        <v>818</v>
      </c>
      <c r="U73" s="0" t="n">
        <v>31</v>
      </c>
      <c r="V73" s="0" t="n">
        <v>13.5305719072218</v>
      </c>
      <c r="W73" s="0" t="n">
        <v>20220630</v>
      </c>
      <c r="X73" s="0" t="n">
        <v>0.790703185834716</v>
      </c>
      <c r="Y73" s="0" t="n">
        <v>8.65</v>
      </c>
      <c r="Z73" s="0" t="s">
        <v>123</v>
      </c>
    </row>
    <row r="74" customFormat="false" ht="15" hidden="false" customHeight="false" outlineLevel="0" collapsed="false">
      <c r="A74" s="0" t="n">
        <v>74</v>
      </c>
      <c r="B74" s="0" t="n">
        <v>2374786</v>
      </c>
      <c r="C74" s="0" t="n">
        <v>18012</v>
      </c>
      <c r="D74" s="0" t="n">
        <v>2014310</v>
      </c>
      <c r="E74" s="0" t="n">
        <v>0.02</v>
      </c>
      <c r="F74" s="0" t="n">
        <v>231360</v>
      </c>
      <c r="G74" s="0" t="n">
        <v>9.74235152135814</v>
      </c>
      <c r="H74" s="0" t="s">
        <v>228</v>
      </c>
      <c r="I74" s="0" t="n">
        <v>1.20610773336602</v>
      </c>
      <c r="J74" s="0" t="n">
        <v>53604</v>
      </c>
      <c r="K74" s="0" t="n">
        <v>35736</v>
      </c>
      <c r="L74" s="0" t="n">
        <v>1892617</v>
      </c>
      <c r="M74" s="0" t="n">
        <v>1869790</v>
      </c>
      <c r="N74" s="0" t="n">
        <v>1772602</v>
      </c>
      <c r="O74" s="0" t="n">
        <v>1132</v>
      </c>
      <c r="P74" s="0" t="s">
        <v>149</v>
      </c>
      <c r="Q74" s="0" t="n">
        <v>0.0598113617282313</v>
      </c>
      <c r="R74" s="0" t="n">
        <v>3.55342846169754</v>
      </c>
      <c r="S74" s="0" t="n">
        <v>22</v>
      </c>
      <c r="T74" s="0" t="n">
        <v>2539</v>
      </c>
      <c r="U74" s="0" t="n">
        <v>0</v>
      </c>
      <c r="V74" s="0" t="n">
        <v>12.6942760049431</v>
      </c>
      <c r="W74" s="0" t="n">
        <v>20220630</v>
      </c>
      <c r="X74" s="0" t="n">
        <v>1.27634753581963</v>
      </c>
      <c r="Y74" s="0" t="n">
        <v>12.6</v>
      </c>
      <c r="Z74" s="0" t="s">
        <v>123</v>
      </c>
    </row>
    <row r="75" customFormat="false" ht="15" hidden="false" customHeight="false" outlineLevel="0" collapsed="false">
      <c r="A75" s="0" t="n">
        <v>75</v>
      </c>
      <c r="B75" s="0" t="n">
        <v>2601325</v>
      </c>
      <c r="C75" s="0" t="n">
        <v>18013</v>
      </c>
      <c r="D75" s="0" t="n">
        <v>2273331</v>
      </c>
      <c r="E75" s="0" t="n">
        <v>0.01</v>
      </c>
      <c r="F75" s="0" t="n">
        <v>196477</v>
      </c>
      <c r="G75" s="0" t="n">
        <v>7.55295858841168</v>
      </c>
      <c r="H75" s="0" t="s">
        <v>229</v>
      </c>
      <c r="I75" s="0" t="n">
        <v>0.922548522337314</v>
      </c>
      <c r="J75" s="0" t="n">
        <v>113370</v>
      </c>
      <c r="K75" s="0" t="n">
        <v>12266</v>
      </c>
      <c r="L75" s="0" t="n">
        <v>2018864</v>
      </c>
      <c r="M75" s="0" t="n">
        <v>2000239</v>
      </c>
      <c r="N75" s="0" t="n">
        <v>1844412</v>
      </c>
      <c r="O75" s="0" t="n">
        <v>1506</v>
      </c>
      <c r="P75" s="0" t="s">
        <v>151</v>
      </c>
      <c r="Q75" s="0" t="n">
        <v>0.113281528622037</v>
      </c>
      <c r="R75" s="0" t="n">
        <v>3.10393830317986</v>
      </c>
      <c r="S75" s="0" t="n">
        <v>-43</v>
      </c>
      <c r="T75" s="0" t="n">
        <v>3104</v>
      </c>
      <c r="U75" s="0" t="n">
        <v>781</v>
      </c>
      <c r="V75" s="0" t="n">
        <v>13.7038054450497</v>
      </c>
      <c r="W75" s="0" t="n">
        <v>20220630</v>
      </c>
      <c r="X75" s="0" t="n">
        <v>0.734825584062721</v>
      </c>
      <c r="Y75" s="0" t="n">
        <v>9.07</v>
      </c>
      <c r="Z75" s="0" t="s">
        <v>123</v>
      </c>
    </row>
    <row r="76" customFormat="false" ht="15" hidden="false" customHeight="false" outlineLevel="0" collapsed="false">
      <c r="A76" s="0" t="n">
        <v>76</v>
      </c>
      <c r="B76" s="0" t="n">
        <v>377551</v>
      </c>
      <c r="C76" s="0" t="n">
        <v>18028</v>
      </c>
      <c r="D76" s="0" t="n">
        <v>335244</v>
      </c>
      <c r="E76" s="0" t="n">
        <v>-0.02</v>
      </c>
      <c r="F76" s="0" t="n">
        <v>38122</v>
      </c>
      <c r="G76" s="0" t="n">
        <v>10.0971789241718</v>
      </c>
      <c r="H76" s="0" t="s">
        <v>230</v>
      </c>
      <c r="I76" s="0" t="n">
        <v>0.901574950432083</v>
      </c>
      <c r="J76" s="0" t="n">
        <v>16916</v>
      </c>
      <c r="K76" s="0" t="n">
        <v>6431</v>
      </c>
      <c r="L76" s="0" t="n">
        <v>240579</v>
      </c>
      <c r="M76" s="0" t="n">
        <v>238410</v>
      </c>
      <c r="N76" s="0" t="n">
        <v>210223</v>
      </c>
      <c r="O76" s="0" t="n">
        <v>1077</v>
      </c>
      <c r="P76" s="0" t="s">
        <v>153</v>
      </c>
      <c r="Q76" s="0" t="n">
        <v>0.458061593073377</v>
      </c>
      <c r="R76" s="0" t="n">
        <v>3.21951052319902</v>
      </c>
      <c r="S76" s="0" t="n">
        <v>61</v>
      </c>
      <c r="T76" s="0" t="n">
        <v>879</v>
      </c>
      <c r="U76" s="0" t="n">
        <v>25</v>
      </c>
      <c r="V76" s="0" t="n">
        <v>0</v>
      </c>
      <c r="W76" s="0" t="n">
        <v>20220630</v>
      </c>
      <c r="X76" s="0" t="n">
        <v>0.703599748815598</v>
      </c>
      <c r="Y76" s="0" t="n">
        <v>6.26</v>
      </c>
      <c r="Z76" s="0" t="s">
        <v>123</v>
      </c>
    </row>
    <row r="77" customFormat="false" ht="15" hidden="false" customHeight="false" outlineLevel="0" collapsed="false">
      <c r="A77" s="0" t="n">
        <v>77</v>
      </c>
      <c r="B77" s="0" t="n">
        <v>687772</v>
      </c>
      <c r="C77" s="0" t="n">
        <v>18030</v>
      </c>
      <c r="D77" s="0" t="n">
        <v>640669</v>
      </c>
      <c r="E77" s="0" t="n">
        <v>0.1</v>
      </c>
      <c r="F77" s="0" t="n">
        <v>44729</v>
      </c>
      <c r="G77" s="0" t="n">
        <v>6.50346335704274</v>
      </c>
      <c r="H77" s="0" t="s">
        <v>231</v>
      </c>
      <c r="I77" s="0" t="n">
        <v>0.927777864587402</v>
      </c>
      <c r="J77" s="0" t="n">
        <v>28037</v>
      </c>
      <c r="K77" s="0" t="n">
        <v>84156</v>
      </c>
      <c r="L77" s="0" t="n">
        <v>511976</v>
      </c>
      <c r="M77" s="0" t="n">
        <v>507226</v>
      </c>
      <c r="N77" s="0" t="n">
        <v>399387</v>
      </c>
      <c r="O77" s="0" t="n">
        <v>564</v>
      </c>
      <c r="P77" s="0" t="s">
        <v>155</v>
      </c>
      <c r="Q77" s="0" t="n">
        <v>0.110161413816273</v>
      </c>
      <c r="R77" s="0" t="n">
        <v>3.01893171061528</v>
      </c>
      <c r="S77" s="0" t="n">
        <v>-30</v>
      </c>
      <c r="T77" s="0" t="n">
        <v>123</v>
      </c>
      <c r="U77" s="0" t="n">
        <v>0</v>
      </c>
      <c r="V77" s="0" t="n">
        <v>13.6627788194807</v>
      </c>
      <c r="W77" s="0" t="n">
        <v>20220630</v>
      </c>
      <c r="X77" s="0" t="n">
        <v>0.378784896628824</v>
      </c>
      <c r="Y77" s="0" t="n">
        <v>5.29</v>
      </c>
      <c r="Z77" s="0" t="s">
        <v>123</v>
      </c>
    </row>
    <row r="78" customFormat="false" ht="15" hidden="false" customHeight="false" outlineLevel="0" collapsed="false">
      <c r="A78" s="0" t="n">
        <v>78</v>
      </c>
      <c r="B78" s="0" t="n">
        <v>627001</v>
      </c>
      <c r="C78" s="0" t="n">
        <v>18031</v>
      </c>
      <c r="D78" s="0" t="n">
        <v>558118</v>
      </c>
      <c r="E78" s="0" t="n">
        <v>0</v>
      </c>
      <c r="F78" s="0" t="n">
        <v>39966</v>
      </c>
      <c r="G78" s="0" t="n">
        <v>6.37415251331338</v>
      </c>
      <c r="H78" s="0" t="s">
        <v>232</v>
      </c>
      <c r="I78" s="0" t="n">
        <v>1.1769329562282</v>
      </c>
      <c r="J78" s="0" t="n">
        <v>30545</v>
      </c>
      <c r="K78" s="0" t="n">
        <v>8127</v>
      </c>
      <c r="L78" s="0" t="n">
        <v>427467</v>
      </c>
      <c r="M78" s="0" t="n">
        <v>422436</v>
      </c>
      <c r="N78" s="0" t="n">
        <v>382501</v>
      </c>
      <c r="O78" s="0" t="n">
        <v>527</v>
      </c>
      <c r="P78" s="0" t="s">
        <v>157</v>
      </c>
      <c r="Q78" s="0" t="n">
        <v>0.123284370489418</v>
      </c>
      <c r="R78" s="0" t="n">
        <v>2.91034514485245</v>
      </c>
      <c r="S78" s="0" t="n">
        <v>3</v>
      </c>
      <c r="T78" s="0" t="n">
        <v>1081</v>
      </c>
      <c r="U78" s="0" t="n">
        <v>0</v>
      </c>
      <c r="V78" s="0" t="n">
        <v>0</v>
      </c>
      <c r="W78" s="0" t="n">
        <v>20220630</v>
      </c>
      <c r="X78" s="0" t="n">
        <v>0.460576991796965</v>
      </c>
      <c r="Y78" s="0" t="n">
        <v>6.21</v>
      </c>
      <c r="Z78" s="0" t="s">
        <v>123</v>
      </c>
    </row>
    <row r="79" customFormat="false" ht="15" hidden="false" customHeight="false" outlineLevel="0" collapsed="false">
      <c r="A79" s="0" t="n">
        <v>79</v>
      </c>
      <c r="B79" s="0" t="n">
        <v>488764</v>
      </c>
      <c r="C79" s="0" t="n">
        <v>18038</v>
      </c>
      <c r="D79" s="0" t="n">
        <v>401670</v>
      </c>
      <c r="E79" s="0" t="n">
        <v>-0.13</v>
      </c>
      <c r="F79" s="0" t="n">
        <v>64314</v>
      </c>
      <c r="G79" s="0" t="n">
        <v>13.1584977617009</v>
      </c>
      <c r="H79" s="0" t="s">
        <v>233</v>
      </c>
      <c r="I79" s="0" t="n">
        <v>1.10668473722398</v>
      </c>
      <c r="J79" s="0" t="n">
        <v>17550</v>
      </c>
      <c r="K79" s="0" t="n">
        <v>3145</v>
      </c>
      <c r="L79" s="0" t="n">
        <v>365235</v>
      </c>
      <c r="M79" s="0" t="n">
        <v>361193</v>
      </c>
      <c r="N79" s="0" t="n">
        <v>344078</v>
      </c>
      <c r="O79" s="0" t="n">
        <v>2488</v>
      </c>
      <c r="P79" s="0" t="s">
        <v>159</v>
      </c>
      <c r="Q79" s="0" t="n">
        <v>0.681205251413474</v>
      </c>
      <c r="R79" s="0" t="n">
        <v>3.160436023118</v>
      </c>
      <c r="S79" s="0" t="n">
        <v>-72</v>
      </c>
      <c r="T79" s="0" t="n">
        <v>680</v>
      </c>
      <c r="U79" s="0" t="n">
        <v>0</v>
      </c>
      <c r="V79" s="0" t="n">
        <v>0</v>
      </c>
      <c r="W79" s="0" t="n">
        <v>20220630</v>
      </c>
      <c r="X79" s="0" t="n">
        <v>-1.25076524476901</v>
      </c>
      <c r="Y79" s="0" t="n">
        <v>-8.88</v>
      </c>
      <c r="Z79" s="0" t="s">
        <v>123</v>
      </c>
    </row>
    <row r="80" customFormat="false" ht="15" hidden="false" customHeight="false" outlineLevel="0" collapsed="false">
      <c r="A80" s="0" t="n">
        <v>80</v>
      </c>
      <c r="B80" s="0" t="n">
        <v>7044628</v>
      </c>
      <c r="C80" s="0" t="n">
        <v>18408</v>
      </c>
      <c r="D80" s="0" t="n">
        <v>5698679</v>
      </c>
      <c r="E80" s="0" t="n">
        <v>-0.14</v>
      </c>
      <c r="F80" s="0" t="n">
        <v>400181</v>
      </c>
      <c r="G80" s="0" t="n">
        <v>5.68065481953057</v>
      </c>
      <c r="H80" s="0" t="s">
        <v>234</v>
      </c>
      <c r="I80" s="0" t="n">
        <v>1.05044143336233</v>
      </c>
      <c r="J80" s="0" t="n">
        <v>300704</v>
      </c>
      <c r="K80" s="0" t="n">
        <v>28143</v>
      </c>
      <c r="L80" s="0" t="n">
        <v>4218417</v>
      </c>
      <c r="M80" s="0" t="n">
        <v>4174105</v>
      </c>
      <c r="N80" s="0" t="n">
        <v>3811693</v>
      </c>
      <c r="O80" s="0" t="n">
        <v>3286</v>
      </c>
      <c r="P80" s="0" t="s">
        <v>161</v>
      </c>
      <c r="Q80" s="0" t="n">
        <v>0.0778965190022702</v>
      </c>
      <c r="R80" s="0" t="n">
        <v>2.71187008580479</v>
      </c>
      <c r="S80" s="0" t="n">
        <v>330</v>
      </c>
      <c r="T80" s="0" t="n">
        <v>2128</v>
      </c>
      <c r="U80" s="0" t="n">
        <v>0</v>
      </c>
      <c r="V80" s="0" t="n">
        <v>12.6356673275024</v>
      </c>
      <c r="W80" s="0" t="n">
        <v>20220630</v>
      </c>
      <c r="X80" s="0" t="n">
        <v>0.683736868525769</v>
      </c>
      <c r="Y80" s="0" t="n">
        <v>10.28</v>
      </c>
      <c r="Z80" s="0" t="s">
        <v>105</v>
      </c>
    </row>
    <row r="81" customFormat="false" ht="15" hidden="false" customHeight="false" outlineLevel="0" collapsed="false">
      <c r="A81" s="0" t="n">
        <v>81</v>
      </c>
      <c r="B81" s="0" t="n">
        <v>2272024</v>
      </c>
      <c r="C81" s="0" t="n">
        <v>19531</v>
      </c>
      <c r="D81" s="0" t="n">
        <v>1925714</v>
      </c>
      <c r="E81" s="0" t="n">
        <v>0</v>
      </c>
      <c r="F81" s="0" t="n">
        <v>222030</v>
      </c>
      <c r="G81" s="0" t="n">
        <v>9.77234395411316</v>
      </c>
      <c r="H81" s="0" t="s">
        <v>235</v>
      </c>
      <c r="I81" s="0" t="n">
        <v>1.33786598786406</v>
      </c>
      <c r="J81" s="0" t="n">
        <v>242350</v>
      </c>
      <c r="K81" s="0" t="n">
        <v>12873</v>
      </c>
      <c r="L81" s="0" t="n">
        <v>1764676</v>
      </c>
      <c r="M81" s="0" t="n">
        <v>1741067</v>
      </c>
      <c r="N81" s="0" t="n">
        <v>1421672</v>
      </c>
      <c r="O81" s="0" t="n">
        <v>5750</v>
      </c>
      <c r="P81" s="0" t="s">
        <v>163</v>
      </c>
      <c r="Q81" s="0" t="n">
        <v>0.325838850871208</v>
      </c>
      <c r="R81" s="0" t="n">
        <v>3.53092726803068</v>
      </c>
      <c r="S81" s="0" t="n">
        <v>33</v>
      </c>
      <c r="T81" s="0" t="n">
        <v>3231</v>
      </c>
      <c r="U81" s="0" t="n">
        <v>0</v>
      </c>
      <c r="V81" s="0" t="n">
        <v>14.6873232617526</v>
      </c>
      <c r="W81" s="0" t="n">
        <v>20220630</v>
      </c>
      <c r="X81" s="0" t="n">
        <v>0.393415877845515</v>
      </c>
      <c r="Y81" s="0" t="n">
        <v>3.85</v>
      </c>
      <c r="Z81" s="0" t="s">
        <v>105</v>
      </c>
    </row>
    <row r="82" customFormat="false" ht="15" hidden="false" customHeight="false" outlineLevel="0" collapsed="false">
      <c r="A82" s="0" t="n">
        <v>82</v>
      </c>
      <c r="B82" s="0" t="n">
        <v>754376</v>
      </c>
      <c r="C82" s="0" t="n">
        <v>19532</v>
      </c>
      <c r="D82" s="0" t="n">
        <v>650205</v>
      </c>
      <c r="E82" s="0" t="n">
        <v>0.01</v>
      </c>
      <c r="F82" s="0" t="n">
        <v>89980</v>
      </c>
      <c r="G82" s="0" t="n">
        <v>11.9277389524587</v>
      </c>
      <c r="H82" s="0" t="s">
        <v>236</v>
      </c>
      <c r="I82" s="0" t="n">
        <v>1.14735483370052</v>
      </c>
      <c r="J82" s="0" t="n">
        <v>22566</v>
      </c>
      <c r="K82" s="0" t="n">
        <v>41806</v>
      </c>
      <c r="L82" s="0" t="n">
        <v>515185</v>
      </c>
      <c r="M82" s="0" t="n">
        <v>509274</v>
      </c>
      <c r="N82" s="0" t="n">
        <v>443130</v>
      </c>
      <c r="O82" s="0" t="n">
        <v>597</v>
      </c>
      <c r="P82" s="0" t="s">
        <v>165</v>
      </c>
      <c r="Q82" s="0" t="n">
        <v>0.152178343701777</v>
      </c>
      <c r="R82" s="0" t="n">
        <v>3.21438214693699</v>
      </c>
      <c r="S82" s="0" t="n">
        <v>-4</v>
      </c>
      <c r="T82" s="0" t="n">
        <v>596</v>
      </c>
      <c r="U82" s="0" t="n">
        <v>187</v>
      </c>
      <c r="V82" s="0" t="n">
        <v>21.3539763438792</v>
      </c>
      <c r="W82" s="0" t="n">
        <v>20220630</v>
      </c>
      <c r="X82" s="0" t="n">
        <v>0.477693119700524</v>
      </c>
      <c r="Y82" s="0" t="n">
        <v>3.8</v>
      </c>
      <c r="Z82" s="0" t="s">
        <v>105</v>
      </c>
    </row>
    <row r="83" customFormat="false" ht="15" hidden="false" customHeight="false" outlineLevel="0" collapsed="false">
      <c r="A83" s="0" t="n">
        <v>83</v>
      </c>
      <c r="B83" s="0" t="n">
        <v>1582759</v>
      </c>
      <c r="C83" s="0" t="n">
        <v>19690</v>
      </c>
      <c r="D83" s="0" t="n">
        <v>1302616</v>
      </c>
      <c r="E83" s="0" t="n">
        <v>-0.15</v>
      </c>
      <c r="F83" s="0" t="n">
        <v>248321</v>
      </c>
      <c r="G83" s="0" t="n">
        <v>15.6891226017353</v>
      </c>
      <c r="H83" s="0" t="s">
        <v>237</v>
      </c>
      <c r="I83" s="0" t="n">
        <v>0.385326922457938</v>
      </c>
      <c r="J83" s="0" t="n">
        <v>24614</v>
      </c>
      <c r="K83" s="0" t="n">
        <v>719</v>
      </c>
      <c r="L83" s="0" t="n">
        <v>1304866</v>
      </c>
      <c r="M83" s="0" t="n">
        <v>1299838</v>
      </c>
      <c r="N83" s="0" t="n">
        <v>951396</v>
      </c>
      <c r="O83" s="0" t="n">
        <v>12946</v>
      </c>
      <c r="P83" s="0" t="s">
        <v>167</v>
      </c>
      <c r="Q83" s="0" t="n">
        <v>0.992132525485375</v>
      </c>
      <c r="R83" s="0" t="n">
        <v>6.0280785575674</v>
      </c>
      <c r="S83" s="0" t="n">
        <v>-155</v>
      </c>
      <c r="T83" s="0" t="n">
        <v>590</v>
      </c>
      <c r="U83" s="0" t="n">
        <v>0</v>
      </c>
      <c r="V83" s="0" t="n">
        <v>19.4670764547208</v>
      </c>
      <c r="W83" s="0" t="n">
        <v>20220630</v>
      </c>
      <c r="X83" s="0" t="n">
        <v>2.71865093743965</v>
      </c>
      <c r="Y83" s="0" t="n">
        <v>17.05</v>
      </c>
      <c r="Z83" s="0" t="s">
        <v>105</v>
      </c>
    </row>
    <row r="84" customFormat="false" ht="15" hidden="false" customHeight="false" outlineLevel="0" collapsed="false">
      <c r="A84" s="0" t="n">
        <v>84</v>
      </c>
      <c r="B84" s="0" t="n">
        <v>565870</v>
      </c>
      <c r="C84" s="0" t="n">
        <v>19836</v>
      </c>
      <c r="D84" s="0" t="n">
        <v>441969</v>
      </c>
      <c r="E84" s="0" t="n">
        <v>-0.01</v>
      </c>
      <c r="F84" s="0" t="n">
        <v>116691</v>
      </c>
      <c r="G84" s="0" t="n">
        <v>20.6215208440101</v>
      </c>
      <c r="H84" s="0" t="s">
        <v>238</v>
      </c>
      <c r="I84" s="0" t="n">
        <v>0.864915692897268</v>
      </c>
      <c r="J84" s="0" t="n">
        <v>49522</v>
      </c>
      <c r="K84" s="0" t="n">
        <v>11852</v>
      </c>
      <c r="L84" s="0" t="n">
        <v>450911</v>
      </c>
      <c r="M84" s="0" t="n">
        <v>447011</v>
      </c>
      <c r="N84" s="0" t="n">
        <v>383579</v>
      </c>
      <c r="O84" s="0" t="n">
        <v>1685</v>
      </c>
      <c r="P84" s="0" t="s">
        <v>145</v>
      </c>
      <c r="Q84" s="0" t="n">
        <v>0.373687933982538</v>
      </c>
      <c r="R84" s="0" t="n">
        <v>3.96827042134604</v>
      </c>
      <c r="S84" s="0" t="n">
        <v>-18</v>
      </c>
      <c r="T84" s="0" t="n">
        <v>1378</v>
      </c>
      <c r="U84" s="0" t="n">
        <v>0</v>
      </c>
      <c r="V84" s="0" t="n">
        <v>29.3004506448167</v>
      </c>
      <c r="W84" s="0" t="n">
        <v>20220630</v>
      </c>
      <c r="X84" s="0" t="n">
        <v>0.859566913692381</v>
      </c>
      <c r="Y84" s="0" t="n">
        <v>4.24</v>
      </c>
      <c r="Z84" s="0" t="s">
        <v>105</v>
      </c>
    </row>
    <row r="85" customFormat="false" ht="15" hidden="false" customHeight="false" outlineLevel="0" collapsed="false">
      <c r="A85" s="0" t="n">
        <v>85</v>
      </c>
      <c r="B85" s="0" t="n">
        <v>1234978</v>
      </c>
      <c r="C85" s="0" t="n">
        <v>24540</v>
      </c>
      <c r="D85" s="0" t="n">
        <v>1010154</v>
      </c>
      <c r="E85" s="0" t="n">
        <v>0</v>
      </c>
      <c r="F85" s="0" t="n">
        <v>198951</v>
      </c>
      <c r="G85" s="0" t="n">
        <v>16.1096796866017</v>
      </c>
      <c r="H85" s="0" t="s">
        <v>239</v>
      </c>
      <c r="I85" s="0" t="n">
        <v>1.21608037306189</v>
      </c>
      <c r="J85" s="0" t="n">
        <v>42956</v>
      </c>
      <c r="K85" s="0" t="n">
        <v>114</v>
      </c>
      <c r="L85" s="0" t="n">
        <v>1041543</v>
      </c>
      <c r="M85" s="0" t="n">
        <v>1028877</v>
      </c>
      <c r="N85" s="0" t="n">
        <v>1001399</v>
      </c>
      <c r="O85" s="0" t="n">
        <v>782</v>
      </c>
      <c r="P85" s="0" t="s">
        <v>170</v>
      </c>
      <c r="Q85" s="0" t="n">
        <v>0.0750809136060633</v>
      </c>
      <c r="R85" s="0" t="n">
        <v>4.29022601129675</v>
      </c>
      <c r="S85" s="0" t="n">
        <v>-15</v>
      </c>
      <c r="T85" s="0" t="n">
        <v>0</v>
      </c>
      <c r="U85" s="0" t="n">
        <v>0</v>
      </c>
      <c r="V85" s="0" t="n">
        <v>0</v>
      </c>
      <c r="W85" s="0" t="n">
        <v>20220630</v>
      </c>
      <c r="X85" s="0" t="n">
        <v>2.15476323542861</v>
      </c>
      <c r="Y85" s="0" t="n">
        <v>13.94</v>
      </c>
      <c r="Z85" s="0" t="s">
        <v>123</v>
      </c>
    </row>
    <row r="86" customFormat="false" ht="15" hidden="false" customHeight="false" outlineLevel="0" collapsed="false">
      <c r="A86" s="0" t="n">
        <v>86</v>
      </c>
      <c r="B86" s="0" t="n">
        <v>469898</v>
      </c>
      <c r="C86" s="0" t="n">
        <v>27824</v>
      </c>
      <c r="D86" s="0" t="n">
        <v>371733</v>
      </c>
      <c r="E86" s="0" t="n">
        <v>0</v>
      </c>
      <c r="F86" s="0" t="n">
        <v>67598</v>
      </c>
      <c r="G86" s="0" t="n">
        <v>14.3856751890836</v>
      </c>
      <c r="H86" s="0" t="s">
        <v>240</v>
      </c>
      <c r="I86" s="0" t="n">
        <v>0.808028699494916</v>
      </c>
      <c r="J86" s="0" t="n">
        <v>22410</v>
      </c>
      <c r="K86" s="0" t="n">
        <v>28849</v>
      </c>
      <c r="L86" s="0" t="n">
        <v>379937</v>
      </c>
      <c r="M86" s="0" t="n">
        <v>376867</v>
      </c>
      <c r="N86" s="0" t="n">
        <v>328679</v>
      </c>
      <c r="O86" s="0" t="n">
        <v>861</v>
      </c>
      <c r="P86" s="0" t="s">
        <v>172</v>
      </c>
      <c r="Q86" s="0" t="n">
        <v>0.226616518001669</v>
      </c>
      <c r="R86" s="0" t="n">
        <v>2.9356123296964</v>
      </c>
      <c r="S86" s="0" t="n">
        <v>0</v>
      </c>
      <c r="T86" s="0" t="n">
        <v>848</v>
      </c>
      <c r="U86" s="0" t="n">
        <v>0</v>
      </c>
      <c r="V86" s="0" t="n">
        <v>24.6578547583975</v>
      </c>
      <c r="W86" s="0" t="n">
        <v>20220630</v>
      </c>
      <c r="X86" s="0" t="n">
        <v>0.382958283601642</v>
      </c>
      <c r="Y86" s="0" t="n">
        <v>2.53</v>
      </c>
      <c r="Z86" s="0" t="s">
        <v>123</v>
      </c>
    </row>
    <row r="87" customFormat="false" ht="15" hidden="false" customHeight="false" outlineLevel="0" collapsed="false">
      <c r="A87" s="0" t="n">
        <v>87</v>
      </c>
      <c r="B87" s="0" t="n">
        <v>299676</v>
      </c>
      <c r="C87" s="0" t="n">
        <v>28155</v>
      </c>
      <c r="D87" s="0" t="n">
        <v>271184</v>
      </c>
      <c r="E87" s="0" t="n">
        <v>0.03</v>
      </c>
      <c r="F87" s="0" t="n">
        <v>27573</v>
      </c>
      <c r="G87" s="0" t="n">
        <v>9.20093701197293</v>
      </c>
      <c r="H87" s="0" t="s">
        <v>241</v>
      </c>
      <c r="I87" s="0" t="n">
        <v>0.576876852816281</v>
      </c>
      <c r="J87" s="0" t="n">
        <v>5461</v>
      </c>
      <c r="K87" s="0" t="n">
        <v>4201</v>
      </c>
      <c r="L87" s="0" t="n">
        <v>149772</v>
      </c>
      <c r="M87" s="0" t="n">
        <v>148908</v>
      </c>
      <c r="N87" s="0" t="n">
        <v>139442</v>
      </c>
      <c r="O87" s="0" t="n">
        <v>12</v>
      </c>
      <c r="P87" s="0" t="s">
        <v>174</v>
      </c>
      <c r="Q87" s="0" t="n">
        <v>0.0080121785113372</v>
      </c>
      <c r="R87" s="0" t="n">
        <v>2.68514754596641</v>
      </c>
      <c r="S87" s="0" t="n">
        <v>5</v>
      </c>
      <c r="T87" s="0" t="n">
        <v>958</v>
      </c>
      <c r="U87" s="0" t="n">
        <v>0</v>
      </c>
      <c r="V87" s="0" t="n">
        <v>19.0224932090442</v>
      </c>
      <c r="W87" s="0" t="n">
        <v>20220630</v>
      </c>
      <c r="X87" s="0" t="n">
        <v>0.25641055176648</v>
      </c>
      <c r="Y87" s="0" t="n">
        <v>2.69</v>
      </c>
      <c r="Z87" s="0" t="s">
        <v>123</v>
      </c>
    </row>
    <row r="88" customFormat="false" ht="15" hidden="false" customHeight="false" outlineLevel="0" collapsed="false">
      <c r="A88" s="0" t="n">
        <v>88</v>
      </c>
      <c r="B88" s="0" t="n">
        <v>98212</v>
      </c>
      <c r="C88" s="0" t="n">
        <v>28288</v>
      </c>
      <c r="D88" s="0" t="n">
        <v>80509</v>
      </c>
      <c r="E88" s="0" t="n">
        <v>0.08</v>
      </c>
      <c r="F88" s="0" t="n">
        <v>6561</v>
      </c>
      <c r="G88" s="0" t="n">
        <v>6.6804463812976</v>
      </c>
      <c r="H88" s="0" t="s">
        <v>242</v>
      </c>
      <c r="I88" s="0" t="n">
        <v>1.11489946458898</v>
      </c>
      <c r="J88" s="0" t="n">
        <v>3133</v>
      </c>
      <c r="K88" s="0" t="n">
        <v>518</v>
      </c>
      <c r="L88" s="0" t="n">
        <v>77137</v>
      </c>
      <c r="M88" s="0" t="n">
        <v>76277</v>
      </c>
      <c r="N88" s="0" t="n">
        <v>73486</v>
      </c>
      <c r="O88" s="0" t="n">
        <v>408</v>
      </c>
      <c r="P88" s="0" t="s">
        <v>176</v>
      </c>
      <c r="Q88" s="0" t="n">
        <v>0.528929048316631</v>
      </c>
      <c r="R88" s="0" t="n">
        <v>3.52150607534091</v>
      </c>
      <c r="S88" s="0" t="n">
        <v>47</v>
      </c>
      <c r="T88" s="0" t="n">
        <v>38</v>
      </c>
      <c r="U88" s="0" t="n">
        <v>0</v>
      </c>
      <c r="V88" s="0" t="n">
        <v>13.4365080570448</v>
      </c>
      <c r="W88" s="0" t="n">
        <v>20220630</v>
      </c>
      <c r="X88" s="0" t="n">
        <v>0.0974689847333905</v>
      </c>
      <c r="Y88" s="0" t="n">
        <v>1.28</v>
      </c>
      <c r="Z88" s="0" t="s">
        <v>105</v>
      </c>
    </row>
    <row r="89" customFormat="false" ht="15" hidden="false" customHeight="false" outlineLevel="0" collapsed="false">
      <c r="A89" s="0" t="n">
        <v>89</v>
      </c>
      <c r="B89" s="0" t="n">
        <v>87270</v>
      </c>
      <c r="C89" s="0" t="n">
        <v>28369</v>
      </c>
      <c r="D89" s="0" t="n">
        <v>75522</v>
      </c>
      <c r="E89" s="0" t="n">
        <v>0.07</v>
      </c>
      <c r="F89" s="0" t="n">
        <v>9341</v>
      </c>
      <c r="G89" s="0" t="n">
        <v>10.7035636530308</v>
      </c>
      <c r="H89" s="0" t="s">
        <v>243</v>
      </c>
      <c r="I89" s="0" t="n">
        <v>0.788787750590226</v>
      </c>
      <c r="J89" s="0" t="n">
        <v>10612</v>
      </c>
      <c r="K89" s="0" t="n">
        <v>917</v>
      </c>
      <c r="L89" s="0" t="n">
        <v>73277</v>
      </c>
      <c r="M89" s="0" t="n">
        <v>72699</v>
      </c>
      <c r="N89" s="0" t="n">
        <v>61748</v>
      </c>
      <c r="O89" s="0" t="n">
        <v>372</v>
      </c>
      <c r="P89" s="0" t="s">
        <v>178</v>
      </c>
      <c r="Q89" s="0" t="n">
        <v>0.507662704532118</v>
      </c>
      <c r="R89" s="0" t="n">
        <v>3.60618763943027</v>
      </c>
      <c r="S89" s="0" t="n">
        <v>-4</v>
      </c>
      <c r="T89" s="0" t="n">
        <v>89</v>
      </c>
      <c r="U89" s="0" t="n">
        <v>0</v>
      </c>
      <c r="V89" s="0" t="n">
        <v>0</v>
      </c>
      <c r="W89" s="0" t="n">
        <v>20220630</v>
      </c>
      <c r="X89" s="0" t="n">
        <v>-0.030144694533762</v>
      </c>
      <c r="Y89" s="0" t="n">
        <v>-0.28</v>
      </c>
      <c r="Z89" s="0" t="s">
        <v>105</v>
      </c>
    </row>
    <row r="90" customFormat="false" ht="15" hidden="false" customHeight="false" outlineLevel="0" collapsed="false">
      <c r="A90" s="0" t="n">
        <v>90</v>
      </c>
      <c r="B90" s="0" t="n">
        <v>290878</v>
      </c>
      <c r="C90" s="0" t="n">
        <v>28837</v>
      </c>
      <c r="D90" s="0" t="n">
        <v>266261</v>
      </c>
      <c r="E90" s="0" t="n">
        <v>0.06</v>
      </c>
      <c r="F90" s="0" t="n">
        <v>22419</v>
      </c>
      <c r="G90" s="0" t="n">
        <v>7.7073549735628</v>
      </c>
      <c r="H90" s="0" t="s">
        <v>244</v>
      </c>
      <c r="I90" s="0" t="n">
        <v>1.2038357355272</v>
      </c>
      <c r="J90" s="0" t="n">
        <v>6574</v>
      </c>
      <c r="K90" s="0" t="n">
        <v>1145</v>
      </c>
      <c r="L90" s="0" t="n">
        <v>188647</v>
      </c>
      <c r="M90" s="0" t="n">
        <v>186376</v>
      </c>
      <c r="N90" s="0" t="n">
        <v>179830</v>
      </c>
      <c r="O90" s="0" t="n">
        <v>0</v>
      </c>
      <c r="P90" s="0" t="s">
        <v>180</v>
      </c>
      <c r="Q90" s="0" t="n">
        <v>0</v>
      </c>
      <c r="R90" s="0" t="n">
        <v>2.60354973570456</v>
      </c>
      <c r="S90" s="0" t="n">
        <v>135</v>
      </c>
      <c r="T90" s="0" t="n">
        <v>65</v>
      </c>
      <c r="U90" s="0" t="n">
        <v>0</v>
      </c>
      <c r="V90" s="0" t="n">
        <v>14.7624530597825</v>
      </c>
      <c r="W90" s="0" t="n">
        <v>20220630</v>
      </c>
      <c r="X90" s="0" t="n">
        <v>0.368184561732949</v>
      </c>
      <c r="Y90" s="0" t="n">
        <v>4.96</v>
      </c>
      <c r="Z90" s="0" t="s">
        <v>112</v>
      </c>
    </row>
    <row r="91" customFormat="false" ht="15" hidden="false" customHeight="false" outlineLevel="0" collapsed="false">
      <c r="A91" s="0" t="n">
        <v>91</v>
      </c>
      <c r="B91" s="0" t="n">
        <v>182713</v>
      </c>
      <c r="C91" s="0" t="n">
        <v>29636</v>
      </c>
      <c r="D91" s="0" t="n">
        <v>157371</v>
      </c>
      <c r="E91" s="0" t="n">
        <v>0.03</v>
      </c>
      <c r="F91" s="0" t="n">
        <v>23979</v>
      </c>
      <c r="G91" s="0" t="n">
        <v>13.1238609184897</v>
      </c>
      <c r="H91" s="0" t="s">
        <v>245</v>
      </c>
      <c r="I91" s="0" t="n">
        <v>1.51005510627639</v>
      </c>
      <c r="J91" s="0" t="n">
        <v>1377</v>
      </c>
      <c r="K91" s="0" t="n">
        <v>2115</v>
      </c>
      <c r="L91" s="0" t="n">
        <v>111784</v>
      </c>
      <c r="M91" s="0" t="n">
        <v>110096</v>
      </c>
      <c r="N91" s="0" t="n">
        <v>108292</v>
      </c>
      <c r="O91" s="0" t="n">
        <v>2116</v>
      </c>
      <c r="P91" s="0" t="s">
        <v>182</v>
      </c>
      <c r="Q91" s="0" t="n">
        <v>1.89293637729908</v>
      </c>
      <c r="R91" s="0" t="n">
        <v>3.03270209827388</v>
      </c>
      <c r="S91" s="0" t="n">
        <v>-3</v>
      </c>
      <c r="T91" s="0" t="n">
        <v>1771</v>
      </c>
      <c r="U91" s="0" t="n">
        <v>0</v>
      </c>
      <c r="V91" s="0" t="n">
        <v>30.849232534787</v>
      </c>
      <c r="W91" s="0" t="n">
        <v>20220630</v>
      </c>
      <c r="X91" s="0" t="n">
        <v>0.132689298792343</v>
      </c>
      <c r="Y91" s="0" t="n">
        <v>0.99</v>
      </c>
      <c r="Z91" s="0" t="s">
        <v>105</v>
      </c>
    </row>
    <row r="92" customFormat="false" ht="15" hidden="false" customHeight="false" outlineLevel="0" collapsed="false">
      <c r="A92" s="0" t="n">
        <v>92</v>
      </c>
      <c r="B92" s="0" t="n">
        <v>176966</v>
      </c>
      <c r="C92" s="0" t="n">
        <v>29743</v>
      </c>
      <c r="D92" s="0" t="n">
        <v>160168</v>
      </c>
      <c r="E92" s="0" t="n">
        <v>0</v>
      </c>
      <c r="F92" s="0" t="n">
        <v>14544</v>
      </c>
      <c r="G92" s="0" t="n">
        <v>8.21852785280788</v>
      </c>
      <c r="H92" s="0" t="s">
        <v>246</v>
      </c>
      <c r="I92" s="0" t="n">
        <v>0.363489499192245</v>
      </c>
      <c r="J92" s="0" t="n">
        <v>21981</v>
      </c>
      <c r="K92" s="0" t="n">
        <v>18389</v>
      </c>
      <c r="L92" s="0" t="n">
        <v>118848</v>
      </c>
      <c r="M92" s="0" t="n">
        <v>118416</v>
      </c>
      <c r="N92" s="0" t="n">
        <v>78376</v>
      </c>
      <c r="O92" s="0" t="n">
        <v>467</v>
      </c>
      <c r="P92" s="0" t="s">
        <v>184</v>
      </c>
      <c r="Q92" s="0" t="n">
        <v>0.392938879913839</v>
      </c>
      <c r="R92" s="0" t="n">
        <v>2.56107379395051</v>
      </c>
      <c r="S92" s="0" t="n">
        <v>98</v>
      </c>
      <c r="T92" s="0" t="n">
        <v>84</v>
      </c>
      <c r="U92" s="0" t="n">
        <v>0</v>
      </c>
      <c r="V92" s="0" t="n">
        <v>17.6123658591362</v>
      </c>
      <c r="W92" s="0" t="n">
        <v>20220630</v>
      </c>
      <c r="X92" s="0" t="n">
        <v>0.753273491838587</v>
      </c>
      <c r="Y92" s="0" t="n">
        <v>8.46</v>
      </c>
      <c r="Z92" s="0" t="s">
        <v>105</v>
      </c>
    </row>
    <row r="93" customFormat="false" ht="15" hidden="false" customHeight="false" outlineLevel="0" collapsed="false">
      <c r="A93" s="0" t="n">
        <v>93</v>
      </c>
      <c r="B93" s="0" t="n">
        <v>510338</v>
      </c>
      <c r="C93" s="0" t="n">
        <v>29744</v>
      </c>
      <c r="D93" s="0" t="n">
        <v>400169</v>
      </c>
      <c r="E93" s="0" t="n">
        <v>0.02</v>
      </c>
      <c r="F93" s="0" t="n">
        <v>42675</v>
      </c>
      <c r="G93" s="0" t="n">
        <v>8.36210511464951</v>
      </c>
      <c r="H93" s="0" t="s">
        <v>247</v>
      </c>
      <c r="I93" s="0" t="n">
        <v>0.947368147314057</v>
      </c>
      <c r="J93" s="0" t="n">
        <v>24641</v>
      </c>
      <c r="K93" s="0" t="n">
        <v>7166</v>
      </c>
      <c r="L93" s="0" t="n">
        <v>384539</v>
      </c>
      <c r="M93" s="0" t="n">
        <v>380896</v>
      </c>
      <c r="N93" s="0" t="n">
        <v>352732</v>
      </c>
      <c r="O93" s="0" t="n">
        <v>602</v>
      </c>
      <c r="P93" s="0" t="s">
        <v>186</v>
      </c>
      <c r="Q93" s="0" t="n">
        <v>0.156551091046682</v>
      </c>
      <c r="R93" s="0" t="n">
        <v>3.18052641179198</v>
      </c>
      <c r="S93" s="0" t="n">
        <v>7</v>
      </c>
      <c r="T93" s="0" t="n">
        <v>10</v>
      </c>
      <c r="U93" s="0" t="n">
        <v>0</v>
      </c>
      <c r="V93" s="0" t="n">
        <v>16.7010073613681</v>
      </c>
      <c r="W93" s="0" t="n">
        <v>20220630</v>
      </c>
      <c r="X93" s="0" t="n">
        <v>0.255625872703925</v>
      </c>
      <c r="Y93" s="0" t="n">
        <v>2.74</v>
      </c>
      <c r="Z93" s="0" t="s">
        <v>123</v>
      </c>
    </row>
    <row r="94" customFormat="false" ht="15" hidden="false" customHeight="false" outlineLevel="0" collapsed="false">
      <c r="A94" s="0" t="n">
        <v>94</v>
      </c>
      <c r="B94" s="0" t="n">
        <v>543454</v>
      </c>
      <c r="C94" s="0" t="n">
        <v>30350</v>
      </c>
      <c r="D94" s="0" t="n">
        <v>468153</v>
      </c>
      <c r="E94" s="0" t="n">
        <v>0</v>
      </c>
      <c r="F94" s="0" t="n">
        <v>50997</v>
      </c>
      <c r="G94" s="0" t="n">
        <v>9.38386689581823</v>
      </c>
      <c r="H94" s="0" t="s">
        <v>248</v>
      </c>
      <c r="I94" s="0" t="n">
        <v>1.3722224019148</v>
      </c>
      <c r="J94" s="0" t="n">
        <v>10553</v>
      </c>
      <c r="K94" s="0" t="n">
        <v>876</v>
      </c>
      <c r="L94" s="0" t="n">
        <v>371004</v>
      </c>
      <c r="M94" s="0" t="n">
        <v>365913</v>
      </c>
      <c r="N94" s="0" t="n">
        <v>358181</v>
      </c>
      <c r="O94" s="0" t="n">
        <v>2718</v>
      </c>
      <c r="P94" s="0" t="s">
        <v>188</v>
      </c>
      <c r="Q94" s="0" t="n">
        <v>0.732606656532005</v>
      </c>
      <c r="R94" s="0" t="n">
        <v>2.72249357426288</v>
      </c>
      <c r="S94" s="0" t="n">
        <v>213</v>
      </c>
      <c r="T94" s="0" t="n">
        <v>662</v>
      </c>
      <c r="U94" s="0" t="n">
        <v>0</v>
      </c>
      <c r="V94" s="0" t="n">
        <v>21.2363870447464</v>
      </c>
      <c r="W94" s="0" t="n">
        <v>20220630</v>
      </c>
      <c r="X94" s="0" t="n">
        <v>0.502798290193913</v>
      </c>
      <c r="Y94" s="0" t="n">
        <v>5.27</v>
      </c>
      <c r="Z94" s="0" t="s">
        <v>112</v>
      </c>
    </row>
    <row r="95" customFormat="false" ht="15" hidden="false" customHeight="false" outlineLevel="0" collapsed="false">
      <c r="A95" s="0" t="n">
        <v>95</v>
      </c>
      <c r="B95" s="0" t="n">
        <v>100800</v>
      </c>
      <c r="C95" s="0" t="n">
        <v>30878</v>
      </c>
      <c r="D95" s="0" t="n">
        <v>78524</v>
      </c>
      <c r="E95" s="0" t="n">
        <v>0.04</v>
      </c>
      <c r="F95" s="0" t="n">
        <v>12406</v>
      </c>
      <c r="G95" s="0" t="n">
        <v>12.3075396825397</v>
      </c>
      <c r="H95" s="0" t="s">
        <v>249</v>
      </c>
      <c r="I95" s="0" t="n">
        <v>1.10804851157663</v>
      </c>
      <c r="J95" s="0" t="n">
        <v>0</v>
      </c>
      <c r="K95" s="0" t="n">
        <v>92</v>
      </c>
      <c r="L95" s="0" t="n">
        <v>72560</v>
      </c>
      <c r="M95" s="0" t="n">
        <v>71756</v>
      </c>
      <c r="N95" s="0" t="n">
        <v>72468</v>
      </c>
      <c r="O95" s="0" t="n">
        <v>466</v>
      </c>
      <c r="P95" s="0" t="s">
        <v>190</v>
      </c>
      <c r="Q95" s="0" t="n">
        <v>0.642227122381477</v>
      </c>
      <c r="R95" s="0" t="n">
        <v>2.04745215081734</v>
      </c>
      <c r="S95" s="0" t="n">
        <v>0</v>
      </c>
      <c r="T95" s="0" t="n">
        <v>361</v>
      </c>
      <c r="U95" s="0" t="n">
        <v>0</v>
      </c>
      <c r="V95" s="0" t="n">
        <v>0</v>
      </c>
      <c r="W95" s="0" t="n">
        <v>20220630</v>
      </c>
      <c r="X95" s="0" t="n">
        <v>0.310113476352191</v>
      </c>
      <c r="Y95" s="0" t="n">
        <v>2.51</v>
      </c>
      <c r="Z95" s="0" t="s">
        <v>105</v>
      </c>
    </row>
    <row r="96" customFormat="false" ht="15" hidden="false" customHeight="false" outlineLevel="0" collapsed="false">
      <c r="A96" s="0" t="n">
        <v>96</v>
      </c>
      <c r="B96" s="0" t="n">
        <v>732318</v>
      </c>
      <c r="C96" s="0" t="n">
        <v>33418</v>
      </c>
      <c r="D96" s="0" t="n">
        <v>570903</v>
      </c>
      <c r="E96" s="0" t="n">
        <v>0</v>
      </c>
      <c r="F96" s="0" t="n">
        <v>59389</v>
      </c>
      <c r="G96" s="0" t="n">
        <v>8.10972828743797</v>
      </c>
      <c r="H96" s="0" t="s">
        <v>250</v>
      </c>
      <c r="I96" s="0" t="n">
        <v>2.10322893249722</v>
      </c>
      <c r="J96" s="0" t="n">
        <v>40513</v>
      </c>
      <c r="K96" s="0" t="n">
        <v>13342</v>
      </c>
      <c r="L96" s="0" t="n">
        <v>354978</v>
      </c>
      <c r="M96" s="0" t="n">
        <v>347512</v>
      </c>
      <c r="N96" s="0" t="n">
        <v>301150</v>
      </c>
      <c r="O96" s="0" t="n">
        <v>2652</v>
      </c>
      <c r="P96" s="0" t="s">
        <v>192</v>
      </c>
      <c r="Q96" s="0" t="n">
        <v>0.747088551966601</v>
      </c>
      <c r="R96" s="0" t="n">
        <v>2.71692040204904</v>
      </c>
      <c r="S96" s="0" t="n">
        <v>2</v>
      </c>
      <c r="T96" s="0" t="n">
        <v>497</v>
      </c>
      <c r="U96" s="0" t="n">
        <v>0</v>
      </c>
      <c r="V96" s="0" t="n">
        <v>18.6076360363737</v>
      </c>
      <c r="W96" s="0" t="n">
        <v>20220630</v>
      </c>
      <c r="X96" s="0" t="n">
        <v>1.16569230469518</v>
      </c>
      <c r="Y96" s="0" t="n">
        <v>14.67</v>
      </c>
      <c r="Z96" s="0" t="s">
        <v>112</v>
      </c>
    </row>
    <row r="97" customFormat="false" ht="15" hidden="false" customHeight="false" outlineLevel="0" collapsed="false">
      <c r="A97" s="0" t="n">
        <v>97</v>
      </c>
      <c r="B97" s="0" t="n">
        <v>62457</v>
      </c>
      <c r="C97" s="0" t="n">
        <v>35206</v>
      </c>
      <c r="D97" s="0" t="n">
        <v>500</v>
      </c>
      <c r="E97" s="0" t="n">
        <v>0</v>
      </c>
      <c r="F97" s="0" t="n">
        <v>57487</v>
      </c>
      <c r="G97" s="0" t="n">
        <v>92.0425252573771</v>
      </c>
      <c r="H97" s="0" t="s">
        <v>251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s">
        <v>252</v>
      </c>
      <c r="Q97" s="0" t="n">
        <v>0</v>
      </c>
      <c r="R97" s="0" t="n">
        <v>3.17266832579952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20220630</v>
      </c>
      <c r="X97" s="0" t="n">
        <v>2.27731467928075</v>
      </c>
      <c r="Y97" s="0" t="n">
        <v>2.59</v>
      </c>
      <c r="Z97" s="0" t="s">
        <v>123</v>
      </c>
    </row>
    <row r="98" customFormat="false" ht="15" hidden="false" customHeight="false" outlineLevel="0" collapsed="false">
      <c r="A98" s="0" t="n">
        <v>98</v>
      </c>
      <c r="B98" s="0" t="n">
        <v>5454674</v>
      </c>
      <c r="C98" s="0" t="n">
        <v>4255</v>
      </c>
      <c r="D98" s="0" t="n">
        <v>4564900</v>
      </c>
      <c r="E98" s="0" t="n">
        <v>0.05</v>
      </c>
      <c r="F98" s="0" t="n">
        <v>460996</v>
      </c>
      <c r="G98" s="0" t="n">
        <v>8.45139416214425</v>
      </c>
      <c r="H98" s="0" t="s">
        <v>253</v>
      </c>
      <c r="I98" s="0" t="n">
        <v>0.918668933382016</v>
      </c>
      <c r="J98" s="0" t="n">
        <v>338478</v>
      </c>
      <c r="K98" s="0" t="n">
        <v>19646</v>
      </c>
      <c r="L98" s="0" t="n">
        <v>3727567</v>
      </c>
      <c r="M98" s="0" t="n">
        <v>3693323</v>
      </c>
      <c r="N98" s="0" t="n">
        <v>3314850</v>
      </c>
      <c r="O98" s="0" t="n">
        <v>3505</v>
      </c>
      <c r="P98" s="0" t="s">
        <v>194</v>
      </c>
      <c r="Q98" s="0" t="n">
        <v>0.0940291616488717</v>
      </c>
      <c r="R98" s="0" t="n">
        <v>2.93442239804111</v>
      </c>
      <c r="S98" s="0" t="n">
        <v>287</v>
      </c>
      <c r="T98" s="0" t="n">
        <v>2175</v>
      </c>
      <c r="U98" s="0" t="n">
        <v>0</v>
      </c>
      <c r="V98" s="0" t="n">
        <v>13.2979281956506</v>
      </c>
      <c r="W98" s="0" t="n">
        <v>20220630</v>
      </c>
      <c r="X98" s="0" t="n">
        <v>1.21491549982209</v>
      </c>
      <c r="Y98" s="0" t="n">
        <v>13.12</v>
      </c>
      <c r="Z98" s="0" t="s">
        <v>105</v>
      </c>
    </row>
    <row r="99" customFormat="false" ht="15" hidden="false" customHeight="false" outlineLevel="0" collapsed="false">
      <c r="A99" s="0" t="n">
        <v>99</v>
      </c>
      <c r="B99" s="0" t="n">
        <v>2595799</v>
      </c>
      <c r="C99" s="0" t="n">
        <v>4256</v>
      </c>
      <c r="D99" s="0" t="n">
        <v>2252978</v>
      </c>
      <c r="E99" s="0" t="n">
        <v>0.07</v>
      </c>
      <c r="F99" s="0" t="n">
        <v>198923</v>
      </c>
      <c r="G99" s="0" t="n">
        <v>7.66326668590288</v>
      </c>
      <c r="H99" s="0" t="s">
        <v>254</v>
      </c>
      <c r="I99" s="0" t="n">
        <v>0.9055674427236</v>
      </c>
      <c r="J99" s="0" t="n">
        <v>229669</v>
      </c>
      <c r="K99" s="0" t="n">
        <v>21356</v>
      </c>
      <c r="L99" s="0" t="n">
        <v>1789044</v>
      </c>
      <c r="M99" s="0" t="n">
        <v>1772843</v>
      </c>
      <c r="N99" s="0" t="n">
        <v>1445139</v>
      </c>
      <c r="O99" s="0" t="n">
        <v>4812</v>
      </c>
      <c r="P99" s="0" t="s">
        <v>196</v>
      </c>
      <c r="Q99" s="0" t="n">
        <v>0.273218545770814</v>
      </c>
      <c r="R99" s="0" t="n">
        <v>3.13072504237486</v>
      </c>
      <c r="S99" s="0" t="n">
        <v>220</v>
      </c>
      <c r="T99" s="0" t="n">
        <v>997</v>
      </c>
      <c r="U99" s="0" t="n">
        <v>76</v>
      </c>
      <c r="V99" s="0" t="n">
        <v>13.5641154228502</v>
      </c>
      <c r="W99" s="0" t="n">
        <v>20220630</v>
      </c>
      <c r="X99" s="0" t="n">
        <v>1.58945046854303</v>
      </c>
      <c r="Y99" s="0" t="n">
        <v>19.49</v>
      </c>
      <c r="Z99" s="0" t="s">
        <v>105</v>
      </c>
    </row>
    <row r="100" customFormat="false" ht="15" hidden="false" customHeight="false" outlineLevel="0" collapsed="false">
      <c r="A100" s="0" t="n">
        <v>100</v>
      </c>
      <c r="B100" s="0" t="n">
        <v>670113</v>
      </c>
      <c r="C100" s="0" t="n">
        <v>59086</v>
      </c>
      <c r="D100" s="0" t="n">
        <v>597579</v>
      </c>
      <c r="E100" s="0" t="n">
        <v>0.16</v>
      </c>
      <c r="F100" s="0" t="n">
        <v>69673</v>
      </c>
      <c r="G100" s="0" t="n">
        <v>10.3972016659877</v>
      </c>
      <c r="H100" s="0" t="s">
        <v>255</v>
      </c>
      <c r="I100" s="0" t="n">
        <v>1.16814424400154</v>
      </c>
      <c r="J100" s="0" t="n">
        <v>114300</v>
      </c>
      <c r="K100" s="0" t="n">
        <v>0</v>
      </c>
      <c r="L100" s="0" t="n">
        <v>534095</v>
      </c>
      <c r="M100" s="0" t="n">
        <v>527856</v>
      </c>
      <c r="N100" s="0" t="n">
        <v>420476</v>
      </c>
      <c r="O100" s="0" t="n">
        <v>2111</v>
      </c>
      <c r="P100" s="0" t="s">
        <v>198</v>
      </c>
      <c r="Q100" s="0" t="n">
        <v>0.0638463194749997</v>
      </c>
      <c r="R100" s="0" t="n">
        <v>3.41245944030732</v>
      </c>
      <c r="S100" s="0" t="n">
        <v>0</v>
      </c>
      <c r="T100" s="0" t="n">
        <v>0</v>
      </c>
      <c r="U100" s="0" t="n">
        <v>341</v>
      </c>
      <c r="V100" s="0" t="n">
        <v>13.6305606679535</v>
      </c>
      <c r="W100" s="0" t="n">
        <v>20220630</v>
      </c>
      <c r="X100" s="0" t="n">
        <v>1.26067262302423</v>
      </c>
      <c r="Y100" s="0" t="n">
        <v>12.86</v>
      </c>
      <c r="Z100" s="0" t="s">
        <v>123</v>
      </c>
    </row>
    <row r="101" customFormat="false" ht="15" hidden="false" customHeight="false" outlineLevel="0" collapsed="false">
      <c r="A101" s="0" t="n">
        <v>101</v>
      </c>
      <c r="B101" s="0" t="n">
        <v>167702</v>
      </c>
      <c r="C101" s="0" t="n">
        <v>59176</v>
      </c>
      <c r="D101" s="0" t="n">
        <v>142565</v>
      </c>
      <c r="E101" s="0" t="n">
        <v>0.32</v>
      </c>
      <c r="F101" s="0" t="n">
        <v>21565</v>
      </c>
      <c r="G101" s="0" t="n">
        <v>12.8591191518288</v>
      </c>
      <c r="H101" s="0" t="s">
        <v>256</v>
      </c>
      <c r="I101" s="0" t="n">
        <v>0.87191531803996</v>
      </c>
      <c r="J101" s="0" t="n">
        <v>18121</v>
      </c>
      <c r="K101" s="0" t="n">
        <v>13</v>
      </c>
      <c r="L101" s="0" t="n">
        <v>124324</v>
      </c>
      <c r="M101" s="0" t="n">
        <v>123240</v>
      </c>
      <c r="N101" s="0" t="n">
        <v>106199</v>
      </c>
      <c r="O101" s="0" t="n">
        <v>39</v>
      </c>
      <c r="P101" s="0" t="s">
        <v>200</v>
      </c>
      <c r="Q101" s="0" t="n">
        <v>0.0313696470512531</v>
      </c>
      <c r="R101" s="0" t="n">
        <v>3.10754446567691</v>
      </c>
      <c r="S101" s="0" t="n">
        <v>0</v>
      </c>
      <c r="T101" s="0" t="n">
        <v>0</v>
      </c>
      <c r="U101" s="0" t="n">
        <v>0</v>
      </c>
      <c r="V101" s="0" t="n">
        <v>18.8872412922766</v>
      </c>
      <c r="W101" s="0" t="n">
        <v>20220630</v>
      </c>
      <c r="X101" s="0" t="n">
        <v>0.166567358214614</v>
      </c>
      <c r="Y101" s="0" t="n">
        <v>1.23</v>
      </c>
      <c r="Z101" s="0" t="s">
        <v>123</v>
      </c>
    </row>
    <row r="102" customFormat="false" ht="15" hidden="false" customHeight="false" outlineLevel="0" collapsed="false">
      <c r="A102" s="0" t="n">
        <v>102</v>
      </c>
      <c r="B102" s="0" t="n">
        <v>998962</v>
      </c>
      <c r="C102" s="0" t="n">
        <v>6271</v>
      </c>
      <c r="D102" s="0" t="n">
        <v>873100</v>
      </c>
      <c r="E102" s="0" t="n">
        <v>0.24</v>
      </c>
      <c r="F102" s="0" t="n">
        <v>86133</v>
      </c>
      <c r="G102" s="0" t="n">
        <v>8.62224989539142</v>
      </c>
      <c r="H102" s="0" t="s">
        <v>257</v>
      </c>
      <c r="I102" s="0" t="n">
        <v>1.16920114292856</v>
      </c>
      <c r="J102" s="0" t="n">
        <v>120847</v>
      </c>
      <c r="K102" s="0" t="n">
        <v>3287</v>
      </c>
      <c r="L102" s="0" t="n">
        <v>704156</v>
      </c>
      <c r="M102" s="0" t="n">
        <v>695923</v>
      </c>
      <c r="N102" s="0" t="n">
        <v>539059</v>
      </c>
      <c r="O102" s="0" t="n">
        <v>4860</v>
      </c>
      <c r="P102" s="0" t="s">
        <v>202</v>
      </c>
      <c r="Q102" s="0" t="n">
        <v>0.726543550008805</v>
      </c>
      <c r="R102" s="0" t="n">
        <v>3.30121090928702</v>
      </c>
      <c r="S102" s="0" t="n">
        <v>678</v>
      </c>
      <c r="T102" s="0" t="n">
        <v>1806</v>
      </c>
      <c r="U102" s="0" t="n">
        <v>256</v>
      </c>
      <c r="V102" s="0" t="n">
        <v>15.083968855691</v>
      </c>
      <c r="W102" s="0" t="n">
        <v>20220630</v>
      </c>
      <c r="X102" s="0" t="n">
        <v>1.1474856564293</v>
      </c>
      <c r="Y102" s="0" t="n">
        <v>12.71</v>
      </c>
      <c r="Z102" s="0" t="s">
        <v>112</v>
      </c>
    </row>
    <row r="103" customFormat="false" ht="15" hidden="false" customHeight="false" outlineLevel="0" collapsed="false">
      <c r="A103" s="0" t="n">
        <v>103</v>
      </c>
      <c r="B103" s="0" t="n">
        <v>532831</v>
      </c>
      <c r="C103" s="0" t="n">
        <v>6275</v>
      </c>
      <c r="D103" s="0" t="n">
        <v>476559</v>
      </c>
      <c r="E103" s="0" t="n">
        <v>-0.11</v>
      </c>
      <c r="F103" s="0" t="n">
        <v>27657</v>
      </c>
      <c r="G103" s="0" t="n">
        <v>5.19057637412238</v>
      </c>
      <c r="H103" s="0" t="s">
        <v>258</v>
      </c>
      <c r="I103" s="0" t="n">
        <v>0.966814379179047</v>
      </c>
      <c r="J103" s="0" t="n">
        <v>24306</v>
      </c>
      <c r="K103" s="0" t="n">
        <v>12786</v>
      </c>
      <c r="L103" s="0" t="n">
        <v>291783</v>
      </c>
      <c r="M103" s="0" t="n">
        <v>288962</v>
      </c>
      <c r="N103" s="0" t="n">
        <v>243597</v>
      </c>
      <c r="O103" s="0" t="n">
        <v>1592</v>
      </c>
      <c r="P103" s="0" t="s">
        <v>204</v>
      </c>
      <c r="Q103" s="0" t="n">
        <v>0.545610950603702</v>
      </c>
      <c r="R103" s="0" t="n">
        <v>2.63578513235654</v>
      </c>
      <c r="S103" s="0" t="n">
        <v>-1</v>
      </c>
      <c r="T103" s="0" t="n">
        <v>126</v>
      </c>
      <c r="U103" s="0" t="n">
        <v>0</v>
      </c>
      <c r="V103" s="0" t="n">
        <v>16.2688855607059</v>
      </c>
      <c r="W103" s="0" t="n">
        <v>20220630</v>
      </c>
      <c r="X103" s="0" t="n">
        <v>0.557908413754798</v>
      </c>
      <c r="Y103" s="0" t="n">
        <v>8.86</v>
      </c>
      <c r="Z103" s="0" t="s">
        <v>112</v>
      </c>
    </row>
    <row r="104" customFormat="false" ht="15" hidden="false" customHeight="false" outlineLevel="0" collapsed="false">
      <c r="A104" s="0" t="n">
        <v>104</v>
      </c>
      <c r="B104" s="0" t="n">
        <v>86239</v>
      </c>
      <c r="C104" s="0" t="n">
        <v>6280</v>
      </c>
      <c r="D104" s="0" t="n">
        <v>77591</v>
      </c>
      <c r="E104" s="0" t="n">
        <v>0.03</v>
      </c>
      <c r="F104" s="0" t="n">
        <v>8210</v>
      </c>
      <c r="G104" s="0" t="n">
        <v>9.52005473161794</v>
      </c>
      <c r="H104" s="0" t="s">
        <v>259</v>
      </c>
      <c r="I104" s="0" t="n">
        <v>1.33097288162871</v>
      </c>
      <c r="J104" s="0" t="n">
        <v>3382</v>
      </c>
      <c r="K104" s="0" t="n">
        <v>2008</v>
      </c>
      <c r="L104" s="0" t="n">
        <v>62135</v>
      </c>
      <c r="M104" s="0" t="n">
        <v>61308</v>
      </c>
      <c r="N104" s="0" t="n">
        <v>53194</v>
      </c>
      <c r="O104" s="0" t="n">
        <v>755</v>
      </c>
      <c r="P104" s="0" t="s">
        <v>206</v>
      </c>
      <c r="Q104" s="0" t="n">
        <v>1.21509616158365</v>
      </c>
      <c r="R104" s="0" t="n">
        <v>3.96841017566304</v>
      </c>
      <c r="S104" s="0" t="n">
        <v>-2</v>
      </c>
      <c r="T104" s="0" t="n">
        <v>120</v>
      </c>
      <c r="U104" s="0" t="n">
        <v>0</v>
      </c>
      <c r="V104" s="0" t="n">
        <v>0</v>
      </c>
      <c r="W104" s="0" t="n">
        <v>20220630</v>
      </c>
      <c r="X104" s="0" t="n">
        <v>1.36158225247961</v>
      </c>
      <c r="Y104" s="0" t="n">
        <v>14.37</v>
      </c>
      <c r="Z104" s="0" t="s">
        <v>112</v>
      </c>
    </row>
    <row r="105" customFormat="false" ht="15" hidden="false" customHeight="false" outlineLevel="0" collapsed="false">
      <c r="A105" s="0" t="n">
        <v>105</v>
      </c>
      <c r="B105" s="0" t="n">
        <v>3837295</v>
      </c>
      <c r="C105" s="0" t="n">
        <v>11971</v>
      </c>
      <c r="D105" s="0" t="n">
        <v>3143267</v>
      </c>
      <c r="E105" s="0" t="n">
        <v>0.09</v>
      </c>
      <c r="F105" s="0" t="n">
        <v>434474</v>
      </c>
      <c r="G105" s="0" t="n">
        <v>11.3224028905779</v>
      </c>
      <c r="H105" s="0" t="s">
        <v>260</v>
      </c>
      <c r="I105" s="0" t="n">
        <v>0.877410177509148</v>
      </c>
      <c r="J105" s="0" t="n">
        <v>216709</v>
      </c>
      <c r="K105" s="0" t="n">
        <v>8133</v>
      </c>
      <c r="L105" s="0" t="n">
        <v>2851346</v>
      </c>
      <c r="M105" s="0" t="n">
        <v>2826328</v>
      </c>
      <c r="N105" s="0" t="n">
        <v>2481945</v>
      </c>
      <c r="O105" s="0" t="n">
        <v>7772</v>
      </c>
      <c r="P105" s="0" t="s">
        <v>104</v>
      </c>
      <c r="Q105" s="0" t="n">
        <v>0.281621381621171</v>
      </c>
      <c r="R105" s="0" t="n">
        <v>3.30384258983793</v>
      </c>
      <c r="S105" s="0" t="n">
        <v>-83</v>
      </c>
      <c r="T105" s="0" t="n">
        <v>1064</v>
      </c>
      <c r="U105" s="0" t="n">
        <v>258</v>
      </c>
      <c r="V105" s="0" t="n">
        <v>13.2170291052592</v>
      </c>
      <c r="W105" s="0" t="n">
        <v>20220930</v>
      </c>
      <c r="X105" s="0" t="n">
        <v>1.23205511199835</v>
      </c>
      <c r="Y105" s="0" t="n">
        <v>10.09</v>
      </c>
      <c r="Z105" s="0" t="s">
        <v>105</v>
      </c>
    </row>
    <row r="106" customFormat="false" ht="15" hidden="false" customHeight="false" outlineLevel="0" collapsed="false">
      <c r="A106" s="0" t="n">
        <v>106</v>
      </c>
      <c r="B106" s="0" t="n">
        <v>965147</v>
      </c>
      <c r="C106" s="0" t="n">
        <v>12874</v>
      </c>
      <c r="D106" s="0" t="n">
        <v>851082</v>
      </c>
      <c r="E106" s="0" t="n">
        <v>0</v>
      </c>
      <c r="F106" s="0" t="n">
        <v>93663</v>
      </c>
      <c r="G106" s="0" t="n">
        <v>9.70453205573866</v>
      </c>
      <c r="H106" s="0" t="s">
        <v>261</v>
      </c>
      <c r="I106" s="0" t="n">
        <v>1.07354570976552</v>
      </c>
      <c r="J106" s="0" t="n">
        <v>125703</v>
      </c>
      <c r="K106" s="0" t="n">
        <v>5372</v>
      </c>
      <c r="L106" s="0" t="n">
        <v>734482</v>
      </c>
      <c r="M106" s="0" t="n">
        <v>726597</v>
      </c>
      <c r="N106" s="0" t="n">
        <v>586996</v>
      </c>
      <c r="O106" s="0" t="n">
        <v>577</v>
      </c>
      <c r="P106" s="0" t="s">
        <v>107</v>
      </c>
      <c r="Q106" s="0" t="n">
        <v>0.0841409319765494</v>
      </c>
      <c r="R106" s="0" t="n">
        <v>3.647985444362</v>
      </c>
      <c r="S106" s="0" t="n">
        <v>-82</v>
      </c>
      <c r="T106" s="0" t="n">
        <v>774</v>
      </c>
      <c r="U106" s="0" t="n">
        <v>41</v>
      </c>
      <c r="V106" s="0" t="n">
        <v>15.4817930258654</v>
      </c>
      <c r="W106" s="0" t="n">
        <v>20220930</v>
      </c>
      <c r="X106" s="0" t="n">
        <v>0.995017130979604</v>
      </c>
      <c r="Y106" s="0" t="n">
        <v>9.85</v>
      </c>
      <c r="Z106" s="0" t="s">
        <v>105</v>
      </c>
    </row>
    <row r="107" customFormat="false" ht="15" hidden="false" customHeight="false" outlineLevel="0" collapsed="false">
      <c r="A107" s="0" t="n">
        <v>107</v>
      </c>
      <c r="B107" s="0" t="n">
        <v>1877331</v>
      </c>
      <c r="C107" s="0" t="n">
        <v>13063</v>
      </c>
      <c r="D107" s="0" t="n">
        <v>1697083</v>
      </c>
      <c r="E107" s="0" t="n">
        <v>-0.11</v>
      </c>
      <c r="F107" s="0" t="n">
        <v>131833</v>
      </c>
      <c r="G107" s="0" t="n">
        <v>7.02236313148827</v>
      </c>
      <c r="H107" s="0" t="s">
        <v>262</v>
      </c>
      <c r="I107" s="0" t="n">
        <v>1.04521315964769</v>
      </c>
      <c r="J107" s="0" t="n">
        <v>41370</v>
      </c>
      <c r="K107" s="0" t="n">
        <v>860</v>
      </c>
      <c r="L107" s="0" t="n">
        <v>1297056</v>
      </c>
      <c r="M107" s="0" t="n">
        <v>1283499</v>
      </c>
      <c r="N107" s="0" t="n">
        <v>1247709</v>
      </c>
      <c r="O107" s="0" t="n">
        <v>354</v>
      </c>
      <c r="P107" s="0" t="s">
        <v>109</v>
      </c>
      <c r="Q107" s="0" t="n">
        <v>0.1020002220413</v>
      </c>
      <c r="R107" s="0" t="n">
        <v>3.4335478478502</v>
      </c>
      <c r="S107" s="0" t="n">
        <v>-161</v>
      </c>
      <c r="T107" s="0" t="n">
        <v>61</v>
      </c>
      <c r="U107" s="0" t="n">
        <v>969</v>
      </c>
      <c r="V107" s="0" t="n">
        <v>0</v>
      </c>
      <c r="W107" s="0" t="n">
        <v>20220930</v>
      </c>
      <c r="X107" s="0" t="n">
        <v>0.78572349668144</v>
      </c>
      <c r="Y107" s="0" t="n">
        <v>9.81</v>
      </c>
      <c r="Z107" s="0" t="s">
        <v>105</v>
      </c>
    </row>
    <row r="108" customFormat="false" ht="15" hidden="false" customHeight="false" outlineLevel="0" collapsed="false">
      <c r="A108" s="0" t="n">
        <v>108</v>
      </c>
      <c r="B108" s="0" t="n">
        <v>838498</v>
      </c>
      <c r="C108" s="0" t="n">
        <v>14134</v>
      </c>
      <c r="D108" s="0" t="n">
        <v>723891</v>
      </c>
      <c r="E108" s="0" t="n">
        <v>0.1</v>
      </c>
      <c r="F108" s="0" t="n">
        <v>91539</v>
      </c>
      <c r="G108" s="0" t="n">
        <v>10.917020672679</v>
      </c>
      <c r="H108" s="0" t="s">
        <v>263</v>
      </c>
      <c r="I108" s="0" t="n">
        <v>1.35533782932157</v>
      </c>
      <c r="J108" s="0" t="n">
        <v>29795</v>
      </c>
      <c r="K108" s="0" t="n">
        <v>22934</v>
      </c>
      <c r="L108" s="0" t="n">
        <v>626781</v>
      </c>
      <c r="M108" s="0" t="n">
        <v>618286</v>
      </c>
      <c r="N108" s="0" t="n">
        <v>548807</v>
      </c>
      <c r="O108" s="0" t="n">
        <v>6193</v>
      </c>
      <c r="P108" s="0" t="s">
        <v>111</v>
      </c>
      <c r="Q108" s="0" t="n">
        <v>0.988064411652555</v>
      </c>
      <c r="R108" s="0" t="n">
        <v>3.06728844867761</v>
      </c>
      <c r="S108" s="0" t="n">
        <v>332</v>
      </c>
      <c r="T108" s="0" t="n">
        <v>11227</v>
      </c>
      <c r="U108" s="0" t="n">
        <v>0</v>
      </c>
      <c r="V108" s="0" t="n">
        <v>17.3760103737375</v>
      </c>
      <c r="W108" s="0" t="n">
        <v>20220930</v>
      </c>
      <c r="X108" s="0" t="n">
        <v>-0.560663297121952</v>
      </c>
      <c r="Y108" s="0" t="n">
        <v>-4.85</v>
      </c>
      <c r="Z108" s="0" t="s">
        <v>112</v>
      </c>
    </row>
    <row r="109" customFormat="false" ht="15" hidden="false" customHeight="false" outlineLevel="0" collapsed="false">
      <c r="A109" s="0" t="n">
        <v>109</v>
      </c>
      <c r="B109" s="0" t="n">
        <v>225735</v>
      </c>
      <c r="C109" s="0" t="n">
        <v>14136</v>
      </c>
      <c r="D109" s="0" t="n">
        <v>207393</v>
      </c>
      <c r="E109" s="0" t="n">
        <v>0.03</v>
      </c>
      <c r="F109" s="0" t="n">
        <v>14034</v>
      </c>
      <c r="G109" s="0" t="n">
        <v>6.21702438700246</v>
      </c>
      <c r="H109" s="0" t="s">
        <v>264</v>
      </c>
      <c r="I109" s="0" t="n">
        <v>0.991153651479554</v>
      </c>
      <c r="J109" s="0" t="n">
        <v>12989</v>
      </c>
      <c r="K109" s="0" t="n">
        <v>12223</v>
      </c>
      <c r="L109" s="0" t="n">
        <v>132371</v>
      </c>
      <c r="M109" s="0" t="n">
        <v>131059</v>
      </c>
      <c r="N109" s="0" t="n">
        <v>106837</v>
      </c>
      <c r="O109" s="0" t="n">
        <v>110</v>
      </c>
      <c r="P109" s="0" t="s">
        <v>114</v>
      </c>
      <c r="Q109" s="0" t="n">
        <v>0.618715579696459</v>
      </c>
      <c r="R109" s="0" t="n">
        <v>3.58575597517997</v>
      </c>
      <c r="S109" s="0" t="n">
        <v>89</v>
      </c>
      <c r="T109" s="0" t="n">
        <v>458</v>
      </c>
      <c r="U109" s="0" t="n">
        <v>709</v>
      </c>
      <c r="V109" s="0" t="n">
        <v>17.115209519978</v>
      </c>
      <c r="W109" s="0" t="n">
        <v>20220930</v>
      </c>
      <c r="X109" s="0" t="n">
        <v>0.393354896764142</v>
      </c>
      <c r="Y109" s="0" t="n">
        <v>4.91</v>
      </c>
      <c r="Z109" s="0" t="s">
        <v>112</v>
      </c>
    </row>
    <row r="110" customFormat="false" ht="15" hidden="false" customHeight="false" outlineLevel="0" collapsed="false">
      <c r="A110" s="0" t="n">
        <v>110</v>
      </c>
      <c r="B110" s="0" t="n">
        <v>1443158</v>
      </c>
      <c r="C110" s="0" t="n">
        <v>14140</v>
      </c>
      <c r="D110" s="0" t="n">
        <v>1246266</v>
      </c>
      <c r="E110" s="0" t="n">
        <v>0</v>
      </c>
      <c r="F110" s="0" t="n">
        <v>107668</v>
      </c>
      <c r="G110" s="0" t="n">
        <v>7.46058297151109</v>
      </c>
      <c r="H110" s="0" t="s">
        <v>265</v>
      </c>
      <c r="I110" s="0" t="n">
        <v>1.100515560594</v>
      </c>
      <c r="J110" s="0" t="n">
        <v>82112</v>
      </c>
      <c r="K110" s="0" t="n">
        <v>1215</v>
      </c>
      <c r="L110" s="0" t="n">
        <v>959732</v>
      </c>
      <c r="M110" s="0" t="n">
        <v>949170</v>
      </c>
      <c r="N110" s="0" t="n">
        <v>868686</v>
      </c>
      <c r="O110" s="0" t="n">
        <v>2457</v>
      </c>
      <c r="P110" s="0" t="s">
        <v>116</v>
      </c>
      <c r="Q110" s="0" t="n">
        <v>0.25600896917056</v>
      </c>
      <c r="R110" s="0" t="n">
        <v>3.07660660567704</v>
      </c>
      <c r="S110" s="0" t="n">
        <v>58</v>
      </c>
      <c r="T110" s="0" t="n">
        <v>187</v>
      </c>
      <c r="U110" s="0" t="n">
        <v>0</v>
      </c>
      <c r="V110" s="0" t="n">
        <v>0</v>
      </c>
      <c r="W110" s="0" t="n">
        <v>20220930</v>
      </c>
      <c r="X110" s="0" t="n">
        <v>0.69874825034993</v>
      </c>
      <c r="Y110" s="0" t="n">
        <v>8.14</v>
      </c>
      <c r="Z110" s="0" t="s">
        <v>112</v>
      </c>
    </row>
    <row r="111" customFormat="false" ht="15" hidden="false" customHeight="false" outlineLevel="0" collapsed="false">
      <c r="A111" s="0" t="n">
        <v>111</v>
      </c>
      <c r="B111" s="0" t="n">
        <v>1299582</v>
      </c>
      <c r="C111" s="0" t="n">
        <v>14158</v>
      </c>
      <c r="D111" s="0" t="n">
        <v>1199225</v>
      </c>
      <c r="E111" s="0" t="n">
        <v>0</v>
      </c>
      <c r="F111" s="0" t="n">
        <v>65471</v>
      </c>
      <c r="G111" s="0" t="n">
        <v>5.03785063197243</v>
      </c>
      <c r="H111" s="0" t="s">
        <v>266</v>
      </c>
      <c r="I111" s="0" t="n">
        <v>0.884885330956663</v>
      </c>
      <c r="J111" s="0" t="n">
        <v>41999</v>
      </c>
      <c r="K111" s="0" t="n">
        <v>2028</v>
      </c>
      <c r="L111" s="0" t="n">
        <v>942495</v>
      </c>
      <c r="M111" s="0" t="n">
        <v>934155</v>
      </c>
      <c r="N111" s="0" t="n">
        <v>802531</v>
      </c>
      <c r="O111" s="0" t="n">
        <v>1381</v>
      </c>
      <c r="P111" s="0" t="s">
        <v>118</v>
      </c>
      <c r="Q111" s="0" t="n">
        <v>0.179205194722518</v>
      </c>
      <c r="R111" s="0" t="n">
        <v>3.42554545153671</v>
      </c>
      <c r="S111" s="0" t="n">
        <v>-4</v>
      </c>
      <c r="T111" s="0" t="n">
        <v>3371</v>
      </c>
      <c r="U111" s="0" t="n">
        <v>308</v>
      </c>
      <c r="V111" s="0" t="n">
        <v>13.6509765861944</v>
      </c>
      <c r="W111" s="0" t="n">
        <v>20220930</v>
      </c>
      <c r="X111" s="0" t="n">
        <v>1.06363308286789</v>
      </c>
      <c r="Y111" s="0" t="n">
        <v>16.08</v>
      </c>
      <c r="Z111" s="0" t="s">
        <v>112</v>
      </c>
    </row>
    <row r="112" customFormat="false" ht="15" hidden="false" customHeight="false" outlineLevel="0" collapsed="false">
      <c r="A112" s="0" t="n">
        <v>112</v>
      </c>
      <c r="B112" s="0" t="n">
        <v>365479</v>
      </c>
      <c r="C112" s="0" t="n">
        <v>14168</v>
      </c>
      <c r="D112" s="0" t="n">
        <v>330944</v>
      </c>
      <c r="E112" s="0" t="n">
        <v>0</v>
      </c>
      <c r="F112" s="0" t="n">
        <v>29862</v>
      </c>
      <c r="G112" s="0" t="n">
        <v>8.17064728753225</v>
      </c>
      <c r="H112" s="0" t="s">
        <v>267</v>
      </c>
      <c r="I112" s="0" t="n">
        <v>1.4693416219271</v>
      </c>
      <c r="J112" s="0" t="n">
        <v>10617</v>
      </c>
      <c r="K112" s="0" t="n">
        <v>8545</v>
      </c>
      <c r="L112" s="0" t="n">
        <v>198184</v>
      </c>
      <c r="M112" s="0" t="n">
        <v>195272</v>
      </c>
      <c r="N112" s="0" t="n">
        <v>164935</v>
      </c>
      <c r="O112" s="0" t="n">
        <v>1286</v>
      </c>
      <c r="P112" s="0" t="s">
        <v>120</v>
      </c>
      <c r="Q112" s="0" t="n">
        <v>0.648891938804344</v>
      </c>
      <c r="R112" s="0" t="n">
        <v>2.87830679115721</v>
      </c>
      <c r="S112" s="0" t="n">
        <v>52</v>
      </c>
      <c r="T112" s="0" t="n">
        <v>282</v>
      </c>
      <c r="U112" s="0" t="n">
        <v>0</v>
      </c>
      <c r="V112" s="0" t="n">
        <v>18.8524471995963</v>
      </c>
      <c r="W112" s="0" t="n">
        <v>20220930</v>
      </c>
      <c r="X112" s="0" t="n">
        <v>0.453583932259783</v>
      </c>
      <c r="Y112" s="0" t="n">
        <v>5.07</v>
      </c>
      <c r="Z112" s="0" t="s">
        <v>112</v>
      </c>
    </row>
    <row r="113" customFormat="false" ht="15" hidden="false" customHeight="false" outlineLevel="0" collapsed="false">
      <c r="A113" s="0" t="n">
        <v>113</v>
      </c>
      <c r="B113" s="0" t="n">
        <v>1313807</v>
      </c>
      <c r="C113" s="0" t="n">
        <v>14240</v>
      </c>
      <c r="D113" s="0" t="n">
        <v>1060386</v>
      </c>
      <c r="E113" s="0" t="n">
        <v>0.11</v>
      </c>
      <c r="F113" s="0" t="n">
        <v>76133</v>
      </c>
      <c r="G113" s="0" t="n">
        <v>5.79483896797627</v>
      </c>
      <c r="H113" s="0" t="s">
        <v>268</v>
      </c>
      <c r="I113" s="0" t="n">
        <v>1.13918376014294</v>
      </c>
      <c r="J113" s="0" t="n">
        <v>23213</v>
      </c>
      <c r="K113" s="0" t="n">
        <v>16892</v>
      </c>
      <c r="L113" s="0" t="n">
        <v>932422</v>
      </c>
      <c r="M113" s="0" t="n">
        <v>921800</v>
      </c>
      <c r="N113" s="0" t="n">
        <v>792363</v>
      </c>
      <c r="O113" s="0" t="n">
        <v>1987</v>
      </c>
      <c r="P113" s="0" t="s">
        <v>122</v>
      </c>
      <c r="Q113" s="0" t="n">
        <v>0.213100934984374</v>
      </c>
      <c r="R113" s="0" t="n">
        <v>2.96943412272245</v>
      </c>
      <c r="S113" s="0" t="n">
        <v>-106</v>
      </c>
      <c r="T113" s="0" t="n">
        <v>321</v>
      </c>
      <c r="U113" s="0" t="n">
        <v>0</v>
      </c>
      <c r="V113" s="0" t="n">
        <v>13.811186570616</v>
      </c>
      <c r="W113" s="0" t="n">
        <v>20220930</v>
      </c>
      <c r="X113" s="0" t="n">
        <v>0.005741174219091</v>
      </c>
      <c r="Y113" s="0" t="n">
        <v>0.07</v>
      </c>
      <c r="Z113" s="0" t="s">
        <v>123</v>
      </c>
    </row>
    <row r="114" customFormat="false" ht="15" hidden="false" customHeight="false" outlineLevel="0" collapsed="false">
      <c r="A114" s="0" t="n">
        <v>114</v>
      </c>
      <c r="B114" s="0" t="n">
        <v>978552</v>
      </c>
      <c r="C114" s="0" t="n">
        <v>17115</v>
      </c>
      <c r="D114" s="0" t="n">
        <v>820800</v>
      </c>
      <c r="E114" s="0" t="n">
        <v>-0.04</v>
      </c>
      <c r="F114" s="0" t="n">
        <v>74649</v>
      </c>
      <c r="G114" s="0" t="n">
        <v>7.62851642018002</v>
      </c>
      <c r="H114" s="0" t="s">
        <v>269</v>
      </c>
      <c r="I114" s="0" t="n">
        <v>0.945751081497688</v>
      </c>
      <c r="J114" s="0" t="n">
        <v>42975</v>
      </c>
      <c r="K114" s="0" t="n">
        <v>4081</v>
      </c>
      <c r="L114" s="0" t="n">
        <v>804440</v>
      </c>
      <c r="M114" s="0" t="n">
        <v>796832</v>
      </c>
      <c r="N114" s="0" t="n">
        <v>756417</v>
      </c>
      <c r="O114" s="0" t="n">
        <v>150</v>
      </c>
      <c r="P114" s="0" t="s">
        <v>125</v>
      </c>
      <c r="Q114" s="0" t="n">
        <v>0.0186465118591815</v>
      </c>
      <c r="R114" s="0" t="n">
        <v>3.55176061857441</v>
      </c>
      <c r="S114" s="0" t="n">
        <v>213</v>
      </c>
      <c r="T114" s="0" t="n">
        <v>519</v>
      </c>
      <c r="U114" s="0" t="n">
        <v>0</v>
      </c>
      <c r="V114" s="0" t="n">
        <v>13.9033302635097</v>
      </c>
      <c r="W114" s="0" t="n">
        <v>20220930</v>
      </c>
      <c r="X114" s="0" t="n">
        <v>0.298933215145743</v>
      </c>
      <c r="Y114" s="0" t="n">
        <v>3.32</v>
      </c>
      <c r="Z114" s="0" t="s">
        <v>105</v>
      </c>
    </row>
    <row r="115" customFormat="false" ht="15" hidden="false" customHeight="false" outlineLevel="0" collapsed="false">
      <c r="A115" s="0" t="n">
        <v>115</v>
      </c>
      <c r="B115" s="0" t="n">
        <v>1483609</v>
      </c>
      <c r="C115" s="0" t="n">
        <v>17180</v>
      </c>
      <c r="D115" s="0" t="n">
        <v>1205127</v>
      </c>
      <c r="E115" s="0" t="n">
        <v>0.08</v>
      </c>
      <c r="F115" s="0" t="n">
        <v>123922</v>
      </c>
      <c r="G115" s="0" t="n">
        <v>8.35273983913551</v>
      </c>
      <c r="H115" s="0" t="s">
        <v>270</v>
      </c>
      <c r="I115" s="0" t="n">
        <v>0.895305032457631</v>
      </c>
      <c r="J115" s="0" t="n">
        <v>48894</v>
      </c>
      <c r="K115" s="0" t="n">
        <v>194686</v>
      </c>
      <c r="L115" s="0" t="n">
        <v>1328039</v>
      </c>
      <c r="M115" s="0" t="n">
        <v>1316149</v>
      </c>
      <c r="N115" s="0" t="n">
        <v>1064900</v>
      </c>
      <c r="O115" s="0" t="n">
        <v>3999</v>
      </c>
      <c r="P115" s="0" t="s">
        <v>127</v>
      </c>
      <c r="Q115" s="0" t="n">
        <v>0.326496435722144</v>
      </c>
      <c r="R115" s="0" t="n">
        <v>3.58156355724326</v>
      </c>
      <c r="S115" s="0" t="n">
        <v>88</v>
      </c>
      <c r="T115" s="0" t="n">
        <v>1536</v>
      </c>
      <c r="U115" s="0" t="n">
        <v>337</v>
      </c>
      <c r="V115" s="0" t="n">
        <v>13.9724383504197</v>
      </c>
      <c r="W115" s="0" t="n">
        <v>20220930</v>
      </c>
      <c r="X115" s="0" t="n">
        <v>0.744248263217769</v>
      </c>
      <c r="Y115" s="0" t="n">
        <v>8.01</v>
      </c>
      <c r="Z115" s="0" t="s">
        <v>123</v>
      </c>
    </row>
    <row r="116" customFormat="false" ht="15" hidden="false" customHeight="false" outlineLevel="0" collapsed="false">
      <c r="A116" s="0" t="n">
        <v>116</v>
      </c>
      <c r="B116" s="0" t="n">
        <v>357184</v>
      </c>
      <c r="C116" s="0" t="n">
        <v>17443</v>
      </c>
      <c r="D116" s="0" t="n">
        <v>318685</v>
      </c>
      <c r="E116" s="0" t="n">
        <v>0.06</v>
      </c>
      <c r="F116" s="0" t="n">
        <v>37316</v>
      </c>
      <c r="G116" s="0" t="n">
        <v>10.4472764737502</v>
      </c>
      <c r="H116" s="0" t="s">
        <v>271</v>
      </c>
      <c r="I116" s="0" t="n">
        <v>0.853155237590357</v>
      </c>
      <c r="J116" s="0" t="n">
        <v>0</v>
      </c>
      <c r="K116" s="0" t="n">
        <v>954</v>
      </c>
      <c r="L116" s="0" t="n">
        <v>201839</v>
      </c>
      <c r="M116" s="0" t="n">
        <v>200117</v>
      </c>
      <c r="N116" s="0" t="n">
        <v>199865</v>
      </c>
      <c r="O116" s="0" t="n">
        <v>390</v>
      </c>
      <c r="P116" s="0" t="s">
        <v>129</v>
      </c>
      <c r="Q116" s="0" t="n">
        <v>0.193223311649384</v>
      </c>
      <c r="R116" s="0" t="n">
        <v>2.10360140968621</v>
      </c>
      <c r="S116" s="0" t="n">
        <v>0</v>
      </c>
      <c r="T116" s="0" t="n">
        <v>254</v>
      </c>
      <c r="U116" s="0" t="n">
        <v>0</v>
      </c>
      <c r="V116" s="0" t="n">
        <v>0</v>
      </c>
      <c r="W116" s="0" t="n">
        <v>20220930</v>
      </c>
      <c r="X116" s="0" t="n">
        <v>0.548533001407754</v>
      </c>
      <c r="Y116" s="0" t="n">
        <v>4.6</v>
      </c>
      <c r="Z116" s="0" t="s">
        <v>123</v>
      </c>
    </row>
    <row r="117" customFormat="false" ht="15" hidden="false" customHeight="false" outlineLevel="0" collapsed="false">
      <c r="A117" s="0" t="n">
        <v>117</v>
      </c>
      <c r="B117" s="0" t="n">
        <v>1739896</v>
      </c>
      <c r="C117" s="0" t="n">
        <v>17658</v>
      </c>
      <c r="D117" s="0" t="n">
        <v>1532921</v>
      </c>
      <c r="E117" s="0" t="n">
        <v>-0.02</v>
      </c>
      <c r="F117" s="0" t="n">
        <v>175487</v>
      </c>
      <c r="G117" s="0" t="n">
        <v>10.0860626152368</v>
      </c>
      <c r="H117" s="0" t="s">
        <v>272</v>
      </c>
      <c r="I117" s="0" t="n">
        <v>0.760877367487361</v>
      </c>
      <c r="J117" s="0" t="n">
        <v>84346</v>
      </c>
      <c r="K117" s="0" t="n">
        <v>64497</v>
      </c>
      <c r="L117" s="0" t="n">
        <v>1170228</v>
      </c>
      <c r="M117" s="0" t="n">
        <v>1161324</v>
      </c>
      <c r="N117" s="0" t="n">
        <v>1008787</v>
      </c>
      <c r="O117" s="0" t="n">
        <v>395</v>
      </c>
      <c r="P117" s="0" t="s">
        <v>131</v>
      </c>
      <c r="Q117" s="0" t="n">
        <v>0.0345231869345119</v>
      </c>
      <c r="R117" s="0" t="n">
        <v>3.56751582422221</v>
      </c>
      <c r="S117" s="0" t="n">
        <v>36</v>
      </c>
      <c r="T117" s="0" t="n">
        <v>2399</v>
      </c>
      <c r="U117" s="0" t="n">
        <v>9</v>
      </c>
      <c r="V117" s="0" t="n">
        <v>0</v>
      </c>
      <c r="W117" s="0" t="n">
        <v>20220930</v>
      </c>
      <c r="X117" s="0" t="n">
        <v>-0.0199909380414695</v>
      </c>
      <c r="Y117" s="0" t="n">
        <v>-0.17</v>
      </c>
      <c r="Z117" s="0" t="s">
        <v>105</v>
      </c>
    </row>
    <row r="118" customFormat="false" ht="15" hidden="false" customHeight="false" outlineLevel="0" collapsed="false">
      <c r="A118" s="0" t="n">
        <v>118</v>
      </c>
      <c r="B118" s="0" t="n">
        <v>1011112</v>
      </c>
      <c r="C118" s="0" t="n">
        <v>17741</v>
      </c>
      <c r="D118" s="0" t="n">
        <v>854564</v>
      </c>
      <c r="E118" s="0" t="n">
        <v>0.02</v>
      </c>
      <c r="F118" s="0" t="n">
        <v>127616</v>
      </c>
      <c r="G118" s="0" t="n">
        <v>12.621351541669</v>
      </c>
      <c r="H118" s="0" t="s">
        <v>273</v>
      </c>
      <c r="I118" s="0" t="n">
        <v>0.939976602573717</v>
      </c>
      <c r="J118" s="0" t="n">
        <v>42271</v>
      </c>
      <c r="K118" s="0" t="n">
        <v>3280</v>
      </c>
      <c r="L118" s="0" t="n">
        <v>833425</v>
      </c>
      <c r="M118" s="0" t="n">
        <v>825591</v>
      </c>
      <c r="N118" s="0" t="n">
        <v>783810</v>
      </c>
      <c r="O118" s="0" t="n">
        <v>1945</v>
      </c>
      <c r="P118" s="0" t="s">
        <v>133</v>
      </c>
      <c r="Q118" s="0" t="n">
        <v>0.233374328823829</v>
      </c>
      <c r="R118" s="0" t="n">
        <v>3.45947489455709</v>
      </c>
      <c r="S118" s="0" t="n">
        <v>-6</v>
      </c>
      <c r="T118" s="0" t="n">
        <v>2126</v>
      </c>
      <c r="U118" s="0" t="n">
        <v>0</v>
      </c>
      <c r="V118" s="0" t="n">
        <v>0</v>
      </c>
      <c r="W118" s="0" t="n">
        <v>20220930</v>
      </c>
      <c r="X118" s="0" t="n">
        <v>0.759114908984001</v>
      </c>
      <c r="Y118" s="0" t="n">
        <v>5.9</v>
      </c>
      <c r="Z118" s="0" t="s">
        <v>105</v>
      </c>
    </row>
    <row r="119" customFormat="false" ht="15" hidden="false" customHeight="false" outlineLevel="0" collapsed="false">
      <c r="A119" s="0" t="n">
        <v>119</v>
      </c>
      <c r="B119" s="0" t="n">
        <v>1249583</v>
      </c>
      <c r="C119" s="0" t="n">
        <v>17743</v>
      </c>
      <c r="D119" s="0" t="n">
        <v>1015664</v>
      </c>
      <c r="E119" s="0" t="n">
        <v>-0.04</v>
      </c>
      <c r="F119" s="0" t="n">
        <v>114993</v>
      </c>
      <c r="G119" s="0" t="n">
        <v>9.20250995732176</v>
      </c>
      <c r="H119" s="0" t="s">
        <v>274</v>
      </c>
      <c r="I119" s="0" t="n">
        <v>0.512951689448794</v>
      </c>
      <c r="J119" s="0" t="n">
        <v>11845</v>
      </c>
      <c r="K119" s="0" t="n">
        <v>6456</v>
      </c>
      <c r="L119" s="0" t="n">
        <v>953891</v>
      </c>
      <c r="M119" s="0" t="n">
        <v>948998</v>
      </c>
      <c r="N119" s="0" t="n">
        <v>922540</v>
      </c>
      <c r="O119" s="0" t="n">
        <v>2125</v>
      </c>
      <c r="P119" s="0" t="s">
        <v>135</v>
      </c>
      <c r="Q119" s="0" t="n">
        <v>0.222771784197565</v>
      </c>
      <c r="R119" s="0" t="n">
        <v>2.78915821800042</v>
      </c>
      <c r="S119" s="0" t="n">
        <v>-237</v>
      </c>
      <c r="T119" s="0" t="n">
        <v>713</v>
      </c>
      <c r="U119" s="0" t="n">
        <v>0</v>
      </c>
      <c r="V119" s="0" t="n">
        <v>0</v>
      </c>
      <c r="W119" s="0" t="n">
        <v>20220930</v>
      </c>
      <c r="X119" s="0" t="n">
        <v>0.359517686061837</v>
      </c>
      <c r="Y119" s="0" t="n">
        <v>3.48</v>
      </c>
      <c r="Z119" s="0" t="s">
        <v>105</v>
      </c>
    </row>
    <row r="120" customFormat="false" ht="15" hidden="false" customHeight="false" outlineLevel="0" collapsed="false">
      <c r="A120" s="0" t="n">
        <v>120</v>
      </c>
      <c r="B120" s="0" t="n">
        <v>1552351</v>
      </c>
      <c r="C120" s="0" t="n">
        <v>17748</v>
      </c>
      <c r="D120" s="0" t="n">
        <v>1377805</v>
      </c>
      <c r="E120" s="0" t="n">
        <v>0.03</v>
      </c>
      <c r="F120" s="0" t="n">
        <v>102427</v>
      </c>
      <c r="G120" s="0" t="n">
        <v>6.59818559075879</v>
      </c>
      <c r="H120" s="0" t="s">
        <v>275</v>
      </c>
      <c r="I120" s="0" t="n">
        <v>0.818583097228005</v>
      </c>
      <c r="J120" s="0" t="n">
        <v>140498</v>
      </c>
      <c r="K120" s="0" t="n">
        <v>3081</v>
      </c>
      <c r="L120" s="0" t="n">
        <v>1181676</v>
      </c>
      <c r="M120" s="0" t="n">
        <v>1172003</v>
      </c>
      <c r="N120" s="0" t="n">
        <v>1007459</v>
      </c>
      <c r="O120" s="0" t="n">
        <v>6350</v>
      </c>
      <c r="P120" s="0" t="s">
        <v>137</v>
      </c>
      <c r="Q120" s="0" t="n">
        <v>0.537372342334108</v>
      </c>
      <c r="R120" s="0" t="n">
        <v>3.10802229687928</v>
      </c>
      <c r="S120" s="0" t="n">
        <v>196</v>
      </c>
      <c r="T120" s="0" t="n">
        <v>318</v>
      </c>
      <c r="U120" s="0" t="n">
        <v>0</v>
      </c>
      <c r="V120" s="0" t="n">
        <v>0</v>
      </c>
      <c r="W120" s="0" t="n">
        <v>20220930</v>
      </c>
      <c r="X120" s="0" t="n">
        <v>0.368036496430469</v>
      </c>
      <c r="Y120" s="0" t="n">
        <v>4.8</v>
      </c>
      <c r="Z120" s="0" t="s">
        <v>105</v>
      </c>
    </row>
    <row r="121" customFormat="false" ht="15" hidden="false" customHeight="false" outlineLevel="0" collapsed="false">
      <c r="A121" s="0" t="n">
        <v>121</v>
      </c>
      <c r="B121" s="0" t="n">
        <v>1262862</v>
      </c>
      <c r="C121" s="0" t="n">
        <v>17749</v>
      </c>
      <c r="D121" s="0" t="n">
        <v>1042319</v>
      </c>
      <c r="E121" s="0" t="n">
        <v>0.05</v>
      </c>
      <c r="F121" s="0" t="n">
        <v>143149</v>
      </c>
      <c r="G121" s="0" t="n">
        <v>11.3352844570507</v>
      </c>
      <c r="H121" s="0" t="s">
        <v>276</v>
      </c>
      <c r="I121" s="0" t="n">
        <v>1.40540586396406</v>
      </c>
      <c r="J121" s="0" t="n">
        <v>46145</v>
      </c>
      <c r="K121" s="0" t="n">
        <v>10227</v>
      </c>
      <c r="L121" s="0" t="n">
        <v>707269</v>
      </c>
      <c r="M121" s="0" t="n">
        <v>697329</v>
      </c>
      <c r="N121" s="0" t="n">
        <v>639367</v>
      </c>
      <c r="O121" s="0" t="n">
        <v>237</v>
      </c>
      <c r="P121" s="0" t="s">
        <v>139</v>
      </c>
      <c r="Q121" s="0" t="n">
        <v>0.0353472299789754</v>
      </c>
      <c r="R121" s="0" t="n">
        <v>2.89899105262511</v>
      </c>
      <c r="S121" s="0" t="n">
        <v>13</v>
      </c>
      <c r="T121" s="0" t="n">
        <v>273</v>
      </c>
      <c r="U121" s="0" t="n">
        <v>13</v>
      </c>
      <c r="V121" s="0" t="n">
        <v>0</v>
      </c>
      <c r="W121" s="0" t="n">
        <v>20220930</v>
      </c>
      <c r="X121" s="0" t="n">
        <v>0.127474265793327</v>
      </c>
      <c r="Y121" s="0" t="n">
        <v>0.98</v>
      </c>
      <c r="Z121" s="0" t="s">
        <v>105</v>
      </c>
    </row>
    <row r="122" customFormat="false" ht="15" hidden="false" customHeight="false" outlineLevel="0" collapsed="false">
      <c r="A122" s="0" t="n">
        <v>122</v>
      </c>
      <c r="B122" s="0" t="n">
        <v>1446107</v>
      </c>
      <c r="C122" s="0" t="n">
        <v>17751</v>
      </c>
      <c r="D122" s="0" t="n">
        <v>1280720</v>
      </c>
      <c r="E122" s="0" t="n">
        <v>0.03</v>
      </c>
      <c r="F122" s="0" t="n">
        <v>122617</v>
      </c>
      <c r="G122" s="0" t="n">
        <v>8.47910977541772</v>
      </c>
      <c r="H122" s="0" t="s">
        <v>277</v>
      </c>
      <c r="I122" s="0" t="n">
        <v>1.01393453819392</v>
      </c>
      <c r="J122" s="0" t="n">
        <v>111246</v>
      </c>
      <c r="K122" s="0" t="n">
        <v>3017</v>
      </c>
      <c r="L122" s="0" t="n">
        <v>1185974</v>
      </c>
      <c r="M122" s="0" t="n">
        <v>1173949</v>
      </c>
      <c r="N122" s="0" t="n">
        <v>1020660</v>
      </c>
      <c r="O122" s="0" t="n">
        <v>1170</v>
      </c>
      <c r="P122" s="0" t="s">
        <v>141</v>
      </c>
      <c r="Q122" s="0" t="n">
        <v>0.0986530902026519</v>
      </c>
      <c r="R122" s="0" t="n">
        <v>3.13508164909377</v>
      </c>
      <c r="S122" s="0" t="n">
        <v>-291</v>
      </c>
      <c r="T122" s="0" t="n">
        <v>807</v>
      </c>
      <c r="U122" s="0" t="n">
        <v>0</v>
      </c>
      <c r="V122" s="0" t="n">
        <v>13.4544785128385</v>
      </c>
      <c r="W122" s="0" t="n">
        <v>20220930</v>
      </c>
      <c r="X122" s="0" t="n">
        <v>0.656017372218693</v>
      </c>
      <c r="Y122" s="0" t="n">
        <v>7.17</v>
      </c>
      <c r="Z122" s="0" t="s">
        <v>105</v>
      </c>
    </row>
    <row r="123" customFormat="false" ht="15" hidden="false" customHeight="false" outlineLevel="0" collapsed="false">
      <c r="A123" s="0" t="n">
        <v>123</v>
      </c>
      <c r="B123" s="0" t="n">
        <v>1589541</v>
      </c>
      <c r="C123" s="0" t="n">
        <v>17897</v>
      </c>
      <c r="D123" s="0" t="n">
        <v>1347109</v>
      </c>
      <c r="E123" s="0" t="n">
        <v>0.08</v>
      </c>
      <c r="F123" s="0" t="n">
        <v>185467</v>
      </c>
      <c r="G123" s="0" t="n">
        <v>11.6679594927089</v>
      </c>
      <c r="H123" s="0" t="s">
        <v>278</v>
      </c>
      <c r="I123" s="0" t="n">
        <v>0.640503285568081</v>
      </c>
      <c r="J123" s="0" t="n">
        <v>64720</v>
      </c>
      <c r="K123" s="0" t="n">
        <v>3129</v>
      </c>
      <c r="L123" s="0" t="n">
        <v>1342538</v>
      </c>
      <c r="M123" s="0" t="n">
        <v>1333939</v>
      </c>
      <c r="N123" s="0" t="n">
        <v>1265598</v>
      </c>
      <c r="O123" s="0" t="n">
        <v>3303</v>
      </c>
      <c r="P123" s="0" t="s">
        <v>143</v>
      </c>
      <c r="Q123" s="0" t="n">
        <v>0.246026555672912</v>
      </c>
      <c r="R123" s="0" t="n">
        <v>3.22509965071587</v>
      </c>
      <c r="S123" s="0" t="n">
        <v>-128</v>
      </c>
      <c r="T123" s="0" t="n">
        <v>1323</v>
      </c>
      <c r="U123" s="0" t="n">
        <v>0</v>
      </c>
      <c r="V123" s="0" t="n">
        <v>0</v>
      </c>
      <c r="W123" s="0" t="n">
        <v>20220930</v>
      </c>
      <c r="X123" s="0" t="n">
        <v>-0.372021148911137</v>
      </c>
      <c r="Y123" s="0" t="n">
        <v>-2.89</v>
      </c>
      <c r="Z123" s="0" t="s">
        <v>105</v>
      </c>
    </row>
    <row r="124" customFormat="false" ht="15" hidden="false" customHeight="false" outlineLevel="0" collapsed="false">
      <c r="A124" s="0" t="n">
        <v>124</v>
      </c>
      <c r="B124" s="0" t="n">
        <v>741759</v>
      </c>
      <c r="C124" s="0" t="n">
        <v>17951</v>
      </c>
      <c r="D124" s="0" t="n">
        <v>644557</v>
      </c>
      <c r="E124" s="0" t="n">
        <v>0.11</v>
      </c>
      <c r="F124" s="0" t="n">
        <v>52288</v>
      </c>
      <c r="G124" s="0" t="n">
        <v>7.04918983119854</v>
      </c>
      <c r="H124" s="0" t="s">
        <v>279</v>
      </c>
      <c r="I124" s="0" t="n">
        <v>0.85128900373308</v>
      </c>
      <c r="J124" s="0" t="n">
        <v>21389</v>
      </c>
      <c r="K124" s="0" t="n">
        <v>1636</v>
      </c>
      <c r="L124" s="0" t="n">
        <v>517803</v>
      </c>
      <c r="M124" s="0" t="n">
        <v>513395</v>
      </c>
      <c r="N124" s="0" t="n">
        <v>482723</v>
      </c>
      <c r="O124" s="0" t="n">
        <v>393</v>
      </c>
      <c r="P124" s="0" t="s">
        <v>145</v>
      </c>
      <c r="Q124" s="0" t="n">
        <v>0.0758975903963476</v>
      </c>
      <c r="R124" s="0" t="n">
        <v>3.22552262323986</v>
      </c>
      <c r="S124" s="0" t="n">
        <v>1</v>
      </c>
      <c r="T124" s="0" t="n">
        <v>0</v>
      </c>
      <c r="U124" s="0" t="n">
        <v>0</v>
      </c>
      <c r="V124" s="0" t="n">
        <v>14.4940601944432</v>
      </c>
      <c r="W124" s="0" t="n">
        <v>20220930</v>
      </c>
      <c r="X124" s="0" t="n">
        <v>1.02520929643113</v>
      </c>
      <c r="Y124" s="0" t="n">
        <v>12.99</v>
      </c>
      <c r="Z124" s="0" t="s">
        <v>123</v>
      </c>
    </row>
    <row r="125" customFormat="false" ht="15" hidden="false" customHeight="false" outlineLevel="0" collapsed="false">
      <c r="A125" s="0" t="n">
        <v>125</v>
      </c>
      <c r="B125" s="0" t="n">
        <v>1278487</v>
      </c>
      <c r="C125" s="0" t="n">
        <v>17960</v>
      </c>
      <c r="D125" s="0" t="n">
        <v>1016704</v>
      </c>
      <c r="E125" s="0" t="n">
        <v>0.12</v>
      </c>
      <c r="F125" s="0" t="n">
        <v>101209</v>
      </c>
      <c r="G125" s="0" t="n">
        <v>7.91631045133818</v>
      </c>
      <c r="H125" s="0" t="s">
        <v>280</v>
      </c>
      <c r="I125" s="0" t="n">
        <v>0.961595306010848</v>
      </c>
      <c r="J125" s="0" t="n">
        <v>109964</v>
      </c>
      <c r="K125" s="0" t="n">
        <v>186516</v>
      </c>
      <c r="L125" s="0" t="n">
        <v>1082576</v>
      </c>
      <c r="M125" s="0" t="n">
        <v>1072166</v>
      </c>
      <c r="N125" s="0" t="n">
        <v>781834</v>
      </c>
      <c r="O125" s="0" t="n">
        <v>699</v>
      </c>
      <c r="P125" s="0" t="s">
        <v>147</v>
      </c>
      <c r="Q125" s="0" t="n">
        <v>0.0713113906090657</v>
      </c>
      <c r="R125" s="0" t="n">
        <v>3.60711263159523</v>
      </c>
      <c r="S125" s="0" t="n">
        <v>13</v>
      </c>
      <c r="T125" s="0" t="n">
        <v>1090</v>
      </c>
      <c r="U125" s="0" t="n">
        <v>73</v>
      </c>
      <c r="V125" s="0" t="n">
        <v>12.9291645449843</v>
      </c>
      <c r="W125" s="0" t="n">
        <v>20220930</v>
      </c>
      <c r="X125" s="0" t="n">
        <v>0.811990055001869</v>
      </c>
      <c r="Y125" s="0" t="n">
        <v>9.21</v>
      </c>
      <c r="Z125" s="0" t="s">
        <v>123</v>
      </c>
    </row>
    <row r="126" customFormat="false" ht="15" hidden="false" customHeight="false" outlineLevel="0" collapsed="false">
      <c r="A126" s="0" t="n">
        <v>126</v>
      </c>
      <c r="B126" s="0" t="n">
        <v>2400019</v>
      </c>
      <c r="C126" s="0" t="n">
        <v>18012</v>
      </c>
      <c r="D126" s="0" t="n">
        <v>2088751</v>
      </c>
      <c r="E126" s="0" t="n">
        <v>0.01</v>
      </c>
      <c r="F126" s="0" t="n">
        <v>230722</v>
      </c>
      <c r="G126" s="0" t="n">
        <v>9.61334056105389</v>
      </c>
      <c r="H126" s="0" t="s">
        <v>281</v>
      </c>
      <c r="I126" s="0" t="n">
        <v>1.18574054986301</v>
      </c>
      <c r="J126" s="0" t="n">
        <v>50796</v>
      </c>
      <c r="K126" s="0" t="n">
        <v>36004</v>
      </c>
      <c r="L126" s="0" t="n">
        <v>1923861</v>
      </c>
      <c r="M126" s="0" t="n">
        <v>1901049</v>
      </c>
      <c r="N126" s="0" t="n">
        <v>1803269</v>
      </c>
      <c r="O126" s="0" t="n">
        <v>1056</v>
      </c>
      <c r="P126" s="0" t="s">
        <v>149</v>
      </c>
      <c r="Q126" s="0" t="n">
        <v>0.0548896204039688</v>
      </c>
      <c r="R126" s="0" t="n">
        <v>3.58161818367167</v>
      </c>
      <c r="S126" s="0" t="n">
        <v>38</v>
      </c>
      <c r="T126" s="0" t="n">
        <v>1681</v>
      </c>
      <c r="U126" s="0" t="n">
        <v>0</v>
      </c>
      <c r="V126" s="0" t="n">
        <v>12.8729126561258</v>
      </c>
      <c r="W126" s="0" t="n">
        <v>20220930</v>
      </c>
      <c r="X126" s="0" t="n">
        <v>1.21697575065678</v>
      </c>
      <c r="Y126" s="0" t="n">
        <v>12.17</v>
      </c>
      <c r="Z126" s="0" t="s">
        <v>123</v>
      </c>
    </row>
    <row r="127" customFormat="false" ht="15" hidden="false" customHeight="false" outlineLevel="0" collapsed="false">
      <c r="A127" s="0" t="n">
        <v>127</v>
      </c>
      <c r="B127" s="0" t="n">
        <v>2685566</v>
      </c>
      <c r="C127" s="0" t="n">
        <v>18013</v>
      </c>
      <c r="D127" s="0" t="n">
        <v>2352806</v>
      </c>
      <c r="E127" s="0" t="n">
        <v>0.05</v>
      </c>
      <c r="F127" s="0" t="n">
        <v>195855</v>
      </c>
      <c r="G127" s="0" t="n">
        <v>7.2928760641146</v>
      </c>
      <c r="H127" s="0" t="s">
        <v>282</v>
      </c>
      <c r="I127" s="0" t="n">
        <v>0.919531099659526</v>
      </c>
      <c r="J127" s="0" t="n">
        <v>102062</v>
      </c>
      <c r="K127" s="0" t="n">
        <v>16559</v>
      </c>
      <c r="L127" s="0" t="n">
        <v>2114991</v>
      </c>
      <c r="M127" s="0" t="n">
        <v>2095543</v>
      </c>
      <c r="N127" s="0" t="n">
        <v>1943255</v>
      </c>
      <c r="O127" s="0" t="n">
        <v>1930</v>
      </c>
      <c r="P127" s="0" t="s">
        <v>151</v>
      </c>
      <c r="Q127" s="0" t="n">
        <v>0.101797123486577</v>
      </c>
      <c r="R127" s="0" t="n">
        <v>3.15593137458496</v>
      </c>
      <c r="S127" s="0" t="n">
        <v>-39</v>
      </c>
      <c r="T127" s="0" t="n">
        <v>2713</v>
      </c>
      <c r="U127" s="0" t="n">
        <v>223</v>
      </c>
      <c r="V127" s="0" t="n">
        <v>13.448711877325</v>
      </c>
      <c r="W127" s="0" t="n">
        <v>20220930</v>
      </c>
      <c r="X127" s="0" t="n">
        <v>0.676604753783732</v>
      </c>
      <c r="Y127" s="0" t="n">
        <v>8.57</v>
      </c>
      <c r="Z127" s="0" t="s">
        <v>123</v>
      </c>
    </row>
    <row r="128" customFormat="false" ht="15" hidden="false" customHeight="false" outlineLevel="0" collapsed="false">
      <c r="A128" s="0" t="n">
        <v>128</v>
      </c>
      <c r="B128" s="0" t="n">
        <v>379383</v>
      </c>
      <c r="C128" s="0" t="n">
        <v>18028</v>
      </c>
      <c r="D128" s="0" t="n">
        <v>337295</v>
      </c>
      <c r="E128" s="0" t="n">
        <v>0.04</v>
      </c>
      <c r="F128" s="0" t="n">
        <v>34470</v>
      </c>
      <c r="G128" s="0" t="n">
        <v>9.08580510987577</v>
      </c>
      <c r="H128" s="0" t="s">
        <v>283</v>
      </c>
      <c r="I128" s="0" t="n">
        <v>0.927803504763459</v>
      </c>
      <c r="J128" s="0" t="n">
        <v>16788</v>
      </c>
      <c r="K128" s="0" t="n">
        <v>8019</v>
      </c>
      <c r="L128" s="0" t="n">
        <v>245095</v>
      </c>
      <c r="M128" s="0" t="n">
        <v>242821</v>
      </c>
      <c r="N128" s="0" t="n">
        <v>213616</v>
      </c>
      <c r="O128" s="0" t="n">
        <v>1067</v>
      </c>
      <c r="P128" s="0" t="s">
        <v>153</v>
      </c>
      <c r="Q128" s="0" t="n">
        <v>0.555294885656582</v>
      </c>
      <c r="R128" s="0" t="n">
        <v>3.34674640434086</v>
      </c>
      <c r="S128" s="0" t="n">
        <v>110</v>
      </c>
      <c r="T128" s="0" t="n">
        <v>351</v>
      </c>
      <c r="U128" s="0" t="n">
        <v>294</v>
      </c>
      <c r="V128" s="0" t="n">
        <v>0</v>
      </c>
      <c r="W128" s="0" t="n">
        <v>20220930</v>
      </c>
      <c r="X128" s="0" t="n">
        <v>0.711360152316906</v>
      </c>
      <c r="Y128" s="0" t="n">
        <v>6.65</v>
      </c>
      <c r="Z128" s="0" t="s">
        <v>123</v>
      </c>
    </row>
    <row r="129" customFormat="false" ht="15" hidden="false" customHeight="false" outlineLevel="0" collapsed="false">
      <c r="A129" s="0" t="n">
        <v>129</v>
      </c>
      <c r="B129" s="0" t="n">
        <v>703383</v>
      </c>
      <c r="C129" s="0" t="n">
        <v>18030</v>
      </c>
      <c r="D129" s="0" t="n">
        <v>659450</v>
      </c>
      <c r="E129" s="0" t="n">
        <v>0.13</v>
      </c>
      <c r="F129" s="0" t="n">
        <v>40935</v>
      </c>
      <c r="G129" s="0" t="n">
        <v>5.81973121329347</v>
      </c>
      <c r="H129" s="0" t="s">
        <v>284</v>
      </c>
      <c r="I129" s="0" t="n">
        <v>0.930033565673407</v>
      </c>
      <c r="J129" s="0" t="n">
        <v>30312</v>
      </c>
      <c r="K129" s="0" t="n">
        <v>89007</v>
      </c>
      <c r="L129" s="0" t="n">
        <v>544604</v>
      </c>
      <c r="M129" s="0" t="n">
        <v>539539</v>
      </c>
      <c r="N129" s="0" t="n">
        <v>424875</v>
      </c>
      <c r="O129" s="0" t="n">
        <v>929</v>
      </c>
      <c r="P129" s="0" t="s">
        <v>155</v>
      </c>
      <c r="Q129" s="0" t="n">
        <v>0.19445321738364</v>
      </c>
      <c r="R129" s="0" t="n">
        <v>3.13216431026469</v>
      </c>
      <c r="S129" s="0" t="n">
        <v>-30</v>
      </c>
      <c r="T129" s="0" t="n">
        <v>19</v>
      </c>
      <c r="U129" s="0" t="n">
        <v>130</v>
      </c>
      <c r="V129" s="0" t="n">
        <v>13.0208288999923</v>
      </c>
      <c r="W129" s="0" t="n">
        <v>20220930</v>
      </c>
      <c r="X129" s="0" t="n">
        <v>0.410955323209553</v>
      </c>
      <c r="Y129" s="0" t="n">
        <v>6.03</v>
      </c>
      <c r="Z129" s="0" t="s">
        <v>123</v>
      </c>
    </row>
    <row r="130" customFormat="false" ht="15" hidden="false" customHeight="false" outlineLevel="0" collapsed="false">
      <c r="A130" s="0" t="n">
        <v>130</v>
      </c>
      <c r="B130" s="0" t="n">
        <v>641019</v>
      </c>
      <c r="C130" s="0" t="n">
        <v>18031</v>
      </c>
      <c r="D130" s="0" t="n">
        <v>568656</v>
      </c>
      <c r="E130" s="0" t="n">
        <v>0</v>
      </c>
      <c r="F130" s="0" t="n">
        <v>33282</v>
      </c>
      <c r="G130" s="0" t="n">
        <v>5.19204578959438</v>
      </c>
      <c r="H130" s="0" t="s">
        <v>285</v>
      </c>
      <c r="I130" s="0" t="n">
        <v>1.10926393029122</v>
      </c>
      <c r="J130" s="0" t="n">
        <v>28825</v>
      </c>
      <c r="K130" s="0" t="n">
        <v>8856</v>
      </c>
      <c r="L130" s="0" t="n">
        <v>453544</v>
      </c>
      <c r="M130" s="0" t="n">
        <v>448513</v>
      </c>
      <c r="N130" s="0" t="n">
        <v>411232</v>
      </c>
      <c r="O130" s="0" t="n">
        <v>638</v>
      </c>
      <c r="P130" s="0" t="s">
        <v>157</v>
      </c>
      <c r="Q130" s="0" t="n">
        <v>0.140669923976505</v>
      </c>
      <c r="R130" s="0" t="n">
        <v>3.00407550002015</v>
      </c>
      <c r="S130" s="0" t="n">
        <v>3</v>
      </c>
      <c r="T130" s="0" t="n">
        <v>868</v>
      </c>
      <c r="U130" s="0" t="n">
        <v>0</v>
      </c>
      <c r="V130" s="0" t="n">
        <v>16.4504734644745</v>
      </c>
      <c r="W130" s="0" t="n">
        <v>20220930</v>
      </c>
      <c r="X130" s="0" t="n">
        <v>0.528270442861807</v>
      </c>
      <c r="Y130" s="0" t="n">
        <v>7.71</v>
      </c>
      <c r="Z130" s="0" t="s">
        <v>123</v>
      </c>
    </row>
    <row r="131" customFormat="false" ht="15" hidden="false" customHeight="false" outlineLevel="0" collapsed="false">
      <c r="A131" s="0" t="n">
        <v>131</v>
      </c>
      <c r="B131" s="0" t="n">
        <v>492676</v>
      </c>
      <c r="C131" s="0" t="n">
        <v>18038</v>
      </c>
      <c r="D131" s="0" t="n">
        <v>386477</v>
      </c>
      <c r="E131" s="0" t="n">
        <v>-0.09</v>
      </c>
      <c r="F131" s="0" t="n">
        <v>61616</v>
      </c>
      <c r="G131" s="0" t="n">
        <v>12.5063936542474</v>
      </c>
      <c r="H131" s="0" t="s">
        <v>286</v>
      </c>
      <c r="I131" s="0" t="n">
        <v>1.07221239029775</v>
      </c>
      <c r="J131" s="0" t="n">
        <v>17520</v>
      </c>
      <c r="K131" s="0" t="n">
        <v>3246</v>
      </c>
      <c r="L131" s="0" t="n">
        <v>385931</v>
      </c>
      <c r="M131" s="0" t="n">
        <v>381793</v>
      </c>
      <c r="N131" s="0" t="n">
        <v>364802</v>
      </c>
      <c r="O131" s="0" t="n">
        <v>2589</v>
      </c>
      <c r="P131" s="0" t="s">
        <v>159</v>
      </c>
      <c r="Q131" s="0" t="n">
        <v>0.670845306544434</v>
      </c>
      <c r="R131" s="0" t="n">
        <v>3.18243691660641</v>
      </c>
      <c r="S131" s="0" t="n">
        <v>-168</v>
      </c>
      <c r="T131" s="0" t="n">
        <v>1188</v>
      </c>
      <c r="U131" s="0" t="n">
        <v>0</v>
      </c>
      <c r="V131" s="0" t="n">
        <v>0</v>
      </c>
      <c r="W131" s="0" t="n">
        <v>20220930</v>
      </c>
      <c r="X131" s="0" t="n">
        <v>-1.0692244589165</v>
      </c>
      <c r="Y131" s="0" t="n">
        <v>-7.81</v>
      </c>
      <c r="Z131" s="0" t="s">
        <v>123</v>
      </c>
    </row>
    <row r="132" customFormat="false" ht="15" hidden="false" customHeight="false" outlineLevel="0" collapsed="false">
      <c r="A132" s="0" t="n">
        <v>132</v>
      </c>
      <c r="B132" s="0" t="n">
        <v>7207176</v>
      </c>
      <c r="C132" s="0" t="n">
        <v>18408</v>
      </c>
      <c r="D132" s="0" t="n">
        <v>5866760</v>
      </c>
      <c r="E132" s="0" t="n">
        <v>-0.19</v>
      </c>
      <c r="F132" s="0" t="n">
        <v>323363</v>
      </c>
      <c r="G132" s="0" t="n">
        <v>4.48668105232896</v>
      </c>
      <c r="H132" s="0" t="s">
        <v>287</v>
      </c>
      <c r="I132" s="0" t="n">
        <v>0.874806704466682</v>
      </c>
      <c r="J132" s="0" t="n">
        <v>297616</v>
      </c>
      <c r="K132" s="0" t="n">
        <v>28938</v>
      </c>
      <c r="L132" s="0" t="n">
        <v>4500880</v>
      </c>
      <c r="M132" s="0" t="n">
        <v>4461506</v>
      </c>
      <c r="N132" s="0" t="n">
        <v>4105596</v>
      </c>
      <c r="O132" s="0" t="n">
        <v>2950</v>
      </c>
      <c r="P132" s="0" t="s">
        <v>161</v>
      </c>
      <c r="Q132" s="0" t="n">
        <v>0.0655427383089529</v>
      </c>
      <c r="R132" s="0" t="n">
        <v>2.6901115457965</v>
      </c>
      <c r="S132" s="0" t="n">
        <v>268</v>
      </c>
      <c r="T132" s="0" t="n">
        <v>1920</v>
      </c>
      <c r="U132" s="0" t="n">
        <v>0</v>
      </c>
      <c r="V132" s="0" t="n">
        <v>11.9805434765398</v>
      </c>
      <c r="W132" s="0" t="n">
        <v>20220930</v>
      </c>
      <c r="X132" s="0" t="n">
        <v>0.777109309868285</v>
      </c>
      <c r="Y132" s="0" t="n">
        <v>12.75</v>
      </c>
      <c r="Z132" s="0" t="s">
        <v>105</v>
      </c>
    </row>
    <row r="133" customFormat="false" ht="15" hidden="false" customHeight="false" outlineLevel="0" collapsed="false">
      <c r="A133" s="0" t="n">
        <v>133</v>
      </c>
      <c r="B133" s="0" t="n">
        <v>2290994</v>
      </c>
      <c r="C133" s="0" t="n">
        <v>19531</v>
      </c>
      <c r="D133" s="0" t="n">
        <v>1937924</v>
      </c>
      <c r="E133" s="0" t="n">
        <v>0</v>
      </c>
      <c r="F133" s="0" t="n">
        <v>213958</v>
      </c>
      <c r="G133" s="0" t="n">
        <v>9.33909036863475</v>
      </c>
      <c r="H133" s="0" t="s">
        <v>288</v>
      </c>
      <c r="I133" s="0" t="n">
        <v>1.29744268971566</v>
      </c>
      <c r="J133" s="0" t="n">
        <v>236379</v>
      </c>
      <c r="K133" s="0" t="n">
        <v>13005</v>
      </c>
      <c r="L133" s="0" t="n">
        <v>1815032</v>
      </c>
      <c r="M133" s="0" t="n">
        <v>1791483</v>
      </c>
      <c r="N133" s="0" t="n">
        <v>1463937</v>
      </c>
      <c r="O133" s="0" t="n">
        <v>5667</v>
      </c>
      <c r="P133" s="0" t="s">
        <v>163</v>
      </c>
      <c r="Q133" s="0" t="n">
        <v>0.314374622596186</v>
      </c>
      <c r="R133" s="0" t="n">
        <v>3.57897912147177</v>
      </c>
      <c r="S133" s="0" t="n">
        <v>93</v>
      </c>
      <c r="T133" s="0" t="n">
        <v>3339</v>
      </c>
      <c r="U133" s="0" t="n">
        <v>39</v>
      </c>
      <c r="V133" s="0" t="n">
        <v>14.5589856040453</v>
      </c>
      <c r="W133" s="0" t="n">
        <v>20220930</v>
      </c>
      <c r="X133" s="0" t="n">
        <v>0.571809349197938</v>
      </c>
      <c r="Y133" s="0" t="n">
        <v>5.72</v>
      </c>
      <c r="Z133" s="0" t="s">
        <v>105</v>
      </c>
    </row>
    <row r="134" customFormat="false" ht="15" hidden="false" customHeight="false" outlineLevel="0" collapsed="false">
      <c r="A134" s="0" t="n">
        <v>134</v>
      </c>
      <c r="B134" s="0" t="n">
        <v>779214</v>
      </c>
      <c r="C134" s="0" t="n">
        <v>19532</v>
      </c>
      <c r="D134" s="0" t="n">
        <v>683500</v>
      </c>
      <c r="E134" s="0" t="n">
        <v>0.01</v>
      </c>
      <c r="F134" s="0" t="n">
        <v>83123</v>
      </c>
      <c r="G134" s="0" t="n">
        <v>10.6675444743036</v>
      </c>
      <c r="H134" s="0" t="s">
        <v>289</v>
      </c>
      <c r="I134" s="0" t="n">
        <v>1.11201195923127</v>
      </c>
      <c r="J134" s="0" t="n">
        <v>25822</v>
      </c>
      <c r="K134" s="0" t="n">
        <v>43323</v>
      </c>
      <c r="L134" s="0" t="n">
        <v>529131</v>
      </c>
      <c r="M134" s="0" t="n">
        <v>523247</v>
      </c>
      <c r="N134" s="0" t="n">
        <v>452724</v>
      </c>
      <c r="O134" s="0" t="n">
        <v>598</v>
      </c>
      <c r="P134" s="0" t="s">
        <v>165</v>
      </c>
      <c r="Q134" s="0" t="n">
        <v>0.113015491437848</v>
      </c>
      <c r="R134" s="0" t="n">
        <v>3.29443240506329</v>
      </c>
      <c r="S134" s="0" t="n">
        <v>23</v>
      </c>
      <c r="T134" s="0" t="n">
        <v>596</v>
      </c>
      <c r="U134" s="0" t="n">
        <v>0</v>
      </c>
      <c r="V134" s="0" t="n">
        <v>20.8518802619619</v>
      </c>
      <c r="W134" s="0" t="n">
        <v>20220930</v>
      </c>
      <c r="X134" s="0" t="n">
        <v>0.438029053439951</v>
      </c>
      <c r="Y134" s="0" t="n">
        <v>3.62</v>
      </c>
      <c r="Z134" s="0" t="s">
        <v>105</v>
      </c>
    </row>
    <row r="135" customFormat="false" ht="15" hidden="false" customHeight="false" outlineLevel="0" collapsed="false">
      <c r="A135" s="0" t="n">
        <v>135</v>
      </c>
      <c r="B135" s="0" t="n">
        <v>1742943</v>
      </c>
      <c r="C135" s="0" t="n">
        <v>19690</v>
      </c>
      <c r="D135" s="0" t="n">
        <v>1344811</v>
      </c>
      <c r="E135" s="0" t="n">
        <v>-0.03</v>
      </c>
      <c r="F135" s="0" t="n">
        <v>252162</v>
      </c>
      <c r="G135" s="0" t="n">
        <v>14.4675987682902</v>
      </c>
      <c r="H135" s="0" t="s">
        <v>290</v>
      </c>
      <c r="I135" s="0" t="n">
        <v>0.402808321153925</v>
      </c>
      <c r="J135" s="0" t="n">
        <v>22707</v>
      </c>
      <c r="K135" s="0" t="n">
        <v>653</v>
      </c>
      <c r="L135" s="0" t="n">
        <v>1464220</v>
      </c>
      <c r="M135" s="0" t="n">
        <v>1458322</v>
      </c>
      <c r="N135" s="0" t="n">
        <v>1069457</v>
      </c>
      <c r="O135" s="0" t="n">
        <v>13597</v>
      </c>
      <c r="P135" s="0" t="s">
        <v>167</v>
      </c>
      <c r="Q135" s="0" t="n">
        <v>0.92861728428788</v>
      </c>
      <c r="R135" s="0" t="n">
        <v>5.94953342943275</v>
      </c>
      <c r="S135" s="0" t="n">
        <v>-174</v>
      </c>
      <c r="T135" s="0" t="n">
        <v>4098</v>
      </c>
      <c r="U135" s="0" t="n">
        <v>0</v>
      </c>
      <c r="V135" s="0" t="n">
        <v>17.7660683765957</v>
      </c>
      <c r="W135" s="0" t="n">
        <v>20220930</v>
      </c>
      <c r="X135" s="0" t="n">
        <v>2.44922864844194</v>
      </c>
      <c r="Y135" s="0" t="n">
        <v>15.76</v>
      </c>
      <c r="Z135" s="0" t="s">
        <v>105</v>
      </c>
    </row>
    <row r="136" customFormat="false" ht="15" hidden="false" customHeight="false" outlineLevel="0" collapsed="false">
      <c r="A136" s="0" t="n">
        <v>136</v>
      </c>
      <c r="B136" s="0" t="n">
        <v>579332</v>
      </c>
      <c r="C136" s="0" t="n">
        <v>19836</v>
      </c>
      <c r="D136" s="0" t="n">
        <v>456854</v>
      </c>
      <c r="E136" s="0" t="n">
        <v>0</v>
      </c>
      <c r="F136" s="0" t="n">
        <v>115337</v>
      </c>
      <c r="G136" s="0" t="n">
        <v>19.9086188921033</v>
      </c>
      <c r="H136" s="0" t="s">
        <v>291</v>
      </c>
      <c r="I136" s="0" t="n">
        <v>0.826610937546364</v>
      </c>
      <c r="J136" s="0" t="n">
        <v>53274</v>
      </c>
      <c r="K136" s="0" t="n">
        <v>11850</v>
      </c>
      <c r="L136" s="0" t="n">
        <v>471806</v>
      </c>
      <c r="M136" s="0" t="n">
        <v>467906</v>
      </c>
      <c r="N136" s="0" t="n">
        <v>401514</v>
      </c>
      <c r="O136" s="0" t="n">
        <v>1439</v>
      </c>
      <c r="P136" s="0" t="s">
        <v>145</v>
      </c>
      <c r="Q136" s="0" t="n">
        <v>0.334883405467501</v>
      </c>
      <c r="R136" s="0" t="n">
        <v>4.09507804405102</v>
      </c>
      <c r="S136" s="0" t="n">
        <v>-15</v>
      </c>
      <c r="T136" s="0" t="n">
        <v>1421</v>
      </c>
      <c r="U136" s="0" t="n">
        <v>141</v>
      </c>
      <c r="V136" s="0" t="n">
        <v>28.3528259517265</v>
      </c>
      <c r="W136" s="0" t="n">
        <v>20220930</v>
      </c>
      <c r="X136" s="0" t="n">
        <v>0.933083820950688</v>
      </c>
      <c r="Y136" s="0" t="n">
        <v>4.62</v>
      </c>
      <c r="Z136" s="0" t="s">
        <v>105</v>
      </c>
    </row>
    <row r="137" customFormat="false" ht="15" hidden="false" customHeight="false" outlineLevel="0" collapsed="false">
      <c r="A137" s="0" t="n">
        <v>137</v>
      </c>
      <c r="B137" s="0" t="n">
        <v>1199727</v>
      </c>
      <c r="C137" s="0" t="n">
        <v>24540</v>
      </c>
      <c r="D137" s="0" t="n">
        <v>965688</v>
      </c>
      <c r="E137" s="0" t="n">
        <v>0.05</v>
      </c>
      <c r="F137" s="0" t="n">
        <v>206211</v>
      </c>
      <c r="G137" s="0" t="n">
        <v>17.1881603064697</v>
      </c>
      <c r="H137" s="0" t="s">
        <v>292</v>
      </c>
      <c r="I137" s="0" t="n">
        <v>1.19974371736315</v>
      </c>
      <c r="J137" s="0" t="n">
        <v>45436</v>
      </c>
      <c r="K137" s="0" t="n">
        <v>177</v>
      </c>
      <c r="L137" s="0" t="n">
        <v>1090983</v>
      </c>
      <c r="M137" s="0" t="n">
        <v>1077894</v>
      </c>
      <c r="N137" s="0" t="n">
        <v>1048616</v>
      </c>
      <c r="O137" s="0" t="n">
        <v>693</v>
      </c>
      <c r="P137" s="0" t="s">
        <v>170</v>
      </c>
      <c r="Q137" s="0" t="n">
        <v>0.0635206964728139</v>
      </c>
      <c r="R137" s="0" t="n">
        <v>4.57696572902816</v>
      </c>
      <c r="S137" s="0" t="n">
        <v>-15</v>
      </c>
      <c r="T137" s="0" t="n">
        <v>0</v>
      </c>
      <c r="U137" s="0" t="n">
        <v>0</v>
      </c>
      <c r="V137" s="0" t="n">
        <v>0</v>
      </c>
      <c r="W137" s="0" t="n">
        <v>20220930</v>
      </c>
      <c r="X137" s="0" t="n">
        <v>2.27932571681005</v>
      </c>
      <c r="Y137" s="0" t="n">
        <v>14.36</v>
      </c>
      <c r="Z137" s="0" t="s">
        <v>123</v>
      </c>
    </row>
    <row r="138" customFormat="false" ht="15" hidden="false" customHeight="false" outlineLevel="0" collapsed="false">
      <c r="A138" s="0" t="n">
        <v>138</v>
      </c>
      <c r="B138" s="0" t="n">
        <v>478442</v>
      </c>
      <c r="C138" s="0" t="n">
        <v>27824</v>
      </c>
      <c r="D138" s="0" t="n">
        <v>398401</v>
      </c>
      <c r="E138" s="0" t="n">
        <v>0.03</v>
      </c>
      <c r="F138" s="0" t="n">
        <v>66369</v>
      </c>
      <c r="G138" s="0" t="n">
        <v>13.8719008782674</v>
      </c>
      <c r="H138" s="0" t="s">
        <v>293</v>
      </c>
      <c r="I138" s="0" t="n">
        <v>0.814944415755249</v>
      </c>
      <c r="J138" s="0" t="n">
        <v>21793</v>
      </c>
      <c r="K138" s="0" t="n">
        <v>34521</v>
      </c>
      <c r="L138" s="0" t="n">
        <v>389229</v>
      </c>
      <c r="M138" s="0" t="n">
        <v>386057</v>
      </c>
      <c r="N138" s="0" t="n">
        <v>332914</v>
      </c>
      <c r="O138" s="0" t="n">
        <v>1040</v>
      </c>
      <c r="P138" s="0" t="s">
        <v>172</v>
      </c>
      <c r="Q138" s="0" t="n">
        <v>0.267194890411557</v>
      </c>
      <c r="R138" s="0" t="n">
        <v>2.90969614533436</v>
      </c>
      <c r="S138" s="0" t="n">
        <v>0</v>
      </c>
      <c r="T138" s="0" t="n">
        <v>773</v>
      </c>
      <c r="U138" s="0" t="n">
        <v>0</v>
      </c>
      <c r="V138" s="0" t="n">
        <v>24.0539268875851</v>
      </c>
      <c r="W138" s="0" t="n">
        <v>20220930</v>
      </c>
      <c r="X138" s="0" t="n">
        <v>0.316684318660046</v>
      </c>
      <c r="Y138" s="0" t="n">
        <v>2.14</v>
      </c>
      <c r="Z138" s="0" t="s">
        <v>123</v>
      </c>
    </row>
    <row r="139" customFormat="false" ht="15" hidden="false" customHeight="false" outlineLevel="0" collapsed="false">
      <c r="A139" s="0" t="n">
        <v>139</v>
      </c>
      <c r="B139" s="0" t="n">
        <v>306788</v>
      </c>
      <c r="C139" s="0" t="n">
        <v>28155</v>
      </c>
      <c r="D139" s="0" t="n">
        <v>278328</v>
      </c>
      <c r="E139" s="0" t="n">
        <v>0.04</v>
      </c>
      <c r="F139" s="0" t="n">
        <v>27419</v>
      </c>
      <c r="G139" s="0" t="n">
        <v>8.93744214245668</v>
      </c>
      <c r="H139" s="0" t="s">
        <v>294</v>
      </c>
      <c r="I139" s="0" t="n">
        <v>0.579039914464404</v>
      </c>
      <c r="J139" s="0" t="n">
        <v>6105</v>
      </c>
      <c r="K139" s="0" t="n">
        <v>4615</v>
      </c>
      <c r="L139" s="0" t="n">
        <v>155257</v>
      </c>
      <c r="M139" s="0" t="n">
        <v>154358</v>
      </c>
      <c r="N139" s="0" t="n">
        <v>143872</v>
      </c>
      <c r="O139" s="0" t="n">
        <v>222</v>
      </c>
      <c r="P139" s="0" t="s">
        <v>174</v>
      </c>
      <c r="Q139" s="0" t="n">
        <v>0.142988721925581</v>
      </c>
      <c r="R139" s="0" t="n">
        <v>2.71277062616387</v>
      </c>
      <c r="S139" s="0" t="n">
        <v>5</v>
      </c>
      <c r="T139" s="0" t="n">
        <v>420</v>
      </c>
      <c r="U139" s="0" t="n">
        <v>0</v>
      </c>
      <c r="V139" s="0" t="n">
        <v>18.3948124270968</v>
      </c>
      <c r="W139" s="0" t="n">
        <v>20220930</v>
      </c>
      <c r="X139" s="0" t="n">
        <v>0.211071666580136</v>
      </c>
      <c r="Y139" s="0" t="n">
        <v>2.25</v>
      </c>
      <c r="Z139" s="0" t="s">
        <v>123</v>
      </c>
    </row>
    <row r="140" customFormat="false" ht="15" hidden="false" customHeight="false" outlineLevel="0" collapsed="false">
      <c r="A140" s="0" t="n">
        <v>140</v>
      </c>
      <c r="B140" s="0" t="n">
        <v>98792</v>
      </c>
      <c r="C140" s="0" t="n">
        <v>28288</v>
      </c>
      <c r="D140" s="0" t="n">
        <v>81542</v>
      </c>
      <c r="E140" s="0" t="n">
        <v>0.06</v>
      </c>
      <c r="F140" s="0" t="n">
        <v>5736</v>
      </c>
      <c r="G140" s="0" t="n">
        <v>5.80613814883796</v>
      </c>
      <c r="H140" s="0" t="s">
        <v>295</v>
      </c>
      <c r="I140" s="0" t="n">
        <v>1.10268691888015</v>
      </c>
      <c r="J140" s="0" t="n">
        <v>3129</v>
      </c>
      <c r="K140" s="0" t="n">
        <v>444</v>
      </c>
      <c r="L140" s="0" t="n">
        <v>78082</v>
      </c>
      <c r="M140" s="0" t="n">
        <v>77221</v>
      </c>
      <c r="N140" s="0" t="n">
        <v>74509</v>
      </c>
      <c r="O140" s="0" t="n">
        <v>387</v>
      </c>
      <c r="P140" s="0" t="s">
        <v>176</v>
      </c>
      <c r="Q140" s="0" t="n">
        <v>0.495632796291079</v>
      </c>
      <c r="R140" s="0" t="n">
        <v>3.53829172909139</v>
      </c>
      <c r="S140" s="0" t="n">
        <v>46</v>
      </c>
      <c r="T140" s="0" t="n">
        <v>133</v>
      </c>
      <c r="U140" s="0" t="n">
        <v>0</v>
      </c>
      <c r="V140" s="0" t="n">
        <v>13.8047190555651</v>
      </c>
      <c r="W140" s="0" t="n">
        <v>20220930</v>
      </c>
      <c r="X140" s="0" t="n">
        <v>0.100531837186714</v>
      </c>
      <c r="Y140" s="0" t="n">
        <v>1.41</v>
      </c>
      <c r="Z140" s="0" t="s">
        <v>105</v>
      </c>
    </row>
    <row r="141" customFormat="false" ht="15" hidden="false" customHeight="false" outlineLevel="0" collapsed="false">
      <c r="A141" s="0" t="n">
        <v>141</v>
      </c>
      <c r="B141" s="0" t="n">
        <v>89339</v>
      </c>
      <c r="C141" s="0" t="n">
        <v>28369</v>
      </c>
      <c r="D141" s="0" t="n">
        <v>79460</v>
      </c>
      <c r="E141" s="0" t="n">
        <v>-0.03</v>
      </c>
      <c r="F141" s="0" t="n">
        <v>9472</v>
      </c>
      <c r="G141" s="0" t="n">
        <v>10.6023125398762</v>
      </c>
      <c r="H141" s="0" t="s">
        <v>296</v>
      </c>
      <c r="I141" s="0" t="n">
        <v>0.724519033974621</v>
      </c>
      <c r="J141" s="0" t="n">
        <v>10475</v>
      </c>
      <c r="K141" s="0" t="n">
        <v>854</v>
      </c>
      <c r="L141" s="0" t="n">
        <v>73290</v>
      </c>
      <c r="M141" s="0" t="n">
        <v>72759</v>
      </c>
      <c r="N141" s="0" t="n">
        <v>61961</v>
      </c>
      <c r="O141" s="0" t="n">
        <v>377</v>
      </c>
      <c r="P141" s="0" t="s">
        <v>178</v>
      </c>
      <c r="Q141" s="0" t="n">
        <v>0.514394869695729</v>
      </c>
      <c r="R141" s="0" t="n">
        <v>3.62027668619877</v>
      </c>
      <c r="S141" s="0" t="n">
        <v>-7</v>
      </c>
      <c r="T141" s="0" t="n">
        <v>68</v>
      </c>
      <c r="U141" s="0" t="n">
        <v>0</v>
      </c>
      <c r="V141" s="0" t="n">
        <v>0</v>
      </c>
      <c r="W141" s="0" t="n">
        <v>20220930</v>
      </c>
      <c r="X141" s="0" t="n">
        <v>0.180791114967063</v>
      </c>
      <c r="Y141" s="0" t="n">
        <v>1.68</v>
      </c>
      <c r="Z141" s="0" t="s">
        <v>105</v>
      </c>
    </row>
    <row r="142" customFormat="false" ht="15" hidden="false" customHeight="false" outlineLevel="0" collapsed="false">
      <c r="A142" s="0" t="n">
        <v>142</v>
      </c>
      <c r="B142" s="0" t="n">
        <v>308029</v>
      </c>
      <c r="C142" s="0" t="n">
        <v>28837</v>
      </c>
      <c r="D142" s="0" t="n">
        <v>282630</v>
      </c>
      <c r="E142" s="0" t="n">
        <v>0.06</v>
      </c>
      <c r="F142" s="0" t="n">
        <v>22847</v>
      </c>
      <c r="G142" s="0" t="n">
        <v>7.41715877401154</v>
      </c>
      <c r="H142" s="0" t="s">
        <v>297</v>
      </c>
      <c r="I142" s="0" t="n">
        <v>1.21743249644718</v>
      </c>
      <c r="J142" s="0" t="n">
        <v>6504</v>
      </c>
      <c r="K142" s="0" t="n">
        <v>1852</v>
      </c>
      <c r="L142" s="0" t="n">
        <v>189990</v>
      </c>
      <c r="M142" s="0" t="n">
        <v>187677</v>
      </c>
      <c r="N142" s="0" t="n">
        <v>180618</v>
      </c>
      <c r="O142" s="0" t="n">
        <v>240</v>
      </c>
      <c r="P142" s="0" t="s">
        <v>180</v>
      </c>
      <c r="Q142" s="0" t="n">
        <v>0.126322438023054</v>
      </c>
      <c r="R142" s="0" t="n">
        <v>2.81999663466663</v>
      </c>
      <c r="S142" s="0" t="n">
        <v>132</v>
      </c>
      <c r="T142" s="0" t="n">
        <v>105</v>
      </c>
      <c r="U142" s="0" t="n">
        <v>0</v>
      </c>
      <c r="V142" s="0" t="n">
        <v>15.1026996647475</v>
      </c>
      <c r="W142" s="0" t="n">
        <v>20220930</v>
      </c>
      <c r="X142" s="0" t="n">
        <v>0.481132029976162</v>
      </c>
      <c r="Y142" s="0" t="n">
        <v>6.48</v>
      </c>
      <c r="Z142" s="0" t="s">
        <v>112</v>
      </c>
    </row>
    <row r="143" customFormat="false" ht="15" hidden="false" customHeight="false" outlineLevel="0" collapsed="false">
      <c r="A143" s="0" t="n">
        <v>143</v>
      </c>
      <c r="B143" s="0" t="n">
        <v>180105</v>
      </c>
      <c r="C143" s="0" t="n">
        <v>29636</v>
      </c>
      <c r="D143" s="0" t="n">
        <v>155107</v>
      </c>
      <c r="E143" s="0" t="n">
        <v>0.05</v>
      </c>
      <c r="F143" s="0" t="n">
        <v>23599</v>
      </c>
      <c r="G143" s="0" t="n">
        <v>13.1029121901113</v>
      </c>
      <c r="H143" s="0" t="s">
        <v>298</v>
      </c>
      <c r="I143" s="0" t="n">
        <v>1.4735219829616</v>
      </c>
      <c r="J143" s="0" t="n">
        <v>1340</v>
      </c>
      <c r="K143" s="0" t="n">
        <v>1958</v>
      </c>
      <c r="L143" s="0" t="n">
        <v>116795</v>
      </c>
      <c r="M143" s="0" t="n">
        <v>115074</v>
      </c>
      <c r="N143" s="0" t="n">
        <v>113497</v>
      </c>
      <c r="O143" s="0" t="n">
        <v>2099</v>
      </c>
      <c r="P143" s="0" t="s">
        <v>182</v>
      </c>
      <c r="Q143" s="0" t="n">
        <v>1.79716597457083</v>
      </c>
      <c r="R143" s="0" t="n">
        <v>3.25257717128124</v>
      </c>
      <c r="S143" s="0" t="n">
        <v>-4</v>
      </c>
      <c r="T143" s="0" t="n">
        <v>1876</v>
      </c>
      <c r="U143" s="0" t="n">
        <v>0</v>
      </c>
      <c r="V143" s="0" t="n">
        <v>31.34737779275</v>
      </c>
      <c r="W143" s="0" t="n">
        <v>20220930</v>
      </c>
      <c r="X143" s="0" t="n">
        <v>0.276723128820604</v>
      </c>
      <c r="Y143" s="0" t="n">
        <v>2.08</v>
      </c>
      <c r="Z143" s="0" t="s">
        <v>105</v>
      </c>
    </row>
    <row r="144" customFormat="false" ht="15" hidden="false" customHeight="false" outlineLevel="0" collapsed="false">
      <c r="A144" s="0" t="n">
        <v>144</v>
      </c>
      <c r="B144" s="0" t="n">
        <v>179520</v>
      </c>
      <c r="C144" s="0" t="n">
        <v>29743</v>
      </c>
      <c r="D144" s="0" t="n">
        <v>163392</v>
      </c>
      <c r="E144" s="0" t="n">
        <v>0</v>
      </c>
      <c r="F144" s="0" t="n">
        <v>13788</v>
      </c>
      <c r="G144" s="0" t="n">
        <v>7.68048128342246</v>
      </c>
      <c r="H144" s="0" t="s">
        <v>299</v>
      </c>
      <c r="I144" s="0" t="n">
        <v>0.328656921416658</v>
      </c>
      <c r="J144" s="0" t="n">
        <v>22426</v>
      </c>
      <c r="K144" s="0" t="n">
        <v>19352</v>
      </c>
      <c r="L144" s="0" t="n">
        <v>122316</v>
      </c>
      <c r="M144" s="0" t="n">
        <v>121914</v>
      </c>
      <c r="N144" s="0" t="n">
        <v>80448</v>
      </c>
      <c r="O144" s="0" t="n">
        <v>502</v>
      </c>
      <c r="P144" s="0" t="s">
        <v>184</v>
      </c>
      <c r="Q144" s="0" t="n">
        <v>0.410412374505379</v>
      </c>
      <c r="R144" s="0" t="n">
        <v>2.63766137629584</v>
      </c>
      <c r="S144" s="0" t="n">
        <v>128</v>
      </c>
      <c r="T144" s="0" t="n">
        <v>493</v>
      </c>
      <c r="U144" s="0" t="n">
        <v>0</v>
      </c>
      <c r="V144" s="0" t="n">
        <v>17.5319100223227</v>
      </c>
      <c r="W144" s="0" t="n">
        <v>20220930</v>
      </c>
      <c r="X144" s="0" t="n">
        <v>0.779559617122413</v>
      </c>
      <c r="Y144" s="0" t="n">
        <v>9.07</v>
      </c>
      <c r="Z144" s="0" t="s">
        <v>105</v>
      </c>
    </row>
    <row r="145" customFormat="false" ht="15" hidden="false" customHeight="false" outlineLevel="0" collapsed="false">
      <c r="A145" s="0" t="n">
        <v>145</v>
      </c>
      <c r="B145" s="0" t="n">
        <v>523655</v>
      </c>
      <c r="C145" s="0" t="n">
        <v>29744</v>
      </c>
      <c r="D145" s="0" t="n">
        <v>398937</v>
      </c>
      <c r="E145" s="0" t="n">
        <v>0</v>
      </c>
      <c r="F145" s="0" t="n">
        <v>38532</v>
      </c>
      <c r="G145" s="0" t="n">
        <v>7.35827978344521</v>
      </c>
      <c r="H145" s="0" t="s">
        <v>300</v>
      </c>
      <c r="I145" s="0" t="n">
        <v>0.906609598830312</v>
      </c>
      <c r="J145" s="0" t="n">
        <v>25090</v>
      </c>
      <c r="K145" s="0" t="n">
        <v>7352</v>
      </c>
      <c r="L145" s="0" t="n">
        <v>395319</v>
      </c>
      <c r="M145" s="0" t="n">
        <v>391735</v>
      </c>
      <c r="N145" s="0" t="n">
        <v>362877</v>
      </c>
      <c r="O145" s="0" t="n">
        <v>5</v>
      </c>
      <c r="P145" s="0" t="s">
        <v>186</v>
      </c>
      <c r="Q145" s="0" t="n">
        <v>0.0012648013376538</v>
      </c>
      <c r="R145" s="0" t="n">
        <v>3.15459338694802</v>
      </c>
      <c r="S145" s="0" t="n">
        <v>6</v>
      </c>
      <c r="T145" s="0" t="n">
        <v>280</v>
      </c>
      <c r="U145" s="0" t="n">
        <v>0</v>
      </c>
      <c r="V145" s="0" t="n">
        <v>16.3715315758086</v>
      </c>
      <c r="W145" s="0" t="n">
        <v>20220930</v>
      </c>
      <c r="X145" s="0" t="n">
        <v>0.291575019444318</v>
      </c>
      <c r="Y145" s="0" t="n">
        <v>3.31</v>
      </c>
      <c r="Z145" s="0" t="s">
        <v>123</v>
      </c>
    </row>
    <row r="146" customFormat="false" ht="15" hidden="false" customHeight="false" outlineLevel="0" collapsed="false">
      <c r="A146" s="0" t="n">
        <v>146</v>
      </c>
      <c r="B146" s="0" t="n">
        <v>541685</v>
      </c>
      <c r="C146" s="0" t="n">
        <v>30350</v>
      </c>
      <c r="D146" s="0" t="n">
        <v>473333</v>
      </c>
      <c r="E146" s="0" t="n">
        <v>0</v>
      </c>
      <c r="F146" s="0" t="n">
        <v>49256</v>
      </c>
      <c r="G146" s="0" t="n">
        <v>9.09310761789601</v>
      </c>
      <c r="H146" s="0" t="s">
        <v>301</v>
      </c>
      <c r="I146" s="0" t="n">
        <v>1.34735050145652</v>
      </c>
      <c r="J146" s="0" t="n">
        <v>11326</v>
      </c>
      <c r="K146" s="0" t="n">
        <v>1056</v>
      </c>
      <c r="L146" s="0" t="n">
        <v>378298</v>
      </c>
      <c r="M146" s="0" t="n">
        <v>373201</v>
      </c>
      <c r="N146" s="0" t="n">
        <v>363012</v>
      </c>
      <c r="O146" s="0" t="n">
        <v>1989</v>
      </c>
      <c r="P146" s="0" t="s">
        <v>188</v>
      </c>
      <c r="Q146" s="0" t="n">
        <v>0.525775975553664</v>
      </c>
      <c r="R146" s="0" t="n">
        <v>2.870390732848</v>
      </c>
      <c r="S146" s="0" t="n">
        <v>206</v>
      </c>
      <c r="T146" s="0" t="n">
        <v>720</v>
      </c>
      <c r="U146" s="0" t="n">
        <v>0</v>
      </c>
      <c r="V146" s="0" t="n">
        <v>21.2709183090001</v>
      </c>
      <c r="W146" s="0" t="n">
        <v>20220930</v>
      </c>
      <c r="X146" s="0" t="n">
        <v>0.649181741581514</v>
      </c>
      <c r="Y146" s="0" t="n">
        <v>6.88</v>
      </c>
      <c r="Z146" s="0" t="s">
        <v>112</v>
      </c>
    </row>
    <row r="147" customFormat="false" ht="15" hidden="false" customHeight="false" outlineLevel="0" collapsed="false">
      <c r="A147" s="0" t="n">
        <v>147</v>
      </c>
      <c r="B147" s="0" t="n">
        <v>100514</v>
      </c>
      <c r="C147" s="0" t="n">
        <v>30878</v>
      </c>
      <c r="D147" s="0" t="n">
        <v>76264</v>
      </c>
      <c r="E147" s="0" t="n">
        <v>0.08</v>
      </c>
      <c r="F147" s="0" t="n">
        <v>12319</v>
      </c>
      <c r="G147" s="0" t="n">
        <v>12.2560041387269</v>
      </c>
      <c r="H147" s="0" t="s">
        <v>302</v>
      </c>
      <c r="I147" s="0" t="n">
        <v>1.09130073704973</v>
      </c>
      <c r="J147" s="0" t="n">
        <v>0</v>
      </c>
      <c r="K147" s="0" t="n">
        <v>103</v>
      </c>
      <c r="L147" s="0" t="n">
        <v>77064</v>
      </c>
      <c r="M147" s="0" t="n">
        <v>76223</v>
      </c>
      <c r="N147" s="0" t="n">
        <v>76961</v>
      </c>
      <c r="O147" s="0" t="n">
        <v>589</v>
      </c>
      <c r="P147" s="0" t="s">
        <v>190</v>
      </c>
      <c r="Q147" s="0" t="n">
        <v>0.764299802761341</v>
      </c>
      <c r="R147" s="0" t="n">
        <v>2.14957788304442</v>
      </c>
      <c r="S147" s="0" t="n">
        <v>0</v>
      </c>
      <c r="T147" s="0" t="n">
        <v>284</v>
      </c>
      <c r="U147" s="0" t="n">
        <v>0</v>
      </c>
      <c r="V147" s="0" t="n">
        <v>0</v>
      </c>
      <c r="W147" s="0" t="n">
        <v>20220930</v>
      </c>
      <c r="X147" s="0" t="n">
        <v>0.295597394237198</v>
      </c>
      <c r="Y147" s="0" t="n">
        <v>2.4</v>
      </c>
      <c r="Z147" s="0" t="s">
        <v>105</v>
      </c>
    </row>
    <row r="148" customFormat="false" ht="15" hidden="false" customHeight="false" outlineLevel="0" collapsed="false">
      <c r="A148" s="0" t="n">
        <v>148</v>
      </c>
      <c r="B148" s="0" t="n">
        <v>728017</v>
      </c>
      <c r="C148" s="0" t="n">
        <v>33418</v>
      </c>
      <c r="D148" s="0" t="n">
        <v>571364</v>
      </c>
      <c r="E148" s="0" t="n">
        <v>-0.13</v>
      </c>
      <c r="F148" s="0" t="n">
        <v>59731</v>
      </c>
      <c r="G148" s="0" t="n">
        <v>8.20461610099764</v>
      </c>
      <c r="H148" s="0" t="s">
        <v>303</v>
      </c>
      <c r="I148" s="0" t="n">
        <v>1.90071587974578</v>
      </c>
      <c r="J148" s="0" t="n">
        <v>38891</v>
      </c>
      <c r="K148" s="0" t="n">
        <v>11836</v>
      </c>
      <c r="L148" s="0" t="n">
        <v>353551</v>
      </c>
      <c r="M148" s="0" t="n">
        <v>346831</v>
      </c>
      <c r="N148" s="0" t="n">
        <v>302851</v>
      </c>
      <c r="O148" s="0" t="n">
        <v>3182</v>
      </c>
      <c r="P148" s="0" t="s">
        <v>192</v>
      </c>
      <c r="Q148" s="0" t="n">
        <v>0.900011596629624</v>
      </c>
      <c r="R148" s="0" t="n">
        <v>2.74288198149817</v>
      </c>
      <c r="S148" s="0" t="n">
        <v>-1</v>
      </c>
      <c r="T148" s="0" t="n">
        <v>192</v>
      </c>
      <c r="U148" s="0" t="n">
        <v>0</v>
      </c>
      <c r="V148" s="0" t="n">
        <v>18.9996701825354</v>
      </c>
      <c r="W148" s="0" t="n">
        <v>20220930</v>
      </c>
      <c r="X148" s="0" t="n">
        <v>1.19732263126932</v>
      </c>
      <c r="Y148" s="0" t="n">
        <v>14.95</v>
      </c>
      <c r="Z148" s="0" t="s">
        <v>112</v>
      </c>
    </row>
    <row r="149" customFormat="false" ht="15" hidden="false" customHeight="false" outlineLevel="0" collapsed="false">
      <c r="A149" s="0" t="n">
        <v>149</v>
      </c>
      <c r="B149" s="0" t="n">
        <v>60178</v>
      </c>
      <c r="C149" s="0" t="n">
        <v>35206</v>
      </c>
      <c r="D149" s="0" t="n">
        <v>500</v>
      </c>
      <c r="E149" s="0" t="n">
        <v>0</v>
      </c>
      <c r="F149" s="0" t="n">
        <v>57817</v>
      </c>
      <c r="G149" s="0" t="n">
        <v>96.0766393033999</v>
      </c>
      <c r="H149" s="0" t="s">
        <v>304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s">
        <v>252</v>
      </c>
      <c r="Q149" s="0" t="n">
        <v>0</v>
      </c>
      <c r="R149" s="0" t="n">
        <v>3.62402262771205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20220930</v>
      </c>
      <c r="X149" s="0" t="n">
        <v>2.23680494034471</v>
      </c>
      <c r="Y149" s="0" t="n">
        <v>2.49</v>
      </c>
      <c r="Z149" s="0" t="s">
        <v>123</v>
      </c>
    </row>
    <row r="150" customFormat="false" ht="15" hidden="false" customHeight="false" outlineLevel="0" collapsed="false">
      <c r="A150" s="0" t="n">
        <v>150</v>
      </c>
      <c r="B150" s="0" t="n">
        <v>5539983</v>
      </c>
      <c r="C150" s="0" t="n">
        <v>4255</v>
      </c>
      <c r="D150" s="0" t="n">
        <v>4604972</v>
      </c>
      <c r="E150" s="0" t="n">
        <v>0.1</v>
      </c>
      <c r="F150" s="0" t="n">
        <v>444488</v>
      </c>
      <c r="G150" s="0" t="n">
        <v>8.02327371762693</v>
      </c>
      <c r="H150" s="0" t="s">
        <v>305</v>
      </c>
      <c r="I150" s="0" t="n">
        <v>0.945383667903394</v>
      </c>
      <c r="J150" s="0" t="n">
        <v>340321</v>
      </c>
      <c r="K150" s="0" t="n">
        <v>21084</v>
      </c>
      <c r="L150" s="0" t="n">
        <v>3865309</v>
      </c>
      <c r="M150" s="0" t="n">
        <v>3828767</v>
      </c>
      <c r="N150" s="0" t="n">
        <v>3453052</v>
      </c>
      <c r="O150" s="0" t="n">
        <v>2765</v>
      </c>
      <c r="P150" s="0" t="s">
        <v>194</v>
      </c>
      <c r="Q150" s="0" t="n">
        <v>0.0715337376649577</v>
      </c>
      <c r="R150" s="0" t="n">
        <v>2.96224785009783</v>
      </c>
      <c r="S150" s="0" t="n">
        <v>502</v>
      </c>
      <c r="T150" s="0" t="n">
        <v>4708</v>
      </c>
      <c r="U150" s="0" t="n">
        <v>0</v>
      </c>
      <c r="V150" s="0" t="n">
        <v>13.0703989197068</v>
      </c>
      <c r="W150" s="0" t="n">
        <v>20220930</v>
      </c>
      <c r="X150" s="0" t="n">
        <v>1.16771643069494</v>
      </c>
      <c r="Y150" s="0" t="n">
        <v>13.05</v>
      </c>
      <c r="Z150" s="0" t="s">
        <v>105</v>
      </c>
    </row>
    <row r="151" customFormat="false" ht="15" hidden="false" customHeight="false" outlineLevel="0" collapsed="false">
      <c r="A151" s="0" t="n">
        <v>151</v>
      </c>
      <c r="B151" s="0" t="n">
        <v>2699877</v>
      </c>
      <c r="C151" s="0" t="n">
        <v>4256</v>
      </c>
      <c r="D151" s="0" t="n">
        <v>2370865</v>
      </c>
      <c r="E151" s="0" t="n">
        <v>0.07</v>
      </c>
      <c r="F151" s="0" t="n">
        <v>191219</v>
      </c>
      <c r="G151" s="0" t="n">
        <v>7.08250783276423</v>
      </c>
      <c r="H151" s="0" t="s">
        <v>306</v>
      </c>
      <c r="I151" s="0" t="n">
        <v>0.881981727418292</v>
      </c>
      <c r="J151" s="0" t="n">
        <v>262426</v>
      </c>
      <c r="K151" s="0" t="n">
        <v>20819</v>
      </c>
      <c r="L151" s="0" t="n">
        <v>1857975</v>
      </c>
      <c r="M151" s="0" t="n">
        <v>1841588</v>
      </c>
      <c r="N151" s="0" t="n">
        <v>1478344</v>
      </c>
      <c r="O151" s="0" t="n">
        <v>1860</v>
      </c>
      <c r="P151" s="0" t="s">
        <v>196</v>
      </c>
      <c r="Q151" s="0" t="n">
        <v>0.100108989625802</v>
      </c>
      <c r="R151" s="0" t="n">
        <v>3.11979442771444</v>
      </c>
      <c r="S151" s="0" t="n">
        <v>434</v>
      </c>
      <c r="T151" s="0" t="n">
        <v>898</v>
      </c>
      <c r="U151" s="0" t="n">
        <v>0</v>
      </c>
      <c r="V151" s="0" t="n">
        <v>13.5242415345785</v>
      </c>
      <c r="W151" s="0" t="n">
        <v>20220930</v>
      </c>
      <c r="X151" s="0" t="n">
        <v>1.5759119347341</v>
      </c>
      <c r="Y151" s="0" t="n">
        <v>20.01</v>
      </c>
      <c r="Z151" s="0" t="s">
        <v>105</v>
      </c>
    </row>
    <row r="152" customFormat="false" ht="15" hidden="false" customHeight="false" outlineLevel="0" collapsed="false">
      <c r="A152" s="0" t="n">
        <v>152</v>
      </c>
      <c r="B152" s="0" t="n">
        <v>686995</v>
      </c>
      <c r="C152" s="0" t="n">
        <v>59086</v>
      </c>
      <c r="D152" s="0" t="n">
        <v>610836</v>
      </c>
      <c r="E152" s="0" t="n">
        <v>0.16</v>
      </c>
      <c r="F152" s="0" t="n">
        <v>72795</v>
      </c>
      <c r="G152" s="0" t="n">
        <v>10.5961469879693</v>
      </c>
      <c r="H152" s="0" t="s">
        <v>307</v>
      </c>
      <c r="I152" s="0" t="n">
        <v>1.17814807643939</v>
      </c>
      <c r="J152" s="0" t="n">
        <v>119943</v>
      </c>
      <c r="K152" s="0" t="n">
        <v>0</v>
      </c>
      <c r="L152" s="0" t="n">
        <v>552647</v>
      </c>
      <c r="M152" s="0" t="n">
        <v>546136</v>
      </c>
      <c r="N152" s="0" t="n">
        <v>433350</v>
      </c>
      <c r="O152" s="0" t="n">
        <v>2111</v>
      </c>
      <c r="P152" s="0" t="s">
        <v>198</v>
      </c>
      <c r="Q152" s="0" t="n">
        <v>0.0617030400961192</v>
      </c>
      <c r="R152" s="0" t="n">
        <v>3.6266175241851</v>
      </c>
      <c r="S152" s="0" t="n">
        <v>0</v>
      </c>
      <c r="T152" s="0" t="n">
        <v>0</v>
      </c>
      <c r="U152" s="0" t="n">
        <v>341</v>
      </c>
      <c r="V152" s="0" t="n">
        <v>13.7494495435112</v>
      </c>
      <c r="W152" s="0" t="n">
        <v>20220930</v>
      </c>
      <c r="X152" s="0" t="n">
        <v>1.41290663287171</v>
      </c>
      <c r="Y152" s="0" t="n">
        <v>14.12</v>
      </c>
      <c r="Z152" s="0" t="s">
        <v>123</v>
      </c>
    </row>
    <row r="153" customFormat="false" ht="15" hidden="false" customHeight="false" outlineLevel="0" collapsed="false">
      <c r="A153" s="0" t="n">
        <v>153</v>
      </c>
      <c r="B153" s="0" t="n">
        <v>182612</v>
      </c>
      <c r="C153" s="0" t="n">
        <v>59176</v>
      </c>
      <c r="D153" s="0" t="n">
        <v>160518</v>
      </c>
      <c r="E153" s="0" t="n">
        <v>0.28</v>
      </c>
      <c r="F153" s="0" t="n">
        <v>21662</v>
      </c>
      <c r="G153" s="0" t="n">
        <v>11.8623091582152</v>
      </c>
      <c r="H153" s="0" t="s">
        <v>308</v>
      </c>
      <c r="I153" s="0" t="n">
        <v>0.944416408333934</v>
      </c>
      <c r="J153" s="0" t="n">
        <v>17036</v>
      </c>
      <c r="K153" s="0" t="n">
        <v>12</v>
      </c>
      <c r="L153" s="0" t="n">
        <v>124839</v>
      </c>
      <c r="M153" s="0" t="n">
        <v>123660</v>
      </c>
      <c r="N153" s="0" t="n">
        <v>107791</v>
      </c>
      <c r="O153" s="0" t="n">
        <v>0</v>
      </c>
      <c r="P153" s="0" t="s">
        <v>200</v>
      </c>
      <c r="Q153" s="0" t="n">
        <v>0</v>
      </c>
      <c r="R153" s="0" t="n">
        <v>3.09322288309581</v>
      </c>
      <c r="S153" s="0" t="n">
        <v>0</v>
      </c>
      <c r="T153" s="0" t="n">
        <v>0</v>
      </c>
      <c r="U153" s="0" t="n">
        <v>0</v>
      </c>
      <c r="V153" s="0" t="n">
        <v>18.6279642747151</v>
      </c>
      <c r="W153" s="0" t="n">
        <v>20220930</v>
      </c>
      <c r="X153" s="0" t="n">
        <v>0.224178584443066</v>
      </c>
      <c r="Y153" s="0" t="n">
        <v>1.72</v>
      </c>
      <c r="Z153" s="0" t="s">
        <v>123</v>
      </c>
    </row>
    <row r="154" customFormat="false" ht="15" hidden="false" customHeight="false" outlineLevel="0" collapsed="false">
      <c r="A154" s="0" t="n">
        <v>154</v>
      </c>
      <c r="B154" s="0" t="n">
        <v>38217</v>
      </c>
      <c r="C154" s="0" t="n">
        <v>59298</v>
      </c>
      <c r="D154" s="0" t="n">
        <v>6690</v>
      </c>
      <c r="E154" s="0" t="n">
        <v>0.26</v>
      </c>
      <c r="F154" s="0" t="n">
        <v>30598</v>
      </c>
      <c r="G154" s="0" t="n">
        <v>80.0638459324385</v>
      </c>
      <c r="H154" s="0" t="s">
        <v>309</v>
      </c>
      <c r="I154" s="0" t="n">
        <v>0.993723849372385</v>
      </c>
      <c r="J154" s="0" t="n">
        <v>3084</v>
      </c>
      <c r="K154" s="0" t="n">
        <v>0</v>
      </c>
      <c r="L154" s="0" t="n">
        <v>7648</v>
      </c>
      <c r="M154" s="0" t="n">
        <v>7572</v>
      </c>
      <c r="N154" s="0" t="n">
        <v>4565</v>
      </c>
      <c r="O154" s="0" t="n">
        <v>0</v>
      </c>
      <c r="P154" s="0" t="s">
        <v>310</v>
      </c>
      <c r="Q154" s="0" t="n">
        <v>0</v>
      </c>
      <c r="R154" s="0" t="n">
        <v>0.568493727280182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20220930</v>
      </c>
      <c r="X154" s="0" t="n">
        <v>-1.79322343459717</v>
      </c>
      <c r="Y154" s="0" t="n">
        <v>-2.24</v>
      </c>
      <c r="Z154" s="0" t="s">
        <v>112</v>
      </c>
    </row>
    <row r="155" customFormat="false" ht="15" hidden="false" customHeight="false" outlineLevel="0" collapsed="false">
      <c r="A155" s="0" t="n">
        <v>155</v>
      </c>
      <c r="B155" s="0" t="n">
        <v>1026347</v>
      </c>
      <c r="C155" s="0" t="n">
        <v>6271</v>
      </c>
      <c r="D155" s="0" t="n">
        <v>904130</v>
      </c>
      <c r="E155" s="0" t="n">
        <v>0.17</v>
      </c>
      <c r="F155" s="0" t="n">
        <v>81739</v>
      </c>
      <c r="G155" s="0" t="n">
        <v>7.96407063108286</v>
      </c>
      <c r="H155" s="0" t="s">
        <v>311</v>
      </c>
      <c r="I155" s="0" t="n">
        <v>1.16336985420625</v>
      </c>
      <c r="J155" s="0" t="n">
        <v>124262</v>
      </c>
      <c r="K155" s="0" t="n">
        <v>3902</v>
      </c>
      <c r="L155" s="0" t="n">
        <v>724791</v>
      </c>
      <c r="M155" s="0" t="n">
        <v>716359</v>
      </c>
      <c r="N155" s="0" t="n">
        <v>551311</v>
      </c>
      <c r="O155" s="0" t="n">
        <v>8603</v>
      </c>
      <c r="P155" s="0" t="s">
        <v>202</v>
      </c>
      <c r="Q155" s="0" t="n">
        <v>1.28961314365107</v>
      </c>
      <c r="R155" s="0" t="n">
        <v>3.38614224773598</v>
      </c>
      <c r="S155" s="0" t="n">
        <v>603</v>
      </c>
      <c r="T155" s="0" t="n">
        <v>987</v>
      </c>
      <c r="U155" s="0" t="n">
        <v>744</v>
      </c>
      <c r="V155" s="0" t="n">
        <v>15.053195210868</v>
      </c>
      <c r="W155" s="0" t="n">
        <v>20220930</v>
      </c>
      <c r="X155" s="0" t="n">
        <v>1.26525953247623</v>
      </c>
      <c r="Y155" s="0" t="n">
        <v>14.44</v>
      </c>
      <c r="Z155" s="0" t="s">
        <v>112</v>
      </c>
    </row>
    <row r="156" customFormat="false" ht="15" hidden="false" customHeight="false" outlineLevel="0" collapsed="false">
      <c r="A156" s="0" t="n">
        <v>156</v>
      </c>
      <c r="B156" s="0" t="n">
        <v>538969</v>
      </c>
      <c r="C156" s="0" t="n">
        <v>6275</v>
      </c>
      <c r="D156" s="0" t="n">
        <v>499382</v>
      </c>
      <c r="E156" s="0" t="n">
        <v>-0.08</v>
      </c>
      <c r="F156" s="0" t="n">
        <v>21431</v>
      </c>
      <c r="G156" s="0" t="n">
        <v>3.97629548267154</v>
      </c>
      <c r="H156" s="0" t="s">
        <v>312</v>
      </c>
      <c r="I156" s="0" t="n">
        <v>0.927895668719114</v>
      </c>
      <c r="J156" s="0" t="n">
        <v>29293</v>
      </c>
      <c r="K156" s="0" t="n">
        <v>13387</v>
      </c>
      <c r="L156" s="0" t="n">
        <v>302728</v>
      </c>
      <c r="M156" s="0" t="n">
        <v>299919</v>
      </c>
      <c r="N156" s="0" t="n">
        <v>249546</v>
      </c>
      <c r="O156" s="0" t="n">
        <v>1530</v>
      </c>
      <c r="P156" s="0" t="s">
        <v>204</v>
      </c>
      <c r="Q156" s="0" t="n">
        <v>0.513001770566317</v>
      </c>
      <c r="R156" s="0" t="n">
        <v>2.74506460329647</v>
      </c>
      <c r="S156" s="0" t="n">
        <v>0</v>
      </c>
      <c r="T156" s="0" t="n">
        <v>46</v>
      </c>
      <c r="U156" s="0" t="n">
        <v>23</v>
      </c>
      <c r="V156" s="0" t="n">
        <v>15.7909585316112</v>
      </c>
      <c r="W156" s="0" t="n">
        <v>20220930</v>
      </c>
      <c r="X156" s="0" t="n">
        <v>0.61233728150206</v>
      </c>
      <c r="Y156" s="0" t="n">
        <v>10.71</v>
      </c>
      <c r="Z156" s="0" t="s">
        <v>112</v>
      </c>
    </row>
    <row r="157" customFormat="false" ht="15" hidden="false" customHeight="false" outlineLevel="0" collapsed="false">
      <c r="A157" s="0" t="n">
        <v>157</v>
      </c>
      <c r="B157" s="0" t="n">
        <v>87700</v>
      </c>
      <c r="C157" s="0" t="n">
        <v>6280</v>
      </c>
      <c r="D157" s="0" t="n">
        <v>78966</v>
      </c>
      <c r="E157" s="0" t="n">
        <v>0.14</v>
      </c>
      <c r="F157" s="0" t="n">
        <v>8505</v>
      </c>
      <c r="G157" s="0" t="n">
        <v>9.69783352337514</v>
      </c>
      <c r="H157" s="0" t="s">
        <v>313</v>
      </c>
      <c r="I157" s="0" t="n">
        <v>1.31916862069516</v>
      </c>
      <c r="J157" s="0" t="n">
        <v>3097</v>
      </c>
      <c r="K157" s="0" t="n">
        <v>1958</v>
      </c>
      <c r="L157" s="0" t="n">
        <v>62691</v>
      </c>
      <c r="M157" s="0" t="n">
        <v>61864</v>
      </c>
      <c r="N157" s="0" t="n">
        <v>53838</v>
      </c>
      <c r="O157" s="0" t="n">
        <v>667</v>
      </c>
      <c r="P157" s="0" t="s">
        <v>206</v>
      </c>
      <c r="Q157" s="0" t="n">
        <v>1.06394857316042</v>
      </c>
      <c r="R157" s="0" t="n">
        <v>4.11454325169757</v>
      </c>
      <c r="S157" s="0" t="n">
        <v>78</v>
      </c>
      <c r="T157" s="0" t="n">
        <v>659</v>
      </c>
      <c r="U157" s="0" t="n">
        <v>0</v>
      </c>
      <c r="V157" s="0" t="n">
        <v>0</v>
      </c>
      <c r="W157" s="0" t="n">
        <v>20220930</v>
      </c>
      <c r="X157" s="0" t="n">
        <v>1.35938068951454</v>
      </c>
      <c r="Y157" s="0" t="n">
        <v>14.26</v>
      </c>
      <c r="Z157" s="0" t="s">
        <v>112</v>
      </c>
    </row>
    <row r="158" customFormat="false" ht="15" hidden="false" customHeight="false" outlineLevel="0" collapsed="false">
      <c r="A158" s="0" t="n">
        <v>158</v>
      </c>
      <c r="B158" s="0" t="n">
        <v>3906943</v>
      </c>
      <c r="C158" s="0" t="n">
        <v>11971</v>
      </c>
      <c r="D158" s="0" t="n">
        <v>3050819</v>
      </c>
      <c r="E158" s="0" t="n">
        <v>0.12</v>
      </c>
      <c r="F158" s="0" t="n">
        <v>447316</v>
      </c>
      <c r="G158" s="0" t="n">
        <v>11.449258409964</v>
      </c>
      <c r="H158" s="0" t="s">
        <v>314</v>
      </c>
      <c r="I158" s="0" t="n">
        <v>0.890897753463167</v>
      </c>
      <c r="J158" s="0" t="n">
        <v>194294</v>
      </c>
      <c r="K158" s="0" t="n">
        <v>7800</v>
      </c>
      <c r="L158" s="0" t="n">
        <v>2902690</v>
      </c>
      <c r="M158" s="0" t="n">
        <v>2876830</v>
      </c>
      <c r="N158" s="0" t="n">
        <v>2554897</v>
      </c>
      <c r="O158" s="0" t="n">
        <v>6548</v>
      </c>
      <c r="P158" s="0" t="s">
        <v>104</v>
      </c>
      <c r="Q158" s="0" t="n">
        <v>0.233025228322694</v>
      </c>
      <c r="R158" s="0" t="n">
        <v>3.45843569395616</v>
      </c>
      <c r="S158" s="0" t="n">
        <v>-237</v>
      </c>
      <c r="T158" s="0" t="n">
        <v>1146</v>
      </c>
      <c r="U158" s="0" t="n">
        <v>216</v>
      </c>
      <c r="V158" s="0" t="n">
        <v>13.2911679611455</v>
      </c>
      <c r="W158" s="0" t="n">
        <v>20221231</v>
      </c>
      <c r="X158" s="0" t="n">
        <v>1.30045350644</v>
      </c>
      <c r="Y158" s="0" t="n">
        <v>10.79</v>
      </c>
      <c r="Z158" s="0" t="s">
        <v>105</v>
      </c>
    </row>
    <row r="159" customFormat="false" ht="15" hidden="false" customHeight="false" outlineLevel="0" collapsed="false">
      <c r="A159" s="0" t="n">
        <v>159</v>
      </c>
      <c r="B159" s="0" t="n">
        <v>981838</v>
      </c>
      <c r="C159" s="0" t="n">
        <v>12874</v>
      </c>
      <c r="D159" s="0" t="n">
        <v>861068</v>
      </c>
      <c r="E159" s="0" t="n">
        <v>-0.05</v>
      </c>
      <c r="F159" s="0" t="n">
        <v>97187</v>
      </c>
      <c r="G159" s="0" t="n">
        <v>9.89847612335232</v>
      </c>
      <c r="H159" s="0" t="s">
        <v>315</v>
      </c>
      <c r="I159" s="0" t="n">
        <v>0.990899413304305</v>
      </c>
      <c r="J159" s="0" t="n">
        <v>130722</v>
      </c>
      <c r="K159" s="0" t="n">
        <v>5348</v>
      </c>
      <c r="L159" s="0" t="n">
        <v>749622</v>
      </c>
      <c r="M159" s="0" t="n">
        <v>742194</v>
      </c>
      <c r="N159" s="0" t="n">
        <v>599821</v>
      </c>
      <c r="O159" s="0" t="n">
        <v>505</v>
      </c>
      <c r="P159" s="0" t="s">
        <v>107</v>
      </c>
      <c r="Q159" s="0" t="n">
        <v>0.0673672864457019</v>
      </c>
      <c r="R159" s="0" t="n">
        <v>3.7482197406091</v>
      </c>
      <c r="S159" s="0" t="n">
        <v>-125</v>
      </c>
      <c r="T159" s="0" t="n">
        <v>390</v>
      </c>
      <c r="U159" s="0" t="n">
        <v>0</v>
      </c>
      <c r="V159" s="0" t="n">
        <v>15.4509262729079</v>
      </c>
      <c r="W159" s="0" t="n">
        <v>20221231</v>
      </c>
      <c r="X159" s="0" t="n">
        <v>1.09464857855594</v>
      </c>
      <c r="Y159" s="0" t="n">
        <v>10.88</v>
      </c>
      <c r="Z159" s="0" t="s">
        <v>105</v>
      </c>
    </row>
    <row r="160" customFormat="false" ht="15" hidden="false" customHeight="false" outlineLevel="0" collapsed="false">
      <c r="A160" s="0" t="n">
        <v>160</v>
      </c>
      <c r="B160" s="0" t="n">
        <v>1843469</v>
      </c>
      <c r="C160" s="0" t="n">
        <v>13063</v>
      </c>
      <c r="D160" s="0" t="n">
        <v>1640586</v>
      </c>
      <c r="E160" s="0" t="n">
        <v>-0.08</v>
      </c>
      <c r="F160" s="0" t="n">
        <v>136120</v>
      </c>
      <c r="G160" s="0" t="n">
        <v>7.3839050182021</v>
      </c>
      <c r="H160" s="0" t="s">
        <v>316</v>
      </c>
      <c r="I160" s="0" t="n">
        <v>1.01489055204655</v>
      </c>
      <c r="J160" s="0" t="n">
        <v>46233</v>
      </c>
      <c r="K160" s="0" t="n">
        <v>839</v>
      </c>
      <c r="L160" s="0" t="n">
        <v>1335612</v>
      </c>
      <c r="M160" s="0" t="n">
        <v>1322057</v>
      </c>
      <c r="N160" s="0" t="n">
        <v>1281066</v>
      </c>
      <c r="O160" s="0" t="n">
        <v>528</v>
      </c>
      <c r="P160" s="0" t="s">
        <v>109</v>
      </c>
      <c r="Q160" s="0" t="n">
        <v>0.0953869836449507</v>
      </c>
      <c r="R160" s="0" t="n">
        <v>3.53048222013871</v>
      </c>
      <c r="S160" s="0" t="n">
        <v>-159</v>
      </c>
      <c r="T160" s="0" t="n">
        <v>261</v>
      </c>
      <c r="U160" s="0" t="n">
        <v>746</v>
      </c>
      <c r="V160" s="0" t="n">
        <v>0</v>
      </c>
      <c r="W160" s="0" t="n">
        <v>20221231</v>
      </c>
      <c r="X160" s="0" t="n">
        <v>0.74485484313953</v>
      </c>
      <c r="Y160" s="0" t="n">
        <v>9.45</v>
      </c>
      <c r="Z160" s="0" t="s">
        <v>105</v>
      </c>
    </row>
    <row r="161" customFormat="false" ht="15" hidden="false" customHeight="false" outlineLevel="0" collapsed="false">
      <c r="A161" s="0" t="n">
        <v>161</v>
      </c>
      <c r="B161" s="0" t="n">
        <v>838127</v>
      </c>
      <c r="C161" s="0" t="n">
        <v>14134</v>
      </c>
      <c r="D161" s="0" t="n">
        <v>719419</v>
      </c>
      <c r="E161" s="0" t="n">
        <v>-0.11</v>
      </c>
      <c r="F161" s="0" t="n">
        <v>97584</v>
      </c>
      <c r="G161" s="0" t="n">
        <v>11.6431042073576</v>
      </c>
      <c r="H161" s="0" t="s">
        <v>317</v>
      </c>
      <c r="I161" s="0" t="n">
        <v>1.09359277581672</v>
      </c>
      <c r="J161" s="0" t="n">
        <v>28029</v>
      </c>
      <c r="K161" s="0" t="n">
        <v>22010</v>
      </c>
      <c r="L161" s="0" t="n">
        <v>618146</v>
      </c>
      <c r="M161" s="0" t="n">
        <v>611386</v>
      </c>
      <c r="N161" s="0" t="n">
        <v>543525</v>
      </c>
      <c r="O161" s="0" t="n">
        <v>12984</v>
      </c>
      <c r="P161" s="0" t="s">
        <v>111</v>
      </c>
      <c r="Q161" s="0" t="n">
        <v>2.10047464514856</v>
      </c>
      <c r="R161" s="0" t="n">
        <v>3.12340753760266</v>
      </c>
      <c r="S161" s="0" t="n">
        <v>467</v>
      </c>
      <c r="T161" s="0" t="n">
        <v>5416</v>
      </c>
      <c r="U161" s="0" t="n">
        <v>0</v>
      </c>
      <c r="V161" s="0" t="n">
        <v>18.0562778373292</v>
      </c>
      <c r="W161" s="0" t="n">
        <v>20221231</v>
      </c>
      <c r="X161" s="0" t="n">
        <v>0.221752918751042</v>
      </c>
      <c r="Y161" s="0" t="n">
        <v>1.92</v>
      </c>
      <c r="Z161" s="0" t="s">
        <v>112</v>
      </c>
    </row>
    <row r="162" customFormat="false" ht="15" hidden="false" customHeight="false" outlineLevel="0" collapsed="false">
      <c r="A162" s="0" t="n">
        <v>162</v>
      </c>
      <c r="B162" s="0" t="n">
        <v>228201</v>
      </c>
      <c r="C162" s="0" t="n">
        <v>14136</v>
      </c>
      <c r="D162" s="0" t="n">
        <v>209378</v>
      </c>
      <c r="E162" s="0" t="n">
        <v>0.03</v>
      </c>
      <c r="F162" s="0" t="n">
        <v>14622</v>
      </c>
      <c r="G162" s="0" t="n">
        <v>6.4075091695479</v>
      </c>
      <c r="H162" s="0" t="s">
        <v>318</v>
      </c>
      <c r="I162" s="0" t="n">
        <v>0.958171970790403</v>
      </c>
      <c r="J162" s="0" t="n">
        <v>13222</v>
      </c>
      <c r="K162" s="0" t="n">
        <v>12457</v>
      </c>
      <c r="L162" s="0" t="n">
        <v>139954</v>
      </c>
      <c r="M162" s="0" t="n">
        <v>138613</v>
      </c>
      <c r="N162" s="0" t="n">
        <v>113932</v>
      </c>
      <c r="O162" s="0" t="n">
        <v>107</v>
      </c>
      <c r="P162" s="0" t="s">
        <v>114</v>
      </c>
      <c r="Q162" s="0" t="n">
        <v>0.555182417079898</v>
      </c>
      <c r="R162" s="0" t="n">
        <v>3.71178604169158</v>
      </c>
      <c r="S162" s="0" t="n">
        <v>90</v>
      </c>
      <c r="T162" s="0" t="n">
        <v>1094</v>
      </c>
      <c r="U162" s="0" t="n">
        <v>670</v>
      </c>
      <c r="V162" s="0" t="n">
        <v>17.6671209321242</v>
      </c>
      <c r="W162" s="0" t="n">
        <v>20221231</v>
      </c>
      <c r="X162" s="0" t="n">
        <v>0.464923878187269</v>
      </c>
      <c r="Y162" s="0" t="n">
        <v>6.05</v>
      </c>
      <c r="Z162" s="0" t="s">
        <v>112</v>
      </c>
    </row>
    <row r="163" customFormat="false" ht="15" hidden="false" customHeight="false" outlineLevel="0" collapsed="false">
      <c r="A163" s="0" t="n">
        <v>163</v>
      </c>
      <c r="B163" s="0" t="n">
        <v>1414255</v>
      </c>
      <c r="C163" s="0" t="n">
        <v>14140</v>
      </c>
      <c r="D163" s="0" t="n">
        <v>1185491</v>
      </c>
      <c r="E163" s="0" t="n">
        <v>0</v>
      </c>
      <c r="F163" s="0" t="n">
        <v>113940</v>
      </c>
      <c r="G163" s="0" t="n">
        <v>8.05653860159589</v>
      </c>
      <c r="H163" s="0" t="s">
        <v>319</v>
      </c>
      <c r="I163" s="0" t="n">
        <v>1.08278076667533</v>
      </c>
      <c r="J163" s="0" t="n">
        <v>86826</v>
      </c>
      <c r="K163" s="0" t="n">
        <v>1204</v>
      </c>
      <c r="L163" s="0" t="n">
        <v>973789</v>
      </c>
      <c r="M163" s="0" t="n">
        <v>963245</v>
      </c>
      <c r="N163" s="0" t="n">
        <v>878159</v>
      </c>
      <c r="O163" s="0" t="n">
        <v>2462</v>
      </c>
      <c r="P163" s="0" t="s">
        <v>116</v>
      </c>
      <c r="Q163" s="0" t="n">
        <v>0.252826844419068</v>
      </c>
      <c r="R163" s="0" t="n">
        <v>3.11589074154042</v>
      </c>
      <c r="S163" s="0" t="n">
        <v>76</v>
      </c>
      <c r="T163" s="0" t="n">
        <v>734</v>
      </c>
      <c r="U163" s="0" t="n">
        <v>0</v>
      </c>
      <c r="V163" s="0" t="n">
        <v>0</v>
      </c>
      <c r="W163" s="0" t="n">
        <v>20221231</v>
      </c>
      <c r="X163" s="0" t="n">
        <v>0.706430614112242</v>
      </c>
      <c r="Y163" s="0" t="n">
        <v>8.33</v>
      </c>
      <c r="Z163" s="0" t="s">
        <v>112</v>
      </c>
    </row>
    <row r="164" customFormat="false" ht="15" hidden="false" customHeight="false" outlineLevel="0" collapsed="false">
      <c r="A164" s="0" t="n">
        <v>164</v>
      </c>
      <c r="B164" s="0" t="n">
        <v>1335789</v>
      </c>
      <c r="C164" s="0" t="n">
        <v>14158</v>
      </c>
      <c r="D164" s="0" t="n">
        <v>1204403</v>
      </c>
      <c r="E164" s="0" t="n">
        <v>0</v>
      </c>
      <c r="F164" s="0" t="n">
        <v>71084</v>
      </c>
      <c r="G164" s="0" t="n">
        <v>5.3214991289792</v>
      </c>
      <c r="H164" s="0" t="s">
        <v>320</v>
      </c>
      <c r="I164" s="0" t="n">
        <v>0.868039110163625</v>
      </c>
      <c r="J164" s="0" t="n">
        <v>40782</v>
      </c>
      <c r="K164" s="0" t="n">
        <v>2089</v>
      </c>
      <c r="L164" s="0" t="n">
        <v>960671</v>
      </c>
      <c r="M164" s="0" t="n">
        <v>952332</v>
      </c>
      <c r="N164" s="0" t="n">
        <v>824447</v>
      </c>
      <c r="O164" s="0" t="n">
        <v>2211</v>
      </c>
      <c r="P164" s="0" t="s">
        <v>118</v>
      </c>
      <c r="Q164" s="0" t="n">
        <v>0.249513100738963</v>
      </c>
      <c r="R164" s="0" t="n">
        <v>3.42354879042827</v>
      </c>
      <c r="S164" s="0" t="n">
        <v>-3</v>
      </c>
      <c r="T164" s="0" t="n">
        <v>3040</v>
      </c>
      <c r="U164" s="0" t="n">
        <v>186</v>
      </c>
      <c r="V164" s="0" t="n">
        <v>13.9528938577954</v>
      </c>
      <c r="W164" s="0" t="n">
        <v>20221231</v>
      </c>
      <c r="X164" s="0" t="n">
        <v>1.07564545512455</v>
      </c>
      <c r="Y164" s="0" t="n">
        <v>16.97</v>
      </c>
      <c r="Z164" s="0" t="s">
        <v>112</v>
      </c>
    </row>
    <row r="165" customFormat="false" ht="15" hidden="false" customHeight="false" outlineLevel="0" collapsed="false">
      <c r="A165" s="0" t="n">
        <v>165</v>
      </c>
      <c r="B165" s="0" t="n">
        <v>368796</v>
      </c>
      <c r="C165" s="0" t="n">
        <v>14168</v>
      </c>
      <c r="D165" s="0" t="n">
        <v>332153</v>
      </c>
      <c r="E165" s="0" t="n">
        <v>0.02</v>
      </c>
      <c r="F165" s="0" t="n">
        <v>31831</v>
      </c>
      <c r="G165" s="0" t="n">
        <v>8.6310589051942</v>
      </c>
      <c r="H165" s="0" t="s">
        <v>321</v>
      </c>
      <c r="I165" s="0" t="n">
        <v>1.42682780902238</v>
      </c>
      <c r="J165" s="0" t="n">
        <v>11593</v>
      </c>
      <c r="K165" s="0" t="n">
        <v>9164</v>
      </c>
      <c r="L165" s="0" t="n">
        <v>208925</v>
      </c>
      <c r="M165" s="0" t="n">
        <v>205944</v>
      </c>
      <c r="N165" s="0" t="n">
        <v>173273</v>
      </c>
      <c r="O165" s="0" t="n">
        <v>1146</v>
      </c>
      <c r="P165" s="0" t="s">
        <v>120</v>
      </c>
      <c r="Q165" s="0" t="n">
        <v>0.548522196960632</v>
      </c>
      <c r="R165" s="0" t="n">
        <v>3.0732840381186</v>
      </c>
      <c r="S165" s="0" t="n">
        <v>58</v>
      </c>
      <c r="T165" s="0" t="n">
        <v>204</v>
      </c>
      <c r="U165" s="0" t="n">
        <v>0</v>
      </c>
      <c r="V165" s="0" t="n">
        <v>18.3394750971745</v>
      </c>
      <c r="W165" s="0" t="n">
        <v>20221231</v>
      </c>
      <c r="X165" s="0" t="n">
        <v>0.554974035143356</v>
      </c>
      <c r="Y165" s="0" t="n">
        <v>6.25</v>
      </c>
      <c r="Z165" s="0" t="s">
        <v>112</v>
      </c>
    </row>
    <row r="166" customFormat="false" ht="15" hidden="false" customHeight="false" outlineLevel="0" collapsed="false">
      <c r="A166" s="0" t="n">
        <v>166</v>
      </c>
      <c r="B166" s="0" t="n">
        <v>1297773</v>
      </c>
      <c r="C166" s="0" t="n">
        <v>14240</v>
      </c>
      <c r="D166" s="0" t="n">
        <v>1070008</v>
      </c>
      <c r="E166" s="0" t="n">
        <v>0.14</v>
      </c>
      <c r="F166" s="0" t="n">
        <v>81085</v>
      </c>
      <c r="G166" s="0" t="n">
        <v>6.24801101579398</v>
      </c>
      <c r="H166" s="0" t="s">
        <v>322</v>
      </c>
      <c r="I166" s="0" t="n">
        <v>1.22148698836792</v>
      </c>
      <c r="J166" s="0" t="n">
        <v>24518</v>
      </c>
      <c r="K166" s="0" t="n">
        <v>17452</v>
      </c>
      <c r="L166" s="0" t="n">
        <v>930014</v>
      </c>
      <c r="M166" s="0" t="n">
        <v>918654</v>
      </c>
      <c r="N166" s="0" t="n">
        <v>824710</v>
      </c>
      <c r="O166" s="0" t="n">
        <v>2163</v>
      </c>
      <c r="P166" s="0" t="s">
        <v>122</v>
      </c>
      <c r="Q166" s="0" t="n">
        <v>0.232577143999983</v>
      </c>
      <c r="R166" s="0" t="n">
        <v>3.01422887354516</v>
      </c>
      <c r="S166" s="0" t="n">
        <v>-94</v>
      </c>
      <c r="T166" s="0" t="n">
        <v>8212</v>
      </c>
      <c r="U166" s="0" t="n">
        <v>0</v>
      </c>
      <c r="V166" s="0" t="n">
        <v>14.7172199109766</v>
      </c>
      <c r="W166" s="0" t="n">
        <v>20221231</v>
      </c>
      <c r="X166" s="0" t="n">
        <v>0.31097349194486</v>
      </c>
      <c r="Y166" s="0" t="n">
        <v>4.22</v>
      </c>
      <c r="Z166" s="0" t="s">
        <v>123</v>
      </c>
    </row>
    <row r="167" customFormat="false" ht="15" hidden="false" customHeight="false" outlineLevel="0" collapsed="false">
      <c r="A167" s="0" t="n">
        <v>167</v>
      </c>
      <c r="B167" s="0" t="n">
        <v>1004795</v>
      </c>
      <c r="C167" s="0" t="n">
        <v>17115</v>
      </c>
      <c r="D167" s="0" t="n">
        <v>856846</v>
      </c>
      <c r="E167" s="0" t="n">
        <v>0</v>
      </c>
      <c r="F167" s="0" t="n">
        <v>78632</v>
      </c>
      <c r="G167" s="0" t="n">
        <v>7.82567588413557</v>
      </c>
      <c r="H167" s="0" t="s">
        <v>323</v>
      </c>
      <c r="I167" s="0" t="n">
        <v>0.938865178960301</v>
      </c>
      <c r="J167" s="0" t="n">
        <v>40984</v>
      </c>
      <c r="K167" s="0" t="n">
        <v>4504</v>
      </c>
      <c r="L167" s="0" t="n">
        <v>833453</v>
      </c>
      <c r="M167" s="0" t="n">
        <v>825628</v>
      </c>
      <c r="N167" s="0" t="n">
        <v>786913</v>
      </c>
      <c r="O167" s="0" t="n">
        <v>265</v>
      </c>
      <c r="P167" s="0" t="s">
        <v>125</v>
      </c>
      <c r="Q167" s="0" t="n">
        <v>0.0317954341756523</v>
      </c>
      <c r="R167" s="0" t="n">
        <v>3.57368381916725</v>
      </c>
      <c r="S167" s="0" t="n">
        <v>216</v>
      </c>
      <c r="T167" s="0" t="n">
        <v>278</v>
      </c>
      <c r="U167" s="0" t="n">
        <v>0</v>
      </c>
      <c r="V167" s="0" t="n">
        <v>13.9518994818667</v>
      </c>
      <c r="W167" s="0" t="n">
        <v>20221231</v>
      </c>
      <c r="X167" s="0" t="n">
        <v>0.643393077444468</v>
      </c>
      <c r="Y167" s="0" t="n">
        <v>7.35</v>
      </c>
      <c r="Z167" s="0" t="s">
        <v>105</v>
      </c>
    </row>
    <row r="168" customFormat="false" ht="15" hidden="false" customHeight="false" outlineLevel="0" collapsed="false">
      <c r="A168" s="0" t="n">
        <v>168</v>
      </c>
      <c r="B168" s="0" t="n">
        <v>1552881</v>
      </c>
      <c r="C168" s="0" t="n">
        <v>17180</v>
      </c>
      <c r="D168" s="0" t="n">
        <v>1174035</v>
      </c>
      <c r="E168" s="0" t="n">
        <v>0.15</v>
      </c>
      <c r="F168" s="0" t="n">
        <v>127894</v>
      </c>
      <c r="G168" s="0" t="n">
        <v>8.23591762665652</v>
      </c>
      <c r="H168" s="0" t="s">
        <v>324</v>
      </c>
      <c r="I168" s="0" t="n">
        <v>0.934719958101985</v>
      </c>
      <c r="J168" s="0" t="n">
        <v>49201</v>
      </c>
      <c r="K168" s="0" t="n">
        <v>202826</v>
      </c>
      <c r="L168" s="0" t="n">
        <v>1390042</v>
      </c>
      <c r="M168" s="0" t="n">
        <v>1377049</v>
      </c>
      <c r="N168" s="0" t="n">
        <v>1118314</v>
      </c>
      <c r="O168" s="0" t="n">
        <v>4104</v>
      </c>
      <c r="P168" s="0" t="s">
        <v>127</v>
      </c>
      <c r="Q168" s="0" t="n">
        <v>0.295314817825648</v>
      </c>
      <c r="R168" s="0" t="n">
        <v>3.52667259637935</v>
      </c>
      <c r="S168" s="0" t="n">
        <v>275</v>
      </c>
      <c r="T168" s="0" t="n">
        <v>2652</v>
      </c>
      <c r="U168" s="0" t="n">
        <v>1</v>
      </c>
      <c r="V168" s="0" t="n">
        <v>13.6744035365497</v>
      </c>
      <c r="W168" s="0" t="n">
        <v>20221231</v>
      </c>
      <c r="X168" s="0" t="n">
        <v>0.772403237007327</v>
      </c>
      <c r="Y168" s="0" t="n">
        <v>8.53</v>
      </c>
      <c r="Z168" s="0" t="s">
        <v>123</v>
      </c>
    </row>
    <row r="169" customFormat="false" ht="15" hidden="false" customHeight="false" outlineLevel="0" collapsed="false">
      <c r="A169" s="0" t="n">
        <v>169</v>
      </c>
      <c r="B169" s="0" t="n">
        <v>380965</v>
      </c>
      <c r="C169" s="0" t="n">
        <v>17443</v>
      </c>
      <c r="D169" s="0" t="n">
        <v>341206</v>
      </c>
      <c r="E169" s="0" t="n">
        <v>0.05</v>
      </c>
      <c r="F169" s="0" t="n">
        <v>38509</v>
      </c>
      <c r="G169" s="0" t="n">
        <v>10.1082776633024</v>
      </c>
      <c r="H169" s="0" t="s">
        <v>325</v>
      </c>
      <c r="I169" s="0" t="n">
        <v>0.853066342611196</v>
      </c>
      <c r="J169" s="0" t="n">
        <v>0</v>
      </c>
      <c r="K169" s="0" t="n">
        <v>969</v>
      </c>
      <c r="L169" s="0" t="n">
        <v>206549</v>
      </c>
      <c r="M169" s="0" t="n">
        <v>204787</v>
      </c>
      <c r="N169" s="0" t="n">
        <v>204563</v>
      </c>
      <c r="O169" s="0" t="n">
        <v>286</v>
      </c>
      <c r="P169" s="0" t="s">
        <v>129</v>
      </c>
      <c r="Q169" s="0" t="n">
        <v>0.138465933023157</v>
      </c>
      <c r="R169" s="0" t="n">
        <v>2.04936413046113</v>
      </c>
      <c r="S169" s="0" t="n">
        <v>0</v>
      </c>
      <c r="T169" s="0" t="n">
        <v>523</v>
      </c>
      <c r="U169" s="0" t="n">
        <v>0</v>
      </c>
      <c r="V169" s="0" t="n">
        <v>0</v>
      </c>
      <c r="W169" s="0" t="n">
        <v>20221231</v>
      </c>
      <c r="X169" s="0" t="n">
        <v>0.432265478536582</v>
      </c>
      <c r="Y169" s="0" t="n">
        <v>3.75</v>
      </c>
      <c r="Z169" s="0" t="s">
        <v>123</v>
      </c>
    </row>
    <row r="170" customFormat="false" ht="15" hidden="false" customHeight="false" outlineLevel="0" collapsed="false">
      <c r="A170" s="0" t="n">
        <v>170</v>
      </c>
      <c r="B170" s="0" t="n">
        <v>1795136</v>
      </c>
      <c r="C170" s="0" t="n">
        <v>17658</v>
      </c>
      <c r="D170" s="0" t="n">
        <v>1531543</v>
      </c>
      <c r="E170" s="0" t="n">
        <v>-0.01</v>
      </c>
      <c r="F170" s="0" t="n">
        <v>187871</v>
      </c>
      <c r="G170" s="0" t="n">
        <v>10.4655580412849</v>
      </c>
      <c r="H170" s="0" t="s">
        <v>326</v>
      </c>
      <c r="I170" s="0" t="n">
        <v>0.691892016453319</v>
      </c>
      <c r="J170" s="0" t="n">
        <v>87968</v>
      </c>
      <c r="K170" s="0" t="n">
        <v>64395</v>
      </c>
      <c r="L170" s="0" t="n">
        <v>1215074</v>
      </c>
      <c r="M170" s="0" t="n">
        <v>1206667</v>
      </c>
      <c r="N170" s="0" t="n">
        <v>1049471</v>
      </c>
      <c r="O170" s="0" t="n">
        <v>677</v>
      </c>
      <c r="P170" s="0" t="s">
        <v>131</v>
      </c>
      <c r="Q170" s="0" t="n">
        <v>0.0719297754704651</v>
      </c>
      <c r="R170" s="0" t="n">
        <v>3.63823974585111</v>
      </c>
      <c r="S170" s="0" t="n">
        <v>533</v>
      </c>
      <c r="T170" s="0" t="n">
        <v>1734</v>
      </c>
      <c r="U170" s="0" t="n">
        <v>197</v>
      </c>
      <c r="V170" s="0" t="n">
        <v>0</v>
      </c>
      <c r="W170" s="0" t="n">
        <v>20221231</v>
      </c>
      <c r="X170" s="0" t="n">
        <v>0.528128430999244</v>
      </c>
      <c r="Y170" s="0" t="n">
        <v>4.61</v>
      </c>
      <c r="Z170" s="0" t="s">
        <v>105</v>
      </c>
    </row>
    <row r="171" customFormat="false" ht="15" hidden="false" customHeight="false" outlineLevel="0" collapsed="false">
      <c r="A171" s="0" t="n">
        <v>171</v>
      </c>
      <c r="B171" s="0" t="n">
        <v>1004289</v>
      </c>
      <c r="C171" s="0" t="n">
        <v>17741</v>
      </c>
      <c r="D171" s="0" t="n">
        <v>828427</v>
      </c>
      <c r="E171" s="0" t="n">
        <v>0.02</v>
      </c>
      <c r="F171" s="0" t="n">
        <v>130201</v>
      </c>
      <c r="G171" s="0" t="n">
        <v>12.9644952797452</v>
      </c>
      <c r="H171" s="0" t="s">
        <v>327</v>
      </c>
      <c r="I171" s="0" t="n">
        <v>0.932551492471344</v>
      </c>
      <c r="J171" s="0" t="n">
        <v>45845</v>
      </c>
      <c r="K171" s="0" t="n">
        <v>3546</v>
      </c>
      <c r="L171" s="0" t="n">
        <v>848425</v>
      </c>
      <c r="M171" s="0" t="n">
        <v>840513</v>
      </c>
      <c r="N171" s="0" t="n">
        <v>795357</v>
      </c>
      <c r="O171" s="0" t="n">
        <v>1820</v>
      </c>
      <c r="P171" s="0" t="s">
        <v>133</v>
      </c>
      <c r="Q171" s="0" t="n">
        <v>0.214515130977989</v>
      </c>
      <c r="R171" s="0" t="n">
        <v>3.5594789903923</v>
      </c>
      <c r="S171" s="0" t="n">
        <v>-9</v>
      </c>
      <c r="T171" s="0" t="n">
        <v>2400</v>
      </c>
      <c r="U171" s="0" t="n">
        <v>0</v>
      </c>
      <c r="V171" s="0" t="n">
        <v>0</v>
      </c>
      <c r="W171" s="0" t="n">
        <v>20221231</v>
      </c>
      <c r="X171" s="0" t="n">
        <v>0.824176914710342</v>
      </c>
      <c r="Y171" s="0" t="n">
        <v>6.4</v>
      </c>
      <c r="Z171" s="0" t="s">
        <v>105</v>
      </c>
    </row>
    <row r="172" customFormat="false" ht="15" hidden="false" customHeight="false" outlineLevel="0" collapsed="false">
      <c r="A172" s="0" t="n">
        <v>172</v>
      </c>
      <c r="B172" s="0" t="n">
        <v>1276362</v>
      </c>
      <c r="C172" s="0" t="n">
        <v>17743</v>
      </c>
      <c r="D172" s="0" t="n">
        <v>1007618</v>
      </c>
      <c r="E172" s="0" t="n">
        <v>-0.03</v>
      </c>
      <c r="F172" s="0" t="n">
        <v>120023</v>
      </c>
      <c r="G172" s="0" t="n">
        <v>9.40352345181069</v>
      </c>
      <c r="H172" s="0" t="s">
        <v>328</v>
      </c>
      <c r="I172" s="0" t="n">
        <v>0.497508393421833</v>
      </c>
      <c r="J172" s="0" t="n">
        <v>11335</v>
      </c>
      <c r="K172" s="0" t="n">
        <v>6789</v>
      </c>
      <c r="L172" s="0" t="n">
        <v>984104</v>
      </c>
      <c r="M172" s="0" t="n">
        <v>979208</v>
      </c>
      <c r="N172" s="0" t="n">
        <v>953202</v>
      </c>
      <c r="O172" s="0" t="n">
        <v>2426</v>
      </c>
      <c r="P172" s="0" t="s">
        <v>135</v>
      </c>
      <c r="Q172" s="0" t="n">
        <v>0.246518660629364</v>
      </c>
      <c r="R172" s="0" t="n">
        <v>2.6949216119851</v>
      </c>
      <c r="S172" s="0" t="n">
        <v>-240</v>
      </c>
      <c r="T172" s="0" t="n">
        <v>2594</v>
      </c>
      <c r="U172" s="0" t="n">
        <v>0</v>
      </c>
      <c r="V172" s="0" t="n">
        <v>0</v>
      </c>
      <c r="W172" s="0" t="n">
        <v>20221231</v>
      </c>
      <c r="X172" s="0" t="n">
        <v>0.417446254000801</v>
      </c>
      <c r="Y172" s="0" t="n">
        <v>4.11</v>
      </c>
      <c r="Z172" s="0" t="s">
        <v>105</v>
      </c>
    </row>
    <row r="173" customFormat="false" ht="15" hidden="false" customHeight="false" outlineLevel="0" collapsed="false">
      <c r="A173" s="0" t="n">
        <v>173</v>
      </c>
      <c r="B173" s="0" t="n">
        <v>1607984</v>
      </c>
      <c r="C173" s="0" t="n">
        <v>17748</v>
      </c>
      <c r="D173" s="0" t="n">
        <v>1349761</v>
      </c>
      <c r="E173" s="0" t="n">
        <v>0.06</v>
      </c>
      <c r="F173" s="0" t="n">
        <v>106514</v>
      </c>
      <c r="G173" s="0" t="n">
        <v>6.62407088627748</v>
      </c>
      <c r="H173" s="0" t="s">
        <v>329</v>
      </c>
      <c r="I173" s="0" t="n">
        <v>0.817512014534263</v>
      </c>
      <c r="J173" s="0" t="n">
        <v>166333</v>
      </c>
      <c r="K173" s="0" t="n">
        <v>3017</v>
      </c>
      <c r="L173" s="0" t="n">
        <v>1241205</v>
      </c>
      <c r="M173" s="0" t="n">
        <v>1231058</v>
      </c>
      <c r="N173" s="0" t="n">
        <v>1039935</v>
      </c>
      <c r="O173" s="0" t="n">
        <v>6143</v>
      </c>
      <c r="P173" s="0" t="s">
        <v>137</v>
      </c>
      <c r="Q173" s="0" t="n">
        <v>0.494922273113627</v>
      </c>
      <c r="R173" s="0" t="n">
        <v>3.0347031274041</v>
      </c>
      <c r="S173" s="0" t="n">
        <v>242</v>
      </c>
      <c r="T173" s="0" t="n">
        <v>3233</v>
      </c>
      <c r="U173" s="0" t="n">
        <v>0</v>
      </c>
      <c r="V173" s="0" t="n">
        <v>0</v>
      </c>
      <c r="W173" s="0" t="n">
        <v>20221231</v>
      </c>
      <c r="X173" s="0" t="n">
        <v>0.399009983706452</v>
      </c>
      <c r="Y173" s="0" t="n">
        <v>5.35</v>
      </c>
      <c r="Z173" s="0" t="s">
        <v>105</v>
      </c>
    </row>
    <row r="174" customFormat="false" ht="15" hidden="false" customHeight="false" outlineLevel="0" collapsed="false">
      <c r="A174" s="0" t="n">
        <v>174</v>
      </c>
      <c r="B174" s="0" t="n">
        <v>1276951</v>
      </c>
      <c r="C174" s="0" t="n">
        <v>17749</v>
      </c>
      <c r="D174" s="0" t="n">
        <v>1055695</v>
      </c>
      <c r="E174" s="0" t="n">
        <v>0.05</v>
      </c>
      <c r="F174" s="0" t="n">
        <v>150442</v>
      </c>
      <c r="G174" s="0" t="n">
        <v>11.7813447814364</v>
      </c>
      <c r="H174" s="0" t="s">
        <v>330</v>
      </c>
      <c r="I174" s="0" t="n">
        <v>1.37966620355871</v>
      </c>
      <c r="J174" s="0" t="n">
        <v>48423</v>
      </c>
      <c r="K174" s="0" t="n">
        <v>9983</v>
      </c>
      <c r="L174" s="0" t="n">
        <v>724813</v>
      </c>
      <c r="M174" s="0" t="n">
        <v>714813</v>
      </c>
      <c r="N174" s="0" t="n">
        <v>655371</v>
      </c>
      <c r="O174" s="0" t="n">
        <v>204</v>
      </c>
      <c r="P174" s="0" t="s">
        <v>139</v>
      </c>
      <c r="Q174" s="0" t="n">
        <v>0.0281451905525977</v>
      </c>
      <c r="R174" s="0" t="n">
        <v>2.95051816547678</v>
      </c>
      <c r="S174" s="0" t="n">
        <v>17</v>
      </c>
      <c r="T174" s="0" t="n">
        <v>965</v>
      </c>
      <c r="U174" s="0" t="n">
        <v>0</v>
      </c>
      <c r="V174" s="0" t="n">
        <v>0</v>
      </c>
      <c r="W174" s="0" t="n">
        <v>20221231</v>
      </c>
      <c r="X174" s="0" t="n">
        <v>0.633133792451287</v>
      </c>
      <c r="Y174" s="0" t="n">
        <v>4.96</v>
      </c>
      <c r="Z174" s="0" t="s">
        <v>105</v>
      </c>
    </row>
    <row r="175" customFormat="false" ht="15" hidden="false" customHeight="false" outlineLevel="0" collapsed="false">
      <c r="A175" s="0" t="n">
        <v>175</v>
      </c>
      <c r="B175" s="0" t="n">
        <v>1450036</v>
      </c>
      <c r="C175" s="0" t="n">
        <v>17751</v>
      </c>
      <c r="D175" s="0" t="n">
        <v>1265376</v>
      </c>
      <c r="E175" s="0" t="n">
        <v>0.23</v>
      </c>
      <c r="F175" s="0" t="n">
        <v>125470</v>
      </c>
      <c r="G175" s="0" t="n">
        <v>8.65288861793776</v>
      </c>
      <c r="H175" s="0" t="s">
        <v>331</v>
      </c>
      <c r="I175" s="0" t="n">
        <v>1.25644457664089</v>
      </c>
      <c r="J175" s="0" t="n">
        <v>116008</v>
      </c>
      <c r="K175" s="0" t="n">
        <v>1809</v>
      </c>
      <c r="L175" s="0" t="n">
        <v>1210320</v>
      </c>
      <c r="M175" s="0" t="n">
        <v>1195113</v>
      </c>
      <c r="N175" s="0" t="n">
        <v>1045931</v>
      </c>
      <c r="O175" s="0" t="n">
        <v>6987</v>
      </c>
      <c r="P175" s="0" t="s">
        <v>141</v>
      </c>
      <c r="Q175" s="0" t="n">
        <v>0.577285346024192</v>
      </c>
      <c r="R175" s="0" t="n">
        <v>3.25537988746412</v>
      </c>
      <c r="S175" s="0" t="n">
        <v>-458</v>
      </c>
      <c r="T175" s="0" t="n">
        <v>2294</v>
      </c>
      <c r="U175" s="0" t="n">
        <v>0</v>
      </c>
      <c r="V175" s="0" t="n">
        <v>13.1251359750373</v>
      </c>
      <c r="W175" s="0" t="n">
        <v>20221231</v>
      </c>
      <c r="X175" s="0" t="n">
        <v>0.578831780065149</v>
      </c>
      <c r="Y175" s="0" t="n">
        <v>6.4</v>
      </c>
      <c r="Z175" s="0" t="s">
        <v>105</v>
      </c>
    </row>
    <row r="176" customFormat="false" ht="15" hidden="false" customHeight="false" outlineLevel="0" collapsed="false">
      <c r="A176" s="0" t="n">
        <v>176</v>
      </c>
      <c r="B176" s="0" t="n">
        <v>1640422</v>
      </c>
      <c r="C176" s="0" t="n">
        <v>17897</v>
      </c>
      <c r="D176" s="0" t="n">
        <v>1346856</v>
      </c>
      <c r="E176" s="0" t="n">
        <v>0.09</v>
      </c>
      <c r="F176" s="0" t="n">
        <v>195954</v>
      </c>
      <c r="G176" s="0" t="n">
        <v>11.9453408939895</v>
      </c>
      <c r="H176" s="0" t="s">
        <v>332</v>
      </c>
      <c r="I176" s="0" t="n">
        <v>0.64868533587646</v>
      </c>
      <c r="J176" s="0" t="n">
        <v>70885</v>
      </c>
      <c r="K176" s="0" t="n">
        <v>3472</v>
      </c>
      <c r="L176" s="0" t="n">
        <v>1382026</v>
      </c>
      <c r="M176" s="0" t="n">
        <v>1373061</v>
      </c>
      <c r="N176" s="0" t="n">
        <v>1298561</v>
      </c>
      <c r="O176" s="0" t="n">
        <v>3315</v>
      </c>
      <c r="P176" s="0" t="s">
        <v>143</v>
      </c>
      <c r="Q176" s="0" t="n">
        <v>0.239865241319628</v>
      </c>
      <c r="R176" s="0" t="n">
        <v>3.21087062819531</v>
      </c>
      <c r="S176" s="0" t="n">
        <v>-94</v>
      </c>
      <c r="T176" s="0" t="n">
        <v>2597</v>
      </c>
      <c r="U176" s="0" t="n">
        <v>0</v>
      </c>
      <c r="V176" s="0" t="n">
        <v>0</v>
      </c>
      <c r="W176" s="0" t="n">
        <v>20221231</v>
      </c>
      <c r="X176" s="0" t="n">
        <v>0.289515552655698</v>
      </c>
      <c r="Y176" s="0" t="n">
        <v>2.28</v>
      </c>
      <c r="Z176" s="0" t="s">
        <v>105</v>
      </c>
    </row>
    <row r="177" customFormat="false" ht="15" hidden="false" customHeight="false" outlineLevel="0" collapsed="false">
      <c r="A177" s="0" t="n">
        <v>177</v>
      </c>
      <c r="B177" s="0" t="n">
        <v>761892</v>
      </c>
      <c r="C177" s="0" t="n">
        <v>17951</v>
      </c>
      <c r="D177" s="0" t="n">
        <v>670773</v>
      </c>
      <c r="E177" s="0" t="n">
        <v>0.12</v>
      </c>
      <c r="F177" s="0" t="n">
        <v>55088</v>
      </c>
      <c r="G177" s="0" t="n">
        <v>7.23042110955358</v>
      </c>
      <c r="H177" s="0" t="s">
        <v>333</v>
      </c>
      <c r="I177" s="0" t="n">
        <v>0.815293417378781</v>
      </c>
      <c r="J177" s="0" t="n">
        <v>21098</v>
      </c>
      <c r="K177" s="0" t="n">
        <v>1648</v>
      </c>
      <c r="L177" s="0" t="n">
        <v>532569</v>
      </c>
      <c r="M177" s="0" t="n">
        <v>528227</v>
      </c>
      <c r="N177" s="0" t="n">
        <v>498217</v>
      </c>
      <c r="O177" s="0" t="n">
        <v>69</v>
      </c>
      <c r="P177" s="0" t="s">
        <v>145</v>
      </c>
      <c r="Q177" s="0" t="n">
        <v>0.0129560676644716</v>
      </c>
      <c r="R177" s="0" t="n">
        <v>3.1978524844161</v>
      </c>
      <c r="S177" s="0" t="n">
        <v>292</v>
      </c>
      <c r="T177" s="0" t="n">
        <v>114</v>
      </c>
      <c r="U177" s="0" t="n">
        <v>0</v>
      </c>
      <c r="V177" s="0" t="n">
        <v>14.5594363369594</v>
      </c>
      <c r="W177" s="0" t="n">
        <v>20221231</v>
      </c>
      <c r="X177" s="0" t="n">
        <v>0.957897026346038</v>
      </c>
      <c r="Y177" s="0" t="n">
        <v>12.35</v>
      </c>
      <c r="Z177" s="0" t="s">
        <v>123</v>
      </c>
    </row>
    <row r="178" customFormat="false" ht="15" hidden="false" customHeight="false" outlineLevel="0" collapsed="false">
      <c r="A178" s="0" t="n">
        <v>178</v>
      </c>
      <c r="B178" s="0" t="n">
        <v>1317746</v>
      </c>
      <c r="C178" s="0" t="n">
        <v>17960</v>
      </c>
      <c r="D178" s="0" t="n">
        <v>1042080</v>
      </c>
      <c r="E178" s="0" t="n">
        <v>0.12</v>
      </c>
      <c r="F178" s="0" t="n">
        <v>104375</v>
      </c>
      <c r="G178" s="0" t="n">
        <v>7.92072220291316</v>
      </c>
      <c r="H178" s="0" t="s">
        <v>334</v>
      </c>
      <c r="I178" s="0" t="n">
        <v>0.959567045352894</v>
      </c>
      <c r="J178" s="0" t="n">
        <v>105990</v>
      </c>
      <c r="K178" s="0" t="n">
        <v>197482</v>
      </c>
      <c r="L178" s="0" t="n">
        <v>1117900</v>
      </c>
      <c r="M178" s="0" t="n">
        <v>1107173</v>
      </c>
      <c r="N178" s="0" t="n">
        <v>810216</v>
      </c>
      <c r="O178" s="0" t="n">
        <v>789</v>
      </c>
      <c r="P178" s="0" t="s">
        <v>147</v>
      </c>
      <c r="Q178" s="0" t="n">
        <v>0.151176312729224</v>
      </c>
      <c r="R178" s="0" t="n">
        <v>3.52927271699529</v>
      </c>
      <c r="S178" s="0" t="n">
        <v>58</v>
      </c>
      <c r="T178" s="0" t="n">
        <v>2173</v>
      </c>
      <c r="U178" s="0" t="n">
        <v>901</v>
      </c>
      <c r="V178" s="0" t="n">
        <v>12.7428677725826</v>
      </c>
      <c r="W178" s="0" t="n">
        <v>20221231</v>
      </c>
      <c r="X178" s="0" t="n">
        <v>0.767586875249667</v>
      </c>
      <c r="Y178" s="0" t="n">
        <v>8.9</v>
      </c>
      <c r="Z178" s="0" t="s">
        <v>123</v>
      </c>
    </row>
    <row r="179" customFormat="false" ht="15" hidden="false" customHeight="false" outlineLevel="0" collapsed="false">
      <c r="A179" s="0" t="n">
        <v>179</v>
      </c>
      <c r="B179" s="0" t="n">
        <v>2432022</v>
      </c>
      <c r="C179" s="0" t="n">
        <v>18012</v>
      </c>
      <c r="D179" s="0" t="n">
        <v>2055299</v>
      </c>
      <c r="E179" s="0" t="n">
        <v>0.01</v>
      </c>
      <c r="F179" s="0" t="n">
        <v>239523</v>
      </c>
      <c r="G179" s="0" t="n">
        <v>9.84871847376381</v>
      </c>
      <c r="H179" s="0" t="s">
        <v>335</v>
      </c>
      <c r="I179" s="0" t="n">
        <v>1.16118510354045</v>
      </c>
      <c r="J179" s="0" t="n">
        <v>45540</v>
      </c>
      <c r="K179" s="0" t="n">
        <v>34202</v>
      </c>
      <c r="L179" s="0" t="n">
        <v>1963339</v>
      </c>
      <c r="M179" s="0" t="n">
        <v>1940541</v>
      </c>
      <c r="N179" s="0" t="n">
        <v>1858029</v>
      </c>
      <c r="O179" s="0" t="n">
        <v>1509</v>
      </c>
      <c r="P179" s="0" t="s">
        <v>149</v>
      </c>
      <c r="Q179" s="0" t="n">
        <v>0.0768588613581251</v>
      </c>
      <c r="R179" s="0" t="n">
        <v>3.56773617213357</v>
      </c>
      <c r="S179" s="0" t="n">
        <v>51</v>
      </c>
      <c r="T179" s="0" t="n">
        <v>1590</v>
      </c>
      <c r="U179" s="0" t="n">
        <v>0</v>
      </c>
      <c r="V179" s="0" t="n">
        <v>12.9616102023348</v>
      </c>
      <c r="W179" s="0" t="n">
        <v>20221231</v>
      </c>
      <c r="X179" s="0" t="n">
        <v>1.14794471486809</v>
      </c>
      <c r="Y179" s="0" t="n">
        <v>11.52</v>
      </c>
      <c r="Z179" s="0" t="s">
        <v>123</v>
      </c>
    </row>
    <row r="180" customFormat="false" ht="15" hidden="false" customHeight="false" outlineLevel="0" collapsed="false">
      <c r="A180" s="0" t="n">
        <v>180</v>
      </c>
      <c r="B180" s="0" t="n">
        <v>2733504</v>
      </c>
      <c r="C180" s="0" t="n">
        <v>18013</v>
      </c>
      <c r="D180" s="0" t="n">
        <v>2369151</v>
      </c>
      <c r="E180" s="0" t="n">
        <v>0.01</v>
      </c>
      <c r="F180" s="0" t="n">
        <v>202913</v>
      </c>
      <c r="G180" s="0" t="n">
        <v>7.42318284516869</v>
      </c>
      <c r="H180" s="0" t="s">
        <v>336</v>
      </c>
      <c r="I180" s="0" t="n">
        <v>0.864166630943969</v>
      </c>
      <c r="J180" s="0" t="n">
        <v>109331</v>
      </c>
      <c r="K180" s="0" t="n">
        <v>20430</v>
      </c>
      <c r="L180" s="0" t="n">
        <v>2169489</v>
      </c>
      <c r="M180" s="0" t="n">
        <v>2150741</v>
      </c>
      <c r="N180" s="0" t="n">
        <v>1987119</v>
      </c>
      <c r="O180" s="0" t="n">
        <v>1584</v>
      </c>
      <c r="P180" s="0" t="s">
        <v>151</v>
      </c>
      <c r="Q180" s="0" t="n">
        <v>0.0758704008178884</v>
      </c>
      <c r="R180" s="0" t="n">
        <v>3.17602118840462</v>
      </c>
      <c r="S180" s="0" t="n">
        <v>-34</v>
      </c>
      <c r="T180" s="0" t="n">
        <v>2395</v>
      </c>
      <c r="U180" s="0" t="n">
        <v>62</v>
      </c>
      <c r="V180" s="0" t="n">
        <v>13.2949257471121</v>
      </c>
      <c r="W180" s="0" t="n">
        <v>20221231</v>
      </c>
      <c r="X180" s="0" t="n">
        <v>0.710358869365882</v>
      </c>
      <c r="Y180" s="0" t="n">
        <v>9.11</v>
      </c>
      <c r="Z180" s="0" t="s">
        <v>123</v>
      </c>
    </row>
    <row r="181" customFormat="false" ht="15" hidden="false" customHeight="false" outlineLevel="0" collapsed="false">
      <c r="A181" s="0" t="n">
        <v>181</v>
      </c>
      <c r="B181" s="0" t="n">
        <v>382131</v>
      </c>
      <c r="C181" s="0" t="n">
        <v>18028</v>
      </c>
      <c r="D181" s="0" t="n">
        <v>329968</v>
      </c>
      <c r="E181" s="0" t="n">
        <v>0.1</v>
      </c>
      <c r="F181" s="0" t="n">
        <v>35637</v>
      </c>
      <c r="G181" s="0" t="n">
        <v>9.32585945657379</v>
      </c>
      <c r="H181" s="0" t="s">
        <v>337</v>
      </c>
      <c r="I181" s="0" t="n">
        <v>0.959418956849934</v>
      </c>
      <c r="J181" s="0" t="n">
        <v>18569</v>
      </c>
      <c r="K181" s="0" t="n">
        <v>8838</v>
      </c>
      <c r="L181" s="0" t="n">
        <v>252236</v>
      </c>
      <c r="M181" s="0" t="n">
        <v>249816</v>
      </c>
      <c r="N181" s="0" t="n">
        <v>218425</v>
      </c>
      <c r="O181" s="0" t="n">
        <v>1059</v>
      </c>
      <c r="P181" s="0" t="s">
        <v>153</v>
      </c>
      <c r="Q181" s="0" t="n">
        <v>0.600627983317211</v>
      </c>
      <c r="R181" s="0" t="n">
        <v>3.44182797024617</v>
      </c>
      <c r="S181" s="0" t="n">
        <v>220</v>
      </c>
      <c r="T181" s="0" t="n">
        <v>820</v>
      </c>
      <c r="U181" s="0" t="n">
        <v>456</v>
      </c>
      <c r="V181" s="0" t="n">
        <v>0</v>
      </c>
      <c r="W181" s="0" t="n">
        <v>20221231</v>
      </c>
      <c r="X181" s="0" t="n">
        <v>0.675459452597504</v>
      </c>
      <c r="Y181" s="0" t="n">
        <v>6.48</v>
      </c>
      <c r="Z181" s="0" t="s">
        <v>123</v>
      </c>
    </row>
    <row r="182" customFormat="false" ht="15" hidden="false" customHeight="false" outlineLevel="0" collapsed="false">
      <c r="A182" s="0" t="n">
        <v>182</v>
      </c>
      <c r="B182" s="0" t="n">
        <v>702716</v>
      </c>
      <c r="C182" s="0" t="n">
        <v>18030</v>
      </c>
      <c r="D182" s="0" t="n">
        <v>654989</v>
      </c>
      <c r="E182" s="0" t="n">
        <v>0.19</v>
      </c>
      <c r="F182" s="0" t="n">
        <v>42204</v>
      </c>
      <c r="G182" s="0" t="n">
        <v>6.00584019717781</v>
      </c>
      <c r="H182" s="0" t="s">
        <v>338</v>
      </c>
      <c r="I182" s="0" t="n">
        <v>1.00065102159615</v>
      </c>
      <c r="J182" s="0" t="n">
        <v>34512</v>
      </c>
      <c r="K182" s="0" t="n">
        <v>86350</v>
      </c>
      <c r="L182" s="0" t="n">
        <v>551441</v>
      </c>
      <c r="M182" s="0" t="n">
        <v>545923</v>
      </c>
      <c r="N182" s="0" t="n">
        <v>430473</v>
      </c>
      <c r="O182" s="0" t="n">
        <v>822</v>
      </c>
      <c r="P182" s="0" t="s">
        <v>155</v>
      </c>
      <c r="Q182" s="0" t="n">
        <v>0.149063997780361</v>
      </c>
      <c r="R182" s="0" t="n">
        <v>3.23438857231214</v>
      </c>
      <c r="S182" s="0" t="n">
        <v>172</v>
      </c>
      <c r="T182" s="0" t="n">
        <v>415</v>
      </c>
      <c r="U182" s="0" t="n">
        <v>0</v>
      </c>
      <c r="V182" s="0" t="n">
        <v>12.9663643069234</v>
      </c>
      <c r="W182" s="0" t="n">
        <v>20221231</v>
      </c>
      <c r="X182" s="0" t="n">
        <v>0.385791360891022</v>
      </c>
      <c r="Y182" s="0" t="n">
        <v>5.8</v>
      </c>
      <c r="Z182" s="0" t="s">
        <v>123</v>
      </c>
    </row>
    <row r="183" customFormat="false" ht="15" hidden="false" customHeight="false" outlineLevel="0" collapsed="false">
      <c r="A183" s="0" t="n">
        <v>183</v>
      </c>
      <c r="B183" s="0" t="n">
        <v>648071</v>
      </c>
      <c r="C183" s="0" t="n">
        <v>18031</v>
      </c>
      <c r="D183" s="0" t="n">
        <v>582524</v>
      </c>
      <c r="E183" s="0" t="n">
        <v>-0.12</v>
      </c>
      <c r="F183" s="0" t="n">
        <v>35327</v>
      </c>
      <c r="G183" s="0" t="n">
        <v>5.45110026524872</v>
      </c>
      <c r="H183" s="0" t="s">
        <v>339</v>
      </c>
      <c r="I183" s="0" t="n">
        <v>0.923401104108779</v>
      </c>
      <c r="J183" s="0" t="n">
        <v>28982</v>
      </c>
      <c r="K183" s="0" t="n">
        <v>8276</v>
      </c>
      <c r="L183" s="0" t="n">
        <v>463179</v>
      </c>
      <c r="M183" s="0" t="n">
        <v>458902</v>
      </c>
      <c r="N183" s="0" t="n">
        <v>421449</v>
      </c>
      <c r="O183" s="0" t="n">
        <v>630</v>
      </c>
      <c r="P183" s="0" t="s">
        <v>157</v>
      </c>
      <c r="Q183" s="0" t="n">
        <v>0.136016529246792</v>
      </c>
      <c r="R183" s="0" t="n">
        <v>3.04436126621075</v>
      </c>
      <c r="S183" s="0" t="n">
        <v>6</v>
      </c>
      <c r="T183" s="0" t="n">
        <v>1137</v>
      </c>
      <c r="U183" s="0" t="n">
        <v>0</v>
      </c>
      <c r="V183" s="0" t="n">
        <v>16.3655120252505</v>
      </c>
      <c r="W183" s="0" t="n">
        <v>20221231</v>
      </c>
      <c r="X183" s="0" t="n">
        <v>0.634198912846815</v>
      </c>
      <c r="Y183" s="0" t="n">
        <v>9.66</v>
      </c>
      <c r="Z183" s="0" t="s">
        <v>123</v>
      </c>
    </row>
    <row r="184" customFormat="false" ht="15" hidden="false" customHeight="false" outlineLevel="0" collapsed="false">
      <c r="A184" s="0" t="n">
        <v>184</v>
      </c>
      <c r="B184" s="0" t="n">
        <v>530980</v>
      </c>
      <c r="C184" s="0" t="n">
        <v>18038</v>
      </c>
      <c r="D184" s="0" t="n">
        <v>432649</v>
      </c>
      <c r="E184" s="0" t="n">
        <v>-0.04</v>
      </c>
      <c r="F184" s="0" t="n">
        <v>63947</v>
      </c>
      <c r="G184" s="0" t="n">
        <v>12.043203133828</v>
      </c>
      <c r="H184" s="0" t="s">
        <v>340</v>
      </c>
      <c r="I184" s="0" t="n">
        <v>1.05005146585111</v>
      </c>
      <c r="J184" s="0" t="n">
        <v>16994</v>
      </c>
      <c r="K184" s="0" t="n">
        <v>3229</v>
      </c>
      <c r="L184" s="0" t="n">
        <v>405123</v>
      </c>
      <c r="M184" s="0" t="n">
        <v>400869</v>
      </c>
      <c r="N184" s="0" t="n">
        <v>384424</v>
      </c>
      <c r="O184" s="0" t="n">
        <v>2186</v>
      </c>
      <c r="P184" s="0" t="s">
        <v>159</v>
      </c>
      <c r="Q184" s="0" t="n">
        <v>0.53958921117784</v>
      </c>
      <c r="R184" s="0" t="n">
        <v>3.1083634457838</v>
      </c>
      <c r="S184" s="0" t="n">
        <v>-169</v>
      </c>
      <c r="T184" s="0" t="n">
        <v>3681</v>
      </c>
      <c r="U184" s="0" t="n">
        <v>0</v>
      </c>
      <c r="V184" s="0" t="n">
        <v>0</v>
      </c>
      <c r="W184" s="0" t="n">
        <v>20221231</v>
      </c>
      <c r="X184" s="0" t="n">
        <v>-0.282240555796787</v>
      </c>
      <c r="Y184" s="0" t="n">
        <v>-2.12</v>
      </c>
      <c r="Z184" s="0" t="s">
        <v>123</v>
      </c>
    </row>
    <row r="185" customFormat="false" ht="15" hidden="false" customHeight="false" outlineLevel="0" collapsed="false">
      <c r="A185" s="0" t="n">
        <v>185</v>
      </c>
      <c r="B185" s="0" t="n">
        <v>7377141</v>
      </c>
      <c r="C185" s="0" t="n">
        <v>18408</v>
      </c>
      <c r="D185" s="0" t="n">
        <v>5909658</v>
      </c>
      <c r="E185" s="0" t="n">
        <v>-0.16</v>
      </c>
      <c r="F185" s="0" t="n">
        <v>349062</v>
      </c>
      <c r="G185" s="0" t="n">
        <v>4.73167043980859</v>
      </c>
      <c r="H185" s="0" t="s">
        <v>341</v>
      </c>
      <c r="I185" s="0" t="n">
        <v>0.806778497714869</v>
      </c>
      <c r="J185" s="0" t="n">
        <v>320720</v>
      </c>
      <c r="K185" s="0" t="n">
        <v>29697</v>
      </c>
      <c r="L185" s="0" t="n">
        <v>4697324</v>
      </c>
      <c r="M185" s="0" t="n">
        <v>4659427</v>
      </c>
      <c r="N185" s="0" t="n">
        <v>4276244</v>
      </c>
      <c r="O185" s="0" t="n">
        <v>5657</v>
      </c>
      <c r="P185" s="0" t="s">
        <v>161</v>
      </c>
      <c r="Q185" s="0" t="n">
        <v>0.120430270511466</v>
      </c>
      <c r="R185" s="0" t="n">
        <v>2.6371533699813</v>
      </c>
      <c r="S185" s="0" t="n">
        <v>246</v>
      </c>
      <c r="T185" s="0" t="n">
        <v>7442</v>
      </c>
      <c r="U185" s="0" t="n">
        <v>0</v>
      </c>
      <c r="V185" s="0" t="n">
        <v>11.766441688643</v>
      </c>
      <c r="W185" s="0" t="n">
        <v>20221231</v>
      </c>
      <c r="X185" s="0" t="n">
        <v>0.719697481409942</v>
      </c>
      <c r="Y185" s="0" t="n">
        <v>12.38</v>
      </c>
      <c r="Z185" s="0" t="s">
        <v>105</v>
      </c>
    </row>
    <row r="186" customFormat="false" ht="15" hidden="false" customHeight="false" outlineLevel="0" collapsed="false">
      <c r="A186" s="0" t="n">
        <v>186</v>
      </c>
      <c r="B186" s="0" t="n">
        <v>2360784</v>
      </c>
      <c r="C186" s="0" t="n">
        <v>19531</v>
      </c>
      <c r="D186" s="0" t="n">
        <v>1966979</v>
      </c>
      <c r="E186" s="0" t="n">
        <v>0</v>
      </c>
      <c r="F186" s="0" t="n">
        <v>223250</v>
      </c>
      <c r="G186" s="0" t="n">
        <v>9.45660424672482</v>
      </c>
      <c r="H186" s="0" t="s">
        <v>342</v>
      </c>
      <c r="I186" s="0" t="n">
        <v>1.23835035822002</v>
      </c>
      <c r="J186" s="0" t="n">
        <v>244556</v>
      </c>
      <c r="K186" s="0" t="n">
        <v>13770</v>
      </c>
      <c r="L186" s="0" t="n">
        <v>1885573</v>
      </c>
      <c r="M186" s="0" t="n">
        <v>1862223</v>
      </c>
      <c r="N186" s="0" t="n">
        <v>1530116</v>
      </c>
      <c r="O186" s="0" t="n">
        <v>8354</v>
      </c>
      <c r="P186" s="0" t="s">
        <v>163</v>
      </c>
      <c r="Q186" s="0" t="n">
        <v>0.443048346576876</v>
      </c>
      <c r="R186" s="0" t="n">
        <v>3.51497175830085</v>
      </c>
      <c r="S186" s="0" t="n">
        <v>201</v>
      </c>
      <c r="T186" s="0" t="n">
        <v>8421</v>
      </c>
      <c r="U186" s="0" t="n">
        <v>0</v>
      </c>
      <c r="V186" s="0" t="n">
        <v>14.3614098222374</v>
      </c>
      <c r="W186" s="0" t="n">
        <v>20221231</v>
      </c>
      <c r="X186" s="0" t="n">
        <v>0.703967262708858</v>
      </c>
      <c r="Y186" s="0" t="n">
        <v>7.12</v>
      </c>
      <c r="Z186" s="0" t="s">
        <v>105</v>
      </c>
    </row>
    <row r="187" customFormat="false" ht="15" hidden="false" customHeight="false" outlineLevel="0" collapsed="false">
      <c r="A187" s="0" t="n">
        <v>187</v>
      </c>
      <c r="B187" s="0" t="n">
        <v>774373</v>
      </c>
      <c r="C187" s="0" t="n">
        <v>19532</v>
      </c>
      <c r="D187" s="0" t="n">
        <v>673912</v>
      </c>
      <c r="E187" s="0" t="n">
        <v>0</v>
      </c>
      <c r="F187" s="0" t="n">
        <v>87739</v>
      </c>
      <c r="G187" s="0" t="n">
        <v>11.3303278910809</v>
      </c>
      <c r="H187" s="0" t="s">
        <v>343</v>
      </c>
      <c r="I187" s="0" t="n">
        <v>1.07683149543803</v>
      </c>
      <c r="J187" s="0" t="n">
        <v>30200</v>
      </c>
      <c r="K187" s="0" t="n">
        <v>46433</v>
      </c>
      <c r="L187" s="0" t="n">
        <v>544282</v>
      </c>
      <c r="M187" s="0" t="n">
        <v>538421</v>
      </c>
      <c r="N187" s="0" t="n">
        <v>460817</v>
      </c>
      <c r="O187" s="0" t="n">
        <v>797</v>
      </c>
      <c r="P187" s="0" t="s">
        <v>165</v>
      </c>
      <c r="Q187" s="0" t="n">
        <v>0.146431445463932</v>
      </c>
      <c r="R187" s="0" t="n">
        <v>3.35594796053323</v>
      </c>
      <c r="S187" s="0" t="n">
        <v>45</v>
      </c>
      <c r="T187" s="0" t="n">
        <v>790</v>
      </c>
      <c r="U187" s="0" t="n">
        <v>0</v>
      </c>
      <c r="V187" s="0" t="n">
        <v>20.8845928529584</v>
      </c>
      <c r="W187" s="0" t="n">
        <v>20221231</v>
      </c>
      <c r="X187" s="0" t="n">
        <v>0.722576685653743</v>
      </c>
      <c r="Y187" s="0" t="n">
        <v>6.05</v>
      </c>
      <c r="Z187" s="0" t="s">
        <v>105</v>
      </c>
    </row>
    <row r="188" customFormat="false" ht="15" hidden="false" customHeight="false" outlineLevel="0" collapsed="false">
      <c r="A188" s="0" t="n">
        <v>188</v>
      </c>
      <c r="B188" s="0" t="n">
        <v>2809418</v>
      </c>
      <c r="C188" s="0" t="n">
        <v>19690</v>
      </c>
      <c r="D188" s="0" t="n">
        <v>2251472</v>
      </c>
      <c r="E188" s="0" t="n">
        <v>0</v>
      </c>
      <c r="F188" s="0" t="n">
        <v>263427</v>
      </c>
      <c r="G188" s="0" t="n">
        <v>9.37656838533817</v>
      </c>
      <c r="H188" s="0" t="s">
        <v>344</v>
      </c>
      <c r="I188" s="0" t="n">
        <v>0.255952972683578</v>
      </c>
      <c r="J188" s="0" t="n">
        <v>46473</v>
      </c>
      <c r="K188" s="0" t="n">
        <v>609</v>
      </c>
      <c r="L188" s="0" t="n">
        <v>2504757</v>
      </c>
      <c r="M188" s="0" t="n">
        <v>2498346</v>
      </c>
      <c r="N188" s="0" t="n">
        <v>2024933</v>
      </c>
      <c r="O188" s="0" t="n">
        <v>12899</v>
      </c>
      <c r="P188" s="0" t="s">
        <v>167</v>
      </c>
      <c r="Q188" s="0" t="n">
        <v>0.514980095873572</v>
      </c>
      <c r="R188" s="0" t="n">
        <v>5.49030154110946</v>
      </c>
      <c r="S188" s="0" t="n">
        <v>-362</v>
      </c>
      <c r="T188" s="0" t="n">
        <v>10727</v>
      </c>
      <c r="U188" s="0" t="n">
        <v>0</v>
      </c>
      <c r="V188" s="0" t="n">
        <v>11.1047375715636</v>
      </c>
      <c r="W188" s="0" t="n">
        <v>20221231</v>
      </c>
      <c r="X188" s="0" t="n">
        <v>2.20866479041863</v>
      </c>
      <c r="Y188" s="0" t="n">
        <v>16.18</v>
      </c>
      <c r="Z188" s="0" t="s">
        <v>105</v>
      </c>
    </row>
    <row r="189" customFormat="false" ht="15" hidden="false" customHeight="false" outlineLevel="0" collapsed="false">
      <c r="A189" s="0" t="n">
        <v>189</v>
      </c>
      <c r="B189" s="0" t="n">
        <v>578817</v>
      </c>
      <c r="C189" s="0" t="n">
        <v>19836</v>
      </c>
      <c r="D189" s="0" t="n">
        <v>445845</v>
      </c>
      <c r="E189" s="0" t="n">
        <v>0.09</v>
      </c>
      <c r="F189" s="0" t="n">
        <v>116585</v>
      </c>
      <c r="G189" s="0" t="n">
        <v>20.1419446906362</v>
      </c>
      <c r="H189" s="0" t="s">
        <v>345</v>
      </c>
      <c r="I189" s="0" t="n">
        <v>0.892709299244933</v>
      </c>
      <c r="J189" s="0" t="n">
        <v>49718</v>
      </c>
      <c r="K189" s="0" t="n">
        <v>11831</v>
      </c>
      <c r="L189" s="0" t="n">
        <v>483136</v>
      </c>
      <c r="M189" s="0" t="n">
        <v>478823</v>
      </c>
      <c r="N189" s="0" t="n">
        <v>416786</v>
      </c>
      <c r="O189" s="0" t="n">
        <v>1681</v>
      </c>
      <c r="P189" s="0" t="s">
        <v>145</v>
      </c>
      <c r="Q189" s="0" t="n">
        <v>0.369875149026361</v>
      </c>
      <c r="R189" s="0" t="n">
        <v>4.22369418469126</v>
      </c>
      <c r="S189" s="0" t="n">
        <v>111</v>
      </c>
      <c r="T189" s="0" t="n">
        <v>2966</v>
      </c>
      <c r="U189" s="0" t="n">
        <v>106</v>
      </c>
      <c r="V189" s="0" t="n">
        <v>28.2794278089045</v>
      </c>
      <c r="W189" s="0" t="n">
        <v>20221231</v>
      </c>
      <c r="X189" s="0" t="n">
        <v>0.83577055943012</v>
      </c>
      <c r="Y189" s="0" t="n">
        <v>4.14</v>
      </c>
      <c r="Z189" s="0" t="s">
        <v>105</v>
      </c>
    </row>
    <row r="190" customFormat="false" ht="15" hidden="false" customHeight="false" outlineLevel="0" collapsed="false">
      <c r="A190" s="0" t="n">
        <v>190</v>
      </c>
      <c r="B190" s="0" t="n">
        <v>1260196</v>
      </c>
      <c r="C190" s="0" t="n">
        <v>24540</v>
      </c>
      <c r="D190" s="0" t="n">
        <v>1017970</v>
      </c>
      <c r="E190" s="0" t="n">
        <v>0.05</v>
      </c>
      <c r="F190" s="0" t="n">
        <v>214985</v>
      </c>
      <c r="G190" s="0" t="n">
        <v>17.0596478643005</v>
      </c>
      <c r="H190" s="0" t="s">
        <v>346</v>
      </c>
      <c r="I190" s="0" t="n">
        <v>1.21993508028503</v>
      </c>
      <c r="J190" s="0" t="n">
        <v>42837</v>
      </c>
      <c r="K190" s="0" t="n">
        <v>32</v>
      </c>
      <c r="L190" s="0" t="n">
        <v>1087189</v>
      </c>
      <c r="M190" s="0" t="n">
        <v>1073926</v>
      </c>
      <c r="N190" s="0" t="n">
        <v>1047480</v>
      </c>
      <c r="O190" s="0" t="n">
        <v>372</v>
      </c>
      <c r="P190" s="0" t="s">
        <v>170</v>
      </c>
      <c r="Q190" s="0" t="n">
        <v>0.0342166817361102</v>
      </c>
      <c r="R190" s="0" t="n">
        <v>4.74422673868285</v>
      </c>
      <c r="S190" s="0" t="n">
        <v>-15</v>
      </c>
      <c r="T190" s="0" t="n">
        <v>2026</v>
      </c>
      <c r="U190" s="0" t="n">
        <v>0</v>
      </c>
      <c r="V190" s="0" t="n">
        <v>0</v>
      </c>
      <c r="W190" s="0" t="n">
        <v>20221231</v>
      </c>
      <c r="X190" s="0" t="n">
        <v>2.4490506964624</v>
      </c>
      <c r="Y190" s="0" t="n">
        <v>15.2</v>
      </c>
      <c r="Z190" s="0" t="s">
        <v>123</v>
      </c>
    </row>
    <row r="191" customFormat="false" ht="15" hidden="false" customHeight="false" outlineLevel="0" collapsed="false">
      <c r="A191" s="0" t="n">
        <v>191</v>
      </c>
      <c r="B191" s="0" t="n">
        <v>487232</v>
      </c>
      <c r="C191" s="0" t="n">
        <v>27824</v>
      </c>
      <c r="D191" s="0" t="n">
        <v>385881</v>
      </c>
      <c r="E191" s="0" t="n">
        <v>0.02</v>
      </c>
      <c r="F191" s="0" t="n">
        <v>66059</v>
      </c>
      <c r="G191" s="0" t="n">
        <v>13.558017535794</v>
      </c>
      <c r="H191" s="0" t="s">
        <v>347</v>
      </c>
      <c r="I191" s="0" t="n">
        <v>0.771508206875193</v>
      </c>
      <c r="J191" s="0" t="n">
        <v>21116</v>
      </c>
      <c r="K191" s="0" t="n">
        <v>39942</v>
      </c>
      <c r="L191" s="0" t="n">
        <v>403625</v>
      </c>
      <c r="M191" s="0" t="n">
        <v>400511</v>
      </c>
      <c r="N191" s="0" t="n">
        <v>342567</v>
      </c>
      <c r="O191" s="0" t="n">
        <v>881</v>
      </c>
      <c r="P191" s="0" t="s">
        <v>172</v>
      </c>
      <c r="Q191" s="0" t="n">
        <v>0.2182719108083</v>
      </c>
      <c r="R191" s="0" t="n">
        <v>2.83552534330862</v>
      </c>
      <c r="S191" s="0" t="n">
        <v>58</v>
      </c>
      <c r="T191" s="0" t="n">
        <v>967</v>
      </c>
      <c r="U191" s="0" t="n">
        <v>0</v>
      </c>
      <c r="V191" s="0" t="n">
        <v>23.0970442865222</v>
      </c>
      <c r="W191" s="0" t="n">
        <v>20221231</v>
      </c>
      <c r="X191" s="0" t="n">
        <v>0.24575653263604</v>
      </c>
      <c r="Y191" s="0" t="n">
        <v>1.69</v>
      </c>
      <c r="Z191" s="0" t="s">
        <v>123</v>
      </c>
    </row>
    <row r="192" customFormat="false" ht="15" hidden="false" customHeight="false" outlineLevel="0" collapsed="false">
      <c r="A192" s="0" t="n">
        <v>192</v>
      </c>
      <c r="B192" s="0" t="n">
        <v>297675</v>
      </c>
      <c r="C192" s="0" t="n">
        <v>28155</v>
      </c>
      <c r="D192" s="0" t="n">
        <v>258019</v>
      </c>
      <c r="E192" s="0" t="n">
        <v>0.03</v>
      </c>
      <c r="F192" s="0" t="n">
        <v>27626</v>
      </c>
      <c r="G192" s="0" t="n">
        <v>9.28059124884522</v>
      </c>
      <c r="H192" s="0" t="s">
        <v>348</v>
      </c>
      <c r="I192" s="0" t="n">
        <v>0.578169971850587</v>
      </c>
      <c r="J192" s="0" t="n">
        <v>6284</v>
      </c>
      <c r="K192" s="0" t="n">
        <v>5033</v>
      </c>
      <c r="L192" s="0" t="n">
        <v>158085</v>
      </c>
      <c r="M192" s="0" t="n">
        <v>157171</v>
      </c>
      <c r="N192" s="0" t="n">
        <v>146082</v>
      </c>
      <c r="O192" s="0" t="n">
        <v>67</v>
      </c>
      <c r="P192" s="0" t="s">
        <v>174</v>
      </c>
      <c r="Q192" s="0" t="n">
        <v>0.0423822627067716</v>
      </c>
      <c r="R192" s="0" t="n">
        <v>2.77876474751211</v>
      </c>
      <c r="S192" s="0" t="n">
        <v>5</v>
      </c>
      <c r="T192" s="0" t="n">
        <v>732</v>
      </c>
      <c r="U192" s="0" t="n">
        <v>0</v>
      </c>
      <c r="V192" s="0" t="n">
        <v>18.1932924630364</v>
      </c>
      <c r="W192" s="0" t="n">
        <v>20221231</v>
      </c>
      <c r="X192" s="0" t="n">
        <v>0.129023320625668</v>
      </c>
      <c r="Y192" s="0" t="n">
        <v>1.38</v>
      </c>
      <c r="Z192" s="0" t="s">
        <v>123</v>
      </c>
    </row>
    <row r="193" customFormat="false" ht="15" hidden="false" customHeight="false" outlineLevel="0" collapsed="false">
      <c r="A193" s="0" t="n">
        <v>193</v>
      </c>
      <c r="B193" s="0" t="n">
        <v>101567</v>
      </c>
      <c r="C193" s="0" t="n">
        <v>28288</v>
      </c>
      <c r="D193" s="0" t="n">
        <v>81268</v>
      </c>
      <c r="E193" s="0" t="n">
        <v>0.04</v>
      </c>
      <c r="F193" s="0" t="n">
        <v>5901</v>
      </c>
      <c r="G193" s="0" t="n">
        <v>5.80995795878583</v>
      </c>
      <c r="H193" s="0" t="s">
        <v>349</v>
      </c>
      <c r="I193" s="0" t="n">
        <v>1.09490905395793</v>
      </c>
      <c r="J193" s="0" t="n">
        <v>3446</v>
      </c>
      <c r="K193" s="0" t="n">
        <v>633</v>
      </c>
      <c r="L193" s="0" t="n">
        <v>78728</v>
      </c>
      <c r="M193" s="0" t="n">
        <v>77866</v>
      </c>
      <c r="N193" s="0" t="n">
        <v>74650</v>
      </c>
      <c r="O193" s="0" t="n">
        <v>364</v>
      </c>
      <c r="P193" s="0" t="s">
        <v>176</v>
      </c>
      <c r="Q193" s="0" t="n">
        <v>0.462351387054161</v>
      </c>
      <c r="R193" s="0" t="n">
        <v>3.46738373105731</v>
      </c>
      <c r="S193" s="0" t="n">
        <v>45</v>
      </c>
      <c r="T193" s="0" t="n">
        <v>54</v>
      </c>
      <c r="U193" s="0" t="n">
        <v>0</v>
      </c>
      <c r="V193" s="0" t="n">
        <v>13.6622857582046</v>
      </c>
      <c r="W193" s="0" t="n">
        <v>20221231</v>
      </c>
      <c r="X193" s="0" t="n">
        <v>0.0982367028867113</v>
      </c>
      <c r="Y193" s="0" t="n">
        <v>1.43</v>
      </c>
      <c r="Z193" s="0" t="s">
        <v>105</v>
      </c>
    </row>
    <row r="194" customFormat="false" ht="15" hidden="false" customHeight="false" outlineLevel="0" collapsed="false">
      <c r="A194" s="0" t="n">
        <v>194</v>
      </c>
      <c r="B194" s="0" t="n">
        <v>86156</v>
      </c>
      <c r="C194" s="0" t="n">
        <v>28369</v>
      </c>
      <c r="D194" s="0" t="n">
        <v>76209</v>
      </c>
      <c r="E194" s="0" t="n">
        <v>-0.01</v>
      </c>
      <c r="F194" s="0" t="n">
        <v>9537</v>
      </c>
      <c r="G194" s="0" t="n">
        <v>11.069455406472</v>
      </c>
      <c r="H194" s="0" t="s">
        <v>350</v>
      </c>
      <c r="I194" s="0" t="n">
        <v>0.746960362030424</v>
      </c>
      <c r="J194" s="0" t="n">
        <v>10376</v>
      </c>
      <c r="K194" s="0" t="n">
        <v>789</v>
      </c>
      <c r="L194" s="0" t="n">
        <v>73364</v>
      </c>
      <c r="M194" s="0" t="n">
        <v>72816</v>
      </c>
      <c r="N194" s="0" t="n">
        <v>62199</v>
      </c>
      <c r="O194" s="0" t="n">
        <v>243</v>
      </c>
      <c r="P194" s="0" t="s">
        <v>178</v>
      </c>
      <c r="Q194" s="0" t="n">
        <v>0.331225124039038</v>
      </c>
      <c r="R194" s="0" t="n">
        <v>3.68178301928101</v>
      </c>
      <c r="S194" s="0" t="n">
        <v>-9</v>
      </c>
      <c r="T194" s="0" t="n">
        <v>299</v>
      </c>
      <c r="U194" s="0" t="n">
        <v>0</v>
      </c>
      <c r="V194" s="0" t="n">
        <v>0</v>
      </c>
      <c r="W194" s="0" t="n">
        <v>20221231</v>
      </c>
      <c r="X194" s="0" t="n">
        <v>0.120898935398517</v>
      </c>
      <c r="Y194" s="0" t="n">
        <v>1.11</v>
      </c>
      <c r="Z194" s="0" t="s">
        <v>105</v>
      </c>
    </row>
    <row r="195" customFormat="false" ht="15" hidden="false" customHeight="false" outlineLevel="0" collapsed="false">
      <c r="A195" s="0" t="n">
        <v>195</v>
      </c>
      <c r="B195" s="0" t="n">
        <v>309393</v>
      </c>
      <c r="C195" s="0" t="n">
        <v>28837</v>
      </c>
      <c r="D195" s="0" t="n">
        <v>282476</v>
      </c>
      <c r="E195" s="0" t="n">
        <v>0.04</v>
      </c>
      <c r="F195" s="0" t="n">
        <v>23557</v>
      </c>
      <c r="G195" s="0" t="n">
        <v>7.61394084546192</v>
      </c>
      <c r="H195" s="0" t="s">
        <v>351</v>
      </c>
      <c r="I195" s="0" t="n">
        <v>1.22063785091349</v>
      </c>
      <c r="J195" s="0" t="n">
        <v>6121</v>
      </c>
      <c r="K195" s="0" t="n">
        <v>1547</v>
      </c>
      <c r="L195" s="0" t="n">
        <v>188508</v>
      </c>
      <c r="M195" s="0" t="n">
        <v>186207</v>
      </c>
      <c r="N195" s="0" t="n">
        <v>179883</v>
      </c>
      <c r="O195" s="0" t="n">
        <v>19</v>
      </c>
      <c r="P195" s="0" t="s">
        <v>180</v>
      </c>
      <c r="Q195" s="0" t="n">
        <v>0.0100791478345746</v>
      </c>
      <c r="R195" s="0" t="n">
        <v>3.00954600230921</v>
      </c>
      <c r="S195" s="0" t="n">
        <v>117</v>
      </c>
      <c r="T195" s="0" t="n">
        <v>480</v>
      </c>
      <c r="U195" s="0" t="n">
        <v>0</v>
      </c>
      <c r="V195" s="0" t="n">
        <v>15.4061497879384</v>
      </c>
      <c r="W195" s="0" t="n">
        <v>20221231</v>
      </c>
      <c r="X195" s="0" t="n">
        <v>0.587269738016854</v>
      </c>
      <c r="Y195" s="0" t="n">
        <v>7.87</v>
      </c>
      <c r="Z195" s="0" t="s">
        <v>112</v>
      </c>
    </row>
    <row r="196" customFormat="false" ht="15" hidden="false" customHeight="false" outlineLevel="0" collapsed="false">
      <c r="A196" s="0" t="n">
        <v>196</v>
      </c>
      <c r="B196" s="0" t="n">
        <v>181529</v>
      </c>
      <c r="C196" s="0" t="n">
        <v>29636</v>
      </c>
      <c r="D196" s="0" t="n">
        <v>149099</v>
      </c>
      <c r="E196" s="0" t="n">
        <v>0.05</v>
      </c>
      <c r="F196" s="0" t="n">
        <v>24331</v>
      </c>
      <c r="G196" s="0" t="n">
        <v>13.4033680568945</v>
      </c>
      <c r="H196" s="0" t="s">
        <v>352</v>
      </c>
      <c r="I196" s="0" t="n">
        <v>1.4302922007993</v>
      </c>
      <c r="J196" s="0" t="n">
        <v>1648</v>
      </c>
      <c r="K196" s="0" t="n">
        <v>1819</v>
      </c>
      <c r="L196" s="0" t="n">
        <v>125359</v>
      </c>
      <c r="M196" s="0" t="n">
        <v>123566</v>
      </c>
      <c r="N196" s="0" t="n">
        <v>121892</v>
      </c>
      <c r="O196" s="0" t="n">
        <v>2260</v>
      </c>
      <c r="P196" s="0" t="s">
        <v>182</v>
      </c>
      <c r="Q196" s="0" t="n">
        <v>1.80282229437057</v>
      </c>
      <c r="R196" s="0" t="n">
        <v>3.34702562270041</v>
      </c>
      <c r="S196" s="0" t="n">
        <v>-42</v>
      </c>
      <c r="T196" s="0" t="n">
        <v>2724</v>
      </c>
      <c r="U196" s="0" t="n">
        <v>0</v>
      </c>
      <c r="V196" s="0" t="n">
        <v>27.508772658375</v>
      </c>
      <c r="W196" s="0" t="n">
        <v>20221231</v>
      </c>
      <c r="X196" s="0" t="n">
        <v>0.361070715672017</v>
      </c>
      <c r="Y196" s="0" t="n">
        <v>2.71</v>
      </c>
      <c r="Z196" s="0" t="s">
        <v>105</v>
      </c>
    </row>
    <row r="197" customFormat="false" ht="15" hidden="false" customHeight="false" outlineLevel="0" collapsed="false">
      <c r="A197" s="0" t="n">
        <v>197</v>
      </c>
      <c r="B197" s="0" t="n">
        <v>185569</v>
      </c>
      <c r="C197" s="0" t="n">
        <v>29743</v>
      </c>
      <c r="D197" s="0" t="n">
        <v>165554</v>
      </c>
      <c r="E197" s="0" t="n">
        <v>0</v>
      </c>
      <c r="F197" s="0" t="n">
        <v>15292</v>
      </c>
      <c r="G197" s="0" t="n">
        <v>8.24060053133875</v>
      </c>
      <c r="H197" s="0" t="s">
        <v>353</v>
      </c>
      <c r="I197" s="0" t="n">
        <v>0.324531165486676</v>
      </c>
      <c r="J197" s="0" t="n">
        <v>22468</v>
      </c>
      <c r="K197" s="0" t="n">
        <v>20308</v>
      </c>
      <c r="L197" s="0" t="n">
        <v>123871</v>
      </c>
      <c r="M197" s="0" t="n">
        <v>123469</v>
      </c>
      <c r="N197" s="0" t="n">
        <v>81025</v>
      </c>
      <c r="O197" s="0" t="n">
        <v>643</v>
      </c>
      <c r="P197" s="0" t="s">
        <v>184</v>
      </c>
      <c r="Q197" s="0" t="n">
        <v>0.519088406487394</v>
      </c>
      <c r="R197" s="0" t="n">
        <v>2.65814854829539</v>
      </c>
      <c r="S197" s="0" t="n">
        <v>128</v>
      </c>
      <c r="T197" s="0" t="n">
        <v>910</v>
      </c>
      <c r="U197" s="0" t="n">
        <v>0</v>
      </c>
      <c r="V197" s="0" t="n">
        <v>17.815004611099</v>
      </c>
      <c r="W197" s="0" t="n">
        <v>20221231</v>
      </c>
      <c r="X197" s="0" t="n">
        <v>0.780066196271609</v>
      </c>
      <c r="Y197" s="0" t="n">
        <v>9.16</v>
      </c>
      <c r="Z197" s="0" t="s">
        <v>105</v>
      </c>
    </row>
    <row r="198" customFormat="false" ht="15" hidden="false" customHeight="false" outlineLevel="0" collapsed="false">
      <c r="A198" s="0" t="n">
        <v>198</v>
      </c>
      <c r="B198" s="0" t="n">
        <v>537395</v>
      </c>
      <c r="C198" s="0" t="n">
        <v>29744</v>
      </c>
      <c r="D198" s="0" t="n">
        <v>393417</v>
      </c>
      <c r="E198" s="0" t="n">
        <v>0</v>
      </c>
      <c r="F198" s="0" t="n">
        <v>39950</v>
      </c>
      <c r="G198" s="0" t="n">
        <v>7.43401036481545</v>
      </c>
      <c r="H198" s="0" t="s">
        <v>354</v>
      </c>
      <c r="I198" s="0" t="n">
        <v>0.890540617856086</v>
      </c>
      <c r="J198" s="0" t="n">
        <v>24059</v>
      </c>
      <c r="K198" s="0" t="n">
        <v>8168</v>
      </c>
      <c r="L198" s="0" t="n">
        <v>402003</v>
      </c>
      <c r="M198" s="0" t="n">
        <v>398423</v>
      </c>
      <c r="N198" s="0" t="n">
        <v>369776</v>
      </c>
      <c r="O198" s="0" t="n">
        <v>89</v>
      </c>
      <c r="P198" s="0" t="s">
        <v>186</v>
      </c>
      <c r="Q198" s="0" t="n">
        <v>0.0221391382651373</v>
      </c>
      <c r="R198" s="0" t="n">
        <v>3.10480213755178</v>
      </c>
      <c r="S198" s="0" t="n">
        <v>10</v>
      </c>
      <c r="T198" s="0" t="n">
        <v>13</v>
      </c>
      <c r="U198" s="0" t="n">
        <v>0</v>
      </c>
      <c r="V198" s="0" t="n">
        <v>15.5322247414502</v>
      </c>
      <c r="W198" s="0" t="n">
        <v>20221231</v>
      </c>
      <c r="X198" s="0" t="n">
        <v>-0.0975161331550553</v>
      </c>
      <c r="Y198" s="0" t="n">
        <v>-1.14</v>
      </c>
      <c r="Z198" s="0" t="s">
        <v>123</v>
      </c>
    </row>
    <row r="199" customFormat="false" ht="15" hidden="false" customHeight="false" outlineLevel="0" collapsed="false">
      <c r="A199" s="0" t="n">
        <v>199</v>
      </c>
      <c r="B199" s="0" t="n">
        <v>551789</v>
      </c>
      <c r="C199" s="0" t="n">
        <v>30350</v>
      </c>
      <c r="D199" s="0" t="n">
        <v>463644</v>
      </c>
      <c r="E199" s="0" t="n">
        <v>0</v>
      </c>
      <c r="F199" s="0" t="n">
        <v>51142</v>
      </c>
      <c r="G199" s="0" t="n">
        <v>9.26839788397377</v>
      </c>
      <c r="H199" s="0" t="s">
        <v>355</v>
      </c>
      <c r="I199" s="0" t="n">
        <v>1.30094674495944</v>
      </c>
      <c r="J199" s="0" t="n">
        <v>16386</v>
      </c>
      <c r="K199" s="0" t="n">
        <v>1149</v>
      </c>
      <c r="L199" s="0" t="n">
        <v>392714</v>
      </c>
      <c r="M199" s="0" t="n">
        <v>387605</v>
      </c>
      <c r="N199" s="0" t="n">
        <v>373732</v>
      </c>
      <c r="O199" s="0" t="n">
        <v>1476</v>
      </c>
      <c r="P199" s="0" t="s">
        <v>188</v>
      </c>
      <c r="Q199" s="0" t="n">
        <v>0.375846035537312</v>
      </c>
      <c r="R199" s="0" t="n">
        <v>2.92072690193104</v>
      </c>
      <c r="S199" s="0" t="n">
        <v>194</v>
      </c>
      <c r="T199" s="0" t="n">
        <v>909</v>
      </c>
      <c r="U199" s="0" t="n">
        <v>0</v>
      </c>
      <c r="V199" s="0" t="n">
        <v>20.9587789111335</v>
      </c>
      <c r="W199" s="0" t="n">
        <v>20221231</v>
      </c>
      <c r="X199" s="0" t="n">
        <v>0.726111639299295</v>
      </c>
      <c r="Y199" s="0" t="n">
        <v>7.72</v>
      </c>
      <c r="Z199" s="0" t="s">
        <v>112</v>
      </c>
    </row>
    <row r="200" customFormat="false" ht="15" hidden="false" customHeight="false" outlineLevel="0" collapsed="false">
      <c r="A200" s="0" t="n">
        <v>200</v>
      </c>
      <c r="B200" s="0" t="n">
        <v>101068</v>
      </c>
      <c r="C200" s="0" t="n">
        <v>30878</v>
      </c>
      <c r="D200" s="0" t="n">
        <v>73524</v>
      </c>
      <c r="E200" s="0" t="n">
        <v>0.08</v>
      </c>
      <c r="F200" s="0" t="n">
        <v>12458</v>
      </c>
      <c r="G200" s="0" t="n">
        <v>12.3263545335814</v>
      </c>
      <c r="H200" s="0" t="s">
        <v>356</v>
      </c>
      <c r="I200" s="0" t="n">
        <v>1.0530827159738</v>
      </c>
      <c r="J200" s="0" t="n">
        <v>0</v>
      </c>
      <c r="K200" s="0" t="n">
        <v>110</v>
      </c>
      <c r="L200" s="0" t="n">
        <v>81665</v>
      </c>
      <c r="M200" s="0" t="n">
        <v>80805</v>
      </c>
      <c r="N200" s="0" t="n">
        <v>81554</v>
      </c>
      <c r="O200" s="0" t="n">
        <v>710</v>
      </c>
      <c r="P200" s="0" t="s">
        <v>190</v>
      </c>
      <c r="Q200" s="0" t="n">
        <v>0.869405498071389</v>
      </c>
      <c r="R200" s="0" t="n">
        <v>2.2059004756858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20221231</v>
      </c>
      <c r="X200" s="0" t="n">
        <v>0.311874884536766</v>
      </c>
      <c r="Y200" s="0" t="n">
        <v>2.53</v>
      </c>
      <c r="Z200" s="0" t="s">
        <v>105</v>
      </c>
    </row>
    <row r="201" customFormat="false" ht="15" hidden="false" customHeight="false" outlineLevel="0" collapsed="false">
      <c r="A201" s="0" t="n">
        <v>201</v>
      </c>
      <c r="B201" s="0" t="n">
        <v>742176</v>
      </c>
      <c r="C201" s="0" t="n">
        <v>33418</v>
      </c>
      <c r="D201" s="0" t="n">
        <v>574586</v>
      </c>
      <c r="E201" s="0" t="n">
        <v>-0.49</v>
      </c>
      <c r="F201" s="0" t="n">
        <v>65423</v>
      </c>
      <c r="G201" s="0" t="n">
        <v>8.81502500754538</v>
      </c>
      <c r="H201" s="0" t="s">
        <v>357</v>
      </c>
      <c r="I201" s="0" t="n">
        <v>1.0614350779021</v>
      </c>
      <c r="J201" s="0" t="n">
        <v>41788</v>
      </c>
      <c r="K201" s="0" t="n">
        <v>11928</v>
      </c>
      <c r="L201" s="0" t="n">
        <v>362057</v>
      </c>
      <c r="M201" s="0" t="n">
        <v>358214</v>
      </c>
      <c r="N201" s="0" t="n">
        <v>308351</v>
      </c>
      <c r="O201" s="0" t="n">
        <v>1487</v>
      </c>
      <c r="P201" s="0" t="s">
        <v>192</v>
      </c>
      <c r="Q201" s="0" t="n">
        <v>0.410708811043565</v>
      </c>
      <c r="R201" s="0" t="n">
        <v>2.81376676100904</v>
      </c>
      <c r="S201" s="0" t="n">
        <v>-8</v>
      </c>
      <c r="T201" s="0" t="n">
        <v>238</v>
      </c>
      <c r="U201" s="0" t="n">
        <v>0</v>
      </c>
      <c r="V201" s="0" t="n">
        <v>18.7624877592514</v>
      </c>
      <c r="W201" s="0" t="n">
        <v>20221231</v>
      </c>
      <c r="X201" s="0" t="n">
        <v>1.03439074331582</v>
      </c>
      <c r="Y201" s="0" t="n">
        <v>12.66</v>
      </c>
      <c r="Z201" s="0" t="s">
        <v>112</v>
      </c>
    </row>
    <row r="202" customFormat="false" ht="15" hidden="false" customHeight="false" outlineLevel="0" collapsed="false">
      <c r="A202" s="0" t="n">
        <v>202</v>
      </c>
      <c r="B202" s="0" t="n">
        <v>65008</v>
      </c>
      <c r="C202" s="0" t="n">
        <v>35206</v>
      </c>
      <c r="D202" s="0" t="n">
        <v>500</v>
      </c>
      <c r="E202" s="0" t="n">
        <v>0</v>
      </c>
      <c r="F202" s="0" t="n">
        <v>60620</v>
      </c>
      <c r="G202" s="0" t="n">
        <v>93.2500615308885</v>
      </c>
      <c r="H202" s="0" t="s">
        <v>358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s">
        <v>252</v>
      </c>
      <c r="Q202" s="0" t="n">
        <v>0</v>
      </c>
      <c r="R202" s="0" t="n">
        <v>4.03106585162927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20221231</v>
      </c>
      <c r="X202" s="0" t="n">
        <v>6.0520993219523</v>
      </c>
      <c r="Y202" s="0" t="n">
        <v>6.69</v>
      </c>
      <c r="Z202" s="0" t="s">
        <v>123</v>
      </c>
    </row>
    <row r="203" customFormat="false" ht="15" hidden="false" customHeight="false" outlineLevel="0" collapsed="false">
      <c r="A203" s="0" t="n">
        <v>203</v>
      </c>
      <c r="B203" s="0" t="n">
        <v>5662457</v>
      </c>
      <c r="C203" s="0" t="n">
        <v>4255</v>
      </c>
      <c r="D203" s="0" t="n">
        <v>4867005</v>
      </c>
      <c r="E203" s="0" t="n">
        <v>0.08</v>
      </c>
      <c r="F203" s="0" t="n">
        <v>460754</v>
      </c>
      <c r="G203" s="0" t="n">
        <v>8.13699777322812</v>
      </c>
      <c r="H203" s="0" t="s">
        <v>359</v>
      </c>
      <c r="I203" s="0" t="n">
        <v>0.919475538842749</v>
      </c>
      <c r="J203" s="0" t="n">
        <v>354169</v>
      </c>
      <c r="K203" s="0" t="n">
        <v>20661</v>
      </c>
      <c r="L203" s="0" t="n">
        <v>4015550</v>
      </c>
      <c r="M203" s="0" t="n">
        <v>3978628</v>
      </c>
      <c r="N203" s="0" t="n">
        <v>3596765</v>
      </c>
      <c r="O203" s="0" t="n">
        <v>2991</v>
      </c>
      <c r="P203" s="0" t="s">
        <v>194</v>
      </c>
      <c r="Q203" s="0" t="n">
        <v>0.074485437860318</v>
      </c>
      <c r="R203" s="0" t="n">
        <v>2.94392266172712</v>
      </c>
      <c r="S203" s="0" t="n">
        <v>764</v>
      </c>
      <c r="T203" s="0" t="n">
        <v>2554</v>
      </c>
      <c r="U203" s="0" t="n">
        <v>0</v>
      </c>
      <c r="V203" s="0" t="n">
        <v>13.0289267440629</v>
      </c>
      <c r="W203" s="0" t="n">
        <v>20221231</v>
      </c>
      <c r="X203" s="0" t="n">
        <v>1.15861850141068</v>
      </c>
      <c r="Y203" s="0" t="n">
        <v>13.19</v>
      </c>
      <c r="Z203" s="0" t="s">
        <v>105</v>
      </c>
    </row>
    <row r="204" customFormat="false" ht="15" hidden="false" customHeight="false" outlineLevel="0" collapsed="false">
      <c r="A204" s="0" t="n">
        <v>204</v>
      </c>
      <c r="B204" s="0" t="n">
        <v>2704047</v>
      </c>
      <c r="C204" s="0" t="n">
        <v>4256</v>
      </c>
      <c r="D204" s="0" t="n">
        <v>2379757</v>
      </c>
      <c r="E204" s="0" t="n">
        <v>0.07</v>
      </c>
      <c r="F204" s="0" t="n">
        <v>200180</v>
      </c>
      <c r="G204" s="0" t="n">
        <v>7.40297783285572</v>
      </c>
      <c r="H204" s="0" t="s">
        <v>360</v>
      </c>
      <c r="I204" s="0" t="n">
        <v>0.873286964822562</v>
      </c>
      <c r="J204" s="0" t="n">
        <v>274364</v>
      </c>
      <c r="K204" s="0" t="n">
        <v>21063</v>
      </c>
      <c r="L204" s="0" t="n">
        <v>1914949</v>
      </c>
      <c r="M204" s="0" t="n">
        <v>1898226</v>
      </c>
      <c r="N204" s="0" t="n">
        <v>1533908</v>
      </c>
      <c r="O204" s="0" t="n">
        <v>1755</v>
      </c>
      <c r="P204" s="0" t="s">
        <v>196</v>
      </c>
      <c r="Q204" s="0" t="n">
        <v>0.104284761630727</v>
      </c>
      <c r="R204" s="0" t="n">
        <v>3.11099175224319</v>
      </c>
      <c r="S204" s="0" t="n">
        <v>548</v>
      </c>
      <c r="T204" s="0" t="n">
        <v>518</v>
      </c>
      <c r="U204" s="0" t="n">
        <v>242</v>
      </c>
      <c r="V204" s="0" t="n">
        <v>13.5201318899043</v>
      </c>
      <c r="W204" s="0" t="n">
        <v>20221231</v>
      </c>
      <c r="X204" s="0" t="n">
        <v>1.53167395198859</v>
      </c>
      <c r="Y204" s="0" t="n">
        <v>19.7</v>
      </c>
      <c r="Z204" s="0" t="s">
        <v>105</v>
      </c>
    </row>
    <row r="205" customFormat="false" ht="15" hidden="false" customHeight="false" outlineLevel="0" collapsed="false">
      <c r="A205" s="0" t="n">
        <v>205</v>
      </c>
      <c r="B205" s="0" t="n">
        <v>654191</v>
      </c>
      <c r="C205" s="0" t="n">
        <v>59086</v>
      </c>
      <c r="D205" s="0" t="n">
        <v>564578</v>
      </c>
      <c r="E205" s="0" t="n">
        <v>0.21</v>
      </c>
      <c r="F205" s="0" t="n">
        <v>76313</v>
      </c>
      <c r="G205" s="0" t="n">
        <v>11.6652476111717</v>
      </c>
      <c r="H205" s="0" t="s">
        <v>361</v>
      </c>
      <c r="I205" s="0" t="n">
        <v>1.23568346623896</v>
      </c>
      <c r="J205" s="0" t="n">
        <v>120243</v>
      </c>
      <c r="K205" s="0" t="n">
        <v>0</v>
      </c>
      <c r="L205" s="0" t="n">
        <v>575471</v>
      </c>
      <c r="M205" s="0" t="n">
        <v>568360</v>
      </c>
      <c r="N205" s="0" t="n">
        <v>455851</v>
      </c>
      <c r="O205" s="0" t="n">
        <v>2111</v>
      </c>
      <c r="P205" s="0" t="s">
        <v>198</v>
      </c>
      <c r="Q205" s="0" t="n">
        <v>0.0592558095890149</v>
      </c>
      <c r="R205" s="0" t="n">
        <v>3.913191146591</v>
      </c>
      <c r="S205" s="0" t="n">
        <v>0</v>
      </c>
      <c r="T205" s="0" t="n">
        <v>0</v>
      </c>
      <c r="U205" s="0" t="n">
        <v>341</v>
      </c>
      <c r="V205" s="0" t="n">
        <v>13.9312588297769</v>
      </c>
      <c r="W205" s="0" t="n">
        <v>20221231</v>
      </c>
      <c r="X205" s="0" t="n">
        <v>1.57591595036138</v>
      </c>
      <c r="Y205" s="0" t="n">
        <v>15.26</v>
      </c>
      <c r="Z205" s="0" t="s">
        <v>123</v>
      </c>
    </row>
    <row r="206" customFormat="false" ht="15" hidden="false" customHeight="false" outlineLevel="0" collapsed="false">
      <c r="A206" s="0" t="n">
        <v>206</v>
      </c>
      <c r="B206" s="0" t="n">
        <v>176672</v>
      </c>
      <c r="C206" s="0" t="n">
        <v>59176</v>
      </c>
      <c r="D206" s="0" t="n">
        <v>151831</v>
      </c>
      <c r="E206" s="0" t="n">
        <v>0.27</v>
      </c>
      <c r="F206" s="0" t="n">
        <v>23234</v>
      </c>
      <c r="G206" s="0" t="n">
        <v>13.1509237456982</v>
      </c>
      <c r="H206" s="0" t="s">
        <v>362</v>
      </c>
      <c r="I206" s="0" t="n">
        <v>0.947013237420742</v>
      </c>
      <c r="J206" s="0" t="n">
        <v>18249</v>
      </c>
      <c r="K206" s="0" t="n">
        <v>9</v>
      </c>
      <c r="L206" s="0" t="n">
        <v>134845</v>
      </c>
      <c r="M206" s="0" t="n">
        <v>133568</v>
      </c>
      <c r="N206" s="0" t="n">
        <v>116593</v>
      </c>
      <c r="O206" s="0" t="n">
        <v>0</v>
      </c>
      <c r="P206" s="0" t="s">
        <v>200</v>
      </c>
      <c r="Q206" s="0" t="n">
        <v>0</v>
      </c>
      <c r="R206" s="0" t="n">
        <v>3.22916520994023</v>
      </c>
      <c r="S206" s="0" t="n">
        <v>0</v>
      </c>
      <c r="T206" s="0" t="n">
        <v>0</v>
      </c>
      <c r="U206" s="0" t="n">
        <v>0</v>
      </c>
      <c r="V206" s="0" t="n">
        <v>18.312919218431</v>
      </c>
      <c r="W206" s="0" t="n">
        <v>20221231</v>
      </c>
      <c r="X206" s="0" t="n">
        <v>0.876801587341154</v>
      </c>
      <c r="Y206" s="0" t="n">
        <v>6.71</v>
      </c>
      <c r="Z206" s="0" t="s">
        <v>123</v>
      </c>
    </row>
    <row r="207" customFormat="false" ht="15" hidden="false" customHeight="false" outlineLevel="0" collapsed="false">
      <c r="A207" s="0" t="n">
        <v>207</v>
      </c>
      <c r="B207" s="0" t="n">
        <v>22693</v>
      </c>
      <c r="C207" s="0" t="n">
        <v>59289</v>
      </c>
      <c r="D207" s="0" t="n">
        <v>525</v>
      </c>
      <c r="E207" s="0" t="n">
        <v>0.22</v>
      </c>
      <c r="F207" s="0" t="n">
        <v>21542</v>
      </c>
      <c r="G207" s="0" t="n">
        <v>94.9279513506368</v>
      </c>
      <c r="H207" s="0" t="s">
        <v>363</v>
      </c>
      <c r="I207" s="0" t="n">
        <v>1.07913669064748</v>
      </c>
      <c r="J207" s="0" t="n">
        <v>1605</v>
      </c>
      <c r="K207" s="0" t="n">
        <v>0</v>
      </c>
      <c r="L207" s="0" t="n">
        <v>4726</v>
      </c>
      <c r="M207" s="0" t="n">
        <v>4675</v>
      </c>
      <c r="N207" s="0" t="n">
        <v>2961</v>
      </c>
      <c r="O207" s="0" t="n">
        <v>0</v>
      </c>
      <c r="P207" s="0" t="s">
        <v>364</v>
      </c>
      <c r="Q207" s="0" t="n">
        <v>0</v>
      </c>
      <c r="R207" s="0" t="n">
        <v>1.36841090874048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20221231</v>
      </c>
      <c r="X207" s="0" t="n">
        <v>-12.4840259110739</v>
      </c>
      <c r="Y207" s="0" t="n">
        <v>-13.15</v>
      </c>
      <c r="Z207" s="0" t="s">
        <v>123</v>
      </c>
    </row>
    <row r="208" customFormat="false" ht="15" hidden="false" customHeight="false" outlineLevel="0" collapsed="false">
      <c r="A208" s="0" t="n">
        <v>208</v>
      </c>
      <c r="B208" s="0" t="n">
        <v>87230</v>
      </c>
      <c r="C208" s="0" t="n">
        <v>59298</v>
      </c>
      <c r="D208" s="0" t="n">
        <v>56740</v>
      </c>
      <c r="E208" s="0" t="n">
        <v>0.36</v>
      </c>
      <c r="F208" s="0" t="n">
        <v>29627</v>
      </c>
      <c r="G208" s="0" t="n">
        <v>33.9642324888227</v>
      </c>
      <c r="H208" s="0" t="s">
        <v>365</v>
      </c>
      <c r="I208" s="0" t="n">
        <v>1.00219229564673</v>
      </c>
      <c r="J208" s="0" t="n">
        <v>6633</v>
      </c>
      <c r="K208" s="0" t="n">
        <v>0</v>
      </c>
      <c r="L208" s="0" t="n">
        <v>22351</v>
      </c>
      <c r="M208" s="0" t="n">
        <v>22127</v>
      </c>
      <c r="N208" s="0" t="n">
        <v>15722</v>
      </c>
      <c r="O208" s="0" t="n">
        <v>0</v>
      </c>
      <c r="P208" s="0" t="s">
        <v>310</v>
      </c>
      <c r="Q208" s="0" t="n">
        <v>0</v>
      </c>
      <c r="R208" s="0" t="n">
        <v>0.821136479111009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20221231</v>
      </c>
      <c r="X208" s="0" t="n">
        <v>-2.33883632131498</v>
      </c>
      <c r="Y208" s="0" t="n">
        <v>-4.87</v>
      </c>
      <c r="Z208" s="0" t="s">
        <v>112</v>
      </c>
    </row>
    <row r="209" customFormat="false" ht="15" hidden="false" customHeight="false" outlineLevel="0" collapsed="false">
      <c r="A209" s="0" t="n">
        <v>209</v>
      </c>
      <c r="B209" s="0" t="n">
        <v>1055421</v>
      </c>
      <c r="C209" s="0" t="n">
        <v>6271</v>
      </c>
      <c r="D209" s="0" t="n">
        <v>924344</v>
      </c>
      <c r="E209" s="0" t="n">
        <v>0.1</v>
      </c>
      <c r="F209" s="0" t="n">
        <v>87018</v>
      </c>
      <c r="G209" s="0" t="n">
        <v>8.24486152919072</v>
      </c>
      <c r="H209" s="0" t="s">
        <v>366</v>
      </c>
      <c r="I209" s="0" t="n">
        <v>1.162685136481</v>
      </c>
      <c r="J209" s="0" t="n">
        <v>116759</v>
      </c>
      <c r="K209" s="0" t="n">
        <v>3803</v>
      </c>
      <c r="L209" s="0" t="n">
        <v>749042</v>
      </c>
      <c r="M209" s="0" t="n">
        <v>740333</v>
      </c>
      <c r="N209" s="0" t="n">
        <v>589916</v>
      </c>
      <c r="O209" s="0" t="n">
        <v>7890</v>
      </c>
      <c r="P209" s="0" t="s">
        <v>202</v>
      </c>
      <c r="Q209" s="0" t="n">
        <v>1.12984318636338</v>
      </c>
      <c r="R209" s="0" t="n">
        <v>3.50957980394927</v>
      </c>
      <c r="S209" s="0" t="n">
        <v>-21</v>
      </c>
      <c r="T209" s="0" t="n">
        <v>2601</v>
      </c>
      <c r="U209" s="0" t="n">
        <v>573</v>
      </c>
      <c r="V209" s="0" t="n">
        <v>14.8923999335706</v>
      </c>
      <c r="W209" s="0" t="n">
        <v>20221231</v>
      </c>
      <c r="X209" s="0" t="n">
        <v>1.42847962432808</v>
      </c>
      <c r="Y209" s="0" t="n">
        <v>16.51</v>
      </c>
      <c r="Z209" s="0" t="s">
        <v>112</v>
      </c>
    </row>
    <row r="210" customFormat="false" ht="15" hidden="false" customHeight="false" outlineLevel="0" collapsed="false">
      <c r="A210" s="0" t="n">
        <v>210</v>
      </c>
      <c r="B210" s="0" t="n">
        <v>534246</v>
      </c>
      <c r="C210" s="0" t="n">
        <v>6275</v>
      </c>
      <c r="D210" s="0" t="n">
        <v>499882</v>
      </c>
      <c r="E210" s="0" t="n">
        <v>-0.06</v>
      </c>
      <c r="F210" s="0" t="n">
        <v>24487</v>
      </c>
      <c r="G210" s="0" t="n">
        <v>4.58346903860768</v>
      </c>
      <c r="H210" s="0" t="s">
        <v>367</v>
      </c>
      <c r="I210" s="0" t="n">
        <v>0.903217915002237</v>
      </c>
      <c r="J210" s="0" t="n">
        <v>33759</v>
      </c>
      <c r="K210" s="0" t="n">
        <v>13570</v>
      </c>
      <c r="L210" s="0" t="n">
        <v>310667</v>
      </c>
      <c r="M210" s="0" t="n">
        <v>307861</v>
      </c>
      <c r="N210" s="0" t="n">
        <v>252290</v>
      </c>
      <c r="O210" s="0" t="n">
        <v>1436</v>
      </c>
      <c r="P210" s="0" t="s">
        <v>204</v>
      </c>
      <c r="Q210" s="0" t="n">
        <v>0.462231263700361</v>
      </c>
      <c r="R210" s="0" t="n">
        <v>2.86500169611941</v>
      </c>
      <c r="S210" s="0" t="n">
        <v>2</v>
      </c>
      <c r="T210" s="0" t="n">
        <v>237</v>
      </c>
      <c r="U210" s="0" t="n">
        <v>0</v>
      </c>
      <c r="V210" s="0" t="n">
        <v>15.6864385509914</v>
      </c>
      <c r="W210" s="0" t="n">
        <v>20221231</v>
      </c>
      <c r="X210" s="0" t="n">
        <v>0.583126084404197</v>
      </c>
      <c r="Y210" s="0" t="n">
        <v>10.62</v>
      </c>
      <c r="Z210" s="0" t="s">
        <v>112</v>
      </c>
    </row>
    <row r="211" customFormat="false" ht="15" hidden="false" customHeight="false" outlineLevel="0" collapsed="false">
      <c r="A211" s="0" t="n">
        <v>211</v>
      </c>
      <c r="B211" s="0" t="n">
        <v>84636</v>
      </c>
      <c r="C211" s="0" t="n">
        <v>6280</v>
      </c>
      <c r="D211" s="0" t="n">
        <v>75635</v>
      </c>
      <c r="E211" s="0" t="n">
        <v>0.11</v>
      </c>
      <c r="F211" s="0" t="n">
        <v>8605</v>
      </c>
      <c r="G211" s="0" t="n">
        <v>10.1670683869748</v>
      </c>
      <c r="H211" s="0" t="s">
        <v>368</v>
      </c>
      <c r="I211" s="0" t="n">
        <v>1.30441640378549</v>
      </c>
      <c r="J211" s="0" t="n">
        <v>3426</v>
      </c>
      <c r="K211" s="0" t="n">
        <v>1765</v>
      </c>
      <c r="L211" s="0" t="n">
        <v>63400</v>
      </c>
      <c r="M211" s="0" t="n">
        <v>62573</v>
      </c>
      <c r="N211" s="0" t="n">
        <v>54882</v>
      </c>
      <c r="O211" s="0" t="n">
        <v>622</v>
      </c>
      <c r="P211" s="0" t="s">
        <v>206</v>
      </c>
      <c r="Q211" s="0" t="n">
        <v>0.981072555205047</v>
      </c>
      <c r="R211" s="0" t="n">
        <v>4.34579347751593</v>
      </c>
      <c r="S211" s="0" t="n">
        <v>78</v>
      </c>
      <c r="T211" s="0" t="n">
        <v>1116</v>
      </c>
      <c r="U211" s="0" t="n">
        <v>0</v>
      </c>
      <c r="V211" s="0" t="n">
        <v>0</v>
      </c>
      <c r="W211" s="0" t="n">
        <v>20221231</v>
      </c>
      <c r="X211" s="0" t="n">
        <v>1.43133896209814</v>
      </c>
      <c r="Y211" s="0" t="n">
        <v>14.82</v>
      </c>
      <c r="Z211" s="0" t="s">
        <v>112</v>
      </c>
    </row>
    <row r="212" customFormat="false" ht="15" hidden="false" customHeight="false" outlineLevel="0" collapsed="false">
      <c r="A212" s="0" t="n">
        <v>212</v>
      </c>
      <c r="B212" s="0" t="n">
        <v>3925512</v>
      </c>
      <c r="C212" s="0" t="n">
        <v>11971</v>
      </c>
      <c r="D212" s="0" t="n">
        <v>3061414</v>
      </c>
      <c r="E212" s="0" t="n">
        <v>0.06</v>
      </c>
      <c r="F212" s="0" t="n">
        <v>461427</v>
      </c>
      <c r="G212" s="0" t="n">
        <v>11.7545685760227</v>
      </c>
      <c r="H212" s="0" t="s">
        <v>369</v>
      </c>
      <c r="I212" s="0" t="n">
        <v>0.903626426360746</v>
      </c>
      <c r="J212" s="0" t="n">
        <v>195856</v>
      </c>
      <c r="K212" s="0" t="n">
        <v>7535</v>
      </c>
      <c r="L212" s="0" t="n">
        <v>2944469</v>
      </c>
      <c r="M212" s="0" t="n">
        <v>2917862</v>
      </c>
      <c r="N212" s="0" t="n">
        <v>2595296</v>
      </c>
      <c r="O212" s="0" t="n">
        <v>7795</v>
      </c>
      <c r="P212" s="0" t="s">
        <v>104</v>
      </c>
      <c r="Q212" s="0" t="n">
        <v>0.269420394645011</v>
      </c>
      <c r="R212" s="0" t="n">
        <v>3.62834593183597</v>
      </c>
      <c r="S212" s="0" t="n">
        <v>51</v>
      </c>
      <c r="T212" s="0" t="n">
        <v>6311</v>
      </c>
      <c r="U212" s="0" t="n">
        <v>138</v>
      </c>
      <c r="V212" s="0" t="n">
        <v>13.4222908894178</v>
      </c>
      <c r="W212" s="0" t="n">
        <v>20230331</v>
      </c>
      <c r="X212" s="0" t="n">
        <v>1.46140641727275</v>
      </c>
      <c r="Y212" s="0" t="n">
        <v>12.6</v>
      </c>
      <c r="Z212" s="0" t="s">
        <v>105</v>
      </c>
    </row>
    <row r="213" customFormat="false" ht="15" hidden="false" customHeight="false" outlineLevel="0" collapsed="false">
      <c r="A213" s="0" t="n">
        <v>213</v>
      </c>
      <c r="B213" s="0" t="n">
        <v>980710</v>
      </c>
      <c r="C213" s="0" t="n">
        <v>12874</v>
      </c>
      <c r="D213" s="0" t="n">
        <v>858980</v>
      </c>
      <c r="E213" s="0" t="n">
        <v>-0.01</v>
      </c>
      <c r="F213" s="0" t="n">
        <v>100647</v>
      </c>
      <c r="G213" s="0" t="n">
        <v>10.2626668434094</v>
      </c>
      <c r="H213" s="0" t="s">
        <v>370</v>
      </c>
      <c r="I213" s="0" t="n">
        <v>1.02329517604435</v>
      </c>
      <c r="J213" s="0" t="n">
        <v>133780</v>
      </c>
      <c r="K213" s="0" t="n">
        <v>4939</v>
      </c>
      <c r="L213" s="0" t="n">
        <v>760973</v>
      </c>
      <c r="M213" s="0" t="n">
        <v>753186</v>
      </c>
      <c r="N213" s="0" t="n">
        <v>608741</v>
      </c>
      <c r="O213" s="0" t="n">
        <v>468</v>
      </c>
      <c r="P213" s="0" t="s">
        <v>107</v>
      </c>
      <c r="Q213" s="0" t="n">
        <v>0.0622886751566744</v>
      </c>
      <c r="R213" s="0" t="n">
        <v>3.92115359174494</v>
      </c>
      <c r="S213" s="0" t="n">
        <v>-2</v>
      </c>
      <c r="T213" s="0" t="n">
        <v>165</v>
      </c>
      <c r="U213" s="0" t="n">
        <v>6</v>
      </c>
      <c r="V213" s="0" t="n">
        <v>15.7448301196799</v>
      </c>
      <c r="W213" s="0" t="n">
        <v>20230331</v>
      </c>
      <c r="X213" s="0" t="n">
        <v>1.11202375687117</v>
      </c>
      <c r="Y213" s="0" t="n">
        <v>11.03</v>
      </c>
      <c r="Z213" s="0" t="s">
        <v>105</v>
      </c>
    </row>
    <row r="214" customFormat="false" ht="15" hidden="false" customHeight="false" outlineLevel="0" collapsed="false">
      <c r="A214" s="0" t="n">
        <v>214</v>
      </c>
      <c r="B214" s="0" t="n">
        <v>1853851</v>
      </c>
      <c r="C214" s="0" t="n">
        <v>13063</v>
      </c>
      <c r="D214" s="0" t="n">
        <v>1620191</v>
      </c>
      <c r="E214" s="0" t="n">
        <v>0.14</v>
      </c>
      <c r="F214" s="0" t="n">
        <v>141179</v>
      </c>
      <c r="G214" s="0" t="n">
        <v>7.61544482269611</v>
      </c>
      <c r="H214" s="0" t="s">
        <v>371</v>
      </c>
      <c r="I214" s="0" t="n">
        <v>1.12301950709827</v>
      </c>
      <c r="J214" s="0" t="n">
        <v>53456</v>
      </c>
      <c r="K214" s="0" t="n">
        <v>932</v>
      </c>
      <c r="L214" s="0" t="n">
        <v>1379139</v>
      </c>
      <c r="M214" s="0" t="n">
        <v>1363651</v>
      </c>
      <c r="N214" s="0" t="n">
        <v>1316711</v>
      </c>
      <c r="O214" s="0" t="n">
        <v>519</v>
      </c>
      <c r="P214" s="0" t="s">
        <v>109</v>
      </c>
      <c r="Q214" s="0" t="n">
        <v>0.102310209485773</v>
      </c>
      <c r="R214" s="0" t="n">
        <v>3.32459574825263</v>
      </c>
      <c r="S214" s="0" t="n">
        <v>55</v>
      </c>
      <c r="T214" s="0" t="n">
        <v>1178</v>
      </c>
      <c r="U214" s="0" t="n">
        <v>892</v>
      </c>
      <c r="V214" s="0" t="n">
        <v>0</v>
      </c>
      <c r="W214" s="0" t="n">
        <v>20230331</v>
      </c>
      <c r="X214" s="0" t="n">
        <v>0.432313134919347</v>
      </c>
      <c r="Y214" s="0" t="n">
        <v>5.76</v>
      </c>
      <c r="Z214" s="0" t="s">
        <v>105</v>
      </c>
    </row>
    <row r="215" customFormat="false" ht="15" hidden="false" customHeight="false" outlineLevel="0" collapsed="false">
      <c r="A215" s="0" t="n">
        <v>215</v>
      </c>
      <c r="B215" s="0" t="n">
        <v>835568</v>
      </c>
      <c r="C215" s="0" t="n">
        <v>14134</v>
      </c>
      <c r="D215" s="0" t="n">
        <v>701903</v>
      </c>
      <c r="E215" s="0" t="n">
        <v>0.11</v>
      </c>
      <c r="F215" s="0" t="n">
        <v>99761</v>
      </c>
      <c r="G215" s="0" t="n">
        <v>11.939303563564</v>
      </c>
      <c r="H215" s="0" t="s">
        <v>372</v>
      </c>
      <c r="I215" s="0" t="n">
        <v>1.10966624690114</v>
      </c>
      <c r="J215" s="0" t="n">
        <v>27912</v>
      </c>
      <c r="K215" s="0" t="n">
        <v>29009</v>
      </c>
      <c r="L215" s="0" t="n">
        <v>632893</v>
      </c>
      <c r="M215" s="0" t="n">
        <v>625870</v>
      </c>
      <c r="N215" s="0" t="n">
        <v>551797</v>
      </c>
      <c r="O215" s="0" t="n">
        <v>12896</v>
      </c>
      <c r="P215" s="0" t="s">
        <v>111</v>
      </c>
      <c r="Q215" s="0" t="n">
        <v>2.03762721344682</v>
      </c>
      <c r="R215" s="0" t="n">
        <v>3.39563138167248</v>
      </c>
      <c r="S215" s="0" t="n">
        <v>397</v>
      </c>
      <c r="T215" s="0" t="n">
        <v>4692</v>
      </c>
      <c r="U215" s="0" t="n">
        <v>0</v>
      </c>
      <c r="V215" s="0" t="n">
        <v>17.7441561803976</v>
      </c>
      <c r="W215" s="0" t="n">
        <v>20230331</v>
      </c>
      <c r="X215" s="0" t="n">
        <v>0.6945112460753</v>
      </c>
      <c r="Y215" s="0" t="n">
        <v>5.89</v>
      </c>
      <c r="Z215" s="0" t="s">
        <v>112</v>
      </c>
    </row>
    <row r="216" customFormat="false" ht="15" hidden="false" customHeight="false" outlineLevel="0" collapsed="false">
      <c r="A216" s="0" t="n">
        <v>216</v>
      </c>
      <c r="B216" s="0" t="n">
        <v>223596</v>
      </c>
      <c r="C216" s="0" t="n">
        <v>14136</v>
      </c>
      <c r="D216" s="0" t="n">
        <v>203232</v>
      </c>
      <c r="E216" s="0" t="n">
        <v>0.05</v>
      </c>
      <c r="F216" s="0" t="n">
        <v>15756</v>
      </c>
      <c r="G216" s="0" t="n">
        <v>7.04663768582622</v>
      </c>
      <c r="H216" s="0" t="s">
        <v>373</v>
      </c>
      <c r="I216" s="0" t="n">
        <v>1.31991672449688</v>
      </c>
      <c r="J216" s="0" t="n">
        <v>13072</v>
      </c>
      <c r="K216" s="0" t="n">
        <v>14836</v>
      </c>
      <c r="L216" s="0" t="n">
        <v>144100</v>
      </c>
      <c r="M216" s="0" t="n">
        <v>142198</v>
      </c>
      <c r="N216" s="0" t="n">
        <v>115852</v>
      </c>
      <c r="O216" s="0" t="n">
        <v>73</v>
      </c>
      <c r="P216" s="0" t="s">
        <v>114</v>
      </c>
      <c r="Q216" s="0" t="n">
        <v>0.228313671061763</v>
      </c>
      <c r="R216" s="0" t="n">
        <v>4.1509021946044</v>
      </c>
      <c r="S216" s="0" t="n">
        <v>6</v>
      </c>
      <c r="T216" s="0" t="n">
        <v>1355</v>
      </c>
      <c r="U216" s="0" t="n">
        <v>256</v>
      </c>
      <c r="V216" s="0" t="n">
        <v>17.6630149084257</v>
      </c>
      <c r="W216" s="0" t="n">
        <v>20230331</v>
      </c>
      <c r="X216" s="0" t="n">
        <v>0.561314041483232</v>
      </c>
      <c r="Y216" s="0" t="n">
        <v>8.35</v>
      </c>
      <c r="Z216" s="0" t="s">
        <v>112</v>
      </c>
    </row>
    <row r="217" customFormat="false" ht="15" hidden="false" customHeight="false" outlineLevel="0" collapsed="false">
      <c r="A217" s="0" t="n">
        <v>217</v>
      </c>
      <c r="B217" s="0" t="n">
        <v>1413583</v>
      </c>
      <c r="C217" s="0" t="n">
        <v>14140</v>
      </c>
      <c r="D217" s="0" t="n">
        <v>1126353</v>
      </c>
      <c r="E217" s="0" t="n">
        <v>0.04</v>
      </c>
      <c r="F217" s="0" t="n">
        <v>121200</v>
      </c>
      <c r="G217" s="0" t="n">
        <v>8.57395710050277</v>
      </c>
      <c r="H217" s="0" t="s">
        <v>374</v>
      </c>
      <c r="I217" s="0" t="n">
        <v>0.818129928334355</v>
      </c>
      <c r="J217" s="0" t="n">
        <v>88947</v>
      </c>
      <c r="K217" s="0" t="n">
        <v>1356</v>
      </c>
      <c r="L217" s="0" t="n">
        <v>993363</v>
      </c>
      <c r="M217" s="0" t="n">
        <v>985236</v>
      </c>
      <c r="N217" s="0" t="n">
        <v>890367</v>
      </c>
      <c r="O217" s="0" t="n">
        <v>2395</v>
      </c>
      <c r="P217" s="0" t="s">
        <v>116</v>
      </c>
      <c r="Q217" s="0" t="n">
        <v>0.241100181907319</v>
      </c>
      <c r="R217" s="0" t="n">
        <v>2.94879850271109</v>
      </c>
      <c r="S217" s="0" t="n">
        <v>23</v>
      </c>
      <c r="T217" s="0" t="n">
        <v>1113</v>
      </c>
      <c r="U217" s="0" t="n">
        <v>0</v>
      </c>
      <c r="V217" s="0" t="n">
        <v>0</v>
      </c>
      <c r="W217" s="0" t="n">
        <v>20230331</v>
      </c>
      <c r="X217" s="0" t="n">
        <v>0.454340029379335</v>
      </c>
      <c r="Y217" s="0" t="n">
        <v>5.46</v>
      </c>
      <c r="Z217" s="0" t="s">
        <v>112</v>
      </c>
    </row>
    <row r="218" customFormat="false" ht="15" hidden="false" customHeight="false" outlineLevel="0" collapsed="false">
      <c r="A218" s="0" t="n">
        <v>218</v>
      </c>
      <c r="B218" s="0" t="n">
        <v>1361586</v>
      </c>
      <c r="C218" s="0" t="n">
        <v>14158</v>
      </c>
      <c r="D218" s="0" t="n">
        <v>1229192</v>
      </c>
      <c r="E218" s="0" t="n">
        <v>0.02</v>
      </c>
      <c r="F218" s="0" t="n">
        <v>76684</v>
      </c>
      <c r="G218" s="0" t="n">
        <v>5.631961550721</v>
      </c>
      <c r="H218" s="0" t="s">
        <v>375</v>
      </c>
      <c r="I218" s="0" t="n">
        <v>0.710002703211907</v>
      </c>
      <c r="J218" s="0" t="n">
        <v>41376</v>
      </c>
      <c r="K218" s="0" t="n">
        <v>2300</v>
      </c>
      <c r="L218" s="0" t="n">
        <v>976616</v>
      </c>
      <c r="M218" s="0" t="n">
        <v>969682</v>
      </c>
      <c r="N218" s="0" t="n">
        <v>836877</v>
      </c>
      <c r="O218" s="0" t="n">
        <v>2174</v>
      </c>
      <c r="P218" s="0" t="s">
        <v>118</v>
      </c>
      <c r="Q218" s="0" t="n">
        <v>0.240524423110004</v>
      </c>
      <c r="R218" s="0" t="n">
        <v>3.20763847247988</v>
      </c>
      <c r="S218" s="0" t="n">
        <v>0</v>
      </c>
      <c r="T218" s="0" t="n">
        <v>1202</v>
      </c>
      <c r="U218" s="0" t="n">
        <v>175</v>
      </c>
      <c r="V218" s="0" t="n">
        <v>13.6817856840481</v>
      </c>
      <c r="W218" s="0" t="n">
        <v>20230331</v>
      </c>
      <c r="X218" s="0" t="n">
        <v>0.950553779137124</v>
      </c>
      <c r="Y218" s="0" t="n">
        <v>17.35</v>
      </c>
      <c r="Z218" s="0" t="s">
        <v>112</v>
      </c>
    </row>
    <row r="219" customFormat="false" ht="15" hidden="false" customHeight="false" outlineLevel="0" collapsed="false">
      <c r="A219" s="0" t="n">
        <v>219</v>
      </c>
      <c r="B219" s="0" t="n">
        <v>356091</v>
      </c>
      <c r="C219" s="0" t="n">
        <v>14168</v>
      </c>
      <c r="D219" s="0" t="n">
        <v>318086</v>
      </c>
      <c r="E219" s="0" t="n">
        <v>0.08</v>
      </c>
      <c r="F219" s="0" t="n">
        <v>33166</v>
      </c>
      <c r="G219" s="0" t="n">
        <v>9.31391133165399</v>
      </c>
      <c r="H219" s="0" t="s">
        <v>376</v>
      </c>
      <c r="I219" s="0" t="n">
        <v>1.51664848311739</v>
      </c>
      <c r="J219" s="0" t="n">
        <v>11681</v>
      </c>
      <c r="K219" s="0" t="n">
        <v>9179</v>
      </c>
      <c r="L219" s="0" t="n">
        <v>213563</v>
      </c>
      <c r="M219" s="0" t="n">
        <v>210324</v>
      </c>
      <c r="N219" s="0" t="n">
        <v>178006</v>
      </c>
      <c r="O219" s="0" t="n">
        <v>977</v>
      </c>
      <c r="P219" s="0" t="s">
        <v>120</v>
      </c>
      <c r="Q219" s="0" t="n">
        <v>0.457476248226519</v>
      </c>
      <c r="R219" s="0" t="n">
        <v>3.74117535947867</v>
      </c>
      <c r="S219" s="0" t="n">
        <v>1</v>
      </c>
      <c r="T219" s="0" t="n">
        <v>232</v>
      </c>
      <c r="U219" s="0" t="n">
        <v>0</v>
      </c>
      <c r="V219" s="0" t="n">
        <v>17.5009100837277</v>
      </c>
      <c r="W219" s="0" t="n">
        <v>20230331</v>
      </c>
      <c r="X219" s="0" t="n">
        <v>0.78798488592015</v>
      </c>
      <c r="Y219" s="0" t="n">
        <v>8.79</v>
      </c>
      <c r="Z219" s="0" t="s">
        <v>112</v>
      </c>
    </row>
    <row r="220" customFormat="false" ht="15" hidden="false" customHeight="false" outlineLevel="0" collapsed="false">
      <c r="A220" s="0" t="n">
        <v>220</v>
      </c>
      <c r="B220" s="0" t="n">
        <v>1364518</v>
      </c>
      <c r="C220" s="0" t="n">
        <v>14240</v>
      </c>
      <c r="D220" s="0" t="n">
        <v>1019790</v>
      </c>
      <c r="E220" s="0" t="n">
        <v>0</v>
      </c>
      <c r="F220" s="0" t="n">
        <v>86202</v>
      </c>
      <c r="G220" s="0" t="n">
        <v>6.31739559316916</v>
      </c>
      <c r="H220" s="0" t="s">
        <v>377</v>
      </c>
      <c r="I220" s="0" t="n">
        <v>1.1672668570719</v>
      </c>
      <c r="J220" s="0" t="n">
        <v>24984</v>
      </c>
      <c r="K220" s="0" t="n">
        <v>17932</v>
      </c>
      <c r="L220" s="0" t="n">
        <v>950254</v>
      </c>
      <c r="M220" s="0" t="n">
        <v>939162</v>
      </c>
      <c r="N220" s="0" t="n">
        <v>832225</v>
      </c>
      <c r="O220" s="0" t="n">
        <v>2251</v>
      </c>
      <c r="P220" s="0" t="s">
        <v>122</v>
      </c>
      <c r="Q220" s="0" t="n">
        <v>0.236884033111147</v>
      </c>
      <c r="R220" s="0" t="n">
        <v>2.9700610541535</v>
      </c>
      <c r="S220" s="0" t="n">
        <v>26</v>
      </c>
      <c r="T220" s="0" t="n">
        <v>2644</v>
      </c>
      <c r="U220" s="0" t="n">
        <v>0</v>
      </c>
      <c r="V220" s="0" t="n">
        <v>14.7648949355952</v>
      </c>
      <c r="W220" s="0" t="n">
        <v>20230331</v>
      </c>
      <c r="X220" s="0" t="n">
        <v>0.441424322134583</v>
      </c>
      <c r="Y220" s="0" t="n">
        <v>7.03</v>
      </c>
      <c r="Z220" s="0" t="s">
        <v>123</v>
      </c>
    </row>
    <row r="221" customFormat="false" ht="15" hidden="false" customHeight="false" outlineLevel="0" collapsed="false">
      <c r="A221" s="0" t="n">
        <v>221</v>
      </c>
      <c r="B221" s="0" t="n">
        <v>1044604</v>
      </c>
      <c r="C221" s="0" t="n">
        <v>17115</v>
      </c>
      <c r="D221" s="0" t="n">
        <v>888210</v>
      </c>
      <c r="E221" s="0" t="n">
        <v>0.03</v>
      </c>
      <c r="F221" s="0" t="n">
        <v>82605</v>
      </c>
      <c r="G221" s="0" t="n">
        <v>7.90778132191721</v>
      </c>
      <c r="H221" s="0" t="s">
        <v>378</v>
      </c>
      <c r="I221" s="0" t="n">
        <v>1.0281384652739</v>
      </c>
      <c r="J221" s="0" t="n">
        <v>41130</v>
      </c>
      <c r="K221" s="0" t="n">
        <v>4630</v>
      </c>
      <c r="L221" s="0" t="n">
        <v>860779</v>
      </c>
      <c r="M221" s="0" t="n">
        <v>851929</v>
      </c>
      <c r="N221" s="0" t="n">
        <v>814065</v>
      </c>
      <c r="O221" s="0" t="n">
        <v>259</v>
      </c>
      <c r="P221" s="0" t="s">
        <v>125</v>
      </c>
      <c r="Q221" s="0" t="n">
        <v>0.0300890240119705</v>
      </c>
      <c r="R221" s="0" t="n">
        <v>3.14233773367192</v>
      </c>
      <c r="S221" s="0" t="n">
        <v>7</v>
      </c>
      <c r="T221" s="0" t="n">
        <v>37</v>
      </c>
      <c r="U221" s="0" t="n">
        <v>0</v>
      </c>
      <c r="V221" s="0" t="n">
        <v>13.626834654189</v>
      </c>
      <c r="W221" s="0" t="n">
        <v>20230331</v>
      </c>
      <c r="X221" s="0" t="n">
        <v>0.694447494119008</v>
      </c>
      <c r="Y221" s="0" t="n">
        <v>8.83</v>
      </c>
      <c r="Z221" s="0" t="s">
        <v>105</v>
      </c>
    </row>
    <row r="222" customFormat="false" ht="15" hidden="false" customHeight="false" outlineLevel="0" collapsed="false">
      <c r="A222" s="0" t="n">
        <v>222</v>
      </c>
      <c r="B222" s="0" t="n">
        <v>1570158</v>
      </c>
      <c r="C222" s="0" t="n">
        <v>17180</v>
      </c>
      <c r="D222" s="0" t="n">
        <v>1147694</v>
      </c>
      <c r="E222" s="0" t="n">
        <v>0.11</v>
      </c>
      <c r="F222" s="0" t="n">
        <v>131076</v>
      </c>
      <c r="G222" s="0" t="n">
        <v>8.34794969678211</v>
      </c>
      <c r="H222" s="0" t="s">
        <v>379</v>
      </c>
      <c r="I222" s="0" t="n">
        <v>0.942880578148849</v>
      </c>
      <c r="J222" s="0" t="n">
        <v>49856</v>
      </c>
      <c r="K222" s="0" t="n">
        <v>201536</v>
      </c>
      <c r="L222" s="0" t="n">
        <v>1410571</v>
      </c>
      <c r="M222" s="0" t="n">
        <v>1397271</v>
      </c>
      <c r="N222" s="0" t="n">
        <v>1135680</v>
      </c>
      <c r="O222" s="0" t="n">
        <v>4701</v>
      </c>
      <c r="P222" s="0" t="s">
        <v>127</v>
      </c>
      <c r="Q222" s="0" t="n">
        <v>0.333269293073514</v>
      </c>
      <c r="R222" s="0" t="n">
        <v>3.04575475622422</v>
      </c>
      <c r="S222" s="0" t="n">
        <v>72</v>
      </c>
      <c r="T222" s="0" t="n">
        <v>1615</v>
      </c>
      <c r="U222" s="0" t="n">
        <v>0</v>
      </c>
      <c r="V222" s="0" t="n">
        <v>13.7737837295927</v>
      </c>
      <c r="W222" s="0" t="n">
        <v>20230331</v>
      </c>
      <c r="X222" s="0" t="n">
        <v>0.508991402284762</v>
      </c>
      <c r="Y222" s="0" t="n">
        <v>6.14</v>
      </c>
      <c r="Z222" s="0" t="s">
        <v>123</v>
      </c>
    </row>
    <row r="223" customFormat="false" ht="15" hidden="false" customHeight="false" outlineLevel="0" collapsed="false">
      <c r="A223" s="0" t="n">
        <v>223</v>
      </c>
      <c r="B223" s="0" t="n">
        <v>371402</v>
      </c>
      <c r="C223" s="0" t="n">
        <v>17443</v>
      </c>
      <c r="D223" s="0" t="n">
        <v>330910</v>
      </c>
      <c r="E223" s="0" t="n">
        <v>0.04</v>
      </c>
      <c r="F223" s="0" t="n">
        <v>39228</v>
      </c>
      <c r="G223" s="0" t="n">
        <v>10.5621402146461</v>
      </c>
      <c r="H223" s="0" t="s">
        <v>380</v>
      </c>
      <c r="I223" s="0" t="n">
        <v>0.829746234744845</v>
      </c>
      <c r="J223" s="0" t="n">
        <v>0</v>
      </c>
      <c r="K223" s="0" t="n">
        <v>927</v>
      </c>
      <c r="L223" s="0" t="n">
        <v>208618</v>
      </c>
      <c r="M223" s="0" t="n">
        <v>206887</v>
      </c>
      <c r="N223" s="0" t="n">
        <v>206692</v>
      </c>
      <c r="O223" s="0" t="n">
        <v>250</v>
      </c>
      <c r="P223" s="0" t="s">
        <v>129</v>
      </c>
      <c r="Q223" s="0" t="n">
        <v>0.119836255740157</v>
      </c>
      <c r="R223" s="0" t="n">
        <v>1.74122890578543</v>
      </c>
      <c r="S223" s="0" t="n">
        <v>0</v>
      </c>
      <c r="T223" s="0" t="n">
        <v>520</v>
      </c>
      <c r="U223" s="0" t="n">
        <v>0</v>
      </c>
      <c r="V223" s="0" t="n">
        <v>0</v>
      </c>
      <c r="W223" s="0" t="n">
        <v>20230331</v>
      </c>
      <c r="X223" s="0" t="n">
        <v>0.103141153187208</v>
      </c>
      <c r="Y223" s="0" t="n">
        <v>1</v>
      </c>
      <c r="Z223" s="0" t="s">
        <v>123</v>
      </c>
    </row>
    <row r="224" customFormat="false" ht="15" hidden="false" customHeight="false" outlineLevel="0" collapsed="false">
      <c r="A224" s="0" t="n">
        <v>224</v>
      </c>
      <c r="B224" s="0" t="n">
        <v>1830565</v>
      </c>
      <c r="C224" s="0" t="n">
        <v>17658</v>
      </c>
      <c r="D224" s="0" t="n">
        <v>1563995</v>
      </c>
      <c r="E224" s="0" t="n">
        <v>0.02</v>
      </c>
      <c r="F224" s="0" t="n">
        <v>199630</v>
      </c>
      <c r="G224" s="0" t="n">
        <v>10.9053762089847</v>
      </c>
      <c r="H224" s="0" t="s">
        <v>381</v>
      </c>
      <c r="I224" s="0" t="n">
        <v>0.603288542624123</v>
      </c>
      <c r="J224" s="0" t="n">
        <v>89661</v>
      </c>
      <c r="K224" s="0" t="n">
        <v>67833</v>
      </c>
      <c r="L224" s="0" t="n">
        <v>1233738</v>
      </c>
      <c r="M224" s="0" t="n">
        <v>1226295</v>
      </c>
      <c r="N224" s="0" t="n">
        <v>1063253</v>
      </c>
      <c r="O224" s="0" t="n">
        <v>672</v>
      </c>
      <c r="P224" s="0" t="s">
        <v>131</v>
      </c>
      <c r="Q224" s="0" t="n">
        <v>0.0544686148923029</v>
      </c>
      <c r="R224" s="0" t="n">
        <v>3.49825185127277</v>
      </c>
      <c r="S224" s="0" t="n">
        <v>-7</v>
      </c>
      <c r="T224" s="0" t="n">
        <v>1867</v>
      </c>
      <c r="U224" s="0" t="n">
        <v>0</v>
      </c>
      <c r="V224" s="0" t="n">
        <v>0</v>
      </c>
      <c r="W224" s="0" t="n">
        <v>20230331</v>
      </c>
      <c r="X224" s="0" t="n">
        <v>1.0847005861763</v>
      </c>
      <c r="Y224" s="0" t="n">
        <v>10.15</v>
      </c>
      <c r="Z224" s="0" t="s">
        <v>105</v>
      </c>
    </row>
    <row r="225" customFormat="false" ht="15" hidden="false" customHeight="false" outlineLevel="0" collapsed="false">
      <c r="A225" s="0" t="n">
        <v>225</v>
      </c>
      <c r="B225" s="0" t="n">
        <v>1010266</v>
      </c>
      <c r="C225" s="0" t="n">
        <v>17741</v>
      </c>
      <c r="D225" s="0" t="n">
        <v>833199</v>
      </c>
      <c r="E225" s="0" t="n">
        <v>0.04</v>
      </c>
      <c r="F225" s="0" t="n">
        <v>132521</v>
      </c>
      <c r="G225" s="0" t="n">
        <v>13.1174363979388</v>
      </c>
      <c r="H225" s="0" t="s">
        <v>382</v>
      </c>
      <c r="I225" s="0" t="n">
        <v>0.970167411442848</v>
      </c>
      <c r="J225" s="0" t="n">
        <v>43923</v>
      </c>
      <c r="K225" s="0" t="n">
        <v>3582</v>
      </c>
      <c r="L225" s="0" t="n">
        <v>842535</v>
      </c>
      <c r="M225" s="0" t="n">
        <v>834361</v>
      </c>
      <c r="N225" s="0" t="n">
        <v>791960</v>
      </c>
      <c r="O225" s="0" t="n">
        <v>1676</v>
      </c>
      <c r="P225" s="0" t="s">
        <v>133</v>
      </c>
      <c r="Q225" s="0" t="n">
        <v>0.198923486858113</v>
      </c>
      <c r="R225" s="0" t="n">
        <v>3.62976174766622</v>
      </c>
      <c r="S225" s="0" t="n">
        <v>-2</v>
      </c>
      <c r="T225" s="0" t="n">
        <v>2512</v>
      </c>
      <c r="U225" s="0" t="n">
        <v>0</v>
      </c>
      <c r="V225" s="0" t="n">
        <v>0</v>
      </c>
      <c r="W225" s="0" t="n">
        <v>20230331</v>
      </c>
      <c r="X225" s="0" t="n">
        <v>0.783895202662623</v>
      </c>
      <c r="Y225" s="0" t="n">
        <v>6.01</v>
      </c>
      <c r="Z225" s="0" t="s">
        <v>105</v>
      </c>
    </row>
    <row r="226" customFormat="false" ht="15" hidden="false" customHeight="false" outlineLevel="0" collapsed="false">
      <c r="A226" s="0" t="n">
        <v>226</v>
      </c>
      <c r="B226" s="0" t="n">
        <v>1303794</v>
      </c>
      <c r="C226" s="0" t="n">
        <v>17743</v>
      </c>
      <c r="D226" s="0" t="n">
        <v>997602</v>
      </c>
      <c r="E226" s="0" t="n">
        <v>0</v>
      </c>
      <c r="F226" s="0" t="n">
        <v>122164</v>
      </c>
      <c r="G226" s="0" t="n">
        <v>9.36988511988857</v>
      </c>
      <c r="H226" s="0" t="s">
        <v>383</v>
      </c>
      <c r="I226" s="0" t="n">
        <v>0.466605826578003</v>
      </c>
      <c r="J226" s="0" t="n">
        <v>10295</v>
      </c>
      <c r="K226" s="0" t="n">
        <v>7106</v>
      </c>
      <c r="L226" s="0" t="n">
        <v>1009203</v>
      </c>
      <c r="M226" s="0" t="n">
        <v>1004494</v>
      </c>
      <c r="N226" s="0" t="n">
        <v>979266</v>
      </c>
      <c r="O226" s="0" t="n">
        <v>2506</v>
      </c>
      <c r="P226" s="0" t="s">
        <v>135</v>
      </c>
      <c r="Q226" s="0" t="n">
        <v>0.248314759270434</v>
      </c>
      <c r="R226" s="0" t="n">
        <v>2.16823970331417</v>
      </c>
      <c r="S226" s="0" t="n">
        <v>-13</v>
      </c>
      <c r="T226" s="0" t="n">
        <v>3655</v>
      </c>
      <c r="U226" s="0" t="n">
        <v>0</v>
      </c>
      <c r="V226" s="0" t="n">
        <v>0</v>
      </c>
      <c r="W226" s="0" t="n">
        <v>20230331</v>
      </c>
      <c r="X226" s="0" t="n">
        <v>0.0852661622010452</v>
      </c>
      <c r="Y226" s="0" t="n">
        <v>0.91</v>
      </c>
      <c r="Z226" s="0" t="s">
        <v>105</v>
      </c>
    </row>
    <row r="227" customFormat="false" ht="15" hidden="false" customHeight="false" outlineLevel="0" collapsed="false">
      <c r="A227" s="0" t="n">
        <v>227</v>
      </c>
      <c r="B227" s="0" t="n">
        <v>1649776</v>
      </c>
      <c r="C227" s="0" t="n">
        <v>17748</v>
      </c>
      <c r="D227" s="0" t="n">
        <v>1413359</v>
      </c>
      <c r="E227" s="0" t="n">
        <v>0.2</v>
      </c>
      <c r="F227" s="0" t="n">
        <v>110285</v>
      </c>
      <c r="G227" s="0" t="n">
        <v>6.68484691255055</v>
      </c>
      <c r="H227" s="0" t="s">
        <v>384</v>
      </c>
      <c r="I227" s="0" t="n">
        <v>0.788861658196826</v>
      </c>
      <c r="J227" s="0" t="n">
        <v>161096</v>
      </c>
      <c r="K227" s="0" t="n">
        <v>3255</v>
      </c>
      <c r="L227" s="0" t="n">
        <v>1247367</v>
      </c>
      <c r="M227" s="0" t="n">
        <v>1237527</v>
      </c>
      <c r="N227" s="0" t="n">
        <v>1051242</v>
      </c>
      <c r="O227" s="0" t="n">
        <v>6401</v>
      </c>
      <c r="P227" s="0" t="s">
        <v>137</v>
      </c>
      <c r="Q227" s="0" t="n">
        <v>0.513160922166451</v>
      </c>
      <c r="R227" s="0" t="n">
        <v>2.55248226856839</v>
      </c>
      <c r="S227" s="0" t="n">
        <v>1111</v>
      </c>
      <c r="T227" s="0" t="n">
        <v>2887</v>
      </c>
      <c r="U227" s="0" t="n">
        <v>0</v>
      </c>
      <c r="V227" s="0" t="n">
        <v>0</v>
      </c>
      <c r="W227" s="0" t="n">
        <v>20230331</v>
      </c>
      <c r="X227" s="0" t="n">
        <v>0.111242080447915</v>
      </c>
      <c r="Y227" s="0" t="n">
        <v>1.67</v>
      </c>
      <c r="Z227" s="0" t="s">
        <v>105</v>
      </c>
    </row>
    <row r="228" customFormat="false" ht="15" hidden="false" customHeight="false" outlineLevel="0" collapsed="false">
      <c r="A228" s="0" t="n">
        <v>228</v>
      </c>
      <c r="B228" s="0" t="n">
        <v>1286254</v>
      </c>
      <c r="C228" s="0" t="n">
        <v>17749</v>
      </c>
      <c r="D228" s="0" t="n">
        <v>1024638</v>
      </c>
      <c r="E228" s="0" t="n">
        <v>0.05</v>
      </c>
      <c r="F228" s="0" t="n">
        <v>162250</v>
      </c>
      <c r="G228" s="0" t="n">
        <v>12.6141493048807</v>
      </c>
      <c r="H228" s="0" t="s">
        <v>385</v>
      </c>
      <c r="I228" s="0" t="n">
        <v>1.44066256041747</v>
      </c>
      <c r="J228" s="0" t="n">
        <v>49547</v>
      </c>
      <c r="K228" s="0" t="n">
        <v>9780</v>
      </c>
      <c r="L228" s="0" t="n">
        <v>748128</v>
      </c>
      <c r="M228" s="0" t="n">
        <v>737350</v>
      </c>
      <c r="N228" s="0" t="n">
        <v>677598</v>
      </c>
      <c r="O228" s="0" t="n">
        <v>210</v>
      </c>
      <c r="P228" s="0" t="s">
        <v>139</v>
      </c>
      <c r="Q228" s="0" t="n">
        <v>0.0280700628769408</v>
      </c>
      <c r="R228" s="0" t="n">
        <v>2.98792967429749</v>
      </c>
      <c r="S228" s="0" t="n">
        <v>7</v>
      </c>
      <c r="T228" s="0" t="n">
        <v>1358</v>
      </c>
      <c r="U228" s="0" t="n">
        <v>0</v>
      </c>
      <c r="V228" s="0" t="n">
        <v>0</v>
      </c>
      <c r="W228" s="0" t="n">
        <v>20230331</v>
      </c>
      <c r="X228" s="0" t="n">
        <v>1.31710105122298</v>
      </c>
      <c r="Y228" s="0" t="n">
        <v>10.8</v>
      </c>
      <c r="Z228" s="0" t="s">
        <v>105</v>
      </c>
    </row>
    <row r="229" customFormat="false" ht="15" hidden="false" customHeight="false" outlineLevel="0" collapsed="false">
      <c r="A229" s="0" t="n">
        <v>229</v>
      </c>
      <c r="B229" s="0" t="n">
        <v>1498353</v>
      </c>
      <c r="C229" s="0" t="n">
        <v>17751</v>
      </c>
      <c r="D229" s="0" t="n">
        <v>1191607</v>
      </c>
      <c r="E229" s="0" t="n">
        <v>0.08</v>
      </c>
      <c r="F229" s="0" t="n">
        <v>129181</v>
      </c>
      <c r="G229" s="0" t="n">
        <v>8.62153311002147</v>
      </c>
      <c r="H229" s="0" t="s">
        <v>386</v>
      </c>
      <c r="I229" s="0" t="n">
        <v>0.943414113785107</v>
      </c>
      <c r="J229" s="0" t="n">
        <v>113658</v>
      </c>
      <c r="K229" s="0" t="n">
        <v>1501</v>
      </c>
      <c r="L229" s="0" t="n">
        <v>1213041</v>
      </c>
      <c r="M229" s="0" t="n">
        <v>1201597</v>
      </c>
      <c r="N229" s="0" t="n">
        <v>1050455</v>
      </c>
      <c r="O229" s="0" t="n">
        <v>2844</v>
      </c>
      <c r="P229" s="0" t="s">
        <v>141</v>
      </c>
      <c r="Q229" s="0" t="n">
        <v>0.23445209189137</v>
      </c>
      <c r="R229" s="0" t="n">
        <v>3.21523746744756</v>
      </c>
      <c r="S229" s="0" t="n">
        <v>4071</v>
      </c>
      <c r="T229" s="0" t="n">
        <v>2201</v>
      </c>
      <c r="U229" s="0" t="n">
        <v>0</v>
      </c>
      <c r="V229" s="0" t="n">
        <v>13.1459416871701</v>
      </c>
      <c r="W229" s="0" t="n">
        <v>20230331</v>
      </c>
      <c r="X229" s="0" t="n">
        <v>0.577400064916807</v>
      </c>
      <c r="Y229" s="0" t="n">
        <v>6.69</v>
      </c>
      <c r="Z229" s="0" t="s">
        <v>105</v>
      </c>
    </row>
    <row r="230" customFormat="false" ht="15" hidden="false" customHeight="false" outlineLevel="0" collapsed="false">
      <c r="A230" s="0" t="n">
        <v>230</v>
      </c>
      <c r="B230" s="0" t="n">
        <v>1665050</v>
      </c>
      <c r="C230" s="0" t="n">
        <v>17897</v>
      </c>
      <c r="D230" s="0" t="n">
        <v>1329955</v>
      </c>
      <c r="E230" s="0" t="n">
        <v>-0.05</v>
      </c>
      <c r="F230" s="0" t="n">
        <v>200040</v>
      </c>
      <c r="G230" s="0" t="n">
        <v>12.0140536320231</v>
      </c>
      <c r="H230" s="0" t="s">
        <v>387</v>
      </c>
      <c r="I230" s="0" t="n">
        <v>0.602990045042801</v>
      </c>
      <c r="J230" s="0" t="n">
        <v>69971</v>
      </c>
      <c r="K230" s="0" t="n">
        <v>3501</v>
      </c>
      <c r="L230" s="0" t="n">
        <v>1405330</v>
      </c>
      <c r="M230" s="0" t="n">
        <v>1396856</v>
      </c>
      <c r="N230" s="0" t="n">
        <v>1322849</v>
      </c>
      <c r="O230" s="0" t="n">
        <v>3806</v>
      </c>
      <c r="P230" s="0" t="s">
        <v>143</v>
      </c>
      <c r="Q230" s="0" t="n">
        <v>0.271964591946375</v>
      </c>
      <c r="R230" s="0" t="n">
        <v>2.67608748065265</v>
      </c>
      <c r="S230" s="0" t="n">
        <v>-101</v>
      </c>
      <c r="T230" s="0" t="n">
        <v>1292</v>
      </c>
      <c r="U230" s="0" t="n">
        <v>16</v>
      </c>
      <c r="V230" s="0" t="n">
        <v>0</v>
      </c>
      <c r="W230" s="0" t="n">
        <v>20230331</v>
      </c>
      <c r="X230" s="0" t="n">
        <v>0.65685021685254</v>
      </c>
      <c r="Y230" s="0" t="n">
        <v>5.48</v>
      </c>
      <c r="Z230" s="0" t="s">
        <v>105</v>
      </c>
    </row>
    <row r="231" customFormat="false" ht="15" hidden="false" customHeight="false" outlineLevel="0" collapsed="false">
      <c r="A231" s="0" t="n">
        <v>231</v>
      </c>
      <c r="B231" s="0" t="n">
        <v>753464</v>
      </c>
      <c r="C231" s="0" t="n">
        <v>17951</v>
      </c>
      <c r="D231" s="0" t="n">
        <v>678863</v>
      </c>
      <c r="E231" s="0" t="n">
        <v>0.12</v>
      </c>
      <c r="F231" s="0" t="n">
        <v>57390</v>
      </c>
      <c r="G231" s="0" t="n">
        <v>7.61682044530329</v>
      </c>
      <c r="H231" s="0" t="s">
        <v>388</v>
      </c>
      <c r="I231" s="0" t="n">
        <v>0.889678055913561</v>
      </c>
      <c r="J231" s="0" t="n">
        <v>22713</v>
      </c>
      <c r="K231" s="0" t="n">
        <v>1774</v>
      </c>
      <c r="L231" s="0" t="n">
        <v>536149</v>
      </c>
      <c r="M231" s="0" t="n">
        <v>531379</v>
      </c>
      <c r="N231" s="0" t="n">
        <v>498891</v>
      </c>
      <c r="O231" s="0" t="n">
        <v>68</v>
      </c>
      <c r="P231" s="0" t="s">
        <v>145</v>
      </c>
      <c r="Q231" s="0" t="n">
        <v>0.0126830414679501</v>
      </c>
      <c r="R231" s="0" t="n">
        <v>2.83578052985655</v>
      </c>
      <c r="S231" s="0" t="n">
        <v>-203</v>
      </c>
      <c r="T231" s="0" t="n">
        <v>2194</v>
      </c>
      <c r="U231" s="0" t="n">
        <v>0</v>
      </c>
      <c r="V231" s="0" t="n">
        <v>14.6626029628837</v>
      </c>
      <c r="W231" s="0" t="n">
        <v>20230331</v>
      </c>
      <c r="X231" s="0" t="n">
        <v>0.569635122043929</v>
      </c>
      <c r="Y231" s="0" t="n">
        <v>7.67</v>
      </c>
      <c r="Z231" s="0" t="s">
        <v>123</v>
      </c>
    </row>
    <row r="232" customFormat="false" ht="15" hidden="false" customHeight="false" outlineLevel="0" collapsed="false">
      <c r="A232" s="0" t="n">
        <v>232</v>
      </c>
      <c r="B232" s="0" t="n">
        <v>1332758</v>
      </c>
      <c r="C232" s="0" t="n">
        <v>17960</v>
      </c>
      <c r="D232" s="0" t="n">
        <v>1015763</v>
      </c>
      <c r="E232" s="0" t="n">
        <v>0.05</v>
      </c>
      <c r="F232" s="0" t="n">
        <v>107964</v>
      </c>
      <c r="G232" s="0" t="n">
        <v>8.10079549325534</v>
      </c>
      <c r="H232" s="0" t="s">
        <v>389</v>
      </c>
      <c r="I232" s="0" t="n">
        <v>1.00034437223045</v>
      </c>
      <c r="J232" s="0" t="n">
        <v>113261</v>
      </c>
      <c r="K232" s="0" t="n">
        <v>202345</v>
      </c>
      <c r="L232" s="0" t="n">
        <v>1141207</v>
      </c>
      <c r="M232" s="0" t="n">
        <v>1129791</v>
      </c>
      <c r="N232" s="0" t="n">
        <v>821435</v>
      </c>
      <c r="O232" s="0" t="n">
        <v>821</v>
      </c>
      <c r="P232" s="0" t="s">
        <v>147</v>
      </c>
      <c r="Q232" s="0" t="n">
        <v>0.0719413743518923</v>
      </c>
      <c r="R232" s="0" t="n">
        <v>2.98488627502336</v>
      </c>
      <c r="S232" s="0" t="n">
        <v>23</v>
      </c>
      <c r="T232" s="0" t="n">
        <v>2222</v>
      </c>
      <c r="U232" s="0" t="n">
        <v>0</v>
      </c>
      <c r="V232" s="0" t="n">
        <v>12.874141309121</v>
      </c>
      <c r="W232" s="0" t="n">
        <v>20230331</v>
      </c>
      <c r="X232" s="0" t="n">
        <v>0.555969732548979</v>
      </c>
      <c r="Y232" s="0" t="n">
        <v>6.94</v>
      </c>
      <c r="Z232" s="0" t="s">
        <v>123</v>
      </c>
    </row>
    <row r="233" customFormat="false" ht="15" hidden="false" customHeight="false" outlineLevel="0" collapsed="false">
      <c r="A233" s="0" t="n">
        <v>233</v>
      </c>
      <c r="B233" s="0" t="n">
        <v>2429028</v>
      </c>
      <c r="C233" s="0" t="n">
        <v>18012</v>
      </c>
      <c r="D233" s="0" t="n">
        <v>2050411</v>
      </c>
      <c r="E233" s="0" t="n">
        <v>0.06</v>
      </c>
      <c r="F233" s="0" t="n">
        <v>248764</v>
      </c>
      <c r="G233" s="0" t="n">
        <v>10.2412981653567</v>
      </c>
      <c r="H233" s="0" t="s">
        <v>390</v>
      </c>
      <c r="I233" s="0" t="n">
        <v>1.26869596601962</v>
      </c>
      <c r="J233" s="0" t="n">
        <v>46030</v>
      </c>
      <c r="K233" s="0" t="n">
        <v>34042</v>
      </c>
      <c r="L233" s="0" t="n">
        <v>1975493</v>
      </c>
      <c r="M233" s="0" t="n">
        <v>1950430</v>
      </c>
      <c r="N233" s="0" t="n">
        <v>1870355</v>
      </c>
      <c r="O233" s="0" t="n">
        <v>1410</v>
      </c>
      <c r="P233" s="0" t="s">
        <v>149</v>
      </c>
      <c r="Q233" s="0" t="n">
        <v>0.0713745885204351</v>
      </c>
      <c r="R233" s="0" t="n">
        <v>3.23879774845535</v>
      </c>
      <c r="S233" s="0" t="n">
        <v>46</v>
      </c>
      <c r="T233" s="0" t="n">
        <v>1100</v>
      </c>
      <c r="U233" s="0" t="n">
        <v>0</v>
      </c>
      <c r="V233" s="0" t="n">
        <v>13.3370750765378</v>
      </c>
      <c r="W233" s="0" t="n">
        <v>20230331</v>
      </c>
      <c r="X233" s="0" t="n">
        <v>0.993530204379712</v>
      </c>
      <c r="Y233" s="0" t="n">
        <v>9.89</v>
      </c>
      <c r="Z233" s="0" t="s">
        <v>123</v>
      </c>
    </row>
    <row r="234" customFormat="false" ht="15" hidden="false" customHeight="false" outlineLevel="0" collapsed="false">
      <c r="A234" s="0" t="n">
        <v>234</v>
      </c>
      <c r="B234" s="0" t="n">
        <v>2733301</v>
      </c>
      <c r="C234" s="0" t="n">
        <v>18013</v>
      </c>
      <c r="D234" s="0" t="n">
        <v>2369188</v>
      </c>
      <c r="E234" s="0" t="n">
        <v>0.04</v>
      </c>
      <c r="F234" s="0" t="n">
        <v>210055</v>
      </c>
      <c r="G234" s="0" t="n">
        <v>7.68502993267115</v>
      </c>
      <c r="H234" s="0" t="s">
        <v>391</v>
      </c>
      <c r="I234" s="0" t="n">
        <v>0.742497763930001</v>
      </c>
      <c r="J234" s="0" t="n">
        <v>110218</v>
      </c>
      <c r="K234" s="0" t="n">
        <v>23888</v>
      </c>
      <c r="L234" s="0" t="n">
        <v>2203643</v>
      </c>
      <c r="M234" s="0" t="n">
        <v>2187281</v>
      </c>
      <c r="N234" s="0" t="n">
        <v>2017963</v>
      </c>
      <c r="O234" s="0" t="n">
        <v>1023</v>
      </c>
      <c r="P234" s="0" t="s">
        <v>151</v>
      </c>
      <c r="Q234" s="0" t="n">
        <v>0.0464231275211093</v>
      </c>
      <c r="R234" s="0" t="n">
        <v>2.9811963289553</v>
      </c>
      <c r="S234" s="0" t="n">
        <v>9</v>
      </c>
      <c r="T234" s="0" t="n">
        <v>3732</v>
      </c>
      <c r="U234" s="0" t="n">
        <v>0</v>
      </c>
      <c r="V234" s="0" t="n">
        <v>13.3103871528666</v>
      </c>
      <c r="W234" s="0" t="n">
        <v>20230331</v>
      </c>
      <c r="X234" s="0" t="n">
        <v>0.443403413877027</v>
      </c>
      <c r="Y234" s="0" t="n">
        <v>5.87</v>
      </c>
      <c r="Z234" s="0" t="s">
        <v>123</v>
      </c>
    </row>
    <row r="235" customFormat="false" ht="15" hidden="false" customHeight="false" outlineLevel="0" collapsed="false">
      <c r="A235" s="0" t="n">
        <v>235</v>
      </c>
      <c r="B235" s="0" t="n">
        <v>384151</v>
      </c>
      <c r="C235" s="0" t="n">
        <v>18028</v>
      </c>
      <c r="D235" s="0" t="n">
        <v>321675</v>
      </c>
      <c r="E235" s="0" t="n">
        <v>0.15</v>
      </c>
      <c r="F235" s="0" t="n">
        <v>38054</v>
      </c>
      <c r="G235" s="0" t="n">
        <v>9.90600050500975</v>
      </c>
      <c r="H235" s="0" t="s">
        <v>392</v>
      </c>
      <c r="I235" s="0" t="n">
        <v>0.977234694199741</v>
      </c>
      <c r="J235" s="0" t="n">
        <v>15846</v>
      </c>
      <c r="K235" s="0" t="n">
        <v>8663</v>
      </c>
      <c r="L235" s="0" t="n">
        <v>253368</v>
      </c>
      <c r="M235" s="0" t="n">
        <v>250892</v>
      </c>
      <c r="N235" s="0" t="n">
        <v>222649</v>
      </c>
      <c r="O235" s="0" t="n">
        <v>1519</v>
      </c>
      <c r="P235" s="0" t="s">
        <v>153</v>
      </c>
      <c r="Q235" s="0" t="n">
        <v>0.663856524896593</v>
      </c>
      <c r="R235" s="0" t="n">
        <v>3.57814376005256</v>
      </c>
      <c r="S235" s="0" t="n">
        <v>87</v>
      </c>
      <c r="T235" s="0" t="n">
        <v>1473</v>
      </c>
      <c r="U235" s="0" t="n">
        <v>163</v>
      </c>
      <c r="V235" s="0" t="n">
        <v>0</v>
      </c>
      <c r="W235" s="0" t="n">
        <v>20230331</v>
      </c>
      <c r="X235" s="0" t="n">
        <v>0.60865321121989</v>
      </c>
      <c r="Y235" s="0" t="n">
        <v>6.33</v>
      </c>
      <c r="Z235" s="0" t="s">
        <v>123</v>
      </c>
    </row>
    <row r="236" customFormat="false" ht="15" hidden="false" customHeight="false" outlineLevel="0" collapsed="false">
      <c r="A236" s="0" t="n">
        <v>236</v>
      </c>
      <c r="B236" s="0" t="n">
        <v>704016</v>
      </c>
      <c r="C236" s="0" t="n">
        <v>18030</v>
      </c>
      <c r="D236" s="0" t="n">
        <v>652422</v>
      </c>
      <c r="E236" s="0" t="n">
        <v>0.11</v>
      </c>
      <c r="F236" s="0" t="n">
        <v>44712</v>
      </c>
      <c r="G236" s="0" t="n">
        <v>6.35099202290857</v>
      </c>
      <c r="H236" s="0" t="s">
        <v>393</v>
      </c>
      <c r="I236" s="0" t="n">
        <v>1.01863954591846</v>
      </c>
      <c r="J236" s="0" t="n">
        <v>34886</v>
      </c>
      <c r="K236" s="0" t="n">
        <v>86405</v>
      </c>
      <c r="L236" s="0" t="n">
        <v>558490</v>
      </c>
      <c r="M236" s="0" t="n">
        <v>552801</v>
      </c>
      <c r="N236" s="0" t="n">
        <v>437108</v>
      </c>
      <c r="O236" s="0" t="n">
        <v>501</v>
      </c>
      <c r="P236" s="0" t="s">
        <v>155</v>
      </c>
      <c r="Q236" s="0" t="n">
        <v>0.0897061719994986</v>
      </c>
      <c r="R236" s="0" t="n">
        <v>3.50492880613362</v>
      </c>
      <c r="S236" s="0" t="n">
        <v>-12</v>
      </c>
      <c r="T236" s="0" t="n">
        <v>714</v>
      </c>
      <c r="U236" s="0" t="n">
        <v>0</v>
      </c>
      <c r="V236" s="0" t="n">
        <v>12.9898118719735</v>
      </c>
      <c r="W236" s="0" t="n">
        <v>20230331</v>
      </c>
      <c r="X236" s="0" t="n">
        <v>0.626132056425815</v>
      </c>
      <c r="Y236" s="0" t="n">
        <v>10.13</v>
      </c>
      <c r="Z236" s="0" t="s">
        <v>123</v>
      </c>
    </row>
    <row r="237" customFormat="false" ht="15" hidden="false" customHeight="false" outlineLevel="0" collapsed="false">
      <c r="A237" s="0" t="n">
        <v>237</v>
      </c>
      <c r="B237" s="0" t="n">
        <v>653889</v>
      </c>
      <c r="C237" s="0" t="n">
        <v>18031</v>
      </c>
      <c r="D237" s="0" t="n">
        <v>579895</v>
      </c>
      <c r="E237" s="0" t="n">
        <v>0.06</v>
      </c>
      <c r="F237" s="0" t="n">
        <v>37639</v>
      </c>
      <c r="G237" s="0" t="n">
        <v>5.75617574236606</v>
      </c>
      <c r="H237" s="0" t="s">
        <v>394</v>
      </c>
      <c r="I237" s="0" t="n">
        <v>0.883044224924987</v>
      </c>
      <c r="J237" s="0" t="n">
        <v>28272</v>
      </c>
      <c r="K237" s="0" t="n">
        <v>7125</v>
      </c>
      <c r="L237" s="0" t="n">
        <v>467587</v>
      </c>
      <c r="M237" s="0" t="n">
        <v>463458</v>
      </c>
      <c r="N237" s="0" t="n">
        <v>424817</v>
      </c>
      <c r="O237" s="0" t="n">
        <v>861</v>
      </c>
      <c r="P237" s="0" t="s">
        <v>157</v>
      </c>
      <c r="Q237" s="0" t="n">
        <v>0.184136855815068</v>
      </c>
      <c r="R237" s="0" t="n">
        <v>2.86529528105113</v>
      </c>
      <c r="S237" s="0" t="n">
        <v>3</v>
      </c>
      <c r="T237" s="0" t="n">
        <v>1064</v>
      </c>
      <c r="U237" s="0" t="n">
        <v>0</v>
      </c>
      <c r="V237" s="0" t="n">
        <v>16.3983634751584</v>
      </c>
      <c r="W237" s="0" t="n">
        <v>20230331</v>
      </c>
      <c r="X237" s="0" t="n">
        <v>0.311530308150788</v>
      </c>
      <c r="Y237" s="0" t="n">
        <v>5.56</v>
      </c>
      <c r="Z237" s="0" t="s">
        <v>123</v>
      </c>
    </row>
    <row r="238" customFormat="false" ht="15" hidden="false" customHeight="false" outlineLevel="0" collapsed="false">
      <c r="A238" s="0" t="n">
        <v>238</v>
      </c>
      <c r="B238" s="0" t="n">
        <v>548592</v>
      </c>
      <c r="C238" s="0" t="n">
        <v>18038</v>
      </c>
      <c r="D238" s="0" t="n">
        <v>453467</v>
      </c>
      <c r="E238" s="0" t="n">
        <v>0.12</v>
      </c>
      <c r="F238" s="0" t="n">
        <v>65334</v>
      </c>
      <c r="G238" s="0" t="n">
        <v>11.909397147607</v>
      </c>
      <c r="H238" s="0" t="s">
        <v>395</v>
      </c>
      <c r="I238" s="0" t="n">
        <v>0.981353095864212</v>
      </c>
      <c r="J238" s="0" t="n">
        <v>17283</v>
      </c>
      <c r="K238" s="0" t="n">
        <v>3452</v>
      </c>
      <c r="L238" s="0" t="n">
        <v>418300</v>
      </c>
      <c r="M238" s="0" t="n">
        <v>414195</v>
      </c>
      <c r="N238" s="0" t="n">
        <v>397248</v>
      </c>
      <c r="O238" s="0" t="n">
        <v>2269</v>
      </c>
      <c r="P238" s="0" t="s">
        <v>159</v>
      </c>
      <c r="Q238" s="0" t="n">
        <v>0.542433660052594</v>
      </c>
      <c r="R238" s="0" t="n">
        <v>2.59646477985742</v>
      </c>
      <c r="S238" s="0" t="n">
        <v>0</v>
      </c>
      <c r="T238" s="0" t="n">
        <v>1813</v>
      </c>
      <c r="U238" s="0" t="n">
        <v>0</v>
      </c>
      <c r="V238" s="0" t="n">
        <v>0</v>
      </c>
      <c r="W238" s="0" t="n">
        <v>20230331</v>
      </c>
      <c r="X238" s="0" t="n">
        <v>0.0703982689436183</v>
      </c>
      <c r="Y238" s="0" t="n">
        <v>0.59</v>
      </c>
      <c r="Z238" s="0" t="s">
        <v>123</v>
      </c>
    </row>
    <row r="239" customFormat="false" ht="15" hidden="false" customHeight="false" outlineLevel="0" collapsed="false">
      <c r="A239" s="0" t="n">
        <v>239</v>
      </c>
      <c r="B239" s="0" t="n">
        <v>7408655</v>
      </c>
      <c r="C239" s="0" t="n">
        <v>18408</v>
      </c>
      <c r="D239" s="0" t="n">
        <v>5909216</v>
      </c>
      <c r="E239" s="0" t="n">
        <v>0</v>
      </c>
      <c r="F239" s="0" t="n">
        <v>379605</v>
      </c>
      <c r="G239" s="0" t="n">
        <v>5.12380452322318</v>
      </c>
      <c r="H239" s="0" t="s">
        <v>396</v>
      </c>
      <c r="I239" s="0" t="n">
        <v>0.773535000383253</v>
      </c>
      <c r="J239" s="0" t="n">
        <v>323957</v>
      </c>
      <c r="K239" s="0" t="n">
        <v>30117</v>
      </c>
      <c r="L239" s="0" t="n">
        <v>4709677</v>
      </c>
      <c r="M239" s="0" t="n">
        <v>4673246</v>
      </c>
      <c r="N239" s="0" t="n">
        <v>4284764</v>
      </c>
      <c r="O239" s="0" t="n">
        <v>2650</v>
      </c>
      <c r="P239" s="0" t="s">
        <v>161</v>
      </c>
      <c r="Q239" s="0" t="n">
        <v>0.056267128297758</v>
      </c>
      <c r="R239" s="0" t="n">
        <v>2.1967342242162</v>
      </c>
      <c r="S239" s="0" t="n">
        <v>1465</v>
      </c>
      <c r="T239" s="0" t="n">
        <v>5472</v>
      </c>
      <c r="U239" s="0" t="n">
        <v>0</v>
      </c>
      <c r="V239" s="0" t="n">
        <v>11.786074914701</v>
      </c>
      <c r="W239" s="0" t="n">
        <v>20230331</v>
      </c>
      <c r="X239" s="0" t="n">
        <v>0.0727725446773376</v>
      </c>
      <c r="Y239" s="0" t="n">
        <v>1.48</v>
      </c>
      <c r="Z239" s="0" t="s">
        <v>105</v>
      </c>
    </row>
    <row r="240" customFormat="false" ht="15" hidden="false" customHeight="false" outlineLevel="0" collapsed="false">
      <c r="A240" s="0" t="n">
        <v>240</v>
      </c>
      <c r="B240" s="0" t="n">
        <v>2391401</v>
      </c>
      <c r="C240" s="0" t="n">
        <v>19531</v>
      </c>
      <c r="D240" s="0" t="n">
        <v>1997122</v>
      </c>
      <c r="E240" s="0" t="n">
        <v>0</v>
      </c>
      <c r="F240" s="0" t="n">
        <v>231126</v>
      </c>
      <c r="G240" s="0" t="n">
        <v>9.66487845409448</v>
      </c>
      <c r="H240" s="0" t="s">
        <v>397</v>
      </c>
      <c r="I240" s="0" t="n">
        <v>1.21529212083691</v>
      </c>
      <c r="J240" s="0" t="n">
        <v>238788</v>
      </c>
      <c r="K240" s="0" t="n">
        <v>14418</v>
      </c>
      <c r="L240" s="0" t="n">
        <v>1912462</v>
      </c>
      <c r="M240" s="0" t="n">
        <v>1889220</v>
      </c>
      <c r="N240" s="0" t="n">
        <v>1564296</v>
      </c>
      <c r="O240" s="0" t="n">
        <v>14969</v>
      </c>
      <c r="P240" s="0" t="s">
        <v>163</v>
      </c>
      <c r="Q240" s="0" t="n">
        <v>0.782708362309944</v>
      </c>
      <c r="R240" s="0" t="n">
        <v>2.83903414631549</v>
      </c>
      <c r="S240" s="0" t="n">
        <v>24</v>
      </c>
      <c r="T240" s="0" t="n">
        <v>8568</v>
      </c>
      <c r="U240" s="0" t="n">
        <v>0</v>
      </c>
      <c r="V240" s="0" t="n">
        <v>14.2370552569306</v>
      </c>
      <c r="W240" s="0" t="n">
        <v>20230331</v>
      </c>
      <c r="X240" s="0" t="n">
        <v>0.598798237021496</v>
      </c>
      <c r="Y240" s="0" t="n">
        <v>6.26</v>
      </c>
      <c r="Z240" s="0" t="s">
        <v>105</v>
      </c>
    </row>
    <row r="241" customFormat="false" ht="15" hidden="false" customHeight="false" outlineLevel="0" collapsed="false">
      <c r="A241" s="0" t="n">
        <v>241</v>
      </c>
      <c r="B241" s="0" t="n">
        <v>781513</v>
      </c>
      <c r="C241" s="0" t="n">
        <v>19532</v>
      </c>
      <c r="D241" s="0" t="n">
        <v>676028</v>
      </c>
      <c r="E241" s="0" t="n">
        <v>0</v>
      </c>
      <c r="F241" s="0" t="n">
        <v>91464</v>
      </c>
      <c r="G241" s="0" t="n">
        <v>11.7034521498683</v>
      </c>
      <c r="H241" s="0" t="s">
        <v>398</v>
      </c>
      <c r="I241" s="0" t="n">
        <v>1.03349728097759</v>
      </c>
      <c r="J241" s="0" t="n">
        <v>34197</v>
      </c>
      <c r="K241" s="0" t="n">
        <v>47272</v>
      </c>
      <c r="L241" s="0" t="n">
        <v>558105</v>
      </c>
      <c r="M241" s="0" t="n">
        <v>552337</v>
      </c>
      <c r="N241" s="0" t="n">
        <v>465968</v>
      </c>
      <c r="O241" s="0" t="n">
        <v>712</v>
      </c>
      <c r="P241" s="0" t="s">
        <v>165</v>
      </c>
      <c r="Q241" s="0" t="n">
        <v>0.127574560342588</v>
      </c>
      <c r="R241" s="0" t="n">
        <v>3.56459940305092</v>
      </c>
      <c r="S241" s="0" t="n">
        <v>16</v>
      </c>
      <c r="T241" s="0" t="n">
        <v>427</v>
      </c>
      <c r="U241" s="0" t="n">
        <v>0</v>
      </c>
      <c r="V241" s="0" t="n">
        <v>21.6495094755333</v>
      </c>
      <c r="W241" s="0" t="n">
        <v>20230331</v>
      </c>
      <c r="X241" s="0" t="n">
        <v>0.829366675964691</v>
      </c>
      <c r="Y241" s="0" t="n">
        <v>7.2</v>
      </c>
      <c r="Z241" s="0" t="s">
        <v>105</v>
      </c>
    </row>
    <row r="242" customFormat="false" ht="15" hidden="false" customHeight="false" outlineLevel="0" collapsed="false">
      <c r="A242" s="0" t="n">
        <v>242</v>
      </c>
      <c r="B242" s="0" t="n">
        <v>2866479</v>
      </c>
      <c r="C242" s="0" t="n">
        <v>19690</v>
      </c>
      <c r="D242" s="0" t="n">
        <v>2150204</v>
      </c>
      <c r="E242" s="0" t="n">
        <v>0.1</v>
      </c>
      <c r="F242" s="0" t="n">
        <v>283869</v>
      </c>
      <c r="G242" s="0" t="n">
        <v>9.9030552814097</v>
      </c>
      <c r="H242" s="0" t="s">
        <v>399</v>
      </c>
      <c r="I242" s="0" t="n">
        <v>0.282572879458282</v>
      </c>
      <c r="J242" s="0" t="n">
        <v>41557</v>
      </c>
      <c r="K242" s="0" t="n">
        <v>534</v>
      </c>
      <c r="L242" s="0" t="n">
        <v>2509795</v>
      </c>
      <c r="M242" s="0" t="n">
        <v>2502703</v>
      </c>
      <c r="N242" s="0" t="n">
        <v>2010351</v>
      </c>
      <c r="O242" s="0" t="n">
        <v>14522</v>
      </c>
      <c r="P242" s="0" t="s">
        <v>167</v>
      </c>
      <c r="Q242" s="0" t="n">
        <v>0.578612994288378</v>
      </c>
      <c r="R242" s="0" t="n">
        <v>4.69912192082439</v>
      </c>
      <c r="S242" s="0" t="n">
        <v>-5</v>
      </c>
      <c r="T242" s="0" t="n">
        <v>6586</v>
      </c>
      <c r="U242" s="0" t="n">
        <v>0</v>
      </c>
      <c r="V242" s="0" t="n">
        <v>11.8894271150854</v>
      </c>
      <c r="W242" s="0" t="n">
        <v>20230331</v>
      </c>
      <c r="X242" s="0" t="n">
        <v>1.76423215572798</v>
      </c>
      <c r="Y242" s="0" t="n">
        <v>18.3</v>
      </c>
      <c r="Z242" s="0" t="s">
        <v>105</v>
      </c>
    </row>
    <row r="243" customFormat="false" ht="15" hidden="false" customHeight="false" outlineLevel="0" collapsed="false">
      <c r="A243" s="0" t="n">
        <v>243</v>
      </c>
      <c r="B243" s="0" t="n">
        <v>600233</v>
      </c>
      <c r="C243" s="0" t="n">
        <v>19836</v>
      </c>
      <c r="D243" s="0" t="n">
        <v>442530</v>
      </c>
      <c r="E243" s="0" t="n">
        <v>0.01</v>
      </c>
      <c r="F243" s="0" t="n">
        <v>118387</v>
      </c>
      <c r="G243" s="0" t="n">
        <v>19.7235073713041</v>
      </c>
      <c r="H243" s="0" t="s">
        <v>400</v>
      </c>
      <c r="I243" s="0" t="n">
        <v>0.867764936904455</v>
      </c>
      <c r="J243" s="0" t="n">
        <v>49653</v>
      </c>
      <c r="K243" s="0" t="n">
        <v>12278</v>
      </c>
      <c r="L243" s="0" t="n">
        <v>497024</v>
      </c>
      <c r="M243" s="0" t="n">
        <v>492711</v>
      </c>
      <c r="N243" s="0" t="n">
        <v>430517</v>
      </c>
      <c r="O243" s="0" t="n">
        <v>2423</v>
      </c>
      <c r="P243" s="0" t="s">
        <v>145</v>
      </c>
      <c r="Q243" s="0" t="n">
        <v>0.495549510687613</v>
      </c>
      <c r="R243" s="0" t="n">
        <v>4.18519544520099</v>
      </c>
      <c r="S243" s="0" t="n">
        <v>14</v>
      </c>
      <c r="T243" s="0" t="n">
        <v>2008</v>
      </c>
      <c r="U243" s="0" t="n">
        <v>40</v>
      </c>
      <c r="V243" s="0" t="n">
        <v>27.6259114445736</v>
      </c>
      <c r="W243" s="0" t="n">
        <v>20230331</v>
      </c>
      <c r="X243" s="0" t="n">
        <v>0.661549552605911</v>
      </c>
      <c r="Y243" s="0" t="n">
        <v>3.32</v>
      </c>
      <c r="Z243" s="0" t="s">
        <v>105</v>
      </c>
    </row>
    <row r="244" customFormat="false" ht="15" hidden="false" customHeight="false" outlineLevel="0" collapsed="false">
      <c r="A244" s="0" t="n">
        <v>244</v>
      </c>
      <c r="B244" s="0" t="n">
        <v>1306028</v>
      </c>
      <c r="C244" s="0" t="n">
        <v>24540</v>
      </c>
      <c r="D244" s="0" t="n">
        <v>1050825</v>
      </c>
      <c r="E244" s="0" t="n">
        <v>0.44</v>
      </c>
      <c r="F244" s="0" t="n">
        <v>223212</v>
      </c>
      <c r="G244" s="0" t="n">
        <v>17.0909046360415</v>
      </c>
      <c r="H244" s="0" t="s">
        <v>401</v>
      </c>
      <c r="I244" s="0" t="n">
        <v>0.998533228026628</v>
      </c>
      <c r="J244" s="0" t="n">
        <v>38781</v>
      </c>
      <c r="K244" s="0" t="n">
        <v>84</v>
      </c>
      <c r="L244" s="0" t="n">
        <v>1134464</v>
      </c>
      <c r="M244" s="0" t="n">
        <v>1123136</v>
      </c>
      <c r="N244" s="0" t="n">
        <v>1099219</v>
      </c>
      <c r="O244" s="0" t="n">
        <v>358</v>
      </c>
      <c r="P244" s="0" t="s">
        <v>170</v>
      </c>
      <c r="Q244" s="0" t="n">
        <v>0.0315567527925081</v>
      </c>
      <c r="R244" s="0" t="n">
        <v>5.05140342249484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20230331</v>
      </c>
      <c r="X244" s="0" t="n">
        <v>2.21929184669772</v>
      </c>
      <c r="Y244" s="0" t="n">
        <v>13</v>
      </c>
      <c r="Z244" s="0" t="s">
        <v>123</v>
      </c>
    </row>
    <row r="245" customFormat="false" ht="15" hidden="false" customHeight="false" outlineLevel="0" collapsed="false">
      <c r="A245" s="0" t="n">
        <v>245</v>
      </c>
      <c r="B245" s="0" t="n">
        <v>495672</v>
      </c>
      <c r="C245" s="0" t="n">
        <v>27824</v>
      </c>
      <c r="D245" s="0" t="n">
        <v>388458</v>
      </c>
      <c r="E245" s="0" t="n">
        <v>0</v>
      </c>
      <c r="F245" s="0" t="n">
        <v>66508</v>
      </c>
      <c r="G245" s="0" t="n">
        <v>13.4177439919947</v>
      </c>
      <c r="H245" s="0" t="s">
        <v>402</v>
      </c>
      <c r="I245" s="0" t="n">
        <v>0.749319966468787</v>
      </c>
      <c r="J245" s="0" t="n">
        <v>20795</v>
      </c>
      <c r="K245" s="0" t="n">
        <v>40413</v>
      </c>
      <c r="L245" s="0" t="n">
        <v>409171</v>
      </c>
      <c r="M245" s="0" t="n">
        <v>406105</v>
      </c>
      <c r="N245" s="0" t="n">
        <v>347963</v>
      </c>
      <c r="O245" s="0" t="n">
        <v>1218</v>
      </c>
      <c r="P245" s="0" t="s">
        <v>172</v>
      </c>
      <c r="Q245" s="0" t="n">
        <v>0.297675055172532</v>
      </c>
      <c r="R245" s="0" t="n">
        <v>2.10264237732131</v>
      </c>
      <c r="S245" s="0" t="n">
        <v>49</v>
      </c>
      <c r="T245" s="0" t="n">
        <v>948</v>
      </c>
      <c r="U245" s="0" t="n">
        <v>0</v>
      </c>
      <c r="V245" s="0" t="n">
        <v>23.0543893100378</v>
      </c>
      <c r="W245" s="0" t="n">
        <v>20230331</v>
      </c>
      <c r="X245" s="0" t="n">
        <v>-0.20429258605113</v>
      </c>
      <c r="Y245" s="0" t="n">
        <v>-1.51</v>
      </c>
      <c r="Z245" s="0" t="s">
        <v>123</v>
      </c>
    </row>
    <row r="246" customFormat="false" ht="15" hidden="false" customHeight="false" outlineLevel="0" collapsed="false">
      <c r="A246" s="0" t="n">
        <v>246</v>
      </c>
      <c r="B246" s="0" t="n">
        <v>300236</v>
      </c>
      <c r="C246" s="0" t="n">
        <v>28155</v>
      </c>
      <c r="D246" s="0" t="n">
        <v>253151</v>
      </c>
      <c r="E246" s="0" t="n">
        <v>0</v>
      </c>
      <c r="F246" s="0" t="n">
        <v>27786</v>
      </c>
      <c r="G246" s="0" t="n">
        <v>9.25471962056516</v>
      </c>
      <c r="H246" s="0" t="s">
        <v>403</v>
      </c>
      <c r="I246" s="0" t="n">
        <v>0.567726048862993</v>
      </c>
      <c r="J246" s="0" t="n">
        <v>6272</v>
      </c>
      <c r="K246" s="0" t="n">
        <v>5371</v>
      </c>
      <c r="L246" s="0" t="n">
        <v>160817</v>
      </c>
      <c r="M246" s="0" t="n">
        <v>159904</v>
      </c>
      <c r="N246" s="0" t="n">
        <v>148519</v>
      </c>
      <c r="O246" s="0" t="n">
        <v>52</v>
      </c>
      <c r="P246" s="0" t="s">
        <v>174</v>
      </c>
      <c r="Q246" s="0" t="n">
        <v>0.0323348899681003</v>
      </c>
      <c r="R246" s="0" t="n">
        <v>2.59801376961667</v>
      </c>
      <c r="S246" s="0" t="n">
        <v>0</v>
      </c>
      <c r="T246" s="0" t="n">
        <v>344</v>
      </c>
      <c r="U246" s="0" t="n">
        <v>0</v>
      </c>
      <c r="V246" s="0" t="n">
        <v>17.8546426332098</v>
      </c>
      <c r="W246" s="0" t="n">
        <v>20230331</v>
      </c>
      <c r="X246" s="0" t="n">
        <v>0.0923214324539939</v>
      </c>
      <c r="Y246" s="0" t="n">
        <v>1</v>
      </c>
      <c r="Z246" s="0" t="s">
        <v>123</v>
      </c>
    </row>
    <row r="247" customFormat="false" ht="15" hidden="false" customHeight="false" outlineLevel="0" collapsed="false">
      <c r="A247" s="0" t="n">
        <v>247</v>
      </c>
      <c r="B247" s="0" t="n">
        <v>101744</v>
      </c>
      <c r="C247" s="0" t="n">
        <v>28288</v>
      </c>
      <c r="D247" s="0" t="n">
        <v>79637</v>
      </c>
      <c r="E247" s="0" t="n">
        <v>0</v>
      </c>
      <c r="F247" s="0" t="n">
        <v>6128</v>
      </c>
      <c r="G247" s="0" t="n">
        <v>6.02295958484038</v>
      </c>
      <c r="H247" s="0" t="s">
        <v>404</v>
      </c>
      <c r="I247" s="0" t="n">
        <v>1.09146033350177</v>
      </c>
      <c r="J247" s="0" t="n">
        <v>3222</v>
      </c>
      <c r="K247" s="0" t="n">
        <v>625</v>
      </c>
      <c r="L247" s="0" t="n">
        <v>79160</v>
      </c>
      <c r="M247" s="0" t="n">
        <v>78296</v>
      </c>
      <c r="N247" s="0" t="n">
        <v>75313</v>
      </c>
      <c r="O247" s="0" t="n">
        <v>270</v>
      </c>
      <c r="P247" s="0" t="s">
        <v>176</v>
      </c>
      <c r="Q247" s="0" t="n">
        <v>0.341081354219303</v>
      </c>
      <c r="R247" s="0" t="n">
        <v>3.00779992314323</v>
      </c>
      <c r="S247" s="0" t="n">
        <v>-1</v>
      </c>
      <c r="T247" s="0" t="n">
        <v>844</v>
      </c>
      <c r="U247" s="0" t="n">
        <v>0</v>
      </c>
      <c r="V247" s="0" t="n">
        <v>13.7641491928002</v>
      </c>
      <c r="W247" s="0" t="n">
        <v>20230331</v>
      </c>
      <c r="X247" s="0" t="n">
        <v>0.0747623099586348</v>
      </c>
      <c r="Y247" s="0" t="n">
        <v>1.26</v>
      </c>
      <c r="Z247" s="0" t="s">
        <v>105</v>
      </c>
    </row>
    <row r="248" customFormat="false" ht="15" hidden="false" customHeight="false" outlineLevel="0" collapsed="false">
      <c r="A248" s="0" t="n">
        <v>248</v>
      </c>
      <c r="B248" s="0" t="n">
        <v>87275</v>
      </c>
      <c r="C248" s="0" t="n">
        <v>28369</v>
      </c>
      <c r="D248" s="0" t="n">
        <v>77349</v>
      </c>
      <c r="E248" s="0" t="n">
        <v>0.04</v>
      </c>
      <c r="F248" s="0" t="n">
        <v>9500</v>
      </c>
      <c r="G248" s="0" t="n">
        <v>10.8851331996563</v>
      </c>
      <c r="H248" s="0" t="s">
        <v>405</v>
      </c>
      <c r="I248" s="0" t="n">
        <v>0.764954171049217</v>
      </c>
      <c r="J248" s="0" t="n">
        <v>10828</v>
      </c>
      <c r="K248" s="0" t="n">
        <v>757</v>
      </c>
      <c r="L248" s="0" t="n">
        <v>73207</v>
      </c>
      <c r="M248" s="0" t="n">
        <v>72647</v>
      </c>
      <c r="N248" s="0" t="n">
        <v>61622</v>
      </c>
      <c r="O248" s="0" t="n">
        <v>326</v>
      </c>
      <c r="P248" s="0" t="s">
        <v>178</v>
      </c>
      <c r="Q248" s="0" t="n">
        <v>0.445312606717937</v>
      </c>
      <c r="R248" s="0" t="n">
        <v>3.49219492000097</v>
      </c>
      <c r="S248" s="0" t="n">
        <v>1</v>
      </c>
      <c r="T248" s="0" t="n">
        <v>230</v>
      </c>
      <c r="U248" s="0" t="n">
        <v>0</v>
      </c>
      <c r="V248" s="0" t="n">
        <v>0</v>
      </c>
      <c r="W248" s="0" t="n">
        <v>20230331</v>
      </c>
      <c r="X248" s="0" t="n">
        <v>-0.092255709763537</v>
      </c>
      <c r="Y248" s="0" t="n">
        <v>-0.84</v>
      </c>
      <c r="Z248" s="0" t="s">
        <v>105</v>
      </c>
    </row>
    <row r="249" customFormat="false" ht="15" hidden="false" customHeight="false" outlineLevel="0" collapsed="false">
      <c r="A249" s="0" t="n">
        <v>249</v>
      </c>
      <c r="B249" s="0" t="n">
        <v>288419</v>
      </c>
      <c r="C249" s="0" t="n">
        <v>28837</v>
      </c>
      <c r="D249" s="0" t="n">
        <v>260987</v>
      </c>
      <c r="E249" s="0" t="n">
        <v>0.01</v>
      </c>
      <c r="F249" s="0" t="n">
        <v>24341</v>
      </c>
      <c r="G249" s="0" t="n">
        <v>8.4394578720542</v>
      </c>
      <c r="H249" s="0" t="s">
        <v>406</v>
      </c>
      <c r="I249" s="0" t="n">
        <v>1.21477937267411</v>
      </c>
      <c r="J249" s="0" t="n">
        <v>6280</v>
      </c>
      <c r="K249" s="0" t="n">
        <v>1194</v>
      </c>
      <c r="L249" s="0" t="n">
        <v>188100</v>
      </c>
      <c r="M249" s="0" t="n">
        <v>185815</v>
      </c>
      <c r="N249" s="0" t="n">
        <v>179697</v>
      </c>
      <c r="O249" s="0" t="n">
        <v>19</v>
      </c>
      <c r="P249" s="0" t="s">
        <v>180</v>
      </c>
      <c r="Q249" s="0" t="n">
        <v>0.0101010101010101</v>
      </c>
      <c r="R249" s="0" t="n">
        <v>3.67223584421509</v>
      </c>
      <c r="S249" s="0" t="n">
        <v>-2</v>
      </c>
      <c r="T249" s="0" t="n">
        <v>454</v>
      </c>
      <c r="U249" s="0" t="n">
        <v>0</v>
      </c>
      <c r="V249" s="0" t="n">
        <v>16.3411097226028</v>
      </c>
      <c r="W249" s="0" t="n">
        <v>20230331</v>
      </c>
      <c r="X249" s="0" t="n">
        <v>0.859132971569657</v>
      </c>
      <c r="Y249" s="0" t="n">
        <v>10.72</v>
      </c>
      <c r="Z249" s="0" t="s">
        <v>112</v>
      </c>
    </row>
    <row r="250" customFormat="false" ht="15" hidden="false" customHeight="false" outlineLevel="0" collapsed="false">
      <c r="A250" s="0" t="n">
        <v>250</v>
      </c>
      <c r="B250" s="0" t="n">
        <v>185057</v>
      </c>
      <c r="C250" s="0" t="n">
        <v>29636</v>
      </c>
      <c r="D250" s="0" t="n">
        <v>147344</v>
      </c>
      <c r="E250" s="0" t="n">
        <v>0.07</v>
      </c>
      <c r="F250" s="0" t="n">
        <v>24743</v>
      </c>
      <c r="G250" s="0" t="n">
        <v>13.3704750428246</v>
      </c>
      <c r="H250" s="0" t="s">
        <v>407</v>
      </c>
      <c r="I250" s="0" t="n">
        <v>1.44858462187566</v>
      </c>
      <c r="J250" s="0" t="n">
        <v>1626</v>
      </c>
      <c r="K250" s="0" t="n">
        <v>1707</v>
      </c>
      <c r="L250" s="0" t="n">
        <v>127987</v>
      </c>
      <c r="M250" s="0" t="n">
        <v>126133</v>
      </c>
      <c r="N250" s="0" t="n">
        <v>124654</v>
      </c>
      <c r="O250" s="0" t="n">
        <v>2472</v>
      </c>
      <c r="P250" s="0" t="s">
        <v>182</v>
      </c>
      <c r="Q250" s="0" t="n">
        <v>1.93144616250088</v>
      </c>
      <c r="R250" s="0" t="n">
        <v>3.56806733632053</v>
      </c>
      <c r="S250" s="0" t="n">
        <v>3</v>
      </c>
      <c r="T250" s="0" t="n">
        <v>2283</v>
      </c>
      <c r="U250" s="0" t="n">
        <v>0</v>
      </c>
      <c r="V250" s="0" t="n">
        <v>26.4550684388018</v>
      </c>
      <c r="W250" s="0" t="n">
        <v>20230331</v>
      </c>
      <c r="X250" s="0" t="n">
        <v>0.327344743116213</v>
      </c>
      <c r="Y250" s="0" t="n">
        <v>2.45</v>
      </c>
      <c r="Z250" s="0" t="s">
        <v>105</v>
      </c>
    </row>
    <row r="251" customFormat="false" ht="15" hidden="false" customHeight="false" outlineLevel="0" collapsed="false">
      <c r="A251" s="0" t="n">
        <v>251</v>
      </c>
      <c r="B251" s="0" t="n">
        <v>189487</v>
      </c>
      <c r="C251" s="0" t="n">
        <v>29743</v>
      </c>
      <c r="D251" s="0" t="n">
        <v>163950</v>
      </c>
      <c r="E251" s="0" t="n">
        <v>-0.03</v>
      </c>
      <c r="F251" s="0" t="n">
        <v>16226</v>
      </c>
      <c r="G251" s="0" t="n">
        <v>8.5631204251479</v>
      </c>
      <c r="H251" s="0" t="s">
        <v>408</v>
      </c>
      <c r="I251" s="0" t="n">
        <v>0.754678133339668</v>
      </c>
      <c r="J251" s="0" t="n">
        <v>24692</v>
      </c>
      <c r="K251" s="0" t="n">
        <v>20551</v>
      </c>
      <c r="L251" s="0" t="n">
        <v>126279</v>
      </c>
      <c r="M251" s="0" t="n">
        <v>125326</v>
      </c>
      <c r="N251" s="0" t="n">
        <v>80937</v>
      </c>
      <c r="O251" s="0" t="n">
        <v>203</v>
      </c>
      <c r="P251" s="0" t="s">
        <v>184</v>
      </c>
      <c r="Q251" s="0" t="n">
        <v>0.160755153271724</v>
      </c>
      <c r="R251" s="0" t="n">
        <v>2.47345429828997</v>
      </c>
      <c r="S251" s="0" t="n">
        <v>0</v>
      </c>
      <c r="T251" s="0" t="n">
        <v>607</v>
      </c>
      <c r="U251" s="0" t="n">
        <v>0</v>
      </c>
      <c r="V251" s="0" t="n">
        <v>17.9095834111713</v>
      </c>
      <c r="W251" s="0" t="n">
        <v>20230331</v>
      </c>
      <c r="X251" s="0" t="n">
        <v>0.71029392943987</v>
      </c>
      <c r="Y251" s="0" t="n">
        <v>8.45</v>
      </c>
      <c r="Z251" s="0" t="s">
        <v>105</v>
      </c>
    </row>
    <row r="252" customFormat="false" ht="15" hidden="false" customHeight="false" outlineLevel="0" collapsed="false">
      <c r="A252" s="0" t="n">
        <v>252</v>
      </c>
      <c r="B252" s="0" t="n">
        <v>548387</v>
      </c>
      <c r="C252" s="0" t="n">
        <v>29744</v>
      </c>
      <c r="D252" s="0" t="n">
        <v>438333</v>
      </c>
      <c r="E252" s="0" t="n">
        <v>0</v>
      </c>
      <c r="F252" s="0" t="n">
        <v>54173</v>
      </c>
      <c r="G252" s="0" t="n">
        <v>9.87860762563664</v>
      </c>
      <c r="H252" s="0" t="s">
        <v>409</v>
      </c>
      <c r="I252" s="0" t="n">
        <v>0.809740542964794</v>
      </c>
      <c r="J252" s="0" t="n">
        <v>24690</v>
      </c>
      <c r="K252" s="0" t="n">
        <v>8293</v>
      </c>
      <c r="L252" s="0" t="n">
        <v>405809</v>
      </c>
      <c r="M252" s="0" t="n">
        <v>402523</v>
      </c>
      <c r="N252" s="0" t="n">
        <v>372826</v>
      </c>
      <c r="O252" s="0" t="n">
        <v>88</v>
      </c>
      <c r="P252" s="0" t="s">
        <v>186</v>
      </c>
      <c r="Q252" s="0" t="n">
        <v>0.0216850784482355</v>
      </c>
      <c r="R252" s="0" t="n">
        <v>2.48227565047063</v>
      </c>
      <c r="S252" s="0" t="n">
        <v>-1</v>
      </c>
      <c r="T252" s="0" t="n">
        <v>240</v>
      </c>
      <c r="U252" s="0" t="n">
        <v>0</v>
      </c>
      <c r="V252" s="0" t="n">
        <v>19.7611282318518</v>
      </c>
      <c r="W252" s="0" t="n">
        <v>20230331</v>
      </c>
      <c r="X252" s="0" t="n">
        <v>0.341873414737028</v>
      </c>
      <c r="Y252" s="0" t="n">
        <v>3.94</v>
      </c>
      <c r="Z252" s="0" t="s">
        <v>123</v>
      </c>
    </row>
    <row r="253" customFormat="false" ht="15" hidden="false" customHeight="false" outlineLevel="0" collapsed="false">
      <c r="A253" s="0" t="n">
        <v>253</v>
      </c>
      <c r="B253" s="0" t="n">
        <v>554362</v>
      </c>
      <c r="C253" s="0" t="n">
        <v>30350</v>
      </c>
      <c r="D253" s="0" t="n">
        <v>454335</v>
      </c>
      <c r="E253" s="0" t="n">
        <v>0</v>
      </c>
      <c r="F253" s="0" t="n">
        <v>53124</v>
      </c>
      <c r="G253" s="0" t="n">
        <v>9.58290791937398</v>
      </c>
      <c r="H253" s="0" t="s">
        <v>410</v>
      </c>
      <c r="I253" s="0" t="n">
        <v>1.30365991392029</v>
      </c>
      <c r="J253" s="0" t="n">
        <v>16693</v>
      </c>
      <c r="K253" s="0" t="n">
        <v>1231</v>
      </c>
      <c r="L253" s="0" t="n">
        <v>393124</v>
      </c>
      <c r="M253" s="0" t="n">
        <v>387999</v>
      </c>
      <c r="N253" s="0" t="n">
        <v>373761</v>
      </c>
      <c r="O253" s="0" t="n">
        <v>1313</v>
      </c>
      <c r="P253" s="0" t="s">
        <v>188</v>
      </c>
      <c r="Q253" s="0" t="n">
        <v>0.333991310629725</v>
      </c>
      <c r="R253" s="0" t="n">
        <v>3.03436326107607</v>
      </c>
      <c r="S253" s="0" t="n">
        <v>-16</v>
      </c>
      <c r="T253" s="0" t="n">
        <v>1612</v>
      </c>
      <c r="U253" s="0" t="n">
        <v>0</v>
      </c>
      <c r="V253" s="0" t="n">
        <v>21.4867285184799</v>
      </c>
      <c r="W253" s="0" t="n">
        <v>20230331</v>
      </c>
      <c r="X253" s="0" t="n">
        <v>0.821587649425802</v>
      </c>
      <c r="Y253" s="0" t="n">
        <v>8.72</v>
      </c>
      <c r="Z253" s="0" t="s">
        <v>112</v>
      </c>
    </row>
    <row r="254" customFormat="false" ht="15" hidden="false" customHeight="false" outlineLevel="0" collapsed="false">
      <c r="A254" s="0" t="n">
        <v>254</v>
      </c>
      <c r="B254" s="0" t="n">
        <v>104047</v>
      </c>
      <c r="C254" s="0" t="n">
        <v>30878</v>
      </c>
      <c r="D254" s="0" t="n">
        <v>76408</v>
      </c>
      <c r="E254" s="0" t="n">
        <v>0.34</v>
      </c>
      <c r="F254" s="0" t="n">
        <v>12490</v>
      </c>
      <c r="G254" s="0" t="n">
        <v>12.0041904139475</v>
      </c>
      <c r="H254" s="0" t="s">
        <v>411</v>
      </c>
      <c r="I254" s="0" t="n">
        <v>1.01662696407517</v>
      </c>
      <c r="J254" s="0" t="n">
        <v>0</v>
      </c>
      <c r="K254" s="0" t="n">
        <v>97</v>
      </c>
      <c r="L254" s="0" t="n">
        <v>83118</v>
      </c>
      <c r="M254" s="0" t="n">
        <v>82273</v>
      </c>
      <c r="N254" s="0" t="n">
        <v>83020</v>
      </c>
      <c r="O254" s="0" t="n">
        <v>710</v>
      </c>
      <c r="P254" s="0" t="s">
        <v>190</v>
      </c>
      <c r="Q254" s="0" t="n">
        <v>0.854207271589788</v>
      </c>
      <c r="R254" s="0" t="n">
        <v>2.00579294029632</v>
      </c>
      <c r="S254" s="0" t="n">
        <v>0</v>
      </c>
      <c r="T254" s="0" t="n">
        <v>25</v>
      </c>
      <c r="U254" s="0" t="n">
        <v>0</v>
      </c>
      <c r="V254" s="0" t="n">
        <v>0</v>
      </c>
      <c r="W254" s="0" t="n">
        <v>20230331</v>
      </c>
      <c r="X254" s="0" t="n">
        <v>-0.300319333057065</v>
      </c>
      <c r="Y254" s="0" t="n">
        <v>-2.47</v>
      </c>
      <c r="Z254" s="0" t="s">
        <v>105</v>
      </c>
    </row>
    <row r="255" customFormat="false" ht="15" hidden="false" customHeight="false" outlineLevel="0" collapsed="false">
      <c r="A255" s="0" t="n">
        <v>255</v>
      </c>
      <c r="B255" s="0" t="n">
        <v>745394</v>
      </c>
      <c r="C255" s="0" t="n">
        <v>33418</v>
      </c>
      <c r="D255" s="0" t="n">
        <v>529254</v>
      </c>
      <c r="E255" s="0" t="n">
        <v>0.01</v>
      </c>
      <c r="F255" s="0" t="n">
        <v>67356</v>
      </c>
      <c r="G255" s="0" t="n">
        <v>9.03629489907351</v>
      </c>
      <c r="H255" s="0" t="s">
        <v>412</v>
      </c>
      <c r="I255" s="0" t="n">
        <v>0.783495965601006</v>
      </c>
      <c r="J255" s="0" t="n">
        <v>46441</v>
      </c>
      <c r="K255" s="0" t="n">
        <v>11330</v>
      </c>
      <c r="L255" s="0" t="n">
        <v>363499</v>
      </c>
      <c r="M255" s="0" t="n">
        <v>360651</v>
      </c>
      <c r="N255" s="0" t="n">
        <v>305729</v>
      </c>
      <c r="O255" s="0" t="n">
        <v>1287</v>
      </c>
      <c r="P255" s="0" t="s">
        <v>192</v>
      </c>
      <c r="Q255" s="0" t="n">
        <v>0.354058745691185</v>
      </c>
      <c r="R255" s="0" t="n">
        <v>3.00755226824019</v>
      </c>
      <c r="S255" s="0" t="n">
        <v>2</v>
      </c>
      <c r="T255" s="0" t="n">
        <v>237</v>
      </c>
      <c r="U255" s="0" t="n">
        <v>0</v>
      </c>
      <c r="V255" s="0" t="n">
        <v>18.9057850876711</v>
      </c>
      <c r="W255" s="0" t="n">
        <v>20230331</v>
      </c>
      <c r="X255" s="0" t="n">
        <v>0.931989755103962</v>
      </c>
      <c r="Y255" s="0" t="n">
        <v>10.44</v>
      </c>
      <c r="Z255" s="0" t="s">
        <v>112</v>
      </c>
    </row>
    <row r="256" customFormat="false" ht="15" hidden="false" customHeight="false" outlineLevel="0" collapsed="false">
      <c r="A256" s="0" t="n">
        <v>256</v>
      </c>
      <c r="B256" s="0" t="n">
        <v>66610</v>
      </c>
      <c r="C256" s="0" t="n">
        <v>35206</v>
      </c>
      <c r="D256" s="0" t="n">
        <v>500</v>
      </c>
      <c r="E256" s="0" t="n">
        <v>0</v>
      </c>
      <c r="F256" s="0" t="n">
        <v>64048</v>
      </c>
      <c r="G256" s="0" t="n">
        <v>96.1537306710704</v>
      </c>
      <c r="H256" s="0" t="s">
        <v>413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s">
        <v>252</v>
      </c>
      <c r="Q256" s="0" t="n">
        <v>0</v>
      </c>
      <c r="R256" s="0" t="n">
        <v>4.34943363248294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20230331</v>
      </c>
      <c r="X256" s="0" t="n">
        <v>20.8360558586212</v>
      </c>
      <c r="Y256" s="0" t="n">
        <v>22</v>
      </c>
      <c r="Z256" s="0" t="s">
        <v>123</v>
      </c>
    </row>
    <row r="257" customFormat="false" ht="15" hidden="false" customHeight="false" outlineLevel="0" collapsed="false">
      <c r="A257" s="0" t="n">
        <v>257</v>
      </c>
      <c r="B257" s="0" t="n">
        <v>5707400</v>
      </c>
      <c r="C257" s="0" t="n">
        <v>4255</v>
      </c>
      <c r="D257" s="0" t="n">
        <v>4682533</v>
      </c>
      <c r="E257" s="0" t="n">
        <v>0.01</v>
      </c>
      <c r="F257" s="0" t="n">
        <v>475108</v>
      </c>
      <c r="G257" s="0" t="n">
        <v>8.3244209272173</v>
      </c>
      <c r="H257" s="0" t="s">
        <v>414</v>
      </c>
      <c r="I257" s="0" t="n">
        <v>0.910667121174592</v>
      </c>
      <c r="J257" s="0" t="n">
        <v>347458</v>
      </c>
      <c r="K257" s="0" t="n">
        <v>19811</v>
      </c>
      <c r="L257" s="0" t="n">
        <v>4077670</v>
      </c>
      <c r="M257" s="0" t="n">
        <v>4040536</v>
      </c>
      <c r="N257" s="0" t="n">
        <v>3668834</v>
      </c>
      <c r="O257" s="0" t="n">
        <v>2958</v>
      </c>
      <c r="P257" s="0" t="s">
        <v>194</v>
      </c>
      <c r="Q257" s="0" t="n">
        <v>0.0725414268442517</v>
      </c>
      <c r="R257" s="0" t="n">
        <v>2.65321190023137</v>
      </c>
      <c r="S257" s="0" t="n">
        <v>227</v>
      </c>
      <c r="T257" s="0" t="n">
        <v>2138</v>
      </c>
      <c r="U257" s="0" t="n">
        <v>0</v>
      </c>
      <c r="V257" s="0" t="n">
        <v>13.1782412567421</v>
      </c>
      <c r="W257" s="0" t="n">
        <v>20230331</v>
      </c>
      <c r="X257" s="0" t="n">
        <v>0.937848206885979</v>
      </c>
      <c r="Y257" s="0" t="n">
        <v>11.39</v>
      </c>
      <c r="Z257" s="0" t="s">
        <v>105</v>
      </c>
    </row>
    <row r="258" customFormat="false" ht="15" hidden="false" customHeight="false" outlineLevel="0" collapsed="false">
      <c r="A258" s="0" t="n">
        <v>258</v>
      </c>
      <c r="B258" s="0" t="n">
        <v>2776791</v>
      </c>
      <c r="C258" s="0" t="n">
        <v>4256</v>
      </c>
      <c r="D258" s="0" t="n">
        <v>2467296</v>
      </c>
      <c r="E258" s="0" t="n">
        <v>0.08</v>
      </c>
      <c r="F258" s="0" t="n">
        <v>199927</v>
      </c>
      <c r="G258" s="0" t="n">
        <v>7.1999297030277</v>
      </c>
      <c r="H258" s="0" t="s">
        <v>415</v>
      </c>
      <c r="I258" s="0" t="n">
        <v>1.18304639742754</v>
      </c>
      <c r="J258" s="0" t="n">
        <v>294299</v>
      </c>
      <c r="K258" s="0" t="n">
        <v>19435</v>
      </c>
      <c r="L258" s="0" t="n">
        <v>1982847</v>
      </c>
      <c r="M258" s="0" t="n">
        <v>1959389</v>
      </c>
      <c r="N258" s="0" t="n">
        <v>1576558</v>
      </c>
      <c r="O258" s="0" t="n">
        <v>1800</v>
      </c>
      <c r="P258" s="0" t="s">
        <v>196</v>
      </c>
      <c r="Q258" s="0" t="n">
        <v>0.101268529543631</v>
      </c>
      <c r="R258" s="0" t="n">
        <v>2.70732453141392</v>
      </c>
      <c r="S258" s="0" t="n">
        <v>25</v>
      </c>
      <c r="T258" s="0" t="n">
        <v>946</v>
      </c>
      <c r="U258" s="0" t="n">
        <v>208</v>
      </c>
      <c r="V258" s="0" t="n">
        <v>13.6350384316431</v>
      </c>
      <c r="W258" s="0" t="n">
        <v>20230331</v>
      </c>
      <c r="X258" s="0" t="n">
        <v>1.19339414885096</v>
      </c>
      <c r="Y258" s="0" t="n">
        <v>16.35</v>
      </c>
      <c r="Z258" s="0" t="s">
        <v>105</v>
      </c>
    </row>
    <row r="259" customFormat="false" ht="15" hidden="false" customHeight="false" outlineLevel="0" collapsed="false">
      <c r="A259" s="0" t="n">
        <v>259</v>
      </c>
      <c r="B259" s="0" t="n">
        <v>693867</v>
      </c>
      <c r="C259" s="0" t="n">
        <v>59086</v>
      </c>
      <c r="D259" s="0" t="n">
        <v>607363</v>
      </c>
      <c r="E259" s="0" t="n">
        <v>-0.07</v>
      </c>
      <c r="F259" s="0" t="n">
        <v>80605</v>
      </c>
      <c r="G259" s="0" t="n">
        <v>11.6167795845602</v>
      </c>
      <c r="H259" s="0" t="s">
        <v>416</v>
      </c>
      <c r="I259" s="0" t="n">
        <v>1.10141974915643</v>
      </c>
      <c r="J259" s="0" t="n">
        <v>118646</v>
      </c>
      <c r="K259" s="0" t="n">
        <v>0</v>
      </c>
      <c r="L259" s="0" t="n">
        <v>581159</v>
      </c>
      <c r="M259" s="0" t="n">
        <v>574758</v>
      </c>
      <c r="N259" s="0" t="n">
        <v>463062</v>
      </c>
      <c r="O259" s="0" t="n">
        <v>4263</v>
      </c>
      <c r="P259" s="0" t="s">
        <v>198</v>
      </c>
      <c r="Q259" s="0" t="n">
        <v>0.370294532133203</v>
      </c>
      <c r="R259" s="0" t="n">
        <v>4.14472638660804</v>
      </c>
      <c r="S259" s="0" t="n">
        <v>0</v>
      </c>
      <c r="T259" s="0" t="n">
        <v>200</v>
      </c>
      <c r="U259" s="0" t="n">
        <v>0</v>
      </c>
      <c r="V259" s="0" t="n">
        <v>14.3503452916795</v>
      </c>
      <c r="W259" s="0" t="n">
        <v>20230331</v>
      </c>
      <c r="X259" s="0" t="n">
        <v>1.65037409369627</v>
      </c>
      <c r="Y259" s="0" t="n">
        <v>14.18</v>
      </c>
      <c r="Z259" s="0" t="s">
        <v>123</v>
      </c>
    </row>
    <row r="260" customFormat="false" ht="15" hidden="false" customHeight="false" outlineLevel="0" collapsed="false">
      <c r="A260" s="0" t="n">
        <v>260</v>
      </c>
      <c r="B260" s="0" t="n">
        <v>191655</v>
      </c>
      <c r="C260" s="0" t="n">
        <v>59176</v>
      </c>
      <c r="D260" s="0" t="n">
        <v>161440</v>
      </c>
      <c r="E260" s="0" t="n">
        <v>0.2</v>
      </c>
      <c r="F260" s="0" t="n">
        <v>23472</v>
      </c>
      <c r="G260" s="0" t="n">
        <v>12.2470063395163</v>
      </c>
      <c r="H260" s="0" t="s">
        <v>417</v>
      </c>
      <c r="I260" s="0" t="n">
        <v>0.988404834447605</v>
      </c>
      <c r="J260" s="0" t="n">
        <v>18881</v>
      </c>
      <c r="K260" s="0" t="n">
        <v>8</v>
      </c>
      <c r="L260" s="0" t="n">
        <v>138506</v>
      </c>
      <c r="M260" s="0" t="n">
        <v>137137</v>
      </c>
      <c r="N260" s="0" t="n">
        <v>119629</v>
      </c>
      <c r="O260" s="0" t="n">
        <v>0</v>
      </c>
      <c r="P260" s="0" t="s">
        <v>200</v>
      </c>
      <c r="Q260" s="0" t="n">
        <v>0</v>
      </c>
      <c r="R260" s="0" t="n">
        <v>2.88197979481557</v>
      </c>
      <c r="S260" s="0" t="n">
        <v>0</v>
      </c>
      <c r="T260" s="0" t="n">
        <v>0</v>
      </c>
      <c r="U260" s="0" t="n">
        <v>0</v>
      </c>
      <c r="V260" s="0" t="n">
        <v>18.2380826024283</v>
      </c>
      <c r="W260" s="0" t="n">
        <v>20230331</v>
      </c>
      <c r="X260" s="0" t="n">
        <v>0.210682355624214</v>
      </c>
      <c r="Y260" s="0" t="n">
        <v>1.66</v>
      </c>
      <c r="Z260" s="0" t="s">
        <v>123</v>
      </c>
    </row>
    <row r="261" customFormat="false" ht="15" hidden="false" customHeight="false" outlineLevel="0" collapsed="false">
      <c r="A261" s="0" t="n">
        <v>261</v>
      </c>
      <c r="B261" s="0" t="n">
        <v>44619</v>
      </c>
      <c r="C261" s="0" t="n">
        <v>59289</v>
      </c>
      <c r="D261" s="0" t="n">
        <v>22939</v>
      </c>
      <c r="E261" s="0" t="n">
        <v>0.9</v>
      </c>
      <c r="F261" s="0" t="n">
        <v>20800</v>
      </c>
      <c r="G261" s="0" t="n">
        <v>46.6169120778144</v>
      </c>
      <c r="H261" s="0" t="s">
        <v>418</v>
      </c>
      <c r="I261" s="0" t="n">
        <v>1.15150965636051</v>
      </c>
      <c r="J261" s="0" t="n">
        <v>5881</v>
      </c>
      <c r="K261" s="0" t="n">
        <v>0</v>
      </c>
      <c r="L261" s="0" t="n">
        <v>11029</v>
      </c>
      <c r="M261" s="0" t="n">
        <v>10902</v>
      </c>
      <c r="N261" s="0" t="n">
        <v>4676</v>
      </c>
      <c r="O261" s="0" t="n">
        <v>0</v>
      </c>
      <c r="P261" s="0" t="s">
        <v>364</v>
      </c>
      <c r="Q261" s="0" t="n">
        <v>0</v>
      </c>
      <c r="R261" s="0" t="n">
        <v>3.92436110451776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20230331</v>
      </c>
      <c r="X261" s="0" t="n">
        <v>-8.18873306394105</v>
      </c>
      <c r="Y261" s="0" t="n">
        <v>-13.02</v>
      </c>
      <c r="Z261" s="0" t="s">
        <v>123</v>
      </c>
    </row>
    <row r="262" customFormat="false" ht="15" hidden="false" customHeight="false" outlineLevel="0" collapsed="false">
      <c r="A262" s="0" t="n">
        <v>262</v>
      </c>
      <c r="B262" s="0" t="n">
        <v>115337</v>
      </c>
      <c r="C262" s="0" t="n">
        <v>59298</v>
      </c>
      <c r="D262" s="0" t="n">
        <v>85635</v>
      </c>
      <c r="E262" s="0" t="n">
        <v>0.58</v>
      </c>
      <c r="F262" s="0" t="n">
        <v>28720</v>
      </c>
      <c r="G262" s="0" t="n">
        <v>24.9009424555867</v>
      </c>
      <c r="H262" s="0" t="s">
        <v>419</v>
      </c>
      <c r="I262" s="0" t="n">
        <v>0.999434282481614</v>
      </c>
      <c r="J262" s="0" t="n">
        <v>8264</v>
      </c>
      <c r="K262" s="0" t="n">
        <v>0</v>
      </c>
      <c r="L262" s="0" t="n">
        <v>37121</v>
      </c>
      <c r="M262" s="0" t="n">
        <v>36750</v>
      </c>
      <c r="N262" s="0" t="n">
        <v>28863</v>
      </c>
      <c r="O262" s="0" t="n">
        <v>0</v>
      </c>
      <c r="P262" s="0" t="s">
        <v>310</v>
      </c>
      <c r="Q262" s="0" t="n">
        <v>0</v>
      </c>
      <c r="R262" s="0" t="n">
        <v>2.41809750847441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20230331</v>
      </c>
      <c r="X262" s="0" t="n">
        <v>-3.58202471281107</v>
      </c>
      <c r="Y262" s="0" t="n">
        <v>-12.44</v>
      </c>
      <c r="Z262" s="0" t="s">
        <v>112</v>
      </c>
    </row>
    <row r="263" customFormat="false" ht="15" hidden="false" customHeight="false" outlineLevel="0" collapsed="false">
      <c r="A263" s="0" t="n">
        <v>263</v>
      </c>
      <c r="B263" s="0" t="n">
        <v>1030080</v>
      </c>
      <c r="C263" s="0" t="n">
        <v>6271</v>
      </c>
      <c r="D263" s="0" t="n">
        <v>889655</v>
      </c>
      <c r="E263" s="0" t="n">
        <v>0.11</v>
      </c>
      <c r="F263" s="0" t="n">
        <v>91934</v>
      </c>
      <c r="G263" s="0" t="n">
        <v>8.92493786890339</v>
      </c>
      <c r="H263" s="0" t="s">
        <v>420</v>
      </c>
      <c r="I263" s="0" t="n">
        <v>1.21934511576928</v>
      </c>
      <c r="J263" s="0" t="n">
        <v>120865</v>
      </c>
      <c r="K263" s="0" t="n">
        <v>3347</v>
      </c>
      <c r="L263" s="0" t="n">
        <v>759096</v>
      </c>
      <c r="M263" s="0" t="n">
        <v>749840</v>
      </c>
      <c r="N263" s="0" t="n">
        <v>593607</v>
      </c>
      <c r="O263" s="0" t="n">
        <v>8482</v>
      </c>
      <c r="P263" s="0" t="s">
        <v>202</v>
      </c>
      <c r="Q263" s="0" t="n">
        <v>1.14056720098644</v>
      </c>
      <c r="R263" s="0" t="n">
        <v>3.56771486783687</v>
      </c>
      <c r="S263" s="0" t="n">
        <v>-96</v>
      </c>
      <c r="T263" s="0" t="n">
        <v>2551</v>
      </c>
      <c r="U263" s="0" t="n">
        <v>176</v>
      </c>
      <c r="V263" s="0" t="n">
        <v>15.0686740437823</v>
      </c>
      <c r="W263" s="0" t="n">
        <v>20230331</v>
      </c>
      <c r="X263" s="0" t="n">
        <v>1.38518274505742</v>
      </c>
      <c r="Y263" s="0" t="n">
        <v>16.14</v>
      </c>
      <c r="Z263" s="0" t="s">
        <v>112</v>
      </c>
    </row>
    <row r="264" customFormat="false" ht="15" hidden="false" customHeight="false" outlineLevel="0" collapsed="false">
      <c r="A264" s="0" t="n">
        <v>264</v>
      </c>
      <c r="B264" s="0" t="n">
        <v>537695</v>
      </c>
      <c r="C264" s="0" t="n">
        <v>6275</v>
      </c>
      <c r="D264" s="0" t="n">
        <v>478571</v>
      </c>
      <c r="E264" s="0" t="n">
        <v>0</v>
      </c>
      <c r="F264" s="0" t="n">
        <v>28866</v>
      </c>
      <c r="G264" s="0" t="n">
        <v>5.36847097332131</v>
      </c>
      <c r="H264" s="0" t="s">
        <v>421</v>
      </c>
      <c r="I264" s="0" t="n">
        <v>0.423460803784898</v>
      </c>
      <c r="J264" s="0" t="n">
        <v>34399</v>
      </c>
      <c r="K264" s="0" t="n">
        <v>13680</v>
      </c>
      <c r="L264" s="0" t="n">
        <v>316204</v>
      </c>
      <c r="M264" s="0" t="n">
        <v>314865</v>
      </c>
      <c r="N264" s="0" t="n">
        <v>257983</v>
      </c>
      <c r="O264" s="0" t="n">
        <v>1344</v>
      </c>
      <c r="P264" s="0" t="s">
        <v>204</v>
      </c>
      <c r="Q264" s="0" t="n">
        <v>0.425042061453998</v>
      </c>
      <c r="R264" s="0" t="n">
        <v>3.1316128693877</v>
      </c>
      <c r="S264" s="0" t="n">
        <v>-1</v>
      </c>
      <c r="T264" s="0" t="n">
        <v>84</v>
      </c>
      <c r="U264" s="0" t="n">
        <v>0</v>
      </c>
      <c r="V264" s="0" t="n">
        <v>15.478889436504</v>
      </c>
      <c r="W264" s="0" t="n">
        <v>20230331</v>
      </c>
      <c r="X264" s="0" t="n">
        <v>0.598540404742425</v>
      </c>
      <c r="Y264" s="0" t="n">
        <v>12.03</v>
      </c>
      <c r="Z264" s="0" t="s">
        <v>112</v>
      </c>
    </row>
    <row r="265" customFormat="false" ht="15" hidden="false" customHeight="false" outlineLevel="0" collapsed="false">
      <c r="A265" s="0" t="n">
        <v>265</v>
      </c>
      <c r="B265" s="0" t="n">
        <v>83956</v>
      </c>
      <c r="C265" s="0" t="n">
        <v>6280</v>
      </c>
      <c r="D265" s="0" t="n">
        <v>74763</v>
      </c>
      <c r="E265" s="0" t="n">
        <v>0</v>
      </c>
      <c r="F265" s="0" t="n">
        <v>9018</v>
      </c>
      <c r="G265" s="0" t="n">
        <v>10.7413407022726</v>
      </c>
      <c r="H265" s="0" t="s">
        <v>422</v>
      </c>
      <c r="I265" s="0" t="n">
        <v>1.299395082096</v>
      </c>
      <c r="J265" s="0" t="n">
        <v>3599</v>
      </c>
      <c r="K265" s="0" t="n">
        <v>1756</v>
      </c>
      <c r="L265" s="0" t="n">
        <v>63645</v>
      </c>
      <c r="M265" s="0" t="n">
        <v>62818</v>
      </c>
      <c r="N265" s="0" t="n">
        <v>55677</v>
      </c>
      <c r="O265" s="0" t="n">
        <v>597</v>
      </c>
      <c r="P265" s="0" t="s">
        <v>206</v>
      </c>
      <c r="Q265" s="0" t="n">
        <v>0.938015555031817</v>
      </c>
      <c r="R265" s="0" t="n">
        <v>4.84342172329343</v>
      </c>
      <c r="S265" s="0" t="n">
        <v>0</v>
      </c>
      <c r="T265" s="0" t="n">
        <v>768</v>
      </c>
      <c r="U265" s="0" t="n">
        <v>0</v>
      </c>
      <c r="V265" s="0" t="n">
        <v>0</v>
      </c>
      <c r="W265" s="0" t="n">
        <v>20230331</v>
      </c>
      <c r="X265" s="0" t="n">
        <v>1.95501565910601</v>
      </c>
      <c r="Y265" s="0" t="n">
        <v>18.7</v>
      </c>
      <c r="Z265" s="0" t="s">
        <v>112</v>
      </c>
    </row>
    <row r="266" customFormat="false" ht="15" hidden="false" customHeight="false" outlineLevel="0" collapsed="false">
      <c r="A266" s="0" t="n">
        <v>266</v>
      </c>
      <c r="B266" s="0" t="n">
        <v>4024714</v>
      </c>
      <c r="C266" s="0" t="n">
        <v>11971</v>
      </c>
      <c r="D266" s="0" t="n">
        <v>3097302</v>
      </c>
      <c r="E266" s="0" t="n">
        <v>0.07</v>
      </c>
      <c r="F266" s="0" t="n">
        <v>463527</v>
      </c>
      <c r="G266" s="0" t="n">
        <v>11.5170171097872</v>
      </c>
      <c r="H266" s="0" t="s">
        <v>423</v>
      </c>
      <c r="I266" s="0" t="n">
        <v>0.908689672945444</v>
      </c>
      <c r="J266" s="0" t="n">
        <v>218097</v>
      </c>
      <c r="K266" s="0" t="n">
        <v>7796</v>
      </c>
      <c r="L266" s="0" t="n">
        <v>3011149</v>
      </c>
      <c r="M266" s="0" t="n">
        <v>2983787</v>
      </c>
      <c r="N266" s="0" t="n">
        <v>2647016</v>
      </c>
      <c r="O266" s="0" t="n">
        <v>6704</v>
      </c>
      <c r="P266" s="0" t="s">
        <v>104</v>
      </c>
      <c r="Q266" s="0" t="n">
        <v>0.241502496223202</v>
      </c>
      <c r="R266" s="0" t="n">
        <v>3.47596816651074</v>
      </c>
      <c r="S266" s="0" t="n">
        <v>46</v>
      </c>
      <c r="T266" s="0" t="n">
        <v>1816</v>
      </c>
      <c r="U266" s="0" t="n">
        <v>568</v>
      </c>
      <c r="V266" s="0" t="n">
        <v>13.2942278137619</v>
      </c>
      <c r="W266" s="0" t="n">
        <v>20230630</v>
      </c>
      <c r="X266" s="0" t="n">
        <v>1.34667895852712</v>
      </c>
      <c r="Y266" s="0" t="n">
        <v>11.64</v>
      </c>
      <c r="Z266" s="0" t="s">
        <v>105</v>
      </c>
    </row>
    <row r="267" customFormat="false" ht="15" hidden="false" customHeight="false" outlineLevel="0" collapsed="false">
      <c r="A267" s="0" t="n">
        <v>267</v>
      </c>
      <c r="B267" s="0" t="n">
        <v>1000625</v>
      </c>
      <c r="C267" s="0" t="n">
        <v>12874</v>
      </c>
      <c r="D267" s="0" t="n">
        <v>879800</v>
      </c>
      <c r="E267" s="0" t="n">
        <v>-0.02</v>
      </c>
      <c r="F267" s="0" t="n">
        <v>101151</v>
      </c>
      <c r="G267" s="0" t="n">
        <v>10.108782011243</v>
      </c>
      <c r="H267" s="0" t="s">
        <v>424</v>
      </c>
      <c r="I267" s="0" t="n">
        <v>0.982805700964371</v>
      </c>
      <c r="J267" s="0" t="n">
        <v>141954</v>
      </c>
      <c r="K267" s="0" t="n">
        <v>5455</v>
      </c>
      <c r="L267" s="0" t="n">
        <v>781131</v>
      </c>
      <c r="M267" s="0" t="n">
        <v>773454</v>
      </c>
      <c r="N267" s="0" t="n">
        <v>615778</v>
      </c>
      <c r="O267" s="0" t="n">
        <v>420</v>
      </c>
      <c r="P267" s="0" t="s">
        <v>107</v>
      </c>
      <c r="Q267" s="0" t="n">
        <v>0.0537681899706963</v>
      </c>
      <c r="R267" s="0" t="n">
        <v>3.90232385084841</v>
      </c>
      <c r="S267" s="0" t="n">
        <v>32</v>
      </c>
      <c r="T267" s="0" t="n">
        <v>193</v>
      </c>
      <c r="U267" s="0" t="n">
        <v>0</v>
      </c>
      <c r="V267" s="0" t="n">
        <v>15.460188076053</v>
      </c>
      <c r="W267" s="0" t="n">
        <v>20230630</v>
      </c>
      <c r="X267" s="0" t="n">
        <v>1.1001045163411</v>
      </c>
      <c r="Y267" s="0" t="n">
        <v>10.9</v>
      </c>
      <c r="Z267" s="0" t="s">
        <v>105</v>
      </c>
    </row>
    <row r="268" customFormat="false" ht="15" hidden="false" customHeight="false" outlineLevel="0" collapsed="false">
      <c r="A268" s="0" t="n">
        <v>268</v>
      </c>
      <c r="B268" s="0" t="n">
        <v>1812064</v>
      </c>
      <c r="C268" s="0" t="n">
        <v>13063</v>
      </c>
      <c r="D268" s="0" t="n">
        <v>1600851</v>
      </c>
      <c r="E268" s="0" t="n">
        <v>0.14</v>
      </c>
      <c r="F268" s="0" t="n">
        <v>137010</v>
      </c>
      <c r="G268" s="0" t="n">
        <v>7.56099122326805</v>
      </c>
      <c r="H268" s="0" t="s">
        <v>425</v>
      </c>
      <c r="I268" s="0" t="n">
        <v>1.1635900442791</v>
      </c>
      <c r="J268" s="0" t="n">
        <v>53620</v>
      </c>
      <c r="K268" s="0" t="n">
        <v>851</v>
      </c>
      <c r="L268" s="0" t="n">
        <v>1384852</v>
      </c>
      <c r="M268" s="0" t="n">
        <v>1368738</v>
      </c>
      <c r="N268" s="0" t="n">
        <v>1322359</v>
      </c>
      <c r="O268" s="0" t="n">
        <v>501</v>
      </c>
      <c r="P268" s="0" t="s">
        <v>109</v>
      </c>
      <c r="Q268" s="0" t="n">
        <v>0.0875183774150595</v>
      </c>
      <c r="R268" s="0" t="n">
        <v>3.22117893560772</v>
      </c>
      <c r="S268" s="0" t="n">
        <v>53</v>
      </c>
      <c r="T268" s="0" t="n">
        <v>0</v>
      </c>
      <c r="U268" s="0" t="n">
        <v>711</v>
      </c>
      <c r="V268" s="0" t="n">
        <v>0</v>
      </c>
      <c r="W268" s="0" t="n">
        <v>20230630</v>
      </c>
      <c r="X268" s="0" t="n">
        <v>0.106400279958703</v>
      </c>
      <c r="Y268" s="0" t="n">
        <v>1.41</v>
      </c>
      <c r="Z268" s="0" t="s">
        <v>105</v>
      </c>
    </row>
    <row r="269" customFormat="false" ht="15" hidden="false" customHeight="false" outlineLevel="0" collapsed="false">
      <c r="A269" s="0" t="n">
        <v>269</v>
      </c>
      <c r="B269" s="0" t="n">
        <v>847137</v>
      </c>
      <c r="C269" s="0" t="n">
        <v>14134</v>
      </c>
      <c r="D269" s="0" t="n">
        <v>678698</v>
      </c>
      <c r="E269" s="0" t="n">
        <v>0.11</v>
      </c>
      <c r="F269" s="0" t="n">
        <v>100453</v>
      </c>
      <c r="G269" s="0" t="n">
        <v>11.8579403331456</v>
      </c>
      <c r="H269" s="0" t="s">
        <v>426</v>
      </c>
      <c r="I269" s="0" t="n">
        <v>1.11359643351935</v>
      </c>
      <c r="J269" s="0" t="n">
        <v>28195</v>
      </c>
      <c r="K269" s="0" t="n">
        <v>29490</v>
      </c>
      <c r="L269" s="0" t="n">
        <v>646015</v>
      </c>
      <c r="M269" s="0" t="n">
        <v>638821</v>
      </c>
      <c r="N269" s="0" t="n">
        <v>571141</v>
      </c>
      <c r="O269" s="0" t="n">
        <v>12099</v>
      </c>
      <c r="P269" s="0" t="s">
        <v>111</v>
      </c>
      <c r="Q269" s="0" t="n">
        <v>1.87286672910072</v>
      </c>
      <c r="R269" s="0" t="n">
        <v>3.29334633797883</v>
      </c>
      <c r="S269" s="0" t="n">
        <v>451</v>
      </c>
      <c r="T269" s="0" t="n">
        <v>5509</v>
      </c>
      <c r="U269" s="0" t="n">
        <v>0</v>
      </c>
      <c r="V269" s="0" t="n">
        <v>18.0862145256514</v>
      </c>
      <c r="W269" s="0" t="n">
        <v>20230630</v>
      </c>
      <c r="X269" s="0" t="n">
        <v>0.701673098405606</v>
      </c>
      <c r="Y269" s="0" t="n">
        <v>5.94</v>
      </c>
      <c r="Z269" s="0" t="s">
        <v>112</v>
      </c>
    </row>
    <row r="270" customFormat="false" ht="15" hidden="false" customHeight="false" outlineLevel="0" collapsed="false">
      <c r="A270" s="0" t="n">
        <v>270</v>
      </c>
      <c r="B270" s="0" t="n">
        <v>231428</v>
      </c>
      <c r="C270" s="0" t="n">
        <v>14136</v>
      </c>
      <c r="D270" s="0" t="n">
        <v>199035</v>
      </c>
      <c r="E270" s="0" t="n">
        <v>0.06</v>
      </c>
      <c r="F270" s="0" t="n">
        <v>15826</v>
      </c>
      <c r="G270" s="0" t="n">
        <v>6.83841194669616</v>
      </c>
      <c r="H270" s="0" t="s">
        <v>427</v>
      </c>
      <c r="I270" s="0" t="n">
        <v>1.30946709317362</v>
      </c>
      <c r="J270" s="0" t="n">
        <v>13599</v>
      </c>
      <c r="K270" s="0" t="n">
        <v>14936</v>
      </c>
      <c r="L270" s="0" t="n">
        <v>146930</v>
      </c>
      <c r="M270" s="0" t="n">
        <v>145006</v>
      </c>
      <c r="N270" s="0" t="n">
        <v>118077</v>
      </c>
      <c r="O270" s="0" t="n">
        <v>71</v>
      </c>
      <c r="P270" s="0" t="s">
        <v>114</v>
      </c>
      <c r="Q270" s="0" t="n">
        <v>0.497515823861703</v>
      </c>
      <c r="R270" s="0" t="n">
        <v>4.11601446727282</v>
      </c>
      <c r="S270" s="0" t="n">
        <v>21</v>
      </c>
      <c r="T270" s="0" t="n">
        <v>1765</v>
      </c>
      <c r="U270" s="0" t="n">
        <v>660</v>
      </c>
      <c r="V270" s="0" t="n">
        <v>17.4186390532544</v>
      </c>
      <c r="W270" s="0" t="n">
        <v>20230630</v>
      </c>
      <c r="X270" s="0" t="n">
        <v>0.65864100406162</v>
      </c>
      <c r="Y270" s="0" t="n">
        <v>9.74</v>
      </c>
      <c r="Z270" s="0" t="s">
        <v>112</v>
      </c>
    </row>
    <row r="271" customFormat="false" ht="15" hidden="false" customHeight="false" outlineLevel="0" collapsed="false">
      <c r="A271" s="0" t="n">
        <v>271</v>
      </c>
      <c r="B271" s="0" t="n">
        <v>1455126</v>
      </c>
      <c r="C271" s="0" t="n">
        <v>14140</v>
      </c>
      <c r="D271" s="0" t="n">
        <v>1135506</v>
      </c>
      <c r="E271" s="0" t="n">
        <v>0.04</v>
      </c>
      <c r="F271" s="0" t="n">
        <v>119184</v>
      </c>
      <c r="G271" s="0" t="n">
        <v>8.19063091443628</v>
      </c>
      <c r="H271" s="0" t="s">
        <v>428</v>
      </c>
      <c r="I271" s="0" t="n">
        <v>0.817670852433217</v>
      </c>
      <c r="J271" s="0" t="n">
        <v>93803</v>
      </c>
      <c r="K271" s="0" t="n">
        <v>1397</v>
      </c>
      <c r="L271" s="0" t="n">
        <v>1012877</v>
      </c>
      <c r="M271" s="0" t="n">
        <v>1004595</v>
      </c>
      <c r="N271" s="0" t="n">
        <v>902092</v>
      </c>
      <c r="O271" s="0" t="n">
        <v>4474</v>
      </c>
      <c r="P271" s="0" t="s">
        <v>116</v>
      </c>
      <c r="Q271" s="0" t="n">
        <v>0.441712073627894</v>
      </c>
      <c r="R271" s="0" t="n">
        <v>2.7602160616299</v>
      </c>
      <c r="S271" s="0" t="n">
        <v>18</v>
      </c>
      <c r="T271" s="0" t="n">
        <v>169</v>
      </c>
      <c r="U271" s="0" t="n">
        <v>0</v>
      </c>
      <c r="V271" s="0" t="n">
        <v>0</v>
      </c>
      <c r="W271" s="0" t="n">
        <v>20230630</v>
      </c>
      <c r="X271" s="0" t="n">
        <v>0.339718008369905</v>
      </c>
      <c r="Y271" s="0" t="n">
        <v>4.11</v>
      </c>
      <c r="Z271" s="0" t="s">
        <v>112</v>
      </c>
    </row>
    <row r="272" customFormat="false" ht="15" hidden="false" customHeight="false" outlineLevel="0" collapsed="false">
      <c r="A272" s="0" t="n">
        <v>272</v>
      </c>
      <c r="B272" s="0" t="n">
        <v>1334466</v>
      </c>
      <c r="C272" s="0" t="n">
        <v>14158</v>
      </c>
      <c r="D272" s="0" t="n">
        <v>1127096</v>
      </c>
      <c r="E272" s="0" t="n">
        <v>0</v>
      </c>
      <c r="F272" s="0" t="n">
        <v>75241</v>
      </c>
      <c r="G272" s="0" t="n">
        <v>5.63828527665748</v>
      </c>
      <c r="H272" s="0" t="s">
        <v>429</v>
      </c>
      <c r="I272" s="0" t="n">
        <v>0.721094787803501</v>
      </c>
      <c r="J272" s="0" t="n">
        <v>41096</v>
      </c>
      <c r="K272" s="0" t="n">
        <v>2333</v>
      </c>
      <c r="L272" s="0" t="n">
        <v>940237</v>
      </c>
      <c r="M272" s="0" t="n">
        <v>933457</v>
      </c>
      <c r="N272" s="0" t="n">
        <v>869255</v>
      </c>
      <c r="O272" s="0" t="n">
        <v>1957</v>
      </c>
      <c r="P272" s="0" t="s">
        <v>118</v>
      </c>
      <c r="Q272" s="0" t="n">
        <v>0.214945806216943</v>
      </c>
      <c r="R272" s="0" t="n">
        <v>3.17333702990149</v>
      </c>
      <c r="S272" s="0" t="n">
        <v>3</v>
      </c>
      <c r="T272" s="0" t="n">
        <v>286</v>
      </c>
      <c r="U272" s="0" t="n">
        <v>64</v>
      </c>
      <c r="V272" s="0" t="n">
        <v>13.4736798668519</v>
      </c>
      <c r="W272" s="0" t="n">
        <v>20230630</v>
      </c>
      <c r="X272" s="0" t="n">
        <v>0.914619400913875</v>
      </c>
      <c r="Y272" s="0" t="n">
        <v>16.54</v>
      </c>
      <c r="Z272" s="0" t="s">
        <v>112</v>
      </c>
    </row>
    <row r="273" customFormat="false" ht="15" hidden="false" customHeight="false" outlineLevel="0" collapsed="false">
      <c r="A273" s="0" t="n">
        <v>273</v>
      </c>
      <c r="B273" s="0" t="n">
        <v>354017</v>
      </c>
      <c r="C273" s="0" t="n">
        <v>14168</v>
      </c>
      <c r="D273" s="0" t="n">
        <v>316211</v>
      </c>
      <c r="E273" s="0" t="n">
        <v>0.18</v>
      </c>
      <c r="F273" s="0" t="n">
        <v>33013</v>
      </c>
      <c r="G273" s="0" t="n">
        <v>9.32525839154617</v>
      </c>
      <c r="H273" s="0" t="s">
        <v>430</v>
      </c>
      <c r="I273" s="0" t="n">
        <v>1.57551285286801</v>
      </c>
      <c r="J273" s="0" t="n">
        <v>11719</v>
      </c>
      <c r="K273" s="0" t="n">
        <v>9368</v>
      </c>
      <c r="L273" s="0" t="n">
        <v>221896</v>
      </c>
      <c r="M273" s="0" t="n">
        <v>218400</v>
      </c>
      <c r="N273" s="0" t="n">
        <v>185047</v>
      </c>
      <c r="O273" s="0" t="n">
        <v>1000</v>
      </c>
      <c r="P273" s="0" t="s">
        <v>120</v>
      </c>
      <c r="Q273" s="0" t="n">
        <v>0.450661571186502</v>
      </c>
      <c r="R273" s="0" t="n">
        <v>3.87001556218775</v>
      </c>
      <c r="S273" s="0" t="n">
        <v>-6</v>
      </c>
      <c r="T273" s="0" t="n">
        <v>648</v>
      </c>
      <c r="U273" s="0" t="n">
        <v>0</v>
      </c>
      <c r="V273" s="0" t="n">
        <v>17.1814956205516</v>
      </c>
      <c r="W273" s="0" t="n">
        <v>20230630</v>
      </c>
      <c r="X273" s="0" t="n">
        <v>0.771338321111053</v>
      </c>
      <c r="Y273" s="0" t="n">
        <v>8.49</v>
      </c>
      <c r="Z273" s="0" t="s">
        <v>112</v>
      </c>
    </row>
    <row r="274" customFormat="false" ht="15" hidden="false" customHeight="false" outlineLevel="0" collapsed="false">
      <c r="A274" s="0" t="n">
        <v>274</v>
      </c>
      <c r="B274" s="0" t="n">
        <v>1364156</v>
      </c>
      <c r="C274" s="0" t="n">
        <v>14240</v>
      </c>
      <c r="D274" s="0" t="n">
        <v>1068855</v>
      </c>
      <c r="E274" s="0" t="n">
        <v>0</v>
      </c>
      <c r="F274" s="0" t="n">
        <v>84062</v>
      </c>
      <c r="G274" s="0" t="n">
        <v>6.16219845824085</v>
      </c>
      <c r="H274" s="0" t="s">
        <v>431</v>
      </c>
      <c r="I274" s="0" t="n">
        <v>1.1548987240257</v>
      </c>
      <c r="J274" s="0" t="n">
        <v>25053</v>
      </c>
      <c r="K274" s="0" t="n">
        <v>18013</v>
      </c>
      <c r="L274" s="0" t="n">
        <v>961383</v>
      </c>
      <c r="M274" s="0" t="n">
        <v>950280</v>
      </c>
      <c r="N274" s="0" t="n">
        <v>840679</v>
      </c>
      <c r="O274" s="0" t="n">
        <v>2407</v>
      </c>
      <c r="P274" s="0" t="s">
        <v>122</v>
      </c>
      <c r="Q274" s="0" t="n">
        <v>0.250368479575778</v>
      </c>
      <c r="R274" s="0" t="n">
        <v>2.84318350205087</v>
      </c>
      <c r="S274" s="0" t="n">
        <v>15</v>
      </c>
      <c r="T274" s="0" t="n">
        <v>439</v>
      </c>
      <c r="U274" s="0" t="n">
        <v>0</v>
      </c>
      <c r="V274" s="0" t="n">
        <v>14.8382290668257</v>
      </c>
      <c r="W274" s="0" t="n">
        <v>20230630</v>
      </c>
      <c r="X274" s="0" t="n">
        <v>0.488172326619474</v>
      </c>
      <c r="Y274" s="0" t="n">
        <v>7.82</v>
      </c>
      <c r="Z274" s="0" t="s">
        <v>123</v>
      </c>
    </row>
    <row r="275" customFormat="false" ht="15" hidden="false" customHeight="false" outlineLevel="0" collapsed="false">
      <c r="A275" s="0" t="n">
        <v>275</v>
      </c>
      <c r="B275" s="0" t="n">
        <v>1072006</v>
      </c>
      <c r="C275" s="0" t="n">
        <v>17115</v>
      </c>
      <c r="D275" s="0" t="n">
        <v>821428</v>
      </c>
      <c r="E275" s="0" t="n">
        <v>0.09</v>
      </c>
      <c r="F275" s="0" t="n">
        <v>81921</v>
      </c>
      <c r="G275" s="0" t="n">
        <v>7.64184155685696</v>
      </c>
      <c r="H275" s="0" t="s">
        <v>432</v>
      </c>
      <c r="I275" s="0" t="n">
        <v>1.0444982544483</v>
      </c>
      <c r="J275" s="0" t="n">
        <v>43867</v>
      </c>
      <c r="K275" s="0" t="n">
        <v>5156</v>
      </c>
      <c r="L275" s="0" t="n">
        <v>882529</v>
      </c>
      <c r="M275" s="0" t="n">
        <v>873311</v>
      </c>
      <c r="N275" s="0" t="n">
        <v>832338</v>
      </c>
      <c r="O275" s="0" t="n">
        <v>254</v>
      </c>
      <c r="P275" s="0" t="s">
        <v>125</v>
      </c>
      <c r="Q275" s="0" t="n">
        <v>0.0287809239129818</v>
      </c>
      <c r="R275" s="0" t="n">
        <v>3.00711122081169</v>
      </c>
      <c r="S275" s="0" t="n">
        <v>11</v>
      </c>
      <c r="T275" s="0" t="n">
        <v>36</v>
      </c>
      <c r="U275" s="0" t="n">
        <v>0</v>
      </c>
      <c r="V275" s="0" t="n">
        <v>13.5922802319822</v>
      </c>
      <c r="W275" s="0" t="n">
        <v>20230630</v>
      </c>
      <c r="X275" s="0" t="n">
        <v>0.58243002750364</v>
      </c>
      <c r="Y275" s="0" t="n">
        <v>7.48</v>
      </c>
      <c r="Z275" s="0" t="s">
        <v>105</v>
      </c>
    </row>
    <row r="276" customFormat="false" ht="15" hidden="false" customHeight="false" outlineLevel="0" collapsed="false">
      <c r="A276" s="0" t="n">
        <v>276</v>
      </c>
      <c r="B276" s="0" t="n">
        <v>1616649</v>
      </c>
      <c r="C276" s="0" t="n">
        <v>17180</v>
      </c>
      <c r="D276" s="0" t="n">
        <v>1185191</v>
      </c>
      <c r="E276" s="0" t="n">
        <v>0.12</v>
      </c>
      <c r="F276" s="0" t="n">
        <v>131745</v>
      </c>
      <c r="G276" s="0" t="n">
        <v>8.14926431154815</v>
      </c>
      <c r="H276" s="0" t="s">
        <v>433</v>
      </c>
      <c r="I276" s="0" t="n">
        <v>0.947256107227489</v>
      </c>
      <c r="J276" s="0" t="n">
        <v>51213</v>
      </c>
      <c r="K276" s="0" t="n">
        <v>198983</v>
      </c>
      <c r="L276" s="0" t="n">
        <v>1450822</v>
      </c>
      <c r="M276" s="0" t="n">
        <v>1437079</v>
      </c>
      <c r="N276" s="0" t="n">
        <v>1177241</v>
      </c>
      <c r="O276" s="0" t="n">
        <v>5043</v>
      </c>
      <c r="P276" s="0" t="s">
        <v>127</v>
      </c>
      <c r="Q276" s="0" t="n">
        <v>0.440302118385302</v>
      </c>
      <c r="R276" s="0" t="n">
        <v>2.9118152452165</v>
      </c>
      <c r="S276" s="0" t="n">
        <v>149</v>
      </c>
      <c r="T276" s="0" t="n">
        <v>1866</v>
      </c>
      <c r="U276" s="0" t="n">
        <v>1345</v>
      </c>
      <c r="V276" s="0" t="n">
        <v>13.6752678572979</v>
      </c>
      <c r="W276" s="0" t="n">
        <v>20230630</v>
      </c>
      <c r="X276" s="0" t="n">
        <v>0.391164988075164</v>
      </c>
      <c r="Y276" s="0" t="n">
        <v>4.75</v>
      </c>
      <c r="Z276" s="0" t="s">
        <v>123</v>
      </c>
    </row>
    <row r="277" customFormat="false" ht="15" hidden="false" customHeight="false" outlineLevel="0" collapsed="false">
      <c r="A277" s="0" t="n">
        <v>277</v>
      </c>
      <c r="B277" s="0" t="n">
        <v>360577</v>
      </c>
      <c r="C277" s="0" t="n">
        <v>17443</v>
      </c>
      <c r="D277" s="0" t="n">
        <v>321273</v>
      </c>
      <c r="E277" s="0" t="n">
        <v>0.03</v>
      </c>
      <c r="F277" s="0" t="n">
        <v>38058</v>
      </c>
      <c r="G277" s="0" t="n">
        <v>10.5547497483201</v>
      </c>
      <c r="H277" s="0" t="s">
        <v>434</v>
      </c>
      <c r="I277" s="0" t="n">
        <v>0.826244071369419</v>
      </c>
      <c r="J277" s="0" t="n">
        <v>0</v>
      </c>
      <c r="K277" s="0" t="n">
        <v>716</v>
      </c>
      <c r="L277" s="0" t="n">
        <v>212528</v>
      </c>
      <c r="M277" s="0" t="n">
        <v>210772</v>
      </c>
      <c r="N277" s="0" t="n">
        <v>210812</v>
      </c>
      <c r="O277" s="0" t="n">
        <v>109</v>
      </c>
      <c r="P277" s="0" t="s">
        <v>129</v>
      </c>
      <c r="Q277" s="0" t="n">
        <v>0.0512873597831815</v>
      </c>
      <c r="R277" s="0" t="n">
        <v>1.66288900108496</v>
      </c>
      <c r="S277" s="0" t="n">
        <v>0</v>
      </c>
      <c r="T277" s="0" t="n">
        <v>1208</v>
      </c>
      <c r="U277" s="0" t="n">
        <v>0</v>
      </c>
      <c r="V277" s="0" t="n">
        <v>0</v>
      </c>
      <c r="W277" s="0" t="n">
        <v>20230630</v>
      </c>
      <c r="X277" s="0" t="n">
        <v>0.0986572549921649</v>
      </c>
      <c r="Y277" s="0" t="n">
        <v>0.95</v>
      </c>
      <c r="Z277" s="0" t="s">
        <v>123</v>
      </c>
    </row>
    <row r="278" customFormat="false" ht="15" hidden="false" customHeight="false" outlineLevel="0" collapsed="false">
      <c r="A278" s="0" t="n">
        <v>278</v>
      </c>
      <c r="B278" s="0" t="n">
        <v>1826350</v>
      </c>
      <c r="C278" s="0" t="n">
        <v>17658</v>
      </c>
      <c r="D278" s="0" t="n">
        <v>1452649</v>
      </c>
      <c r="E278" s="0" t="n">
        <v>0</v>
      </c>
      <c r="F278" s="0" t="n">
        <v>198387</v>
      </c>
      <c r="G278" s="0" t="n">
        <v>10.8624852848578</v>
      </c>
      <c r="H278" s="0" t="s">
        <v>435</v>
      </c>
      <c r="I278" s="0" t="n">
        <v>0.586666162617339</v>
      </c>
      <c r="J278" s="0" t="n">
        <v>94739</v>
      </c>
      <c r="K278" s="0" t="n">
        <v>76379</v>
      </c>
      <c r="L278" s="0" t="n">
        <v>1269717</v>
      </c>
      <c r="M278" s="0" t="n">
        <v>1262268</v>
      </c>
      <c r="N278" s="0" t="n">
        <v>1085469</v>
      </c>
      <c r="O278" s="0" t="n">
        <v>1369</v>
      </c>
      <c r="P278" s="0" t="s">
        <v>131</v>
      </c>
      <c r="Q278" s="0" t="n">
        <v>0.10781930146639</v>
      </c>
      <c r="R278" s="0" t="n">
        <v>3.42723508377535</v>
      </c>
      <c r="S278" s="0" t="n">
        <v>-88</v>
      </c>
      <c r="T278" s="0" t="n">
        <v>1757</v>
      </c>
      <c r="U278" s="0" t="n">
        <v>0</v>
      </c>
      <c r="V278" s="0" t="n">
        <v>0</v>
      </c>
      <c r="W278" s="0" t="n">
        <v>20230630</v>
      </c>
      <c r="X278" s="0" t="n">
        <v>0.930695622619818</v>
      </c>
      <c r="Y278" s="0" t="n">
        <v>8.66</v>
      </c>
      <c r="Z278" s="0" t="s">
        <v>105</v>
      </c>
    </row>
    <row r="279" customFormat="false" ht="15" hidden="false" customHeight="false" outlineLevel="0" collapsed="false">
      <c r="A279" s="0" t="n">
        <v>279</v>
      </c>
      <c r="B279" s="0" t="n">
        <v>1036036</v>
      </c>
      <c r="C279" s="0" t="n">
        <v>17741</v>
      </c>
      <c r="D279" s="0" t="n">
        <v>800487</v>
      </c>
      <c r="E279" s="0" t="n">
        <v>0.03</v>
      </c>
      <c r="F279" s="0" t="n">
        <v>133406</v>
      </c>
      <c r="G279" s="0" t="n">
        <v>12.8765795783158</v>
      </c>
      <c r="H279" s="0" t="s">
        <v>436</v>
      </c>
      <c r="I279" s="0" t="n">
        <v>0.93536203979561</v>
      </c>
      <c r="J279" s="0" t="n">
        <v>50276</v>
      </c>
      <c r="K279" s="0" t="n">
        <v>4108</v>
      </c>
      <c r="L279" s="0" t="n">
        <v>877735</v>
      </c>
      <c r="M279" s="0" t="n">
        <v>869525</v>
      </c>
      <c r="N279" s="0" t="n">
        <v>820189</v>
      </c>
      <c r="O279" s="0" t="n">
        <v>1987</v>
      </c>
      <c r="P279" s="0" t="s">
        <v>133</v>
      </c>
      <c r="Q279" s="0" t="n">
        <v>0.226378120959059</v>
      </c>
      <c r="R279" s="0" t="n">
        <v>3.42548551951932</v>
      </c>
      <c r="S279" s="0" t="n">
        <v>-3</v>
      </c>
      <c r="T279" s="0" t="n">
        <v>2554</v>
      </c>
      <c r="U279" s="0" t="n">
        <v>0</v>
      </c>
      <c r="V279" s="0" t="n">
        <v>0</v>
      </c>
      <c r="W279" s="0" t="n">
        <v>20230630</v>
      </c>
      <c r="X279" s="0" t="n">
        <v>0.691931497863857</v>
      </c>
      <c r="Y279" s="0" t="n">
        <v>5.33</v>
      </c>
      <c r="Z279" s="0" t="s">
        <v>105</v>
      </c>
    </row>
    <row r="280" customFormat="false" ht="15" hidden="false" customHeight="false" outlineLevel="0" collapsed="false">
      <c r="A280" s="0" t="n">
        <v>280</v>
      </c>
      <c r="B280" s="0" t="n">
        <v>1333208</v>
      </c>
      <c r="C280" s="0" t="n">
        <v>17743</v>
      </c>
      <c r="D280" s="0" t="n">
        <v>950623</v>
      </c>
      <c r="E280" s="0" t="n">
        <v>0</v>
      </c>
      <c r="F280" s="0" t="n">
        <v>121236</v>
      </c>
      <c r="G280" s="0" t="n">
        <v>9.09355479415065</v>
      </c>
      <c r="H280" s="0" t="s">
        <v>437</v>
      </c>
      <c r="I280" s="0" t="n">
        <v>0.454345157685347</v>
      </c>
      <c r="J280" s="0" t="n">
        <v>11605</v>
      </c>
      <c r="K280" s="0" t="n">
        <v>7617</v>
      </c>
      <c r="L280" s="0" t="n">
        <v>1037097</v>
      </c>
      <c r="M280" s="0" t="n">
        <v>1032385</v>
      </c>
      <c r="N280" s="0" t="n">
        <v>1005554</v>
      </c>
      <c r="O280" s="0" t="n">
        <v>4416</v>
      </c>
      <c r="P280" s="0" t="s">
        <v>135</v>
      </c>
      <c r="Q280" s="0" t="n">
        <v>0.425803950835843</v>
      </c>
      <c r="R280" s="0" t="n">
        <v>2.08643107377961</v>
      </c>
      <c r="S280" s="0" t="n">
        <v>-16</v>
      </c>
      <c r="T280" s="0" t="n">
        <v>993</v>
      </c>
      <c r="U280" s="0" t="n">
        <v>0</v>
      </c>
      <c r="V280" s="0" t="n">
        <v>0</v>
      </c>
      <c r="W280" s="0" t="n">
        <v>20230630</v>
      </c>
      <c r="X280" s="0" t="n">
        <v>0.0965920880347445</v>
      </c>
      <c r="Y280" s="0" t="n">
        <v>1.04</v>
      </c>
      <c r="Z280" s="0" t="s">
        <v>105</v>
      </c>
    </row>
    <row r="281" customFormat="false" ht="15" hidden="false" customHeight="false" outlineLevel="0" collapsed="false">
      <c r="A281" s="0" t="n">
        <v>281</v>
      </c>
      <c r="B281" s="0" t="n">
        <v>1638948</v>
      </c>
      <c r="C281" s="0" t="n">
        <v>17748</v>
      </c>
      <c r="D281" s="0" t="n">
        <v>1352478</v>
      </c>
      <c r="E281" s="0" t="n">
        <v>0.1</v>
      </c>
      <c r="F281" s="0" t="n">
        <v>107830</v>
      </c>
      <c r="G281" s="0" t="n">
        <v>6.57922032913796</v>
      </c>
      <c r="H281" s="0" t="s">
        <v>438</v>
      </c>
      <c r="I281" s="0" t="n">
        <v>0.891878043947316</v>
      </c>
      <c r="J281" s="0" t="n">
        <v>181251</v>
      </c>
      <c r="K281" s="0" t="n">
        <v>3607</v>
      </c>
      <c r="L281" s="0" t="n">
        <v>1266653</v>
      </c>
      <c r="M281" s="0" t="n">
        <v>1255356</v>
      </c>
      <c r="N281" s="0" t="n">
        <v>1048029</v>
      </c>
      <c r="O281" s="0" t="n">
        <v>6702</v>
      </c>
      <c r="P281" s="0" t="s">
        <v>137</v>
      </c>
      <c r="Q281" s="0" t="n">
        <v>0.529110971986803</v>
      </c>
      <c r="R281" s="0" t="n">
        <v>2.48237446499793</v>
      </c>
      <c r="S281" s="0" t="n">
        <v>1110</v>
      </c>
      <c r="T281" s="0" t="n">
        <v>1943</v>
      </c>
      <c r="U281" s="0" t="n">
        <v>0</v>
      </c>
      <c r="V281" s="0" t="n">
        <v>0</v>
      </c>
      <c r="W281" s="0" t="n">
        <v>20230630</v>
      </c>
      <c r="X281" s="0" t="n">
        <v>0.186125045642909</v>
      </c>
      <c r="Y281" s="0" t="n">
        <v>2.81</v>
      </c>
      <c r="Z281" s="0" t="s">
        <v>105</v>
      </c>
    </row>
    <row r="282" customFormat="false" ht="15" hidden="false" customHeight="false" outlineLevel="0" collapsed="false">
      <c r="A282" s="0" t="n">
        <v>282</v>
      </c>
      <c r="B282" s="0" t="n">
        <v>1316293</v>
      </c>
      <c r="C282" s="0" t="n">
        <v>17749</v>
      </c>
      <c r="D282" s="0" t="n">
        <v>1027633</v>
      </c>
      <c r="E282" s="0" t="n">
        <v>0.05</v>
      </c>
      <c r="F282" s="0" t="n">
        <v>161414</v>
      </c>
      <c r="G282" s="0" t="n">
        <v>12.2627712826855</v>
      </c>
      <c r="H282" s="0" t="s">
        <v>439</v>
      </c>
      <c r="I282" s="0" t="n">
        <v>1.41011029766849</v>
      </c>
      <c r="J282" s="0" t="n">
        <v>52094</v>
      </c>
      <c r="K282" s="0" t="n">
        <v>10410</v>
      </c>
      <c r="L282" s="0" t="n">
        <v>776535</v>
      </c>
      <c r="M282" s="0" t="n">
        <v>765585</v>
      </c>
      <c r="N282" s="0" t="n">
        <v>702580</v>
      </c>
      <c r="O282" s="0" t="n">
        <v>293</v>
      </c>
      <c r="P282" s="0" t="s">
        <v>139</v>
      </c>
      <c r="Q282" s="0" t="n">
        <v>0.0377317184672938</v>
      </c>
      <c r="R282" s="0" t="n">
        <v>2.84287513095667</v>
      </c>
      <c r="S282" s="0" t="n">
        <v>11</v>
      </c>
      <c r="T282" s="0" t="n">
        <v>280</v>
      </c>
      <c r="U282" s="0" t="n">
        <v>0</v>
      </c>
      <c r="V282" s="0" t="n">
        <v>0</v>
      </c>
      <c r="W282" s="0" t="n">
        <v>20230630</v>
      </c>
      <c r="X282" s="0" t="n">
        <v>1.33285285879771</v>
      </c>
      <c r="Y282" s="0" t="n">
        <v>10.91</v>
      </c>
      <c r="Z282" s="0" t="s">
        <v>105</v>
      </c>
    </row>
    <row r="283" customFormat="false" ht="15" hidden="false" customHeight="false" outlineLevel="0" collapsed="false">
      <c r="A283" s="0" t="n">
        <v>283</v>
      </c>
      <c r="B283" s="0" t="n">
        <v>1539209</v>
      </c>
      <c r="C283" s="0" t="n">
        <v>17751</v>
      </c>
      <c r="D283" s="0" t="n">
        <v>1218035</v>
      </c>
      <c r="E283" s="0" t="n">
        <v>0.08</v>
      </c>
      <c r="F283" s="0" t="n">
        <v>129936</v>
      </c>
      <c r="G283" s="0" t="n">
        <v>8.44173858131027</v>
      </c>
      <c r="H283" s="0" t="s">
        <v>440</v>
      </c>
      <c r="I283" s="0" t="n">
        <v>0.925847764698013</v>
      </c>
      <c r="J283" s="0" t="n">
        <v>118420</v>
      </c>
      <c r="K283" s="0" t="n">
        <v>2111</v>
      </c>
      <c r="L283" s="0" t="n">
        <v>1255714</v>
      </c>
      <c r="M283" s="0" t="n">
        <v>1244088</v>
      </c>
      <c r="N283" s="0" t="n">
        <v>1072258</v>
      </c>
      <c r="O283" s="0" t="n">
        <v>2725</v>
      </c>
      <c r="P283" s="0" t="s">
        <v>141</v>
      </c>
      <c r="Q283" s="0" t="n">
        <v>0.217008012971106</v>
      </c>
      <c r="R283" s="0" t="n">
        <v>3.14254047562197</v>
      </c>
      <c r="S283" s="0" t="n">
        <v>4196</v>
      </c>
      <c r="T283" s="0" t="n">
        <v>2912</v>
      </c>
      <c r="U283" s="0" t="n">
        <v>0</v>
      </c>
      <c r="V283" s="0" t="n">
        <v>12.7403512952889</v>
      </c>
      <c r="W283" s="0" t="n">
        <v>20230630</v>
      </c>
      <c r="X283" s="0" t="n">
        <v>0.57224377049816</v>
      </c>
      <c r="Y283" s="0" t="n">
        <v>6.68</v>
      </c>
      <c r="Z283" s="0" t="s">
        <v>105</v>
      </c>
    </row>
    <row r="284" customFormat="false" ht="15" hidden="false" customHeight="false" outlineLevel="0" collapsed="false">
      <c r="A284" s="0" t="n">
        <v>284</v>
      </c>
      <c r="B284" s="0" t="n">
        <v>1670135</v>
      </c>
      <c r="C284" s="0" t="n">
        <v>17897</v>
      </c>
      <c r="D284" s="0" t="n">
        <v>1316659</v>
      </c>
      <c r="E284" s="0" t="n">
        <v>-0.05</v>
      </c>
      <c r="F284" s="0" t="n">
        <v>202487</v>
      </c>
      <c r="G284" s="0" t="n">
        <v>12.1239899768582</v>
      </c>
      <c r="H284" s="0" t="s">
        <v>441</v>
      </c>
      <c r="I284" s="0" t="n">
        <v>0.59335065148274</v>
      </c>
      <c r="J284" s="0" t="n">
        <v>70462</v>
      </c>
      <c r="K284" s="0" t="n">
        <v>3869</v>
      </c>
      <c r="L284" s="0" t="n">
        <v>1413161</v>
      </c>
      <c r="M284" s="0" t="n">
        <v>1404776</v>
      </c>
      <c r="N284" s="0" t="n">
        <v>1329657</v>
      </c>
      <c r="O284" s="0" t="n">
        <v>3724</v>
      </c>
      <c r="P284" s="0" t="s">
        <v>143</v>
      </c>
      <c r="Q284" s="0" t="n">
        <v>0.263522698404499</v>
      </c>
      <c r="R284" s="0" t="n">
        <v>2.60427667903162</v>
      </c>
      <c r="S284" s="0" t="n">
        <v>-87</v>
      </c>
      <c r="T284" s="0" t="n">
        <v>1892</v>
      </c>
      <c r="U284" s="0" t="n">
        <v>0</v>
      </c>
      <c r="V284" s="0" t="n">
        <v>17.1387717890176</v>
      </c>
      <c r="W284" s="0" t="n">
        <v>20230630</v>
      </c>
      <c r="X284" s="0" t="n">
        <v>0.7142445132825</v>
      </c>
      <c r="Y284" s="0" t="n">
        <v>5.94</v>
      </c>
      <c r="Z284" s="0" t="s">
        <v>105</v>
      </c>
    </row>
    <row r="285" customFormat="false" ht="15" hidden="false" customHeight="false" outlineLevel="0" collapsed="false">
      <c r="A285" s="0" t="n">
        <v>285</v>
      </c>
      <c r="B285" s="0" t="n">
        <v>785855</v>
      </c>
      <c r="C285" s="0" t="n">
        <v>17951</v>
      </c>
      <c r="D285" s="0" t="n">
        <v>698423</v>
      </c>
      <c r="E285" s="0" t="n">
        <v>0.12</v>
      </c>
      <c r="F285" s="0" t="n">
        <v>56939</v>
      </c>
      <c r="G285" s="0" t="n">
        <v>7.24548421782644</v>
      </c>
      <c r="H285" s="0" t="s">
        <v>442</v>
      </c>
      <c r="I285" s="0" t="n">
        <v>0.900785411212422</v>
      </c>
      <c r="J285" s="0" t="n">
        <v>23611</v>
      </c>
      <c r="K285" s="0" t="n">
        <v>1822</v>
      </c>
      <c r="L285" s="0" t="n">
        <v>553850</v>
      </c>
      <c r="M285" s="0" t="n">
        <v>548861</v>
      </c>
      <c r="N285" s="0" t="n">
        <v>515478</v>
      </c>
      <c r="O285" s="0" t="n">
        <v>67</v>
      </c>
      <c r="P285" s="0" t="s">
        <v>145</v>
      </c>
      <c r="Q285" s="0" t="n">
        <v>0.0120971382143179</v>
      </c>
      <c r="R285" s="0" t="n">
        <v>2.73948979123525</v>
      </c>
      <c r="S285" s="0" t="n">
        <v>-197</v>
      </c>
      <c r="T285" s="0" t="n">
        <v>168</v>
      </c>
      <c r="U285" s="0" t="n">
        <v>0</v>
      </c>
      <c r="V285" s="0" t="n">
        <v>14.4439118904905</v>
      </c>
      <c r="W285" s="0" t="n">
        <v>20230630</v>
      </c>
      <c r="X285" s="0" t="n">
        <v>0.577782741347925</v>
      </c>
      <c r="Y285" s="0" t="n">
        <v>7.85</v>
      </c>
      <c r="Z285" s="0" t="s">
        <v>123</v>
      </c>
    </row>
    <row r="286" customFormat="false" ht="15" hidden="false" customHeight="false" outlineLevel="0" collapsed="false">
      <c r="A286" s="0" t="n">
        <v>286</v>
      </c>
      <c r="B286" s="0" t="n">
        <v>1355202</v>
      </c>
      <c r="C286" s="0" t="n">
        <v>17960</v>
      </c>
      <c r="D286" s="0" t="n">
        <v>1044918</v>
      </c>
      <c r="E286" s="0" t="n">
        <v>0.06</v>
      </c>
      <c r="F286" s="0" t="n">
        <v>108306</v>
      </c>
      <c r="G286" s="0" t="n">
        <v>7.99187132250395</v>
      </c>
      <c r="H286" s="0" t="s">
        <v>443</v>
      </c>
      <c r="I286" s="0" t="n">
        <v>0.968657341658803</v>
      </c>
      <c r="J286" s="0" t="n">
        <v>111328</v>
      </c>
      <c r="K286" s="0" t="n">
        <v>219108</v>
      </c>
      <c r="L286" s="0" t="n">
        <v>1162537</v>
      </c>
      <c r="M286" s="0" t="n">
        <v>1151276</v>
      </c>
      <c r="N286" s="0" t="n">
        <v>827985</v>
      </c>
      <c r="O286" s="0" t="n">
        <v>8464</v>
      </c>
      <c r="P286" s="0" t="s">
        <v>147</v>
      </c>
      <c r="Q286" s="0" t="n">
        <v>0.728062848752341</v>
      </c>
      <c r="R286" s="0" t="n">
        <v>2.86686073652849</v>
      </c>
      <c r="S286" s="0" t="n">
        <v>39</v>
      </c>
      <c r="T286" s="0" t="n">
        <v>2045</v>
      </c>
      <c r="U286" s="0" t="n">
        <v>0</v>
      </c>
      <c r="V286" s="0" t="n">
        <v>12.7361396545319</v>
      </c>
      <c r="W286" s="0" t="n">
        <v>20230630</v>
      </c>
      <c r="X286" s="0" t="n">
        <v>0.47751881940412</v>
      </c>
      <c r="Y286" s="0" t="n">
        <v>5.97</v>
      </c>
      <c r="Z286" s="0" t="s">
        <v>123</v>
      </c>
    </row>
    <row r="287" customFormat="false" ht="15" hidden="false" customHeight="false" outlineLevel="0" collapsed="false">
      <c r="A287" s="0" t="n">
        <v>287</v>
      </c>
      <c r="B287" s="0" t="n">
        <v>2459524</v>
      </c>
      <c r="C287" s="0" t="n">
        <v>18012</v>
      </c>
      <c r="D287" s="0" t="n">
        <v>2061672</v>
      </c>
      <c r="E287" s="0" t="n">
        <v>0.06</v>
      </c>
      <c r="F287" s="0" t="n">
        <v>250653</v>
      </c>
      <c r="G287" s="0" t="n">
        <v>10.1911182814236</v>
      </c>
      <c r="H287" s="0" t="s">
        <v>444</v>
      </c>
      <c r="I287" s="0" t="n">
        <v>1.26768612127541</v>
      </c>
      <c r="J287" s="0" t="n">
        <v>50060</v>
      </c>
      <c r="K287" s="0" t="n">
        <v>34372</v>
      </c>
      <c r="L287" s="0" t="n">
        <v>2005386</v>
      </c>
      <c r="M287" s="0" t="n">
        <v>1979964</v>
      </c>
      <c r="N287" s="0" t="n">
        <v>1892192</v>
      </c>
      <c r="O287" s="0" t="n">
        <v>1011</v>
      </c>
      <c r="P287" s="0" t="s">
        <v>149</v>
      </c>
      <c r="Q287" s="0" t="n">
        <v>0.0504142344665815</v>
      </c>
      <c r="R287" s="0" t="n">
        <v>3.08785515504174</v>
      </c>
      <c r="S287" s="0" t="n">
        <v>74</v>
      </c>
      <c r="T287" s="0" t="n">
        <v>2254</v>
      </c>
      <c r="U287" s="0" t="n">
        <v>0</v>
      </c>
      <c r="V287" s="0" t="n">
        <v>13.5220936775833</v>
      </c>
      <c r="W287" s="0" t="n">
        <v>20230630</v>
      </c>
      <c r="X287" s="0" t="n">
        <v>0.853047862093874</v>
      </c>
      <c r="Y287" s="0" t="n">
        <v>8.45</v>
      </c>
      <c r="Z287" s="0" t="s">
        <v>123</v>
      </c>
    </row>
    <row r="288" customFormat="false" ht="15" hidden="false" customHeight="false" outlineLevel="0" collapsed="false">
      <c r="A288" s="0" t="n">
        <v>288</v>
      </c>
      <c r="B288" s="0" t="n">
        <v>2835749</v>
      </c>
      <c r="C288" s="0" t="n">
        <v>18013</v>
      </c>
      <c r="D288" s="0" t="n">
        <v>2403310</v>
      </c>
      <c r="E288" s="0" t="n">
        <v>0.02</v>
      </c>
      <c r="F288" s="0" t="n">
        <v>211459</v>
      </c>
      <c r="G288" s="0" t="n">
        <v>7.45690115733092</v>
      </c>
      <c r="H288" s="0" t="s">
        <v>445</v>
      </c>
      <c r="I288" s="0" t="n">
        <v>0.720314869129533</v>
      </c>
      <c r="J288" s="0" t="n">
        <v>108738</v>
      </c>
      <c r="K288" s="0" t="n">
        <v>25577</v>
      </c>
      <c r="L288" s="0" t="n">
        <v>2261511</v>
      </c>
      <c r="M288" s="0" t="n">
        <v>2245221</v>
      </c>
      <c r="N288" s="0" t="n">
        <v>2073740</v>
      </c>
      <c r="O288" s="0" t="n">
        <v>1133</v>
      </c>
      <c r="P288" s="0" t="s">
        <v>151</v>
      </c>
      <c r="Q288" s="0" t="n">
        <v>0.050939394059989</v>
      </c>
      <c r="R288" s="0" t="n">
        <v>2.83684674080354</v>
      </c>
      <c r="S288" s="0" t="n">
        <v>93</v>
      </c>
      <c r="T288" s="0" t="n">
        <v>3815</v>
      </c>
      <c r="U288" s="0" t="n">
        <v>19</v>
      </c>
      <c r="V288" s="0" t="n">
        <v>13.0579757124412</v>
      </c>
      <c r="W288" s="0" t="n">
        <v>20230630</v>
      </c>
      <c r="X288" s="0" t="n">
        <v>0.458533603033476</v>
      </c>
      <c r="Y288" s="0" t="n">
        <v>6.1</v>
      </c>
      <c r="Z288" s="0" t="s">
        <v>123</v>
      </c>
    </row>
    <row r="289" customFormat="false" ht="15" hidden="false" customHeight="false" outlineLevel="0" collapsed="false">
      <c r="A289" s="0" t="n">
        <v>289</v>
      </c>
      <c r="B289" s="0" t="n">
        <v>385140</v>
      </c>
      <c r="C289" s="0" t="n">
        <v>18028</v>
      </c>
      <c r="D289" s="0" t="n">
        <v>318025</v>
      </c>
      <c r="E289" s="0" t="n">
        <v>0.13</v>
      </c>
      <c r="F289" s="0" t="n">
        <v>37896</v>
      </c>
      <c r="G289" s="0" t="n">
        <v>9.83953886898271</v>
      </c>
      <c r="H289" s="0" t="s">
        <v>446</v>
      </c>
      <c r="I289" s="0" t="n">
        <v>0.946317161746904</v>
      </c>
      <c r="J289" s="0" t="n">
        <v>15285</v>
      </c>
      <c r="K289" s="0" t="n">
        <v>7701</v>
      </c>
      <c r="L289" s="0" t="n">
        <v>257736</v>
      </c>
      <c r="M289" s="0" t="n">
        <v>255297</v>
      </c>
      <c r="N289" s="0" t="n">
        <v>228527</v>
      </c>
      <c r="O289" s="0" t="n">
        <v>855</v>
      </c>
      <c r="P289" s="0" t="s">
        <v>153</v>
      </c>
      <c r="Q289" s="0" t="n">
        <v>0.339494676723469</v>
      </c>
      <c r="R289" s="0" t="n">
        <v>3.49800968810121</v>
      </c>
      <c r="S289" s="0" t="n">
        <v>234</v>
      </c>
      <c r="T289" s="0" t="n">
        <v>417</v>
      </c>
      <c r="U289" s="0" t="n">
        <v>20</v>
      </c>
      <c r="V289" s="0" t="n">
        <v>0</v>
      </c>
      <c r="W289" s="0" t="n">
        <v>20230630</v>
      </c>
      <c r="X289" s="0" t="n">
        <v>0.575288643086549</v>
      </c>
      <c r="Y289" s="0" t="n">
        <v>5.94</v>
      </c>
      <c r="Z289" s="0" t="s">
        <v>123</v>
      </c>
    </row>
    <row r="290" customFormat="false" ht="15" hidden="false" customHeight="false" outlineLevel="0" collapsed="false">
      <c r="A290" s="0" t="n">
        <v>290</v>
      </c>
      <c r="B290" s="0" t="n">
        <v>736677</v>
      </c>
      <c r="C290" s="0" t="n">
        <v>18030</v>
      </c>
      <c r="D290" s="0" t="n">
        <v>664243</v>
      </c>
      <c r="E290" s="0" t="n">
        <v>0.13</v>
      </c>
      <c r="F290" s="0" t="n">
        <v>44564</v>
      </c>
      <c r="G290" s="0" t="n">
        <v>6.04932690989402</v>
      </c>
      <c r="H290" s="0" t="s">
        <v>447</v>
      </c>
      <c r="I290" s="0" t="n">
        <v>0.991600361201506</v>
      </c>
      <c r="J290" s="0" t="n">
        <v>41828</v>
      </c>
      <c r="K290" s="0" t="n">
        <v>95640</v>
      </c>
      <c r="L290" s="0" t="n">
        <v>586930</v>
      </c>
      <c r="M290" s="0" t="n">
        <v>581110</v>
      </c>
      <c r="N290" s="0" t="n">
        <v>449340</v>
      </c>
      <c r="O290" s="0" t="n">
        <v>490</v>
      </c>
      <c r="P290" s="0" t="s">
        <v>155</v>
      </c>
      <c r="Q290" s="0" t="n">
        <v>0.0834852537781336</v>
      </c>
      <c r="R290" s="0" t="n">
        <v>3.48465163748127</v>
      </c>
      <c r="S290" s="0" t="n">
        <v>-4</v>
      </c>
      <c r="T290" s="0" t="n">
        <v>161</v>
      </c>
      <c r="U290" s="0" t="n">
        <v>0</v>
      </c>
      <c r="V290" s="0" t="n">
        <v>12.5009957508155</v>
      </c>
      <c r="W290" s="0" t="n">
        <v>20230630</v>
      </c>
      <c r="X290" s="0" t="n">
        <v>0.584769402386572</v>
      </c>
      <c r="Y290" s="0" t="n">
        <v>9.53</v>
      </c>
      <c r="Z290" s="0" t="s">
        <v>123</v>
      </c>
    </row>
    <row r="291" customFormat="false" ht="15" hidden="false" customHeight="false" outlineLevel="0" collapsed="false">
      <c r="A291" s="0" t="n">
        <v>291</v>
      </c>
      <c r="B291" s="0" t="n">
        <v>686908</v>
      </c>
      <c r="C291" s="0" t="n">
        <v>18031</v>
      </c>
      <c r="D291" s="0" t="n">
        <v>578969</v>
      </c>
      <c r="E291" s="0" t="n">
        <v>0.01</v>
      </c>
      <c r="F291" s="0" t="n">
        <v>36036</v>
      </c>
      <c r="G291" s="0" t="n">
        <v>5.24611738398738</v>
      </c>
      <c r="H291" s="0" t="s">
        <v>448</v>
      </c>
      <c r="I291" s="0" t="n">
        <v>0.854667035967238</v>
      </c>
      <c r="J291" s="0" t="n">
        <v>28192</v>
      </c>
      <c r="K291" s="0" t="n">
        <v>10462</v>
      </c>
      <c r="L291" s="0" t="n">
        <v>480187</v>
      </c>
      <c r="M291" s="0" t="n">
        <v>476083</v>
      </c>
      <c r="N291" s="0" t="n">
        <v>433545</v>
      </c>
      <c r="O291" s="0" t="n">
        <v>1022</v>
      </c>
      <c r="P291" s="0" t="s">
        <v>157</v>
      </c>
      <c r="Q291" s="0" t="n">
        <v>0.212833750184824</v>
      </c>
      <c r="R291" s="0" t="n">
        <v>2.74432283882166</v>
      </c>
      <c r="S291" s="0" t="n">
        <v>-1</v>
      </c>
      <c r="T291" s="0" t="n">
        <v>1125</v>
      </c>
      <c r="U291" s="0" t="n">
        <v>0</v>
      </c>
      <c r="V291" s="0" t="n">
        <v>16.120512261208</v>
      </c>
      <c r="W291" s="0" t="n">
        <v>20230630</v>
      </c>
      <c r="X291" s="0" t="n">
        <v>0.289913659428378</v>
      </c>
      <c r="Y291" s="0" t="n">
        <v>5.29</v>
      </c>
      <c r="Z291" s="0" t="s">
        <v>123</v>
      </c>
    </row>
    <row r="292" customFormat="false" ht="15" hidden="false" customHeight="false" outlineLevel="0" collapsed="false">
      <c r="A292" s="0" t="n">
        <v>292</v>
      </c>
      <c r="B292" s="0" t="n">
        <v>548920</v>
      </c>
      <c r="C292" s="0" t="n">
        <v>18038</v>
      </c>
      <c r="D292" s="0" t="n">
        <v>429568</v>
      </c>
      <c r="E292" s="0" t="n">
        <v>0.06</v>
      </c>
      <c r="F292" s="0" t="n">
        <v>65364</v>
      </c>
      <c r="G292" s="0" t="n">
        <v>11.9077461196531</v>
      </c>
      <c r="H292" s="0" t="s">
        <v>449</v>
      </c>
      <c r="I292" s="0" t="n">
        <v>0.988074065079558</v>
      </c>
      <c r="J292" s="0" t="n">
        <v>16670</v>
      </c>
      <c r="K292" s="0" t="n">
        <v>3651</v>
      </c>
      <c r="L292" s="0" t="n">
        <v>420009</v>
      </c>
      <c r="M292" s="0" t="n">
        <v>415859</v>
      </c>
      <c r="N292" s="0" t="n">
        <v>399161</v>
      </c>
      <c r="O292" s="0" t="n">
        <v>2268</v>
      </c>
      <c r="P292" s="0" t="s">
        <v>159</v>
      </c>
      <c r="Q292" s="0" t="n">
        <v>0.539988428819382</v>
      </c>
      <c r="R292" s="0" t="n">
        <v>2.59263990566501</v>
      </c>
      <c r="S292" s="0" t="n">
        <v>-9</v>
      </c>
      <c r="T292" s="0" t="n">
        <v>765</v>
      </c>
      <c r="U292" s="0" t="n">
        <v>0</v>
      </c>
      <c r="V292" s="0" t="n">
        <v>0</v>
      </c>
      <c r="W292" s="0" t="n">
        <v>20230630</v>
      </c>
      <c r="X292" s="0" t="n">
        <v>0.388703168329964</v>
      </c>
      <c r="Y292" s="0" t="n">
        <v>3.25</v>
      </c>
      <c r="Z292" s="0" t="s">
        <v>123</v>
      </c>
    </row>
    <row r="293" customFormat="false" ht="15" hidden="false" customHeight="false" outlineLevel="0" collapsed="false">
      <c r="A293" s="0" t="n">
        <v>293</v>
      </c>
      <c r="B293" s="0" t="n">
        <v>7459345</v>
      </c>
      <c r="C293" s="0" t="n">
        <v>18408</v>
      </c>
      <c r="D293" s="0" t="n">
        <v>5594077</v>
      </c>
      <c r="E293" s="0" t="n">
        <v>0.07</v>
      </c>
      <c r="F293" s="0" t="n">
        <v>367424</v>
      </c>
      <c r="G293" s="0" t="n">
        <v>4.92568717494633</v>
      </c>
      <c r="H293" s="0" t="s">
        <v>450</v>
      </c>
      <c r="I293" s="0" t="n">
        <v>0.797373279764637</v>
      </c>
      <c r="J293" s="0" t="n">
        <v>309355</v>
      </c>
      <c r="K293" s="0" t="n">
        <v>32242</v>
      </c>
      <c r="L293" s="0" t="n">
        <v>4774928</v>
      </c>
      <c r="M293" s="0" t="n">
        <v>4736854</v>
      </c>
      <c r="N293" s="0" t="n">
        <v>4349363</v>
      </c>
      <c r="O293" s="0" t="n">
        <v>3474</v>
      </c>
      <c r="P293" s="0" t="s">
        <v>161</v>
      </c>
      <c r="Q293" s="0" t="n">
        <v>0.0727550237406721</v>
      </c>
      <c r="R293" s="0" t="n">
        <v>2.12159952430504</v>
      </c>
      <c r="S293" s="0" t="n">
        <v>1521</v>
      </c>
      <c r="T293" s="0" t="n">
        <v>3273</v>
      </c>
      <c r="U293" s="0" t="n">
        <v>0</v>
      </c>
      <c r="V293" s="0" t="n">
        <v>11.6689079054605</v>
      </c>
      <c r="W293" s="0" t="n">
        <v>20230630</v>
      </c>
      <c r="X293" s="0" t="n">
        <v>0.0746320286304321</v>
      </c>
      <c r="Y293" s="0" t="n">
        <v>1.51</v>
      </c>
      <c r="Z293" s="0" t="s">
        <v>105</v>
      </c>
    </row>
    <row r="294" customFormat="false" ht="15" hidden="false" customHeight="false" outlineLevel="0" collapsed="false">
      <c r="A294" s="0" t="n">
        <v>294</v>
      </c>
      <c r="B294" s="0" t="n">
        <v>2396062</v>
      </c>
      <c r="C294" s="0" t="n">
        <v>19531</v>
      </c>
      <c r="D294" s="0" t="n">
        <v>1963859</v>
      </c>
      <c r="E294" s="0" t="n">
        <v>0</v>
      </c>
      <c r="F294" s="0" t="n">
        <v>235363</v>
      </c>
      <c r="G294" s="0" t="n">
        <v>9.82290942387968</v>
      </c>
      <c r="H294" s="0" t="s">
        <v>451</v>
      </c>
      <c r="I294" s="0" t="n">
        <v>1.16162492034352</v>
      </c>
      <c r="J294" s="0" t="n">
        <v>238802</v>
      </c>
      <c r="K294" s="0" t="n">
        <v>15221</v>
      </c>
      <c r="L294" s="0" t="n">
        <v>1948994</v>
      </c>
      <c r="M294" s="0" t="n">
        <v>1926354</v>
      </c>
      <c r="N294" s="0" t="n">
        <v>1592985</v>
      </c>
      <c r="O294" s="0" t="n">
        <v>11853</v>
      </c>
      <c r="P294" s="0" t="s">
        <v>163</v>
      </c>
      <c r="Q294" s="0" t="n">
        <v>0.611494955859279</v>
      </c>
      <c r="R294" s="0" t="n">
        <v>2.73756903103094</v>
      </c>
      <c r="S294" s="0" t="n">
        <v>1077</v>
      </c>
      <c r="T294" s="0" t="n">
        <v>2559</v>
      </c>
      <c r="U294" s="0" t="n">
        <v>65</v>
      </c>
      <c r="V294" s="0" t="n">
        <v>14.3314513958643</v>
      </c>
      <c r="W294" s="0" t="n">
        <v>20230630</v>
      </c>
      <c r="X294" s="0" t="n">
        <v>0.462742823520228</v>
      </c>
      <c r="Y294" s="0" t="n">
        <v>4.8</v>
      </c>
      <c r="Z294" s="0" t="s">
        <v>105</v>
      </c>
    </row>
    <row r="295" customFormat="false" ht="15" hidden="false" customHeight="false" outlineLevel="0" collapsed="false">
      <c r="A295" s="0" t="n">
        <v>295</v>
      </c>
      <c r="B295" s="0" t="n">
        <v>792753</v>
      </c>
      <c r="C295" s="0" t="n">
        <v>19532</v>
      </c>
      <c r="D295" s="0" t="n">
        <v>647966</v>
      </c>
      <c r="E295" s="0" t="n">
        <v>0</v>
      </c>
      <c r="F295" s="0" t="n">
        <v>91641</v>
      </c>
      <c r="G295" s="0" t="n">
        <v>11.5598427252877</v>
      </c>
      <c r="H295" s="0" t="s">
        <v>452</v>
      </c>
      <c r="I295" s="0" t="n">
        <v>1.01916851433388</v>
      </c>
      <c r="J295" s="0" t="n">
        <v>38262</v>
      </c>
      <c r="K295" s="0" t="n">
        <v>49373</v>
      </c>
      <c r="L295" s="0" t="n">
        <v>564676</v>
      </c>
      <c r="M295" s="0" t="n">
        <v>558921</v>
      </c>
      <c r="N295" s="0" t="n">
        <v>466819</v>
      </c>
      <c r="O295" s="0" t="n">
        <v>876</v>
      </c>
      <c r="P295" s="0" t="s">
        <v>165</v>
      </c>
      <c r="Q295" s="0" t="n">
        <v>0.157612506995162</v>
      </c>
      <c r="R295" s="0" t="n">
        <v>3.4494049372331</v>
      </c>
      <c r="S295" s="0" t="n">
        <v>30</v>
      </c>
      <c r="T295" s="0" t="n">
        <v>999</v>
      </c>
      <c r="U295" s="0" t="n">
        <v>14</v>
      </c>
      <c r="V295" s="0" t="n">
        <v>20.7353954790339</v>
      </c>
      <c r="W295" s="0" t="n">
        <v>20230630</v>
      </c>
      <c r="X295" s="0" t="n">
        <v>0.820049398822041</v>
      </c>
      <c r="Y295" s="0" t="n">
        <v>7.11</v>
      </c>
      <c r="Z295" s="0" t="s">
        <v>105</v>
      </c>
    </row>
    <row r="296" customFormat="false" ht="15" hidden="false" customHeight="false" outlineLevel="0" collapsed="false">
      <c r="A296" s="0" t="n">
        <v>296</v>
      </c>
      <c r="B296" s="0" t="n">
        <v>2869938</v>
      </c>
      <c r="C296" s="0" t="n">
        <v>19690</v>
      </c>
      <c r="D296" s="0" t="n">
        <v>1960331</v>
      </c>
      <c r="E296" s="0" t="n">
        <v>0.08</v>
      </c>
      <c r="F296" s="0" t="n">
        <v>296663</v>
      </c>
      <c r="G296" s="0" t="n">
        <v>10.3369132016092</v>
      </c>
      <c r="H296" s="0" t="s">
        <v>453</v>
      </c>
      <c r="I296" s="0" t="n">
        <v>0.289799869859861</v>
      </c>
      <c r="J296" s="0" t="n">
        <v>37835</v>
      </c>
      <c r="K296" s="0" t="n">
        <v>470</v>
      </c>
      <c r="L296" s="0" t="n">
        <v>2520360</v>
      </c>
      <c r="M296" s="0" t="n">
        <v>2513056</v>
      </c>
      <c r="N296" s="0" t="n">
        <v>2020060</v>
      </c>
      <c r="O296" s="0" t="n">
        <v>15683</v>
      </c>
      <c r="P296" s="0" t="s">
        <v>167</v>
      </c>
      <c r="Q296" s="0" t="n">
        <v>0.622252376644606</v>
      </c>
      <c r="R296" s="0" t="n">
        <v>4.82690808234839</v>
      </c>
      <c r="S296" s="0" t="n">
        <v>234</v>
      </c>
      <c r="T296" s="0" t="n">
        <v>645</v>
      </c>
      <c r="U296" s="0" t="n">
        <v>0</v>
      </c>
      <c r="V296" s="0" t="n">
        <v>12.2983890529339</v>
      </c>
      <c r="W296" s="0" t="n">
        <v>20230630</v>
      </c>
      <c r="X296" s="0" t="n">
        <v>1.72729756659238</v>
      </c>
      <c r="Y296" s="0" t="n">
        <v>17.49</v>
      </c>
      <c r="Z296" s="0" t="s">
        <v>105</v>
      </c>
    </row>
    <row r="297" customFormat="false" ht="15" hidden="false" customHeight="false" outlineLevel="0" collapsed="false">
      <c r="A297" s="0" t="n">
        <v>297</v>
      </c>
      <c r="B297" s="0" t="n">
        <v>608950</v>
      </c>
      <c r="C297" s="0" t="n">
        <v>19836</v>
      </c>
      <c r="D297" s="0" t="n">
        <v>446012</v>
      </c>
      <c r="E297" s="0" t="n">
        <v>0.03</v>
      </c>
      <c r="F297" s="0" t="n">
        <v>119294</v>
      </c>
      <c r="G297" s="0" t="n">
        <v>19.590114130881</v>
      </c>
      <c r="H297" s="0" t="s">
        <v>454</v>
      </c>
      <c r="I297" s="0" t="n">
        <v>0.851015970608083</v>
      </c>
      <c r="J297" s="0" t="n">
        <v>52848</v>
      </c>
      <c r="K297" s="0" t="n">
        <v>12252</v>
      </c>
      <c r="L297" s="0" t="n">
        <v>506806</v>
      </c>
      <c r="M297" s="0" t="n">
        <v>502493</v>
      </c>
      <c r="N297" s="0" t="n">
        <v>437325</v>
      </c>
      <c r="O297" s="0" t="n">
        <v>3354</v>
      </c>
      <c r="P297" s="0" t="s">
        <v>145</v>
      </c>
      <c r="Q297" s="0" t="n">
        <v>0.724932222586157</v>
      </c>
      <c r="R297" s="0" t="n">
        <v>4.15464324965216</v>
      </c>
      <c r="S297" s="0" t="n">
        <v>85</v>
      </c>
      <c r="T297" s="0" t="n">
        <v>2513</v>
      </c>
      <c r="U297" s="0" t="n">
        <v>320</v>
      </c>
      <c r="V297" s="0" t="n">
        <v>27.2365493944138</v>
      </c>
      <c r="W297" s="0" t="n">
        <v>20230630</v>
      </c>
      <c r="X297" s="0" t="n">
        <v>0.835906040268456</v>
      </c>
      <c r="Y297" s="0" t="n">
        <v>4.22</v>
      </c>
      <c r="Z297" s="0" t="s">
        <v>105</v>
      </c>
    </row>
    <row r="298" customFormat="false" ht="15" hidden="false" customHeight="false" outlineLevel="0" collapsed="false">
      <c r="A298" s="0" t="n">
        <v>298</v>
      </c>
      <c r="B298" s="0" t="n">
        <v>1353335</v>
      </c>
      <c r="C298" s="0" t="n">
        <v>24540</v>
      </c>
      <c r="D298" s="0" t="n">
        <v>1091222</v>
      </c>
      <c r="E298" s="0" t="n">
        <v>0.16</v>
      </c>
      <c r="F298" s="0" t="n">
        <v>232110</v>
      </c>
      <c r="G298" s="0" t="n">
        <v>17.1509640997979</v>
      </c>
      <c r="H298" s="0" t="s">
        <v>455</v>
      </c>
      <c r="I298" s="0" t="n">
        <v>0.946001137993989</v>
      </c>
      <c r="J298" s="0" t="n">
        <v>40277</v>
      </c>
      <c r="K298" s="0" t="n">
        <v>135</v>
      </c>
      <c r="L298" s="0" t="n">
        <v>1145876</v>
      </c>
      <c r="M298" s="0" t="n">
        <v>1135036</v>
      </c>
      <c r="N298" s="0" t="n">
        <v>1109265</v>
      </c>
      <c r="O298" s="0" t="n">
        <v>342</v>
      </c>
      <c r="P298" s="0" t="s">
        <v>170</v>
      </c>
      <c r="Q298" s="0" t="n">
        <v>0.029846161364755</v>
      </c>
      <c r="R298" s="0" t="n">
        <v>5.00438106220581</v>
      </c>
      <c r="S298" s="0" t="n">
        <v>0</v>
      </c>
      <c r="T298" s="0" t="n">
        <v>118</v>
      </c>
      <c r="U298" s="0" t="n">
        <v>0</v>
      </c>
      <c r="V298" s="0" t="n">
        <v>0</v>
      </c>
      <c r="W298" s="0" t="n">
        <v>20230630</v>
      </c>
      <c r="X298" s="0" t="n">
        <v>2.53176441533346</v>
      </c>
      <c r="Y298" s="0" t="n">
        <v>14.8</v>
      </c>
      <c r="Z298" s="0" t="s">
        <v>123</v>
      </c>
    </row>
    <row r="299" customFormat="false" ht="15" hidden="false" customHeight="false" outlineLevel="0" collapsed="false">
      <c r="A299" s="0" t="n">
        <v>299</v>
      </c>
      <c r="B299" s="0" t="n">
        <v>511371</v>
      </c>
      <c r="C299" s="0" t="n">
        <v>27824</v>
      </c>
      <c r="D299" s="0" t="n">
        <v>380476</v>
      </c>
      <c r="E299" s="0" t="n">
        <v>0</v>
      </c>
      <c r="F299" s="0" t="n">
        <v>65899</v>
      </c>
      <c r="G299" s="0" t="n">
        <v>12.8867299866438</v>
      </c>
      <c r="H299" s="0" t="s">
        <v>456</v>
      </c>
      <c r="I299" s="0" t="n">
        <v>0.759165622051015</v>
      </c>
      <c r="J299" s="0" t="n">
        <v>21394</v>
      </c>
      <c r="K299" s="0" t="n">
        <v>41917</v>
      </c>
      <c r="L299" s="0" t="n">
        <v>425994</v>
      </c>
      <c r="M299" s="0" t="n">
        <v>422760</v>
      </c>
      <c r="N299" s="0" t="n">
        <v>362683</v>
      </c>
      <c r="O299" s="0" t="n">
        <v>1230</v>
      </c>
      <c r="P299" s="0" t="s">
        <v>172</v>
      </c>
      <c r="Q299" s="0" t="n">
        <v>0.288736461076917</v>
      </c>
      <c r="R299" s="0" t="n">
        <v>2.03415693915202</v>
      </c>
      <c r="S299" s="0" t="n">
        <v>-6</v>
      </c>
      <c r="T299" s="0" t="n">
        <v>1038</v>
      </c>
      <c r="U299" s="0" t="n">
        <v>0</v>
      </c>
      <c r="V299" s="0" t="n">
        <v>21.8651868052185</v>
      </c>
      <c r="W299" s="0" t="n">
        <v>20230630</v>
      </c>
      <c r="X299" s="0" t="n">
        <v>-0.179485034548527</v>
      </c>
      <c r="Y299" s="0" t="n">
        <v>-1.35</v>
      </c>
      <c r="Z299" s="0" t="s">
        <v>123</v>
      </c>
    </row>
    <row r="300" customFormat="false" ht="15" hidden="false" customHeight="false" outlineLevel="0" collapsed="false">
      <c r="A300" s="0" t="n">
        <v>300</v>
      </c>
      <c r="B300" s="0" t="n">
        <v>297569</v>
      </c>
      <c r="C300" s="0" t="n">
        <v>28155</v>
      </c>
      <c r="D300" s="0" t="n">
        <v>264006</v>
      </c>
      <c r="E300" s="0" t="n">
        <v>-0.07</v>
      </c>
      <c r="F300" s="0" t="n">
        <v>27564</v>
      </c>
      <c r="G300" s="0" t="n">
        <v>9.26306167645151</v>
      </c>
      <c r="H300" s="0" t="s">
        <v>457</v>
      </c>
      <c r="I300" s="0" t="n">
        <v>0.510813154224104</v>
      </c>
      <c r="J300" s="0" t="n">
        <v>5813</v>
      </c>
      <c r="K300" s="0" t="n">
        <v>5560</v>
      </c>
      <c r="L300" s="0" t="n">
        <v>159158</v>
      </c>
      <c r="M300" s="0" t="n">
        <v>158345</v>
      </c>
      <c r="N300" s="0" t="n">
        <v>147112</v>
      </c>
      <c r="O300" s="0" t="n">
        <v>52</v>
      </c>
      <c r="P300" s="0" t="s">
        <v>174</v>
      </c>
      <c r="Q300" s="0" t="n">
        <v>0.0326719360635343</v>
      </c>
      <c r="R300" s="0" t="n">
        <v>2.47080923260729</v>
      </c>
      <c r="S300" s="0" t="n">
        <v>0</v>
      </c>
      <c r="T300" s="0" t="n">
        <v>767</v>
      </c>
      <c r="U300" s="0" t="n">
        <v>0</v>
      </c>
      <c r="V300" s="0" t="n">
        <v>17.8379338650592</v>
      </c>
      <c r="W300" s="0" t="n">
        <v>20230630</v>
      </c>
      <c r="X300" s="0" t="n">
        <v>0.0381918077455666</v>
      </c>
      <c r="Y300" s="0" t="n">
        <v>0.41</v>
      </c>
      <c r="Z300" s="0" t="s">
        <v>123</v>
      </c>
    </row>
    <row r="301" customFormat="false" ht="15" hidden="false" customHeight="false" outlineLevel="0" collapsed="false">
      <c r="A301" s="0" t="n">
        <v>301</v>
      </c>
      <c r="B301" s="0" t="n">
        <v>103989</v>
      </c>
      <c r="C301" s="0" t="n">
        <v>28288</v>
      </c>
      <c r="D301" s="0" t="n">
        <v>78624</v>
      </c>
      <c r="E301" s="0" t="n">
        <v>0</v>
      </c>
      <c r="F301" s="0" t="n">
        <v>5937</v>
      </c>
      <c r="G301" s="0" t="n">
        <v>5.70925770995009</v>
      </c>
      <c r="H301" s="0" t="s">
        <v>458</v>
      </c>
      <c r="I301" s="0" t="n">
        <v>1.07286875238929</v>
      </c>
      <c r="J301" s="0" t="n">
        <v>4909</v>
      </c>
      <c r="K301" s="0" t="n">
        <v>651</v>
      </c>
      <c r="L301" s="0" t="n">
        <v>81091</v>
      </c>
      <c r="M301" s="0" t="n">
        <v>80221</v>
      </c>
      <c r="N301" s="0" t="n">
        <v>75531</v>
      </c>
      <c r="O301" s="0" t="n">
        <v>266</v>
      </c>
      <c r="P301" s="0" t="s">
        <v>176</v>
      </c>
      <c r="Q301" s="0" t="n">
        <v>0.328026538086841</v>
      </c>
      <c r="R301" s="0" t="n">
        <v>2.81908951863754</v>
      </c>
      <c r="S301" s="0" t="n">
        <v>-8</v>
      </c>
      <c r="T301" s="0" t="n">
        <v>831</v>
      </c>
      <c r="U301" s="0" t="n">
        <v>0</v>
      </c>
      <c r="V301" s="0" t="n">
        <v>13.4329035086393</v>
      </c>
      <c r="W301" s="0" t="n">
        <v>20230630</v>
      </c>
      <c r="X301" s="0" t="n">
        <v>-0.0292873413602343</v>
      </c>
      <c r="Y301" s="0" t="n">
        <v>-0.5</v>
      </c>
      <c r="Z301" s="0" t="s">
        <v>105</v>
      </c>
    </row>
    <row r="302" customFormat="false" ht="15" hidden="false" customHeight="false" outlineLevel="0" collapsed="false">
      <c r="A302" s="0" t="n">
        <v>302</v>
      </c>
      <c r="B302" s="0" t="n">
        <v>87702</v>
      </c>
      <c r="C302" s="0" t="n">
        <v>28369</v>
      </c>
      <c r="D302" s="0" t="n">
        <v>77819</v>
      </c>
      <c r="E302" s="0" t="n">
        <v>0.03</v>
      </c>
      <c r="F302" s="0" t="n">
        <v>9428</v>
      </c>
      <c r="G302" s="0" t="n">
        <v>10.7500399078698</v>
      </c>
      <c r="H302" s="0" t="s">
        <v>459</v>
      </c>
      <c r="I302" s="0" t="n">
        <v>0.755313076606534</v>
      </c>
      <c r="J302" s="0" t="n">
        <v>11294</v>
      </c>
      <c r="K302" s="0" t="n">
        <v>827</v>
      </c>
      <c r="L302" s="0" t="n">
        <v>75333</v>
      </c>
      <c r="M302" s="0" t="n">
        <v>74764</v>
      </c>
      <c r="N302" s="0" t="n">
        <v>63212</v>
      </c>
      <c r="O302" s="0" t="n">
        <v>231</v>
      </c>
      <c r="P302" s="0" t="s">
        <v>178</v>
      </c>
      <c r="Q302" s="0" t="n">
        <v>0.306638524949225</v>
      </c>
      <c r="R302" s="0" t="n">
        <v>3.38744850981342</v>
      </c>
      <c r="S302" s="0" t="n">
        <v>-1</v>
      </c>
      <c r="T302" s="0" t="n">
        <v>76</v>
      </c>
      <c r="U302" s="0" t="n">
        <v>0</v>
      </c>
      <c r="V302" s="0" t="n">
        <v>0</v>
      </c>
      <c r="W302" s="0" t="n">
        <v>20230630</v>
      </c>
      <c r="X302" s="0" t="n">
        <v>-0.21138653483091</v>
      </c>
      <c r="Y302" s="0" t="n">
        <v>-1.94</v>
      </c>
      <c r="Z302" s="0" t="s">
        <v>105</v>
      </c>
    </row>
    <row r="303" customFormat="false" ht="15" hidden="false" customHeight="false" outlineLevel="0" collapsed="false">
      <c r="A303" s="0" t="n">
        <v>303</v>
      </c>
      <c r="B303" s="0" t="n">
        <v>285195</v>
      </c>
      <c r="C303" s="0" t="n">
        <v>28837</v>
      </c>
      <c r="D303" s="0" t="n">
        <v>256863</v>
      </c>
      <c r="E303" s="0" t="n">
        <v>0</v>
      </c>
      <c r="F303" s="0" t="n">
        <v>24942</v>
      </c>
      <c r="G303" s="0" t="n">
        <v>8.74559511912902</v>
      </c>
      <c r="H303" s="0" t="s">
        <v>460</v>
      </c>
      <c r="I303" s="0" t="n">
        <v>1.17921351225325</v>
      </c>
      <c r="J303" s="0" t="n">
        <v>6474</v>
      </c>
      <c r="K303" s="0" t="n">
        <v>1267</v>
      </c>
      <c r="L303" s="0" t="n">
        <v>193010</v>
      </c>
      <c r="M303" s="0" t="n">
        <v>190734</v>
      </c>
      <c r="N303" s="0" t="n">
        <v>183990</v>
      </c>
      <c r="O303" s="0" t="n">
        <v>38</v>
      </c>
      <c r="P303" s="0" t="s">
        <v>180</v>
      </c>
      <c r="Q303" s="0" t="n">
        <v>0.0196880990622247</v>
      </c>
      <c r="R303" s="0" t="n">
        <v>3.64030461666489</v>
      </c>
      <c r="S303" s="0" t="n">
        <v>-4</v>
      </c>
      <c r="T303" s="0" t="n">
        <v>366</v>
      </c>
      <c r="U303" s="0" t="n">
        <v>0</v>
      </c>
      <c r="V303" s="0" t="n">
        <v>16.3569852514226</v>
      </c>
      <c r="W303" s="0" t="n">
        <v>20230630</v>
      </c>
      <c r="X303" s="0" t="n">
        <v>0.998180082377603</v>
      </c>
      <c r="Y303" s="0" t="n">
        <v>12.1</v>
      </c>
      <c r="Z303" s="0" t="s">
        <v>112</v>
      </c>
    </row>
    <row r="304" customFormat="false" ht="15" hidden="false" customHeight="false" outlineLevel="0" collapsed="false">
      <c r="A304" s="0" t="n">
        <v>304</v>
      </c>
      <c r="B304" s="0" t="n">
        <v>182034</v>
      </c>
      <c r="C304" s="0" t="n">
        <v>29636</v>
      </c>
      <c r="D304" s="0" t="n">
        <v>145903</v>
      </c>
      <c r="E304" s="0" t="n">
        <v>0.07</v>
      </c>
      <c r="F304" s="0" t="n">
        <v>24760</v>
      </c>
      <c r="G304" s="0" t="n">
        <v>13.6018545985915</v>
      </c>
      <c r="H304" s="0" t="s">
        <v>461</v>
      </c>
      <c r="I304" s="0" t="n">
        <v>1.4568782499</v>
      </c>
      <c r="J304" s="0" t="n">
        <v>2015</v>
      </c>
      <c r="K304" s="0" t="n">
        <v>1467</v>
      </c>
      <c r="L304" s="0" t="n">
        <v>130004</v>
      </c>
      <c r="M304" s="0" t="n">
        <v>128110</v>
      </c>
      <c r="N304" s="0" t="n">
        <v>126522</v>
      </c>
      <c r="O304" s="0" t="n">
        <v>2061</v>
      </c>
      <c r="P304" s="0" t="s">
        <v>182</v>
      </c>
      <c r="Q304" s="0" t="n">
        <v>1.58533583582044</v>
      </c>
      <c r="R304" s="0" t="n">
        <v>3.55071845607826</v>
      </c>
      <c r="S304" s="0" t="n">
        <v>-5</v>
      </c>
      <c r="T304" s="0" t="n">
        <v>2273</v>
      </c>
      <c r="U304" s="0" t="n">
        <v>0</v>
      </c>
      <c r="V304" s="0" t="n">
        <v>26.7116213478459</v>
      </c>
      <c r="W304" s="0" t="n">
        <v>20230630</v>
      </c>
      <c r="X304" s="0" t="n">
        <v>0.410119937297218</v>
      </c>
      <c r="Y304" s="0" t="n">
        <v>3.05</v>
      </c>
      <c r="Z304" s="0" t="s">
        <v>105</v>
      </c>
    </row>
    <row r="305" customFormat="false" ht="15" hidden="false" customHeight="false" outlineLevel="0" collapsed="false">
      <c r="A305" s="0" t="n">
        <v>305</v>
      </c>
      <c r="B305" s="0" t="n">
        <v>185445</v>
      </c>
      <c r="C305" s="0" t="n">
        <v>29743</v>
      </c>
      <c r="D305" s="0" t="n">
        <v>165388</v>
      </c>
      <c r="E305" s="0" t="n">
        <v>-0.01</v>
      </c>
      <c r="F305" s="0" t="n">
        <v>15742</v>
      </c>
      <c r="G305" s="0" t="n">
        <v>8.48877025533177</v>
      </c>
      <c r="H305" s="0" t="s">
        <v>462</v>
      </c>
      <c r="I305" s="0" t="n">
        <v>0.72650952534711</v>
      </c>
      <c r="J305" s="0" t="n">
        <v>27495</v>
      </c>
      <c r="K305" s="0" t="n">
        <v>20952</v>
      </c>
      <c r="L305" s="0" t="n">
        <v>130074</v>
      </c>
      <c r="M305" s="0" t="n">
        <v>129129</v>
      </c>
      <c r="N305" s="0" t="n">
        <v>81523</v>
      </c>
      <c r="O305" s="0" t="n">
        <v>624</v>
      </c>
      <c r="P305" s="0" t="s">
        <v>184</v>
      </c>
      <c r="Q305" s="0" t="n">
        <v>0.479726924673647</v>
      </c>
      <c r="R305" s="0" t="n">
        <v>2.39838700420097</v>
      </c>
      <c r="S305" s="0" t="n">
        <v>8</v>
      </c>
      <c r="T305" s="0" t="n">
        <v>575</v>
      </c>
      <c r="U305" s="0" t="n">
        <v>0</v>
      </c>
      <c r="V305" s="0" t="n">
        <v>17.6543434711346</v>
      </c>
      <c r="W305" s="0" t="n">
        <v>20230630</v>
      </c>
      <c r="X305" s="0" t="n">
        <v>0.593040868794168</v>
      </c>
      <c r="Y305" s="0" t="n">
        <v>7.03</v>
      </c>
      <c r="Z305" s="0" t="s">
        <v>105</v>
      </c>
    </row>
    <row r="306" customFormat="false" ht="15" hidden="false" customHeight="false" outlineLevel="0" collapsed="false">
      <c r="A306" s="0" t="n">
        <v>306</v>
      </c>
      <c r="B306" s="0" t="n">
        <v>552677</v>
      </c>
      <c r="C306" s="0" t="n">
        <v>29744</v>
      </c>
      <c r="D306" s="0" t="n">
        <v>410619</v>
      </c>
      <c r="E306" s="0" t="n">
        <v>0.01</v>
      </c>
      <c r="F306" s="0" t="n">
        <v>52781</v>
      </c>
      <c r="G306" s="0" t="n">
        <v>9.55006269484708</v>
      </c>
      <c r="H306" s="0" t="s">
        <v>463</v>
      </c>
      <c r="I306" s="0" t="n">
        <v>0.795638968330261</v>
      </c>
      <c r="J306" s="0" t="n">
        <v>24168</v>
      </c>
      <c r="K306" s="0" t="n">
        <v>8922</v>
      </c>
      <c r="L306" s="0" t="n">
        <v>417149</v>
      </c>
      <c r="M306" s="0" t="n">
        <v>413830</v>
      </c>
      <c r="N306" s="0" t="n">
        <v>384059</v>
      </c>
      <c r="O306" s="0" t="n">
        <v>3</v>
      </c>
      <c r="P306" s="0" t="s">
        <v>186</v>
      </c>
      <c r="Q306" s="0" t="n">
        <v>0.0007191674917115</v>
      </c>
      <c r="R306" s="0" t="n">
        <v>2.38092808099467</v>
      </c>
      <c r="S306" s="0" t="n">
        <v>2</v>
      </c>
      <c r="T306" s="0" t="n">
        <v>0</v>
      </c>
      <c r="U306" s="0" t="n">
        <v>0</v>
      </c>
      <c r="V306" s="0" t="n">
        <v>18.6877368552431</v>
      </c>
      <c r="W306" s="0" t="n">
        <v>20230630</v>
      </c>
      <c r="X306" s="0" t="n">
        <v>-0.0278310290339886</v>
      </c>
      <c r="Y306" s="0" t="n">
        <v>-0.31</v>
      </c>
      <c r="Z306" s="0" t="s">
        <v>123</v>
      </c>
    </row>
    <row r="307" customFormat="false" ht="15" hidden="false" customHeight="false" outlineLevel="0" collapsed="false">
      <c r="A307" s="0" t="n">
        <v>307</v>
      </c>
      <c r="B307" s="0" t="n">
        <v>551849</v>
      </c>
      <c r="C307" s="0" t="n">
        <v>30350</v>
      </c>
      <c r="D307" s="0" t="n">
        <v>438525</v>
      </c>
      <c r="E307" s="0" t="n">
        <v>0</v>
      </c>
      <c r="F307" s="0" t="n">
        <v>53168</v>
      </c>
      <c r="G307" s="0" t="n">
        <v>9.63451958778579</v>
      </c>
      <c r="H307" s="0" t="s">
        <v>464</v>
      </c>
      <c r="I307" s="0" t="n">
        <v>1.29282205233295</v>
      </c>
      <c r="J307" s="0" t="n">
        <v>17162</v>
      </c>
      <c r="K307" s="0" t="n">
        <v>1216</v>
      </c>
      <c r="L307" s="0" t="n">
        <v>396729</v>
      </c>
      <c r="M307" s="0" t="n">
        <v>391600</v>
      </c>
      <c r="N307" s="0" t="n">
        <v>376669</v>
      </c>
      <c r="O307" s="0" t="n">
        <v>1166</v>
      </c>
      <c r="P307" s="0" t="s">
        <v>188</v>
      </c>
      <c r="Q307" s="0" t="n">
        <v>0.293903395012716</v>
      </c>
      <c r="R307" s="0" t="n">
        <v>2.96883492457416</v>
      </c>
      <c r="S307" s="0" t="n">
        <v>-20</v>
      </c>
      <c r="T307" s="0" t="n">
        <v>486</v>
      </c>
      <c r="U307" s="0" t="n">
        <v>0</v>
      </c>
      <c r="V307" s="0" t="n">
        <v>21.5000066539797</v>
      </c>
      <c r="W307" s="0" t="n">
        <v>20230630</v>
      </c>
      <c r="X307" s="0" t="n">
        <v>0.679975874547648</v>
      </c>
      <c r="Y307" s="0" t="n">
        <v>7.16</v>
      </c>
      <c r="Z307" s="0" t="s">
        <v>112</v>
      </c>
    </row>
    <row r="308" customFormat="false" ht="15" hidden="false" customHeight="false" outlineLevel="0" collapsed="false">
      <c r="A308" s="0" t="n">
        <v>308</v>
      </c>
      <c r="B308" s="0" t="n">
        <v>102023</v>
      </c>
      <c r="C308" s="0" t="n">
        <v>30878</v>
      </c>
      <c r="D308" s="0" t="n">
        <v>73248</v>
      </c>
      <c r="E308" s="0" t="n">
        <v>-0.12</v>
      </c>
      <c r="F308" s="0" t="n">
        <v>12549</v>
      </c>
      <c r="G308" s="0" t="n">
        <v>12.3001676092646</v>
      </c>
      <c r="H308" s="0" t="s">
        <v>465</v>
      </c>
      <c r="I308" s="0" t="n">
        <v>0.824283193386785</v>
      </c>
      <c r="J308" s="0" t="n">
        <v>0</v>
      </c>
      <c r="K308" s="0" t="n">
        <v>178</v>
      </c>
      <c r="L308" s="0" t="n">
        <v>84437</v>
      </c>
      <c r="M308" s="0" t="n">
        <v>83741</v>
      </c>
      <c r="N308" s="0" t="n">
        <v>84259</v>
      </c>
      <c r="O308" s="0" t="n">
        <v>704</v>
      </c>
      <c r="P308" s="0" t="s">
        <v>190</v>
      </c>
      <c r="Q308" s="0" t="n">
        <v>0.833757712851001</v>
      </c>
      <c r="R308" s="0" t="n">
        <v>1.78418160806126</v>
      </c>
      <c r="S308" s="0" t="n">
        <v>0</v>
      </c>
      <c r="T308" s="0" t="n">
        <v>109</v>
      </c>
      <c r="U308" s="0" t="n">
        <v>0</v>
      </c>
      <c r="V308" s="0" t="n">
        <v>0</v>
      </c>
      <c r="W308" s="0" t="n">
        <v>20230630</v>
      </c>
      <c r="X308" s="0" t="n">
        <v>0.095722443982835</v>
      </c>
      <c r="Y308" s="0" t="n">
        <v>0.78</v>
      </c>
      <c r="Z308" s="0" t="s">
        <v>105</v>
      </c>
    </row>
    <row r="309" customFormat="false" ht="15" hidden="false" customHeight="false" outlineLevel="0" collapsed="false">
      <c r="A309" s="0" t="n">
        <v>309</v>
      </c>
      <c r="B309" s="0" t="n">
        <v>749197</v>
      </c>
      <c r="C309" s="0" t="n">
        <v>33418</v>
      </c>
      <c r="D309" s="0" t="n">
        <v>565840</v>
      </c>
      <c r="E309" s="0" t="n">
        <v>0.07</v>
      </c>
      <c r="F309" s="0" t="n">
        <v>68367</v>
      </c>
      <c r="G309" s="0" t="n">
        <v>9.12537022972596</v>
      </c>
      <c r="H309" s="0" t="s">
        <v>466</v>
      </c>
      <c r="I309" s="0" t="n">
        <v>0.836717678384121</v>
      </c>
      <c r="J309" s="0" t="n">
        <v>45951</v>
      </c>
      <c r="K309" s="0" t="n">
        <v>11428</v>
      </c>
      <c r="L309" s="0" t="n">
        <v>371810</v>
      </c>
      <c r="M309" s="0" t="n">
        <v>368699</v>
      </c>
      <c r="N309" s="0" t="n">
        <v>314793</v>
      </c>
      <c r="O309" s="0" t="n">
        <v>1120</v>
      </c>
      <c r="P309" s="0" t="s">
        <v>192</v>
      </c>
      <c r="Q309" s="0" t="n">
        <v>0.301229122401226</v>
      </c>
      <c r="R309" s="0" t="n">
        <v>2.80710680168781</v>
      </c>
      <c r="S309" s="0" t="n">
        <v>-24</v>
      </c>
      <c r="T309" s="0" t="n">
        <v>58</v>
      </c>
      <c r="U309" s="0" t="n">
        <v>0</v>
      </c>
      <c r="V309" s="0" t="n">
        <v>18.5404060518078</v>
      </c>
      <c r="W309" s="0" t="n">
        <v>20230630</v>
      </c>
      <c r="X309" s="0" t="n">
        <v>0.729624498215505</v>
      </c>
      <c r="Y309" s="0" t="n">
        <v>8.11</v>
      </c>
      <c r="Z309" s="0" t="s">
        <v>112</v>
      </c>
    </row>
    <row r="310" customFormat="false" ht="15" hidden="false" customHeight="false" outlineLevel="0" collapsed="false">
      <c r="A310" s="0" t="n">
        <v>310</v>
      </c>
      <c r="B310" s="0" t="n">
        <v>69697</v>
      </c>
      <c r="C310" s="0" t="n">
        <v>35206</v>
      </c>
      <c r="D310" s="0" t="n">
        <v>500</v>
      </c>
      <c r="E310" s="0" t="n">
        <v>0</v>
      </c>
      <c r="F310" s="0" t="n">
        <v>67177</v>
      </c>
      <c r="G310" s="0" t="n">
        <v>96.384349398109</v>
      </c>
      <c r="H310" s="0" t="s">
        <v>467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s">
        <v>252</v>
      </c>
      <c r="Q310" s="0" t="n">
        <v>0</v>
      </c>
      <c r="R310" s="0" t="n">
        <v>4.70983556889856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20230630</v>
      </c>
      <c r="X310" s="0" t="n">
        <v>19.5425080098353</v>
      </c>
      <c r="Y310" s="0" t="n">
        <v>20.51</v>
      </c>
      <c r="Z310" s="0" t="s">
        <v>123</v>
      </c>
    </row>
    <row r="311" customFormat="false" ht="15" hidden="false" customHeight="false" outlineLevel="0" collapsed="false">
      <c r="A311" s="0" t="n">
        <v>311</v>
      </c>
      <c r="B311" s="0" t="n">
        <v>5734437</v>
      </c>
      <c r="C311" s="0" t="n">
        <v>4255</v>
      </c>
      <c r="D311" s="0" t="n">
        <v>4731600</v>
      </c>
      <c r="E311" s="0" t="n">
        <v>0.01</v>
      </c>
      <c r="F311" s="0" t="n">
        <v>478695</v>
      </c>
      <c r="G311" s="0" t="n">
        <v>8.3477244583906</v>
      </c>
      <c r="H311" s="0" t="s">
        <v>468</v>
      </c>
      <c r="I311" s="0" t="n">
        <v>0.899355497964942</v>
      </c>
      <c r="J311" s="0" t="n">
        <v>346048</v>
      </c>
      <c r="K311" s="0" t="n">
        <v>19845</v>
      </c>
      <c r="L311" s="0" t="n">
        <v>4112167</v>
      </c>
      <c r="M311" s="0" t="n">
        <v>4075184</v>
      </c>
      <c r="N311" s="0" t="n">
        <v>3708024</v>
      </c>
      <c r="O311" s="0" t="n">
        <v>3048</v>
      </c>
      <c r="P311" s="0" t="s">
        <v>194</v>
      </c>
      <c r="Q311" s="0" t="n">
        <v>0.0741215033338869</v>
      </c>
      <c r="R311" s="0" t="n">
        <v>2.58787003447893</v>
      </c>
      <c r="S311" s="0" t="n">
        <v>683</v>
      </c>
      <c r="T311" s="0" t="n">
        <v>2251</v>
      </c>
      <c r="U311" s="0" t="n">
        <v>0</v>
      </c>
      <c r="V311" s="0" t="n">
        <v>13.2297972957237</v>
      </c>
      <c r="W311" s="0" t="n">
        <v>20230630</v>
      </c>
      <c r="X311" s="0" t="n">
        <v>0.927240843731989</v>
      </c>
      <c r="Y311" s="0" t="n">
        <v>11.21</v>
      </c>
      <c r="Z311" s="0" t="s">
        <v>105</v>
      </c>
    </row>
    <row r="312" customFormat="false" ht="15" hidden="false" customHeight="false" outlineLevel="0" collapsed="false">
      <c r="A312" s="0" t="n">
        <v>312</v>
      </c>
      <c r="B312" s="0" t="n">
        <v>2844637</v>
      </c>
      <c r="C312" s="0" t="n">
        <v>4256</v>
      </c>
      <c r="D312" s="0" t="n">
        <v>2500556</v>
      </c>
      <c r="E312" s="0" t="n">
        <v>0.05</v>
      </c>
      <c r="F312" s="0" t="n">
        <v>203536</v>
      </c>
      <c r="G312" s="0" t="n">
        <v>7.15507813474971</v>
      </c>
      <c r="H312" s="0" t="s">
        <v>469</v>
      </c>
      <c r="I312" s="0" t="n">
        <v>1.13855095191399</v>
      </c>
      <c r="J312" s="0" t="n">
        <v>306090</v>
      </c>
      <c r="K312" s="0" t="n">
        <v>20316</v>
      </c>
      <c r="L312" s="0" t="n">
        <v>2060953</v>
      </c>
      <c r="M312" s="0" t="n">
        <v>2037488</v>
      </c>
      <c r="N312" s="0" t="n">
        <v>1630531</v>
      </c>
      <c r="O312" s="0" t="n">
        <v>1676</v>
      </c>
      <c r="P312" s="0" t="s">
        <v>196</v>
      </c>
      <c r="Q312" s="0" t="n">
        <v>0.0967513572604518</v>
      </c>
      <c r="R312" s="0" t="n">
        <v>2.56137469947548</v>
      </c>
      <c r="S312" s="0" t="n">
        <v>48</v>
      </c>
      <c r="T312" s="0" t="n">
        <v>1949</v>
      </c>
      <c r="U312" s="0" t="n">
        <v>318</v>
      </c>
      <c r="V312" s="0" t="n">
        <v>13.625326178735</v>
      </c>
      <c r="W312" s="0" t="n">
        <v>20230630</v>
      </c>
      <c r="X312" s="0" t="n">
        <v>1.14263750716926</v>
      </c>
      <c r="Y312" s="0" t="n">
        <v>15.76</v>
      </c>
      <c r="Z312" s="0" t="s">
        <v>105</v>
      </c>
    </row>
    <row r="313" customFormat="false" ht="15" hidden="false" customHeight="false" outlineLevel="0" collapsed="false">
      <c r="A313" s="0" t="n">
        <v>313</v>
      </c>
      <c r="B313" s="0" t="n">
        <v>695227</v>
      </c>
      <c r="C313" s="0" t="n">
        <v>59086</v>
      </c>
      <c r="D313" s="0" t="n">
        <v>607749</v>
      </c>
      <c r="E313" s="0" t="n">
        <v>-0.05</v>
      </c>
      <c r="F313" s="0" t="n">
        <v>83914</v>
      </c>
      <c r="G313" s="0" t="n">
        <v>12.0700145420129</v>
      </c>
      <c r="H313" s="0" t="s">
        <v>470</v>
      </c>
      <c r="I313" s="0" t="n">
        <v>1.03426363246028</v>
      </c>
      <c r="J313" s="0" t="n">
        <v>116363</v>
      </c>
      <c r="K313" s="0" t="n">
        <v>0</v>
      </c>
      <c r="L313" s="0" t="n">
        <v>582250</v>
      </c>
      <c r="M313" s="0" t="n">
        <v>576228</v>
      </c>
      <c r="N313" s="0" t="n">
        <v>466335</v>
      </c>
      <c r="O313" s="0" t="n">
        <v>4947</v>
      </c>
      <c r="P313" s="0" t="s">
        <v>198</v>
      </c>
      <c r="Q313" s="0" t="n">
        <v>0.49480463718334</v>
      </c>
      <c r="R313" s="0" t="n">
        <v>4.13253602764002</v>
      </c>
      <c r="S313" s="0" t="n">
        <v>313</v>
      </c>
      <c r="T313" s="0" t="n">
        <v>1699</v>
      </c>
      <c r="U313" s="0" t="n">
        <v>45</v>
      </c>
      <c r="V313" s="0" t="n">
        <v>14.706791359989</v>
      </c>
      <c r="W313" s="0" t="n">
        <v>20230630</v>
      </c>
      <c r="X313" s="0" t="n">
        <v>1.69256858441187</v>
      </c>
      <c r="Y313" s="0" t="n">
        <v>14.36</v>
      </c>
      <c r="Z313" s="0" t="s">
        <v>123</v>
      </c>
    </row>
    <row r="314" customFormat="false" ht="15" hidden="false" customHeight="false" outlineLevel="0" collapsed="false">
      <c r="A314" s="0" t="n">
        <v>314</v>
      </c>
      <c r="B314" s="0" t="n">
        <v>202708</v>
      </c>
      <c r="C314" s="0" t="n">
        <v>59176</v>
      </c>
      <c r="D314" s="0" t="n">
        <v>173553</v>
      </c>
      <c r="E314" s="0" t="n">
        <v>0.2</v>
      </c>
      <c r="F314" s="0" t="n">
        <v>23273</v>
      </c>
      <c r="G314" s="0" t="n">
        <v>11.4810466286481</v>
      </c>
      <c r="H314" s="0" t="s">
        <v>471</v>
      </c>
      <c r="I314" s="0" t="n">
        <v>1.04495037945126</v>
      </c>
      <c r="J314" s="0" t="n">
        <v>19871</v>
      </c>
      <c r="K314" s="0" t="n">
        <v>6</v>
      </c>
      <c r="L314" s="0" t="n">
        <v>137040</v>
      </c>
      <c r="M314" s="0" t="n">
        <v>135608</v>
      </c>
      <c r="N314" s="0" t="n">
        <v>117163</v>
      </c>
      <c r="O314" s="0" t="n">
        <v>0</v>
      </c>
      <c r="P314" s="0" t="s">
        <v>200</v>
      </c>
      <c r="Q314" s="0" t="n">
        <v>0</v>
      </c>
      <c r="R314" s="0" t="n">
        <v>2.54666176438783</v>
      </c>
      <c r="S314" s="0" t="n">
        <v>34</v>
      </c>
      <c r="T314" s="0" t="n">
        <v>0</v>
      </c>
      <c r="U314" s="0" t="n">
        <v>0</v>
      </c>
      <c r="V314" s="0" t="n">
        <v>18.4854420018709</v>
      </c>
      <c r="W314" s="0" t="n">
        <v>20230630</v>
      </c>
      <c r="X314" s="0" t="n">
        <v>-0.113478158081378</v>
      </c>
      <c r="Y314" s="0" t="n">
        <v>-0.93</v>
      </c>
      <c r="Z314" s="0" t="s">
        <v>123</v>
      </c>
    </row>
    <row r="315" customFormat="false" ht="15" hidden="false" customHeight="false" outlineLevel="0" collapsed="false">
      <c r="A315" s="0" t="n">
        <v>315</v>
      </c>
      <c r="B315" s="0" t="n">
        <v>50390</v>
      </c>
      <c r="C315" s="0" t="n">
        <v>59289</v>
      </c>
      <c r="D315" s="0" t="n">
        <v>29218</v>
      </c>
      <c r="E315" s="0" t="n">
        <v>0.79</v>
      </c>
      <c r="F315" s="0" t="n">
        <v>20357</v>
      </c>
      <c r="G315" s="0" t="n">
        <v>40.3988886683866</v>
      </c>
      <c r="H315" s="0" t="s">
        <v>472</v>
      </c>
      <c r="I315" s="0" t="n">
        <v>1.17992402440428</v>
      </c>
      <c r="J315" s="0" t="n">
        <v>8750</v>
      </c>
      <c r="K315" s="0" t="n">
        <v>0</v>
      </c>
      <c r="L315" s="0" t="n">
        <v>17374</v>
      </c>
      <c r="M315" s="0" t="n">
        <v>17169</v>
      </c>
      <c r="N315" s="0" t="n">
        <v>7760</v>
      </c>
      <c r="O315" s="0" t="n">
        <v>0</v>
      </c>
      <c r="P315" s="0" t="s">
        <v>364</v>
      </c>
      <c r="Q315" s="0" t="n">
        <v>0</v>
      </c>
      <c r="R315" s="0" t="n">
        <v>4.45994655954665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20230630</v>
      </c>
      <c r="X315" s="0" t="n">
        <v>-5.7705051740837</v>
      </c>
      <c r="Y315" s="0" t="n">
        <v>-10.83</v>
      </c>
      <c r="Z315" s="0" t="s">
        <v>123</v>
      </c>
    </row>
    <row r="316" customFormat="false" ht="15" hidden="false" customHeight="false" outlineLevel="0" collapsed="false">
      <c r="A316" s="0" t="n">
        <v>316</v>
      </c>
      <c r="B316" s="0" t="n">
        <v>125919</v>
      </c>
      <c r="C316" s="0" t="n">
        <v>59298</v>
      </c>
      <c r="D316" s="0" t="n">
        <v>96751</v>
      </c>
      <c r="E316" s="0" t="n">
        <v>0.24</v>
      </c>
      <c r="F316" s="0" t="n">
        <v>28131</v>
      </c>
      <c r="G316" s="0" t="n">
        <v>22.3405522597861</v>
      </c>
      <c r="H316" s="0" t="s">
        <v>473</v>
      </c>
      <c r="I316" s="0" t="n">
        <v>0.769113449680807</v>
      </c>
      <c r="J316" s="0" t="n">
        <v>10224</v>
      </c>
      <c r="K316" s="0" t="n">
        <v>0</v>
      </c>
      <c r="L316" s="0" t="n">
        <v>45897</v>
      </c>
      <c r="M316" s="0" t="n">
        <v>45544</v>
      </c>
      <c r="N316" s="0" t="n">
        <v>35680</v>
      </c>
      <c r="O316" s="0" t="n">
        <v>0</v>
      </c>
      <c r="P316" s="0" t="s">
        <v>310</v>
      </c>
      <c r="Q316" s="0" t="n">
        <v>0</v>
      </c>
      <c r="R316" s="0" t="n">
        <v>2.64668436492276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20230630</v>
      </c>
      <c r="X316" s="0" t="n">
        <v>-2.72523029900818</v>
      </c>
      <c r="Y316" s="0" t="n">
        <v>-10.35</v>
      </c>
      <c r="Z316" s="0" t="s">
        <v>112</v>
      </c>
    </row>
    <row r="317" customFormat="false" ht="15" hidden="false" customHeight="false" outlineLevel="0" collapsed="false">
      <c r="A317" s="0" t="n">
        <v>317</v>
      </c>
      <c r="B317" s="0" t="n">
        <v>1031317</v>
      </c>
      <c r="C317" s="0" t="n">
        <v>6271</v>
      </c>
      <c r="D317" s="0" t="n">
        <v>852686</v>
      </c>
      <c r="E317" s="0" t="n">
        <v>0.11</v>
      </c>
      <c r="F317" s="0" t="n">
        <v>92265</v>
      </c>
      <c r="G317" s="0" t="n">
        <v>8.94632785069964</v>
      </c>
      <c r="H317" s="0" t="s">
        <v>474</v>
      </c>
      <c r="I317" s="0" t="n">
        <v>1.18300995256969</v>
      </c>
      <c r="J317" s="0" t="n">
        <v>125407</v>
      </c>
      <c r="K317" s="0" t="n">
        <v>3526</v>
      </c>
      <c r="L317" s="0" t="n">
        <v>782411</v>
      </c>
      <c r="M317" s="0" t="n">
        <v>773155</v>
      </c>
      <c r="N317" s="0" t="n">
        <v>618469</v>
      </c>
      <c r="O317" s="0" t="n">
        <v>7745</v>
      </c>
      <c r="P317" s="0" t="s">
        <v>202</v>
      </c>
      <c r="Q317" s="0" t="n">
        <v>1.03475027830641</v>
      </c>
      <c r="R317" s="0" t="n">
        <v>3.53794135103339</v>
      </c>
      <c r="S317" s="0" t="n">
        <v>283</v>
      </c>
      <c r="T317" s="0" t="n">
        <v>1900</v>
      </c>
      <c r="U317" s="0" t="n">
        <v>351</v>
      </c>
      <c r="V317" s="0" t="n">
        <v>14.8339396306876</v>
      </c>
      <c r="W317" s="0" t="n">
        <v>20230630</v>
      </c>
      <c r="X317" s="0" t="n">
        <v>1.36947361058618</v>
      </c>
      <c r="Y317" s="0" t="n">
        <v>15.74</v>
      </c>
      <c r="Z317" s="0" t="s">
        <v>112</v>
      </c>
    </row>
    <row r="318" customFormat="false" ht="15" hidden="false" customHeight="false" outlineLevel="0" collapsed="false">
      <c r="A318" s="0" t="n">
        <v>318</v>
      </c>
      <c r="B318" s="0" t="n">
        <v>549189</v>
      </c>
      <c r="C318" s="0" t="n">
        <v>6275</v>
      </c>
      <c r="D318" s="0" t="n">
        <v>469803</v>
      </c>
      <c r="E318" s="0" t="n">
        <v>0</v>
      </c>
      <c r="F318" s="0" t="n">
        <v>27287</v>
      </c>
      <c r="G318" s="0" t="n">
        <v>4.96859915256861</v>
      </c>
      <c r="H318" s="0" t="s">
        <v>475</v>
      </c>
      <c r="I318" s="0" t="n">
        <v>0.410419174783846</v>
      </c>
      <c r="J318" s="0" t="n">
        <v>34100</v>
      </c>
      <c r="K318" s="0" t="n">
        <v>13676</v>
      </c>
      <c r="L318" s="0" t="n">
        <v>328932</v>
      </c>
      <c r="M318" s="0" t="n">
        <v>327582</v>
      </c>
      <c r="N318" s="0" t="n">
        <v>269836</v>
      </c>
      <c r="O318" s="0" t="n">
        <v>1335</v>
      </c>
      <c r="P318" s="0" t="s">
        <v>204</v>
      </c>
      <c r="Q318" s="0" t="n">
        <v>0.452069120669318</v>
      </c>
      <c r="R318" s="0" t="n">
        <v>2.97239376778099</v>
      </c>
      <c r="S318" s="0" t="n">
        <v>0</v>
      </c>
      <c r="T318" s="0" t="n">
        <v>246</v>
      </c>
      <c r="U318" s="0" t="n">
        <v>152</v>
      </c>
      <c r="V318" s="0" t="n">
        <v>15.0712824477511</v>
      </c>
      <c r="W318" s="0" t="n">
        <v>20230630</v>
      </c>
      <c r="X318" s="0" t="n">
        <v>0.480035530771746</v>
      </c>
      <c r="Y318" s="0" t="n">
        <v>9.65</v>
      </c>
      <c r="Z318" s="0" t="s">
        <v>112</v>
      </c>
    </row>
    <row r="319" customFormat="false" ht="15" hidden="false" customHeight="false" outlineLevel="0" collapsed="false">
      <c r="A319" s="0" t="n">
        <v>319</v>
      </c>
      <c r="B319" s="0" t="n">
        <v>83293</v>
      </c>
      <c r="C319" s="0" t="n">
        <v>6280</v>
      </c>
      <c r="D319" s="0" t="n">
        <v>73688</v>
      </c>
      <c r="E319" s="0" t="n">
        <v>0.06</v>
      </c>
      <c r="F319" s="0" t="n">
        <v>9047</v>
      </c>
      <c r="G319" s="0" t="n">
        <v>10.8616570420083</v>
      </c>
      <c r="H319" s="0" t="s">
        <v>476</v>
      </c>
      <c r="I319" s="0" t="n">
        <v>1.29200941867221</v>
      </c>
      <c r="J319" s="0" t="n">
        <v>3640</v>
      </c>
      <c r="K319" s="0" t="n">
        <v>1707</v>
      </c>
      <c r="L319" s="0" t="n">
        <v>65402</v>
      </c>
      <c r="M319" s="0" t="n">
        <v>64557</v>
      </c>
      <c r="N319" s="0" t="n">
        <v>57427</v>
      </c>
      <c r="O319" s="0" t="n">
        <v>711</v>
      </c>
      <c r="P319" s="0" t="s">
        <v>206</v>
      </c>
      <c r="Q319" s="0" t="n">
        <v>1.0871227179597</v>
      </c>
      <c r="R319" s="0" t="n">
        <v>5.0004375382846</v>
      </c>
      <c r="S319" s="0" t="n">
        <v>9</v>
      </c>
      <c r="T319" s="0" t="n">
        <v>316</v>
      </c>
      <c r="U319" s="0" t="n">
        <v>0</v>
      </c>
      <c r="V319" s="0" t="n">
        <v>0</v>
      </c>
      <c r="W319" s="0" t="n">
        <v>20230630</v>
      </c>
      <c r="X319" s="0" t="n">
        <v>1.943744168966</v>
      </c>
      <c r="Y319" s="0" t="n">
        <v>18.36</v>
      </c>
      <c r="Z319" s="0" t="s">
        <v>112</v>
      </c>
    </row>
    <row r="320" customFormat="false" ht="15" hidden="false" customHeight="false" outlineLevel="0" collapsed="false">
      <c r="A320" s="0" t="n">
        <v>320</v>
      </c>
      <c r="B320" s="0" t="n">
        <v>3980815</v>
      </c>
      <c r="C320" s="0" t="n">
        <v>11971</v>
      </c>
      <c r="D320" s="0" t="n">
        <v>3148381</v>
      </c>
      <c r="E320" s="0" t="n">
        <v>0.07</v>
      </c>
      <c r="F320" s="0" t="n">
        <v>456209</v>
      </c>
      <c r="G320" s="0" t="n">
        <v>11.4601909407998</v>
      </c>
      <c r="H320" s="0" t="s">
        <v>477</v>
      </c>
      <c r="I320" s="0" t="n">
        <v>0.935319037253486</v>
      </c>
      <c r="J320" s="0" t="n">
        <v>203469</v>
      </c>
      <c r="K320" s="0" t="n">
        <v>7845</v>
      </c>
      <c r="L320" s="0" t="n">
        <v>2994807</v>
      </c>
      <c r="M320" s="0" t="n">
        <v>2966796</v>
      </c>
      <c r="N320" s="0" t="n">
        <v>2636437</v>
      </c>
      <c r="O320" s="0" t="n">
        <v>6769</v>
      </c>
      <c r="P320" s="0" t="s">
        <v>104</v>
      </c>
      <c r="Q320" s="0" t="n">
        <v>0.258046678801005</v>
      </c>
      <c r="R320" s="0" t="n">
        <v>3.44709104963489</v>
      </c>
      <c r="S320" s="0" t="n">
        <v>70</v>
      </c>
      <c r="T320" s="0" t="n">
        <v>2914</v>
      </c>
      <c r="U320" s="0" t="n">
        <v>959</v>
      </c>
      <c r="V320" s="0" t="n">
        <v>13.601622045909</v>
      </c>
      <c r="W320" s="0" t="n">
        <v>20230930</v>
      </c>
      <c r="X320" s="0" t="n">
        <v>1.3228625688724</v>
      </c>
      <c r="Y320" s="0" t="n">
        <v>11.46</v>
      </c>
      <c r="Z320" s="0" t="s">
        <v>105</v>
      </c>
    </row>
    <row r="321" customFormat="false" ht="15" hidden="false" customHeight="false" outlineLevel="0" collapsed="false">
      <c r="A321" s="0" t="n">
        <v>321</v>
      </c>
      <c r="B321" s="0" t="n">
        <v>1015573</v>
      </c>
      <c r="C321" s="0" t="n">
        <v>12874</v>
      </c>
      <c r="D321" s="0" t="n">
        <v>892145</v>
      </c>
      <c r="E321" s="0" t="n">
        <v>-0.03</v>
      </c>
      <c r="F321" s="0" t="n">
        <v>100287</v>
      </c>
      <c r="G321" s="0" t="n">
        <v>9.87491790348897</v>
      </c>
      <c r="H321" s="0" t="s">
        <v>478</v>
      </c>
      <c r="I321" s="0" t="n">
        <v>0.968286623954454</v>
      </c>
      <c r="J321" s="0" t="n">
        <v>141382</v>
      </c>
      <c r="K321" s="0" t="n">
        <v>5445</v>
      </c>
      <c r="L321" s="0" t="n">
        <v>791811</v>
      </c>
      <c r="M321" s="0" t="n">
        <v>784144</v>
      </c>
      <c r="N321" s="0" t="n">
        <v>624999</v>
      </c>
      <c r="O321" s="0" t="n">
        <v>415</v>
      </c>
      <c r="P321" s="0" t="s">
        <v>107</v>
      </c>
      <c r="Q321" s="0" t="n">
        <v>0.0524114971880916</v>
      </c>
      <c r="R321" s="0" t="n">
        <v>3.89276399528267</v>
      </c>
      <c r="S321" s="0" t="n">
        <v>34</v>
      </c>
      <c r="T321" s="0" t="n">
        <v>1582</v>
      </c>
      <c r="U321" s="0" t="n">
        <v>0</v>
      </c>
      <c r="V321" s="0" t="n">
        <v>15.5130608673916</v>
      </c>
      <c r="W321" s="0" t="n">
        <v>20230930</v>
      </c>
      <c r="X321" s="0" t="n">
        <v>1.10517821444244</v>
      </c>
      <c r="Y321" s="0" t="n">
        <v>11.01</v>
      </c>
      <c r="Z321" s="0" t="s">
        <v>105</v>
      </c>
    </row>
    <row r="322" customFormat="false" ht="15" hidden="false" customHeight="false" outlineLevel="0" collapsed="false">
      <c r="A322" s="0" t="n">
        <v>322</v>
      </c>
      <c r="B322" s="0" t="n">
        <v>1813189</v>
      </c>
      <c r="C322" s="0" t="n">
        <v>13063</v>
      </c>
      <c r="D322" s="0" t="n">
        <v>1662459</v>
      </c>
      <c r="E322" s="0" t="n">
        <v>0.14</v>
      </c>
      <c r="F322" s="0" t="n">
        <v>130802</v>
      </c>
      <c r="G322" s="0" t="n">
        <v>7.21391978442402</v>
      </c>
      <c r="H322" s="0" t="s">
        <v>479</v>
      </c>
      <c r="I322" s="0" t="n">
        <v>1.18844354822092</v>
      </c>
      <c r="J322" s="0" t="n">
        <v>54104</v>
      </c>
      <c r="K322" s="0" t="n">
        <v>893</v>
      </c>
      <c r="L322" s="0" t="n">
        <v>1407387</v>
      </c>
      <c r="M322" s="0" t="n">
        <v>1390661</v>
      </c>
      <c r="N322" s="0" t="n">
        <v>1342676</v>
      </c>
      <c r="O322" s="0" t="n">
        <v>592</v>
      </c>
      <c r="P322" s="0" t="s">
        <v>109</v>
      </c>
      <c r="Q322" s="0" t="n">
        <v>0.0918013311193012</v>
      </c>
      <c r="R322" s="0" t="n">
        <v>3.19853630126845</v>
      </c>
      <c r="S322" s="0" t="n">
        <v>66</v>
      </c>
      <c r="T322" s="0" t="n">
        <v>398</v>
      </c>
      <c r="U322" s="0" t="n">
        <v>700</v>
      </c>
      <c r="V322" s="0" t="n">
        <v>0</v>
      </c>
      <c r="W322" s="0" t="n">
        <v>20230930</v>
      </c>
      <c r="X322" s="0" t="n">
        <v>0.205095820826914</v>
      </c>
      <c r="Y322" s="0" t="n">
        <v>2.76</v>
      </c>
      <c r="Z322" s="0" t="s">
        <v>105</v>
      </c>
    </row>
    <row r="323" customFormat="false" ht="15" hidden="false" customHeight="false" outlineLevel="0" collapsed="false">
      <c r="A323" s="0" t="n">
        <v>323</v>
      </c>
      <c r="B323" s="0" t="n">
        <v>862974</v>
      </c>
      <c r="C323" s="0" t="n">
        <v>14134</v>
      </c>
      <c r="D323" s="0" t="n">
        <v>683848</v>
      </c>
      <c r="E323" s="0" t="n">
        <v>0.11</v>
      </c>
      <c r="F323" s="0" t="n">
        <v>97790</v>
      </c>
      <c r="G323" s="0" t="n">
        <v>11.3317434824224</v>
      </c>
      <c r="H323" s="0" t="s">
        <v>480</v>
      </c>
      <c r="I323" s="0" t="n">
        <v>1.11332502357968</v>
      </c>
      <c r="J323" s="0" t="n">
        <v>26362</v>
      </c>
      <c r="K323" s="0" t="n">
        <v>28791</v>
      </c>
      <c r="L323" s="0" t="n">
        <v>659466</v>
      </c>
      <c r="M323" s="0" t="n">
        <v>652124</v>
      </c>
      <c r="N323" s="0" t="n">
        <v>579506</v>
      </c>
      <c r="O323" s="0" t="n">
        <v>12208</v>
      </c>
      <c r="P323" s="0" t="s">
        <v>111</v>
      </c>
      <c r="Q323" s="0" t="n">
        <v>1.85119475454383</v>
      </c>
      <c r="R323" s="0" t="n">
        <v>3.23068828096064</v>
      </c>
      <c r="S323" s="0" t="n">
        <v>528</v>
      </c>
      <c r="T323" s="0" t="n">
        <v>7041</v>
      </c>
      <c r="U323" s="0" t="n">
        <v>0</v>
      </c>
      <c r="V323" s="0" t="n">
        <v>19.4095803936131</v>
      </c>
      <c r="W323" s="0" t="n">
        <v>20230930</v>
      </c>
      <c r="X323" s="0" t="n">
        <v>0.466681754214042</v>
      </c>
      <c r="Y323" s="0" t="n">
        <v>3.99</v>
      </c>
      <c r="Z323" s="0" t="s">
        <v>112</v>
      </c>
    </row>
    <row r="324" customFormat="false" ht="15" hidden="false" customHeight="false" outlineLevel="0" collapsed="false">
      <c r="A324" s="0" t="n">
        <v>324</v>
      </c>
      <c r="B324" s="0" t="n">
        <v>226042</v>
      </c>
      <c r="C324" s="0" t="n">
        <v>14136</v>
      </c>
      <c r="D324" s="0" t="n">
        <v>193047</v>
      </c>
      <c r="E324" s="0" t="n">
        <v>0.05</v>
      </c>
      <c r="F324" s="0" t="n">
        <v>14702</v>
      </c>
      <c r="G324" s="0" t="n">
        <v>6.50410100777732</v>
      </c>
      <c r="H324" s="0" t="s">
        <v>481</v>
      </c>
      <c r="I324" s="0" t="n">
        <v>1.29442558586561</v>
      </c>
      <c r="J324" s="0" t="n">
        <v>14059</v>
      </c>
      <c r="K324" s="0" t="n">
        <v>14729</v>
      </c>
      <c r="L324" s="0" t="n">
        <v>146706</v>
      </c>
      <c r="M324" s="0" t="n">
        <v>144807</v>
      </c>
      <c r="N324" s="0" t="n">
        <v>117617</v>
      </c>
      <c r="O324" s="0" t="n">
        <v>83</v>
      </c>
      <c r="P324" s="0" t="s">
        <v>114</v>
      </c>
      <c r="Q324" s="0" t="n">
        <v>0.556896105135441</v>
      </c>
      <c r="R324" s="0" t="n">
        <v>4.07799974023827</v>
      </c>
      <c r="S324" s="0" t="n">
        <v>74</v>
      </c>
      <c r="T324" s="0" t="n">
        <v>546</v>
      </c>
      <c r="U324" s="0" t="n">
        <v>734</v>
      </c>
      <c r="V324" s="0" t="n">
        <v>17.6797625377766</v>
      </c>
      <c r="W324" s="0" t="n">
        <v>20230930</v>
      </c>
      <c r="X324" s="0" t="n">
        <v>0.657509532403573</v>
      </c>
      <c r="Y324" s="0" t="n">
        <v>9.82</v>
      </c>
      <c r="Z324" s="0" t="s">
        <v>112</v>
      </c>
    </row>
    <row r="325" customFormat="false" ht="15" hidden="false" customHeight="false" outlineLevel="0" collapsed="false">
      <c r="A325" s="0" t="n">
        <v>325</v>
      </c>
      <c r="B325" s="0" t="n">
        <v>1446742</v>
      </c>
      <c r="C325" s="0" t="n">
        <v>14140</v>
      </c>
      <c r="D325" s="0" t="n">
        <v>1144937</v>
      </c>
      <c r="E325" s="0" t="n">
        <v>0.04</v>
      </c>
      <c r="F325" s="0" t="n">
        <v>114596</v>
      </c>
      <c r="G325" s="0" t="n">
        <v>7.92097001400388</v>
      </c>
      <c r="H325" s="0" t="s">
        <v>482</v>
      </c>
      <c r="I325" s="0" t="n">
        <v>0.8135127562536</v>
      </c>
      <c r="J325" s="0" t="n">
        <v>85696</v>
      </c>
      <c r="K325" s="0" t="n">
        <v>1520</v>
      </c>
      <c r="L325" s="0" t="n">
        <v>1027888</v>
      </c>
      <c r="M325" s="0" t="n">
        <v>1019526</v>
      </c>
      <c r="N325" s="0" t="n">
        <v>915552</v>
      </c>
      <c r="O325" s="0" t="n">
        <v>4596</v>
      </c>
      <c r="P325" s="0" t="s">
        <v>116</v>
      </c>
      <c r="Q325" s="0" t="n">
        <v>0.44713042666127</v>
      </c>
      <c r="R325" s="0" t="n">
        <v>2.6996394553038</v>
      </c>
      <c r="S325" s="0" t="n">
        <v>38</v>
      </c>
      <c r="T325" s="0" t="n">
        <v>265</v>
      </c>
      <c r="U325" s="0" t="n">
        <v>0</v>
      </c>
      <c r="V325" s="0" t="n">
        <v>0</v>
      </c>
      <c r="W325" s="0" t="n">
        <v>20230930</v>
      </c>
      <c r="X325" s="0" t="n">
        <v>0.282590331859959</v>
      </c>
      <c r="Y325" s="0" t="n">
        <v>3.45</v>
      </c>
      <c r="Z325" s="0" t="s">
        <v>112</v>
      </c>
    </row>
    <row r="326" customFormat="false" ht="15" hidden="false" customHeight="false" outlineLevel="0" collapsed="false">
      <c r="A326" s="0" t="n">
        <v>326</v>
      </c>
      <c r="B326" s="0" t="n">
        <v>1395141</v>
      </c>
      <c r="C326" s="0" t="n">
        <v>14158</v>
      </c>
      <c r="D326" s="0" t="n">
        <v>1225741</v>
      </c>
      <c r="E326" s="0" t="n">
        <v>-0.02</v>
      </c>
      <c r="F326" s="0" t="n">
        <v>65297</v>
      </c>
      <c r="G326" s="0" t="n">
        <v>4.68031546632204</v>
      </c>
      <c r="H326" s="0" t="s">
        <v>483</v>
      </c>
      <c r="I326" s="0" t="n">
        <v>0.669589748818871</v>
      </c>
      <c r="J326" s="0" t="n">
        <v>41125</v>
      </c>
      <c r="K326" s="0" t="n">
        <v>2184</v>
      </c>
      <c r="L326" s="0" t="n">
        <v>1029735</v>
      </c>
      <c r="M326" s="0" t="n">
        <v>1022840</v>
      </c>
      <c r="N326" s="0" t="n">
        <v>900510</v>
      </c>
      <c r="O326" s="0" t="n">
        <v>1882</v>
      </c>
      <c r="P326" s="0" t="s">
        <v>118</v>
      </c>
      <c r="Q326" s="0" t="n">
        <v>0.206557997931507</v>
      </c>
      <c r="R326" s="0" t="n">
        <v>3.07647902159446</v>
      </c>
      <c r="S326" s="0" t="n">
        <v>4</v>
      </c>
      <c r="T326" s="0" t="n">
        <v>150</v>
      </c>
      <c r="U326" s="0" t="n">
        <v>245</v>
      </c>
      <c r="V326" s="0" t="n">
        <v>13.1807756858742</v>
      </c>
      <c r="W326" s="0" t="n">
        <v>20230930</v>
      </c>
      <c r="X326" s="0" t="n">
        <v>0.872949562021764</v>
      </c>
      <c r="Y326" s="0" t="n">
        <v>16.43</v>
      </c>
      <c r="Z326" s="0" t="s">
        <v>112</v>
      </c>
    </row>
    <row r="327" customFormat="false" ht="15" hidden="false" customHeight="false" outlineLevel="0" collapsed="false">
      <c r="A327" s="0" t="n">
        <v>327</v>
      </c>
      <c r="B327" s="0" t="n">
        <v>359023</v>
      </c>
      <c r="C327" s="0" t="n">
        <v>14168</v>
      </c>
      <c r="D327" s="0" t="n">
        <v>322770</v>
      </c>
      <c r="E327" s="0" t="n">
        <v>0.18</v>
      </c>
      <c r="F327" s="0" t="n">
        <v>31301</v>
      </c>
      <c r="G327" s="0" t="n">
        <v>8.71838294482526</v>
      </c>
      <c r="H327" s="0" t="s">
        <v>484</v>
      </c>
      <c r="I327" s="0" t="n">
        <v>1.59384290323003</v>
      </c>
      <c r="J327" s="0" t="n">
        <v>11392</v>
      </c>
      <c r="K327" s="0" t="n">
        <v>9903</v>
      </c>
      <c r="L327" s="0" t="n">
        <v>229069</v>
      </c>
      <c r="M327" s="0" t="n">
        <v>225418</v>
      </c>
      <c r="N327" s="0" t="n">
        <v>191581</v>
      </c>
      <c r="O327" s="0" t="n">
        <v>1133</v>
      </c>
      <c r="P327" s="0" t="s">
        <v>120</v>
      </c>
      <c r="Q327" s="0" t="n">
        <v>0.494610794127534</v>
      </c>
      <c r="R327" s="0" t="n">
        <v>3.93880269357462</v>
      </c>
      <c r="S327" s="0" t="n">
        <v>-11</v>
      </c>
      <c r="T327" s="0" t="n">
        <v>363</v>
      </c>
      <c r="U327" s="0" t="n">
        <v>0</v>
      </c>
      <c r="V327" s="0" t="n">
        <v>16.9790621609938</v>
      </c>
      <c r="W327" s="0" t="n">
        <v>20230930</v>
      </c>
      <c r="X327" s="0" t="n">
        <v>0.847124283777966</v>
      </c>
      <c r="Y327" s="0" t="n">
        <v>9.42</v>
      </c>
      <c r="Z327" s="0" t="s">
        <v>112</v>
      </c>
    </row>
    <row r="328" customFormat="false" ht="15" hidden="false" customHeight="false" outlineLevel="0" collapsed="false">
      <c r="A328" s="0" t="n">
        <v>328</v>
      </c>
      <c r="B328" s="0" t="n">
        <v>1352605</v>
      </c>
      <c r="C328" s="0" t="n">
        <v>14240</v>
      </c>
      <c r="D328" s="0" t="n">
        <v>1054870</v>
      </c>
      <c r="E328" s="0" t="n">
        <v>0</v>
      </c>
      <c r="F328" s="0" t="n">
        <v>75740</v>
      </c>
      <c r="G328" s="0" t="n">
        <v>5.5995652832867</v>
      </c>
      <c r="H328" s="0" t="s">
        <v>485</v>
      </c>
      <c r="I328" s="0" t="n">
        <v>1.14987211007012</v>
      </c>
      <c r="J328" s="0" t="n">
        <v>26965</v>
      </c>
      <c r="K328" s="0" t="n">
        <v>17762</v>
      </c>
      <c r="L328" s="0" t="n">
        <v>967238</v>
      </c>
      <c r="M328" s="0" t="n">
        <v>956116</v>
      </c>
      <c r="N328" s="0" t="n">
        <v>823267</v>
      </c>
      <c r="O328" s="0" t="n">
        <v>2967</v>
      </c>
      <c r="P328" s="0" t="s">
        <v>122</v>
      </c>
      <c r="Q328" s="0" t="n">
        <v>0.306749734811908</v>
      </c>
      <c r="R328" s="0" t="n">
        <v>2.85113070307758</v>
      </c>
      <c r="S328" s="0" t="n">
        <v>-4</v>
      </c>
      <c r="T328" s="0" t="n">
        <v>236</v>
      </c>
      <c r="U328" s="0" t="n">
        <v>0</v>
      </c>
      <c r="V328" s="0" t="n">
        <v>15.1569679287591</v>
      </c>
      <c r="W328" s="0" t="n">
        <v>20230930</v>
      </c>
      <c r="X328" s="0" t="n">
        <v>0.527762579725944</v>
      </c>
      <c r="Y328" s="0" t="n">
        <v>8.68</v>
      </c>
      <c r="Z328" s="0" t="s">
        <v>123</v>
      </c>
    </row>
    <row r="329" customFormat="false" ht="15" hidden="false" customHeight="false" outlineLevel="0" collapsed="false">
      <c r="A329" s="0" t="n">
        <v>329</v>
      </c>
      <c r="B329" s="0" t="n">
        <v>1080866</v>
      </c>
      <c r="C329" s="0" t="n">
        <v>17115</v>
      </c>
      <c r="D329" s="0" t="n">
        <v>797533</v>
      </c>
      <c r="E329" s="0" t="n">
        <v>0.06</v>
      </c>
      <c r="F329" s="0" t="n">
        <v>79915</v>
      </c>
      <c r="G329" s="0" t="n">
        <v>7.3936084584028</v>
      </c>
      <c r="H329" s="0" t="s">
        <v>486</v>
      </c>
      <c r="I329" s="0" t="n">
        <v>1.05623660784378</v>
      </c>
      <c r="J329" s="0" t="n">
        <v>44197</v>
      </c>
      <c r="K329" s="0" t="n">
        <v>5743</v>
      </c>
      <c r="L329" s="0" t="n">
        <v>885313</v>
      </c>
      <c r="M329" s="0" t="n">
        <v>875962</v>
      </c>
      <c r="N329" s="0" t="n">
        <v>833728</v>
      </c>
      <c r="O329" s="0" t="n">
        <v>244</v>
      </c>
      <c r="P329" s="0" t="s">
        <v>125</v>
      </c>
      <c r="Q329" s="0" t="n">
        <v>0.0275608739507948</v>
      </c>
      <c r="R329" s="0" t="n">
        <v>2.94787495581982</v>
      </c>
      <c r="S329" s="0" t="n">
        <v>-71</v>
      </c>
      <c r="T329" s="0" t="n">
        <v>1158</v>
      </c>
      <c r="U329" s="0" t="n">
        <v>0</v>
      </c>
      <c r="V329" s="0" t="n">
        <v>13.5669711163055</v>
      </c>
      <c r="W329" s="0" t="n">
        <v>20230930</v>
      </c>
      <c r="X329" s="0" t="n">
        <v>0.498638540922278</v>
      </c>
      <c r="Y329" s="0" t="n">
        <v>6.49</v>
      </c>
      <c r="Z329" s="0" t="s">
        <v>105</v>
      </c>
    </row>
    <row r="330" customFormat="false" ht="15" hidden="false" customHeight="false" outlineLevel="0" collapsed="false">
      <c r="A330" s="0" t="n">
        <v>330</v>
      </c>
      <c r="B330" s="0" t="n">
        <v>1618725</v>
      </c>
      <c r="C330" s="0" t="n">
        <v>17180</v>
      </c>
      <c r="D330" s="0" t="n">
        <v>1198681</v>
      </c>
      <c r="E330" s="0" t="n">
        <v>0.12</v>
      </c>
      <c r="F330" s="0" t="n">
        <v>130715</v>
      </c>
      <c r="G330" s="0" t="n">
        <v>8.07518262830314</v>
      </c>
      <c r="H330" s="0" t="s">
        <v>487</v>
      </c>
      <c r="I330" s="0" t="n">
        <v>0.965928748509822</v>
      </c>
      <c r="J330" s="0" t="n">
        <v>53778</v>
      </c>
      <c r="K330" s="0" t="n">
        <v>195410</v>
      </c>
      <c r="L330" s="0" t="n">
        <v>1465429</v>
      </c>
      <c r="M330" s="0" t="n">
        <v>1451274</v>
      </c>
      <c r="N330" s="0" t="n">
        <v>1192665</v>
      </c>
      <c r="O330" s="0" t="n">
        <v>5236</v>
      </c>
      <c r="P330" s="0" t="s">
        <v>127</v>
      </c>
      <c r="Q330" s="0" t="n">
        <v>0.357301513754675</v>
      </c>
      <c r="R330" s="0" t="n">
        <v>2.89756095197028</v>
      </c>
      <c r="S330" s="0" t="n">
        <v>234</v>
      </c>
      <c r="T330" s="0" t="n">
        <v>2857</v>
      </c>
      <c r="U330" s="0" t="n">
        <v>0</v>
      </c>
      <c r="V330" s="0" t="n">
        <v>13.815531195592</v>
      </c>
      <c r="W330" s="0" t="n">
        <v>20230930</v>
      </c>
      <c r="X330" s="0" t="n">
        <v>0.396147648792238</v>
      </c>
      <c r="Y330" s="0" t="n">
        <v>4.83</v>
      </c>
      <c r="Z330" s="0" t="s">
        <v>123</v>
      </c>
    </row>
    <row r="331" customFormat="false" ht="15" hidden="false" customHeight="false" outlineLevel="0" collapsed="false">
      <c r="A331" s="0" t="n">
        <v>331</v>
      </c>
      <c r="B331" s="0" t="n">
        <v>359919</v>
      </c>
      <c r="C331" s="0" t="n">
        <v>17443</v>
      </c>
      <c r="D331" s="0" t="n">
        <v>321726</v>
      </c>
      <c r="E331" s="0" t="n">
        <v>0.02</v>
      </c>
      <c r="F331" s="0" t="n">
        <v>36888</v>
      </c>
      <c r="G331" s="0" t="n">
        <v>10.2489726855209</v>
      </c>
      <c r="H331" s="0" t="s">
        <v>488</v>
      </c>
      <c r="I331" s="0" t="n">
        <v>0.855883657685112</v>
      </c>
      <c r="J331" s="0" t="n">
        <v>0</v>
      </c>
      <c r="K331" s="0" t="n">
        <v>761</v>
      </c>
      <c r="L331" s="0" t="n">
        <v>207388</v>
      </c>
      <c r="M331" s="0" t="n">
        <v>205613</v>
      </c>
      <c r="N331" s="0" t="n">
        <v>205626</v>
      </c>
      <c r="O331" s="0" t="n">
        <v>109</v>
      </c>
      <c r="P331" s="0" t="s">
        <v>129</v>
      </c>
      <c r="Q331" s="0" t="n">
        <v>0.48508110401759</v>
      </c>
      <c r="R331" s="0" t="n">
        <v>1.59052041879174</v>
      </c>
      <c r="S331" s="0" t="n">
        <v>0</v>
      </c>
      <c r="T331" s="0" t="n">
        <v>310</v>
      </c>
      <c r="U331" s="0" t="n">
        <v>897</v>
      </c>
      <c r="V331" s="0" t="n">
        <v>0</v>
      </c>
      <c r="W331" s="0" t="n">
        <v>20230930</v>
      </c>
      <c r="X331" s="0" t="n">
        <v>0.0680743287053853</v>
      </c>
      <c r="Y331" s="0" t="n">
        <v>0.66</v>
      </c>
      <c r="Z331" s="0" t="s">
        <v>123</v>
      </c>
    </row>
    <row r="332" customFormat="false" ht="15" hidden="false" customHeight="false" outlineLevel="0" collapsed="false">
      <c r="A332" s="0" t="n">
        <v>332</v>
      </c>
      <c r="B332" s="0" t="n">
        <v>1854542</v>
      </c>
      <c r="C332" s="0" t="n">
        <v>17658</v>
      </c>
      <c r="D332" s="0" t="n">
        <v>1539926</v>
      </c>
      <c r="E332" s="0" t="n">
        <v>0.06</v>
      </c>
      <c r="F332" s="0" t="n">
        <v>184915</v>
      </c>
      <c r="G332" s="0" t="n">
        <v>9.97092543603758</v>
      </c>
      <c r="H332" s="0" t="s">
        <v>489</v>
      </c>
      <c r="I332" s="0" t="n">
        <v>0.638478485109004</v>
      </c>
      <c r="J332" s="0" t="n">
        <v>95704</v>
      </c>
      <c r="K332" s="0" t="n">
        <v>80475</v>
      </c>
      <c r="L332" s="0" t="n">
        <v>1292291</v>
      </c>
      <c r="M332" s="0" t="n">
        <v>1284040</v>
      </c>
      <c r="N332" s="0" t="n">
        <v>1103288</v>
      </c>
      <c r="O332" s="0" t="n">
        <v>1361</v>
      </c>
      <c r="P332" s="0" t="s">
        <v>131</v>
      </c>
      <c r="Q332" s="0" t="n">
        <v>0.105316836532948</v>
      </c>
      <c r="R332" s="0" t="n">
        <v>3.39384266025843</v>
      </c>
      <c r="S332" s="0" t="n">
        <v>-125</v>
      </c>
      <c r="T332" s="0" t="n">
        <v>2709</v>
      </c>
      <c r="U332" s="0" t="n">
        <v>0</v>
      </c>
      <c r="V332" s="0" t="n">
        <v>0</v>
      </c>
      <c r="W332" s="0" t="n">
        <v>20230930</v>
      </c>
      <c r="X332" s="0" t="n">
        <v>0.655756640612116</v>
      </c>
      <c r="Y332" s="0" t="n">
        <v>6.22</v>
      </c>
      <c r="Z332" s="0" t="s">
        <v>105</v>
      </c>
    </row>
    <row r="333" customFormat="false" ht="15" hidden="false" customHeight="false" outlineLevel="0" collapsed="false">
      <c r="A333" s="0" t="n">
        <v>333</v>
      </c>
      <c r="B333" s="0" t="n">
        <v>1063414</v>
      </c>
      <c r="C333" s="0" t="n">
        <v>17741</v>
      </c>
      <c r="D333" s="0" t="n">
        <v>803860</v>
      </c>
      <c r="E333" s="0" t="n">
        <v>0.03</v>
      </c>
      <c r="F333" s="0" t="n">
        <v>132027</v>
      </c>
      <c r="G333" s="0" t="n">
        <v>12.4153904311961</v>
      </c>
      <c r="H333" s="0" t="s">
        <v>490</v>
      </c>
      <c r="I333" s="0" t="n">
        <v>0.918704275915972</v>
      </c>
      <c r="J333" s="0" t="n">
        <v>52698</v>
      </c>
      <c r="K333" s="0" t="n">
        <v>4222</v>
      </c>
      <c r="L333" s="0" t="n">
        <v>905841</v>
      </c>
      <c r="M333" s="0" t="n">
        <v>897519</v>
      </c>
      <c r="N333" s="0" t="n">
        <v>844883</v>
      </c>
      <c r="O333" s="0" t="n">
        <v>2371</v>
      </c>
      <c r="P333" s="0" t="s">
        <v>133</v>
      </c>
      <c r="Q333" s="0" t="n">
        <v>0.26174571475568</v>
      </c>
      <c r="R333" s="0" t="n">
        <v>3.32134528468549</v>
      </c>
      <c r="S333" s="0" t="n">
        <v>-38</v>
      </c>
      <c r="T333" s="0" t="n">
        <v>3001</v>
      </c>
      <c r="U333" s="0" t="n">
        <v>0</v>
      </c>
      <c r="V333" s="0" t="n">
        <v>0</v>
      </c>
      <c r="W333" s="0" t="n">
        <v>20230930</v>
      </c>
      <c r="X333" s="0" t="n">
        <v>0.584654904405804</v>
      </c>
      <c r="Y333" s="0" t="n">
        <v>4.55</v>
      </c>
      <c r="Z333" s="0" t="s">
        <v>105</v>
      </c>
    </row>
    <row r="334" customFormat="false" ht="15" hidden="false" customHeight="false" outlineLevel="0" collapsed="false">
      <c r="A334" s="0" t="n">
        <v>334</v>
      </c>
      <c r="B334" s="0" t="n">
        <v>1343923</v>
      </c>
      <c r="C334" s="0" t="n">
        <v>17743</v>
      </c>
      <c r="D334" s="0" t="n">
        <v>962463</v>
      </c>
      <c r="E334" s="0" t="n">
        <v>0</v>
      </c>
      <c r="F334" s="0" t="n">
        <v>114040</v>
      </c>
      <c r="G334" s="0" t="n">
        <v>8.48560520208375</v>
      </c>
      <c r="H334" s="0" t="s">
        <v>491</v>
      </c>
      <c r="I334" s="0" t="n">
        <v>0.44413745204957</v>
      </c>
      <c r="J334" s="0" t="n">
        <v>13921</v>
      </c>
      <c r="K334" s="0" t="n">
        <v>9333</v>
      </c>
      <c r="L334" s="0" t="n">
        <v>1053953</v>
      </c>
      <c r="M334" s="0" t="n">
        <v>1049272</v>
      </c>
      <c r="N334" s="0" t="n">
        <v>1018679</v>
      </c>
      <c r="O334" s="0" t="n">
        <v>4816</v>
      </c>
      <c r="P334" s="0" t="s">
        <v>135</v>
      </c>
      <c r="Q334" s="0" t="n">
        <v>0.4616904169351</v>
      </c>
      <c r="R334" s="0" t="n">
        <v>2.06213614232857</v>
      </c>
      <c r="S334" s="0" t="n">
        <v>16</v>
      </c>
      <c r="T334" s="0" t="n">
        <v>614</v>
      </c>
      <c r="U334" s="0" t="n">
        <v>50</v>
      </c>
      <c r="V334" s="0" t="n">
        <v>0</v>
      </c>
      <c r="W334" s="0" t="n">
        <v>20230930</v>
      </c>
      <c r="X334" s="0" t="n">
        <v>0.0416934666112007</v>
      </c>
      <c r="Y334" s="0" t="n">
        <v>0.46</v>
      </c>
      <c r="Z334" s="0" t="s">
        <v>105</v>
      </c>
    </row>
    <row r="335" customFormat="false" ht="15" hidden="false" customHeight="false" outlineLevel="0" collapsed="false">
      <c r="A335" s="0" t="n">
        <v>335</v>
      </c>
      <c r="B335" s="0" t="n">
        <v>1637222</v>
      </c>
      <c r="C335" s="0" t="n">
        <v>17748</v>
      </c>
      <c r="D335" s="0" t="n">
        <v>1377757</v>
      </c>
      <c r="E335" s="0" t="n">
        <v>0.03</v>
      </c>
      <c r="F335" s="0" t="n">
        <v>100984</v>
      </c>
      <c r="G335" s="0" t="n">
        <v>6.16800898106671</v>
      </c>
      <c r="H335" s="0" t="s">
        <v>492</v>
      </c>
      <c r="I335" s="0" t="n">
        <v>0.773595161525291</v>
      </c>
      <c r="J335" s="0" t="n">
        <v>181024</v>
      </c>
      <c r="K335" s="0" t="n">
        <v>3627</v>
      </c>
      <c r="L335" s="0" t="n">
        <v>1276766</v>
      </c>
      <c r="M335" s="0" t="n">
        <v>1266889</v>
      </c>
      <c r="N335" s="0" t="n">
        <v>1059712</v>
      </c>
      <c r="O335" s="0" t="n">
        <v>6912</v>
      </c>
      <c r="P335" s="0" t="s">
        <v>137</v>
      </c>
      <c r="Q335" s="0" t="n">
        <v>0.541367799581129</v>
      </c>
      <c r="R335" s="0" t="n">
        <v>2.50725017577047</v>
      </c>
      <c r="S335" s="0" t="n">
        <v>1118</v>
      </c>
      <c r="T335" s="0" t="n">
        <v>1286</v>
      </c>
      <c r="U335" s="0" t="n">
        <v>0</v>
      </c>
      <c r="V335" s="0" t="n">
        <v>0</v>
      </c>
      <c r="W335" s="0" t="n">
        <v>20230930</v>
      </c>
      <c r="X335" s="0" t="n">
        <v>0.256949701022202</v>
      </c>
      <c r="Y335" s="0" t="n">
        <v>3.94</v>
      </c>
      <c r="Z335" s="0" t="s">
        <v>105</v>
      </c>
    </row>
    <row r="336" customFormat="false" ht="15" hidden="false" customHeight="false" outlineLevel="0" collapsed="false">
      <c r="A336" s="0" t="n">
        <v>336</v>
      </c>
      <c r="B336" s="0" t="n">
        <v>1286435</v>
      </c>
      <c r="C336" s="0" t="n">
        <v>17749</v>
      </c>
      <c r="D336" s="0" t="n">
        <v>1014838</v>
      </c>
      <c r="E336" s="0" t="n">
        <v>0.05</v>
      </c>
      <c r="F336" s="0" t="n">
        <v>152647</v>
      </c>
      <c r="G336" s="0" t="n">
        <v>11.8658929522284</v>
      </c>
      <c r="H336" s="0" t="s">
        <v>493</v>
      </c>
      <c r="I336" s="0" t="n">
        <v>1.4267779261066</v>
      </c>
      <c r="J336" s="0" t="n">
        <v>49432</v>
      </c>
      <c r="K336" s="0" t="n">
        <v>10742</v>
      </c>
      <c r="L336" s="0" t="n">
        <v>779799</v>
      </c>
      <c r="M336" s="0" t="n">
        <v>768673</v>
      </c>
      <c r="N336" s="0" t="n">
        <v>708062</v>
      </c>
      <c r="O336" s="0" t="n">
        <v>34</v>
      </c>
      <c r="P336" s="0" t="s">
        <v>139</v>
      </c>
      <c r="Q336" s="0" t="n">
        <v>0.0043600979226698</v>
      </c>
      <c r="R336" s="0" t="n">
        <v>2.80780948296844</v>
      </c>
      <c r="S336" s="0" t="n">
        <v>9</v>
      </c>
      <c r="T336" s="0" t="n">
        <v>1039</v>
      </c>
      <c r="U336" s="0" t="n">
        <v>0</v>
      </c>
      <c r="V336" s="0" t="n">
        <v>0</v>
      </c>
      <c r="W336" s="0" t="n">
        <v>20230930</v>
      </c>
      <c r="X336" s="0" t="n">
        <v>0.980966388840118</v>
      </c>
      <c r="Y336" s="0" t="n">
        <v>8.09</v>
      </c>
      <c r="Z336" s="0" t="s">
        <v>105</v>
      </c>
    </row>
    <row r="337" customFormat="false" ht="15" hidden="false" customHeight="false" outlineLevel="0" collapsed="false">
      <c r="A337" s="0" t="n">
        <v>337</v>
      </c>
      <c r="B337" s="0" t="n">
        <v>1580361</v>
      </c>
      <c r="C337" s="0" t="n">
        <v>17751</v>
      </c>
      <c r="D337" s="0" t="n">
        <v>1300135</v>
      </c>
      <c r="E337" s="0" t="n">
        <v>0.08</v>
      </c>
      <c r="F337" s="0" t="n">
        <v>128888</v>
      </c>
      <c r="G337" s="0" t="n">
        <v>8.15560495355175</v>
      </c>
      <c r="H337" s="0" t="s">
        <v>494</v>
      </c>
      <c r="I337" s="0" t="n">
        <v>0.930553457375979</v>
      </c>
      <c r="J337" s="0" t="n">
        <v>120460</v>
      </c>
      <c r="K337" s="0" t="n">
        <v>2396</v>
      </c>
      <c r="L337" s="0" t="n">
        <v>1284182</v>
      </c>
      <c r="M337" s="0" t="n">
        <v>1272232</v>
      </c>
      <c r="N337" s="0" t="n">
        <v>1091898</v>
      </c>
      <c r="O337" s="0" t="n">
        <v>2621</v>
      </c>
      <c r="P337" s="0" t="s">
        <v>141</v>
      </c>
      <c r="Q337" s="0" t="n">
        <v>0.204098795965058</v>
      </c>
      <c r="R337" s="0" t="n">
        <v>3.12643695959044</v>
      </c>
      <c r="S337" s="0" t="n">
        <v>4179</v>
      </c>
      <c r="T337" s="0" t="n">
        <v>4485</v>
      </c>
      <c r="U337" s="0" t="n">
        <v>0</v>
      </c>
      <c r="V337" s="0" t="n">
        <v>12.6039990480709</v>
      </c>
      <c r="W337" s="0" t="n">
        <v>20230930</v>
      </c>
      <c r="X337" s="0" t="n">
        <v>0.591331773995177</v>
      </c>
      <c r="Y337" s="0" t="n">
        <v>6.99</v>
      </c>
      <c r="Z337" s="0" t="s">
        <v>105</v>
      </c>
    </row>
    <row r="338" customFormat="false" ht="15" hidden="false" customHeight="false" outlineLevel="0" collapsed="false">
      <c r="A338" s="0" t="n">
        <v>338</v>
      </c>
      <c r="B338" s="0" t="n">
        <v>1672541</v>
      </c>
      <c r="C338" s="0" t="n">
        <v>17897</v>
      </c>
      <c r="D338" s="0" t="n">
        <v>1315387</v>
      </c>
      <c r="E338" s="0" t="n">
        <v>-0.03</v>
      </c>
      <c r="F338" s="0" t="n">
        <v>196829</v>
      </c>
      <c r="G338" s="0" t="n">
        <v>11.7682615852167</v>
      </c>
      <c r="H338" s="0" t="s">
        <v>495</v>
      </c>
      <c r="I338" s="0" t="n">
        <v>0.615465902011774</v>
      </c>
      <c r="J338" s="0" t="n">
        <v>71428</v>
      </c>
      <c r="K338" s="0" t="n">
        <v>4426</v>
      </c>
      <c r="L338" s="0" t="n">
        <v>1427049</v>
      </c>
      <c r="M338" s="0" t="n">
        <v>1418266</v>
      </c>
      <c r="N338" s="0" t="n">
        <v>1342461</v>
      </c>
      <c r="O338" s="0" t="n">
        <v>2834</v>
      </c>
      <c r="P338" s="0" t="s">
        <v>143</v>
      </c>
      <c r="Q338" s="0" t="n">
        <v>0.198591639109799</v>
      </c>
      <c r="R338" s="0" t="n">
        <v>2.57492746103926</v>
      </c>
      <c r="S338" s="0" t="n">
        <v>-116</v>
      </c>
      <c r="T338" s="0" t="n">
        <v>2130</v>
      </c>
      <c r="U338" s="0" t="n">
        <v>0</v>
      </c>
      <c r="V338" s="0" t="n">
        <v>16.1017927907317</v>
      </c>
      <c r="W338" s="0" t="n">
        <v>20230930</v>
      </c>
      <c r="X338" s="0" t="n">
        <v>0.380808315338347</v>
      </c>
      <c r="Y338" s="0" t="n">
        <v>3.18</v>
      </c>
      <c r="Z338" s="0" t="s">
        <v>105</v>
      </c>
    </row>
    <row r="339" customFormat="false" ht="15" hidden="false" customHeight="false" outlineLevel="0" collapsed="false">
      <c r="A339" s="0" t="n">
        <v>339</v>
      </c>
      <c r="B339" s="0" t="n">
        <v>774390</v>
      </c>
      <c r="C339" s="0" t="n">
        <v>17951</v>
      </c>
      <c r="D339" s="0" t="n">
        <v>686785</v>
      </c>
      <c r="E339" s="0" t="n">
        <v>0.12</v>
      </c>
      <c r="F339" s="0" t="n">
        <v>56538</v>
      </c>
      <c r="G339" s="0" t="n">
        <v>7.30097237825902</v>
      </c>
      <c r="H339" s="0" t="s">
        <v>496</v>
      </c>
      <c r="I339" s="0" t="n">
        <v>0.922765746793788</v>
      </c>
      <c r="J339" s="0" t="n">
        <v>24630</v>
      </c>
      <c r="K339" s="0" t="n">
        <v>1937</v>
      </c>
      <c r="L339" s="0" t="n">
        <v>564607</v>
      </c>
      <c r="M339" s="0" t="n">
        <v>559397</v>
      </c>
      <c r="N339" s="0" t="n">
        <v>525776</v>
      </c>
      <c r="O339" s="0" t="n">
        <v>179</v>
      </c>
      <c r="P339" s="0" t="s">
        <v>145</v>
      </c>
      <c r="Q339" s="0" t="n">
        <v>0.0317034680760245</v>
      </c>
      <c r="R339" s="0" t="n">
        <v>2.73481206488146</v>
      </c>
      <c r="S339" s="0" t="n">
        <v>-193</v>
      </c>
      <c r="T339" s="0" t="n">
        <v>137</v>
      </c>
      <c r="U339" s="0" t="n">
        <v>0</v>
      </c>
      <c r="V339" s="0" t="n">
        <v>14.6359562064762</v>
      </c>
      <c r="W339" s="0" t="n">
        <v>20230930</v>
      </c>
      <c r="X339" s="0" t="n">
        <v>0.594947433038291</v>
      </c>
      <c r="Y339" s="0" t="n">
        <v>8.1</v>
      </c>
      <c r="Z339" s="0" t="s">
        <v>123</v>
      </c>
    </row>
    <row r="340" customFormat="false" ht="15" hidden="false" customHeight="false" outlineLevel="0" collapsed="false">
      <c r="A340" s="0" t="n">
        <v>340</v>
      </c>
      <c r="B340" s="0" t="n">
        <v>1360683</v>
      </c>
      <c r="C340" s="0" t="n">
        <v>17960</v>
      </c>
      <c r="D340" s="0" t="n">
        <v>1035461</v>
      </c>
      <c r="E340" s="0" t="n">
        <v>0.06</v>
      </c>
      <c r="F340" s="0" t="n">
        <v>105758</v>
      </c>
      <c r="G340" s="0" t="n">
        <v>7.77242017428012</v>
      </c>
      <c r="H340" s="0" t="s">
        <v>497</v>
      </c>
      <c r="I340" s="0" t="n">
        <v>0.976987988301472</v>
      </c>
      <c r="J340" s="0" t="n">
        <v>111087</v>
      </c>
      <c r="K340" s="0" t="n">
        <v>223391</v>
      </c>
      <c r="L340" s="0" t="n">
        <v>1168694</v>
      </c>
      <c r="M340" s="0" t="n">
        <v>1157276</v>
      </c>
      <c r="N340" s="0" t="n">
        <v>830148</v>
      </c>
      <c r="O340" s="0" t="n">
        <v>8539</v>
      </c>
      <c r="P340" s="0" t="s">
        <v>147</v>
      </c>
      <c r="Q340" s="0" t="n">
        <v>0.730644634095837</v>
      </c>
      <c r="R340" s="0" t="n">
        <v>2.80908470351212</v>
      </c>
      <c r="S340" s="0" t="n">
        <v>132</v>
      </c>
      <c r="T340" s="0" t="n">
        <v>1539</v>
      </c>
      <c r="U340" s="0" t="n">
        <v>0</v>
      </c>
      <c r="V340" s="0" t="n">
        <v>12.8543313948285</v>
      </c>
      <c r="W340" s="0" t="n">
        <v>20230930</v>
      </c>
      <c r="X340" s="0" t="n">
        <v>0.41501730865951</v>
      </c>
      <c r="Y340" s="0" t="n">
        <v>5.22</v>
      </c>
      <c r="Z340" s="0" t="s">
        <v>123</v>
      </c>
    </row>
    <row r="341" customFormat="false" ht="15" hidden="false" customHeight="false" outlineLevel="0" collapsed="false">
      <c r="A341" s="0" t="n">
        <v>341</v>
      </c>
      <c r="B341" s="0" t="n">
        <v>2450354</v>
      </c>
      <c r="C341" s="0" t="n">
        <v>18012</v>
      </c>
      <c r="D341" s="0" t="n">
        <v>2087557</v>
      </c>
      <c r="E341" s="0" t="n">
        <v>0.01</v>
      </c>
      <c r="F341" s="0" t="n">
        <v>251689</v>
      </c>
      <c r="G341" s="0" t="n">
        <v>10.271536275983</v>
      </c>
      <c r="H341" s="0" t="s">
        <v>498</v>
      </c>
      <c r="I341" s="0" t="n">
        <v>1.24540399739518</v>
      </c>
      <c r="J341" s="0" t="n">
        <v>48455</v>
      </c>
      <c r="K341" s="0" t="n">
        <v>33439</v>
      </c>
      <c r="L341" s="0" t="n">
        <v>1996300</v>
      </c>
      <c r="M341" s="0" t="n">
        <v>1971438</v>
      </c>
      <c r="N341" s="0" t="n">
        <v>1885157</v>
      </c>
      <c r="O341" s="0" t="n">
        <v>742</v>
      </c>
      <c r="P341" s="0" t="s">
        <v>149</v>
      </c>
      <c r="Q341" s="0" t="n">
        <v>0.0371687622100886</v>
      </c>
      <c r="R341" s="0" t="n">
        <v>3.04374113069113</v>
      </c>
      <c r="S341" s="0" t="n">
        <v>134</v>
      </c>
      <c r="T341" s="0" t="n">
        <v>2224</v>
      </c>
      <c r="U341" s="0" t="n">
        <v>0</v>
      </c>
      <c r="V341" s="0" t="n">
        <v>13.7963240873137</v>
      </c>
      <c r="W341" s="0" t="n">
        <v>20230930</v>
      </c>
      <c r="X341" s="0" t="n">
        <v>0.871079377516649</v>
      </c>
      <c r="Y341" s="0" t="n">
        <v>8.59</v>
      </c>
      <c r="Z341" s="0" t="s">
        <v>123</v>
      </c>
    </row>
    <row r="342" customFormat="false" ht="15" hidden="false" customHeight="false" outlineLevel="0" collapsed="false">
      <c r="A342" s="0" t="n">
        <v>342</v>
      </c>
      <c r="B342" s="0" t="n">
        <v>2857828</v>
      </c>
      <c r="C342" s="0" t="n">
        <v>18013</v>
      </c>
      <c r="D342" s="0" t="n">
        <v>2426366</v>
      </c>
      <c r="E342" s="0" t="n">
        <v>0.01</v>
      </c>
      <c r="F342" s="0" t="n">
        <v>208913</v>
      </c>
      <c r="G342" s="0" t="n">
        <v>7.31020201355715</v>
      </c>
      <c r="H342" s="0" t="s">
        <v>499</v>
      </c>
      <c r="I342" s="0" t="n">
        <v>0.694040427598615</v>
      </c>
      <c r="J342" s="0" t="n">
        <v>111358</v>
      </c>
      <c r="K342" s="0" t="n">
        <v>26647</v>
      </c>
      <c r="L342" s="0" t="n">
        <v>2341074</v>
      </c>
      <c r="M342" s="0" t="n">
        <v>2324826</v>
      </c>
      <c r="N342" s="0" t="n">
        <v>2134736</v>
      </c>
      <c r="O342" s="0" t="n">
        <v>1061</v>
      </c>
      <c r="P342" s="0" t="s">
        <v>151</v>
      </c>
      <c r="Q342" s="0" t="n">
        <v>0.0460472415651961</v>
      </c>
      <c r="R342" s="0" t="n">
        <v>2.78616306186857</v>
      </c>
      <c r="S342" s="0" t="n">
        <v>129</v>
      </c>
      <c r="T342" s="0" t="n">
        <v>4243</v>
      </c>
      <c r="U342" s="0" t="n">
        <v>17</v>
      </c>
      <c r="V342" s="0" t="n">
        <v>12.718417791956</v>
      </c>
      <c r="W342" s="0" t="n">
        <v>20230930</v>
      </c>
      <c r="X342" s="0" t="n">
        <v>0.455600254543259</v>
      </c>
      <c r="Y342" s="0" t="n">
        <v>6.1</v>
      </c>
      <c r="Z342" s="0" t="s">
        <v>123</v>
      </c>
    </row>
    <row r="343" customFormat="false" ht="15" hidden="false" customHeight="false" outlineLevel="0" collapsed="false">
      <c r="A343" s="0" t="n">
        <v>343</v>
      </c>
      <c r="B343" s="0" t="n">
        <v>381526</v>
      </c>
      <c r="C343" s="0" t="n">
        <v>18028</v>
      </c>
      <c r="D343" s="0" t="n">
        <v>312777</v>
      </c>
      <c r="E343" s="0" t="n">
        <v>0.09</v>
      </c>
      <c r="F343" s="0" t="n">
        <v>35629</v>
      </c>
      <c r="G343" s="0" t="n">
        <v>9.33855097686658</v>
      </c>
      <c r="H343" s="0" t="s">
        <v>500</v>
      </c>
      <c r="I343" s="0" t="n">
        <v>0.904108019327362</v>
      </c>
      <c r="J343" s="0" t="n">
        <v>14223</v>
      </c>
      <c r="K343" s="0" t="n">
        <v>6237</v>
      </c>
      <c r="L343" s="0" t="n">
        <v>261805</v>
      </c>
      <c r="M343" s="0" t="n">
        <v>259438</v>
      </c>
      <c r="N343" s="0" t="n">
        <v>235366</v>
      </c>
      <c r="O343" s="0" t="n">
        <v>831</v>
      </c>
      <c r="P343" s="0" t="s">
        <v>153</v>
      </c>
      <c r="Q343" s="0" t="n">
        <v>0.40640935047077</v>
      </c>
      <c r="R343" s="0" t="n">
        <v>3.46173527125438</v>
      </c>
      <c r="S343" s="0" t="n">
        <v>324</v>
      </c>
      <c r="T343" s="0" t="n">
        <v>925</v>
      </c>
      <c r="U343" s="0" t="n">
        <v>233</v>
      </c>
      <c r="V343" s="0" t="n">
        <v>0</v>
      </c>
      <c r="W343" s="0" t="n">
        <v>20230930</v>
      </c>
      <c r="X343" s="0" t="n">
        <v>0.57647828889173</v>
      </c>
      <c r="Y343" s="0" t="n">
        <v>6</v>
      </c>
      <c r="Z343" s="0" t="s">
        <v>123</v>
      </c>
    </row>
    <row r="344" customFormat="false" ht="15" hidden="false" customHeight="false" outlineLevel="0" collapsed="false">
      <c r="A344" s="0" t="n">
        <v>344</v>
      </c>
      <c r="B344" s="0" t="n">
        <v>734470</v>
      </c>
      <c r="C344" s="0" t="n">
        <v>18030</v>
      </c>
      <c r="D344" s="0" t="n">
        <v>660381</v>
      </c>
      <c r="E344" s="0" t="n">
        <v>0.13</v>
      </c>
      <c r="F344" s="0" t="n">
        <v>43119</v>
      </c>
      <c r="G344" s="0" t="n">
        <v>5.87076395223767</v>
      </c>
      <c r="H344" s="0" t="s">
        <v>501</v>
      </c>
      <c r="I344" s="0" t="n">
        <v>1.02141663696123</v>
      </c>
      <c r="J344" s="0" t="n">
        <v>41868</v>
      </c>
      <c r="K344" s="0" t="n">
        <v>96224</v>
      </c>
      <c r="L344" s="0" t="n">
        <v>591923</v>
      </c>
      <c r="M344" s="0" t="n">
        <v>585877</v>
      </c>
      <c r="N344" s="0" t="n">
        <v>453550</v>
      </c>
      <c r="O344" s="0" t="n">
        <v>457</v>
      </c>
      <c r="P344" s="0" t="s">
        <v>155</v>
      </c>
      <c r="Q344" s="0" t="n">
        <v>0.0998440675560841</v>
      </c>
      <c r="R344" s="0" t="n">
        <v>3.47560193665529</v>
      </c>
      <c r="S344" s="0" t="n">
        <v>10</v>
      </c>
      <c r="T344" s="0" t="n">
        <v>226</v>
      </c>
      <c r="U344" s="0" t="n">
        <v>134</v>
      </c>
      <c r="V344" s="0" t="n">
        <v>12.6144232067429</v>
      </c>
      <c r="W344" s="0" t="n">
        <v>20230930</v>
      </c>
      <c r="X344" s="0" t="n">
        <v>0.565402270213584</v>
      </c>
      <c r="Y344" s="0" t="n">
        <v>9.32</v>
      </c>
      <c r="Z344" s="0" t="s">
        <v>123</v>
      </c>
    </row>
    <row r="345" customFormat="false" ht="15" hidden="false" customHeight="false" outlineLevel="0" collapsed="false">
      <c r="A345" s="0" t="n">
        <v>345</v>
      </c>
      <c r="B345" s="0" t="n">
        <v>671966</v>
      </c>
      <c r="C345" s="0" t="n">
        <v>18031</v>
      </c>
      <c r="D345" s="0" t="n">
        <v>568415</v>
      </c>
      <c r="E345" s="0" t="n">
        <v>-0.01</v>
      </c>
      <c r="F345" s="0" t="n">
        <v>31180</v>
      </c>
      <c r="G345" s="0" t="n">
        <v>4.6401157201406</v>
      </c>
      <c r="H345" s="0" t="s">
        <v>502</v>
      </c>
      <c r="I345" s="0" t="n">
        <v>0.833109770426891</v>
      </c>
      <c r="J345" s="0" t="n">
        <v>26820</v>
      </c>
      <c r="K345" s="0" t="n">
        <v>11759</v>
      </c>
      <c r="L345" s="0" t="n">
        <v>480849</v>
      </c>
      <c r="M345" s="0" t="n">
        <v>476843</v>
      </c>
      <c r="N345" s="0" t="n">
        <v>434791</v>
      </c>
      <c r="O345" s="0" t="n">
        <v>790</v>
      </c>
      <c r="P345" s="0" t="s">
        <v>157</v>
      </c>
      <c r="Q345" s="0" t="n">
        <v>0.164292740548488</v>
      </c>
      <c r="R345" s="0" t="n">
        <v>2.73992860785314</v>
      </c>
      <c r="S345" s="0" t="n">
        <v>7</v>
      </c>
      <c r="T345" s="0" t="n">
        <v>1516</v>
      </c>
      <c r="U345" s="0" t="n">
        <v>0</v>
      </c>
      <c r="V345" s="0" t="n">
        <v>16.1364216823375</v>
      </c>
      <c r="W345" s="0" t="n">
        <v>20230930</v>
      </c>
      <c r="X345" s="0" t="n">
        <v>0.288423659649568</v>
      </c>
      <c r="Y345" s="0" t="n">
        <v>5.47</v>
      </c>
      <c r="Z345" s="0" t="s">
        <v>123</v>
      </c>
    </row>
    <row r="346" customFormat="false" ht="15" hidden="false" customHeight="false" outlineLevel="0" collapsed="false">
      <c r="A346" s="0" t="n">
        <v>346</v>
      </c>
      <c r="B346" s="0" t="n">
        <v>555533</v>
      </c>
      <c r="C346" s="0" t="n">
        <v>18038</v>
      </c>
      <c r="D346" s="0" t="n">
        <v>444746</v>
      </c>
      <c r="E346" s="0" t="n">
        <v>0.04</v>
      </c>
      <c r="F346" s="0" t="n">
        <v>62652</v>
      </c>
      <c r="G346" s="0" t="n">
        <v>11.2778178794059</v>
      </c>
      <c r="H346" s="0" t="s">
        <v>503</v>
      </c>
      <c r="I346" s="0" t="n">
        <v>1.00238089512037</v>
      </c>
      <c r="J346" s="0" t="n">
        <v>16653</v>
      </c>
      <c r="K346" s="0" t="n">
        <v>3686</v>
      </c>
      <c r="L346" s="0" t="n">
        <v>415810</v>
      </c>
      <c r="M346" s="0" t="n">
        <v>411642</v>
      </c>
      <c r="N346" s="0" t="n">
        <v>395105</v>
      </c>
      <c r="O346" s="0" t="n">
        <v>2136</v>
      </c>
      <c r="P346" s="0" t="s">
        <v>159</v>
      </c>
      <c r="Q346" s="0" t="n">
        <v>0.516101103869556</v>
      </c>
      <c r="R346" s="0" t="n">
        <v>2.50931095109534</v>
      </c>
      <c r="S346" s="0" t="n">
        <v>-19</v>
      </c>
      <c r="T346" s="0" t="n">
        <v>1391</v>
      </c>
      <c r="U346" s="0" t="n">
        <v>10</v>
      </c>
      <c r="V346" s="0" t="n">
        <v>0</v>
      </c>
      <c r="W346" s="0" t="n">
        <v>20230930</v>
      </c>
      <c r="X346" s="0" t="n">
        <v>-0.0175817767653758</v>
      </c>
      <c r="Y346" s="0" t="n">
        <v>-0.15</v>
      </c>
      <c r="Z346" s="0" t="s">
        <v>123</v>
      </c>
    </row>
    <row r="347" customFormat="false" ht="15" hidden="false" customHeight="false" outlineLevel="0" collapsed="false">
      <c r="A347" s="0" t="n">
        <v>347</v>
      </c>
      <c r="B347" s="0" t="n">
        <v>7253561</v>
      </c>
      <c r="C347" s="0" t="n">
        <v>18408</v>
      </c>
      <c r="D347" s="0" t="n">
        <v>5526161</v>
      </c>
      <c r="E347" s="0" t="n">
        <v>-0.06</v>
      </c>
      <c r="F347" s="0" t="n">
        <v>339914</v>
      </c>
      <c r="G347" s="0" t="n">
        <v>4.6861672494379</v>
      </c>
      <c r="H347" s="0" t="s">
        <v>504</v>
      </c>
      <c r="I347" s="0" t="n">
        <v>0.687980372654995</v>
      </c>
      <c r="J347" s="0" t="n">
        <v>321633</v>
      </c>
      <c r="K347" s="0" t="n">
        <v>33238</v>
      </c>
      <c r="L347" s="0" t="n">
        <v>4807986</v>
      </c>
      <c r="M347" s="0" t="n">
        <v>4774908</v>
      </c>
      <c r="N347" s="0" t="n">
        <v>4382847</v>
      </c>
      <c r="O347" s="0" t="n">
        <v>3957</v>
      </c>
      <c r="P347" s="0" t="s">
        <v>161</v>
      </c>
      <c r="Q347" s="0" t="n">
        <v>0.0823005724226318</v>
      </c>
      <c r="R347" s="0" t="n">
        <v>2.10961267600752</v>
      </c>
      <c r="S347" s="0" t="n">
        <v>1597</v>
      </c>
      <c r="T347" s="0" t="n">
        <v>2852</v>
      </c>
      <c r="U347" s="0" t="n">
        <v>0</v>
      </c>
      <c r="V347" s="0" t="n">
        <v>11.6647820410089</v>
      </c>
      <c r="W347" s="0" t="n">
        <v>20230930</v>
      </c>
      <c r="X347" s="0" t="n">
        <v>0.192762984622171</v>
      </c>
      <c r="Y347" s="0" t="n">
        <v>3.96</v>
      </c>
      <c r="Z347" s="0" t="s">
        <v>105</v>
      </c>
    </row>
    <row r="348" customFormat="false" ht="15" hidden="false" customHeight="false" outlineLevel="0" collapsed="false">
      <c r="A348" s="0" t="n">
        <v>348</v>
      </c>
      <c r="B348" s="0" t="n">
        <v>2461701</v>
      </c>
      <c r="C348" s="0" t="n">
        <v>19531</v>
      </c>
      <c r="D348" s="0" t="n">
        <v>2036756</v>
      </c>
      <c r="E348" s="0" t="n">
        <v>0</v>
      </c>
      <c r="F348" s="0" t="n">
        <v>225877</v>
      </c>
      <c r="G348" s="0" t="n">
        <v>9.17564724554282</v>
      </c>
      <c r="H348" s="0" t="s">
        <v>505</v>
      </c>
      <c r="I348" s="0" t="n">
        <v>1.14261836617052</v>
      </c>
      <c r="J348" s="0" t="n">
        <v>237278</v>
      </c>
      <c r="K348" s="0" t="n">
        <v>14701</v>
      </c>
      <c r="L348" s="0" t="n">
        <v>1986315</v>
      </c>
      <c r="M348" s="0" t="n">
        <v>1963619</v>
      </c>
      <c r="N348" s="0" t="n">
        <v>1627608</v>
      </c>
      <c r="O348" s="0" t="n">
        <v>9780</v>
      </c>
      <c r="P348" s="0" t="s">
        <v>163</v>
      </c>
      <c r="Q348" s="0" t="n">
        <v>0.492369035122828</v>
      </c>
      <c r="R348" s="0" t="n">
        <v>2.71472125457892</v>
      </c>
      <c r="S348" s="0" t="n">
        <v>1145</v>
      </c>
      <c r="T348" s="0" t="n">
        <v>4674</v>
      </c>
      <c r="U348" s="0" t="n">
        <v>0</v>
      </c>
      <c r="V348" s="0" t="n">
        <v>14.2913702341625</v>
      </c>
      <c r="W348" s="0" t="n">
        <v>20230930</v>
      </c>
      <c r="X348" s="0" t="n">
        <v>0.447969025430731</v>
      </c>
      <c r="Y348" s="0" t="n">
        <v>4.7</v>
      </c>
      <c r="Z348" s="0" t="s">
        <v>105</v>
      </c>
    </row>
    <row r="349" customFormat="false" ht="15" hidden="false" customHeight="false" outlineLevel="0" collapsed="false">
      <c r="A349" s="0" t="n">
        <v>349</v>
      </c>
      <c r="B349" s="0" t="n">
        <v>816575</v>
      </c>
      <c r="C349" s="0" t="n">
        <v>19532</v>
      </c>
      <c r="D349" s="0" t="n">
        <v>712795</v>
      </c>
      <c r="E349" s="0" t="n">
        <v>0.01</v>
      </c>
      <c r="F349" s="0" t="n">
        <v>89758</v>
      </c>
      <c r="G349" s="0" t="n">
        <v>10.9920093071671</v>
      </c>
      <c r="H349" s="0" t="s">
        <v>506</v>
      </c>
      <c r="I349" s="0" t="n">
        <v>0.990379222276157</v>
      </c>
      <c r="J349" s="0" t="n">
        <v>40005</v>
      </c>
      <c r="K349" s="0" t="n">
        <v>51182</v>
      </c>
      <c r="L349" s="0" t="n">
        <v>583009</v>
      </c>
      <c r="M349" s="0" t="n">
        <v>577235</v>
      </c>
      <c r="N349" s="0" t="n">
        <v>480800</v>
      </c>
      <c r="O349" s="0" t="n">
        <v>1137</v>
      </c>
      <c r="P349" s="0" t="s">
        <v>165</v>
      </c>
      <c r="Q349" s="0" t="n">
        <v>0.195022718345686</v>
      </c>
      <c r="R349" s="0" t="n">
        <v>3.37267208819972</v>
      </c>
      <c r="S349" s="0" t="n">
        <v>83</v>
      </c>
      <c r="T349" s="0" t="n">
        <v>847</v>
      </c>
      <c r="U349" s="0" t="n">
        <v>0</v>
      </c>
      <c r="V349" s="0" t="n">
        <v>21.3660838090436</v>
      </c>
      <c r="W349" s="0" t="n">
        <v>20230930</v>
      </c>
      <c r="X349" s="0" t="n">
        <v>0.688130053765717</v>
      </c>
      <c r="Y349" s="0" t="n">
        <v>6.04</v>
      </c>
      <c r="Z349" s="0" t="s">
        <v>105</v>
      </c>
    </row>
    <row r="350" customFormat="false" ht="15" hidden="false" customHeight="false" outlineLevel="0" collapsed="false">
      <c r="A350" s="0" t="n">
        <v>350</v>
      </c>
      <c r="B350" s="0" t="n">
        <v>2876461</v>
      </c>
      <c r="C350" s="0" t="n">
        <v>19690</v>
      </c>
      <c r="D350" s="0" t="n">
        <v>1996495</v>
      </c>
      <c r="E350" s="0" t="n">
        <v>0.06</v>
      </c>
      <c r="F350" s="0" t="n">
        <v>311569</v>
      </c>
      <c r="G350" s="0" t="n">
        <v>10.8316782323835</v>
      </c>
      <c r="H350" s="0" t="s">
        <v>507</v>
      </c>
      <c r="I350" s="0" t="n">
        <v>1.00082667183501</v>
      </c>
      <c r="J350" s="0" t="n">
        <v>42688</v>
      </c>
      <c r="K350" s="0" t="n">
        <v>421</v>
      </c>
      <c r="L350" s="0" t="n">
        <v>2528210</v>
      </c>
      <c r="M350" s="0" t="n">
        <v>2502907</v>
      </c>
      <c r="N350" s="0" t="n">
        <v>2043563</v>
      </c>
      <c r="O350" s="0" t="n">
        <v>17448</v>
      </c>
      <c r="P350" s="0" t="s">
        <v>167</v>
      </c>
      <c r="Q350" s="0" t="n">
        <v>0.690132544369336</v>
      </c>
      <c r="R350" s="0" t="n">
        <v>5.01279887177971</v>
      </c>
      <c r="S350" s="0" t="n">
        <v>1773</v>
      </c>
      <c r="T350" s="0" t="n">
        <v>10951</v>
      </c>
      <c r="U350" s="0" t="n">
        <v>0</v>
      </c>
      <c r="V350" s="0" t="n">
        <v>13.4609825320188</v>
      </c>
      <c r="W350" s="0" t="n">
        <v>20230930</v>
      </c>
      <c r="X350" s="0" t="n">
        <v>1.85718670922203</v>
      </c>
      <c r="Y350" s="0" t="n">
        <v>18.36</v>
      </c>
      <c r="Z350" s="0" t="s">
        <v>105</v>
      </c>
    </row>
    <row r="351" customFormat="false" ht="15" hidden="false" customHeight="false" outlineLevel="0" collapsed="false">
      <c r="A351" s="0" t="n">
        <v>351</v>
      </c>
      <c r="B351" s="0" t="n">
        <v>636045</v>
      </c>
      <c r="C351" s="0" t="n">
        <v>19836</v>
      </c>
      <c r="D351" s="0" t="n">
        <v>487132</v>
      </c>
      <c r="E351" s="0" t="n">
        <v>0.01</v>
      </c>
      <c r="F351" s="0" t="n">
        <v>119013</v>
      </c>
      <c r="G351" s="0" t="n">
        <v>18.7114119284013</v>
      </c>
      <c r="H351" s="0" t="s">
        <v>508</v>
      </c>
      <c r="I351" s="0" t="n">
        <v>0.821891703905558</v>
      </c>
      <c r="J351" s="0" t="n">
        <v>51639</v>
      </c>
      <c r="K351" s="0" t="n">
        <v>12237</v>
      </c>
      <c r="L351" s="0" t="n">
        <v>524765</v>
      </c>
      <c r="M351" s="0" t="n">
        <v>520452</v>
      </c>
      <c r="N351" s="0" t="n">
        <v>456725</v>
      </c>
      <c r="O351" s="0" t="n">
        <v>3230</v>
      </c>
      <c r="P351" s="0" t="s">
        <v>145</v>
      </c>
      <c r="Q351" s="0" t="n">
        <v>0.629234038093242</v>
      </c>
      <c r="R351" s="0" t="n">
        <v>4.05619318892258</v>
      </c>
      <c r="S351" s="0" t="n">
        <v>35</v>
      </c>
      <c r="T351" s="0" t="n">
        <v>2063</v>
      </c>
      <c r="U351" s="0" t="n">
        <v>72</v>
      </c>
      <c r="V351" s="0" t="n">
        <v>26.4663895951883</v>
      </c>
      <c r="W351" s="0" t="n">
        <v>20230930</v>
      </c>
      <c r="X351" s="0" t="n">
        <v>0.906671171533532</v>
      </c>
      <c r="Y351" s="0" t="n">
        <v>4.64</v>
      </c>
      <c r="Z351" s="0" t="s">
        <v>105</v>
      </c>
    </row>
    <row r="352" customFormat="false" ht="15" hidden="false" customHeight="false" outlineLevel="0" collapsed="false">
      <c r="A352" s="0" t="n">
        <v>352</v>
      </c>
      <c r="B352" s="0" t="n">
        <v>1388131</v>
      </c>
      <c r="C352" s="0" t="n">
        <v>24540</v>
      </c>
      <c r="D352" s="0" t="n">
        <v>1118585</v>
      </c>
      <c r="E352" s="0" t="n">
        <v>0.29</v>
      </c>
      <c r="F352" s="0" t="n">
        <v>238721</v>
      </c>
      <c r="G352" s="0" t="n">
        <v>17.1972962206017</v>
      </c>
      <c r="H352" s="0" t="s">
        <v>509</v>
      </c>
      <c r="I352" s="0" t="n">
        <v>0.939211800361955</v>
      </c>
      <c r="J352" s="0" t="n">
        <v>40839</v>
      </c>
      <c r="K352" s="0" t="n">
        <v>84</v>
      </c>
      <c r="L352" s="0" t="n">
        <v>1197387</v>
      </c>
      <c r="M352" s="0" t="n">
        <v>1186141</v>
      </c>
      <c r="N352" s="0" t="n">
        <v>1160736</v>
      </c>
      <c r="O352" s="0" t="n">
        <v>445</v>
      </c>
      <c r="P352" s="0" t="s">
        <v>170</v>
      </c>
      <c r="Q352" s="0" t="n">
        <v>0.0371642585062306</v>
      </c>
      <c r="R352" s="0" t="n">
        <v>4.95855725729659</v>
      </c>
      <c r="S352" s="0" t="n">
        <v>0</v>
      </c>
      <c r="T352" s="0" t="n">
        <v>0</v>
      </c>
      <c r="U352" s="0" t="n">
        <v>0</v>
      </c>
      <c r="V352" s="0" t="n">
        <v>18.7852347950974</v>
      </c>
      <c r="W352" s="0" t="n">
        <v>20230930</v>
      </c>
      <c r="X352" s="0" t="n">
        <v>2.37998404579016</v>
      </c>
      <c r="Y352" s="0" t="n">
        <v>13.9</v>
      </c>
      <c r="Z352" s="0" t="s">
        <v>123</v>
      </c>
    </row>
    <row r="353" customFormat="false" ht="15" hidden="false" customHeight="false" outlineLevel="0" collapsed="false">
      <c r="A353" s="0" t="n">
        <v>353</v>
      </c>
      <c r="B353" s="0" t="n">
        <v>525416</v>
      </c>
      <c r="C353" s="0" t="n">
        <v>27824</v>
      </c>
      <c r="D353" s="0" t="n">
        <v>391764</v>
      </c>
      <c r="E353" s="0" t="n">
        <v>-0.01</v>
      </c>
      <c r="F353" s="0" t="n">
        <v>64487</v>
      </c>
      <c r="G353" s="0" t="n">
        <v>12.2735127974786</v>
      </c>
      <c r="H353" s="0" t="s">
        <v>510</v>
      </c>
      <c r="I353" s="0" t="n">
        <v>0.710999014635822</v>
      </c>
      <c r="J353" s="0" t="n">
        <v>21545</v>
      </c>
      <c r="K353" s="0" t="n">
        <v>44503</v>
      </c>
      <c r="L353" s="0" t="n">
        <v>442476</v>
      </c>
      <c r="M353" s="0" t="n">
        <v>439330</v>
      </c>
      <c r="N353" s="0" t="n">
        <v>376428</v>
      </c>
      <c r="O353" s="0" t="n">
        <v>1101</v>
      </c>
      <c r="P353" s="0" t="s">
        <v>172</v>
      </c>
      <c r="Q353" s="0" t="n">
        <v>0.248827055026713</v>
      </c>
      <c r="R353" s="0" t="n">
        <v>1.9506679893547</v>
      </c>
      <c r="S353" s="0" t="n">
        <v>82</v>
      </c>
      <c r="T353" s="0" t="n">
        <v>1118</v>
      </c>
      <c r="U353" s="0" t="n">
        <v>0</v>
      </c>
      <c r="V353" s="0" t="n">
        <v>21.0095810176617</v>
      </c>
      <c r="W353" s="0" t="n">
        <v>20230930</v>
      </c>
      <c r="X353" s="0" t="n">
        <v>-0.199629507682116</v>
      </c>
      <c r="Y353" s="0" t="n">
        <v>-1.53</v>
      </c>
      <c r="Z353" s="0" t="s">
        <v>123</v>
      </c>
    </row>
    <row r="354" customFormat="false" ht="15" hidden="false" customHeight="false" outlineLevel="0" collapsed="false">
      <c r="A354" s="0" t="n">
        <v>354</v>
      </c>
      <c r="B354" s="0" t="n">
        <v>298875</v>
      </c>
      <c r="C354" s="0" t="n">
        <v>28155</v>
      </c>
      <c r="D354" s="0" t="n">
        <v>265401</v>
      </c>
      <c r="E354" s="0" t="n">
        <v>-0.04</v>
      </c>
      <c r="F354" s="0" t="n">
        <v>27404</v>
      </c>
      <c r="G354" s="0" t="n">
        <v>9.16905060644082</v>
      </c>
      <c r="H354" s="0" t="s">
        <v>511</v>
      </c>
      <c r="I354" s="0" t="n">
        <v>0.492209222382439</v>
      </c>
      <c r="J354" s="0" t="n">
        <v>11483</v>
      </c>
      <c r="K354" s="0" t="n">
        <v>5666</v>
      </c>
      <c r="L354" s="0" t="n">
        <v>164361</v>
      </c>
      <c r="M354" s="0" t="n">
        <v>163552</v>
      </c>
      <c r="N354" s="0" t="n">
        <v>146698</v>
      </c>
      <c r="O354" s="0" t="n">
        <v>23</v>
      </c>
      <c r="P354" s="0" t="s">
        <v>174</v>
      </c>
      <c r="Q354" s="0" t="n">
        <v>0.0139935872865217</v>
      </c>
      <c r="R354" s="0" t="n">
        <v>2.46018753591954</v>
      </c>
      <c r="S354" s="0" t="n">
        <v>5</v>
      </c>
      <c r="T354" s="0" t="n">
        <v>1393</v>
      </c>
      <c r="U354" s="0" t="n">
        <v>0</v>
      </c>
      <c r="V354" s="0" t="n">
        <v>18.1839172272631</v>
      </c>
      <c r="W354" s="0" t="n">
        <v>20230930</v>
      </c>
      <c r="X354" s="0" t="n">
        <v>0.0370623139686274</v>
      </c>
      <c r="Y354" s="0" t="n">
        <v>0.4</v>
      </c>
      <c r="Z354" s="0" t="s">
        <v>123</v>
      </c>
    </row>
    <row r="355" customFormat="false" ht="15" hidden="false" customHeight="false" outlineLevel="0" collapsed="false">
      <c r="A355" s="0" t="n">
        <v>355</v>
      </c>
      <c r="B355" s="0" t="n">
        <v>101273</v>
      </c>
      <c r="C355" s="0" t="n">
        <v>28288</v>
      </c>
      <c r="D355" s="0" t="n">
        <v>77424</v>
      </c>
      <c r="E355" s="0" t="n">
        <v>0</v>
      </c>
      <c r="F355" s="0" t="n">
        <v>5334</v>
      </c>
      <c r="G355" s="0" t="n">
        <v>5.26695170479792</v>
      </c>
      <c r="H355" s="0" t="s">
        <v>512</v>
      </c>
      <c r="I355" s="0" t="n">
        <v>1.07154733899078</v>
      </c>
      <c r="J355" s="0" t="n">
        <v>4476</v>
      </c>
      <c r="K355" s="0" t="n">
        <v>527</v>
      </c>
      <c r="L355" s="0" t="n">
        <v>81191</v>
      </c>
      <c r="M355" s="0" t="n">
        <v>80321</v>
      </c>
      <c r="N355" s="0" t="n">
        <v>76188</v>
      </c>
      <c r="O355" s="0" t="n">
        <v>264</v>
      </c>
      <c r="P355" s="0" t="s">
        <v>176</v>
      </c>
      <c r="Q355" s="0" t="n">
        <v>0.325159192521338</v>
      </c>
      <c r="R355" s="0" t="n">
        <v>2.73718549820226</v>
      </c>
      <c r="S355" s="0" t="n">
        <v>-8</v>
      </c>
      <c r="T355" s="0" t="n">
        <v>37</v>
      </c>
      <c r="U355" s="0" t="n">
        <v>0</v>
      </c>
      <c r="V355" s="0" t="n">
        <v>13.2681105302464</v>
      </c>
      <c r="W355" s="0" t="n">
        <v>20230930</v>
      </c>
      <c r="X355" s="0" t="n">
        <v>-0.0352437385730334</v>
      </c>
      <c r="Y355" s="0" t="n">
        <v>-0.62</v>
      </c>
      <c r="Z355" s="0" t="s">
        <v>105</v>
      </c>
    </row>
    <row r="356" customFormat="false" ht="15" hidden="false" customHeight="false" outlineLevel="0" collapsed="false">
      <c r="A356" s="0" t="n">
        <v>356</v>
      </c>
      <c r="B356" s="0" t="n">
        <v>89908</v>
      </c>
      <c r="C356" s="0" t="n">
        <v>28369</v>
      </c>
      <c r="D356" s="0" t="n">
        <v>79937</v>
      </c>
      <c r="E356" s="0" t="n">
        <v>0.04</v>
      </c>
      <c r="F356" s="0" t="n">
        <v>9426</v>
      </c>
      <c r="G356" s="0" t="n">
        <v>10.4840503625929</v>
      </c>
      <c r="H356" s="0" t="s">
        <v>513</v>
      </c>
      <c r="I356" s="0" t="n">
        <v>0.74635493609095</v>
      </c>
      <c r="J356" s="0" t="n">
        <v>11687</v>
      </c>
      <c r="K356" s="0" t="n">
        <v>821</v>
      </c>
      <c r="L356" s="0" t="n">
        <v>77845</v>
      </c>
      <c r="M356" s="0" t="n">
        <v>77264</v>
      </c>
      <c r="N356" s="0" t="n">
        <v>65337</v>
      </c>
      <c r="O356" s="0" t="n">
        <v>225</v>
      </c>
      <c r="P356" s="0" t="s">
        <v>178</v>
      </c>
      <c r="Q356" s="0" t="n">
        <v>0.289035904682382</v>
      </c>
      <c r="R356" s="0" t="n">
        <v>3.35494907396286</v>
      </c>
      <c r="S356" s="0" t="n">
        <v>-1</v>
      </c>
      <c r="T356" s="0" t="n">
        <v>180</v>
      </c>
      <c r="U356" s="0" t="n">
        <v>0</v>
      </c>
      <c r="V356" s="0" t="n">
        <v>0</v>
      </c>
      <c r="W356" s="0" t="n">
        <v>20230930</v>
      </c>
      <c r="X356" s="0" t="n">
        <v>-0.142809757264821</v>
      </c>
      <c r="Y356" s="0" t="n">
        <v>-1.32</v>
      </c>
      <c r="Z356" s="0" t="s">
        <v>105</v>
      </c>
    </row>
    <row r="357" customFormat="false" ht="15" hidden="false" customHeight="false" outlineLevel="0" collapsed="false">
      <c r="A357" s="0" t="n">
        <v>357</v>
      </c>
      <c r="B357" s="0" t="n">
        <v>282885</v>
      </c>
      <c r="C357" s="0" t="n">
        <v>28837</v>
      </c>
      <c r="D357" s="0" t="n">
        <v>253635</v>
      </c>
      <c r="E357" s="0" t="n">
        <v>0.03</v>
      </c>
      <c r="F357" s="0" t="n">
        <v>25486</v>
      </c>
      <c r="G357" s="0" t="n">
        <v>9.00931473920498</v>
      </c>
      <c r="H357" s="0" t="s">
        <v>514</v>
      </c>
      <c r="I357" s="0" t="n">
        <v>1.13972726851542</v>
      </c>
      <c r="J357" s="0" t="n">
        <v>6214</v>
      </c>
      <c r="K357" s="0" t="n">
        <v>1468</v>
      </c>
      <c r="L357" s="0" t="n">
        <v>194257</v>
      </c>
      <c r="M357" s="0" t="n">
        <v>192043</v>
      </c>
      <c r="N357" s="0" t="n">
        <v>185306</v>
      </c>
      <c r="O357" s="0" t="n">
        <v>52</v>
      </c>
      <c r="P357" s="0" t="s">
        <v>180</v>
      </c>
      <c r="Q357" s="0" t="n">
        <v>0.0267686621331535</v>
      </c>
      <c r="R357" s="0" t="n">
        <v>3.61649026008213</v>
      </c>
      <c r="S357" s="0" t="n">
        <v>49</v>
      </c>
      <c r="T357" s="0" t="n">
        <v>150</v>
      </c>
      <c r="U357" s="0" t="n">
        <v>0</v>
      </c>
      <c r="V357" s="0" t="n">
        <v>16.4920250160645</v>
      </c>
      <c r="W357" s="0" t="n">
        <v>20230930</v>
      </c>
      <c r="X357" s="0" t="n">
        <v>0.916700071704755</v>
      </c>
      <c r="Y357" s="0" t="n">
        <v>10.87</v>
      </c>
      <c r="Z357" s="0" t="s">
        <v>112</v>
      </c>
    </row>
    <row r="358" customFormat="false" ht="15" hidden="false" customHeight="false" outlineLevel="0" collapsed="false">
      <c r="A358" s="0" t="n">
        <v>358</v>
      </c>
      <c r="B358" s="0" t="n">
        <v>180600</v>
      </c>
      <c r="C358" s="0" t="n">
        <v>29636</v>
      </c>
      <c r="D358" s="0" t="n">
        <v>148201</v>
      </c>
      <c r="E358" s="0" t="n">
        <v>0.05</v>
      </c>
      <c r="F358" s="0" t="n">
        <v>24993</v>
      </c>
      <c r="G358" s="0" t="n">
        <v>13.8388704318937</v>
      </c>
      <c r="H358" s="0" t="s">
        <v>515</v>
      </c>
      <c r="I358" s="0" t="n">
        <v>1.43396511364495</v>
      </c>
      <c r="J358" s="0" t="n">
        <v>1905</v>
      </c>
      <c r="K358" s="0" t="n">
        <v>1503</v>
      </c>
      <c r="L358" s="0" t="n">
        <v>132430</v>
      </c>
      <c r="M358" s="0" t="n">
        <v>130531</v>
      </c>
      <c r="N358" s="0" t="n">
        <v>129022</v>
      </c>
      <c r="O358" s="0" t="n">
        <v>1460</v>
      </c>
      <c r="P358" s="0" t="s">
        <v>182</v>
      </c>
      <c r="Q358" s="0" t="n">
        <v>1.10246922902666</v>
      </c>
      <c r="R358" s="0" t="n">
        <v>3.59795728465481</v>
      </c>
      <c r="S358" s="0" t="n">
        <v>-7</v>
      </c>
      <c r="T358" s="0" t="n">
        <v>2021</v>
      </c>
      <c r="U358" s="0" t="n">
        <v>0</v>
      </c>
      <c r="V358" s="0" t="n">
        <v>26.9099099993054</v>
      </c>
      <c r="W358" s="0" t="n">
        <v>20230930</v>
      </c>
      <c r="X358" s="0" t="n">
        <v>0.435888648144593</v>
      </c>
      <c r="Y358" s="0" t="n">
        <v>3.22</v>
      </c>
      <c r="Z358" s="0" t="s">
        <v>105</v>
      </c>
    </row>
    <row r="359" customFormat="false" ht="15" hidden="false" customHeight="false" outlineLevel="0" collapsed="false">
      <c r="A359" s="0" t="n">
        <v>359</v>
      </c>
      <c r="B359" s="0" t="n">
        <v>181231</v>
      </c>
      <c r="C359" s="0" t="n">
        <v>29743</v>
      </c>
      <c r="D359" s="0" t="n">
        <v>161163</v>
      </c>
      <c r="E359" s="0" t="n">
        <v>-0.01</v>
      </c>
      <c r="F359" s="0" t="n">
        <v>15641</v>
      </c>
      <c r="G359" s="0" t="n">
        <v>8.63042194768003</v>
      </c>
      <c r="H359" s="0" t="s">
        <v>516</v>
      </c>
      <c r="I359" s="0" t="n">
        <v>0.714732691481261</v>
      </c>
      <c r="J359" s="0" t="n">
        <v>27176</v>
      </c>
      <c r="K359" s="0" t="n">
        <v>21550</v>
      </c>
      <c r="L359" s="0" t="n">
        <v>132637</v>
      </c>
      <c r="M359" s="0" t="n">
        <v>131689</v>
      </c>
      <c r="N359" s="0" t="n">
        <v>83811</v>
      </c>
      <c r="O359" s="0" t="n">
        <v>267</v>
      </c>
      <c r="P359" s="0" t="s">
        <v>184</v>
      </c>
      <c r="Q359" s="0" t="n">
        <v>0.201301296018456</v>
      </c>
      <c r="R359" s="0" t="n">
        <v>2.41981937458205</v>
      </c>
      <c r="S359" s="0" t="n">
        <v>9</v>
      </c>
      <c r="T359" s="0" t="n">
        <v>442</v>
      </c>
      <c r="U359" s="0" t="n">
        <v>0</v>
      </c>
      <c r="V359" s="0" t="n">
        <v>17.9771689497717</v>
      </c>
      <c r="W359" s="0" t="n">
        <v>20230930</v>
      </c>
      <c r="X359" s="0" t="n">
        <v>0.609728796923956</v>
      </c>
      <c r="Y359" s="0" t="n">
        <v>7.19</v>
      </c>
      <c r="Z359" s="0" t="s">
        <v>105</v>
      </c>
    </row>
    <row r="360" customFormat="false" ht="15" hidden="false" customHeight="false" outlineLevel="0" collapsed="false">
      <c r="A360" s="0" t="n">
        <v>360</v>
      </c>
      <c r="B360" s="0" t="n">
        <v>556748</v>
      </c>
      <c r="C360" s="0" t="n">
        <v>29744</v>
      </c>
      <c r="D360" s="0" t="n">
        <v>435499</v>
      </c>
      <c r="E360" s="0" t="n">
        <v>0.01</v>
      </c>
      <c r="F360" s="0" t="n">
        <v>47207</v>
      </c>
      <c r="G360" s="0" t="n">
        <v>8.4790605444474</v>
      </c>
      <c r="H360" s="0" t="s">
        <v>517</v>
      </c>
      <c r="I360" s="0" t="n">
        <v>0.782493089807963</v>
      </c>
      <c r="J360" s="0" t="n">
        <v>24875</v>
      </c>
      <c r="K360" s="0" t="n">
        <v>9813</v>
      </c>
      <c r="L360" s="0" t="n">
        <v>427991</v>
      </c>
      <c r="M360" s="0" t="n">
        <v>424642</v>
      </c>
      <c r="N360" s="0" t="n">
        <v>393303</v>
      </c>
      <c r="O360" s="0" t="n">
        <v>0</v>
      </c>
      <c r="P360" s="0" t="s">
        <v>186</v>
      </c>
      <c r="Q360" s="0" t="n">
        <v>0</v>
      </c>
      <c r="R360" s="0" t="n">
        <v>2.23388795792033</v>
      </c>
      <c r="S360" s="0" t="n">
        <v>2</v>
      </c>
      <c r="T360" s="0" t="n">
        <v>0</v>
      </c>
      <c r="U360" s="0" t="n">
        <v>0</v>
      </c>
      <c r="V360" s="0" t="n">
        <v>17.9248565206076</v>
      </c>
      <c r="W360" s="0" t="n">
        <v>20230930</v>
      </c>
      <c r="X360" s="0" t="n">
        <v>-0.23978915883559</v>
      </c>
      <c r="Y360" s="0" t="n">
        <v>-2.71</v>
      </c>
      <c r="Z360" s="0" t="s">
        <v>123</v>
      </c>
    </row>
    <row r="361" customFormat="false" ht="15" hidden="false" customHeight="false" outlineLevel="0" collapsed="false">
      <c r="A361" s="0" t="n">
        <v>361</v>
      </c>
      <c r="B361" s="0" t="n">
        <v>558317</v>
      </c>
      <c r="C361" s="0" t="n">
        <v>30350</v>
      </c>
      <c r="D361" s="0" t="n">
        <v>447436</v>
      </c>
      <c r="E361" s="0" t="n">
        <v>0</v>
      </c>
      <c r="F361" s="0" t="n">
        <v>53432</v>
      </c>
      <c r="G361" s="0" t="n">
        <v>9.5701904115404</v>
      </c>
      <c r="H361" s="0" t="s">
        <v>518</v>
      </c>
      <c r="I361" s="0" t="n">
        <v>1.29940924731448</v>
      </c>
      <c r="J361" s="0" t="n">
        <v>16937</v>
      </c>
      <c r="K361" s="0" t="n">
        <v>1367</v>
      </c>
      <c r="L361" s="0" t="n">
        <v>405415</v>
      </c>
      <c r="M361" s="0" t="n">
        <v>400147</v>
      </c>
      <c r="N361" s="0" t="n">
        <v>383676</v>
      </c>
      <c r="O361" s="0" t="n">
        <v>1501</v>
      </c>
      <c r="P361" s="0" t="s">
        <v>188</v>
      </c>
      <c r="Q361" s="0" t="n">
        <v>0.370237904369597</v>
      </c>
      <c r="R361" s="0" t="n">
        <v>2.88804492626645</v>
      </c>
      <c r="S361" s="0" t="n">
        <v>-26</v>
      </c>
      <c r="T361" s="0" t="n">
        <v>857</v>
      </c>
      <c r="U361" s="0" t="n">
        <v>0</v>
      </c>
      <c r="V361" s="0" t="n">
        <v>20.0620932556609</v>
      </c>
      <c r="W361" s="0" t="n">
        <v>20230930</v>
      </c>
      <c r="X361" s="0" t="n">
        <v>0.68917419304188</v>
      </c>
      <c r="Y361" s="0" t="n">
        <v>7.24</v>
      </c>
      <c r="Z361" s="0" t="s">
        <v>112</v>
      </c>
    </row>
    <row r="362" customFormat="false" ht="15" hidden="false" customHeight="false" outlineLevel="0" collapsed="false">
      <c r="A362" s="0" t="n">
        <v>362</v>
      </c>
      <c r="B362" s="0" t="n">
        <v>103998</v>
      </c>
      <c r="C362" s="0" t="n">
        <v>30878</v>
      </c>
      <c r="D362" s="0" t="n">
        <v>73816</v>
      </c>
      <c r="E362" s="0" t="n">
        <v>-0.06</v>
      </c>
      <c r="F362" s="0" t="n">
        <v>12376</v>
      </c>
      <c r="G362" s="0" t="n">
        <v>11.9002288505548</v>
      </c>
      <c r="H362" s="0" t="s">
        <v>519</v>
      </c>
      <c r="I362" s="0" t="n">
        <v>0.82951017192641</v>
      </c>
      <c r="J362" s="0" t="n">
        <v>0</v>
      </c>
      <c r="K362" s="0" t="n">
        <v>196</v>
      </c>
      <c r="L362" s="0" t="n">
        <v>86316</v>
      </c>
      <c r="M362" s="0" t="n">
        <v>85600</v>
      </c>
      <c r="N362" s="0" t="n">
        <v>86120</v>
      </c>
      <c r="O362" s="0" t="n">
        <v>700</v>
      </c>
      <c r="P362" s="0" t="s">
        <v>190</v>
      </c>
      <c r="Q362" s="0" t="n">
        <v>0.81097363177163</v>
      </c>
      <c r="R362" s="0" t="n">
        <v>1.57863495847898</v>
      </c>
      <c r="S362" s="0" t="n">
        <v>0</v>
      </c>
      <c r="T362" s="0" t="n">
        <v>215</v>
      </c>
      <c r="U362" s="0" t="n">
        <v>0</v>
      </c>
      <c r="V362" s="0" t="n">
        <v>0</v>
      </c>
      <c r="W362" s="0" t="n">
        <v>20230930</v>
      </c>
      <c r="X362" s="0" t="n">
        <v>-0.189389204545454</v>
      </c>
      <c r="Y362" s="0" t="n">
        <v>-1.56</v>
      </c>
      <c r="Z362" s="0" t="s">
        <v>105</v>
      </c>
    </row>
    <row r="363" customFormat="false" ht="15" hidden="false" customHeight="false" outlineLevel="0" collapsed="false">
      <c r="A363" s="0" t="n">
        <v>363</v>
      </c>
      <c r="B363" s="0" t="n">
        <v>798886</v>
      </c>
      <c r="C363" s="0" t="n">
        <v>33418</v>
      </c>
      <c r="D363" s="0" t="n">
        <v>597610</v>
      </c>
      <c r="E363" s="0" t="n">
        <v>-0.01</v>
      </c>
      <c r="F363" s="0" t="n">
        <v>66192</v>
      </c>
      <c r="G363" s="0" t="n">
        <v>8.28553761112349</v>
      </c>
      <c r="H363" s="0" t="s">
        <v>520</v>
      </c>
      <c r="I363" s="0" t="n">
        <v>0.709660157985105</v>
      </c>
      <c r="J363" s="0" t="n">
        <v>45738</v>
      </c>
      <c r="K363" s="0" t="n">
        <v>10764</v>
      </c>
      <c r="L363" s="0" t="n">
        <v>384973</v>
      </c>
      <c r="M363" s="0" t="n">
        <v>382241</v>
      </c>
      <c r="N363" s="0" t="n">
        <v>329540</v>
      </c>
      <c r="O363" s="0" t="n">
        <v>1080</v>
      </c>
      <c r="P363" s="0" t="s">
        <v>192</v>
      </c>
      <c r="Q363" s="0" t="n">
        <v>0.280539154693965</v>
      </c>
      <c r="R363" s="0" t="n">
        <v>2.64905350409492</v>
      </c>
      <c r="S363" s="0" t="n">
        <v>-27</v>
      </c>
      <c r="T363" s="0" t="n">
        <v>452</v>
      </c>
      <c r="U363" s="0" t="n">
        <v>0</v>
      </c>
      <c r="V363" s="0" t="n">
        <v>17.5388397485744</v>
      </c>
      <c r="W363" s="0" t="n">
        <v>20230930</v>
      </c>
      <c r="X363" s="0" t="n">
        <v>0.6651450346927</v>
      </c>
      <c r="Y363" s="0" t="n">
        <v>7.55</v>
      </c>
      <c r="Z363" s="0" t="s">
        <v>112</v>
      </c>
    </row>
    <row r="364" customFormat="false" ht="15" hidden="false" customHeight="false" outlineLevel="0" collapsed="false">
      <c r="A364" s="0" t="n">
        <v>364</v>
      </c>
      <c r="B364" s="0" t="n">
        <v>71615</v>
      </c>
      <c r="C364" s="0" t="n">
        <v>35206</v>
      </c>
      <c r="D364" s="0" t="n">
        <v>500</v>
      </c>
      <c r="E364" s="0" t="n">
        <v>0</v>
      </c>
      <c r="F364" s="0" t="n">
        <v>69069</v>
      </c>
      <c r="G364" s="0" t="n">
        <v>96.4448788661593</v>
      </c>
      <c r="H364" s="0" t="s">
        <v>521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s">
        <v>252</v>
      </c>
      <c r="Q364" s="0" t="n">
        <v>0</v>
      </c>
      <c r="R364" s="0" t="n">
        <v>4.55333780973658</v>
      </c>
      <c r="S364" s="0" t="n">
        <v>0</v>
      </c>
      <c r="T364" s="0" t="n">
        <v>0</v>
      </c>
      <c r="U364" s="0" t="n">
        <v>0</v>
      </c>
      <c r="V364" s="0" t="n">
        <v>0</v>
      </c>
      <c r="W364" s="0" t="n">
        <v>20230930</v>
      </c>
      <c r="X364" s="0" t="n">
        <v>16.5098035393691</v>
      </c>
      <c r="Y364" s="0" t="n">
        <v>17.27</v>
      </c>
      <c r="Z364" s="0" t="s">
        <v>123</v>
      </c>
    </row>
    <row r="365" customFormat="false" ht="15" hidden="false" customHeight="false" outlineLevel="0" collapsed="false">
      <c r="A365" s="0" t="n">
        <v>365</v>
      </c>
      <c r="B365" s="0" t="n">
        <v>5769551</v>
      </c>
      <c r="C365" s="0" t="n">
        <v>4255</v>
      </c>
      <c r="D365" s="0" t="n">
        <v>4715626</v>
      </c>
      <c r="E365" s="0" t="n">
        <v>-0.01</v>
      </c>
      <c r="F365" s="0" t="n">
        <v>473807</v>
      </c>
      <c r="G365" s="0" t="n">
        <v>8.21219883488334</v>
      </c>
      <c r="H365" s="0" t="s">
        <v>522</v>
      </c>
      <c r="I365" s="0" t="n">
        <v>0.894608806762335</v>
      </c>
      <c r="J365" s="0" t="n">
        <v>329244</v>
      </c>
      <c r="K365" s="0" t="n">
        <v>19312</v>
      </c>
      <c r="L365" s="0" t="n">
        <v>4069600</v>
      </c>
      <c r="M365" s="0" t="n">
        <v>4033193</v>
      </c>
      <c r="N365" s="0" t="n">
        <v>3692040</v>
      </c>
      <c r="O365" s="0" t="n">
        <v>4624</v>
      </c>
      <c r="P365" s="0" t="s">
        <v>194</v>
      </c>
      <c r="Q365" s="0" t="n">
        <v>0.113622960487517</v>
      </c>
      <c r="R365" s="0" t="n">
        <v>2.56474515514667</v>
      </c>
      <c r="S365" s="0" t="n">
        <v>803</v>
      </c>
      <c r="T365" s="0" t="n">
        <v>3802</v>
      </c>
      <c r="U365" s="0" t="n">
        <v>0</v>
      </c>
      <c r="V365" s="0" t="n">
        <v>13.4798604676514</v>
      </c>
      <c r="W365" s="0" t="n">
        <v>20230930</v>
      </c>
      <c r="X365" s="0" t="n">
        <v>0.85843791282139</v>
      </c>
      <c r="Y365" s="0" t="n">
        <v>10.4</v>
      </c>
      <c r="Z365" s="0" t="s">
        <v>105</v>
      </c>
    </row>
    <row r="366" customFormat="false" ht="15" hidden="false" customHeight="false" outlineLevel="0" collapsed="false">
      <c r="A366" s="0" t="n">
        <v>366</v>
      </c>
      <c r="B366" s="0" t="n">
        <v>2908137</v>
      </c>
      <c r="C366" s="0" t="n">
        <v>4256</v>
      </c>
      <c r="D366" s="0" t="n">
        <v>2600576</v>
      </c>
      <c r="E366" s="0" t="n">
        <v>0.02</v>
      </c>
      <c r="F366" s="0" t="n">
        <v>198185</v>
      </c>
      <c r="G366" s="0" t="n">
        <v>6.814844004942</v>
      </c>
      <c r="H366" s="0" t="s">
        <v>523</v>
      </c>
      <c r="I366" s="0" t="n">
        <v>1.12118100424589</v>
      </c>
      <c r="J366" s="0" t="n">
        <v>305649</v>
      </c>
      <c r="K366" s="0" t="n">
        <v>19370</v>
      </c>
      <c r="L366" s="0" t="n">
        <v>2080128</v>
      </c>
      <c r="M366" s="0" t="n">
        <v>2056806</v>
      </c>
      <c r="N366" s="0" t="n">
        <v>1651715</v>
      </c>
      <c r="O366" s="0" t="n">
        <v>2553</v>
      </c>
      <c r="P366" s="0" t="s">
        <v>196</v>
      </c>
      <c r="Q366" s="0" t="n">
        <v>0.123261645437204</v>
      </c>
      <c r="R366" s="0" t="n">
        <v>2.49431632578962</v>
      </c>
      <c r="S366" s="0" t="n">
        <v>30</v>
      </c>
      <c r="T366" s="0" t="n">
        <v>876</v>
      </c>
      <c r="U366" s="0" t="n">
        <v>11</v>
      </c>
      <c r="V366" s="0" t="n">
        <v>13.7220466873877</v>
      </c>
      <c r="W366" s="0" t="n">
        <v>20230930</v>
      </c>
      <c r="X366" s="0" t="n">
        <v>1.11780782530143</v>
      </c>
      <c r="Y366" s="0" t="n">
        <v>15.66</v>
      </c>
      <c r="Z366" s="0" t="s">
        <v>105</v>
      </c>
    </row>
    <row r="367" customFormat="false" ht="15" hidden="false" customHeight="false" outlineLevel="0" collapsed="false">
      <c r="A367" s="0" t="n">
        <v>367</v>
      </c>
      <c r="B367" s="0" t="n">
        <v>697563</v>
      </c>
      <c r="C367" s="0" t="n">
        <v>59086</v>
      </c>
      <c r="D367" s="0" t="n">
        <v>607269</v>
      </c>
      <c r="E367" s="0" t="n">
        <v>0.07</v>
      </c>
      <c r="F367" s="0" t="n">
        <v>86533</v>
      </c>
      <c r="G367" s="0" t="n">
        <v>12.405044418927</v>
      </c>
      <c r="H367" s="0" t="s">
        <v>524</v>
      </c>
      <c r="I367" s="0" t="n">
        <v>1.09824843101201</v>
      </c>
      <c r="J367" s="0" t="n">
        <v>115698</v>
      </c>
      <c r="K367" s="0" t="n">
        <v>0</v>
      </c>
      <c r="L367" s="0" t="n">
        <v>579195</v>
      </c>
      <c r="M367" s="0" t="n">
        <v>572834</v>
      </c>
      <c r="N367" s="0" t="n">
        <v>463924</v>
      </c>
      <c r="O367" s="0" t="n">
        <v>6396</v>
      </c>
      <c r="P367" s="0" t="s">
        <v>198</v>
      </c>
      <c r="Q367" s="0" t="n">
        <v>0.98705962586003</v>
      </c>
      <c r="R367" s="0" t="n">
        <v>4.07526020642892</v>
      </c>
      <c r="S367" s="0" t="n">
        <v>513</v>
      </c>
      <c r="T367" s="0" t="n">
        <v>2283</v>
      </c>
      <c r="U367" s="0" t="n">
        <v>1232</v>
      </c>
      <c r="V367" s="0" t="n">
        <v>15.287885221135</v>
      </c>
      <c r="W367" s="0" t="n">
        <v>20230930</v>
      </c>
      <c r="X367" s="0" t="n">
        <v>1.59440584811708</v>
      </c>
      <c r="Y367" s="0" t="n">
        <v>13.35</v>
      </c>
      <c r="Z367" s="0" t="s">
        <v>123</v>
      </c>
    </row>
    <row r="368" customFormat="false" ht="15" hidden="false" customHeight="false" outlineLevel="0" collapsed="false">
      <c r="A368" s="0" t="n">
        <v>368</v>
      </c>
      <c r="B368" s="0" t="n">
        <v>219071</v>
      </c>
      <c r="C368" s="0" t="n">
        <v>59176</v>
      </c>
      <c r="D368" s="0" t="n">
        <v>188051</v>
      </c>
      <c r="E368" s="0" t="n">
        <v>0.2</v>
      </c>
      <c r="F368" s="0" t="n">
        <v>23030</v>
      </c>
      <c r="G368" s="0" t="n">
        <v>10.5125735492146</v>
      </c>
      <c r="H368" s="0" t="s">
        <v>525</v>
      </c>
      <c r="I368" s="0" t="n">
        <v>1.05648054772342</v>
      </c>
      <c r="J368" s="0" t="n">
        <v>20876</v>
      </c>
      <c r="K368" s="0" t="n">
        <v>5</v>
      </c>
      <c r="L368" s="0" t="n">
        <v>145767</v>
      </c>
      <c r="M368" s="0" t="n">
        <v>144227</v>
      </c>
      <c r="N368" s="0" t="n">
        <v>124886</v>
      </c>
      <c r="O368" s="0" t="n">
        <v>0</v>
      </c>
      <c r="P368" s="0" t="s">
        <v>200</v>
      </c>
      <c r="Q368" s="0" t="n">
        <v>0</v>
      </c>
      <c r="R368" s="0" t="n">
        <v>2.37742627283054</v>
      </c>
      <c r="S368" s="0" t="n">
        <v>34</v>
      </c>
      <c r="T368" s="0" t="n">
        <v>0</v>
      </c>
      <c r="U368" s="0" t="n">
        <v>0</v>
      </c>
      <c r="V368" s="0" t="n">
        <v>17.3183973610061</v>
      </c>
      <c r="W368" s="0" t="n">
        <v>20230930</v>
      </c>
      <c r="X368" s="0" t="n">
        <v>-0.224099348694985</v>
      </c>
      <c r="Y368" s="0" t="n">
        <v>-1.9</v>
      </c>
      <c r="Z368" s="0" t="s">
        <v>123</v>
      </c>
    </row>
    <row r="369" customFormat="false" ht="15" hidden="false" customHeight="false" outlineLevel="0" collapsed="false">
      <c r="A369" s="0" t="n">
        <v>369</v>
      </c>
      <c r="B369" s="0" t="n">
        <v>61993</v>
      </c>
      <c r="C369" s="0" t="n">
        <v>59289</v>
      </c>
      <c r="D369" s="0" t="n">
        <v>41455</v>
      </c>
      <c r="E369" s="0" t="n">
        <v>1.02</v>
      </c>
      <c r="F369" s="0" t="n">
        <v>19641</v>
      </c>
      <c r="G369" s="0" t="n">
        <v>31.6826093268595</v>
      </c>
      <c r="H369" s="0" t="s">
        <v>526</v>
      </c>
      <c r="I369" s="0" t="n">
        <v>1.30161876445325</v>
      </c>
      <c r="J369" s="0" t="n">
        <v>16338</v>
      </c>
      <c r="K369" s="0" t="n">
        <v>0</v>
      </c>
      <c r="L369" s="0" t="n">
        <v>30270</v>
      </c>
      <c r="M369" s="0" t="n">
        <v>29876</v>
      </c>
      <c r="N369" s="0" t="n">
        <v>13029</v>
      </c>
      <c r="O369" s="0" t="n">
        <v>0</v>
      </c>
      <c r="P369" s="0" t="s">
        <v>364</v>
      </c>
      <c r="Q369" s="0" t="n">
        <v>0</v>
      </c>
      <c r="R369" s="0" t="n">
        <v>4.55562914912624</v>
      </c>
      <c r="S369" s="0" t="n">
        <v>0</v>
      </c>
      <c r="T369" s="0" t="n">
        <v>0</v>
      </c>
      <c r="U369" s="0" t="n">
        <v>0</v>
      </c>
      <c r="V369" s="0" t="n">
        <v>0</v>
      </c>
      <c r="W369" s="0" t="n">
        <v>20230930</v>
      </c>
      <c r="X369" s="0" t="n">
        <v>-5.48471220679485</v>
      </c>
      <c r="Y369" s="0" t="n">
        <v>-11.97</v>
      </c>
      <c r="Z369" s="0" t="s">
        <v>123</v>
      </c>
    </row>
    <row r="370" customFormat="false" ht="15" hidden="false" customHeight="false" outlineLevel="0" collapsed="false">
      <c r="A370" s="0" t="n">
        <v>370</v>
      </c>
      <c r="B370" s="0" t="n">
        <v>134128</v>
      </c>
      <c r="C370" s="0" t="n">
        <v>59298</v>
      </c>
      <c r="D370" s="0" t="n">
        <v>105729</v>
      </c>
      <c r="E370" s="0" t="n">
        <v>0.23</v>
      </c>
      <c r="F370" s="0" t="n">
        <v>27342</v>
      </c>
      <c r="G370" s="0" t="n">
        <v>20.3850053680067</v>
      </c>
      <c r="H370" s="0" t="s">
        <v>527</v>
      </c>
      <c r="I370" s="0" t="n">
        <v>0.789434301107453</v>
      </c>
      <c r="J370" s="0" t="n">
        <v>15440</v>
      </c>
      <c r="K370" s="0" t="n">
        <v>0</v>
      </c>
      <c r="L370" s="0" t="n">
        <v>53456</v>
      </c>
      <c r="M370" s="0" t="n">
        <v>53034</v>
      </c>
      <c r="N370" s="0" t="n">
        <v>38015</v>
      </c>
      <c r="O370" s="0" t="n">
        <v>0</v>
      </c>
      <c r="P370" s="0" t="s">
        <v>310</v>
      </c>
      <c r="Q370" s="0" t="n">
        <v>0</v>
      </c>
      <c r="R370" s="0" t="n">
        <v>2.77001222612168</v>
      </c>
      <c r="S370" s="0" t="n">
        <v>0</v>
      </c>
      <c r="T370" s="0" t="n">
        <v>0</v>
      </c>
      <c r="U370" s="0" t="n">
        <v>0</v>
      </c>
      <c r="V370" s="0" t="n">
        <v>0</v>
      </c>
      <c r="W370" s="0" t="n">
        <v>20230930</v>
      </c>
      <c r="X370" s="0" t="n">
        <v>-2.33450133372531</v>
      </c>
      <c r="Y370" s="0" t="n">
        <v>-9.49</v>
      </c>
      <c r="Z370" s="0" t="s">
        <v>112</v>
      </c>
    </row>
    <row r="371" customFormat="false" ht="15" hidden="false" customHeight="false" outlineLevel="0" collapsed="false">
      <c r="A371" s="0" t="n">
        <v>371</v>
      </c>
      <c r="B371" s="0" t="n">
        <v>1082666</v>
      </c>
      <c r="C371" s="0" t="n">
        <v>6271</v>
      </c>
      <c r="D371" s="0" t="n">
        <v>902628</v>
      </c>
      <c r="E371" s="0" t="n">
        <v>0.1</v>
      </c>
      <c r="F371" s="0" t="n">
        <v>90587</v>
      </c>
      <c r="G371" s="0" t="n">
        <v>8.36703101418166</v>
      </c>
      <c r="H371" s="0" t="s">
        <v>528</v>
      </c>
      <c r="I371" s="0" t="n">
        <v>1.13062886464032</v>
      </c>
      <c r="J371" s="0" t="n">
        <v>125837</v>
      </c>
      <c r="K371" s="0" t="n">
        <v>3320</v>
      </c>
      <c r="L371" s="0" t="n">
        <v>839179</v>
      </c>
      <c r="M371" s="0" t="n">
        <v>829691</v>
      </c>
      <c r="N371" s="0" t="n">
        <v>644820</v>
      </c>
      <c r="O371" s="0" t="n">
        <v>7215</v>
      </c>
      <c r="P371" s="0" t="s">
        <v>202</v>
      </c>
      <c r="Q371" s="0" t="n">
        <v>0.978813816837647</v>
      </c>
      <c r="R371" s="0" t="n">
        <v>3.50998122320519</v>
      </c>
      <c r="S371" s="0" t="n">
        <v>314</v>
      </c>
      <c r="T371" s="0" t="n">
        <v>724</v>
      </c>
      <c r="U371" s="0" t="n">
        <v>999</v>
      </c>
      <c r="V371" s="0" t="n">
        <v>14.6491413757327</v>
      </c>
      <c r="W371" s="0" t="n">
        <v>20230930</v>
      </c>
      <c r="X371" s="0" t="n">
        <v>1.3701658298972</v>
      </c>
      <c r="Y371" s="0" t="n">
        <v>15.9</v>
      </c>
      <c r="Z371" s="0" t="s">
        <v>112</v>
      </c>
    </row>
    <row r="372" customFormat="false" ht="15" hidden="false" customHeight="false" outlineLevel="0" collapsed="false">
      <c r="A372" s="0" t="n">
        <v>372</v>
      </c>
      <c r="B372" s="0" t="n">
        <v>554170</v>
      </c>
      <c r="C372" s="0" t="n">
        <v>6275</v>
      </c>
      <c r="D372" s="0" t="n">
        <v>479167</v>
      </c>
      <c r="E372" s="0" t="n">
        <v>0.01</v>
      </c>
      <c r="F372" s="0" t="n">
        <v>22855</v>
      </c>
      <c r="G372" s="0" t="n">
        <v>4.12418571918364</v>
      </c>
      <c r="H372" s="0" t="s">
        <v>529</v>
      </c>
      <c r="I372" s="0" t="n">
        <v>0.406204504196847</v>
      </c>
      <c r="J372" s="0" t="n">
        <v>34934</v>
      </c>
      <c r="K372" s="0" t="n">
        <v>13861</v>
      </c>
      <c r="L372" s="0" t="n">
        <v>333822</v>
      </c>
      <c r="M372" s="0" t="n">
        <v>332466</v>
      </c>
      <c r="N372" s="0" t="n">
        <v>274189</v>
      </c>
      <c r="O372" s="0" t="n">
        <v>1262</v>
      </c>
      <c r="P372" s="0" t="s">
        <v>204</v>
      </c>
      <c r="Q372" s="0" t="n">
        <v>0.378045784879367</v>
      </c>
      <c r="R372" s="0" t="n">
        <v>2.89483386017296</v>
      </c>
      <c r="S372" s="0" t="n">
        <v>0</v>
      </c>
      <c r="T372" s="0" t="n">
        <v>392</v>
      </c>
      <c r="U372" s="0" t="n">
        <v>0</v>
      </c>
      <c r="V372" s="0" t="n">
        <v>14.7986092970606</v>
      </c>
      <c r="W372" s="0" t="n">
        <v>20230930</v>
      </c>
      <c r="X372" s="0" t="n">
        <v>0.428313354479842</v>
      </c>
      <c r="Y372" s="0" t="n">
        <v>9</v>
      </c>
      <c r="Z372" s="0" t="s">
        <v>112</v>
      </c>
    </row>
    <row r="373" customFormat="false" ht="15" hidden="false" customHeight="false" outlineLevel="0" collapsed="false">
      <c r="A373" s="0" t="n">
        <v>373</v>
      </c>
      <c r="B373" s="0" t="n">
        <v>81114</v>
      </c>
      <c r="C373" s="0" t="n">
        <v>6280</v>
      </c>
      <c r="D373" s="0" t="n">
        <v>71481</v>
      </c>
      <c r="E373" s="0" t="n">
        <v>0.07</v>
      </c>
      <c r="F373" s="0" t="n">
        <v>9381</v>
      </c>
      <c r="G373" s="0" t="n">
        <v>11.5652045269621</v>
      </c>
      <c r="H373" s="0" t="s">
        <v>530</v>
      </c>
      <c r="I373" s="0" t="n">
        <v>1.29307111891154</v>
      </c>
      <c r="J373" s="0" t="n">
        <v>3368</v>
      </c>
      <c r="K373" s="0" t="n">
        <v>1610</v>
      </c>
      <c r="L373" s="0" t="n">
        <v>66663</v>
      </c>
      <c r="M373" s="0" t="n">
        <v>65801</v>
      </c>
      <c r="N373" s="0" t="n">
        <v>59127</v>
      </c>
      <c r="O373" s="0" t="n">
        <v>952</v>
      </c>
      <c r="P373" s="0" t="s">
        <v>206</v>
      </c>
      <c r="Q373" s="0" t="n">
        <v>1.42807854431994</v>
      </c>
      <c r="R373" s="0" t="n">
        <v>4.97162854589493</v>
      </c>
      <c r="S373" s="0" t="n">
        <v>9</v>
      </c>
      <c r="T373" s="0" t="n">
        <v>721</v>
      </c>
      <c r="U373" s="0" t="n">
        <v>0</v>
      </c>
      <c r="V373" s="0" t="n">
        <v>0</v>
      </c>
      <c r="W373" s="0" t="n">
        <v>20230930</v>
      </c>
      <c r="X373" s="0" t="n">
        <v>1.84180132673071</v>
      </c>
      <c r="Y373" s="0" t="n">
        <v>17.01</v>
      </c>
      <c r="Z373" s="0" t="s">
        <v>112</v>
      </c>
    </row>
    <row r="374" customFormat="false" ht="15" hidden="false" customHeight="false" outlineLevel="0" collapsed="false">
      <c r="A374" s="0" t="n">
        <v>374</v>
      </c>
      <c r="B374" s="0" t="n">
        <v>3967808</v>
      </c>
      <c r="C374" s="0" t="n">
        <v>11971</v>
      </c>
      <c r="D374" s="0" t="n">
        <v>3149026</v>
      </c>
      <c r="E374" s="0" t="n">
        <v>0.07</v>
      </c>
      <c r="F374" s="0" t="n">
        <v>483954</v>
      </c>
      <c r="G374" s="0" t="n">
        <v>12.1970115489459</v>
      </c>
      <c r="H374" s="0" t="s">
        <v>531</v>
      </c>
      <c r="I374" s="0" t="n">
        <v>0.937679717503244</v>
      </c>
      <c r="J374" s="0" t="n">
        <v>218797</v>
      </c>
      <c r="K374" s="0" t="n">
        <v>7832</v>
      </c>
      <c r="L374" s="0" t="n">
        <v>3001238</v>
      </c>
      <c r="M374" s="0" t="n">
        <v>2973096</v>
      </c>
      <c r="N374" s="0" t="n">
        <v>2638835</v>
      </c>
      <c r="O374" s="0" t="n">
        <v>5529</v>
      </c>
      <c r="P374" s="0" t="s">
        <v>104</v>
      </c>
      <c r="Q374" s="0" t="n">
        <v>0.188922038172248</v>
      </c>
      <c r="R374" s="0" t="n">
        <v>3.42069609134703</v>
      </c>
      <c r="S374" s="0" t="n">
        <v>626</v>
      </c>
      <c r="T374" s="0" t="n">
        <v>2393</v>
      </c>
      <c r="U374" s="0" t="n">
        <v>141</v>
      </c>
      <c r="V374" s="0" t="n">
        <v>13.9732003897365</v>
      </c>
      <c r="W374" s="0" t="n">
        <v>20231231</v>
      </c>
      <c r="X374" s="0" t="n">
        <v>1.29383869122729</v>
      </c>
      <c r="Y374" s="0" t="n">
        <v>11.08</v>
      </c>
      <c r="Z374" s="0" t="s">
        <v>105</v>
      </c>
    </row>
    <row r="375" customFormat="false" ht="15" hidden="false" customHeight="false" outlineLevel="0" collapsed="false">
      <c r="A375" s="0" t="n">
        <v>375</v>
      </c>
      <c r="B375" s="0" t="n">
        <v>1032673</v>
      </c>
      <c r="C375" s="0" t="n">
        <v>12874</v>
      </c>
      <c r="D375" s="0" t="n">
        <v>895094</v>
      </c>
      <c r="E375" s="0" t="n">
        <v>0.01</v>
      </c>
      <c r="F375" s="0" t="n">
        <v>106976</v>
      </c>
      <c r="G375" s="0" t="n">
        <v>10.3591359510707</v>
      </c>
      <c r="H375" s="0" t="s">
        <v>532</v>
      </c>
      <c r="I375" s="0" t="n">
        <v>0.998006489857876</v>
      </c>
      <c r="J375" s="0" t="n">
        <v>144853</v>
      </c>
      <c r="K375" s="0" t="n">
        <v>5403</v>
      </c>
      <c r="L375" s="0" t="n">
        <v>799093</v>
      </c>
      <c r="M375" s="0" t="n">
        <v>791118</v>
      </c>
      <c r="N375" s="0" t="n">
        <v>632740</v>
      </c>
      <c r="O375" s="0" t="n">
        <v>670</v>
      </c>
      <c r="P375" s="0" t="s">
        <v>107</v>
      </c>
      <c r="Q375" s="0" t="n">
        <v>0.0838450593360222</v>
      </c>
      <c r="R375" s="0" t="n">
        <v>3.88814771309452</v>
      </c>
      <c r="S375" s="0" t="n">
        <v>34</v>
      </c>
      <c r="T375" s="0" t="n">
        <v>2266</v>
      </c>
      <c r="U375" s="0" t="n">
        <v>0</v>
      </c>
      <c r="V375" s="0" t="n">
        <v>15.8859869558655</v>
      </c>
      <c r="W375" s="0" t="n">
        <v>20231231</v>
      </c>
      <c r="X375" s="0" t="n">
        <v>1.07594276192033</v>
      </c>
      <c r="Y375" s="0" t="n">
        <v>10.65</v>
      </c>
      <c r="Z375" s="0" t="s">
        <v>105</v>
      </c>
    </row>
    <row r="376" customFormat="false" ht="15" hidden="false" customHeight="false" outlineLevel="0" collapsed="false">
      <c r="A376" s="0" t="n">
        <v>376</v>
      </c>
      <c r="B376" s="0" t="n">
        <v>1825832</v>
      </c>
      <c r="C376" s="0" t="n">
        <v>13063</v>
      </c>
      <c r="D376" s="0" t="n">
        <v>1598543</v>
      </c>
      <c r="E376" s="0" t="n">
        <v>0.11</v>
      </c>
      <c r="F376" s="0" t="n">
        <v>144898</v>
      </c>
      <c r="G376" s="0" t="n">
        <v>7.93599849274194</v>
      </c>
      <c r="H376" s="0" t="s">
        <v>533</v>
      </c>
      <c r="I376" s="0" t="n">
        <v>1.19367542169489</v>
      </c>
      <c r="J376" s="0" t="n">
        <v>54417</v>
      </c>
      <c r="K376" s="0" t="n">
        <v>842</v>
      </c>
      <c r="L376" s="0" t="n">
        <v>1419984</v>
      </c>
      <c r="M376" s="0" t="n">
        <v>1403034</v>
      </c>
      <c r="N376" s="0" t="n">
        <v>1355009</v>
      </c>
      <c r="O376" s="0" t="n">
        <v>809</v>
      </c>
      <c r="P376" s="0" t="s">
        <v>109</v>
      </c>
      <c r="Q376" s="0" t="n">
        <v>0.0752825383947988</v>
      </c>
      <c r="R376" s="0" t="n">
        <v>3.17083919363506</v>
      </c>
      <c r="S376" s="0" t="n">
        <v>51</v>
      </c>
      <c r="T376" s="0" t="n">
        <v>1108</v>
      </c>
      <c r="U376" s="0" t="n">
        <v>260</v>
      </c>
      <c r="V376" s="0" t="n">
        <v>0</v>
      </c>
      <c r="W376" s="0" t="n">
        <v>20231231</v>
      </c>
      <c r="X376" s="0" t="n">
        <v>0.21976508473335</v>
      </c>
      <c r="Y376" s="0" t="n">
        <v>2.91</v>
      </c>
      <c r="Z376" s="0" t="s">
        <v>105</v>
      </c>
    </row>
    <row r="377" customFormat="false" ht="15" hidden="false" customHeight="false" outlineLevel="0" collapsed="false">
      <c r="A377" s="0" t="n">
        <v>377</v>
      </c>
      <c r="B377" s="0" t="n">
        <v>854743</v>
      </c>
      <c r="C377" s="0" t="n">
        <v>14134</v>
      </c>
      <c r="D377" s="0" t="n">
        <v>681633</v>
      </c>
      <c r="E377" s="0" t="n">
        <v>0.08</v>
      </c>
      <c r="F377" s="0" t="n">
        <v>105791</v>
      </c>
      <c r="G377" s="0" t="n">
        <v>12.3769366932517</v>
      </c>
      <c r="H377" s="0" t="s">
        <v>534</v>
      </c>
      <c r="I377" s="0" t="n">
        <v>1.13509060441429</v>
      </c>
      <c r="J377" s="0" t="n">
        <v>25773</v>
      </c>
      <c r="K377" s="0" t="n">
        <v>27211</v>
      </c>
      <c r="L377" s="0" t="n">
        <v>640918</v>
      </c>
      <c r="M377" s="0" t="n">
        <v>633643</v>
      </c>
      <c r="N377" s="0" t="n">
        <v>566020</v>
      </c>
      <c r="O377" s="0" t="n">
        <v>10339</v>
      </c>
      <c r="P377" s="0" t="s">
        <v>111</v>
      </c>
      <c r="Q377" s="0" t="n">
        <v>1.61315488096761</v>
      </c>
      <c r="R377" s="0" t="n">
        <v>3.22393019720266</v>
      </c>
      <c r="S377" s="0" t="n">
        <v>595</v>
      </c>
      <c r="T377" s="0" t="n">
        <v>3255</v>
      </c>
      <c r="U377" s="0" t="n">
        <v>0</v>
      </c>
      <c r="V377" s="0" t="n">
        <v>19.2684553429436</v>
      </c>
      <c r="W377" s="0" t="n">
        <v>20231231</v>
      </c>
      <c r="X377" s="0" t="n">
        <v>0.845572388097908</v>
      </c>
      <c r="Y377" s="0" t="n">
        <v>7.15</v>
      </c>
      <c r="Z377" s="0" t="s">
        <v>112</v>
      </c>
    </row>
    <row r="378" customFormat="false" ht="15" hidden="false" customHeight="false" outlineLevel="0" collapsed="false">
      <c r="A378" s="0" t="n">
        <v>378</v>
      </c>
      <c r="B378" s="0" t="n">
        <v>233858</v>
      </c>
      <c r="C378" s="0" t="n">
        <v>14136</v>
      </c>
      <c r="D378" s="0" t="n">
        <v>193772</v>
      </c>
      <c r="E378" s="0" t="n">
        <v>0.06</v>
      </c>
      <c r="F378" s="0" t="n">
        <v>17016</v>
      </c>
      <c r="G378" s="0" t="n">
        <v>7.27621034987043</v>
      </c>
      <c r="H378" s="0" t="s">
        <v>535</v>
      </c>
      <c r="I378" s="0" t="n">
        <v>1.25238580803723</v>
      </c>
      <c r="J378" s="0" t="n">
        <v>14469</v>
      </c>
      <c r="K378" s="0" t="n">
        <v>14725</v>
      </c>
      <c r="L378" s="0" t="n">
        <v>152988</v>
      </c>
      <c r="M378" s="0" t="n">
        <v>151072</v>
      </c>
      <c r="N378" s="0" t="n">
        <v>123494</v>
      </c>
      <c r="O378" s="0" t="n">
        <v>6</v>
      </c>
      <c r="P378" s="0" t="s">
        <v>114</v>
      </c>
      <c r="Q378" s="0" t="n">
        <v>0.33532041728763</v>
      </c>
      <c r="R378" s="0" t="n">
        <v>4.02120098867828</v>
      </c>
      <c r="S378" s="0" t="n">
        <v>93</v>
      </c>
      <c r="T378" s="0" t="n">
        <v>1094</v>
      </c>
      <c r="U378" s="0" t="n">
        <v>507</v>
      </c>
      <c r="V378" s="0" t="n">
        <v>17.5667789596541</v>
      </c>
      <c r="W378" s="0" t="n">
        <v>20231231</v>
      </c>
      <c r="X378" s="0" t="n">
        <v>0.594423182066703</v>
      </c>
      <c r="Y378" s="0" t="n">
        <v>8.72</v>
      </c>
      <c r="Z378" s="0" t="s">
        <v>112</v>
      </c>
    </row>
    <row r="379" customFormat="false" ht="15" hidden="false" customHeight="false" outlineLevel="0" collapsed="false">
      <c r="A379" s="0" t="n">
        <v>379</v>
      </c>
      <c r="B379" s="0" t="n">
        <v>1504702</v>
      </c>
      <c r="C379" s="0" t="n">
        <v>14140</v>
      </c>
      <c r="D379" s="0" t="n">
        <v>1190702</v>
      </c>
      <c r="E379" s="0" t="n">
        <v>0.03</v>
      </c>
      <c r="F379" s="0" t="n">
        <v>126249</v>
      </c>
      <c r="G379" s="0" t="n">
        <v>8.39029920874698</v>
      </c>
      <c r="H379" s="0" t="s">
        <v>536</v>
      </c>
      <c r="I379" s="0" t="n">
        <v>0.820739617879485</v>
      </c>
      <c r="J379" s="0" t="n">
        <v>93067</v>
      </c>
      <c r="K379" s="0" t="n">
        <v>1491</v>
      </c>
      <c r="L379" s="0" t="n">
        <v>1039672</v>
      </c>
      <c r="M379" s="0" t="n">
        <v>1031139</v>
      </c>
      <c r="N379" s="0" t="n">
        <v>927729</v>
      </c>
      <c r="O379" s="0" t="n">
        <v>4671</v>
      </c>
      <c r="P379" s="0" t="s">
        <v>116</v>
      </c>
      <c r="Q379" s="0" t="n">
        <v>0.449276310220916</v>
      </c>
      <c r="R379" s="0" t="n">
        <v>2.63872597463427</v>
      </c>
      <c r="S379" s="0" t="n">
        <v>67</v>
      </c>
      <c r="T379" s="0" t="n">
        <v>1538</v>
      </c>
      <c r="U379" s="0" t="n">
        <v>0</v>
      </c>
      <c r="V379" s="0" t="n">
        <v>0</v>
      </c>
      <c r="W379" s="0" t="n">
        <v>20231231</v>
      </c>
      <c r="X379" s="0" t="n">
        <v>0.220681498748757</v>
      </c>
      <c r="Y379" s="0" t="n">
        <v>2.68</v>
      </c>
      <c r="Z379" s="0" t="s">
        <v>112</v>
      </c>
    </row>
    <row r="380" customFormat="false" ht="15" hidden="false" customHeight="false" outlineLevel="0" collapsed="false">
      <c r="A380" s="0" t="n">
        <v>380</v>
      </c>
      <c r="B380" s="0" t="n">
        <v>1468468</v>
      </c>
      <c r="C380" s="0" t="n">
        <v>14158</v>
      </c>
      <c r="D380" s="0" t="n">
        <v>1308218</v>
      </c>
      <c r="E380" s="0" t="n">
        <v>-0.04</v>
      </c>
      <c r="F380" s="0" t="n">
        <v>82122</v>
      </c>
      <c r="G380" s="0" t="n">
        <v>5.59235883928012</v>
      </c>
      <c r="H380" s="0" t="s">
        <v>537</v>
      </c>
      <c r="I380" s="0" t="n">
        <v>0.635567790671112</v>
      </c>
      <c r="J380" s="0" t="n">
        <v>40326</v>
      </c>
      <c r="K380" s="0" t="n">
        <v>2468</v>
      </c>
      <c r="L380" s="0" t="n">
        <v>1033092</v>
      </c>
      <c r="M380" s="0" t="n">
        <v>1026526</v>
      </c>
      <c r="N380" s="0" t="n">
        <v>908227</v>
      </c>
      <c r="O380" s="0" t="n">
        <v>1858</v>
      </c>
      <c r="P380" s="0" t="s">
        <v>118</v>
      </c>
      <c r="Q380" s="0" t="n">
        <v>0.195529536575639</v>
      </c>
      <c r="R380" s="0" t="n">
        <v>2.98715522475713</v>
      </c>
      <c r="S380" s="0" t="n">
        <v>4</v>
      </c>
      <c r="T380" s="0" t="n">
        <v>3617</v>
      </c>
      <c r="U380" s="0" t="n">
        <v>162</v>
      </c>
      <c r="V380" s="0" t="n">
        <v>13.3530640668524</v>
      </c>
      <c r="W380" s="0" t="n">
        <v>20231231</v>
      </c>
      <c r="X380" s="0" t="n">
        <v>0.879855556925219</v>
      </c>
      <c r="Y380" s="0" t="n">
        <v>16.38</v>
      </c>
      <c r="Z380" s="0" t="s">
        <v>112</v>
      </c>
    </row>
    <row r="381" customFormat="false" ht="15" hidden="false" customHeight="false" outlineLevel="0" collapsed="false">
      <c r="A381" s="0" t="n">
        <v>381</v>
      </c>
      <c r="B381" s="0" t="n">
        <v>357709</v>
      </c>
      <c r="C381" s="0" t="n">
        <v>14168</v>
      </c>
      <c r="D381" s="0" t="n">
        <v>317592</v>
      </c>
      <c r="E381" s="0" t="n">
        <v>0.22</v>
      </c>
      <c r="F381" s="0" t="n">
        <v>35301</v>
      </c>
      <c r="G381" s="0" t="n">
        <v>9.86863623783578</v>
      </c>
      <c r="H381" s="0" t="s">
        <v>538</v>
      </c>
      <c r="I381" s="0" t="n">
        <v>1.67092055190506</v>
      </c>
      <c r="J381" s="0" t="n">
        <v>11698</v>
      </c>
      <c r="K381" s="0" t="n">
        <v>10178</v>
      </c>
      <c r="L381" s="0" t="n">
        <v>239389</v>
      </c>
      <c r="M381" s="0" t="n">
        <v>235389</v>
      </c>
      <c r="N381" s="0" t="n">
        <v>202849</v>
      </c>
      <c r="O381" s="0" t="n">
        <v>1115</v>
      </c>
      <c r="P381" s="0" t="s">
        <v>120</v>
      </c>
      <c r="Q381" s="0" t="n">
        <v>0.465769103843535</v>
      </c>
      <c r="R381" s="0" t="n">
        <v>3.99627193623627</v>
      </c>
      <c r="S381" s="0" t="n">
        <v>-60</v>
      </c>
      <c r="T381" s="0" t="n">
        <v>513</v>
      </c>
      <c r="U381" s="0" t="n">
        <v>0</v>
      </c>
      <c r="V381" s="0" t="n">
        <v>16.7449070853622</v>
      </c>
      <c r="W381" s="0" t="n">
        <v>20231231</v>
      </c>
      <c r="X381" s="0" t="n">
        <v>0.791084607348037</v>
      </c>
      <c r="Y381" s="0" t="n">
        <v>8.63</v>
      </c>
      <c r="Z381" s="0" t="s">
        <v>112</v>
      </c>
    </row>
    <row r="382" customFormat="false" ht="15" hidden="false" customHeight="false" outlineLevel="0" collapsed="false">
      <c r="A382" s="0" t="n">
        <v>382</v>
      </c>
      <c r="B382" s="0" t="n">
        <v>1284888</v>
      </c>
      <c r="C382" s="0" t="n">
        <v>14240</v>
      </c>
      <c r="D382" s="0" t="n">
        <v>1001876</v>
      </c>
      <c r="E382" s="0" t="n">
        <v>-0.04</v>
      </c>
      <c r="F382" s="0" t="n">
        <v>89997</v>
      </c>
      <c r="G382" s="0" t="n">
        <v>7.00426807628369</v>
      </c>
      <c r="H382" s="0" t="s">
        <v>539</v>
      </c>
      <c r="I382" s="0" t="n">
        <v>1.16147877879671</v>
      </c>
      <c r="J382" s="0" t="n">
        <v>26444</v>
      </c>
      <c r="K382" s="0" t="n">
        <v>16789</v>
      </c>
      <c r="L382" s="0" t="n">
        <v>920895</v>
      </c>
      <c r="M382" s="0" t="n">
        <v>910199</v>
      </c>
      <c r="N382" s="0" t="n">
        <v>809855</v>
      </c>
      <c r="O382" s="0" t="n">
        <v>2809</v>
      </c>
      <c r="P382" s="0" t="s">
        <v>122</v>
      </c>
      <c r="Q382" s="0" t="n">
        <v>0.305029346451007</v>
      </c>
      <c r="R382" s="0" t="n">
        <v>2.84438328976009</v>
      </c>
      <c r="S382" s="0" t="n">
        <v>17</v>
      </c>
      <c r="T382" s="0" t="n">
        <v>3092</v>
      </c>
      <c r="U382" s="0" t="n">
        <v>0</v>
      </c>
      <c r="V382" s="0" t="n">
        <v>15.654705756581</v>
      </c>
      <c r="W382" s="0" t="n">
        <v>20231231</v>
      </c>
      <c r="X382" s="0" t="n">
        <v>0.476970080763032</v>
      </c>
      <c r="Y382" s="0" t="n">
        <v>7.62</v>
      </c>
      <c r="Z382" s="0" t="s">
        <v>123</v>
      </c>
    </row>
    <row r="383" customFormat="false" ht="15" hidden="false" customHeight="false" outlineLevel="0" collapsed="false">
      <c r="A383" s="0" t="n">
        <v>383</v>
      </c>
      <c r="B383" s="0" t="n">
        <v>1091692</v>
      </c>
      <c r="C383" s="0" t="n">
        <v>17115</v>
      </c>
      <c r="D383" s="0" t="n">
        <v>771961</v>
      </c>
      <c r="E383" s="0" t="n">
        <v>0</v>
      </c>
      <c r="F383" s="0" t="n">
        <v>87410</v>
      </c>
      <c r="G383" s="0" t="n">
        <v>8.00683709324608</v>
      </c>
      <c r="H383" s="0" t="s">
        <v>540</v>
      </c>
      <c r="I383" s="0" t="n">
        <v>0.991754649683795</v>
      </c>
      <c r="J383" s="0" t="n">
        <v>43686</v>
      </c>
      <c r="K383" s="0" t="n">
        <v>6112</v>
      </c>
      <c r="L383" s="0" t="n">
        <v>899416</v>
      </c>
      <c r="M383" s="0" t="n">
        <v>890496</v>
      </c>
      <c r="N383" s="0" t="n">
        <v>848763</v>
      </c>
      <c r="O383" s="0" t="n">
        <v>2404</v>
      </c>
      <c r="P383" s="0" t="s">
        <v>125</v>
      </c>
      <c r="Q383" s="0" t="n">
        <v>0.267284549085184</v>
      </c>
      <c r="R383" s="0" t="n">
        <v>2.88707546912739</v>
      </c>
      <c r="S383" s="0" t="n">
        <v>-27</v>
      </c>
      <c r="T383" s="0" t="n">
        <v>124</v>
      </c>
      <c r="U383" s="0" t="n">
        <v>0</v>
      </c>
      <c r="V383" s="0" t="n">
        <v>13.662485837327</v>
      </c>
      <c r="W383" s="0" t="n">
        <v>20231231</v>
      </c>
      <c r="X383" s="0" t="n">
        <v>0.666513914056445</v>
      </c>
      <c r="Y383" s="0" t="n">
        <v>8.6</v>
      </c>
      <c r="Z383" s="0" t="s">
        <v>105</v>
      </c>
    </row>
    <row r="384" customFormat="false" ht="15" hidden="false" customHeight="false" outlineLevel="0" collapsed="false">
      <c r="A384" s="0" t="n">
        <v>384</v>
      </c>
      <c r="B384" s="0" t="n">
        <v>1636765</v>
      </c>
      <c r="C384" s="0" t="n">
        <v>17180</v>
      </c>
      <c r="D384" s="0" t="n">
        <v>1188350</v>
      </c>
      <c r="E384" s="0" t="n">
        <v>0.12</v>
      </c>
      <c r="F384" s="0" t="n">
        <v>136707</v>
      </c>
      <c r="G384" s="0" t="n">
        <v>8.35226804092219</v>
      </c>
      <c r="H384" s="0" t="s">
        <v>541</v>
      </c>
      <c r="I384" s="0" t="n">
        <v>0.96326346447928</v>
      </c>
      <c r="J384" s="0" t="n">
        <v>52850</v>
      </c>
      <c r="K384" s="0" t="n">
        <v>190591</v>
      </c>
      <c r="L384" s="0" t="n">
        <v>1480488</v>
      </c>
      <c r="M384" s="0" t="n">
        <v>1466227</v>
      </c>
      <c r="N384" s="0" t="n">
        <v>1208918</v>
      </c>
      <c r="O384" s="0" t="n">
        <v>4903</v>
      </c>
      <c r="P384" s="0" t="s">
        <v>127</v>
      </c>
      <c r="Q384" s="0" t="n">
        <v>0.331174585677155</v>
      </c>
      <c r="R384" s="0" t="n">
        <v>2.86567771971113</v>
      </c>
      <c r="S384" s="0" t="n">
        <v>626</v>
      </c>
      <c r="T384" s="0" t="n">
        <v>3022</v>
      </c>
      <c r="U384" s="0" t="n">
        <v>0</v>
      </c>
      <c r="V384" s="0" t="n">
        <v>14.1649013448556</v>
      </c>
      <c r="W384" s="0" t="n">
        <v>20231231</v>
      </c>
      <c r="X384" s="0" t="n">
        <v>0.452272607314059</v>
      </c>
      <c r="Y384" s="0" t="n">
        <v>5.49</v>
      </c>
      <c r="Z384" s="0" t="s">
        <v>123</v>
      </c>
    </row>
    <row r="385" customFormat="false" ht="15" hidden="false" customHeight="false" outlineLevel="0" collapsed="false">
      <c r="A385" s="0" t="n">
        <v>385</v>
      </c>
      <c r="B385" s="0" t="n">
        <v>351163</v>
      </c>
      <c r="C385" s="0" t="n">
        <v>17443</v>
      </c>
      <c r="D385" s="0" t="n">
        <v>309824</v>
      </c>
      <c r="E385" s="0" t="n">
        <v>0</v>
      </c>
      <c r="F385" s="0" t="n">
        <v>40157</v>
      </c>
      <c r="G385" s="0" t="n">
        <v>11.4354302702734</v>
      </c>
      <c r="H385" s="0" t="s">
        <v>542</v>
      </c>
      <c r="I385" s="0" t="n">
        <v>0.833910405836397</v>
      </c>
      <c r="J385" s="0" t="n">
        <v>0</v>
      </c>
      <c r="K385" s="0" t="n">
        <v>794</v>
      </c>
      <c r="L385" s="0" t="n">
        <v>205058</v>
      </c>
      <c r="M385" s="0" t="n">
        <v>203348</v>
      </c>
      <c r="N385" s="0" t="n">
        <v>203264</v>
      </c>
      <c r="O385" s="0" t="n">
        <v>173</v>
      </c>
      <c r="P385" s="0" t="s">
        <v>129</v>
      </c>
      <c r="Q385" s="0" t="n">
        <v>0.0843663743916355</v>
      </c>
      <c r="R385" s="0" t="n">
        <v>1.55712530163154</v>
      </c>
      <c r="S385" s="0" t="n">
        <v>0</v>
      </c>
      <c r="T385" s="0" t="n">
        <v>1121</v>
      </c>
      <c r="U385" s="0" t="n">
        <v>0</v>
      </c>
      <c r="V385" s="0" t="n">
        <v>0</v>
      </c>
      <c r="W385" s="0" t="n">
        <v>20231231</v>
      </c>
      <c r="X385" s="0" t="n">
        <v>0.0112388748844588</v>
      </c>
      <c r="Y385" s="0" t="n">
        <v>0.11</v>
      </c>
      <c r="Z385" s="0" t="s">
        <v>123</v>
      </c>
    </row>
    <row r="386" customFormat="false" ht="15" hidden="false" customHeight="false" outlineLevel="0" collapsed="false">
      <c r="A386" s="0" t="n">
        <v>386</v>
      </c>
      <c r="B386" s="0" t="n">
        <v>1865564</v>
      </c>
      <c r="C386" s="0" t="n">
        <v>17658</v>
      </c>
      <c r="D386" s="0" t="n">
        <v>1489308</v>
      </c>
      <c r="E386" s="0" t="n">
        <v>0.09</v>
      </c>
      <c r="F386" s="0" t="n">
        <v>208565</v>
      </c>
      <c r="G386" s="0" t="n">
        <v>11.1797290256459</v>
      </c>
      <c r="H386" s="0" t="s">
        <v>543</v>
      </c>
      <c r="I386" s="0" t="n">
        <v>0.704655383905784</v>
      </c>
      <c r="J386" s="0" t="n">
        <v>101314</v>
      </c>
      <c r="K386" s="0" t="n">
        <v>79258</v>
      </c>
      <c r="L386" s="0" t="n">
        <v>1305177</v>
      </c>
      <c r="M386" s="0" t="n">
        <v>1295980</v>
      </c>
      <c r="N386" s="0" t="n">
        <v>1111057</v>
      </c>
      <c r="O386" s="0" t="n">
        <v>8793</v>
      </c>
      <c r="P386" s="0" t="s">
        <v>131</v>
      </c>
      <c r="Q386" s="0" t="n">
        <v>0.67370172781163</v>
      </c>
      <c r="R386" s="0" t="n">
        <v>3.36483689960805</v>
      </c>
      <c r="S386" s="0" t="n">
        <v>-127</v>
      </c>
      <c r="T386" s="0" t="n">
        <v>3070</v>
      </c>
      <c r="U386" s="0" t="n">
        <v>0</v>
      </c>
      <c r="V386" s="0" t="n">
        <v>0</v>
      </c>
      <c r="W386" s="0" t="n">
        <v>20231231</v>
      </c>
      <c r="X386" s="0" t="n">
        <v>0.767976387669771</v>
      </c>
      <c r="Y386" s="0" t="n">
        <v>7.19</v>
      </c>
      <c r="Z386" s="0" t="s">
        <v>105</v>
      </c>
    </row>
    <row r="387" customFormat="false" ht="15" hidden="false" customHeight="false" outlineLevel="0" collapsed="false">
      <c r="A387" s="0" t="n">
        <v>387</v>
      </c>
      <c r="B387" s="0" t="n">
        <v>1084657</v>
      </c>
      <c r="C387" s="0" t="n">
        <v>17741</v>
      </c>
      <c r="D387" s="0" t="n">
        <v>813318</v>
      </c>
      <c r="E387" s="0" t="n">
        <v>0.05</v>
      </c>
      <c r="F387" s="0" t="n">
        <v>139308</v>
      </c>
      <c r="G387" s="0" t="n">
        <v>12.8435072101134</v>
      </c>
      <c r="H387" s="0" t="s">
        <v>544</v>
      </c>
      <c r="I387" s="0" t="n">
        <v>0.951890806239519</v>
      </c>
      <c r="J387" s="0" t="n">
        <v>54439</v>
      </c>
      <c r="K387" s="0" t="n">
        <v>4268</v>
      </c>
      <c r="L387" s="0" t="n">
        <v>917122</v>
      </c>
      <c r="M387" s="0" t="n">
        <v>908392</v>
      </c>
      <c r="N387" s="0" t="n">
        <v>853812</v>
      </c>
      <c r="O387" s="0" t="n">
        <v>6632</v>
      </c>
      <c r="P387" s="0" t="s">
        <v>133</v>
      </c>
      <c r="Q387" s="0" t="n">
        <v>0.723131709848853</v>
      </c>
      <c r="R387" s="0" t="n">
        <v>3.25992794364075</v>
      </c>
      <c r="S387" s="0" t="n">
        <v>-17</v>
      </c>
      <c r="T387" s="0" t="n">
        <v>2100</v>
      </c>
      <c r="U387" s="0" t="n">
        <v>0</v>
      </c>
      <c r="V387" s="0" t="n">
        <v>0</v>
      </c>
      <c r="W387" s="0" t="n">
        <v>20231231</v>
      </c>
      <c r="X387" s="0" t="n">
        <v>0.623237286824956</v>
      </c>
      <c r="Y387" s="0" t="n">
        <v>4.85</v>
      </c>
      <c r="Z387" s="0" t="s">
        <v>105</v>
      </c>
    </row>
    <row r="388" customFormat="false" ht="15" hidden="false" customHeight="false" outlineLevel="0" collapsed="false">
      <c r="A388" s="0" t="n">
        <v>388</v>
      </c>
      <c r="B388" s="0" t="n">
        <v>1380826</v>
      </c>
      <c r="C388" s="0" t="n">
        <v>17743</v>
      </c>
      <c r="D388" s="0" t="n">
        <v>963516</v>
      </c>
      <c r="E388" s="0" t="n">
        <v>0</v>
      </c>
      <c r="F388" s="0" t="n">
        <v>122659</v>
      </c>
      <c r="G388" s="0" t="n">
        <v>8.88301639743168</v>
      </c>
      <c r="H388" s="0" t="s">
        <v>545</v>
      </c>
      <c r="I388" s="0" t="n">
        <v>0.429064247882617</v>
      </c>
      <c r="J388" s="0" t="n">
        <v>16284</v>
      </c>
      <c r="K388" s="0" t="n">
        <v>9354</v>
      </c>
      <c r="L388" s="0" t="n">
        <v>1091678</v>
      </c>
      <c r="M388" s="0" t="n">
        <v>1086994</v>
      </c>
      <c r="N388" s="0" t="n">
        <v>1054307</v>
      </c>
      <c r="O388" s="0" t="n">
        <v>1762</v>
      </c>
      <c r="P388" s="0" t="s">
        <v>135</v>
      </c>
      <c r="Q388" s="0" t="n">
        <v>0.161402904519465</v>
      </c>
      <c r="R388" s="0" t="n">
        <v>2.02539734976566</v>
      </c>
      <c r="S388" s="0" t="n">
        <v>13</v>
      </c>
      <c r="T388" s="0" t="n">
        <v>3339</v>
      </c>
      <c r="U388" s="0" t="n">
        <v>0</v>
      </c>
      <c r="V388" s="0" t="n">
        <v>0</v>
      </c>
      <c r="W388" s="0" t="n">
        <v>20231231</v>
      </c>
      <c r="X388" s="0" t="n">
        <v>0.0464740506827768</v>
      </c>
      <c r="Y388" s="0" t="n">
        <v>0.51</v>
      </c>
      <c r="Z388" s="0" t="s">
        <v>105</v>
      </c>
    </row>
    <row r="389" customFormat="false" ht="15" hidden="false" customHeight="false" outlineLevel="0" collapsed="false">
      <c r="A389" s="0" t="n">
        <v>389</v>
      </c>
      <c r="B389" s="0" t="n">
        <v>1668860</v>
      </c>
      <c r="C389" s="0" t="n">
        <v>17748</v>
      </c>
      <c r="D389" s="0" t="n">
        <v>1336828</v>
      </c>
      <c r="E389" s="0" t="n">
        <v>-0.04</v>
      </c>
      <c r="F389" s="0" t="n">
        <v>114376</v>
      </c>
      <c r="G389" s="0" t="n">
        <v>6.85354074038565</v>
      </c>
      <c r="H389" s="0" t="s">
        <v>546</v>
      </c>
      <c r="I389" s="0" t="n">
        <v>0.774689870119317</v>
      </c>
      <c r="J389" s="0" t="n">
        <v>175931</v>
      </c>
      <c r="K389" s="0" t="n">
        <v>3416</v>
      </c>
      <c r="L389" s="0" t="n">
        <v>1279867</v>
      </c>
      <c r="M389" s="0" t="n">
        <v>1269952</v>
      </c>
      <c r="N389" s="0" t="n">
        <v>1067583</v>
      </c>
      <c r="O389" s="0" t="n">
        <v>7520</v>
      </c>
      <c r="P389" s="0" t="s">
        <v>137</v>
      </c>
      <c r="Q389" s="0" t="n">
        <v>0.587561051265483</v>
      </c>
      <c r="R389" s="0" t="n">
        <v>2.48310737904527</v>
      </c>
      <c r="S389" s="0" t="n">
        <v>1213</v>
      </c>
      <c r="T389" s="0" t="n">
        <v>8168</v>
      </c>
      <c r="U389" s="0" t="n">
        <v>0</v>
      </c>
      <c r="V389" s="0" t="n">
        <v>0</v>
      </c>
      <c r="W389" s="0" t="n">
        <v>20231231</v>
      </c>
      <c r="X389" s="0" t="n">
        <v>0.322207444052572</v>
      </c>
      <c r="Y389" s="0" t="n">
        <v>4.89</v>
      </c>
      <c r="Z389" s="0" t="s">
        <v>105</v>
      </c>
    </row>
    <row r="390" customFormat="false" ht="15" hidden="false" customHeight="false" outlineLevel="0" collapsed="false">
      <c r="A390" s="0" t="n">
        <v>390</v>
      </c>
      <c r="B390" s="0" t="n">
        <v>1355181</v>
      </c>
      <c r="C390" s="0" t="n">
        <v>17749</v>
      </c>
      <c r="D390" s="0" t="n">
        <v>1052313</v>
      </c>
      <c r="E390" s="0" t="n">
        <v>0.03</v>
      </c>
      <c r="F390" s="0" t="n">
        <v>172387</v>
      </c>
      <c r="G390" s="0" t="n">
        <v>12.7205886151001</v>
      </c>
      <c r="H390" s="0" t="s">
        <v>547</v>
      </c>
      <c r="I390" s="0" t="n">
        <v>1.38040774735024</v>
      </c>
      <c r="J390" s="0" t="n">
        <v>48794</v>
      </c>
      <c r="K390" s="0" t="n">
        <v>10226</v>
      </c>
      <c r="L390" s="0" t="n">
        <v>796866</v>
      </c>
      <c r="M390" s="0" t="n">
        <v>785866</v>
      </c>
      <c r="N390" s="0" t="n">
        <v>724667</v>
      </c>
      <c r="O390" s="0" t="n">
        <v>247</v>
      </c>
      <c r="P390" s="0" t="s">
        <v>139</v>
      </c>
      <c r="Q390" s="0" t="n">
        <v>0.0491927124510268</v>
      </c>
      <c r="R390" s="0" t="n">
        <v>2.72937346562349</v>
      </c>
      <c r="S390" s="0" t="n">
        <v>47</v>
      </c>
      <c r="T390" s="0" t="n">
        <v>630</v>
      </c>
      <c r="U390" s="0" t="n">
        <v>145</v>
      </c>
      <c r="V390" s="0" t="n">
        <v>0</v>
      </c>
      <c r="W390" s="0" t="n">
        <v>20231231</v>
      </c>
      <c r="X390" s="0" t="n">
        <v>1.21574319970484</v>
      </c>
      <c r="Y390" s="0" t="n">
        <v>9.92</v>
      </c>
      <c r="Z390" s="0" t="s">
        <v>105</v>
      </c>
    </row>
    <row r="391" customFormat="false" ht="15" hidden="false" customHeight="false" outlineLevel="0" collapsed="false">
      <c r="A391" s="0" t="n">
        <v>391</v>
      </c>
      <c r="B391" s="0" t="n">
        <v>1594063</v>
      </c>
      <c r="C391" s="0" t="n">
        <v>17751</v>
      </c>
      <c r="D391" s="0" t="n">
        <v>1298128</v>
      </c>
      <c r="E391" s="0" t="n">
        <v>0.04</v>
      </c>
      <c r="F391" s="0" t="n">
        <v>137906</v>
      </c>
      <c r="G391" s="0" t="n">
        <v>8.65122645717265</v>
      </c>
      <c r="H391" s="0" t="s">
        <v>548</v>
      </c>
      <c r="I391" s="0" t="n">
        <v>0.915292945996871</v>
      </c>
      <c r="J391" s="0" t="n">
        <v>128172</v>
      </c>
      <c r="K391" s="0" t="n">
        <v>3312</v>
      </c>
      <c r="L391" s="0" t="n">
        <v>1301332</v>
      </c>
      <c r="M391" s="0" t="n">
        <v>1289421</v>
      </c>
      <c r="N391" s="0" t="n">
        <v>1106344</v>
      </c>
      <c r="O391" s="0" t="n">
        <v>868</v>
      </c>
      <c r="P391" s="0" t="s">
        <v>141</v>
      </c>
      <c r="Q391" s="0" t="n">
        <v>0.0667008880132049</v>
      </c>
      <c r="R391" s="0" t="n">
        <v>3.06166841264483</v>
      </c>
      <c r="S391" s="0" t="n">
        <v>4158</v>
      </c>
      <c r="T391" s="0" t="n">
        <v>5195</v>
      </c>
      <c r="U391" s="0" t="n">
        <v>0</v>
      </c>
      <c r="V391" s="0" t="n">
        <v>12.1764467340533</v>
      </c>
      <c r="W391" s="0" t="n">
        <v>20231231</v>
      </c>
      <c r="X391" s="0" t="n">
        <v>0.596513557387332</v>
      </c>
      <c r="Y391" s="0" t="n">
        <v>7.02</v>
      </c>
      <c r="Z391" s="0" t="s">
        <v>105</v>
      </c>
    </row>
    <row r="392" customFormat="false" ht="15" hidden="false" customHeight="false" outlineLevel="0" collapsed="false">
      <c r="A392" s="0" t="n">
        <v>392</v>
      </c>
      <c r="B392" s="0" t="n">
        <v>1710496</v>
      </c>
      <c r="C392" s="0" t="n">
        <v>17897</v>
      </c>
      <c r="D392" s="0" t="n">
        <v>1305375</v>
      </c>
      <c r="E392" s="0" t="n">
        <v>-0.02</v>
      </c>
      <c r="F392" s="0" t="n">
        <v>207718</v>
      </c>
      <c r="G392" s="0" t="n">
        <v>12.1437290703983</v>
      </c>
      <c r="H392" s="0" t="s">
        <v>549</v>
      </c>
      <c r="I392" s="0" t="n">
        <v>0.621882876184048</v>
      </c>
      <c r="J392" s="0" t="n">
        <v>72247</v>
      </c>
      <c r="K392" s="0" t="n">
        <v>3995</v>
      </c>
      <c r="L392" s="0" t="n">
        <v>1443037</v>
      </c>
      <c r="M392" s="0" t="n">
        <v>1434063</v>
      </c>
      <c r="N392" s="0" t="n">
        <v>1358198</v>
      </c>
      <c r="O392" s="0" t="n">
        <v>3022</v>
      </c>
      <c r="P392" s="0" t="s">
        <v>143</v>
      </c>
      <c r="Q392" s="0" t="n">
        <v>0.209419439695586</v>
      </c>
      <c r="R392" s="0" t="n">
        <v>2.54413608727822</v>
      </c>
      <c r="S392" s="0" t="n">
        <v>-105</v>
      </c>
      <c r="T392" s="0" t="n">
        <v>2841</v>
      </c>
      <c r="U392" s="0" t="n">
        <v>0</v>
      </c>
      <c r="V392" s="0" t="n">
        <v>17.2376294794173</v>
      </c>
      <c r="W392" s="0" t="n">
        <v>20231231</v>
      </c>
      <c r="X392" s="0" t="n">
        <v>0.65399363820256</v>
      </c>
      <c r="Y392" s="0" t="n">
        <v>5.45</v>
      </c>
      <c r="Z392" s="0" t="s">
        <v>105</v>
      </c>
    </row>
    <row r="393" customFormat="false" ht="15" hidden="false" customHeight="false" outlineLevel="0" collapsed="false">
      <c r="A393" s="0" t="n">
        <v>393</v>
      </c>
      <c r="B393" s="0" t="n">
        <v>786047</v>
      </c>
      <c r="C393" s="0" t="n">
        <v>17951</v>
      </c>
      <c r="D393" s="0" t="n">
        <v>667956</v>
      </c>
      <c r="E393" s="0" t="n">
        <v>0.1</v>
      </c>
      <c r="F393" s="0" t="n">
        <v>61893</v>
      </c>
      <c r="G393" s="0" t="n">
        <v>7.8739566463583</v>
      </c>
      <c r="H393" s="0" t="s">
        <v>550</v>
      </c>
      <c r="I393" s="0" t="n">
        <v>0.85332385770691</v>
      </c>
      <c r="J393" s="0" t="n">
        <v>24625</v>
      </c>
      <c r="K393" s="0" t="n">
        <v>2014</v>
      </c>
      <c r="L393" s="0" t="n">
        <v>579733</v>
      </c>
      <c r="M393" s="0" t="n">
        <v>574786</v>
      </c>
      <c r="N393" s="0" t="n">
        <v>540903</v>
      </c>
      <c r="O393" s="0" t="n">
        <v>175</v>
      </c>
      <c r="P393" s="0" t="s">
        <v>145</v>
      </c>
      <c r="Q393" s="0" t="n">
        <v>0.030186309904732</v>
      </c>
      <c r="R393" s="0" t="n">
        <v>2.70000309550974</v>
      </c>
      <c r="S393" s="0" t="n">
        <v>-192</v>
      </c>
      <c r="T393" s="0" t="n">
        <v>24</v>
      </c>
      <c r="U393" s="0" t="n">
        <v>0</v>
      </c>
      <c r="V393" s="0" t="n">
        <v>14.5884941078829</v>
      </c>
      <c r="W393" s="0" t="n">
        <v>20231231</v>
      </c>
      <c r="X393" s="0" t="n">
        <v>0.589256193210774</v>
      </c>
      <c r="Y393" s="0" t="n">
        <v>7.91</v>
      </c>
      <c r="Z393" s="0" t="s">
        <v>123</v>
      </c>
    </row>
    <row r="394" customFormat="false" ht="15" hidden="false" customHeight="false" outlineLevel="0" collapsed="false">
      <c r="A394" s="0" t="n">
        <v>394</v>
      </c>
      <c r="B394" s="0" t="n">
        <v>1368285</v>
      </c>
      <c r="C394" s="0" t="n">
        <v>17960</v>
      </c>
      <c r="D394" s="0" t="n">
        <v>1030269</v>
      </c>
      <c r="E394" s="0" t="n">
        <v>0.05</v>
      </c>
      <c r="F394" s="0" t="n">
        <v>113530</v>
      </c>
      <c r="G394" s="0" t="n">
        <v>8.29724801485071</v>
      </c>
      <c r="H394" s="0" t="s">
        <v>551</v>
      </c>
      <c r="I394" s="0" t="n">
        <v>0.979023979950907</v>
      </c>
      <c r="J394" s="0" t="n">
        <v>105296</v>
      </c>
      <c r="K394" s="0" t="n">
        <v>223057</v>
      </c>
      <c r="L394" s="0" t="n">
        <v>1165140</v>
      </c>
      <c r="M394" s="0" t="n">
        <v>1153733</v>
      </c>
      <c r="N394" s="0" t="n">
        <v>832768</v>
      </c>
      <c r="O394" s="0" t="n">
        <v>8829</v>
      </c>
      <c r="P394" s="0" t="s">
        <v>147</v>
      </c>
      <c r="Q394" s="0" t="n">
        <v>0.782137768851812</v>
      </c>
      <c r="R394" s="0" t="n">
        <v>2.79041633518132</v>
      </c>
      <c r="S394" s="0" t="n">
        <v>199</v>
      </c>
      <c r="T394" s="0" t="n">
        <v>2370</v>
      </c>
      <c r="U394" s="0" t="n">
        <v>284</v>
      </c>
      <c r="V394" s="0" t="n">
        <v>13.2488524274602</v>
      </c>
      <c r="W394" s="0" t="n">
        <v>20231231</v>
      </c>
      <c r="X394" s="0" t="n">
        <v>0.517619709580597</v>
      </c>
      <c r="Y394" s="0" t="n">
        <v>6.46</v>
      </c>
      <c r="Z394" s="0" t="s">
        <v>123</v>
      </c>
    </row>
    <row r="395" customFormat="false" ht="15" hidden="false" customHeight="false" outlineLevel="0" collapsed="false">
      <c r="A395" s="0" t="n">
        <v>395</v>
      </c>
      <c r="B395" s="0" t="n">
        <v>2515915</v>
      </c>
      <c r="C395" s="0" t="n">
        <v>18012</v>
      </c>
      <c r="D395" s="0" t="n">
        <v>2106019</v>
      </c>
      <c r="E395" s="0" t="n">
        <v>-0.02</v>
      </c>
      <c r="F395" s="0" t="n">
        <v>266248</v>
      </c>
      <c r="G395" s="0" t="n">
        <v>10.5825514772955</v>
      </c>
      <c r="H395" s="0" t="s">
        <v>552</v>
      </c>
      <c r="I395" s="0" t="n">
        <v>1.20429468902431</v>
      </c>
      <c r="J395" s="0" t="n">
        <v>49841</v>
      </c>
      <c r="K395" s="0" t="n">
        <v>33148</v>
      </c>
      <c r="L395" s="0" t="n">
        <v>1993532</v>
      </c>
      <c r="M395" s="0" t="n">
        <v>1969524</v>
      </c>
      <c r="N395" s="0" t="n">
        <v>1887130</v>
      </c>
      <c r="O395" s="0" t="n">
        <v>555</v>
      </c>
      <c r="P395" s="0" t="s">
        <v>149</v>
      </c>
      <c r="Q395" s="0" t="n">
        <v>0.0278400346721296</v>
      </c>
      <c r="R395" s="0" t="n">
        <v>3.00536889829927</v>
      </c>
      <c r="S395" s="0" t="n">
        <v>162</v>
      </c>
      <c r="T395" s="0" t="n">
        <v>3215</v>
      </c>
      <c r="U395" s="0" t="n">
        <v>0</v>
      </c>
      <c r="V395" s="0" t="n">
        <v>14.2074219489544</v>
      </c>
      <c r="W395" s="0" t="n">
        <v>20231231</v>
      </c>
      <c r="X395" s="0" t="n">
        <v>0.877971664486964</v>
      </c>
      <c r="Y395" s="0" t="n">
        <v>8.58</v>
      </c>
      <c r="Z395" s="0" t="s">
        <v>123</v>
      </c>
    </row>
    <row r="396" customFormat="false" ht="15" hidden="false" customHeight="false" outlineLevel="0" collapsed="false">
      <c r="A396" s="0" t="n">
        <v>396</v>
      </c>
      <c r="B396" s="0" t="n">
        <v>2931539</v>
      </c>
      <c r="C396" s="0" t="n">
        <v>18013</v>
      </c>
      <c r="D396" s="0" t="n">
        <v>2493477</v>
      </c>
      <c r="E396" s="0" t="n">
        <v>0.05</v>
      </c>
      <c r="F396" s="0" t="n">
        <v>220301</v>
      </c>
      <c r="G396" s="0" t="n">
        <v>7.51485823657812</v>
      </c>
      <c r="H396" s="0" t="s">
        <v>553</v>
      </c>
      <c r="I396" s="0" t="n">
        <v>0.71005314133557</v>
      </c>
      <c r="J396" s="0" t="n">
        <v>110574</v>
      </c>
      <c r="K396" s="0" t="n">
        <v>26129</v>
      </c>
      <c r="L396" s="0" t="n">
        <v>2374611</v>
      </c>
      <c r="M396" s="0" t="n">
        <v>2357750</v>
      </c>
      <c r="N396" s="0" t="n">
        <v>2161468</v>
      </c>
      <c r="O396" s="0" t="n">
        <v>686</v>
      </c>
      <c r="P396" s="0" t="s">
        <v>151</v>
      </c>
      <c r="Q396" s="0" t="n">
        <v>0.0298996340874357</v>
      </c>
      <c r="R396" s="0" t="n">
        <v>2.73279494803359</v>
      </c>
      <c r="S396" s="0" t="n">
        <v>320</v>
      </c>
      <c r="T396" s="0" t="n">
        <v>5925</v>
      </c>
      <c r="U396" s="0" t="n">
        <v>24</v>
      </c>
      <c r="V396" s="0" t="n">
        <v>12.6829971931169</v>
      </c>
      <c r="W396" s="0" t="n">
        <v>20231231</v>
      </c>
      <c r="X396" s="0" t="n">
        <v>0.394516829891397</v>
      </c>
      <c r="Y396" s="0" t="n">
        <v>5.28</v>
      </c>
      <c r="Z396" s="0" t="s">
        <v>123</v>
      </c>
    </row>
    <row r="397" customFormat="false" ht="15" hidden="false" customHeight="false" outlineLevel="0" collapsed="false">
      <c r="A397" s="0" t="n">
        <v>397</v>
      </c>
      <c r="B397" s="0" t="n">
        <v>392854</v>
      </c>
      <c r="C397" s="0" t="n">
        <v>18028</v>
      </c>
      <c r="D397" s="0" t="n">
        <v>313497</v>
      </c>
      <c r="E397" s="0" t="n">
        <v>0.07</v>
      </c>
      <c r="F397" s="0" t="n">
        <v>40632</v>
      </c>
      <c r="G397" s="0" t="n">
        <v>10.3427736512801</v>
      </c>
      <c r="H397" s="0" t="s">
        <v>554</v>
      </c>
      <c r="I397" s="0" t="n">
        <v>0.877133414821857</v>
      </c>
      <c r="J397" s="0" t="n">
        <v>15393</v>
      </c>
      <c r="K397" s="0" t="n">
        <v>6367</v>
      </c>
      <c r="L397" s="0" t="n">
        <v>265068</v>
      </c>
      <c r="M397" s="0" t="n">
        <v>262743</v>
      </c>
      <c r="N397" s="0" t="n">
        <v>237654</v>
      </c>
      <c r="O397" s="0" t="n">
        <v>817</v>
      </c>
      <c r="P397" s="0" t="s">
        <v>153</v>
      </c>
      <c r="Q397" s="0" t="n">
        <v>0.347458010774594</v>
      </c>
      <c r="R397" s="0" t="n">
        <v>3.41924397656439</v>
      </c>
      <c r="S397" s="0" t="n">
        <v>383</v>
      </c>
      <c r="T397" s="0" t="n">
        <v>1644</v>
      </c>
      <c r="U397" s="0" t="n">
        <v>104</v>
      </c>
      <c r="V397" s="0" t="n">
        <v>0</v>
      </c>
      <c r="W397" s="0" t="n">
        <v>20231231</v>
      </c>
      <c r="X397" s="0" t="n">
        <v>0.610395045804293</v>
      </c>
      <c r="Y397" s="0" t="n">
        <v>6.26</v>
      </c>
      <c r="Z397" s="0" t="s">
        <v>123</v>
      </c>
    </row>
    <row r="398" customFormat="false" ht="15" hidden="false" customHeight="false" outlineLevel="0" collapsed="false">
      <c r="A398" s="0" t="n">
        <v>398</v>
      </c>
      <c r="B398" s="0" t="n">
        <v>727730</v>
      </c>
      <c r="C398" s="0" t="n">
        <v>18030</v>
      </c>
      <c r="D398" s="0" t="n">
        <v>660214</v>
      </c>
      <c r="E398" s="0" t="n">
        <v>0.04</v>
      </c>
      <c r="F398" s="0" t="n">
        <v>49050</v>
      </c>
      <c r="G398" s="0" t="n">
        <v>6.740137138774</v>
      </c>
      <c r="H398" s="0" t="s">
        <v>555</v>
      </c>
      <c r="I398" s="0" t="n">
        <v>1.01574394610824</v>
      </c>
      <c r="J398" s="0" t="n">
        <v>41412</v>
      </c>
      <c r="K398" s="0" t="n">
        <v>95210</v>
      </c>
      <c r="L398" s="0" t="n">
        <v>587845</v>
      </c>
      <c r="M398" s="0" t="n">
        <v>581874</v>
      </c>
      <c r="N398" s="0" t="n">
        <v>451120</v>
      </c>
      <c r="O398" s="0" t="n">
        <v>456</v>
      </c>
      <c r="P398" s="0" t="s">
        <v>155</v>
      </c>
      <c r="Q398" s="0" t="n">
        <v>0.0775714686694621</v>
      </c>
      <c r="R398" s="0" t="n">
        <v>3.49141875348247</v>
      </c>
      <c r="S398" s="0" t="n">
        <v>-350</v>
      </c>
      <c r="T398" s="0" t="n">
        <v>829</v>
      </c>
      <c r="U398" s="0" t="n">
        <v>0</v>
      </c>
      <c r="V398" s="0" t="n">
        <v>13.2959890498966</v>
      </c>
      <c r="W398" s="0" t="n">
        <v>20231231</v>
      </c>
      <c r="X398" s="0" t="n">
        <v>0.703209915440082</v>
      </c>
      <c r="Y398" s="0" t="n">
        <v>11.34</v>
      </c>
      <c r="Z398" s="0" t="s">
        <v>123</v>
      </c>
    </row>
    <row r="399" customFormat="false" ht="15" hidden="false" customHeight="false" outlineLevel="0" collapsed="false">
      <c r="A399" s="0" t="n">
        <v>399</v>
      </c>
      <c r="B399" s="0" t="n">
        <v>684364</v>
      </c>
      <c r="C399" s="0" t="n">
        <v>18031</v>
      </c>
      <c r="D399" s="0" t="n">
        <v>562404</v>
      </c>
      <c r="E399" s="0" t="n">
        <v>-0.01</v>
      </c>
      <c r="F399" s="0" t="n">
        <v>37606</v>
      </c>
      <c r="G399" s="0" t="n">
        <v>5.49502896119609</v>
      </c>
      <c r="H399" s="0" t="s">
        <v>556</v>
      </c>
      <c r="I399" s="0" t="n">
        <v>0.836002015566503</v>
      </c>
      <c r="J399" s="0" t="n">
        <v>23262</v>
      </c>
      <c r="K399" s="0" t="n">
        <v>10669</v>
      </c>
      <c r="L399" s="0" t="n">
        <v>480262</v>
      </c>
      <c r="M399" s="0" t="n">
        <v>476247</v>
      </c>
      <c r="N399" s="0" t="n">
        <v>439722</v>
      </c>
      <c r="O399" s="0" t="n">
        <v>697</v>
      </c>
      <c r="P399" s="0" t="s">
        <v>157</v>
      </c>
      <c r="Q399" s="0" t="n">
        <v>0.145129117023625</v>
      </c>
      <c r="R399" s="0" t="n">
        <v>2.72156004022497</v>
      </c>
      <c r="S399" s="0" t="n">
        <v>-8</v>
      </c>
      <c r="T399" s="0" t="n">
        <v>1155</v>
      </c>
      <c r="U399" s="0" t="n">
        <v>0</v>
      </c>
      <c r="V399" s="0" t="n">
        <v>16.0938463078374</v>
      </c>
      <c r="W399" s="0" t="n">
        <v>20231231</v>
      </c>
      <c r="X399" s="0" t="n">
        <v>0.257383867860736</v>
      </c>
      <c r="Y399" s="0" t="n">
        <v>4.84</v>
      </c>
      <c r="Z399" s="0" t="s">
        <v>123</v>
      </c>
    </row>
    <row r="400" customFormat="false" ht="15" hidden="false" customHeight="false" outlineLevel="0" collapsed="false">
      <c r="A400" s="0" t="n">
        <v>400</v>
      </c>
      <c r="B400" s="0" t="n">
        <v>552093</v>
      </c>
      <c r="C400" s="0" t="n">
        <v>18038</v>
      </c>
      <c r="D400" s="0" t="n">
        <v>419606</v>
      </c>
      <c r="E400" s="0" t="n">
        <v>-0.04</v>
      </c>
      <c r="F400" s="0" t="n">
        <v>66547</v>
      </c>
      <c r="G400" s="0" t="n">
        <v>12.0535851749615</v>
      </c>
      <c r="H400" s="0" t="s">
        <v>557</v>
      </c>
      <c r="I400" s="0" t="n">
        <v>0.92744461393534</v>
      </c>
      <c r="J400" s="0" t="n">
        <v>21976</v>
      </c>
      <c r="K400" s="0" t="n">
        <v>3848</v>
      </c>
      <c r="L400" s="0" t="n">
        <v>418246</v>
      </c>
      <c r="M400" s="0" t="n">
        <v>414367</v>
      </c>
      <c r="N400" s="0" t="n">
        <v>392161</v>
      </c>
      <c r="O400" s="0" t="n">
        <v>2367</v>
      </c>
      <c r="P400" s="0" t="s">
        <v>159</v>
      </c>
      <c r="Q400" s="0" t="n">
        <v>0.565934880429221</v>
      </c>
      <c r="R400" s="0" t="n">
        <v>2.45051426504837</v>
      </c>
      <c r="S400" s="0" t="n">
        <v>-77</v>
      </c>
      <c r="T400" s="0" t="n">
        <v>822</v>
      </c>
      <c r="U400" s="0" t="n">
        <v>0</v>
      </c>
      <c r="V400" s="0" t="n">
        <v>0</v>
      </c>
      <c r="W400" s="0" t="n">
        <v>20231231</v>
      </c>
      <c r="X400" s="0" t="n">
        <v>0.311938300906613</v>
      </c>
      <c r="Y400" s="0" t="n">
        <v>2.64</v>
      </c>
      <c r="Z400" s="0" t="s">
        <v>123</v>
      </c>
    </row>
    <row r="401" customFormat="false" ht="15" hidden="false" customHeight="false" outlineLevel="0" collapsed="false">
      <c r="A401" s="0" t="n">
        <v>401</v>
      </c>
      <c r="B401" s="0" t="n">
        <v>7260613</v>
      </c>
      <c r="C401" s="0" t="n">
        <v>18408</v>
      </c>
      <c r="D401" s="0" t="n">
        <v>5329154</v>
      </c>
      <c r="E401" s="0" t="n">
        <v>-0.07</v>
      </c>
      <c r="F401" s="0" t="n">
        <v>408311</v>
      </c>
      <c r="G401" s="0" t="n">
        <v>5.62364362347918</v>
      </c>
      <c r="H401" s="0" t="s">
        <v>558</v>
      </c>
      <c r="I401" s="0" t="n">
        <v>0.658884158350031</v>
      </c>
      <c r="J401" s="0" t="n">
        <v>333151</v>
      </c>
      <c r="K401" s="0" t="n">
        <v>34286</v>
      </c>
      <c r="L401" s="0" t="n">
        <v>4829377</v>
      </c>
      <c r="M401" s="0" t="n">
        <v>4797557</v>
      </c>
      <c r="N401" s="0" t="n">
        <v>4395557</v>
      </c>
      <c r="O401" s="0" t="n">
        <v>3682</v>
      </c>
      <c r="P401" s="0" t="s">
        <v>161</v>
      </c>
      <c r="Q401" s="0" t="n">
        <v>0.0762417181346579</v>
      </c>
      <c r="R401" s="0" t="n">
        <v>2.09802163979008</v>
      </c>
      <c r="S401" s="0" t="n">
        <v>1220</v>
      </c>
      <c r="T401" s="0" t="n">
        <v>7936</v>
      </c>
      <c r="U401" s="0" t="n">
        <v>0</v>
      </c>
      <c r="V401" s="0" t="n">
        <v>11.8012092146704</v>
      </c>
      <c r="W401" s="0" t="n">
        <v>20231231</v>
      </c>
      <c r="X401" s="0" t="n">
        <v>0.245774438397451</v>
      </c>
      <c r="Y401" s="0" t="n">
        <v>4.9</v>
      </c>
      <c r="Z401" s="0" t="s">
        <v>105</v>
      </c>
    </row>
    <row r="402" customFormat="false" ht="15" hidden="false" customHeight="false" outlineLevel="0" collapsed="false">
      <c r="A402" s="0" t="n">
        <v>402</v>
      </c>
      <c r="B402" s="0" t="n">
        <v>2483046</v>
      </c>
      <c r="C402" s="0" t="n">
        <v>19531</v>
      </c>
      <c r="D402" s="0" t="n">
        <v>2045823</v>
      </c>
      <c r="E402" s="0" t="n">
        <v>-0.1</v>
      </c>
      <c r="F402" s="0" t="n">
        <v>242363</v>
      </c>
      <c r="G402" s="0" t="n">
        <v>9.76071325299652</v>
      </c>
      <c r="H402" s="0" t="s">
        <v>559</v>
      </c>
      <c r="I402" s="0" t="n">
        <v>1.05420592953895</v>
      </c>
      <c r="J402" s="0" t="n">
        <v>248052</v>
      </c>
      <c r="K402" s="0" t="n">
        <v>14524</v>
      </c>
      <c r="L402" s="0" t="n">
        <v>1996479</v>
      </c>
      <c r="M402" s="0" t="n">
        <v>1975432</v>
      </c>
      <c r="N402" s="0" t="n">
        <v>1632308</v>
      </c>
      <c r="O402" s="0" t="n">
        <v>6950</v>
      </c>
      <c r="P402" s="0" t="s">
        <v>163</v>
      </c>
      <c r="Q402" s="0" t="n">
        <v>0.350767526229928</v>
      </c>
      <c r="R402" s="0" t="n">
        <v>2.72825941963083</v>
      </c>
      <c r="S402" s="0" t="n">
        <v>433</v>
      </c>
      <c r="T402" s="0" t="n">
        <v>8747</v>
      </c>
      <c r="U402" s="0" t="n">
        <v>53</v>
      </c>
      <c r="V402" s="0" t="n">
        <v>14.4325224821325</v>
      </c>
      <c r="W402" s="0" t="n">
        <v>20231231</v>
      </c>
      <c r="X402" s="0" t="n">
        <v>0.483130976497632</v>
      </c>
      <c r="Y402" s="0" t="n">
        <v>5.05</v>
      </c>
      <c r="Z402" s="0" t="s">
        <v>105</v>
      </c>
    </row>
    <row r="403" customFormat="false" ht="15" hidden="false" customHeight="false" outlineLevel="0" collapsed="false">
      <c r="A403" s="0" t="n">
        <v>403</v>
      </c>
      <c r="B403" s="0" t="n">
        <v>876702</v>
      </c>
      <c r="C403" s="0" t="n">
        <v>19532</v>
      </c>
      <c r="D403" s="0" t="n">
        <v>727881</v>
      </c>
      <c r="E403" s="0" t="n">
        <v>0.03</v>
      </c>
      <c r="F403" s="0" t="n">
        <v>96676</v>
      </c>
      <c r="G403" s="0" t="n">
        <v>11.0272361646261</v>
      </c>
      <c r="H403" s="0" t="s">
        <v>560</v>
      </c>
      <c r="I403" s="0" t="n">
        <v>1.0106237616998</v>
      </c>
      <c r="J403" s="0" t="n">
        <v>43720</v>
      </c>
      <c r="K403" s="0" t="n">
        <v>53648</v>
      </c>
      <c r="L403" s="0" t="n">
        <v>585480</v>
      </c>
      <c r="M403" s="0" t="n">
        <v>579563</v>
      </c>
      <c r="N403" s="0" t="n">
        <v>482338</v>
      </c>
      <c r="O403" s="0" t="n">
        <v>1128</v>
      </c>
      <c r="P403" s="0" t="s">
        <v>165</v>
      </c>
      <c r="Q403" s="0" t="n">
        <v>0.194712031153925</v>
      </c>
      <c r="R403" s="0" t="n">
        <v>3.29213749359693</v>
      </c>
      <c r="S403" s="0" t="n">
        <v>102</v>
      </c>
      <c r="T403" s="0" t="n">
        <v>1388</v>
      </c>
      <c r="U403" s="0" t="n">
        <v>12</v>
      </c>
      <c r="V403" s="0" t="n">
        <v>20.8402581908709</v>
      </c>
      <c r="W403" s="0" t="n">
        <v>20231231</v>
      </c>
      <c r="X403" s="0" t="n">
        <v>0.768323735574911</v>
      </c>
      <c r="Y403" s="0" t="n">
        <v>6.79</v>
      </c>
      <c r="Z403" s="0" t="s">
        <v>105</v>
      </c>
    </row>
    <row r="404" customFormat="false" ht="15" hidden="false" customHeight="false" outlineLevel="0" collapsed="false">
      <c r="A404" s="0" t="n">
        <v>404</v>
      </c>
      <c r="B404" s="0" t="n">
        <v>2968976</v>
      </c>
      <c r="C404" s="0" t="n">
        <v>19690</v>
      </c>
      <c r="D404" s="0" t="n">
        <v>2150988</v>
      </c>
      <c r="E404" s="0" t="n">
        <v>0.06</v>
      </c>
      <c r="F404" s="0" t="n">
        <v>327540</v>
      </c>
      <c r="G404" s="0" t="n">
        <v>11.03208648369</v>
      </c>
      <c r="H404" s="0" t="s">
        <v>561</v>
      </c>
      <c r="I404" s="0" t="n">
        <v>1.05681298538753</v>
      </c>
      <c r="J404" s="0" t="n">
        <v>48038</v>
      </c>
      <c r="K404" s="0" t="n">
        <v>382</v>
      </c>
      <c r="L404" s="0" t="n">
        <v>2611058</v>
      </c>
      <c r="M404" s="0" t="n">
        <v>2583464</v>
      </c>
      <c r="N404" s="0" t="n">
        <v>2127332</v>
      </c>
      <c r="O404" s="0" t="n">
        <v>30772</v>
      </c>
      <c r="P404" s="0" t="s">
        <v>167</v>
      </c>
      <c r="Q404" s="0" t="n">
        <v>1.17852609938194</v>
      </c>
      <c r="R404" s="0" t="n">
        <v>5.06398378833269</v>
      </c>
      <c r="S404" s="0" t="n">
        <v>2768</v>
      </c>
      <c r="T404" s="0" t="n">
        <v>3570</v>
      </c>
      <c r="U404" s="0" t="n">
        <v>0</v>
      </c>
      <c r="V404" s="0" t="n">
        <v>13.7063330070435</v>
      </c>
      <c r="W404" s="0" t="n">
        <v>20231231</v>
      </c>
      <c r="X404" s="0" t="n">
        <v>1.87023078988431</v>
      </c>
      <c r="Y404" s="0" t="n">
        <v>18.15</v>
      </c>
      <c r="Z404" s="0" t="s">
        <v>105</v>
      </c>
    </row>
    <row r="405" customFormat="false" ht="15" hidden="false" customHeight="false" outlineLevel="0" collapsed="false">
      <c r="A405" s="0" t="n">
        <v>405</v>
      </c>
      <c r="B405" s="0" t="n">
        <v>659684</v>
      </c>
      <c r="C405" s="0" t="n">
        <v>19836</v>
      </c>
      <c r="D405" s="0" t="n">
        <v>484649</v>
      </c>
      <c r="E405" s="0" t="n">
        <v>0.04</v>
      </c>
      <c r="F405" s="0" t="n">
        <v>120787</v>
      </c>
      <c r="G405" s="0" t="n">
        <v>18.3098271293528</v>
      </c>
      <c r="H405" s="0" t="s">
        <v>562</v>
      </c>
      <c r="I405" s="0" t="n">
        <v>0.815597782188061</v>
      </c>
      <c r="J405" s="0" t="n">
        <v>49815</v>
      </c>
      <c r="K405" s="0" t="n">
        <v>11959</v>
      </c>
      <c r="L405" s="0" t="n">
        <v>547206</v>
      </c>
      <c r="M405" s="0" t="n">
        <v>542743</v>
      </c>
      <c r="N405" s="0" t="n">
        <v>481157</v>
      </c>
      <c r="O405" s="0" t="n">
        <v>3751</v>
      </c>
      <c r="P405" s="0" t="s">
        <v>145</v>
      </c>
      <c r="Q405" s="0" t="n">
        <v>0.707960073537205</v>
      </c>
      <c r="R405" s="0" t="n">
        <v>3.92169622453003</v>
      </c>
      <c r="S405" s="0" t="n">
        <v>72</v>
      </c>
      <c r="T405" s="0" t="n">
        <v>3494</v>
      </c>
      <c r="U405" s="0" t="n">
        <v>123</v>
      </c>
      <c r="V405" s="0" t="n">
        <v>25.7908734334641</v>
      </c>
      <c r="W405" s="0" t="n">
        <v>20231231</v>
      </c>
      <c r="X405" s="0" t="n">
        <v>0.787682704932891</v>
      </c>
      <c r="Y405" s="0" t="n">
        <v>4.09</v>
      </c>
      <c r="Z405" s="0" t="s">
        <v>105</v>
      </c>
    </row>
    <row r="406" customFormat="false" ht="15" hidden="false" customHeight="false" outlineLevel="0" collapsed="false">
      <c r="A406" s="0" t="n">
        <v>406</v>
      </c>
      <c r="B406" s="0" t="n">
        <v>1381838</v>
      </c>
      <c r="C406" s="0" t="n">
        <v>24540</v>
      </c>
      <c r="D406" s="0" t="n">
        <v>1106164</v>
      </c>
      <c r="E406" s="0" t="n">
        <v>0.3</v>
      </c>
      <c r="F406" s="0" t="n">
        <v>246470</v>
      </c>
      <c r="G406" s="0" t="n">
        <v>17.8363889254746</v>
      </c>
      <c r="H406" s="0" t="s">
        <v>563</v>
      </c>
      <c r="I406" s="0" t="n">
        <v>0.963960448647168</v>
      </c>
      <c r="J406" s="0" t="n">
        <v>42620</v>
      </c>
      <c r="K406" s="0" t="n">
        <v>66</v>
      </c>
      <c r="L406" s="0" t="n">
        <v>1204510</v>
      </c>
      <c r="M406" s="0" t="n">
        <v>1192899</v>
      </c>
      <c r="N406" s="0" t="n">
        <v>1166184</v>
      </c>
      <c r="O406" s="0" t="n">
        <v>430</v>
      </c>
      <c r="P406" s="0" t="s">
        <v>170</v>
      </c>
      <c r="Q406" s="0" t="n">
        <v>0.0356991639753924</v>
      </c>
      <c r="R406" s="0" t="n">
        <v>4.94178638574564</v>
      </c>
      <c r="S406" s="0" t="n">
        <v>0</v>
      </c>
      <c r="T406" s="0" t="n">
        <v>21674</v>
      </c>
      <c r="U406" s="0" t="n">
        <v>0</v>
      </c>
      <c r="V406" s="0" t="n">
        <v>19.0652745831146</v>
      </c>
      <c r="W406" s="0" t="n">
        <v>20231231</v>
      </c>
      <c r="X406" s="0" t="n">
        <v>2.38776188693731</v>
      </c>
      <c r="Y406" s="0" t="n">
        <v>13.82</v>
      </c>
      <c r="Z406" s="0" t="s">
        <v>123</v>
      </c>
    </row>
    <row r="407" customFormat="false" ht="15" hidden="false" customHeight="false" outlineLevel="0" collapsed="false">
      <c r="A407" s="0" t="n">
        <v>407</v>
      </c>
      <c r="B407" s="0" t="n">
        <v>540887</v>
      </c>
      <c r="C407" s="0" t="n">
        <v>27824</v>
      </c>
      <c r="D407" s="0" t="n">
        <v>387033</v>
      </c>
      <c r="E407" s="0" t="n">
        <v>-0.04</v>
      </c>
      <c r="F407" s="0" t="n">
        <v>65160</v>
      </c>
      <c r="G407" s="0" t="n">
        <v>12.0468785531913</v>
      </c>
      <c r="H407" s="0" t="s">
        <v>564</v>
      </c>
      <c r="I407" s="0" t="n">
        <v>0.66170826605966</v>
      </c>
      <c r="J407" s="0" t="n">
        <v>21688</v>
      </c>
      <c r="K407" s="0" t="n">
        <v>43401</v>
      </c>
      <c r="L407" s="0" t="n">
        <v>453372</v>
      </c>
      <c r="M407" s="0" t="n">
        <v>450372</v>
      </c>
      <c r="N407" s="0" t="n">
        <v>388283</v>
      </c>
      <c r="O407" s="0" t="n">
        <v>1178</v>
      </c>
      <c r="P407" s="0" t="s">
        <v>172</v>
      </c>
      <c r="Q407" s="0" t="n">
        <v>0.259830779139426</v>
      </c>
      <c r="R407" s="0" t="n">
        <v>1.87494551404564</v>
      </c>
      <c r="S407" s="0" t="n">
        <v>122</v>
      </c>
      <c r="T407" s="0" t="n">
        <v>1408</v>
      </c>
      <c r="U407" s="0" t="n">
        <v>0</v>
      </c>
      <c r="V407" s="0" t="n">
        <v>21.059017196498</v>
      </c>
      <c r="W407" s="0" t="n">
        <v>20231231</v>
      </c>
      <c r="X407" s="0" t="n">
        <v>-0.189996164928387</v>
      </c>
      <c r="Y407" s="0" t="n">
        <v>-1.48</v>
      </c>
      <c r="Z407" s="0" t="s">
        <v>123</v>
      </c>
    </row>
    <row r="408" customFormat="false" ht="15" hidden="false" customHeight="false" outlineLevel="0" collapsed="false">
      <c r="A408" s="0" t="n">
        <v>408</v>
      </c>
      <c r="B408" s="0" t="n">
        <v>300333</v>
      </c>
      <c r="C408" s="0" t="n">
        <v>28155</v>
      </c>
      <c r="D408" s="0" t="n">
        <v>262408</v>
      </c>
      <c r="E408" s="0" t="n">
        <v>-0.03</v>
      </c>
      <c r="F408" s="0" t="n">
        <v>27418</v>
      </c>
      <c r="G408" s="0" t="n">
        <v>9.12919992142056</v>
      </c>
      <c r="H408" s="0" t="s">
        <v>565</v>
      </c>
      <c r="I408" s="0" t="n">
        <v>0.483537001352467</v>
      </c>
      <c r="J408" s="0" t="n">
        <v>11200</v>
      </c>
      <c r="K408" s="0" t="n">
        <v>5939</v>
      </c>
      <c r="L408" s="0" t="n">
        <v>167102</v>
      </c>
      <c r="M408" s="0" t="n">
        <v>166294</v>
      </c>
      <c r="N408" s="0" t="n">
        <v>149453</v>
      </c>
      <c r="O408" s="0" t="n">
        <v>0</v>
      </c>
      <c r="P408" s="0" t="s">
        <v>174</v>
      </c>
      <c r="Q408" s="0" t="n">
        <v>0</v>
      </c>
      <c r="R408" s="0" t="n">
        <v>2.44769608992379</v>
      </c>
      <c r="S408" s="0" t="n">
        <v>5</v>
      </c>
      <c r="T408" s="0" t="n">
        <v>931</v>
      </c>
      <c r="U408" s="0" t="n">
        <v>0</v>
      </c>
      <c r="V408" s="0" t="n">
        <v>17.465163376961</v>
      </c>
      <c r="W408" s="0" t="n">
        <v>20231231</v>
      </c>
      <c r="X408" s="0" t="n">
        <v>-0.0555299835149542</v>
      </c>
      <c r="Y408" s="0" t="n">
        <v>-0.6</v>
      </c>
      <c r="Z408" s="0" t="s">
        <v>123</v>
      </c>
    </row>
    <row r="409" customFormat="false" ht="15" hidden="false" customHeight="false" outlineLevel="0" collapsed="false">
      <c r="A409" s="0" t="n">
        <v>409</v>
      </c>
      <c r="B409" s="0" t="n">
        <v>105413</v>
      </c>
      <c r="C409" s="0" t="n">
        <v>28288</v>
      </c>
      <c r="D409" s="0" t="n">
        <v>79221</v>
      </c>
      <c r="E409" s="0" t="n">
        <v>0</v>
      </c>
      <c r="F409" s="0" t="n">
        <v>6044</v>
      </c>
      <c r="G409" s="0" t="n">
        <v>5.7336381660706</v>
      </c>
      <c r="H409" s="0" t="s">
        <v>566</v>
      </c>
      <c r="I409" s="0" t="n">
        <v>1.0243006499011</v>
      </c>
      <c r="J409" s="0" t="n">
        <v>5007</v>
      </c>
      <c r="K409" s="0" t="n">
        <v>3064</v>
      </c>
      <c r="L409" s="0" t="n">
        <v>84936</v>
      </c>
      <c r="M409" s="0" t="n">
        <v>84066</v>
      </c>
      <c r="N409" s="0" t="n">
        <v>76865</v>
      </c>
      <c r="O409" s="0" t="n">
        <v>257</v>
      </c>
      <c r="P409" s="0" t="s">
        <v>176</v>
      </c>
      <c r="Q409" s="0" t="n">
        <v>0.302580766694923</v>
      </c>
      <c r="R409" s="0" t="n">
        <v>2.66046881663987</v>
      </c>
      <c r="S409" s="0" t="n">
        <v>-8</v>
      </c>
      <c r="T409" s="0" t="n">
        <v>125</v>
      </c>
      <c r="U409" s="0" t="n">
        <v>0</v>
      </c>
      <c r="V409" s="0" t="n">
        <v>12.817178197792</v>
      </c>
      <c r="W409" s="0" t="n">
        <v>20231231</v>
      </c>
      <c r="X409" s="0" t="n">
        <v>-0.0661496616639363</v>
      </c>
      <c r="Y409" s="0" t="n">
        <v>-1.16</v>
      </c>
      <c r="Z409" s="0" t="s">
        <v>105</v>
      </c>
    </row>
    <row r="410" customFormat="false" ht="15" hidden="false" customHeight="false" outlineLevel="0" collapsed="false">
      <c r="A410" s="0" t="n">
        <v>410</v>
      </c>
      <c r="B410" s="0" t="n">
        <v>93947</v>
      </c>
      <c r="C410" s="0" t="n">
        <v>28369</v>
      </c>
      <c r="D410" s="0" t="n">
        <v>77109</v>
      </c>
      <c r="E410" s="0" t="n">
        <v>0.03</v>
      </c>
      <c r="F410" s="0" t="n">
        <v>9350</v>
      </c>
      <c r="G410" s="0" t="n">
        <v>9.95241998147892</v>
      </c>
      <c r="H410" s="0" t="s">
        <v>567</v>
      </c>
      <c r="I410" s="0" t="n">
        <v>0.747895750938039</v>
      </c>
      <c r="J410" s="0" t="n">
        <v>12166</v>
      </c>
      <c r="K410" s="0" t="n">
        <v>834</v>
      </c>
      <c r="L410" s="0" t="n">
        <v>78888</v>
      </c>
      <c r="M410" s="0" t="n">
        <v>78298</v>
      </c>
      <c r="N410" s="0" t="n">
        <v>65888</v>
      </c>
      <c r="O410" s="0" t="n">
        <v>178</v>
      </c>
      <c r="P410" s="0" t="s">
        <v>178</v>
      </c>
      <c r="Q410" s="0" t="n">
        <v>0.225636345198256</v>
      </c>
      <c r="R410" s="0" t="n">
        <v>3.31528724993313</v>
      </c>
      <c r="S410" s="0" t="n">
        <v>-2</v>
      </c>
      <c r="T410" s="0" t="n">
        <v>102</v>
      </c>
      <c r="U410" s="0" t="n">
        <v>0</v>
      </c>
      <c r="V410" s="0" t="n">
        <v>0</v>
      </c>
      <c r="W410" s="0" t="n">
        <v>20231231</v>
      </c>
      <c r="X410" s="0" t="n">
        <v>-0.191016386958749</v>
      </c>
      <c r="Y410" s="0" t="n">
        <v>-1.8</v>
      </c>
      <c r="Z410" s="0" t="s">
        <v>105</v>
      </c>
    </row>
    <row r="411" customFormat="false" ht="15" hidden="false" customHeight="false" outlineLevel="0" collapsed="false">
      <c r="A411" s="0" t="n">
        <v>411</v>
      </c>
      <c r="B411" s="0" t="n">
        <v>285205</v>
      </c>
      <c r="C411" s="0" t="n">
        <v>28837</v>
      </c>
      <c r="D411" s="0" t="n">
        <v>255839</v>
      </c>
      <c r="E411" s="0" t="n">
        <v>0.06</v>
      </c>
      <c r="F411" s="0" t="n">
        <v>26107</v>
      </c>
      <c r="G411" s="0" t="n">
        <v>9.15376658894479</v>
      </c>
      <c r="H411" s="0" t="s">
        <v>568</v>
      </c>
      <c r="I411" s="0" t="n">
        <v>1.16905750090664</v>
      </c>
      <c r="J411" s="0" t="n">
        <v>6136</v>
      </c>
      <c r="K411" s="0" t="n">
        <v>790</v>
      </c>
      <c r="L411" s="0" t="n">
        <v>198536</v>
      </c>
      <c r="M411" s="0" t="n">
        <v>196215</v>
      </c>
      <c r="N411" s="0" t="n">
        <v>190865</v>
      </c>
      <c r="O411" s="0" t="n">
        <v>89</v>
      </c>
      <c r="P411" s="0" t="s">
        <v>180</v>
      </c>
      <c r="Q411" s="0" t="n">
        <v>0.0448281419994358</v>
      </c>
      <c r="R411" s="0" t="n">
        <v>3.60337323936935</v>
      </c>
      <c r="S411" s="0" t="n">
        <v>44</v>
      </c>
      <c r="T411" s="0" t="n">
        <v>689</v>
      </c>
      <c r="U411" s="0" t="n">
        <v>0</v>
      </c>
      <c r="V411" s="0" t="n">
        <v>16.6032466838163</v>
      </c>
      <c r="W411" s="0" t="n">
        <v>20231231</v>
      </c>
      <c r="X411" s="0" t="n">
        <v>0.843499779821749</v>
      </c>
      <c r="Y411" s="0" t="n">
        <v>9.84</v>
      </c>
      <c r="Z411" s="0" t="s">
        <v>112</v>
      </c>
    </row>
    <row r="412" customFormat="false" ht="15" hidden="false" customHeight="false" outlineLevel="0" collapsed="false">
      <c r="A412" s="0" t="n">
        <v>412</v>
      </c>
      <c r="B412" s="0" t="n">
        <v>179139</v>
      </c>
      <c r="C412" s="0" t="n">
        <v>29636</v>
      </c>
      <c r="D412" s="0" t="n">
        <v>140257</v>
      </c>
      <c r="E412" s="0" t="n">
        <v>0.04</v>
      </c>
      <c r="F412" s="0" t="n">
        <v>25841</v>
      </c>
      <c r="G412" s="0" t="n">
        <v>14.4251112264778</v>
      </c>
      <c r="H412" s="0" t="s">
        <v>569</v>
      </c>
      <c r="I412" s="0" t="n">
        <v>1.41134110743973</v>
      </c>
      <c r="J412" s="0" t="n">
        <v>1690</v>
      </c>
      <c r="K412" s="0" t="n">
        <v>1505</v>
      </c>
      <c r="L412" s="0" t="n">
        <v>134978</v>
      </c>
      <c r="M412" s="0" t="n">
        <v>133073</v>
      </c>
      <c r="N412" s="0" t="n">
        <v>131783</v>
      </c>
      <c r="O412" s="0" t="n">
        <v>1361</v>
      </c>
      <c r="P412" s="0" t="s">
        <v>182</v>
      </c>
      <c r="Q412" s="0" t="n">
        <v>1.00831246573516</v>
      </c>
      <c r="R412" s="0" t="n">
        <v>3.65429206434729</v>
      </c>
      <c r="S412" s="0" t="n">
        <v>-10</v>
      </c>
      <c r="T412" s="0" t="n">
        <v>2467</v>
      </c>
      <c r="U412" s="0" t="n">
        <v>0</v>
      </c>
      <c r="V412" s="0" t="n">
        <v>27.101782005029</v>
      </c>
      <c r="W412" s="0" t="n">
        <v>20231231</v>
      </c>
      <c r="X412" s="0" t="n">
        <v>0.411731485018589</v>
      </c>
      <c r="Y412" s="0" t="n">
        <v>3</v>
      </c>
      <c r="Z412" s="0" t="s">
        <v>105</v>
      </c>
    </row>
    <row r="413" customFormat="false" ht="15" hidden="false" customHeight="false" outlineLevel="0" collapsed="false">
      <c r="A413" s="0" t="n">
        <v>413</v>
      </c>
      <c r="B413" s="0" t="n">
        <v>188129</v>
      </c>
      <c r="C413" s="0" t="n">
        <v>29743</v>
      </c>
      <c r="D413" s="0" t="n">
        <v>163831</v>
      </c>
      <c r="E413" s="0" t="n">
        <v>-0.03</v>
      </c>
      <c r="F413" s="0" t="n">
        <v>16795</v>
      </c>
      <c r="G413" s="0" t="n">
        <v>8.92738493267917</v>
      </c>
      <c r="H413" s="0" t="s">
        <v>570</v>
      </c>
      <c r="I413" s="0" t="n">
        <v>0.666427589504513</v>
      </c>
      <c r="J413" s="0" t="n">
        <v>26224</v>
      </c>
      <c r="K413" s="0" t="n">
        <v>21579</v>
      </c>
      <c r="L413" s="0" t="n">
        <v>133848</v>
      </c>
      <c r="M413" s="0" t="n">
        <v>132956</v>
      </c>
      <c r="N413" s="0" t="n">
        <v>85948</v>
      </c>
      <c r="O413" s="0" t="n">
        <v>436</v>
      </c>
      <c r="P413" s="0" t="s">
        <v>184</v>
      </c>
      <c r="Q413" s="0" t="n">
        <v>0.325742633434941</v>
      </c>
      <c r="R413" s="0" t="n">
        <v>2.35417694416758</v>
      </c>
      <c r="S413" s="0" t="n">
        <v>10</v>
      </c>
      <c r="T413" s="0" t="n">
        <v>573</v>
      </c>
      <c r="U413" s="0" t="n">
        <v>0</v>
      </c>
      <c r="V413" s="0" t="n">
        <v>17.8279612561101</v>
      </c>
      <c r="W413" s="0" t="n">
        <v>20231231</v>
      </c>
      <c r="X413" s="0" t="n">
        <v>0.530724484627272</v>
      </c>
      <c r="Y413" s="0" t="n">
        <v>6.19</v>
      </c>
      <c r="Z413" s="0" t="s">
        <v>105</v>
      </c>
    </row>
    <row r="414" customFormat="false" ht="15" hidden="false" customHeight="false" outlineLevel="0" collapsed="false">
      <c r="A414" s="0" t="n">
        <v>414</v>
      </c>
      <c r="B414" s="0" t="n">
        <v>571301</v>
      </c>
      <c r="C414" s="0" t="n">
        <v>29744</v>
      </c>
      <c r="D414" s="0" t="n">
        <v>426673</v>
      </c>
      <c r="E414" s="0" t="n">
        <v>0.02</v>
      </c>
      <c r="F414" s="0" t="n">
        <v>46181</v>
      </c>
      <c r="G414" s="0" t="n">
        <v>8.08347963682892</v>
      </c>
      <c r="H414" s="0" t="s">
        <v>571</v>
      </c>
      <c r="I414" s="0" t="n">
        <v>0.788983096211717</v>
      </c>
      <c r="J414" s="0" t="n">
        <v>25511</v>
      </c>
      <c r="K414" s="0" t="n">
        <v>9826</v>
      </c>
      <c r="L414" s="0" t="n">
        <v>429667</v>
      </c>
      <c r="M414" s="0" t="n">
        <v>426277</v>
      </c>
      <c r="N414" s="0" t="n">
        <v>394330</v>
      </c>
      <c r="O414" s="0" t="n">
        <v>141</v>
      </c>
      <c r="P414" s="0" t="s">
        <v>186</v>
      </c>
      <c r="Q414" s="0" t="n">
        <v>0.0328161110813723</v>
      </c>
      <c r="R414" s="0" t="n">
        <v>2.18195327583115</v>
      </c>
      <c r="S414" s="0" t="n">
        <v>1</v>
      </c>
      <c r="T414" s="0" t="n">
        <v>4</v>
      </c>
      <c r="U414" s="0" t="n">
        <v>0</v>
      </c>
      <c r="V414" s="0" t="n">
        <v>15.3066612398453</v>
      </c>
      <c r="W414" s="0" t="n">
        <v>20231231</v>
      </c>
      <c r="X414" s="0" t="n">
        <v>-1.92589358136684</v>
      </c>
      <c r="Y414" s="0" t="n">
        <v>-22.17</v>
      </c>
      <c r="Z414" s="0" t="s">
        <v>123</v>
      </c>
    </row>
    <row r="415" customFormat="false" ht="15" hidden="false" customHeight="false" outlineLevel="0" collapsed="false">
      <c r="A415" s="0" t="n">
        <v>415</v>
      </c>
      <c r="B415" s="0" t="n">
        <v>552031</v>
      </c>
      <c r="C415" s="0" t="n">
        <v>30350</v>
      </c>
      <c r="D415" s="0" t="n">
        <v>441306</v>
      </c>
      <c r="E415" s="0" t="n">
        <v>0</v>
      </c>
      <c r="F415" s="0" t="n">
        <v>56419</v>
      </c>
      <c r="G415" s="0" t="n">
        <v>10.2202593694919</v>
      </c>
      <c r="H415" s="0" t="s">
        <v>572</v>
      </c>
      <c r="I415" s="0" t="n">
        <v>1.30472183865874</v>
      </c>
      <c r="J415" s="0" t="n">
        <v>16929</v>
      </c>
      <c r="K415" s="0" t="n">
        <v>1371</v>
      </c>
      <c r="L415" s="0" t="n">
        <v>403381</v>
      </c>
      <c r="M415" s="0" t="n">
        <v>398118</v>
      </c>
      <c r="N415" s="0" t="n">
        <v>383810</v>
      </c>
      <c r="O415" s="0" t="n">
        <v>2020</v>
      </c>
      <c r="P415" s="0" t="s">
        <v>188</v>
      </c>
      <c r="Q415" s="0" t="n">
        <v>0.500767264695164</v>
      </c>
      <c r="R415" s="0" t="n">
        <v>2.83298526110028</v>
      </c>
      <c r="S415" s="0" t="n">
        <v>-22</v>
      </c>
      <c r="T415" s="0" t="n">
        <v>904</v>
      </c>
      <c r="U415" s="0" t="n">
        <v>0</v>
      </c>
      <c r="V415" s="0" t="n">
        <v>20.7187970391521</v>
      </c>
      <c r="W415" s="0" t="n">
        <v>20231231</v>
      </c>
      <c r="X415" s="0" t="n">
        <v>0.694638101857136</v>
      </c>
      <c r="Y415" s="0" t="n">
        <v>7.19</v>
      </c>
      <c r="Z415" s="0" t="s">
        <v>112</v>
      </c>
    </row>
    <row r="416" customFormat="false" ht="15" hidden="false" customHeight="false" outlineLevel="0" collapsed="false">
      <c r="A416" s="0" t="n">
        <v>416</v>
      </c>
      <c r="B416" s="0" t="n">
        <v>105203</v>
      </c>
      <c r="C416" s="0" t="n">
        <v>30878</v>
      </c>
      <c r="D416" s="0" t="n">
        <v>73899</v>
      </c>
      <c r="E416" s="0" t="n">
        <v>-0.05</v>
      </c>
      <c r="F416" s="0" t="n">
        <v>12316</v>
      </c>
      <c r="G416" s="0" t="n">
        <v>11.7068904879138</v>
      </c>
      <c r="H416" s="0" t="s">
        <v>573</v>
      </c>
      <c r="I416" s="0" t="n">
        <v>0.814884923474688</v>
      </c>
      <c r="J416" s="0" t="n">
        <v>0</v>
      </c>
      <c r="K416" s="0" t="n">
        <v>104</v>
      </c>
      <c r="L416" s="0" t="n">
        <v>86638</v>
      </c>
      <c r="M416" s="0" t="n">
        <v>85932</v>
      </c>
      <c r="N416" s="0" t="n">
        <v>86535</v>
      </c>
      <c r="O416" s="0" t="n">
        <v>584</v>
      </c>
      <c r="P416" s="0" t="s">
        <v>190</v>
      </c>
      <c r="Q416" s="0" t="n">
        <v>0.674069115168864</v>
      </c>
      <c r="R416" s="0" t="n">
        <v>1.43139746208405</v>
      </c>
      <c r="S416" s="0" t="n">
        <v>0</v>
      </c>
      <c r="T416" s="0" t="n">
        <v>151</v>
      </c>
      <c r="U416" s="0" t="n">
        <v>0</v>
      </c>
      <c r="V416" s="0" t="n">
        <v>0</v>
      </c>
      <c r="W416" s="0" t="n">
        <v>20231231</v>
      </c>
      <c r="X416" s="0" t="n">
        <v>-0.284696681831123</v>
      </c>
      <c r="Y416" s="0" t="n">
        <v>-2.36</v>
      </c>
      <c r="Z416" s="0" t="s">
        <v>105</v>
      </c>
    </row>
    <row r="417" customFormat="false" ht="15" hidden="false" customHeight="false" outlineLevel="0" collapsed="false">
      <c r="A417" s="0" t="n">
        <v>417</v>
      </c>
      <c r="B417" s="0" t="n">
        <v>854116</v>
      </c>
      <c r="C417" s="0" t="n">
        <v>33418</v>
      </c>
      <c r="D417" s="0" t="n">
        <v>664122</v>
      </c>
      <c r="E417" s="0" t="n">
        <v>0.09</v>
      </c>
      <c r="F417" s="0" t="n">
        <v>68784</v>
      </c>
      <c r="G417" s="0" t="n">
        <v>8.05323867015721</v>
      </c>
      <c r="H417" s="0" t="s">
        <v>574</v>
      </c>
      <c r="I417" s="0" t="n">
        <v>0.663833038827069</v>
      </c>
      <c r="J417" s="0" t="n">
        <v>52712</v>
      </c>
      <c r="K417" s="0" t="n">
        <v>11771</v>
      </c>
      <c r="L417" s="0" t="n">
        <v>418780</v>
      </c>
      <c r="M417" s="0" t="n">
        <v>416000</v>
      </c>
      <c r="N417" s="0" t="n">
        <v>354004</v>
      </c>
      <c r="O417" s="0" t="n">
        <v>1741</v>
      </c>
      <c r="P417" s="0" t="s">
        <v>192</v>
      </c>
      <c r="Q417" s="0" t="n">
        <v>0.415731410287024</v>
      </c>
      <c r="R417" s="0" t="n">
        <v>2.54550855392525</v>
      </c>
      <c r="S417" s="0" t="n">
        <v>-50</v>
      </c>
      <c r="T417" s="0" t="n">
        <v>1957</v>
      </c>
      <c r="U417" s="0" t="n">
        <v>0</v>
      </c>
      <c r="V417" s="0" t="n">
        <v>16.202753847616</v>
      </c>
      <c r="W417" s="0" t="n">
        <v>20231231</v>
      </c>
      <c r="X417" s="0" t="n">
        <v>0.532293820018618</v>
      </c>
      <c r="Y417" s="0" t="n">
        <v>6.16</v>
      </c>
      <c r="Z417" s="0" t="s">
        <v>112</v>
      </c>
    </row>
    <row r="418" customFormat="false" ht="15" hidden="false" customHeight="false" outlineLevel="0" collapsed="false">
      <c r="A418" s="0" t="n">
        <v>418</v>
      </c>
      <c r="B418" s="0" t="n">
        <v>78004</v>
      </c>
      <c r="C418" s="0" t="n">
        <v>35206</v>
      </c>
      <c r="D418" s="0" t="n">
        <v>500</v>
      </c>
      <c r="E418" s="0" t="n">
        <v>0</v>
      </c>
      <c r="F418" s="0" t="n">
        <v>74403</v>
      </c>
      <c r="G418" s="0" t="n">
        <v>95.3835700733296</v>
      </c>
      <c r="H418" s="0" t="s">
        <v>575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s">
        <v>252</v>
      </c>
      <c r="Q418" s="0" t="n">
        <v>0</v>
      </c>
      <c r="R418" s="0" t="n">
        <v>4.44282523941103</v>
      </c>
      <c r="S418" s="0" t="n">
        <v>0</v>
      </c>
      <c r="T418" s="0" t="n">
        <v>0</v>
      </c>
      <c r="U418" s="0" t="n">
        <v>0</v>
      </c>
      <c r="V418" s="0" t="n">
        <v>0</v>
      </c>
      <c r="W418" s="0" t="n">
        <v>20231231</v>
      </c>
      <c r="X418" s="0" t="n">
        <v>19.6375956732605</v>
      </c>
      <c r="Y418" s="0" t="n">
        <v>20.55</v>
      </c>
      <c r="Z418" s="0" t="s">
        <v>123</v>
      </c>
    </row>
    <row r="419" customFormat="false" ht="15" hidden="false" customHeight="false" outlineLevel="0" collapsed="false">
      <c r="A419" s="0" t="n">
        <v>419</v>
      </c>
      <c r="B419" s="0" t="n">
        <v>5700364</v>
      </c>
      <c r="C419" s="0" t="n">
        <v>4255</v>
      </c>
      <c r="D419" s="0" t="n">
        <v>4632579</v>
      </c>
      <c r="E419" s="0" t="n">
        <v>0</v>
      </c>
      <c r="F419" s="0" t="n">
        <v>508674</v>
      </c>
      <c r="G419" s="0" t="n">
        <v>8.92353540931772</v>
      </c>
      <c r="H419" s="0" t="s">
        <v>576</v>
      </c>
      <c r="I419" s="0" t="n">
        <v>0.899008717232489</v>
      </c>
      <c r="J419" s="0" t="n">
        <v>335214</v>
      </c>
      <c r="K419" s="0" t="n">
        <v>18237</v>
      </c>
      <c r="L419" s="0" t="n">
        <v>4108414</v>
      </c>
      <c r="M419" s="0" t="n">
        <v>4071479</v>
      </c>
      <c r="N419" s="0" t="n">
        <v>3717758</v>
      </c>
      <c r="O419" s="0" t="n">
        <v>5448</v>
      </c>
      <c r="P419" s="0" t="s">
        <v>194</v>
      </c>
      <c r="Q419" s="0" t="n">
        <v>0.132605915567418</v>
      </c>
      <c r="R419" s="0" t="n">
        <v>2.55844446697609</v>
      </c>
      <c r="S419" s="0" t="n">
        <v>1161</v>
      </c>
      <c r="T419" s="0" t="n">
        <v>4959</v>
      </c>
      <c r="U419" s="0" t="n">
        <v>0</v>
      </c>
      <c r="V419" s="0" t="n">
        <v>13.6976813844604</v>
      </c>
      <c r="W419" s="0" t="n">
        <v>20231231</v>
      </c>
      <c r="X419" s="0" t="n">
        <v>0.80297935806377</v>
      </c>
      <c r="Y419" s="0" t="n">
        <v>9.57</v>
      </c>
      <c r="Z419" s="0" t="s">
        <v>105</v>
      </c>
    </row>
    <row r="420" customFormat="false" ht="15" hidden="false" customHeight="false" outlineLevel="0" collapsed="false">
      <c r="A420" s="0" t="n">
        <v>420</v>
      </c>
      <c r="B420" s="0" t="n">
        <v>2911223</v>
      </c>
      <c r="C420" s="0" t="n">
        <v>4256</v>
      </c>
      <c r="D420" s="0" t="n">
        <v>2600329</v>
      </c>
      <c r="E420" s="0" t="n">
        <v>0.04</v>
      </c>
      <c r="F420" s="0" t="n">
        <v>214531</v>
      </c>
      <c r="G420" s="0" t="n">
        <v>7.3691022638939</v>
      </c>
      <c r="H420" s="0" t="s">
        <v>577</v>
      </c>
      <c r="I420" s="0" t="n">
        <v>1.12845828085509</v>
      </c>
      <c r="J420" s="0" t="n">
        <v>314127</v>
      </c>
      <c r="K420" s="0" t="n">
        <v>19401</v>
      </c>
      <c r="L420" s="0" t="n">
        <v>2129454</v>
      </c>
      <c r="M420" s="0" t="n">
        <v>2105424</v>
      </c>
      <c r="N420" s="0" t="n">
        <v>1701843</v>
      </c>
      <c r="O420" s="0" t="n">
        <v>2178</v>
      </c>
      <c r="P420" s="0" t="s">
        <v>196</v>
      </c>
      <c r="Q420" s="0" t="n">
        <v>0.122425748572169</v>
      </c>
      <c r="R420" s="0" t="n">
        <v>2.45271276205377</v>
      </c>
      <c r="S420" s="0" t="n">
        <v>233</v>
      </c>
      <c r="T420" s="0" t="n">
        <v>2617</v>
      </c>
      <c r="U420" s="0" t="n">
        <v>429</v>
      </c>
      <c r="V420" s="0" t="n">
        <v>13.6193252605501</v>
      </c>
      <c r="W420" s="0" t="n">
        <v>20231231</v>
      </c>
      <c r="X420" s="0" t="n">
        <v>1.07604648622624</v>
      </c>
      <c r="Y420" s="0" t="n">
        <v>14.98</v>
      </c>
      <c r="Z420" s="0" t="s">
        <v>105</v>
      </c>
    </row>
    <row r="421" customFormat="false" ht="15" hidden="false" customHeight="false" outlineLevel="0" collapsed="false">
      <c r="A421" s="0" t="n">
        <v>421</v>
      </c>
      <c r="B421" s="0" t="n">
        <v>693138</v>
      </c>
      <c r="C421" s="0" t="n">
        <v>59086</v>
      </c>
      <c r="D421" s="0" t="n">
        <v>600781</v>
      </c>
      <c r="E421" s="0" t="n">
        <v>0.11</v>
      </c>
      <c r="F421" s="0" t="n">
        <v>88263</v>
      </c>
      <c r="G421" s="0" t="n">
        <v>12.7338278957437</v>
      </c>
      <c r="H421" s="0" t="s">
        <v>578</v>
      </c>
      <c r="I421" s="0" t="n">
        <v>1.14039111745417</v>
      </c>
      <c r="J421" s="0" t="n">
        <v>115313</v>
      </c>
      <c r="K421" s="0" t="n">
        <v>0</v>
      </c>
      <c r="L421" s="0" t="n">
        <v>588570</v>
      </c>
      <c r="M421" s="0" t="n">
        <v>581858</v>
      </c>
      <c r="N421" s="0" t="n">
        <v>473617</v>
      </c>
      <c r="O421" s="0" t="n">
        <v>4555</v>
      </c>
      <c r="P421" s="0" t="s">
        <v>198</v>
      </c>
      <c r="Q421" s="0" t="n">
        <v>0.638156888730313</v>
      </c>
      <c r="R421" s="0" t="n">
        <v>4.0764259406766</v>
      </c>
      <c r="S421" s="0" t="n">
        <v>540</v>
      </c>
      <c r="T421" s="0" t="n">
        <v>0</v>
      </c>
      <c r="U421" s="0" t="n">
        <v>1112</v>
      </c>
      <c r="V421" s="0" t="n">
        <v>15.2351344587961</v>
      </c>
      <c r="W421" s="0" t="n">
        <v>20231231</v>
      </c>
      <c r="X421" s="0" t="n">
        <v>1.45617949519887</v>
      </c>
      <c r="Y421" s="0" t="n">
        <v>12.03</v>
      </c>
      <c r="Z421" s="0" t="s">
        <v>123</v>
      </c>
    </row>
    <row r="422" customFormat="false" ht="15" hidden="false" customHeight="false" outlineLevel="0" collapsed="false">
      <c r="A422" s="0" t="n">
        <v>422</v>
      </c>
      <c r="B422" s="0" t="n">
        <v>238058</v>
      </c>
      <c r="C422" s="0" t="n">
        <v>59176</v>
      </c>
      <c r="D422" s="0" t="n">
        <v>197828</v>
      </c>
      <c r="E422" s="0" t="n">
        <v>0.2</v>
      </c>
      <c r="F422" s="0" t="n">
        <v>23051</v>
      </c>
      <c r="G422" s="0" t="n">
        <v>9.68293441094187</v>
      </c>
      <c r="H422" s="0" t="s">
        <v>579</v>
      </c>
      <c r="I422" s="0" t="n">
        <v>0.981727498239865</v>
      </c>
      <c r="J422" s="0" t="n">
        <v>23200</v>
      </c>
      <c r="K422" s="0" t="n">
        <v>4</v>
      </c>
      <c r="L422" s="0" t="n">
        <v>151977</v>
      </c>
      <c r="M422" s="0" t="n">
        <v>150485</v>
      </c>
      <c r="N422" s="0" t="n">
        <v>128774</v>
      </c>
      <c r="O422" s="0" t="n">
        <v>0</v>
      </c>
      <c r="P422" s="0" t="s">
        <v>200</v>
      </c>
      <c r="Q422" s="0" t="n">
        <v>0</v>
      </c>
      <c r="R422" s="0" t="n">
        <v>2.3031848814327</v>
      </c>
      <c r="S422" s="0" t="n">
        <v>66</v>
      </c>
      <c r="T422" s="0" t="n">
        <v>0</v>
      </c>
      <c r="U422" s="0" t="n">
        <v>0</v>
      </c>
      <c r="V422" s="0" t="n">
        <v>16.0544884234369</v>
      </c>
      <c r="W422" s="0" t="n">
        <v>20231231</v>
      </c>
      <c r="X422" s="0" t="n">
        <v>-0.191603674122027</v>
      </c>
      <c r="Y422" s="0" t="n">
        <v>-1.7</v>
      </c>
      <c r="Z422" s="0" t="s">
        <v>123</v>
      </c>
    </row>
    <row r="423" customFormat="false" ht="15" hidden="false" customHeight="false" outlineLevel="0" collapsed="false">
      <c r="A423" s="0" t="n">
        <v>423</v>
      </c>
      <c r="B423" s="0" t="n">
        <v>75597</v>
      </c>
      <c r="C423" s="0" t="n">
        <v>59289</v>
      </c>
      <c r="D423" s="0" t="n">
        <v>55515</v>
      </c>
      <c r="E423" s="0" t="n">
        <v>0.81</v>
      </c>
      <c r="F423" s="0" t="n">
        <v>19214</v>
      </c>
      <c r="G423" s="0" t="n">
        <v>25.4163525007606</v>
      </c>
      <c r="H423" s="0" t="s">
        <v>580</v>
      </c>
      <c r="I423" s="0" t="n">
        <v>1.35699069075204</v>
      </c>
      <c r="J423" s="0" t="n">
        <v>19039</v>
      </c>
      <c r="K423" s="0" t="n">
        <v>0</v>
      </c>
      <c r="L423" s="0" t="n">
        <v>34267</v>
      </c>
      <c r="M423" s="0" t="n">
        <v>33802</v>
      </c>
      <c r="N423" s="0" t="n">
        <v>13703</v>
      </c>
      <c r="O423" s="0" t="n">
        <v>0</v>
      </c>
      <c r="P423" s="0" t="s">
        <v>364</v>
      </c>
      <c r="Q423" s="0" t="n">
        <v>0</v>
      </c>
      <c r="R423" s="0" t="n">
        <v>4.5859950609221</v>
      </c>
      <c r="S423" s="0" t="n">
        <v>0</v>
      </c>
      <c r="T423" s="0" t="n">
        <v>0</v>
      </c>
      <c r="U423" s="0" t="n">
        <v>0</v>
      </c>
      <c r="V423" s="0" t="n">
        <v>0</v>
      </c>
      <c r="W423" s="0" t="n">
        <v>20231231</v>
      </c>
      <c r="X423" s="0" t="n">
        <v>-4.45568212086552</v>
      </c>
      <c r="Y423" s="0" t="n">
        <v>-11.2</v>
      </c>
      <c r="Z423" s="0" t="s">
        <v>123</v>
      </c>
    </row>
    <row r="424" customFormat="false" ht="15" hidden="false" customHeight="false" outlineLevel="0" collapsed="false">
      <c r="A424" s="0" t="n">
        <v>424</v>
      </c>
      <c r="B424" s="0" t="n">
        <v>159178</v>
      </c>
      <c r="C424" s="0" t="n">
        <v>59298</v>
      </c>
      <c r="D424" s="0" t="n">
        <v>130214</v>
      </c>
      <c r="E424" s="0" t="n">
        <v>0.31</v>
      </c>
      <c r="F424" s="0" t="n">
        <v>27360</v>
      </c>
      <c r="G424" s="0" t="n">
        <v>17.1883049165086</v>
      </c>
      <c r="H424" s="0" t="s">
        <v>581</v>
      </c>
      <c r="I424" s="0" t="n">
        <v>0.790432154573399</v>
      </c>
      <c r="J424" s="0" t="n">
        <v>19027</v>
      </c>
      <c r="K424" s="0" t="n">
        <v>0</v>
      </c>
      <c r="L424" s="0" t="n">
        <v>77426</v>
      </c>
      <c r="M424" s="0" t="n">
        <v>76814</v>
      </c>
      <c r="N424" s="0" t="n">
        <v>58407</v>
      </c>
      <c r="O424" s="0" t="n">
        <v>0</v>
      </c>
      <c r="P424" s="0" t="s">
        <v>310</v>
      </c>
      <c r="Q424" s="0" t="n">
        <v>0</v>
      </c>
      <c r="R424" s="0" t="n">
        <v>2.77710579481781</v>
      </c>
      <c r="S424" s="0" t="n">
        <v>0</v>
      </c>
      <c r="T424" s="0" t="n">
        <v>0</v>
      </c>
      <c r="U424" s="0" t="n">
        <v>0</v>
      </c>
      <c r="V424" s="0" t="n">
        <v>0</v>
      </c>
      <c r="W424" s="0" t="n">
        <v>20231231</v>
      </c>
      <c r="X424" s="0" t="n">
        <v>-2.10600972672534</v>
      </c>
      <c r="Y424" s="0" t="n">
        <v>-9.28</v>
      </c>
      <c r="Z424" s="0" t="s">
        <v>112</v>
      </c>
    </row>
    <row r="425" customFormat="false" ht="15" hidden="false" customHeight="false" outlineLevel="0" collapsed="false">
      <c r="A425" s="0" t="n">
        <v>425</v>
      </c>
      <c r="B425" s="0" t="n">
        <v>1098634</v>
      </c>
      <c r="C425" s="0" t="n">
        <v>6271</v>
      </c>
      <c r="D425" s="0" t="n">
        <v>898049</v>
      </c>
      <c r="E425" s="0" t="n">
        <v>0.14</v>
      </c>
      <c r="F425" s="0" t="n">
        <v>101032</v>
      </c>
      <c r="G425" s="0" t="n">
        <v>9.19614721554221</v>
      </c>
      <c r="H425" s="0" t="s">
        <v>582</v>
      </c>
      <c r="I425" s="0" t="n">
        <v>1.16347105152109</v>
      </c>
      <c r="J425" s="0" t="n">
        <v>122908</v>
      </c>
      <c r="K425" s="0" t="n">
        <v>7945</v>
      </c>
      <c r="L425" s="0" t="n">
        <v>846003</v>
      </c>
      <c r="M425" s="0" t="n">
        <v>836160</v>
      </c>
      <c r="N425" s="0" t="n">
        <v>655964</v>
      </c>
      <c r="O425" s="0" t="n">
        <v>6955</v>
      </c>
      <c r="P425" s="0" t="s">
        <v>202</v>
      </c>
      <c r="Q425" s="0" t="n">
        <v>0.879429505569129</v>
      </c>
      <c r="R425" s="0" t="n">
        <v>3.53792271157194</v>
      </c>
      <c r="S425" s="0" t="n">
        <v>341</v>
      </c>
      <c r="T425" s="0" t="n">
        <v>2530</v>
      </c>
      <c r="U425" s="0" t="n">
        <v>485</v>
      </c>
      <c r="V425" s="0" t="n">
        <v>14.9041762421334</v>
      </c>
      <c r="W425" s="0" t="n">
        <v>20231231</v>
      </c>
      <c r="X425" s="0" t="n">
        <v>1.3825664132056</v>
      </c>
      <c r="Y425" s="0" t="n">
        <v>15.83</v>
      </c>
      <c r="Z425" s="0" t="s">
        <v>112</v>
      </c>
    </row>
    <row r="426" customFormat="false" ht="15" hidden="false" customHeight="false" outlineLevel="0" collapsed="false">
      <c r="A426" s="0" t="n">
        <v>426</v>
      </c>
      <c r="B426" s="0" t="n">
        <v>560588</v>
      </c>
      <c r="C426" s="0" t="n">
        <v>6275</v>
      </c>
      <c r="D426" s="0" t="n">
        <v>486814</v>
      </c>
      <c r="E426" s="0" t="n">
        <v>0.01</v>
      </c>
      <c r="F426" s="0" t="n">
        <v>30793</v>
      </c>
      <c r="G426" s="0" t="n">
        <v>5.49298236851306</v>
      </c>
      <c r="H426" s="0" t="s">
        <v>583</v>
      </c>
      <c r="I426" s="0" t="n">
        <v>0.408028820188376</v>
      </c>
      <c r="J426" s="0" t="n">
        <v>35545</v>
      </c>
      <c r="K426" s="0" t="n">
        <v>12925</v>
      </c>
      <c r="L426" s="0" t="n">
        <v>336986</v>
      </c>
      <c r="M426" s="0" t="n">
        <v>335611</v>
      </c>
      <c r="N426" s="0" t="n">
        <v>278886</v>
      </c>
      <c r="O426" s="0" t="n">
        <v>1221</v>
      </c>
      <c r="P426" s="0" t="s">
        <v>204</v>
      </c>
      <c r="Q426" s="0" t="n">
        <v>0.393191408545162</v>
      </c>
      <c r="R426" s="0" t="n">
        <v>2.86365448541739</v>
      </c>
      <c r="S426" s="0" t="n">
        <v>8</v>
      </c>
      <c r="T426" s="0" t="n">
        <v>326</v>
      </c>
      <c r="U426" s="0" t="n">
        <v>104</v>
      </c>
      <c r="V426" s="0" t="n">
        <v>14.8417408506429</v>
      </c>
      <c r="W426" s="0" t="n">
        <v>20231231</v>
      </c>
      <c r="X426" s="0" t="n">
        <v>0.433314521647085</v>
      </c>
      <c r="Y426" s="0" t="n">
        <v>8.83</v>
      </c>
      <c r="Z426" s="0" t="s">
        <v>112</v>
      </c>
    </row>
    <row r="427" customFormat="false" ht="15" hidden="false" customHeight="false" outlineLevel="0" collapsed="false">
      <c r="A427" s="0" t="n">
        <v>427</v>
      </c>
      <c r="B427" s="0" t="n">
        <v>78840</v>
      </c>
      <c r="C427" s="0" t="n">
        <v>6280</v>
      </c>
      <c r="D427" s="0" t="n">
        <v>68883</v>
      </c>
      <c r="E427" s="0" t="n">
        <v>0.09</v>
      </c>
      <c r="F427" s="0" t="n">
        <v>9375</v>
      </c>
      <c r="G427" s="0" t="n">
        <v>11.8911719939117</v>
      </c>
      <c r="H427" s="0" t="s">
        <v>584</v>
      </c>
      <c r="I427" s="0" t="n">
        <v>1.31923790453194</v>
      </c>
      <c r="J427" s="0" t="n">
        <v>3335</v>
      </c>
      <c r="K427" s="0" t="n">
        <v>2153</v>
      </c>
      <c r="L427" s="0" t="n">
        <v>67918</v>
      </c>
      <c r="M427" s="0" t="n">
        <v>67022</v>
      </c>
      <c r="N427" s="0" t="n">
        <v>59964</v>
      </c>
      <c r="O427" s="0" t="n">
        <v>956</v>
      </c>
      <c r="P427" s="0" t="s">
        <v>206</v>
      </c>
      <c r="Q427" s="0" t="n">
        <v>1.40757972849613</v>
      </c>
      <c r="R427" s="0" t="n">
        <v>5.13228352094596</v>
      </c>
      <c r="S427" s="0" t="n">
        <v>9</v>
      </c>
      <c r="T427" s="0" t="n">
        <v>1133</v>
      </c>
      <c r="U427" s="0" t="n">
        <v>0</v>
      </c>
      <c r="V427" s="0" t="n">
        <v>0</v>
      </c>
      <c r="W427" s="0" t="n">
        <v>20231231</v>
      </c>
      <c r="X427" s="0" t="n">
        <v>1.84538132619786</v>
      </c>
      <c r="Y427" s="0" t="n">
        <v>16.73</v>
      </c>
      <c r="Z427" s="0" t="s">
        <v>112</v>
      </c>
    </row>
    <row r="428" customFormat="false" ht="15" hidden="false" customHeight="false" outlineLevel="0" collapsed="false">
      <c r="A428" s="0" t="n">
        <v>428</v>
      </c>
      <c r="B428" s="0" t="n">
        <v>3955727</v>
      </c>
      <c r="C428" s="0" t="n">
        <v>11971</v>
      </c>
      <c r="D428" s="0" t="n">
        <v>3137892</v>
      </c>
      <c r="E428" s="0" t="n">
        <v>0.01</v>
      </c>
      <c r="F428" s="0" t="n">
        <v>487592</v>
      </c>
      <c r="G428" s="0" t="n">
        <v>12.3262297929053</v>
      </c>
      <c r="H428" s="0" t="s">
        <v>585</v>
      </c>
      <c r="I428" s="0" t="n">
        <v>0.940523927054749</v>
      </c>
      <c r="J428" s="0" t="n">
        <v>200453</v>
      </c>
      <c r="K428" s="0" t="n">
        <v>7629</v>
      </c>
      <c r="L428" s="0" t="n">
        <v>3014809</v>
      </c>
      <c r="M428" s="0" t="n">
        <v>2986454</v>
      </c>
      <c r="N428" s="0" t="n">
        <v>2661075</v>
      </c>
      <c r="O428" s="0" t="n">
        <v>6869</v>
      </c>
      <c r="P428" s="0" t="s">
        <v>104</v>
      </c>
      <c r="Q428" s="0" t="n">
        <v>0.227841962791009</v>
      </c>
      <c r="R428" s="0" t="n">
        <v>3.25579709921018</v>
      </c>
      <c r="S428" s="0" t="n">
        <v>76</v>
      </c>
      <c r="T428" s="0" t="n">
        <v>2796</v>
      </c>
      <c r="U428" s="0" t="n">
        <v>0</v>
      </c>
      <c r="V428" s="0" t="n">
        <v>14.0984467343394</v>
      </c>
      <c r="W428" s="0" t="n">
        <v>20240331</v>
      </c>
      <c r="X428" s="0" t="n">
        <v>1.1683674016711</v>
      </c>
      <c r="Y428" s="0" t="n">
        <v>9.53</v>
      </c>
      <c r="Z428" s="0" t="s">
        <v>105</v>
      </c>
    </row>
    <row r="429" customFormat="false" ht="15" hidden="false" customHeight="false" outlineLevel="0" collapsed="false">
      <c r="A429" s="0" t="n">
        <v>429</v>
      </c>
      <c r="B429" s="0" t="n">
        <v>1024449</v>
      </c>
      <c r="C429" s="0" t="n">
        <v>12874</v>
      </c>
      <c r="D429" s="0" t="n">
        <v>876882</v>
      </c>
      <c r="E429" s="0" t="n">
        <v>-0.05</v>
      </c>
      <c r="F429" s="0" t="n">
        <v>106671</v>
      </c>
      <c r="G429" s="0" t="n">
        <v>10.4125241959336</v>
      </c>
      <c r="H429" s="0" t="s">
        <v>586</v>
      </c>
      <c r="I429" s="0" t="n">
        <v>0.989606313425053</v>
      </c>
      <c r="J429" s="0" t="n">
        <v>149340</v>
      </c>
      <c r="K429" s="0" t="n">
        <v>5156</v>
      </c>
      <c r="L429" s="0" t="n">
        <v>797792</v>
      </c>
      <c r="M429" s="0" t="n">
        <v>789897</v>
      </c>
      <c r="N429" s="0" t="n">
        <v>629564</v>
      </c>
      <c r="O429" s="0" t="n">
        <v>1466</v>
      </c>
      <c r="P429" s="0" t="s">
        <v>107</v>
      </c>
      <c r="Q429" s="0" t="n">
        <v>0.183757169788617</v>
      </c>
      <c r="R429" s="0" t="n">
        <v>3.63748180471991</v>
      </c>
      <c r="S429" s="0" t="n">
        <v>-40</v>
      </c>
      <c r="T429" s="0" t="n">
        <v>286</v>
      </c>
      <c r="U429" s="0" t="n">
        <v>0</v>
      </c>
      <c r="V429" s="0" t="n">
        <v>16.0884328878907</v>
      </c>
      <c r="W429" s="0" t="n">
        <v>20240331</v>
      </c>
      <c r="X429" s="0" t="n">
        <v>0.884731192413479</v>
      </c>
      <c r="Y429" s="0" t="n">
        <v>8.52</v>
      </c>
      <c r="Z429" s="0" t="s">
        <v>105</v>
      </c>
    </row>
    <row r="430" customFormat="false" ht="15" hidden="false" customHeight="false" outlineLevel="0" collapsed="false">
      <c r="A430" s="0" t="n">
        <v>430</v>
      </c>
      <c r="B430" s="0" t="n">
        <v>1806517</v>
      </c>
      <c r="C430" s="0" t="n">
        <v>13063</v>
      </c>
      <c r="D430" s="0" t="n">
        <v>1572488</v>
      </c>
      <c r="E430" s="0" t="n">
        <v>0.06</v>
      </c>
      <c r="F430" s="0" t="n">
        <v>144426</v>
      </c>
      <c r="G430" s="0" t="n">
        <v>7.994721333926</v>
      </c>
      <c r="H430" s="0" t="s">
        <v>587</v>
      </c>
      <c r="I430" s="0" t="n">
        <v>1.20322501230921</v>
      </c>
      <c r="J430" s="0" t="n">
        <v>57837</v>
      </c>
      <c r="K430" s="0" t="n">
        <v>758</v>
      </c>
      <c r="L430" s="0" t="n">
        <v>1429824</v>
      </c>
      <c r="M430" s="0" t="n">
        <v>1412620</v>
      </c>
      <c r="N430" s="0" t="n">
        <v>1360729</v>
      </c>
      <c r="O430" s="0" t="n">
        <v>510</v>
      </c>
      <c r="P430" s="0" t="s">
        <v>109</v>
      </c>
      <c r="Q430" s="0" t="n">
        <v>0.0356687256613401</v>
      </c>
      <c r="R430" s="0" t="n">
        <v>2.96240345136222</v>
      </c>
      <c r="S430" s="0" t="n">
        <v>-4</v>
      </c>
      <c r="T430" s="0" t="n">
        <v>3365</v>
      </c>
      <c r="U430" s="0" t="n">
        <v>0</v>
      </c>
      <c r="V430" s="0" t="n">
        <v>0</v>
      </c>
      <c r="W430" s="0" t="n">
        <v>20240331</v>
      </c>
      <c r="X430" s="0" t="n">
        <v>0.280149291821904</v>
      </c>
      <c r="Y430" s="0" t="n">
        <v>3.52</v>
      </c>
      <c r="Z430" s="0" t="s">
        <v>105</v>
      </c>
    </row>
    <row r="431" customFormat="false" ht="15" hidden="false" customHeight="false" outlineLevel="0" collapsed="false">
      <c r="A431" s="0" t="n">
        <v>431</v>
      </c>
      <c r="B431" s="0" t="n">
        <v>842231</v>
      </c>
      <c r="C431" s="0" t="n">
        <v>14134</v>
      </c>
      <c r="D431" s="0" t="n">
        <v>674131</v>
      </c>
      <c r="E431" s="0" t="n">
        <v>0.09</v>
      </c>
      <c r="F431" s="0" t="n">
        <v>108189</v>
      </c>
      <c r="G431" s="0" t="n">
        <v>12.8455257524361</v>
      </c>
      <c r="H431" s="0" t="s">
        <v>588</v>
      </c>
      <c r="I431" s="0" t="n">
        <v>1.15496383334913</v>
      </c>
      <c r="J431" s="0" t="n">
        <v>25471</v>
      </c>
      <c r="K431" s="0" t="n">
        <v>24735</v>
      </c>
      <c r="L431" s="0" t="n">
        <v>633180</v>
      </c>
      <c r="M431" s="0" t="n">
        <v>625867</v>
      </c>
      <c r="N431" s="0" t="n">
        <v>560872</v>
      </c>
      <c r="O431" s="0" t="n">
        <v>10903</v>
      </c>
      <c r="P431" s="0" t="s">
        <v>111</v>
      </c>
      <c r="Q431" s="0" t="n">
        <v>1.72194320730282</v>
      </c>
      <c r="R431" s="0" t="n">
        <v>3.06668550800971</v>
      </c>
      <c r="S431" s="0" t="n">
        <v>150</v>
      </c>
      <c r="T431" s="0" t="n">
        <v>4407</v>
      </c>
      <c r="U431" s="0" t="n">
        <v>0</v>
      </c>
      <c r="V431" s="0" t="n">
        <v>19.5631605084554</v>
      </c>
      <c r="W431" s="0" t="n">
        <v>20240331</v>
      </c>
      <c r="X431" s="0" t="n">
        <v>1.52742469831594</v>
      </c>
      <c r="Y431" s="0" t="n">
        <v>12.11</v>
      </c>
      <c r="Z431" s="0" t="s">
        <v>112</v>
      </c>
    </row>
    <row r="432" customFormat="false" ht="15" hidden="false" customHeight="false" outlineLevel="0" collapsed="false">
      <c r="A432" s="0" t="n">
        <v>432</v>
      </c>
      <c r="B432" s="0" t="n">
        <v>239150</v>
      </c>
      <c r="C432" s="0" t="n">
        <v>14136</v>
      </c>
      <c r="D432" s="0" t="n">
        <v>196243</v>
      </c>
      <c r="E432" s="0" t="n">
        <v>-0.18</v>
      </c>
      <c r="F432" s="0" t="n">
        <v>17389</v>
      </c>
      <c r="G432" s="0" t="n">
        <v>7.27116872255906</v>
      </c>
      <c r="H432" s="0" t="s">
        <v>589</v>
      </c>
      <c r="I432" s="0" t="n">
        <v>1.10535834372531</v>
      </c>
      <c r="J432" s="0" t="n">
        <v>14438</v>
      </c>
      <c r="K432" s="0" t="n">
        <v>14594</v>
      </c>
      <c r="L432" s="0" t="n">
        <v>153163</v>
      </c>
      <c r="M432" s="0" t="n">
        <v>151470</v>
      </c>
      <c r="N432" s="0" t="n">
        <v>123830</v>
      </c>
      <c r="O432" s="0" t="n">
        <v>502</v>
      </c>
      <c r="P432" s="0" t="s">
        <v>114</v>
      </c>
      <c r="Q432" s="0" t="n">
        <v>0.633965122124795</v>
      </c>
      <c r="R432" s="0" t="n">
        <v>3.75432733834968</v>
      </c>
      <c r="S432" s="0" t="n">
        <v>82</v>
      </c>
      <c r="T432" s="0" t="n">
        <v>634</v>
      </c>
      <c r="U432" s="0" t="n">
        <v>469</v>
      </c>
      <c r="V432" s="0" t="n">
        <v>17.5483668012374</v>
      </c>
      <c r="W432" s="0" t="n">
        <v>20240331</v>
      </c>
      <c r="X432" s="0" t="n">
        <v>0.678212630653181</v>
      </c>
      <c r="Y432" s="0" t="n">
        <v>9.32</v>
      </c>
      <c r="Z432" s="0" t="s">
        <v>112</v>
      </c>
    </row>
    <row r="433" customFormat="false" ht="15" hidden="false" customHeight="false" outlineLevel="0" collapsed="false">
      <c r="A433" s="0" t="n">
        <v>433</v>
      </c>
      <c r="B433" s="0" t="n">
        <v>1501419</v>
      </c>
      <c r="C433" s="0" t="n">
        <v>14140</v>
      </c>
      <c r="D433" s="0" t="n">
        <v>1223701</v>
      </c>
      <c r="E433" s="0" t="n">
        <v>0.03</v>
      </c>
      <c r="F433" s="0" t="n">
        <v>125756</v>
      </c>
      <c r="G433" s="0" t="n">
        <v>8.37580981724622</v>
      </c>
      <c r="H433" s="0" t="s">
        <v>590</v>
      </c>
      <c r="I433" s="0" t="n">
        <v>0.842063813594939</v>
      </c>
      <c r="J433" s="0" t="n">
        <v>86843</v>
      </c>
      <c r="K433" s="0" t="n">
        <v>1578</v>
      </c>
      <c r="L433" s="0" t="n">
        <v>1056452</v>
      </c>
      <c r="M433" s="0" t="n">
        <v>1047556</v>
      </c>
      <c r="N433" s="0" t="n">
        <v>938480</v>
      </c>
      <c r="O433" s="0" t="n">
        <v>4548</v>
      </c>
      <c r="P433" s="0" t="s">
        <v>116</v>
      </c>
      <c r="Q433" s="0" t="n">
        <v>0.430497552184103</v>
      </c>
      <c r="R433" s="0" t="n">
        <v>2.39161561031373</v>
      </c>
      <c r="S433" s="0" t="n">
        <v>7</v>
      </c>
      <c r="T433" s="0" t="n">
        <v>85</v>
      </c>
      <c r="U433" s="0" t="n">
        <v>0</v>
      </c>
      <c r="V433" s="0" t="n">
        <v>0</v>
      </c>
      <c r="W433" s="0" t="n">
        <v>20240331</v>
      </c>
      <c r="X433" s="0" t="n">
        <v>0.266123685640066</v>
      </c>
      <c r="Y433" s="0" t="n">
        <v>3.17</v>
      </c>
      <c r="Z433" s="0" t="s">
        <v>112</v>
      </c>
    </row>
    <row r="434" customFormat="false" ht="15" hidden="false" customHeight="false" outlineLevel="0" collapsed="false">
      <c r="A434" s="0" t="n">
        <v>434</v>
      </c>
      <c r="B434" s="0" t="n">
        <v>1416981</v>
      </c>
      <c r="C434" s="0" t="n">
        <v>14158</v>
      </c>
      <c r="D434" s="0" t="n">
        <v>1175239</v>
      </c>
      <c r="E434" s="0" t="n">
        <v>-0.06</v>
      </c>
      <c r="F434" s="0" t="n">
        <v>79774</v>
      </c>
      <c r="G434" s="0" t="n">
        <v>5.62985671649796</v>
      </c>
      <c r="H434" s="0" t="s">
        <v>591</v>
      </c>
      <c r="I434" s="0" t="n">
        <v>0.639316676784771</v>
      </c>
      <c r="J434" s="0" t="n">
        <v>40567</v>
      </c>
      <c r="K434" s="0" t="n">
        <v>2275</v>
      </c>
      <c r="L434" s="0" t="n">
        <v>1039391</v>
      </c>
      <c r="M434" s="0" t="n">
        <v>1032746</v>
      </c>
      <c r="N434" s="0" t="n">
        <v>909000</v>
      </c>
      <c r="O434" s="0" t="n">
        <v>1813</v>
      </c>
      <c r="P434" s="0" t="s">
        <v>118</v>
      </c>
      <c r="Q434" s="0" t="n">
        <v>0.180201675788996</v>
      </c>
      <c r="R434" s="0" t="n">
        <v>2.72025620948648</v>
      </c>
      <c r="S434" s="0" t="n">
        <v>-1</v>
      </c>
      <c r="T434" s="0" t="n">
        <v>2549</v>
      </c>
      <c r="U434" s="0" t="n">
        <v>60</v>
      </c>
      <c r="V434" s="0" t="n">
        <v>13.3404695925329</v>
      </c>
      <c r="W434" s="0" t="n">
        <v>20240331</v>
      </c>
      <c r="X434" s="0" t="n">
        <v>0.733611995914674</v>
      </c>
      <c r="Y434" s="0" t="n">
        <v>13.08</v>
      </c>
      <c r="Z434" s="0" t="s">
        <v>112</v>
      </c>
    </row>
    <row r="435" customFormat="false" ht="15" hidden="false" customHeight="false" outlineLevel="0" collapsed="false">
      <c r="A435" s="0" t="n">
        <v>435</v>
      </c>
      <c r="B435" s="0" t="n">
        <v>363663</v>
      </c>
      <c r="C435" s="0" t="n">
        <v>14168</v>
      </c>
      <c r="D435" s="0" t="n">
        <v>323430</v>
      </c>
      <c r="E435" s="0" t="n">
        <v>0.11</v>
      </c>
      <c r="F435" s="0" t="n">
        <v>35210</v>
      </c>
      <c r="G435" s="0" t="n">
        <v>9.6820407905121</v>
      </c>
      <c r="H435" s="0" t="s">
        <v>592</v>
      </c>
      <c r="I435" s="0" t="n">
        <v>1.64537977359574</v>
      </c>
      <c r="J435" s="0" t="n">
        <v>12376</v>
      </c>
      <c r="K435" s="0" t="n">
        <v>10104</v>
      </c>
      <c r="L435" s="0" t="n">
        <v>250702</v>
      </c>
      <c r="M435" s="0" t="n">
        <v>246577</v>
      </c>
      <c r="N435" s="0" t="n">
        <v>213218</v>
      </c>
      <c r="O435" s="0" t="n">
        <v>1095</v>
      </c>
      <c r="P435" s="0" t="s">
        <v>120</v>
      </c>
      <c r="Q435" s="0" t="n">
        <v>0.437172419845075</v>
      </c>
      <c r="R435" s="0" t="n">
        <v>3.9809390262742</v>
      </c>
      <c r="S435" s="0" t="n">
        <v>-25</v>
      </c>
      <c r="T435" s="0" t="n">
        <v>1276</v>
      </c>
      <c r="U435" s="0" t="n">
        <v>1</v>
      </c>
      <c r="V435" s="0" t="n">
        <v>16.3907253005299</v>
      </c>
      <c r="W435" s="0" t="n">
        <v>20240331</v>
      </c>
      <c r="X435" s="0" t="n">
        <v>0.787388476403298</v>
      </c>
      <c r="Y435" s="0" t="n">
        <v>8.06</v>
      </c>
      <c r="Z435" s="0" t="s">
        <v>112</v>
      </c>
    </row>
    <row r="436" customFormat="false" ht="15" hidden="false" customHeight="false" outlineLevel="0" collapsed="false">
      <c r="A436" s="0" t="n">
        <v>436</v>
      </c>
      <c r="B436" s="0" t="n">
        <v>1238358</v>
      </c>
      <c r="C436" s="0" t="n">
        <v>14240</v>
      </c>
      <c r="D436" s="0" t="n">
        <v>983728</v>
      </c>
      <c r="E436" s="0" t="n">
        <v>0</v>
      </c>
      <c r="F436" s="0" t="n">
        <v>87867</v>
      </c>
      <c r="G436" s="0" t="n">
        <v>7.09544412843459</v>
      </c>
      <c r="H436" s="0" t="s">
        <v>593</v>
      </c>
      <c r="I436" s="0" t="n">
        <v>1.16311800833159</v>
      </c>
      <c r="J436" s="0" t="n">
        <v>26576</v>
      </c>
      <c r="K436" s="0" t="n">
        <v>15838</v>
      </c>
      <c r="L436" s="0" t="n">
        <v>920113</v>
      </c>
      <c r="M436" s="0" t="n">
        <v>909411</v>
      </c>
      <c r="N436" s="0" t="n">
        <v>804017</v>
      </c>
      <c r="O436" s="0" t="n">
        <v>3281</v>
      </c>
      <c r="P436" s="0" t="s">
        <v>122</v>
      </c>
      <c r="Q436" s="0" t="n">
        <v>0.356586636641369</v>
      </c>
      <c r="R436" s="0" t="n">
        <v>2.8576455097097</v>
      </c>
      <c r="S436" s="0" t="n">
        <v>-6</v>
      </c>
      <c r="T436" s="0" t="n">
        <v>2878</v>
      </c>
      <c r="U436" s="0" t="n">
        <v>0</v>
      </c>
      <c r="V436" s="0" t="n">
        <v>16.0804516584333</v>
      </c>
      <c r="W436" s="0" t="n">
        <v>20240331</v>
      </c>
      <c r="X436" s="0" t="n">
        <v>0.489845223176813</v>
      </c>
      <c r="Y436" s="0" t="n">
        <v>6.95</v>
      </c>
      <c r="Z436" s="0" t="s">
        <v>123</v>
      </c>
    </row>
    <row r="437" customFormat="false" ht="15" hidden="false" customHeight="false" outlineLevel="0" collapsed="false">
      <c r="A437" s="0" t="n">
        <v>437</v>
      </c>
      <c r="B437" s="0" t="n">
        <v>1079745</v>
      </c>
      <c r="C437" s="0" t="n">
        <v>17115</v>
      </c>
      <c r="D437" s="0" t="n">
        <v>803428</v>
      </c>
      <c r="E437" s="0" t="n">
        <v>0.03</v>
      </c>
      <c r="F437" s="0" t="n">
        <v>88109</v>
      </c>
      <c r="G437" s="0" t="n">
        <v>8.16016744694349</v>
      </c>
      <c r="H437" s="0" t="s">
        <v>594</v>
      </c>
      <c r="I437" s="0" t="n">
        <v>1.00294702167807</v>
      </c>
      <c r="J437" s="0" t="n">
        <v>43323</v>
      </c>
      <c r="K437" s="0" t="n">
        <v>6768</v>
      </c>
      <c r="L437" s="0" t="n">
        <v>896159</v>
      </c>
      <c r="M437" s="0" t="n">
        <v>887171</v>
      </c>
      <c r="N437" s="0" t="n">
        <v>845242</v>
      </c>
      <c r="O437" s="0" t="n">
        <v>2344</v>
      </c>
      <c r="P437" s="0" t="s">
        <v>125</v>
      </c>
      <c r="Q437" s="0" t="n">
        <v>0.261560727504829</v>
      </c>
      <c r="R437" s="0" t="n">
        <v>2.59385352969745</v>
      </c>
      <c r="S437" s="0" t="n">
        <v>8</v>
      </c>
      <c r="T437" s="0" t="n">
        <v>1163</v>
      </c>
      <c r="U437" s="0" t="n">
        <v>0</v>
      </c>
      <c r="V437" s="0" t="n">
        <v>13.958856660342</v>
      </c>
      <c r="W437" s="0" t="n">
        <v>20240331</v>
      </c>
      <c r="X437" s="0" t="n">
        <v>0.534576872366088</v>
      </c>
      <c r="Y437" s="0" t="n">
        <v>6.61</v>
      </c>
      <c r="Z437" s="0" t="s">
        <v>105</v>
      </c>
    </row>
    <row r="438" customFormat="false" ht="15" hidden="false" customHeight="false" outlineLevel="0" collapsed="false">
      <c r="A438" s="0" t="n">
        <v>438</v>
      </c>
      <c r="B438" s="0" t="n">
        <v>1658628</v>
      </c>
      <c r="C438" s="0" t="n">
        <v>17180</v>
      </c>
      <c r="D438" s="0" t="n">
        <v>1184689</v>
      </c>
      <c r="E438" s="0" t="n">
        <v>0.13</v>
      </c>
      <c r="F438" s="0" t="n">
        <v>137543</v>
      </c>
      <c r="G438" s="0" t="n">
        <v>8.29257675621056</v>
      </c>
      <c r="H438" s="0" t="s">
        <v>595</v>
      </c>
      <c r="I438" s="0" t="n">
        <v>0.985514879460849</v>
      </c>
      <c r="J438" s="0" t="n">
        <v>54013</v>
      </c>
      <c r="K438" s="0" t="n">
        <v>183116</v>
      </c>
      <c r="L438" s="0" t="n">
        <v>1488562</v>
      </c>
      <c r="M438" s="0" t="n">
        <v>1473892</v>
      </c>
      <c r="N438" s="0" t="n">
        <v>1225328</v>
      </c>
      <c r="O438" s="0" t="n">
        <v>6109</v>
      </c>
      <c r="P438" s="0" t="s">
        <v>127</v>
      </c>
      <c r="Q438" s="0" t="n">
        <v>0.410396073525993</v>
      </c>
      <c r="R438" s="0" t="n">
        <v>2.65361488045845</v>
      </c>
      <c r="S438" s="0" t="n">
        <v>108</v>
      </c>
      <c r="T438" s="0" t="n">
        <v>1366</v>
      </c>
      <c r="U438" s="0" t="n">
        <v>0</v>
      </c>
      <c r="V438" s="0" t="n">
        <v>14.3313029893451</v>
      </c>
      <c r="W438" s="0" t="n">
        <v>20240331</v>
      </c>
      <c r="X438" s="0" t="n">
        <v>0.387207231428846</v>
      </c>
      <c r="Y438" s="0" t="n">
        <v>4.65</v>
      </c>
      <c r="Z438" s="0" t="s">
        <v>123</v>
      </c>
    </row>
    <row r="439" customFormat="false" ht="15" hidden="false" customHeight="false" outlineLevel="0" collapsed="false">
      <c r="A439" s="0" t="n">
        <v>439</v>
      </c>
      <c r="B439" s="0" t="n">
        <v>343636</v>
      </c>
      <c r="C439" s="0" t="n">
        <v>17443</v>
      </c>
      <c r="D439" s="0" t="n">
        <v>303567</v>
      </c>
      <c r="E439" s="0" t="n">
        <v>-0.07</v>
      </c>
      <c r="F439" s="0" t="n">
        <v>38886</v>
      </c>
      <c r="G439" s="0" t="n">
        <v>11.3160437206812</v>
      </c>
      <c r="H439" s="0" t="s">
        <v>596</v>
      </c>
      <c r="I439" s="0" t="n">
        <v>0.825663372655385</v>
      </c>
      <c r="J439" s="0" t="n">
        <v>0</v>
      </c>
      <c r="K439" s="0" t="n">
        <v>725</v>
      </c>
      <c r="L439" s="0" t="n">
        <v>200566</v>
      </c>
      <c r="M439" s="0" t="n">
        <v>198910</v>
      </c>
      <c r="N439" s="0" t="n">
        <v>198841</v>
      </c>
      <c r="O439" s="0" t="n">
        <v>1048</v>
      </c>
      <c r="P439" s="0" t="s">
        <v>129</v>
      </c>
      <c r="Q439" s="0" t="n">
        <v>0.522521264820558</v>
      </c>
      <c r="R439" s="0" t="n">
        <v>1.18845740550462</v>
      </c>
      <c r="S439" s="0" t="n">
        <v>0</v>
      </c>
      <c r="T439" s="0" t="n">
        <v>366</v>
      </c>
      <c r="U439" s="0" t="n">
        <v>0</v>
      </c>
      <c r="V439" s="0" t="n">
        <v>0</v>
      </c>
      <c r="W439" s="0" t="n">
        <v>20240331</v>
      </c>
      <c r="X439" s="0" t="n">
        <v>-0.50316710300389</v>
      </c>
      <c r="Y439" s="0" t="n">
        <v>-4.42</v>
      </c>
      <c r="Z439" s="0" t="s">
        <v>123</v>
      </c>
    </row>
    <row r="440" customFormat="false" ht="15" hidden="false" customHeight="false" outlineLevel="0" collapsed="false">
      <c r="A440" s="0" t="n">
        <v>440</v>
      </c>
      <c r="B440" s="0" t="n">
        <v>1866220</v>
      </c>
      <c r="C440" s="0" t="n">
        <v>17658</v>
      </c>
      <c r="D440" s="0" t="n">
        <v>1503369</v>
      </c>
      <c r="E440" s="0" t="n">
        <v>-0.01</v>
      </c>
      <c r="F440" s="0" t="n">
        <v>208139</v>
      </c>
      <c r="G440" s="0" t="n">
        <v>11.1529723183762</v>
      </c>
      <c r="H440" s="0" t="s">
        <v>597</v>
      </c>
      <c r="I440" s="0" t="n">
        <v>0.684069283706091</v>
      </c>
      <c r="J440" s="0" t="n">
        <v>99126</v>
      </c>
      <c r="K440" s="0" t="n">
        <v>78729</v>
      </c>
      <c r="L440" s="0" t="n">
        <v>1313902</v>
      </c>
      <c r="M440" s="0" t="n">
        <v>1304914</v>
      </c>
      <c r="N440" s="0" t="n">
        <v>1122390</v>
      </c>
      <c r="O440" s="0" t="n">
        <v>9256</v>
      </c>
      <c r="P440" s="0" t="s">
        <v>131</v>
      </c>
      <c r="Q440" s="0" t="n">
        <v>0.733768576347399</v>
      </c>
      <c r="R440" s="0" t="n">
        <v>3.03780900395487</v>
      </c>
      <c r="S440" s="0" t="n">
        <v>-125</v>
      </c>
      <c r="T440" s="0" t="n">
        <v>2838</v>
      </c>
      <c r="U440" s="0" t="n">
        <v>385</v>
      </c>
      <c r="V440" s="0" t="n">
        <v>0</v>
      </c>
      <c r="W440" s="0" t="n">
        <v>20240331</v>
      </c>
      <c r="X440" s="0" t="n">
        <v>0.958254818606865</v>
      </c>
      <c r="Y440" s="0" t="n">
        <v>8.58</v>
      </c>
      <c r="Z440" s="0" t="s">
        <v>105</v>
      </c>
    </row>
    <row r="441" customFormat="false" ht="15" hidden="false" customHeight="false" outlineLevel="0" collapsed="false">
      <c r="A441" s="0" t="n">
        <v>441</v>
      </c>
      <c r="B441" s="0" t="n">
        <v>1107414</v>
      </c>
      <c r="C441" s="0" t="n">
        <v>17741</v>
      </c>
      <c r="D441" s="0" t="n">
        <v>821220</v>
      </c>
      <c r="E441" s="0" t="n">
        <v>0.04</v>
      </c>
      <c r="F441" s="0" t="n">
        <v>140357</v>
      </c>
      <c r="G441" s="0" t="n">
        <v>12.6743024740522</v>
      </c>
      <c r="H441" s="0" t="s">
        <v>598</v>
      </c>
      <c r="I441" s="0" t="n">
        <v>0.959463787197014</v>
      </c>
      <c r="J441" s="0" t="n">
        <v>56338</v>
      </c>
      <c r="K441" s="0" t="n">
        <v>4181</v>
      </c>
      <c r="L441" s="0" t="n">
        <v>927393</v>
      </c>
      <c r="M441" s="0" t="n">
        <v>918495</v>
      </c>
      <c r="N441" s="0" t="n">
        <v>863345</v>
      </c>
      <c r="O441" s="0" t="n">
        <v>7415</v>
      </c>
      <c r="P441" s="0" t="s">
        <v>133</v>
      </c>
      <c r="Q441" s="0" t="n">
        <v>0.799553155997511</v>
      </c>
      <c r="R441" s="0" t="n">
        <v>2.9839273577202</v>
      </c>
      <c r="S441" s="0" t="n">
        <v>48</v>
      </c>
      <c r="T441" s="0" t="n">
        <v>2790</v>
      </c>
      <c r="U441" s="0" t="n">
        <v>0</v>
      </c>
      <c r="V441" s="0" t="n">
        <v>0</v>
      </c>
      <c r="W441" s="0" t="n">
        <v>20240331</v>
      </c>
      <c r="X441" s="0" t="n">
        <v>0.564580253103116</v>
      </c>
      <c r="Y441" s="0" t="n">
        <v>4.43</v>
      </c>
      <c r="Z441" s="0" t="s">
        <v>105</v>
      </c>
    </row>
    <row r="442" customFormat="false" ht="15" hidden="false" customHeight="false" outlineLevel="0" collapsed="false">
      <c r="A442" s="0" t="n">
        <v>442</v>
      </c>
      <c r="B442" s="0" t="n">
        <v>1393711</v>
      </c>
      <c r="C442" s="0" t="n">
        <v>17743</v>
      </c>
      <c r="D442" s="0" t="n">
        <v>978717</v>
      </c>
      <c r="E442" s="0" t="n">
        <v>-0.01</v>
      </c>
      <c r="F442" s="0" t="n">
        <v>122061</v>
      </c>
      <c r="G442" s="0" t="n">
        <v>8.75798497679935</v>
      </c>
      <c r="H442" s="0" t="s">
        <v>599</v>
      </c>
      <c r="I442" s="0" t="n">
        <v>0.426144114191345</v>
      </c>
      <c r="J442" s="0" t="n">
        <v>15543</v>
      </c>
      <c r="K442" s="0" t="n">
        <v>9685</v>
      </c>
      <c r="L442" s="0" t="n">
        <v>1099628</v>
      </c>
      <c r="M442" s="0" t="n">
        <v>1094942</v>
      </c>
      <c r="N442" s="0" t="n">
        <v>1062851</v>
      </c>
      <c r="O442" s="0" t="n">
        <v>3695</v>
      </c>
      <c r="P442" s="0" t="s">
        <v>135</v>
      </c>
      <c r="Q442" s="0" t="n">
        <v>0.33602272768609</v>
      </c>
      <c r="R442" s="0" t="n">
        <v>1.83483584309946</v>
      </c>
      <c r="S442" s="0" t="n">
        <v>-2</v>
      </c>
      <c r="T442" s="0" t="n">
        <v>8713</v>
      </c>
      <c r="U442" s="0" t="n">
        <v>0</v>
      </c>
      <c r="V442" s="0" t="n">
        <v>0</v>
      </c>
      <c r="W442" s="0" t="n">
        <v>20240331</v>
      </c>
      <c r="X442" s="0" t="n">
        <v>-0.0366187223309691</v>
      </c>
      <c r="Y442" s="0" t="n">
        <v>-0.42</v>
      </c>
      <c r="Z442" s="0" t="s">
        <v>105</v>
      </c>
    </row>
    <row r="443" customFormat="false" ht="15" hidden="false" customHeight="false" outlineLevel="0" collapsed="false">
      <c r="A443" s="0" t="n">
        <v>443</v>
      </c>
      <c r="B443" s="0" t="n">
        <v>1644996</v>
      </c>
      <c r="C443" s="0" t="n">
        <v>17748</v>
      </c>
      <c r="D443" s="0" t="n">
        <v>1346317</v>
      </c>
      <c r="E443" s="0" t="n">
        <v>0.03</v>
      </c>
      <c r="F443" s="0" t="n">
        <v>112176</v>
      </c>
      <c r="G443" s="0" t="n">
        <v>6.81922630814908</v>
      </c>
      <c r="H443" s="0" t="s">
        <v>600</v>
      </c>
      <c r="I443" s="0" t="n">
        <v>0.770771997075619</v>
      </c>
      <c r="J443" s="0" t="n">
        <v>176024</v>
      </c>
      <c r="K443" s="0" t="n">
        <v>3218</v>
      </c>
      <c r="L443" s="0" t="n">
        <v>1265225</v>
      </c>
      <c r="M443" s="0" t="n">
        <v>1255473</v>
      </c>
      <c r="N443" s="0" t="n">
        <v>1052324</v>
      </c>
      <c r="O443" s="0" t="n">
        <v>9414</v>
      </c>
      <c r="P443" s="0" t="s">
        <v>137</v>
      </c>
      <c r="Q443" s="0" t="n">
        <v>0.744057381098224</v>
      </c>
      <c r="R443" s="0" t="n">
        <v>2.34329764353995</v>
      </c>
      <c r="S443" s="0" t="n">
        <v>326</v>
      </c>
      <c r="T443" s="0" t="n">
        <v>726</v>
      </c>
      <c r="U443" s="0" t="n">
        <v>0</v>
      </c>
      <c r="V443" s="0" t="n">
        <v>0</v>
      </c>
      <c r="W443" s="0" t="n">
        <v>20240331</v>
      </c>
      <c r="X443" s="0" t="n">
        <v>0.186368991289905</v>
      </c>
      <c r="Y443" s="0" t="n">
        <v>2.73</v>
      </c>
      <c r="Z443" s="0" t="s">
        <v>105</v>
      </c>
    </row>
    <row r="444" customFormat="false" ht="15" hidden="false" customHeight="false" outlineLevel="0" collapsed="false">
      <c r="A444" s="0" t="n">
        <v>444</v>
      </c>
      <c r="B444" s="0" t="n">
        <v>1350095</v>
      </c>
      <c r="C444" s="0" t="n">
        <v>17749</v>
      </c>
      <c r="D444" s="0" t="n">
        <v>1048039</v>
      </c>
      <c r="E444" s="0" t="n">
        <v>0.07</v>
      </c>
      <c r="F444" s="0" t="n">
        <v>173084</v>
      </c>
      <c r="G444" s="0" t="n">
        <v>12.8201348793974</v>
      </c>
      <c r="H444" s="0" t="s">
        <v>601</v>
      </c>
      <c r="I444" s="0" t="n">
        <v>1.37475437631579</v>
      </c>
      <c r="J444" s="0" t="n">
        <v>50316</v>
      </c>
      <c r="K444" s="0" t="n">
        <v>10949</v>
      </c>
      <c r="L444" s="0" t="n">
        <v>812727</v>
      </c>
      <c r="M444" s="0" t="n">
        <v>801554</v>
      </c>
      <c r="N444" s="0" t="n">
        <v>738584</v>
      </c>
      <c r="O444" s="0" t="n">
        <v>546</v>
      </c>
      <c r="P444" s="0" t="s">
        <v>139</v>
      </c>
      <c r="Q444" s="0" t="n">
        <v>0.0675503582383752</v>
      </c>
      <c r="R444" s="0" t="n">
        <v>2.50316352302883</v>
      </c>
      <c r="S444" s="0" t="n">
        <v>4</v>
      </c>
      <c r="T444" s="0" t="n">
        <v>361</v>
      </c>
      <c r="U444" s="0" t="n">
        <v>3</v>
      </c>
      <c r="V444" s="0" t="n">
        <v>0</v>
      </c>
      <c r="W444" s="0" t="n">
        <v>20240331</v>
      </c>
      <c r="X444" s="0" t="n">
        <v>1.20534836371594</v>
      </c>
      <c r="Y444" s="0" t="n">
        <v>9.44</v>
      </c>
      <c r="Z444" s="0" t="s">
        <v>105</v>
      </c>
    </row>
    <row r="445" customFormat="false" ht="15" hidden="false" customHeight="false" outlineLevel="0" collapsed="false">
      <c r="A445" s="0" t="n">
        <v>445</v>
      </c>
      <c r="B445" s="0" t="n">
        <v>1632063</v>
      </c>
      <c r="C445" s="0" t="n">
        <v>17751</v>
      </c>
      <c r="D445" s="0" t="n">
        <v>1308912</v>
      </c>
      <c r="E445" s="0" t="n">
        <v>0.03</v>
      </c>
      <c r="F445" s="0" t="n">
        <v>138475</v>
      </c>
      <c r="G445" s="0" t="n">
        <v>8.48466021225896</v>
      </c>
      <c r="H445" s="0" t="s">
        <v>602</v>
      </c>
      <c r="I445" s="0" t="n">
        <v>0.904967865233651</v>
      </c>
      <c r="J445" s="0" t="n">
        <v>135811</v>
      </c>
      <c r="K445" s="0" t="n">
        <v>2663</v>
      </c>
      <c r="L445" s="0" t="n">
        <v>1332202</v>
      </c>
      <c r="M445" s="0" t="n">
        <v>1320146</v>
      </c>
      <c r="N445" s="0" t="n">
        <v>1123971</v>
      </c>
      <c r="O445" s="0" t="n">
        <v>805</v>
      </c>
      <c r="P445" s="0" t="s">
        <v>141</v>
      </c>
      <c r="Q445" s="0" t="n">
        <v>0.0604262716915302</v>
      </c>
      <c r="R445" s="0" t="n">
        <v>2.63611632629603</v>
      </c>
      <c r="S445" s="0" t="n">
        <v>-18</v>
      </c>
      <c r="T445" s="0" t="n">
        <v>2865</v>
      </c>
      <c r="U445" s="0" t="n">
        <v>0</v>
      </c>
      <c r="V445" s="0" t="n">
        <v>11.9941117035014</v>
      </c>
      <c r="W445" s="0" t="n">
        <v>20240331</v>
      </c>
      <c r="X445" s="0" t="n">
        <v>0.407671616049714</v>
      </c>
      <c r="Y445" s="0" t="n">
        <v>4.76</v>
      </c>
      <c r="Z445" s="0" t="s">
        <v>105</v>
      </c>
    </row>
    <row r="446" customFormat="false" ht="15" hidden="false" customHeight="false" outlineLevel="0" collapsed="false">
      <c r="A446" s="0" t="n">
        <v>446</v>
      </c>
      <c r="B446" s="0" t="n">
        <v>1717181</v>
      </c>
      <c r="C446" s="0" t="n">
        <v>17897</v>
      </c>
      <c r="D446" s="0" t="n">
        <v>1296371</v>
      </c>
      <c r="E446" s="0" t="n">
        <v>-0.08</v>
      </c>
      <c r="F446" s="0" t="n">
        <v>211359</v>
      </c>
      <c r="G446" s="0" t="n">
        <v>12.3084869911792</v>
      </c>
      <c r="H446" s="0" t="s">
        <v>603</v>
      </c>
      <c r="I446" s="0" t="n">
        <v>0.608158800279979</v>
      </c>
      <c r="J446" s="0" t="n">
        <v>73033</v>
      </c>
      <c r="K446" s="0" t="n">
        <v>3094</v>
      </c>
      <c r="L446" s="0" t="n">
        <v>1431534</v>
      </c>
      <c r="M446" s="0" t="n">
        <v>1422828</v>
      </c>
      <c r="N446" s="0" t="n">
        <v>1346782</v>
      </c>
      <c r="O446" s="0" t="n">
        <v>3411</v>
      </c>
      <c r="P446" s="0" t="s">
        <v>143</v>
      </c>
      <c r="Q446" s="0" t="n">
        <v>0.238275863514244</v>
      </c>
      <c r="R446" s="0" t="n">
        <v>2.29920093008967</v>
      </c>
      <c r="S446" s="0" t="n">
        <v>-32</v>
      </c>
      <c r="T446" s="0" t="n">
        <v>2066</v>
      </c>
      <c r="U446" s="0" t="n">
        <v>0</v>
      </c>
      <c r="V446" s="0" t="n">
        <v>17.5420163258205</v>
      </c>
      <c r="W446" s="0" t="n">
        <v>20240331</v>
      </c>
      <c r="X446" s="0" t="n">
        <v>1.19917950261941</v>
      </c>
      <c r="Y446" s="0" t="n">
        <v>9.81</v>
      </c>
      <c r="Z446" s="0" t="s">
        <v>105</v>
      </c>
    </row>
    <row r="447" customFormat="false" ht="15" hidden="false" customHeight="false" outlineLevel="0" collapsed="false">
      <c r="A447" s="0" t="n">
        <v>447</v>
      </c>
      <c r="B447" s="0" t="n">
        <v>794635</v>
      </c>
      <c r="C447" s="0" t="n">
        <v>17951</v>
      </c>
      <c r="D447" s="0" t="n">
        <v>661495</v>
      </c>
      <c r="E447" s="0" t="n">
        <v>-0.03</v>
      </c>
      <c r="F447" s="0" t="n">
        <v>61632</v>
      </c>
      <c r="G447" s="0" t="n">
        <v>7.75601376732714</v>
      </c>
      <c r="H447" s="0" t="s">
        <v>604</v>
      </c>
      <c r="I447" s="0" t="n">
        <v>0.852312015857921</v>
      </c>
      <c r="J447" s="0" t="n">
        <v>27259</v>
      </c>
      <c r="K447" s="0" t="n">
        <v>1980</v>
      </c>
      <c r="L447" s="0" t="n">
        <v>585701</v>
      </c>
      <c r="M447" s="0" t="n">
        <v>580709</v>
      </c>
      <c r="N447" s="0" t="n">
        <v>544281</v>
      </c>
      <c r="O447" s="0" t="n">
        <v>174</v>
      </c>
      <c r="P447" s="0" t="s">
        <v>145</v>
      </c>
      <c r="Q447" s="0" t="n">
        <v>0.0297079909373554</v>
      </c>
      <c r="R447" s="0" t="n">
        <v>2.50658748853139</v>
      </c>
      <c r="S447" s="0" t="n">
        <v>-125</v>
      </c>
      <c r="T447" s="0" t="n">
        <v>137</v>
      </c>
      <c r="U447" s="0" t="n">
        <v>0</v>
      </c>
      <c r="V447" s="0" t="n">
        <v>14.6324208046485</v>
      </c>
      <c r="W447" s="0" t="n">
        <v>20240331</v>
      </c>
      <c r="X447" s="0" t="n">
        <v>0.56026449342752</v>
      </c>
      <c r="Y447" s="0" t="n">
        <v>7.17</v>
      </c>
      <c r="Z447" s="0" t="s">
        <v>123</v>
      </c>
    </row>
    <row r="448" customFormat="false" ht="15" hidden="false" customHeight="false" outlineLevel="0" collapsed="false">
      <c r="A448" s="0" t="n">
        <v>448</v>
      </c>
      <c r="B448" s="0" t="n">
        <v>1358652</v>
      </c>
      <c r="C448" s="0" t="n">
        <v>17960</v>
      </c>
      <c r="D448" s="0" t="n">
        <v>1003157</v>
      </c>
      <c r="E448" s="0" t="n">
        <v>0.07</v>
      </c>
      <c r="F448" s="0" t="n">
        <v>113634</v>
      </c>
      <c r="G448" s="0" t="n">
        <v>8.3637311099531</v>
      </c>
      <c r="H448" s="0" t="s">
        <v>605</v>
      </c>
      <c r="I448" s="0" t="n">
        <v>0.98143999342281</v>
      </c>
      <c r="J448" s="0" t="n">
        <v>110468</v>
      </c>
      <c r="K448" s="0" t="n">
        <v>221886</v>
      </c>
      <c r="L448" s="0" t="n">
        <v>1167672</v>
      </c>
      <c r="M448" s="0" t="n">
        <v>1156212</v>
      </c>
      <c r="N448" s="0" t="n">
        <v>831348</v>
      </c>
      <c r="O448" s="0" t="n">
        <v>9231</v>
      </c>
      <c r="P448" s="0" t="s">
        <v>147</v>
      </c>
      <c r="Q448" s="0" t="n">
        <v>0.790547345487431</v>
      </c>
      <c r="R448" s="0" t="n">
        <v>2.71200769173513</v>
      </c>
      <c r="S448" s="0" t="n">
        <v>175</v>
      </c>
      <c r="T448" s="0" t="n">
        <v>2013</v>
      </c>
      <c r="U448" s="0" t="n">
        <v>0</v>
      </c>
      <c r="V448" s="0" t="n">
        <v>13.3536414605849</v>
      </c>
      <c r="W448" s="0" t="n">
        <v>20240331</v>
      </c>
      <c r="X448" s="0" t="n">
        <v>0.376099631197934</v>
      </c>
      <c r="Y448" s="0" t="n">
        <v>4.51</v>
      </c>
      <c r="Z448" s="0" t="s">
        <v>123</v>
      </c>
    </row>
    <row r="449" customFormat="false" ht="15" hidden="false" customHeight="false" outlineLevel="0" collapsed="false">
      <c r="A449" s="0" t="n">
        <v>449</v>
      </c>
      <c r="B449" s="0" t="n">
        <v>2475597</v>
      </c>
      <c r="C449" s="0" t="n">
        <v>18012</v>
      </c>
      <c r="D449" s="0" t="n">
        <v>2087993</v>
      </c>
      <c r="E449" s="0" t="n">
        <v>0.06</v>
      </c>
      <c r="F449" s="0" t="n">
        <v>269535</v>
      </c>
      <c r="G449" s="0" t="n">
        <v>10.8876767906893</v>
      </c>
      <c r="H449" s="0" t="s">
        <v>606</v>
      </c>
      <c r="I449" s="0" t="n">
        <v>1.22122512094325</v>
      </c>
      <c r="J449" s="0" t="n">
        <v>50469</v>
      </c>
      <c r="K449" s="0" t="n">
        <v>31306</v>
      </c>
      <c r="L449" s="0" t="n">
        <v>1997011</v>
      </c>
      <c r="M449" s="0" t="n">
        <v>1972623</v>
      </c>
      <c r="N449" s="0" t="n">
        <v>1892259</v>
      </c>
      <c r="O449" s="0" t="n">
        <v>790</v>
      </c>
      <c r="P449" s="0" t="s">
        <v>149</v>
      </c>
      <c r="Q449" s="0" t="n">
        <v>0.0395591211064936</v>
      </c>
      <c r="R449" s="0" t="n">
        <v>2.68109876927255</v>
      </c>
      <c r="S449" s="0" t="n">
        <v>22</v>
      </c>
      <c r="T449" s="0" t="n">
        <v>4940</v>
      </c>
      <c r="U449" s="0" t="n">
        <v>0</v>
      </c>
      <c r="V449" s="0" t="n">
        <v>14.3710292966398</v>
      </c>
      <c r="W449" s="0" t="n">
        <v>20240331</v>
      </c>
      <c r="X449" s="0" t="n">
        <v>0.667372932289855</v>
      </c>
      <c r="Y449" s="0" t="n">
        <v>6.22</v>
      </c>
      <c r="Z449" s="0" t="s">
        <v>123</v>
      </c>
    </row>
    <row r="450" customFormat="false" ht="15" hidden="false" customHeight="false" outlineLevel="0" collapsed="false">
      <c r="A450" s="0" t="n">
        <v>450</v>
      </c>
      <c r="B450" s="0" t="n">
        <v>2943126</v>
      </c>
      <c r="C450" s="0" t="n">
        <v>18013</v>
      </c>
      <c r="D450" s="0" t="n">
        <v>2511525</v>
      </c>
      <c r="E450" s="0" t="n">
        <v>-0.01</v>
      </c>
      <c r="F450" s="0" t="n">
        <v>220450</v>
      </c>
      <c r="G450" s="0" t="n">
        <v>7.49033510627816</v>
      </c>
      <c r="H450" s="0" t="s">
        <v>607</v>
      </c>
      <c r="I450" s="0" t="n">
        <v>0.700546377577824</v>
      </c>
      <c r="J450" s="0" t="n">
        <v>113938</v>
      </c>
      <c r="K450" s="0" t="n">
        <v>28036</v>
      </c>
      <c r="L450" s="0" t="n">
        <v>2386994</v>
      </c>
      <c r="M450" s="0" t="n">
        <v>2370272</v>
      </c>
      <c r="N450" s="0" t="n">
        <v>2170356</v>
      </c>
      <c r="O450" s="0" t="n">
        <v>990</v>
      </c>
      <c r="P450" s="0" t="s">
        <v>151</v>
      </c>
      <c r="Q450" s="0" t="n">
        <v>0.0564308079534343</v>
      </c>
      <c r="R450" s="0" t="n">
        <v>2.46666204557587</v>
      </c>
      <c r="S450" s="0" t="n">
        <v>12</v>
      </c>
      <c r="T450" s="0" t="n">
        <v>4721</v>
      </c>
      <c r="U450" s="0" t="n">
        <v>357</v>
      </c>
      <c r="V450" s="0" t="n">
        <v>12.4379068806188</v>
      </c>
      <c r="W450" s="0" t="n">
        <v>20240331</v>
      </c>
      <c r="X450" s="0" t="n">
        <v>0.262414963236201</v>
      </c>
      <c r="Y450" s="0" t="n">
        <v>3.5</v>
      </c>
      <c r="Z450" s="0" t="s">
        <v>123</v>
      </c>
    </row>
    <row r="451" customFormat="false" ht="15" hidden="false" customHeight="false" outlineLevel="0" collapsed="false">
      <c r="A451" s="0" t="n">
        <v>451</v>
      </c>
      <c r="B451" s="0" t="n">
        <v>397277</v>
      </c>
      <c r="C451" s="0" t="n">
        <v>18028</v>
      </c>
      <c r="D451" s="0" t="n">
        <v>325871</v>
      </c>
      <c r="E451" s="0" t="n">
        <v>0.03</v>
      </c>
      <c r="F451" s="0" t="n">
        <v>40522</v>
      </c>
      <c r="G451" s="0" t="n">
        <v>10.1999360647609</v>
      </c>
      <c r="H451" s="0" t="s">
        <v>608</v>
      </c>
      <c r="I451" s="0" t="n">
        <v>0.844460726408182</v>
      </c>
      <c r="J451" s="0" t="n">
        <v>14766</v>
      </c>
      <c r="K451" s="0" t="n">
        <v>6592</v>
      </c>
      <c r="L451" s="0" t="n">
        <v>267508</v>
      </c>
      <c r="M451" s="0" t="n">
        <v>265249</v>
      </c>
      <c r="N451" s="0" t="n">
        <v>240691</v>
      </c>
      <c r="O451" s="0" t="n">
        <v>704</v>
      </c>
      <c r="P451" s="0" t="s">
        <v>153</v>
      </c>
      <c r="Q451" s="0" t="n">
        <v>0.285225114762923</v>
      </c>
      <c r="R451" s="0" t="n">
        <v>3.21726110492571</v>
      </c>
      <c r="S451" s="0" t="n">
        <v>99</v>
      </c>
      <c r="T451" s="0" t="n">
        <v>2237</v>
      </c>
      <c r="U451" s="0" t="n">
        <v>59</v>
      </c>
      <c r="V451" s="0" t="n">
        <v>0</v>
      </c>
      <c r="W451" s="0" t="n">
        <v>20240331</v>
      </c>
      <c r="X451" s="0" t="n">
        <v>0.397908701215368</v>
      </c>
      <c r="Y451" s="0" t="n">
        <v>3.87</v>
      </c>
      <c r="Z451" s="0" t="s">
        <v>123</v>
      </c>
    </row>
    <row r="452" customFormat="false" ht="15" hidden="false" customHeight="false" outlineLevel="0" collapsed="false">
      <c r="A452" s="0" t="n">
        <v>452</v>
      </c>
      <c r="B452" s="0" t="n">
        <v>760475</v>
      </c>
      <c r="C452" s="0" t="n">
        <v>18030</v>
      </c>
      <c r="D452" s="0" t="n">
        <v>679167</v>
      </c>
      <c r="E452" s="0" t="n">
        <v>-0.01</v>
      </c>
      <c r="F452" s="0" t="n">
        <v>49359</v>
      </c>
      <c r="G452" s="0" t="n">
        <v>6.490548670239</v>
      </c>
      <c r="H452" s="0" t="s">
        <v>609</v>
      </c>
      <c r="I452" s="0" t="n">
        <v>1.02982177764044</v>
      </c>
      <c r="J452" s="0" t="n">
        <v>36835</v>
      </c>
      <c r="K452" s="0" t="n">
        <v>94431</v>
      </c>
      <c r="L452" s="0" t="n">
        <v>576022</v>
      </c>
      <c r="M452" s="0" t="n">
        <v>570090</v>
      </c>
      <c r="N452" s="0" t="n">
        <v>444671</v>
      </c>
      <c r="O452" s="0" t="n">
        <v>508</v>
      </c>
      <c r="P452" s="0" t="s">
        <v>155</v>
      </c>
      <c r="Q452" s="0" t="n">
        <v>0.111280471926419</v>
      </c>
      <c r="R452" s="0" t="n">
        <v>3.43622712156946</v>
      </c>
      <c r="S452" s="0" t="n">
        <v>-1</v>
      </c>
      <c r="T452" s="0" t="n">
        <v>2582</v>
      </c>
      <c r="U452" s="0" t="n">
        <v>133</v>
      </c>
      <c r="V452" s="0" t="n">
        <v>13.5007684922143</v>
      </c>
      <c r="W452" s="0" t="n">
        <v>20240331</v>
      </c>
      <c r="X452" s="0" t="n">
        <v>0.68055140252855</v>
      </c>
      <c r="Y452" s="0" t="n">
        <v>10.29</v>
      </c>
      <c r="Z452" s="0" t="s">
        <v>123</v>
      </c>
    </row>
    <row r="453" customFormat="false" ht="15" hidden="false" customHeight="false" outlineLevel="0" collapsed="false">
      <c r="A453" s="0" t="n">
        <v>453</v>
      </c>
      <c r="B453" s="0" t="n">
        <v>669872</v>
      </c>
      <c r="C453" s="0" t="n">
        <v>18031</v>
      </c>
      <c r="D453" s="0" t="n">
        <v>532494</v>
      </c>
      <c r="E453" s="0" t="n">
        <v>-0.1</v>
      </c>
      <c r="F453" s="0" t="n">
        <v>36392</v>
      </c>
      <c r="G453" s="0" t="n">
        <v>5.43267967611723</v>
      </c>
      <c r="H453" s="0" t="s">
        <v>610</v>
      </c>
      <c r="I453" s="0" t="n">
        <v>0.807860857452731</v>
      </c>
      <c r="J453" s="0" t="n">
        <v>23631</v>
      </c>
      <c r="K453" s="0" t="n">
        <v>10269</v>
      </c>
      <c r="L453" s="0" t="n">
        <v>476691</v>
      </c>
      <c r="M453" s="0" t="n">
        <v>472840</v>
      </c>
      <c r="N453" s="0" t="n">
        <v>436768</v>
      </c>
      <c r="O453" s="0" t="n">
        <v>893</v>
      </c>
      <c r="P453" s="0" t="s">
        <v>157</v>
      </c>
      <c r="Q453" s="0" t="n">
        <v>0.189011330190836</v>
      </c>
      <c r="R453" s="0" t="n">
        <v>2.6129414762646</v>
      </c>
      <c r="S453" s="0" t="n">
        <v>13</v>
      </c>
      <c r="T453" s="0" t="n">
        <v>1463</v>
      </c>
      <c r="U453" s="0" t="n">
        <v>8</v>
      </c>
      <c r="V453" s="0" t="n">
        <v>16.3361319436295</v>
      </c>
      <c r="W453" s="0" t="n">
        <v>20240331</v>
      </c>
      <c r="X453" s="0" t="n">
        <v>0.457822713323232</v>
      </c>
      <c r="Y453" s="0" t="n">
        <v>8.38</v>
      </c>
      <c r="Z453" s="0" t="s">
        <v>123</v>
      </c>
    </row>
    <row r="454" customFormat="false" ht="15" hidden="false" customHeight="false" outlineLevel="0" collapsed="false">
      <c r="A454" s="0" t="n">
        <v>454</v>
      </c>
      <c r="B454" s="0" t="n">
        <v>522345</v>
      </c>
      <c r="C454" s="0" t="n">
        <v>18038</v>
      </c>
      <c r="D454" s="0" t="n">
        <v>409953</v>
      </c>
      <c r="E454" s="0" t="n">
        <v>0</v>
      </c>
      <c r="F454" s="0" t="n">
        <v>65908</v>
      </c>
      <c r="G454" s="0" t="n">
        <v>12.6177143458825</v>
      </c>
      <c r="H454" s="0" t="s">
        <v>611</v>
      </c>
      <c r="I454" s="0" t="n">
        <v>0.932183863906916</v>
      </c>
      <c r="J454" s="0" t="n">
        <v>23498</v>
      </c>
      <c r="K454" s="0" t="n">
        <v>3734</v>
      </c>
      <c r="L454" s="0" t="n">
        <v>416656</v>
      </c>
      <c r="M454" s="0" t="n">
        <v>412772</v>
      </c>
      <c r="N454" s="0" t="n">
        <v>389167</v>
      </c>
      <c r="O454" s="0" t="n">
        <v>2189</v>
      </c>
      <c r="P454" s="0" t="s">
        <v>159</v>
      </c>
      <c r="Q454" s="0" t="n">
        <v>0.525373449560309</v>
      </c>
      <c r="R454" s="0" t="n">
        <v>2.4034256360768</v>
      </c>
      <c r="S454" s="0" t="n">
        <v>-3</v>
      </c>
      <c r="T454" s="0" t="n">
        <v>1700</v>
      </c>
      <c r="U454" s="0" t="n">
        <v>0</v>
      </c>
      <c r="V454" s="0" t="n">
        <v>0</v>
      </c>
      <c r="W454" s="0" t="n">
        <v>20240331</v>
      </c>
      <c r="X454" s="0" t="n">
        <v>1.0870799431889</v>
      </c>
      <c r="Y454" s="0" t="n">
        <v>8.82</v>
      </c>
      <c r="Z454" s="0" t="s">
        <v>123</v>
      </c>
    </row>
    <row r="455" customFormat="false" ht="15" hidden="false" customHeight="false" outlineLevel="0" collapsed="false">
      <c r="A455" s="0" t="n">
        <v>455</v>
      </c>
      <c r="B455" s="0" t="n">
        <v>7209064</v>
      </c>
      <c r="C455" s="0" t="n">
        <v>18408</v>
      </c>
      <c r="D455" s="0" t="n">
        <v>5243296</v>
      </c>
      <c r="E455" s="0" t="n">
        <v>0.02</v>
      </c>
      <c r="F455" s="0" t="n">
        <v>402922</v>
      </c>
      <c r="G455" s="0" t="n">
        <v>5.58910282943805</v>
      </c>
      <c r="H455" s="0" t="s">
        <v>612</v>
      </c>
      <c r="I455" s="0" t="n">
        <v>0.662341673113531</v>
      </c>
      <c r="J455" s="0" t="n">
        <v>359864</v>
      </c>
      <c r="K455" s="0" t="n">
        <v>34725</v>
      </c>
      <c r="L455" s="0" t="n">
        <v>4840855</v>
      </c>
      <c r="M455" s="0" t="n">
        <v>4808792</v>
      </c>
      <c r="N455" s="0" t="n">
        <v>4375722</v>
      </c>
      <c r="O455" s="0" t="n">
        <v>4530</v>
      </c>
      <c r="P455" s="0" t="s">
        <v>161</v>
      </c>
      <c r="Q455" s="0" t="n">
        <v>0.0935785104077688</v>
      </c>
      <c r="R455" s="0" t="n">
        <v>2.02641372858428</v>
      </c>
      <c r="S455" s="0" t="n">
        <v>-238</v>
      </c>
      <c r="T455" s="0" t="n">
        <v>7195</v>
      </c>
      <c r="U455" s="0" t="n">
        <v>0</v>
      </c>
      <c r="V455" s="0" t="n">
        <v>11.6477404589509</v>
      </c>
      <c r="W455" s="0" t="n">
        <v>20240331</v>
      </c>
      <c r="X455" s="0" t="n">
        <v>-0.0140431607422888</v>
      </c>
      <c r="Y455" s="0" t="n">
        <v>-0.25</v>
      </c>
      <c r="Z455" s="0" t="s">
        <v>105</v>
      </c>
    </row>
    <row r="456" customFormat="false" ht="15" hidden="false" customHeight="false" outlineLevel="0" collapsed="false">
      <c r="A456" s="0" t="n">
        <v>456</v>
      </c>
      <c r="B456" s="0" t="n">
        <v>2536962</v>
      </c>
      <c r="C456" s="0" t="n">
        <v>19531</v>
      </c>
      <c r="D456" s="0" t="n">
        <v>1943034</v>
      </c>
      <c r="E456" s="0" t="n">
        <v>0</v>
      </c>
      <c r="F456" s="0" t="n">
        <v>242536</v>
      </c>
      <c r="G456" s="0" t="n">
        <v>9.56009589422309</v>
      </c>
      <c r="H456" s="0" t="s">
        <v>613</v>
      </c>
      <c r="I456" s="0" t="n">
        <v>1.027663134959</v>
      </c>
      <c r="J456" s="0" t="n">
        <v>257202</v>
      </c>
      <c r="K456" s="0" t="n">
        <v>12370</v>
      </c>
      <c r="L456" s="0" t="n">
        <v>2037730</v>
      </c>
      <c r="M456" s="0" t="n">
        <v>2016789</v>
      </c>
      <c r="N456" s="0" t="n">
        <v>1667925</v>
      </c>
      <c r="O456" s="0" t="n">
        <v>8011</v>
      </c>
      <c r="P456" s="0" t="s">
        <v>163</v>
      </c>
      <c r="Q456" s="0" t="n">
        <v>0.394409465434577</v>
      </c>
      <c r="R456" s="0" t="n">
        <v>2.58073221173921</v>
      </c>
      <c r="S456" s="0" t="n">
        <v>141</v>
      </c>
      <c r="T456" s="0" t="n">
        <v>9492</v>
      </c>
      <c r="U456" s="0" t="n">
        <v>26</v>
      </c>
      <c r="V456" s="0" t="n">
        <v>14.3160659623927</v>
      </c>
      <c r="W456" s="0" t="n">
        <v>20240331</v>
      </c>
      <c r="X456" s="0" t="n">
        <v>0.303107086681934</v>
      </c>
      <c r="Y456" s="0" t="n">
        <v>3.14</v>
      </c>
      <c r="Z456" s="0" t="s">
        <v>105</v>
      </c>
    </row>
    <row r="457" customFormat="false" ht="15" hidden="false" customHeight="false" outlineLevel="0" collapsed="false">
      <c r="A457" s="0" t="n">
        <v>457</v>
      </c>
      <c r="B457" s="0" t="n">
        <v>898226</v>
      </c>
      <c r="C457" s="0" t="n">
        <v>19532</v>
      </c>
      <c r="D457" s="0" t="n">
        <v>728574</v>
      </c>
      <c r="E457" s="0" t="n">
        <v>0.02</v>
      </c>
      <c r="F457" s="0" t="n">
        <v>97076</v>
      </c>
      <c r="G457" s="0" t="n">
        <v>10.8075250549416</v>
      </c>
      <c r="H457" s="0" t="s">
        <v>614</v>
      </c>
      <c r="I457" s="0" t="n">
        <v>1.0027023783972</v>
      </c>
      <c r="J457" s="0" t="n">
        <v>47376</v>
      </c>
      <c r="K457" s="0" t="n">
        <v>51912</v>
      </c>
      <c r="L457" s="0" t="n">
        <v>591701</v>
      </c>
      <c r="M457" s="0" t="n">
        <v>585768</v>
      </c>
      <c r="N457" s="0" t="n">
        <v>486940</v>
      </c>
      <c r="O457" s="0" t="n">
        <v>1722</v>
      </c>
      <c r="P457" s="0" t="s">
        <v>165</v>
      </c>
      <c r="Q457" s="0" t="n">
        <v>0.29102536585201</v>
      </c>
      <c r="R457" s="0" t="n">
        <v>2.92777746211838</v>
      </c>
      <c r="S457" s="0" t="n">
        <v>26</v>
      </c>
      <c r="T457" s="0" t="n">
        <v>894</v>
      </c>
      <c r="U457" s="0" t="n">
        <v>0</v>
      </c>
      <c r="V457" s="0" t="n">
        <v>20.9615309283706</v>
      </c>
      <c r="W457" s="0" t="n">
        <v>20240331</v>
      </c>
      <c r="X457" s="0" t="n">
        <v>0.943362209622024</v>
      </c>
      <c r="Y457" s="0" t="n">
        <v>8.64</v>
      </c>
      <c r="Z457" s="0" t="s">
        <v>105</v>
      </c>
    </row>
    <row r="458" customFormat="false" ht="15" hidden="false" customHeight="false" outlineLevel="0" collapsed="false">
      <c r="A458" s="0" t="n">
        <v>458</v>
      </c>
      <c r="B458" s="0" t="n">
        <v>3001015</v>
      </c>
      <c r="C458" s="0" t="n">
        <v>19690</v>
      </c>
      <c r="D458" s="0" t="n">
        <v>2249394</v>
      </c>
      <c r="E458" s="0" t="n">
        <v>0.07</v>
      </c>
      <c r="F458" s="0" t="n">
        <v>351913</v>
      </c>
      <c r="G458" s="0" t="n">
        <v>11.7264658790443</v>
      </c>
      <c r="H458" s="0" t="s">
        <v>615</v>
      </c>
      <c r="I458" s="0" t="n">
        <v>0.976444802940099</v>
      </c>
      <c r="J458" s="0" t="n">
        <v>53076</v>
      </c>
      <c r="K458" s="0" t="n">
        <v>319</v>
      </c>
      <c r="L458" s="0" t="n">
        <v>2656781</v>
      </c>
      <c r="M458" s="0" t="n">
        <v>2630839</v>
      </c>
      <c r="N458" s="0" t="n">
        <v>2071416</v>
      </c>
      <c r="O458" s="0" t="n">
        <v>27951</v>
      </c>
      <c r="P458" s="0" t="s">
        <v>167</v>
      </c>
      <c r="Q458" s="0" t="n">
        <v>1.0520626276686</v>
      </c>
      <c r="R458" s="0" t="n">
        <v>5.07860865095937</v>
      </c>
      <c r="S458" s="0" t="n">
        <v>2248</v>
      </c>
      <c r="T458" s="0" t="n">
        <v>5111</v>
      </c>
      <c r="U458" s="0" t="n">
        <v>0</v>
      </c>
      <c r="V458" s="0" t="n">
        <v>14.2226449666769</v>
      </c>
      <c r="W458" s="0" t="n">
        <v>20240331</v>
      </c>
      <c r="X458" s="0" t="n">
        <v>1.85795924985482</v>
      </c>
      <c r="Y458" s="0" t="n">
        <v>16.32</v>
      </c>
      <c r="Z458" s="0" t="s">
        <v>105</v>
      </c>
    </row>
    <row r="459" customFormat="false" ht="15" hidden="false" customHeight="false" outlineLevel="0" collapsed="false">
      <c r="A459" s="0" t="n">
        <v>459</v>
      </c>
      <c r="B459" s="0" t="n">
        <v>677132</v>
      </c>
      <c r="C459" s="0" t="n">
        <v>19836</v>
      </c>
      <c r="D459" s="0" t="n">
        <v>501943</v>
      </c>
      <c r="E459" s="0" t="n">
        <v>0</v>
      </c>
      <c r="F459" s="0" t="n">
        <v>121076</v>
      </c>
      <c r="G459" s="0" t="n">
        <v>17.8807086358347</v>
      </c>
      <c r="H459" s="0" t="s">
        <v>616</v>
      </c>
      <c r="I459" s="0" t="n">
        <v>0.791438350091327</v>
      </c>
      <c r="J459" s="0" t="n">
        <v>47004</v>
      </c>
      <c r="K459" s="0" t="n">
        <v>11321</v>
      </c>
      <c r="L459" s="0" t="n">
        <v>563910</v>
      </c>
      <c r="M459" s="0" t="n">
        <v>559447</v>
      </c>
      <c r="N459" s="0" t="n">
        <v>501814</v>
      </c>
      <c r="O459" s="0" t="n">
        <v>4708</v>
      </c>
      <c r="P459" s="0" t="s">
        <v>145</v>
      </c>
      <c r="Q459" s="0" t="n">
        <v>0.858647656540937</v>
      </c>
      <c r="R459" s="0" t="n">
        <v>3.55685564125512</v>
      </c>
      <c r="S459" s="0" t="n">
        <v>-6</v>
      </c>
      <c r="T459" s="0" t="n">
        <v>1775</v>
      </c>
      <c r="U459" s="0" t="n">
        <v>134</v>
      </c>
      <c r="V459" s="0" t="n">
        <v>25.4067359742023</v>
      </c>
      <c r="W459" s="0" t="n">
        <v>20240331</v>
      </c>
      <c r="X459" s="0" t="n">
        <v>0.619382173762133</v>
      </c>
      <c r="Y459" s="0" t="n">
        <v>3.42</v>
      </c>
      <c r="Z459" s="0" t="s">
        <v>105</v>
      </c>
    </row>
    <row r="460" customFormat="false" ht="15" hidden="false" customHeight="false" outlineLevel="0" collapsed="false">
      <c r="A460" s="0" t="n">
        <v>460</v>
      </c>
      <c r="B460" s="0" t="n">
        <v>1433532</v>
      </c>
      <c r="C460" s="0" t="n">
        <v>24540</v>
      </c>
      <c r="D460" s="0" t="n">
        <v>1156113</v>
      </c>
      <c r="E460" s="0" t="n">
        <v>0.06</v>
      </c>
      <c r="F460" s="0" t="n">
        <v>252599</v>
      </c>
      <c r="G460" s="0" t="n">
        <v>17.6207437294738</v>
      </c>
      <c r="H460" s="0" t="s">
        <v>617</v>
      </c>
      <c r="I460" s="0" t="n">
        <v>0.952699451724457</v>
      </c>
      <c r="J460" s="0" t="n">
        <v>42959</v>
      </c>
      <c r="K460" s="0" t="n">
        <v>75</v>
      </c>
      <c r="L460" s="0" t="n">
        <v>1220007</v>
      </c>
      <c r="M460" s="0" t="n">
        <v>1208384</v>
      </c>
      <c r="N460" s="0" t="n">
        <v>1181027</v>
      </c>
      <c r="O460" s="0" t="n">
        <v>30157</v>
      </c>
      <c r="P460" s="0" t="s">
        <v>170</v>
      </c>
      <c r="Q460" s="0" t="n">
        <v>2.47187106303488</v>
      </c>
      <c r="R460" s="0" t="n">
        <v>4.09894292806512</v>
      </c>
      <c r="S460" s="0" t="n">
        <v>0</v>
      </c>
      <c r="T460" s="0" t="n">
        <v>0</v>
      </c>
      <c r="U460" s="0" t="n">
        <v>0</v>
      </c>
      <c r="V460" s="0" t="n">
        <v>18.9186492671387</v>
      </c>
      <c r="W460" s="0" t="n">
        <v>20240331</v>
      </c>
      <c r="X460" s="0" t="n">
        <v>1.89104806828232</v>
      </c>
      <c r="Y460" s="0" t="n">
        <v>10.67</v>
      </c>
      <c r="Z460" s="0" t="s">
        <v>123</v>
      </c>
    </row>
    <row r="461" customFormat="false" ht="15" hidden="false" customHeight="false" outlineLevel="0" collapsed="false">
      <c r="A461" s="0" t="n">
        <v>461</v>
      </c>
      <c r="B461" s="0" t="n">
        <v>541415</v>
      </c>
      <c r="C461" s="0" t="n">
        <v>27824</v>
      </c>
      <c r="D461" s="0" t="n">
        <v>385991</v>
      </c>
      <c r="E461" s="0" t="n">
        <v>0.09</v>
      </c>
      <c r="F461" s="0" t="n">
        <v>64777</v>
      </c>
      <c r="G461" s="0" t="n">
        <v>11.9643896087105</v>
      </c>
      <c r="H461" s="0" t="s">
        <v>618</v>
      </c>
      <c r="I461" s="0" t="n">
        <v>0.645518543766643</v>
      </c>
      <c r="J461" s="0" t="n">
        <v>20617</v>
      </c>
      <c r="K461" s="0" t="n">
        <v>41816</v>
      </c>
      <c r="L461" s="0" t="n">
        <v>453279</v>
      </c>
      <c r="M461" s="0" t="n">
        <v>450353</v>
      </c>
      <c r="N461" s="0" t="n">
        <v>390846</v>
      </c>
      <c r="O461" s="0" t="n">
        <v>1045</v>
      </c>
      <c r="P461" s="0" t="s">
        <v>172</v>
      </c>
      <c r="Q461" s="0" t="n">
        <v>0.230542337059515</v>
      </c>
      <c r="R461" s="0" t="n">
        <v>1.62890150261009</v>
      </c>
      <c r="S461" s="0" t="n">
        <v>116</v>
      </c>
      <c r="T461" s="0" t="n">
        <v>1418</v>
      </c>
      <c r="U461" s="0" t="n">
        <v>0</v>
      </c>
      <c r="V461" s="0" t="n">
        <v>21.0236173119163</v>
      </c>
      <c r="W461" s="0" t="n">
        <v>20240331</v>
      </c>
      <c r="X461" s="0" t="n">
        <v>-0.393235899037422</v>
      </c>
      <c r="Y461" s="0" t="n">
        <v>-3.28</v>
      </c>
      <c r="Z461" s="0" t="s">
        <v>123</v>
      </c>
    </row>
    <row r="462" customFormat="false" ht="15" hidden="false" customHeight="false" outlineLevel="0" collapsed="false">
      <c r="A462" s="0" t="n">
        <v>462</v>
      </c>
      <c r="B462" s="0" t="n">
        <v>297031</v>
      </c>
      <c r="C462" s="0" t="n">
        <v>28155</v>
      </c>
      <c r="D462" s="0" t="n">
        <v>249108</v>
      </c>
      <c r="E462" s="0" t="n">
        <v>-0.03</v>
      </c>
      <c r="F462" s="0" t="n">
        <v>27388</v>
      </c>
      <c r="G462" s="0" t="n">
        <v>9.22058640343937</v>
      </c>
      <c r="H462" s="0" t="s">
        <v>619</v>
      </c>
      <c r="I462" s="0" t="n">
        <v>0.472481547437027</v>
      </c>
      <c r="J462" s="0" t="n">
        <v>10532</v>
      </c>
      <c r="K462" s="0" t="n">
        <v>5990</v>
      </c>
      <c r="L462" s="0" t="n">
        <v>166779</v>
      </c>
      <c r="M462" s="0" t="n">
        <v>165991</v>
      </c>
      <c r="N462" s="0" t="n">
        <v>149746</v>
      </c>
      <c r="O462" s="0" t="n">
        <v>130</v>
      </c>
      <c r="P462" s="0" t="s">
        <v>174</v>
      </c>
      <c r="Q462" s="0" t="n">
        <v>0.0779474634096619</v>
      </c>
      <c r="R462" s="0" t="n">
        <v>2.36750375517175</v>
      </c>
      <c r="S462" s="0" t="n">
        <v>1</v>
      </c>
      <c r="T462" s="0" t="n">
        <v>447</v>
      </c>
      <c r="U462" s="0" t="n">
        <v>0</v>
      </c>
      <c r="V462" s="0" t="n">
        <v>17.7250205933339</v>
      </c>
      <c r="W462" s="0" t="n">
        <v>20240331</v>
      </c>
      <c r="X462" s="0" t="n">
        <v>-0.0455333766346816</v>
      </c>
      <c r="Y462" s="0" t="n">
        <v>-0.5</v>
      </c>
      <c r="Z462" s="0" t="s">
        <v>123</v>
      </c>
    </row>
    <row r="463" customFormat="false" ht="15" hidden="false" customHeight="false" outlineLevel="0" collapsed="false">
      <c r="A463" s="0" t="n">
        <v>463</v>
      </c>
      <c r="B463" s="0" t="n">
        <v>103458</v>
      </c>
      <c r="C463" s="0" t="n">
        <v>28288</v>
      </c>
      <c r="D463" s="0" t="n">
        <v>74972</v>
      </c>
      <c r="E463" s="0" t="n">
        <v>0</v>
      </c>
      <c r="F463" s="0" t="n">
        <v>5859</v>
      </c>
      <c r="G463" s="0" t="n">
        <v>5.66316766223975</v>
      </c>
      <c r="H463" s="0" t="s">
        <v>620</v>
      </c>
      <c r="I463" s="0" t="n">
        <v>1.03855795630894</v>
      </c>
      <c r="J463" s="0" t="n">
        <v>4949</v>
      </c>
      <c r="K463" s="0" t="n">
        <v>2908</v>
      </c>
      <c r="L463" s="0" t="n">
        <v>83770</v>
      </c>
      <c r="M463" s="0" t="n">
        <v>82900</v>
      </c>
      <c r="N463" s="0" t="n">
        <v>75913</v>
      </c>
      <c r="O463" s="0" t="n">
        <v>254</v>
      </c>
      <c r="P463" s="0" t="s">
        <v>176</v>
      </c>
      <c r="Q463" s="0" t="n">
        <v>0.303211173451116</v>
      </c>
      <c r="R463" s="0" t="n">
        <v>2.71613383497978</v>
      </c>
      <c r="S463" s="0" t="n">
        <v>0</v>
      </c>
      <c r="T463" s="0" t="n">
        <v>107</v>
      </c>
      <c r="U463" s="0" t="n">
        <v>0</v>
      </c>
      <c r="V463" s="0" t="n">
        <v>13.7396501276225</v>
      </c>
      <c r="W463" s="0" t="n">
        <v>20240331</v>
      </c>
      <c r="X463" s="0" t="n">
        <v>0.0727721895332525</v>
      </c>
      <c r="Y463" s="0" t="n">
        <v>1.28</v>
      </c>
      <c r="Z463" s="0" t="s">
        <v>105</v>
      </c>
    </row>
    <row r="464" customFormat="false" ht="15" hidden="false" customHeight="false" outlineLevel="0" collapsed="false">
      <c r="A464" s="0" t="n">
        <v>464</v>
      </c>
      <c r="B464" s="0" t="n">
        <v>95113</v>
      </c>
      <c r="C464" s="0" t="n">
        <v>28369</v>
      </c>
      <c r="D464" s="0" t="n">
        <v>75369</v>
      </c>
      <c r="E464" s="0" t="n">
        <v>0.03</v>
      </c>
      <c r="F464" s="0" t="n">
        <v>9266</v>
      </c>
      <c r="G464" s="0" t="n">
        <v>9.74209624341573</v>
      </c>
      <c r="H464" s="0" t="s">
        <v>621</v>
      </c>
      <c r="I464" s="0" t="n">
        <v>0.741162350437397</v>
      </c>
      <c r="J464" s="0" t="n">
        <v>12521</v>
      </c>
      <c r="K464" s="0" t="n">
        <v>832</v>
      </c>
      <c r="L464" s="0" t="n">
        <v>80819</v>
      </c>
      <c r="M464" s="0" t="n">
        <v>80220</v>
      </c>
      <c r="N464" s="0" t="n">
        <v>67466</v>
      </c>
      <c r="O464" s="0" t="n">
        <v>174</v>
      </c>
      <c r="P464" s="0" t="s">
        <v>178</v>
      </c>
      <c r="Q464" s="0" t="n">
        <v>0.215295908140412</v>
      </c>
      <c r="R464" s="0" t="n">
        <v>3.0142140002894</v>
      </c>
      <c r="S464" s="0" t="n">
        <v>-1</v>
      </c>
      <c r="T464" s="0" t="n">
        <v>4</v>
      </c>
      <c r="U464" s="0" t="n">
        <v>0</v>
      </c>
      <c r="V464" s="0" t="n">
        <v>13.8289808112487</v>
      </c>
      <c r="W464" s="0" t="n">
        <v>20240331</v>
      </c>
      <c r="X464" s="0" t="n">
        <v>-0.355442716597905</v>
      </c>
      <c r="Y464" s="0" t="n">
        <v>-3.61</v>
      </c>
      <c r="Z464" s="0" t="s">
        <v>105</v>
      </c>
    </row>
    <row r="465" customFormat="false" ht="15" hidden="false" customHeight="false" outlineLevel="0" collapsed="false">
      <c r="A465" s="0" t="n">
        <v>465</v>
      </c>
      <c r="B465" s="0" t="n">
        <v>280957</v>
      </c>
      <c r="C465" s="0" t="n">
        <v>28837</v>
      </c>
      <c r="D465" s="0" t="n">
        <v>251772</v>
      </c>
      <c r="E465" s="0" t="n">
        <v>-0.21</v>
      </c>
      <c r="F465" s="0" t="n">
        <v>26570</v>
      </c>
      <c r="G465" s="0" t="n">
        <v>9.45696316518186</v>
      </c>
      <c r="H465" s="0" t="s">
        <v>622</v>
      </c>
      <c r="I465" s="0" t="n">
        <v>1.08329443283067</v>
      </c>
      <c r="J465" s="0" t="n">
        <v>6456</v>
      </c>
      <c r="K465" s="0" t="n">
        <v>1299</v>
      </c>
      <c r="L465" s="0" t="n">
        <v>197084</v>
      </c>
      <c r="M465" s="0" t="n">
        <v>194949</v>
      </c>
      <c r="N465" s="0" t="n">
        <v>188594</v>
      </c>
      <c r="O465" s="0" t="n">
        <v>89</v>
      </c>
      <c r="P465" s="0" t="s">
        <v>180</v>
      </c>
      <c r="Q465" s="0" t="n">
        <v>0.0644395283229486</v>
      </c>
      <c r="R465" s="0" t="n">
        <v>3.63569551050099</v>
      </c>
      <c r="S465" s="0" t="n">
        <v>0</v>
      </c>
      <c r="T465" s="0" t="n">
        <v>795</v>
      </c>
      <c r="U465" s="0" t="n">
        <v>38</v>
      </c>
      <c r="V465" s="0" t="n">
        <v>16.8987480781902</v>
      </c>
      <c r="W465" s="0" t="n">
        <v>20240331</v>
      </c>
      <c r="X465" s="0" t="n">
        <v>0.73901109576411</v>
      </c>
      <c r="Y465" s="0" t="n">
        <v>7.94</v>
      </c>
      <c r="Z465" s="0" t="s">
        <v>112</v>
      </c>
    </row>
    <row r="466" customFormat="false" ht="15" hidden="false" customHeight="false" outlineLevel="0" collapsed="false">
      <c r="A466" s="0" t="n">
        <v>466</v>
      </c>
      <c r="B466" s="0" t="n">
        <v>178210</v>
      </c>
      <c r="C466" s="0" t="n">
        <v>29636</v>
      </c>
      <c r="D466" s="0" t="n">
        <v>137138</v>
      </c>
      <c r="E466" s="0" t="n">
        <v>0.01</v>
      </c>
      <c r="F466" s="0" t="n">
        <v>25969</v>
      </c>
      <c r="G466" s="0" t="n">
        <v>14.5721339992144</v>
      </c>
      <c r="H466" s="0" t="s">
        <v>623</v>
      </c>
      <c r="I466" s="0" t="n">
        <v>1.40696473365796</v>
      </c>
      <c r="J466" s="0" t="n">
        <v>1456</v>
      </c>
      <c r="K466" s="0" t="n">
        <v>1571</v>
      </c>
      <c r="L466" s="0" t="n">
        <v>135540</v>
      </c>
      <c r="M466" s="0" t="n">
        <v>133633</v>
      </c>
      <c r="N466" s="0" t="n">
        <v>132513</v>
      </c>
      <c r="O466" s="0" t="n">
        <v>899</v>
      </c>
      <c r="P466" s="0" t="s">
        <v>182</v>
      </c>
      <c r="Q466" s="0" t="n">
        <v>0.663272834587576</v>
      </c>
      <c r="R466" s="0" t="n">
        <v>3.5569459283869</v>
      </c>
      <c r="S466" s="0" t="n">
        <v>0</v>
      </c>
      <c r="T466" s="0" t="n">
        <v>3809</v>
      </c>
      <c r="U466" s="0" t="n">
        <v>0</v>
      </c>
      <c r="V466" s="0" t="n">
        <v>27.410238197661</v>
      </c>
      <c r="W466" s="0" t="n">
        <v>20240331</v>
      </c>
      <c r="X466" s="0" t="n">
        <v>0.311180386680808</v>
      </c>
      <c r="Y466" s="0" t="n">
        <v>2.15</v>
      </c>
      <c r="Z466" s="0" t="s">
        <v>105</v>
      </c>
    </row>
    <row r="467" customFormat="false" ht="15" hidden="false" customHeight="false" outlineLevel="0" collapsed="false">
      <c r="A467" s="0" t="n">
        <v>467</v>
      </c>
      <c r="B467" s="0" t="n">
        <v>184760</v>
      </c>
      <c r="C467" s="0" t="n">
        <v>29743</v>
      </c>
      <c r="D467" s="0" t="n">
        <v>160737</v>
      </c>
      <c r="E467" s="0" t="n">
        <v>0</v>
      </c>
      <c r="F467" s="0" t="n">
        <v>16808</v>
      </c>
      <c r="G467" s="0" t="n">
        <v>9.09720718770296</v>
      </c>
      <c r="H467" s="0" t="s">
        <v>624</v>
      </c>
      <c r="I467" s="0" t="n">
        <v>0.670601060030824</v>
      </c>
      <c r="J467" s="0" t="n">
        <v>26800</v>
      </c>
      <c r="K467" s="0" t="n">
        <v>20933</v>
      </c>
      <c r="L467" s="0" t="n">
        <v>133015</v>
      </c>
      <c r="M467" s="0" t="n">
        <v>132123</v>
      </c>
      <c r="N467" s="0" t="n">
        <v>85228</v>
      </c>
      <c r="O467" s="0" t="n">
        <v>140</v>
      </c>
      <c r="P467" s="0" t="s">
        <v>184</v>
      </c>
      <c r="Q467" s="0" t="n">
        <v>0.105251287448784</v>
      </c>
      <c r="R467" s="0" t="n">
        <v>2.19674669047229</v>
      </c>
      <c r="S467" s="0" t="n">
        <v>0</v>
      </c>
      <c r="T467" s="0" t="n">
        <v>596</v>
      </c>
      <c r="U467" s="0" t="n">
        <v>0</v>
      </c>
      <c r="V467" s="0" t="n">
        <v>18.3034236752105</v>
      </c>
      <c r="W467" s="0" t="n">
        <v>20240331</v>
      </c>
      <c r="X467" s="0" t="n">
        <v>0.300357479035316</v>
      </c>
      <c r="Y467" s="0" t="n">
        <v>3.33</v>
      </c>
      <c r="Z467" s="0" t="s">
        <v>105</v>
      </c>
    </row>
    <row r="468" customFormat="false" ht="15" hidden="false" customHeight="false" outlineLevel="0" collapsed="false">
      <c r="A468" s="0" t="n">
        <v>468</v>
      </c>
      <c r="B468" s="0" t="n">
        <v>576540</v>
      </c>
      <c r="C468" s="0" t="n">
        <v>29744</v>
      </c>
      <c r="D468" s="0" t="n">
        <v>428893</v>
      </c>
      <c r="E468" s="0" t="n">
        <v>-0.01</v>
      </c>
      <c r="F468" s="0" t="n">
        <v>44302</v>
      </c>
      <c r="G468" s="0" t="n">
        <v>7.68411558608249</v>
      </c>
      <c r="H468" s="0" t="s">
        <v>625</v>
      </c>
      <c r="I468" s="0" t="n">
        <v>0.792385683305221</v>
      </c>
      <c r="J468" s="0" t="n">
        <v>25394</v>
      </c>
      <c r="K468" s="0" t="n">
        <v>9990</v>
      </c>
      <c r="L468" s="0" t="n">
        <v>431608</v>
      </c>
      <c r="M468" s="0" t="n">
        <v>428188</v>
      </c>
      <c r="N468" s="0" t="n">
        <v>396224</v>
      </c>
      <c r="O468" s="0" t="n">
        <v>141</v>
      </c>
      <c r="P468" s="0" t="s">
        <v>186</v>
      </c>
      <c r="Q468" s="0" t="n">
        <v>0.0326685325573205</v>
      </c>
      <c r="R468" s="0" t="n">
        <v>2.09105523042831</v>
      </c>
      <c r="S468" s="0" t="n">
        <v>0</v>
      </c>
      <c r="T468" s="0" t="n">
        <v>0</v>
      </c>
      <c r="U468" s="0" t="n">
        <v>0</v>
      </c>
      <c r="V468" s="0" t="n">
        <v>14.8696742059058</v>
      </c>
      <c r="W468" s="0" t="n">
        <v>20240331</v>
      </c>
      <c r="X468" s="0" t="n">
        <v>-0.803595619950847</v>
      </c>
      <c r="Y468" s="0" t="n">
        <v>-10.19</v>
      </c>
      <c r="Z468" s="0" t="s">
        <v>123</v>
      </c>
    </row>
    <row r="469" customFormat="false" ht="15" hidden="false" customHeight="false" outlineLevel="0" collapsed="false">
      <c r="A469" s="0" t="n">
        <v>469</v>
      </c>
      <c r="B469" s="0" t="n">
        <v>558824</v>
      </c>
      <c r="C469" s="0" t="n">
        <v>30350</v>
      </c>
      <c r="D469" s="0" t="n">
        <v>445096</v>
      </c>
      <c r="E469" s="0" t="n">
        <v>0.04</v>
      </c>
      <c r="F469" s="0" t="n">
        <v>56764</v>
      </c>
      <c r="G469" s="0" t="n">
        <v>10.1577598671496</v>
      </c>
      <c r="H469" s="0" t="s">
        <v>626</v>
      </c>
      <c r="I469" s="0" t="n">
        <v>1.27184711105831</v>
      </c>
      <c r="J469" s="0" t="n">
        <v>16001</v>
      </c>
      <c r="K469" s="0" t="n">
        <v>1534</v>
      </c>
      <c r="L469" s="0" t="n">
        <v>404058</v>
      </c>
      <c r="M469" s="0" t="n">
        <v>398919</v>
      </c>
      <c r="N469" s="0" t="n">
        <v>385261</v>
      </c>
      <c r="O469" s="0" t="n">
        <v>1795</v>
      </c>
      <c r="P469" s="0" t="s">
        <v>188</v>
      </c>
      <c r="Q469" s="0" t="n">
        <v>0.444243153210678</v>
      </c>
      <c r="R469" s="0" t="n">
        <v>2.55278608364277</v>
      </c>
      <c r="S469" s="0" t="n">
        <v>-7</v>
      </c>
      <c r="T469" s="0" t="n">
        <v>726</v>
      </c>
      <c r="U469" s="0" t="n">
        <v>0</v>
      </c>
      <c r="V469" s="0" t="n">
        <v>20.9443498153697</v>
      </c>
      <c r="W469" s="0" t="n">
        <v>20240331</v>
      </c>
      <c r="X469" s="0" t="n">
        <v>0.456585242898488</v>
      </c>
      <c r="Y469" s="0" t="n">
        <v>4.48</v>
      </c>
      <c r="Z469" s="0" t="s">
        <v>112</v>
      </c>
    </row>
    <row r="470" customFormat="false" ht="15" hidden="false" customHeight="false" outlineLevel="0" collapsed="false">
      <c r="A470" s="0" t="n">
        <v>470</v>
      </c>
      <c r="B470" s="0" t="n">
        <v>102792</v>
      </c>
      <c r="C470" s="0" t="n">
        <v>30878</v>
      </c>
      <c r="D470" s="0" t="n">
        <v>74987</v>
      </c>
      <c r="E470" s="0" t="n">
        <v>-0.62</v>
      </c>
      <c r="F470" s="0" t="n">
        <v>12317</v>
      </c>
      <c r="G470" s="0" t="n">
        <v>11.9824499961086</v>
      </c>
      <c r="H470" s="0" t="s">
        <v>627</v>
      </c>
      <c r="I470" s="0" t="n">
        <v>0.622482190408995</v>
      </c>
      <c r="J470" s="0" t="n">
        <v>0</v>
      </c>
      <c r="K470" s="0" t="n">
        <v>105</v>
      </c>
      <c r="L470" s="0" t="n">
        <v>87874</v>
      </c>
      <c r="M470" s="0" t="n">
        <v>87327</v>
      </c>
      <c r="N470" s="0" t="n">
        <v>87769</v>
      </c>
      <c r="O470" s="0" t="n">
        <v>836</v>
      </c>
      <c r="P470" s="0" t="s">
        <v>190</v>
      </c>
      <c r="Q470" s="0" t="n">
        <v>0.951362177663473</v>
      </c>
      <c r="R470" s="0" t="n">
        <v>0.966458498694582</v>
      </c>
      <c r="S470" s="0" t="n">
        <v>0</v>
      </c>
      <c r="T470" s="0" t="n">
        <v>1125</v>
      </c>
      <c r="U470" s="0" t="n">
        <v>0</v>
      </c>
      <c r="V470" s="0" t="n">
        <v>0</v>
      </c>
      <c r="W470" s="0" t="n">
        <v>20240331</v>
      </c>
      <c r="X470" s="0" t="n">
        <v>0.061539940863963</v>
      </c>
      <c r="Y470" s="0" t="n">
        <v>0.52</v>
      </c>
      <c r="Z470" s="0" t="s">
        <v>105</v>
      </c>
    </row>
    <row r="471" customFormat="false" ht="15" hidden="false" customHeight="false" outlineLevel="0" collapsed="false">
      <c r="A471" s="0" t="n">
        <v>471</v>
      </c>
      <c r="B471" s="0" t="n">
        <v>893621</v>
      </c>
      <c r="C471" s="0" t="n">
        <v>33418</v>
      </c>
      <c r="D471" s="0" t="n">
        <v>783873</v>
      </c>
      <c r="E471" s="0" t="n">
        <v>0.22</v>
      </c>
      <c r="F471" s="0" t="n">
        <v>68407</v>
      </c>
      <c r="G471" s="0" t="n">
        <v>7.65503496448718</v>
      </c>
      <c r="H471" s="0" t="s">
        <v>628</v>
      </c>
      <c r="I471" s="0" t="n">
        <v>0.726201172152524</v>
      </c>
      <c r="J471" s="0" t="n">
        <v>61228</v>
      </c>
      <c r="K471" s="0" t="n">
        <v>14835</v>
      </c>
      <c r="L471" s="0" t="n">
        <v>457449</v>
      </c>
      <c r="M471" s="0" t="n">
        <v>454127</v>
      </c>
      <c r="N471" s="0" t="n">
        <v>381804</v>
      </c>
      <c r="O471" s="0" t="n">
        <v>1692</v>
      </c>
      <c r="P471" s="0" t="s">
        <v>192</v>
      </c>
      <c r="Q471" s="0" t="n">
        <v>0.369877297797131</v>
      </c>
      <c r="R471" s="0" t="n">
        <v>2.16942321806463</v>
      </c>
      <c r="S471" s="0" t="n">
        <v>-5</v>
      </c>
      <c r="T471" s="0" t="n">
        <v>118</v>
      </c>
      <c r="U471" s="0" t="n">
        <v>0</v>
      </c>
      <c r="V471" s="0" t="n">
        <v>14.9143227744402</v>
      </c>
      <c r="W471" s="0" t="n">
        <v>20240331</v>
      </c>
      <c r="X471" s="0" t="n">
        <v>0.317210198101888</v>
      </c>
      <c r="Y471" s="0" t="n">
        <v>4.04</v>
      </c>
      <c r="Z471" s="0" t="s">
        <v>112</v>
      </c>
    </row>
    <row r="472" customFormat="false" ht="15" hidden="false" customHeight="false" outlineLevel="0" collapsed="false">
      <c r="A472" s="0" t="n">
        <v>472</v>
      </c>
      <c r="B472" s="0" t="n">
        <v>79848</v>
      </c>
      <c r="C472" s="0" t="n">
        <v>35206</v>
      </c>
      <c r="D472" s="0" t="n">
        <v>500</v>
      </c>
      <c r="E472" s="0" t="n">
        <v>0</v>
      </c>
      <c r="F472" s="0" t="n">
        <v>77369</v>
      </c>
      <c r="G472" s="0" t="n">
        <v>96.8953511672177</v>
      </c>
      <c r="H472" s="0" t="s">
        <v>629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0</v>
      </c>
      <c r="P472" s="0" t="s">
        <v>252</v>
      </c>
      <c r="Q472" s="0" t="n">
        <v>0</v>
      </c>
      <c r="R472" s="0" t="n">
        <v>4.56962007745589</v>
      </c>
      <c r="S472" s="0" t="n">
        <v>0</v>
      </c>
      <c r="T472" s="0" t="n">
        <v>0</v>
      </c>
      <c r="U472" s="0" t="n">
        <v>0</v>
      </c>
      <c r="V472" s="0" t="n">
        <v>0</v>
      </c>
      <c r="W472" s="0" t="n">
        <v>20240331</v>
      </c>
      <c r="X472" s="0" t="n">
        <v>15.0318019410587</v>
      </c>
      <c r="Y472" s="0" t="n">
        <v>15.63</v>
      </c>
      <c r="Z472" s="0" t="s">
        <v>123</v>
      </c>
    </row>
    <row r="473" customFormat="false" ht="15" hidden="false" customHeight="false" outlineLevel="0" collapsed="false">
      <c r="A473" s="0" t="n">
        <v>473</v>
      </c>
      <c r="B473" s="0" t="n">
        <v>5784624</v>
      </c>
      <c r="C473" s="0" t="n">
        <v>4255</v>
      </c>
      <c r="D473" s="0" t="n">
        <v>4586176</v>
      </c>
      <c r="E473" s="0" t="n">
        <v>-0.08</v>
      </c>
      <c r="F473" s="0" t="n">
        <v>514258</v>
      </c>
      <c r="G473" s="0" t="n">
        <v>8.89008516370295</v>
      </c>
      <c r="H473" s="0" t="s">
        <v>630</v>
      </c>
      <c r="I473" s="0" t="n">
        <v>0.862182500985338</v>
      </c>
      <c r="J473" s="0" t="n">
        <v>330311</v>
      </c>
      <c r="K473" s="0" t="n">
        <v>17653</v>
      </c>
      <c r="L473" s="0" t="n">
        <v>4130564</v>
      </c>
      <c r="M473" s="0" t="n">
        <v>4094951</v>
      </c>
      <c r="N473" s="0" t="n">
        <v>3749893</v>
      </c>
      <c r="O473" s="0" t="n">
        <v>5658</v>
      </c>
      <c r="P473" s="0" t="s">
        <v>194</v>
      </c>
      <c r="Q473" s="0" t="n">
        <v>0.136978872618848</v>
      </c>
      <c r="R473" s="0" t="n">
        <v>2.41335932567702</v>
      </c>
      <c r="S473" s="0" t="n">
        <v>158</v>
      </c>
      <c r="T473" s="0" t="n">
        <v>2044</v>
      </c>
      <c r="U473" s="0" t="n">
        <v>0</v>
      </c>
      <c r="V473" s="0" t="n">
        <v>13.8464365654592</v>
      </c>
      <c r="W473" s="0" t="n">
        <v>20240331</v>
      </c>
      <c r="X473" s="0" t="n">
        <v>0.965155557846469</v>
      </c>
      <c r="Y473" s="0" t="n">
        <v>10.84</v>
      </c>
      <c r="Z473" s="0" t="s">
        <v>105</v>
      </c>
    </row>
    <row r="474" customFormat="false" ht="15" hidden="false" customHeight="false" outlineLevel="0" collapsed="false">
      <c r="A474" s="0" t="n">
        <v>474</v>
      </c>
      <c r="B474" s="0" t="n">
        <v>2942447</v>
      </c>
      <c r="C474" s="0" t="n">
        <v>4256</v>
      </c>
      <c r="D474" s="0" t="n">
        <v>2549402</v>
      </c>
      <c r="E474" s="0" t="n">
        <v>-0.07</v>
      </c>
      <c r="F474" s="0" t="n">
        <v>214088</v>
      </c>
      <c r="G474" s="0" t="n">
        <v>7.27584897875816</v>
      </c>
      <c r="H474" s="0" t="s">
        <v>631</v>
      </c>
      <c r="I474" s="0" t="n">
        <v>1.11360756960565</v>
      </c>
      <c r="J474" s="0" t="n">
        <v>320658</v>
      </c>
      <c r="K474" s="0" t="n">
        <v>19035</v>
      </c>
      <c r="L474" s="0" t="n">
        <v>2173746</v>
      </c>
      <c r="M474" s="0" t="n">
        <v>2149539</v>
      </c>
      <c r="N474" s="0" t="n">
        <v>1739026</v>
      </c>
      <c r="O474" s="0" t="n">
        <v>2710</v>
      </c>
      <c r="P474" s="0" t="s">
        <v>196</v>
      </c>
      <c r="Q474" s="0" t="n">
        <v>0.126923752821167</v>
      </c>
      <c r="R474" s="0" t="n">
        <v>2.15958502147942</v>
      </c>
      <c r="S474" s="0" t="n">
        <v>-78</v>
      </c>
      <c r="T474" s="0" t="n">
        <v>1164</v>
      </c>
      <c r="U474" s="0" t="n">
        <v>49</v>
      </c>
      <c r="V474" s="0" t="n">
        <v>13.4945885990368</v>
      </c>
      <c r="W474" s="0" t="n">
        <v>20240331</v>
      </c>
      <c r="X474" s="0" t="n">
        <v>0.85553165791717</v>
      </c>
      <c r="Y474" s="0" t="n">
        <v>11.68</v>
      </c>
      <c r="Z474" s="0" t="s">
        <v>105</v>
      </c>
    </row>
    <row r="475" customFormat="false" ht="15" hidden="false" customHeight="false" outlineLevel="0" collapsed="false">
      <c r="A475" s="0" t="n">
        <v>475</v>
      </c>
      <c r="B475" s="0" t="n">
        <v>697280</v>
      </c>
      <c r="C475" s="0" t="n">
        <v>59086</v>
      </c>
      <c r="D475" s="0" t="n">
        <v>594743</v>
      </c>
      <c r="E475" s="0" t="n">
        <v>0.09</v>
      </c>
      <c r="F475" s="0" t="n">
        <v>90844</v>
      </c>
      <c r="G475" s="0" t="n">
        <v>13.0283386874713</v>
      </c>
      <c r="H475" s="0" t="s">
        <v>632</v>
      </c>
      <c r="I475" s="0" t="n">
        <v>1.03077642944236</v>
      </c>
      <c r="J475" s="0" t="n">
        <v>111257</v>
      </c>
      <c r="K475" s="0" t="n">
        <v>0</v>
      </c>
      <c r="L475" s="0" t="n">
        <v>585578</v>
      </c>
      <c r="M475" s="0" t="n">
        <v>579542</v>
      </c>
      <c r="N475" s="0" t="n">
        <v>474718</v>
      </c>
      <c r="O475" s="0" t="n">
        <v>4483</v>
      </c>
      <c r="P475" s="0" t="s">
        <v>198</v>
      </c>
      <c r="Q475" s="0" t="n">
        <v>0.439224151180543</v>
      </c>
      <c r="R475" s="0" t="n">
        <v>3.69176625852335</v>
      </c>
      <c r="S475" s="0" t="n">
        <v>160</v>
      </c>
      <c r="T475" s="0" t="n">
        <v>366</v>
      </c>
      <c r="U475" s="0" t="n">
        <v>0</v>
      </c>
      <c r="V475" s="0" t="n">
        <v>15.5722724532851</v>
      </c>
      <c r="W475" s="0" t="n">
        <v>20240331</v>
      </c>
      <c r="X475" s="0" t="n">
        <v>1.50861107954586</v>
      </c>
      <c r="Y475" s="0" t="n">
        <v>11.71</v>
      </c>
      <c r="Z475" s="0" t="s">
        <v>123</v>
      </c>
    </row>
    <row r="476" customFormat="false" ht="15" hidden="false" customHeight="false" outlineLevel="0" collapsed="false">
      <c r="A476" s="0" t="n">
        <v>476</v>
      </c>
      <c r="B476" s="0" t="n">
        <v>222037</v>
      </c>
      <c r="C476" s="0" t="n">
        <v>59176</v>
      </c>
      <c r="D476" s="0" t="n">
        <v>182535</v>
      </c>
      <c r="E476" s="0" t="n">
        <v>0.05</v>
      </c>
      <c r="F476" s="0" t="n">
        <v>26809</v>
      </c>
      <c r="G476" s="0" t="n">
        <v>12.0741137738305</v>
      </c>
      <c r="H476" s="0" t="s">
        <v>633</v>
      </c>
      <c r="I476" s="0" t="n">
        <v>0.965149176954732</v>
      </c>
      <c r="J476" s="0" t="n">
        <v>23317</v>
      </c>
      <c r="K476" s="0" t="n">
        <v>93</v>
      </c>
      <c r="L476" s="0" t="n">
        <v>155520</v>
      </c>
      <c r="M476" s="0" t="n">
        <v>154019</v>
      </c>
      <c r="N476" s="0" t="n">
        <v>132126</v>
      </c>
      <c r="O476" s="0" t="n">
        <v>0</v>
      </c>
      <c r="P476" s="0" t="s">
        <v>200</v>
      </c>
      <c r="Q476" s="0" t="n">
        <v>0</v>
      </c>
      <c r="R476" s="0" t="n">
        <v>2.28395268572195</v>
      </c>
      <c r="S476" s="0" t="n">
        <v>-32</v>
      </c>
      <c r="T476" s="0" t="n">
        <v>0</v>
      </c>
      <c r="U476" s="0" t="n">
        <v>0</v>
      </c>
      <c r="V476" s="0" t="n">
        <v>18.0162937093356</v>
      </c>
      <c r="W476" s="0" t="n">
        <v>20240331</v>
      </c>
      <c r="X476" s="0" t="n">
        <v>-0.0643345396059509</v>
      </c>
      <c r="Y476" s="0" t="n">
        <v>-0.59</v>
      </c>
      <c r="Z476" s="0" t="s">
        <v>123</v>
      </c>
    </row>
    <row r="477" customFormat="false" ht="15" hidden="false" customHeight="false" outlineLevel="0" collapsed="false">
      <c r="A477" s="0" t="n">
        <v>477</v>
      </c>
      <c r="B477" s="0" t="n">
        <v>93964</v>
      </c>
      <c r="C477" s="0" t="n">
        <v>59289</v>
      </c>
      <c r="D477" s="0" t="n">
        <v>74106</v>
      </c>
      <c r="E477" s="0" t="n">
        <v>0.65</v>
      </c>
      <c r="F477" s="0" t="n">
        <v>18864</v>
      </c>
      <c r="G477" s="0" t="n">
        <v>20.0757737005662</v>
      </c>
      <c r="H477" s="0" t="s">
        <v>634</v>
      </c>
      <c r="I477" s="0" t="n">
        <v>1.32408159680288</v>
      </c>
      <c r="J477" s="0" t="n">
        <v>25938</v>
      </c>
      <c r="K477" s="0" t="n">
        <v>0</v>
      </c>
      <c r="L477" s="0" t="n">
        <v>45541</v>
      </c>
      <c r="M477" s="0" t="n">
        <v>44938</v>
      </c>
      <c r="N477" s="0" t="n">
        <v>18119</v>
      </c>
      <c r="O477" s="0" t="n">
        <v>327</v>
      </c>
      <c r="P477" s="0" t="s">
        <v>364</v>
      </c>
      <c r="Q477" s="0" t="n">
        <v>0.718034298763751</v>
      </c>
      <c r="R477" s="0" t="n">
        <v>4.14001571851762</v>
      </c>
      <c r="S477" s="0" t="n">
        <v>0</v>
      </c>
      <c r="T477" s="0" t="n">
        <v>0</v>
      </c>
      <c r="U477" s="0" t="n">
        <v>0</v>
      </c>
      <c r="V477" s="0" t="n">
        <v>0</v>
      </c>
      <c r="W477" s="0" t="n">
        <v>20240331</v>
      </c>
      <c r="X477" s="0" t="n">
        <v>-1.65604118871675</v>
      </c>
      <c r="Y477" s="0" t="n">
        <v>-7.37</v>
      </c>
      <c r="Z477" s="0" t="s">
        <v>123</v>
      </c>
    </row>
    <row r="478" customFormat="false" ht="15" hidden="false" customHeight="false" outlineLevel="0" collapsed="false">
      <c r="A478" s="0" t="n">
        <v>478</v>
      </c>
      <c r="B478" s="0" t="n">
        <v>169806</v>
      </c>
      <c r="C478" s="0" t="n">
        <v>59298</v>
      </c>
      <c r="D478" s="0" t="n">
        <v>142779</v>
      </c>
      <c r="E478" s="0" t="n">
        <v>0.17</v>
      </c>
      <c r="F478" s="0" t="n">
        <v>26235</v>
      </c>
      <c r="G478" s="0" t="n">
        <v>15.4499840995018</v>
      </c>
      <c r="H478" s="0" t="s">
        <v>635</v>
      </c>
      <c r="I478" s="0" t="n">
        <v>0.79995287464656</v>
      </c>
      <c r="J478" s="0" t="n">
        <v>18628</v>
      </c>
      <c r="K478" s="0" t="n">
        <v>0</v>
      </c>
      <c r="L478" s="0" t="n">
        <v>84880</v>
      </c>
      <c r="M478" s="0" t="n">
        <v>84201</v>
      </c>
      <c r="N478" s="0" t="n">
        <v>66264</v>
      </c>
      <c r="O478" s="0" t="n">
        <v>0</v>
      </c>
      <c r="P478" s="0" t="s">
        <v>310</v>
      </c>
      <c r="Q478" s="0" t="n">
        <v>0</v>
      </c>
      <c r="R478" s="0" t="n">
        <v>2.25176342919154</v>
      </c>
      <c r="S478" s="0" t="n">
        <v>0</v>
      </c>
      <c r="T478" s="0" t="n">
        <v>0</v>
      </c>
      <c r="U478" s="0" t="n">
        <v>0</v>
      </c>
      <c r="V478" s="0" t="n">
        <v>0</v>
      </c>
      <c r="W478" s="0" t="n">
        <v>20240331</v>
      </c>
      <c r="X478" s="0" t="n">
        <v>-1.2766578313839</v>
      </c>
      <c r="Y478" s="0" t="n">
        <v>-7.84</v>
      </c>
      <c r="Z478" s="0" t="s">
        <v>112</v>
      </c>
    </row>
    <row r="479" customFormat="false" ht="15" hidden="false" customHeight="false" outlineLevel="0" collapsed="false">
      <c r="A479" s="0" t="n">
        <v>479</v>
      </c>
      <c r="B479" s="0" t="n">
        <v>1106658</v>
      </c>
      <c r="C479" s="0" t="n">
        <v>6271</v>
      </c>
      <c r="D479" s="0" t="n">
        <v>884850</v>
      </c>
      <c r="E479" s="0" t="n">
        <v>0.11</v>
      </c>
      <c r="F479" s="0" t="n">
        <v>101645</v>
      </c>
      <c r="G479" s="0" t="n">
        <v>9.18486108626152</v>
      </c>
      <c r="H479" s="0" t="s">
        <v>636</v>
      </c>
      <c r="I479" s="0" t="n">
        <v>1.15612267720566</v>
      </c>
      <c r="J479" s="0" t="n">
        <v>129701</v>
      </c>
      <c r="K479" s="0" t="n">
        <v>7634</v>
      </c>
      <c r="L479" s="0" t="n">
        <v>867382</v>
      </c>
      <c r="M479" s="0" t="n">
        <v>857354</v>
      </c>
      <c r="N479" s="0" t="n">
        <v>668396</v>
      </c>
      <c r="O479" s="0" t="n">
        <v>6384</v>
      </c>
      <c r="P479" s="0" t="s">
        <v>202</v>
      </c>
      <c r="Q479" s="0" t="n">
        <v>0.826740697870143</v>
      </c>
      <c r="R479" s="0" t="n">
        <v>3.32582939701992</v>
      </c>
      <c r="S479" s="0" t="n">
        <v>133</v>
      </c>
      <c r="T479" s="0" t="n">
        <v>2165</v>
      </c>
      <c r="U479" s="0" t="n">
        <v>787</v>
      </c>
      <c r="V479" s="0" t="n">
        <v>14.9516406498885</v>
      </c>
      <c r="W479" s="0" t="n">
        <v>20240331</v>
      </c>
      <c r="X479" s="0" t="n">
        <v>1.1249303947051</v>
      </c>
      <c r="Y479" s="0" t="n">
        <v>12.24</v>
      </c>
      <c r="Z479" s="0" t="s">
        <v>112</v>
      </c>
    </row>
    <row r="480" customFormat="false" ht="15" hidden="false" customHeight="false" outlineLevel="0" collapsed="false">
      <c r="A480" s="0" t="n">
        <v>480</v>
      </c>
      <c r="B480" s="0" t="n">
        <v>560771</v>
      </c>
      <c r="C480" s="0" t="n">
        <v>6275</v>
      </c>
      <c r="D480" s="0" t="n">
        <v>481992</v>
      </c>
      <c r="E480" s="0" t="n">
        <v>0.02</v>
      </c>
      <c r="F480" s="0" t="n">
        <v>30328</v>
      </c>
      <c r="G480" s="0" t="n">
        <v>5.40826825923594</v>
      </c>
      <c r="H480" s="0" t="s">
        <v>637</v>
      </c>
      <c r="I480" s="0" t="n">
        <v>0.411599680549502</v>
      </c>
      <c r="J480" s="0" t="n">
        <v>38194</v>
      </c>
      <c r="K480" s="0" t="n">
        <v>11822</v>
      </c>
      <c r="L480" s="0" t="n">
        <v>341837</v>
      </c>
      <c r="M480" s="0" t="n">
        <v>340430</v>
      </c>
      <c r="N480" s="0" t="n">
        <v>282409</v>
      </c>
      <c r="O480" s="0" t="n">
        <v>1168</v>
      </c>
      <c r="P480" s="0" t="s">
        <v>204</v>
      </c>
      <c r="Q480" s="0" t="n">
        <v>0.460453373976486</v>
      </c>
      <c r="R480" s="0" t="n">
        <v>2.73703548739257</v>
      </c>
      <c r="S480" s="0" t="n">
        <v>0</v>
      </c>
      <c r="T480" s="0" t="n">
        <v>140</v>
      </c>
      <c r="U480" s="0" t="n">
        <v>406</v>
      </c>
      <c r="V480" s="0" t="n">
        <v>14.7583990455872</v>
      </c>
      <c r="W480" s="0" t="n">
        <v>20240331</v>
      </c>
      <c r="X480" s="0" t="n">
        <v>0.470857236620922</v>
      </c>
      <c r="Y480" s="0" t="n">
        <v>8.64</v>
      </c>
      <c r="Z480" s="0" t="s">
        <v>112</v>
      </c>
    </row>
    <row r="481" customFormat="false" ht="15" hidden="false" customHeight="false" outlineLevel="0" collapsed="false">
      <c r="A481" s="0" t="n">
        <v>481</v>
      </c>
      <c r="B481" s="0" t="n">
        <v>78008</v>
      </c>
      <c r="C481" s="0" t="n">
        <v>6280</v>
      </c>
      <c r="D481" s="0" t="n">
        <v>68177</v>
      </c>
      <c r="E481" s="0" t="n">
        <v>0.02</v>
      </c>
      <c r="F481" s="0" t="n">
        <v>9657</v>
      </c>
      <c r="G481" s="0" t="n">
        <v>12.3794995385089</v>
      </c>
      <c r="H481" s="0" t="s">
        <v>638</v>
      </c>
      <c r="I481" s="0" t="n">
        <v>1.3355716662705</v>
      </c>
      <c r="J481" s="0" t="n">
        <v>4453</v>
      </c>
      <c r="K481" s="0" t="n">
        <v>1569</v>
      </c>
      <c r="L481" s="0" t="n">
        <v>67312</v>
      </c>
      <c r="M481" s="0" t="n">
        <v>66413</v>
      </c>
      <c r="N481" s="0" t="n">
        <v>59060</v>
      </c>
      <c r="O481" s="0" t="n">
        <v>1333</v>
      </c>
      <c r="P481" s="0" t="s">
        <v>206</v>
      </c>
      <c r="Q481" s="0" t="n">
        <v>1.98033040171143</v>
      </c>
      <c r="R481" s="0" t="n">
        <v>4.7369521381701</v>
      </c>
      <c r="S481" s="0" t="n">
        <v>0</v>
      </c>
      <c r="T481" s="0" t="n">
        <v>398</v>
      </c>
      <c r="U481" s="0" t="n">
        <v>0</v>
      </c>
      <c r="V481" s="0" t="n">
        <v>0</v>
      </c>
      <c r="W481" s="0" t="n">
        <v>20240331</v>
      </c>
      <c r="X481" s="0" t="n">
        <v>1.43833520350913</v>
      </c>
      <c r="Y481" s="0" t="n">
        <v>11.85</v>
      </c>
      <c r="Z481" s="0" t="s">
        <v>112</v>
      </c>
    </row>
    <row r="482" customFormat="false" ht="15" hidden="false" customHeight="false" outlineLevel="0" collapsed="false">
      <c r="A482" s="0" t="n">
        <v>482</v>
      </c>
      <c r="B482" s="0" t="n">
        <v>4030143</v>
      </c>
      <c r="C482" s="0" t="n">
        <v>11971</v>
      </c>
      <c r="D482" s="0" t="n">
        <v>3147483</v>
      </c>
      <c r="E482" s="0" t="n">
        <v>0.03</v>
      </c>
      <c r="F482" s="0" t="n">
        <v>493698</v>
      </c>
      <c r="G482" s="0" t="n">
        <v>12.2501360373565</v>
      </c>
      <c r="H482" s="0" t="s">
        <v>639</v>
      </c>
      <c r="I482" s="0" t="n">
        <v>0.940491389231756</v>
      </c>
      <c r="J482" s="0" t="n">
        <v>217956</v>
      </c>
      <c r="K482" s="0" t="n">
        <v>8227</v>
      </c>
      <c r="L482" s="0" t="n">
        <v>3068077</v>
      </c>
      <c r="M482" s="0" t="n">
        <v>3039222</v>
      </c>
      <c r="N482" s="0" t="n">
        <v>2699076</v>
      </c>
      <c r="O482" s="0" t="n">
        <v>6276</v>
      </c>
      <c r="P482" s="0" t="s">
        <v>104</v>
      </c>
      <c r="Q482" s="0" t="n">
        <v>0.205666285428951</v>
      </c>
      <c r="R482" s="0" t="n">
        <v>3.22079982739227</v>
      </c>
      <c r="S482" s="0" t="n">
        <v>161</v>
      </c>
      <c r="T482" s="0" t="n">
        <v>1636</v>
      </c>
      <c r="U482" s="0" t="n">
        <v>34</v>
      </c>
      <c r="V482" s="0" t="n">
        <v>14.1219990069339</v>
      </c>
      <c r="W482" s="0" t="n">
        <v>20240630</v>
      </c>
      <c r="X482" s="0" t="n">
        <v>1.18607846053742</v>
      </c>
      <c r="Y482" s="0" t="n">
        <v>9.68</v>
      </c>
      <c r="Z482" s="0" t="s">
        <v>105</v>
      </c>
    </row>
    <row r="483" customFormat="false" ht="15" hidden="false" customHeight="false" outlineLevel="0" collapsed="false">
      <c r="A483" s="0" t="n">
        <v>483</v>
      </c>
      <c r="B483" s="0" t="n">
        <v>1036850</v>
      </c>
      <c r="C483" s="0" t="n">
        <v>12874</v>
      </c>
      <c r="D483" s="0" t="n">
        <v>862144</v>
      </c>
      <c r="E483" s="0" t="n">
        <v>0</v>
      </c>
      <c r="F483" s="0" t="n">
        <v>108474</v>
      </c>
      <c r="G483" s="0" t="n">
        <v>10.4618797318802</v>
      </c>
      <c r="H483" s="0" t="s">
        <v>640</v>
      </c>
      <c r="I483" s="0" t="n">
        <v>0.984456403258062</v>
      </c>
      <c r="J483" s="0" t="n">
        <v>156322</v>
      </c>
      <c r="K483" s="0" t="n">
        <v>5026</v>
      </c>
      <c r="L483" s="0" t="n">
        <v>815577</v>
      </c>
      <c r="M483" s="0" t="n">
        <v>807548</v>
      </c>
      <c r="N483" s="0" t="n">
        <v>639776</v>
      </c>
      <c r="O483" s="0" t="n">
        <v>1516</v>
      </c>
      <c r="P483" s="0" t="s">
        <v>107</v>
      </c>
      <c r="Q483" s="0" t="n">
        <v>0.185880670985082</v>
      </c>
      <c r="R483" s="0" t="n">
        <v>3.63376838650805</v>
      </c>
      <c r="S483" s="0" t="n">
        <v>-27</v>
      </c>
      <c r="T483" s="0" t="n">
        <v>749</v>
      </c>
      <c r="U483" s="0" t="n">
        <v>0</v>
      </c>
      <c r="V483" s="0" t="n">
        <v>15.9291126336225</v>
      </c>
      <c r="W483" s="0" t="n">
        <v>20240630</v>
      </c>
      <c r="X483" s="0" t="n">
        <v>0.873634279818951</v>
      </c>
      <c r="Y483" s="0" t="n">
        <v>8.39</v>
      </c>
      <c r="Z483" s="0" t="s">
        <v>105</v>
      </c>
    </row>
    <row r="484" customFormat="false" ht="15" hidden="false" customHeight="false" outlineLevel="0" collapsed="false">
      <c r="A484" s="0" t="n">
        <v>484</v>
      </c>
      <c r="B484" s="0" t="n">
        <v>1848882</v>
      </c>
      <c r="C484" s="0" t="n">
        <v>13063</v>
      </c>
      <c r="D484" s="0" t="n">
        <v>1607298</v>
      </c>
      <c r="E484" s="0" t="n">
        <v>0</v>
      </c>
      <c r="F484" s="0" t="n">
        <v>147977</v>
      </c>
      <c r="G484" s="0" t="n">
        <v>8.00359352300471</v>
      </c>
      <c r="H484" s="0" t="s">
        <v>641</v>
      </c>
      <c r="I484" s="0" t="n">
        <v>1.12241046930303</v>
      </c>
      <c r="J484" s="0" t="n">
        <v>55491</v>
      </c>
      <c r="K484" s="0" t="n">
        <v>738</v>
      </c>
      <c r="L484" s="0" t="n">
        <v>1470585</v>
      </c>
      <c r="M484" s="0" t="n">
        <v>1454079</v>
      </c>
      <c r="N484" s="0" t="n">
        <v>1404637</v>
      </c>
      <c r="O484" s="0" t="n">
        <v>701</v>
      </c>
      <c r="P484" s="0" t="s">
        <v>109</v>
      </c>
      <c r="Q484" s="0" t="n">
        <v>0.0476681048698307</v>
      </c>
      <c r="R484" s="0" t="n">
        <v>2.96664932851109</v>
      </c>
      <c r="S484" s="0" t="n">
        <v>-17</v>
      </c>
      <c r="T484" s="0" t="n">
        <v>5182</v>
      </c>
      <c r="U484" s="0" t="n">
        <v>0</v>
      </c>
      <c r="V484" s="0" t="n">
        <v>0</v>
      </c>
      <c r="W484" s="0" t="n">
        <v>20240630</v>
      </c>
      <c r="X484" s="0" t="n">
        <v>0.367034339548908</v>
      </c>
      <c r="Y484" s="0" t="n">
        <v>4.6</v>
      </c>
      <c r="Z484" s="0" t="s">
        <v>105</v>
      </c>
    </row>
    <row r="485" customFormat="false" ht="15" hidden="false" customHeight="false" outlineLevel="0" collapsed="false">
      <c r="A485" s="0" t="n">
        <v>485</v>
      </c>
      <c r="B485" s="0" t="n">
        <v>842999</v>
      </c>
      <c r="C485" s="0" t="n">
        <v>14134</v>
      </c>
      <c r="D485" s="0" t="n">
        <v>661992</v>
      </c>
      <c r="E485" s="0" t="n">
        <v>0.09</v>
      </c>
      <c r="F485" s="0" t="n">
        <v>108954</v>
      </c>
      <c r="G485" s="0" t="n">
        <v>12.9245704917799</v>
      </c>
      <c r="H485" s="0" t="s">
        <v>642</v>
      </c>
      <c r="I485" s="0" t="n">
        <v>1.17521027903694</v>
      </c>
      <c r="J485" s="0" t="n">
        <v>25715</v>
      </c>
      <c r="K485" s="0" t="n">
        <v>23101</v>
      </c>
      <c r="L485" s="0" t="n">
        <v>629164</v>
      </c>
      <c r="M485" s="0" t="n">
        <v>621770</v>
      </c>
      <c r="N485" s="0" t="n">
        <v>563428</v>
      </c>
      <c r="O485" s="0" t="n">
        <v>9888</v>
      </c>
      <c r="P485" s="0" t="s">
        <v>111</v>
      </c>
      <c r="Q485" s="0" t="n">
        <v>1.57160931013218</v>
      </c>
      <c r="R485" s="0" t="n">
        <v>3.05636859777717</v>
      </c>
      <c r="S485" s="0" t="n">
        <v>256</v>
      </c>
      <c r="T485" s="0" t="n">
        <v>4284</v>
      </c>
      <c r="U485" s="0" t="n">
        <v>0</v>
      </c>
      <c r="V485" s="0" t="n">
        <v>19.8068345450076</v>
      </c>
      <c r="W485" s="0" t="n">
        <v>20240630</v>
      </c>
      <c r="X485" s="0" t="n">
        <v>0.900954458964721</v>
      </c>
      <c r="Y485" s="0" t="n">
        <v>7.09</v>
      </c>
      <c r="Z485" s="0" t="s">
        <v>112</v>
      </c>
    </row>
    <row r="486" customFormat="false" ht="15" hidden="false" customHeight="false" outlineLevel="0" collapsed="false">
      <c r="A486" s="0" t="n">
        <v>486</v>
      </c>
      <c r="B486" s="0" t="n">
        <v>234689</v>
      </c>
      <c r="C486" s="0" t="n">
        <v>14136</v>
      </c>
      <c r="D486" s="0" t="n">
        <v>196106</v>
      </c>
      <c r="E486" s="0" t="n">
        <v>-0.05</v>
      </c>
      <c r="F486" s="0" t="n">
        <v>18072</v>
      </c>
      <c r="G486" s="0" t="n">
        <v>7.70040351273387</v>
      </c>
      <c r="H486" s="0" t="s">
        <v>643</v>
      </c>
      <c r="I486" s="0" t="n">
        <v>1.10004431001599</v>
      </c>
      <c r="J486" s="0" t="n">
        <v>15081</v>
      </c>
      <c r="K486" s="0" t="n">
        <v>14888</v>
      </c>
      <c r="L486" s="0" t="n">
        <v>155721</v>
      </c>
      <c r="M486" s="0" t="n">
        <v>154008</v>
      </c>
      <c r="N486" s="0" t="n">
        <v>125414</v>
      </c>
      <c r="O486" s="0" t="n">
        <v>483</v>
      </c>
      <c r="P486" s="0" t="s">
        <v>114</v>
      </c>
      <c r="Q486" s="0" t="n">
        <v>0.484199305167575</v>
      </c>
      <c r="R486" s="0" t="n">
        <v>3.75543484022213</v>
      </c>
      <c r="S486" s="0" t="n">
        <v>107</v>
      </c>
      <c r="T486" s="0" t="n">
        <v>1456</v>
      </c>
      <c r="U486" s="0" t="n">
        <v>271</v>
      </c>
      <c r="V486" s="0" t="n">
        <v>17.8729116356195</v>
      </c>
      <c r="W486" s="0" t="n">
        <v>20240630</v>
      </c>
      <c r="X486" s="0" t="n">
        <v>0.61382201704967</v>
      </c>
      <c r="Y486" s="0" t="n">
        <v>8.28</v>
      </c>
      <c r="Z486" s="0" t="s">
        <v>112</v>
      </c>
    </row>
    <row r="487" customFormat="false" ht="15" hidden="false" customHeight="false" outlineLevel="0" collapsed="false">
      <c r="A487" s="0" t="n">
        <v>487</v>
      </c>
      <c r="B487" s="0" t="n">
        <v>1498757</v>
      </c>
      <c r="C487" s="0" t="n">
        <v>14140</v>
      </c>
      <c r="D487" s="0" t="n">
        <v>1198797</v>
      </c>
      <c r="E487" s="0" t="n">
        <v>-0.07</v>
      </c>
      <c r="F487" s="0" t="n">
        <v>127558</v>
      </c>
      <c r="G487" s="0" t="n">
        <v>8.5109193818611</v>
      </c>
      <c r="H487" s="0" t="s">
        <v>644</v>
      </c>
      <c r="I487" s="0" t="n">
        <v>0.795551451667741</v>
      </c>
      <c r="J487" s="0" t="n">
        <v>93355</v>
      </c>
      <c r="K487" s="0" t="n">
        <v>1569</v>
      </c>
      <c r="L487" s="0" t="n">
        <v>1076486</v>
      </c>
      <c r="M487" s="0" t="n">
        <v>1067922</v>
      </c>
      <c r="N487" s="0" t="n">
        <v>949990</v>
      </c>
      <c r="O487" s="0" t="n">
        <v>2046</v>
      </c>
      <c r="P487" s="0" t="s">
        <v>116</v>
      </c>
      <c r="Q487" s="0" t="n">
        <v>0.190062852652055</v>
      </c>
      <c r="R487" s="0" t="n">
        <v>2.37450563986306</v>
      </c>
      <c r="S487" s="0" t="n">
        <v>39</v>
      </c>
      <c r="T487" s="0" t="n">
        <v>23</v>
      </c>
      <c r="U487" s="0" t="n">
        <v>0</v>
      </c>
      <c r="V487" s="0" t="n">
        <v>0</v>
      </c>
      <c r="W487" s="0" t="n">
        <v>20240630</v>
      </c>
      <c r="X487" s="0" t="n">
        <v>0.291683814744817</v>
      </c>
      <c r="Y487" s="0" t="n">
        <v>3.46</v>
      </c>
      <c r="Z487" s="0" t="s">
        <v>112</v>
      </c>
    </row>
    <row r="488" customFormat="false" ht="15" hidden="false" customHeight="false" outlineLevel="0" collapsed="false">
      <c r="A488" s="0" t="n">
        <v>488</v>
      </c>
      <c r="B488" s="0" t="n">
        <v>1397831</v>
      </c>
      <c r="C488" s="0" t="n">
        <v>14158</v>
      </c>
      <c r="D488" s="0" t="n">
        <v>1057053</v>
      </c>
      <c r="E488" s="0" t="n">
        <v>0.02</v>
      </c>
      <c r="F488" s="0" t="n">
        <v>80058</v>
      </c>
      <c r="G488" s="0" t="n">
        <v>5.72730179828606</v>
      </c>
      <c r="H488" s="0" t="s">
        <v>645</v>
      </c>
      <c r="I488" s="0" t="n">
        <v>0.679686513946737</v>
      </c>
      <c r="J488" s="0" t="n">
        <v>40549</v>
      </c>
      <c r="K488" s="0" t="n">
        <v>2209</v>
      </c>
      <c r="L488" s="0" t="n">
        <v>1014144</v>
      </c>
      <c r="M488" s="0" t="n">
        <v>1007251</v>
      </c>
      <c r="N488" s="0" t="n">
        <v>936491</v>
      </c>
      <c r="O488" s="0" t="n">
        <v>1771</v>
      </c>
      <c r="P488" s="0" t="s">
        <v>118</v>
      </c>
      <c r="Q488" s="0" t="n">
        <v>0.190111069039505</v>
      </c>
      <c r="R488" s="0" t="n">
        <v>2.84016956010422</v>
      </c>
      <c r="S488" s="0" t="n">
        <v>-11</v>
      </c>
      <c r="T488" s="0" t="n">
        <v>579</v>
      </c>
      <c r="U488" s="0" t="n">
        <v>157</v>
      </c>
      <c r="V488" s="0" t="n">
        <v>13.1336578060651</v>
      </c>
      <c r="W488" s="0" t="n">
        <v>20240630</v>
      </c>
      <c r="X488" s="0" t="n">
        <v>0.687930744662969</v>
      </c>
      <c r="Y488" s="0" t="n">
        <v>12.18</v>
      </c>
      <c r="Z488" s="0" t="s">
        <v>112</v>
      </c>
    </row>
    <row r="489" customFormat="false" ht="15" hidden="false" customHeight="false" outlineLevel="0" collapsed="false">
      <c r="A489" s="0" t="n">
        <v>489</v>
      </c>
      <c r="B489" s="0" t="n">
        <v>371774</v>
      </c>
      <c r="C489" s="0" t="n">
        <v>14168</v>
      </c>
      <c r="D489" s="0" t="n">
        <v>330926</v>
      </c>
      <c r="E489" s="0" t="n">
        <v>0.07</v>
      </c>
      <c r="F489" s="0" t="n">
        <v>35832</v>
      </c>
      <c r="G489" s="0" t="n">
        <v>9.63811347754281</v>
      </c>
      <c r="H489" s="0" t="s">
        <v>646</v>
      </c>
      <c r="I489" s="0" t="n">
        <v>1.56174320288932</v>
      </c>
      <c r="J489" s="0" t="n">
        <v>12486</v>
      </c>
      <c r="K489" s="0" t="n">
        <v>10566</v>
      </c>
      <c r="L489" s="0" t="n">
        <v>262207</v>
      </c>
      <c r="M489" s="0" t="n">
        <v>258112</v>
      </c>
      <c r="N489" s="0" t="n">
        <v>222296</v>
      </c>
      <c r="O489" s="0" t="n">
        <v>1042</v>
      </c>
      <c r="P489" s="0" t="s">
        <v>120</v>
      </c>
      <c r="Q489" s="0" t="n">
        <v>0.39777732859916</v>
      </c>
      <c r="R489" s="0" t="n">
        <v>4.04893048233613</v>
      </c>
      <c r="S489" s="0" t="n">
        <v>35</v>
      </c>
      <c r="T489" s="0" t="n">
        <v>415</v>
      </c>
      <c r="U489" s="0" t="n">
        <v>1</v>
      </c>
      <c r="V489" s="0" t="n">
        <v>16.1143275437546</v>
      </c>
      <c r="W489" s="0" t="n">
        <v>20240630</v>
      </c>
      <c r="X489" s="0" t="n">
        <v>0.916620469726825</v>
      </c>
      <c r="Y489" s="0" t="n">
        <v>9.42</v>
      </c>
      <c r="Z489" s="0" t="s">
        <v>112</v>
      </c>
    </row>
    <row r="490" customFormat="false" ht="15" hidden="false" customHeight="false" outlineLevel="0" collapsed="false">
      <c r="A490" s="0" t="n">
        <v>490</v>
      </c>
      <c r="B490" s="0" t="n">
        <v>1270696</v>
      </c>
      <c r="C490" s="0" t="n">
        <v>14240</v>
      </c>
      <c r="D490" s="0" t="n">
        <v>1022140</v>
      </c>
      <c r="E490" s="0" t="n">
        <v>0</v>
      </c>
      <c r="F490" s="0" t="n">
        <v>88523</v>
      </c>
      <c r="G490" s="0" t="n">
        <v>6.96649710080145</v>
      </c>
      <c r="H490" s="0" t="s">
        <v>647</v>
      </c>
      <c r="I490" s="0" t="n">
        <v>1.15043325284062</v>
      </c>
      <c r="J490" s="0" t="n">
        <v>30527</v>
      </c>
      <c r="K490" s="0" t="n">
        <v>14400</v>
      </c>
      <c r="L490" s="0" t="n">
        <v>930519</v>
      </c>
      <c r="M490" s="0" t="n">
        <v>919814</v>
      </c>
      <c r="N490" s="0" t="n">
        <v>787415</v>
      </c>
      <c r="O490" s="0" t="n">
        <v>3555</v>
      </c>
      <c r="P490" s="0" t="s">
        <v>122</v>
      </c>
      <c r="Q490" s="0" t="n">
        <v>0.382044858836843</v>
      </c>
      <c r="R490" s="0" t="n">
        <v>2.71037129489864</v>
      </c>
      <c r="S490" s="0" t="n">
        <v>-9</v>
      </c>
      <c r="T490" s="0" t="n">
        <v>671</v>
      </c>
      <c r="U490" s="0" t="n">
        <v>0</v>
      </c>
      <c r="V490" s="0" t="n">
        <v>16.0006617207284</v>
      </c>
      <c r="W490" s="0" t="n">
        <v>20240630</v>
      </c>
      <c r="X490" s="0" t="n">
        <v>0.413870322740833</v>
      </c>
      <c r="Y490" s="0" t="n">
        <v>5.89</v>
      </c>
      <c r="Z490" s="0" t="s">
        <v>123</v>
      </c>
    </row>
    <row r="491" customFormat="false" ht="15" hidden="false" customHeight="false" outlineLevel="0" collapsed="false">
      <c r="A491" s="0" t="n">
        <v>491</v>
      </c>
      <c r="B491" s="0" t="n">
        <v>1071403</v>
      </c>
      <c r="C491" s="0" t="n">
        <v>17115</v>
      </c>
      <c r="D491" s="0" t="n">
        <v>787661</v>
      </c>
      <c r="E491" s="0" t="n">
        <v>0.02</v>
      </c>
      <c r="F491" s="0" t="n">
        <v>89467</v>
      </c>
      <c r="G491" s="0" t="n">
        <v>8.35045263080279</v>
      </c>
      <c r="H491" s="0" t="s">
        <v>648</v>
      </c>
      <c r="I491" s="0" t="n">
        <v>1.00108309873653</v>
      </c>
      <c r="J491" s="0" t="n">
        <v>41618</v>
      </c>
      <c r="K491" s="0" t="n">
        <v>7168</v>
      </c>
      <c r="L491" s="0" t="n">
        <v>893732</v>
      </c>
      <c r="M491" s="0" t="n">
        <v>884785</v>
      </c>
      <c r="N491" s="0" t="n">
        <v>843758</v>
      </c>
      <c r="O491" s="0" t="n">
        <v>2433</v>
      </c>
      <c r="P491" s="0" t="s">
        <v>125</v>
      </c>
      <c r="Q491" s="0" t="n">
        <v>0.272229258882976</v>
      </c>
      <c r="R491" s="0" t="n">
        <v>2.58286310414264</v>
      </c>
      <c r="S491" s="0" t="n">
        <v>47</v>
      </c>
      <c r="T491" s="0" t="n">
        <v>414</v>
      </c>
      <c r="U491" s="0" t="n">
        <v>0</v>
      </c>
      <c r="V491" s="0" t="n">
        <v>14.2345042759811</v>
      </c>
      <c r="W491" s="0" t="n">
        <v>20240630</v>
      </c>
      <c r="X491" s="0" t="n">
        <v>0.369675963044738</v>
      </c>
      <c r="Y491" s="0" t="n">
        <v>4.52</v>
      </c>
      <c r="Z491" s="0" t="s">
        <v>105</v>
      </c>
    </row>
    <row r="492" customFormat="false" ht="15" hidden="false" customHeight="false" outlineLevel="0" collapsed="false">
      <c r="A492" s="0" t="n">
        <v>492</v>
      </c>
      <c r="B492" s="0" t="n">
        <v>1640511</v>
      </c>
      <c r="C492" s="0" t="n">
        <v>17180</v>
      </c>
      <c r="D492" s="0" t="n">
        <v>1189680</v>
      </c>
      <c r="E492" s="0" t="n">
        <v>0.09</v>
      </c>
      <c r="F492" s="0" t="n">
        <v>139135</v>
      </c>
      <c r="G492" s="0" t="n">
        <v>8.48119884596934</v>
      </c>
      <c r="H492" s="0" t="s">
        <v>649</v>
      </c>
      <c r="I492" s="0" t="n">
        <v>1.01977570413492</v>
      </c>
      <c r="J492" s="0" t="n">
        <v>42253</v>
      </c>
      <c r="K492" s="0" t="n">
        <v>177428</v>
      </c>
      <c r="L492" s="0" t="n">
        <v>1460125</v>
      </c>
      <c r="M492" s="0" t="n">
        <v>1445235</v>
      </c>
      <c r="N492" s="0" t="n">
        <v>1213990</v>
      </c>
      <c r="O492" s="0" t="n">
        <v>5092</v>
      </c>
      <c r="P492" s="0" t="s">
        <v>127</v>
      </c>
      <c r="Q492" s="0" t="n">
        <v>0.348737265645065</v>
      </c>
      <c r="R492" s="0" t="n">
        <v>2.63148893135731</v>
      </c>
      <c r="S492" s="0" t="n">
        <v>29</v>
      </c>
      <c r="T492" s="0" t="n">
        <v>3256</v>
      </c>
      <c r="U492" s="0" t="n">
        <v>0</v>
      </c>
      <c r="V492" s="0" t="n">
        <v>14.6981446942181</v>
      </c>
      <c r="W492" s="0" t="n">
        <v>20240630</v>
      </c>
      <c r="X492" s="0" t="n">
        <v>0.39737401699871</v>
      </c>
      <c r="Y492" s="0" t="n">
        <v>4.74</v>
      </c>
      <c r="Z492" s="0" t="s">
        <v>123</v>
      </c>
    </row>
    <row r="493" customFormat="false" ht="15" hidden="false" customHeight="false" outlineLevel="0" collapsed="false">
      <c r="A493" s="0" t="n">
        <v>493</v>
      </c>
      <c r="B493" s="0" t="n">
        <v>365097</v>
      </c>
      <c r="C493" s="0" t="n">
        <v>17443</v>
      </c>
      <c r="D493" s="0" t="n">
        <v>300117</v>
      </c>
      <c r="E493" s="0" t="n">
        <v>-0.07</v>
      </c>
      <c r="F493" s="0" t="n">
        <v>38871</v>
      </c>
      <c r="G493" s="0" t="n">
        <v>10.6467596282632</v>
      </c>
      <c r="H493" s="0" t="s">
        <v>650</v>
      </c>
      <c r="I493" s="0" t="n">
        <v>0.793698275002493</v>
      </c>
      <c r="J493" s="0" t="n">
        <v>0</v>
      </c>
      <c r="K493" s="0" t="n">
        <v>675</v>
      </c>
      <c r="L493" s="0" t="n">
        <v>200580</v>
      </c>
      <c r="M493" s="0" t="n">
        <v>198988</v>
      </c>
      <c r="N493" s="0" t="n">
        <v>198905</v>
      </c>
      <c r="O493" s="0" t="n">
        <v>1042</v>
      </c>
      <c r="P493" s="0" t="s">
        <v>129</v>
      </c>
      <c r="Q493" s="0" t="n">
        <v>0.519493468940074</v>
      </c>
      <c r="R493" s="0" t="n">
        <v>1.18436879928444</v>
      </c>
      <c r="S493" s="0" t="n">
        <v>0</v>
      </c>
      <c r="T493" s="0" t="n">
        <v>375</v>
      </c>
      <c r="U493" s="0" t="n">
        <v>0</v>
      </c>
      <c r="V493" s="0" t="n">
        <v>0</v>
      </c>
      <c r="W493" s="0" t="n">
        <v>20240630</v>
      </c>
      <c r="X493" s="0" t="n">
        <v>-0.190207341097617</v>
      </c>
      <c r="Y493" s="0" t="n">
        <v>-1.71</v>
      </c>
      <c r="Z493" s="0" t="s">
        <v>123</v>
      </c>
    </row>
    <row r="494" customFormat="false" ht="15" hidden="false" customHeight="false" outlineLevel="0" collapsed="false">
      <c r="A494" s="0" t="n">
        <v>494</v>
      </c>
      <c r="B494" s="0" t="n">
        <v>1912692</v>
      </c>
      <c r="C494" s="0" t="n">
        <v>17658</v>
      </c>
      <c r="D494" s="0" t="n">
        <v>1503955</v>
      </c>
      <c r="E494" s="0" t="n">
        <v>0.06</v>
      </c>
      <c r="F494" s="0" t="n">
        <v>211101</v>
      </c>
      <c r="G494" s="0" t="n">
        <v>11.0368527708591</v>
      </c>
      <c r="H494" s="0" t="s">
        <v>651</v>
      </c>
      <c r="I494" s="0" t="n">
        <v>0.700689302550412</v>
      </c>
      <c r="J494" s="0" t="n">
        <v>108864</v>
      </c>
      <c r="K494" s="0" t="n">
        <v>79908</v>
      </c>
      <c r="L494" s="0" t="n">
        <v>1361231</v>
      </c>
      <c r="M494" s="0" t="n">
        <v>1351693</v>
      </c>
      <c r="N494" s="0" t="n">
        <v>1158750</v>
      </c>
      <c r="O494" s="0" t="n">
        <v>10806</v>
      </c>
      <c r="P494" s="0" t="s">
        <v>131</v>
      </c>
      <c r="Q494" s="0" t="n">
        <v>0.794942225088908</v>
      </c>
      <c r="R494" s="0" t="n">
        <v>3.04141628372805</v>
      </c>
      <c r="S494" s="0" t="n">
        <v>-110</v>
      </c>
      <c r="T494" s="0" t="n">
        <v>2245</v>
      </c>
      <c r="U494" s="0" t="n">
        <v>15</v>
      </c>
      <c r="V494" s="0" t="n">
        <v>0</v>
      </c>
      <c r="W494" s="0" t="n">
        <v>20240630</v>
      </c>
      <c r="X494" s="0" t="n">
        <v>0.777361795851378</v>
      </c>
      <c r="Y494" s="0" t="n">
        <v>6.99</v>
      </c>
      <c r="Z494" s="0" t="s">
        <v>105</v>
      </c>
    </row>
    <row r="495" customFormat="false" ht="15" hidden="false" customHeight="false" outlineLevel="0" collapsed="false">
      <c r="A495" s="0" t="n">
        <v>495</v>
      </c>
      <c r="B495" s="0" t="n">
        <v>1160635</v>
      </c>
      <c r="C495" s="0" t="n">
        <v>17741</v>
      </c>
      <c r="D495" s="0" t="n">
        <v>863648</v>
      </c>
      <c r="E495" s="0" t="n">
        <v>0.06</v>
      </c>
      <c r="F495" s="0" t="n">
        <v>141966</v>
      </c>
      <c r="G495" s="0" t="n">
        <v>12.2317524458594</v>
      </c>
      <c r="H495" s="0" t="s">
        <v>652</v>
      </c>
      <c r="I495" s="0" t="n">
        <v>0.949701746558932</v>
      </c>
      <c r="J495" s="0" t="n">
        <v>55240</v>
      </c>
      <c r="K495" s="0" t="n">
        <v>4399</v>
      </c>
      <c r="L495" s="0" t="n">
        <v>968304</v>
      </c>
      <c r="M495" s="0" t="n">
        <v>959108</v>
      </c>
      <c r="N495" s="0" t="n">
        <v>905457</v>
      </c>
      <c r="O495" s="0" t="n">
        <v>7132</v>
      </c>
      <c r="P495" s="0" t="s">
        <v>133</v>
      </c>
      <c r="Q495" s="0" t="n">
        <v>0.736545547679241</v>
      </c>
      <c r="R495" s="0" t="n">
        <v>2.99731459453249</v>
      </c>
      <c r="S495" s="0" t="n">
        <v>60</v>
      </c>
      <c r="T495" s="0" t="n">
        <v>3043</v>
      </c>
      <c r="U495" s="0" t="n">
        <v>0</v>
      </c>
      <c r="V495" s="0" t="n">
        <v>0</v>
      </c>
      <c r="W495" s="0" t="n">
        <v>20240630</v>
      </c>
      <c r="X495" s="0" t="n">
        <v>0.576787824521446</v>
      </c>
      <c r="Y495" s="0" t="n">
        <v>4.59</v>
      </c>
      <c r="Z495" s="0" t="s">
        <v>105</v>
      </c>
    </row>
    <row r="496" customFormat="false" ht="15" hidden="false" customHeight="false" outlineLevel="0" collapsed="false">
      <c r="A496" s="0" t="n">
        <v>496</v>
      </c>
      <c r="B496" s="0" t="n">
        <v>1404406</v>
      </c>
      <c r="C496" s="0" t="n">
        <v>17743</v>
      </c>
      <c r="D496" s="0" t="n">
        <v>980636</v>
      </c>
      <c r="E496" s="0" t="n">
        <v>0</v>
      </c>
      <c r="F496" s="0" t="n">
        <v>121628</v>
      </c>
      <c r="G496" s="0" t="n">
        <v>8.66045858533786</v>
      </c>
      <c r="H496" s="0" t="s">
        <v>653</v>
      </c>
      <c r="I496" s="0" t="n">
        <v>0.418671348352252</v>
      </c>
      <c r="J496" s="0" t="n">
        <v>18094</v>
      </c>
      <c r="K496" s="0" t="n">
        <v>10298</v>
      </c>
      <c r="L496" s="0" t="n">
        <v>1119255</v>
      </c>
      <c r="M496" s="0" t="n">
        <v>1114569</v>
      </c>
      <c r="N496" s="0" t="n">
        <v>1079649</v>
      </c>
      <c r="O496" s="0" t="n">
        <v>3998</v>
      </c>
      <c r="P496" s="0" t="s">
        <v>135</v>
      </c>
      <c r="Q496" s="0" t="n">
        <v>0.35720188875636</v>
      </c>
      <c r="R496" s="0" t="n">
        <v>1.85173719140557</v>
      </c>
      <c r="S496" s="0" t="n">
        <v>-3</v>
      </c>
      <c r="T496" s="0" t="n">
        <v>1402</v>
      </c>
      <c r="U496" s="0" t="n">
        <v>0</v>
      </c>
      <c r="V496" s="0" t="n">
        <v>0</v>
      </c>
      <c r="W496" s="0" t="n">
        <v>20240630</v>
      </c>
      <c r="X496" s="0" t="n">
        <v>-0.0312997808297457</v>
      </c>
      <c r="Y496" s="0" t="n">
        <v>-0.36</v>
      </c>
      <c r="Z496" s="0" t="s">
        <v>105</v>
      </c>
    </row>
    <row r="497" customFormat="false" ht="15" hidden="false" customHeight="false" outlineLevel="0" collapsed="false">
      <c r="A497" s="0" t="n">
        <v>497</v>
      </c>
      <c r="B497" s="0" t="n">
        <v>1653584</v>
      </c>
      <c r="C497" s="0" t="n">
        <v>17748</v>
      </c>
      <c r="D497" s="0" t="n">
        <v>1349536</v>
      </c>
      <c r="E497" s="0" t="n">
        <v>-0.08</v>
      </c>
      <c r="F497" s="0" t="n">
        <v>113727</v>
      </c>
      <c r="G497" s="0" t="n">
        <v>6.87760645966579</v>
      </c>
      <c r="H497" s="0" t="s">
        <v>654</v>
      </c>
      <c r="I497" s="0" t="n">
        <v>0.72112771899647</v>
      </c>
      <c r="J497" s="0" t="n">
        <v>171859</v>
      </c>
      <c r="K497" s="0" t="n">
        <v>3225</v>
      </c>
      <c r="L497" s="0" t="n">
        <v>1269678</v>
      </c>
      <c r="M497" s="0" t="n">
        <v>1260522</v>
      </c>
      <c r="N497" s="0" t="n">
        <v>1060225</v>
      </c>
      <c r="O497" s="0" t="n">
        <v>7932</v>
      </c>
      <c r="P497" s="0" t="s">
        <v>137</v>
      </c>
      <c r="Q497" s="0" t="n">
        <v>0.624725324058541</v>
      </c>
      <c r="R497" s="0" t="n">
        <v>2.36555254962578</v>
      </c>
      <c r="S497" s="0" t="n">
        <v>-7</v>
      </c>
      <c r="T497" s="0" t="n">
        <v>10728</v>
      </c>
      <c r="U497" s="0" t="n">
        <v>0</v>
      </c>
      <c r="V497" s="0" t="n">
        <v>0</v>
      </c>
      <c r="W497" s="0" t="n">
        <v>20240630</v>
      </c>
      <c r="X497" s="0" t="n">
        <v>0.279983250930056</v>
      </c>
      <c r="Y497" s="0" t="n">
        <v>4.09</v>
      </c>
      <c r="Z497" s="0" t="s">
        <v>105</v>
      </c>
    </row>
    <row r="498" customFormat="false" ht="15" hidden="false" customHeight="false" outlineLevel="0" collapsed="false">
      <c r="A498" s="0" t="n">
        <v>498</v>
      </c>
      <c r="B498" s="0" t="n">
        <v>1395226</v>
      </c>
      <c r="C498" s="0" t="n">
        <v>17749</v>
      </c>
      <c r="D498" s="0" t="n">
        <v>1095901</v>
      </c>
      <c r="E498" s="0" t="n">
        <v>0.07</v>
      </c>
      <c r="F498" s="0" t="n">
        <v>177800</v>
      </c>
      <c r="G498" s="0" t="n">
        <v>12.7434551821712</v>
      </c>
      <c r="H498" s="0" t="s">
        <v>655</v>
      </c>
      <c r="I498" s="0" t="n">
        <v>1.4044106645192</v>
      </c>
      <c r="J498" s="0" t="n">
        <v>53678</v>
      </c>
      <c r="K498" s="0" t="n">
        <v>11558</v>
      </c>
      <c r="L498" s="0" t="n">
        <v>822053</v>
      </c>
      <c r="M498" s="0" t="n">
        <v>810508</v>
      </c>
      <c r="N498" s="0" t="n">
        <v>744624</v>
      </c>
      <c r="O498" s="0" t="n">
        <v>243</v>
      </c>
      <c r="P498" s="0" t="s">
        <v>139</v>
      </c>
      <c r="Q498" s="0" t="n">
        <v>0.0295601378499926</v>
      </c>
      <c r="R498" s="0" t="n">
        <v>2.4652286426857</v>
      </c>
      <c r="S498" s="0" t="n">
        <v>10</v>
      </c>
      <c r="T498" s="0" t="n">
        <v>1207</v>
      </c>
      <c r="U498" s="0" t="n">
        <v>0</v>
      </c>
      <c r="V498" s="0" t="n">
        <v>0</v>
      </c>
      <c r="W498" s="0" t="n">
        <v>20240630</v>
      </c>
      <c r="X498" s="0" t="n">
        <v>0.98007512250939</v>
      </c>
      <c r="Y498" s="0" t="n">
        <v>7.68</v>
      </c>
      <c r="Z498" s="0" t="s">
        <v>105</v>
      </c>
    </row>
    <row r="499" customFormat="false" ht="15" hidden="false" customHeight="false" outlineLevel="0" collapsed="false">
      <c r="A499" s="0" t="n">
        <v>499</v>
      </c>
      <c r="B499" s="0" t="n">
        <v>1628666</v>
      </c>
      <c r="C499" s="0" t="n">
        <v>17751</v>
      </c>
      <c r="D499" s="0" t="n">
        <v>1314857</v>
      </c>
      <c r="E499" s="0" t="n">
        <v>0.04</v>
      </c>
      <c r="F499" s="0" t="n">
        <v>140560</v>
      </c>
      <c r="G499" s="0" t="n">
        <v>8.63037602553255</v>
      </c>
      <c r="H499" s="0" t="s">
        <v>656</v>
      </c>
      <c r="I499" s="0" t="n">
        <v>0.911993686712</v>
      </c>
      <c r="J499" s="0" t="n">
        <v>134212</v>
      </c>
      <c r="K499" s="0" t="n">
        <v>4482</v>
      </c>
      <c r="L499" s="0" t="n">
        <v>1345733</v>
      </c>
      <c r="M499" s="0" t="n">
        <v>1333460</v>
      </c>
      <c r="N499" s="0" t="n">
        <v>1148666</v>
      </c>
      <c r="O499" s="0" t="n">
        <v>4863</v>
      </c>
      <c r="P499" s="0" t="s">
        <v>141</v>
      </c>
      <c r="Q499" s="0" t="n">
        <v>0.361364401408006</v>
      </c>
      <c r="R499" s="0" t="n">
        <v>2.67176233579369</v>
      </c>
      <c r="S499" s="0" t="n">
        <v>-34</v>
      </c>
      <c r="T499" s="0" t="n">
        <v>4693</v>
      </c>
      <c r="U499" s="0" t="n">
        <v>0</v>
      </c>
      <c r="V499" s="0" t="n">
        <v>12.7562003813965</v>
      </c>
      <c r="W499" s="0" t="n">
        <v>20240630</v>
      </c>
      <c r="X499" s="0" t="n">
        <v>0.443314564249097</v>
      </c>
      <c r="Y499" s="0" t="n">
        <v>5.16</v>
      </c>
      <c r="Z499" s="0" t="s">
        <v>105</v>
      </c>
    </row>
    <row r="500" customFormat="false" ht="15" hidden="false" customHeight="false" outlineLevel="0" collapsed="false">
      <c r="A500" s="0" t="n">
        <v>500</v>
      </c>
      <c r="B500" s="0" t="n">
        <v>1732333</v>
      </c>
      <c r="C500" s="0" t="n">
        <v>17897</v>
      </c>
      <c r="D500" s="0" t="n">
        <v>1311255</v>
      </c>
      <c r="E500" s="0" t="n">
        <v>-0.03</v>
      </c>
      <c r="F500" s="0" t="n">
        <v>211953</v>
      </c>
      <c r="G500" s="0" t="n">
        <v>12.2351187675811</v>
      </c>
      <c r="H500" s="0" t="s">
        <v>657</v>
      </c>
      <c r="I500" s="0" t="n">
        <v>0.61338829499859</v>
      </c>
      <c r="J500" s="0" t="n">
        <v>74859</v>
      </c>
      <c r="K500" s="0" t="n">
        <v>3188</v>
      </c>
      <c r="L500" s="0" t="n">
        <v>1440034</v>
      </c>
      <c r="M500" s="0" t="n">
        <v>1431201</v>
      </c>
      <c r="N500" s="0" t="n">
        <v>1352677</v>
      </c>
      <c r="O500" s="0" t="n">
        <v>4016</v>
      </c>
      <c r="P500" s="0" t="s">
        <v>143</v>
      </c>
      <c r="Q500" s="0" t="n">
        <v>0.278882304167818</v>
      </c>
      <c r="R500" s="0" t="n">
        <v>2.32674770453677</v>
      </c>
      <c r="S500" s="0" t="n">
        <v>-89</v>
      </c>
      <c r="T500" s="0" t="n">
        <v>2867</v>
      </c>
      <c r="U500" s="0" t="n">
        <v>0</v>
      </c>
      <c r="V500" s="0" t="n">
        <v>18.0579734151777</v>
      </c>
      <c r="W500" s="0" t="n">
        <v>20240630</v>
      </c>
      <c r="X500" s="0" t="n">
        <v>0.719533489276184</v>
      </c>
      <c r="Y500" s="0" t="n">
        <v>5.88</v>
      </c>
      <c r="Z500" s="0" t="s">
        <v>105</v>
      </c>
    </row>
    <row r="501" customFormat="false" ht="15" hidden="false" customHeight="false" outlineLevel="0" collapsed="false">
      <c r="A501" s="0" t="n">
        <v>501</v>
      </c>
      <c r="B501" s="0" t="n">
        <v>810464</v>
      </c>
      <c r="C501" s="0" t="n">
        <v>17951</v>
      </c>
      <c r="D501" s="0" t="n">
        <v>665540</v>
      </c>
      <c r="E501" s="0" t="n">
        <v>0</v>
      </c>
      <c r="F501" s="0" t="n">
        <v>63303</v>
      </c>
      <c r="G501" s="0" t="n">
        <v>7.81071090140956</v>
      </c>
      <c r="H501" s="0" t="s">
        <v>658</v>
      </c>
      <c r="I501" s="0" t="n">
        <v>0.849375508526468</v>
      </c>
      <c r="J501" s="0" t="n">
        <v>28255</v>
      </c>
      <c r="K501" s="0" t="n">
        <v>1838</v>
      </c>
      <c r="L501" s="0" t="n">
        <v>596085</v>
      </c>
      <c r="M501" s="0" t="n">
        <v>591022</v>
      </c>
      <c r="N501" s="0" t="n">
        <v>552786</v>
      </c>
      <c r="O501" s="0" t="n">
        <v>62</v>
      </c>
      <c r="P501" s="0" t="s">
        <v>145</v>
      </c>
      <c r="Q501" s="0" t="n">
        <v>0.0104012011709739</v>
      </c>
      <c r="R501" s="0" t="n">
        <v>2.46499599476083</v>
      </c>
      <c r="S501" s="0" t="n">
        <v>-144</v>
      </c>
      <c r="T501" s="0" t="n">
        <v>1757</v>
      </c>
      <c r="U501" s="0" t="n">
        <v>0</v>
      </c>
      <c r="V501" s="0" t="n">
        <v>14.6203235537616</v>
      </c>
      <c r="W501" s="0" t="n">
        <v>20240630</v>
      </c>
      <c r="X501" s="0" t="n">
        <v>0.501098636386068</v>
      </c>
      <c r="Y501" s="0" t="n">
        <v>6.41</v>
      </c>
      <c r="Z501" s="0" t="s">
        <v>123</v>
      </c>
    </row>
    <row r="502" customFormat="false" ht="15" hidden="false" customHeight="false" outlineLevel="0" collapsed="false">
      <c r="A502" s="0" t="n">
        <v>502</v>
      </c>
      <c r="B502" s="0" t="n">
        <v>1384318</v>
      </c>
      <c r="C502" s="0" t="n">
        <v>17960</v>
      </c>
      <c r="D502" s="0" t="n">
        <v>1047199</v>
      </c>
      <c r="E502" s="0" t="n">
        <v>0.14</v>
      </c>
      <c r="F502" s="0" t="n">
        <v>114741</v>
      </c>
      <c r="G502" s="0" t="n">
        <v>8.28863021357809</v>
      </c>
      <c r="H502" s="0" t="s">
        <v>659</v>
      </c>
      <c r="I502" s="0" t="n">
        <v>1.02485426540083</v>
      </c>
      <c r="J502" s="0" t="n">
        <v>105881</v>
      </c>
      <c r="K502" s="0" t="n">
        <v>233313</v>
      </c>
      <c r="L502" s="0" t="n">
        <v>1177826</v>
      </c>
      <c r="M502" s="0" t="n">
        <v>1165755</v>
      </c>
      <c r="N502" s="0" t="n">
        <v>834712</v>
      </c>
      <c r="O502" s="0" t="n">
        <v>9254</v>
      </c>
      <c r="P502" s="0" t="s">
        <v>147</v>
      </c>
      <c r="Q502" s="0" t="n">
        <v>0.785684812527487</v>
      </c>
      <c r="R502" s="0" t="n">
        <v>2.71137816235978</v>
      </c>
      <c r="S502" s="0" t="n">
        <v>250</v>
      </c>
      <c r="T502" s="0" t="n">
        <v>2898</v>
      </c>
      <c r="U502" s="0" t="n">
        <v>0</v>
      </c>
      <c r="V502" s="0" t="n">
        <v>13.2905193445561</v>
      </c>
      <c r="W502" s="0" t="n">
        <v>20240630</v>
      </c>
      <c r="X502" s="0" t="n">
        <v>0.355511881408475</v>
      </c>
      <c r="Y502" s="0" t="n">
        <v>4.27</v>
      </c>
      <c r="Z502" s="0" t="s">
        <v>123</v>
      </c>
    </row>
    <row r="503" customFormat="false" ht="15" hidden="false" customHeight="false" outlineLevel="0" collapsed="false">
      <c r="A503" s="0" t="n">
        <v>503</v>
      </c>
      <c r="B503" s="0" t="n">
        <v>2499818</v>
      </c>
      <c r="C503" s="0" t="n">
        <v>18012</v>
      </c>
      <c r="D503" s="0" t="n">
        <v>2102355</v>
      </c>
      <c r="E503" s="0" t="n">
        <v>0.04</v>
      </c>
      <c r="F503" s="0" t="n">
        <v>274634</v>
      </c>
      <c r="G503" s="0" t="n">
        <v>10.9861597924329</v>
      </c>
      <c r="H503" s="0" t="s">
        <v>660</v>
      </c>
      <c r="I503" s="0" t="n">
        <v>1.19338755097338</v>
      </c>
      <c r="J503" s="0" t="n">
        <v>51095</v>
      </c>
      <c r="K503" s="0" t="n">
        <v>30545</v>
      </c>
      <c r="L503" s="0" t="n">
        <v>2035131</v>
      </c>
      <c r="M503" s="0" t="n">
        <v>2010844</v>
      </c>
      <c r="N503" s="0" t="n">
        <v>1928747</v>
      </c>
      <c r="O503" s="0" t="n">
        <v>990</v>
      </c>
      <c r="P503" s="0" t="s">
        <v>149</v>
      </c>
      <c r="Q503" s="0" t="n">
        <v>0.0486455171681822</v>
      </c>
      <c r="R503" s="0" t="n">
        <v>2.68205710330269</v>
      </c>
      <c r="S503" s="0" t="n">
        <v>49</v>
      </c>
      <c r="T503" s="0" t="n">
        <v>2843</v>
      </c>
      <c r="U503" s="0" t="n">
        <v>0</v>
      </c>
      <c r="V503" s="0" t="n">
        <v>14.6041845930891</v>
      </c>
      <c r="W503" s="0" t="n">
        <v>20240630</v>
      </c>
      <c r="X503" s="0" t="n">
        <v>0.658441157978623</v>
      </c>
      <c r="Y503" s="0" t="n">
        <v>6.09</v>
      </c>
      <c r="Z503" s="0" t="s">
        <v>123</v>
      </c>
    </row>
    <row r="504" customFormat="false" ht="15" hidden="false" customHeight="false" outlineLevel="0" collapsed="false">
      <c r="A504" s="0" t="n">
        <v>504</v>
      </c>
      <c r="B504" s="0" t="n">
        <v>2913389</v>
      </c>
      <c r="C504" s="0" t="n">
        <v>18013</v>
      </c>
      <c r="D504" s="0" t="n">
        <v>2458436</v>
      </c>
      <c r="E504" s="0" t="n">
        <v>0.01</v>
      </c>
      <c r="F504" s="0" t="n">
        <v>223415</v>
      </c>
      <c r="G504" s="0" t="n">
        <v>7.66856056640565</v>
      </c>
      <c r="H504" s="0" t="s">
        <v>661</v>
      </c>
      <c r="I504" s="0" t="n">
        <v>0.706242718986724</v>
      </c>
      <c r="J504" s="0" t="n">
        <v>108697</v>
      </c>
      <c r="K504" s="0" t="n">
        <v>24275</v>
      </c>
      <c r="L504" s="0" t="n">
        <v>2408662</v>
      </c>
      <c r="M504" s="0" t="n">
        <v>2391651</v>
      </c>
      <c r="N504" s="0" t="n">
        <v>2192853</v>
      </c>
      <c r="O504" s="0" t="n">
        <v>1084</v>
      </c>
      <c r="P504" s="0" t="s">
        <v>151</v>
      </c>
      <c r="Q504" s="0" t="n">
        <v>0.0543040077852351</v>
      </c>
      <c r="R504" s="0" t="n">
        <v>2.42371924301835</v>
      </c>
      <c r="S504" s="0" t="n">
        <v>107</v>
      </c>
      <c r="T504" s="0" t="n">
        <v>5903</v>
      </c>
      <c r="U504" s="0" t="n">
        <v>224</v>
      </c>
      <c r="V504" s="0" t="n">
        <v>12.2970178752133</v>
      </c>
      <c r="W504" s="0" t="n">
        <v>20240630</v>
      </c>
      <c r="X504" s="0" t="n">
        <v>0.222779696164816</v>
      </c>
      <c r="Y504" s="0" t="n">
        <v>2.95</v>
      </c>
      <c r="Z504" s="0" t="s">
        <v>123</v>
      </c>
    </row>
    <row r="505" customFormat="false" ht="15" hidden="false" customHeight="false" outlineLevel="0" collapsed="false">
      <c r="A505" s="0" t="n">
        <v>505</v>
      </c>
      <c r="B505" s="0" t="n">
        <v>393662</v>
      </c>
      <c r="C505" s="0" t="n">
        <v>18028</v>
      </c>
      <c r="D505" s="0" t="n">
        <v>324859</v>
      </c>
      <c r="E505" s="0" t="n">
        <v>0.02</v>
      </c>
      <c r="F505" s="0" t="n">
        <v>40845</v>
      </c>
      <c r="G505" s="0" t="n">
        <v>10.3756522092557</v>
      </c>
      <c r="H505" s="0" t="s">
        <v>662</v>
      </c>
      <c r="I505" s="0" t="n">
        <v>0.762347437994508</v>
      </c>
      <c r="J505" s="0" t="n">
        <v>14637</v>
      </c>
      <c r="K505" s="0" t="n">
        <v>6650</v>
      </c>
      <c r="L505" s="0" t="n">
        <v>270218</v>
      </c>
      <c r="M505" s="0" t="n">
        <v>268158</v>
      </c>
      <c r="N505" s="0" t="n">
        <v>243503</v>
      </c>
      <c r="O505" s="0" t="n">
        <v>548</v>
      </c>
      <c r="P505" s="0" t="s">
        <v>153</v>
      </c>
      <c r="Q505" s="0" t="n">
        <v>0.227964088254668</v>
      </c>
      <c r="R505" s="0" t="n">
        <v>3.25736775755223</v>
      </c>
      <c r="S505" s="0" t="n">
        <v>299</v>
      </c>
      <c r="T505" s="0" t="n">
        <v>1523</v>
      </c>
      <c r="U505" s="0" t="n">
        <v>68</v>
      </c>
      <c r="V505" s="0" t="n">
        <v>0</v>
      </c>
      <c r="W505" s="0" t="n">
        <v>20240630</v>
      </c>
      <c r="X505" s="0" t="n">
        <v>0.470352502506773</v>
      </c>
      <c r="Y505" s="0" t="n">
        <v>4.56</v>
      </c>
      <c r="Z505" s="0" t="s">
        <v>123</v>
      </c>
    </row>
    <row r="506" customFormat="false" ht="15" hidden="false" customHeight="false" outlineLevel="0" collapsed="false">
      <c r="A506" s="0" t="n">
        <v>506</v>
      </c>
      <c r="B506" s="0" t="n">
        <v>764903</v>
      </c>
      <c r="C506" s="0" t="n">
        <v>18030</v>
      </c>
      <c r="D506" s="0" t="n">
        <v>682796</v>
      </c>
      <c r="E506" s="0" t="n">
        <v>0.02</v>
      </c>
      <c r="F506" s="0" t="n">
        <v>50593</v>
      </c>
      <c r="G506" s="0" t="n">
        <v>6.61430272858127</v>
      </c>
      <c r="H506" s="0" t="s">
        <v>663</v>
      </c>
      <c r="I506" s="0" t="n">
        <v>0.992613150648899</v>
      </c>
      <c r="J506" s="0" t="n">
        <v>41777</v>
      </c>
      <c r="K506" s="0" t="n">
        <v>99073</v>
      </c>
      <c r="L506" s="0" t="n">
        <v>593081</v>
      </c>
      <c r="M506" s="0" t="n">
        <v>587194</v>
      </c>
      <c r="N506" s="0" t="n">
        <v>452116</v>
      </c>
      <c r="O506" s="0" t="n">
        <v>1934</v>
      </c>
      <c r="P506" s="0" t="s">
        <v>155</v>
      </c>
      <c r="Q506" s="0" t="n">
        <v>0.326093737617627</v>
      </c>
      <c r="R506" s="0" t="n">
        <v>3.4152717577477</v>
      </c>
      <c r="S506" s="0" t="n">
        <v>79</v>
      </c>
      <c r="T506" s="0" t="n">
        <v>1233</v>
      </c>
      <c r="U506" s="0" t="n">
        <v>0</v>
      </c>
      <c r="V506" s="0" t="n">
        <v>13.4436887474241</v>
      </c>
      <c r="W506" s="0" t="n">
        <v>20240630</v>
      </c>
      <c r="X506" s="0" t="n">
        <v>0.674002311473751</v>
      </c>
      <c r="Y506" s="0" t="n">
        <v>10.19</v>
      </c>
      <c r="Z506" s="0" t="s">
        <v>123</v>
      </c>
    </row>
    <row r="507" customFormat="false" ht="15" hidden="false" customHeight="false" outlineLevel="0" collapsed="false">
      <c r="A507" s="0" t="n">
        <v>507</v>
      </c>
      <c r="B507" s="0" t="n">
        <v>669965</v>
      </c>
      <c r="C507" s="0" t="n">
        <v>18031</v>
      </c>
      <c r="D507" s="0" t="n">
        <v>520982</v>
      </c>
      <c r="E507" s="0" t="n">
        <v>-0.05</v>
      </c>
      <c r="F507" s="0" t="n">
        <v>36939</v>
      </c>
      <c r="G507" s="0" t="n">
        <v>5.5135716044868</v>
      </c>
      <c r="H507" s="0" t="s">
        <v>664</v>
      </c>
      <c r="I507" s="0" t="n">
        <v>0.814426254463804</v>
      </c>
      <c r="J507" s="0" t="n">
        <v>24050</v>
      </c>
      <c r="K507" s="0" t="n">
        <v>9330</v>
      </c>
      <c r="L507" s="0" t="n">
        <v>472971</v>
      </c>
      <c r="M507" s="0" t="n">
        <v>469119</v>
      </c>
      <c r="N507" s="0" t="n">
        <v>433316</v>
      </c>
      <c r="O507" s="0" t="n">
        <v>900</v>
      </c>
      <c r="P507" s="0" t="s">
        <v>157</v>
      </c>
      <c r="Q507" s="0" t="n">
        <v>0.195995103293859</v>
      </c>
      <c r="R507" s="0" t="n">
        <v>2.62341205153674</v>
      </c>
      <c r="S507" s="0" t="n">
        <v>13</v>
      </c>
      <c r="T507" s="0" t="n">
        <v>286</v>
      </c>
      <c r="U507" s="0" t="n">
        <v>27</v>
      </c>
      <c r="V507" s="0" t="n">
        <v>16.5316455015501</v>
      </c>
      <c r="W507" s="0" t="n">
        <v>20240630</v>
      </c>
      <c r="X507" s="0" t="n">
        <v>0.428613561597885</v>
      </c>
      <c r="Y507" s="0" t="n">
        <v>7.82</v>
      </c>
      <c r="Z507" s="0" t="s">
        <v>123</v>
      </c>
    </row>
    <row r="508" customFormat="false" ht="15" hidden="false" customHeight="false" outlineLevel="0" collapsed="false">
      <c r="A508" s="0" t="n">
        <v>508</v>
      </c>
      <c r="B508" s="0" t="n">
        <v>528195</v>
      </c>
      <c r="C508" s="0" t="n">
        <v>18038</v>
      </c>
      <c r="D508" s="0" t="n">
        <v>406919</v>
      </c>
      <c r="E508" s="0" t="n">
        <v>0.03</v>
      </c>
      <c r="F508" s="0" t="n">
        <v>66574</v>
      </c>
      <c r="G508" s="0" t="n">
        <v>12.6040572137184</v>
      </c>
      <c r="H508" s="0" t="s">
        <v>665</v>
      </c>
      <c r="I508" s="0" t="n">
        <v>0.938844668233402</v>
      </c>
      <c r="J508" s="0" t="n">
        <v>27415</v>
      </c>
      <c r="K508" s="0" t="n">
        <v>4069</v>
      </c>
      <c r="L508" s="0" t="n">
        <v>417854</v>
      </c>
      <c r="M508" s="0" t="n">
        <v>413931</v>
      </c>
      <c r="N508" s="0" t="n">
        <v>385504</v>
      </c>
      <c r="O508" s="0" t="n">
        <v>2632</v>
      </c>
      <c r="P508" s="0" t="s">
        <v>159</v>
      </c>
      <c r="Q508" s="0" t="n">
        <v>0.629885079477521</v>
      </c>
      <c r="R508" s="0" t="n">
        <v>2.45039463696265</v>
      </c>
      <c r="S508" s="0" t="n">
        <v>-4</v>
      </c>
      <c r="T508" s="0" t="n">
        <v>1085</v>
      </c>
      <c r="U508" s="0" t="n">
        <v>0</v>
      </c>
      <c r="V508" s="0" t="n">
        <v>0</v>
      </c>
      <c r="W508" s="0" t="n">
        <v>20240630</v>
      </c>
      <c r="X508" s="0" t="n">
        <v>0.655171832852562</v>
      </c>
      <c r="Y508" s="0" t="n">
        <v>5.28</v>
      </c>
      <c r="Z508" s="0" t="s">
        <v>123</v>
      </c>
    </row>
    <row r="509" customFormat="false" ht="15" hidden="false" customHeight="false" outlineLevel="0" collapsed="false">
      <c r="A509" s="0" t="n">
        <v>509</v>
      </c>
      <c r="B509" s="0" t="n">
        <v>7222033</v>
      </c>
      <c r="C509" s="0" t="n">
        <v>18408</v>
      </c>
      <c r="D509" s="0" t="n">
        <v>5353465</v>
      </c>
      <c r="E509" s="0" t="n">
        <v>0.01</v>
      </c>
      <c r="F509" s="0" t="n">
        <v>408904</v>
      </c>
      <c r="G509" s="0" t="n">
        <v>5.66189603398378</v>
      </c>
      <c r="H509" s="0" t="s">
        <v>666</v>
      </c>
      <c r="I509" s="0" t="n">
        <v>0.662450982699054</v>
      </c>
      <c r="J509" s="0" t="n">
        <v>370343</v>
      </c>
      <c r="K509" s="0" t="n">
        <v>36119</v>
      </c>
      <c r="L509" s="0" t="n">
        <v>4887305</v>
      </c>
      <c r="M509" s="0" t="n">
        <v>4854929</v>
      </c>
      <c r="N509" s="0" t="n">
        <v>4394120</v>
      </c>
      <c r="O509" s="0" t="n">
        <v>4032</v>
      </c>
      <c r="P509" s="0" t="s">
        <v>161</v>
      </c>
      <c r="Q509" s="0" t="n">
        <v>0.0824994552212313</v>
      </c>
      <c r="R509" s="0" t="n">
        <v>2.06214064657911</v>
      </c>
      <c r="S509" s="0" t="n">
        <v>-491</v>
      </c>
      <c r="T509" s="0" t="n">
        <v>4991</v>
      </c>
      <c r="U509" s="0" t="n">
        <v>0</v>
      </c>
      <c r="V509" s="0" t="n">
        <v>11.3956962361995</v>
      </c>
      <c r="W509" s="0" t="n">
        <v>20240630</v>
      </c>
      <c r="X509" s="0" t="n">
        <v>0.0504801142925108</v>
      </c>
      <c r="Y509" s="0" t="n">
        <v>0.9</v>
      </c>
      <c r="Z509" s="0" t="s">
        <v>105</v>
      </c>
    </row>
    <row r="510" customFormat="false" ht="15" hidden="false" customHeight="false" outlineLevel="0" collapsed="false">
      <c r="A510" s="0" t="n">
        <v>510</v>
      </c>
      <c r="B510" s="0" t="n">
        <v>2602801</v>
      </c>
      <c r="C510" s="0" t="n">
        <v>19531</v>
      </c>
      <c r="D510" s="0" t="n">
        <v>2007423</v>
      </c>
      <c r="E510" s="0" t="n">
        <v>0</v>
      </c>
      <c r="F510" s="0" t="n">
        <v>245672</v>
      </c>
      <c r="G510" s="0" t="n">
        <v>9.43875463395012</v>
      </c>
      <c r="H510" s="0" t="s">
        <v>667</v>
      </c>
      <c r="I510" s="0" t="n">
        <v>0.956383471621509</v>
      </c>
      <c r="J510" s="0" t="n">
        <v>263338</v>
      </c>
      <c r="K510" s="0" t="n">
        <v>10817</v>
      </c>
      <c r="L510" s="0" t="n">
        <v>2138891</v>
      </c>
      <c r="M510" s="0" t="n">
        <v>2118435</v>
      </c>
      <c r="N510" s="0" t="n">
        <v>1752265</v>
      </c>
      <c r="O510" s="0" t="n">
        <v>8076</v>
      </c>
      <c r="P510" s="0" t="s">
        <v>163</v>
      </c>
      <c r="Q510" s="0" t="n">
        <v>0.378139886511281</v>
      </c>
      <c r="R510" s="0" t="n">
        <v>2.59185271893759</v>
      </c>
      <c r="S510" s="0" t="n">
        <v>452</v>
      </c>
      <c r="T510" s="0" t="n">
        <v>3260</v>
      </c>
      <c r="U510" s="0" t="n">
        <v>12</v>
      </c>
      <c r="V510" s="0" t="n">
        <v>13.7246237828604</v>
      </c>
      <c r="W510" s="0" t="n">
        <v>20240630</v>
      </c>
      <c r="X510" s="0" t="n">
        <v>0.363488052763751</v>
      </c>
      <c r="Y510" s="0" t="n">
        <v>3.79</v>
      </c>
      <c r="Z510" s="0" t="s">
        <v>105</v>
      </c>
    </row>
    <row r="511" customFormat="false" ht="15" hidden="false" customHeight="false" outlineLevel="0" collapsed="false">
      <c r="A511" s="0" t="n">
        <v>511</v>
      </c>
      <c r="B511" s="0" t="n">
        <v>880879</v>
      </c>
      <c r="C511" s="0" t="n">
        <v>19532</v>
      </c>
      <c r="D511" s="0" t="n">
        <v>709469</v>
      </c>
      <c r="E511" s="0" t="n">
        <v>0.01</v>
      </c>
      <c r="F511" s="0" t="n">
        <v>98709</v>
      </c>
      <c r="G511" s="0" t="n">
        <v>11.2057388131628</v>
      </c>
      <c r="H511" s="0" t="s">
        <v>668</v>
      </c>
      <c r="I511" s="0" t="n">
        <v>0.992356939958884</v>
      </c>
      <c r="J511" s="0" t="n">
        <v>49136</v>
      </c>
      <c r="K511" s="0" t="n">
        <v>51678</v>
      </c>
      <c r="L511" s="0" t="n">
        <v>596358</v>
      </c>
      <c r="M511" s="0" t="n">
        <v>590440</v>
      </c>
      <c r="N511" s="0" t="n">
        <v>490094</v>
      </c>
      <c r="O511" s="0" t="n">
        <v>1611</v>
      </c>
      <c r="P511" s="0" t="s">
        <v>165</v>
      </c>
      <c r="Q511" s="0" t="n">
        <v>0.270139748272011</v>
      </c>
      <c r="R511" s="0" t="n">
        <v>3.02981359606163</v>
      </c>
      <c r="S511" s="0" t="n">
        <v>40</v>
      </c>
      <c r="T511" s="0" t="n">
        <v>1413</v>
      </c>
      <c r="U511" s="0" t="n">
        <v>0</v>
      </c>
      <c r="V511" s="0" t="n">
        <v>21.2603406906925</v>
      </c>
      <c r="W511" s="0" t="n">
        <v>20240630</v>
      </c>
      <c r="X511" s="0" t="n">
        <v>0.858496118129066</v>
      </c>
      <c r="Y511" s="0" t="n">
        <v>7.8</v>
      </c>
      <c r="Z511" s="0" t="s">
        <v>105</v>
      </c>
    </row>
    <row r="512" customFormat="false" ht="15" hidden="false" customHeight="false" outlineLevel="0" collapsed="false">
      <c r="A512" s="0" t="n">
        <v>512</v>
      </c>
      <c r="B512" s="0" t="n">
        <v>3132203</v>
      </c>
      <c r="C512" s="0" t="n">
        <v>19690</v>
      </c>
      <c r="D512" s="0" t="n">
        <v>2362286</v>
      </c>
      <c r="E512" s="0" t="n">
        <v>0.07</v>
      </c>
      <c r="F512" s="0" t="n">
        <v>376634</v>
      </c>
      <c r="G512" s="0" t="n">
        <v>12.024571842885</v>
      </c>
      <c r="H512" s="0" t="s">
        <v>669</v>
      </c>
      <c r="I512" s="0" t="n">
        <v>0.967311891355689</v>
      </c>
      <c r="J512" s="0" t="n">
        <v>66187</v>
      </c>
      <c r="K512" s="0" t="n">
        <v>285</v>
      </c>
      <c r="L512" s="0" t="n">
        <v>2761157</v>
      </c>
      <c r="M512" s="0" t="n">
        <v>2734448</v>
      </c>
      <c r="N512" s="0" t="n">
        <v>2127514</v>
      </c>
      <c r="O512" s="0" t="n">
        <v>28260</v>
      </c>
      <c r="P512" s="0" t="s">
        <v>167</v>
      </c>
      <c r="Q512" s="0" t="n">
        <v>1.02348399602051</v>
      </c>
      <c r="R512" s="0" t="n">
        <v>5.08970460803265</v>
      </c>
      <c r="S512" s="0" t="n">
        <v>3594</v>
      </c>
      <c r="T512" s="0" t="n">
        <v>3926</v>
      </c>
      <c r="U512" s="0" t="n">
        <v>0</v>
      </c>
      <c r="V512" s="0" t="n">
        <v>14.822901584382</v>
      </c>
      <c r="W512" s="0" t="n">
        <v>20240630</v>
      </c>
      <c r="X512" s="0" t="n">
        <v>1.9118906936064</v>
      </c>
      <c r="Y512" s="0" t="n">
        <v>16.48</v>
      </c>
      <c r="Z512" s="0" t="s">
        <v>105</v>
      </c>
    </row>
    <row r="513" customFormat="false" ht="15" hidden="false" customHeight="false" outlineLevel="0" collapsed="false">
      <c r="A513" s="0" t="n">
        <v>513</v>
      </c>
      <c r="B513" s="0" t="n">
        <v>693631</v>
      </c>
      <c r="C513" s="0" t="n">
        <v>19836</v>
      </c>
      <c r="D513" s="0" t="n">
        <v>494603</v>
      </c>
      <c r="E513" s="0" t="n">
        <v>0</v>
      </c>
      <c r="F513" s="0" t="n">
        <v>122241</v>
      </c>
      <c r="G513" s="0" t="n">
        <v>17.6233472840747</v>
      </c>
      <c r="H513" s="0" t="s">
        <v>670</v>
      </c>
      <c r="I513" s="0" t="n">
        <v>0.765486391734188</v>
      </c>
      <c r="J513" s="0" t="n">
        <v>47016</v>
      </c>
      <c r="K513" s="0" t="n">
        <v>11688</v>
      </c>
      <c r="L513" s="0" t="n">
        <v>583028</v>
      </c>
      <c r="M513" s="0" t="n">
        <v>578565</v>
      </c>
      <c r="N513" s="0" t="n">
        <v>520353</v>
      </c>
      <c r="O513" s="0" t="n">
        <v>5114</v>
      </c>
      <c r="P513" s="0" t="s">
        <v>145</v>
      </c>
      <c r="Q513" s="0" t="n">
        <v>0.969593227083433</v>
      </c>
      <c r="R513" s="0" t="n">
        <v>3.57096502129516</v>
      </c>
      <c r="S513" s="0" t="n">
        <v>9</v>
      </c>
      <c r="T513" s="0" t="n">
        <v>2908</v>
      </c>
      <c r="U513" s="0" t="n">
        <v>539</v>
      </c>
      <c r="V513" s="0" t="n">
        <v>24.7547146632848</v>
      </c>
      <c r="W513" s="0" t="n">
        <v>20240630</v>
      </c>
      <c r="X513" s="0" t="n">
        <v>0.6592636990771</v>
      </c>
      <c r="Y513" s="0" t="n">
        <v>3.68</v>
      </c>
      <c r="Z513" s="0" t="s">
        <v>105</v>
      </c>
    </row>
    <row r="514" customFormat="false" ht="15" hidden="false" customHeight="false" outlineLevel="0" collapsed="false">
      <c r="A514" s="0" t="n">
        <v>514</v>
      </c>
      <c r="B514" s="0" t="n">
        <v>1450962</v>
      </c>
      <c r="C514" s="0" t="n">
        <v>24540</v>
      </c>
      <c r="D514" s="0" t="n">
        <v>1167579</v>
      </c>
      <c r="E514" s="0" t="n">
        <v>0.15</v>
      </c>
      <c r="F514" s="0" t="n">
        <v>259158</v>
      </c>
      <c r="G514" s="0" t="n">
        <v>17.8611155908976</v>
      </c>
      <c r="H514" s="0" t="s">
        <v>671</v>
      </c>
      <c r="I514" s="0" t="n">
        <v>0.976943236202351</v>
      </c>
      <c r="J514" s="0" t="n">
        <v>43419</v>
      </c>
      <c r="K514" s="0" t="n">
        <v>169</v>
      </c>
      <c r="L514" s="0" t="n">
        <v>1284005</v>
      </c>
      <c r="M514" s="0" t="n">
        <v>1271461</v>
      </c>
      <c r="N514" s="0" t="n">
        <v>1244382</v>
      </c>
      <c r="O514" s="0" t="n">
        <v>30086</v>
      </c>
      <c r="P514" s="0" t="s">
        <v>170</v>
      </c>
      <c r="Q514" s="0" t="n">
        <v>2.34313729307908</v>
      </c>
      <c r="R514" s="0" t="n">
        <v>4.20518977151503</v>
      </c>
      <c r="S514" s="0" t="n">
        <v>0</v>
      </c>
      <c r="T514" s="0" t="n">
        <v>0</v>
      </c>
      <c r="U514" s="0" t="n">
        <v>0</v>
      </c>
      <c r="V514" s="0" t="n">
        <v>18.6244989044056</v>
      </c>
      <c r="W514" s="0" t="n">
        <v>20240630</v>
      </c>
      <c r="X514" s="0" t="n">
        <v>1.93262033990791</v>
      </c>
      <c r="Y514" s="0" t="n">
        <v>10.87</v>
      </c>
      <c r="Z514" s="0" t="s">
        <v>123</v>
      </c>
    </row>
    <row r="515" customFormat="false" ht="15" hidden="false" customHeight="false" outlineLevel="0" collapsed="false">
      <c r="A515" s="0" t="n">
        <v>515</v>
      </c>
      <c r="B515" s="0" t="n">
        <v>557168</v>
      </c>
      <c r="C515" s="0" t="n">
        <v>27824</v>
      </c>
      <c r="D515" s="0" t="n">
        <v>362991</v>
      </c>
      <c r="E515" s="0" t="n">
        <v>0.05</v>
      </c>
      <c r="F515" s="0" t="n">
        <v>64563</v>
      </c>
      <c r="G515" s="0" t="n">
        <v>11.5877078367745</v>
      </c>
      <c r="H515" s="0" t="s">
        <v>672</v>
      </c>
      <c r="I515" s="0" t="n">
        <v>0.624029703292766</v>
      </c>
      <c r="J515" s="0" t="n">
        <v>18789</v>
      </c>
      <c r="K515" s="0" t="n">
        <v>43133</v>
      </c>
      <c r="L515" s="0" t="n">
        <v>460555</v>
      </c>
      <c r="M515" s="0" t="n">
        <v>457681</v>
      </c>
      <c r="N515" s="0" t="n">
        <v>398633</v>
      </c>
      <c r="O515" s="0" t="n">
        <v>1077</v>
      </c>
      <c r="P515" s="0" t="s">
        <v>172</v>
      </c>
      <c r="Q515" s="0" t="n">
        <v>0.233848291734972</v>
      </c>
      <c r="R515" s="0" t="n">
        <v>1.62444979000168</v>
      </c>
      <c r="S515" s="0" t="n">
        <v>118</v>
      </c>
      <c r="T515" s="0" t="n">
        <v>2739</v>
      </c>
      <c r="U515" s="0" t="n">
        <v>0</v>
      </c>
      <c r="V515" s="0" t="n">
        <v>20.3577838503214</v>
      </c>
      <c r="W515" s="0" t="n">
        <v>20240630</v>
      </c>
      <c r="X515" s="0" t="n">
        <v>-0.374023312411938</v>
      </c>
      <c r="Y515" s="0" t="n">
        <v>-3.15</v>
      </c>
      <c r="Z515" s="0" t="s">
        <v>123</v>
      </c>
    </row>
    <row r="516" customFormat="false" ht="15" hidden="false" customHeight="false" outlineLevel="0" collapsed="false">
      <c r="A516" s="0" t="n">
        <v>516</v>
      </c>
      <c r="B516" s="0" t="n">
        <v>302055</v>
      </c>
      <c r="C516" s="0" t="n">
        <v>28155</v>
      </c>
      <c r="D516" s="0" t="n">
        <v>259692</v>
      </c>
      <c r="E516" s="0" t="n">
        <v>-0.01</v>
      </c>
      <c r="F516" s="0" t="n">
        <v>27301</v>
      </c>
      <c r="G516" s="0" t="n">
        <v>9.03842015526974</v>
      </c>
      <c r="H516" s="0" t="s">
        <v>673</v>
      </c>
      <c r="I516" s="0" t="n">
        <v>0.454831429544418</v>
      </c>
      <c r="J516" s="0" t="n">
        <v>11217</v>
      </c>
      <c r="K516" s="0" t="n">
        <v>6116</v>
      </c>
      <c r="L516" s="0" t="n">
        <v>173251</v>
      </c>
      <c r="M516" s="0" t="n">
        <v>172463</v>
      </c>
      <c r="N516" s="0" t="n">
        <v>155404</v>
      </c>
      <c r="O516" s="0" t="n">
        <v>0</v>
      </c>
      <c r="P516" s="0" t="s">
        <v>174</v>
      </c>
      <c r="Q516" s="0" t="n">
        <v>0</v>
      </c>
      <c r="R516" s="0" t="n">
        <v>2.34100079031654</v>
      </c>
      <c r="S516" s="0" t="n">
        <v>1</v>
      </c>
      <c r="T516" s="0" t="n">
        <v>1271</v>
      </c>
      <c r="U516" s="0" t="n">
        <v>0</v>
      </c>
      <c r="V516" s="0" t="n">
        <v>16.9262702346722</v>
      </c>
      <c r="W516" s="0" t="n">
        <v>20240630</v>
      </c>
      <c r="X516" s="0" t="n">
        <v>-0.0547019798336481</v>
      </c>
      <c r="Y516" s="0" t="n">
        <v>-0.6</v>
      </c>
      <c r="Z516" s="0" t="s">
        <v>123</v>
      </c>
    </row>
    <row r="517" customFormat="false" ht="15" hidden="false" customHeight="false" outlineLevel="0" collapsed="false">
      <c r="A517" s="0" t="n">
        <v>517</v>
      </c>
      <c r="B517" s="0" t="n">
        <v>102466</v>
      </c>
      <c r="C517" s="0" t="n">
        <v>28288</v>
      </c>
      <c r="D517" s="0" t="n">
        <v>74553</v>
      </c>
      <c r="E517" s="0" t="n">
        <v>-0.02</v>
      </c>
      <c r="F517" s="0" t="n">
        <v>5947</v>
      </c>
      <c r="G517" s="0" t="n">
        <v>5.80387640778404</v>
      </c>
      <c r="H517" s="0" t="s">
        <v>674</v>
      </c>
      <c r="I517" s="0" t="n">
        <v>1.05668095052591</v>
      </c>
      <c r="J517" s="0" t="n">
        <v>4600</v>
      </c>
      <c r="K517" s="0" t="n">
        <v>2714</v>
      </c>
      <c r="L517" s="0" t="n">
        <v>82144</v>
      </c>
      <c r="M517" s="0" t="n">
        <v>81276</v>
      </c>
      <c r="N517" s="0" t="n">
        <v>74830</v>
      </c>
      <c r="O517" s="0" t="n">
        <v>251</v>
      </c>
      <c r="P517" s="0" t="s">
        <v>176</v>
      </c>
      <c r="Q517" s="0" t="n">
        <v>0.305560966108298</v>
      </c>
      <c r="R517" s="0" t="n">
        <v>2.67533222086354</v>
      </c>
      <c r="S517" s="0" t="n">
        <v>0</v>
      </c>
      <c r="T517" s="0" t="n">
        <v>111</v>
      </c>
      <c r="U517" s="0" t="n">
        <v>0</v>
      </c>
      <c r="V517" s="0" t="n">
        <v>13.1640405593165</v>
      </c>
      <c r="W517" s="0" t="n">
        <v>20240630</v>
      </c>
      <c r="X517" s="0" t="n">
        <v>0.104067296851964</v>
      </c>
      <c r="Y517" s="0" t="n">
        <v>1.82</v>
      </c>
      <c r="Z517" s="0" t="s">
        <v>105</v>
      </c>
    </row>
    <row r="518" customFormat="false" ht="15" hidden="false" customHeight="false" outlineLevel="0" collapsed="false">
      <c r="A518" s="0" t="n">
        <v>518</v>
      </c>
      <c r="B518" s="0" t="n">
        <v>95722</v>
      </c>
      <c r="C518" s="0" t="n">
        <v>28369</v>
      </c>
      <c r="D518" s="0" t="n">
        <v>71038</v>
      </c>
      <c r="E518" s="0" t="n">
        <v>0.02</v>
      </c>
      <c r="F518" s="0" t="n">
        <v>9198</v>
      </c>
      <c r="G518" s="0" t="n">
        <v>9.60907628340402</v>
      </c>
      <c r="H518" s="0" t="s">
        <v>675</v>
      </c>
      <c r="I518" s="0" t="n">
        <v>0.734458443827983</v>
      </c>
      <c r="J518" s="0" t="n">
        <v>12761</v>
      </c>
      <c r="K518" s="0" t="n">
        <v>852</v>
      </c>
      <c r="L518" s="0" t="n">
        <v>81829</v>
      </c>
      <c r="M518" s="0" t="n">
        <v>81228</v>
      </c>
      <c r="N518" s="0" t="n">
        <v>68216</v>
      </c>
      <c r="O518" s="0" t="n">
        <v>141</v>
      </c>
      <c r="P518" s="0" t="s">
        <v>178</v>
      </c>
      <c r="Q518" s="0" t="n">
        <v>0.172310550049493</v>
      </c>
      <c r="R518" s="0" t="n">
        <v>2.92722951770937</v>
      </c>
      <c r="S518" s="0" t="n">
        <v>-2</v>
      </c>
      <c r="T518" s="0" t="n">
        <v>168</v>
      </c>
      <c r="U518" s="0" t="n">
        <v>0</v>
      </c>
      <c r="V518" s="0" t="n">
        <v>13.6709423889672</v>
      </c>
      <c r="W518" s="0" t="n">
        <v>20240630</v>
      </c>
      <c r="X518" s="0" t="n">
        <v>-0.320244959302203</v>
      </c>
      <c r="Y518" s="0" t="n">
        <v>-3.28</v>
      </c>
      <c r="Z518" s="0" t="s">
        <v>105</v>
      </c>
    </row>
    <row r="519" customFormat="false" ht="15" hidden="false" customHeight="false" outlineLevel="0" collapsed="false">
      <c r="A519" s="0" t="n">
        <v>519</v>
      </c>
      <c r="B519" s="0" t="n">
        <v>285118</v>
      </c>
      <c r="C519" s="0" t="n">
        <v>28837</v>
      </c>
      <c r="D519" s="0" t="n">
        <v>254557</v>
      </c>
      <c r="E519" s="0" t="n">
        <v>-0.1</v>
      </c>
      <c r="F519" s="0" t="n">
        <v>27060</v>
      </c>
      <c r="G519" s="0" t="n">
        <v>9.49080731486613</v>
      </c>
      <c r="H519" s="0" t="s">
        <v>676</v>
      </c>
      <c r="I519" s="0" t="n">
        <v>1.10493686781297</v>
      </c>
      <c r="J519" s="0" t="n">
        <v>7061</v>
      </c>
      <c r="K519" s="0" t="n">
        <v>834</v>
      </c>
      <c r="L519" s="0" t="n">
        <v>202274</v>
      </c>
      <c r="M519" s="0" t="n">
        <v>200039</v>
      </c>
      <c r="N519" s="0" t="n">
        <v>192922</v>
      </c>
      <c r="O519" s="0" t="n">
        <v>155</v>
      </c>
      <c r="P519" s="0" t="s">
        <v>180</v>
      </c>
      <c r="Q519" s="0" t="n">
        <v>0.0766287313248366</v>
      </c>
      <c r="R519" s="0" t="n">
        <v>3.68099996257625</v>
      </c>
      <c r="S519" s="0" t="n">
        <v>0</v>
      </c>
      <c r="T519" s="0" t="n">
        <v>105</v>
      </c>
      <c r="U519" s="0" t="n">
        <v>0</v>
      </c>
      <c r="V519" s="0" t="n">
        <v>16.7395381692405</v>
      </c>
      <c r="W519" s="0" t="n">
        <v>20240630</v>
      </c>
      <c r="X519" s="0" t="n">
        <v>0.716098111079786</v>
      </c>
      <c r="Y519" s="0" t="n">
        <v>7.65</v>
      </c>
      <c r="Z519" s="0" t="s">
        <v>112</v>
      </c>
    </row>
    <row r="520" customFormat="false" ht="15" hidden="false" customHeight="false" outlineLevel="0" collapsed="false">
      <c r="A520" s="0" t="n">
        <v>520</v>
      </c>
      <c r="B520" s="0" t="n">
        <v>180255</v>
      </c>
      <c r="C520" s="0" t="n">
        <v>29636</v>
      </c>
      <c r="D520" s="0" t="n">
        <v>137021</v>
      </c>
      <c r="E520" s="0" t="n">
        <v>0.02</v>
      </c>
      <c r="F520" s="0" t="n">
        <v>26121</v>
      </c>
      <c r="G520" s="0" t="n">
        <v>14.4911375551302</v>
      </c>
      <c r="H520" s="0" t="s">
        <v>677</v>
      </c>
      <c r="I520" s="0" t="n">
        <v>1.39056264748118</v>
      </c>
      <c r="J520" s="0" t="n">
        <v>1433</v>
      </c>
      <c r="K520" s="0" t="n">
        <v>1772</v>
      </c>
      <c r="L520" s="0" t="n">
        <v>138577</v>
      </c>
      <c r="M520" s="0" t="n">
        <v>136650</v>
      </c>
      <c r="N520" s="0" t="n">
        <v>135371</v>
      </c>
      <c r="O520" s="0" t="n">
        <v>2731</v>
      </c>
      <c r="P520" s="0" t="s">
        <v>182</v>
      </c>
      <c r="Q520" s="0" t="n">
        <v>1.97074550610852</v>
      </c>
      <c r="R520" s="0" t="n">
        <v>3.44418295303387</v>
      </c>
      <c r="S520" s="0" t="n">
        <v>-1</v>
      </c>
      <c r="T520" s="0" t="n">
        <v>3204</v>
      </c>
      <c r="U520" s="0" t="n">
        <v>0</v>
      </c>
      <c r="V520" s="0" t="n">
        <v>26.8583867787312</v>
      </c>
      <c r="W520" s="0" t="n">
        <v>20240630</v>
      </c>
      <c r="X520" s="0" t="n">
        <v>0.247766013645732</v>
      </c>
      <c r="Y520" s="0" t="n">
        <v>1.71</v>
      </c>
      <c r="Z520" s="0" t="s">
        <v>105</v>
      </c>
    </row>
    <row r="521" customFormat="false" ht="15" hidden="false" customHeight="false" outlineLevel="0" collapsed="false">
      <c r="A521" s="0" t="n">
        <v>521</v>
      </c>
      <c r="B521" s="0" t="n">
        <v>189887</v>
      </c>
      <c r="C521" s="0" t="n">
        <v>29743</v>
      </c>
      <c r="D521" s="0" t="n">
        <v>166017</v>
      </c>
      <c r="E521" s="0" t="n">
        <v>-0.04</v>
      </c>
      <c r="F521" s="0" t="n">
        <v>17099</v>
      </c>
      <c r="G521" s="0" t="n">
        <v>9.00482918788543</v>
      </c>
      <c r="H521" s="0" t="s">
        <v>678</v>
      </c>
      <c r="I521" s="0" t="n">
        <v>0.649321537449937</v>
      </c>
      <c r="J521" s="0" t="n">
        <v>25921</v>
      </c>
      <c r="K521" s="0" t="n">
        <v>20978</v>
      </c>
      <c r="L521" s="0" t="n">
        <v>133832</v>
      </c>
      <c r="M521" s="0" t="n">
        <v>132963</v>
      </c>
      <c r="N521" s="0" t="n">
        <v>86883</v>
      </c>
      <c r="O521" s="0" t="n">
        <v>167</v>
      </c>
      <c r="P521" s="0" t="s">
        <v>184</v>
      </c>
      <c r="Q521" s="0" t="n">
        <v>0.124783310419033</v>
      </c>
      <c r="R521" s="0" t="n">
        <v>2.15546538885176</v>
      </c>
      <c r="S521" s="0" t="n">
        <v>-17</v>
      </c>
      <c r="T521" s="0" t="n">
        <v>907</v>
      </c>
      <c r="U521" s="0" t="n">
        <v>0</v>
      </c>
      <c r="V521" s="0" t="n">
        <v>18.342035357699</v>
      </c>
      <c r="W521" s="0" t="n">
        <v>20240630</v>
      </c>
      <c r="X521" s="0" t="n">
        <v>0.296387905667619</v>
      </c>
      <c r="Y521" s="0" t="n">
        <v>3.29</v>
      </c>
      <c r="Z521" s="0" t="s">
        <v>105</v>
      </c>
    </row>
    <row r="522" customFormat="false" ht="15" hidden="false" customHeight="false" outlineLevel="0" collapsed="false">
      <c r="A522" s="0" t="n">
        <v>522</v>
      </c>
      <c r="B522" s="0" t="n">
        <v>602018</v>
      </c>
      <c r="C522" s="0" t="n">
        <v>29744</v>
      </c>
      <c r="D522" s="0" t="n">
        <v>471240</v>
      </c>
      <c r="E522" s="0" t="n">
        <v>-0.01</v>
      </c>
      <c r="F522" s="0" t="n">
        <v>46233</v>
      </c>
      <c r="G522" s="0" t="n">
        <v>7.67967070752037</v>
      </c>
      <c r="H522" s="0" t="s">
        <v>679</v>
      </c>
      <c r="I522" s="0" t="n">
        <v>0.793548594791231</v>
      </c>
      <c r="J522" s="0" t="n">
        <v>23531</v>
      </c>
      <c r="K522" s="0" t="n">
        <v>11348</v>
      </c>
      <c r="L522" s="0" t="n">
        <v>434882</v>
      </c>
      <c r="M522" s="0" t="n">
        <v>431431</v>
      </c>
      <c r="N522" s="0" t="n">
        <v>400003</v>
      </c>
      <c r="O522" s="0" t="n">
        <v>141</v>
      </c>
      <c r="P522" s="0" t="s">
        <v>186</v>
      </c>
      <c r="Q522" s="0" t="n">
        <v>0.0324225881963383</v>
      </c>
      <c r="R522" s="0" t="n">
        <v>2.1079483156263</v>
      </c>
      <c r="S522" s="0" t="n">
        <v>-1</v>
      </c>
      <c r="T522" s="0" t="n">
        <v>0</v>
      </c>
      <c r="U522" s="0" t="n">
        <v>0</v>
      </c>
      <c r="V522" s="0" t="n">
        <v>15.527357074635</v>
      </c>
      <c r="W522" s="0" t="n">
        <v>20240630</v>
      </c>
      <c r="X522" s="0" t="n">
        <v>0.296595325680526</v>
      </c>
      <c r="Y522" s="0" t="n">
        <v>3.8</v>
      </c>
      <c r="Z522" s="0" t="s">
        <v>123</v>
      </c>
    </row>
    <row r="523" customFormat="false" ht="15" hidden="false" customHeight="false" outlineLevel="0" collapsed="false">
      <c r="A523" s="0" t="n">
        <v>523</v>
      </c>
      <c r="B523" s="0" t="n">
        <v>564787</v>
      </c>
      <c r="C523" s="0" t="n">
        <v>30350</v>
      </c>
      <c r="D523" s="0" t="n">
        <v>443952</v>
      </c>
      <c r="E523" s="0" t="n">
        <v>0.02</v>
      </c>
      <c r="F523" s="0" t="n">
        <v>57863</v>
      </c>
      <c r="G523" s="0" t="n">
        <v>10.24510125056</v>
      </c>
      <c r="H523" s="0" t="s">
        <v>680</v>
      </c>
      <c r="I523" s="0" t="n">
        <v>1.27341994255429</v>
      </c>
      <c r="J523" s="0" t="n">
        <v>16189</v>
      </c>
      <c r="K523" s="0" t="n">
        <v>1741</v>
      </c>
      <c r="L523" s="0" t="n">
        <v>416045</v>
      </c>
      <c r="M523" s="0" t="n">
        <v>410747</v>
      </c>
      <c r="N523" s="0" t="n">
        <v>396859</v>
      </c>
      <c r="O523" s="0" t="n">
        <v>1683</v>
      </c>
      <c r="P523" s="0" t="s">
        <v>188</v>
      </c>
      <c r="Q523" s="0" t="n">
        <v>0.40452354913531</v>
      </c>
      <c r="R523" s="0" t="n">
        <v>2.61238644826905</v>
      </c>
      <c r="S523" s="0" t="n">
        <v>-210</v>
      </c>
      <c r="T523" s="0" t="n">
        <v>1867</v>
      </c>
      <c r="U523" s="0" t="n">
        <v>0</v>
      </c>
      <c r="V523" s="0" t="n">
        <v>20.7901181982749</v>
      </c>
      <c r="W523" s="0" t="n">
        <v>20240630</v>
      </c>
      <c r="X523" s="0" t="n">
        <v>0.535675281474205</v>
      </c>
      <c r="Y523" s="0" t="n">
        <v>5.25</v>
      </c>
      <c r="Z523" s="0" t="s">
        <v>112</v>
      </c>
    </row>
    <row r="524" customFormat="false" ht="15" hidden="false" customHeight="false" outlineLevel="0" collapsed="false">
      <c r="A524" s="0" t="n">
        <v>524</v>
      </c>
      <c r="B524" s="0" t="n">
        <v>102920</v>
      </c>
      <c r="C524" s="0" t="n">
        <v>30878</v>
      </c>
      <c r="D524" s="0" t="n">
        <v>76575</v>
      </c>
      <c r="E524" s="0" t="n">
        <v>-0.41</v>
      </c>
      <c r="F524" s="0" t="n">
        <v>12189</v>
      </c>
      <c r="G524" s="0" t="n">
        <v>11.843179168286</v>
      </c>
      <c r="H524" s="0" t="s">
        <v>681</v>
      </c>
      <c r="I524" s="0" t="n">
        <v>0.594400834883615</v>
      </c>
      <c r="J524" s="0" t="n">
        <v>0</v>
      </c>
      <c r="K524" s="0" t="n">
        <v>172</v>
      </c>
      <c r="L524" s="0" t="n">
        <v>88156</v>
      </c>
      <c r="M524" s="0" t="n">
        <v>87632</v>
      </c>
      <c r="N524" s="0" t="n">
        <v>87984</v>
      </c>
      <c r="O524" s="0" t="n">
        <v>1829</v>
      </c>
      <c r="P524" s="0" t="s">
        <v>190</v>
      </c>
      <c r="Q524" s="0" t="n">
        <v>2.07473115840102</v>
      </c>
      <c r="R524" s="0" t="n">
        <v>0.954583739989572</v>
      </c>
      <c r="S524" s="0" t="n">
        <v>0</v>
      </c>
      <c r="T524" s="0" t="n">
        <v>1197</v>
      </c>
      <c r="U524" s="0" t="n">
        <v>0</v>
      </c>
      <c r="V524" s="0" t="n">
        <v>0</v>
      </c>
      <c r="W524" s="0" t="n">
        <v>20240630</v>
      </c>
      <c r="X524" s="0" t="n">
        <v>-0.227714970329511</v>
      </c>
      <c r="Y524" s="0" t="n">
        <v>-1.92</v>
      </c>
      <c r="Z524" s="0" t="s">
        <v>105</v>
      </c>
    </row>
    <row r="525" customFormat="false" ht="15" hidden="false" customHeight="false" outlineLevel="0" collapsed="false">
      <c r="A525" s="0" t="n">
        <v>525</v>
      </c>
      <c r="B525" s="0" t="n">
        <v>907185</v>
      </c>
      <c r="C525" s="0" t="n">
        <v>33418</v>
      </c>
      <c r="D525" s="0" t="n">
        <v>797623</v>
      </c>
      <c r="E525" s="0" t="n">
        <v>0.14</v>
      </c>
      <c r="F525" s="0" t="n">
        <v>68495</v>
      </c>
      <c r="G525" s="0" t="n">
        <v>7.55027916025948</v>
      </c>
      <c r="H525" s="0" t="s">
        <v>682</v>
      </c>
      <c r="I525" s="0" t="n">
        <v>0.687190320876959</v>
      </c>
      <c r="J525" s="0" t="n">
        <v>70095</v>
      </c>
      <c r="K525" s="0" t="n">
        <v>17201</v>
      </c>
      <c r="L525" s="0" t="n">
        <v>496078</v>
      </c>
      <c r="M525" s="0" t="n">
        <v>492669</v>
      </c>
      <c r="N525" s="0" t="n">
        <v>409365</v>
      </c>
      <c r="O525" s="0" t="n">
        <v>964</v>
      </c>
      <c r="P525" s="0" t="s">
        <v>192</v>
      </c>
      <c r="Q525" s="0" t="n">
        <v>0.194324279649571</v>
      </c>
      <c r="R525" s="0" t="n">
        <v>2.21373217341351</v>
      </c>
      <c r="S525" s="0" t="n">
        <v>-4</v>
      </c>
      <c r="T525" s="0" t="n">
        <v>641</v>
      </c>
      <c r="U525" s="0" t="n">
        <v>0</v>
      </c>
      <c r="V525" s="0" t="n">
        <v>14.3976303978601</v>
      </c>
      <c r="W525" s="0" t="n">
        <v>20240630</v>
      </c>
      <c r="X525" s="0" t="n">
        <v>0.374700273680357</v>
      </c>
      <c r="Y525" s="0" t="n">
        <v>4.84</v>
      </c>
      <c r="Z525" s="0" t="s">
        <v>112</v>
      </c>
    </row>
    <row r="526" customFormat="false" ht="15" hidden="false" customHeight="false" outlineLevel="0" collapsed="false">
      <c r="A526" s="0" t="n">
        <v>526</v>
      </c>
      <c r="B526" s="0" t="n">
        <v>84424</v>
      </c>
      <c r="C526" s="0" t="n">
        <v>35206</v>
      </c>
      <c r="D526" s="0" t="n">
        <v>500</v>
      </c>
      <c r="E526" s="0" t="n">
        <v>0</v>
      </c>
      <c r="F526" s="0" t="n">
        <v>82008</v>
      </c>
      <c r="G526" s="0" t="n">
        <v>97.1382545247797</v>
      </c>
      <c r="H526" s="0" t="s">
        <v>683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0</v>
      </c>
      <c r="O526" s="0" t="n">
        <v>0</v>
      </c>
      <c r="P526" s="0" t="s">
        <v>252</v>
      </c>
      <c r="Q526" s="0" t="n">
        <v>0</v>
      </c>
      <c r="R526" s="0" t="n">
        <v>4.69597610771469</v>
      </c>
      <c r="S526" s="0" t="n">
        <v>0</v>
      </c>
      <c r="T526" s="0" t="n">
        <v>0</v>
      </c>
      <c r="U526" s="0" t="n">
        <v>0</v>
      </c>
      <c r="V526" s="0" t="n">
        <v>0</v>
      </c>
      <c r="W526" s="0" t="n">
        <v>20240630</v>
      </c>
      <c r="X526" s="0" t="n">
        <v>18.8338919249121</v>
      </c>
      <c r="Y526" s="0" t="n">
        <v>19.52</v>
      </c>
      <c r="Z526" s="0" t="s">
        <v>123</v>
      </c>
    </row>
    <row r="527" customFormat="false" ht="15" hidden="false" customHeight="false" outlineLevel="0" collapsed="false">
      <c r="A527" s="0" t="n">
        <v>527</v>
      </c>
      <c r="B527" s="0" t="n">
        <v>5709625</v>
      </c>
      <c r="C527" s="0" t="n">
        <v>4255</v>
      </c>
      <c r="D527" s="0" t="n">
        <v>4547560</v>
      </c>
      <c r="E527" s="0" t="n">
        <v>-0.02</v>
      </c>
      <c r="F527" s="0" t="n">
        <v>521498</v>
      </c>
      <c r="G527" s="0" t="n">
        <v>9.13366464522627</v>
      </c>
      <c r="H527" s="0" t="s">
        <v>684</v>
      </c>
      <c r="I527" s="0" t="n">
        <v>0.852544802418673</v>
      </c>
      <c r="J527" s="0" t="n">
        <v>336171</v>
      </c>
      <c r="K527" s="0" t="n">
        <v>16595</v>
      </c>
      <c r="L527" s="0" t="n">
        <v>4153682</v>
      </c>
      <c r="M527" s="0" t="n">
        <v>4118270</v>
      </c>
      <c r="N527" s="0" t="n">
        <v>3763309</v>
      </c>
      <c r="O527" s="0" t="n">
        <v>7795</v>
      </c>
      <c r="P527" s="0" t="s">
        <v>194</v>
      </c>
      <c r="Q527" s="0" t="n">
        <v>0.187664823643216</v>
      </c>
      <c r="R527" s="0" t="n">
        <v>2.45330570465421</v>
      </c>
      <c r="S527" s="0" t="n">
        <v>547</v>
      </c>
      <c r="T527" s="0" t="n">
        <v>2245</v>
      </c>
      <c r="U527" s="0" t="n">
        <v>0</v>
      </c>
      <c r="V527" s="0" t="n">
        <v>13.8306326550339</v>
      </c>
      <c r="W527" s="0" t="n">
        <v>20240630</v>
      </c>
      <c r="X527" s="0" t="n">
        <v>0.924812905065092</v>
      </c>
      <c r="Y527" s="0" t="n">
        <v>10.3</v>
      </c>
      <c r="Z527" s="0" t="s">
        <v>105</v>
      </c>
    </row>
    <row r="528" customFormat="false" ht="15" hidden="false" customHeight="false" outlineLevel="0" collapsed="false">
      <c r="A528" s="0" t="n">
        <v>528</v>
      </c>
      <c r="B528" s="0" t="n">
        <v>3049270</v>
      </c>
      <c r="C528" s="0" t="n">
        <v>4256</v>
      </c>
      <c r="D528" s="0" t="n">
        <v>2578790</v>
      </c>
      <c r="E528" s="0" t="n">
        <v>0</v>
      </c>
      <c r="F528" s="0" t="n">
        <v>215996</v>
      </c>
      <c r="G528" s="0" t="n">
        <v>7.08353146818747</v>
      </c>
      <c r="H528" s="0" t="s">
        <v>685</v>
      </c>
      <c r="I528" s="0" t="n">
        <v>1.09860433248653</v>
      </c>
      <c r="J528" s="0" t="n">
        <v>328850</v>
      </c>
      <c r="K528" s="0" t="n">
        <v>20514</v>
      </c>
      <c r="L528" s="0" t="n">
        <v>2247670</v>
      </c>
      <c r="M528" s="0" t="n">
        <v>2222977</v>
      </c>
      <c r="N528" s="0" t="n">
        <v>1791622</v>
      </c>
      <c r="O528" s="0" t="n">
        <v>2564</v>
      </c>
      <c r="P528" s="0" t="s">
        <v>196</v>
      </c>
      <c r="Q528" s="0" t="n">
        <v>0.117944360159632</v>
      </c>
      <c r="R528" s="0" t="n">
        <v>2.15400167285319</v>
      </c>
      <c r="S528" s="0" t="n">
        <v>-25</v>
      </c>
      <c r="T528" s="0" t="n">
        <v>2235</v>
      </c>
      <c r="U528" s="0" t="n">
        <v>87</v>
      </c>
      <c r="V528" s="0" t="n">
        <v>13.1885325111592</v>
      </c>
      <c r="W528" s="0" t="n">
        <v>20240630</v>
      </c>
      <c r="X528" s="0" t="n">
        <v>0.857312303576122</v>
      </c>
      <c r="Y528" s="0" t="n">
        <v>11.84</v>
      </c>
      <c r="Z528" s="0" t="s">
        <v>105</v>
      </c>
    </row>
    <row r="529" customFormat="false" ht="15" hidden="false" customHeight="false" outlineLevel="0" collapsed="false">
      <c r="A529" s="0" t="n">
        <v>529</v>
      </c>
      <c r="B529" s="0" t="n">
        <v>706680</v>
      </c>
      <c r="C529" s="0" t="n">
        <v>59086</v>
      </c>
      <c r="D529" s="0" t="n">
        <v>602024</v>
      </c>
      <c r="E529" s="0" t="n">
        <v>0.13</v>
      </c>
      <c r="F529" s="0" t="n">
        <v>93282</v>
      </c>
      <c r="G529" s="0" t="n">
        <v>13.2000339616234</v>
      </c>
      <c r="H529" s="0" t="s">
        <v>686</v>
      </c>
      <c r="I529" s="0" t="n">
        <v>0.973145162782327</v>
      </c>
      <c r="J529" s="0" t="n">
        <v>119550</v>
      </c>
      <c r="K529" s="0" t="n">
        <v>0</v>
      </c>
      <c r="L529" s="0" t="n">
        <v>594567</v>
      </c>
      <c r="M529" s="0" t="n">
        <v>588781</v>
      </c>
      <c r="N529" s="0" t="n">
        <v>475386</v>
      </c>
      <c r="O529" s="0" t="n">
        <v>4045</v>
      </c>
      <c r="P529" s="0" t="s">
        <v>198</v>
      </c>
      <c r="Q529" s="0" t="n">
        <v>0.358916656995763</v>
      </c>
      <c r="R529" s="0" t="n">
        <v>3.75691693165665</v>
      </c>
      <c r="S529" s="0" t="n">
        <v>326</v>
      </c>
      <c r="T529" s="0" t="n">
        <v>4573</v>
      </c>
      <c r="U529" s="0" t="n">
        <v>0</v>
      </c>
      <c r="V529" s="0" t="n">
        <v>15.7258590273076</v>
      </c>
      <c r="W529" s="0" t="n">
        <v>20240630</v>
      </c>
      <c r="X529" s="0" t="n">
        <v>1.41567060766831</v>
      </c>
      <c r="Y529" s="0" t="n">
        <v>10.9</v>
      </c>
      <c r="Z529" s="0" t="s">
        <v>123</v>
      </c>
    </row>
    <row r="530" customFormat="false" ht="15" hidden="false" customHeight="false" outlineLevel="0" collapsed="false">
      <c r="A530" s="0" t="n">
        <v>530</v>
      </c>
      <c r="B530" s="0" t="n">
        <v>229589</v>
      </c>
      <c r="C530" s="0" t="n">
        <v>59176</v>
      </c>
      <c r="D530" s="0" t="n">
        <v>190049</v>
      </c>
      <c r="E530" s="0" t="n">
        <v>0.09</v>
      </c>
      <c r="F530" s="0" t="n">
        <v>26811</v>
      </c>
      <c r="G530" s="0" t="n">
        <v>11.6778242860067</v>
      </c>
      <c r="H530" s="0" t="s">
        <v>687</v>
      </c>
      <c r="I530" s="0" t="n">
        <v>0.961262725230607</v>
      </c>
      <c r="J530" s="0" t="n">
        <v>21990</v>
      </c>
      <c r="K530" s="0" t="n">
        <v>1</v>
      </c>
      <c r="L530" s="0" t="n">
        <v>167384</v>
      </c>
      <c r="M530" s="0" t="n">
        <v>165775</v>
      </c>
      <c r="N530" s="0" t="n">
        <v>145359</v>
      </c>
      <c r="O530" s="0" t="n">
        <v>0</v>
      </c>
      <c r="P530" s="0" t="s">
        <v>200</v>
      </c>
      <c r="Q530" s="0" t="n">
        <v>0</v>
      </c>
      <c r="R530" s="0" t="n">
        <v>2.33544128301684</v>
      </c>
      <c r="S530" s="0" t="n">
        <v>-32</v>
      </c>
      <c r="T530" s="0" t="n">
        <v>2371</v>
      </c>
      <c r="U530" s="0" t="n">
        <v>0</v>
      </c>
      <c r="V530" s="0" t="n">
        <v>0</v>
      </c>
      <c r="W530" s="0" t="n">
        <v>20240630</v>
      </c>
      <c r="X530" s="0" t="n">
        <v>-0.0574175999443223</v>
      </c>
      <c r="Y530" s="0" t="n">
        <v>-0.52</v>
      </c>
      <c r="Z530" s="0" t="s">
        <v>123</v>
      </c>
    </row>
    <row r="531" customFormat="false" ht="15" hidden="false" customHeight="false" outlineLevel="0" collapsed="false">
      <c r="A531" s="0" t="n">
        <v>531</v>
      </c>
      <c r="B531" s="0" t="n">
        <v>105919</v>
      </c>
      <c r="C531" s="0" t="n">
        <v>59289</v>
      </c>
      <c r="D531" s="0" t="n">
        <v>86145</v>
      </c>
      <c r="E531" s="0" t="n">
        <v>0.29</v>
      </c>
      <c r="F531" s="0" t="n">
        <v>18695</v>
      </c>
      <c r="G531" s="0" t="n">
        <v>17.6502799308906</v>
      </c>
      <c r="H531" s="0" t="s">
        <v>688</v>
      </c>
      <c r="I531" s="0" t="n">
        <v>1.16018765451325</v>
      </c>
      <c r="J531" s="0" t="n">
        <v>29253</v>
      </c>
      <c r="K531" s="0" t="n">
        <v>0</v>
      </c>
      <c r="L531" s="0" t="n">
        <v>51371</v>
      </c>
      <c r="M531" s="0" t="n">
        <v>50775</v>
      </c>
      <c r="N531" s="0" t="n">
        <v>20661</v>
      </c>
      <c r="O531" s="0" t="n">
        <v>326</v>
      </c>
      <c r="P531" s="0" t="s">
        <v>364</v>
      </c>
      <c r="Q531" s="0" t="n">
        <v>0.634599287535769</v>
      </c>
      <c r="R531" s="0" t="n">
        <v>4.06258129250437</v>
      </c>
      <c r="S531" s="0" t="n">
        <v>0</v>
      </c>
      <c r="T531" s="0" t="n">
        <v>4505</v>
      </c>
      <c r="U531" s="0" t="n">
        <v>0</v>
      </c>
      <c r="V531" s="0" t="n">
        <v>0</v>
      </c>
      <c r="W531" s="0" t="n">
        <v>20240630</v>
      </c>
      <c r="X531" s="0" t="n">
        <v>-1.13039059096849</v>
      </c>
      <c r="Y531" s="0" t="n">
        <v>-5.49</v>
      </c>
      <c r="Z531" s="0" t="s">
        <v>123</v>
      </c>
    </row>
    <row r="532" customFormat="false" ht="15" hidden="false" customHeight="false" outlineLevel="0" collapsed="false">
      <c r="A532" s="0" t="n">
        <v>532</v>
      </c>
      <c r="B532" s="0" t="n">
        <v>218470</v>
      </c>
      <c r="C532" s="0" t="n">
        <v>59298</v>
      </c>
      <c r="D532" s="0" t="n">
        <v>191471</v>
      </c>
      <c r="E532" s="0" t="n">
        <v>0.25</v>
      </c>
      <c r="F532" s="0" t="n">
        <v>25754</v>
      </c>
      <c r="G532" s="0" t="n">
        <v>11.7883462260265</v>
      </c>
      <c r="H532" s="0" t="s">
        <v>689</v>
      </c>
      <c r="I532" s="0" t="n">
        <v>0.788515972503033</v>
      </c>
      <c r="J532" s="0" t="n">
        <v>19454</v>
      </c>
      <c r="K532" s="0" t="n">
        <v>0</v>
      </c>
      <c r="L532" s="0" t="n">
        <v>98920</v>
      </c>
      <c r="M532" s="0" t="n">
        <v>98140</v>
      </c>
      <c r="N532" s="0" t="n">
        <v>79488</v>
      </c>
      <c r="O532" s="0" t="n">
        <v>0</v>
      </c>
      <c r="P532" s="0" t="s">
        <v>310</v>
      </c>
      <c r="Q532" s="0" t="n">
        <v>0</v>
      </c>
      <c r="R532" s="0" t="n">
        <v>2.09333816771864</v>
      </c>
      <c r="S532" s="0" t="n">
        <v>0</v>
      </c>
      <c r="T532" s="0" t="n">
        <v>0</v>
      </c>
      <c r="U532" s="0" t="n">
        <v>0</v>
      </c>
      <c r="V532" s="0" t="n">
        <v>0</v>
      </c>
      <c r="W532" s="0" t="n">
        <v>20240630</v>
      </c>
      <c r="X532" s="0" t="n">
        <v>-1.24942004259719</v>
      </c>
      <c r="Y532" s="0" t="n">
        <v>-8.62</v>
      </c>
      <c r="Z532" s="0" t="s">
        <v>112</v>
      </c>
    </row>
    <row r="533" customFormat="false" ht="15" hidden="false" customHeight="false" outlineLevel="0" collapsed="false">
      <c r="A533" s="0" t="n">
        <v>533</v>
      </c>
      <c r="B533" s="0" t="n">
        <v>1099892</v>
      </c>
      <c r="C533" s="0" t="n">
        <v>6271</v>
      </c>
      <c r="D533" s="0" t="n">
        <v>850097</v>
      </c>
      <c r="E533" s="0" t="n">
        <v>0.12</v>
      </c>
      <c r="F533" s="0" t="n">
        <v>103229</v>
      </c>
      <c r="G533" s="0" t="n">
        <v>9.38537601873639</v>
      </c>
      <c r="H533" s="0" t="s">
        <v>690</v>
      </c>
      <c r="I533" s="0" t="n">
        <v>1.1977144234435</v>
      </c>
      <c r="J533" s="0" t="n">
        <v>129288</v>
      </c>
      <c r="K533" s="0" t="n">
        <v>7297</v>
      </c>
      <c r="L533" s="0" t="n">
        <v>862977</v>
      </c>
      <c r="M533" s="0" t="n">
        <v>852641</v>
      </c>
      <c r="N533" s="0" t="n">
        <v>686602</v>
      </c>
      <c r="O533" s="0" t="n">
        <v>5816</v>
      </c>
      <c r="P533" s="0" t="s">
        <v>202</v>
      </c>
      <c r="Q533" s="0" t="n">
        <v>0.751584341181746</v>
      </c>
      <c r="R533" s="0" t="n">
        <v>3.28546061949211</v>
      </c>
      <c r="S533" s="0" t="n">
        <v>177</v>
      </c>
      <c r="T533" s="0" t="n">
        <v>1210</v>
      </c>
      <c r="U533" s="0" t="n">
        <v>670</v>
      </c>
      <c r="V533" s="0" t="n">
        <v>14.8842709917216</v>
      </c>
      <c r="W533" s="0" t="n">
        <v>20240630</v>
      </c>
      <c r="X533" s="0" t="n">
        <v>1.11624647825961</v>
      </c>
      <c r="Y533" s="0" t="n">
        <v>12.06</v>
      </c>
      <c r="Z533" s="0" t="s">
        <v>112</v>
      </c>
    </row>
    <row r="534" customFormat="false" ht="15" hidden="false" customHeight="false" outlineLevel="0" collapsed="false">
      <c r="A534" s="0" t="n">
        <v>534</v>
      </c>
      <c r="B534" s="0" t="n">
        <v>555322</v>
      </c>
      <c r="C534" s="0" t="n">
        <v>6275</v>
      </c>
      <c r="D534" s="0" t="n">
        <v>475950</v>
      </c>
      <c r="E534" s="0" t="n">
        <v>0.02</v>
      </c>
      <c r="F534" s="0" t="n">
        <v>30528</v>
      </c>
      <c r="G534" s="0" t="n">
        <v>5.49735108639672</v>
      </c>
      <c r="H534" s="0" t="s">
        <v>691</v>
      </c>
      <c r="I534" s="0" t="n">
        <v>0.408619415053366</v>
      </c>
      <c r="J534" s="0" t="n">
        <v>39014</v>
      </c>
      <c r="K534" s="0" t="n">
        <v>10906</v>
      </c>
      <c r="L534" s="0" t="n">
        <v>346288</v>
      </c>
      <c r="M534" s="0" t="n">
        <v>344873</v>
      </c>
      <c r="N534" s="0" t="n">
        <v>286833</v>
      </c>
      <c r="O534" s="0" t="n">
        <v>1132</v>
      </c>
      <c r="P534" s="0" t="s">
        <v>204</v>
      </c>
      <c r="Q534" s="0" t="n">
        <v>0.326895532042693</v>
      </c>
      <c r="R534" s="0" t="n">
        <v>2.76773551547238</v>
      </c>
      <c r="S534" s="0" t="n">
        <v>10</v>
      </c>
      <c r="T534" s="0" t="n">
        <v>525</v>
      </c>
      <c r="U534" s="0" t="n">
        <v>0</v>
      </c>
      <c r="V534" s="0" t="n">
        <v>14.8227959202203</v>
      </c>
      <c r="W534" s="0" t="n">
        <v>20240630</v>
      </c>
      <c r="X534" s="0" t="n">
        <v>0.484528661086993</v>
      </c>
      <c r="Y534" s="0" t="n">
        <v>8.86</v>
      </c>
      <c r="Z534" s="0" t="s">
        <v>112</v>
      </c>
    </row>
    <row r="535" customFormat="false" ht="15" hidden="false" customHeight="false" outlineLevel="0" collapsed="false">
      <c r="A535" s="0" t="n">
        <v>535</v>
      </c>
      <c r="B535" s="0" t="n">
        <v>81265</v>
      </c>
      <c r="C535" s="0" t="n">
        <v>6280</v>
      </c>
      <c r="D535" s="0" t="n">
        <v>71124</v>
      </c>
      <c r="E535" s="0" t="n">
        <v>0.01</v>
      </c>
      <c r="F535" s="0" t="n">
        <v>9570</v>
      </c>
      <c r="G535" s="0" t="n">
        <v>11.7762874546238</v>
      </c>
      <c r="H535" s="0" t="s">
        <v>692</v>
      </c>
      <c r="I535" s="0" t="n">
        <v>1.30825599860142</v>
      </c>
      <c r="J535" s="0" t="n">
        <v>4325</v>
      </c>
      <c r="K535" s="0" t="n">
        <v>1574</v>
      </c>
      <c r="L535" s="0" t="n">
        <v>68641</v>
      </c>
      <c r="M535" s="0" t="n">
        <v>67743</v>
      </c>
      <c r="N535" s="0" t="n">
        <v>59949</v>
      </c>
      <c r="O535" s="0" t="n">
        <v>1206</v>
      </c>
      <c r="P535" s="0" t="s">
        <v>206</v>
      </c>
      <c r="Q535" s="0" t="n">
        <v>1.75696741014845</v>
      </c>
      <c r="R535" s="0" t="n">
        <v>4.66340562662571</v>
      </c>
      <c r="S535" s="0" t="n">
        <v>1</v>
      </c>
      <c r="T535" s="0" t="n">
        <v>566</v>
      </c>
      <c r="U535" s="0" t="n">
        <v>0</v>
      </c>
      <c r="V535" s="0" t="n">
        <v>0</v>
      </c>
      <c r="W535" s="0" t="n">
        <v>20240630</v>
      </c>
      <c r="X535" s="0" t="n">
        <v>1.4362928525532</v>
      </c>
      <c r="Y535" s="0" t="n">
        <v>11.96</v>
      </c>
      <c r="Z535" s="0" t="s">
        <v>112</v>
      </c>
    </row>
    <row r="536" customFormat="false" ht="15" hidden="false" customHeight="false" outlineLevel="0" collapsed="false">
      <c r="A536" s="0" t="n">
        <v>536</v>
      </c>
      <c r="B536" s="0" t="n">
        <v>4025992</v>
      </c>
      <c r="C536" s="0" t="n">
        <v>11971</v>
      </c>
      <c r="D536" s="0" t="n">
        <v>3269616</v>
      </c>
      <c r="E536" s="0" t="n">
        <v>0.03</v>
      </c>
      <c r="F536" s="0" t="n">
        <v>513464</v>
      </c>
      <c r="G536" s="0" t="n">
        <v>12.7537262865897</v>
      </c>
      <c r="H536" s="0" t="s">
        <v>693</v>
      </c>
      <c r="I536" s="0" t="n">
        <v>0.941386120758078</v>
      </c>
      <c r="J536" s="0" t="n">
        <v>208964</v>
      </c>
      <c r="K536" s="0" t="n">
        <v>7873</v>
      </c>
      <c r="L536" s="0" t="n">
        <v>3083007</v>
      </c>
      <c r="M536" s="0" t="n">
        <v>3053984</v>
      </c>
      <c r="N536" s="0" t="n">
        <v>2726474</v>
      </c>
      <c r="O536" s="0" t="n">
        <v>7100</v>
      </c>
      <c r="P536" s="0" t="s">
        <v>104</v>
      </c>
      <c r="Q536" s="0" t="n">
        <v>0.230294644157473</v>
      </c>
      <c r="R536" s="0" t="n">
        <v>3.2481714510262</v>
      </c>
      <c r="S536" s="0" t="n">
        <v>221</v>
      </c>
      <c r="T536" s="0" t="n">
        <v>2038</v>
      </c>
      <c r="U536" s="0" t="n">
        <v>0</v>
      </c>
      <c r="V536" s="0" t="n">
        <v>14.1709737676617</v>
      </c>
      <c r="W536" s="0" t="n">
        <v>20240930</v>
      </c>
      <c r="X536" s="0" t="n">
        <v>1.25603124970666</v>
      </c>
      <c r="Y536" s="0" t="n">
        <v>10.14</v>
      </c>
      <c r="Z536" s="0" t="s">
        <v>105</v>
      </c>
    </row>
    <row r="537" customFormat="false" ht="15" hidden="false" customHeight="false" outlineLevel="0" collapsed="false">
      <c r="A537" s="0" t="n">
        <v>537</v>
      </c>
      <c r="B537" s="0" t="n">
        <v>1048081</v>
      </c>
      <c r="C537" s="0" t="n">
        <v>12874</v>
      </c>
      <c r="D537" s="0" t="n">
        <v>886959</v>
      </c>
      <c r="E537" s="0" t="n">
        <v>-0.01</v>
      </c>
      <c r="F537" s="0" t="n">
        <v>113573</v>
      </c>
      <c r="G537" s="0" t="n">
        <v>10.8362807836417</v>
      </c>
      <c r="H537" s="0" t="s">
        <v>694</v>
      </c>
      <c r="I537" s="0" t="n">
        <v>0.962254165632872</v>
      </c>
      <c r="J537" s="0" t="n">
        <v>162708</v>
      </c>
      <c r="K537" s="0" t="n">
        <v>4774</v>
      </c>
      <c r="L537" s="0" t="n">
        <v>818183</v>
      </c>
      <c r="M537" s="0" t="n">
        <v>810310</v>
      </c>
      <c r="N537" s="0" t="n">
        <v>635002</v>
      </c>
      <c r="O537" s="0" t="n">
        <v>1535</v>
      </c>
      <c r="P537" s="0" t="s">
        <v>107</v>
      </c>
      <c r="Q537" s="0" t="n">
        <v>0.190910835351016</v>
      </c>
      <c r="R537" s="0" t="n">
        <v>3.64517832397801</v>
      </c>
      <c r="S537" s="0" t="n">
        <v>-18</v>
      </c>
      <c r="T537" s="0" t="n">
        <v>568</v>
      </c>
      <c r="U537" s="0" t="n">
        <v>27</v>
      </c>
      <c r="V537" s="0" t="n">
        <v>16.2659086030794</v>
      </c>
      <c r="W537" s="0" t="n">
        <v>20240930</v>
      </c>
      <c r="X537" s="0" t="n">
        <v>0.901173084941212</v>
      </c>
      <c r="Y537" s="0" t="n">
        <v>8.57</v>
      </c>
      <c r="Z537" s="0" t="s">
        <v>105</v>
      </c>
    </row>
    <row r="538" customFormat="false" ht="15" hidden="false" customHeight="false" outlineLevel="0" collapsed="false">
      <c r="A538" s="0" t="n">
        <v>538</v>
      </c>
      <c r="B538" s="0" t="n">
        <v>1856523</v>
      </c>
      <c r="C538" s="0" t="n">
        <v>13063</v>
      </c>
      <c r="D538" s="0" t="n">
        <v>1649721</v>
      </c>
      <c r="E538" s="0" t="n">
        <v>0</v>
      </c>
      <c r="F538" s="0" t="n">
        <v>158562</v>
      </c>
      <c r="G538" s="0" t="n">
        <v>8.54080450390326</v>
      </c>
      <c r="H538" s="0" t="s">
        <v>695</v>
      </c>
      <c r="I538" s="0" t="n">
        <v>1.11857156495075</v>
      </c>
      <c r="J538" s="0" t="n">
        <v>54955</v>
      </c>
      <c r="K538" s="0" t="n">
        <v>756</v>
      </c>
      <c r="L538" s="0" t="n">
        <v>1476973</v>
      </c>
      <c r="M538" s="0" t="n">
        <v>1460452</v>
      </c>
      <c r="N538" s="0" t="n">
        <v>1407554</v>
      </c>
      <c r="O538" s="0" t="n">
        <v>503</v>
      </c>
      <c r="P538" s="0" t="s">
        <v>109</v>
      </c>
      <c r="Q538" s="0" t="n">
        <v>0.0340561404981675</v>
      </c>
      <c r="R538" s="0" t="n">
        <v>3.09312941385462</v>
      </c>
      <c r="S538" s="0" t="n">
        <v>-33</v>
      </c>
      <c r="T538" s="0" t="n">
        <v>5182</v>
      </c>
      <c r="U538" s="0" t="n">
        <v>0</v>
      </c>
      <c r="V538" s="0" t="n">
        <v>0</v>
      </c>
      <c r="W538" s="0" t="n">
        <v>20240930</v>
      </c>
      <c r="X538" s="0" t="n">
        <v>0.459638695982449</v>
      </c>
      <c r="Y538" s="0" t="n">
        <v>5.66</v>
      </c>
      <c r="Z538" s="0" t="s">
        <v>105</v>
      </c>
    </row>
    <row r="539" customFormat="false" ht="15" hidden="false" customHeight="false" outlineLevel="0" collapsed="false">
      <c r="A539" s="0" t="n">
        <v>539</v>
      </c>
      <c r="B539" s="0" t="n">
        <v>881237</v>
      </c>
      <c r="C539" s="0" t="n">
        <v>14134</v>
      </c>
      <c r="D539" s="0" t="n">
        <v>697247</v>
      </c>
      <c r="E539" s="0" t="n">
        <v>0.09</v>
      </c>
      <c r="F539" s="0" t="n">
        <v>113479</v>
      </c>
      <c r="G539" s="0" t="n">
        <v>12.8772396075063</v>
      </c>
      <c r="H539" s="0" t="s">
        <v>696</v>
      </c>
      <c r="I539" s="0" t="n">
        <v>1.14027999143992</v>
      </c>
      <c r="J539" s="0" t="n">
        <v>25355</v>
      </c>
      <c r="K539" s="0" t="n">
        <v>21380</v>
      </c>
      <c r="L539" s="0" t="n">
        <v>626162</v>
      </c>
      <c r="M539" s="0" t="n">
        <v>619022</v>
      </c>
      <c r="N539" s="0" t="n">
        <v>553522</v>
      </c>
      <c r="O539" s="0" t="n">
        <v>8606</v>
      </c>
      <c r="P539" s="0" t="s">
        <v>111</v>
      </c>
      <c r="Q539" s="0" t="n">
        <v>1.37440470676918</v>
      </c>
      <c r="R539" s="0" t="n">
        <v>2.99437200701751</v>
      </c>
      <c r="S539" s="0" t="n">
        <v>698</v>
      </c>
      <c r="T539" s="0" t="n">
        <v>4368</v>
      </c>
      <c r="U539" s="0" t="n">
        <v>0</v>
      </c>
      <c r="V539" s="0" t="n">
        <v>19.944591622946</v>
      </c>
      <c r="W539" s="0" t="n">
        <v>20240930</v>
      </c>
      <c r="X539" s="0" t="n">
        <v>0.952621592945186</v>
      </c>
      <c r="Y539" s="0" t="n">
        <v>7.47</v>
      </c>
      <c r="Z539" s="0" t="s">
        <v>112</v>
      </c>
    </row>
    <row r="540" customFormat="false" ht="15" hidden="false" customHeight="false" outlineLevel="0" collapsed="false">
      <c r="A540" s="0" t="n">
        <v>540</v>
      </c>
      <c r="B540" s="0" t="n">
        <v>238286</v>
      </c>
      <c r="C540" s="0" t="n">
        <v>14136</v>
      </c>
      <c r="D540" s="0" t="n">
        <v>200050</v>
      </c>
      <c r="E540" s="0" t="n">
        <v>-0.02</v>
      </c>
      <c r="F540" s="0" t="n">
        <v>19934</v>
      </c>
      <c r="G540" s="0" t="n">
        <v>8.36557749930756</v>
      </c>
      <c r="H540" s="0" t="s">
        <v>697</v>
      </c>
      <c r="I540" s="0" t="n">
        <v>1.0047907211296</v>
      </c>
      <c r="J540" s="0" t="n">
        <v>14936</v>
      </c>
      <c r="K540" s="0" t="n">
        <v>15174</v>
      </c>
      <c r="L540" s="0" t="n">
        <v>158640</v>
      </c>
      <c r="M540" s="0" t="n">
        <v>157046</v>
      </c>
      <c r="N540" s="0" t="n">
        <v>128174</v>
      </c>
      <c r="O540" s="0" t="n">
        <v>517</v>
      </c>
      <c r="P540" s="0" t="s">
        <v>114</v>
      </c>
      <c r="Q540" s="0" t="n">
        <v>0.724911749873928</v>
      </c>
      <c r="R540" s="0" t="n">
        <v>3.7688092309468</v>
      </c>
      <c r="S540" s="0" t="n">
        <v>263</v>
      </c>
      <c r="T540" s="0" t="n">
        <v>735</v>
      </c>
      <c r="U540" s="0" t="n">
        <v>633</v>
      </c>
      <c r="V540" s="0" t="n">
        <v>18.0331440644395</v>
      </c>
      <c r="W540" s="0" t="n">
        <v>20240930</v>
      </c>
      <c r="X540" s="0" t="n">
        <v>0.549679011145021</v>
      </c>
      <c r="Y540" s="0" t="n">
        <v>7.18</v>
      </c>
      <c r="Z540" s="0" t="s">
        <v>112</v>
      </c>
    </row>
    <row r="541" customFormat="false" ht="15" hidden="false" customHeight="false" outlineLevel="0" collapsed="false">
      <c r="A541" s="0" t="n">
        <v>541</v>
      </c>
      <c r="B541" s="0" t="n">
        <v>1527182</v>
      </c>
      <c r="C541" s="0" t="n">
        <v>14140</v>
      </c>
      <c r="D541" s="0" t="n">
        <v>1238363</v>
      </c>
      <c r="E541" s="0" t="n">
        <v>-0.04</v>
      </c>
      <c r="F541" s="0" t="n">
        <v>137226</v>
      </c>
      <c r="G541" s="0" t="n">
        <v>8.98556949990244</v>
      </c>
      <c r="H541" s="0" t="s">
        <v>698</v>
      </c>
      <c r="I541" s="0" t="n">
        <v>0.783171740270773</v>
      </c>
      <c r="J541" s="0" t="n">
        <v>88796</v>
      </c>
      <c r="K541" s="0" t="n">
        <v>1620</v>
      </c>
      <c r="L541" s="0" t="n">
        <v>1092353</v>
      </c>
      <c r="M541" s="0" t="n">
        <v>1083798</v>
      </c>
      <c r="N541" s="0" t="n">
        <v>974171</v>
      </c>
      <c r="O541" s="0" t="n">
        <v>2124</v>
      </c>
      <c r="P541" s="0" t="s">
        <v>116</v>
      </c>
      <c r="Q541" s="0" t="n">
        <v>0.194442638963778</v>
      </c>
      <c r="R541" s="0" t="n">
        <v>2.38536873804973</v>
      </c>
      <c r="S541" s="0" t="n">
        <v>48</v>
      </c>
      <c r="T541" s="0" t="n">
        <v>25</v>
      </c>
      <c r="U541" s="0" t="n">
        <v>0</v>
      </c>
      <c r="V541" s="0" t="n">
        <v>0</v>
      </c>
      <c r="W541" s="0" t="n">
        <v>20240930</v>
      </c>
      <c r="X541" s="0" t="n">
        <v>0.289026150270388</v>
      </c>
      <c r="Y541" s="0" t="n">
        <v>3.37</v>
      </c>
      <c r="Z541" s="0" t="s">
        <v>112</v>
      </c>
    </row>
    <row r="542" customFormat="false" ht="15" hidden="false" customHeight="false" outlineLevel="0" collapsed="false">
      <c r="A542" s="0" t="n">
        <v>542</v>
      </c>
      <c r="B542" s="0" t="n">
        <v>1518788</v>
      </c>
      <c r="C542" s="0" t="n">
        <v>14158</v>
      </c>
      <c r="D542" s="0" t="n">
        <v>1176600</v>
      </c>
      <c r="E542" s="0" t="n">
        <v>0.05</v>
      </c>
      <c r="F542" s="0" t="n">
        <v>88128</v>
      </c>
      <c r="G542" s="0" t="n">
        <v>5.80252148423612</v>
      </c>
      <c r="H542" s="0" t="s">
        <v>699</v>
      </c>
      <c r="I542" s="0" t="n">
        <v>0.65305528982764</v>
      </c>
      <c r="J542" s="0" t="n">
        <v>38744</v>
      </c>
      <c r="K542" s="0" t="n">
        <v>2036</v>
      </c>
      <c r="L542" s="0" t="n">
        <v>1127929</v>
      </c>
      <c r="M542" s="0" t="n">
        <v>1120563</v>
      </c>
      <c r="N542" s="0" t="n">
        <v>979666</v>
      </c>
      <c r="O542" s="0" t="n">
        <v>1709</v>
      </c>
      <c r="P542" s="0" t="s">
        <v>118</v>
      </c>
      <c r="Q542" s="0" t="n">
        <v>0.174124435137318</v>
      </c>
      <c r="R542" s="0" t="n">
        <v>2.80849544548636</v>
      </c>
      <c r="S542" s="0" t="n">
        <v>-16</v>
      </c>
      <c r="T542" s="0" t="n">
        <v>1116</v>
      </c>
      <c r="U542" s="0" t="n">
        <v>255</v>
      </c>
      <c r="V542" s="0" t="n">
        <v>12.7326927079282</v>
      </c>
      <c r="W542" s="0" t="n">
        <v>20240930</v>
      </c>
      <c r="X542" s="0" t="n">
        <v>0.591958039788572</v>
      </c>
      <c r="Y542" s="0" t="n">
        <v>10.41</v>
      </c>
      <c r="Z542" s="0" t="s">
        <v>112</v>
      </c>
    </row>
    <row r="543" customFormat="false" ht="15" hidden="false" customHeight="false" outlineLevel="0" collapsed="false">
      <c r="A543" s="0" t="n">
        <v>543</v>
      </c>
      <c r="B543" s="0" t="n">
        <v>371732</v>
      </c>
      <c r="C543" s="0" t="n">
        <v>14168</v>
      </c>
      <c r="D543" s="0" t="n">
        <v>328030</v>
      </c>
      <c r="E543" s="0" t="n">
        <v>0.05</v>
      </c>
      <c r="F543" s="0" t="n">
        <v>38425</v>
      </c>
      <c r="G543" s="0" t="n">
        <v>10.3367479797273</v>
      </c>
      <c r="H543" s="0" t="s">
        <v>700</v>
      </c>
      <c r="I543" s="0" t="n">
        <v>1.52776381114128</v>
      </c>
      <c r="J543" s="0" t="n">
        <v>11832</v>
      </c>
      <c r="K543" s="0" t="n">
        <v>10190</v>
      </c>
      <c r="L543" s="0" t="n">
        <v>268497</v>
      </c>
      <c r="M543" s="0" t="n">
        <v>264395</v>
      </c>
      <c r="N543" s="0" t="n">
        <v>228801</v>
      </c>
      <c r="O543" s="0" t="n">
        <v>865</v>
      </c>
      <c r="P543" s="0" t="s">
        <v>120</v>
      </c>
      <c r="Q543" s="0" t="n">
        <v>0.32290863585068</v>
      </c>
      <c r="R543" s="0" t="n">
        <v>4.10567266565625</v>
      </c>
      <c r="S543" s="0" t="n">
        <v>48</v>
      </c>
      <c r="T543" s="0" t="n">
        <v>569</v>
      </c>
      <c r="U543" s="0" t="n">
        <v>2</v>
      </c>
      <c r="V543" s="0" t="n">
        <v>16.4355401593798</v>
      </c>
      <c r="W543" s="0" t="n">
        <v>20240930</v>
      </c>
      <c r="X543" s="0" t="n">
        <v>1.07473840142319</v>
      </c>
      <c r="Y543" s="0" t="n">
        <v>10.88</v>
      </c>
      <c r="Z543" s="0" t="s">
        <v>112</v>
      </c>
    </row>
    <row r="544" customFormat="false" ht="15" hidden="false" customHeight="false" outlineLevel="0" collapsed="false">
      <c r="A544" s="0" t="n">
        <v>544</v>
      </c>
      <c r="B544" s="0" t="n">
        <v>1215556</v>
      </c>
      <c r="C544" s="0" t="n">
        <v>14240</v>
      </c>
      <c r="D544" s="0" t="n">
        <v>1013911</v>
      </c>
      <c r="E544" s="0" t="n">
        <v>0</v>
      </c>
      <c r="F544" s="0" t="n">
        <v>96896</v>
      </c>
      <c r="G544" s="0" t="n">
        <v>7.97133163753871</v>
      </c>
      <c r="H544" s="0" t="s">
        <v>701</v>
      </c>
      <c r="I544" s="0" t="n">
        <v>1.17326404027878</v>
      </c>
      <c r="J544" s="0" t="n">
        <v>28907</v>
      </c>
      <c r="K544" s="0" t="n">
        <v>13307</v>
      </c>
      <c r="L544" s="0" t="n">
        <v>912838</v>
      </c>
      <c r="M544" s="0" t="n">
        <v>902128</v>
      </c>
      <c r="N544" s="0" t="n">
        <v>772079</v>
      </c>
      <c r="O544" s="0" t="n">
        <v>3698</v>
      </c>
      <c r="P544" s="0" t="s">
        <v>122</v>
      </c>
      <c r="Q544" s="0" t="n">
        <v>0.40511021670877</v>
      </c>
      <c r="R544" s="0" t="n">
        <v>2.72606205313891</v>
      </c>
      <c r="S544" s="0" t="n">
        <v>-14</v>
      </c>
      <c r="T544" s="0" t="n">
        <v>516</v>
      </c>
      <c r="U544" s="0" t="n">
        <v>0</v>
      </c>
      <c r="V544" s="0" t="n">
        <v>16.518911598904</v>
      </c>
      <c r="W544" s="0" t="n">
        <v>20240930</v>
      </c>
      <c r="X544" s="0" t="n">
        <v>0.459382516970762</v>
      </c>
      <c r="Y544" s="0" t="n">
        <v>6.33</v>
      </c>
      <c r="Z544" s="0" t="s">
        <v>123</v>
      </c>
    </row>
    <row r="545" customFormat="false" ht="15" hidden="false" customHeight="false" outlineLevel="0" collapsed="false">
      <c r="A545" s="0" t="n">
        <v>545</v>
      </c>
      <c r="B545" s="0" t="n">
        <v>1064825</v>
      </c>
      <c r="C545" s="0" t="n">
        <v>17115</v>
      </c>
      <c r="D545" s="0" t="n">
        <v>811295</v>
      </c>
      <c r="E545" s="0" t="n">
        <v>0.01</v>
      </c>
      <c r="F545" s="0" t="n">
        <v>93281</v>
      </c>
      <c r="G545" s="0" t="n">
        <v>8.76021881529829</v>
      </c>
      <c r="H545" s="0" t="s">
        <v>702</v>
      </c>
      <c r="I545" s="0" t="n">
        <v>1.00700683936323</v>
      </c>
      <c r="J545" s="0" t="n">
        <v>40658</v>
      </c>
      <c r="K545" s="0" t="n">
        <v>6674</v>
      </c>
      <c r="L545" s="0" t="n">
        <v>883708</v>
      </c>
      <c r="M545" s="0" t="n">
        <v>874809</v>
      </c>
      <c r="N545" s="0" t="n">
        <v>834346</v>
      </c>
      <c r="O545" s="0" t="n">
        <v>2417</v>
      </c>
      <c r="P545" s="0" t="s">
        <v>125</v>
      </c>
      <c r="Q545" s="0" t="n">
        <v>0.273506633412847</v>
      </c>
      <c r="R545" s="0" t="n">
        <v>2.59571965861029</v>
      </c>
      <c r="S545" s="0" t="n">
        <v>74</v>
      </c>
      <c r="T545" s="0" t="n">
        <v>395</v>
      </c>
      <c r="U545" s="0" t="n">
        <v>0</v>
      </c>
      <c r="V545" s="0" t="n">
        <v>14.1631497814056</v>
      </c>
      <c r="W545" s="0" t="n">
        <v>20240930</v>
      </c>
      <c r="X545" s="0" t="n">
        <v>0.320784489973106</v>
      </c>
      <c r="Y545" s="0" t="n">
        <v>3.86</v>
      </c>
      <c r="Z545" s="0" t="s">
        <v>105</v>
      </c>
    </row>
    <row r="546" customFormat="false" ht="15" hidden="false" customHeight="false" outlineLevel="0" collapsed="false">
      <c r="A546" s="0" t="n">
        <v>546</v>
      </c>
      <c r="B546" s="0" t="n">
        <v>1621350</v>
      </c>
      <c r="C546" s="0" t="n">
        <v>17180</v>
      </c>
      <c r="D546" s="0" t="n">
        <v>1203070</v>
      </c>
      <c r="E546" s="0" t="n">
        <v>0.08</v>
      </c>
      <c r="F546" s="0" t="n">
        <v>143061</v>
      </c>
      <c r="G546" s="0" t="n">
        <v>8.82357294846887</v>
      </c>
      <c r="H546" s="0" t="s">
        <v>703</v>
      </c>
      <c r="I546" s="0" t="n">
        <v>1.03190149955549</v>
      </c>
      <c r="J546" s="0" t="n">
        <v>40098</v>
      </c>
      <c r="K546" s="0" t="n">
        <v>171858</v>
      </c>
      <c r="L546" s="0" t="n">
        <v>1443161</v>
      </c>
      <c r="M546" s="0" t="n">
        <v>1428269</v>
      </c>
      <c r="N546" s="0" t="n">
        <v>1205697</v>
      </c>
      <c r="O546" s="0" t="n">
        <v>5975</v>
      </c>
      <c r="P546" s="0" t="s">
        <v>127</v>
      </c>
      <c r="Q546" s="0" t="n">
        <v>0.414021720376313</v>
      </c>
      <c r="R546" s="0" t="n">
        <v>2.64602130327718</v>
      </c>
      <c r="S546" s="0" t="n">
        <v>172</v>
      </c>
      <c r="T546" s="0" t="n">
        <v>1130</v>
      </c>
      <c r="U546" s="0" t="n">
        <v>0</v>
      </c>
      <c r="V546" s="0" t="n">
        <v>15.09738503074</v>
      </c>
      <c r="W546" s="0" t="n">
        <v>20240930</v>
      </c>
      <c r="X546" s="0" t="n">
        <v>0.397392188864424</v>
      </c>
      <c r="Y546" s="0" t="n">
        <v>4.68</v>
      </c>
      <c r="Z546" s="0" t="s">
        <v>123</v>
      </c>
    </row>
    <row r="547" customFormat="false" ht="15" hidden="false" customHeight="false" outlineLevel="0" collapsed="false">
      <c r="A547" s="0" t="n">
        <v>547</v>
      </c>
      <c r="B547" s="0" t="n">
        <v>366752</v>
      </c>
      <c r="C547" s="0" t="n">
        <v>17443</v>
      </c>
      <c r="D547" s="0" t="n">
        <v>299271</v>
      </c>
      <c r="E547" s="0" t="n">
        <v>-0.08</v>
      </c>
      <c r="F547" s="0" t="n">
        <v>41324</v>
      </c>
      <c r="G547" s="0" t="n">
        <v>11.2675595497775</v>
      </c>
      <c r="H547" s="0" t="s">
        <v>704</v>
      </c>
      <c r="I547" s="0" t="n">
        <v>0.765294478620948</v>
      </c>
      <c r="J547" s="0" t="n">
        <v>0</v>
      </c>
      <c r="K547" s="0" t="n">
        <v>958</v>
      </c>
      <c r="L547" s="0" t="n">
        <v>197179</v>
      </c>
      <c r="M547" s="0" t="n">
        <v>195670</v>
      </c>
      <c r="N547" s="0" t="n">
        <v>195221</v>
      </c>
      <c r="O547" s="0" t="n">
        <v>1019</v>
      </c>
      <c r="P547" s="0" t="s">
        <v>129</v>
      </c>
      <c r="Q547" s="0" t="n">
        <v>0.516789313263583</v>
      </c>
      <c r="R547" s="0" t="n">
        <v>1.1639677406299</v>
      </c>
      <c r="S547" s="0" t="n">
        <v>0</v>
      </c>
      <c r="T547" s="0" t="n">
        <v>1323</v>
      </c>
      <c r="U547" s="0" t="n">
        <v>0</v>
      </c>
      <c r="V547" s="0" t="n">
        <v>0</v>
      </c>
      <c r="W547" s="0" t="n">
        <v>20240930</v>
      </c>
      <c r="X547" s="0" t="n">
        <v>-0.182427732699306</v>
      </c>
      <c r="Y547" s="0" t="n">
        <v>-1.63</v>
      </c>
      <c r="Z547" s="0" t="s">
        <v>123</v>
      </c>
    </row>
    <row r="548" customFormat="false" ht="15" hidden="false" customHeight="false" outlineLevel="0" collapsed="false">
      <c r="A548" s="0" t="n">
        <v>548</v>
      </c>
      <c r="B548" s="0" t="n">
        <v>1980951</v>
      </c>
      <c r="C548" s="0" t="n">
        <v>17658</v>
      </c>
      <c r="D548" s="0" t="n">
        <v>1559068</v>
      </c>
      <c r="E548" s="0" t="n">
        <v>0.03</v>
      </c>
      <c r="F548" s="0" t="n">
        <v>230579</v>
      </c>
      <c r="G548" s="0" t="n">
        <v>11.6398134027545</v>
      </c>
      <c r="H548" s="0" t="s">
        <v>705</v>
      </c>
      <c r="I548" s="0" t="n">
        <v>0.660677081283106</v>
      </c>
      <c r="J548" s="0" t="n">
        <v>108891</v>
      </c>
      <c r="K548" s="0" t="n">
        <v>80000</v>
      </c>
      <c r="L548" s="0" t="n">
        <v>1397203</v>
      </c>
      <c r="M548" s="0" t="n">
        <v>1387972</v>
      </c>
      <c r="N548" s="0" t="n">
        <v>1195334</v>
      </c>
      <c r="O548" s="0" t="n">
        <v>9425</v>
      </c>
      <c r="P548" s="0" t="s">
        <v>131</v>
      </c>
      <c r="Q548" s="0" t="n">
        <v>0.674561964152668</v>
      </c>
      <c r="R548" s="0" t="n">
        <v>3.06913574640286</v>
      </c>
      <c r="S548" s="0" t="n">
        <v>-16</v>
      </c>
      <c r="T548" s="0" t="n">
        <v>2259</v>
      </c>
      <c r="U548" s="0" t="n">
        <v>0</v>
      </c>
      <c r="V548" s="0" t="n">
        <v>0</v>
      </c>
      <c r="W548" s="0" t="n">
        <v>20240930</v>
      </c>
      <c r="X548" s="0" t="n">
        <v>0.960411822183859</v>
      </c>
      <c r="Y548" s="0" t="n">
        <v>8.53</v>
      </c>
      <c r="Z548" s="0" t="s">
        <v>105</v>
      </c>
    </row>
    <row r="549" customFormat="false" ht="15" hidden="false" customHeight="false" outlineLevel="0" collapsed="false">
      <c r="A549" s="0" t="n">
        <v>549</v>
      </c>
      <c r="B549" s="0" t="n">
        <v>1162261</v>
      </c>
      <c r="C549" s="0" t="n">
        <v>17741</v>
      </c>
      <c r="D549" s="0" t="n">
        <v>905592</v>
      </c>
      <c r="E549" s="0" t="n">
        <v>0.05</v>
      </c>
      <c r="F549" s="0" t="n">
        <v>146197</v>
      </c>
      <c r="G549" s="0" t="n">
        <v>12.5786720882831</v>
      </c>
      <c r="H549" s="0" t="s">
        <v>706</v>
      </c>
      <c r="I549" s="0" t="n">
        <v>0.944982635715591</v>
      </c>
      <c r="J549" s="0" t="n">
        <v>49845</v>
      </c>
      <c r="K549" s="0" t="n">
        <v>3969</v>
      </c>
      <c r="L549" s="0" t="n">
        <v>984780</v>
      </c>
      <c r="M549" s="0" t="n">
        <v>975474</v>
      </c>
      <c r="N549" s="0" t="n">
        <v>925810</v>
      </c>
      <c r="O549" s="0" t="n">
        <v>2723</v>
      </c>
      <c r="P549" s="0" t="s">
        <v>133</v>
      </c>
      <c r="Q549" s="0" t="n">
        <v>0.276508458742054</v>
      </c>
      <c r="R549" s="0" t="n">
        <v>3.04519795213915</v>
      </c>
      <c r="S549" s="0" t="n">
        <v>56</v>
      </c>
      <c r="T549" s="0" t="n">
        <v>2027</v>
      </c>
      <c r="U549" s="0" t="n">
        <v>0</v>
      </c>
      <c r="V549" s="0" t="n">
        <v>0</v>
      </c>
      <c r="W549" s="0" t="n">
        <v>20240930</v>
      </c>
      <c r="X549" s="0" t="n">
        <v>0.623215257165778</v>
      </c>
      <c r="Y549" s="0" t="n">
        <v>4.96</v>
      </c>
      <c r="Z549" s="0" t="s">
        <v>105</v>
      </c>
    </row>
    <row r="550" customFormat="false" ht="15" hidden="false" customHeight="false" outlineLevel="0" collapsed="false">
      <c r="A550" s="0" t="n">
        <v>550</v>
      </c>
      <c r="B550" s="0" t="n">
        <v>1427194</v>
      </c>
      <c r="C550" s="0" t="n">
        <v>17743</v>
      </c>
      <c r="D550" s="0" t="n">
        <v>1006052</v>
      </c>
      <c r="E550" s="0" t="n">
        <v>0</v>
      </c>
      <c r="F550" s="0" t="n">
        <v>126250</v>
      </c>
      <c r="G550" s="0" t="n">
        <v>8.84602934149107</v>
      </c>
      <c r="H550" s="0" t="s">
        <v>707</v>
      </c>
      <c r="I550" s="0" t="n">
        <v>0.419704871404992</v>
      </c>
      <c r="J550" s="0" t="n">
        <v>14864</v>
      </c>
      <c r="K550" s="0" t="n">
        <v>10164</v>
      </c>
      <c r="L550" s="0" t="n">
        <v>1138419</v>
      </c>
      <c r="M550" s="0" t="n">
        <v>1133641</v>
      </c>
      <c r="N550" s="0" t="n">
        <v>1102493</v>
      </c>
      <c r="O550" s="0" t="n">
        <v>1621</v>
      </c>
      <c r="P550" s="0" t="s">
        <v>135</v>
      </c>
      <c r="Q550" s="0" t="n">
        <v>0.142390455535264</v>
      </c>
      <c r="R550" s="0" t="n">
        <v>1.89647843215573</v>
      </c>
      <c r="S550" s="0" t="n">
        <v>-25</v>
      </c>
      <c r="T550" s="0" t="n">
        <v>779</v>
      </c>
      <c r="U550" s="0" t="n">
        <v>0</v>
      </c>
      <c r="V550" s="0" t="n">
        <v>0</v>
      </c>
      <c r="W550" s="0" t="n">
        <v>20240930</v>
      </c>
      <c r="X550" s="0" t="n">
        <v>0.0586009796050292</v>
      </c>
      <c r="Y550" s="0" t="n">
        <v>0.67</v>
      </c>
      <c r="Z550" s="0" t="s">
        <v>105</v>
      </c>
    </row>
    <row r="551" customFormat="false" ht="15" hidden="false" customHeight="false" outlineLevel="0" collapsed="false">
      <c r="A551" s="0" t="n">
        <v>551</v>
      </c>
      <c r="B551" s="0" t="n">
        <v>1623796</v>
      </c>
      <c r="C551" s="0" t="n">
        <v>17748</v>
      </c>
      <c r="D551" s="0" t="n">
        <v>1375485</v>
      </c>
      <c r="E551" s="0" t="n">
        <v>-0.1</v>
      </c>
      <c r="F551" s="0" t="n">
        <v>122957</v>
      </c>
      <c r="G551" s="0" t="n">
        <v>7.57219502942488</v>
      </c>
      <c r="H551" s="0" t="s">
        <v>708</v>
      </c>
      <c r="I551" s="0" t="n">
        <v>0.709247032697206</v>
      </c>
      <c r="J551" s="0" t="n">
        <v>156031</v>
      </c>
      <c r="K551" s="0" t="n">
        <v>3252</v>
      </c>
      <c r="L551" s="0" t="n">
        <v>1252737</v>
      </c>
      <c r="M551" s="0" t="n">
        <v>1243852</v>
      </c>
      <c r="N551" s="0" t="n">
        <v>1057786</v>
      </c>
      <c r="O551" s="0" t="n">
        <v>5501</v>
      </c>
      <c r="P551" s="0" t="s">
        <v>137</v>
      </c>
      <c r="Q551" s="0" t="n">
        <v>0.439118506119002</v>
      </c>
      <c r="R551" s="0" t="n">
        <v>2.49460134726616</v>
      </c>
      <c r="S551" s="0" t="n">
        <v>-239</v>
      </c>
      <c r="T551" s="0" t="n">
        <v>1443</v>
      </c>
      <c r="U551" s="0" t="n">
        <v>0</v>
      </c>
      <c r="V551" s="0" t="n">
        <v>0</v>
      </c>
      <c r="W551" s="0" t="n">
        <v>20240930</v>
      </c>
      <c r="X551" s="0" t="n">
        <v>0.356747638834355</v>
      </c>
      <c r="Y551" s="0" t="n">
        <v>5.08</v>
      </c>
      <c r="Z551" s="0" t="s">
        <v>105</v>
      </c>
    </row>
    <row r="552" customFormat="false" ht="15" hidden="false" customHeight="false" outlineLevel="0" collapsed="false">
      <c r="A552" s="0" t="n">
        <v>552</v>
      </c>
      <c r="B552" s="0" t="n">
        <v>1372601</v>
      </c>
      <c r="C552" s="0" t="n">
        <v>17749</v>
      </c>
      <c r="D552" s="0" t="n">
        <v>1059435</v>
      </c>
      <c r="E552" s="0" t="n">
        <v>0.07</v>
      </c>
      <c r="F552" s="0" t="n">
        <v>190135</v>
      </c>
      <c r="G552" s="0" t="n">
        <v>13.8521682557422</v>
      </c>
      <c r="H552" s="0" t="s">
        <v>709</v>
      </c>
      <c r="I552" s="0" t="n">
        <v>1.42870371272894</v>
      </c>
      <c r="J552" s="0" t="n">
        <v>48457</v>
      </c>
      <c r="K552" s="0" t="n">
        <v>12482</v>
      </c>
      <c r="L552" s="0" t="n">
        <v>820744</v>
      </c>
      <c r="M552" s="0" t="n">
        <v>809018</v>
      </c>
      <c r="N552" s="0" t="n">
        <v>748076</v>
      </c>
      <c r="O552" s="0" t="n">
        <v>617</v>
      </c>
      <c r="P552" s="0" t="s">
        <v>139</v>
      </c>
      <c r="Q552" s="0" t="n">
        <v>0.0756630569337089</v>
      </c>
      <c r="R552" s="0" t="n">
        <v>2.48516533343538</v>
      </c>
      <c r="S552" s="0" t="n">
        <v>6</v>
      </c>
      <c r="T552" s="0" t="n">
        <v>1026</v>
      </c>
      <c r="U552" s="0" t="n">
        <v>4</v>
      </c>
      <c r="V552" s="0" t="n">
        <v>0</v>
      </c>
      <c r="W552" s="0" t="n">
        <v>20240930</v>
      </c>
      <c r="X552" s="0" t="n">
        <v>1.09049365962965</v>
      </c>
      <c r="Y552" s="0" t="n">
        <v>8.37</v>
      </c>
      <c r="Z552" s="0" t="s">
        <v>105</v>
      </c>
    </row>
    <row r="553" customFormat="false" ht="15" hidden="false" customHeight="false" outlineLevel="0" collapsed="false">
      <c r="A553" s="0" t="n">
        <v>553</v>
      </c>
      <c r="B553" s="0" t="n">
        <v>1665363</v>
      </c>
      <c r="C553" s="0" t="n">
        <v>17751</v>
      </c>
      <c r="D553" s="0" t="n">
        <v>1312346</v>
      </c>
      <c r="E553" s="0" t="n">
        <v>0.04</v>
      </c>
      <c r="F553" s="0" t="n">
        <v>146041</v>
      </c>
      <c r="G553" s="0" t="n">
        <v>8.76931936160465</v>
      </c>
      <c r="H553" s="0" t="s">
        <v>710</v>
      </c>
      <c r="I553" s="0" t="n">
        <v>0.904466664869343</v>
      </c>
      <c r="J553" s="0" t="n">
        <v>136330</v>
      </c>
      <c r="K553" s="0" t="n">
        <v>2825</v>
      </c>
      <c r="L553" s="0" t="n">
        <v>1372411</v>
      </c>
      <c r="M553" s="0" t="n">
        <v>1359998</v>
      </c>
      <c r="N553" s="0" t="n">
        <v>1170198</v>
      </c>
      <c r="O553" s="0" t="n">
        <v>5637</v>
      </c>
      <c r="P553" s="0" t="s">
        <v>141</v>
      </c>
      <c r="Q553" s="0" t="n">
        <v>0.410737016826592</v>
      </c>
      <c r="R553" s="0" t="n">
        <v>2.66147221338077</v>
      </c>
      <c r="S553" s="0" t="n">
        <v>-41</v>
      </c>
      <c r="T553" s="0" t="n">
        <v>2877</v>
      </c>
      <c r="U553" s="0" t="n">
        <v>0</v>
      </c>
      <c r="V553" s="0" t="n">
        <v>12.6616730688762</v>
      </c>
      <c r="W553" s="0" t="n">
        <v>20240930</v>
      </c>
      <c r="X553" s="0" t="n">
        <v>0.432944118659756</v>
      </c>
      <c r="Y553" s="0" t="n">
        <v>5.01</v>
      </c>
      <c r="Z553" s="0" t="s">
        <v>105</v>
      </c>
    </row>
    <row r="554" customFormat="false" ht="15" hidden="false" customHeight="false" outlineLevel="0" collapsed="false">
      <c r="A554" s="0" t="n">
        <v>554</v>
      </c>
      <c r="B554" s="0" t="n">
        <v>1743721</v>
      </c>
      <c r="C554" s="0" t="n">
        <v>17897</v>
      </c>
      <c r="D554" s="0" t="n">
        <v>1323557</v>
      </c>
      <c r="E554" s="0" t="n">
        <v>-0.01</v>
      </c>
      <c r="F554" s="0" t="n">
        <v>219695</v>
      </c>
      <c r="G554" s="0" t="n">
        <v>12.599205950952</v>
      </c>
      <c r="H554" s="0" t="s">
        <v>711</v>
      </c>
      <c r="I554" s="0" t="n">
        <v>0.608336306544413</v>
      </c>
      <c r="J554" s="0" t="n">
        <v>72858</v>
      </c>
      <c r="K554" s="0" t="n">
        <v>3119</v>
      </c>
      <c r="L554" s="0" t="n">
        <v>1443445</v>
      </c>
      <c r="M554" s="0" t="n">
        <v>1434664</v>
      </c>
      <c r="N554" s="0" t="n">
        <v>1355336</v>
      </c>
      <c r="O554" s="0" t="n">
        <v>4826</v>
      </c>
      <c r="P554" s="0" t="s">
        <v>143</v>
      </c>
      <c r="Q554" s="0" t="n">
        <v>0.33433902919751</v>
      </c>
      <c r="R554" s="0" t="n">
        <v>2.3623944322489</v>
      </c>
      <c r="S554" s="0" t="n">
        <v>-47</v>
      </c>
      <c r="T554" s="0" t="n">
        <v>1719</v>
      </c>
      <c r="U554" s="0" t="n">
        <v>0</v>
      </c>
      <c r="V554" s="0" t="n">
        <v>18.0101447735768</v>
      </c>
      <c r="W554" s="0" t="n">
        <v>20240930</v>
      </c>
      <c r="X554" s="0" t="n">
        <v>0.828207779242847</v>
      </c>
      <c r="Y554" s="0" t="n">
        <v>6.72</v>
      </c>
      <c r="Z554" s="0" t="s">
        <v>105</v>
      </c>
    </row>
    <row r="555" customFormat="false" ht="15" hidden="false" customHeight="false" outlineLevel="0" collapsed="false">
      <c r="A555" s="0" t="n">
        <v>555</v>
      </c>
      <c r="B555" s="0" t="n">
        <v>819978</v>
      </c>
      <c r="C555" s="0" t="n">
        <v>17951</v>
      </c>
      <c r="D555" s="0" t="n">
        <v>688357</v>
      </c>
      <c r="E555" s="0" t="n">
        <v>0.01</v>
      </c>
      <c r="F555" s="0" t="n">
        <v>67870</v>
      </c>
      <c r="G555" s="0" t="n">
        <v>8.27705133552364</v>
      </c>
      <c r="H555" s="0" t="s">
        <v>712</v>
      </c>
      <c r="I555" s="0" t="n">
        <v>0.849789886200166</v>
      </c>
      <c r="J555" s="0" t="n">
        <v>30902</v>
      </c>
      <c r="K555" s="0" t="n">
        <v>1766</v>
      </c>
      <c r="L555" s="0" t="n">
        <v>599913</v>
      </c>
      <c r="M555" s="0" t="n">
        <v>594815</v>
      </c>
      <c r="N555" s="0" t="n">
        <v>550875</v>
      </c>
      <c r="O555" s="0" t="n">
        <v>61</v>
      </c>
      <c r="P555" s="0" t="s">
        <v>145</v>
      </c>
      <c r="Q555" s="0" t="n">
        <v>0.0101681410471184</v>
      </c>
      <c r="R555" s="0" t="n">
        <v>2.48058120647071</v>
      </c>
      <c r="S555" s="0" t="n">
        <v>-141</v>
      </c>
      <c r="T555" s="0" t="n">
        <v>540</v>
      </c>
      <c r="U555" s="0" t="n">
        <v>0</v>
      </c>
      <c r="V555" s="0" t="n">
        <v>14.5460942258817</v>
      </c>
      <c r="W555" s="0" t="n">
        <v>20240930</v>
      </c>
      <c r="X555" s="0" t="n">
        <v>0.511043995809567</v>
      </c>
      <c r="Y555" s="0" t="n">
        <v>6.44</v>
      </c>
      <c r="Z555" s="0" t="s">
        <v>123</v>
      </c>
    </row>
    <row r="556" customFormat="false" ht="15" hidden="false" customHeight="false" outlineLevel="0" collapsed="false">
      <c r="A556" s="0" t="n">
        <v>556</v>
      </c>
      <c r="B556" s="0" t="n">
        <v>1380640</v>
      </c>
      <c r="C556" s="0" t="n">
        <v>17960</v>
      </c>
      <c r="D556" s="0" t="n">
        <v>1050589</v>
      </c>
      <c r="E556" s="0" t="n">
        <v>0.32</v>
      </c>
      <c r="F556" s="0" t="n">
        <v>117711</v>
      </c>
      <c r="G556" s="0" t="n">
        <v>8.52582860122842</v>
      </c>
      <c r="H556" s="0" t="s">
        <v>713</v>
      </c>
      <c r="I556" s="0" t="n">
        <v>1.01304715678853</v>
      </c>
      <c r="J556" s="0" t="n">
        <v>105315</v>
      </c>
      <c r="K556" s="0" t="n">
        <v>230816</v>
      </c>
      <c r="L556" s="0" t="n">
        <v>1167764</v>
      </c>
      <c r="M556" s="0" t="n">
        <v>1155934</v>
      </c>
      <c r="N556" s="0" t="n">
        <v>827763</v>
      </c>
      <c r="O556" s="0" t="n">
        <v>6798</v>
      </c>
      <c r="P556" s="0" t="s">
        <v>147</v>
      </c>
      <c r="Q556" s="0" t="n">
        <v>0.585906056360703</v>
      </c>
      <c r="R556" s="0" t="n">
        <v>2.71332263065168</v>
      </c>
      <c r="S556" s="0" t="n">
        <v>2883</v>
      </c>
      <c r="T556" s="0" t="n">
        <v>5539</v>
      </c>
      <c r="U556" s="0" t="n">
        <v>44</v>
      </c>
      <c r="V556" s="0" t="n">
        <v>13.4452092505768</v>
      </c>
      <c r="W556" s="0" t="n">
        <v>20240930</v>
      </c>
      <c r="X556" s="0" t="n">
        <v>0.211894845039827</v>
      </c>
      <c r="Y556" s="0" t="n">
        <v>2.53</v>
      </c>
      <c r="Z556" s="0" t="s">
        <v>123</v>
      </c>
    </row>
    <row r="557" customFormat="false" ht="15" hidden="false" customHeight="false" outlineLevel="0" collapsed="false">
      <c r="A557" s="0" t="n">
        <v>557</v>
      </c>
      <c r="B557" s="0" t="n">
        <v>2583718</v>
      </c>
      <c r="C557" s="0" t="n">
        <v>18012</v>
      </c>
      <c r="D557" s="0" t="n">
        <v>2179694</v>
      </c>
      <c r="E557" s="0" t="n">
        <v>0.03</v>
      </c>
      <c r="F557" s="0" t="n">
        <v>287158</v>
      </c>
      <c r="G557" s="0" t="n">
        <v>11.1141386172949</v>
      </c>
      <c r="H557" s="0" t="s">
        <v>714</v>
      </c>
      <c r="I557" s="0" t="n">
        <v>1.16726312238675</v>
      </c>
      <c r="J557" s="0" t="n">
        <v>48301</v>
      </c>
      <c r="K557" s="0" t="n">
        <v>28594</v>
      </c>
      <c r="L557" s="0" t="n">
        <v>2078109</v>
      </c>
      <c r="M557" s="0" t="n">
        <v>2053852</v>
      </c>
      <c r="N557" s="0" t="n">
        <v>1973661</v>
      </c>
      <c r="O557" s="0" t="n">
        <v>551</v>
      </c>
      <c r="P557" s="0" t="s">
        <v>149</v>
      </c>
      <c r="Q557" s="0" t="n">
        <v>0.0265144898559218</v>
      </c>
      <c r="R557" s="0" t="n">
        <v>2.69914361948279</v>
      </c>
      <c r="S557" s="0" t="n">
        <v>81</v>
      </c>
      <c r="T557" s="0" t="n">
        <v>4359</v>
      </c>
      <c r="U557" s="0" t="n">
        <v>0</v>
      </c>
      <c r="V557" s="0" t="n">
        <v>14.420969624268</v>
      </c>
      <c r="W557" s="0" t="n">
        <v>20240930</v>
      </c>
      <c r="X557" s="0" t="n">
        <v>0.708107955416192</v>
      </c>
      <c r="Y557" s="0" t="n">
        <v>6.5</v>
      </c>
      <c r="Z557" s="0" t="s">
        <v>123</v>
      </c>
    </row>
    <row r="558" customFormat="false" ht="15" hidden="false" customHeight="false" outlineLevel="0" collapsed="false">
      <c r="A558" s="0" t="n">
        <v>558</v>
      </c>
      <c r="B558" s="0" t="n">
        <v>2889853</v>
      </c>
      <c r="C558" s="0" t="n">
        <v>18013</v>
      </c>
      <c r="D558" s="0" t="n">
        <v>2534229</v>
      </c>
      <c r="E558" s="0" t="n">
        <v>0</v>
      </c>
      <c r="F558" s="0" t="n">
        <v>234630</v>
      </c>
      <c r="G558" s="0" t="n">
        <v>8.1190980994535</v>
      </c>
      <c r="H558" s="0" t="s">
        <v>715</v>
      </c>
      <c r="I558" s="0" t="n">
        <v>0.701417666667641</v>
      </c>
      <c r="J558" s="0" t="n">
        <v>105437</v>
      </c>
      <c r="K558" s="0" t="n">
        <v>23430</v>
      </c>
      <c r="L558" s="0" t="n">
        <v>2393581</v>
      </c>
      <c r="M558" s="0" t="n">
        <v>2376792</v>
      </c>
      <c r="N558" s="0" t="n">
        <v>2183396</v>
      </c>
      <c r="O558" s="0" t="n">
        <v>1627</v>
      </c>
      <c r="P558" s="0" t="s">
        <v>151</v>
      </c>
      <c r="Q558" s="0" t="n">
        <v>0.071065069450334</v>
      </c>
      <c r="R558" s="0" t="n">
        <v>2.452484291317</v>
      </c>
      <c r="S558" s="0" t="n">
        <v>296</v>
      </c>
      <c r="T558" s="0" t="n">
        <v>5926</v>
      </c>
      <c r="U558" s="0" t="n">
        <v>74</v>
      </c>
      <c r="V558" s="0" t="n">
        <v>12.6133265662941</v>
      </c>
      <c r="W558" s="0" t="n">
        <v>20240930</v>
      </c>
      <c r="X558" s="0" t="n">
        <v>0.25337240311984</v>
      </c>
      <c r="Y558" s="0" t="n">
        <v>3.29</v>
      </c>
      <c r="Z558" s="0" t="s">
        <v>123</v>
      </c>
    </row>
    <row r="559" customFormat="false" ht="15" hidden="false" customHeight="false" outlineLevel="0" collapsed="false">
      <c r="A559" s="0" t="n">
        <v>559</v>
      </c>
      <c r="B559" s="0" t="n">
        <v>407460</v>
      </c>
      <c r="C559" s="0" t="n">
        <v>18028</v>
      </c>
      <c r="D559" s="0" t="n">
        <v>337570</v>
      </c>
      <c r="E559" s="0" t="n">
        <v>0.09</v>
      </c>
      <c r="F559" s="0" t="n">
        <v>43831</v>
      </c>
      <c r="G559" s="0" t="n">
        <v>10.7571295341874</v>
      </c>
      <c r="H559" s="0" t="s">
        <v>716</v>
      </c>
      <c r="I559" s="0" t="n">
        <v>0.821197853936275</v>
      </c>
      <c r="J559" s="0" t="n">
        <v>12374</v>
      </c>
      <c r="K559" s="0" t="n">
        <v>6660</v>
      </c>
      <c r="L559" s="0" t="n">
        <v>273990</v>
      </c>
      <c r="M559" s="0" t="n">
        <v>271740</v>
      </c>
      <c r="N559" s="0" t="n">
        <v>249806</v>
      </c>
      <c r="O559" s="0" t="n">
        <v>908</v>
      </c>
      <c r="P559" s="0" t="s">
        <v>153</v>
      </c>
      <c r="Q559" s="0" t="n">
        <v>0.462060659148144</v>
      </c>
      <c r="R559" s="0" t="n">
        <v>3.29966188951613</v>
      </c>
      <c r="S559" s="0" t="n">
        <v>376</v>
      </c>
      <c r="T559" s="0" t="n">
        <v>845</v>
      </c>
      <c r="U559" s="0" t="n">
        <v>358</v>
      </c>
      <c r="V559" s="0" t="n">
        <v>0</v>
      </c>
      <c r="W559" s="0" t="n">
        <v>20240930</v>
      </c>
      <c r="X559" s="0" t="n">
        <v>0.449445889497145</v>
      </c>
      <c r="Y559" s="0" t="n">
        <v>4.31</v>
      </c>
      <c r="Z559" s="0" t="s">
        <v>123</v>
      </c>
    </row>
    <row r="560" customFormat="false" ht="15" hidden="false" customHeight="false" outlineLevel="0" collapsed="false">
      <c r="A560" s="0" t="n">
        <v>560</v>
      </c>
      <c r="B560" s="0" t="n">
        <v>794567</v>
      </c>
      <c r="C560" s="0" t="n">
        <v>18030</v>
      </c>
      <c r="D560" s="0" t="n">
        <v>707506</v>
      </c>
      <c r="E560" s="0" t="n">
        <v>0.01</v>
      </c>
      <c r="F560" s="0" t="n">
        <v>54737</v>
      </c>
      <c r="G560" s="0" t="n">
        <v>6.88890930531975</v>
      </c>
      <c r="H560" s="0" t="s">
        <v>717</v>
      </c>
      <c r="I560" s="0" t="n">
        <v>0.994435914507385</v>
      </c>
      <c r="J560" s="0" t="n">
        <v>42189</v>
      </c>
      <c r="K560" s="0" t="n">
        <v>98640</v>
      </c>
      <c r="L560" s="0" t="n">
        <v>588776</v>
      </c>
      <c r="M560" s="0" t="n">
        <v>582921</v>
      </c>
      <c r="N560" s="0" t="n">
        <v>447654</v>
      </c>
      <c r="O560" s="0" t="n">
        <v>1967</v>
      </c>
      <c r="P560" s="0" t="s">
        <v>155</v>
      </c>
      <c r="Q560" s="0" t="n">
        <v>0.33408291098822</v>
      </c>
      <c r="R560" s="0" t="n">
        <v>3.41619145057046</v>
      </c>
      <c r="S560" s="0" t="n">
        <v>111</v>
      </c>
      <c r="T560" s="0" t="n">
        <v>1330</v>
      </c>
      <c r="U560" s="0" t="n">
        <v>0</v>
      </c>
      <c r="V560" s="0" t="n">
        <v>13.6705393261032</v>
      </c>
      <c r="W560" s="0" t="n">
        <v>20240930</v>
      </c>
      <c r="X560" s="0" t="n">
        <v>0.697344762810995</v>
      </c>
      <c r="Y560" s="0" t="n">
        <v>10.43</v>
      </c>
      <c r="Z560" s="0" t="s">
        <v>123</v>
      </c>
    </row>
    <row r="561" customFormat="false" ht="15" hidden="false" customHeight="false" outlineLevel="0" collapsed="false">
      <c r="A561" s="0" t="n">
        <v>561</v>
      </c>
      <c r="B561" s="0" t="n">
        <v>677501</v>
      </c>
      <c r="C561" s="0" t="n">
        <v>18031</v>
      </c>
      <c r="D561" s="0" t="n">
        <v>528633</v>
      </c>
      <c r="E561" s="0" t="n">
        <v>-0.03</v>
      </c>
      <c r="F561" s="0" t="n">
        <v>41575</v>
      </c>
      <c r="G561" s="0" t="n">
        <v>6.13652230771615</v>
      </c>
      <c r="H561" s="0" t="s">
        <v>718</v>
      </c>
      <c r="I561" s="0" t="n">
        <v>0.822693702506098</v>
      </c>
      <c r="J561" s="0" t="n">
        <v>22338</v>
      </c>
      <c r="K561" s="0" t="n">
        <v>8244</v>
      </c>
      <c r="L561" s="0" t="n">
        <v>468218</v>
      </c>
      <c r="M561" s="0" t="n">
        <v>464366</v>
      </c>
      <c r="N561" s="0" t="n">
        <v>431155</v>
      </c>
      <c r="O561" s="0" t="n">
        <v>973</v>
      </c>
      <c r="P561" s="0" t="s">
        <v>157</v>
      </c>
      <c r="Q561" s="0" t="n">
        <v>0.207809182901981</v>
      </c>
      <c r="R561" s="0" t="n">
        <v>2.63046277328617</v>
      </c>
      <c r="S561" s="0" t="n">
        <v>34</v>
      </c>
      <c r="T561" s="0" t="n">
        <v>243</v>
      </c>
      <c r="U561" s="0" t="n">
        <v>0</v>
      </c>
      <c r="V561" s="0" t="n">
        <v>16.7487150865234</v>
      </c>
      <c r="W561" s="0" t="n">
        <v>20240930</v>
      </c>
      <c r="X561" s="0" t="n">
        <v>0.42618981664151</v>
      </c>
      <c r="Y561" s="0" t="n">
        <v>7.55</v>
      </c>
      <c r="Z561" s="0" t="s">
        <v>123</v>
      </c>
    </row>
    <row r="562" customFormat="false" ht="15" hidden="false" customHeight="false" outlineLevel="0" collapsed="false">
      <c r="A562" s="0" t="n">
        <v>562</v>
      </c>
      <c r="B562" s="0" t="n">
        <v>578941</v>
      </c>
      <c r="C562" s="0" t="n">
        <v>18038</v>
      </c>
      <c r="D562" s="0" t="n">
        <v>436224</v>
      </c>
      <c r="E562" s="0" t="n">
        <v>0.02</v>
      </c>
      <c r="F562" s="0" t="n">
        <v>68568</v>
      </c>
      <c r="G562" s="0" t="n">
        <v>11.8436939169967</v>
      </c>
      <c r="H562" s="0" t="s">
        <v>719</v>
      </c>
      <c r="I562" s="0" t="n">
        <v>0.933914033237053</v>
      </c>
      <c r="J562" s="0" t="n">
        <v>28944</v>
      </c>
      <c r="K562" s="0" t="n">
        <v>4689</v>
      </c>
      <c r="L562" s="0" t="n">
        <v>419953</v>
      </c>
      <c r="M562" s="0" t="n">
        <v>416031</v>
      </c>
      <c r="N562" s="0" t="n">
        <v>385462</v>
      </c>
      <c r="O562" s="0" t="n">
        <v>2472</v>
      </c>
      <c r="P562" s="0" t="s">
        <v>159</v>
      </c>
      <c r="Q562" s="0" t="n">
        <v>0.588637299888321</v>
      </c>
      <c r="R562" s="0" t="n">
        <v>2.50311359932842</v>
      </c>
      <c r="S562" s="0" t="n">
        <v>-9</v>
      </c>
      <c r="T562" s="0" t="n">
        <v>765</v>
      </c>
      <c r="U562" s="0" t="n">
        <v>0</v>
      </c>
      <c r="V562" s="0" t="n">
        <v>0</v>
      </c>
      <c r="W562" s="0" t="n">
        <v>20240930</v>
      </c>
      <c r="X562" s="0" t="n">
        <v>0.480130621285366</v>
      </c>
      <c r="Y562" s="0" t="n">
        <v>3.91</v>
      </c>
      <c r="Z562" s="0" t="s">
        <v>123</v>
      </c>
    </row>
    <row r="563" customFormat="false" ht="15" hidden="false" customHeight="false" outlineLevel="0" collapsed="false">
      <c r="A563" s="0" t="n">
        <v>563</v>
      </c>
      <c r="B563" s="0" t="n">
        <v>7218777</v>
      </c>
      <c r="C563" s="0" t="n">
        <v>18408</v>
      </c>
      <c r="D563" s="0" t="n">
        <v>5440947</v>
      </c>
      <c r="E563" s="0" t="n">
        <v>-0.02</v>
      </c>
      <c r="F563" s="0" t="n">
        <v>451617</v>
      </c>
      <c r="G563" s="0" t="n">
        <v>6.25614283416706</v>
      </c>
      <c r="H563" s="0" t="s">
        <v>720</v>
      </c>
      <c r="I563" s="0" t="n">
        <v>0.63910242784092</v>
      </c>
      <c r="J563" s="0" t="n">
        <v>361664</v>
      </c>
      <c r="K563" s="0" t="n">
        <v>37287</v>
      </c>
      <c r="L563" s="0" t="n">
        <v>4864322</v>
      </c>
      <c r="M563" s="0" t="n">
        <v>4833234</v>
      </c>
      <c r="N563" s="0" t="n">
        <v>4390169</v>
      </c>
      <c r="O563" s="0" t="n">
        <v>3776</v>
      </c>
      <c r="P563" s="0" t="s">
        <v>161</v>
      </c>
      <c r="Q563" s="0" t="n">
        <v>0.0776264400259686</v>
      </c>
      <c r="R563" s="0" t="n">
        <v>2.12612207544725</v>
      </c>
      <c r="S563" s="0" t="n">
        <v>-375</v>
      </c>
      <c r="T563" s="0" t="n">
        <v>4839</v>
      </c>
      <c r="U563" s="0" t="n">
        <v>0</v>
      </c>
      <c r="V563" s="0" t="n">
        <v>11.5300926753721</v>
      </c>
      <c r="W563" s="0" t="n">
        <v>20240930</v>
      </c>
      <c r="X563" s="0" t="n">
        <v>0.155178563405037</v>
      </c>
      <c r="Y563" s="0" t="n">
        <v>2.68</v>
      </c>
      <c r="Z563" s="0" t="s">
        <v>105</v>
      </c>
    </row>
    <row r="564" customFormat="false" ht="15" hidden="false" customHeight="false" outlineLevel="0" collapsed="false">
      <c r="A564" s="0" t="n">
        <v>564</v>
      </c>
      <c r="B564" s="0" t="n">
        <v>2632240</v>
      </c>
      <c r="C564" s="0" t="n">
        <v>19531</v>
      </c>
      <c r="D564" s="0" t="n">
        <v>2115575</v>
      </c>
      <c r="E564" s="0" t="n">
        <v>-0.05</v>
      </c>
      <c r="F564" s="0" t="n">
        <v>257463</v>
      </c>
      <c r="G564" s="0" t="n">
        <v>9.78113697839103</v>
      </c>
      <c r="H564" s="0" t="s">
        <v>721</v>
      </c>
      <c r="I564" s="0" t="n">
        <v>0.900086011097699</v>
      </c>
      <c r="J564" s="0" t="n">
        <v>265218</v>
      </c>
      <c r="K564" s="0" t="n">
        <v>9142</v>
      </c>
      <c r="L564" s="0" t="n">
        <v>2161349</v>
      </c>
      <c r="M564" s="0" t="n">
        <v>2141895</v>
      </c>
      <c r="N564" s="0" t="n">
        <v>1773165</v>
      </c>
      <c r="O564" s="0" t="n">
        <v>6917</v>
      </c>
      <c r="P564" s="0" t="s">
        <v>163</v>
      </c>
      <c r="Q564" s="0" t="n">
        <v>0.320401749092812</v>
      </c>
      <c r="R564" s="0" t="n">
        <v>2.67251082299445</v>
      </c>
      <c r="S564" s="0" t="n">
        <v>495</v>
      </c>
      <c r="T564" s="0" t="n">
        <v>3153</v>
      </c>
      <c r="U564" s="0" t="n">
        <v>8</v>
      </c>
      <c r="V564" s="0" t="n">
        <v>13.8153054969781</v>
      </c>
      <c r="W564" s="0" t="n">
        <v>20240930</v>
      </c>
      <c r="X564" s="0" t="n">
        <v>0.454164925004259</v>
      </c>
      <c r="Y564" s="0" t="n">
        <v>4.71</v>
      </c>
      <c r="Z564" s="0" t="s">
        <v>105</v>
      </c>
    </row>
    <row r="565" customFormat="false" ht="15" hidden="false" customHeight="false" outlineLevel="0" collapsed="false">
      <c r="A565" s="0" t="n">
        <v>565</v>
      </c>
      <c r="B565" s="0" t="n">
        <v>870742</v>
      </c>
      <c r="C565" s="0" t="n">
        <v>19532</v>
      </c>
      <c r="D565" s="0" t="n">
        <v>721893</v>
      </c>
      <c r="E565" s="0" t="n">
        <v>0.01</v>
      </c>
      <c r="F565" s="0" t="n">
        <v>105663</v>
      </c>
      <c r="G565" s="0" t="n">
        <v>12.1348229441097</v>
      </c>
      <c r="H565" s="0" t="s">
        <v>722</v>
      </c>
      <c r="I565" s="0" t="n">
        <v>0.98232378700023</v>
      </c>
      <c r="J565" s="0" t="n">
        <v>49678</v>
      </c>
      <c r="K565" s="0" t="n">
        <v>50753</v>
      </c>
      <c r="L565" s="0" t="n">
        <v>605503</v>
      </c>
      <c r="M565" s="0" t="n">
        <v>599555</v>
      </c>
      <c r="N565" s="0" t="n">
        <v>500065</v>
      </c>
      <c r="O565" s="0" t="n">
        <v>1698</v>
      </c>
      <c r="P565" s="0" t="s">
        <v>165</v>
      </c>
      <c r="Q565" s="0" t="n">
        <v>0.280428007788566</v>
      </c>
      <c r="R565" s="0" t="n">
        <v>3.08744646214214</v>
      </c>
      <c r="S565" s="0" t="n">
        <v>57</v>
      </c>
      <c r="T565" s="0" t="n">
        <v>1374</v>
      </c>
      <c r="U565" s="0" t="n">
        <v>0</v>
      </c>
      <c r="V565" s="0" t="n">
        <v>21.3137628374641</v>
      </c>
      <c r="W565" s="0" t="n">
        <v>20240930</v>
      </c>
      <c r="X565" s="0" t="n">
        <v>0.89346683117121</v>
      </c>
      <c r="Y565" s="0" t="n">
        <v>7.91</v>
      </c>
      <c r="Z565" s="0" t="s">
        <v>105</v>
      </c>
    </row>
    <row r="566" customFormat="false" ht="15" hidden="false" customHeight="false" outlineLevel="0" collapsed="false">
      <c r="A566" s="0" t="n">
        <v>566</v>
      </c>
      <c r="B566" s="0" t="n">
        <v>3939898</v>
      </c>
      <c r="C566" s="0" t="n">
        <v>19690</v>
      </c>
      <c r="D566" s="0" t="n">
        <v>3161567</v>
      </c>
      <c r="E566" s="0" t="n">
        <v>0.06</v>
      </c>
      <c r="F566" s="0" t="n">
        <v>392557</v>
      </c>
      <c r="G566" s="0" t="n">
        <v>9.96363357630071</v>
      </c>
      <c r="H566" s="0" t="s">
        <v>723</v>
      </c>
      <c r="I566" s="0" t="n">
        <v>1.23956073421534</v>
      </c>
      <c r="J566" s="0" t="n">
        <v>90449</v>
      </c>
      <c r="K566" s="0" t="n">
        <v>223</v>
      </c>
      <c r="L566" s="0" t="n">
        <v>3520602</v>
      </c>
      <c r="M566" s="0" t="n">
        <v>3476962</v>
      </c>
      <c r="N566" s="0" t="n">
        <v>2821610</v>
      </c>
      <c r="O566" s="0" t="n">
        <v>37172</v>
      </c>
      <c r="P566" s="0" t="s">
        <v>167</v>
      </c>
      <c r="Q566" s="0" t="n">
        <v>1.05584215426794</v>
      </c>
      <c r="R566" s="0" t="n">
        <v>4.79885538409899</v>
      </c>
      <c r="S566" s="0" t="n">
        <v>5198</v>
      </c>
      <c r="T566" s="0" t="n">
        <v>1367</v>
      </c>
      <c r="U566" s="0" t="n">
        <v>0</v>
      </c>
      <c r="V566" s="0" t="n">
        <v>12.6993196381174</v>
      </c>
      <c r="W566" s="0" t="n">
        <v>20240930</v>
      </c>
      <c r="X566" s="0" t="n">
        <v>1.88570349603423</v>
      </c>
      <c r="Y566" s="0" t="n">
        <v>16.98</v>
      </c>
      <c r="Z566" s="0" t="s">
        <v>105</v>
      </c>
    </row>
    <row r="567" customFormat="false" ht="15" hidden="false" customHeight="false" outlineLevel="0" collapsed="false">
      <c r="A567" s="0" t="n">
        <v>567</v>
      </c>
      <c r="B567" s="0" t="n">
        <v>712547</v>
      </c>
      <c r="C567" s="0" t="n">
        <v>19836</v>
      </c>
      <c r="D567" s="0" t="n">
        <v>529260</v>
      </c>
      <c r="E567" s="0" t="n">
        <v>0.01</v>
      </c>
      <c r="F567" s="0" t="n">
        <v>125592</v>
      </c>
      <c r="G567" s="0" t="n">
        <v>17.6257846850804</v>
      </c>
      <c r="H567" s="0" t="s">
        <v>724</v>
      </c>
      <c r="I567" s="0" t="n">
        <v>0.732983949244598</v>
      </c>
      <c r="J567" s="0" t="n">
        <v>45189</v>
      </c>
      <c r="K567" s="0" t="n">
        <v>11613</v>
      </c>
      <c r="L567" s="0" t="n">
        <v>608881</v>
      </c>
      <c r="M567" s="0" t="n">
        <v>604418</v>
      </c>
      <c r="N567" s="0" t="n">
        <v>548608</v>
      </c>
      <c r="O567" s="0" t="n">
        <v>5741</v>
      </c>
      <c r="P567" s="0" t="s">
        <v>145</v>
      </c>
      <c r="Q567" s="0" t="n">
        <v>1.00101661901094</v>
      </c>
      <c r="R567" s="0" t="n">
        <v>3.61397468567174</v>
      </c>
      <c r="S567" s="0" t="n">
        <v>33</v>
      </c>
      <c r="T567" s="0" t="n">
        <v>1912</v>
      </c>
      <c r="U567" s="0" t="n">
        <v>354</v>
      </c>
      <c r="V567" s="0" t="n">
        <v>23.9355177549039</v>
      </c>
      <c r="W567" s="0" t="n">
        <v>20240930</v>
      </c>
      <c r="X567" s="0" t="n">
        <v>0.72911205784628</v>
      </c>
      <c r="Y567" s="0" t="n">
        <v>4.08</v>
      </c>
      <c r="Z567" s="0" t="s">
        <v>105</v>
      </c>
    </row>
    <row r="568" customFormat="false" ht="15" hidden="false" customHeight="false" outlineLevel="0" collapsed="false">
      <c r="A568" s="0" t="n">
        <v>568</v>
      </c>
      <c r="B568" s="0" t="n">
        <v>1490469</v>
      </c>
      <c r="C568" s="0" t="n">
        <v>24540</v>
      </c>
      <c r="D568" s="0" t="n">
        <v>1197002</v>
      </c>
      <c r="E568" s="0" t="n">
        <v>0.05</v>
      </c>
      <c r="F568" s="0" t="n">
        <v>267573</v>
      </c>
      <c r="G568" s="0" t="n">
        <v>17.9522687154178</v>
      </c>
      <c r="H568" s="0" t="s">
        <v>725</v>
      </c>
      <c r="I568" s="0" t="n">
        <v>0.96353540769226</v>
      </c>
      <c r="J568" s="0" t="n">
        <v>45011</v>
      </c>
      <c r="K568" s="0" t="n">
        <v>65</v>
      </c>
      <c r="L568" s="0" t="n">
        <v>1298136</v>
      </c>
      <c r="M568" s="0" t="n">
        <v>1285628</v>
      </c>
      <c r="N568" s="0" t="n">
        <v>1257005</v>
      </c>
      <c r="O568" s="0" t="n">
        <v>22568</v>
      </c>
      <c r="P568" s="0" t="s">
        <v>170</v>
      </c>
      <c r="Q568" s="0" t="n">
        <v>1.738492731116</v>
      </c>
      <c r="R568" s="0" t="n">
        <v>4.3092921578505</v>
      </c>
      <c r="S568" s="0" t="n">
        <v>5</v>
      </c>
      <c r="T568" s="0" t="n">
        <v>0</v>
      </c>
      <c r="U568" s="0" t="n">
        <v>0</v>
      </c>
      <c r="V568" s="0" t="n">
        <v>19.0478995737024</v>
      </c>
      <c r="W568" s="0" t="n">
        <v>20240930</v>
      </c>
      <c r="X568" s="0" t="n">
        <v>2.09759403529842</v>
      </c>
      <c r="Y568" s="0" t="n">
        <v>11.77</v>
      </c>
      <c r="Z568" s="0" t="s">
        <v>123</v>
      </c>
    </row>
    <row r="569" customFormat="false" ht="15" hidden="false" customHeight="false" outlineLevel="0" collapsed="false">
      <c r="A569" s="0" t="n">
        <v>569</v>
      </c>
      <c r="B569" s="0" t="n">
        <v>565595</v>
      </c>
      <c r="C569" s="0" t="n">
        <v>27824</v>
      </c>
      <c r="D569" s="0" t="n">
        <v>371884</v>
      </c>
      <c r="E569" s="0" t="n">
        <v>0.02</v>
      </c>
      <c r="F569" s="0" t="n">
        <v>63535</v>
      </c>
      <c r="G569" s="0" t="n">
        <v>11.2333029818156</v>
      </c>
      <c r="H569" s="0" t="s">
        <v>726</v>
      </c>
      <c r="I569" s="0" t="n">
        <v>0.603999171023423</v>
      </c>
      <c r="J569" s="0" t="n">
        <v>18226</v>
      </c>
      <c r="K569" s="0" t="n">
        <v>42626</v>
      </c>
      <c r="L569" s="0" t="n">
        <v>468047</v>
      </c>
      <c r="M569" s="0" t="n">
        <v>465220</v>
      </c>
      <c r="N569" s="0" t="n">
        <v>407195</v>
      </c>
      <c r="O569" s="0" t="n">
        <v>2900</v>
      </c>
      <c r="P569" s="0" t="s">
        <v>172</v>
      </c>
      <c r="Q569" s="0" t="n">
        <v>0.619595895284021</v>
      </c>
      <c r="R569" s="0" t="n">
        <v>1.60859037600862</v>
      </c>
      <c r="S569" s="0" t="n">
        <v>183</v>
      </c>
      <c r="T569" s="0" t="n">
        <v>3537</v>
      </c>
      <c r="U569" s="0" t="n">
        <v>0</v>
      </c>
      <c r="V569" s="0" t="n">
        <v>19.3955916631453</v>
      </c>
      <c r="W569" s="0" t="n">
        <v>20240930</v>
      </c>
      <c r="X569" s="0" t="n">
        <v>-0.656895429386435</v>
      </c>
      <c r="Y569" s="0" t="n">
        <v>-5.61</v>
      </c>
      <c r="Z569" s="0" t="s">
        <v>123</v>
      </c>
    </row>
    <row r="570" customFormat="false" ht="15" hidden="false" customHeight="false" outlineLevel="0" collapsed="false">
      <c r="A570" s="0" t="n">
        <v>570</v>
      </c>
      <c r="B570" s="0" t="n">
        <v>298193</v>
      </c>
      <c r="C570" s="0" t="n">
        <v>28155</v>
      </c>
      <c r="D570" s="0" t="n">
        <v>259984</v>
      </c>
      <c r="E570" s="0" t="n">
        <v>-0.01</v>
      </c>
      <c r="F570" s="0" t="n">
        <v>27490</v>
      </c>
      <c r="G570" s="0" t="n">
        <v>9.2188616097628</v>
      </c>
      <c r="H570" s="0" t="s">
        <v>727</v>
      </c>
      <c r="I570" s="0" t="n">
        <v>0.453786351857184</v>
      </c>
      <c r="J570" s="0" t="n">
        <v>10105</v>
      </c>
      <c r="K570" s="0" t="n">
        <v>6248</v>
      </c>
      <c r="L570" s="0" t="n">
        <v>173650</v>
      </c>
      <c r="M570" s="0" t="n">
        <v>172862</v>
      </c>
      <c r="N570" s="0" t="n">
        <v>156786</v>
      </c>
      <c r="O570" s="0" t="n">
        <v>46</v>
      </c>
      <c r="P570" s="0" t="s">
        <v>174</v>
      </c>
      <c r="Q570" s="0" t="n">
        <v>0.0264900662251655</v>
      </c>
      <c r="R570" s="0" t="n">
        <v>2.42072302479044</v>
      </c>
      <c r="S570" s="0" t="n">
        <v>1</v>
      </c>
      <c r="T570" s="0" t="n">
        <v>1482</v>
      </c>
      <c r="U570" s="0" t="n">
        <v>0</v>
      </c>
      <c r="V570" s="0" t="n">
        <v>17.5684475088697</v>
      </c>
      <c r="W570" s="0" t="n">
        <v>20240930</v>
      </c>
      <c r="X570" s="0" t="n">
        <v>0</v>
      </c>
      <c r="Y570" s="0" t="n">
        <v>0</v>
      </c>
      <c r="Z570" s="0" t="s">
        <v>123</v>
      </c>
    </row>
    <row r="571" customFormat="false" ht="15" hidden="false" customHeight="false" outlineLevel="0" collapsed="false">
      <c r="A571" s="0" t="n">
        <v>571</v>
      </c>
      <c r="B571" s="0" t="n">
        <v>102402</v>
      </c>
      <c r="C571" s="0" t="n">
        <v>28288</v>
      </c>
      <c r="D571" s="0" t="n">
        <v>74874</v>
      </c>
      <c r="E571" s="0" t="n">
        <v>-0.05</v>
      </c>
      <c r="F571" s="0" t="n">
        <v>6447</v>
      </c>
      <c r="G571" s="0" t="n">
        <v>6.29577547313529</v>
      </c>
      <c r="H571" s="0" t="s">
        <v>728</v>
      </c>
      <c r="I571" s="0" t="n">
        <v>1.03295075897816</v>
      </c>
      <c r="J571" s="0" t="n">
        <v>4248</v>
      </c>
      <c r="K571" s="0" t="n">
        <v>2557</v>
      </c>
      <c r="L571" s="0" t="n">
        <v>81030</v>
      </c>
      <c r="M571" s="0" t="n">
        <v>80193</v>
      </c>
      <c r="N571" s="0" t="n">
        <v>74225</v>
      </c>
      <c r="O571" s="0" t="n">
        <v>140</v>
      </c>
      <c r="P571" s="0" t="s">
        <v>176</v>
      </c>
      <c r="Q571" s="0" t="n">
        <v>0.172775515241269</v>
      </c>
      <c r="R571" s="0" t="n">
        <v>2.64944575444701</v>
      </c>
      <c r="S571" s="0" t="n">
        <v>0</v>
      </c>
      <c r="T571" s="0" t="n">
        <v>6</v>
      </c>
      <c r="U571" s="0" t="n">
        <v>0</v>
      </c>
      <c r="V571" s="0" t="n">
        <v>13.3806203414282</v>
      </c>
      <c r="W571" s="0" t="n">
        <v>20240930</v>
      </c>
      <c r="X571" s="0" t="n">
        <v>0.0863646888497337</v>
      </c>
      <c r="Y571" s="0" t="n">
        <v>1.47</v>
      </c>
      <c r="Z571" s="0" t="s">
        <v>105</v>
      </c>
    </row>
    <row r="572" customFormat="false" ht="15" hidden="false" customHeight="false" outlineLevel="0" collapsed="false">
      <c r="A572" s="0" t="n">
        <v>572</v>
      </c>
      <c r="B572" s="0" t="n">
        <v>94545</v>
      </c>
      <c r="C572" s="0" t="n">
        <v>28369</v>
      </c>
      <c r="D572" s="0" t="n">
        <v>75881</v>
      </c>
      <c r="E572" s="0" t="n">
        <v>0.02</v>
      </c>
      <c r="F572" s="0" t="n">
        <v>9202</v>
      </c>
      <c r="G572" s="0" t="n">
        <v>9.73293140832408</v>
      </c>
      <c r="H572" s="0" t="s">
        <v>729</v>
      </c>
      <c r="I572" s="0" t="n">
        <v>0.739091064829544</v>
      </c>
      <c r="J572" s="0" t="n">
        <v>12366</v>
      </c>
      <c r="K572" s="0" t="n">
        <v>720</v>
      </c>
      <c r="L572" s="0" t="n">
        <v>81722</v>
      </c>
      <c r="M572" s="0" t="n">
        <v>81118</v>
      </c>
      <c r="N572" s="0" t="n">
        <v>68636</v>
      </c>
      <c r="O572" s="0" t="n">
        <v>135</v>
      </c>
      <c r="P572" s="0" t="s">
        <v>178</v>
      </c>
      <c r="Q572" s="0" t="n">
        <v>0.165194194953623</v>
      </c>
      <c r="R572" s="0" t="n">
        <v>2.86311227272601</v>
      </c>
      <c r="S572" s="0" t="n">
        <v>-3</v>
      </c>
      <c r="T572" s="0" t="n">
        <v>232</v>
      </c>
      <c r="U572" s="0" t="n">
        <v>0</v>
      </c>
      <c r="V572" s="0" t="n">
        <v>13.8902686836758</v>
      </c>
      <c r="W572" s="0" t="n">
        <v>20240930</v>
      </c>
      <c r="X572" s="0" t="n">
        <v>-0.208082630553586</v>
      </c>
      <c r="Y572" s="0" t="n">
        <v>-2.13</v>
      </c>
      <c r="Z572" s="0" t="s">
        <v>105</v>
      </c>
    </row>
    <row r="573" customFormat="false" ht="15" hidden="false" customHeight="false" outlineLevel="0" collapsed="false">
      <c r="A573" s="0" t="n">
        <v>573</v>
      </c>
      <c r="B573" s="0" t="n">
        <v>283014</v>
      </c>
      <c r="C573" s="0" t="n">
        <v>28837</v>
      </c>
      <c r="D573" s="0" t="n">
        <v>251476</v>
      </c>
      <c r="E573" s="0" t="n">
        <v>-0.07</v>
      </c>
      <c r="F573" s="0" t="n">
        <v>28217</v>
      </c>
      <c r="G573" s="0" t="n">
        <v>9.97017815373091</v>
      </c>
      <c r="H573" s="0" t="s">
        <v>730</v>
      </c>
      <c r="I573" s="0" t="n">
        <v>1.12678821191078</v>
      </c>
      <c r="J573" s="0" t="n">
        <v>6862</v>
      </c>
      <c r="K573" s="0" t="n">
        <v>1628</v>
      </c>
      <c r="L573" s="0" t="n">
        <v>203765</v>
      </c>
      <c r="M573" s="0" t="n">
        <v>201469</v>
      </c>
      <c r="N573" s="0" t="n">
        <v>194609</v>
      </c>
      <c r="O573" s="0" t="n">
        <v>30</v>
      </c>
      <c r="P573" s="0" t="s">
        <v>180</v>
      </c>
      <c r="Q573" s="0" t="n">
        <v>0.0147228424901234</v>
      </c>
      <c r="R573" s="0" t="n">
        <v>3.77863202834045</v>
      </c>
      <c r="S573" s="0" t="n">
        <v>-56</v>
      </c>
      <c r="T573" s="0" t="n">
        <v>79</v>
      </c>
      <c r="U573" s="0" t="n">
        <v>0</v>
      </c>
      <c r="V573" s="0" t="n">
        <v>17.7307318906392</v>
      </c>
      <c r="W573" s="0" t="n">
        <v>20240930</v>
      </c>
      <c r="X573" s="0" t="n">
        <v>0.88534503400353</v>
      </c>
      <c r="Y573" s="0" t="n">
        <v>9.3</v>
      </c>
      <c r="Z573" s="0" t="s">
        <v>112</v>
      </c>
    </row>
    <row r="574" customFormat="false" ht="15" hidden="false" customHeight="false" outlineLevel="0" collapsed="false">
      <c r="A574" s="0" t="n">
        <v>574</v>
      </c>
      <c r="B574" s="0" t="n">
        <v>181616</v>
      </c>
      <c r="C574" s="0" t="n">
        <v>29636</v>
      </c>
      <c r="D574" s="0" t="n">
        <v>140789</v>
      </c>
      <c r="E574" s="0" t="n">
        <v>0.04</v>
      </c>
      <c r="F574" s="0" t="n">
        <v>26607</v>
      </c>
      <c r="G574" s="0" t="n">
        <v>14.6501409567439</v>
      </c>
      <c r="H574" s="0" t="s">
        <v>731</v>
      </c>
      <c r="I574" s="0" t="n">
        <v>1.40185912711191</v>
      </c>
      <c r="J574" s="0" t="n">
        <v>1634</v>
      </c>
      <c r="K574" s="0" t="n">
        <v>1790</v>
      </c>
      <c r="L574" s="0" t="n">
        <v>139743</v>
      </c>
      <c r="M574" s="0" t="n">
        <v>137784</v>
      </c>
      <c r="N574" s="0" t="n">
        <v>136319</v>
      </c>
      <c r="O574" s="0" t="n">
        <v>2870</v>
      </c>
      <c r="P574" s="0" t="s">
        <v>182</v>
      </c>
      <c r="Q574" s="0" t="n">
        <v>2.05377013517672</v>
      </c>
      <c r="R574" s="0" t="n">
        <v>3.53035431343076</v>
      </c>
      <c r="S574" s="0" t="n">
        <v>-2</v>
      </c>
      <c r="T574" s="0" t="n">
        <v>2593</v>
      </c>
      <c r="U574" s="0" t="n">
        <v>0</v>
      </c>
      <c r="V574" s="0" t="n">
        <v>27.01771126452</v>
      </c>
      <c r="W574" s="0" t="n">
        <v>20240930</v>
      </c>
      <c r="X574" s="0" t="n">
        <v>0.335911070326187</v>
      </c>
      <c r="Y574" s="0" t="n">
        <v>2.31</v>
      </c>
      <c r="Z574" s="0" t="s">
        <v>105</v>
      </c>
    </row>
    <row r="575" customFormat="false" ht="15" hidden="false" customHeight="false" outlineLevel="0" collapsed="false">
      <c r="A575" s="0" t="n">
        <v>575</v>
      </c>
      <c r="B575" s="0" t="n">
        <v>194865</v>
      </c>
      <c r="C575" s="0" t="n">
        <v>29743</v>
      </c>
      <c r="D575" s="0" t="n">
        <v>169632</v>
      </c>
      <c r="E575" s="0" t="n">
        <v>-0.03</v>
      </c>
      <c r="F575" s="0" t="n">
        <v>18304</v>
      </c>
      <c r="G575" s="0" t="n">
        <v>9.39316963025684</v>
      </c>
      <c r="H575" s="0" t="s">
        <v>732</v>
      </c>
      <c r="I575" s="0" t="n">
        <v>0.634070006052822</v>
      </c>
      <c r="J575" s="0" t="n">
        <v>25149</v>
      </c>
      <c r="K575" s="0" t="n">
        <v>21525</v>
      </c>
      <c r="L575" s="0" t="n">
        <v>135474</v>
      </c>
      <c r="M575" s="0" t="n">
        <v>134615</v>
      </c>
      <c r="N575" s="0" t="n">
        <v>88755</v>
      </c>
      <c r="O575" s="0" t="n">
        <v>713</v>
      </c>
      <c r="P575" s="0" t="s">
        <v>184</v>
      </c>
      <c r="Q575" s="0" t="n">
        <v>0.526300249494368</v>
      </c>
      <c r="R575" s="0" t="n">
        <v>2.17302516204695</v>
      </c>
      <c r="S575" s="0" t="n">
        <v>-7</v>
      </c>
      <c r="T575" s="0" t="n">
        <v>555</v>
      </c>
      <c r="U575" s="0" t="n">
        <v>0</v>
      </c>
      <c r="V575" s="0" t="n">
        <v>18.2276559407954</v>
      </c>
      <c r="W575" s="0" t="n">
        <v>20240930</v>
      </c>
      <c r="X575" s="0" t="n">
        <v>0.307613817098071</v>
      </c>
      <c r="Y575" s="0" t="n">
        <v>3.38</v>
      </c>
      <c r="Z575" s="0" t="s">
        <v>105</v>
      </c>
    </row>
    <row r="576" customFormat="false" ht="15" hidden="false" customHeight="false" outlineLevel="0" collapsed="false">
      <c r="A576" s="0" t="n">
        <v>576</v>
      </c>
      <c r="B576" s="0" t="n">
        <v>602075</v>
      </c>
      <c r="C576" s="0" t="n">
        <v>29744</v>
      </c>
      <c r="D576" s="0" t="n">
        <v>467670</v>
      </c>
      <c r="E576" s="0" t="n">
        <v>0</v>
      </c>
      <c r="F576" s="0" t="n">
        <v>48662</v>
      </c>
      <c r="G576" s="0" t="n">
        <v>8.08238176306939</v>
      </c>
      <c r="H576" s="0" t="s">
        <v>733</v>
      </c>
      <c r="I576" s="0" t="n">
        <v>0.788717561271564</v>
      </c>
      <c r="J576" s="0" t="n">
        <v>24096</v>
      </c>
      <c r="K576" s="0" t="n">
        <v>12270</v>
      </c>
      <c r="L576" s="0" t="n">
        <v>436785</v>
      </c>
      <c r="M576" s="0" t="n">
        <v>433340</v>
      </c>
      <c r="N576" s="0" t="n">
        <v>400419</v>
      </c>
      <c r="O576" s="0" t="n">
        <v>0</v>
      </c>
      <c r="P576" s="0" t="s">
        <v>186</v>
      </c>
      <c r="Q576" s="0" t="n">
        <v>0</v>
      </c>
      <c r="R576" s="0" t="n">
        <v>2.09710586176728</v>
      </c>
      <c r="S576" s="0" t="n">
        <v>25</v>
      </c>
      <c r="T576" s="0" t="n">
        <v>0</v>
      </c>
      <c r="U576" s="0" t="n">
        <v>0</v>
      </c>
      <c r="V576" s="0" t="n">
        <v>15.6619539212435</v>
      </c>
      <c r="W576" s="0" t="n">
        <v>20240930</v>
      </c>
      <c r="X576" s="0" t="n">
        <v>0.207937144494701</v>
      </c>
      <c r="Y576" s="0" t="n">
        <v>2.64</v>
      </c>
      <c r="Z576" s="0" t="s">
        <v>123</v>
      </c>
    </row>
    <row r="577" customFormat="false" ht="15" hidden="false" customHeight="false" outlineLevel="0" collapsed="false">
      <c r="A577" s="0" t="n">
        <v>577</v>
      </c>
      <c r="B577" s="0" t="n">
        <v>583685</v>
      </c>
      <c r="C577" s="0" t="n">
        <v>30350</v>
      </c>
      <c r="D577" s="0" t="n">
        <v>462099</v>
      </c>
      <c r="E577" s="0" t="n">
        <v>-0.01</v>
      </c>
      <c r="F577" s="0" t="n">
        <v>60586</v>
      </c>
      <c r="G577" s="0" t="n">
        <v>10.3799138233808</v>
      </c>
      <c r="H577" s="0" t="s">
        <v>734</v>
      </c>
      <c r="I577" s="0" t="n">
        <v>1.21923445878643</v>
      </c>
      <c r="J577" s="0" t="n">
        <v>14987</v>
      </c>
      <c r="K577" s="0" t="n">
        <v>1823</v>
      </c>
      <c r="L577" s="0" t="n">
        <v>434699</v>
      </c>
      <c r="M577" s="0" t="n">
        <v>429399</v>
      </c>
      <c r="N577" s="0" t="n">
        <v>415141</v>
      </c>
      <c r="O577" s="0" t="n">
        <v>1774</v>
      </c>
      <c r="P577" s="0" t="s">
        <v>188</v>
      </c>
      <c r="Q577" s="0" t="n">
        <v>0.408098477337192</v>
      </c>
      <c r="R577" s="0" t="n">
        <v>2.61400574385989</v>
      </c>
      <c r="S577" s="0" t="n">
        <v>-211</v>
      </c>
      <c r="T577" s="0" t="n">
        <v>639</v>
      </c>
      <c r="U577" s="0" t="n">
        <v>0</v>
      </c>
      <c r="V577" s="0" t="n">
        <v>20.683350032556</v>
      </c>
      <c r="W577" s="0" t="n">
        <v>20240930</v>
      </c>
      <c r="X577" s="0" t="n">
        <v>0.62176253371026</v>
      </c>
      <c r="Y577" s="0" t="n">
        <v>6.06</v>
      </c>
      <c r="Z577" s="0" t="s">
        <v>112</v>
      </c>
    </row>
    <row r="578" customFormat="false" ht="15" hidden="false" customHeight="false" outlineLevel="0" collapsed="false">
      <c r="A578" s="0" t="n">
        <v>578</v>
      </c>
      <c r="B578" s="0" t="n">
        <v>101059</v>
      </c>
      <c r="C578" s="0" t="n">
        <v>30878</v>
      </c>
      <c r="D578" s="0" t="n">
        <v>76246</v>
      </c>
      <c r="E578" s="0" t="n">
        <v>-0.04</v>
      </c>
      <c r="F578" s="0" t="n">
        <v>11989</v>
      </c>
      <c r="G578" s="0" t="n">
        <v>11.8633669440624</v>
      </c>
      <c r="H578" s="0" t="s">
        <v>735</v>
      </c>
      <c r="I578" s="0" t="n">
        <v>0.792990691474211</v>
      </c>
      <c r="J578" s="0" t="n">
        <v>0</v>
      </c>
      <c r="K578" s="0" t="n">
        <v>166</v>
      </c>
      <c r="L578" s="0" t="n">
        <v>87769</v>
      </c>
      <c r="M578" s="0" t="n">
        <v>87073</v>
      </c>
      <c r="N578" s="0" t="n">
        <v>87603</v>
      </c>
      <c r="O578" s="0" t="n">
        <v>1674</v>
      </c>
      <c r="P578" s="0" t="s">
        <v>190</v>
      </c>
      <c r="Q578" s="0" t="n">
        <v>1.90727933552849</v>
      </c>
      <c r="R578" s="0" t="n">
        <v>1.00204128984096</v>
      </c>
      <c r="S578" s="0" t="n">
        <v>0</v>
      </c>
      <c r="T578" s="0" t="n">
        <v>365</v>
      </c>
      <c r="U578" s="0" t="n">
        <v>0</v>
      </c>
      <c r="V578" s="0" t="n">
        <v>0</v>
      </c>
      <c r="W578" s="0" t="n">
        <v>20240930</v>
      </c>
      <c r="X578" s="0" t="n">
        <v>-0.533353658240568</v>
      </c>
      <c r="Y578" s="0" t="n">
        <v>-4.5</v>
      </c>
      <c r="Z578" s="0" t="s">
        <v>105</v>
      </c>
    </row>
    <row r="579" customFormat="false" ht="15" hidden="false" customHeight="false" outlineLevel="0" collapsed="false">
      <c r="A579" s="0" t="n">
        <v>579</v>
      </c>
      <c r="B579" s="0" t="n">
        <v>938865</v>
      </c>
      <c r="C579" s="0" t="n">
        <v>33418</v>
      </c>
      <c r="D579" s="0" t="n">
        <v>826469</v>
      </c>
      <c r="E579" s="0" t="n">
        <v>0.12</v>
      </c>
      <c r="F579" s="0" t="n">
        <v>69813</v>
      </c>
      <c r="G579" s="0" t="n">
        <v>7.43589333929798</v>
      </c>
      <c r="H579" s="0" t="s">
        <v>736</v>
      </c>
      <c r="I579" s="0" t="n">
        <v>0.689839200380342</v>
      </c>
      <c r="J579" s="0" t="n">
        <v>72013</v>
      </c>
      <c r="K579" s="0" t="n">
        <v>16431</v>
      </c>
      <c r="L579" s="0" t="n">
        <v>532153</v>
      </c>
      <c r="M579" s="0" t="n">
        <v>528482</v>
      </c>
      <c r="N579" s="0" t="n">
        <v>442986</v>
      </c>
      <c r="O579" s="0" t="n">
        <v>1024</v>
      </c>
      <c r="P579" s="0" t="s">
        <v>192</v>
      </c>
      <c r="Q579" s="0" t="n">
        <v>0.192425862486916</v>
      </c>
      <c r="R579" s="0" t="n">
        <v>2.23329594620879</v>
      </c>
      <c r="S579" s="0" t="n">
        <v>-5</v>
      </c>
      <c r="T579" s="0" t="n">
        <v>278</v>
      </c>
      <c r="U579" s="0" t="n">
        <v>0</v>
      </c>
      <c r="V579" s="0" t="n">
        <v>13.9529252381118</v>
      </c>
      <c r="W579" s="0" t="n">
        <v>20240930</v>
      </c>
      <c r="X579" s="0" t="n">
        <v>0.395784291055647</v>
      </c>
      <c r="Y579" s="0" t="n">
        <v>5.16</v>
      </c>
      <c r="Z579" s="0" t="s">
        <v>112</v>
      </c>
    </row>
    <row r="580" customFormat="false" ht="15" hidden="false" customHeight="false" outlineLevel="0" collapsed="false">
      <c r="A580" s="0" t="n">
        <v>580</v>
      </c>
      <c r="B580" s="0" t="n">
        <v>90470</v>
      </c>
      <c r="C580" s="0" t="n">
        <v>35206</v>
      </c>
      <c r="D580" s="0" t="n">
        <v>500</v>
      </c>
      <c r="E580" s="0" t="n">
        <v>0</v>
      </c>
      <c r="F580" s="0" t="n">
        <v>87835</v>
      </c>
      <c r="G580" s="0" t="n">
        <v>97.0874322979993</v>
      </c>
      <c r="H580" s="0" t="s">
        <v>737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  <c r="O580" s="0" t="n">
        <v>0</v>
      </c>
      <c r="P580" s="0" t="s">
        <v>252</v>
      </c>
      <c r="Q580" s="0" t="n">
        <v>0</v>
      </c>
      <c r="R580" s="0" t="n">
        <v>4.71607983660487</v>
      </c>
      <c r="S580" s="0" t="n">
        <v>0</v>
      </c>
      <c r="T580" s="0" t="n">
        <v>0</v>
      </c>
      <c r="U580" s="0" t="n">
        <v>0</v>
      </c>
      <c r="V580" s="0" t="n">
        <v>0</v>
      </c>
      <c r="W580" s="0" t="n">
        <v>20240930</v>
      </c>
      <c r="X580" s="0" t="n">
        <v>21.5285961063394</v>
      </c>
      <c r="Y580" s="0" t="n">
        <v>22.27</v>
      </c>
      <c r="Z580" s="0" t="s">
        <v>123</v>
      </c>
    </row>
    <row r="581" customFormat="false" ht="15" hidden="false" customHeight="false" outlineLevel="0" collapsed="false">
      <c r="A581" s="0" t="n">
        <v>581</v>
      </c>
      <c r="B581" s="0" t="n">
        <v>5730254</v>
      </c>
      <c r="C581" s="0" t="n">
        <v>4255</v>
      </c>
      <c r="D581" s="0" t="n">
        <v>4609875</v>
      </c>
      <c r="E581" s="0" t="n">
        <v>-0.01</v>
      </c>
      <c r="F581" s="0" t="n">
        <v>543598</v>
      </c>
      <c r="G581" s="0" t="n">
        <v>9.48645557422062</v>
      </c>
      <c r="H581" s="0" t="s">
        <v>738</v>
      </c>
      <c r="I581" s="0" t="n">
        <v>0.857806892926739</v>
      </c>
      <c r="J581" s="0" t="n">
        <v>319799</v>
      </c>
      <c r="K581" s="0" t="n">
        <v>16003</v>
      </c>
      <c r="L581" s="0" t="n">
        <v>4128435</v>
      </c>
      <c r="M581" s="0" t="n">
        <v>4093021</v>
      </c>
      <c r="N581" s="0" t="n">
        <v>3753732</v>
      </c>
      <c r="O581" s="0" t="n">
        <v>5350</v>
      </c>
      <c r="P581" s="0" t="s">
        <v>194</v>
      </c>
      <c r="Q581" s="0" t="n">
        <v>0.129589057354663</v>
      </c>
      <c r="R581" s="0" t="n">
        <v>2.49933669790916</v>
      </c>
      <c r="S581" s="0" t="n">
        <v>828</v>
      </c>
      <c r="T581" s="0" t="n">
        <v>1391</v>
      </c>
      <c r="U581" s="0" t="n">
        <v>0</v>
      </c>
      <c r="V581" s="0" t="n">
        <v>14.1867246818839</v>
      </c>
      <c r="W581" s="0" t="n">
        <v>20240930</v>
      </c>
      <c r="X581" s="0" t="n">
        <v>0.9337865070275</v>
      </c>
      <c r="Y581" s="0" t="n">
        <v>10.25</v>
      </c>
      <c r="Z581" s="0" t="s">
        <v>105</v>
      </c>
    </row>
    <row r="582" customFormat="false" ht="15" hidden="false" customHeight="false" outlineLevel="0" collapsed="false">
      <c r="A582" s="0" t="n">
        <v>582</v>
      </c>
      <c r="B582" s="0" t="n">
        <v>3107311</v>
      </c>
      <c r="C582" s="0" t="n">
        <v>4256</v>
      </c>
      <c r="D582" s="0" t="n">
        <v>2703552</v>
      </c>
      <c r="E582" s="0" t="n">
        <v>-0.03</v>
      </c>
      <c r="F582" s="0" t="n">
        <v>227931</v>
      </c>
      <c r="G582" s="0" t="n">
        <v>7.3353133947648</v>
      </c>
      <c r="H582" s="0" t="s">
        <v>739</v>
      </c>
      <c r="I582" s="0" t="n">
        <v>1.04015467744543</v>
      </c>
      <c r="J582" s="0" t="n">
        <v>366701</v>
      </c>
      <c r="K582" s="0" t="n">
        <v>19784</v>
      </c>
      <c r="L582" s="0" t="n">
        <v>2307253</v>
      </c>
      <c r="M582" s="0" t="n">
        <v>2283254</v>
      </c>
      <c r="N582" s="0" t="n">
        <v>1810714</v>
      </c>
      <c r="O582" s="0" t="n">
        <v>2497</v>
      </c>
      <c r="P582" s="0" t="s">
        <v>196</v>
      </c>
      <c r="Q582" s="0" t="n">
        <v>0.125777277134324</v>
      </c>
      <c r="R582" s="0" t="n">
        <v>2.19455333352659</v>
      </c>
      <c r="S582" s="0" t="n">
        <v>89</v>
      </c>
      <c r="T582" s="0" t="n">
        <v>2396</v>
      </c>
      <c r="U582" s="0" t="n">
        <v>405</v>
      </c>
      <c r="V582" s="0" t="n">
        <v>13.0554366502324</v>
      </c>
      <c r="W582" s="0" t="n">
        <v>20240930</v>
      </c>
      <c r="X582" s="0" t="n">
        <v>0.912442159618479</v>
      </c>
      <c r="Y582" s="0" t="n">
        <v>12.56</v>
      </c>
      <c r="Z582" s="0" t="s">
        <v>105</v>
      </c>
    </row>
    <row r="583" customFormat="false" ht="15" hidden="false" customHeight="false" outlineLevel="0" collapsed="false">
      <c r="A583" s="0" t="n">
        <v>583</v>
      </c>
      <c r="B583" s="0" t="n">
        <v>716744</v>
      </c>
      <c r="C583" s="0" t="n">
        <v>59086</v>
      </c>
      <c r="D583" s="0" t="n">
        <v>614764</v>
      </c>
      <c r="E583" s="0" t="n">
        <v>0.1</v>
      </c>
      <c r="F583" s="0" t="n">
        <v>96571</v>
      </c>
      <c r="G583" s="0" t="n">
        <v>13.473569363678</v>
      </c>
      <c r="H583" s="0" t="s">
        <v>740</v>
      </c>
      <c r="I583" s="0" t="n">
        <v>0.974100217486735</v>
      </c>
      <c r="J583" s="0" t="n">
        <v>125183</v>
      </c>
      <c r="K583" s="0" t="n">
        <v>0</v>
      </c>
      <c r="L583" s="0" t="n">
        <v>599117</v>
      </c>
      <c r="M583" s="0" t="n">
        <v>593281</v>
      </c>
      <c r="N583" s="0" t="n">
        <v>474334</v>
      </c>
      <c r="O583" s="0" t="n">
        <v>3521</v>
      </c>
      <c r="P583" s="0" t="s">
        <v>198</v>
      </c>
      <c r="Q583" s="0" t="n">
        <v>1.40573544065683</v>
      </c>
      <c r="R583" s="0" t="n">
        <v>3.76669432270729</v>
      </c>
      <c r="S583" s="0" t="n">
        <v>325</v>
      </c>
      <c r="T583" s="0" t="n">
        <v>2343</v>
      </c>
      <c r="U583" s="0" t="n">
        <v>6307</v>
      </c>
      <c r="V583" s="0" t="n">
        <v>16.0439870513234</v>
      </c>
      <c r="W583" s="0" t="n">
        <v>20240930</v>
      </c>
      <c r="X583" s="0" t="n">
        <v>1.44425252021969</v>
      </c>
      <c r="Y583" s="0" t="n">
        <v>11.01</v>
      </c>
      <c r="Z583" s="0" t="s">
        <v>123</v>
      </c>
    </row>
    <row r="584" customFormat="false" ht="15" hidden="false" customHeight="false" outlineLevel="0" collapsed="false">
      <c r="A584" s="0" t="n">
        <v>584</v>
      </c>
      <c r="B584" s="0" t="n">
        <v>228046</v>
      </c>
      <c r="C584" s="0" t="n">
        <v>59176</v>
      </c>
      <c r="D584" s="0" t="n">
        <v>192544</v>
      </c>
      <c r="E584" s="0" t="n">
        <v>0.06</v>
      </c>
      <c r="F584" s="0" t="n">
        <v>27016</v>
      </c>
      <c r="G584" s="0" t="n">
        <v>11.8467326767407</v>
      </c>
      <c r="H584" s="0" t="s">
        <v>741</v>
      </c>
      <c r="I584" s="0" t="n">
        <v>0.9519076608156</v>
      </c>
      <c r="J584" s="0" t="n">
        <v>22234</v>
      </c>
      <c r="K584" s="0" t="n">
        <v>0</v>
      </c>
      <c r="L584" s="0" t="n">
        <v>169029</v>
      </c>
      <c r="M584" s="0" t="n">
        <v>167420</v>
      </c>
      <c r="N584" s="0" t="n">
        <v>146756</v>
      </c>
      <c r="O584" s="0" t="n">
        <v>0</v>
      </c>
      <c r="P584" s="0" t="s">
        <v>200</v>
      </c>
      <c r="Q584" s="0" t="n">
        <v>0</v>
      </c>
      <c r="R584" s="0" t="n">
        <v>2.448461114472</v>
      </c>
      <c r="S584" s="0" t="n">
        <v>-32</v>
      </c>
      <c r="T584" s="0" t="n">
        <v>0</v>
      </c>
      <c r="U584" s="0" t="n">
        <v>0</v>
      </c>
      <c r="V584" s="0" t="n">
        <v>0</v>
      </c>
      <c r="W584" s="0" t="n">
        <v>20240930</v>
      </c>
      <c r="X584" s="0" t="n">
        <v>0.0476526211412942</v>
      </c>
      <c r="Y584" s="0" t="n">
        <v>0.42</v>
      </c>
      <c r="Z584" s="0" t="s">
        <v>123</v>
      </c>
    </row>
    <row r="585" customFormat="false" ht="15" hidden="false" customHeight="false" outlineLevel="0" collapsed="false">
      <c r="A585" s="0" t="n">
        <v>585</v>
      </c>
      <c r="B585" s="0" t="n">
        <v>120497</v>
      </c>
      <c r="C585" s="0" t="n">
        <v>59289</v>
      </c>
      <c r="D585" s="0" t="n">
        <v>102833</v>
      </c>
      <c r="E585" s="0" t="n">
        <v>2.66</v>
      </c>
      <c r="F585" s="0" t="n">
        <v>16578</v>
      </c>
      <c r="G585" s="0" t="n">
        <v>13.7580188718391</v>
      </c>
      <c r="H585" s="0" t="s">
        <v>742</v>
      </c>
      <c r="I585" s="0" t="n">
        <v>3.3359733449858</v>
      </c>
      <c r="J585" s="0" t="n">
        <v>37285</v>
      </c>
      <c r="K585" s="0" t="n">
        <v>0</v>
      </c>
      <c r="L585" s="0" t="n">
        <v>73232</v>
      </c>
      <c r="M585" s="0" t="n">
        <v>70789</v>
      </c>
      <c r="N585" s="0" t="n">
        <v>31000</v>
      </c>
      <c r="O585" s="0" t="n">
        <v>4832</v>
      </c>
      <c r="P585" s="0" t="s">
        <v>364</v>
      </c>
      <c r="Q585" s="0" t="n">
        <v>6.59820843347171</v>
      </c>
      <c r="R585" s="0" t="n">
        <v>3.76116711341111</v>
      </c>
      <c r="S585" s="0" t="n">
        <v>0</v>
      </c>
      <c r="T585" s="0" t="n">
        <v>0</v>
      </c>
      <c r="U585" s="0" t="n">
        <v>0</v>
      </c>
      <c r="V585" s="0" t="n">
        <v>0</v>
      </c>
      <c r="W585" s="0" t="n">
        <v>20240930</v>
      </c>
      <c r="X585" s="0" t="n">
        <v>-3.55028579942774</v>
      </c>
      <c r="Y585" s="0" t="n">
        <v>-19.17</v>
      </c>
      <c r="Z585" s="0" t="s">
        <v>123</v>
      </c>
    </row>
    <row r="586" customFormat="false" ht="15" hidden="false" customHeight="false" outlineLevel="0" collapsed="false">
      <c r="A586" s="0" t="n">
        <v>586</v>
      </c>
      <c r="B586" s="0" t="n">
        <v>257839</v>
      </c>
      <c r="C586" s="0" t="n">
        <v>59298</v>
      </c>
      <c r="D586" s="0" t="n">
        <v>230108</v>
      </c>
      <c r="E586" s="0" t="n">
        <v>0.2</v>
      </c>
      <c r="F586" s="0" t="n">
        <v>26808</v>
      </c>
      <c r="G586" s="0" t="n">
        <v>10.3971858407766</v>
      </c>
      <c r="H586" s="0" t="s">
        <v>743</v>
      </c>
      <c r="I586" s="0" t="n">
        <v>0.787373425923443</v>
      </c>
      <c r="J586" s="0" t="n">
        <v>23764</v>
      </c>
      <c r="K586" s="0" t="n">
        <v>0</v>
      </c>
      <c r="L586" s="0" t="n">
        <v>111891</v>
      </c>
      <c r="M586" s="0" t="n">
        <v>111010</v>
      </c>
      <c r="N586" s="0" t="n">
        <v>88153</v>
      </c>
      <c r="O586" s="0" t="n">
        <v>0</v>
      </c>
      <c r="P586" s="0" t="s">
        <v>310</v>
      </c>
      <c r="Q586" s="0" t="n">
        <v>0</v>
      </c>
      <c r="R586" s="0" t="n">
        <v>1.98479257946533</v>
      </c>
      <c r="S586" s="0" t="n">
        <v>0</v>
      </c>
      <c r="T586" s="0" t="n">
        <v>0</v>
      </c>
      <c r="U586" s="0" t="n">
        <v>0</v>
      </c>
      <c r="V586" s="0" t="n">
        <v>0</v>
      </c>
      <c r="W586" s="0" t="n">
        <v>20240930</v>
      </c>
      <c r="X586" s="0" t="n">
        <v>-1.04704613103554</v>
      </c>
      <c r="Y586" s="0" t="n">
        <v>-7.94</v>
      </c>
      <c r="Z586" s="0" t="s">
        <v>112</v>
      </c>
    </row>
    <row r="587" customFormat="false" ht="15" hidden="false" customHeight="false" outlineLevel="0" collapsed="false">
      <c r="A587" s="0" t="n">
        <v>587</v>
      </c>
      <c r="B587" s="0" t="n">
        <v>1176660</v>
      </c>
      <c r="C587" s="0" t="n">
        <v>6271</v>
      </c>
      <c r="D587" s="0" t="n">
        <v>930724</v>
      </c>
      <c r="E587" s="0" t="n">
        <v>0.13</v>
      </c>
      <c r="F587" s="0" t="n">
        <v>110390</v>
      </c>
      <c r="G587" s="0" t="n">
        <v>9.38163955603148</v>
      </c>
      <c r="H587" s="0" t="s">
        <v>744</v>
      </c>
      <c r="I587" s="0" t="n">
        <v>1.04450763070852</v>
      </c>
      <c r="J587" s="0" t="n">
        <v>123877</v>
      </c>
      <c r="K587" s="0" t="n">
        <v>7088</v>
      </c>
      <c r="L587" s="0" t="n">
        <v>913349</v>
      </c>
      <c r="M587" s="0" t="n">
        <v>903809</v>
      </c>
      <c r="N587" s="0" t="n">
        <v>709642</v>
      </c>
      <c r="O587" s="0" t="n">
        <v>4487</v>
      </c>
      <c r="P587" s="0" t="s">
        <v>202</v>
      </c>
      <c r="Q587" s="0" t="n">
        <v>0.586851247442106</v>
      </c>
      <c r="R587" s="0" t="n">
        <v>3.28231818568022</v>
      </c>
      <c r="S587" s="0" t="n">
        <v>1380</v>
      </c>
      <c r="T587" s="0" t="n">
        <v>141</v>
      </c>
      <c r="U587" s="0" t="n">
        <v>873</v>
      </c>
      <c r="V587" s="0" t="n">
        <v>14.7664225949049</v>
      </c>
      <c r="W587" s="0" t="n">
        <v>20240930</v>
      </c>
      <c r="X587" s="0" t="n">
        <v>1.13807452468225</v>
      </c>
      <c r="Y587" s="0" t="n">
        <v>12.25</v>
      </c>
      <c r="Z587" s="0" t="s">
        <v>112</v>
      </c>
    </row>
    <row r="588" customFormat="false" ht="15" hidden="false" customHeight="false" outlineLevel="0" collapsed="false">
      <c r="A588" s="0" t="n">
        <v>588</v>
      </c>
      <c r="B588" s="0" t="n">
        <v>558754</v>
      </c>
      <c r="C588" s="0" t="n">
        <v>6275</v>
      </c>
      <c r="D588" s="0" t="n">
        <v>473501</v>
      </c>
      <c r="E588" s="0" t="n">
        <v>0</v>
      </c>
      <c r="F588" s="0" t="n">
        <v>36242</v>
      </c>
      <c r="G588" s="0" t="n">
        <v>6.48621754833075</v>
      </c>
      <c r="H588" s="0" t="s">
        <v>745</v>
      </c>
      <c r="I588" s="0" t="n">
        <v>0.409030988856934</v>
      </c>
      <c r="J588" s="0" t="n">
        <v>38226</v>
      </c>
      <c r="K588" s="0" t="n">
        <v>9769</v>
      </c>
      <c r="L588" s="0" t="n">
        <v>346673</v>
      </c>
      <c r="M588" s="0" t="n">
        <v>345255</v>
      </c>
      <c r="N588" s="0" t="n">
        <v>288795</v>
      </c>
      <c r="O588" s="0" t="n">
        <v>745</v>
      </c>
      <c r="P588" s="0" t="s">
        <v>204</v>
      </c>
      <c r="Q588" s="0" t="n">
        <v>0.234514946361557</v>
      </c>
      <c r="R588" s="0" t="n">
        <v>2.90157241979757</v>
      </c>
      <c r="S588" s="0" t="n">
        <v>-26</v>
      </c>
      <c r="T588" s="0" t="n">
        <v>41</v>
      </c>
      <c r="U588" s="0" t="n">
        <v>68</v>
      </c>
      <c r="V588" s="0" t="n">
        <v>15.2047103929892</v>
      </c>
      <c r="W588" s="0" t="n">
        <v>20240930</v>
      </c>
      <c r="X588" s="0" t="n">
        <v>0.610514678351193</v>
      </c>
      <c r="Y588" s="0" t="n">
        <v>10.67</v>
      </c>
      <c r="Z588" s="0" t="s">
        <v>112</v>
      </c>
    </row>
    <row r="589" customFormat="false" ht="15" hidden="false" customHeight="false" outlineLevel="0" collapsed="false">
      <c r="A589" s="0" t="n">
        <v>589</v>
      </c>
      <c r="B589" s="0" t="n">
        <v>85714</v>
      </c>
      <c r="C589" s="0" t="n">
        <v>6280</v>
      </c>
      <c r="D589" s="0" t="n">
        <v>75614</v>
      </c>
      <c r="E589" s="0" t="n">
        <v>0.09</v>
      </c>
      <c r="F589" s="0" t="n">
        <v>9836</v>
      </c>
      <c r="G589" s="0" t="n">
        <v>11.475371584572</v>
      </c>
      <c r="H589" s="0" t="s">
        <v>746</v>
      </c>
      <c r="I589" s="0" t="n">
        <v>1.32484076433121</v>
      </c>
      <c r="J589" s="0" t="n">
        <v>3992</v>
      </c>
      <c r="K589" s="0" t="n">
        <v>1471</v>
      </c>
      <c r="L589" s="0" t="n">
        <v>70650</v>
      </c>
      <c r="M589" s="0" t="n">
        <v>69714</v>
      </c>
      <c r="N589" s="0" t="n">
        <v>62411</v>
      </c>
      <c r="O589" s="0" t="n">
        <v>1121</v>
      </c>
      <c r="P589" s="0" t="s">
        <v>206</v>
      </c>
      <c r="Q589" s="0" t="n">
        <v>1.58669497523001</v>
      </c>
      <c r="R589" s="0" t="n">
        <v>4.61800872747197</v>
      </c>
      <c r="S589" s="0" t="n">
        <v>12</v>
      </c>
      <c r="T589" s="0" t="n">
        <v>644</v>
      </c>
      <c r="U589" s="0" t="n">
        <v>0</v>
      </c>
      <c r="V589" s="0" t="n">
        <v>0</v>
      </c>
      <c r="W589" s="0" t="n">
        <v>20240930</v>
      </c>
      <c r="X589" s="0" t="n">
        <v>1.37847937324559</v>
      </c>
      <c r="Y589" s="0" t="n">
        <v>11.61</v>
      </c>
      <c r="Z589" s="0" t="s">
        <v>112</v>
      </c>
    </row>
    <row r="590" customFormat="false" ht="15" hidden="false" customHeight="false" outlineLevel="0" collapsed="false">
      <c r="A590" s="0" t="n">
        <v>590</v>
      </c>
      <c r="B590" s="0" t="n">
        <v>4077997</v>
      </c>
      <c r="C590" s="0" t="n">
        <v>11971</v>
      </c>
      <c r="D590" s="0" t="n">
        <v>3274818</v>
      </c>
      <c r="E590" s="0" t="n">
        <v>0.03</v>
      </c>
      <c r="F590" s="0" t="n">
        <v>493072</v>
      </c>
      <c r="G590" s="0" t="n">
        <v>12.0910339070872</v>
      </c>
      <c r="H590" s="0" t="s">
        <v>747</v>
      </c>
      <c r="I590" s="0" t="n">
        <v>0.912991387185341</v>
      </c>
      <c r="J590" s="0" t="n">
        <v>212814</v>
      </c>
      <c r="K590" s="0" t="n">
        <v>8070</v>
      </c>
      <c r="L590" s="0" t="n">
        <v>3148332</v>
      </c>
      <c r="M590" s="0" t="n">
        <v>3119588</v>
      </c>
      <c r="N590" s="0" t="n">
        <v>2776221</v>
      </c>
      <c r="O590" s="0" t="n">
        <v>6995</v>
      </c>
      <c r="P590" s="0" t="s">
        <v>104</v>
      </c>
      <c r="Q590" s="0" t="n">
        <v>0.222276430821146</v>
      </c>
      <c r="R590" s="0" t="n">
        <v>3.2547781259091</v>
      </c>
      <c r="S590" s="0" t="n">
        <v>353</v>
      </c>
      <c r="T590" s="0" t="n">
        <v>17336</v>
      </c>
      <c r="U590" s="0" t="n">
        <v>3</v>
      </c>
      <c r="V590" s="0" t="n">
        <v>13.4411479487113</v>
      </c>
      <c r="W590" s="0" t="n">
        <v>20241231</v>
      </c>
      <c r="X590" s="0" t="n">
        <v>1.26447906428998</v>
      </c>
      <c r="Y590" s="0" t="n">
        <v>10.26</v>
      </c>
      <c r="Z590" s="0" t="s">
        <v>105</v>
      </c>
    </row>
    <row r="591" customFormat="false" ht="15" hidden="false" customHeight="false" outlineLevel="0" collapsed="false">
      <c r="A591" s="0" t="n">
        <v>591</v>
      </c>
      <c r="B591" s="0" t="n">
        <v>1078599</v>
      </c>
      <c r="C591" s="0" t="n">
        <v>12874</v>
      </c>
      <c r="D591" s="0" t="n">
        <v>931493</v>
      </c>
      <c r="E591" s="0" t="n">
        <v>0.05</v>
      </c>
      <c r="F591" s="0" t="n">
        <v>96293</v>
      </c>
      <c r="G591" s="0" t="n">
        <v>8.92759959910959</v>
      </c>
      <c r="H591" s="0" t="s">
        <v>748</v>
      </c>
      <c r="I591" s="0" t="n">
        <v>1.00624187634586</v>
      </c>
      <c r="J591" s="0" t="n">
        <v>163025</v>
      </c>
      <c r="K591" s="0" t="n">
        <v>4566</v>
      </c>
      <c r="L591" s="0" t="n">
        <v>824752</v>
      </c>
      <c r="M591" s="0" t="n">
        <v>816453</v>
      </c>
      <c r="N591" s="0" t="n">
        <v>640478</v>
      </c>
      <c r="O591" s="0" t="n">
        <v>1392</v>
      </c>
      <c r="P591" s="0" t="s">
        <v>107</v>
      </c>
      <c r="Q591" s="0" t="n">
        <v>0.168778008419501</v>
      </c>
      <c r="R591" s="0" t="n">
        <v>3.69486040719359</v>
      </c>
      <c r="S591" s="0" t="n">
        <v>-17</v>
      </c>
      <c r="T591" s="0" t="n">
        <v>568</v>
      </c>
      <c r="U591" s="0" t="n">
        <v>0</v>
      </c>
      <c r="V591" s="0" t="n">
        <v>14.0068083332392</v>
      </c>
      <c r="W591" s="0" t="n">
        <v>20241231</v>
      </c>
      <c r="X591" s="0" t="n">
        <v>0.860333153789986</v>
      </c>
      <c r="Y591" s="0" t="n">
        <v>8.44</v>
      </c>
      <c r="Z591" s="0" t="s">
        <v>105</v>
      </c>
    </row>
    <row r="592" customFormat="false" ht="15" hidden="false" customHeight="false" outlineLevel="0" collapsed="false">
      <c r="A592" s="0" t="n">
        <v>592</v>
      </c>
      <c r="B592" s="0" t="n">
        <v>1867411</v>
      </c>
      <c r="C592" s="0" t="n">
        <v>13063</v>
      </c>
      <c r="D592" s="0" t="n">
        <v>1626222</v>
      </c>
      <c r="E592" s="0" t="n">
        <v>0</v>
      </c>
      <c r="F592" s="0" t="n">
        <v>153090</v>
      </c>
      <c r="G592" s="0" t="n">
        <v>8.1979810550543</v>
      </c>
      <c r="H592" s="0" t="s">
        <v>749</v>
      </c>
      <c r="I592" s="0" t="n">
        <v>1.10218094236936</v>
      </c>
      <c r="J592" s="0" t="n">
        <v>60157</v>
      </c>
      <c r="K592" s="0" t="n">
        <v>794</v>
      </c>
      <c r="L592" s="0" t="n">
        <v>1503020</v>
      </c>
      <c r="M592" s="0" t="n">
        <v>1486454</v>
      </c>
      <c r="N592" s="0" t="n">
        <v>1427918</v>
      </c>
      <c r="O592" s="0" t="n">
        <v>471</v>
      </c>
      <c r="P592" s="0" t="s">
        <v>109</v>
      </c>
      <c r="Q592" s="0" t="n">
        <v>0.0313369083578395</v>
      </c>
      <c r="R592" s="0" t="n">
        <v>3.19713072652626</v>
      </c>
      <c r="S592" s="0" t="n">
        <v>-27</v>
      </c>
      <c r="T592" s="0" t="n">
        <v>4656</v>
      </c>
      <c r="U592" s="0" t="n">
        <v>0</v>
      </c>
      <c r="V592" s="0" t="n">
        <v>0</v>
      </c>
      <c r="W592" s="0" t="n">
        <v>20241231</v>
      </c>
      <c r="X592" s="0" t="n">
        <v>0.520034133011195</v>
      </c>
      <c r="Y592" s="0" t="n">
        <v>6.39</v>
      </c>
      <c r="Z592" s="0" t="s">
        <v>105</v>
      </c>
    </row>
    <row r="593" customFormat="false" ht="15" hidden="false" customHeight="false" outlineLevel="0" collapsed="false">
      <c r="A593" s="0" t="n">
        <v>593</v>
      </c>
      <c r="B593" s="0" t="n">
        <v>894082</v>
      </c>
      <c r="C593" s="0" t="n">
        <v>14134</v>
      </c>
      <c r="D593" s="0" t="n">
        <v>716959</v>
      </c>
      <c r="E593" s="0" t="n">
        <v>0.09</v>
      </c>
      <c r="F593" s="0" t="n">
        <v>111729</v>
      </c>
      <c r="G593" s="0" t="n">
        <v>12.4965047948622</v>
      </c>
      <c r="H593" s="0" t="s">
        <v>750</v>
      </c>
      <c r="I593" s="0" t="n">
        <v>1.07915625927728</v>
      </c>
      <c r="J593" s="0" t="n">
        <v>25357</v>
      </c>
      <c r="K593" s="0" t="n">
        <v>19431</v>
      </c>
      <c r="L593" s="0" t="n">
        <v>643373</v>
      </c>
      <c r="M593" s="0" t="n">
        <v>636430</v>
      </c>
      <c r="N593" s="0" t="n">
        <v>570625</v>
      </c>
      <c r="O593" s="0" t="n">
        <v>3603</v>
      </c>
      <c r="P593" s="0" t="s">
        <v>111</v>
      </c>
      <c r="Q593" s="0" t="n">
        <v>0.560017283908402</v>
      </c>
      <c r="R593" s="0" t="n">
        <v>3.02248641444206</v>
      </c>
      <c r="S593" s="0" t="n">
        <v>1082</v>
      </c>
      <c r="T593" s="0" t="n">
        <v>4356</v>
      </c>
      <c r="U593" s="0" t="n">
        <v>0</v>
      </c>
      <c r="V593" s="0" t="n">
        <v>20.2931917327933</v>
      </c>
      <c r="W593" s="0" t="n">
        <v>20241231</v>
      </c>
      <c r="X593" s="0" t="n">
        <v>0.807708956890982</v>
      </c>
      <c r="Y593" s="0" t="n">
        <v>6.36</v>
      </c>
      <c r="Z593" s="0" t="s">
        <v>112</v>
      </c>
    </row>
    <row r="594" customFormat="false" ht="15" hidden="false" customHeight="false" outlineLevel="0" collapsed="false">
      <c r="A594" s="0" t="n">
        <v>594</v>
      </c>
      <c r="B594" s="0" t="n">
        <v>237708</v>
      </c>
      <c r="C594" s="0" t="n">
        <v>14136</v>
      </c>
      <c r="D594" s="0" t="n">
        <v>204666</v>
      </c>
      <c r="E594" s="0" t="n">
        <v>0.01</v>
      </c>
      <c r="F594" s="0" t="n">
        <v>18926</v>
      </c>
      <c r="G594" s="0" t="n">
        <v>7.96186918404093</v>
      </c>
      <c r="H594" s="0" t="s">
        <v>751</v>
      </c>
      <c r="I594" s="0" t="n">
        <v>1.03549452151154</v>
      </c>
      <c r="J594" s="0" t="n">
        <v>16696</v>
      </c>
      <c r="K594" s="0" t="n">
        <v>14895</v>
      </c>
      <c r="L594" s="0" t="n">
        <v>157799</v>
      </c>
      <c r="M594" s="0" t="n">
        <v>156165</v>
      </c>
      <c r="N594" s="0" t="n">
        <v>125909</v>
      </c>
      <c r="O594" s="0" t="n">
        <v>510</v>
      </c>
      <c r="P594" s="0" t="s">
        <v>114</v>
      </c>
      <c r="Q594" s="0" t="n">
        <v>0.775670314767521</v>
      </c>
      <c r="R594" s="0" t="n">
        <v>3.83592993733623</v>
      </c>
      <c r="S594" s="0" t="n">
        <v>271</v>
      </c>
      <c r="T594" s="0" t="n">
        <v>1061</v>
      </c>
      <c r="U594" s="0" t="n">
        <v>714</v>
      </c>
      <c r="V594" s="0" t="n">
        <v>18.3832074375363</v>
      </c>
      <c r="W594" s="0" t="n">
        <v>20241231</v>
      </c>
      <c r="X594" s="0" t="n">
        <v>0.592215367017237</v>
      </c>
      <c r="Y594" s="0" t="n">
        <v>7.67</v>
      </c>
      <c r="Z594" s="0" t="s">
        <v>112</v>
      </c>
    </row>
    <row r="595" customFormat="false" ht="15" hidden="false" customHeight="false" outlineLevel="0" collapsed="false">
      <c r="A595" s="0" t="n">
        <v>595</v>
      </c>
      <c r="B595" s="0" t="n">
        <v>1558316</v>
      </c>
      <c r="C595" s="0" t="n">
        <v>14140</v>
      </c>
      <c r="D595" s="0" t="n">
        <v>1234041</v>
      </c>
      <c r="E595" s="0" t="n">
        <v>-0.03</v>
      </c>
      <c r="F595" s="0" t="n">
        <v>133315</v>
      </c>
      <c r="G595" s="0" t="n">
        <v>8.55506842001237</v>
      </c>
      <c r="H595" s="0" t="s">
        <v>752</v>
      </c>
      <c r="I595" s="0" t="n">
        <v>0.783955979254424</v>
      </c>
      <c r="J595" s="0" t="n">
        <v>95021</v>
      </c>
      <c r="K595" s="0" t="n">
        <v>1556</v>
      </c>
      <c r="L595" s="0" t="n">
        <v>1100572</v>
      </c>
      <c r="M595" s="0" t="n">
        <v>1091944</v>
      </c>
      <c r="N595" s="0" t="n">
        <v>975721</v>
      </c>
      <c r="O595" s="0" t="n">
        <v>5344</v>
      </c>
      <c r="P595" s="0" t="s">
        <v>116</v>
      </c>
      <c r="Q595" s="0" t="n">
        <v>0.485565687660598</v>
      </c>
      <c r="R595" s="0" t="n">
        <v>2.41444487121519</v>
      </c>
      <c r="S595" s="0" t="n">
        <v>50</v>
      </c>
      <c r="T595" s="0" t="n">
        <v>798</v>
      </c>
      <c r="U595" s="0" t="n">
        <v>0</v>
      </c>
      <c r="V595" s="0" t="n">
        <v>0</v>
      </c>
      <c r="W595" s="0" t="n">
        <v>20241231</v>
      </c>
      <c r="X595" s="0" t="n">
        <v>0.30821925027166</v>
      </c>
      <c r="Y595" s="0" t="n">
        <v>3.6</v>
      </c>
      <c r="Z595" s="0" t="s">
        <v>112</v>
      </c>
    </row>
    <row r="596" customFormat="false" ht="15" hidden="false" customHeight="false" outlineLevel="0" collapsed="false">
      <c r="A596" s="0" t="n">
        <v>596</v>
      </c>
      <c r="B596" s="0" t="n">
        <v>1527590</v>
      </c>
      <c r="C596" s="0" t="n">
        <v>14158</v>
      </c>
      <c r="D596" s="0" t="n">
        <v>1171399</v>
      </c>
      <c r="E596" s="0" t="n">
        <v>0.06</v>
      </c>
      <c r="F596" s="0" t="n">
        <v>82437</v>
      </c>
      <c r="G596" s="0" t="n">
        <v>5.39653964741848</v>
      </c>
      <c r="H596" s="0" t="s">
        <v>753</v>
      </c>
      <c r="I596" s="0" t="n">
        <v>0.660303223620972</v>
      </c>
      <c r="J596" s="0" t="n">
        <v>35314</v>
      </c>
      <c r="K596" s="0" t="n">
        <v>2423</v>
      </c>
      <c r="L596" s="0" t="n">
        <v>1163102</v>
      </c>
      <c r="M596" s="0" t="n">
        <v>1155422</v>
      </c>
      <c r="N596" s="0" t="n">
        <v>1010360</v>
      </c>
      <c r="O596" s="0" t="n">
        <v>1652</v>
      </c>
      <c r="P596" s="0" t="s">
        <v>118</v>
      </c>
      <c r="Q596" s="0" t="n">
        <v>0.162754427384701</v>
      </c>
      <c r="R596" s="0" t="n">
        <v>2.86003880673193</v>
      </c>
      <c r="S596" s="0" t="n">
        <v>-23</v>
      </c>
      <c r="T596" s="0" t="n">
        <v>3122</v>
      </c>
      <c r="U596" s="0" t="n">
        <v>241</v>
      </c>
      <c r="V596" s="0" t="n">
        <v>12.508099717311</v>
      </c>
      <c r="W596" s="0" t="n">
        <v>20241231</v>
      </c>
      <c r="X596" s="0" t="n">
        <v>0.659307705761988</v>
      </c>
      <c r="Y596" s="0" t="n">
        <v>11.71</v>
      </c>
      <c r="Z596" s="0" t="s">
        <v>112</v>
      </c>
    </row>
    <row r="597" customFormat="false" ht="15" hidden="false" customHeight="false" outlineLevel="0" collapsed="false">
      <c r="A597" s="0" t="n">
        <v>597</v>
      </c>
      <c r="B597" s="0" t="n">
        <v>369405</v>
      </c>
      <c r="C597" s="0" t="n">
        <v>14168</v>
      </c>
      <c r="D597" s="0" t="n">
        <v>325925</v>
      </c>
      <c r="E597" s="0" t="n">
        <v>0.05</v>
      </c>
      <c r="F597" s="0" t="n">
        <v>37830</v>
      </c>
      <c r="G597" s="0" t="n">
        <v>10.2407926259796</v>
      </c>
      <c r="H597" s="0" t="s">
        <v>754</v>
      </c>
      <c r="I597" s="0" t="n">
        <v>1.36984318805132</v>
      </c>
      <c r="J597" s="0" t="n">
        <v>11946</v>
      </c>
      <c r="K597" s="0" t="n">
        <v>10751</v>
      </c>
      <c r="L597" s="0" t="n">
        <v>276382</v>
      </c>
      <c r="M597" s="0" t="n">
        <v>272596</v>
      </c>
      <c r="N597" s="0" t="n">
        <v>234027</v>
      </c>
      <c r="O597" s="0" t="n">
        <v>910</v>
      </c>
      <c r="P597" s="0" t="s">
        <v>120</v>
      </c>
      <c r="Q597" s="0" t="n">
        <v>0.329254437698548</v>
      </c>
      <c r="R597" s="0" t="n">
        <v>4.15092219303544</v>
      </c>
      <c r="S597" s="0" t="n">
        <v>85</v>
      </c>
      <c r="T597" s="0" t="n">
        <v>404</v>
      </c>
      <c r="U597" s="0" t="n">
        <v>0</v>
      </c>
      <c r="V597" s="0" t="n">
        <v>16.4194761448442</v>
      </c>
      <c r="W597" s="0" t="n">
        <v>20241231</v>
      </c>
      <c r="X597" s="0" t="n">
        <v>0.985943826552391</v>
      </c>
      <c r="Y597" s="0" t="n">
        <v>9.9</v>
      </c>
      <c r="Z597" s="0" t="s">
        <v>112</v>
      </c>
    </row>
    <row r="598" customFormat="false" ht="15" hidden="false" customHeight="false" outlineLevel="0" collapsed="false">
      <c r="A598" s="0" t="n">
        <v>598</v>
      </c>
      <c r="B598" s="0" t="n">
        <v>1188010</v>
      </c>
      <c r="C598" s="0" t="n">
        <v>14240</v>
      </c>
      <c r="D598" s="0" t="n">
        <v>977466</v>
      </c>
      <c r="E598" s="0" t="n">
        <v>-0.04</v>
      </c>
      <c r="F598" s="0" t="n">
        <v>89624</v>
      </c>
      <c r="G598" s="0" t="n">
        <v>7.54404424205184</v>
      </c>
      <c r="H598" s="0" t="s">
        <v>755</v>
      </c>
      <c r="I598" s="0" t="n">
        <v>1.16849565614998</v>
      </c>
      <c r="J598" s="0" t="n">
        <v>27669</v>
      </c>
      <c r="K598" s="0" t="n">
        <v>12372</v>
      </c>
      <c r="L598" s="0" t="n">
        <v>874800</v>
      </c>
      <c r="M598" s="0" t="n">
        <v>864578</v>
      </c>
      <c r="N598" s="0" t="n">
        <v>760710</v>
      </c>
      <c r="O598" s="0" t="n">
        <v>2934</v>
      </c>
      <c r="P598" s="0" t="s">
        <v>122</v>
      </c>
      <c r="Q598" s="0" t="n">
        <v>0.335390946502058</v>
      </c>
      <c r="R598" s="0" t="n">
        <v>2.74163164808035</v>
      </c>
      <c r="S598" s="0" t="n">
        <v>-18</v>
      </c>
      <c r="T598" s="0" t="n">
        <v>2297</v>
      </c>
      <c r="U598" s="0" t="n">
        <v>0</v>
      </c>
      <c r="V598" s="0" t="n">
        <v>17.1493147404287</v>
      </c>
      <c r="W598" s="0" t="n">
        <v>20241231</v>
      </c>
      <c r="X598" s="0" t="n">
        <v>0.504315605562752</v>
      </c>
      <c r="Y598" s="0" t="n">
        <v>6.9</v>
      </c>
      <c r="Z598" s="0" t="s">
        <v>123</v>
      </c>
    </row>
    <row r="599" customFormat="false" ht="15" hidden="false" customHeight="false" outlineLevel="0" collapsed="false">
      <c r="A599" s="0" t="n">
        <v>599</v>
      </c>
      <c r="B599" s="0" t="n">
        <v>1041970</v>
      </c>
      <c r="C599" s="0" t="n">
        <v>17115</v>
      </c>
      <c r="D599" s="0" t="n">
        <v>827656</v>
      </c>
      <c r="E599" s="0" t="n">
        <v>-0.01</v>
      </c>
      <c r="F599" s="0" t="n">
        <v>91891</v>
      </c>
      <c r="G599" s="0" t="n">
        <v>8.8189679165427</v>
      </c>
      <c r="H599" s="0" t="s">
        <v>756</v>
      </c>
      <c r="I599" s="0" t="n">
        <v>0.985833655182847</v>
      </c>
      <c r="J599" s="0" t="n">
        <v>38988</v>
      </c>
      <c r="K599" s="0" t="n">
        <v>6624</v>
      </c>
      <c r="L599" s="0" t="n">
        <v>872561</v>
      </c>
      <c r="M599" s="0" t="n">
        <v>863959</v>
      </c>
      <c r="N599" s="0" t="n">
        <v>826165</v>
      </c>
      <c r="O599" s="0" t="n">
        <v>2571</v>
      </c>
      <c r="P599" s="0" t="s">
        <v>125</v>
      </c>
      <c r="Q599" s="0" t="n">
        <v>0.294649886942002</v>
      </c>
      <c r="R599" s="0" t="n">
        <v>2.65781382019634</v>
      </c>
      <c r="S599" s="0" t="n">
        <v>128</v>
      </c>
      <c r="T599" s="0" t="n">
        <v>2572</v>
      </c>
      <c r="U599" s="0" t="n">
        <v>0</v>
      </c>
      <c r="V599" s="0" t="n">
        <v>14.8981926999983</v>
      </c>
      <c r="W599" s="0" t="n">
        <v>20241231</v>
      </c>
      <c r="X599" s="0" t="n">
        <v>0.297310003392755</v>
      </c>
      <c r="Y599" s="0" t="n">
        <v>3.53</v>
      </c>
      <c r="Z599" s="0" t="s">
        <v>105</v>
      </c>
    </row>
    <row r="600" customFormat="false" ht="15" hidden="false" customHeight="false" outlineLevel="0" collapsed="false">
      <c r="A600" s="0" t="n">
        <v>600</v>
      </c>
      <c r="B600" s="0" t="n">
        <v>1600157</v>
      </c>
      <c r="C600" s="0" t="n">
        <v>17180</v>
      </c>
      <c r="D600" s="0" t="n">
        <v>1219406</v>
      </c>
      <c r="E600" s="0" t="n">
        <v>0</v>
      </c>
      <c r="F600" s="0" t="n">
        <v>143344</v>
      </c>
      <c r="G600" s="0" t="n">
        <v>8.95812098437841</v>
      </c>
      <c r="H600" s="0" t="s">
        <v>757</v>
      </c>
      <c r="I600" s="0" t="n">
        <v>0.980584221015157</v>
      </c>
      <c r="J600" s="0" t="n">
        <v>38804</v>
      </c>
      <c r="K600" s="0" t="n">
        <v>164696</v>
      </c>
      <c r="L600" s="0" t="n">
        <v>1419052</v>
      </c>
      <c r="M600" s="0" t="n">
        <v>1405137</v>
      </c>
      <c r="N600" s="0" t="n">
        <v>1189538</v>
      </c>
      <c r="O600" s="0" t="n">
        <v>6126</v>
      </c>
      <c r="P600" s="0" t="s">
        <v>127</v>
      </c>
      <c r="Q600" s="0" t="n">
        <v>0.431696653822411</v>
      </c>
      <c r="R600" s="0" t="n">
        <v>2.68012500903709</v>
      </c>
      <c r="S600" s="0" t="n">
        <v>157</v>
      </c>
      <c r="T600" s="0" t="n">
        <v>4396</v>
      </c>
      <c r="U600" s="0" t="n">
        <v>0</v>
      </c>
      <c r="V600" s="0" t="n">
        <v>15.5888053222663</v>
      </c>
      <c r="W600" s="0" t="n">
        <v>20241231</v>
      </c>
      <c r="X600" s="0" t="n">
        <v>0.464179137228711</v>
      </c>
      <c r="Y600" s="0" t="n">
        <v>5.41</v>
      </c>
      <c r="Z600" s="0" t="s">
        <v>123</v>
      </c>
    </row>
    <row r="601" customFormat="false" ht="15" hidden="false" customHeight="false" outlineLevel="0" collapsed="false">
      <c r="A601" s="0" t="n">
        <v>601</v>
      </c>
      <c r="B601" s="0" t="n">
        <v>362004</v>
      </c>
      <c r="C601" s="0" t="n">
        <v>17443</v>
      </c>
      <c r="D601" s="0" t="n">
        <v>296951</v>
      </c>
      <c r="E601" s="0" t="n">
        <v>-0.06</v>
      </c>
      <c r="F601" s="0" t="n">
        <v>38929</v>
      </c>
      <c r="G601" s="0" t="n">
        <v>10.7537485773638</v>
      </c>
      <c r="H601" s="0" t="s">
        <v>758</v>
      </c>
      <c r="I601" s="0" t="n">
        <v>0.758871582176609</v>
      </c>
      <c r="J601" s="0" t="n">
        <v>0</v>
      </c>
      <c r="K601" s="0" t="n">
        <v>962</v>
      </c>
      <c r="L601" s="0" t="n">
        <v>198189</v>
      </c>
      <c r="M601" s="0" t="n">
        <v>196685</v>
      </c>
      <c r="N601" s="0" t="n">
        <v>196227</v>
      </c>
      <c r="O601" s="0" t="n">
        <v>1097</v>
      </c>
      <c r="P601" s="0" t="s">
        <v>129</v>
      </c>
      <c r="Q601" s="0" t="n">
        <v>0.553512051627487</v>
      </c>
      <c r="R601" s="0" t="n">
        <v>1.17054146452008</v>
      </c>
      <c r="S601" s="0" t="n">
        <v>0</v>
      </c>
      <c r="T601" s="0" t="n">
        <v>0</v>
      </c>
      <c r="U601" s="0" t="n">
        <v>0</v>
      </c>
      <c r="V601" s="0" t="n">
        <v>0</v>
      </c>
      <c r="W601" s="0" t="n">
        <v>20241231</v>
      </c>
      <c r="X601" s="0" t="n">
        <v>-0.226147959468918</v>
      </c>
      <c r="Y601" s="0" t="n">
        <v>-2.04</v>
      </c>
      <c r="Z601" s="0" t="s">
        <v>123</v>
      </c>
    </row>
    <row r="602" customFormat="false" ht="15" hidden="false" customHeight="false" outlineLevel="0" collapsed="false">
      <c r="A602" s="0" t="n">
        <v>602</v>
      </c>
      <c r="B602" s="0" t="n">
        <v>1989287</v>
      </c>
      <c r="C602" s="0" t="n">
        <v>17658</v>
      </c>
      <c r="D602" s="0" t="n">
        <v>1532228</v>
      </c>
      <c r="E602" s="0" t="n">
        <v>0.04</v>
      </c>
      <c r="F602" s="0" t="n">
        <v>221439</v>
      </c>
      <c r="G602" s="0" t="n">
        <v>11.1315762883888</v>
      </c>
      <c r="H602" s="0" t="s">
        <v>759</v>
      </c>
      <c r="I602" s="0" t="n">
        <v>0.675398942386656</v>
      </c>
      <c r="J602" s="0" t="n">
        <v>113712</v>
      </c>
      <c r="K602" s="0" t="n">
        <v>78309</v>
      </c>
      <c r="L602" s="0" t="n">
        <v>1433227</v>
      </c>
      <c r="M602" s="0" t="n">
        <v>1423547</v>
      </c>
      <c r="N602" s="0" t="n">
        <v>1227698</v>
      </c>
      <c r="O602" s="0" t="n">
        <v>9730</v>
      </c>
      <c r="P602" s="0" t="s">
        <v>131</v>
      </c>
      <c r="Q602" s="0" t="n">
        <v>0.678887573287414</v>
      </c>
      <c r="R602" s="0" t="n">
        <v>3.11192825873285</v>
      </c>
      <c r="S602" s="0" t="n">
        <v>-60</v>
      </c>
      <c r="T602" s="0" t="n">
        <v>3180</v>
      </c>
      <c r="U602" s="0" t="n">
        <v>0</v>
      </c>
      <c r="V602" s="0" t="n">
        <v>0</v>
      </c>
      <c r="W602" s="0" t="n">
        <v>20241231</v>
      </c>
      <c r="X602" s="0" t="n">
        <v>0.895346445042463</v>
      </c>
      <c r="Y602" s="0" t="n">
        <v>7.97</v>
      </c>
      <c r="Z602" s="0" t="s">
        <v>105</v>
      </c>
    </row>
    <row r="603" customFormat="false" ht="15" hidden="false" customHeight="false" outlineLevel="0" collapsed="false">
      <c r="A603" s="0" t="n">
        <v>603</v>
      </c>
      <c r="B603" s="0" t="n">
        <v>1167995</v>
      </c>
      <c r="C603" s="0" t="n">
        <v>17741</v>
      </c>
      <c r="D603" s="0" t="n">
        <v>895674</v>
      </c>
      <c r="E603" s="0" t="n">
        <v>0.03</v>
      </c>
      <c r="F603" s="0" t="n">
        <v>147350</v>
      </c>
      <c r="G603" s="0" t="n">
        <v>12.6156361970728</v>
      </c>
      <c r="H603" s="0" t="s">
        <v>760</v>
      </c>
      <c r="I603" s="0" t="n">
        <v>0.923875442979846</v>
      </c>
      <c r="J603" s="0" t="n">
        <v>50628</v>
      </c>
      <c r="K603" s="0" t="n">
        <v>3758</v>
      </c>
      <c r="L603" s="0" t="n">
        <v>992991</v>
      </c>
      <c r="M603" s="0" t="n">
        <v>983817</v>
      </c>
      <c r="N603" s="0" t="n">
        <v>934014</v>
      </c>
      <c r="O603" s="0" t="n">
        <v>3480</v>
      </c>
      <c r="P603" s="0" t="s">
        <v>133</v>
      </c>
      <c r="Q603" s="0" t="n">
        <v>0.350456348546966</v>
      </c>
      <c r="R603" s="0" t="n">
        <v>3.08264284192033</v>
      </c>
      <c r="S603" s="0" t="n">
        <v>57</v>
      </c>
      <c r="T603" s="0" t="n">
        <v>2314</v>
      </c>
      <c r="U603" s="0" t="n">
        <v>0</v>
      </c>
      <c r="V603" s="0" t="n">
        <v>0</v>
      </c>
      <c r="W603" s="0" t="n">
        <v>20241231</v>
      </c>
      <c r="X603" s="0" t="n">
        <v>0.645702012436472</v>
      </c>
      <c r="Y603" s="0" t="n">
        <v>5.13</v>
      </c>
      <c r="Z603" s="0" t="s">
        <v>105</v>
      </c>
    </row>
    <row r="604" customFormat="false" ht="15" hidden="false" customHeight="false" outlineLevel="0" collapsed="false">
      <c r="A604" s="0" t="n">
        <v>604</v>
      </c>
      <c r="B604" s="0" t="n">
        <v>1411602</v>
      </c>
      <c r="C604" s="0" t="n">
        <v>17743</v>
      </c>
      <c r="D604" s="0" t="n">
        <v>1011066</v>
      </c>
      <c r="E604" s="0" t="n">
        <v>0</v>
      </c>
      <c r="F604" s="0" t="n">
        <v>125438</v>
      </c>
      <c r="G604" s="0" t="n">
        <v>8.88621580303797</v>
      </c>
      <c r="H604" s="0" t="s">
        <v>761</v>
      </c>
      <c r="I604" s="0" t="n">
        <v>0.420558238690126</v>
      </c>
      <c r="J604" s="0" t="n">
        <v>16652</v>
      </c>
      <c r="K604" s="0" t="n">
        <v>10324</v>
      </c>
      <c r="L604" s="0" t="n">
        <v>1136109</v>
      </c>
      <c r="M604" s="0" t="n">
        <v>1131331</v>
      </c>
      <c r="N604" s="0" t="n">
        <v>1098486</v>
      </c>
      <c r="O604" s="0" t="n">
        <v>632</v>
      </c>
      <c r="P604" s="0" t="s">
        <v>135</v>
      </c>
      <c r="Q604" s="0" t="n">
        <v>0.0556284652264879</v>
      </c>
      <c r="R604" s="0" t="n">
        <v>1.92720178816881</v>
      </c>
      <c r="S604" s="0" t="n">
        <v>-25</v>
      </c>
      <c r="T604" s="0" t="n">
        <v>5686</v>
      </c>
      <c r="U604" s="0" t="n">
        <v>0</v>
      </c>
      <c r="V604" s="0" t="n">
        <v>0</v>
      </c>
      <c r="W604" s="0" t="n">
        <v>20241231</v>
      </c>
      <c r="X604" s="0" t="n">
        <v>0.107798252400096</v>
      </c>
      <c r="Y604" s="0" t="n">
        <v>1.22</v>
      </c>
      <c r="Z604" s="0" t="s">
        <v>105</v>
      </c>
    </row>
    <row r="605" customFormat="false" ht="15" hidden="false" customHeight="false" outlineLevel="0" collapsed="false">
      <c r="A605" s="0" t="n">
        <v>605</v>
      </c>
      <c r="B605" s="0" t="n">
        <v>1608101</v>
      </c>
      <c r="C605" s="0" t="n">
        <v>17748</v>
      </c>
      <c r="D605" s="0" t="n">
        <v>1393920</v>
      </c>
      <c r="E605" s="0" t="n">
        <v>-0.04</v>
      </c>
      <c r="F605" s="0" t="n">
        <v>116220</v>
      </c>
      <c r="G605" s="0" t="n">
        <v>7.22715799567316</v>
      </c>
      <c r="H605" s="0" t="s">
        <v>762</v>
      </c>
      <c r="I605" s="0" t="n">
        <v>0.73766092321848</v>
      </c>
      <c r="J605" s="0" t="n">
        <v>181997</v>
      </c>
      <c r="K605" s="0" t="n">
        <v>3204</v>
      </c>
      <c r="L605" s="0" t="n">
        <v>1278094</v>
      </c>
      <c r="M605" s="0" t="n">
        <v>1268666</v>
      </c>
      <c r="N605" s="0" t="n">
        <v>1056120</v>
      </c>
      <c r="O605" s="0" t="n">
        <v>6153</v>
      </c>
      <c r="P605" s="0" t="s">
        <v>137</v>
      </c>
      <c r="Q605" s="0" t="n">
        <v>0.481419989453045</v>
      </c>
      <c r="R605" s="0" t="n">
        <v>2.48246240518063</v>
      </c>
      <c r="S605" s="0" t="n">
        <v>-206</v>
      </c>
      <c r="T605" s="0" t="n">
        <v>5364</v>
      </c>
      <c r="U605" s="0" t="n">
        <v>0</v>
      </c>
      <c r="V605" s="0" t="n">
        <v>0</v>
      </c>
      <c r="W605" s="0" t="n">
        <v>20241231</v>
      </c>
      <c r="X605" s="0" t="n">
        <v>0.329721781163526</v>
      </c>
      <c r="Y605" s="0" t="n">
        <v>4.67</v>
      </c>
      <c r="Z605" s="0" t="s">
        <v>105</v>
      </c>
    </row>
    <row r="606" customFormat="false" ht="15" hidden="false" customHeight="false" outlineLevel="0" collapsed="false">
      <c r="A606" s="0" t="n">
        <v>606</v>
      </c>
      <c r="B606" s="0" t="n">
        <v>1400586</v>
      </c>
      <c r="C606" s="0" t="n">
        <v>17749</v>
      </c>
      <c r="D606" s="0" t="n">
        <v>1098984</v>
      </c>
      <c r="E606" s="0" t="n">
        <v>0.05</v>
      </c>
      <c r="F606" s="0" t="n">
        <v>189574</v>
      </c>
      <c r="G606" s="0" t="n">
        <v>13.5353344957039</v>
      </c>
      <c r="H606" s="0" t="s">
        <v>763</v>
      </c>
      <c r="I606" s="0" t="n">
        <v>1.42744468047014</v>
      </c>
      <c r="J606" s="0" t="n">
        <v>49964</v>
      </c>
      <c r="K606" s="0" t="n">
        <v>11169</v>
      </c>
      <c r="L606" s="0" t="n">
        <v>826652</v>
      </c>
      <c r="M606" s="0" t="n">
        <v>814852</v>
      </c>
      <c r="N606" s="0" t="n">
        <v>755022</v>
      </c>
      <c r="O606" s="0" t="n">
        <v>610</v>
      </c>
      <c r="P606" s="0" t="s">
        <v>139</v>
      </c>
      <c r="Q606" s="0" t="n">
        <v>0.0737916317870155</v>
      </c>
      <c r="R606" s="0" t="n">
        <v>2.51176582834264</v>
      </c>
      <c r="S606" s="0" t="n">
        <v>4</v>
      </c>
      <c r="T606" s="0" t="n">
        <v>895</v>
      </c>
      <c r="U606" s="0" t="n">
        <v>0</v>
      </c>
      <c r="V606" s="0" t="n">
        <v>0</v>
      </c>
      <c r="W606" s="0" t="n">
        <v>20241231</v>
      </c>
      <c r="X606" s="0" t="n">
        <v>1.14589123831468</v>
      </c>
      <c r="Y606" s="0" t="n">
        <v>8.72</v>
      </c>
      <c r="Z606" s="0" t="s">
        <v>105</v>
      </c>
    </row>
    <row r="607" customFormat="false" ht="15" hidden="false" customHeight="false" outlineLevel="0" collapsed="false">
      <c r="A607" s="0" t="n">
        <v>607</v>
      </c>
      <c r="B607" s="0" t="n">
        <v>1661812</v>
      </c>
      <c r="C607" s="0" t="n">
        <v>17751</v>
      </c>
      <c r="D607" s="0" t="n">
        <v>1317297</v>
      </c>
      <c r="E607" s="0" t="n">
        <v>0.05</v>
      </c>
      <c r="F607" s="0" t="n">
        <v>146032</v>
      </c>
      <c r="G607" s="0" t="n">
        <v>8.78751627741285</v>
      </c>
      <c r="H607" s="0" t="s">
        <v>764</v>
      </c>
      <c r="I607" s="0" t="n">
        <v>0.946267178497854</v>
      </c>
      <c r="J607" s="0" t="n">
        <v>137238</v>
      </c>
      <c r="K607" s="0" t="n">
        <v>4607</v>
      </c>
      <c r="L607" s="0" t="n">
        <v>1375193</v>
      </c>
      <c r="M607" s="0" t="n">
        <v>1362180</v>
      </c>
      <c r="N607" s="0" t="n">
        <v>1175847</v>
      </c>
      <c r="O607" s="0" t="n">
        <v>2670</v>
      </c>
      <c r="P607" s="0" t="s">
        <v>141</v>
      </c>
      <c r="Q607" s="0" t="n">
        <v>0.194154565940926</v>
      </c>
      <c r="R607" s="0" t="n">
        <v>2.720130697408</v>
      </c>
      <c r="S607" s="0" t="n">
        <v>-229</v>
      </c>
      <c r="T607" s="0" t="n">
        <v>7110</v>
      </c>
      <c r="U607" s="0" t="n">
        <v>0</v>
      </c>
      <c r="V607" s="0" t="n">
        <v>12.6009441821716</v>
      </c>
      <c r="W607" s="0" t="n">
        <v>20241231</v>
      </c>
      <c r="X607" s="0" t="n">
        <v>0.422514537152252</v>
      </c>
      <c r="Y607" s="0" t="n">
        <v>4.88</v>
      </c>
      <c r="Z607" s="0" t="s">
        <v>105</v>
      </c>
    </row>
    <row r="608" customFormat="false" ht="15" hidden="false" customHeight="false" outlineLevel="0" collapsed="false">
      <c r="A608" s="0" t="n">
        <v>608</v>
      </c>
      <c r="B608" s="0" t="n">
        <v>1764971</v>
      </c>
      <c r="C608" s="0" t="n">
        <v>17897</v>
      </c>
      <c r="D608" s="0" t="n">
        <v>1348133</v>
      </c>
      <c r="E608" s="0" t="n">
        <v>0</v>
      </c>
      <c r="F608" s="0" t="n">
        <v>215583</v>
      </c>
      <c r="G608" s="0" t="n">
        <v>12.2145349696964</v>
      </c>
      <c r="H608" s="0" t="s">
        <v>765</v>
      </c>
      <c r="I608" s="0" t="n">
        <v>0.610464206022139</v>
      </c>
      <c r="J608" s="0" t="n">
        <v>82767</v>
      </c>
      <c r="K608" s="0" t="n">
        <v>3225</v>
      </c>
      <c r="L608" s="0" t="n">
        <v>1469046</v>
      </c>
      <c r="M608" s="0" t="n">
        <v>1460078</v>
      </c>
      <c r="N608" s="0" t="n">
        <v>1368497</v>
      </c>
      <c r="O608" s="0" t="n">
        <v>4603</v>
      </c>
      <c r="P608" s="0" t="s">
        <v>143</v>
      </c>
      <c r="Q608" s="0" t="n">
        <v>0.313332598162345</v>
      </c>
      <c r="R608" s="0" t="n">
        <v>2.4190357229694</v>
      </c>
      <c r="S608" s="0" t="n">
        <v>-47</v>
      </c>
      <c r="T608" s="0" t="n">
        <v>2581</v>
      </c>
      <c r="U608" s="0" t="n">
        <v>0</v>
      </c>
      <c r="V608" s="0" t="n">
        <v>17.6014618454454</v>
      </c>
      <c r="W608" s="0" t="n">
        <v>20241231</v>
      </c>
      <c r="X608" s="0" t="n">
        <v>0.605050213976671</v>
      </c>
      <c r="Y608" s="0" t="n">
        <v>4.92</v>
      </c>
      <c r="Z608" s="0" t="s">
        <v>105</v>
      </c>
    </row>
    <row r="609" customFormat="false" ht="15" hidden="false" customHeight="false" outlineLevel="0" collapsed="false">
      <c r="A609" s="0" t="n">
        <v>609</v>
      </c>
      <c r="B609" s="0" t="n">
        <v>821983</v>
      </c>
      <c r="C609" s="0" t="n">
        <v>17951</v>
      </c>
      <c r="D609" s="0" t="n">
        <v>701106</v>
      </c>
      <c r="E609" s="0" t="n">
        <v>0.05</v>
      </c>
      <c r="F609" s="0" t="n">
        <v>65761</v>
      </c>
      <c r="G609" s="0" t="n">
        <v>8.00028711056068</v>
      </c>
      <c r="H609" s="0" t="s">
        <v>766</v>
      </c>
      <c r="I609" s="0" t="n">
        <v>0.843453644040226</v>
      </c>
      <c r="J609" s="0" t="n">
        <v>30638</v>
      </c>
      <c r="K609" s="0" t="n">
        <v>1633</v>
      </c>
      <c r="L609" s="0" t="n">
        <v>617817</v>
      </c>
      <c r="M609" s="0" t="n">
        <v>612606</v>
      </c>
      <c r="N609" s="0" t="n">
        <v>567751</v>
      </c>
      <c r="O609" s="0" t="n">
        <v>60</v>
      </c>
      <c r="P609" s="0" t="s">
        <v>145</v>
      </c>
      <c r="Q609" s="0" t="n">
        <v>0.0097116136331632</v>
      </c>
      <c r="R609" s="0" t="n">
        <v>2.52070855980255</v>
      </c>
      <c r="S609" s="0" t="n">
        <v>-145</v>
      </c>
      <c r="T609" s="0" t="n">
        <v>75</v>
      </c>
      <c r="U609" s="0" t="n">
        <v>0</v>
      </c>
      <c r="V609" s="0" t="n">
        <v>14.1464151450054</v>
      </c>
      <c r="W609" s="0" t="n">
        <v>20241231</v>
      </c>
      <c r="X609" s="0" t="n">
        <v>0.486473579798404</v>
      </c>
      <c r="Y609" s="0" t="n">
        <v>6.12</v>
      </c>
      <c r="Z609" s="0" t="s">
        <v>123</v>
      </c>
    </row>
    <row r="610" customFormat="false" ht="15" hidden="false" customHeight="false" outlineLevel="0" collapsed="false">
      <c r="A610" s="0" t="n">
        <v>610</v>
      </c>
      <c r="B610" s="0" t="n">
        <v>1353925</v>
      </c>
      <c r="C610" s="0" t="n">
        <v>17960</v>
      </c>
      <c r="D610" s="0" t="n">
        <v>1120519</v>
      </c>
      <c r="E610" s="0" t="n">
        <v>0.31</v>
      </c>
      <c r="F610" s="0" t="n">
        <v>115328</v>
      </c>
      <c r="G610" s="0" t="n">
        <v>8.51804937496538</v>
      </c>
      <c r="H610" s="0" t="s">
        <v>767</v>
      </c>
      <c r="I610" s="0" t="n">
        <v>1.06783990571441</v>
      </c>
      <c r="J610" s="0" t="n">
        <v>100058</v>
      </c>
      <c r="K610" s="0" t="n">
        <v>223027</v>
      </c>
      <c r="L610" s="0" t="n">
        <v>1150547</v>
      </c>
      <c r="M610" s="0" t="n">
        <v>1138261</v>
      </c>
      <c r="N610" s="0" t="n">
        <v>823641</v>
      </c>
      <c r="O610" s="0" t="n">
        <v>7247</v>
      </c>
      <c r="P610" s="0" t="s">
        <v>147</v>
      </c>
      <c r="Q610" s="0" t="n">
        <v>0.629874311957704</v>
      </c>
      <c r="R610" s="0" t="n">
        <v>2.75862196308081</v>
      </c>
      <c r="S610" s="0" t="n">
        <v>3353</v>
      </c>
      <c r="T610" s="0" t="n">
        <v>7584</v>
      </c>
      <c r="U610" s="0" t="n">
        <v>0</v>
      </c>
      <c r="V610" s="0" t="n">
        <v>13.6907933076507</v>
      </c>
      <c r="W610" s="0" t="n">
        <v>20241231</v>
      </c>
      <c r="X610" s="0" t="n">
        <v>0.226999833475026</v>
      </c>
      <c r="Y610" s="0" t="n">
        <v>2.7</v>
      </c>
      <c r="Z610" s="0" t="s">
        <v>123</v>
      </c>
    </row>
    <row r="611" customFormat="false" ht="15" hidden="false" customHeight="false" outlineLevel="0" collapsed="false">
      <c r="A611" s="0" t="n">
        <v>611</v>
      </c>
      <c r="B611" s="0" t="n">
        <v>2624175</v>
      </c>
      <c r="C611" s="0" t="n">
        <v>18012</v>
      </c>
      <c r="D611" s="0" t="n">
        <v>2255597</v>
      </c>
      <c r="E611" s="0" t="n">
        <v>0.04</v>
      </c>
      <c r="F611" s="0" t="n">
        <v>284572</v>
      </c>
      <c r="G611" s="0" t="n">
        <v>10.8442462869283</v>
      </c>
      <c r="H611" s="0" t="s">
        <v>768</v>
      </c>
      <c r="I611" s="0" t="n">
        <v>1.17516586292422</v>
      </c>
      <c r="J611" s="0" t="n">
        <v>49333</v>
      </c>
      <c r="K611" s="0" t="n">
        <v>27667</v>
      </c>
      <c r="L611" s="0" t="n">
        <v>2093747</v>
      </c>
      <c r="M611" s="0" t="n">
        <v>2069142</v>
      </c>
      <c r="N611" s="0" t="n">
        <v>1993083</v>
      </c>
      <c r="O611" s="0" t="n">
        <v>1092</v>
      </c>
      <c r="P611" s="0" t="s">
        <v>149</v>
      </c>
      <c r="Q611" s="0" t="n">
        <v>0.0521552986105771</v>
      </c>
      <c r="R611" s="0" t="n">
        <v>2.72584646895489</v>
      </c>
      <c r="S611" s="0" t="n">
        <v>111</v>
      </c>
      <c r="T611" s="0" t="n">
        <v>1990</v>
      </c>
      <c r="U611" s="0" t="n">
        <v>0</v>
      </c>
      <c r="V611" s="0" t="n">
        <v>14.0447992781927</v>
      </c>
      <c r="W611" s="0" t="n">
        <v>20241231</v>
      </c>
      <c r="X611" s="0" t="n">
        <v>0.664292610658148</v>
      </c>
      <c r="Y611" s="0" t="n">
        <v>6.1</v>
      </c>
      <c r="Z611" s="0" t="s">
        <v>123</v>
      </c>
    </row>
    <row r="612" customFormat="false" ht="15" hidden="false" customHeight="false" outlineLevel="0" collapsed="false">
      <c r="A612" s="0" t="n">
        <v>612</v>
      </c>
      <c r="B612" s="0" t="n">
        <v>2917813</v>
      </c>
      <c r="C612" s="0" t="n">
        <v>18013</v>
      </c>
      <c r="D612" s="0" t="n">
        <v>2614357</v>
      </c>
      <c r="E612" s="0" t="n">
        <v>0.04</v>
      </c>
      <c r="F612" s="0" t="n">
        <v>228244</v>
      </c>
      <c r="G612" s="0" t="n">
        <v>7.82243413131685</v>
      </c>
      <c r="H612" s="0" t="s">
        <v>769</v>
      </c>
      <c r="I612" s="0" t="n">
        <v>0.723355329550691</v>
      </c>
      <c r="J612" s="0" t="n">
        <v>116248</v>
      </c>
      <c r="K612" s="0" t="n">
        <v>23931</v>
      </c>
      <c r="L612" s="0" t="n">
        <v>2432691</v>
      </c>
      <c r="M612" s="0" t="n">
        <v>2415094</v>
      </c>
      <c r="N612" s="0" t="n">
        <v>2216800</v>
      </c>
      <c r="O612" s="0" t="n">
        <v>2327</v>
      </c>
      <c r="P612" s="0" t="s">
        <v>151</v>
      </c>
      <c r="Q612" s="0" t="n">
        <v>0.100917050295331</v>
      </c>
      <c r="R612" s="0" t="n">
        <v>2.50092550283017</v>
      </c>
      <c r="S612" s="0" t="n">
        <v>460</v>
      </c>
      <c r="T612" s="0" t="n">
        <v>5516</v>
      </c>
      <c r="U612" s="0" t="n">
        <v>128</v>
      </c>
      <c r="V612" s="0" t="n">
        <v>12.4949322507426</v>
      </c>
      <c r="W612" s="0" t="n">
        <v>20241231</v>
      </c>
      <c r="X612" s="0" t="n">
        <v>0.223627200302554</v>
      </c>
      <c r="Y612" s="0" t="n">
        <v>2.9</v>
      </c>
      <c r="Z612" s="0" t="s">
        <v>123</v>
      </c>
    </row>
    <row r="613" customFormat="false" ht="15" hidden="false" customHeight="false" outlineLevel="0" collapsed="false">
      <c r="A613" s="0" t="n">
        <v>613</v>
      </c>
      <c r="B613" s="0" t="n">
        <v>402051</v>
      </c>
      <c r="C613" s="0" t="n">
        <v>18028</v>
      </c>
      <c r="D613" s="0" t="n">
        <v>341523</v>
      </c>
      <c r="E613" s="0" t="n">
        <v>0.1</v>
      </c>
      <c r="F613" s="0" t="n">
        <v>42186</v>
      </c>
      <c r="G613" s="0" t="n">
        <v>10.4926986874799</v>
      </c>
      <c r="H613" s="0" t="s">
        <v>770</v>
      </c>
      <c r="I613" s="0" t="n">
        <v>0.821394186891336</v>
      </c>
      <c r="J613" s="0" t="n">
        <v>13467</v>
      </c>
      <c r="K613" s="0" t="n">
        <v>5649</v>
      </c>
      <c r="L613" s="0" t="n">
        <v>279403</v>
      </c>
      <c r="M613" s="0" t="n">
        <v>277108</v>
      </c>
      <c r="N613" s="0" t="n">
        <v>254756</v>
      </c>
      <c r="O613" s="0" t="n">
        <v>888</v>
      </c>
      <c r="P613" s="0" t="s">
        <v>153</v>
      </c>
      <c r="Q613" s="0" t="n">
        <v>0.383317287215957</v>
      </c>
      <c r="R613" s="0" t="n">
        <v>3.28972183764193</v>
      </c>
      <c r="S613" s="0" t="n">
        <v>452</v>
      </c>
      <c r="T613" s="0" t="n">
        <v>2095</v>
      </c>
      <c r="U613" s="0" t="n">
        <v>183</v>
      </c>
      <c r="V613" s="0" t="n">
        <v>0</v>
      </c>
      <c r="W613" s="0" t="n">
        <v>20241231</v>
      </c>
      <c r="X613" s="0" t="n">
        <v>0.42743103911897</v>
      </c>
      <c r="Y613" s="0" t="n">
        <v>4.1</v>
      </c>
      <c r="Z613" s="0" t="s">
        <v>123</v>
      </c>
    </row>
    <row r="614" customFormat="false" ht="15" hidden="false" customHeight="false" outlineLevel="0" collapsed="false">
      <c r="A614" s="0" t="n">
        <v>614</v>
      </c>
      <c r="B614" s="0" t="n">
        <v>777879</v>
      </c>
      <c r="C614" s="0" t="n">
        <v>18030</v>
      </c>
      <c r="D614" s="0" t="n">
        <v>716969</v>
      </c>
      <c r="E614" s="0" t="n">
        <v>0.01</v>
      </c>
      <c r="F614" s="0" t="n">
        <v>53665</v>
      </c>
      <c r="G614" s="0" t="n">
        <v>6.89888787330677</v>
      </c>
      <c r="H614" s="0" t="s">
        <v>771</v>
      </c>
      <c r="I614" s="0" t="n">
        <v>0.986853239640664</v>
      </c>
      <c r="J614" s="0" t="n">
        <v>39526</v>
      </c>
      <c r="K614" s="0" t="n">
        <v>96186</v>
      </c>
      <c r="L614" s="0" t="n">
        <v>590868</v>
      </c>
      <c r="M614" s="0" t="n">
        <v>585037</v>
      </c>
      <c r="N614" s="0" t="n">
        <v>455091</v>
      </c>
      <c r="O614" s="0" t="n">
        <v>2023</v>
      </c>
      <c r="P614" s="0" t="s">
        <v>155</v>
      </c>
      <c r="Q614" s="0" t="n">
        <v>0.34237765456921</v>
      </c>
      <c r="R614" s="0" t="n">
        <v>3.45390929733845</v>
      </c>
      <c r="S614" s="0" t="n">
        <v>140</v>
      </c>
      <c r="T614" s="0" t="n">
        <v>1966</v>
      </c>
      <c r="U614" s="0" t="n">
        <v>0</v>
      </c>
      <c r="V614" s="0" t="n">
        <v>13.9987096172383</v>
      </c>
      <c r="W614" s="0" t="n">
        <v>20241231</v>
      </c>
      <c r="X614" s="0" t="n">
        <v>0.707871330531473</v>
      </c>
      <c r="Y614" s="0" t="n">
        <v>10.52</v>
      </c>
      <c r="Z614" s="0" t="s">
        <v>123</v>
      </c>
    </row>
    <row r="615" customFormat="false" ht="15" hidden="false" customHeight="false" outlineLevel="0" collapsed="false">
      <c r="A615" s="0" t="n">
        <v>615</v>
      </c>
      <c r="B615" s="0" t="n">
        <v>675378</v>
      </c>
      <c r="C615" s="0" t="n">
        <v>18031</v>
      </c>
      <c r="D615" s="0" t="n">
        <v>530034</v>
      </c>
      <c r="E615" s="0" t="n">
        <v>-0.03</v>
      </c>
      <c r="F615" s="0" t="n">
        <v>38022</v>
      </c>
      <c r="G615" s="0" t="n">
        <v>5.6297362365964</v>
      </c>
      <c r="H615" s="0" t="s">
        <v>772</v>
      </c>
      <c r="I615" s="0" t="n">
        <v>0.80094023418796</v>
      </c>
      <c r="J615" s="0" t="n">
        <v>21100</v>
      </c>
      <c r="K615" s="0" t="n">
        <v>8372</v>
      </c>
      <c r="L615" s="0" t="n">
        <v>459460</v>
      </c>
      <c r="M615" s="0" t="n">
        <v>455780</v>
      </c>
      <c r="N615" s="0" t="n">
        <v>420845</v>
      </c>
      <c r="O615" s="0" t="n">
        <v>884</v>
      </c>
      <c r="P615" s="0" t="s">
        <v>157</v>
      </c>
      <c r="Q615" s="0" t="n">
        <v>0.192399773647325</v>
      </c>
      <c r="R615" s="0" t="n">
        <v>2.64504242347564</v>
      </c>
      <c r="S615" s="0" t="n">
        <v>132</v>
      </c>
      <c r="T615" s="0" t="n">
        <v>1775</v>
      </c>
      <c r="U615" s="0" t="n">
        <v>0</v>
      </c>
      <c r="V615" s="0" t="n">
        <v>17.0941348626103</v>
      </c>
      <c r="W615" s="0" t="n">
        <v>20241231</v>
      </c>
      <c r="X615" s="0" t="n">
        <v>0.427144160043588</v>
      </c>
      <c r="Y615" s="0" t="n">
        <v>7.57</v>
      </c>
      <c r="Z615" s="0" t="s">
        <v>123</v>
      </c>
    </row>
    <row r="616" customFormat="false" ht="15" hidden="false" customHeight="false" outlineLevel="0" collapsed="false">
      <c r="A616" s="0" t="n">
        <v>616</v>
      </c>
      <c r="B616" s="0" t="n">
        <v>559057</v>
      </c>
      <c r="C616" s="0" t="n">
        <v>18038</v>
      </c>
      <c r="D616" s="0" t="n">
        <v>417615</v>
      </c>
      <c r="E616" s="0" t="n">
        <v>0.02</v>
      </c>
      <c r="F616" s="0" t="n">
        <v>67734</v>
      </c>
      <c r="G616" s="0" t="n">
        <v>12.1157592159655</v>
      </c>
      <c r="H616" s="0" t="s">
        <v>773</v>
      </c>
      <c r="I616" s="0" t="n">
        <v>0.906067262413767</v>
      </c>
      <c r="J616" s="0" t="n">
        <v>27975</v>
      </c>
      <c r="K616" s="0" t="n">
        <v>4139</v>
      </c>
      <c r="L616" s="0" t="n">
        <v>433853</v>
      </c>
      <c r="M616" s="0" t="n">
        <v>429922</v>
      </c>
      <c r="N616" s="0" t="n">
        <v>399538</v>
      </c>
      <c r="O616" s="0" t="n">
        <v>2689</v>
      </c>
      <c r="P616" s="0" t="s">
        <v>159</v>
      </c>
      <c r="Q616" s="0" t="n">
        <v>0.619795184083088</v>
      </c>
      <c r="R616" s="0" t="n">
        <v>2.56009626632644</v>
      </c>
      <c r="S616" s="0" t="n">
        <v>-13</v>
      </c>
      <c r="T616" s="0" t="n">
        <v>2946</v>
      </c>
      <c r="U616" s="0" t="n">
        <v>0</v>
      </c>
      <c r="V616" s="0" t="n">
        <v>0</v>
      </c>
      <c r="W616" s="0" t="n">
        <v>20241231</v>
      </c>
      <c r="X616" s="0" t="n">
        <v>0.458106180656936</v>
      </c>
      <c r="Y616" s="0" t="n">
        <v>3.74</v>
      </c>
      <c r="Z616" s="0" t="s">
        <v>123</v>
      </c>
    </row>
    <row r="617" customFormat="false" ht="15" hidden="false" customHeight="false" outlineLevel="0" collapsed="false">
      <c r="A617" s="0" t="n">
        <v>617</v>
      </c>
      <c r="B617" s="0" t="n">
        <v>7237664</v>
      </c>
      <c r="C617" s="0" t="n">
        <v>18408</v>
      </c>
      <c r="D617" s="0" t="n">
        <v>5962875</v>
      </c>
      <c r="E617" s="0" t="n">
        <v>-0.01</v>
      </c>
      <c r="F617" s="0" t="n">
        <v>430159</v>
      </c>
      <c r="G617" s="0" t="n">
        <v>5.94334028216839</v>
      </c>
      <c r="H617" s="0" t="s">
        <v>774</v>
      </c>
      <c r="I617" s="0" t="n">
        <v>0.63747058283806</v>
      </c>
      <c r="J617" s="0" t="n">
        <v>371808</v>
      </c>
      <c r="K617" s="0" t="n">
        <v>61663</v>
      </c>
      <c r="L617" s="0" t="n">
        <v>4937169</v>
      </c>
      <c r="M617" s="0" t="n">
        <v>4905696</v>
      </c>
      <c r="N617" s="0" t="n">
        <v>4424778</v>
      </c>
      <c r="O617" s="0" t="n">
        <v>6486</v>
      </c>
      <c r="P617" s="0" t="s">
        <v>161</v>
      </c>
      <c r="Q617" s="0" t="n">
        <v>0.131370832150976</v>
      </c>
      <c r="R617" s="0" t="n">
        <v>2.17113867598282</v>
      </c>
      <c r="S617" s="0" t="n">
        <v>-193</v>
      </c>
      <c r="T617" s="0" t="n">
        <v>11654</v>
      </c>
      <c r="U617" s="0" t="n">
        <v>0</v>
      </c>
      <c r="V617" s="0" t="n">
        <v>11.1220330462601</v>
      </c>
      <c r="W617" s="0" t="n">
        <v>20241231</v>
      </c>
      <c r="X617" s="0" t="n">
        <v>0.170575806214819</v>
      </c>
      <c r="Y617" s="0" t="n">
        <v>2.93</v>
      </c>
      <c r="Z617" s="0" t="s">
        <v>105</v>
      </c>
    </row>
    <row r="618" customFormat="false" ht="15" hidden="false" customHeight="false" outlineLevel="0" collapsed="false">
      <c r="A618" s="0" t="n">
        <v>618</v>
      </c>
      <c r="B618" s="0" t="n">
        <v>2607826</v>
      </c>
      <c r="C618" s="0" t="n">
        <v>19531</v>
      </c>
      <c r="D618" s="0" t="n">
        <v>2305045</v>
      </c>
      <c r="E618" s="0" t="n">
        <v>-0.04</v>
      </c>
      <c r="F618" s="0" t="n">
        <v>258848</v>
      </c>
      <c r="G618" s="0" t="n">
        <v>9.9258156027281</v>
      </c>
      <c r="H618" s="0" t="s">
        <v>775</v>
      </c>
      <c r="I618" s="0" t="n">
        <v>0.885741811085966</v>
      </c>
      <c r="J618" s="0" t="n">
        <v>255345</v>
      </c>
      <c r="K618" s="0" t="n">
        <v>8027</v>
      </c>
      <c r="L618" s="0" t="n">
        <v>2155933</v>
      </c>
      <c r="M618" s="0" t="n">
        <v>2136837</v>
      </c>
      <c r="N618" s="0" t="n">
        <v>1794381</v>
      </c>
      <c r="O618" s="0" t="n">
        <v>6433</v>
      </c>
      <c r="P618" s="0" t="s">
        <v>163</v>
      </c>
      <c r="Q618" s="0" t="n">
        <v>0.300565926677684</v>
      </c>
      <c r="R618" s="0" t="n">
        <v>2.78753272638901</v>
      </c>
      <c r="S618" s="0" t="n">
        <v>853</v>
      </c>
      <c r="T618" s="0" t="n">
        <v>11164</v>
      </c>
      <c r="U618" s="0" t="n">
        <v>47</v>
      </c>
      <c r="V618" s="0" t="n">
        <v>14.1069486209343</v>
      </c>
      <c r="W618" s="0" t="n">
        <v>20241231</v>
      </c>
      <c r="X618" s="0" t="n">
        <v>0.568341059055615</v>
      </c>
      <c r="Y618" s="0" t="n">
        <v>5.86</v>
      </c>
      <c r="Z618" s="0" t="s">
        <v>105</v>
      </c>
    </row>
    <row r="619" customFormat="false" ht="15" hidden="false" customHeight="false" outlineLevel="0" collapsed="false">
      <c r="A619" s="0" t="n">
        <v>619</v>
      </c>
      <c r="B619" s="0" t="n">
        <v>841355</v>
      </c>
      <c r="C619" s="0" t="n">
        <v>19532</v>
      </c>
      <c r="D619" s="0" t="n">
        <v>726139</v>
      </c>
      <c r="E619" s="0" t="n">
        <v>0.04</v>
      </c>
      <c r="F619" s="0" t="n">
        <v>102611</v>
      </c>
      <c r="G619" s="0" t="n">
        <v>12.1959220543053</v>
      </c>
      <c r="H619" s="0" t="s">
        <v>776</v>
      </c>
      <c r="I619" s="0" t="n">
        <v>0.98818566230057</v>
      </c>
      <c r="J619" s="0" t="n">
        <v>51731</v>
      </c>
      <c r="K619" s="0" t="n">
        <v>51267</v>
      </c>
      <c r="L619" s="0" t="n">
        <v>610614</v>
      </c>
      <c r="M619" s="0" t="n">
        <v>604580</v>
      </c>
      <c r="N619" s="0" t="n">
        <v>502892</v>
      </c>
      <c r="O619" s="0" t="n">
        <v>1747</v>
      </c>
      <c r="P619" s="0" t="s">
        <v>165</v>
      </c>
      <c r="Q619" s="0" t="n">
        <v>0.286105461060506</v>
      </c>
      <c r="R619" s="0" t="n">
        <v>3.19260167511545</v>
      </c>
      <c r="S619" s="0" t="n">
        <v>95</v>
      </c>
      <c r="T619" s="0" t="n">
        <v>1403</v>
      </c>
      <c r="U619" s="0" t="n">
        <v>0</v>
      </c>
      <c r="V619" s="0" t="n">
        <v>21.4383093615106</v>
      </c>
      <c r="W619" s="0" t="n">
        <v>20241231</v>
      </c>
      <c r="X619" s="0" t="n">
        <v>0.860939251412119</v>
      </c>
      <c r="Y619" s="0" t="n">
        <v>7.51</v>
      </c>
      <c r="Z619" s="0" t="s">
        <v>105</v>
      </c>
    </row>
    <row r="620" customFormat="false" ht="15" hidden="false" customHeight="false" outlineLevel="0" collapsed="false">
      <c r="A620" s="0" t="n">
        <v>620</v>
      </c>
      <c r="B620" s="0" t="n">
        <v>4083054</v>
      </c>
      <c r="C620" s="0" t="n">
        <v>19690</v>
      </c>
      <c r="D620" s="0" t="n">
        <v>3178140</v>
      </c>
      <c r="E620" s="0" t="n">
        <v>0.1</v>
      </c>
      <c r="F620" s="0" t="n">
        <v>444101</v>
      </c>
      <c r="G620" s="0" t="n">
        <v>10.8766869113169</v>
      </c>
      <c r="H620" s="0" t="s">
        <v>777</v>
      </c>
      <c r="I620" s="0" t="n">
        <v>1.23476980270379</v>
      </c>
      <c r="J620" s="0" t="n">
        <v>125867</v>
      </c>
      <c r="K620" s="0" t="n">
        <v>200</v>
      </c>
      <c r="L620" s="0" t="n">
        <v>3626020</v>
      </c>
      <c r="M620" s="0" t="n">
        <v>3581247</v>
      </c>
      <c r="N620" s="0" t="n">
        <v>2812366</v>
      </c>
      <c r="O620" s="0" t="n">
        <v>30066</v>
      </c>
      <c r="P620" s="0" t="s">
        <v>167</v>
      </c>
      <c r="Q620" s="0" t="n">
        <v>0.829173584260429</v>
      </c>
      <c r="R620" s="0" t="n">
        <v>4.88319431994812</v>
      </c>
      <c r="S620" s="0" t="n">
        <v>6066</v>
      </c>
      <c r="T620" s="0" t="n">
        <v>3018</v>
      </c>
      <c r="U620" s="0" t="n">
        <v>0</v>
      </c>
      <c r="V620" s="0" t="n">
        <v>13.9124837251983</v>
      </c>
      <c r="W620" s="0" t="n">
        <v>20241231</v>
      </c>
      <c r="X620" s="0" t="n">
        <v>2.00155957794462</v>
      </c>
      <c r="Y620" s="0" t="n">
        <v>18.11</v>
      </c>
      <c r="Z620" s="0" t="s">
        <v>105</v>
      </c>
    </row>
    <row r="621" customFormat="false" ht="15" hidden="false" customHeight="false" outlineLevel="0" collapsed="false">
      <c r="A621" s="0" t="n">
        <v>621</v>
      </c>
      <c r="B621" s="0" t="n">
        <v>725956</v>
      </c>
      <c r="C621" s="0" t="n">
        <v>19836</v>
      </c>
      <c r="D621" s="0" t="n">
        <v>546072</v>
      </c>
      <c r="E621" s="0" t="n">
        <v>0.06</v>
      </c>
      <c r="F621" s="0" t="n">
        <v>126418</v>
      </c>
      <c r="G621" s="0" t="n">
        <v>17.4140030525266</v>
      </c>
      <c r="H621" s="0" t="s">
        <v>778</v>
      </c>
      <c r="I621" s="0" t="n">
        <v>0.718361434147519</v>
      </c>
      <c r="J621" s="0" t="n">
        <v>41567</v>
      </c>
      <c r="K621" s="0" t="n">
        <v>10758</v>
      </c>
      <c r="L621" s="0" t="n">
        <v>621275</v>
      </c>
      <c r="M621" s="0" t="n">
        <v>616812</v>
      </c>
      <c r="N621" s="0" t="n">
        <v>565995</v>
      </c>
      <c r="O621" s="0" t="n">
        <v>5575</v>
      </c>
      <c r="P621" s="0" t="s">
        <v>145</v>
      </c>
      <c r="Q621" s="0" t="n">
        <v>0.915858516759889</v>
      </c>
      <c r="R621" s="0" t="n">
        <v>3.66814462063966</v>
      </c>
      <c r="S621" s="0" t="n">
        <v>393</v>
      </c>
      <c r="T621" s="0" t="n">
        <v>5473</v>
      </c>
      <c r="U621" s="0" t="n">
        <v>115</v>
      </c>
      <c r="V621" s="0" t="n">
        <v>23.4027315459259</v>
      </c>
      <c r="W621" s="0" t="n">
        <v>20241231</v>
      </c>
      <c r="X621" s="0" t="n">
        <v>0.635783162051918</v>
      </c>
      <c r="Y621" s="0" t="n">
        <v>3.58</v>
      </c>
      <c r="Z621" s="0" t="s">
        <v>105</v>
      </c>
    </row>
    <row r="622" customFormat="false" ht="15" hidden="false" customHeight="false" outlineLevel="0" collapsed="false">
      <c r="A622" s="0" t="n">
        <v>622</v>
      </c>
      <c r="B622" s="0" t="n">
        <v>1527088</v>
      </c>
      <c r="C622" s="0" t="n">
        <v>24540</v>
      </c>
      <c r="D622" s="0" t="n">
        <v>1227168</v>
      </c>
      <c r="E622" s="0" t="n">
        <v>0.08</v>
      </c>
      <c r="F622" s="0" t="n">
        <v>276022</v>
      </c>
      <c r="G622" s="0" t="n">
        <v>18.0750552685896</v>
      </c>
      <c r="H622" s="0" t="s">
        <v>779</v>
      </c>
      <c r="I622" s="0" t="n">
        <v>0.968015462583363</v>
      </c>
      <c r="J622" s="0" t="n">
        <v>43779</v>
      </c>
      <c r="K622" s="0" t="n">
        <v>170</v>
      </c>
      <c r="L622" s="0" t="n">
        <v>1371569</v>
      </c>
      <c r="M622" s="0" t="n">
        <v>1358292</v>
      </c>
      <c r="N622" s="0" t="n">
        <v>1331608</v>
      </c>
      <c r="O622" s="0" t="n">
        <v>28862</v>
      </c>
      <c r="P622" s="0" t="s">
        <v>170</v>
      </c>
      <c r="Q622" s="0" t="n">
        <v>2.10430536123228</v>
      </c>
      <c r="R622" s="0" t="n">
        <v>4.31804434798762</v>
      </c>
      <c r="S622" s="0" t="n">
        <v>5</v>
      </c>
      <c r="T622" s="0" t="n">
        <v>0</v>
      </c>
      <c r="U622" s="0" t="n">
        <v>0</v>
      </c>
      <c r="V622" s="0" t="n">
        <v>18.6892666157372</v>
      </c>
      <c r="W622" s="0" t="n">
        <v>20241231</v>
      </c>
      <c r="X622" s="0" t="n">
        <v>2.16766070982136</v>
      </c>
      <c r="Y622" s="0" t="n">
        <v>12.13</v>
      </c>
      <c r="Z622" s="0" t="s">
        <v>123</v>
      </c>
    </row>
    <row r="623" customFormat="false" ht="15" hidden="false" customHeight="false" outlineLevel="0" collapsed="false">
      <c r="A623" s="0" t="n">
        <v>623</v>
      </c>
      <c r="B623" s="0" t="n">
        <v>567213</v>
      </c>
      <c r="C623" s="0" t="n">
        <v>27824</v>
      </c>
      <c r="D623" s="0" t="n">
        <v>364594</v>
      </c>
      <c r="E623" s="0" t="n">
        <v>0.02</v>
      </c>
      <c r="F623" s="0" t="n">
        <v>62425</v>
      </c>
      <c r="G623" s="0" t="n">
        <v>11.0055658103746</v>
      </c>
      <c r="H623" s="0" t="s">
        <v>780</v>
      </c>
      <c r="I623" s="0" t="n">
        <v>0.584193663971302</v>
      </c>
      <c r="J623" s="0" t="n">
        <v>18705</v>
      </c>
      <c r="K623" s="0" t="n">
        <v>39701</v>
      </c>
      <c r="L623" s="0" t="n">
        <v>477239</v>
      </c>
      <c r="M623" s="0" t="n">
        <v>474451</v>
      </c>
      <c r="N623" s="0" t="n">
        <v>418833</v>
      </c>
      <c r="O623" s="0" t="n">
        <v>1549</v>
      </c>
      <c r="P623" s="0" t="s">
        <v>172</v>
      </c>
      <c r="Q623" s="0" t="n">
        <v>0.324575317608159</v>
      </c>
      <c r="R623" s="0" t="n">
        <v>1.66620323995382</v>
      </c>
      <c r="S623" s="0" t="n">
        <v>239</v>
      </c>
      <c r="T623" s="0" t="n">
        <v>1070</v>
      </c>
      <c r="U623" s="0" t="n">
        <v>0</v>
      </c>
      <c r="V623" s="0" t="n">
        <v>19.034594199942</v>
      </c>
      <c r="W623" s="0" t="n">
        <v>20241231</v>
      </c>
      <c r="X623" s="0" t="n">
        <v>-0.525560567879556</v>
      </c>
      <c r="Y623" s="0" t="n">
        <v>-4.55</v>
      </c>
      <c r="Z623" s="0" t="s">
        <v>123</v>
      </c>
    </row>
    <row r="624" customFormat="false" ht="15" hidden="false" customHeight="false" outlineLevel="0" collapsed="false">
      <c r="A624" s="0" t="n">
        <v>624</v>
      </c>
      <c r="B624" s="0" t="n">
        <v>295833</v>
      </c>
      <c r="C624" s="0" t="n">
        <v>28155</v>
      </c>
      <c r="D624" s="0" t="n">
        <v>257082</v>
      </c>
      <c r="E624" s="0" t="n">
        <v>-0.01</v>
      </c>
      <c r="F624" s="0" t="n">
        <v>27363</v>
      </c>
      <c r="G624" s="0" t="n">
        <v>9.24947521067629</v>
      </c>
      <c r="H624" s="0" t="s">
        <v>781</v>
      </c>
      <c r="I624" s="0" t="n">
        <v>0.450821547896929</v>
      </c>
      <c r="J624" s="0" t="n">
        <v>9970</v>
      </c>
      <c r="K624" s="0" t="n">
        <v>6380</v>
      </c>
      <c r="L624" s="0" t="n">
        <v>174792</v>
      </c>
      <c r="M624" s="0" t="n">
        <v>174004</v>
      </c>
      <c r="N624" s="0" t="n">
        <v>157930</v>
      </c>
      <c r="O624" s="0" t="n">
        <v>0</v>
      </c>
      <c r="P624" s="0" t="s">
        <v>174</v>
      </c>
      <c r="Q624" s="0" t="n">
        <v>0</v>
      </c>
      <c r="R624" s="0" t="n">
        <v>2.46130120647392</v>
      </c>
      <c r="S624" s="0" t="n">
        <v>1</v>
      </c>
      <c r="T624" s="0" t="n">
        <v>1275</v>
      </c>
      <c r="U624" s="0" t="n">
        <v>0</v>
      </c>
      <c r="V624" s="0" t="n">
        <v>17.6109436246782</v>
      </c>
      <c r="W624" s="0" t="n">
        <v>20241231</v>
      </c>
      <c r="X624" s="0" t="n">
        <v>-0.0231009511565541</v>
      </c>
      <c r="Y624" s="0" t="n">
        <v>-0.25</v>
      </c>
      <c r="Z624" s="0" t="s">
        <v>123</v>
      </c>
    </row>
    <row r="625" customFormat="false" ht="15" hidden="false" customHeight="false" outlineLevel="0" collapsed="false">
      <c r="A625" s="0" t="n">
        <v>625</v>
      </c>
      <c r="B625" s="0" t="n">
        <v>102307</v>
      </c>
      <c r="C625" s="0" t="n">
        <v>28288</v>
      </c>
      <c r="D625" s="0" t="n">
        <v>74614</v>
      </c>
      <c r="E625" s="0" t="n">
        <v>-0.07</v>
      </c>
      <c r="F625" s="0" t="n">
        <v>5875</v>
      </c>
      <c r="G625" s="0" t="n">
        <v>5.74252006216583</v>
      </c>
      <c r="H625" s="0" t="s">
        <v>782</v>
      </c>
      <c r="I625" s="0" t="n">
        <v>0.968060031747559</v>
      </c>
      <c r="J625" s="0" t="n">
        <v>4448</v>
      </c>
      <c r="K625" s="0" t="n">
        <v>3568</v>
      </c>
      <c r="L625" s="0" t="n">
        <v>83156</v>
      </c>
      <c r="M625" s="0" t="n">
        <v>82351</v>
      </c>
      <c r="N625" s="0" t="n">
        <v>75140</v>
      </c>
      <c r="O625" s="0" t="n">
        <v>137</v>
      </c>
      <c r="P625" s="0" t="s">
        <v>176</v>
      </c>
      <c r="Q625" s="0" t="n">
        <v>0.164750589253932</v>
      </c>
      <c r="R625" s="0" t="n">
        <v>2.59413030837813</v>
      </c>
      <c r="S625" s="0" t="n">
        <v>0</v>
      </c>
      <c r="T625" s="0" t="n">
        <v>493</v>
      </c>
      <c r="U625" s="0" t="n">
        <v>0</v>
      </c>
      <c r="V625" s="0" t="n">
        <v>13.0257542310522</v>
      </c>
      <c r="W625" s="0" t="n">
        <v>20241231</v>
      </c>
      <c r="X625" s="0" t="n">
        <v>0.0310049879274328</v>
      </c>
      <c r="Y625" s="0" t="n">
        <v>0.53</v>
      </c>
      <c r="Z625" s="0" t="s">
        <v>105</v>
      </c>
    </row>
    <row r="626" customFormat="false" ht="15" hidden="false" customHeight="false" outlineLevel="0" collapsed="false">
      <c r="A626" s="0" t="n">
        <v>626</v>
      </c>
      <c r="B626" s="0" t="n">
        <v>93759</v>
      </c>
      <c r="C626" s="0" t="n">
        <v>28369</v>
      </c>
      <c r="D626" s="0" t="n">
        <v>74708</v>
      </c>
      <c r="E626" s="0" t="n">
        <v>0.04</v>
      </c>
      <c r="F626" s="0" t="n">
        <v>9043</v>
      </c>
      <c r="G626" s="0" t="n">
        <v>9.64494075235444</v>
      </c>
      <c r="H626" s="0" t="s">
        <v>783</v>
      </c>
      <c r="I626" s="0" t="n">
        <v>0.769315849627017</v>
      </c>
      <c r="J626" s="0" t="n">
        <v>12423</v>
      </c>
      <c r="K626" s="0" t="n">
        <v>628</v>
      </c>
      <c r="L626" s="0" t="n">
        <v>81371</v>
      </c>
      <c r="M626" s="0" t="n">
        <v>80745</v>
      </c>
      <c r="N626" s="0" t="n">
        <v>68320</v>
      </c>
      <c r="O626" s="0" t="n">
        <v>208</v>
      </c>
      <c r="P626" s="0" t="s">
        <v>178</v>
      </c>
      <c r="Q626" s="0" t="n">
        <v>0.255619323837731</v>
      </c>
      <c r="R626" s="0" t="n">
        <v>2.91091148746691</v>
      </c>
      <c r="S626" s="0" t="n">
        <v>-4</v>
      </c>
      <c r="T626" s="0" t="n">
        <v>150</v>
      </c>
      <c r="U626" s="0" t="n">
        <v>0</v>
      </c>
      <c r="V626" s="0" t="n">
        <v>13.8247801806983</v>
      </c>
      <c r="W626" s="0" t="n">
        <v>20241231</v>
      </c>
      <c r="X626" s="0" t="n">
        <v>-0.324465319202005</v>
      </c>
      <c r="Y626" s="0" t="n">
        <v>-3.33</v>
      </c>
      <c r="Z626" s="0" t="s">
        <v>105</v>
      </c>
    </row>
    <row r="627" customFormat="false" ht="15" hidden="false" customHeight="false" outlineLevel="0" collapsed="false">
      <c r="A627" s="0" t="n">
        <v>627</v>
      </c>
      <c r="B627" s="0" t="n">
        <v>287826</v>
      </c>
      <c r="C627" s="0" t="n">
        <v>28837</v>
      </c>
      <c r="D627" s="0" t="n">
        <v>255992</v>
      </c>
      <c r="E627" s="0" t="n">
        <v>-0.07</v>
      </c>
      <c r="F627" s="0" t="n">
        <v>28739</v>
      </c>
      <c r="G627" s="0" t="n">
        <v>9.98485195916978</v>
      </c>
      <c r="H627" s="0" t="s">
        <v>784</v>
      </c>
      <c r="I627" s="0" t="n">
        <v>1.08825616548882</v>
      </c>
      <c r="J627" s="0" t="n">
        <v>7327</v>
      </c>
      <c r="K627" s="0" t="n">
        <v>776</v>
      </c>
      <c r="L627" s="0" t="n">
        <v>205742</v>
      </c>
      <c r="M627" s="0" t="n">
        <v>203503</v>
      </c>
      <c r="N627" s="0" t="n">
        <v>197027</v>
      </c>
      <c r="O627" s="0" t="n">
        <v>0</v>
      </c>
      <c r="P627" s="0" t="s">
        <v>180</v>
      </c>
      <c r="Q627" s="0" t="n">
        <v>0</v>
      </c>
      <c r="R627" s="0" t="n">
        <v>3.81936249099964</v>
      </c>
      <c r="S627" s="0" t="n">
        <v>-56</v>
      </c>
      <c r="T627" s="0" t="n">
        <v>688</v>
      </c>
      <c r="U627" s="0" t="n">
        <v>0</v>
      </c>
      <c r="V627" s="0" t="n">
        <v>17.8530996972904</v>
      </c>
      <c r="W627" s="0" t="n">
        <v>20241231</v>
      </c>
      <c r="X627" s="0" t="n">
        <v>0.89725198998678</v>
      </c>
      <c r="Y627" s="0" t="n">
        <v>9.33</v>
      </c>
      <c r="Z627" s="0" t="s">
        <v>112</v>
      </c>
    </row>
    <row r="628" customFormat="false" ht="15" hidden="false" customHeight="false" outlineLevel="0" collapsed="false">
      <c r="A628" s="0" t="n">
        <v>628</v>
      </c>
      <c r="B628" s="0" t="n">
        <v>182860</v>
      </c>
      <c r="C628" s="0" t="n">
        <v>29636</v>
      </c>
      <c r="D628" s="0" t="n">
        <v>141498</v>
      </c>
      <c r="E628" s="0" t="n">
        <v>0.04</v>
      </c>
      <c r="F628" s="0" t="n">
        <v>27319</v>
      </c>
      <c r="G628" s="0" t="n">
        <v>14.9398446899267</v>
      </c>
      <c r="H628" s="0" t="s">
        <v>785</v>
      </c>
      <c r="I628" s="0" t="n">
        <v>1.37296897564515</v>
      </c>
      <c r="J628" s="0" t="n">
        <v>1557</v>
      </c>
      <c r="K628" s="0" t="n">
        <v>1947</v>
      </c>
      <c r="L628" s="0" t="n">
        <v>143339</v>
      </c>
      <c r="M628" s="0" t="n">
        <v>141371</v>
      </c>
      <c r="N628" s="0" t="n">
        <v>139835</v>
      </c>
      <c r="O628" s="0" t="n">
        <v>2868</v>
      </c>
      <c r="P628" s="0" t="s">
        <v>182</v>
      </c>
      <c r="Q628" s="0" t="n">
        <v>2.00085112914141</v>
      </c>
      <c r="R628" s="0" t="n">
        <v>3.5143306118266</v>
      </c>
      <c r="S628" s="0" t="n">
        <v>1</v>
      </c>
      <c r="T628" s="0" t="n">
        <v>4173</v>
      </c>
      <c r="U628" s="0" t="n">
        <v>0</v>
      </c>
      <c r="V628" s="0" t="n">
        <v>26.7512284310365</v>
      </c>
      <c r="W628" s="0" t="n">
        <v>20241231</v>
      </c>
      <c r="X628" s="0" t="n">
        <v>0.375798155374246</v>
      </c>
      <c r="Y628" s="0" t="n">
        <v>2.57</v>
      </c>
      <c r="Z628" s="0" t="s">
        <v>105</v>
      </c>
    </row>
    <row r="629" customFormat="false" ht="15" hidden="false" customHeight="false" outlineLevel="0" collapsed="false">
      <c r="A629" s="0" t="n">
        <v>629</v>
      </c>
      <c r="B629" s="0" t="n">
        <v>202964</v>
      </c>
      <c r="C629" s="0" t="n">
        <v>29743</v>
      </c>
      <c r="D629" s="0" t="n">
        <v>178152</v>
      </c>
      <c r="E629" s="0" t="n">
        <v>-0.02</v>
      </c>
      <c r="F629" s="0" t="n">
        <v>18066</v>
      </c>
      <c r="G629" s="0" t="n">
        <v>8.90108590686033</v>
      </c>
      <c r="H629" s="0" t="s">
        <v>786</v>
      </c>
      <c r="I629" s="0" t="n">
        <v>0.639881503425292</v>
      </c>
      <c r="J629" s="0" t="n">
        <v>25569</v>
      </c>
      <c r="K629" s="0" t="n">
        <v>21278</v>
      </c>
      <c r="L629" s="0" t="n">
        <v>135025</v>
      </c>
      <c r="M629" s="0" t="n">
        <v>134161</v>
      </c>
      <c r="N629" s="0" t="n">
        <v>88138</v>
      </c>
      <c r="O629" s="0" t="n">
        <v>647</v>
      </c>
      <c r="P629" s="0" t="s">
        <v>184</v>
      </c>
      <c r="Q629" s="0" t="n">
        <v>0.479170523977041</v>
      </c>
      <c r="R629" s="0" t="n">
        <v>2.2949156982309</v>
      </c>
      <c r="S629" s="0" t="n">
        <v>-7</v>
      </c>
      <c r="T629" s="0" t="n">
        <v>1156</v>
      </c>
      <c r="U629" s="0" t="n">
        <v>0</v>
      </c>
      <c r="V629" s="0" t="n">
        <v>18.4150066221586</v>
      </c>
      <c r="W629" s="0" t="n">
        <v>20241231</v>
      </c>
      <c r="X629" s="0" t="n">
        <v>0.362792198666465</v>
      </c>
      <c r="Y629" s="0" t="n">
        <v>4</v>
      </c>
      <c r="Z629" s="0" t="s">
        <v>105</v>
      </c>
    </row>
    <row r="630" customFormat="false" ht="15" hidden="false" customHeight="false" outlineLevel="0" collapsed="false">
      <c r="A630" s="0" t="n">
        <v>630</v>
      </c>
      <c r="B630" s="0" t="n">
        <v>581057</v>
      </c>
      <c r="C630" s="0" t="n">
        <v>29744</v>
      </c>
      <c r="D630" s="0" t="n">
        <v>472402</v>
      </c>
      <c r="E630" s="0" t="n">
        <v>-0.01</v>
      </c>
      <c r="F630" s="0" t="n">
        <v>44991</v>
      </c>
      <c r="G630" s="0" t="n">
        <v>7.74295809189116</v>
      </c>
      <c r="H630" s="0" t="s">
        <v>787</v>
      </c>
      <c r="I630" s="0" t="n">
        <v>0.796474128299507</v>
      </c>
      <c r="J630" s="0" t="n">
        <v>23711</v>
      </c>
      <c r="K630" s="0" t="n">
        <v>12409</v>
      </c>
      <c r="L630" s="0" t="n">
        <v>437679</v>
      </c>
      <c r="M630" s="0" t="n">
        <v>434193</v>
      </c>
      <c r="N630" s="0" t="n">
        <v>401559</v>
      </c>
      <c r="O630" s="0" t="n">
        <v>0</v>
      </c>
      <c r="P630" s="0" t="s">
        <v>186</v>
      </c>
      <c r="Q630" s="0" t="n">
        <v>0</v>
      </c>
      <c r="R630" s="0" t="n">
        <v>2.10953348286959</v>
      </c>
      <c r="S630" s="0" t="n">
        <v>24</v>
      </c>
      <c r="T630" s="0" t="n">
        <v>0</v>
      </c>
      <c r="U630" s="0" t="n">
        <v>0</v>
      </c>
      <c r="V630" s="0" t="n">
        <v>15.5504255593346</v>
      </c>
      <c r="W630" s="0" t="n">
        <v>20241231</v>
      </c>
      <c r="X630" s="0" t="n">
        <v>-0.0833620014517603</v>
      </c>
      <c r="Y630" s="0" t="n">
        <v>-1.06</v>
      </c>
      <c r="Z630" s="0" t="s">
        <v>123</v>
      </c>
    </row>
    <row r="631" customFormat="false" ht="15" hidden="false" customHeight="false" outlineLevel="0" collapsed="false">
      <c r="A631" s="0" t="n">
        <v>631</v>
      </c>
      <c r="B631" s="0" t="n">
        <v>593799</v>
      </c>
      <c r="C631" s="0" t="n">
        <v>30350</v>
      </c>
      <c r="D631" s="0" t="n">
        <v>466175</v>
      </c>
      <c r="E631" s="0" t="n">
        <v>0</v>
      </c>
      <c r="F631" s="0" t="n">
        <v>60826</v>
      </c>
      <c r="G631" s="0" t="n">
        <v>10.2435335862809</v>
      </c>
      <c r="H631" s="0" t="s">
        <v>788</v>
      </c>
      <c r="I631" s="0" t="n">
        <v>1.16042376502295</v>
      </c>
      <c r="J631" s="0" t="n">
        <v>15211</v>
      </c>
      <c r="K631" s="0" t="n">
        <v>1706</v>
      </c>
      <c r="L631" s="0" t="n">
        <v>456385</v>
      </c>
      <c r="M631" s="0" t="n">
        <v>451089</v>
      </c>
      <c r="N631" s="0" t="n">
        <v>438311</v>
      </c>
      <c r="O631" s="0" t="n">
        <v>1585</v>
      </c>
      <c r="P631" s="0" t="s">
        <v>188</v>
      </c>
      <c r="Q631" s="0" t="n">
        <v>0.347294499161892</v>
      </c>
      <c r="R631" s="0" t="n">
        <v>2.64702965497799</v>
      </c>
      <c r="S631" s="0" t="n">
        <v>-208</v>
      </c>
      <c r="T631" s="0" t="n">
        <v>5535</v>
      </c>
      <c r="U631" s="0" t="n">
        <v>0</v>
      </c>
      <c r="V631" s="0" t="n">
        <v>20.2115949468161</v>
      </c>
      <c r="W631" s="0" t="n">
        <v>20241231</v>
      </c>
      <c r="X631" s="0" t="n">
        <v>0.659977862877419</v>
      </c>
      <c r="Y631" s="0" t="n">
        <v>6.44</v>
      </c>
      <c r="Z631" s="0" t="s">
        <v>112</v>
      </c>
    </row>
    <row r="632" customFormat="false" ht="15" hidden="false" customHeight="false" outlineLevel="0" collapsed="false">
      <c r="A632" s="0" t="n">
        <v>632</v>
      </c>
      <c r="B632" s="0" t="n">
        <v>99802</v>
      </c>
      <c r="C632" s="0" t="n">
        <v>30878</v>
      </c>
      <c r="D632" s="0" t="n">
        <v>75762</v>
      </c>
      <c r="E632" s="0" t="n">
        <v>0</v>
      </c>
      <c r="F632" s="0" t="n">
        <v>11821</v>
      </c>
      <c r="G632" s="0" t="n">
        <v>11.8444520149897</v>
      </c>
      <c r="H632" s="0" t="s">
        <v>789</v>
      </c>
      <c r="I632" s="0" t="n">
        <v>0.822815703228506</v>
      </c>
      <c r="J632" s="0" t="n">
        <v>0</v>
      </c>
      <c r="K632" s="0" t="n">
        <v>168</v>
      </c>
      <c r="L632" s="0" t="n">
        <v>86046</v>
      </c>
      <c r="M632" s="0" t="n">
        <v>85338</v>
      </c>
      <c r="N632" s="0" t="n">
        <v>85877</v>
      </c>
      <c r="O632" s="0" t="n">
        <v>1428</v>
      </c>
      <c r="P632" s="0" t="s">
        <v>190</v>
      </c>
      <c r="Q632" s="0" t="n">
        <v>1.65957743532529</v>
      </c>
      <c r="R632" s="0" t="n">
        <v>1.05272775262421</v>
      </c>
      <c r="S632" s="0" t="n">
        <v>0</v>
      </c>
      <c r="T632" s="0" t="n">
        <v>720</v>
      </c>
      <c r="U632" s="0" t="n">
        <v>0</v>
      </c>
      <c r="V632" s="0" t="n">
        <v>0</v>
      </c>
      <c r="W632" s="0" t="n">
        <v>20241231</v>
      </c>
      <c r="X632" s="0" t="n">
        <v>-0.519758644406928</v>
      </c>
      <c r="Y632" s="0" t="n">
        <v>-4.39</v>
      </c>
      <c r="Z632" s="0" t="s">
        <v>105</v>
      </c>
    </row>
    <row r="633" customFormat="false" ht="15" hidden="false" customHeight="false" outlineLevel="0" collapsed="false">
      <c r="A633" s="0" t="n">
        <v>633</v>
      </c>
      <c r="B633" s="0" t="n">
        <v>950082</v>
      </c>
      <c r="C633" s="0" t="n">
        <v>33418</v>
      </c>
      <c r="D633" s="0" t="n">
        <v>811387</v>
      </c>
      <c r="E633" s="0" t="n">
        <v>0.07</v>
      </c>
      <c r="F633" s="0" t="n">
        <v>69717</v>
      </c>
      <c r="G633" s="0" t="n">
        <v>7.33799819384011</v>
      </c>
      <c r="H633" s="0" t="s">
        <v>790</v>
      </c>
      <c r="I633" s="0" t="n">
        <v>0.648410884471085</v>
      </c>
      <c r="J633" s="0" t="n">
        <v>72559</v>
      </c>
      <c r="K633" s="0" t="n">
        <v>17090</v>
      </c>
      <c r="L633" s="0" t="n">
        <v>579725</v>
      </c>
      <c r="M633" s="0" t="n">
        <v>575966</v>
      </c>
      <c r="N633" s="0" t="n">
        <v>490295</v>
      </c>
      <c r="O633" s="0" t="n">
        <v>1277</v>
      </c>
      <c r="P633" s="0" t="s">
        <v>192</v>
      </c>
      <c r="Q633" s="0" t="n">
        <v>0.22027685540558</v>
      </c>
      <c r="R633" s="0" t="n">
        <v>2.29282626037658</v>
      </c>
      <c r="S633" s="0" t="n">
        <v>-53</v>
      </c>
      <c r="T633" s="0" t="n">
        <v>451</v>
      </c>
      <c r="U633" s="0" t="n">
        <v>0</v>
      </c>
      <c r="V633" s="0" t="n">
        <v>12.7244669976746</v>
      </c>
      <c r="W633" s="0" t="n">
        <v>20241231</v>
      </c>
      <c r="X633" s="0" t="n">
        <v>0.466342669650027</v>
      </c>
      <c r="Y633" s="0" t="n">
        <v>6.14</v>
      </c>
      <c r="Z633" s="0" t="s">
        <v>112</v>
      </c>
    </row>
    <row r="634" customFormat="false" ht="15" hidden="false" customHeight="false" outlineLevel="0" collapsed="false">
      <c r="A634" s="0" t="n">
        <v>634</v>
      </c>
      <c r="B634" s="0" t="n">
        <v>63348</v>
      </c>
      <c r="C634" s="0" t="n">
        <v>35206</v>
      </c>
      <c r="D634" s="0" t="n">
        <v>500</v>
      </c>
      <c r="E634" s="0" t="n">
        <v>0</v>
      </c>
      <c r="F634" s="0" t="n">
        <v>60476</v>
      </c>
      <c r="G634" s="0" t="n">
        <v>95.466313064343</v>
      </c>
      <c r="H634" s="0" t="s">
        <v>791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  <c r="O634" s="0" t="n">
        <v>0</v>
      </c>
      <c r="P634" s="0" t="s">
        <v>252</v>
      </c>
      <c r="Q634" s="0" t="n">
        <v>0</v>
      </c>
      <c r="R634" s="0" t="n">
        <v>5.07496249787789</v>
      </c>
      <c r="S634" s="0" t="n">
        <v>0</v>
      </c>
      <c r="T634" s="0" t="n">
        <v>0</v>
      </c>
      <c r="U634" s="0" t="n">
        <v>0</v>
      </c>
      <c r="V634" s="0" t="n">
        <v>0</v>
      </c>
      <c r="W634" s="0" t="n">
        <v>20241231</v>
      </c>
      <c r="X634" s="0" t="n">
        <v>20.2893757542401</v>
      </c>
      <c r="Y634" s="0" t="n">
        <v>21.03</v>
      </c>
      <c r="Z634" s="0" t="s">
        <v>123</v>
      </c>
    </row>
    <row r="635" customFormat="false" ht="15" hidden="false" customHeight="false" outlineLevel="0" collapsed="false">
      <c r="A635" s="0" t="n">
        <v>635</v>
      </c>
      <c r="B635" s="0" t="n">
        <v>5790238</v>
      </c>
      <c r="C635" s="0" t="n">
        <v>4255</v>
      </c>
      <c r="D635" s="0" t="n">
        <v>4671726</v>
      </c>
      <c r="E635" s="0" t="n">
        <v>0.01</v>
      </c>
      <c r="F635" s="0" t="n">
        <v>539279</v>
      </c>
      <c r="G635" s="0" t="n">
        <v>9.31358952775344</v>
      </c>
      <c r="H635" s="0" t="s">
        <v>792</v>
      </c>
      <c r="I635" s="0" t="n">
        <v>0.865858777386467</v>
      </c>
      <c r="J635" s="0" t="n">
        <v>317650</v>
      </c>
      <c r="K635" s="0" t="n">
        <v>15066</v>
      </c>
      <c r="L635" s="0" t="n">
        <v>4126308</v>
      </c>
      <c r="M635" s="0" t="n">
        <v>4090580</v>
      </c>
      <c r="N635" s="0" t="n">
        <v>3755741</v>
      </c>
      <c r="O635" s="0" t="n">
        <v>4829</v>
      </c>
      <c r="P635" s="0" t="s">
        <v>194</v>
      </c>
      <c r="Q635" s="0" t="n">
        <v>0.117029557657838</v>
      </c>
      <c r="R635" s="0" t="n">
        <v>2.55088080553464</v>
      </c>
      <c r="S635" s="0" t="n">
        <v>1260</v>
      </c>
      <c r="T635" s="0" t="n">
        <v>2261</v>
      </c>
      <c r="U635" s="0" t="n">
        <v>0</v>
      </c>
      <c r="V635" s="0" t="n">
        <v>14.3631579775332</v>
      </c>
      <c r="W635" s="0" t="n">
        <v>20241231</v>
      </c>
      <c r="X635" s="0" t="n">
        <v>0.966146562932645</v>
      </c>
      <c r="Y635" s="0" t="n">
        <v>10.56</v>
      </c>
      <c r="Z635" s="0" t="s">
        <v>105</v>
      </c>
    </row>
    <row r="636" customFormat="false" ht="15" hidden="false" customHeight="false" outlineLevel="0" collapsed="false">
      <c r="A636" s="0" t="n">
        <v>636</v>
      </c>
      <c r="B636" s="0" t="n">
        <v>3121442</v>
      </c>
      <c r="C636" s="0" t="n">
        <v>4256</v>
      </c>
      <c r="D636" s="0" t="n">
        <v>2726323</v>
      </c>
      <c r="E636" s="0" t="n">
        <v>0.02</v>
      </c>
      <c r="F636" s="0" t="n">
        <v>223532</v>
      </c>
      <c r="G636" s="0" t="n">
        <v>7.1611774301749</v>
      </c>
      <c r="H636" s="0" t="s">
        <v>793</v>
      </c>
      <c r="I636" s="0" t="n">
        <v>1.06243645714969</v>
      </c>
      <c r="J636" s="0" t="n">
        <v>364018</v>
      </c>
      <c r="K636" s="0" t="n">
        <v>20790</v>
      </c>
      <c r="L636" s="0" t="n">
        <v>2340940</v>
      </c>
      <c r="M636" s="0" t="n">
        <v>2316069</v>
      </c>
      <c r="N636" s="0" t="n">
        <v>1846128</v>
      </c>
      <c r="O636" s="0" t="n">
        <v>4248</v>
      </c>
      <c r="P636" s="0" t="s">
        <v>196</v>
      </c>
      <c r="Q636" s="0" t="n">
        <v>0.225037805326065</v>
      </c>
      <c r="R636" s="0" t="n">
        <v>2.24895844222402</v>
      </c>
      <c r="S636" s="0" t="n">
        <v>463</v>
      </c>
      <c r="T636" s="0" t="n">
        <v>6975</v>
      </c>
      <c r="U636" s="0" t="n">
        <v>1020</v>
      </c>
      <c r="V636" s="0" t="n">
        <v>13.1573411623733</v>
      </c>
      <c r="W636" s="0" t="n">
        <v>20241231</v>
      </c>
      <c r="X636" s="0" t="n">
        <v>0.926763449403844</v>
      </c>
      <c r="Y636" s="0" t="n">
        <v>12.79</v>
      </c>
      <c r="Z636" s="0" t="s">
        <v>105</v>
      </c>
    </row>
    <row r="637" customFormat="false" ht="15" hidden="false" customHeight="false" outlineLevel="0" collapsed="false">
      <c r="A637" s="0" t="n">
        <v>637</v>
      </c>
      <c r="B637" s="0" t="n">
        <v>708844</v>
      </c>
      <c r="C637" s="0" t="n">
        <v>59086</v>
      </c>
      <c r="D637" s="0" t="n">
        <v>603651</v>
      </c>
      <c r="E637" s="0" t="n">
        <v>0.09</v>
      </c>
      <c r="F637" s="0" t="n">
        <v>99876</v>
      </c>
      <c r="G637" s="0" t="n">
        <v>14.0899831274582</v>
      </c>
      <c r="H637" s="0" t="s">
        <v>794</v>
      </c>
      <c r="I637" s="0" t="n">
        <v>0.978515067496173</v>
      </c>
      <c r="J637" s="0" t="n">
        <v>122091</v>
      </c>
      <c r="K637" s="0" t="n">
        <v>0</v>
      </c>
      <c r="L637" s="0" t="n">
        <v>599071</v>
      </c>
      <c r="M637" s="0" t="n">
        <v>593209</v>
      </c>
      <c r="N637" s="0" t="n">
        <v>477361</v>
      </c>
      <c r="O637" s="0" t="n">
        <v>4078</v>
      </c>
      <c r="P637" s="0" t="s">
        <v>198</v>
      </c>
      <c r="Q637" s="0" t="n">
        <v>0.540670471446623</v>
      </c>
      <c r="R637" s="0" t="n">
        <v>3.84189620368562</v>
      </c>
      <c r="S637" s="0" t="n">
        <v>405</v>
      </c>
      <c r="T637" s="0" t="n">
        <v>513</v>
      </c>
      <c r="U637" s="0" t="n">
        <v>486</v>
      </c>
      <c r="V637" s="0" t="n">
        <v>16.4547485172918</v>
      </c>
      <c r="W637" s="0" t="n">
        <v>20241231</v>
      </c>
      <c r="X637" s="0" t="n">
        <v>1.51475323091527</v>
      </c>
      <c r="Y637" s="0" t="n">
        <v>11.38</v>
      </c>
      <c r="Z637" s="0" t="s">
        <v>123</v>
      </c>
    </row>
    <row r="638" customFormat="false" ht="15" hidden="false" customHeight="false" outlineLevel="0" collapsed="false">
      <c r="A638" s="0" t="n">
        <v>638</v>
      </c>
      <c r="B638" s="0" t="n">
        <v>237381</v>
      </c>
      <c r="C638" s="0" t="n">
        <v>59176</v>
      </c>
      <c r="D638" s="0" t="n">
        <v>196927</v>
      </c>
      <c r="E638" s="0" t="n">
        <v>0.09</v>
      </c>
      <c r="F638" s="0" t="n">
        <v>27230</v>
      </c>
      <c r="G638" s="0" t="n">
        <v>11.4710107380119</v>
      </c>
      <c r="H638" s="0" t="s">
        <v>795</v>
      </c>
      <c r="I638" s="0" t="n">
        <v>0.938302204124989</v>
      </c>
      <c r="J638" s="0" t="n">
        <v>24140</v>
      </c>
      <c r="K638" s="0" t="n">
        <v>0</v>
      </c>
      <c r="L638" s="0" t="n">
        <v>180752</v>
      </c>
      <c r="M638" s="0" t="n">
        <v>179056</v>
      </c>
      <c r="N638" s="0" t="n">
        <v>156611</v>
      </c>
      <c r="O638" s="0" t="n">
        <v>0</v>
      </c>
      <c r="P638" s="0" t="s">
        <v>200</v>
      </c>
      <c r="Q638" s="0" t="n">
        <v>0</v>
      </c>
      <c r="R638" s="0" t="n">
        <v>2.52736720420682</v>
      </c>
      <c r="S638" s="0" t="n">
        <v>-32</v>
      </c>
      <c r="T638" s="0" t="n">
        <v>0</v>
      </c>
      <c r="U638" s="0" t="n">
        <v>0</v>
      </c>
      <c r="V638" s="0" t="n">
        <v>0</v>
      </c>
      <c r="W638" s="0" t="n">
        <v>20241231</v>
      </c>
      <c r="X638" s="0" t="n">
        <v>0.113409014371779</v>
      </c>
      <c r="Y638" s="0" t="n">
        <v>1</v>
      </c>
      <c r="Z638" s="0" t="s">
        <v>123</v>
      </c>
    </row>
    <row r="639" customFormat="false" ht="15" hidden="false" customHeight="false" outlineLevel="0" collapsed="false">
      <c r="A639" s="0" t="n">
        <v>639</v>
      </c>
      <c r="B639" s="0" t="n">
        <v>123766</v>
      </c>
      <c r="C639" s="0" t="n">
        <v>59289</v>
      </c>
      <c r="D639" s="0" t="n">
        <v>107030</v>
      </c>
      <c r="E639" s="0" t="n">
        <v>2.56</v>
      </c>
      <c r="F639" s="0" t="n">
        <v>15858</v>
      </c>
      <c r="G639" s="0" t="n">
        <v>12.8128888386148</v>
      </c>
      <c r="H639" s="0" t="s">
        <v>796</v>
      </c>
      <c r="I639" s="0" t="n">
        <v>0.666906366346165</v>
      </c>
      <c r="J639" s="0" t="n">
        <v>38749</v>
      </c>
      <c r="K639" s="0" t="n">
        <v>0</v>
      </c>
      <c r="L639" s="0" t="n">
        <v>86219</v>
      </c>
      <c r="M639" s="0" t="n">
        <v>85644</v>
      </c>
      <c r="N639" s="0" t="n">
        <v>35426</v>
      </c>
      <c r="O639" s="0" t="n">
        <v>2234</v>
      </c>
      <c r="P639" s="0" t="s">
        <v>364</v>
      </c>
      <c r="Q639" s="0" t="n">
        <v>2.59107621289971</v>
      </c>
      <c r="R639" s="0" t="n">
        <v>3.81997554271963</v>
      </c>
      <c r="S639" s="0" t="n">
        <v>2553</v>
      </c>
      <c r="T639" s="0" t="n">
        <v>2590</v>
      </c>
      <c r="U639" s="0" t="n">
        <v>0</v>
      </c>
      <c r="V639" s="0" t="n">
        <v>0</v>
      </c>
      <c r="W639" s="0" t="n">
        <v>20241231</v>
      </c>
      <c r="X639" s="0" t="n">
        <v>-3.22755669629028</v>
      </c>
      <c r="Y639" s="0" t="n">
        <v>-18.8</v>
      </c>
      <c r="Z639" s="0" t="s">
        <v>123</v>
      </c>
    </row>
    <row r="640" customFormat="false" ht="15" hidden="false" customHeight="false" outlineLevel="0" collapsed="false">
      <c r="A640" s="0" t="n">
        <v>640</v>
      </c>
      <c r="B640" s="0" t="n">
        <v>261157</v>
      </c>
      <c r="C640" s="0" t="n">
        <v>59298</v>
      </c>
      <c r="D640" s="0" t="n">
        <v>236473</v>
      </c>
      <c r="E640" s="0" t="n">
        <v>0.27</v>
      </c>
      <c r="F640" s="0" t="n">
        <v>23720</v>
      </c>
      <c r="G640" s="0" t="n">
        <v>9.08265909012586</v>
      </c>
      <c r="H640" s="0" t="s">
        <v>797</v>
      </c>
      <c r="I640" s="0" t="n">
        <v>0.800296567665402</v>
      </c>
      <c r="J640" s="0" t="n">
        <v>31832</v>
      </c>
      <c r="K640" s="0" t="n">
        <v>0</v>
      </c>
      <c r="L640" s="0" t="n">
        <v>137574</v>
      </c>
      <c r="M640" s="0" t="n">
        <v>136473</v>
      </c>
      <c r="N640" s="0" t="n">
        <v>105764</v>
      </c>
      <c r="O640" s="0" t="n">
        <v>0</v>
      </c>
      <c r="P640" s="0" t="s">
        <v>310</v>
      </c>
      <c r="Q640" s="0" t="n">
        <v>0</v>
      </c>
      <c r="R640" s="0" t="n">
        <v>2.05742766499991</v>
      </c>
      <c r="S640" s="0" t="n">
        <v>0</v>
      </c>
      <c r="T640" s="0" t="n">
        <v>0</v>
      </c>
      <c r="U640" s="0" t="n">
        <v>0</v>
      </c>
      <c r="V640" s="0" t="n">
        <v>17.5772477993456</v>
      </c>
      <c r="W640" s="0" t="n">
        <v>20241231</v>
      </c>
      <c r="X640" s="0" t="n">
        <v>-0.940503539781518</v>
      </c>
      <c r="Y640" s="0" t="n">
        <v>-7.72</v>
      </c>
      <c r="Z640" s="0" t="s">
        <v>112</v>
      </c>
    </row>
    <row r="641" customFormat="false" ht="15" hidden="false" customHeight="false" outlineLevel="0" collapsed="false">
      <c r="A641" s="0" t="n">
        <v>641</v>
      </c>
      <c r="B641" s="0" t="n">
        <v>1248213</v>
      </c>
      <c r="C641" s="0" t="n">
        <v>6271</v>
      </c>
      <c r="D641" s="0" t="n">
        <v>1002714</v>
      </c>
      <c r="E641" s="0" t="n">
        <v>0.1</v>
      </c>
      <c r="F641" s="0" t="n">
        <v>110120</v>
      </c>
      <c r="G641" s="0" t="n">
        <v>8.8222122346106</v>
      </c>
      <c r="H641" s="0" t="s">
        <v>798</v>
      </c>
      <c r="I641" s="0" t="n">
        <v>1.05644154733687</v>
      </c>
      <c r="J641" s="0" t="n">
        <v>124383</v>
      </c>
      <c r="K641" s="0" t="n">
        <v>6728</v>
      </c>
      <c r="L641" s="0" t="n">
        <v>928589</v>
      </c>
      <c r="M641" s="0" t="n">
        <v>918779</v>
      </c>
      <c r="N641" s="0" t="n">
        <v>726591</v>
      </c>
      <c r="O641" s="0" t="n">
        <v>8338</v>
      </c>
      <c r="P641" s="0" t="s">
        <v>202</v>
      </c>
      <c r="Q641" s="0" t="n">
        <v>0.984719827609416</v>
      </c>
      <c r="R641" s="0" t="n">
        <v>3.30963366885195</v>
      </c>
      <c r="S641" s="0" t="n">
        <v>1268</v>
      </c>
      <c r="T641" s="0" t="n">
        <v>3522</v>
      </c>
      <c r="U641" s="0" t="n">
        <v>806</v>
      </c>
      <c r="V641" s="0" t="n">
        <v>14.7627252333487</v>
      </c>
      <c r="W641" s="0" t="n">
        <v>20241231</v>
      </c>
      <c r="X641" s="0" t="n">
        <v>1.22232640966748</v>
      </c>
      <c r="Y641" s="0" t="n">
        <v>13.31</v>
      </c>
      <c r="Z641" s="0" t="s">
        <v>112</v>
      </c>
    </row>
    <row r="642" customFormat="false" ht="15" hidden="false" customHeight="false" outlineLevel="0" collapsed="false">
      <c r="A642" s="0" t="n">
        <v>642</v>
      </c>
      <c r="B642" s="0" t="n">
        <v>547799</v>
      </c>
      <c r="C642" s="0" t="n">
        <v>6275</v>
      </c>
      <c r="D642" s="0" t="n">
        <v>491990</v>
      </c>
      <c r="E642" s="0" t="n">
        <v>-0.01</v>
      </c>
      <c r="F642" s="0" t="n">
        <v>33538</v>
      </c>
      <c r="G642" s="0" t="n">
        <v>6.12231858765715</v>
      </c>
      <c r="H642" s="0" t="s">
        <v>799</v>
      </c>
      <c r="I642" s="0" t="n">
        <v>0.387001341604651</v>
      </c>
      <c r="J642" s="0" t="n">
        <v>34535</v>
      </c>
      <c r="K642" s="0" t="n">
        <v>8857</v>
      </c>
      <c r="L642" s="0" t="n">
        <v>348836</v>
      </c>
      <c r="M642" s="0" t="n">
        <v>347486</v>
      </c>
      <c r="N642" s="0" t="n">
        <v>295604</v>
      </c>
      <c r="O642" s="0" t="n">
        <v>694</v>
      </c>
      <c r="P642" s="0" t="s">
        <v>204</v>
      </c>
      <c r="Q642" s="0" t="n">
        <v>0.2376474905113</v>
      </c>
      <c r="R642" s="0" t="n">
        <v>2.93570449521976</v>
      </c>
      <c r="S642" s="0" t="n">
        <v>-22</v>
      </c>
      <c r="T642" s="0" t="n">
        <v>113</v>
      </c>
      <c r="U642" s="0" t="n">
        <v>135</v>
      </c>
      <c r="V642" s="0" t="n">
        <v>15.4276600675766</v>
      </c>
      <c r="W642" s="0" t="n">
        <v>20241231</v>
      </c>
      <c r="X642" s="0" t="n">
        <v>0.621758716658391</v>
      </c>
      <c r="Y642" s="0" t="n">
        <v>10.72</v>
      </c>
      <c r="Z642" s="0" t="s">
        <v>112</v>
      </c>
    </row>
    <row r="643" customFormat="false" ht="15" hidden="false" customHeight="false" outlineLevel="0" collapsed="false">
      <c r="A643" s="0" t="n">
        <v>643</v>
      </c>
      <c r="B643" s="0" t="n">
        <v>87669</v>
      </c>
      <c r="C643" s="0" t="n">
        <v>6280</v>
      </c>
      <c r="D643" s="0" t="n">
        <v>77381</v>
      </c>
      <c r="E643" s="0" t="n">
        <v>0.08</v>
      </c>
      <c r="F643" s="0" t="n">
        <v>9723</v>
      </c>
      <c r="G643" s="0" t="n">
        <v>11.0905793381925</v>
      </c>
      <c r="H643" s="0" t="s">
        <v>800</v>
      </c>
      <c r="I643" s="0" t="n">
        <v>1.28697222849402</v>
      </c>
      <c r="J643" s="0" t="n">
        <v>3883</v>
      </c>
      <c r="K643" s="0" t="n">
        <v>1432</v>
      </c>
      <c r="L643" s="0" t="n">
        <v>70864</v>
      </c>
      <c r="M643" s="0" t="n">
        <v>69952</v>
      </c>
      <c r="N643" s="0" t="n">
        <v>63247</v>
      </c>
      <c r="O643" s="0" t="n">
        <v>1616</v>
      </c>
      <c r="P643" s="0" t="s">
        <v>206</v>
      </c>
      <c r="Q643" s="0" t="n">
        <v>2.2804244750508</v>
      </c>
      <c r="R643" s="0" t="n">
        <v>4.60084938757925</v>
      </c>
      <c r="S643" s="0" t="n">
        <v>48</v>
      </c>
      <c r="T643" s="0" t="n">
        <v>911</v>
      </c>
      <c r="U643" s="0" t="n">
        <v>0</v>
      </c>
      <c r="V643" s="0" t="n">
        <v>0</v>
      </c>
      <c r="W643" s="0" t="n">
        <v>20241231</v>
      </c>
      <c r="X643" s="0" t="n">
        <v>1.33537142523864</v>
      </c>
      <c r="Y643" s="0" t="n">
        <v>11.41</v>
      </c>
      <c r="Z643" s="0" t="s">
        <v>112</v>
      </c>
    </row>
    <row r="644" customFormat="false" ht="15" hidden="false" customHeight="false" outlineLevel="0" collapsed="false">
      <c r="A644" s="0" t="n">
        <v>644</v>
      </c>
      <c r="B644" s="0" t="n">
        <v>4058800</v>
      </c>
      <c r="C644" s="0" t="n">
        <v>11971</v>
      </c>
      <c r="D644" s="0" t="n">
        <v>3305747</v>
      </c>
      <c r="E644" s="0" t="n">
        <v>0.06</v>
      </c>
      <c r="F644" s="0" t="n">
        <v>500720</v>
      </c>
      <c r="G644" s="0" t="n">
        <v>12.3366512269636</v>
      </c>
      <c r="H644" s="0" t="s">
        <v>801</v>
      </c>
      <c r="I644" s="0" t="n">
        <v>0.915427125743101</v>
      </c>
      <c r="J644" s="0" t="n">
        <v>208556</v>
      </c>
      <c r="K644" s="0" t="n">
        <v>7696</v>
      </c>
      <c r="L644" s="0" t="n">
        <v>3125754</v>
      </c>
      <c r="M644" s="0" t="n">
        <v>3097140</v>
      </c>
      <c r="N644" s="0" t="n">
        <v>2780638</v>
      </c>
      <c r="O644" s="0" t="n">
        <v>8085</v>
      </c>
      <c r="P644" s="0" t="s">
        <v>104</v>
      </c>
      <c r="Q644" s="0" t="n">
        <v>0.258721575658225</v>
      </c>
      <c r="R644" s="0" t="n">
        <v>3.24242457260534</v>
      </c>
      <c r="S644" s="0" t="n">
        <v>74</v>
      </c>
      <c r="T644" s="0" t="n">
        <v>12615</v>
      </c>
      <c r="U644" s="0" t="n">
        <v>2</v>
      </c>
      <c r="V644" s="0" t="n">
        <v>13.6146361419019</v>
      </c>
      <c r="W644" s="0" t="n">
        <v>20250331</v>
      </c>
      <c r="X644" s="0" t="n">
        <v>1.15455749971395</v>
      </c>
      <c r="Y644" s="0" t="n">
        <v>9.45</v>
      </c>
      <c r="Z644" s="0" t="s">
        <v>105</v>
      </c>
    </row>
    <row r="645" customFormat="false" ht="15" hidden="false" customHeight="false" outlineLevel="0" collapsed="false">
      <c r="A645" s="0" t="n">
        <v>645</v>
      </c>
      <c r="B645" s="0" t="n">
        <v>1079094</v>
      </c>
      <c r="C645" s="0" t="n">
        <v>12874</v>
      </c>
      <c r="D645" s="0" t="n">
        <v>929947</v>
      </c>
      <c r="E645" s="0" t="n">
        <v>-0.01</v>
      </c>
      <c r="F645" s="0" t="n">
        <v>99521</v>
      </c>
      <c r="G645" s="0" t="n">
        <v>9.22264418113714</v>
      </c>
      <c r="H645" s="0" t="s">
        <v>802</v>
      </c>
      <c r="I645" s="0" t="n">
        <v>0.998844467154037</v>
      </c>
      <c r="J645" s="0" t="n">
        <v>165192</v>
      </c>
      <c r="K645" s="0" t="n">
        <v>4366</v>
      </c>
      <c r="L645" s="0" t="n">
        <v>853286</v>
      </c>
      <c r="M645" s="0" t="n">
        <v>844763</v>
      </c>
      <c r="N645" s="0" t="n">
        <v>668513</v>
      </c>
      <c r="O645" s="0" t="n">
        <v>1396</v>
      </c>
      <c r="P645" s="0" t="s">
        <v>107</v>
      </c>
      <c r="Q645" s="0" t="n">
        <v>0.164891958850843</v>
      </c>
      <c r="R645" s="0" t="n">
        <v>3.76276007753566</v>
      </c>
      <c r="S645" s="0" t="n">
        <v>-2</v>
      </c>
      <c r="T645" s="0" t="n">
        <v>6414</v>
      </c>
      <c r="U645" s="0" t="n">
        <v>11</v>
      </c>
      <c r="V645" s="0" t="n">
        <v>15.5622111834708</v>
      </c>
      <c r="W645" s="0" t="n">
        <v>20250331</v>
      </c>
      <c r="X645" s="0" t="n">
        <v>0.913939100696902</v>
      </c>
      <c r="Y645" s="0" t="n">
        <v>10.07</v>
      </c>
      <c r="Z645" s="0" t="s">
        <v>105</v>
      </c>
    </row>
    <row r="646" customFormat="false" ht="15" hidden="false" customHeight="false" outlineLevel="0" collapsed="false">
      <c r="A646" s="0" t="n">
        <v>646</v>
      </c>
      <c r="B646" s="0" t="n">
        <v>1900245</v>
      </c>
      <c r="C646" s="0" t="n">
        <v>13063</v>
      </c>
      <c r="D646" s="0" t="n">
        <v>1610029</v>
      </c>
      <c r="E646" s="0" t="n">
        <v>0.06</v>
      </c>
      <c r="F646" s="0" t="n">
        <v>160439</v>
      </c>
      <c r="G646" s="0" t="n">
        <v>8.44306918318427</v>
      </c>
      <c r="H646" s="0" t="s">
        <v>803</v>
      </c>
      <c r="I646" s="0" t="n">
        <v>1.09940535759926</v>
      </c>
      <c r="J646" s="0" t="n">
        <v>66985</v>
      </c>
      <c r="K646" s="0" t="n">
        <v>833</v>
      </c>
      <c r="L646" s="0" t="n">
        <v>1529827</v>
      </c>
      <c r="M646" s="0" t="n">
        <v>1513008</v>
      </c>
      <c r="N646" s="0" t="n">
        <v>1448578</v>
      </c>
      <c r="O646" s="0" t="n">
        <v>1033</v>
      </c>
      <c r="P646" s="0" t="s">
        <v>109</v>
      </c>
      <c r="Q646" s="0" t="n">
        <v>0.0675239749331133</v>
      </c>
      <c r="R646" s="0" t="n">
        <v>3.3623212139201</v>
      </c>
      <c r="S646" s="0" t="n">
        <v>46</v>
      </c>
      <c r="T646" s="0" t="n">
        <v>6776</v>
      </c>
      <c r="U646" s="0" t="n">
        <v>0</v>
      </c>
      <c r="V646" s="0" t="n">
        <v>0</v>
      </c>
      <c r="W646" s="0" t="n">
        <v>20250331</v>
      </c>
      <c r="X646" s="0" t="n">
        <v>0.573300747201974</v>
      </c>
      <c r="Y646" s="0" t="n">
        <v>6.89</v>
      </c>
      <c r="Z646" s="0" t="s">
        <v>105</v>
      </c>
    </row>
    <row r="647" customFormat="false" ht="15" hidden="false" customHeight="false" outlineLevel="0" collapsed="false">
      <c r="A647" s="0" t="n">
        <v>647</v>
      </c>
      <c r="B647" s="0" t="n">
        <v>879312</v>
      </c>
      <c r="C647" s="0" t="n">
        <v>14134</v>
      </c>
      <c r="D647" s="0" t="n">
        <v>701672</v>
      </c>
      <c r="E647" s="0" t="n">
        <v>0.08</v>
      </c>
      <c r="F647" s="0" t="n">
        <v>113111</v>
      </c>
      <c r="G647" s="0" t="n">
        <v>12.8635797077715</v>
      </c>
      <c r="H647" s="0" t="s">
        <v>804</v>
      </c>
      <c r="I647" s="0" t="n">
        <v>1.11974522292994</v>
      </c>
      <c r="J647" s="0" t="n">
        <v>25662</v>
      </c>
      <c r="K647" s="0" t="n">
        <v>17648</v>
      </c>
      <c r="L647" s="0" t="n">
        <v>628000</v>
      </c>
      <c r="M647" s="0" t="n">
        <v>620968</v>
      </c>
      <c r="N647" s="0" t="n">
        <v>556523</v>
      </c>
      <c r="O647" s="0" t="n">
        <v>2972</v>
      </c>
      <c r="P647" s="0" t="s">
        <v>111</v>
      </c>
      <c r="Q647" s="0" t="n">
        <v>0.473248407643312</v>
      </c>
      <c r="R647" s="0" t="n">
        <v>3.08550914447303</v>
      </c>
      <c r="S647" s="0" t="n">
        <v>99</v>
      </c>
      <c r="T647" s="0" t="n">
        <v>4065</v>
      </c>
      <c r="U647" s="0" t="n">
        <v>0</v>
      </c>
      <c r="V647" s="0" t="n">
        <v>20.4880433281027</v>
      </c>
      <c r="W647" s="0" t="n">
        <v>20250331</v>
      </c>
      <c r="X647" s="0" t="n">
        <v>0.0433067891286425</v>
      </c>
      <c r="Y647" s="0" t="n">
        <v>0.34</v>
      </c>
      <c r="Z647" s="0" t="s">
        <v>112</v>
      </c>
    </row>
    <row r="648" customFormat="false" ht="15" hidden="false" customHeight="false" outlineLevel="0" collapsed="false">
      <c r="A648" s="0" t="n">
        <v>648</v>
      </c>
      <c r="B648" s="0" t="n">
        <v>238304</v>
      </c>
      <c r="C648" s="0" t="n">
        <v>14136</v>
      </c>
      <c r="D648" s="0" t="n">
        <v>203853</v>
      </c>
      <c r="E648" s="0" t="n">
        <v>0.01</v>
      </c>
      <c r="F648" s="0" t="n">
        <v>20010</v>
      </c>
      <c r="G648" s="0" t="n">
        <v>8.39683765274607</v>
      </c>
      <c r="H648" s="0" t="s">
        <v>805</v>
      </c>
      <c r="I648" s="0" t="n">
        <v>1.01580700919362</v>
      </c>
      <c r="J648" s="0" t="n">
        <v>15533</v>
      </c>
      <c r="K648" s="0" t="n">
        <v>14735</v>
      </c>
      <c r="L648" s="0" t="n">
        <v>159676</v>
      </c>
      <c r="M648" s="0" t="n">
        <v>158054</v>
      </c>
      <c r="N648" s="0" t="n">
        <v>129094</v>
      </c>
      <c r="O648" s="0" t="n">
        <v>519</v>
      </c>
      <c r="P648" s="0" t="s">
        <v>114</v>
      </c>
      <c r="Q648" s="0" t="n">
        <v>0.611237756456825</v>
      </c>
      <c r="R648" s="0" t="n">
        <v>4.02615024053287</v>
      </c>
      <c r="S648" s="0" t="n">
        <v>19</v>
      </c>
      <c r="T648" s="0" t="n">
        <v>923</v>
      </c>
      <c r="U648" s="0" t="n">
        <v>457</v>
      </c>
      <c r="V648" s="0" t="n">
        <v>18.5712691001976</v>
      </c>
      <c r="W648" s="0" t="n">
        <v>20250331</v>
      </c>
      <c r="X648" s="0" t="n">
        <v>0.650403771333496</v>
      </c>
      <c r="Y648" s="0" t="n">
        <v>7.95</v>
      </c>
      <c r="Z648" s="0" t="s">
        <v>112</v>
      </c>
    </row>
    <row r="649" customFormat="false" ht="15" hidden="false" customHeight="false" outlineLevel="0" collapsed="false">
      <c r="A649" s="0" t="n">
        <v>649</v>
      </c>
      <c r="B649" s="0" t="n">
        <v>1555515</v>
      </c>
      <c r="C649" s="0" t="n">
        <v>14140</v>
      </c>
      <c r="D649" s="0" t="n">
        <v>1282177</v>
      </c>
      <c r="E649" s="0" t="n">
        <v>0.06</v>
      </c>
      <c r="F649" s="0" t="n">
        <v>138738</v>
      </c>
      <c r="G649" s="0" t="n">
        <v>8.9191039623533</v>
      </c>
      <c r="H649" s="0" t="s">
        <v>806</v>
      </c>
      <c r="I649" s="0" t="n">
        <v>0.802824689432648</v>
      </c>
      <c r="J649" s="0" t="n">
        <v>92164</v>
      </c>
      <c r="K649" s="0" t="n">
        <v>1649</v>
      </c>
      <c r="L649" s="0" t="n">
        <v>1097749</v>
      </c>
      <c r="M649" s="0" t="n">
        <v>1088936</v>
      </c>
      <c r="N649" s="0" t="n">
        <v>973336</v>
      </c>
      <c r="O649" s="0" t="n">
        <v>6970</v>
      </c>
      <c r="P649" s="0" t="s">
        <v>116</v>
      </c>
      <c r="Q649" s="0" t="n">
        <v>0.634935672908834</v>
      </c>
      <c r="R649" s="0" t="n">
        <v>2.54652856281624</v>
      </c>
      <c r="S649" s="0" t="n">
        <v>5</v>
      </c>
      <c r="T649" s="0" t="n">
        <v>643</v>
      </c>
      <c r="U649" s="0" t="n">
        <v>0</v>
      </c>
      <c r="V649" s="0" t="n">
        <v>0</v>
      </c>
      <c r="W649" s="0" t="n">
        <v>20250331</v>
      </c>
      <c r="X649" s="0" t="n">
        <v>0.225060383816591</v>
      </c>
      <c r="Y649" s="0" t="n">
        <v>2.58</v>
      </c>
      <c r="Z649" s="0" t="s">
        <v>112</v>
      </c>
    </row>
    <row r="650" customFormat="false" ht="15" hidden="false" customHeight="false" outlineLevel="0" collapsed="false">
      <c r="A650" s="0" t="n">
        <v>650</v>
      </c>
      <c r="B650" s="0" t="n">
        <v>1524011</v>
      </c>
      <c r="C650" s="0" t="n">
        <v>14158</v>
      </c>
      <c r="D650" s="0" t="n">
        <v>1185295</v>
      </c>
      <c r="E650" s="0" t="n">
        <v>0.06</v>
      </c>
      <c r="F650" s="0" t="n">
        <v>85660</v>
      </c>
      <c r="G650" s="0" t="n">
        <v>5.62069433882039</v>
      </c>
      <c r="H650" s="0" t="s">
        <v>807</v>
      </c>
      <c r="I650" s="0" t="n">
        <v>0.694720467098861</v>
      </c>
      <c r="J650" s="0" t="n">
        <v>34450</v>
      </c>
      <c r="K650" s="0" t="n">
        <v>2738</v>
      </c>
      <c r="L650" s="0" t="n">
        <v>1167376</v>
      </c>
      <c r="M650" s="0" t="n">
        <v>1159266</v>
      </c>
      <c r="N650" s="0" t="n">
        <v>1013094</v>
      </c>
      <c r="O650" s="0" t="n">
        <v>14964</v>
      </c>
      <c r="P650" s="0" t="s">
        <v>118</v>
      </c>
      <c r="Q650" s="0" t="n">
        <v>1.28399076218802</v>
      </c>
      <c r="R650" s="0" t="n">
        <v>2.93127630720553</v>
      </c>
      <c r="S650" s="0" t="n">
        <v>-1</v>
      </c>
      <c r="T650" s="0" t="n">
        <v>2204</v>
      </c>
      <c r="U650" s="0" t="n">
        <v>25</v>
      </c>
      <c r="V650" s="0" t="n">
        <v>12.5706891302142</v>
      </c>
      <c r="W650" s="0" t="n">
        <v>20250331</v>
      </c>
      <c r="X650" s="0" t="n">
        <v>0.711495375706064</v>
      </c>
      <c r="Y650" s="0" t="n">
        <v>12.92</v>
      </c>
      <c r="Z650" s="0" t="s">
        <v>112</v>
      </c>
    </row>
    <row r="651" customFormat="false" ht="15" hidden="false" customHeight="false" outlineLevel="0" collapsed="false">
      <c r="A651" s="0" t="n">
        <v>651</v>
      </c>
      <c r="B651" s="0" t="n">
        <v>374654</v>
      </c>
      <c r="C651" s="0" t="n">
        <v>14168</v>
      </c>
      <c r="D651" s="0" t="n">
        <v>330872</v>
      </c>
      <c r="E651" s="0" t="n">
        <v>0.09</v>
      </c>
      <c r="F651" s="0" t="n">
        <v>38318</v>
      </c>
      <c r="G651" s="0" t="n">
        <v>10.2275699712268</v>
      </c>
      <c r="H651" s="0" t="s">
        <v>808</v>
      </c>
      <c r="I651" s="0" t="n">
        <v>1.32641925395326</v>
      </c>
      <c r="J651" s="0" t="n">
        <v>12139</v>
      </c>
      <c r="K651" s="0" t="n">
        <v>10316</v>
      </c>
      <c r="L651" s="0" t="n">
        <v>273066</v>
      </c>
      <c r="M651" s="0" t="n">
        <v>269444</v>
      </c>
      <c r="N651" s="0" t="n">
        <v>233845</v>
      </c>
      <c r="O651" s="0" t="n">
        <v>890</v>
      </c>
      <c r="P651" s="0" t="s">
        <v>120</v>
      </c>
      <c r="Q651" s="0" t="n">
        <v>0.32592853009895</v>
      </c>
      <c r="R651" s="0" t="n">
        <v>4.15331323479868</v>
      </c>
      <c r="S651" s="0" t="n">
        <v>9</v>
      </c>
      <c r="T651" s="0" t="n">
        <v>367</v>
      </c>
      <c r="U651" s="0" t="n">
        <v>0</v>
      </c>
      <c r="V651" s="0" t="n">
        <v>16.7121276852126</v>
      </c>
      <c r="W651" s="0" t="n">
        <v>20250331</v>
      </c>
      <c r="X651" s="0" t="n">
        <v>0.938635242635329</v>
      </c>
      <c r="Y651" s="0" t="n">
        <v>9.17</v>
      </c>
      <c r="Z651" s="0" t="s">
        <v>112</v>
      </c>
    </row>
    <row r="652" customFormat="false" ht="15" hidden="false" customHeight="false" outlineLevel="0" collapsed="false">
      <c r="A652" s="0" t="n">
        <v>652</v>
      </c>
      <c r="B652" s="0" t="n">
        <v>1063675</v>
      </c>
      <c r="C652" s="0" t="n">
        <v>17115</v>
      </c>
      <c r="D652" s="0" t="n">
        <v>802777</v>
      </c>
      <c r="E652" s="0" t="n">
        <v>0.05</v>
      </c>
      <c r="F652" s="0" t="n">
        <v>95052</v>
      </c>
      <c r="G652" s="0" t="n">
        <v>8.93618821538534</v>
      </c>
      <c r="H652" s="0" t="s">
        <v>809</v>
      </c>
      <c r="I652" s="0" t="n">
        <v>0.940314386332216</v>
      </c>
      <c r="J652" s="0" t="n">
        <v>38646</v>
      </c>
      <c r="K652" s="0" t="n">
        <v>6322</v>
      </c>
      <c r="L652" s="0" t="n">
        <v>878855</v>
      </c>
      <c r="M652" s="0" t="n">
        <v>870591</v>
      </c>
      <c r="N652" s="0" t="n">
        <v>833023</v>
      </c>
      <c r="O652" s="0" t="n">
        <v>2554</v>
      </c>
      <c r="P652" s="0" t="s">
        <v>125</v>
      </c>
      <c r="Q652" s="0" t="n">
        <v>0.290605389967628</v>
      </c>
      <c r="R652" s="0" t="n">
        <v>2.91572855437526</v>
      </c>
      <c r="S652" s="0" t="n">
        <v>413</v>
      </c>
      <c r="T652" s="0" t="n">
        <v>381</v>
      </c>
      <c r="U652" s="0" t="n">
        <v>0</v>
      </c>
      <c r="V652" s="0" t="n">
        <v>14.7757448270835</v>
      </c>
      <c r="W652" s="0" t="n">
        <v>20250331</v>
      </c>
      <c r="X652" s="0" t="n">
        <v>0.546340907417917</v>
      </c>
      <c r="Y652" s="0" t="n">
        <v>6.15</v>
      </c>
      <c r="Z652" s="0" t="s">
        <v>105</v>
      </c>
    </row>
    <row r="653" customFormat="false" ht="15" hidden="false" customHeight="false" outlineLevel="0" collapsed="false">
      <c r="A653" s="0" t="n">
        <v>653</v>
      </c>
      <c r="B653" s="0" t="n">
        <v>1590319</v>
      </c>
      <c r="C653" s="0" t="n">
        <v>17180</v>
      </c>
      <c r="D653" s="0" t="n">
        <v>1298331</v>
      </c>
      <c r="E653" s="0" t="n">
        <v>0.01</v>
      </c>
      <c r="F653" s="0" t="n">
        <v>145819</v>
      </c>
      <c r="G653" s="0" t="n">
        <v>9.16916668919883</v>
      </c>
      <c r="H653" s="0" t="s">
        <v>810</v>
      </c>
      <c r="I653" s="0" t="n">
        <v>0.991709630969796</v>
      </c>
      <c r="J653" s="0" t="n">
        <v>39933</v>
      </c>
      <c r="K653" s="0" t="n">
        <v>158298</v>
      </c>
      <c r="L653" s="0" t="n">
        <v>1397284</v>
      </c>
      <c r="M653" s="0" t="n">
        <v>1383427</v>
      </c>
      <c r="N653" s="0" t="n">
        <v>1173253</v>
      </c>
      <c r="O653" s="0" t="n">
        <v>5853</v>
      </c>
      <c r="P653" s="0" t="s">
        <v>127</v>
      </c>
      <c r="Q653" s="0" t="n">
        <v>0.420315411899084</v>
      </c>
      <c r="R653" s="0" t="n">
        <v>2.76765129492949</v>
      </c>
      <c r="S653" s="0" t="n">
        <v>66</v>
      </c>
      <c r="T653" s="0" t="n">
        <v>9150</v>
      </c>
      <c r="U653" s="0" t="n">
        <v>20</v>
      </c>
      <c r="V653" s="0" t="n">
        <v>15.9873302996545</v>
      </c>
      <c r="W653" s="0" t="n">
        <v>20250331</v>
      </c>
      <c r="X653" s="0" t="n">
        <v>0.303152256904612</v>
      </c>
      <c r="Y653" s="0" t="n">
        <v>3.34</v>
      </c>
      <c r="Z653" s="0" t="s">
        <v>123</v>
      </c>
    </row>
    <row r="654" customFormat="false" ht="15" hidden="false" customHeight="false" outlineLevel="0" collapsed="false">
      <c r="A654" s="0" t="n">
        <v>654</v>
      </c>
      <c r="B654" s="0" t="n">
        <v>363289</v>
      </c>
      <c r="C654" s="0" t="n">
        <v>17443</v>
      </c>
      <c r="D654" s="0" t="n">
        <v>297631</v>
      </c>
      <c r="E654" s="0" t="n">
        <v>0.07</v>
      </c>
      <c r="F654" s="0" t="n">
        <v>39494</v>
      </c>
      <c r="G654" s="0" t="n">
        <v>10.8712347469921</v>
      </c>
      <c r="H654" s="0" t="s">
        <v>811</v>
      </c>
      <c r="I654" s="0" t="n">
        <v>0.792927130298985</v>
      </c>
      <c r="J654" s="0" t="n">
        <v>0</v>
      </c>
      <c r="K654" s="0" t="n">
        <v>871</v>
      </c>
      <c r="L654" s="0" t="n">
        <v>198505</v>
      </c>
      <c r="M654" s="0" t="n">
        <v>196931</v>
      </c>
      <c r="N654" s="0" t="n">
        <v>196634</v>
      </c>
      <c r="O654" s="0" t="n">
        <v>931</v>
      </c>
      <c r="P654" s="0" t="s">
        <v>129</v>
      </c>
      <c r="Q654" s="0" t="n">
        <v>0.469005818493237</v>
      </c>
      <c r="R654" s="0" t="n">
        <v>1.22253760700585</v>
      </c>
      <c r="S654" s="0" t="n">
        <v>0</v>
      </c>
      <c r="T654" s="0" t="n">
        <v>1910</v>
      </c>
      <c r="U654" s="0" t="n">
        <v>0</v>
      </c>
      <c r="V654" s="0" t="n">
        <v>0</v>
      </c>
      <c r="W654" s="0" t="n">
        <v>20250331</v>
      </c>
      <c r="X654" s="0" t="n">
        <v>-0.539368227736928</v>
      </c>
      <c r="Y654" s="0" t="n">
        <v>-4.99</v>
      </c>
      <c r="Z654" s="0" t="s">
        <v>123</v>
      </c>
    </row>
    <row r="655" customFormat="false" ht="15" hidden="false" customHeight="false" outlineLevel="0" collapsed="false">
      <c r="A655" s="0" t="n">
        <v>655</v>
      </c>
      <c r="B655" s="0" t="n">
        <v>2028519</v>
      </c>
      <c r="C655" s="0" t="n">
        <v>17658</v>
      </c>
      <c r="D655" s="0" t="n">
        <v>1589312</v>
      </c>
      <c r="E655" s="0" t="n">
        <v>0.12</v>
      </c>
      <c r="F655" s="0" t="n">
        <v>229958</v>
      </c>
      <c r="G655" s="0" t="n">
        <v>11.3362507326774</v>
      </c>
      <c r="H655" s="0" t="s">
        <v>812</v>
      </c>
      <c r="I655" s="0" t="n">
        <v>0.69409197735874</v>
      </c>
      <c r="J655" s="0" t="n">
        <v>107150</v>
      </c>
      <c r="K655" s="0" t="n">
        <v>79935</v>
      </c>
      <c r="L655" s="0" t="n">
        <v>1450096</v>
      </c>
      <c r="M655" s="0" t="n">
        <v>1440031</v>
      </c>
      <c r="N655" s="0" t="n">
        <v>1246975</v>
      </c>
      <c r="O655" s="0" t="n">
        <v>10604</v>
      </c>
      <c r="P655" s="0" t="s">
        <v>131</v>
      </c>
      <c r="Q655" s="0" t="n">
        <v>0.734227251161302</v>
      </c>
      <c r="R655" s="0" t="n">
        <v>3.17195294561779</v>
      </c>
      <c r="S655" s="0" t="n">
        <v>102</v>
      </c>
      <c r="T655" s="0" t="n">
        <v>8257</v>
      </c>
      <c r="U655" s="0" t="n">
        <v>43</v>
      </c>
      <c r="V655" s="0" t="n">
        <v>0</v>
      </c>
      <c r="W655" s="0" t="n">
        <v>20250331</v>
      </c>
      <c r="X655" s="0" t="n">
        <v>0.336900288366337</v>
      </c>
      <c r="Y655" s="0" t="n">
        <v>3</v>
      </c>
      <c r="Z655" s="0" t="s">
        <v>105</v>
      </c>
    </row>
    <row r="656" customFormat="false" ht="15" hidden="false" customHeight="false" outlineLevel="0" collapsed="false">
      <c r="A656" s="0" t="n">
        <v>656</v>
      </c>
      <c r="B656" s="0" t="n">
        <v>2702374</v>
      </c>
      <c r="C656" s="0" t="n">
        <v>17741</v>
      </c>
      <c r="D656" s="0" t="n">
        <v>2270619</v>
      </c>
      <c r="E656" s="0" t="n">
        <v>-0.16</v>
      </c>
      <c r="F656" s="0" t="n">
        <v>244064</v>
      </c>
      <c r="G656" s="0" t="n">
        <v>9.03146640694441</v>
      </c>
      <c r="H656" s="0" t="s">
        <v>813</v>
      </c>
      <c r="I656" s="0" t="n">
        <v>0.716526325737971</v>
      </c>
      <c r="J656" s="0" t="n">
        <v>226181</v>
      </c>
      <c r="K656" s="0" t="n">
        <v>6255</v>
      </c>
      <c r="L656" s="0" t="n">
        <v>2221970</v>
      </c>
      <c r="M656" s="0" t="n">
        <v>2206049</v>
      </c>
      <c r="N656" s="0" t="n">
        <v>1950768</v>
      </c>
      <c r="O656" s="0" t="n">
        <v>9808</v>
      </c>
      <c r="P656" s="0" t="s">
        <v>133</v>
      </c>
      <c r="Q656" s="0" t="n">
        <v>0.441410100046355</v>
      </c>
      <c r="R656" s="0" t="n">
        <v>4.89910008789424</v>
      </c>
      <c r="S656" s="0" t="n">
        <v>32</v>
      </c>
      <c r="T656" s="0" t="n">
        <v>5724</v>
      </c>
      <c r="U656" s="0" t="n">
        <v>0</v>
      </c>
      <c r="V656" s="0" t="n">
        <v>0</v>
      </c>
      <c r="W656" s="0" t="n">
        <v>20250331</v>
      </c>
      <c r="X656" s="0" t="n">
        <v>0.637665297546565</v>
      </c>
      <c r="Y656" s="0" t="n">
        <v>6.31</v>
      </c>
      <c r="Z656" s="0" t="s">
        <v>105</v>
      </c>
    </row>
    <row r="657" customFormat="false" ht="15" hidden="false" customHeight="false" outlineLevel="0" collapsed="false">
      <c r="A657" s="0" t="n">
        <v>657</v>
      </c>
      <c r="B657" s="0" t="n">
        <v>1421036</v>
      </c>
      <c r="C657" s="0" t="n">
        <v>17743</v>
      </c>
      <c r="D657" s="0" t="n">
        <v>1011028</v>
      </c>
      <c r="E657" s="0" t="n">
        <v>0</v>
      </c>
      <c r="F657" s="0" t="n">
        <v>126472</v>
      </c>
      <c r="G657" s="0" t="n">
        <v>8.89998564427643</v>
      </c>
      <c r="H657" s="0" t="s">
        <v>814</v>
      </c>
      <c r="I657" s="0" t="n">
        <v>0.421513602591541</v>
      </c>
      <c r="J657" s="0" t="n">
        <v>16286</v>
      </c>
      <c r="K657" s="0" t="n">
        <v>10447</v>
      </c>
      <c r="L657" s="0" t="n">
        <v>1133534</v>
      </c>
      <c r="M657" s="0" t="n">
        <v>1128756</v>
      </c>
      <c r="N657" s="0" t="n">
        <v>1096181</v>
      </c>
      <c r="O657" s="0" t="n">
        <v>757</v>
      </c>
      <c r="P657" s="0" t="s">
        <v>135</v>
      </c>
      <c r="Q657" s="0" t="n">
        <v>0.0667822932527829</v>
      </c>
      <c r="R657" s="0" t="n">
        <v>2.04173672753816</v>
      </c>
      <c r="S657" s="0" t="n">
        <v>0</v>
      </c>
      <c r="T657" s="0" t="n">
        <v>6382</v>
      </c>
      <c r="U657" s="0" t="n">
        <v>0</v>
      </c>
      <c r="V657" s="0" t="n">
        <v>0</v>
      </c>
      <c r="W657" s="0" t="n">
        <v>20250331</v>
      </c>
      <c r="X657" s="0" t="n">
        <v>-0.0132738457932146</v>
      </c>
      <c r="Y657" s="0" t="n">
        <v>-0.15</v>
      </c>
      <c r="Z657" s="0" t="s">
        <v>105</v>
      </c>
    </row>
    <row r="658" customFormat="false" ht="15" hidden="false" customHeight="false" outlineLevel="0" collapsed="false">
      <c r="A658" s="0" t="n">
        <v>658</v>
      </c>
      <c r="B658" s="0" t="n">
        <v>1415126</v>
      </c>
      <c r="C658" s="0" t="n">
        <v>17749</v>
      </c>
      <c r="D658" s="0" t="n">
        <v>1106043</v>
      </c>
      <c r="E658" s="0" t="n">
        <v>0.07</v>
      </c>
      <c r="F658" s="0" t="n">
        <v>197514</v>
      </c>
      <c r="G658" s="0" t="n">
        <v>13.9573437276963</v>
      </c>
      <c r="H658" s="0" t="s">
        <v>815</v>
      </c>
      <c r="I658" s="0" t="n">
        <v>1.43729503426445</v>
      </c>
      <c r="J658" s="0" t="n">
        <v>55321</v>
      </c>
      <c r="K658" s="0" t="n">
        <v>11040</v>
      </c>
      <c r="L658" s="0" t="n">
        <v>833371</v>
      </c>
      <c r="M658" s="0" t="n">
        <v>821393</v>
      </c>
      <c r="N658" s="0" t="n">
        <v>756331</v>
      </c>
      <c r="O658" s="0" t="n">
        <v>953</v>
      </c>
      <c r="P658" s="0" t="s">
        <v>139</v>
      </c>
      <c r="Q658" s="0" t="n">
        <v>0.125154343023695</v>
      </c>
      <c r="R658" s="0" t="n">
        <v>2.66400103962503</v>
      </c>
      <c r="S658" s="0" t="n">
        <v>1</v>
      </c>
      <c r="T658" s="0" t="n">
        <v>750</v>
      </c>
      <c r="U658" s="0" t="n">
        <v>90</v>
      </c>
      <c r="V658" s="0" t="n">
        <v>0</v>
      </c>
      <c r="W658" s="0" t="n">
        <v>20250331</v>
      </c>
      <c r="X658" s="0" t="n">
        <v>0.443227148231069</v>
      </c>
      <c r="Y658" s="0" t="n">
        <v>3.22</v>
      </c>
      <c r="Z658" s="0" t="s">
        <v>105</v>
      </c>
    </row>
    <row r="659" customFormat="false" ht="15" hidden="false" customHeight="false" outlineLevel="0" collapsed="false">
      <c r="A659" s="0" t="n">
        <v>659</v>
      </c>
      <c r="B659" s="0" t="n">
        <v>1694530</v>
      </c>
      <c r="C659" s="0" t="n">
        <v>17751</v>
      </c>
      <c r="D659" s="0" t="n">
        <v>1333884</v>
      </c>
      <c r="E659" s="0" t="n">
        <v>0.05</v>
      </c>
      <c r="F659" s="0" t="n">
        <v>150042</v>
      </c>
      <c r="G659" s="0" t="n">
        <v>8.85449062571923</v>
      </c>
      <c r="H659" s="0" t="s">
        <v>816</v>
      </c>
      <c r="I659" s="0" t="n">
        <v>0.938322884290286</v>
      </c>
      <c r="J659" s="0" t="n">
        <v>138929</v>
      </c>
      <c r="K659" s="0" t="n">
        <v>2198</v>
      </c>
      <c r="L659" s="0" t="n">
        <v>1410815</v>
      </c>
      <c r="M659" s="0" t="n">
        <v>1397577</v>
      </c>
      <c r="N659" s="0" t="n">
        <v>1197971</v>
      </c>
      <c r="O659" s="0" t="n">
        <v>2675</v>
      </c>
      <c r="P659" s="0" t="s">
        <v>141</v>
      </c>
      <c r="Q659" s="0" t="n">
        <v>0.189606716685037</v>
      </c>
      <c r="R659" s="0" t="n">
        <v>2.79025458624727</v>
      </c>
      <c r="S659" s="0" t="n">
        <v>-25</v>
      </c>
      <c r="T659" s="0" t="n">
        <v>7685</v>
      </c>
      <c r="U659" s="0" t="n">
        <v>0</v>
      </c>
      <c r="V659" s="0" t="n">
        <v>12.3894136970979</v>
      </c>
      <c r="W659" s="0" t="n">
        <v>20250331</v>
      </c>
      <c r="X659" s="0" t="n">
        <v>0.361584129388483</v>
      </c>
      <c r="Y659" s="0" t="n">
        <v>4.1</v>
      </c>
      <c r="Z659" s="0" t="s">
        <v>105</v>
      </c>
    </row>
    <row r="660" customFormat="false" ht="15" hidden="false" customHeight="false" outlineLevel="0" collapsed="false">
      <c r="A660" s="0" t="n">
        <v>660</v>
      </c>
      <c r="B660" s="0" t="n">
        <v>1759715</v>
      </c>
      <c r="C660" s="0" t="n">
        <v>17897</v>
      </c>
      <c r="D660" s="0" t="n">
        <v>1345096</v>
      </c>
      <c r="E660" s="0" t="n">
        <v>0.04</v>
      </c>
      <c r="F660" s="0" t="n">
        <v>219109</v>
      </c>
      <c r="G660" s="0" t="n">
        <v>12.4513912764283</v>
      </c>
      <c r="H660" s="0" t="s">
        <v>817</v>
      </c>
      <c r="I660" s="0" t="n">
        <v>0.616327371558233</v>
      </c>
      <c r="J660" s="0" t="n">
        <v>82917</v>
      </c>
      <c r="K660" s="0" t="n">
        <v>3414</v>
      </c>
      <c r="L660" s="0" t="n">
        <v>1470647</v>
      </c>
      <c r="M660" s="0" t="n">
        <v>1461583</v>
      </c>
      <c r="N660" s="0" t="n">
        <v>1370211</v>
      </c>
      <c r="O660" s="0" t="n">
        <v>4816</v>
      </c>
      <c r="P660" s="0" t="s">
        <v>143</v>
      </c>
      <c r="Q660" s="0" t="n">
        <v>0.328834859759004</v>
      </c>
      <c r="R660" s="0" t="n">
        <v>2.67229101981083</v>
      </c>
      <c r="S660" s="0" t="n">
        <v>43</v>
      </c>
      <c r="T660" s="0" t="n">
        <v>8545</v>
      </c>
      <c r="U660" s="0" t="n">
        <v>20</v>
      </c>
      <c r="V660" s="0" t="n">
        <v>17.5946551181685</v>
      </c>
      <c r="W660" s="0" t="n">
        <v>20250331</v>
      </c>
      <c r="X660" s="0" t="n">
        <v>0.437372293588705</v>
      </c>
      <c r="Y660" s="0" t="n">
        <v>3.55</v>
      </c>
      <c r="Z660" s="0" t="s">
        <v>105</v>
      </c>
    </row>
    <row r="661" customFormat="false" ht="15" hidden="false" customHeight="false" outlineLevel="0" collapsed="false">
      <c r="A661" s="0" t="n">
        <v>661</v>
      </c>
      <c r="B661" s="0" t="n">
        <v>856737</v>
      </c>
      <c r="C661" s="0" t="n">
        <v>17951</v>
      </c>
      <c r="D661" s="0" t="n">
        <v>714191</v>
      </c>
      <c r="E661" s="0" t="n">
        <v>0.09</v>
      </c>
      <c r="F661" s="0" t="n">
        <v>68926</v>
      </c>
      <c r="G661" s="0" t="n">
        <v>8.04517605752991</v>
      </c>
      <c r="H661" s="0" t="s">
        <v>818</v>
      </c>
      <c r="I661" s="0" t="n">
        <v>0.834978241485219</v>
      </c>
      <c r="J661" s="0" t="n">
        <v>35790</v>
      </c>
      <c r="K661" s="0" t="n">
        <v>1548</v>
      </c>
      <c r="L661" s="0" t="n">
        <v>656065</v>
      </c>
      <c r="M661" s="0" t="n">
        <v>650587</v>
      </c>
      <c r="N661" s="0" t="n">
        <v>602633</v>
      </c>
      <c r="O661" s="0" t="n">
        <v>152</v>
      </c>
      <c r="P661" s="0" t="s">
        <v>145</v>
      </c>
      <c r="Q661" s="0" t="n">
        <v>0.0231684360543543</v>
      </c>
      <c r="R661" s="0" t="n">
        <v>2.69304314129075</v>
      </c>
      <c r="S661" s="0" t="n">
        <v>2</v>
      </c>
      <c r="T661" s="0" t="n">
        <v>25</v>
      </c>
      <c r="U661" s="0" t="n">
        <v>0</v>
      </c>
      <c r="V661" s="0" t="n">
        <v>13.5230158316307</v>
      </c>
      <c r="W661" s="0" t="n">
        <v>20250331</v>
      </c>
      <c r="X661" s="0" t="n">
        <v>0.569958063286313</v>
      </c>
      <c r="Y661" s="0" t="n">
        <v>7.1</v>
      </c>
      <c r="Z661" s="0" t="s">
        <v>123</v>
      </c>
    </row>
    <row r="662" customFormat="false" ht="15" hidden="false" customHeight="false" outlineLevel="0" collapsed="false">
      <c r="A662" s="0" t="n">
        <v>662</v>
      </c>
      <c r="B662" s="0" t="n">
        <v>1354203</v>
      </c>
      <c r="C662" s="0" t="n">
        <v>17960</v>
      </c>
      <c r="D662" s="0" t="n">
        <v>1112041</v>
      </c>
      <c r="E662" s="0" t="n">
        <v>0.19</v>
      </c>
      <c r="F662" s="0" t="n">
        <v>118120</v>
      </c>
      <c r="G662" s="0" t="n">
        <v>8.72247366162975</v>
      </c>
      <c r="H662" s="0" t="s">
        <v>819</v>
      </c>
      <c r="I662" s="0" t="n">
        <v>1.09436816889407</v>
      </c>
      <c r="J662" s="0" t="n">
        <v>115321</v>
      </c>
      <c r="K662" s="0" t="n">
        <v>219320</v>
      </c>
      <c r="L662" s="0" t="n">
        <v>1150070</v>
      </c>
      <c r="M662" s="0" t="n">
        <v>1137484</v>
      </c>
      <c r="N662" s="0" t="n">
        <v>811642</v>
      </c>
      <c r="O662" s="0" t="n">
        <v>7626</v>
      </c>
      <c r="P662" s="0" t="s">
        <v>147</v>
      </c>
      <c r="Q662" s="0" t="n">
        <v>0.663090072778179</v>
      </c>
      <c r="R662" s="0" t="n">
        <v>2.93424816317374</v>
      </c>
      <c r="S662" s="0" t="n">
        <v>202</v>
      </c>
      <c r="T662" s="0" t="n">
        <v>4491</v>
      </c>
      <c r="U662" s="0" t="n">
        <v>0</v>
      </c>
      <c r="V662" s="0" t="n">
        <v>13.7521204502019</v>
      </c>
      <c r="W662" s="0" t="n">
        <v>20250331</v>
      </c>
      <c r="X662" s="0" t="n">
        <v>0.293339162698366</v>
      </c>
      <c r="Y662" s="0" t="n">
        <v>3.4</v>
      </c>
      <c r="Z662" s="0" t="s">
        <v>123</v>
      </c>
    </row>
    <row r="663" customFormat="false" ht="15" hidden="false" customHeight="false" outlineLevel="0" collapsed="false">
      <c r="A663" s="0" t="n">
        <v>663</v>
      </c>
      <c r="B663" s="0" t="n">
        <v>2654603</v>
      </c>
      <c r="C663" s="0" t="n">
        <v>18012</v>
      </c>
      <c r="D663" s="0" t="n">
        <v>2299127</v>
      </c>
      <c r="E663" s="0" t="n">
        <v>0.04</v>
      </c>
      <c r="F663" s="0" t="n">
        <v>293951</v>
      </c>
      <c r="G663" s="0" t="n">
        <v>11.0732565283773</v>
      </c>
      <c r="H663" s="0" t="s">
        <v>820</v>
      </c>
      <c r="I663" s="0" t="n">
        <v>1.1708873142952</v>
      </c>
      <c r="J663" s="0" t="n">
        <v>49493</v>
      </c>
      <c r="K663" s="0" t="n">
        <v>26074</v>
      </c>
      <c r="L663" s="0" t="n">
        <v>2121041</v>
      </c>
      <c r="M663" s="0" t="n">
        <v>2096206</v>
      </c>
      <c r="N663" s="0" t="n">
        <v>2023412</v>
      </c>
      <c r="O663" s="0" t="n">
        <v>1089</v>
      </c>
      <c r="P663" s="0" t="s">
        <v>149</v>
      </c>
      <c r="Q663" s="0" t="n">
        <v>0.0513427133186015</v>
      </c>
      <c r="R663" s="0" t="n">
        <v>2.79975953134989</v>
      </c>
      <c r="S663" s="0" t="n">
        <v>19</v>
      </c>
      <c r="T663" s="0" t="n">
        <v>3239</v>
      </c>
      <c r="U663" s="0" t="n">
        <v>0</v>
      </c>
      <c r="V663" s="0" t="n">
        <v>14.0643760616757</v>
      </c>
      <c r="W663" s="0" t="n">
        <v>20250331</v>
      </c>
      <c r="X663" s="0" t="n">
        <v>0.745930213394085</v>
      </c>
      <c r="Y663" s="0" t="n">
        <v>6.81</v>
      </c>
      <c r="Z663" s="0" t="s">
        <v>123</v>
      </c>
    </row>
    <row r="664" customFormat="false" ht="15" hidden="false" customHeight="false" outlineLevel="0" collapsed="false">
      <c r="A664" s="0" t="n">
        <v>664</v>
      </c>
      <c r="B664" s="0" t="n">
        <v>2886966</v>
      </c>
      <c r="C664" s="0" t="n">
        <v>18013</v>
      </c>
      <c r="D664" s="0" t="n">
        <v>2567945</v>
      </c>
      <c r="E664" s="0" t="n">
        <v>0.06</v>
      </c>
      <c r="F664" s="0" t="n">
        <v>233883</v>
      </c>
      <c r="G664" s="0" t="n">
        <v>8.10134237812292</v>
      </c>
      <c r="H664" s="0" t="s">
        <v>821</v>
      </c>
      <c r="I664" s="0" t="n">
        <v>0.747940799834841</v>
      </c>
      <c r="J664" s="0" t="n">
        <v>115671</v>
      </c>
      <c r="K664" s="0" t="n">
        <v>21720</v>
      </c>
      <c r="L664" s="0" t="n">
        <v>2412223</v>
      </c>
      <c r="M664" s="0" t="n">
        <v>2394181</v>
      </c>
      <c r="N664" s="0" t="n">
        <v>2202612</v>
      </c>
      <c r="O664" s="0" t="n">
        <v>2219</v>
      </c>
      <c r="P664" s="0" t="s">
        <v>151</v>
      </c>
      <c r="Q664" s="0" t="n">
        <v>0.0941455246882232</v>
      </c>
      <c r="R664" s="0" t="n">
        <v>2.79406900216728</v>
      </c>
      <c r="S664" s="0" t="n">
        <v>-199</v>
      </c>
      <c r="T664" s="0" t="n">
        <v>5622</v>
      </c>
      <c r="U664" s="0" t="n">
        <v>52</v>
      </c>
      <c r="V664" s="0" t="n">
        <v>12.6945670847727</v>
      </c>
      <c r="W664" s="0" t="n">
        <v>20250331</v>
      </c>
      <c r="X664" s="0" t="n">
        <v>0.352950560219433</v>
      </c>
      <c r="Y664" s="0" t="n">
        <v>4.43</v>
      </c>
      <c r="Z664" s="0" t="s">
        <v>123</v>
      </c>
    </row>
    <row r="665" customFormat="false" ht="15" hidden="false" customHeight="false" outlineLevel="0" collapsed="false">
      <c r="A665" s="0" t="n">
        <v>665</v>
      </c>
      <c r="B665" s="0" t="n">
        <v>400477</v>
      </c>
      <c r="C665" s="0" t="n">
        <v>18028</v>
      </c>
      <c r="D665" s="0" t="n">
        <v>340672</v>
      </c>
      <c r="E665" s="0" t="n">
        <v>0.09</v>
      </c>
      <c r="F665" s="0" t="n">
        <v>43552</v>
      </c>
      <c r="G665" s="0" t="n">
        <v>10.8750315249066</v>
      </c>
      <c r="H665" s="0" t="s">
        <v>822</v>
      </c>
      <c r="I665" s="0" t="n">
        <v>0.836251540415813</v>
      </c>
      <c r="J665" s="0" t="n">
        <v>12296</v>
      </c>
      <c r="K665" s="0" t="n">
        <v>5085</v>
      </c>
      <c r="L665" s="0" t="n">
        <v>276711</v>
      </c>
      <c r="M665" s="0" t="n">
        <v>274397</v>
      </c>
      <c r="N665" s="0" t="n">
        <v>254230</v>
      </c>
      <c r="O665" s="0" t="n">
        <v>1021</v>
      </c>
      <c r="P665" s="0" t="s">
        <v>153</v>
      </c>
      <c r="Q665" s="0" t="n">
        <v>0.391383067532552</v>
      </c>
      <c r="R665" s="0" t="n">
        <v>3.46717489851514</v>
      </c>
      <c r="S665" s="0" t="n">
        <v>70</v>
      </c>
      <c r="T665" s="0" t="n">
        <v>1383</v>
      </c>
      <c r="U665" s="0" t="n">
        <v>62</v>
      </c>
      <c r="V665" s="0" t="n">
        <v>0</v>
      </c>
      <c r="W665" s="0" t="n">
        <v>20250331</v>
      </c>
      <c r="X665" s="0" t="n">
        <v>0.536305275329957</v>
      </c>
      <c r="Y665" s="0" t="n">
        <v>5.02</v>
      </c>
      <c r="Z665" s="0" t="s">
        <v>123</v>
      </c>
    </row>
    <row r="666" customFormat="false" ht="15" hidden="false" customHeight="false" outlineLevel="0" collapsed="false">
      <c r="A666" s="0" t="n">
        <v>666</v>
      </c>
      <c r="B666" s="0" t="n">
        <v>800795</v>
      </c>
      <c r="C666" s="0" t="n">
        <v>18030</v>
      </c>
      <c r="D666" s="0" t="n">
        <v>736585</v>
      </c>
      <c r="E666" s="0" t="n">
        <v>0.08</v>
      </c>
      <c r="F666" s="0" t="n">
        <v>56520</v>
      </c>
      <c r="G666" s="0" t="n">
        <v>7.057986126287</v>
      </c>
      <c r="H666" s="0" t="s">
        <v>823</v>
      </c>
      <c r="I666" s="0" t="n">
        <v>0.997540703133033</v>
      </c>
      <c r="J666" s="0" t="n">
        <v>40723</v>
      </c>
      <c r="K666" s="0" t="n">
        <v>95064</v>
      </c>
      <c r="L666" s="0" t="n">
        <v>593259</v>
      </c>
      <c r="M666" s="0" t="n">
        <v>587341</v>
      </c>
      <c r="N666" s="0" t="n">
        <v>457374</v>
      </c>
      <c r="O666" s="0" t="n">
        <v>1821</v>
      </c>
      <c r="P666" s="0" t="s">
        <v>155</v>
      </c>
      <c r="Q666" s="0" t="n">
        <v>0.306948567151952</v>
      </c>
      <c r="R666" s="0" t="n">
        <v>3.62784293997723</v>
      </c>
      <c r="S666" s="0" t="n">
        <v>78</v>
      </c>
      <c r="T666" s="0" t="n">
        <v>2217</v>
      </c>
      <c r="U666" s="0" t="n">
        <v>0</v>
      </c>
      <c r="V666" s="0" t="n">
        <v>14.1683492306621</v>
      </c>
      <c r="W666" s="0" t="n">
        <v>20250331</v>
      </c>
      <c r="X666" s="0" t="n">
        <v>0.646111863500634</v>
      </c>
      <c r="Y666" s="0" t="n">
        <v>9.26</v>
      </c>
      <c r="Z666" s="0" t="s">
        <v>123</v>
      </c>
    </row>
    <row r="667" customFormat="false" ht="15" hidden="false" customHeight="false" outlineLevel="0" collapsed="false">
      <c r="A667" s="0" t="n">
        <v>667</v>
      </c>
      <c r="B667" s="0" t="n">
        <v>669787</v>
      </c>
      <c r="C667" s="0" t="n">
        <v>18031</v>
      </c>
      <c r="D667" s="0" t="n">
        <v>527059</v>
      </c>
      <c r="E667" s="0" t="n">
        <v>0.03</v>
      </c>
      <c r="F667" s="0" t="n">
        <v>40246</v>
      </c>
      <c r="G667" s="0" t="n">
        <v>6.00877592428638</v>
      </c>
      <c r="H667" s="0" t="s">
        <v>824</v>
      </c>
      <c r="I667" s="0" t="n">
        <v>0.823234239090649</v>
      </c>
      <c r="J667" s="0" t="n">
        <v>22344</v>
      </c>
      <c r="K667" s="0" t="n">
        <v>7590</v>
      </c>
      <c r="L667" s="0" t="n">
        <v>450783</v>
      </c>
      <c r="M667" s="0" t="n">
        <v>447072</v>
      </c>
      <c r="N667" s="0" t="n">
        <v>414125</v>
      </c>
      <c r="O667" s="0" t="n">
        <v>848</v>
      </c>
      <c r="P667" s="0" t="s">
        <v>157</v>
      </c>
      <c r="Q667" s="0" t="n">
        <v>0.188117120654506</v>
      </c>
      <c r="R667" s="0" t="n">
        <v>2.71912769520121</v>
      </c>
      <c r="S667" s="0" t="n">
        <v>10</v>
      </c>
      <c r="T667" s="0" t="n">
        <v>1454</v>
      </c>
      <c r="U667" s="0" t="n">
        <v>0</v>
      </c>
      <c r="V667" s="0" t="n">
        <v>17.3844145899069</v>
      </c>
      <c r="W667" s="0" t="n">
        <v>20250331</v>
      </c>
      <c r="X667" s="0" t="n">
        <v>0.300334903153145</v>
      </c>
      <c r="Y667" s="0" t="n">
        <v>5.16</v>
      </c>
      <c r="Z667" s="0" t="s">
        <v>123</v>
      </c>
    </row>
    <row r="668" customFormat="false" ht="15" hidden="false" customHeight="false" outlineLevel="0" collapsed="false">
      <c r="A668" s="0" t="n">
        <v>668</v>
      </c>
      <c r="B668" s="0" t="n">
        <v>575681</v>
      </c>
      <c r="C668" s="0" t="n">
        <v>18038</v>
      </c>
      <c r="D668" s="0" t="n">
        <v>443411</v>
      </c>
      <c r="E668" s="0" t="n">
        <v>0</v>
      </c>
      <c r="F668" s="0" t="n">
        <v>68850</v>
      </c>
      <c r="G668" s="0" t="n">
        <v>11.9597485412928</v>
      </c>
      <c r="H668" s="0" t="s">
        <v>825</v>
      </c>
      <c r="I668" s="0" t="n">
        <v>0.893071166402403</v>
      </c>
      <c r="J668" s="0" t="n">
        <v>31307</v>
      </c>
      <c r="K668" s="0" t="n">
        <v>4078</v>
      </c>
      <c r="L668" s="0" t="n">
        <v>454723</v>
      </c>
      <c r="M668" s="0" t="n">
        <v>450662</v>
      </c>
      <c r="N668" s="0" t="n">
        <v>417170</v>
      </c>
      <c r="O668" s="0" t="n">
        <v>2863</v>
      </c>
      <c r="P668" s="0" t="s">
        <v>159</v>
      </c>
      <c r="Q668" s="0" t="n">
        <v>0.629614072743186</v>
      </c>
      <c r="R668" s="0" t="n">
        <v>2.82748541050406</v>
      </c>
      <c r="S668" s="0" t="n">
        <v>-51</v>
      </c>
      <c r="T668" s="0" t="n">
        <v>2982</v>
      </c>
      <c r="U668" s="0" t="n">
        <v>0</v>
      </c>
      <c r="V668" s="0" t="n">
        <v>0</v>
      </c>
      <c r="W668" s="0" t="n">
        <v>20250331</v>
      </c>
      <c r="X668" s="0" t="n">
        <v>0.242522943622228</v>
      </c>
      <c r="Y668" s="0" t="n">
        <v>2.01</v>
      </c>
      <c r="Z668" s="0" t="s">
        <v>123</v>
      </c>
    </row>
    <row r="669" customFormat="false" ht="15" hidden="false" customHeight="false" outlineLevel="0" collapsed="false">
      <c r="A669" s="0" t="n">
        <v>669</v>
      </c>
      <c r="B669" s="0" t="n">
        <v>7235355</v>
      </c>
      <c r="C669" s="0" t="n">
        <v>18408</v>
      </c>
      <c r="D669" s="0" t="n">
        <v>6181793</v>
      </c>
      <c r="E669" s="0" t="n">
        <v>0.1</v>
      </c>
      <c r="F669" s="0" t="n">
        <v>455151</v>
      </c>
      <c r="G669" s="0" t="n">
        <v>6.29065194451413</v>
      </c>
      <c r="H669" s="0" t="s">
        <v>826</v>
      </c>
      <c r="I669" s="0" t="n">
        <v>0.663960992969789</v>
      </c>
      <c r="J669" s="0" t="n">
        <v>395278</v>
      </c>
      <c r="K669" s="0" t="n">
        <v>58940</v>
      </c>
      <c r="L669" s="0" t="n">
        <v>4976949</v>
      </c>
      <c r="M669" s="0" t="n">
        <v>4943904</v>
      </c>
      <c r="N669" s="0" t="n">
        <v>4459056</v>
      </c>
      <c r="O669" s="0" t="n">
        <v>8109</v>
      </c>
      <c r="P669" s="0" t="s">
        <v>161</v>
      </c>
      <c r="Q669" s="0" t="n">
        <v>0.162931145165442</v>
      </c>
      <c r="R669" s="0" t="n">
        <v>2.37111335634403</v>
      </c>
      <c r="S669" s="0" t="n">
        <v>158</v>
      </c>
      <c r="T669" s="0" t="n">
        <v>10783</v>
      </c>
      <c r="U669" s="0" t="n">
        <v>0</v>
      </c>
      <c r="V669" s="0" t="n">
        <v>11.3560231469601</v>
      </c>
      <c r="W669" s="0" t="n">
        <v>20250331</v>
      </c>
      <c r="X669" s="0" t="n">
        <v>0.125198481394932</v>
      </c>
      <c r="Y669" s="0" t="n">
        <v>2.05</v>
      </c>
      <c r="Z669" s="0" t="s">
        <v>105</v>
      </c>
    </row>
    <row r="670" customFormat="false" ht="15" hidden="false" customHeight="false" outlineLevel="0" collapsed="false">
      <c r="A670" s="0" t="n">
        <v>670</v>
      </c>
      <c r="B670" s="0" t="n">
        <v>2567242</v>
      </c>
      <c r="C670" s="0" t="n">
        <v>19531</v>
      </c>
      <c r="D670" s="0" t="n">
        <v>2162803</v>
      </c>
      <c r="E670" s="0" t="n">
        <v>0</v>
      </c>
      <c r="F670" s="0" t="n">
        <v>266786</v>
      </c>
      <c r="G670" s="0" t="n">
        <v>10.3919303283446</v>
      </c>
      <c r="H670" s="0" t="s">
        <v>827</v>
      </c>
      <c r="I670" s="0" t="n">
        <v>0.886728489537274</v>
      </c>
      <c r="J670" s="0" t="n">
        <v>257734</v>
      </c>
      <c r="K670" s="0" t="n">
        <v>6994</v>
      </c>
      <c r="L670" s="0" t="n">
        <v>2179021</v>
      </c>
      <c r="M670" s="0" t="n">
        <v>2159699</v>
      </c>
      <c r="N670" s="0" t="n">
        <v>1814549</v>
      </c>
      <c r="O670" s="0" t="n">
        <v>7253</v>
      </c>
      <c r="P670" s="0" t="s">
        <v>163</v>
      </c>
      <c r="Q670" s="0" t="n">
        <v>0.334966941576056</v>
      </c>
      <c r="R670" s="0" t="n">
        <v>3.12555213929317</v>
      </c>
      <c r="S670" s="0" t="n">
        <v>-334</v>
      </c>
      <c r="T670" s="0" t="n">
        <v>22725</v>
      </c>
      <c r="U670" s="0" t="n">
        <v>46</v>
      </c>
      <c r="V670" s="0" t="n">
        <v>14.927898270842</v>
      </c>
      <c r="W670" s="0" t="n">
        <v>20250331</v>
      </c>
      <c r="X670" s="0" t="n">
        <v>0.636590668953529</v>
      </c>
      <c r="Y670" s="0" t="n">
        <v>6.27</v>
      </c>
      <c r="Z670" s="0" t="s">
        <v>105</v>
      </c>
    </row>
    <row r="671" customFormat="false" ht="15" hidden="false" customHeight="false" outlineLevel="0" collapsed="false">
      <c r="A671" s="0" t="n">
        <v>671</v>
      </c>
      <c r="B671" s="0" t="n">
        <v>842808</v>
      </c>
      <c r="C671" s="0" t="n">
        <v>19532</v>
      </c>
      <c r="D671" s="0" t="n">
        <v>725198</v>
      </c>
      <c r="E671" s="0" t="n">
        <v>0.08</v>
      </c>
      <c r="F671" s="0" t="n">
        <v>106845</v>
      </c>
      <c r="G671" s="0" t="n">
        <v>12.6772645727141</v>
      </c>
      <c r="H671" s="0" t="s">
        <v>828</v>
      </c>
      <c r="I671" s="0" t="n">
        <v>0.987447833323952</v>
      </c>
      <c r="J671" s="0" t="n">
        <v>52325</v>
      </c>
      <c r="K671" s="0" t="n">
        <v>50922</v>
      </c>
      <c r="L671" s="0" t="n">
        <v>621805</v>
      </c>
      <c r="M671" s="0" t="n">
        <v>615665</v>
      </c>
      <c r="N671" s="0" t="n">
        <v>513632</v>
      </c>
      <c r="O671" s="0" t="n">
        <v>1797</v>
      </c>
      <c r="P671" s="0" t="s">
        <v>165</v>
      </c>
      <c r="Q671" s="0" t="n">
        <v>0.288997354476082</v>
      </c>
      <c r="R671" s="0" t="n">
        <v>3.55241458743948</v>
      </c>
      <c r="S671" s="0" t="n">
        <v>17</v>
      </c>
      <c r="T671" s="0" t="n">
        <v>1058</v>
      </c>
      <c r="U671" s="0" t="n">
        <v>0</v>
      </c>
      <c r="V671" s="0" t="n">
        <v>21.4450676887142</v>
      </c>
      <c r="W671" s="0" t="n">
        <v>20250331</v>
      </c>
      <c r="X671" s="0" t="n">
        <v>0.760021446855203</v>
      </c>
      <c r="Y671" s="0" t="n">
        <v>6.11</v>
      </c>
      <c r="Z671" s="0" t="s">
        <v>105</v>
      </c>
    </row>
    <row r="672" customFormat="false" ht="15" hidden="false" customHeight="false" outlineLevel="0" collapsed="false">
      <c r="A672" s="0" t="n">
        <v>672</v>
      </c>
      <c r="B672" s="0" t="n">
        <v>4228502</v>
      </c>
      <c r="C672" s="0" t="n">
        <v>19690</v>
      </c>
      <c r="D672" s="0" t="n">
        <v>3328164</v>
      </c>
      <c r="E672" s="0" t="n">
        <v>0.29</v>
      </c>
      <c r="F672" s="0" t="n">
        <v>467516</v>
      </c>
      <c r="G672" s="0" t="n">
        <v>11.0563031541667</v>
      </c>
      <c r="H672" s="0" t="s">
        <v>829</v>
      </c>
      <c r="I672" s="0" t="n">
        <v>1.21090647231404</v>
      </c>
      <c r="J672" s="0" t="n">
        <v>172540</v>
      </c>
      <c r="K672" s="0" t="n">
        <v>172</v>
      </c>
      <c r="L672" s="0" t="n">
        <v>3800789</v>
      </c>
      <c r="M672" s="0" t="n">
        <v>3754765</v>
      </c>
      <c r="N672" s="0" t="n">
        <v>2887276</v>
      </c>
      <c r="O672" s="0" t="n">
        <v>32232</v>
      </c>
      <c r="P672" s="0" t="s">
        <v>167</v>
      </c>
      <c r="Q672" s="0" t="n">
        <v>0.848034447584436</v>
      </c>
      <c r="R672" s="0" t="n">
        <v>4.54258494208518</v>
      </c>
      <c r="S672" s="0" t="n">
        <v>2081</v>
      </c>
      <c r="T672" s="0" t="n">
        <v>4376</v>
      </c>
      <c r="U672" s="0" t="n">
        <v>0</v>
      </c>
      <c r="V672" s="0" t="n">
        <v>13.9816970798047</v>
      </c>
      <c r="W672" s="0" t="n">
        <v>20250331</v>
      </c>
      <c r="X672" s="0" t="n">
        <v>1.79807487310439</v>
      </c>
      <c r="Y672" s="0" t="n">
        <v>16.39</v>
      </c>
      <c r="Z672" s="0" t="s">
        <v>105</v>
      </c>
    </row>
    <row r="673" customFormat="false" ht="15" hidden="false" customHeight="false" outlineLevel="0" collapsed="false">
      <c r="A673" s="0" t="n">
        <v>673</v>
      </c>
      <c r="B673" s="0" t="n">
        <v>733639</v>
      </c>
      <c r="C673" s="0" t="n">
        <v>19836</v>
      </c>
      <c r="D673" s="0" t="n">
        <v>586835</v>
      </c>
      <c r="E673" s="0" t="n">
        <v>0.02</v>
      </c>
      <c r="F673" s="0" t="n">
        <v>128641</v>
      </c>
      <c r="G673" s="0" t="n">
        <v>17.5346457862791</v>
      </c>
      <c r="H673" s="0" t="s">
        <v>830</v>
      </c>
      <c r="I673" s="0" t="n">
        <v>0.711385839548462</v>
      </c>
      <c r="J673" s="0" t="n">
        <v>42016</v>
      </c>
      <c r="K673" s="0" t="n">
        <v>10284</v>
      </c>
      <c r="L673" s="0" t="n">
        <v>627367</v>
      </c>
      <c r="M673" s="0" t="n">
        <v>622904</v>
      </c>
      <c r="N673" s="0" t="n">
        <v>573366</v>
      </c>
      <c r="O673" s="0" t="n">
        <v>6387</v>
      </c>
      <c r="P673" s="0" t="s">
        <v>145</v>
      </c>
      <c r="Q673" s="0" t="n">
        <v>1.04898727539064</v>
      </c>
      <c r="R673" s="0" t="n">
        <v>3.88739749739618</v>
      </c>
      <c r="S673" s="0" t="n">
        <v>34</v>
      </c>
      <c r="T673" s="0" t="n">
        <v>7070</v>
      </c>
      <c r="U673" s="0" t="n">
        <v>194</v>
      </c>
      <c r="V673" s="0" t="n">
        <v>23.6061274143527</v>
      </c>
      <c r="W673" s="0" t="n">
        <v>20250331</v>
      </c>
      <c r="X673" s="0" t="n">
        <v>0.75637419969238</v>
      </c>
      <c r="Y673" s="0" t="n">
        <v>4.33</v>
      </c>
      <c r="Z673" s="0" t="s">
        <v>105</v>
      </c>
    </row>
    <row r="674" customFormat="false" ht="15" hidden="false" customHeight="false" outlineLevel="0" collapsed="false">
      <c r="A674" s="0" t="n">
        <v>674</v>
      </c>
      <c r="B674" s="0" t="n">
        <v>1688107</v>
      </c>
      <c r="C674" s="0" t="n">
        <v>24540</v>
      </c>
      <c r="D674" s="0" t="n">
        <v>1385459</v>
      </c>
      <c r="E674" s="0" t="n">
        <v>0.15</v>
      </c>
      <c r="F674" s="0" t="n">
        <v>273377</v>
      </c>
      <c r="G674" s="0" t="n">
        <v>16.194293371214</v>
      </c>
      <c r="H674" s="0" t="s">
        <v>831</v>
      </c>
      <c r="I674" s="0" t="n">
        <v>0.995144118535278</v>
      </c>
      <c r="J674" s="0" t="n">
        <v>42943</v>
      </c>
      <c r="K674" s="0" t="n">
        <v>38</v>
      </c>
      <c r="L674" s="0" t="n">
        <v>1460291</v>
      </c>
      <c r="M674" s="0" t="n">
        <v>1445759</v>
      </c>
      <c r="N674" s="0" t="n">
        <v>1421528</v>
      </c>
      <c r="O674" s="0" t="n">
        <v>11794</v>
      </c>
      <c r="P674" s="0" t="s">
        <v>170</v>
      </c>
      <c r="Q674" s="0" t="n">
        <v>0.807647242912543</v>
      </c>
      <c r="R674" s="0" t="n">
        <v>4.21829211286827</v>
      </c>
      <c r="S674" s="0" t="n">
        <v>0</v>
      </c>
      <c r="T674" s="0" t="n">
        <v>0</v>
      </c>
      <c r="U674" s="0" t="n">
        <v>0</v>
      </c>
      <c r="V674" s="0" t="n">
        <v>0</v>
      </c>
      <c r="W674" s="0" t="n">
        <v>20250331</v>
      </c>
      <c r="X674" s="0" t="n">
        <v>1.94700476953964</v>
      </c>
      <c r="Y674" s="0" t="n">
        <v>11.39</v>
      </c>
      <c r="Z674" s="0" t="s">
        <v>123</v>
      </c>
    </row>
    <row r="675" customFormat="false" ht="15" hidden="false" customHeight="false" outlineLevel="0" collapsed="false">
      <c r="A675" s="0" t="n">
        <v>675</v>
      </c>
      <c r="B675" s="0" t="n">
        <v>575397</v>
      </c>
      <c r="C675" s="0" t="n">
        <v>27824</v>
      </c>
      <c r="D675" s="0" t="n">
        <v>382749</v>
      </c>
      <c r="E675" s="0" t="n">
        <v>0.09</v>
      </c>
      <c r="F675" s="0" t="n">
        <v>62093</v>
      </c>
      <c r="G675" s="0" t="n">
        <v>10.7913318978027</v>
      </c>
      <c r="H675" s="0" t="s">
        <v>832</v>
      </c>
      <c r="I675" s="0" t="n">
        <v>0.611981395427468</v>
      </c>
      <c r="J675" s="0" t="n">
        <v>17729</v>
      </c>
      <c r="K675" s="0" t="n">
        <v>35270</v>
      </c>
      <c r="L675" s="0" t="n">
        <v>473217</v>
      </c>
      <c r="M675" s="0" t="n">
        <v>470321</v>
      </c>
      <c r="N675" s="0" t="n">
        <v>420218</v>
      </c>
      <c r="O675" s="0" t="n">
        <v>2067</v>
      </c>
      <c r="P675" s="0" t="s">
        <v>172</v>
      </c>
      <c r="Q675" s="0" t="n">
        <v>0.436797494595503</v>
      </c>
      <c r="R675" s="0" t="n">
        <v>1.82604182072874</v>
      </c>
      <c r="S675" s="0" t="n">
        <v>44</v>
      </c>
      <c r="T675" s="0" t="n">
        <v>844</v>
      </c>
      <c r="U675" s="0" t="n">
        <v>0</v>
      </c>
      <c r="V675" s="0" t="n">
        <v>18.7325769420946</v>
      </c>
      <c r="W675" s="0" t="n">
        <v>20250331</v>
      </c>
      <c r="X675" s="0" t="n">
        <v>-0.633637024006441</v>
      </c>
      <c r="Y675" s="0" t="n">
        <v>-5.81</v>
      </c>
      <c r="Z675" s="0" t="s">
        <v>123</v>
      </c>
    </row>
    <row r="676" customFormat="false" ht="15" hidden="false" customHeight="false" outlineLevel="0" collapsed="false">
      <c r="A676" s="0" t="n">
        <v>676</v>
      </c>
      <c r="B676" s="0" t="n">
        <v>299190</v>
      </c>
      <c r="C676" s="0" t="n">
        <v>28155</v>
      </c>
      <c r="D676" s="0" t="n">
        <v>270079</v>
      </c>
      <c r="E676" s="0" t="n">
        <v>0</v>
      </c>
      <c r="F676" s="0" t="n">
        <v>27411</v>
      </c>
      <c r="G676" s="0" t="n">
        <v>9.16173668906046</v>
      </c>
      <c r="H676" s="0" t="s">
        <v>833</v>
      </c>
      <c r="I676" s="0" t="n">
        <v>0.447460321967008</v>
      </c>
      <c r="J676" s="0" t="n">
        <v>9840</v>
      </c>
      <c r="K676" s="0" t="n">
        <v>6251</v>
      </c>
      <c r="L676" s="0" t="n">
        <v>176105</v>
      </c>
      <c r="M676" s="0" t="n">
        <v>175317</v>
      </c>
      <c r="N676" s="0" t="n">
        <v>159503</v>
      </c>
      <c r="O676" s="0" t="n">
        <v>304</v>
      </c>
      <c r="P676" s="0" t="s">
        <v>174</v>
      </c>
      <c r="Q676" s="0" t="n">
        <v>0.172624286647171</v>
      </c>
      <c r="R676" s="0" t="n">
        <v>2.61875903430567</v>
      </c>
      <c r="S676" s="0" t="n">
        <v>0</v>
      </c>
      <c r="T676" s="0" t="n">
        <v>1504</v>
      </c>
      <c r="U676" s="0" t="n">
        <v>0</v>
      </c>
      <c r="V676" s="0" t="n">
        <v>17.476407488759</v>
      </c>
      <c r="W676" s="0" t="n">
        <v>20250331</v>
      </c>
      <c r="X676" s="0" t="n">
        <v>-0.103525409942137</v>
      </c>
      <c r="Y676" s="0" t="n">
        <v>-1.12</v>
      </c>
      <c r="Z676" s="0" t="s">
        <v>123</v>
      </c>
    </row>
    <row r="677" customFormat="false" ht="15" hidden="false" customHeight="false" outlineLevel="0" collapsed="false">
      <c r="A677" s="0" t="n">
        <v>677</v>
      </c>
      <c r="B677" s="0" t="n">
        <v>101149</v>
      </c>
      <c r="C677" s="0" t="n">
        <v>28288</v>
      </c>
      <c r="D677" s="0" t="n">
        <v>72293</v>
      </c>
      <c r="E677" s="0" t="n">
        <v>0</v>
      </c>
      <c r="F677" s="0" t="n">
        <v>6164</v>
      </c>
      <c r="G677" s="0" t="n">
        <v>6.09398016787116</v>
      </c>
      <c r="H677" s="0" t="s">
        <v>834</v>
      </c>
      <c r="I677" s="0" t="n">
        <v>0.985046866204939</v>
      </c>
      <c r="J677" s="0" t="n">
        <v>4355</v>
      </c>
      <c r="K677" s="0" t="n">
        <v>3475</v>
      </c>
      <c r="L677" s="0" t="n">
        <v>81722</v>
      </c>
      <c r="M677" s="0" t="n">
        <v>80917</v>
      </c>
      <c r="N677" s="0" t="n">
        <v>73892</v>
      </c>
      <c r="O677" s="0" t="n">
        <v>1</v>
      </c>
      <c r="P677" s="0" t="s">
        <v>176</v>
      </c>
      <c r="Q677" s="0" t="n">
        <v>0.0012236607033601</v>
      </c>
      <c r="R677" s="0" t="n">
        <v>2.70885511462336</v>
      </c>
      <c r="S677" s="0" t="n">
        <v>0</v>
      </c>
      <c r="T677" s="0" t="n">
        <v>668</v>
      </c>
      <c r="U677" s="0" t="n">
        <v>0</v>
      </c>
      <c r="V677" s="0" t="n">
        <v>13.3963087197846</v>
      </c>
      <c r="W677" s="0" t="n">
        <v>20250331</v>
      </c>
      <c r="X677" s="0" t="n">
        <v>0.216262975778547</v>
      </c>
      <c r="Y677" s="0" t="n">
        <v>3.65</v>
      </c>
      <c r="Z677" s="0" t="s">
        <v>105</v>
      </c>
    </row>
    <row r="678" customFormat="false" ht="15" hidden="false" customHeight="false" outlineLevel="0" collapsed="false">
      <c r="A678" s="0" t="n">
        <v>678</v>
      </c>
      <c r="B678" s="0" t="n">
        <v>93473</v>
      </c>
      <c r="C678" s="0" t="n">
        <v>28369</v>
      </c>
      <c r="D678" s="0" t="n">
        <v>72638</v>
      </c>
      <c r="E678" s="0" t="n">
        <v>0.01</v>
      </c>
      <c r="F678" s="0" t="n">
        <v>9063</v>
      </c>
      <c r="G678" s="0" t="n">
        <v>9.69584799888738</v>
      </c>
      <c r="H678" s="0" t="s">
        <v>835</v>
      </c>
      <c r="I678" s="0" t="n">
        <v>0.778960643940799</v>
      </c>
      <c r="J678" s="0" t="n">
        <v>13089</v>
      </c>
      <c r="K678" s="0" t="n">
        <v>657</v>
      </c>
      <c r="L678" s="0" t="n">
        <v>80877</v>
      </c>
      <c r="M678" s="0" t="n">
        <v>80247</v>
      </c>
      <c r="N678" s="0" t="n">
        <v>67131</v>
      </c>
      <c r="O678" s="0" t="n">
        <v>88</v>
      </c>
      <c r="P678" s="0" t="s">
        <v>178</v>
      </c>
      <c r="Q678" s="0" t="n">
        <v>0.108807201058397</v>
      </c>
      <c r="R678" s="0" t="n">
        <v>3.50547869888538</v>
      </c>
      <c r="S678" s="0" t="n">
        <v>-1</v>
      </c>
      <c r="T678" s="0" t="n">
        <v>299</v>
      </c>
      <c r="U678" s="0" t="n">
        <v>0</v>
      </c>
      <c r="V678" s="0" t="n">
        <v>14.0023818248443</v>
      </c>
      <c r="W678" s="0" t="n">
        <v>20250331</v>
      </c>
      <c r="X678" s="0" t="n">
        <v>0.0854554776961203</v>
      </c>
      <c r="Y678" s="0" t="n">
        <v>0.88</v>
      </c>
      <c r="Z678" s="0" t="s">
        <v>105</v>
      </c>
    </row>
    <row r="679" customFormat="false" ht="15" hidden="false" customHeight="false" outlineLevel="0" collapsed="false">
      <c r="A679" s="0" t="n">
        <v>679</v>
      </c>
      <c r="B679" s="0" t="n">
        <v>289565</v>
      </c>
      <c r="C679" s="0" t="n">
        <v>28837</v>
      </c>
      <c r="D679" s="0" t="n">
        <v>257144</v>
      </c>
      <c r="E679" s="0" t="n">
        <v>0.05</v>
      </c>
      <c r="F679" s="0" t="n">
        <v>29273</v>
      </c>
      <c r="G679" s="0" t="n">
        <v>10.1093018838603</v>
      </c>
      <c r="H679" s="0" t="s">
        <v>836</v>
      </c>
      <c r="I679" s="0" t="n">
        <v>1.08062035249973</v>
      </c>
      <c r="J679" s="0" t="n">
        <v>7281</v>
      </c>
      <c r="K679" s="0" t="n">
        <v>1412</v>
      </c>
      <c r="L679" s="0" t="n">
        <v>204142</v>
      </c>
      <c r="M679" s="0" t="n">
        <v>201936</v>
      </c>
      <c r="N679" s="0" t="n">
        <v>195050</v>
      </c>
      <c r="O679" s="0" t="n">
        <v>0</v>
      </c>
      <c r="P679" s="0" t="s">
        <v>180</v>
      </c>
      <c r="Q679" s="0" t="n">
        <v>0</v>
      </c>
      <c r="R679" s="0" t="n">
        <v>3.95504030292047</v>
      </c>
      <c r="S679" s="0" t="n">
        <v>0</v>
      </c>
      <c r="T679" s="0" t="n">
        <v>1378</v>
      </c>
      <c r="U679" s="0" t="n">
        <v>0</v>
      </c>
      <c r="V679" s="0" t="n">
        <v>18.1761660582706</v>
      </c>
      <c r="W679" s="0" t="n">
        <v>20250331</v>
      </c>
      <c r="X679" s="0" t="n">
        <v>0.698313621099047</v>
      </c>
      <c r="Y679" s="0" t="n">
        <v>6.95</v>
      </c>
      <c r="Z679" s="0" t="s">
        <v>112</v>
      </c>
    </row>
    <row r="680" customFormat="false" ht="15" hidden="false" customHeight="false" outlineLevel="0" collapsed="false">
      <c r="A680" s="0" t="n">
        <v>680</v>
      </c>
      <c r="B680" s="0" t="n">
        <v>186509</v>
      </c>
      <c r="C680" s="0" t="n">
        <v>29636</v>
      </c>
      <c r="D680" s="0" t="n">
        <v>143798</v>
      </c>
      <c r="E680" s="0" t="n">
        <v>0</v>
      </c>
      <c r="F680" s="0" t="n">
        <v>27465</v>
      </c>
      <c r="G680" s="0" t="n">
        <v>14.7258309250492</v>
      </c>
      <c r="H680" s="0" t="s">
        <v>837</v>
      </c>
      <c r="I680" s="0" t="n">
        <v>1.35480926166699</v>
      </c>
      <c r="J680" s="0" t="n">
        <v>1641</v>
      </c>
      <c r="K680" s="0" t="n">
        <v>1725</v>
      </c>
      <c r="L680" s="0" t="n">
        <v>144596</v>
      </c>
      <c r="M680" s="0" t="n">
        <v>142637</v>
      </c>
      <c r="N680" s="0" t="n">
        <v>141230</v>
      </c>
      <c r="O680" s="0" t="n">
        <v>3216</v>
      </c>
      <c r="P680" s="0" t="s">
        <v>182</v>
      </c>
      <c r="Q680" s="0" t="n">
        <v>2.2241279150184</v>
      </c>
      <c r="R680" s="0" t="n">
        <v>3.42549547345241</v>
      </c>
      <c r="S680" s="0" t="n">
        <v>10</v>
      </c>
      <c r="T680" s="0" t="n">
        <v>3952</v>
      </c>
      <c r="U680" s="0" t="n">
        <v>0</v>
      </c>
      <c r="V680" s="0" t="n">
        <v>27.1409419276435</v>
      </c>
      <c r="W680" s="0" t="n">
        <v>20250331</v>
      </c>
      <c r="X680" s="0" t="n">
        <v>0.138614772761114</v>
      </c>
      <c r="Y680" s="0" t="n">
        <v>0.93</v>
      </c>
      <c r="Z680" s="0" t="s">
        <v>105</v>
      </c>
    </row>
    <row r="681" customFormat="false" ht="15" hidden="false" customHeight="false" outlineLevel="0" collapsed="false">
      <c r="A681" s="0" t="n">
        <v>681</v>
      </c>
      <c r="B681" s="0" t="n">
        <v>199014</v>
      </c>
      <c r="C681" s="0" t="n">
        <v>29743</v>
      </c>
      <c r="D681" s="0" t="n">
        <v>176536</v>
      </c>
      <c r="E681" s="0" t="n">
        <v>0</v>
      </c>
      <c r="F681" s="0" t="n">
        <v>18836</v>
      </c>
      <c r="G681" s="0" t="n">
        <v>9.46466077763374</v>
      </c>
      <c r="H681" s="0" t="s">
        <v>838</v>
      </c>
      <c r="I681" s="0" t="n">
        <v>0.60737654411549</v>
      </c>
      <c r="J681" s="0" t="n">
        <v>26500</v>
      </c>
      <c r="K681" s="0" t="n">
        <v>21890</v>
      </c>
      <c r="L681" s="0" t="n">
        <v>136324</v>
      </c>
      <c r="M681" s="0" t="n">
        <v>135496</v>
      </c>
      <c r="N681" s="0" t="n">
        <v>87895</v>
      </c>
      <c r="O681" s="0" t="n">
        <v>448</v>
      </c>
      <c r="P681" s="0" t="s">
        <v>184</v>
      </c>
      <c r="Q681" s="0" t="n">
        <v>0.328628854787125</v>
      </c>
      <c r="R681" s="0" t="n">
        <v>2.66721502501885</v>
      </c>
      <c r="S681" s="0" t="n">
        <v>36</v>
      </c>
      <c r="T681" s="0" t="n">
        <v>816</v>
      </c>
      <c r="U681" s="0" t="n">
        <v>0</v>
      </c>
      <c r="V681" s="0" t="n">
        <v>18.4080928760645</v>
      </c>
      <c r="W681" s="0" t="n">
        <v>20250331</v>
      </c>
      <c r="X681" s="0" t="n">
        <v>0.608988551612277</v>
      </c>
      <c r="Y681" s="0" t="n">
        <v>6.63</v>
      </c>
      <c r="Z681" s="0" t="s">
        <v>105</v>
      </c>
    </row>
    <row r="682" customFormat="false" ht="15" hidden="false" customHeight="false" outlineLevel="0" collapsed="false">
      <c r="A682" s="0" t="n">
        <v>682</v>
      </c>
      <c r="B682" s="0" t="n">
        <v>592720</v>
      </c>
      <c r="C682" s="0" t="n">
        <v>29744</v>
      </c>
      <c r="D682" s="0" t="n">
        <v>473305</v>
      </c>
      <c r="E682" s="0" t="n">
        <v>0</v>
      </c>
      <c r="F682" s="0" t="n">
        <v>44713</v>
      </c>
      <c r="G682" s="0" t="n">
        <v>7.54369685517614</v>
      </c>
      <c r="H682" s="0" t="s">
        <v>839</v>
      </c>
      <c r="I682" s="0" t="n">
        <v>0.784585800268593</v>
      </c>
      <c r="J682" s="0" t="n">
        <v>24565</v>
      </c>
      <c r="K682" s="0" t="n">
        <v>12485</v>
      </c>
      <c r="L682" s="0" t="n">
        <v>448262</v>
      </c>
      <c r="M682" s="0" t="n">
        <v>444745</v>
      </c>
      <c r="N682" s="0" t="n">
        <v>411212</v>
      </c>
      <c r="O682" s="0" t="n">
        <v>0</v>
      </c>
      <c r="P682" s="0" t="s">
        <v>186</v>
      </c>
      <c r="Q682" s="0" t="n">
        <v>0</v>
      </c>
      <c r="R682" s="0" t="n">
        <v>2.2587388531661</v>
      </c>
      <c r="S682" s="0" t="n">
        <v>-1</v>
      </c>
      <c r="T682" s="0" t="n">
        <v>0</v>
      </c>
      <c r="U682" s="0" t="n">
        <v>0</v>
      </c>
      <c r="V682" s="0" t="n">
        <v>15.1642690433057</v>
      </c>
      <c r="W682" s="0" t="n">
        <v>20250331</v>
      </c>
      <c r="X682" s="0" t="n">
        <v>-0.408254719593245</v>
      </c>
      <c r="Y682" s="0" t="n">
        <v>-5.34</v>
      </c>
      <c r="Z682" s="0" t="s">
        <v>123</v>
      </c>
    </row>
    <row r="683" customFormat="false" ht="15" hidden="false" customHeight="false" outlineLevel="0" collapsed="false">
      <c r="A683" s="0" t="n">
        <v>683</v>
      </c>
      <c r="B683" s="0" t="n">
        <v>609028</v>
      </c>
      <c r="C683" s="0" t="n">
        <v>30350</v>
      </c>
      <c r="D683" s="0" t="n">
        <v>474831</v>
      </c>
      <c r="E683" s="0" t="n">
        <v>0.03</v>
      </c>
      <c r="F683" s="0" t="n">
        <v>62866</v>
      </c>
      <c r="G683" s="0" t="n">
        <v>10.3223497113433</v>
      </c>
      <c r="H683" s="0" t="s">
        <v>840</v>
      </c>
      <c r="I683" s="0" t="n">
        <v>1.14220297988449</v>
      </c>
      <c r="J683" s="0" t="n">
        <v>15504</v>
      </c>
      <c r="K683" s="0" t="n">
        <v>1535</v>
      </c>
      <c r="L683" s="0" t="n">
        <v>464716</v>
      </c>
      <c r="M683" s="0" t="n">
        <v>459408</v>
      </c>
      <c r="N683" s="0" t="n">
        <v>446528</v>
      </c>
      <c r="O683" s="0" t="n">
        <v>1587</v>
      </c>
      <c r="P683" s="0" t="s">
        <v>188</v>
      </c>
      <c r="Q683" s="0" t="n">
        <v>0.341498893948132</v>
      </c>
      <c r="R683" s="0" t="n">
        <v>2.7130241139161</v>
      </c>
      <c r="S683" s="0" t="n">
        <v>40</v>
      </c>
      <c r="T683" s="0" t="n">
        <v>4067</v>
      </c>
      <c r="U683" s="0" t="n">
        <v>0</v>
      </c>
      <c r="V683" s="0" t="n">
        <v>20.1862311012096</v>
      </c>
      <c r="W683" s="0" t="n">
        <v>20250331</v>
      </c>
      <c r="X683" s="0" t="n">
        <v>0.776836569182434</v>
      </c>
      <c r="Y683" s="0" t="n">
        <v>7.55</v>
      </c>
      <c r="Z683" s="0" t="s">
        <v>112</v>
      </c>
    </row>
    <row r="684" customFormat="false" ht="15" hidden="false" customHeight="false" outlineLevel="0" collapsed="false">
      <c r="A684" s="0" t="n">
        <v>684</v>
      </c>
      <c r="B684" s="0" t="n">
        <v>98994</v>
      </c>
      <c r="C684" s="0" t="n">
        <v>30878</v>
      </c>
      <c r="D684" s="0" t="n">
        <v>72918</v>
      </c>
      <c r="E684" s="0" t="n">
        <v>-0.09</v>
      </c>
      <c r="F684" s="0" t="n">
        <v>11849</v>
      </c>
      <c r="G684" s="0" t="n">
        <v>11.9694122876134</v>
      </c>
      <c r="H684" s="0" t="s">
        <v>841</v>
      </c>
      <c r="I684" s="0" t="n">
        <v>0.81486843026921</v>
      </c>
      <c r="J684" s="0" t="n">
        <v>0</v>
      </c>
      <c r="K684" s="0" t="n">
        <v>153</v>
      </c>
      <c r="L684" s="0" t="n">
        <v>85658</v>
      </c>
      <c r="M684" s="0" t="n">
        <v>84960</v>
      </c>
      <c r="N684" s="0" t="n">
        <v>85506</v>
      </c>
      <c r="O684" s="0" t="n">
        <v>1420</v>
      </c>
      <c r="P684" s="0" t="s">
        <v>190</v>
      </c>
      <c r="Q684" s="0" t="n">
        <v>1.65775525928693</v>
      </c>
      <c r="R684" s="0" t="n">
        <v>1.43458371454712</v>
      </c>
      <c r="S684" s="0" t="n">
        <v>0</v>
      </c>
      <c r="T684" s="0" t="n">
        <v>405</v>
      </c>
      <c r="U684" s="0" t="n">
        <v>0</v>
      </c>
      <c r="V684" s="0" t="n">
        <v>0</v>
      </c>
      <c r="W684" s="0" t="n">
        <v>20250331</v>
      </c>
      <c r="X684" s="0" t="n">
        <v>-0.0684118392724199</v>
      </c>
      <c r="Y684" s="0" t="n">
        <v>-0.57</v>
      </c>
      <c r="Z684" s="0" t="s">
        <v>105</v>
      </c>
    </row>
    <row r="685" customFormat="false" ht="15" hidden="false" customHeight="false" outlineLevel="0" collapsed="false">
      <c r="A685" s="0" t="n">
        <v>685</v>
      </c>
      <c r="B685" s="0" t="n">
        <v>974770</v>
      </c>
      <c r="C685" s="0" t="n">
        <v>33418</v>
      </c>
      <c r="D685" s="0" t="n">
        <v>799352</v>
      </c>
      <c r="E685" s="0" t="n">
        <v>0.2</v>
      </c>
      <c r="F685" s="0" t="n">
        <v>70425</v>
      </c>
      <c r="G685" s="0" t="n">
        <v>7.22478123044411</v>
      </c>
      <c r="H685" s="0" t="s">
        <v>842</v>
      </c>
      <c r="I685" s="0" t="n">
        <v>0.686259368910824</v>
      </c>
      <c r="J685" s="0" t="n">
        <v>78920</v>
      </c>
      <c r="K685" s="0" t="n">
        <v>18037</v>
      </c>
      <c r="L685" s="0" t="n">
        <v>608662</v>
      </c>
      <c r="M685" s="0" t="n">
        <v>604485</v>
      </c>
      <c r="N685" s="0" t="n">
        <v>511573</v>
      </c>
      <c r="O685" s="0" t="n">
        <v>1231</v>
      </c>
      <c r="P685" s="0" t="s">
        <v>192</v>
      </c>
      <c r="Q685" s="0" t="n">
        <v>0.202246895649802</v>
      </c>
      <c r="R685" s="0" t="n">
        <v>2.57488790792594</v>
      </c>
      <c r="S685" s="0" t="n">
        <v>18</v>
      </c>
      <c r="T685" s="0" t="n">
        <v>526</v>
      </c>
      <c r="U685" s="0" t="n">
        <v>0</v>
      </c>
      <c r="V685" s="0" t="n">
        <v>12.4516242523748</v>
      </c>
      <c r="W685" s="0" t="n">
        <v>20250331</v>
      </c>
      <c r="X685" s="0" t="n">
        <v>0.599734421139911</v>
      </c>
      <c r="Y685" s="0" t="n">
        <v>8.24</v>
      </c>
      <c r="Z685" s="0" t="s">
        <v>112</v>
      </c>
    </row>
    <row r="686" customFormat="false" ht="15" hidden="false" customHeight="false" outlineLevel="0" collapsed="false">
      <c r="A686" s="0" t="n">
        <v>686</v>
      </c>
      <c r="B686" s="0" t="n">
        <v>67144</v>
      </c>
      <c r="C686" s="0" t="n">
        <v>35206</v>
      </c>
      <c r="D686" s="0" t="n">
        <v>500</v>
      </c>
      <c r="E686" s="0" t="n">
        <v>0</v>
      </c>
      <c r="F686" s="0" t="n">
        <v>65181</v>
      </c>
      <c r="G686" s="0" t="n">
        <v>97.0764327415704</v>
      </c>
      <c r="H686" s="0" t="s">
        <v>843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0</v>
      </c>
      <c r="P686" s="0" t="s">
        <v>252</v>
      </c>
      <c r="Q686" s="0" t="n">
        <v>0</v>
      </c>
      <c r="R686" s="0" t="n">
        <v>4.23196683239003</v>
      </c>
      <c r="S686" s="0" t="n">
        <v>0</v>
      </c>
      <c r="T686" s="0" t="n">
        <v>0</v>
      </c>
      <c r="U686" s="0" t="n">
        <v>0</v>
      </c>
      <c r="V686" s="0" t="n">
        <v>0</v>
      </c>
      <c r="W686" s="0" t="n">
        <v>20250331</v>
      </c>
      <c r="X686" s="0" t="n">
        <v>28.844680133648</v>
      </c>
      <c r="Y686" s="0" t="n">
        <v>29.95</v>
      </c>
      <c r="Z686" s="0" t="s">
        <v>123</v>
      </c>
    </row>
    <row r="687" customFormat="false" ht="15" hidden="false" customHeight="false" outlineLevel="0" collapsed="false">
      <c r="A687" s="0" t="n">
        <v>687</v>
      </c>
      <c r="B687" s="0" t="n">
        <v>6948167</v>
      </c>
      <c r="C687" s="0" t="n">
        <v>4255</v>
      </c>
      <c r="D687" s="0" t="n">
        <v>5632856</v>
      </c>
      <c r="E687" s="0" t="n">
        <v>0.59</v>
      </c>
      <c r="F687" s="0" t="n">
        <v>671520</v>
      </c>
      <c r="G687" s="0" t="n">
        <v>9.66470725300644</v>
      </c>
      <c r="H687" s="0" t="s">
        <v>844</v>
      </c>
      <c r="I687" s="0" t="n">
        <v>0.954281378513096</v>
      </c>
      <c r="J687" s="0" t="n">
        <v>341292</v>
      </c>
      <c r="K687" s="0" t="n">
        <v>24145</v>
      </c>
      <c r="L687" s="0" t="n">
        <v>4896145</v>
      </c>
      <c r="M687" s="0" t="n">
        <v>4849422</v>
      </c>
      <c r="N687" s="0" t="n">
        <v>4419349</v>
      </c>
      <c r="O687" s="0" t="n">
        <v>7251</v>
      </c>
      <c r="P687" s="0" t="s">
        <v>194</v>
      </c>
      <c r="Q687" s="0" t="n">
        <v>0.148096104179921</v>
      </c>
      <c r="R687" s="0" t="n">
        <v>3.41551381015868</v>
      </c>
      <c r="S687" s="0" t="n">
        <v>949</v>
      </c>
      <c r="T687" s="0" t="n">
        <v>3341</v>
      </c>
      <c r="U687" s="0" t="n">
        <v>0</v>
      </c>
      <c r="V687" s="0" t="n">
        <v>12.5535092500628</v>
      </c>
      <c r="W687" s="0" t="n">
        <v>20250331</v>
      </c>
      <c r="X687" s="0" t="n">
        <v>0.525277693714401</v>
      </c>
      <c r="Y687" s="0" t="n">
        <v>5.53</v>
      </c>
      <c r="Z687" s="0" t="s">
        <v>105</v>
      </c>
    </row>
    <row r="688" customFormat="false" ht="15" hidden="false" customHeight="false" outlineLevel="0" collapsed="false">
      <c r="A688" s="0" t="n">
        <v>688</v>
      </c>
      <c r="B688" s="0" t="n">
        <v>3151780</v>
      </c>
      <c r="C688" s="0" t="n">
        <v>4256</v>
      </c>
      <c r="D688" s="0" t="n">
        <v>2712084</v>
      </c>
      <c r="E688" s="0" t="n">
        <v>0.05</v>
      </c>
      <c r="F688" s="0" t="n">
        <v>230970</v>
      </c>
      <c r="G688" s="0" t="n">
        <v>7.32823991522251</v>
      </c>
      <c r="H688" s="0" t="s">
        <v>845</v>
      </c>
      <c r="I688" s="0" t="n">
        <v>1.05381532845184</v>
      </c>
      <c r="J688" s="0" t="n">
        <v>377866</v>
      </c>
      <c r="K688" s="0" t="n">
        <v>21844</v>
      </c>
      <c r="L688" s="0" t="n">
        <v>2383150</v>
      </c>
      <c r="M688" s="0" t="n">
        <v>2358036</v>
      </c>
      <c r="N688" s="0" t="n">
        <v>1883405</v>
      </c>
      <c r="O688" s="0" t="n">
        <v>6053</v>
      </c>
      <c r="P688" s="0" t="s">
        <v>196</v>
      </c>
      <c r="Q688" s="0" t="n">
        <v>0.283154648259656</v>
      </c>
      <c r="R688" s="0" t="n">
        <v>2.40579582940435</v>
      </c>
      <c r="S688" s="0" t="n">
        <v>153</v>
      </c>
      <c r="T688" s="0" t="n">
        <v>2649</v>
      </c>
      <c r="U688" s="0" t="n">
        <v>695</v>
      </c>
      <c r="V688" s="0" t="n">
        <v>13.0723838563465</v>
      </c>
      <c r="W688" s="0" t="n">
        <v>20250331</v>
      </c>
      <c r="X688" s="0" t="n">
        <v>0.949049786537126</v>
      </c>
      <c r="Y688" s="0" t="n">
        <v>13.1</v>
      </c>
      <c r="Z688" s="0" t="s">
        <v>105</v>
      </c>
    </row>
    <row r="689" customFormat="false" ht="15" hidden="false" customHeight="false" outlineLevel="0" collapsed="false">
      <c r="A689" s="0" t="n">
        <v>689</v>
      </c>
      <c r="B689" s="0" t="n">
        <v>699078</v>
      </c>
      <c r="C689" s="0" t="n">
        <v>59086</v>
      </c>
      <c r="D689" s="0" t="n">
        <v>590147</v>
      </c>
      <c r="E689" s="0" t="n">
        <v>0.05</v>
      </c>
      <c r="F689" s="0" t="n">
        <v>102573</v>
      </c>
      <c r="G689" s="0" t="n">
        <v>14.6726116399028</v>
      </c>
      <c r="H689" s="0" t="s">
        <v>846</v>
      </c>
      <c r="I689" s="0" t="n">
        <v>0.972940254224674</v>
      </c>
      <c r="J689" s="0" t="n">
        <v>122650</v>
      </c>
      <c r="K689" s="0" t="n">
        <v>0</v>
      </c>
      <c r="L689" s="0" t="n">
        <v>604662</v>
      </c>
      <c r="M689" s="0" t="n">
        <v>598779</v>
      </c>
      <c r="N689" s="0" t="n">
        <v>482306</v>
      </c>
      <c r="O689" s="0" t="n">
        <v>4011</v>
      </c>
      <c r="P689" s="0" t="s">
        <v>198</v>
      </c>
      <c r="Q689" s="0" t="n">
        <v>0.604139171967149</v>
      </c>
      <c r="R689" s="0" t="n">
        <v>3.7878842642324</v>
      </c>
      <c r="S689" s="0" t="n">
        <v>-1</v>
      </c>
      <c r="T689" s="0" t="n">
        <v>5858</v>
      </c>
      <c r="U689" s="0" t="n">
        <v>100</v>
      </c>
      <c r="V689" s="0" t="n">
        <v>16.87937276982</v>
      </c>
      <c r="W689" s="0" t="n">
        <v>20250331</v>
      </c>
      <c r="X689" s="0" t="n">
        <v>1.37223510961545</v>
      </c>
      <c r="Y689" s="0" t="n">
        <v>9.54</v>
      </c>
      <c r="Z689" s="0" t="s">
        <v>123</v>
      </c>
    </row>
    <row r="690" customFormat="false" ht="15" hidden="false" customHeight="false" outlineLevel="0" collapsed="false">
      <c r="A690" s="0" t="n">
        <v>690</v>
      </c>
      <c r="B690" s="0" t="n">
        <v>253661</v>
      </c>
      <c r="C690" s="0" t="n">
        <v>59176</v>
      </c>
      <c r="D690" s="0" t="n">
        <v>203852</v>
      </c>
      <c r="E690" s="0" t="n">
        <v>0.16</v>
      </c>
      <c r="F690" s="0" t="n">
        <v>27423</v>
      </c>
      <c r="G690" s="0" t="n">
        <v>10.8108853942861</v>
      </c>
      <c r="H690" s="0" t="s">
        <v>847</v>
      </c>
      <c r="I690" s="0" t="n">
        <v>0.933574010954625</v>
      </c>
      <c r="J690" s="0" t="n">
        <v>25658</v>
      </c>
      <c r="K690" s="0" t="n">
        <v>0</v>
      </c>
      <c r="L690" s="0" t="n">
        <v>193343</v>
      </c>
      <c r="M690" s="0" t="n">
        <v>191538</v>
      </c>
      <c r="N690" s="0" t="n">
        <v>166487</v>
      </c>
      <c r="O690" s="0" t="n">
        <v>0</v>
      </c>
      <c r="P690" s="0" t="s">
        <v>200</v>
      </c>
      <c r="Q690" s="0" t="n">
        <v>0</v>
      </c>
      <c r="R690" s="0" t="n">
        <v>2.8022107639942</v>
      </c>
      <c r="S690" s="0" t="n">
        <v>0</v>
      </c>
      <c r="T690" s="0" t="n">
        <v>0</v>
      </c>
      <c r="U690" s="0" t="n">
        <v>0</v>
      </c>
      <c r="V690" s="0" t="n">
        <v>0</v>
      </c>
      <c r="W690" s="0" t="n">
        <v>20250331</v>
      </c>
      <c r="X690" s="0" t="n">
        <v>0.197131813571955</v>
      </c>
      <c r="Y690" s="0" t="n">
        <v>1.77</v>
      </c>
      <c r="Z690" s="0" t="s">
        <v>123</v>
      </c>
    </row>
    <row r="691" customFormat="false" ht="15" hidden="false" customHeight="false" outlineLevel="0" collapsed="false">
      <c r="A691" s="0" t="n">
        <v>691</v>
      </c>
      <c r="B691" s="0" t="n">
        <v>130262</v>
      </c>
      <c r="C691" s="0" t="n">
        <v>59289</v>
      </c>
      <c r="D691" s="0" t="n">
        <v>113554</v>
      </c>
      <c r="E691" s="0" t="n">
        <v>0.36</v>
      </c>
      <c r="F691" s="0" t="n">
        <v>15654</v>
      </c>
      <c r="G691" s="0" t="n">
        <v>12.0173189418249</v>
      </c>
      <c r="H691" s="0" t="s">
        <v>848</v>
      </c>
      <c r="I691" s="0" t="n">
        <v>0.671058428186503</v>
      </c>
      <c r="J691" s="0" t="n">
        <v>47651</v>
      </c>
      <c r="K691" s="0" t="n">
        <v>0</v>
      </c>
      <c r="L691" s="0" t="n">
        <v>97607</v>
      </c>
      <c r="M691" s="0" t="n">
        <v>96952</v>
      </c>
      <c r="N691" s="0" t="n">
        <v>38027</v>
      </c>
      <c r="O691" s="0" t="n">
        <v>4568</v>
      </c>
      <c r="P691" s="0" t="s">
        <v>364</v>
      </c>
      <c r="Q691" s="0" t="n">
        <v>4.6799922136732</v>
      </c>
      <c r="R691" s="0" t="n">
        <v>3.91613321903266</v>
      </c>
      <c r="S691" s="0" t="n">
        <v>33</v>
      </c>
      <c r="T691" s="0" t="n">
        <v>174</v>
      </c>
      <c r="U691" s="0" t="n">
        <v>0</v>
      </c>
      <c r="V691" s="0" t="n">
        <v>0</v>
      </c>
      <c r="W691" s="0" t="n">
        <v>20250331</v>
      </c>
      <c r="X691" s="0" t="n">
        <v>-0.642448863904766</v>
      </c>
      <c r="Y691" s="0" t="n">
        <v>-5.18</v>
      </c>
      <c r="Z691" s="0" t="s">
        <v>123</v>
      </c>
    </row>
    <row r="692" customFormat="false" ht="15" hidden="false" customHeight="false" outlineLevel="0" collapsed="false">
      <c r="A692" s="0" t="n">
        <v>692</v>
      </c>
      <c r="B692" s="0" t="n">
        <v>273586</v>
      </c>
      <c r="C692" s="0" t="n">
        <v>59298</v>
      </c>
      <c r="D692" s="0" t="n">
        <v>247768</v>
      </c>
      <c r="E692" s="0" t="n">
        <v>0.08</v>
      </c>
      <c r="F692" s="0" t="n">
        <v>24927</v>
      </c>
      <c r="G692" s="0" t="n">
        <v>9.11121183101475</v>
      </c>
      <c r="H692" s="0" t="s">
        <v>849</v>
      </c>
      <c r="I692" s="0" t="n">
        <v>0.817408285674432</v>
      </c>
      <c r="J692" s="0" t="n">
        <v>34338</v>
      </c>
      <c r="K692" s="0" t="n">
        <v>0</v>
      </c>
      <c r="L692" s="0" t="n">
        <v>143380</v>
      </c>
      <c r="M692" s="0" t="n">
        <v>142208</v>
      </c>
      <c r="N692" s="0" t="n">
        <v>109081</v>
      </c>
      <c r="O692" s="0" t="n">
        <v>0</v>
      </c>
      <c r="P692" s="0" t="s">
        <v>310</v>
      </c>
      <c r="Q692" s="0" t="n">
        <v>0</v>
      </c>
      <c r="R692" s="0" t="n">
        <v>2.31554886483537</v>
      </c>
      <c r="S692" s="0" t="n">
        <v>0</v>
      </c>
      <c r="T692" s="0" t="n">
        <v>0</v>
      </c>
      <c r="U692" s="0" t="n">
        <v>0</v>
      </c>
      <c r="V692" s="0" t="n">
        <v>17.8288066289366</v>
      </c>
      <c r="W692" s="0" t="n">
        <v>20250331</v>
      </c>
      <c r="X692" s="0" t="n">
        <v>0.0209446406965589</v>
      </c>
      <c r="Y692" s="0" t="n">
        <v>0.23</v>
      </c>
      <c r="Z692" s="0" t="s">
        <v>112</v>
      </c>
    </row>
    <row r="693" customFormat="false" ht="15" hidden="false" customHeight="false" outlineLevel="0" collapsed="false">
      <c r="A693" s="0" t="n">
        <v>693</v>
      </c>
      <c r="B693" s="0" t="n">
        <v>1187395</v>
      </c>
      <c r="C693" s="0" t="n">
        <v>6271</v>
      </c>
      <c r="D693" s="0" t="n">
        <v>980794</v>
      </c>
      <c r="E693" s="0" t="n">
        <v>0.11</v>
      </c>
      <c r="F693" s="0" t="n">
        <v>115170</v>
      </c>
      <c r="G693" s="0" t="n">
        <v>9.69938394552782</v>
      </c>
      <c r="H693" s="0" t="s">
        <v>850</v>
      </c>
      <c r="I693" s="0" t="n">
        <v>1.08067916872467</v>
      </c>
      <c r="J693" s="0" t="n">
        <v>120099</v>
      </c>
      <c r="K693" s="0" t="n">
        <v>6417</v>
      </c>
      <c r="L693" s="0" t="n">
        <v>941445</v>
      </c>
      <c r="M693" s="0" t="n">
        <v>931271</v>
      </c>
      <c r="N693" s="0" t="n">
        <v>739251</v>
      </c>
      <c r="O693" s="0" t="n">
        <v>8907</v>
      </c>
      <c r="P693" s="0" t="s">
        <v>202</v>
      </c>
      <c r="Q693" s="0" t="n">
        <v>0.998571345113098</v>
      </c>
      <c r="R693" s="0" t="n">
        <v>3.37324130573203</v>
      </c>
      <c r="S693" s="0" t="n">
        <v>56</v>
      </c>
      <c r="T693" s="0" t="n">
        <v>2556</v>
      </c>
      <c r="U693" s="0" t="n">
        <v>494</v>
      </c>
      <c r="V693" s="0" t="n">
        <v>14.9379069100864</v>
      </c>
      <c r="W693" s="0" t="n">
        <v>20250331</v>
      </c>
      <c r="X693" s="0" t="n">
        <v>1.25143290710164</v>
      </c>
      <c r="Y693" s="0" t="n">
        <v>13.53</v>
      </c>
      <c r="Z693" s="0" t="s">
        <v>112</v>
      </c>
    </row>
    <row r="694" customFormat="false" ht="15" hidden="false" customHeight="false" outlineLevel="0" collapsed="false">
      <c r="A694" s="0" t="n">
        <v>694</v>
      </c>
      <c r="B694" s="0" t="n">
        <v>547001</v>
      </c>
      <c r="C694" s="0" t="n">
        <v>6275</v>
      </c>
      <c r="D694" s="0" t="n">
        <v>502984</v>
      </c>
      <c r="E694" s="0" t="n">
        <v>0</v>
      </c>
      <c r="F694" s="0" t="n">
        <v>36237</v>
      </c>
      <c r="G694" s="0" t="n">
        <v>6.62466796221579</v>
      </c>
      <c r="H694" s="0" t="s">
        <v>851</v>
      </c>
      <c r="I694" s="0" t="n">
        <v>0.384334083836457</v>
      </c>
      <c r="J694" s="0" t="n">
        <v>33302</v>
      </c>
      <c r="K694" s="0" t="n">
        <v>7846</v>
      </c>
      <c r="L694" s="0" t="n">
        <v>348655</v>
      </c>
      <c r="M694" s="0" t="n">
        <v>347315</v>
      </c>
      <c r="N694" s="0" t="n">
        <v>298585</v>
      </c>
      <c r="O694" s="0" t="n">
        <v>660</v>
      </c>
      <c r="P694" s="0" t="s">
        <v>204</v>
      </c>
      <c r="Q694" s="0" t="n">
        <v>0.286242847514018</v>
      </c>
      <c r="R694" s="0" t="n">
        <v>3.20221630836216</v>
      </c>
      <c r="S694" s="0" t="n">
        <v>8</v>
      </c>
      <c r="T694" s="0" t="n">
        <v>744</v>
      </c>
      <c r="U694" s="0" t="n">
        <v>338</v>
      </c>
      <c r="V694" s="0" t="n">
        <v>15.7328932381291</v>
      </c>
      <c r="W694" s="0" t="n">
        <v>20250331</v>
      </c>
      <c r="X694" s="0" t="n">
        <v>0.743149433686518</v>
      </c>
      <c r="Y694" s="0" t="n">
        <v>11.66</v>
      </c>
      <c r="Z694" s="0" t="s">
        <v>112</v>
      </c>
    </row>
    <row r="695" customFormat="false" ht="15" hidden="false" customHeight="false" outlineLevel="0" collapsed="false">
      <c r="A695" s="0" t="n">
        <v>695</v>
      </c>
      <c r="B695" s="0" t="n">
        <v>88000</v>
      </c>
      <c r="C695" s="0" t="n">
        <v>6280</v>
      </c>
      <c r="D695" s="0" t="n">
        <v>77788</v>
      </c>
      <c r="E695" s="0" t="n">
        <v>0.06</v>
      </c>
      <c r="F695" s="0" t="n">
        <v>10007</v>
      </c>
      <c r="G695" s="0" t="n">
        <v>11.3715909090909</v>
      </c>
      <c r="H695" s="0" t="s">
        <v>852</v>
      </c>
      <c r="I695" s="0" t="n">
        <v>1.29125820980854</v>
      </c>
      <c r="J695" s="0" t="n">
        <v>3679</v>
      </c>
      <c r="K695" s="0" t="n">
        <v>1399</v>
      </c>
      <c r="L695" s="0" t="n">
        <v>71713</v>
      </c>
      <c r="M695" s="0" t="n">
        <v>70787</v>
      </c>
      <c r="N695" s="0" t="n">
        <v>64224</v>
      </c>
      <c r="O695" s="0" t="n">
        <v>1420</v>
      </c>
      <c r="P695" s="0" t="s">
        <v>206</v>
      </c>
      <c r="Q695" s="0" t="n">
        <v>1.98011518134787</v>
      </c>
      <c r="R695" s="0" t="n">
        <v>4.42972145901846</v>
      </c>
      <c r="S695" s="0" t="n">
        <v>-1</v>
      </c>
      <c r="T695" s="0" t="n">
        <v>493</v>
      </c>
      <c r="U695" s="0" t="n">
        <v>0</v>
      </c>
      <c r="V695" s="0" t="n">
        <v>0</v>
      </c>
      <c r="W695" s="0" t="n">
        <v>20250331</v>
      </c>
      <c r="X695" s="0" t="n">
        <v>1.28878743546101</v>
      </c>
      <c r="Y695" s="0" t="n">
        <v>11.47</v>
      </c>
      <c r="Z695" s="0" t="s">
        <v>112</v>
      </c>
    </row>
    <row r="696" customFormat="false" ht="15" hidden="false" customHeight="false" outlineLevel="0" collapsed="false">
      <c r="A696" s="0" t="n">
        <v>696</v>
      </c>
      <c r="B696" s="0" t="n">
        <v>4106441</v>
      </c>
      <c r="C696" s="0" t="n">
        <v>11971</v>
      </c>
      <c r="D696" s="0" t="n">
        <v>3299177</v>
      </c>
      <c r="E696" s="0" t="n">
        <v>0.06</v>
      </c>
      <c r="F696" s="0" t="n">
        <v>503270</v>
      </c>
      <c r="G696" s="0" t="n">
        <v>12.2556247611983</v>
      </c>
      <c r="H696" s="0" t="s">
        <v>853</v>
      </c>
      <c r="I696" s="0" t="n">
        <v>0.915388155000868</v>
      </c>
      <c r="J696" s="0" t="n">
        <v>220343</v>
      </c>
      <c r="K696" s="0" t="n">
        <v>8096</v>
      </c>
      <c r="L696" s="0" t="n">
        <v>3155492</v>
      </c>
      <c r="M696" s="0" t="n">
        <v>3126607</v>
      </c>
      <c r="N696" s="0" t="n">
        <v>2795776</v>
      </c>
      <c r="O696" s="0" t="n">
        <v>9732</v>
      </c>
      <c r="P696" s="0" t="s">
        <v>104</v>
      </c>
      <c r="Q696" s="0" t="n">
        <v>0.322010006680416</v>
      </c>
      <c r="R696" s="0" t="n">
        <v>3.28061409824441</v>
      </c>
      <c r="S696" s="0" t="n">
        <v>330</v>
      </c>
      <c r="T696" s="0" t="n">
        <v>2331</v>
      </c>
      <c r="U696" s="0" t="n">
        <v>429</v>
      </c>
      <c r="V696" s="0" t="n">
        <v>13.7235807513042</v>
      </c>
      <c r="W696" s="0" t="n">
        <v>20250630</v>
      </c>
      <c r="X696" s="0" t="n">
        <v>0.959403059876807</v>
      </c>
      <c r="Y696" s="0" t="n">
        <v>7.85</v>
      </c>
      <c r="Z696" s="0" t="s">
        <v>105</v>
      </c>
    </row>
    <row r="697" customFormat="false" ht="15" hidden="false" customHeight="false" outlineLevel="0" collapsed="false">
      <c r="A697" s="0" t="n">
        <v>697</v>
      </c>
      <c r="B697" s="0" t="n">
        <v>1085692</v>
      </c>
      <c r="C697" s="0" t="n">
        <v>12874</v>
      </c>
      <c r="D697" s="0" t="n">
        <v>934861</v>
      </c>
      <c r="E697" s="0" t="n">
        <v>-0.03</v>
      </c>
      <c r="F697" s="0" t="n">
        <v>100553</v>
      </c>
      <c r="G697" s="0" t="n">
        <v>9.26165063388143</v>
      </c>
      <c r="H697" s="0" t="s">
        <v>854</v>
      </c>
      <c r="I697" s="0" t="n">
        <v>0.981049807144055</v>
      </c>
      <c r="J697" s="0" t="n">
        <v>156764</v>
      </c>
      <c r="K697" s="0" t="n">
        <v>4179</v>
      </c>
      <c r="L697" s="0" t="n">
        <v>846746</v>
      </c>
      <c r="M697" s="0" t="n">
        <v>838439</v>
      </c>
      <c r="N697" s="0" t="n">
        <v>669261</v>
      </c>
      <c r="O697" s="0" t="n">
        <v>1392</v>
      </c>
      <c r="P697" s="0" t="s">
        <v>107</v>
      </c>
      <c r="Q697" s="0" t="n">
        <v>0.16439404496744</v>
      </c>
      <c r="R697" s="0" t="n">
        <v>3.8021088052053</v>
      </c>
      <c r="S697" s="0" t="n">
        <v>18</v>
      </c>
      <c r="T697" s="0" t="n">
        <v>2891</v>
      </c>
      <c r="U697" s="0" t="n">
        <v>0</v>
      </c>
      <c r="V697" s="0" t="n">
        <v>14.3096445878642</v>
      </c>
      <c r="W697" s="0" t="n">
        <v>20250630</v>
      </c>
      <c r="X697" s="0" t="n">
        <v>0.938648973217796</v>
      </c>
      <c r="Y697" s="0" t="n">
        <v>10.27</v>
      </c>
      <c r="Z697" s="0" t="s">
        <v>105</v>
      </c>
    </row>
    <row r="698" customFormat="false" ht="15" hidden="false" customHeight="false" outlineLevel="0" collapsed="false">
      <c r="A698" s="0" t="n">
        <v>698</v>
      </c>
      <c r="B698" s="0" t="n">
        <v>1933479</v>
      </c>
      <c r="C698" s="0" t="n">
        <v>13063</v>
      </c>
      <c r="D698" s="0" t="n">
        <v>1642187</v>
      </c>
      <c r="E698" s="0" t="n">
        <v>0.04</v>
      </c>
      <c r="F698" s="0" t="n">
        <v>165281</v>
      </c>
      <c r="G698" s="0" t="n">
        <v>8.548373165677</v>
      </c>
      <c r="H698" s="0" t="s">
        <v>855</v>
      </c>
      <c r="I698" s="0" t="n">
        <v>1.08356869656229</v>
      </c>
      <c r="J698" s="0" t="n">
        <v>74647</v>
      </c>
      <c r="K698" s="0" t="n">
        <v>870</v>
      </c>
      <c r="L698" s="0" t="n">
        <v>1559292</v>
      </c>
      <c r="M698" s="0" t="n">
        <v>1542396</v>
      </c>
      <c r="N698" s="0" t="n">
        <v>1474935</v>
      </c>
      <c r="O698" s="0" t="n">
        <v>2263</v>
      </c>
      <c r="P698" s="0" t="s">
        <v>109</v>
      </c>
      <c r="Q698" s="0" t="n">
        <v>0.156866064855075</v>
      </c>
      <c r="R698" s="0" t="n">
        <v>3.40567672960564</v>
      </c>
      <c r="S698" s="0" t="n">
        <v>45</v>
      </c>
      <c r="T698" s="0" t="n">
        <v>10952</v>
      </c>
      <c r="U698" s="0" t="n">
        <v>183</v>
      </c>
      <c r="V698" s="0" t="n">
        <v>0</v>
      </c>
      <c r="W698" s="0" t="n">
        <v>20250630</v>
      </c>
      <c r="X698" s="0" t="n">
        <v>0.621034232657182</v>
      </c>
      <c r="Y698" s="0" t="n">
        <v>7.39</v>
      </c>
      <c r="Z698" s="0" t="s">
        <v>105</v>
      </c>
    </row>
    <row r="699" customFormat="false" ht="15" hidden="false" customHeight="false" outlineLevel="0" collapsed="false">
      <c r="A699" s="0" t="n">
        <v>699</v>
      </c>
      <c r="B699" s="0" t="n">
        <v>882477</v>
      </c>
      <c r="C699" s="0" t="n">
        <v>14134</v>
      </c>
      <c r="D699" s="0" t="n">
        <v>701612</v>
      </c>
      <c r="E699" s="0" t="n">
        <v>0.08</v>
      </c>
      <c r="F699" s="0" t="n">
        <v>116115</v>
      </c>
      <c r="G699" s="0" t="n">
        <v>13.1578500062891</v>
      </c>
      <c r="H699" s="0" t="s">
        <v>856</v>
      </c>
      <c r="I699" s="0" t="n">
        <v>1.12165429046153</v>
      </c>
      <c r="J699" s="0" t="n">
        <v>27002</v>
      </c>
      <c r="K699" s="0" t="n">
        <v>21129</v>
      </c>
      <c r="L699" s="0" t="n">
        <v>634955</v>
      </c>
      <c r="M699" s="0" t="n">
        <v>627833</v>
      </c>
      <c r="N699" s="0" t="n">
        <v>566443</v>
      </c>
      <c r="O699" s="0" t="n">
        <v>2713</v>
      </c>
      <c r="P699" s="0" t="s">
        <v>111</v>
      </c>
      <c r="Q699" s="0" t="n">
        <v>0.42727437377452</v>
      </c>
      <c r="R699" s="0" t="n">
        <v>3.10929848158763</v>
      </c>
      <c r="S699" s="0" t="n">
        <v>196</v>
      </c>
      <c r="T699" s="0" t="n">
        <v>5310</v>
      </c>
      <c r="U699" s="0" t="n">
        <v>0</v>
      </c>
      <c r="V699" s="0" t="n">
        <v>20.6017342528864</v>
      </c>
      <c r="W699" s="0" t="n">
        <v>20250630</v>
      </c>
      <c r="X699" s="0" t="n">
        <v>0.610195299395189</v>
      </c>
      <c r="Y699" s="0" t="n">
        <v>4.75</v>
      </c>
      <c r="Z699" s="0" t="s">
        <v>112</v>
      </c>
    </row>
    <row r="700" customFormat="false" ht="15" hidden="false" customHeight="false" outlineLevel="0" collapsed="false">
      <c r="A700" s="0" t="n">
        <v>700</v>
      </c>
      <c r="B700" s="0" t="n">
        <v>247991</v>
      </c>
      <c r="C700" s="0" t="n">
        <v>14136</v>
      </c>
      <c r="D700" s="0" t="n">
        <v>212734</v>
      </c>
      <c r="E700" s="0" t="n">
        <v>0.1</v>
      </c>
      <c r="F700" s="0" t="n">
        <v>20696</v>
      </c>
      <c r="G700" s="0" t="n">
        <v>8.34546414990867</v>
      </c>
      <c r="H700" s="0" t="s">
        <v>857</v>
      </c>
      <c r="I700" s="0" t="n">
        <v>1.03143773976404</v>
      </c>
      <c r="J700" s="0" t="n">
        <v>16458</v>
      </c>
      <c r="K700" s="0" t="n">
        <v>15166</v>
      </c>
      <c r="L700" s="0" t="n">
        <v>165788</v>
      </c>
      <c r="M700" s="0" t="n">
        <v>164078</v>
      </c>
      <c r="N700" s="0" t="n">
        <v>133756</v>
      </c>
      <c r="O700" s="0" t="n">
        <v>543</v>
      </c>
      <c r="P700" s="0" t="s">
        <v>114</v>
      </c>
      <c r="Q700" s="0" t="n">
        <v>0.64962482206191</v>
      </c>
      <c r="R700" s="0" t="n">
        <v>3.86995285179615</v>
      </c>
      <c r="S700" s="0" t="n">
        <v>33</v>
      </c>
      <c r="T700" s="0" t="n">
        <v>1414</v>
      </c>
      <c r="U700" s="0" t="n">
        <v>534</v>
      </c>
      <c r="V700" s="0" t="n">
        <v>17.6574017718266</v>
      </c>
      <c r="W700" s="0" t="n">
        <v>20250630</v>
      </c>
      <c r="X700" s="0" t="n">
        <v>0.601654965518099</v>
      </c>
      <c r="Y700" s="0" t="n">
        <v>7.3</v>
      </c>
      <c r="Z700" s="0" t="s">
        <v>112</v>
      </c>
    </row>
    <row r="701" customFormat="false" ht="15" hidden="false" customHeight="false" outlineLevel="0" collapsed="false">
      <c r="A701" s="0" t="n">
        <v>701</v>
      </c>
      <c r="B701" s="0" t="n">
        <v>1560737</v>
      </c>
      <c r="C701" s="0" t="n">
        <v>14140</v>
      </c>
      <c r="D701" s="0" t="n">
        <v>1280949</v>
      </c>
      <c r="E701" s="0" t="n">
        <v>0.06</v>
      </c>
      <c r="F701" s="0" t="n">
        <v>142689</v>
      </c>
      <c r="G701" s="0" t="n">
        <v>9.14241156581794</v>
      </c>
      <c r="H701" s="0" t="s">
        <v>858</v>
      </c>
      <c r="I701" s="0" t="n">
        <v>0.808035108356332</v>
      </c>
      <c r="J701" s="0" t="n">
        <v>95042</v>
      </c>
      <c r="K701" s="0" t="n">
        <v>1711</v>
      </c>
      <c r="L701" s="0" t="n">
        <v>1105150</v>
      </c>
      <c r="M701" s="0" t="n">
        <v>1096220</v>
      </c>
      <c r="N701" s="0" t="n">
        <v>976988</v>
      </c>
      <c r="O701" s="0" t="n">
        <v>7436</v>
      </c>
      <c r="P701" s="0" t="s">
        <v>116</v>
      </c>
      <c r="Q701" s="0" t="n">
        <v>0.672849839388318</v>
      </c>
      <c r="R701" s="0" t="n">
        <v>2.58054568551282</v>
      </c>
      <c r="S701" s="0" t="n">
        <v>28</v>
      </c>
      <c r="T701" s="0" t="n">
        <v>4583</v>
      </c>
      <c r="U701" s="0" t="n">
        <v>0</v>
      </c>
      <c r="V701" s="0" t="n">
        <v>0</v>
      </c>
      <c r="W701" s="0" t="n">
        <v>20250630</v>
      </c>
      <c r="X701" s="0" t="n">
        <v>0.319216663443552</v>
      </c>
      <c r="Y701" s="0" t="n">
        <v>3.6</v>
      </c>
      <c r="Z701" s="0" t="s">
        <v>112</v>
      </c>
    </row>
    <row r="702" customFormat="false" ht="15" hidden="false" customHeight="false" outlineLevel="0" collapsed="false">
      <c r="A702" s="0" t="n">
        <v>702</v>
      </c>
      <c r="B702" s="0" t="n">
        <v>1479452</v>
      </c>
      <c r="C702" s="0" t="n">
        <v>14158</v>
      </c>
      <c r="D702" s="0" t="n">
        <v>1107517</v>
      </c>
      <c r="E702" s="0" t="n">
        <v>0.06</v>
      </c>
      <c r="F702" s="0" t="n">
        <v>86521</v>
      </c>
      <c r="G702" s="0" t="n">
        <v>5.84817892030292</v>
      </c>
      <c r="H702" s="0" t="s">
        <v>859</v>
      </c>
      <c r="I702" s="0" t="n">
        <v>0.745748774142349</v>
      </c>
      <c r="J702" s="0" t="n">
        <v>34247</v>
      </c>
      <c r="K702" s="0" t="n">
        <v>2362</v>
      </c>
      <c r="L702" s="0" t="n">
        <v>1113914</v>
      </c>
      <c r="M702" s="0" t="n">
        <v>1105607</v>
      </c>
      <c r="N702" s="0" t="n">
        <v>1031319</v>
      </c>
      <c r="O702" s="0" t="n">
        <v>15189</v>
      </c>
      <c r="P702" s="0" t="s">
        <v>118</v>
      </c>
      <c r="Q702" s="0" t="n">
        <v>1.3700339523518</v>
      </c>
      <c r="R702" s="0" t="n">
        <v>2.99867350712437</v>
      </c>
      <c r="S702" s="0" t="n">
        <v>-6</v>
      </c>
      <c r="T702" s="0" t="n">
        <v>1302</v>
      </c>
      <c r="U702" s="0" t="n">
        <v>72</v>
      </c>
      <c r="V702" s="0" t="n">
        <v>12.6234332403009</v>
      </c>
      <c r="W702" s="0" t="n">
        <v>20250630</v>
      </c>
      <c r="X702" s="0" t="n">
        <v>0.704869265488618</v>
      </c>
      <c r="Y702" s="0" t="n">
        <v>12.54</v>
      </c>
      <c r="Z702" s="0" t="s">
        <v>112</v>
      </c>
    </row>
    <row r="703" customFormat="false" ht="15" hidden="false" customHeight="false" outlineLevel="0" collapsed="false">
      <c r="A703" s="0" t="n">
        <v>703</v>
      </c>
      <c r="B703" s="0" t="n">
        <v>376849</v>
      </c>
      <c r="C703" s="0" t="n">
        <v>14168</v>
      </c>
      <c r="D703" s="0" t="n">
        <v>332557</v>
      </c>
      <c r="E703" s="0" t="n">
        <v>0.08</v>
      </c>
      <c r="F703" s="0" t="n">
        <v>38788</v>
      </c>
      <c r="G703" s="0" t="n">
        <v>10.292716711468</v>
      </c>
      <c r="H703" s="0" t="s">
        <v>860</v>
      </c>
      <c r="I703" s="0" t="n">
        <v>1.27299474703176</v>
      </c>
      <c r="J703" s="0" t="n">
        <v>11385</v>
      </c>
      <c r="K703" s="0" t="n">
        <v>10856</v>
      </c>
      <c r="L703" s="0" t="n">
        <v>288218</v>
      </c>
      <c r="M703" s="0" t="n">
        <v>284549</v>
      </c>
      <c r="N703" s="0" t="n">
        <v>247587</v>
      </c>
      <c r="O703" s="0" t="n">
        <v>1012</v>
      </c>
      <c r="P703" s="0" t="s">
        <v>120</v>
      </c>
      <c r="Q703" s="0" t="n">
        <v>0.351123108202819</v>
      </c>
      <c r="R703" s="0" t="n">
        <v>4.22224321701265</v>
      </c>
      <c r="S703" s="0" t="n">
        <v>32</v>
      </c>
      <c r="T703" s="0" t="n">
        <v>93</v>
      </c>
      <c r="U703" s="0" t="n">
        <v>0</v>
      </c>
      <c r="V703" s="0" t="n">
        <v>16.584016716042</v>
      </c>
      <c r="W703" s="0" t="n">
        <v>20250630</v>
      </c>
      <c r="X703" s="0" t="n">
        <v>0.966716269310238</v>
      </c>
      <c r="Y703" s="0" t="n">
        <v>9.43</v>
      </c>
      <c r="Z703" s="0" t="s">
        <v>112</v>
      </c>
    </row>
    <row r="704" customFormat="false" ht="15" hidden="false" customHeight="false" outlineLevel="0" collapsed="false">
      <c r="A704" s="0" t="n">
        <v>704</v>
      </c>
      <c r="B704" s="0" t="n">
        <v>1078591</v>
      </c>
      <c r="C704" s="0" t="n">
        <v>17115</v>
      </c>
      <c r="D704" s="0" t="n">
        <v>819065</v>
      </c>
      <c r="E704" s="0" t="n">
        <v>0.05</v>
      </c>
      <c r="F704" s="0" t="n">
        <v>97021</v>
      </c>
      <c r="G704" s="0" t="n">
        <v>8.99516127985492</v>
      </c>
      <c r="H704" s="0" t="s">
        <v>861</v>
      </c>
      <c r="I704" s="0" t="n">
        <v>0.948136739166134</v>
      </c>
      <c r="J704" s="0" t="n">
        <v>38793</v>
      </c>
      <c r="K704" s="0" t="n">
        <v>6038</v>
      </c>
      <c r="L704" s="0" t="n">
        <v>882995</v>
      </c>
      <c r="M704" s="0" t="n">
        <v>874623</v>
      </c>
      <c r="N704" s="0" t="n">
        <v>837308</v>
      </c>
      <c r="O704" s="0" t="n">
        <v>2491</v>
      </c>
      <c r="P704" s="0" t="s">
        <v>125</v>
      </c>
      <c r="Q704" s="0" t="n">
        <v>0.291507879433066</v>
      </c>
      <c r="R704" s="0" t="n">
        <v>2.96659137731555</v>
      </c>
      <c r="S704" s="0" t="n">
        <v>438</v>
      </c>
      <c r="T704" s="0" t="n">
        <v>1134</v>
      </c>
      <c r="U704" s="0" t="n">
        <v>83</v>
      </c>
      <c r="V704" s="0" t="n">
        <v>14.8169206277007</v>
      </c>
      <c r="W704" s="0" t="n">
        <v>20250630</v>
      </c>
      <c r="X704" s="0" t="n">
        <v>0.71338933420764</v>
      </c>
      <c r="Y704" s="0" t="n">
        <v>8</v>
      </c>
      <c r="Z704" s="0" t="s">
        <v>105</v>
      </c>
    </row>
    <row r="705" customFormat="false" ht="15" hidden="false" customHeight="false" outlineLevel="0" collapsed="false">
      <c r="A705" s="0" t="n">
        <v>705</v>
      </c>
      <c r="B705" s="0" t="n">
        <v>1609518</v>
      </c>
      <c r="C705" s="0" t="n">
        <v>17180</v>
      </c>
      <c r="D705" s="0" t="n">
        <v>1323945</v>
      </c>
      <c r="E705" s="0" t="n">
        <v>0</v>
      </c>
      <c r="F705" s="0" t="n">
        <v>147515</v>
      </c>
      <c r="G705" s="0" t="n">
        <v>9.16516621746386</v>
      </c>
      <c r="H705" s="0" t="s">
        <v>862</v>
      </c>
      <c r="I705" s="0" t="n">
        <v>0.988406664070127</v>
      </c>
      <c r="J705" s="0" t="n">
        <v>41482</v>
      </c>
      <c r="K705" s="0" t="n">
        <v>155925</v>
      </c>
      <c r="L705" s="0" t="n">
        <v>1394163</v>
      </c>
      <c r="M705" s="0" t="n">
        <v>1380383</v>
      </c>
      <c r="N705" s="0" t="n">
        <v>1170848</v>
      </c>
      <c r="O705" s="0" t="n">
        <v>5006</v>
      </c>
      <c r="P705" s="0" t="s">
        <v>127</v>
      </c>
      <c r="Q705" s="0" t="n">
        <v>0.359785763931477</v>
      </c>
      <c r="R705" s="0" t="n">
        <v>2.82301178340663</v>
      </c>
      <c r="S705" s="0" t="n">
        <v>157</v>
      </c>
      <c r="T705" s="0" t="n">
        <v>3969</v>
      </c>
      <c r="U705" s="0" t="n">
        <v>10</v>
      </c>
      <c r="V705" s="0" t="n">
        <v>16.1170926443665</v>
      </c>
      <c r="W705" s="0" t="n">
        <v>20250630</v>
      </c>
      <c r="X705" s="0" t="n">
        <v>0.322125402656753</v>
      </c>
      <c r="Y705" s="0" t="n">
        <v>3.54</v>
      </c>
      <c r="Z705" s="0" t="s">
        <v>123</v>
      </c>
    </row>
    <row r="706" customFormat="false" ht="15" hidden="false" customHeight="false" outlineLevel="0" collapsed="false">
      <c r="A706" s="0" t="n">
        <v>706</v>
      </c>
      <c r="B706" s="0" t="n">
        <v>366584</v>
      </c>
      <c r="C706" s="0" t="n">
        <v>17443</v>
      </c>
      <c r="D706" s="0" t="n">
        <v>285374</v>
      </c>
      <c r="E706" s="0" t="n">
        <v>-0.03</v>
      </c>
      <c r="F706" s="0" t="n">
        <v>40125</v>
      </c>
      <c r="G706" s="0" t="n">
        <v>10.9456495646291</v>
      </c>
      <c r="H706" s="0" t="s">
        <v>863</v>
      </c>
      <c r="I706" s="0" t="n">
        <v>0.712995812564275</v>
      </c>
      <c r="J706" s="0" t="n">
        <v>0</v>
      </c>
      <c r="K706" s="0" t="n">
        <v>799</v>
      </c>
      <c r="L706" s="0" t="n">
        <v>203227</v>
      </c>
      <c r="M706" s="0" t="n">
        <v>201778</v>
      </c>
      <c r="N706" s="0" t="n">
        <v>201428</v>
      </c>
      <c r="O706" s="0" t="n">
        <v>22</v>
      </c>
      <c r="P706" s="0" t="s">
        <v>129</v>
      </c>
      <c r="Q706" s="0" t="n">
        <v>0.0108253332480428</v>
      </c>
      <c r="R706" s="0" t="n">
        <v>1.29920976724489</v>
      </c>
      <c r="S706" s="0" t="n">
        <v>0</v>
      </c>
      <c r="T706" s="0" t="n">
        <v>769</v>
      </c>
      <c r="U706" s="0" t="n">
        <v>0</v>
      </c>
      <c r="V706" s="0" t="n">
        <v>0</v>
      </c>
      <c r="W706" s="0" t="n">
        <v>20250630</v>
      </c>
      <c r="X706" s="0" t="n">
        <v>-0.301132819905539</v>
      </c>
      <c r="Y706" s="0" t="n">
        <v>-2.77</v>
      </c>
      <c r="Z706" s="0" t="s">
        <v>123</v>
      </c>
    </row>
    <row r="707" customFormat="false" ht="15" hidden="false" customHeight="false" outlineLevel="0" collapsed="false">
      <c r="A707" s="0" t="n">
        <v>707</v>
      </c>
      <c r="B707" s="0" t="n">
        <v>2059300</v>
      </c>
      <c r="C707" s="0" t="n">
        <v>17658</v>
      </c>
      <c r="D707" s="0" t="n">
        <v>1592193</v>
      </c>
      <c r="E707" s="0" t="n">
        <v>0.07</v>
      </c>
      <c r="F707" s="0" t="n">
        <v>238741</v>
      </c>
      <c r="G707" s="0" t="n">
        <v>11.593308405769</v>
      </c>
      <c r="H707" s="0" t="s">
        <v>864</v>
      </c>
      <c r="I707" s="0" t="n">
        <v>0.68458180287466</v>
      </c>
      <c r="J707" s="0" t="n">
        <v>107836</v>
      </c>
      <c r="K707" s="0" t="n">
        <v>85638</v>
      </c>
      <c r="L707" s="0" t="n">
        <v>1472870</v>
      </c>
      <c r="M707" s="0" t="n">
        <v>1462787</v>
      </c>
      <c r="N707" s="0" t="n">
        <v>1263229</v>
      </c>
      <c r="O707" s="0" t="n">
        <v>10168</v>
      </c>
      <c r="P707" s="0" t="s">
        <v>131</v>
      </c>
      <c r="Q707" s="0" t="n">
        <v>0.690352848520236</v>
      </c>
      <c r="R707" s="0" t="n">
        <v>3.24068034825347</v>
      </c>
      <c r="S707" s="0" t="n">
        <v>146</v>
      </c>
      <c r="T707" s="0" t="n">
        <v>2622</v>
      </c>
      <c r="U707" s="0" t="n">
        <v>0</v>
      </c>
      <c r="V707" s="0" t="n">
        <v>0</v>
      </c>
      <c r="W707" s="0" t="n">
        <v>20250630</v>
      </c>
      <c r="X707" s="0" t="n">
        <v>0.859257679559975</v>
      </c>
      <c r="Y707" s="0" t="n">
        <v>7.57</v>
      </c>
      <c r="Z707" s="0" t="s">
        <v>105</v>
      </c>
    </row>
    <row r="708" customFormat="false" ht="15" hidden="false" customHeight="false" outlineLevel="0" collapsed="false">
      <c r="A708" s="0" t="n">
        <v>708</v>
      </c>
      <c r="B708" s="0" t="n">
        <v>2758302</v>
      </c>
      <c r="C708" s="0" t="n">
        <v>17741</v>
      </c>
      <c r="D708" s="0" t="n">
        <v>2253432</v>
      </c>
      <c r="E708" s="0" t="n">
        <v>-0.05</v>
      </c>
      <c r="F708" s="0" t="n">
        <v>250972</v>
      </c>
      <c r="G708" s="0" t="n">
        <v>9.09878613726851</v>
      </c>
      <c r="H708" s="0" t="s">
        <v>865</v>
      </c>
      <c r="I708" s="0" t="n">
        <v>0.702982604583482</v>
      </c>
      <c r="J708" s="0" t="n">
        <v>210200</v>
      </c>
      <c r="K708" s="0" t="n">
        <v>6792</v>
      </c>
      <c r="L708" s="0" t="n">
        <v>2277439</v>
      </c>
      <c r="M708" s="0" t="n">
        <v>2261429</v>
      </c>
      <c r="N708" s="0" t="n">
        <v>2016043</v>
      </c>
      <c r="O708" s="0" t="n">
        <v>14212</v>
      </c>
      <c r="P708" s="0" t="s">
        <v>133</v>
      </c>
      <c r="Q708" s="0" t="n">
        <v>0.624034277098091</v>
      </c>
      <c r="R708" s="0" t="n">
        <v>4.42459457596169</v>
      </c>
      <c r="S708" s="0" t="n">
        <v>-16</v>
      </c>
      <c r="T708" s="0" t="n">
        <v>5485</v>
      </c>
      <c r="U708" s="0" t="n">
        <v>0</v>
      </c>
      <c r="V708" s="0" t="n">
        <v>0</v>
      </c>
      <c r="W708" s="0" t="n">
        <v>20250630</v>
      </c>
      <c r="X708" s="0" t="n">
        <v>0.805862894688845</v>
      </c>
      <c r="Y708" s="0" t="n">
        <v>8.32</v>
      </c>
      <c r="Z708" s="0" t="s">
        <v>105</v>
      </c>
    </row>
    <row r="709" customFormat="false" ht="15" hidden="false" customHeight="false" outlineLevel="0" collapsed="false">
      <c r="A709" s="0" t="n">
        <v>709</v>
      </c>
      <c r="B709" s="0" t="n">
        <v>1439697</v>
      </c>
      <c r="C709" s="0" t="n">
        <v>17743</v>
      </c>
      <c r="D709" s="0" t="n">
        <v>1017963</v>
      </c>
      <c r="E709" s="0" t="n">
        <v>0.03</v>
      </c>
      <c r="F709" s="0" t="n">
        <v>126615</v>
      </c>
      <c r="G709" s="0" t="n">
        <v>8.79455885509243</v>
      </c>
      <c r="H709" s="0" t="s">
        <v>866</v>
      </c>
      <c r="I709" s="0" t="n">
        <v>0.417193864286333</v>
      </c>
      <c r="J709" s="0" t="n">
        <v>22427</v>
      </c>
      <c r="K709" s="0" t="n">
        <v>10475</v>
      </c>
      <c r="L709" s="0" t="n">
        <v>1153900</v>
      </c>
      <c r="M709" s="0" t="n">
        <v>1149086</v>
      </c>
      <c r="N709" s="0" t="n">
        <v>1110982</v>
      </c>
      <c r="O709" s="0" t="n">
        <v>407</v>
      </c>
      <c r="P709" s="0" t="s">
        <v>135</v>
      </c>
      <c r="Q709" s="0" t="n">
        <v>0.0352716873212583</v>
      </c>
      <c r="R709" s="0" t="n">
        <v>2.0701108760452</v>
      </c>
      <c r="S709" s="0" t="n">
        <v>94</v>
      </c>
      <c r="T709" s="0" t="n">
        <v>1517</v>
      </c>
      <c r="U709" s="0" t="n">
        <v>0</v>
      </c>
      <c r="V709" s="0" t="n">
        <v>0</v>
      </c>
      <c r="W709" s="0" t="n">
        <v>20250630</v>
      </c>
      <c r="X709" s="0" t="n">
        <v>0.0674104441716298</v>
      </c>
      <c r="Y709" s="0" t="n">
        <v>0.76</v>
      </c>
      <c r="Z709" s="0" t="s">
        <v>105</v>
      </c>
    </row>
    <row r="710" customFormat="false" ht="15" hidden="false" customHeight="false" outlineLevel="0" collapsed="false">
      <c r="A710" s="0" t="n">
        <v>710</v>
      </c>
      <c r="B710" s="0" t="n">
        <v>1447972</v>
      </c>
      <c r="C710" s="0" t="n">
        <v>17749</v>
      </c>
      <c r="D710" s="0" t="n">
        <v>1125192</v>
      </c>
      <c r="E710" s="0" t="n">
        <v>0.07</v>
      </c>
      <c r="F710" s="0" t="n">
        <v>203598</v>
      </c>
      <c r="G710" s="0" t="n">
        <v>14.0609072551127</v>
      </c>
      <c r="H710" s="0" t="s">
        <v>867</v>
      </c>
      <c r="I710" s="0" t="n">
        <v>1.4555969476298</v>
      </c>
      <c r="J710" s="0" t="n">
        <v>57319</v>
      </c>
      <c r="K710" s="0" t="n">
        <v>10778</v>
      </c>
      <c r="L710" s="0" t="n">
        <v>837251</v>
      </c>
      <c r="M710" s="0" t="n">
        <v>825064</v>
      </c>
      <c r="N710" s="0" t="n">
        <v>759223</v>
      </c>
      <c r="O710" s="0" t="n">
        <v>1306</v>
      </c>
      <c r="P710" s="0" t="s">
        <v>139</v>
      </c>
      <c r="Q710" s="0" t="n">
        <v>0.163869616160506</v>
      </c>
      <c r="R710" s="0" t="n">
        <v>2.6965287741223</v>
      </c>
      <c r="S710" s="0" t="n">
        <v>-18</v>
      </c>
      <c r="T710" s="0" t="n">
        <v>2108</v>
      </c>
      <c r="U710" s="0" t="n">
        <v>66</v>
      </c>
      <c r="V710" s="0" t="n">
        <v>0</v>
      </c>
      <c r="W710" s="0" t="n">
        <v>20250630</v>
      </c>
      <c r="X710" s="0" t="n">
        <v>0.885431471938352</v>
      </c>
      <c r="Y710" s="0" t="n">
        <v>6.39</v>
      </c>
      <c r="Z710" s="0" t="s">
        <v>105</v>
      </c>
    </row>
    <row r="711" customFormat="false" ht="15" hidden="false" customHeight="false" outlineLevel="0" collapsed="false">
      <c r="A711" s="0" t="n">
        <v>711</v>
      </c>
      <c r="B711" s="0" t="n">
        <v>1763462</v>
      </c>
      <c r="C711" s="0" t="n">
        <v>17751</v>
      </c>
      <c r="D711" s="0" t="n">
        <v>1373195</v>
      </c>
      <c r="E711" s="0" t="n">
        <v>0.07</v>
      </c>
      <c r="F711" s="0" t="n">
        <v>175467</v>
      </c>
      <c r="G711" s="0" t="n">
        <v>9.95014352449897</v>
      </c>
      <c r="H711" s="0" t="s">
        <v>868</v>
      </c>
      <c r="I711" s="0" t="n">
        <v>0.936055538700409</v>
      </c>
      <c r="J711" s="0" t="n">
        <v>149887</v>
      </c>
      <c r="K711" s="0" t="n">
        <v>2254</v>
      </c>
      <c r="L711" s="0" t="n">
        <v>1456858</v>
      </c>
      <c r="M711" s="0" t="n">
        <v>1443221</v>
      </c>
      <c r="N711" s="0" t="n">
        <v>1232944</v>
      </c>
      <c r="O711" s="0" t="n">
        <v>2425</v>
      </c>
      <c r="P711" s="0" t="s">
        <v>141</v>
      </c>
      <c r="Q711" s="0" t="n">
        <v>0.166454108773813</v>
      </c>
      <c r="R711" s="0" t="n">
        <v>2.8715752461615</v>
      </c>
      <c r="S711" s="0" t="n">
        <v>-45</v>
      </c>
      <c r="T711" s="0" t="n">
        <v>6455</v>
      </c>
      <c r="U711" s="0" t="n">
        <v>0</v>
      </c>
      <c r="V711" s="0" t="n">
        <v>13.9221615094596</v>
      </c>
      <c r="W711" s="0" t="n">
        <v>20250630</v>
      </c>
      <c r="X711" s="0" t="n">
        <v>0.456345594479789</v>
      </c>
      <c r="Y711" s="0" t="n">
        <v>4.95</v>
      </c>
      <c r="Z711" s="0" t="s">
        <v>105</v>
      </c>
    </row>
    <row r="712" customFormat="false" ht="15" hidden="false" customHeight="false" outlineLevel="0" collapsed="false">
      <c r="A712" s="0" t="n">
        <v>712</v>
      </c>
      <c r="B712" s="0" t="n">
        <v>1790373</v>
      </c>
      <c r="C712" s="0" t="n">
        <v>17897</v>
      </c>
      <c r="D712" s="0" t="n">
        <v>1352989</v>
      </c>
      <c r="E712" s="0" t="n">
        <v>0.03</v>
      </c>
      <c r="F712" s="0" t="n">
        <v>226000</v>
      </c>
      <c r="G712" s="0" t="n">
        <v>12.6230679305374</v>
      </c>
      <c r="H712" s="0" t="s">
        <v>869</v>
      </c>
      <c r="I712" s="0" t="n">
        <v>0.61435777620828</v>
      </c>
      <c r="J712" s="0" t="n">
        <v>82889</v>
      </c>
      <c r="K712" s="0" t="n">
        <v>2700</v>
      </c>
      <c r="L712" s="0" t="n">
        <v>1493755</v>
      </c>
      <c r="M712" s="0" t="n">
        <v>1484578</v>
      </c>
      <c r="N712" s="0" t="n">
        <v>1393686</v>
      </c>
      <c r="O712" s="0" t="n">
        <v>5391</v>
      </c>
      <c r="P712" s="0" t="s">
        <v>143</v>
      </c>
      <c r="Q712" s="0" t="n">
        <v>0.360902557648343</v>
      </c>
      <c r="R712" s="0" t="n">
        <v>2.75154108647398</v>
      </c>
      <c r="S712" s="0" t="n">
        <v>6</v>
      </c>
      <c r="T712" s="0" t="n">
        <v>8456</v>
      </c>
      <c r="U712" s="0" t="n">
        <v>0</v>
      </c>
      <c r="V712" s="0" t="n">
        <v>17.6818933802263</v>
      </c>
      <c r="W712" s="0" t="n">
        <v>20250630</v>
      </c>
      <c r="X712" s="0" t="n">
        <v>0.973987306631968</v>
      </c>
      <c r="Y712" s="0" t="n">
        <v>7.84</v>
      </c>
      <c r="Z712" s="0" t="s">
        <v>105</v>
      </c>
    </row>
    <row r="713" customFormat="false" ht="15" hidden="false" customHeight="false" outlineLevel="0" collapsed="false">
      <c r="A713" s="0" t="n">
        <v>713</v>
      </c>
      <c r="B713" s="0" t="n">
        <v>905293</v>
      </c>
      <c r="C713" s="0" t="n">
        <v>17951</v>
      </c>
      <c r="D713" s="0" t="n">
        <v>747263</v>
      </c>
      <c r="E713" s="0" t="n">
        <v>0.1</v>
      </c>
      <c r="F713" s="0" t="n">
        <v>70680</v>
      </c>
      <c r="G713" s="0" t="n">
        <v>7.80741704619388</v>
      </c>
      <c r="H713" s="0" t="s">
        <v>870</v>
      </c>
      <c r="I713" s="0" t="n">
        <v>0.828192817914186</v>
      </c>
      <c r="J713" s="0" t="n">
        <v>39465</v>
      </c>
      <c r="K713" s="0" t="n">
        <v>1480</v>
      </c>
      <c r="L713" s="0" t="n">
        <v>694645</v>
      </c>
      <c r="M713" s="0" t="n">
        <v>688892</v>
      </c>
      <c r="N713" s="0" t="n">
        <v>636895</v>
      </c>
      <c r="O713" s="0" t="n">
        <v>150</v>
      </c>
      <c r="P713" s="0" t="s">
        <v>145</v>
      </c>
      <c r="Q713" s="0" t="n">
        <v>0.0215937637210373</v>
      </c>
      <c r="R713" s="0" t="n">
        <v>2.79825775230603</v>
      </c>
      <c r="S713" s="0" t="n">
        <v>-2</v>
      </c>
      <c r="T713" s="0" t="n">
        <v>1481</v>
      </c>
      <c r="U713" s="0" t="n">
        <v>0</v>
      </c>
      <c r="V713" s="0" t="n">
        <v>13.0942608216289</v>
      </c>
      <c r="W713" s="0" t="n">
        <v>20250630</v>
      </c>
      <c r="X713" s="0" t="n">
        <v>0.647365164184546</v>
      </c>
      <c r="Y713" s="0" t="n">
        <v>8.15</v>
      </c>
      <c r="Z713" s="0" t="s">
        <v>123</v>
      </c>
    </row>
    <row r="714" customFormat="false" ht="15" hidden="false" customHeight="false" outlineLevel="0" collapsed="false">
      <c r="A714" s="0" t="n">
        <v>714</v>
      </c>
      <c r="B714" s="0" t="n">
        <v>1351508</v>
      </c>
      <c r="C714" s="0" t="n">
        <v>17960</v>
      </c>
      <c r="D714" s="0" t="n">
        <v>1099933</v>
      </c>
      <c r="E714" s="0" t="n">
        <v>0.16</v>
      </c>
      <c r="F714" s="0" t="n">
        <v>119316</v>
      </c>
      <c r="G714" s="0" t="n">
        <v>8.82836061643734</v>
      </c>
      <c r="H714" s="0" t="s">
        <v>871</v>
      </c>
      <c r="I714" s="0" t="n">
        <v>1.1168697299263</v>
      </c>
      <c r="J714" s="0" t="n">
        <v>119286</v>
      </c>
      <c r="K714" s="0" t="n">
        <v>216067</v>
      </c>
      <c r="L714" s="0" t="n">
        <v>1146687</v>
      </c>
      <c r="M714" s="0" t="n">
        <v>1133880</v>
      </c>
      <c r="N714" s="0" t="n">
        <v>807602</v>
      </c>
      <c r="O714" s="0" t="n">
        <v>7677</v>
      </c>
      <c r="P714" s="0" t="s">
        <v>147</v>
      </c>
      <c r="Q714" s="0" t="n">
        <v>0.669493942113236</v>
      </c>
      <c r="R714" s="0" t="n">
        <v>2.95418789912176</v>
      </c>
      <c r="S714" s="0" t="n">
        <v>430</v>
      </c>
      <c r="T714" s="0" t="n">
        <v>5189</v>
      </c>
      <c r="U714" s="0" t="n">
        <v>0</v>
      </c>
      <c r="V714" s="0" t="n">
        <v>13.7977129571644</v>
      </c>
      <c r="W714" s="0" t="n">
        <v>20250630</v>
      </c>
      <c r="X714" s="0" t="n">
        <v>0.262782180471353</v>
      </c>
      <c r="Y714" s="0" t="n">
        <v>3.02</v>
      </c>
      <c r="Z714" s="0" t="s">
        <v>123</v>
      </c>
    </row>
    <row r="715" customFormat="false" ht="15" hidden="false" customHeight="false" outlineLevel="0" collapsed="false">
      <c r="A715" s="0" t="n">
        <v>715</v>
      </c>
      <c r="B715" s="0" t="n">
        <v>2642289</v>
      </c>
      <c r="C715" s="0" t="n">
        <v>18012</v>
      </c>
      <c r="D715" s="0" t="n">
        <v>2262357</v>
      </c>
      <c r="E715" s="0" t="n">
        <v>0.05</v>
      </c>
      <c r="F715" s="0" t="n">
        <v>301653</v>
      </c>
      <c r="G715" s="0" t="n">
        <v>11.4163515043207</v>
      </c>
      <c r="H715" s="0" t="s">
        <v>872</v>
      </c>
      <c r="I715" s="0" t="n">
        <v>1.16762325854947</v>
      </c>
      <c r="J715" s="0" t="n">
        <v>52326</v>
      </c>
      <c r="K715" s="0" t="n">
        <v>25170</v>
      </c>
      <c r="L715" s="0" t="n">
        <v>2150865</v>
      </c>
      <c r="M715" s="0" t="n">
        <v>2125751</v>
      </c>
      <c r="N715" s="0" t="n">
        <v>2050812</v>
      </c>
      <c r="O715" s="0" t="n">
        <v>1020</v>
      </c>
      <c r="P715" s="0" t="s">
        <v>149</v>
      </c>
      <c r="Q715" s="0" t="n">
        <v>0.047422781067152</v>
      </c>
      <c r="R715" s="0" t="n">
        <v>2.89560003912315</v>
      </c>
      <c r="S715" s="0" t="n">
        <v>115</v>
      </c>
      <c r="T715" s="0" t="n">
        <v>4968</v>
      </c>
      <c r="U715" s="0" t="n">
        <v>0</v>
      </c>
      <c r="V715" s="0" t="n">
        <v>13.9483203193009</v>
      </c>
      <c r="W715" s="0" t="n">
        <v>20250630</v>
      </c>
      <c r="X715" s="0" t="n">
        <v>0.790802552231915</v>
      </c>
      <c r="Y715" s="0" t="n">
        <v>7.12</v>
      </c>
      <c r="Z715" s="0" t="s">
        <v>123</v>
      </c>
    </row>
    <row r="716" customFormat="false" ht="15" hidden="false" customHeight="false" outlineLevel="0" collapsed="false">
      <c r="A716" s="0" t="n">
        <v>716</v>
      </c>
      <c r="B716" s="0" t="n">
        <v>2896306</v>
      </c>
      <c r="C716" s="0" t="n">
        <v>18013</v>
      </c>
      <c r="D716" s="0" t="n">
        <v>2573471</v>
      </c>
      <c r="E716" s="0" t="n">
        <v>0.04</v>
      </c>
      <c r="F716" s="0" t="n">
        <v>235044</v>
      </c>
      <c r="G716" s="0" t="n">
        <v>8.11530273389621</v>
      </c>
      <c r="H716" s="0" t="s">
        <v>873</v>
      </c>
      <c r="I716" s="0" t="n">
        <v>0.727725328052091</v>
      </c>
      <c r="J716" s="0" t="n">
        <v>112059</v>
      </c>
      <c r="K716" s="0" t="n">
        <v>20548</v>
      </c>
      <c r="L716" s="0" t="n">
        <v>2423167</v>
      </c>
      <c r="M716" s="0" t="n">
        <v>2405533</v>
      </c>
      <c r="N716" s="0" t="n">
        <v>2224117</v>
      </c>
      <c r="O716" s="0" t="n">
        <v>1401</v>
      </c>
      <c r="P716" s="0" t="s">
        <v>151</v>
      </c>
      <c r="Q716" s="0" t="n">
        <v>0.0641309492907422</v>
      </c>
      <c r="R716" s="0" t="n">
        <v>2.8369626762913</v>
      </c>
      <c r="S716" s="0" t="n">
        <v>-48</v>
      </c>
      <c r="T716" s="0" t="n">
        <v>4609</v>
      </c>
      <c r="U716" s="0" t="n">
        <v>153</v>
      </c>
      <c r="V716" s="0" t="n">
        <v>12.6358689440193</v>
      </c>
      <c r="W716" s="0" t="n">
        <v>20250630</v>
      </c>
      <c r="X716" s="0" t="n">
        <v>0.336164972529288</v>
      </c>
      <c r="Y716" s="0" t="n">
        <v>4.2</v>
      </c>
      <c r="Z716" s="0" t="s">
        <v>123</v>
      </c>
    </row>
    <row r="717" customFormat="false" ht="15" hidden="false" customHeight="false" outlineLevel="0" collapsed="false">
      <c r="A717" s="0" t="n">
        <v>717</v>
      </c>
      <c r="B717" s="0" t="n">
        <v>404550</v>
      </c>
      <c r="C717" s="0" t="n">
        <v>18028</v>
      </c>
      <c r="D717" s="0" t="n">
        <v>343782</v>
      </c>
      <c r="E717" s="0" t="n">
        <v>0.17</v>
      </c>
      <c r="F717" s="0" t="n">
        <v>44056</v>
      </c>
      <c r="G717" s="0" t="n">
        <v>10.8901248300581</v>
      </c>
      <c r="H717" s="0" t="s">
        <v>874</v>
      </c>
      <c r="I717" s="0" t="n">
        <v>0.87127378075453</v>
      </c>
      <c r="J717" s="0" t="n">
        <v>13239</v>
      </c>
      <c r="K717" s="0" t="n">
        <v>4410</v>
      </c>
      <c r="L717" s="0" t="n">
        <v>278902</v>
      </c>
      <c r="M717" s="0" t="n">
        <v>276472</v>
      </c>
      <c r="N717" s="0" t="n">
        <v>256176</v>
      </c>
      <c r="O717" s="0" t="n">
        <v>1323</v>
      </c>
      <c r="P717" s="0" t="s">
        <v>153</v>
      </c>
      <c r="Q717" s="0" t="n">
        <v>0.497665846784892</v>
      </c>
      <c r="R717" s="0" t="n">
        <v>3.48454058231308</v>
      </c>
      <c r="S717" s="0" t="n">
        <v>214</v>
      </c>
      <c r="T717" s="0" t="n">
        <v>1104</v>
      </c>
      <c r="U717" s="0" t="n">
        <v>65</v>
      </c>
      <c r="V717" s="0" t="n">
        <v>0</v>
      </c>
      <c r="W717" s="0" t="n">
        <v>20250630</v>
      </c>
      <c r="X717" s="0" t="n">
        <v>0.514962579054543</v>
      </c>
      <c r="Y717" s="0" t="n">
        <v>4.79</v>
      </c>
      <c r="Z717" s="0" t="s">
        <v>123</v>
      </c>
    </row>
    <row r="718" customFormat="false" ht="15" hidden="false" customHeight="false" outlineLevel="0" collapsed="false">
      <c r="A718" s="0" t="n">
        <v>718</v>
      </c>
      <c r="B718" s="0" t="n">
        <v>805858</v>
      </c>
      <c r="C718" s="0" t="n">
        <v>18030</v>
      </c>
      <c r="D718" s="0" t="n">
        <v>738321</v>
      </c>
      <c r="E718" s="0" t="n">
        <v>0.07</v>
      </c>
      <c r="F718" s="0" t="n">
        <v>58470</v>
      </c>
      <c r="G718" s="0" t="n">
        <v>7.25562071729759</v>
      </c>
      <c r="H718" s="0" t="s">
        <v>875</v>
      </c>
      <c r="I718" s="0" t="n">
        <v>0.999144113076789</v>
      </c>
      <c r="J718" s="0" t="n">
        <v>41693</v>
      </c>
      <c r="K718" s="0" t="n">
        <v>96046</v>
      </c>
      <c r="L718" s="0" t="n">
        <v>601715</v>
      </c>
      <c r="M718" s="0" t="n">
        <v>595703</v>
      </c>
      <c r="N718" s="0" t="n">
        <v>463695</v>
      </c>
      <c r="O718" s="0" t="n">
        <v>1404</v>
      </c>
      <c r="P718" s="0" t="s">
        <v>155</v>
      </c>
      <c r="Q718" s="0" t="n">
        <v>0.233333056347274</v>
      </c>
      <c r="R718" s="0" t="n">
        <v>3.70938416602505</v>
      </c>
      <c r="S718" s="0" t="n">
        <v>94</v>
      </c>
      <c r="T718" s="0" t="n">
        <v>1148</v>
      </c>
      <c r="U718" s="0" t="n">
        <v>0</v>
      </c>
      <c r="V718" s="0" t="n">
        <v>14.1416681477336</v>
      </c>
      <c r="W718" s="0" t="n">
        <v>20250630</v>
      </c>
      <c r="X718" s="0" t="n">
        <v>0.71837995883469</v>
      </c>
      <c r="Y718" s="0" t="n">
        <v>10.16</v>
      </c>
      <c r="Z718" s="0" t="s">
        <v>123</v>
      </c>
    </row>
    <row r="719" customFormat="false" ht="15" hidden="false" customHeight="false" outlineLevel="0" collapsed="false">
      <c r="A719" s="0" t="n">
        <v>719</v>
      </c>
      <c r="B719" s="0" t="n">
        <v>669249</v>
      </c>
      <c r="C719" s="0" t="n">
        <v>18031</v>
      </c>
      <c r="D719" s="0" t="n">
        <v>526372</v>
      </c>
      <c r="E719" s="0" t="n">
        <v>0.08</v>
      </c>
      <c r="F719" s="0" t="n">
        <v>40753</v>
      </c>
      <c r="G719" s="0" t="n">
        <v>6.08936285298895</v>
      </c>
      <c r="H719" s="0" t="s">
        <v>876</v>
      </c>
      <c r="I719" s="0" t="n">
        <v>0.830782491463428</v>
      </c>
      <c r="J719" s="0" t="n">
        <v>22546</v>
      </c>
      <c r="K719" s="0" t="n">
        <v>7202</v>
      </c>
      <c r="L719" s="0" t="n">
        <v>452465</v>
      </c>
      <c r="M719" s="0" t="n">
        <v>448706</v>
      </c>
      <c r="N719" s="0" t="n">
        <v>416232</v>
      </c>
      <c r="O719" s="0" t="n">
        <v>562</v>
      </c>
      <c r="P719" s="0" t="s">
        <v>157</v>
      </c>
      <c r="Q719" s="0" t="n">
        <v>0.125092548594919</v>
      </c>
      <c r="R719" s="0" t="n">
        <v>2.76573202974124</v>
      </c>
      <c r="S719" s="0" t="n">
        <v>172</v>
      </c>
      <c r="T719" s="0" t="n">
        <v>654</v>
      </c>
      <c r="U719" s="0" t="n">
        <v>4</v>
      </c>
      <c r="V719" s="0" t="n">
        <v>16.9548375809498</v>
      </c>
      <c r="W719" s="0" t="n">
        <v>20250630</v>
      </c>
      <c r="X719" s="0" t="n">
        <v>0.193008984250507</v>
      </c>
      <c r="Y719" s="0" t="n">
        <v>3.27</v>
      </c>
      <c r="Z719" s="0" t="s">
        <v>123</v>
      </c>
    </row>
    <row r="720" customFormat="false" ht="15" hidden="false" customHeight="false" outlineLevel="0" collapsed="false">
      <c r="A720" s="0" t="n">
        <v>720</v>
      </c>
      <c r="B720" s="0" t="n">
        <v>597834</v>
      </c>
      <c r="C720" s="0" t="n">
        <v>18038</v>
      </c>
      <c r="D720" s="0" t="n">
        <v>447963</v>
      </c>
      <c r="E720" s="0" t="n">
        <v>0</v>
      </c>
      <c r="F720" s="0" t="n">
        <v>69475</v>
      </c>
      <c r="G720" s="0" t="n">
        <v>11.621118905917</v>
      </c>
      <c r="H720" s="0" t="s">
        <v>877</v>
      </c>
      <c r="I720" s="0" t="n">
        <v>0.859485747933614</v>
      </c>
      <c r="J720" s="0" t="n">
        <v>30598</v>
      </c>
      <c r="K720" s="0" t="n">
        <v>4861</v>
      </c>
      <c r="L720" s="0" t="n">
        <v>458530</v>
      </c>
      <c r="M720" s="0" t="n">
        <v>454589</v>
      </c>
      <c r="N720" s="0" t="n">
        <v>420497</v>
      </c>
      <c r="O720" s="0" t="n">
        <v>2194</v>
      </c>
      <c r="P720" s="0" t="s">
        <v>159</v>
      </c>
      <c r="Q720" s="0" t="n">
        <v>0.478485595271847</v>
      </c>
      <c r="R720" s="0" t="n">
        <v>2.89442109724558</v>
      </c>
      <c r="S720" s="0" t="n">
        <v>-54</v>
      </c>
      <c r="T720" s="0" t="n">
        <v>950</v>
      </c>
      <c r="U720" s="0" t="n">
        <v>0</v>
      </c>
      <c r="V720" s="0" t="n">
        <v>0</v>
      </c>
      <c r="W720" s="0" t="n">
        <v>20250630</v>
      </c>
      <c r="X720" s="0" t="n">
        <v>0.425956323893033</v>
      </c>
      <c r="Y720" s="0" t="n">
        <v>3.58</v>
      </c>
      <c r="Z720" s="0" t="s">
        <v>123</v>
      </c>
    </row>
    <row r="721" customFormat="false" ht="15" hidden="false" customHeight="false" outlineLevel="0" collapsed="false">
      <c r="A721" s="0" t="n">
        <v>721</v>
      </c>
      <c r="B721" s="0" t="n">
        <v>7335916</v>
      </c>
      <c r="C721" s="0" t="n">
        <v>18408</v>
      </c>
      <c r="D721" s="0" t="n">
        <v>5915806</v>
      </c>
      <c r="E721" s="0" t="n">
        <v>0.2</v>
      </c>
      <c r="F721" s="0" t="n">
        <v>467639</v>
      </c>
      <c r="G721" s="0" t="n">
        <v>6.37465041857077</v>
      </c>
      <c r="H721" s="0" t="s">
        <v>878</v>
      </c>
      <c r="I721" s="0" t="n">
        <v>0.745832720319238</v>
      </c>
      <c r="J721" s="0" t="n">
        <v>368953</v>
      </c>
      <c r="K721" s="0" t="n">
        <v>57245</v>
      </c>
      <c r="L721" s="0" t="n">
        <v>5070574</v>
      </c>
      <c r="M721" s="0" t="n">
        <v>5032756</v>
      </c>
      <c r="N721" s="0" t="n">
        <v>4566132</v>
      </c>
      <c r="O721" s="0" t="n">
        <v>33535</v>
      </c>
      <c r="P721" s="0" t="s">
        <v>161</v>
      </c>
      <c r="Q721" s="0" t="n">
        <v>0.661364965780994</v>
      </c>
      <c r="R721" s="0" t="n">
        <v>2.4185246455811</v>
      </c>
      <c r="S721" s="0" t="n">
        <v>458</v>
      </c>
      <c r="T721" s="0" t="n">
        <v>11898</v>
      </c>
      <c r="U721" s="0" t="n">
        <v>0</v>
      </c>
      <c r="V721" s="0" t="n">
        <v>11.148900251832</v>
      </c>
      <c r="W721" s="0" t="n">
        <v>20250630</v>
      </c>
      <c r="X721" s="0" t="n">
        <v>0.106277541750663</v>
      </c>
      <c r="Y721" s="0" t="n">
        <v>1.71</v>
      </c>
      <c r="Z721" s="0" t="s">
        <v>105</v>
      </c>
    </row>
    <row r="722" customFormat="false" ht="15" hidden="false" customHeight="false" outlineLevel="0" collapsed="false">
      <c r="A722" s="0" t="n">
        <v>722</v>
      </c>
      <c r="B722" s="0" t="n">
        <v>2611219</v>
      </c>
      <c r="C722" s="0" t="n">
        <v>19531</v>
      </c>
      <c r="D722" s="0" t="n">
        <v>2294497</v>
      </c>
      <c r="E722" s="0" t="n">
        <v>0</v>
      </c>
      <c r="F722" s="0" t="n">
        <v>275708</v>
      </c>
      <c r="G722" s="0" t="n">
        <v>10.558593515136</v>
      </c>
      <c r="H722" s="0" t="s">
        <v>879</v>
      </c>
      <c r="I722" s="0" t="n">
        <v>0.875275991991493</v>
      </c>
      <c r="J722" s="0" t="n">
        <v>266423</v>
      </c>
      <c r="K722" s="0" t="n">
        <v>6284</v>
      </c>
      <c r="L722" s="0" t="n">
        <v>2215644</v>
      </c>
      <c r="M722" s="0" t="n">
        <v>2196251</v>
      </c>
      <c r="N722" s="0" t="n">
        <v>1826881</v>
      </c>
      <c r="O722" s="0" t="n">
        <v>9735</v>
      </c>
      <c r="P722" s="0" t="s">
        <v>163</v>
      </c>
      <c r="Q722" s="0" t="n">
        <v>0.439601307791324</v>
      </c>
      <c r="R722" s="0" t="n">
        <v>3.21090869460597</v>
      </c>
      <c r="S722" s="0" t="n">
        <v>-418</v>
      </c>
      <c r="T722" s="0" t="n">
        <v>29206</v>
      </c>
      <c r="U722" s="0" t="n">
        <v>5</v>
      </c>
      <c r="V722" s="0" t="n">
        <v>14.1532975883845</v>
      </c>
      <c r="W722" s="0" t="n">
        <v>20250630</v>
      </c>
      <c r="X722" s="0" t="n">
        <v>0.844947020319184</v>
      </c>
      <c r="Y722" s="0" t="n">
        <v>8.21</v>
      </c>
      <c r="Z722" s="0" t="s">
        <v>105</v>
      </c>
    </row>
    <row r="723" customFormat="false" ht="15" hidden="false" customHeight="false" outlineLevel="0" collapsed="false">
      <c r="A723" s="0" t="n">
        <v>723</v>
      </c>
      <c r="B723" s="0" t="n">
        <v>843145</v>
      </c>
      <c r="C723" s="0" t="n">
        <v>19532</v>
      </c>
      <c r="D723" s="0" t="n">
        <v>706708</v>
      </c>
      <c r="E723" s="0" t="n">
        <v>-0.01</v>
      </c>
      <c r="F723" s="0" t="n">
        <v>110106</v>
      </c>
      <c r="G723" s="0" t="n">
        <v>13.0589637606817</v>
      </c>
      <c r="H723" s="0" t="s">
        <v>880</v>
      </c>
      <c r="I723" s="0" t="n">
        <v>0.987745863885026</v>
      </c>
      <c r="J723" s="0" t="n">
        <v>52195</v>
      </c>
      <c r="K723" s="0" t="n">
        <v>49375</v>
      </c>
      <c r="L723" s="0" t="n">
        <v>617669</v>
      </c>
      <c r="M723" s="0" t="n">
        <v>611568</v>
      </c>
      <c r="N723" s="0" t="n">
        <v>511357</v>
      </c>
      <c r="O723" s="0" t="n">
        <v>1705</v>
      </c>
      <c r="P723" s="0" t="s">
        <v>165</v>
      </c>
      <c r="Q723" s="0" t="n">
        <v>0.306636726142966</v>
      </c>
      <c r="R723" s="0" t="n">
        <v>3.61555610853524</v>
      </c>
      <c r="S723" s="0" t="n">
        <v>46</v>
      </c>
      <c r="T723" s="0" t="n">
        <v>817</v>
      </c>
      <c r="U723" s="0" t="n">
        <v>189</v>
      </c>
      <c r="V723" s="0" t="n">
        <v>21.8705548239072</v>
      </c>
      <c r="W723" s="0" t="n">
        <v>20250630</v>
      </c>
      <c r="X723" s="0" t="n">
        <v>0.98381360720577</v>
      </c>
      <c r="Y723" s="0" t="n">
        <v>7.78</v>
      </c>
      <c r="Z723" s="0" t="s">
        <v>105</v>
      </c>
    </row>
    <row r="724" customFormat="false" ht="15" hidden="false" customHeight="false" outlineLevel="0" collapsed="false">
      <c r="A724" s="0" t="n">
        <v>724</v>
      </c>
      <c r="B724" s="0" t="n">
        <v>4279069</v>
      </c>
      <c r="C724" s="0" t="n">
        <v>19690</v>
      </c>
      <c r="D724" s="0" t="n">
        <v>3405883</v>
      </c>
      <c r="E724" s="0" t="n">
        <v>0.3</v>
      </c>
      <c r="F724" s="0" t="n">
        <v>494286</v>
      </c>
      <c r="G724" s="0" t="n">
        <v>11.5512509847352</v>
      </c>
      <c r="H724" s="0" t="s">
        <v>881</v>
      </c>
      <c r="I724" s="0" t="n">
        <v>1.26459141402322</v>
      </c>
      <c r="J724" s="0" t="n">
        <v>157469</v>
      </c>
      <c r="K724" s="0" t="n">
        <v>145</v>
      </c>
      <c r="L724" s="0" t="n">
        <v>3790157</v>
      </c>
      <c r="M724" s="0" t="n">
        <v>3742227</v>
      </c>
      <c r="N724" s="0" t="n">
        <v>2852951</v>
      </c>
      <c r="O724" s="0" t="n">
        <v>35011</v>
      </c>
      <c r="P724" s="0" t="s">
        <v>167</v>
      </c>
      <c r="Q724" s="0" t="n">
        <v>0.923734821539055</v>
      </c>
      <c r="R724" s="0" t="n">
        <v>4.88660948292711</v>
      </c>
      <c r="S724" s="0" t="n">
        <v>2575</v>
      </c>
      <c r="T724" s="0" t="n">
        <v>1334</v>
      </c>
      <c r="U724" s="0" t="n">
        <v>0</v>
      </c>
      <c r="V724" s="0" t="n">
        <v>14.6965811023661</v>
      </c>
      <c r="W724" s="0" t="n">
        <v>20250630</v>
      </c>
      <c r="X724" s="0" t="n">
        <v>2.09184214445272</v>
      </c>
      <c r="Y724" s="0" t="n">
        <v>18.73</v>
      </c>
      <c r="Z724" s="0" t="s">
        <v>105</v>
      </c>
    </row>
    <row r="725" customFormat="false" ht="15" hidden="false" customHeight="false" outlineLevel="0" collapsed="false">
      <c r="A725" s="0" t="n">
        <v>725</v>
      </c>
      <c r="B725" s="0" t="n">
        <v>755186</v>
      </c>
      <c r="C725" s="0" t="n">
        <v>19836</v>
      </c>
      <c r="D725" s="0" t="n">
        <v>587526</v>
      </c>
      <c r="E725" s="0" t="n">
        <v>0.03</v>
      </c>
      <c r="F725" s="0" t="n">
        <v>130465</v>
      </c>
      <c r="G725" s="0" t="n">
        <v>17.2758764066071</v>
      </c>
      <c r="H725" s="0" t="s">
        <v>882</v>
      </c>
      <c r="I725" s="0" t="n">
        <v>0.705583093370815</v>
      </c>
      <c r="J725" s="0" t="n">
        <v>43608</v>
      </c>
      <c r="K725" s="0" t="n">
        <v>10432</v>
      </c>
      <c r="L725" s="0" t="n">
        <v>643156</v>
      </c>
      <c r="M725" s="0" t="n">
        <v>638618</v>
      </c>
      <c r="N725" s="0" t="n">
        <v>587491</v>
      </c>
      <c r="O725" s="0" t="n">
        <v>8281</v>
      </c>
      <c r="P725" s="0" t="s">
        <v>145</v>
      </c>
      <c r="Q725" s="0" t="n">
        <v>1.30948012612803</v>
      </c>
      <c r="R725" s="0" t="n">
        <v>3.96457803239998</v>
      </c>
      <c r="S725" s="0" t="n">
        <v>31</v>
      </c>
      <c r="T725" s="0" t="n">
        <v>5102</v>
      </c>
      <c r="U725" s="0" t="n">
        <v>141</v>
      </c>
      <c r="V725" s="0" t="n">
        <v>23.0548516374529</v>
      </c>
      <c r="W725" s="0" t="n">
        <v>20250630</v>
      </c>
      <c r="X725" s="0" t="n">
        <v>0.839541245838753</v>
      </c>
      <c r="Y725" s="0" t="n">
        <v>4.82</v>
      </c>
      <c r="Z725" s="0" t="s">
        <v>105</v>
      </c>
    </row>
    <row r="726" customFormat="false" ht="15" hidden="false" customHeight="false" outlineLevel="0" collapsed="false">
      <c r="A726" s="0" t="n">
        <v>726</v>
      </c>
      <c r="B726" s="0" t="n">
        <v>1748522</v>
      </c>
      <c r="C726" s="0" t="n">
        <v>24540</v>
      </c>
      <c r="D726" s="0" t="n">
        <v>1440031</v>
      </c>
      <c r="E726" s="0" t="n">
        <v>0.14</v>
      </c>
      <c r="F726" s="0" t="n">
        <v>282051</v>
      </c>
      <c r="G726" s="0" t="n">
        <v>16.1308236327596</v>
      </c>
      <c r="H726" s="0" t="s">
        <v>883</v>
      </c>
      <c r="I726" s="0" t="n">
        <v>1.00402889341922</v>
      </c>
      <c r="J726" s="0" t="n">
        <v>47445</v>
      </c>
      <c r="K726" s="0" t="n">
        <v>126</v>
      </c>
      <c r="L726" s="0" t="n">
        <v>1549557</v>
      </c>
      <c r="M726" s="0" t="n">
        <v>1533999</v>
      </c>
      <c r="N726" s="0" t="n">
        <v>1506054</v>
      </c>
      <c r="O726" s="0" t="n">
        <v>11424</v>
      </c>
      <c r="P726" s="0" t="s">
        <v>170</v>
      </c>
      <c r="Q726" s="0" t="n">
        <v>0.737242966860851</v>
      </c>
      <c r="R726" s="0" t="n">
        <v>4.28649738721819</v>
      </c>
      <c r="S726" s="0" t="n">
        <v>0</v>
      </c>
      <c r="T726" s="0" t="n">
        <v>0</v>
      </c>
      <c r="U726" s="0" t="n">
        <v>0</v>
      </c>
      <c r="V726" s="0" t="n">
        <v>0</v>
      </c>
      <c r="W726" s="0" t="n">
        <v>20250630</v>
      </c>
      <c r="X726" s="0" t="n">
        <v>2.05176886595267</v>
      </c>
      <c r="Y726" s="0" t="n">
        <v>12.25</v>
      </c>
      <c r="Z726" s="0" t="s">
        <v>123</v>
      </c>
    </row>
    <row r="727" customFormat="false" ht="15" hidden="false" customHeight="false" outlineLevel="0" collapsed="false">
      <c r="A727" s="0" t="n">
        <v>727</v>
      </c>
      <c r="B727" s="0" t="n">
        <v>571650</v>
      </c>
      <c r="C727" s="0" t="n">
        <v>27824</v>
      </c>
      <c r="D727" s="0" t="n">
        <v>388196</v>
      </c>
      <c r="E727" s="0" t="n">
        <v>0.06</v>
      </c>
      <c r="F727" s="0" t="n">
        <v>62136</v>
      </c>
      <c r="G727" s="0" t="n">
        <v>10.8695880346366</v>
      </c>
      <c r="H727" s="0" t="s">
        <v>884</v>
      </c>
      <c r="I727" s="0" t="n">
        <v>0.62787688522156</v>
      </c>
      <c r="J727" s="0" t="n">
        <v>18433</v>
      </c>
      <c r="K727" s="0" t="n">
        <v>31632</v>
      </c>
      <c r="L727" s="0" t="n">
        <v>471430</v>
      </c>
      <c r="M727" s="0" t="n">
        <v>468470</v>
      </c>
      <c r="N727" s="0" t="n">
        <v>421364</v>
      </c>
      <c r="O727" s="0" t="n">
        <v>2044</v>
      </c>
      <c r="P727" s="0" t="s">
        <v>172</v>
      </c>
      <c r="Q727" s="0" t="n">
        <v>0.433574443713807</v>
      </c>
      <c r="R727" s="0" t="n">
        <v>1.91505644013124</v>
      </c>
      <c r="S727" s="0" t="n">
        <v>42</v>
      </c>
      <c r="T727" s="0" t="n">
        <v>1687</v>
      </c>
      <c r="U727" s="0" t="n">
        <v>0</v>
      </c>
      <c r="V727" s="0" t="n">
        <v>18.9590144003458</v>
      </c>
      <c r="W727" s="0" t="n">
        <v>20250630</v>
      </c>
      <c r="X727" s="0" t="n">
        <v>-0.305904588568829</v>
      </c>
      <c r="Y727" s="0" t="n">
        <v>-2.81</v>
      </c>
      <c r="Z727" s="0" t="s">
        <v>123</v>
      </c>
    </row>
    <row r="728" customFormat="false" ht="15" hidden="false" customHeight="false" outlineLevel="0" collapsed="false">
      <c r="A728" s="0" t="n">
        <v>728</v>
      </c>
      <c r="B728" s="0" t="n">
        <v>317001</v>
      </c>
      <c r="C728" s="0" t="n">
        <v>28155</v>
      </c>
      <c r="D728" s="0" t="n">
        <v>287929</v>
      </c>
      <c r="E728" s="0" t="n">
        <v>0</v>
      </c>
      <c r="F728" s="0" t="n">
        <v>27470</v>
      </c>
      <c r="G728" s="0" t="n">
        <v>8.6655878057167</v>
      </c>
      <c r="H728" s="0" t="s">
        <v>885</v>
      </c>
      <c r="I728" s="0" t="n">
        <v>0.423656163754722</v>
      </c>
      <c r="J728" s="0" t="n">
        <v>8456</v>
      </c>
      <c r="K728" s="0" t="n">
        <v>6285</v>
      </c>
      <c r="L728" s="0" t="n">
        <v>180807</v>
      </c>
      <c r="M728" s="0" t="n">
        <v>180041</v>
      </c>
      <c r="N728" s="0" t="n">
        <v>165552</v>
      </c>
      <c r="O728" s="0" t="n">
        <v>0</v>
      </c>
      <c r="P728" s="0" t="s">
        <v>174</v>
      </c>
      <c r="Q728" s="0" t="n">
        <v>0</v>
      </c>
      <c r="R728" s="0" t="n">
        <v>2.66189945807321</v>
      </c>
      <c r="S728" s="0" t="n">
        <v>22</v>
      </c>
      <c r="T728" s="0" t="n">
        <v>1753</v>
      </c>
      <c r="U728" s="0" t="n">
        <v>0</v>
      </c>
      <c r="V728" s="0" t="n">
        <v>17.1811647071487</v>
      </c>
      <c r="W728" s="0" t="n">
        <v>20250630</v>
      </c>
      <c r="X728" s="0" t="n">
        <v>-0.0309202389410805</v>
      </c>
      <c r="Y728" s="0" t="n">
        <v>-0.34</v>
      </c>
      <c r="Z728" s="0" t="s">
        <v>123</v>
      </c>
    </row>
    <row r="729" customFormat="false" ht="15" hidden="false" customHeight="false" outlineLevel="0" collapsed="false">
      <c r="A729" s="0" t="n">
        <v>729</v>
      </c>
      <c r="B729" s="0" t="n">
        <v>102731</v>
      </c>
      <c r="C729" s="0" t="n">
        <v>28288</v>
      </c>
      <c r="D729" s="0" t="n">
        <v>76453</v>
      </c>
      <c r="E729" s="0" t="n">
        <v>0</v>
      </c>
      <c r="F729" s="0" t="n">
        <v>6269</v>
      </c>
      <c r="G729" s="0" t="n">
        <v>6.1023449591652</v>
      </c>
      <c r="H729" s="0" t="s">
        <v>886</v>
      </c>
      <c r="I729" s="0" t="n">
        <v>0.96923674122956</v>
      </c>
      <c r="J729" s="0" t="n">
        <v>4189</v>
      </c>
      <c r="K729" s="0" t="n">
        <v>3375</v>
      </c>
      <c r="L729" s="0" t="n">
        <v>82436</v>
      </c>
      <c r="M729" s="0" t="n">
        <v>81637</v>
      </c>
      <c r="N729" s="0" t="n">
        <v>74872</v>
      </c>
      <c r="O729" s="0" t="n">
        <v>99</v>
      </c>
      <c r="P729" s="0" t="s">
        <v>176</v>
      </c>
      <c r="Q729" s="0" t="n">
        <v>0.120093163181134</v>
      </c>
      <c r="R729" s="0" t="n">
        <v>2.73418663286535</v>
      </c>
      <c r="S729" s="0" t="n">
        <v>1</v>
      </c>
      <c r="T729" s="0" t="n">
        <v>160</v>
      </c>
      <c r="U729" s="0" t="n">
        <v>0</v>
      </c>
      <c r="V729" s="0" t="n">
        <v>13.1832466884013</v>
      </c>
      <c r="W729" s="0" t="n">
        <v>20250630</v>
      </c>
      <c r="X729" s="0" t="n">
        <v>0.2469079353467</v>
      </c>
      <c r="Y729" s="0" t="n">
        <v>4.13</v>
      </c>
      <c r="Z729" s="0" t="s">
        <v>105</v>
      </c>
    </row>
    <row r="730" customFormat="false" ht="15" hidden="false" customHeight="false" outlineLevel="0" collapsed="false">
      <c r="A730" s="0" t="n">
        <v>730</v>
      </c>
      <c r="B730" s="0" t="n">
        <v>93177</v>
      </c>
      <c r="C730" s="0" t="n">
        <v>28369</v>
      </c>
      <c r="D730" s="0" t="n">
        <v>73160</v>
      </c>
      <c r="E730" s="0" t="n">
        <v>-0.1</v>
      </c>
      <c r="F730" s="0" t="n">
        <v>9091</v>
      </c>
      <c r="G730" s="0" t="n">
        <v>9.75669961471179</v>
      </c>
      <c r="H730" s="0" t="s">
        <v>887</v>
      </c>
      <c r="I730" s="0" t="n">
        <v>0.788828882888289</v>
      </c>
      <c r="J730" s="0" t="n">
        <v>12550</v>
      </c>
      <c r="K730" s="0" t="n">
        <v>678</v>
      </c>
      <c r="L730" s="0" t="n">
        <v>79992</v>
      </c>
      <c r="M730" s="0" t="n">
        <v>79361</v>
      </c>
      <c r="N730" s="0" t="n">
        <v>66764</v>
      </c>
      <c r="O730" s="0" t="n">
        <v>86</v>
      </c>
      <c r="P730" s="0" t="s">
        <v>178</v>
      </c>
      <c r="Q730" s="0" t="n">
        <v>0.107510751075108</v>
      </c>
      <c r="R730" s="0" t="n">
        <v>3.43158918975128</v>
      </c>
      <c r="S730" s="0" t="n">
        <v>-59</v>
      </c>
      <c r="T730" s="0" t="n">
        <v>180</v>
      </c>
      <c r="U730" s="0" t="n">
        <v>0</v>
      </c>
      <c r="V730" s="0" t="n">
        <v>14.1380843593321</v>
      </c>
      <c r="W730" s="0" t="n">
        <v>20250630</v>
      </c>
      <c r="X730" s="0" t="n">
        <v>0.102707117103945</v>
      </c>
      <c r="Y730" s="0" t="n">
        <v>1.06</v>
      </c>
      <c r="Z730" s="0" t="s">
        <v>105</v>
      </c>
    </row>
    <row r="731" customFormat="false" ht="15" hidden="false" customHeight="false" outlineLevel="0" collapsed="false">
      <c r="A731" s="0" t="n">
        <v>731</v>
      </c>
      <c r="B731" s="0" t="n">
        <v>279103</v>
      </c>
      <c r="C731" s="0" t="n">
        <v>28837</v>
      </c>
      <c r="D731" s="0" t="n">
        <v>248250</v>
      </c>
      <c r="E731" s="0" t="n">
        <v>-0.05</v>
      </c>
      <c r="F731" s="0" t="n">
        <v>28295</v>
      </c>
      <c r="G731" s="0" t="n">
        <v>10.1378344195512</v>
      </c>
      <c r="H731" s="0" t="s">
        <v>888</v>
      </c>
      <c r="I731" s="0" t="n">
        <v>1.03979663645895</v>
      </c>
      <c r="J731" s="0" t="n">
        <v>7567</v>
      </c>
      <c r="K731" s="0" t="n">
        <v>1028</v>
      </c>
      <c r="L731" s="0" t="n">
        <v>208887</v>
      </c>
      <c r="M731" s="0" t="n">
        <v>206715</v>
      </c>
      <c r="N731" s="0" t="n">
        <v>199905</v>
      </c>
      <c r="O731" s="0" t="n">
        <v>253</v>
      </c>
      <c r="P731" s="0" t="s">
        <v>180</v>
      </c>
      <c r="Q731" s="0" t="n">
        <v>0.155107785549125</v>
      </c>
      <c r="R731" s="0" t="n">
        <v>4.00864887356595</v>
      </c>
      <c r="S731" s="0" t="n">
        <v>-2</v>
      </c>
      <c r="T731" s="0" t="n">
        <v>1246</v>
      </c>
      <c r="U731" s="0" t="n">
        <v>71</v>
      </c>
      <c r="V731" s="0" t="n">
        <v>17.9895121488231</v>
      </c>
      <c r="W731" s="0" t="n">
        <v>20250630</v>
      </c>
      <c r="X731" s="0" t="n">
        <v>-0.326447120470196</v>
      </c>
      <c r="Y731" s="0" t="n">
        <v>-3.24</v>
      </c>
      <c r="Z731" s="0" t="s">
        <v>112</v>
      </c>
    </row>
    <row r="732" customFormat="false" ht="15" hidden="false" customHeight="false" outlineLevel="0" collapsed="false">
      <c r="A732" s="0" t="n">
        <v>732</v>
      </c>
      <c r="B732" s="0" t="n">
        <v>185573</v>
      </c>
      <c r="C732" s="0" t="n">
        <v>29636</v>
      </c>
      <c r="D732" s="0" t="n">
        <v>139676</v>
      </c>
      <c r="E732" s="0" t="n">
        <v>0</v>
      </c>
      <c r="F732" s="0" t="n">
        <v>27646</v>
      </c>
      <c r="G732" s="0" t="n">
        <v>14.897641359465</v>
      </c>
      <c r="H732" s="0" t="s">
        <v>889</v>
      </c>
      <c r="I732" s="0" t="n">
        <v>1.32524707996406</v>
      </c>
      <c r="J732" s="0" t="n">
        <v>1667</v>
      </c>
      <c r="K732" s="0" t="n">
        <v>1619</v>
      </c>
      <c r="L732" s="0" t="n">
        <v>146916</v>
      </c>
      <c r="M732" s="0" t="n">
        <v>144969</v>
      </c>
      <c r="N732" s="0" t="n">
        <v>143630</v>
      </c>
      <c r="O732" s="0" t="n">
        <v>3102</v>
      </c>
      <c r="P732" s="0" t="s">
        <v>182</v>
      </c>
      <c r="Q732" s="0" t="n">
        <v>2.11141060197664</v>
      </c>
      <c r="R732" s="0" t="n">
        <v>3.50724516740479</v>
      </c>
      <c r="S732" s="0" t="n">
        <v>23</v>
      </c>
      <c r="T732" s="0" t="n">
        <v>4225</v>
      </c>
      <c r="U732" s="0" t="n">
        <v>0</v>
      </c>
      <c r="V732" s="0" t="n">
        <v>27.1672138701688</v>
      </c>
      <c r="W732" s="0" t="n">
        <v>20250630</v>
      </c>
      <c r="X732" s="0" t="n">
        <v>0.234619113348782</v>
      </c>
      <c r="Y732" s="0" t="n">
        <v>1.58</v>
      </c>
      <c r="Z732" s="0" t="s">
        <v>105</v>
      </c>
    </row>
    <row r="733" customFormat="false" ht="15" hidden="false" customHeight="false" outlineLevel="0" collapsed="false">
      <c r="A733" s="0" t="n">
        <v>733</v>
      </c>
      <c r="B733" s="0" t="n">
        <v>200783</v>
      </c>
      <c r="C733" s="0" t="n">
        <v>29743</v>
      </c>
      <c r="D733" s="0" t="n">
        <v>176912</v>
      </c>
      <c r="E733" s="0" t="n">
        <v>0.05</v>
      </c>
      <c r="F733" s="0" t="n">
        <v>19214</v>
      </c>
      <c r="G733" s="0" t="n">
        <v>9.56953526942022</v>
      </c>
      <c r="H733" s="0" t="s">
        <v>890</v>
      </c>
      <c r="I733" s="0" t="n">
        <v>0.62705753252861</v>
      </c>
      <c r="J733" s="0" t="n">
        <v>26522</v>
      </c>
      <c r="K733" s="0" t="n">
        <v>23119</v>
      </c>
      <c r="L733" s="0" t="n">
        <v>140338</v>
      </c>
      <c r="M733" s="0" t="n">
        <v>139458</v>
      </c>
      <c r="N733" s="0" t="n">
        <v>89612</v>
      </c>
      <c r="O733" s="0" t="n">
        <v>662</v>
      </c>
      <c r="P733" s="0" t="s">
        <v>184</v>
      </c>
      <c r="Q733" s="0" t="n">
        <v>0.471718280152204</v>
      </c>
      <c r="R733" s="0" t="n">
        <v>2.75663046959155</v>
      </c>
      <c r="S733" s="0" t="n">
        <v>36</v>
      </c>
      <c r="T733" s="0" t="n">
        <v>763</v>
      </c>
      <c r="U733" s="0" t="n">
        <v>0</v>
      </c>
      <c r="V733" s="0" t="n">
        <v>18.1286751690254</v>
      </c>
      <c r="W733" s="0" t="n">
        <v>20250630</v>
      </c>
      <c r="X733" s="0" t="n">
        <v>0.538521901715605</v>
      </c>
      <c r="Y733" s="0" t="n">
        <v>5.78</v>
      </c>
      <c r="Z733" s="0" t="s">
        <v>105</v>
      </c>
    </row>
    <row r="734" customFormat="false" ht="15" hidden="false" customHeight="false" outlineLevel="0" collapsed="false">
      <c r="A734" s="0" t="n">
        <v>734</v>
      </c>
      <c r="B734" s="0" t="n">
        <v>605109</v>
      </c>
      <c r="C734" s="0" t="n">
        <v>29744</v>
      </c>
      <c r="D734" s="0" t="n">
        <v>489906</v>
      </c>
      <c r="E734" s="0" t="n">
        <v>0.02</v>
      </c>
      <c r="F734" s="0" t="n">
        <v>44554</v>
      </c>
      <c r="G734" s="0" t="n">
        <v>7.36297096886677</v>
      </c>
      <c r="H734" s="0" t="s">
        <v>891</v>
      </c>
      <c r="I734" s="0" t="n">
        <v>0.799810792556325</v>
      </c>
      <c r="J734" s="0" t="n">
        <v>24902</v>
      </c>
      <c r="K734" s="0" t="n">
        <v>12774</v>
      </c>
      <c r="L734" s="0" t="n">
        <v>439729</v>
      </c>
      <c r="M734" s="0" t="n">
        <v>436212</v>
      </c>
      <c r="N734" s="0" t="n">
        <v>402053</v>
      </c>
      <c r="O734" s="0" t="n">
        <v>14</v>
      </c>
      <c r="P734" s="0" t="s">
        <v>186</v>
      </c>
      <c r="Q734" s="0" t="n">
        <v>0.0031837791003095</v>
      </c>
      <c r="R734" s="0" t="n">
        <v>2.32561114451281</v>
      </c>
      <c r="S734" s="0" t="n">
        <v>-1</v>
      </c>
      <c r="T734" s="0" t="n">
        <v>200</v>
      </c>
      <c r="U734" s="0" t="n">
        <v>0</v>
      </c>
      <c r="V734" s="0" t="n">
        <v>15.2305620070175</v>
      </c>
      <c r="W734" s="0" t="n">
        <v>20250630</v>
      </c>
      <c r="X734" s="0" t="n">
        <v>-0.385522175114088</v>
      </c>
      <c r="Y734" s="0" t="n">
        <v>-5.11</v>
      </c>
      <c r="Z734" s="0" t="s">
        <v>123</v>
      </c>
    </row>
    <row r="735" customFormat="false" ht="15" hidden="false" customHeight="false" outlineLevel="0" collapsed="false">
      <c r="A735" s="0" t="n">
        <v>735</v>
      </c>
      <c r="B735" s="0" t="n">
        <v>621434</v>
      </c>
      <c r="C735" s="0" t="n">
        <v>30350</v>
      </c>
      <c r="D735" s="0" t="n">
        <v>477487</v>
      </c>
      <c r="E735" s="0" t="n">
        <v>0.03</v>
      </c>
      <c r="F735" s="0" t="n">
        <v>64425</v>
      </c>
      <c r="G735" s="0" t="n">
        <v>10.367150815694</v>
      </c>
      <c r="H735" s="0" t="s">
        <v>892</v>
      </c>
      <c r="I735" s="0" t="n">
        <v>1.10904919853296</v>
      </c>
      <c r="J735" s="0" t="n">
        <v>15301</v>
      </c>
      <c r="K735" s="0" t="n">
        <v>1564</v>
      </c>
      <c r="L735" s="0" t="n">
        <v>479059</v>
      </c>
      <c r="M735" s="0" t="n">
        <v>473746</v>
      </c>
      <c r="N735" s="0" t="n">
        <v>461052</v>
      </c>
      <c r="O735" s="0" t="n">
        <v>1787</v>
      </c>
      <c r="P735" s="0" t="s">
        <v>188</v>
      </c>
      <c r="Q735" s="0" t="n">
        <v>0.37302294706915</v>
      </c>
      <c r="R735" s="0" t="n">
        <v>2.7562664518235</v>
      </c>
      <c r="S735" s="0" t="n">
        <v>35</v>
      </c>
      <c r="T735" s="0" t="n">
        <v>1554</v>
      </c>
      <c r="U735" s="0" t="n">
        <v>0</v>
      </c>
      <c r="V735" s="0" t="n">
        <v>20.0140311414907</v>
      </c>
      <c r="W735" s="0" t="n">
        <v>20250630</v>
      </c>
      <c r="X735" s="0" t="n">
        <v>0.75252389871844</v>
      </c>
      <c r="Y735" s="0" t="n">
        <v>7.3</v>
      </c>
      <c r="Z735" s="0" t="s">
        <v>112</v>
      </c>
    </row>
    <row r="736" customFormat="false" ht="15" hidden="false" customHeight="false" outlineLevel="0" collapsed="false">
      <c r="A736" s="0" t="n">
        <v>736</v>
      </c>
      <c r="B736" s="0" t="n">
        <v>98909</v>
      </c>
      <c r="C736" s="0" t="n">
        <v>30878</v>
      </c>
      <c r="D736" s="0" t="n">
        <v>72725</v>
      </c>
      <c r="E736" s="0" t="n">
        <v>-0.11</v>
      </c>
      <c r="F736" s="0" t="n">
        <v>11891</v>
      </c>
      <c r="G736" s="0" t="n">
        <v>12.0221617850752</v>
      </c>
      <c r="H736" s="0" t="s">
        <v>893</v>
      </c>
      <c r="I736" s="0" t="n">
        <v>0.788042214886792</v>
      </c>
      <c r="J736" s="0" t="n">
        <v>0</v>
      </c>
      <c r="K736" s="0" t="n">
        <v>176</v>
      </c>
      <c r="L736" s="0" t="n">
        <v>86036</v>
      </c>
      <c r="M736" s="0" t="n">
        <v>85358</v>
      </c>
      <c r="N736" s="0" t="n">
        <v>85860</v>
      </c>
      <c r="O736" s="0" t="n">
        <v>1353</v>
      </c>
      <c r="P736" s="0" t="s">
        <v>190</v>
      </c>
      <c r="Q736" s="0" t="n">
        <v>1.57259751731833</v>
      </c>
      <c r="R736" s="0" t="n">
        <v>1.49226620464168</v>
      </c>
      <c r="S736" s="0" t="n">
        <v>0</v>
      </c>
      <c r="T736" s="0" t="n">
        <v>771</v>
      </c>
      <c r="U736" s="0" t="n">
        <v>0</v>
      </c>
      <c r="V736" s="0" t="n">
        <v>0</v>
      </c>
      <c r="W736" s="0" t="n">
        <v>20250630</v>
      </c>
      <c r="X736" s="0" t="n">
        <v>0.0020154179472968</v>
      </c>
      <c r="Y736" s="0" t="n">
        <v>0.02</v>
      </c>
      <c r="Z736" s="0" t="s">
        <v>105</v>
      </c>
    </row>
    <row r="737" customFormat="false" ht="15" hidden="false" customHeight="false" outlineLevel="0" collapsed="false">
      <c r="A737" s="0" t="n">
        <v>737</v>
      </c>
      <c r="B737" s="0" t="n">
        <v>993609</v>
      </c>
      <c r="C737" s="0" t="n">
        <v>33418</v>
      </c>
      <c r="D737" s="0" t="n">
        <v>817518</v>
      </c>
      <c r="E737" s="0" t="n">
        <v>0.14</v>
      </c>
      <c r="F737" s="0" t="n">
        <v>69945</v>
      </c>
      <c r="G737" s="0" t="n">
        <v>7.03948937660589</v>
      </c>
      <c r="H737" s="0" t="s">
        <v>894</v>
      </c>
      <c r="I737" s="0" t="n">
        <v>0.702306329496071</v>
      </c>
      <c r="J737" s="0" t="n">
        <v>83984</v>
      </c>
      <c r="K737" s="0" t="n">
        <v>17087</v>
      </c>
      <c r="L737" s="0" t="n">
        <v>629355</v>
      </c>
      <c r="M737" s="0" t="n">
        <v>624935</v>
      </c>
      <c r="N737" s="0" t="n">
        <v>528008</v>
      </c>
      <c r="O737" s="0" t="n">
        <v>1191</v>
      </c>
      <c r="P737" s="0" t="s">
        <v>192</v>
      </c>
      <c r="Q737" s="0" t="n">
        <v>0.189241366160593</v>
      </c>
      <c r="R737" s="0" t="n">
        <v>2.58498658033812</v>
      </c>
      <c r="S737" s="0" t="n">
        <v>-3</v>
      </c>
      <c r="T737" s="0" t="n">
        <v>580</v>
      </c>
      <c r="U737" s="0" t="n">
        <v>0</v>
      </c>
      <c r="V737" s="0" t="n">
        <v>12.4261039075517</v>
      </c>
      <c r="W737" s="0" t="n">
        <v>20250630</v>
      </c>
      <c r="X737" s="0" t="n">
        <v>0.618819302365185</v>
      </c>
      <c r="Y737" s="0" t="n">
        <v>8.6</v>
      </c>
      <c r="Z737" s="0" t="s">
        <v>112</v>
      </c>
    </row>
    <row r="738" customFormat="false" ht="15" hidden="false" customHeight="false" outlineLevel="0" collapsed="false">
      <c r="A738" s="0" t="n">
        <v>738</v>
      </c>
      <c r="B738" s="0" t="n">
        <v>72604</v>
      </c>
      <c r="C738" s="0" t="n">
        <v>35206</v>
      </c>
      <c r="D738" s="0" t="n">
        <v>500</v>
      </c>
      <c r="E738" s="0" t="n">
        <v>0</v>
      </c>
      <c r="F738" s="0" t="n">
        <v>70119</v>
      </c>
      <c r="G738" s="0" t="n">
        <v>96.57732356344</v>
      </c>
      <c r="H738" s="0" t="s">
        <v>895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  <c r="O738" s="0" t="n">
        <v>0</v>
      </c>
      <c r="P738" s="0" t="s">
        <v>252</v>
      </c>
      <c r="Q738" s="0" t="n">
        <v>0</v>
      </c>
      <c r="R738" s="0" t="n">
        <v>4.14720593593693</v>
      </c>
      <c r="S738" s="0" t="n">
        <v>0</v>
      </c>
      <c r="T738" s="0" t="n">
        <v>0</v>
      </c>
      <c r="U738" s="0" t="n">
        <v>0</v>
      </c>
      <c r="V738" s="0" t="n">
        <v>0</v>
      </c>
      <c r="W738" s="0" t="n">
        <v>20250630</v>
      </c>
      <c r="X738" s="0" t="n">
        <v>28.4880056721944</v>
      </c>
      <c r="Y738" s="0" t="n">
        <v>29.55</v>
      </c>
      <c r="Z738" s="0" t="s">
        <v>123</v>
      </c>
    </row>
    <row r="739" customFormat="false" ht="15" hidden="false" customHeight="false" outlineLevel="0" collapsed="false">
      <c r="A739" s="0" t="n">
        <v>739</v>
      </c>
      <c r="B739" s="0" t="n">
        <v>6902692</v>
      </c>
      <c r="C739" s="0" t="n">
        <v>4255</v>
      </c>
      <c r="D739" s="0" t="n">
        <v>5545916</v>
      </c>
      <c r="E739" s="0" t="n">
        <v>0.5</v>
      </c>
      <c r="F739" s="0" t="n">
        <v>687541</v>
      </c>
      <c r="G739" s="0" t="n">
        <v>9.96047628954037</v>
      </c>
      <c r="H739" s="0" t="s">
        <v>896</v>
      </c>
      <c r="I739" s="0" t="n">
        <v>1.07030046411581</v>
      </c>
      <c r="J739" s="0" t="n">
        <v>341829</v>
      </c>
      <c r="K739" s="0" t="n">
        <v>23213</v>
      </c>
      <c r="L739" s="0" t="n">
        <v>4953936</v>
      </c>
      <c r="M739" s="0" t="n">
        <v>4900914</v>
      </c>
      <c r="N739" s="0" t="n">
        <v>4456325</v>
      </c>
      <c r="O739" s="0" t="n">
        <v>18177</v>
      </c>
      <c r="P739" s="0" t="s">
        <v>194</v>
      </c>
      <c r="Q739" s="0" t="n">
        <v>0.366920363928803</v>
      </c>
      <c r="R739" s="0" t="n">
        <v>3.34318547116714</v>
      </c>
      <c r="S739" s="0" t="n">
        <v>1246</v>
      </c>
      <c r="T739" s="0" t="n">
        <v>4114</v>
      </c>
      <c r="U739" s="0" t="n">
        <v>0</v>
      </c>
      <c r="V739" s="0" t="n">
        <v>12.8539272598033</v>
      </c>
      <c r="W739" s="0" t="n">
        <v>20250630</v>
      </c>
      <c r="X739" s="0" t="n">
        <v>0.719073888795519</v>
      </c>
      <c r="Y739" s="0" t="n">
        <v>7.44</v>
      </c>
      <c r="Z739" s="0" t="s">
        <v>105</v>
      </c>
    </row>
    <row r="740" customFormat="false" ht="15" hidden="false" customHeight="false" outlineLevel="0" collapsed="false">
      <c r="A740" s="0" t="n">
        <v>740</v>
      </c>
      <c r="B740" s="0" t="n">
        <v>3164056</v>
      </c>
      <c r="C740" s="0" t="n">
        <v>4256</v>
      </c>
      <c r="D740" s="0" t="n">
        <v>2706351</v>
      </c>
      <c r="E740" s="0" t="n">
        <v>0.06</v>
      </c>
      <c r="F740" s="0" t="n">
        <v>236733</v>
      </c>
      <c r="G740" s="0" t="n">
        <v>7.48194722217306</v>
      </c>
      <c r="H740" s="0" t="s">
        <v>897</v>
      </c>
      <c r="I740" s="0" t="n">
        <v>1.03713147037582</v>
      </c>
      <c r="J740" s="0" t="n">
        <v>379671</v>
      </c>
      <c r="K740" s="0" t="n">
        <v>20559</v>
      </c>
      <c r="L740" s="0" t="n">
        <v>2394007</v>
      </c>
      <c r="M740" s="0" t="n">
        <v>2369178</v>
      </c>
      <c r="N740" s="0" t="n">
        <v>1881786</v>
      </c>
      <c r="O740" s="0" t="n">
        <v>6039</v>
      </c>
      <c r="P740" s="0" t="s">
        <v>196</v>
      </c>
      <c r="Q740" s="0" t="n">
        <v>0.271344235835568</v>
      </c>
      <c r="R740" s="0" t="n">
        <v>2.44163706624033</v>
      </c>
      <c r="S740" s="0" t="n">
        <v>786</v>
      </c>
      <c r="T740" s="0" t="n">
        <v>3028</v>
      </c>
      <c r="U740" s="0" t="n">
        <v>457</v>
      </c>
      <c r="V740" s="0" t="n">
        <v>13.2562418882408</v>
      </c>
      <c r="W740" s="0" t="n">
        <v>20250630</v>
      </c>
      <c r="X740" s="0" t="n">
        <v>1.00147521350966</v>
      </c>
      <c r="Y740" s="0" t="n">
        <v>13.67</v>
      </c>
      <c r="Z740" s="0" t="s">
        <v>105</v>
      </c>
    </row>
    <row r="741" customFormat="false" ht="15" hidden="false" customHeight="false" outlineLevel="0" collapsed="false">
      <c r="A741" s="0" t="n">
        <v>741</v>
      </c>
      <c r="B741" s="0" t="n">
        <v>724753</v>
      </c>
      <c r="C741" s="0" t="n">
        <v>59086</v>
      </c>
      <c r="D741" s="0" t="n">
        <v>612986</v>
      </c>
      <c r="E741" s="0" t="n">
        <v>0.08</v>
      </c>
      <c r="F741" s="0" t="n">
        <v>105815</v>
      </c>
      <c r="G741" s="0" t="n">
        <v>14.6001465326808</v>
      </c>
      <c r="H741" s="0" t="s">
        <v>898</v>
      </c>
      <c r="I741" s="0" t="n">
        <v>0.973020644383891</v>
      </c>
      <c r="J741" s="0" t="n">
        <v>124137</v>
      </c>
      <c r="K741" s="0" t="n">
        <v>0</v>
      </c>
      <c r="L741" s="0" t="n">
        <v>619103</v>
      </c>
      <c r="M741" s="0" t="n">
        <v>613079</v>
      </c>
      <c r="N741" s="0" t="n">
        <v>495338</v>
      </c>
      <c r="O741" s="0" t="n">
        <v>5998</v>
      </c>
      <c r="P741" s="0" t="s">
        <v>198</v>
      </c>
      <c r="Q741" s="0" t="n">
        <v>2.22903135665632</v>
      </c>
      <c r="R741" s="0" t="n">
        <v>3.90746208360731</v>
      </c>
      <c r="S741" s="0" t="n">
        <v>-2</v>
      </c>
      <c r="T741" s="0" t="n">
        <v>2944</v>
      </c>
      <c r="U741" s="0" t="n">
        <v>7830</v>
      </c>
      <c r="V741" s="0" t="n">
        <v>16.7805900658004</v>
      </c>
      <c r="W741" s="0" t="n">
        <v>20250630</v>
      </c>
      <c r="X741" s="0" t="n">
        <v>1.55691795515022</v>
      </c>
      <c r="Y741" s="0" t="n">
        <v>10.77</v>
      </c>
      <c r="Z741" s="0" t="s">
        <v>123</v>
      </c>
    </row>
    <row r="742" customFormat="false" ht="15" hidden="false" customHeight="false" outlineLevel="0" collapsed="false">
      <c r="A742" s="0" t="n">
        <v>742</v>
      </c>
      <c r="B742" s="0" t="n">
        <v>279006</v>
      </c>
      <c r="C742" s="0" t="n">
        <v>59176</v>
      </c>
      <c r="D742" s="0" t="n">
        <v>229104</v>
      </c>
      <c r="E742" s="0" t="n">
        <v>0.27</v>
      </c>
      <c r="F742" s="0" t="n">
        <v>28607</v>
      </c>
      <c r="G742" s="0" t="n">
        <v>10.2531845193293</v>
      </c>
      <c r="H742" s="0" t="s">
        <v>899</v>
      </c>
      <c r="I742" s="0" t="n">
        <v>0.947267955141971</v>
      </c>
      <c r="J742" s="0" t="n">
        <v>28021</v>
      </c>
      <c r="K742" s="0" t="n">
        <v>0</v>
      </c>
      <c r="L742" s="0" t="n">
        <v>209550</v>
      </c>
      <c r="M742" s="0" t="n">
        <v>207565</v>
      </c>
      <c r="N742" s="0" t="n">
        <v>180172</v>
      </c>
      <c r="O742" s="0" t="n">
        <v>0</v>
      </c>
      <c r="P742" s="0" t="s">
        <v>200</v>
      </c>
      <c r="Q742" s="0" t="n">
        <v>0</v>
      </c>
      <c r="R742" s="0" t="n">
        <v>2.74321019851507</v>
      </c>
      <c r="S742" s="0" t="n">
        <v>0</v>
      </c>
      <c r="T742" s="0" t="n">
        <v>0</v>
      </c>
      <c r="U742" s="0" t="n">
        <v>0</v>
      </c>
      <c r="V742" s="0" t="n">
        <v>0</v>
      </c>
      <c r="W742" s="0" t="n">
        <v>20250630</v>
      </c>
      <c r="X742" s="0" t="n">
        <v>0.168301196808511</v>
      </c>
      <c r="Y742" s="0" t="n">
        <v>1.56</v>
      </c>
      <c r="Z742" s="0" t="s">
        <v>123</v>
      </c>
    </row>
    <row r="743" customFormat="false" ht="15" hidden="false" customHeight="false" outlineLevel="0" collapsed="false">
      <c r="A743" s="0" t="n">
        <v>743</v>
      </c>
      <c r="B743" s="0" t="n">
        <v>145991</v>
      </c>
      <c r="C743" s="0" t="n">
        <v>59289</v>
      </c>
      <c r="D743" s="0" t="n">
        <v>129078</v>
      </c>
      <c r="E743" s="0" t="n">
        <v>0.07</v>
      </c>
      <c r="F743" s="0" t="n">
        <v>15698</v>
      </c>
      <c r="G743" s="0" t="n">
        <v>10.7527176332788</v>
      </c>
      <c r="H743" s="0" t="s">
        <v>900</v>
      </c>
      <c r="I743" s="0" t="n">
        <v>0.679823735452525</v>
      </c>
      <c r="J743" s="0" t="n">
        <v>52242</v>
      </c>
      <c r="K743" s="0" t="n">
        <v>0</v>
      </c>
      <c r="L743" s="0" t="n">
        <v>106204</v>
      </c>
      <c r="M743" s="0" t="n">
        <v>105482</v>
      </c>
      <c r="N743" s="0" t="n">
        <v>38420</v>
      </c>
      <c r="O743" s="0" t="n">
        <v>2835</v>
      </c>
      <c r="P743" s="0" t="s">
        <v>364</v>
      </c>
      <c r="Q743" s="0" t="n">
        <v>2.66939098339046</v>
      </c>
      <c r="R743" s="0" t="n">
        <v>3.99218654620925</v>
      </c>
      <c r="S743" s="0" t="n">
        <v>-98</v>
      </c>
      <c r="T743" s="0" t="n">
        <v>3478</v>
      </c>
      <c r="U743" s="0" t="n">
        <v>0</v>
      </c>
      <c r="V743" s="0" t="n">
        <v>0</v>
      </c>
      <c r="W743" s="0" t="n">
        <v>20250630</v>
      </c>
      <c r="X743" s="0" t="n">
        <v>-0.239988600541474</v>
      </c>
      <c r="Y743" s="0" t="n">
        <v>-2.03</v>
      </c>
      <c r="Z743" s="0" t="s">
        <v>123</v>
      </c>
    </row>
    <row r="744" customFormat="false" ht="15" hidden="false" customHeight="false" outlineLevel="0" collapsed="false">
      <c r="A744" s="0" t="n">
        <v>744</v>
      </c>
      <c r="B744" s="0" t="n">
        <v>269483</v>
      </c>
      <c r="C744" s="0" t="n">
        <v>59298</v>
      </c>
      <c r="D744" s="0" t="n">
        <v>242655</v>
      </c>
      <c r="E744" s="0" t="n">
        <v>0.14</v>
      </c>
      <c r="F744" s="0" t="n">
        <v>25838</v>
      </c>
      <c r="G744" s="0" t="n">
        <v>9.58798885272912</v>
      </c>
      <c r="H744" s="0" t="s">
        <v>901</v>
      </c>
      <c r="I744" s="0" t="n">
        <v>0.855121746710942</v>
      </c>
      <c r="J744" s="0" t="n">
        <v>35490</v>
      </c>
      <c r="K744" s="0" t="n">
        <v>0</v>
      </c>
      <c r="L744" s="0" t="n">
        <v>150271</v>
      </c>
      <c r="M744" s="0" t="n">
        <v>148986</v>
      </c>
      <c r="N744" s="0" t="n">
        <v>114258</v>
      </c>
      <c r="O744" s="0" t="n">
        <v>0</v>
      </c>
      <c r="P744" s="0" t="s">
        <v>310</v>
      </c>
      <c r="Q744" s="0" t="n">
        <v>0</v>
      </c>
      <c r="R744" s="0" t="n">
        <v>2.35397816467432</v>
      </c>
      <c r="S744" s="0" t="n">
        <v>0</v>
      </c>
      <c r="T744" s="0" t="n">
        <v>0</v>
      </c>
      <c r="U744" s="0" t="n">
        <v>0</v>
      </c>
      <c r="V744" s="0" t="n">
        <v>16.8779498144312</v>
      </c>
      <c r="W744" s="0" t="n">
        <v>20250630</v>
      </c>
      <c r="X744" s="0" t="n">
        <v>0.0611768333776823</v>
      </c>
      <c r="Y744" s="0" t="n">
        <v>0.66</v>
      </c>
      <c r="Z744" s="0" t="s">
        <v>112</v>
      </c>
    </row>
    <row r="745" customFormat="false" ht="15" hidden="false" customHeight="false" outlineLevel="0" collapsed="false">
      <c r="A745" s="0" t="n">
        <v>745</v>
      </c>
      <c r="B745" s="0" t="n">
        <v>1166044</v>
      </c>
      <c r="C745" s="0" t="n">
        <v>6271</v>
      </c>
      <c r="D745" s="0" t="n">
        <v>934460</v>
      </c>
      <c r="E745" s="0" t="n">
        <v>0.12</v>
      </c>
      <c r="F745" s="0" t="n">
        <v>118181</v>
      </c>
      <c r="G745" s="0" t="n">
        <v>10.1352093059953</v>
      </c>
      <c r="H745" s="0" t="s">
        <v>902</v>
      </c>
      <c r="I745" s="0" t="n">
        <v>1.11838088130534</v>
      </c>
      <c r="J745" s="0" t="n">
        <v>126312</v>
      </c>
      <c r="K745" s="0" t="n">
        <v>10804</v>
      </c>
      <c r="L745" s="0" t="n">
        <v>943328</v>
      </c>
      <c r="M745" s="0" t="n">
        <v>932778</v>
      </c>
      <c r="N745" s="0" t="n">
        <v>758237</v>
      </c>
      <c r="O745" s="0" t="n">
        <v>8674</v>
      </c>
      <c r="P745" s="0" t="s">
        <v>202</v>
      </c>
      <c r="Q745" s="0" t="n">
        <v>0.97855676922555</v>
      </c>
      <c r="R745" s="0" t="n">
        <v>3.50631044981212</v>
      </c>
      <c r="S745" s="0" t="n">
        <v>74</v>
      </c>
      <c r="T745" s="0" t="n">
        <v>759</v>
      </c>
      <c r="U745" s="0" t="n">
        <v>557</v>
      </c>
      <c r="V745" s="0" t="n">
        <v>14.8461580612902</v>
      </c>
      <c r="W745" s="0" t="n">
        <v>20250630</v>
      </c>
      <c r="X745" s="0" t="n">
        <v>1.3603757386888</v>
      </c>
      <c r="Y745" s="0" t="n">
        <v>14.26</v>
      </c>
      <c r="Z745" s="0" t="s">
        <v>112</v>
      </c>
    </row>
    <row r="746" customFormat="false" ht="15" hidden="false" customHeight="false" outlineLevel="0" collapsed="false">
      <c r="A746" s="0" t="n">
        <v>746</v>
      </c>
      <c r="B746" s="0" t="n">
        <v>552605</v>
      </c>
      <c r="C746" s="0" t="n">
        <v>6275</v>
      </c>
      <c r="D746" s="0" t="n">
        <v>506456</v>
      </c>
      <c r="E746" s="0" t="n">
        <v>-0.01</v>
      </c>
      <c r="F746" s="0" t="n">
        <v>38291</v>
      </c>
      <c r="G746" s="0" t="n">
        <v>6.92918087965183</v>
      </c>
      <c r="H746" s="0" t="s">
        <v>903</v>
      </c>
      <c r="I746" s="0" t="n">
        <v>0.378470384620886</v>
      </c>
      <c r="J746" s="0" t="n">
        <v>32839</v>
      </c>
      <c r="K746" s="0" t="n">
        <v>7076</v>
      </c>
      <c r="L746" s="0" t="n">
        <v>349565</v>
      </c>
      <c r="M746" s="0" t="n">
        <v>348242</v>
      </c>
      <c r="N746" s="0" t="n">
        <v>299164</v>
      </c>
      <c r="O746" s="0" t="n">
        <v>652</v>
      </c>
      <c r="P746" s="0" t="s">
        <v>204</v>
      </c>
      <c r="Q746" s="0" t="n">
        <v>0.186517528928811</v>
      </c>
      <c r="R746" s="0" t="n">
        <v>3.25032492027984</v>
      </c>
      <c r="S746" s="0" t="n">
        <v>8</v>
      </c>
      <c r="T746" s="0" t="n">
        <v>488</v>
      </c>
      <c r="U746" s="0" t="n">
        <v>0</v>
      </c>
      <c r="V746" s="0" t="n">
        <v>15.9807175065868</v>
      </c>
      <c r="W746" s="0" t="n">
        <v>20250630</v>
      </c>
      <c r="X746" s="0" t="n">
        <v>0.80927276534914</v>
      </c>
      <c r="Y746" s="0" t="n">
        <v>12.34</v>
      </c>
      <c r="Z746" s="0" t="s">
        <v>112</v>
      </c>
    </row>
    <row r="747" customFormat="false" ht="15" hidden="false" customHeight="false" outlineLevel="0" collapsed="false">
      <c r="A747" s="0" t="n">
        <v>747</v>
      </c>
      <c r="B747" s="0" t="n">
        <v>87770</v>
      </c>
      <c r="C747" s="0" t="n">
        <v>6280</v>
      </c>
      <c r="D747" s="0" t="n">
        <v>77256</v>
      </c>
      <c r="E747" s="0" t="n">
        <v>0.09</v>
      </c>
      <c r="F747" s="0" t="n">
        <v>9949</v>
      </c>
      <c r="G747" s="0" t="n">
        <v>11.3353081918651</v>
      </c>
      <c r="H747" s="0" t="s">
        <v>904</v>
      </c>
      <c r="I747" s="0" t="n">
        <v>1.29958960328317</v>
      </c>
      <c r="J747" s="0" t="n">
        <v>3899</v>
      </c>
      <c r="K747" s="0" t="n">
        <v>1311</v>
      </c>
      <c r="L747" s="0" t="n">
        <v>73100</v>
      </c>
      <c r="M747" s="0" t="n">
        <v>72150</v>
      </c>
      <c r="N747" s="0" t="n">
        <v>64947</v>
      </c>
      <c r="O747" s="0" t="n">
        <v>1455</v>
      </c>
      <c r="P747" s="0" t="s">
        <v>206</v>
      </c>
      <c r="Q747" s="0" t="n">
        <v>1.99042407660739</v>
      </c>
      <c r="R747" s="0" t="n">
        <v>4.53943407585792</v>
      </c>
      <c r="S747" s="0" t="n">
        <v>0</v>
      </c>
      <c r="T747" s="0" t="n">
        <v>592</v>
      </c>
      <c r="U747" s="0" t="n">
        <v>0</v>
      </c>
      <c r="V747" s="0" t="n">
        <v>0</v>
      </c>
      <c r="W747" s="0" t="n">
        <v>20250630</v>
      </c>
      <c r="X747" s="0" t="n">
        <v>1.36654026169246</v>
      </c>
      <c r="Y747" s="0" t="n">
        <v>12.13</v>
      </c>
      <c r="Z747" s="0" t="s">
        <v>112</v>
      </c>
    </row>
  </sheetData>
  <sheetProtection sheet="true"/>
  <autoFilter ref="A1:Z7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7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1" min="1" style="0" width="19"/>
  </cols>
  <sheetData>
    <row r="1" customFormat="false" ht="15" hidden="false" customHeight="false" outlineLevel="0" collapsed="false">
      <c r="A1" s="7" t="s">
        <v>79</v>
      </c>
      <c r="B1" s="7" t="s">
        <v>80</v>
      </c>
      <c r="C1" s="7" t="s">
        <v>26</v>
      </c>
      <c r="D1" s="7" t="s">
        <v>81</v>
      </c>
      <c r="E1" s="7" t="s">
        <v>82</v>
      </c>
      <c r="F1" s="7" t="s">
        <v>83</v>
      </c>
      <c r="G1" s="7" t="s">
        <v>84</v>
      </c>
      <c r="H1" s="7" t="s">
        <v>85</v>
      </c>
      <c r="I1" s="7" t="s">
        <v>86</v>
      </c>
      <c r="J1" s="7" t="s">
        <v>87</v>
      </c>
      <c r="K1" s="7" t="s">
        <v>88</v>
      </c>
      <c r="L1" s="7" t="s">
        <v>89</v>
      </c>
      <c r="M1" s="7" t="s">
        <v>90</v>
      </c>
      <c r="N1" s="7" t="s">
        <v>91</v>
      </c>
      <c r="O1" s="7" t="s">
        <v>92</v>
      </c>
      <c r="P1" s="7" t="s">
        <v>93</v>
      </c>
      <c r="Q1" s="7" t="s">
        <v>94</v>
      </c>
      <c r="R1" s="7" t="s">
        <v>95</v>
      </c>
      <c r="S1" s="7" t="s">
        <v>96</v>
      </c>
      <c r="T1" s="7" t="s">
        <v>97</v>
      </c>
      <c r="U1" s="7" t="s">
        <v>98</v>
      </c>
      <c r="V1" s="7" t="s">
        <v>99</v>
      </c>
      <c r="W1" s="7" t="s">
        <v>78</v>
      </c>
      <c r="X1" s="7" t="s">
        <v>100</v>
      </c>
      <c r="Y1" s="7" t="s">
        <v>101</v>
      </c>
      <c r="Z1" s="7" t="s">
        <v>102</v>
      </c>
      <c r="AA1" s="7" t="s">
        <v>905</v>
      </c>
      <c r="AB1" s="7" t="s">
        <v>906</v>
      </c>
      <c r="AC1" s="7" t="s">
        <v>907</v>
      </c>
      <c r="AD1" s="7" t="s">
        <v>908</v>
      </c>
      <c r="AE1" s="7" t="s">
        <v>909</v>
      </c>
    </row>
    <row r="2" customFormat="false" ht="15" hidden="false" customHeight="false" outlineLevel="0" collapsed="false">
      <c r="A2" s="0" t="n">
        <v>2</v>
      </c>
      <c r="B2" s="0" t="n">
        <v>3688993</v>
      </c>
      <c r="C2" s="0" t="n">
        <v>11971</v>
      </c>
      <c r="D2" s="0" t="n">
        <v>3055632</v>
      </c>
      <c r="E2" s="0" t="n">
        <v>0.08</v>
      </c>
      <c r="F2" s="0" t="n">
        <v>461681</v>
      </c>
      <c r="G2" s="0" t="n">
        <v>12.5150955829951</v>
      </c>
      <c r="H2" s="0" t="s">
        <v>103</v>
      </c>
      <c r="I2" s="0" t="n">
        <v>0.872655514437764</v>
      </c>
      <c r="J2" s="0" t="n">
        <v>201303</v>
      </c>
      <c r="K2" s="0" t="n">
        <v>7873</v>
      </c>
      <c r="L2" s="0" t="n">
        <v>2657406</v>
      </c>
      <c r="M2" s="0" t="n">
        <v>2634216</v>
      </c>
      <c r="N2" s="0" t="n">
        <v>2317079</v>
      </c>
      <c r="O2" s="0" t="n">
        <v>9213</v>
      </c>
      <c r="P2" s="0" t="s">
        <v>104</v>
      </c>
      <c r="Q2" s="0" t="n">
        <v>0.378414137696686</v>
      </c>
      <c r="R2" s="0" t="n">
        <v>3.00674213850075</v>
      </c>
      <c r="S2" s="0" t="n">
        <v>-95</v>
      </c>
      <c r="T2" s="0" t="n">
        <v>4642</v>
      </c>
      <c r="U2" s="0" t="n">
        <v>843</v>
      </c>
      <c r="V2" s="0" t="n">
        <v>13.6789606326397</v>
      </c>
      <c r="W2" s="0" t="n">
        <v>20220331</v>
      </c>
      <c r="X2" s="0" t="n">
        <v>1.11623429129291</v>
      </c>
      <c r="Y2" s="0" t="n">
        <v>8.77</v>
      </c>
      <c r="Z2" s="0" t="s">
        <v>105</v>
      </c>
      <c r="AA2" s="0" t="n">
        <f aca="false">IF(AND(ISNUMBER(B2),B2&gt;0,ISNUMBER(U2),U2&gt;=0,ISNUMBER(O2),O2&gt;=0),1,0)</f>
        <v>1</v>
      </c>
      <c r="AB2" s="0" t="n">
        <f aca="false">IF(AA2=1,U2+O2,0)</f>
        <v>10056</v>
      </c>
      <c r="AC2" s="0" t="n">
        <f aca="false">IF(AA2=1,100*AB2/B2,"")</f>
        <v>0.272594716227437</v>
      </c>
      <c r="AD2" s="0" t="n">
        <f aca="false">IF(AND(AND(ISNUMBER(B2),B2=OriginalFinancials!B2),AND(ISNUMBER(U2),U2=OriginalFinancials!U2),AND(ISNUMBER(O2),O2=OriginalFinancials!O2)),0,1)</f>
        <v>0</v>
      </c>
      <c r="AE2" s="0" t="str">
        <f aca="false">IF(V2=0,"原始0：需核实适用/报告口径","")</f>
        <v/>
      </c>
    </row>
    <row r="3" customFormat="false" ht="15" hidden="false" customHeight="false" outlineLevel="0" collapsed="false">
      <c r="A3" s="0" t="n">
        <v>3</v>
      </c>
      <c r="B3" s="0" t="n">
        <v>964163</v>
      </c>
      <c r="C3" s="0" t="n">
        <v>12874</v>
      </c>
      <c r="D3" s="0" t="n">
        <v>854194</v>
      </c>
      <c r="E3" s="0" t="n">
        <v>0</v>
      </c>
      <c r="F3" s="0" t="n">
        <v>97916</v>
      </c>
      <c r="G3" s="0" t="n">
        <v>10.1555442388891</v>
      </c>
      <c r="H3" s="0" t="s">
        <v>106</v>
      </c>
      <c r="I3" s="0" t="n">
        <v>1.0653480801085</v>
      </c>
      <c r="J3" s="0" t="n">
        <v>138143</v>
      </c>
      <c r="K3" s="0" t="n">
        <v>5249</v>
      </c>
      <c r="L3" s="0" t="n">
        <v>732906</v>
      </c>
      <c r="M3" s="0" t="n">
        <v>725098</v>
      </c>
      <c r="N3" s="0" t="n">
        <v>577596</v>
      </c>
      <c r="O3" s="0" t="n">
        <v>1069</v>
      </c>
      <c r="P3" s="0" t="s">
        <v>107</v>
      </c>
      <c r="Q3" s="0" t="n">
        <v>0.145857722545592</v>
      </c>
      <c r="R3" s="0" t="n">
        <v>3.40195044114991</v>
      </c>
      <c r="S3" s="0" t="n">
        <v>-5</v>
      </c>
      <c r="T3" s="0" t="n">
        <v>374</v>
      </c>
      <c r="U3" s="0" t="n">
        <v>0</v>
      </c>
      <c r="V3" s="0" t="n">
        <v>15.6016028760784</v>
      </c>
      <c r="W3" s="0" t="n">
        <v>20220331</v>
      </c>
      <c r="X3" s="0" t="n">
        <v>0.831497320164808</v>
      </c>
      <c r="Y3" s="0" t="n">
        <v>7.95</v>
      </c>
      <c r="Z3" s="0" t="s">
        <v>105</v>
      </c>
      <c r="AA3" s="0" t="n">
        <f aca="false">IF(AND(ISNUMBER(B3),B3&gt;0,ISNUMBER(U3),U3&gt;=0,ISNUMBER(O3),O3&gt;=0),1,0)</f>
        <v>1</v>
      </c>
      <c r="AB3" s="0" t="n">
        <f aca="false">IF(AA3=1,U3+O3,0)</f>
        <v>1069</v>
      </c>
      <c r="AC3" s="0" t="n">
        <f aca="false">IF(AA3=1,100*AB3/B3,"")</f>
        <v>0.11087336892206</v>
      </c>
      <c r="AD3" s="0" t="n">
        <f aca="false">IF(AND(AND(ISNUMBER(B3),B3=OriginalFinancials!B3),AND(ISNUMBER(U3),U3=OriginalFinancials!U3),AND(ISNUMBER(O3),O3=OriginalFinancials!O3)),0,1)</f>
        <v>0</v>
      </c>
      <c r="AE3" s="0" t="str">
        <f aca="false">IF(V3=0,"原始0：需核实适用/报告口径","")</f>
        <v/>
      </c>
    </row>
    <row r="4" customFormat="false" ht="15" hidden="false" customHeight="false" outlineLevel="0" collapsed="false">
      <c r="A4" s="0" t="n">
        <v>4</v>
      </c>
      <c r="B4" s="0" t="n">
        <v>1784835</v>
      </c>
      <c r="C4" s="0" t="n">
        <v>13063</v>
      </c>
      <c r="D4" s="0" t="n">
        <v>1619076</v>
      </c>
      <c r="E4" s="0" t="n">
        <v>0</v>
      </c>
      <c r="F4" s="0" t="n">
        <v>148181</v>
      </c>
      <c r="G4" s="0" t="n">
        <v>8.30222401510504</v>
      </c>
      <c r="H4" s="0" t="s">
        <v>108</v>
      </c>
      <c r="I4" s="0" t="n">
        <v>1.21800997066346</v>
      </c>
      <c r="J4" s="0" t="n">
        <v>55361</v>
      </c>
      <c r="K4" s="0" t="n">
        <v>837</v>
      </c>
      <c r="L4" s="0" t="n">
        <v>1223389</v>
      </c>
      <c r="M4" s="0" t="n">
        <v>1208488</v>
      </c>
      <c r="N4" s="0" t="n">
        <v>1160807</v>
      </c>
      <c r="O4" s="0" t="n">
        <v>408</v>
      </c>
      <c r="P4" s="0" t="s">
        <v>109</v>
      </c>
      <c r="Q4" s="0" t="n">
        <v>0.131111200117052</v>
      </c>
      <c r="R4" s="0" t="n">
        <v>3.27111477410285</v>
      </c>
      <c r="S4" s="0" t="n">
        <v>-5</v>
      </c>
      <c r="T4" s="0" t="n">
        <v>3</v>
      </c>
      <c r="U4" s="0" t="n">
        <v>1196</v>
      </c>
      <c r="V4" s="0" t="n">
        <v>0</v>
      </c>
      <c r="W4" s="0" t="n">
        <v>20220331</v>
      </c>
      <c r="X4" s="0" t="n">
        <v>0.482373134010048</v>
      </c>
      <c r="Y4" s="0" t="n">
        <v>5.56</v>
      </c>
      <c r="Z4" s="0" t="s">
        <v>105</v>
      </c>
      <c r="AA4" s="0" t="n">
        <f aca="false">IF(AND(ISNUMBER(B4),B4&gt;0,ISNUMBER(U4),U4&gt;=0,ISNUMBER(O4),O4&gt;=0),1,0)</f>
        <v>1</v>
      </c>
      <c r="AB4" s="0" t="n">
        <f aca="false">IF(AA4=1,U4+O4,0)</f>
        <v>1604</v>
      </c>
      <c r="AC4" s="0" t="n">
        <f aca="false">IF(AA4=1,100*AB4/B4,"")</f>
        <v>0.0898682511268549</v>
      </c>
      <c r="AD4" s="0" t="n">
        <f aca="false">IF(AND(AND(ISNUMBER(B4),B4=OriginalFinancials!B4),AND(ISNUMBER(U4),U4=OriginalFinancials!U4),AND(ISNUMBER(O4),O4=OriginalFinancials!O4)),0,1)</f>
        <v>0</v>
      </c>
      <c r="AE4" s="0" t="str">
        <f aca="false">IF(V4=0,"原始0：需核实适用/报告口径","")</f>
        <v>原始0：需核实适用/报告口径</v>
      </c>
    </row>
    <row r="5" customFormat="false" ht="15" hidden="false" customHeight="false" outlineLevel="0" collapsed="false">
      <c r="A5" s="0" t="n">
        <v>5</v>
      </c>
      <c r="B5" s="0" t="n">
        <v>869402</v>
      </c>
      <c r="C5" s="0" t="n">
        <v>14134</v>
      </c>
      <c r="D5" s="0" t="n">
        <v>737795</v>
      </c>
      <c r="E5" s="0" t="n">
        <v>0.1</v>
      </c>
      <c r="F5" s="0" t="n">
        <v>101808</v>
      </c>
      <c r="G5" s="0" t="n">
        <v>11.7101179891466</v>
      </c>
      <c r="H5" s="0" t="s">
        <v>110</v>
      </c>
      <c r="I5" s="0" t="n">
        <v>1.40143664862472</v>
      </c>
      <c r="J5" s="0" t="n">
        <v>27870</v>
      </c>
      <c r="K5" s="0" t="n">
        <v>26813</v>
      </c>
      <c r="L5" s="0" t="n">
        <v>596388</v>
      </c>
      <c r="M5" s="0" t="n">
        <v>588030</v>
      </c>
      <c r="N5" s="0" t="n">
        <v>516229</v>
      </c>
      <c r="O5" s="0" t="n">
        <v>8014</v>
      </c>
      <c r="P5" s="0" t="s">
        <v>111</v>
      </c>
      <c r="Q5" s="0" t="n">
        <v>1.34375607825778</v>
      </c>
      <c r="R5" s="0" t="n">
        <v>2.7424379773478</v>
      </c>
      <c r="S5" s="0" t="n">
        <v>19</v>
      </c>
      <c r="T5" s="0" t="n">
        <v>4990</v>
      </c>
      <c r="U5" s="0" t="n">
        <v>0</v>
      </c>
      <c r="V5" s="0" t="n">
        <v>17.5709830780352</v>
      </c>
      <c r="W5" s="0" t="n">
        <v>20220331</v>
      </c>
      <c r="X5" s="0" t="n">
        <v>-0.387293393035349</v>
      </c>
      <c r="Y5" s="0" t="n">
        <v>-3.23</v>
      </c>
      <c r="Z5" s="0" t="s">
        <v>112</v>
      </c>
      <c r="AA5" s="0" t="n">
        <f aca="false">IF(AND(ISNUMBER(B5),B5&gt;0,ISNUMBER(U5),U5&gt;=0,ISNUMBER(O5),O5&gt;=0),1,0)</f>
        <v>1</v>
      </c>
      <c r="AB5" s="0" t="n">
        <f aca="false">IF(AA5=1,U5+O5,0)</f>
        <v>8014</v>
      </c>
      <c r="AC5" s="0" t="n">
        <f aca="false">IF(AA5=1,100*AB5/B5,"")</f>
        <v>0.921783018672605</v>
      </c>
      <c r="AD5" s="0" t="n">
        <f aca="false">IF(AND(AND(ISNUMBER(B5),B5=OriginalFinancials!B5),AND(ISNUMBER(U5),U5=OriginalFinancials!U5),AND(ISNUMBER(O5),O5=OriginalFinancials!O5)),0,1)</f>
        <v>0</v>
      </c>
      <c r="AE5" s="0" t="str">
        <f aca="false">IF(V5=0,"原始0：需核实适用/报告口径","")</f>
        <v/>
      </c>
    </row>
    <row r="6" customFormat="false" ht="15" hidden="false" customHeight="false" outlineLevel="0" collapsed="false">
      <c r="A6" s="0" t="n">
        <v>6</v>
      </c>
      <c r="B6" s="0" t="n">
        <v>222692</v>
      </c>
      <c r="C6" s="0" t="n">
        <v>14136</v>
      </c>
      <c r="D6" s="0" t="n">
        <v>199279</v>
      </c>
      <c r="E6" s="0" t="n">
        <v>0.08</v>
      </c>
      <c r="F6" s="0" t="n">
        <v>18834</v>
      </c>
      <c r="G6" s="0" t="n">
        <v>8.45742101198067</v>
      </c>
      <c r="H6" s="0" t="s">
        <v>113</v>
      </c>
      <c r="I6" s="0" t="n">
        <v>1.15017450639032</v>
      </c>
      <c r="J6" s="0" t="n">
        <v>12518</v>
      </c>
      <c r="K6" s="0" t="n">
        <v>11422</v>
      </c>
      <c r="L6" s="0" t="n">
        <v>121199</v>
      </c>
      <c r="M6" s="0" t="n">
        <v>119805</v>
      </c>
      <c r="N6" s="0" t="n">
        <v>96809</v>
      </c>
      <c r="O6" s="0" t="n">
        <v>174</v>
      </c>
      <c r="P6" s="0" t="s">
        <v>114</v>
      </c>
      <c r="Q6" s="0" t="n">
        <v>0.670797613841698</v>
      </c>
      <c r="R6" s="0" t="n">
        <v>3.42236997582913</v>
      </c>
      <c r="S6" s="0" t="n">
        <v>7</v>
      </c>
      <c r="T6" s="0" t="n">
        <v>803</v>
      </c>
      <c r="U6" s="0" t="n">
        <v>639</v>
      </c>
      <c r="V6" s="0" t="n">
        <v>17.2762204998947</v>
      </c>
      <c r="W6" s="0" t="n">
        <v>20220331</v>
      </c>
      <c r="X6" s="0" t="n">
        <v>0.199549216522136</v>
      </c>
      <c r="Y6" s="0" t="n">
        <v>2.14</v>
      </c>
      <c r="Z6" s="0" t="s">
        <v>112</v>
      </c>
      <c r="AA6" s="0" t="n">
        <f aca="false">IF(AND(ISNUMBER(B6),B6&gt;0,ISNUMBER(U6),U6&gt;=0,ISNUMBER(O6),O6&gt;=0),1,0)</f>
        <v>1</v>
      </c>
      <c r="AB6" s="0" t="n">
        <f aca="false">IF(AA6=1,U6+O6,0)</f>
        <v>813</v>
      </c>
      <c r="AC6" s="0" t="n">
        <f aca="false">IF(AA6=1,100*AB6/B6,"")</f>
        <v>0.365078224633126</v>
      </c>
      <c r="AD6" s="0" t="n">
        <f aca="false">IF(AND(AND(ISNUMBER(B6),B6=OriginalFinancials!B6),AND(ISNUMBER(U6),U6=OriginalFinancials!U6),AND(ISNUMBER(O6),O6=OriginalFinancials!O6)),0,1)</f>
        <v>0</v>
      </c>
      <c r="AE6" s="0" t="str">
        <f aca="false">IF(V6=0,"原始0：需核实适用/报告口径","")</f>
        <v/>
      </c>
    </row>
    <row r="7" customFormat="false" ht="15" hidden="false" customHeight="false" outlineLevel="0" collapsed="false">
      <c r="A7" s="0" t="n">
        <v>7</v>
      </c>
      <c r="B7" s="0" t="n">
        <v>1414510</v>
      </c>
      <c r="C7" s="0" t="n">
        <v>14140</v>
      </c>
      <c r="D7" s="0" t="n">
        <v>1199427</v>
      </c>
      <c r="E7" s="0" t="n">
        <v>0</v>
      </c>
      <c r="F7" s="0" t="n">
        <v>123854</v>
      </c>
      <c r="G7" s="0" t="n">
        <v>8.75596496313211</v>
      </c>
      <c r="H7" s="0" t="s">
        <v>115</v>
      </c>
      <c r="I7" s="0" t="n">
        <v>1.10777383498962</v>
      </c>
      <c r="J7" s="0" t="n">
        <v>82518</v>
      </c>
      <c r="K7" s="0" t="n">
        <v>1318</v>
      </c>
      <c r="L7" s="0" t="n">
        <v>957867</v>
      </c>
      <c r="M7" s="0" t="n">
        <v>947256</v>
      </c>
      <c r="N7" s="0" t="n">
        <v>866005</v>
      </c>
      <c r="O7" s="0" t="n">
        <v>5589</v>
      </c>
      <c r="P7" s="0" t="s">
        <v>116</v>
      </c>
      <c r="Q7" s="0" t="n">
        <v>0.58348392835331</v>
      </c>
      <c r="R7" s="0" t="n">
        <v>2.96981313360941</v>
      </c>
      <c r="S7" s="0" t="n">
        <v>9</v>
      </c>
      <c r="T7" s="0" t="n">
        <v>785</v>
      </c>
      <c r="U7" s="0" t="n">
        <v>0</v>
      </c>
      <c r="V7" s="0" t="n">
        <v>0</v>
      </c>
      <c r="W7" s="0" t="n">
        <v>20220331</v>
      </c>
      <c r="X7" s="0" t="n">
        <v>0.662126324527825</v>
      </c>
      <c r="Y7" s="0" t="n">
        <v>7.07</v>
      </c>
      <c r="Z7" s="0" t="s">
        <v>112</v>
      </c>
      <c r="AA7" s="0" t="n">
        <f aca="false">IF(AND(ISNUMBER(B7),B7&gt;0,ISNUMBER(U7),U7&gt;=0,ISNUMBER(O7),O7&gt;=0),1,0)</f>
        <v>1</v>
      </c>
      <c r="AB7" s="0" t="n">
        <f aca="false">IF(AA7=1,U7+O7,0)</f>
        <v>5589</v>
      </c>
      <c r="AC7" s="0" t="n">
        <f aca="false">IF(AA7=1,100*AB7/B7,"")</f>
        <v>0.395119157870923</v>
      </c>
      <c r="AD7" s="0" t="n">
        <f aca="false">IF(AND(AND(ISNUMBER(B7),B7=OriginalFinancials!B7),AND(ISNUMBER(U7),U7=OriginalFinancials!U7),AND(ISNUMBER(O7),O7=OriginalFinancials!O7)),0,1)</f>
        <v>0</v>
      </c>
      <c r="AE7" s="0" t="str">
        <f aca="false">IF(V7=0,"原始0：需核实适用/报告口径","")</f>
        <v>原始0：需核实适用/报告口径</v>
      </c>
    </row>
    <row r="8" customFormat="false" ht="15" hidden="false" customHeight="false" outlineLevel="0" collapsed="false">
      <c r="A8" s="0" t="n">
        <v>8</v>
      </c>
      <c r="B8" s="0" t="n">
        <v>1232701</v>
      </c>
      <c r="C8" s="0" t="n">
        <v>14158</v>
      </c>
      <c r="D8" s="0" t="n">
        <v>1137254</v>
      </c>
      <c r="E8" s="0" t="n">
        <v>0</v>
      </c>
      <c r="F8" s="0" t="n">
        <v>85105</v>
      </c>
      <c r="G8" s="0" t="n">
        <v>6.90394507670554</v>
      </c>
      <c r="H8" s="0" t="s">
        <v>117</v>
      </c>
      <c r="I8" s="0" t="n">
        <v>1.00317342649432</v>
      </c>
      <c r="J8" s="0" t="n">
        <v>44549</v>
      </c>
      <c r="K8" s="0" t="n">
        <v>2157</v>
      </c>
      <c r="L8" s="0" t="n">
        <v>830963</v>
      </c>
      <c r="M8" s="0" t="n">
        <v>822627</v>
      </c>
      <c r="N8" s="0" t="n">
        <v>698008</v>
      </c>
      <c r="O8" s="0" t="n">
        <v>4405</v>
      </c>
      <c r="P8" s="0" t="s">
        <v>118</v>
      </c>
      <c r="Q8" s="0" t="n">
        <v>0.557666225812702</v>
      </c>
      <c r="R8" s="0" t="n">
        <v>3.18537352046747</v>
      </c>
      <c r="S8" s="0" t="n">
        <v>0</v>
      </c>
      <c r="T8" s="0" t="n">
        <v>1620</v>
      </c>
      <c r="U8" s="0" t="n">
        <v>229</v>
      </c>
      <c r="V8" s="0" t="n">
        <v>14.788125615083</v>
      </c>
      <c r="W8" s="0" t="n">
        <v>20220331</v>
      </c>
      <c r="X8" s="0" t="n">
        <v>0.88329131873326</v>
      </c>
      <c r="Y8" s="0" t="n">
        <v>11.64</v>
      </c>
      <c r="Z8" s="0" t="s">
        <v>112</v>
      </c>
      <c r="AA8" s="0" t="n">
        <f aca="false">IF(AND(ISNUMBER(B8),B8&gt;0,ISNUMBER(U8),U8&gt;=0,ISNUMBER(O8),O8&gt;=0),1,0)</f>
        <v>1</v>
      </c>
      <c r="AB8" s="0" t="n">
        <f aca="false">IF(AA8=1,U8+O8,0)</f>
        <v>4634</v>
      </c>
      <c r="AC8" s="0" t="n">
        <f aca="false">IF(AA8=1,100*AB8/B8,"")</f>
        <v>0.375922466194154</v>
      </c>
      <c r="AD8" s="0" t="n">
        <f aca="false">IF(AND(AND(ISNUMBER(B8),B8=OriginalFinancials!B8),AND(ISNUMBER(U8),U8=OriginalFinancials!U8),AND(ISNUMBER(O8),O8=OriginalFinancials!O8)),0,1)</f>
        <v>0</v>
      </c>
      <c r="AE8" s="0" t="str">
        <f aca="false">IF(V8=0,"原始0：需核实适用/报告口径","")</f>
        <v/>
      </c>
    </row>
    <row r="9" customFormat="false" ht="15" hidden="false" customHeight="false" outlineLevel="0" collapsed="false">
      <c r="A9" s="0" t="n">
        <v>9</v>
      </c>
      <c r="B9" s="0" t="n">
        <v>384095</v>
      </c>
      <c r="C9" s="0" t="n">
        <v>14168</v>
      </c>
      <c r="D9" s="0" t="n">
        <v>345364</v>
      </c>
      <c r="E9" s="0" t="n">
        <v>0</v>
      </c>
      <c r="F9" s="0" t="n">
        <v>34244</v>
      </c>
      <c r="G9" s="0" t="n">
        <v>8.91550267511944</v>
      </c>
      <c r="H9" s="0" t="s">
        <v>119</v>
      </c>
      <c r="I9" s="0" t="n">
        <v>1.5327875284455</v>
      </c>
      <c r="J9" s="0" t="n">
        <v>9537</v>
      </c>
      <c r="K9" s="0" t="n">
        <v>8111</v>
      </c>
      <c r="L9" s="0" t="n">
        <v>191155</v>
      </c>
      <c r="M9" s="0" t="n">
        <v>188225</v>
      </c>
      <c r="N9" s="0" t="n">
        <v>161619</v>
      </c>
      <c r="O9" s="0" t="n">
        <v>1188</v>
      </c>
      <c r="P9" s="0" t="s">
        <v>120</v>
      </c>
      <c r="Q9" s="0" t="n">
        <v>0.621485182181999</v>
      </c>
      <c r="R9" s="0" t="n">
        <v>2.41845908043839</v>
      </c>
      <c r="S9" s="0" t="n">
        <v>34</v>
      </c>
      <c r="T9" s="0" t="n">
        <v>187</v>
      </c>
      <c r="U9" s="0" t="n">
        <v>0</v>
      </c>
      <c r="V9" s="0" t="n">
        <v>19.8246428808378</v>
      </c>
      <c r="W9" s="0" t="n">
        <v>20220331</v>
      </c>
      <c r="X9" s="0" t="n">
        <v>0.135788316459894</v>
      </c>
      <c r="Y9" s="0" t="n">
        <v>1.45</v>
      </c>
      <c r="Z9" s="0" t="s">
        <v>112</v>
      </c>
      <c r="AA9" s="0" t="n">
        <f aca="false">IF(AND(ISNUMBER(B9),B9&gt;0,ISNUMBER(U9),U9&gt;=0,ISNUMBER(O9),O9&gt;=0),1,0)</f>
        <v>1</v>
      </c>
      <c r="AB9" s="0" t="n">
        <f aca="false">IF(AA9=1,U9+O9,0)</f>
        <v>1188</v>
      </c>
      <c r="AC9" s="0" t="n">
        <f aca="false">IF(AA9=1,100*AB9/B9,"")</f>
        <v>0.309298480844583</v>
      </c>
      <c r="AD9" s="0" t="n">
        <f aca="false">IF(AND(AND(ISNUMBER(B9),B9=OriginalFinancials!B9),AND(ISNUMBER(U9),U9=OriginalFinancials!U9),AND(ISNUMBER(O9),O9=OriginalFinancials!O9)),0,1)</f>
        <v>0</v>
      </c>
      <c r="AE9" s="0" t="str">
        <f aca="false">IF(V9=0,"原始0：需核实适用/报告口径","")</f>
        <v/>
      </c>
    </row>
    <row r="10" customFormat="false" ht="15" hidden="false" customHeight="false" outlineLevel="0" collapsed="false">
      <c r="A10" s="0" t="n">
        <v>10</v>
      </c>
      <c r="B10" s="0" t="n">
        <v>1221074</v>
      </c>
      <c r="C10" s="0" t="n">
        <v>14240</v>
      </c>
      <c r="D10" s="0" t="n">
        <v>1020645</v>
      </c>
      <c r="E10" s="0" t="n">
        <v>0</v>
      </c>
      <c r="F10" s="0" t="n">
        <v>102113</v>
      </c>
      <c r="G10" s="0" t="n">
        <v>8.36255624147267</v>
      </c>
      <c r="H10" s="0" t="s">
        <v>121</v>
      </c>
      <c r="I10" s="0" t="n">
        <v>1.14833812312804</v>
      </c>
      <c r="J10" s="0" t="n">
        <v>29648</v>
      </c>
      <c r="K10" s="0" t="n">
        <v>17990</v>
      </c>
      <c r="L10" s="0" t="n">
        <v>824670</v>
      </c>
      <c r="M10" s="0" t="n">
        <v>815200</v>
      </c>
      <c r="N10" s="0" t="n">
        <v>705835</v>
      </c>
      <c r="O10" s="0" t="n">
        <v>2204</v>
      </c>
      <c r="P10" s="0" t="s">
        <v>122</v>
      </c>
      <c r="Q10" s="0" t="n">
        <v>0.267258418518923</v>
      </c>
      <c r="R10" s="0" t="n">
        <v>2.81942072615102</v>
      </c>
      <c r="S10" s="0" t="n">
        <v>-4</v>
      </c>
      <c r="T10" s="0" t="n">
        <v>1936</v>
      </c>
      <c r="U10" s="0" t="n">
        <v>0</v>
      </c>
      <c r="V10" s="0" t="n">
        <v>15.1069923364339</v>
      </c>
      <c r="W10" s="0" t="n">
        <v>20220331</v>
      </c>
      <c r="X10" s="0" t="n">
        <v>0.0698118813327899</v>
      </c>
      <c r="Y10" s="0" t="n">
        <v>0.79</v>
      </c>
      <c r="Z10" s="0" t="s">
        <v>123</v>
      </c>
      <c r="AA10" s="0" t="n">
        <f aca="false">IF(AND(ISNUMBER(B10),B10&gt;0,ISNUMBER(U10),U10&gt;=0,ISNUMBER(O10),O10&gt;=0),1,0)</f>
        <v>1</v>
      </c>
      <c r="AB10" s="0" t="n">
        <f aca="false">IF(AA10=1,U10+O10,0)</f>
        <v>2204</v>
      </c>
      <c r="AC10" s="0" t="n">
        <f aca="false">IF(AA10=1,100*AB10/B10,"")</f>
        <v>0.180496841305277</v>
      </c>
      <c r="AD10" s="0" t="n">
        <f aca="false">IF(AND(AND(ISNUMBER(B10),B10=OriginalFinancials!B10),AND(ISNUMBER(U10),U10=OriginalFinancials!U10),AND(ISNUMBER(O10),O10=OriginalFinancials!O10)),0,1)</f>
        <v>0</v>
      </c>
      <c r="AE10" s="0" t="str">
        <f aca="false">IF(V10=0,"原始0：需核实适用/报告口径","")</f>
        <v/>
      </c>
    </row>
    <row r="11" customFormat="false" ht="15" hidden="false" customHeight="false" outlineLevel="0" collapsed="false">
      <c r="A11" s="0" t="n">
        <v>11</v>
      </c>
      <c r="B11" s="0" t="n">
        <v>836644</v>
      </c>
      <c r="C11" s="0" t="n">
        <v>17115</v>
      </c>
      <c r="D11" s="0" t="n">
        <v>738943</v>
      </c>
      <c r="E11" s="0" t="n">
        <v>-0.08</v>
      </c>
      <c r="F11" s="0" t="n">
        <v>83239</v>
      </c>
      <c r="G11" s="0" t="n">
        <v>9.94915400098489</v>
      </c>
      <c r="H11" s="0" t="s">
        <v>124</v>
      </c>
      <c r="I11" s="0" t="n">
        <v>1.16713202666947</v>
      </c>
      <c r="J11" s="0" t="n">
        <v>43003</v>
      </c>
      <c r="K11" s="0" t="n">
        <v>3606</v>
      </c>
      <c r="L11" s="0" t="n">
        <v>656481</v>
      </c>
      <c r="M11" s="0" t="n">
        <v>648819</v>
      </c>
      <c r="N11" s="0" t="n">
        <v>608827</v>
      </c>
      <c r="O11" s="0" t="n">
        <v>164</v>
      </c>
      <c r="P11" s="0" t="s">
        <v>125</v>
      </c>
      <c r="Q11" s="0" t="n">
        <v>0.0249816826381875</v>
      </c>
      <c r="R11" s="0" t="n">
        <v>3.51263617241704</v>
      </c>
      <c r="S11" s="0" t="n">
        <v>240</v>
      </c>
      <c r="T11" s="0" t="n">
        <v>62</v>
      </c>
      <c r="U11" s="0" t="n">
        <v>0</v>
      </c>
      <c r="V11" s="0" t="n">
        <v>15.6064687872223</v>
      </c>
      <c r="W11" s="0" t="n">
        <v>20220331</v>
      </c>
      <c r="X11" s="0" t="n">
        <v>1.11496929665211</v>
      </c>
      <c r="Y11" s="0" t="n">
        <v>11.05</v>
      </c>
      <c r="Z11" s="0" t="s">
        <v>105</v>
      </c>
      <c r="AA11" s="0" t="n">
        <f aca="false">IF(AND(ISNUMBER(B11),B11&gt;0,ISNUMBER(U11),U11&gt;=0,ISNUMBER(O11),O11&gt;=0),1,0)</f>
        <v>1</v>
      </c>
      <c r="AB11" s="0" t="n">
        <f aca="false">IF(AA11=1,U11+O11,0)</f>
        <v>164</v>
      </c>
      <c r="AC11" s="0" t="n">
        <f aca="false">IF(AA11=1,100*AB11/B11,"")</f>
        <v>0.019602124679075</v>
      </c>
      <c r="AD11" s="0" t="n">
        <f aca="false">IF(AND(AND(ISNUMBER(B11),B11=OriginalFinancials!B11),AND(ISNUMBER(U11),U11=OriginalFinancials!U11),AND(ISNUMBER(O11),O11=OriginalFinancials!O11)),0,1)</f>
        <v>0</v>
      </c>
      <c r="AE11" s="0" t="str">
        <f aca="false">IF(V11=0,"原始0：需核实适用/报告口径","")</f>
        <v/>
      </c>
    </row>
    <row r="12" customFormat="false" ht="15" hidden="false" customHeight="false" outlineLevel="0" collapsed="false">
      <c r="A12" s="0" t="n">
        <v>12</v>
      </c>
      <c r="B12" s="0" t="n">
        <v>1291920</v>
      </c>
      <c r="C12" s="0" t="n">
        <v>17180</v>
      </c>
      <c r="D12" s="0" t="n">
        <v>1121172</v>
      </c>
      <c r="E12" s="0" t="n">
        <v>0.06</v>
      </c>
      <c r="F12" s="0" t="n">
        <v>126979</v>
      </c>
      <c r="G12" s="0" t="n">
        <v>9.82870456375008</v>
      </c>
      <c r="H12" s="0" t="s">
        <v>126</v>
      </c>
      <c r="I12" s="0" t="n">
        <v>0.986162060581776</v>
      </c>
      <c r="J12" s="0" t="n">
        <v>44797</v>
      </c>
      <c r="K12" s="0" t="n">
        <v>141431</v>
      </c>
      <c r="L12" s="0" t="n">
        <v>1143017</v>
      </c>
      <c r="M12" s="0" t="n">
        <v>1131745</v>
      </c>
      <c r="N12" s="0" t="n">
        <v>937482</v>
      </c>
      <c r="O12" s="0" t="n">
        <v>5753</v>
      </c>
      <c r="P12" s="0" t="s">
        <v>127</v>
      </c>
      <c r="Q12" s="0" t="n">
        <v>0.503317098520844</v>
      </c>
      <c r="R12" s="0" t="n">
        <v>3.56999315523965</v>
      </c>
      <c r="S12" s="0" t="n">
        <v>36</v>
      </c>
      <c r="T12" s="0" t="n">
        <v>1540</v>
      </c>
      <c r="U12" s="0" t="n">
        <v>0</v>
      </c>
      <c r="V12" s="0" t="n">
        <v>16.0569431386633</v>
      </c>
      <c r="W12" s="0" t="n">
        <v>20220331</v>
      </c>
      <c r="X12" s="0" t="n">
        <v>0.802789289525275</v>
      </c>
      <c r="Y12" s="0" t="n">
        <v>8.11</v>
      </c>
      <c r="Z12" s="0" t="s">
        <v>123</v>
      </c>
      <c r="AA12" s="0" t="n">
        <f aca="false">IF(AND(ISNUMBER(B12),B12&gt;0,ISNUMBER(U12),U12&gt;=0,ISNUMBER(O12),O12&gt;=0),1,0)</f>
        <v>1</v>
      </c>
      <c r="AB12" s="0" t="n">
        <f aca="false">IF(AA12=1,U12+O12,0)</f>
        <v>5753</v>
      </c>
      <c r="AC12" s="0" t="n">
        <f aca="false">IF(AA12=1,100*AB12/B12,"")</f>
        <v>0.445306210910892</v>
      </c>
      <c r="AD12" s="0" t="n">
        <f aca="false">IF(AND(AND(ISNUMBER(B12),B12=OriginalFinancials!B12),AND(ISNUMBER(U12),U12=OriginalFinancials!U12),AND(ISNUMBER(O12),O12=OriginalFinancials!O12)),0,1)</f>
        <v>0</v>
      </c>
      <c r="AE12" s="0" t="str">
        <f aca="false">IF(V12=0,"原始0：需核实适用/报告口径","")</f>
        <v/>
      </c>
    </row>
    <row r="13" customFormat="false" ht="15" hidden="false" customHeight="false" outlineLevel="0" collapsed="false">
      <c r="A13" s="0" t="n">
        <v>13</v>
      </c>
      <c r="B13" s="0" t="n">
        <v>352255</v>
      </c>
      <c r="C13" s="0" t="n">
        <v>17443</v>
      </c>
      <c r="D13" s="0" t="n">
        <v>302135</v>
      </c>
      <c r="E13" s="0" t="n">
        <v>0.06</v>
      </c>
      <c r="F13" s="0" t="n">
        <v>42822</v>
      </c>
      <c r="G13" s="0" t="n">
        <v>12.1565343288243</v>
      </c>
      <c r="H13" s="0" t="s">
        <v>128</v>
      </c>
      <c r="I13" s="0" t="n">
        <v>0.858419069393285</v>
      </c>
      <c r="J13" s="0" t="n">
        <v>0</v>
      </c>
      <c r="K13" s="0" t="n">
        <v>1909</v>
      </c>
      <c r="L13" s="0" t="n">
        <v>188952</v>
      </c>
      <c r="M13" s="0" t="n">
        <v>187330</v>
      </c>
      <c r="N13" s="0" t="n">
        <v>186037</v>
      </c>
      <c r="O13" s="0" t="n">
        <v>842</v>
      </c>
      <c r="P13" s="0" t="s">
        <v>129</v>
      </c>
      <c r="Q13" s="0" t="n">
        <v>0.445615817773826</v>
      </c>
      <c r="R13" s="0" t="n">
        <v>2.01221792023435</v>
      </c>
      <c r="S13" s="0" t="n">
        <v>0</v>
      </c>
      <c r="T13" s="0" t="n">
        <v>2524</v>
      </c>
      <c r="U13" s="0" t="n">
        <v>0</v>
      </c>
      <c r="V13" s="0" t="n">
        <v>0</v>
      </c>
      <c r="W13" s="0" t="n">
        <v>20220331</v>
      </c>
      <c r="X13" s="0" t="n">
        <v>0.619253411177981</v>
      </c>
      <c r="Y13" s="0" t="n">
        <v>4.79</v>
      </c>
      <c r="Z13" s="0" t="s">
        <v>123</v>
      </c>
      <c r="AA13" s="0" t="n">
        <f aca="false">IF(AND(ISNUMBER(B13),B13&gt;0,ISNUMBER(U13),U13&gt;=0,ISNUMBER(O13),O13&gt;=0),1,0)</f>
        <v>1</v>
      </c>
      <c r="AB13" s="0" t="n">
        <f aca="false">IF(AA13=1,U13+O13,0)</f>
        <v>842</v>
      </c>
      <c r="AC13" s="0" t="n">
        <f aca="false">IF(AA13=1,100*AB13/B13,"")</f>
        <v>0.239031383514783</v>
      </c>
      <c r="AD13" s="0" t="n">
        <f aca="false">IF(AND(AND(ISNUMBER(B13),B13=OriginalFinancials!B13),AND(ISNUMBER(U13),U13=OriginalFinancials!U13),AND(ISNUMBER(O13),O13=OriginalFinancials!O13)),0,1)</f>
        <v>0</v>
      </c>
      <c r="AE13" s="0" t="str">
        <f aca="false">IF(V13=0,"原始0：需核实适用/报告口径","")</f>
        <v>原始0：需核实适用/报告口径</v>
      </c>
    </row>
    <row r="14" customFormat="false" ht="15" hidden="false" customHeight="false" outlineLevel="0" collapsed="false">
      <c r="A14" s="0" t="n">
        <v>14</v>
      </c>
      <c r="B14" s="0" t="n">
        <v>1753308</v>
      </c>
      <c r="C14" s="0" t="n">
        <v>17658</v>
      </c>
      <c r="D14" s="0" t="n">
        <v>1508978</v>
      </c>
      <c r="E14" s="0" t="n">
        <v>0.02</v>
      </c>
      <c r="F14" s="0" t="n">
        <v>215496</v>
      </c>
      <c r="G14" s="0" t="n">
        <v>12.2908239738825</v>
      </c>
      <c r="H14" s="0" t="s">
        <v>130</v>
      </c>
      <c r="I14" s="0" t="n">
        <v>0.856276105128734</v>
      </c>
      <c r="J14" s="0" t="n">
        <v>77695</v>
      </c>
      <c r="K14" s="0" t="n">
        <v>58315</v>
      </c>
      <c r="L14" s="0" t="n">
        <v>1075938</v>
      </c>
      <c r="M14" s="0" t="n">
        <v>1066725</v>
      </c>
      <c r="N14" s="0" t="n">
        <v>932001</v>
      </c>
      <c r="O14" s="0" t="n">
        <v>1019</v>
      </c>
      <c r="P14" s="0" t="s">
        <v>131</v>
      </c>
      <c r="Q14" s="0" t="n">
        <v>0.108835267459649</v>
      </c>
      <c r="R14" s="0" t="n">
        <v>3.35985107999514</v>
      </c>
      <c r="S14" s="0" t="n">
        <v>2</v>
      </c>
      <c r="T14" s="0" t="n">
        <v>1175</v>
      </c>
      <c r="U14" s="0" t="n">
        <v>152</v>
      </c>
      <c r="V14" s="0" t="n">
        <v>0</v>
      </c>
      <c r="W14" s="0" t="n">
        <v>20220331</v>
      </c>
      <c r="X14" s="0" t="n">
        <v>0.857754399438039</v>
      </c>
      <c r="Y14" s="0" t="n">
        <v>6.72</v>
      </c>
      <c r="Z14" s="0" t="s">
        <v>105</v>
      </c>
      <c r="AA14" s="0" t="n">
        <f aca="false">IF(AND(ISNUMBER(B14),B14&gt;0,ISNUMBER(U14),U14&gt;=0,ISNUMBER(O14),O14&gt;=0),1,0)</f>
        <v>1</v>
      </c>
      <c r="AB14" s="0" t="n">
        <f aca="false">IF(AA14=1,U14+O14,0)</f>
        <v>1171</v>
      </c>
      <c r="AC14" s="0" t="n">
        <f aca="false">IF(AA14=1,100*AB14/B14,"")</f>
        <v>0.0667880372416027</v>
      </c>
      <c r="AD14" s="0" t="n">
        <f aca="false">IF(AND(AND(ISNUMBER(B14),B14=OriginalFinancials!B14),AND(ISNUMBER(U14),U14=OriginalFinancials!U14),AND(ISNUMBER(O14),O14=OriginalFinancials!O14)),0,1)</f>
        <v>0</v>
      </c>
      <c r="AE14" s="0" t="str">
        <f aca="false">IF(V14=0,"原始0：需核实适用/报告口径","")</f>
        <v>原始0：需核实适用/报告口径</v>
      </c>
    </row>
    <row r="15" customFormat="false" ht="15" hidden="false" customHeight="false" outlineLevel="0" collapsed="false">
      <c r="A15" s="0" t="n">
        <v>15</v>
      </c>
      <c r="B15" s="0" t="n">
        <v>1002149</v>
      </c>
      <c r="C15" s="0" t="n">
        <v>17741</v>
      </c>
      <c r="D15" s="0" t="n">
        <v>846927</v>
      </c>
      <c r="E15" s="0" t="n">
        <v>0.03</v>
      </c>
      <c r="F15" s="0" t="n">
        <v>129919</v>
      </c>
      <c r="G15" s="0" t="n">
        <v>12.9640402774438</v>
      </c>
      <c r="H15" s="0" t="s">
        <v>132</v>
      </c>
      <c r="I15" s="0" t="n">
        <v>0.97167922787773</v>
      </c>
      <c r="J15" s="0" t="n">
        <v>42174</v>
      </c>
      <c r="K15" s="0" t="n">
        <v>3486</v>
      </c>
      <c r="L15" s="0" t="n">
        <v>796765</v>
      </c>
      <c r="M15" s="0" t="n">
        <v>789023</v>
      </c>
      <c r="N15" s="0" t="n">
        <v>747285</v>
      </c>
      <c r="O15" s="0" t="n">
        <v>1717</v>
      </c>
      <c r="P15" s="0" t="s">
        <v>133</v>
      </c>
      <c r="Q15" s="0" t="n">
        <v>0.215496413622586</v>
      </c>
      <c r="R15" s="0" t="n">
        <v>3.25666940503881</v>
      </c>
      <c r="S15" s="0" t="n">
        <v>4</v>
      </c>
      <c r="T15" s="0" t="n">
        <v>1992</v>
      </c>
      <c r="U15" s="0" t="n">
        <v>0</v>
      </c>
      <c r="V15" s="0" t="n">
        <v>0</v>
      </c>
      <c r="W15" s="0" t="n">
        <v>20220331</v>
      </c>
      <c r="X15" s="0" t="n">
        <v>0.582462366574648</v>
      </c>
      <c r="Y15" s="0" t="n">
        <v>4.49</v>
      </c>
      <c r="Z15" s="0" t="s">
        <v>105</v>
      </c>
      <c r="AA15" s="0" t="n">
        <f aca="false">IF(AND(ISNUMBER(B15),B15&gt;0,ISNUMBER(U15),U15&gt;=0,ISNUMBER(O15),O15&gt;=0),1,0)</f>
        <v>1</v>
      </c>
      <c r="AB15" s="0" t="n">
        <f aca="false">IF(AA15=1,U15+O15,0)</f>
        <v>1717</v>
      </c>
      <c r="AC15" s="0" t="n">
        <f aca="false">IF(AA15=1,100*AB15/B15,"")</f>
        <v>0.171331807944727</v>
      </c>
      <c r="AD15" s="0" t="n">
        <f aca="false">IF(AND(AND(ISNUMBER(B15),B15=OriginalFinancials!B15),AND(ISNUMBER(U15),U15=OriginalFinancials!U15),AND(ISNUMBER(O15),O15=OriginalFinancials!O15)),0,1)</f>
        <v>0</v>
      </c>
      <c r="AE15" s="0" t="str">
        <f aca="false">IF(V15=0,"原始0：需核实适用/报告口径","")</f>
        <v>原始0：需核实适用/报告口径</v>
      </c>
    </row>
    <row r="16" customFormat="false" ht="15" hidden="false" customHeight="false" outlineLevel="0" collapsed="false">
      <c r="A16" s="0" t="n">
        <v>16</v>
      </c>
      <c r="B16" s="0" t="n">
        <v>1158500</v>
      </c>
      <c r="C16" s="0" t="n">
        <v>17743</v>
      </c>
      <c r="D16" s="0" t="n">
        <v>899083</v>
      </c>
      <c r="E16" s="0" t="n">
        <v>0</v>
      </c>
      <c r="F16" s="0" t="n">
        <v>126783</v>
      </c>
      <c r="G16" s="0" t="n">
        <v>10.9437203280104</v>
      </c>
      <c r="H16" s="0" t="s">
        <v>134</v>
      </c>
      <c r="I16" s="0" t="n">
        <v>0.54432543188198</v>
      </c>
      <c r="J16" s="0" t="n">
        <v>25760</v>
      </c>
      <c r="K16" s="0" t="n">
        <v>5293</v>
      </c>
      <c r="L16" s="0" t="n">
        <v>918017</v>
      </c>
      <c r="M16" s="0" t="n">
        <v>913020</v>
      </c>
      <c r="N16" s="0" t="n">
        <v>873409</v>
      </c>
      <c r="O16" s="0" t="n">
        <v>3568</v>
      </c>
      <c r="P16" s="0" t="s">
        <v>135</v>
      </c>
      <c r="Q16" s="0" t="n">
        <v>0.392476392049385</v>
      </c>
      <c r="R16" s="0" t="n">
        <v>2.74686473547167</v>
      </c>
      <c r="S16" s="0" t="n">
        <v>-7</v>
      </c>
      <c r="T16" s="0" t="n">
        <v>1605</v>
      </c>
      <c r="U16" s="0" t="n">
        <v>35</v>
      </c>
      <c r="V16" s="0" t="n">
        <v>0</v>
      </c>
      <c r="W16" s="0" t="n">
        <v>20220331</v>
      </c>
      <c r="X16" s="0" t="n">
        <v>0.398424271744013</v>
      </c>
      <c r="Y16" s="0" t="n">
        <v>3.56</v>
      </c>
      <c r="Z16" s="0" t="s">
        <v>105</v>
      </c>
      <c r="AA16" s="0" t="n">
        <f aca="false">IF(AND(ISNUMBER(B16),B16&gt;0,ISNUMBER(U16),U16&gt;=0,ISNUMBER(O16),O16&gt;=0),1,0)</f>
        <v>1</v>
      </c>
      <c r="AB16" s="0" t="n">
        <f aca="false">IF(AA16=1,U16+O16,0)</f>
        <v>3603</v>
      </c>
      <c r="AC16" s="0" t="n">
        <f aca="false">IF(AA16=1,100*AB16/B16,"")</f>
        <v>0.311005610703496</v>
      </c>
      <c r="AD16" s="0" t="n">
        <f aca="false">IF(AND(AND(ISNUMBER(B16),B16=OriginalFinancials!B16),AND(ISNUMBER(U16),U16=OriginalFinancials!U16),AND(ISNUMBER(O16),O16=OriginalFinancials!O16)),0,1)</f>
        <v>0</v>
      </c>
      <c r="AE16" s="0" t="str">
        <f aca="false">IF(V16=0,"原始0：需核实适用/报告口径","")</f>
        <v>原始0：需核实适用/报告口径</v>
      </c>
    </row>
    <row r="17" customFormat="false" ht="15" hidden="false" customHeight="false" outlineLevel="0" collapsed="false">
      <c r="A17" s="0" t="n">
        <v>17</v>
      </c>
      <c r="B17" s="0" t="n">
        <v>1547967</v>
      </c>
      <c r="C17" s="0" t="n">
        <v>17748</v>
      </c>
      <c r="D17" s="0" t="n">
        <v>1360876</v>
      </c>
      <c r="E17" s="0" t="n">
        <v>-0.06</v>
      </c>
      <c r="F17" s="0" t="n">
        <v>122781</v>
      </c>
      <c r="G17" s="0" t="n">
        <v>7.93175823515618</v>
      </c>
      <c r="H17" s="0" t="s">
        <v>136</v>
      </c>
      <c r="I17" s="0" t="n">
        <v>0.813721881642695</v>
      </c>
      <c r="J17" s="0" t="n">
        <v>144260</v>
      </c>
      <c r="K17" s="0" t="n">
        <v>2958</v>
      </c>
      <c r="L17" s="0" t="n">
        <v>1135646</v>
      </c>
      <c r="M17" s="0" t="n">
        <v>1126405</v>
      </c>
      <c r="N17" s="0" t="n">
        <v>958834</v>
      </c>
      <c r="O17" s="0" t="n">
        <v>7767</v>
      </c>
      <c r="P17" s="0" t="s">
        <v>137</v>
      </c>
      <c r="Q17" s="0" t="n">
        <v>0.683927914156348</v>
      </c>
      <c r="R17" s="0" t="n">
        <v>3.15264453148257</v>
      </c>
      <c r="S17" s="0" t="n">
        <v>47</v>
      </c>
      <c r="T17" s="0" t="n">
        <v>2878</v>
      </c>
      <c r="U17" s="0" t="n">
        <v>0</v>
      </c>
      <c r="V17" s="0" t="n">
        <v>0</v>
      </c>
      <c r="W17" s="0" t="n">
        <v>20220331</v>
      </c>
      <c r="X17" s="0" t="n">
        <v>-0.306198776629676</v>
      </c>
      <c r="Y17" s="0" t="n">
        <v>-3.64</v>
      </c>
      <c r="Z17" s="0" t="s">
        <v>105</v>
      </c>
      <c r="AA17" s="0" t="n">
        <f aca="false">IF(AND(ISNUMBER(B17),B17&gt;0,ISNUMBER(U17),U17&gt;=0,ISNUMBER(O17),O17&gt;=0),1,0)</f>
        <v>1</v>
      </c>
      <c r="AB17" s="0" t="n">
        <f aca="false">IF(AA17=1,U17+O17,0)</f>
        <v>7767</v>
      </c>
      <c r="AC17" s="0" t="n">
        <f aca="false">IF(AA17=1,100*AB17/B17,"")</f>
        <v>0.501754882371523</v>
      </c>
      <c r="AD17" s="0" t="n">
        <f aca="false">IF(AND(AND(ISNUMBER(B17),B17=OriginalFinancials!B17),AND(ISNUMBER(U17),U17=OriginalFinancials!U17),AND(ISNUMBER(O17),O17=OriginalFinancials!O17)),0,1)</f>
        <v>0</v>
      </c>
      <c r="AE17" s="0" t="str">
        <f aca="false">IF(V17=0,"原始0：需核实适用/报告口径","")</f>
        <v>原始0：需核实适用/报告口径</v>
      </c>
    </row>
    <row r="18" customFormat="false" ht="15" hidden="false" customHeight="false" outlineLevel="0" collapsed="false">
      <c r="A18" s="0" t="n">
        <v>18</v>
      </c>
      <c r="B18" s="0" t="n">
        <v>1206621</v>
      </c>
      <c r="C18" s="0" t="n">
        <v>17749</v>
      </c>
      <c r="D18" s="0" t="n">
        <v>984705</v>
      </c>
      <c r="E18" s="0" t="n">
        <v>0.05</v>
      </c>
      <c r="F18" s="0" t="n">
        <v>164326</v>
      </c>
      <c r="G18" s="0" t="n">
        <v>13.6186921991247</v>
      </c>
      <c r="H18" s="0" t="s">
        <v>138</v>
      </c>
      <c r="I18" s="0" t="n">
        <v>1.44447114662501</v>
      </c>
      <c r="J18" s="0" t="n">
        <v>50144</v>
      </c>
      <c r="K18" s="0" t="n">
        <v>10017</v>
      </c>
      <c r="L18" s="0" t="n">
        <v>665780</v>
      </c>
      <c r="M18" s="0" t="n">
        <v>656163</v>
      </c>
      <c r="N18" s="0" t="n">
        <v>595069</v>
      </c>
      <c r="O18" s="0" t="n">
        <v>225</v>
      </c>
      <c r="P18" s="0" t="s">
        <v>139</v>
      </c>
      <c r="Q18" s="0" t="n">
        <v>0.0378503409534681</v>
      </c>
      <c r="R18" s="0" t="n">
        <v>2.79847262658</v>
      </c>
      <c r="S18" s="0" t="n">
        <v>1</v>
      </c>
      <c r="T18" s="0" t="n">
        <v>305</v>
      </c>
      <c r="U18" s="0" t="n">
        <v>27</v>
      </c>
      <c r="V18" s="0" t="n">
        <v>0</v>
      </c>
      <c r="W18" s="0" t="n">
        <v>20220331</v>
      </c>
      <c r="X18" s="0" t="n">
        <v>0.178286406605462</v>
      </c>
      <c r="Y18" s="0" t="n">
        <v>1.25</v>
      </c>
      <c r="Z18" s="0" t="s">
        <v>105</v>
      </c>
      <c r="AA18" s="0" t="n">
        <f aca="false">IF(AND(ISNUMBER(B18),B18&gt;0,ISNUMBER(U18),U18&gt;=0,ISNUMBER(O18),O18&gt;=0),1,0)</f>
        <v>1</v>
      </c>
      <c r="AB18" s="0" t="n">
        <f aca="false">IF(AA18=1,U18+O18,0)</f>
        <v>252</v>
      </c>
      <c r="AC18" s="0" t="n">
        <f aca="false">IF(AA18=1,100*AB18/B18,"")</f>
        <v>0.0208847682909547</v>
      </c>
      <c r="AD18" s="0" t="n">
        <f aca="false">IF(AND(AND(ISNUMBER(B18),B18=OriginalFinancials!B18),AND(ISNUMBER(U18),U18=OriginalFinancials!U18),AND(ISNUMBER(O18),O18=OriginalFinancials!O18)),0,1)</f>
        <v>0</v>
      </c>
      <c r="AE18" s="0" t="str">
        <f aca="false">IF(V18=0,"原始0：需核实适用/报告口径","")</f>
        <v>原始0：需核实适用/报告口径</v>
      </c>
    </row>
    <row r="19" customFormat="false" ht="15" hidden="false" customHeight="false" outlineLevel="0" collapsed="false">
      <c r="A19" s="0" t="n">
        <v>19</v>
      </c>
      <c r="B19" s="0" t="n">
        <v>1361626</v>
      </c>
      <c r="C19" s="0" t="n">
        <v>17751</v>
      </c>
      <c r="D19" s="0" t="n">
        <v>1200633</v>
      </c>
      <c r="E19" s="0" t="n">
        <v>0.07</v>
      </c>
      <c r="F19" s="0" t="n">
        <v>129404</v>
      </c>
      <c r="G19" s="0" t="n">
        <v>9.50363756273749</v>
      </c>
      <c r="H19" s="0" t="s">
        <v>140</v>
      </c>
      <c r="I19" s="0" t="n">
        <v>1.08433723794644</v>
      </c>
      <c r="J19" s="0" t="n">
        <v>117124</v>
      </c>
      <c r="K19" s="0" t="n">
        <v>1660</v>
      </c>
      <c r="L19" s="0" t="n">
        <v>1081029</v>
      </c>
      <c r="M19" s="0" t="n">
        <v>1069307</v>
      </c>
      <c r="N19" s="0" t="n">
        <v>913702</v>
      </c>
      <c r="O19" s="0" t="n">
        <v>2344</v>
      </c>
      <c r="P19" s="0" t="s">
        <v>141</v>
      </c>
      <c r="Q19" s="0" t="n">
        <v>0.216830445806727</v>
      </c>
      <c r="R19" s="0" t="n">
        <v>2.98263106712459</v>
      </c>
      <c r="S19" s="0" t="n">
        <v>2</v>
      </c>
      <c r="T19" s="0" t="n">
        <v>1342</v>
      </c>
      <c r="U19" s="0" t="n">
        <v>0</v>
      </c>
      <c r="V19" s="0" t="n">
        <v>13.7738528053916</v>
      </c>
      <c r="W19" s="0" t="n">
        <v>20220331</v>
      </c>
      <c r="X19" s="0" t="n">
        <v>0.508705684917139</v>
      </c>
      <c r="Y19" s="0" t="n">
        <v>5.27</v>
      </c>
      <c r="Z19" s="0" t="s">
        <v>105</v>
      </c>
      <c r="AA19" s="0" t="n">
        <f aca="false">IF(AND(ISNUMBER(B19),B19&gt;0,ISNUMBER(U19),U19&gt;=0,ISNUMBER(O19),O19&gt;=0),1,0)</f>
        <v>1</v>
      </c>
      <c r="AB19" s="0" t="n">
        <f aca="false">IF(AA19=1,U19+O19,0)</f>
        <v>2344</v>
      </c>
      <c r="AC19" s="0" t="n">
        <f aca="false">IF(AA19=1,100*AB19/B19,"")</f>
        <v>0.172147124100157</v>
      </c>
      <c r="AD19" s="0" t="n">
        <f aca="false">IF(AND(AND(ISNUMBER(B19),B19=OriginalFinancials!B19),AND(ISNUMBER(U19),U19=OriginalFinancials!U19),AND(ISNUMBER(O19),O19=OriginalFinancials!O19)),0,1)</f>
        <v>0</v>
      </c>
      <c r="AE19" s="0" t="str">
        <f aca="false">IF(V19=0,"原始0：需核实适用/报告口径","")</f>
        <v/>
      </c>
    </row>
    <row r="20" customFormat="false" ht="15" hidden="false" customHeight="false" outlineLevel="0" collapsed="false">
      <c r="A20" s="0" t="n">
        <v>20</v>
      </c>
      <c r="B20" s="0" t="n">
        <v>1471217</v>
      </c>
      <c r="C20" s="0" t="n">
        <v>17897</v>
      </c>
      <c r="D20" s="0" t="n">
        <v>1215413</v>
      </c>
      <c r="E20" s="0" t="n">
        <v>0.04</v>
      </c>
      <c r="F20" s="0" t="n">
        <v>198845</v>
      </c>
      <c r="G20" s="0" t="n">
        <v>13.515681235331</v>
      </c>
      <c r="H20" s="0" t="s">
        <v>142</v>
      </c>
      <c r="I20" s="0" t="n">
        <v>0.624670190614532</v>
      </c>
      <c r="J20" s="0" t="n">
        <v>58243</v>
      </c>
      <c r="K20" s="0" t="n">
        <v>2749</v>
      </c>
      <c r="L20" s="0" t="n">
        <v>1226087</v>
      </c>
      <c r="M20" s="0" t="n">
        <v>1218428</v>
      </c>
      <c r="N20" s="0" t="n">
        <v>1160300</v>
      </c>
      <c r="O20" s="0" t="n">
        <v>3293</v>
      </c>
      <c r="P20" s="0" t="s">
        <v>143</v>
      </c>
      <c r="Q20" s="0" t="n">
        <v>0.268578004660354</v>
      </c>
      <c r="R20" s="0" t="n">
        <v>3.238078097909</v>
      </c>
      <c r="S20" s="0" t="n">
        <v>12</v>
      </c>
      <c r="T20" s="0" t="n">
        <v>1421</v>
      </c>
      <c r="U20" s="0" t="n">
        <v>0</v>
      </c>
      <c r="V20" s="0" t="n">
        <v>0</v>
      </c>
      <c r="W20" s="0" t="n">
        <v>20220331</v>
      </c>
      <c r="X20" s="0" t="n">
        <v>-0.20422436033401</v>
      </c>
      <c r="Y20" s="0" t="n">
        <v>-1.48</v>
      </c>
      <c r="Z20" s="0" t="s">
        <v>105</v>
      </c>
      <c r="AA20" s="0" t="n">
        <f aca="false">IF(AND(ISNUMBER(B20),B20&gt;0,ISNUMBER(U20),U20&gt;=0,ISNUMBER(O20),O20&gt;=0),1,0)</f>
        <v>1</v>
      </c>
      <c r="AB20" s="0" t="n">
        <f aca="false">IF(AA20=1,U20+O20,0)</f>
        <v>3293</v>
      </c>
      <c r="AC20" s="0" t="n">
        <f aca="false">IF(AA20=1,100*AB20/B20,"")</f>
        <v>0.223828299972064</v>
      </c>
      <c r="AD20" s="0" t="n">
        <f aca="false">IF(AND(AND(ISNUMBER(B20),B20=OriginalFinancials!B20),AND(ISNUMBER(U20),U20=OriginalFinancials!U20),AND(ISNUMBER(O20),O20=OriginalFinancials!O20)),0,1)</f>
        <v>0</v>
      </c>
      <c r="AE20" s="0" t="str">
        <f aca="false">IF(V20=0,"原始0：需核实适用/报告口径","")</f>
        <v>原始0：需核实适用/报告口径</v>
      </c>
    </row>
    <row r="21" customFormat="false" ht="15" hidden="false" customHeight="false" outlineLevel="0" collapsed="false">
      <c r="A21" s="0" t="n">
        <v>21</v>
      </c>
      <c r="B21" s="0" t="n">
        <v>702702</v>
      </c>
      <c r="C21" s="0" t="n">
        <v>17951</v>
      </c>
      <c r="D21" s="0" t="n">
        <v>626605</v>
      </c>
      <c r="E21" s="0" t="n">
        <v>0.05</v>
      </c>
      <c r="F21" s="0" t="n">
        <v>57001</v>
      </c>
      <c r="G21" s="0" t="n">
        <v>8.11168888091965</v>
      </c>
      <c r="H21" s="0" t="s">
        <v>144</v>
      </c>
      <c r="I21" s="0" t="n">
        <v>0.8551346529476</v>
      </c>
      <c r="J21" s="0" t="n">
        <v>24011</v>
      </c>
      <c r="K21" s="0" t="n">
        <v>1618</v>
      </c>
      <c r="L21" s="0" t="n">
        <v>455133</v>
      </c>
      <c r="M21" s="0" t="n">
        <v>451241</v>
      </c>
      <c r="N21" s="0" t="n">
        <v>417998</v>
      </c>
      <c r="O21" s="0" t="n">
        <v>1046</v>
      </c>
      <c r="P21" s="0" t="s">
        <v>145</v>
      </c>
      <c r="Q21" s="0" t="n">
        <v>0.229822930879545</v>
      </c>
      <c r="R21" s="0" t="n">
        <v>3.153855534702</v>
      </c>
      <c r="S21" s="0" t="n">
        <v>-3</v>
      </c>
      <c r="T21" s="0" t="n">
        <v>57</v>
      </c>
      <c r="U21" s="0" t="n">
        <v>0</v>
      </c>
      <c r="V21" s="0" t="n">
        <v>15.5380723051999</v>
      </c>
      <c r="W21" s="0" t="n">
        <v>20220331</v>
      </c>
      <c r="X21" s="0" t="n">
        <v>0.914855176699387</v>
      </c>
      <c r="Y21" s="0" t="n">
        <v>10.65</v>
      </c>
      <c r="Z21" s="0" t="s">
        <v>123</v>
      </c>
      <c r="AA21" s="0" t="n">
        <f aca="false">IF(AND(ISNUMBER(B21),B21&gt;0,ISNUMBER(U21),U21&gt;=0,ISNUMBER(O21),O21&gt;=0),1,0)</f>
        <v>1</v>
      </c>
      <c r="AB21" s="0" t="n">
        <f aca="false">IF(AA21=1,U21+O21,0)</f>
        <v>1046</v>
      </c>
      <c r="AC21" s="0" t="n">
        <f aca="false">IF(AA21=1,100*AB21/B21,"")</f>
        <v>0.148853995007841</v>
      </c>
      <c r="AD21" s="0" t="n">
        <f aca="false">IF(AND(AND(ISNUMBER(B21),B21=OriginalFinancials!B21),AND(ISNUMBER(U21),U21=OriginalFinancials!U21),AND(ISNUMBER(O21),O21=OriginalFinancials!O21)),0,1)</f>
        <v>0</v>
      </c>
      <c r="AE21" s="0" t="str">
        <f aca="false">IF(V21=0,"原始0：需核实适用/报告口径","")</f>
        <v/>
      </c>
    </row>
    <row r="22" customFormat="false" ht="15" hidden="false" customHeight="false" outlineLevel="0" collapsed="false">
      <c r="A22" s="0" t="n">
        <v>22</v>
      </c>
      <c r="B22" s="0" t="n">
        <v>1150436</v>
      </c>
      <c r="C22" s="0" t="n">
        <v>17960</v>
      </c>
      <c r="D22" s="0" t="n">
        <v>962644</v>
      </c>
      <c r="E22" s="0" t="n">
        <v>0.07</v>
      </c>
      <c r="F22" s="0" t="n">
        <v>107341</v>
      </c>
      <c r="G22" s="0" t="n">
        <v>9.33046253768137</v>
      </c>
      <c r="H22" s="0" t="s">
        <v>146</v>
      </c>
      <c r="I22" s="0" t="n">
        <v>1.01419619556841</v>
      </c>
      <c r="J22" s="0" t="n">
        <v>96589</v>
      </c>
      <c r="K22" s="0" t="n">
        <v>142477</v>
      </c>
      <c r="L22" s="0" t="n">
        <v>940745</v>
      </c>
      <c r="M22" s="0" t="n">
        <v>931204</v>
      </c>
      <c r="N22" s="0" t="n">
        <v>701328</v>
      </c>
      <c r="O22" s="0" t="n">
        <v>462</v>
      </c>
      <c r="P22" s="0" t="s">
        <v>147</v>
      </c>
      <c r="Q22" s="0" t="n">
        <v>0.0491100138719844</v>
      </c>
      <c r="R22" s="0" t="n">
        <v>3.59463940740848</v>
      </c>
      <c r="S22" s="0" t="n">
        <v>7</v>
      </c>
      <c r="T22" s="0" t="n">
        <v>1292</v>
      </c>
      <c r="U22" s="0" t="n">
        <v>0</v>
      </c>
      <c r="V22" s="0" t="n">
        <v>14.4388795444508</v>
      </c>
      <c r="W22" s="0" t="n">
        <v>20220331</v>
      </c>
      <c r="X22" s="0" t="n">
        <v>0.833049601017634</v>
      </c>
      <c r="Y22" s="0" t="n">
        <v>8.77</v>
      </c>
      <c r="Z22" s="0" t="s">
        <v>123</v>
      </c>
      <c r="AA22" s="0" t="n">
        <f aca="false">IF(AND(ISNUMBER(B22),B22&gt;0,ISNUMBER(U22),U22&gt;=0,ISNUMBER(O22),O22&gt;=0),1,0)</f>
        <v>1</v>
      </c>
      <c r="AB22" s="0" t="n">
        <f aca="false">IF(AA22=1,U22+O22,0)</f>
        <v>462</v>
      </c>
      <c r="AC22" s="0" t="n">
        <f aca="false">IF(AA22=1,100*AB22/B22,"")</f>
        <v>0.0401586876627644</v>
      </c>
      <c r="AD22" s="0" t="n">
        <f aca="false">IF(AND(AND(ISNUMBER(B22),B22=OriginalFinancials!B22),AND(ISNUMBER(U22),U22=OriginalFinancials!U22),AND(ISNUMBER(O22),O22=OriginalFinancials!O22)),0,1)</f>
        <v>0</v>
      </c>
      <c r="AE22" s="0" t="str">
        <f aca="false">IF(V22=0,"原始0：需核实适用/报告口径","")</f>
        <v/>
      </c>
    </row>
    <row r="23" customFormat="false" ht="15" hidden="false" customHeight="false" outlineLevel="0" collapsed="false">
      <c r="A23" s="0" t="n">
        <v>23</v>
      </c>
      <c r="B23" s="0" t="n">
        <v>2361388</v>
      </c>
      <c r="C23" s="0" t="n">
        <v>18012</v>
      </c>
      <c r="D23" s="0" t="n">
        <v>1985720</v>
      </c>
      <c r="E23" s="0" t="n">
        <v>0.04</v>
      </c>
      <c r="F23" s="0" t="n">
        <v>235718</v>
      </c>
      <c r="G23" s="0" t="n">
        <v>9.98217997211809</v>
      </c>
      <c r="H23" s="0" t="s">
        <v>148</v>
      </c>
      <c r="I23" s="0" t="n">
        <v>1.23592456852314</v>
      </c>
      <c r="J23" s="0" t="n">
        <v>56828</v>
      </c>
      <c r="K23" s="0" t="n">
        <v>37005</v>
      </c>
      <c r="L23" s="0" t="n">
        <v>1846391</v>
      </c>
      <c r="M23" s="0" t="n">
        <v>1823571</v>
      </c>
      <c r="N23" s="0" t="n">
        <v>1710167</v>
      </c>
      <c r="O23" s="0" t="n">
        <v>1611</v>
      </c>
      <c r="P23" s="0" t="s">
        <v>149</v>
      </c>
      <c r="Q23" s="0" t="n">
        <v>0.0872512918444684</v>
      </c>
      <c r="R23" s="0" t="n">
        <v>3.49821090392703</v>
      </c>
      <c r="S23" s="0" t="n">
        <v>30</v>
      </c>
      <c r="T23" s="0" t="n">
        <v>1160</v>
      </c>
      <c r="U23" s="0" t="n">
        <v>0</v>
      </c>
      <c r="V23" s="0" t="n">
        <v>12.5879724374004</v>
      </c>
      <c r="W23" s="0" t="n">
        <v>20220331</v>
      </c>
      <c r="X23" s="0" t="n">
        <v>1.38990310237064</v>
      </c>
      <c r="Y23" s="0" t="n">
        <v>13.47</v>
      </c>
      <c r="Z23" s="0" t="s">
        <v>123</v>
      </c>
      <c r="AA23" s="0" t="n">
        <f aca="false">IF(AND(ISNUMBER(B23),B23&gt;0,ISNUMBER(U23),U23&gt;=0,ISNUMBER(O23),O23&gt;=0),1,0)</f>
        <v>1</v>
      </c>
      <c r="AB23" s="0" t="n">
        <f aca="false">IF(AA23=1,U23+O23,0)</f>
        <v>1611</v>
      </c>
      <c r="AC23" s="0" t="n">
        <f aca="false">IF(AA23=1,100*AB23/B23,"")</f>
        <v>0.0682225877322998</v>
      </c>
      <c r="AD23" s="0" t="n">
        <f aca="false">IF(AND(AND(ISNUMBER(B23),B23=OriginalFinancials!B23),AND(ISNUMBER(U23),U23=OriginalFinancials!U23),AND(ISNUMBER(O23),O23=OriginalFinancials!O23)),0,1)</f>
        <v>0</v>
      </c>
      <c r="AE23" s="0" t="str">
        <f aca="false">IF(V23=0,"原始0：需核实适用/报告口径","")</f>
        <v/>
      </c>
    </row>
    <row r="24" customFormat="false" ht="15" hidden="false" customHeight="false" outlineLevel="0" collapsed="false">
      <c r="A24" s="0" t="n">
        <v>24</v>
      </c>
      <c r="B24" s="0" t="n">
        <v>2600482</v>
      </c>
      <c r="C24" s="0" t="n">
        <v>18013</v>
      </c>
      <c r="D24" s="0" t="n">
        <v>2300252</v>
      </c>
      <c r="E24" s="0" t="n">
        <v>0</v>
      </c>
      <c r="F24" s="0" t="n">
        <v>212897</v>
      </c>
      <c r="G24" s="0" t="n">
        <v>8.18682844180425</v>
      </c>
      <c r="H24" s="0" t="s">
        <v>150</v>
      </c>
      <c r="I24" s="0" t="n">
        <v>0.956594529690328</v>
      </c>
      <c r="J24" s="0" t="n">
        <v>115058</v>
      </c>
      <c r="K24" s="0" t="n">
        <v>10633</v>
      </c>
      <c r="L24" s="0" t="n">
        <v>1930494</v>
      </c>
      <c r="M24" s="0" t="n">
        <v>1912027</v>
      </c>
      <c r="N24" s="0" t="n">
        <v>1765339</v>
      </c>
      <c r="O24" s="0" t="n">
        <v>1382</v>
      </c>
      <c r="P24" s="0" t="s">
        <v>151</v>
      </c>
      <c r="Q24" s="0" t="n">
        <v>0.0824659387700764</v>
      </c>
      <c r="R24" s="0" t="n">
        <v>3.00297177382644</v>
      </c>
      <c r="S24" s="0" t="n">
        <v>-26</v>
      </c>
      <c r="T24" s="0" t="n">
        <v>2301</v>
      </c>
      <c r="U24" s="0" t="n">
        <v>210</v>
      </c>
      <c r="V24" s="0" t="n">
        <v>14.3274834905896</v>
      </c>
      <c r="W24" s="0" t="n">
        <v>20220331</v>
      </c>
      <c r="X24" s="0" t="n">
        <v>0.731150038080731</v>
      </c>
      <c r="Y24" s="0" t="n">
        <v>8.73</v>
      </c>
      <c r="Z24" s="0" t="s">
        <v>123</v>
      </c>
      <c r="AA24" s="0" t="n">
        <f aca="false">IF(AND(ISNUMBER(B24),B24&gt;0,ISNUMBER(U24),U24&gt;=0,ISNUMBER(O24),O24&gt;=0),1,0)</f>
        <v>1</v>
      </c>
      <c r="AB24" s="0" t="n">
        <f aca="false">IF(AA24=1,U24+O24,0)</f>
        <v>1592</v>
      </c>
      <c r="AC24" s="0" t="n">
        <f aca="false">IF(AA24=1,100*AB24/B24,"")</f>
        <v>0.0612194200921214</v>
      </c>
      <c r="AD24" s="0" t="n">
        <f aca="false">IF(AND(AND(ISNUMBER(B24),B24=OriginalFinancials!B24),AND(ISNUMBER(U24),U24=OriginalFinancials!U24),AND(ISNUMBER(O24),O24=OriginalFinancials!O24)),0,1)</f>
        <v>0</v>
      </c>
      <c r="AE24" s="0" t="str">
        <f aca="false">IF(V24=0,"原始0：需核实适用/报告口径","")</f>
        <v/>
      </c>
    </row>
    <row r="25" customFormat="false" ht="15" hidden="false" customHeight="false" outlineLevel="0" collapsed="false">
      <c r="A25" s="0" t="n">
        <v>25</v>
      </c>
      <c r="B25" s="0" t="n">
        <v>376087</v>
      </c>
      <c r="C25" s="0" t="n">
        <v>18028</v>
      </c>
      <c r="D25" s="0" t="n">
        <v>329792</v>
      </c>
      <c r="E25" s="0" t="n">
        <v>-0.11</v>
      </c>
      <c r="F25" s="0" t="n">
        <v>41683</v>
      </c>
      <c r="G25" s="0" t="n">
        <v>11.0833397591515</v>
      </c>
      <c r="H25" s="0" t="s">
        <v>152</v>
      </c>
      <c r="I25" s="0" t="n">
        <v>0.928775126335954</v>
      </c>
      <c r="J25" s="0" t="n">
        <v>15550</v>
      </c>
      <c r="K25" s="0" t="n">
        <v>5989</v>
      </c>
      <c r="L25" s="0" t="n">
        <v>230734</v>
      </c>
      <c r="M25" s="0" t="n">
        <v>228591</v>
      </c>
      <c r="N25" s="0" t="n">
        <v>205024</v>
      </c>
      <c r="O25" s="0" t="n">
        <v>1080</v>
      </c>
      <c r="P25" s="0" t="s">
        <v>153</v>
      </c>
      <c r="Q25" s="0" t="n">
        <v>0.488007835862942</v>
      </c>
      <c r="R25" s="0" t="n">
        <v>3.14258644110362</v>
      </c>
      <c r="S25" s="0" t="n">
        <v>22</v>
      </c>
      <c r="T25" s="0" t="n">
        <v>1113</v>
      </c>
      <c r="U25" s="0" t="n">
        <v>46</v>
      </c>
      <c r="V25" s="0" t="n">
        <v>0</v>
      </c>
      <c r="W25" s="0" t="n">
        <v>20220331</v>
      </c>
      <c r="X25" s="0" t="n">
        <v>0.799467731204258</v>
      </c>
      <c r="Y25" s="0" t="n">
        <v>6.76</v>
      </c>
      <c r="Z25" s="0" t="s">
        <v>123</v>
      </c>
      <c r="AA25" s="0" t="n">
        <f aca="false">IF(AND(ISNUMBER(B25),B25&gt;0,ISNUMBER(U25),U25&gt;=0,ISNUMBER(O25),O25&gt;=0),1,0)</f>
        <v>1</v>
      </c>
      <c r="AB25" s="0" t="n">
        <f aca="false">IF(AA25=1,U25+O25,0)</f>
        <v>1126</v>
      </c>
      <c r="AC25" s="0" t="n">
        <f aca="false">IF(AA25=1,100*AB25/B25,"")</f>
        <v>0.299398809318057</v>
      </c>
      <c r="AD25" s="0" t="n">
        <f aca="false">IF(AND(AND(ISNUMBER(B25),B25=OriginalFinancials!B25),AND(ISNUMBER(U25),U25=OriginalFinancials!U25),AND(ISNUMBER(O25),O25=OriginalFinancials!O25)),0,1)</f>
        <v>0</v>
      </c>
      <c r="AE25" s="0" t="str">
        <f aca="false">IF(V25=0,"原始0：需核实适用/报告口径","")</f>
        <v>原始0：需核实适用/报告口径</v>
      </c>
    </row>
    <row r="26" customFormat="false" ht="15" hidden="false" customHeight="false" outlineLevel="0" collapsed="false">
      <c r="A26" s="0" t="n">
        <v>26</v>
      </c>
      <c r="B26" s="0" t="n">
        <v>675480</v>
      </c>
      <c r="C26" s="0" t="n">
        <v>18030</v>
      </c>
      <c r="D26" s="0" t="n">
        <v>625612</v>
      </c>
      <c r="E26" s="0" t="n">
        <v>0.1</v>
      </c>
      <c r="F26" s="0" t="n">
        <v>47946</v>
      </c>
      <c r="G26" s="0" t="n">
        <v>7.09806359921833</v>
      </c>
      <c r="H26" s="0" t="s">
        <v>154</v>
      </c>
      <c r="I26" s="0" t="n">
        <v>0.94156178548623</v>
      </c>
      <c r="J26" s="0" t="n">
        <v>24798</v>
      </c>
      <c r="K26" s="0" t="n">
        <v>77370</v>
      </c>
      <c r="L26" s="0" t="n">
        <v>485470</v>
      </c>
      <c r="M26" s="0" t="n">
        <v>480899</v>
      </c>
      <c r="N26" s="0" t="n">
        <v>383166</v>
      </c>
      <c r="O26" s="0" t="n">
        <v>602</v>
      </c>
      <c r="P26" s="0" t="s">
        <v>155</v>
      </c>
      <c r="Q26" s="0" t="n">
        <v>0.148721857169341</v>
      </c>
      <c r="R26" s="0" t="n">
        <v>2.94757262359294</v>
      </c>
      <c r="S26" s="0" t="n">
        <v>-1</v>
      </c>
      <c r="T26" s="0" t="n">
        <v>184</v>
      </c>
      <c r="U26" s="0" t="n">
        <v>120</v>
      </c>
      <c r="V26" s="0" t="n">
        <v>14.5080691206684</v>
      </c>
      <c r="W26" s="0" t="n">
        <v>20220331</v>
      </c>
      <c r="X26" s="0" t="n">
        <v>0.354625753802855</v>
      </c>
      <c r="Y26" s="0" t="n">
        <v>4.73</v>
      </c>
      <c r="Z26" s="0" t="s">
        <v>123</v>
      </c>
      <c r="AA26" s="0" t="n">
        <f aca="false">IF(AND(ISNUMBER(B26),B26&gt;0,ISNUMBER(U26),U26&gt;=0,ISNUMBER(O26),O26&gt;=0),1,0)</f>
        <v>1</v>
      </c>
      <c r="AB26" s="0" t="n">
        <f aca="false">IF(AA26=1,U26+O26,0)</f>
        <v>722</v>
      </c>
      <c r="AC26" s="0" t="n">
        <f aca="false">IF(AA26=1,100*AB26/B26,"")</f>
        <v>0.106886954462012</v>
      </c>
      <c r="AD26" s="0" t="n">
        <f aca="false">IF(AND(AND(ISNUMBER(B26),B26=OriginalFinancials!B26),AND(ISNUMBER(U26),U26=OriginalFinancials!U26),AND(ISNUMBER(O26),O26=OriginalFinancials!O26)),0,1)</f>
        <v>0</v>
      </c>
      <c r="AE26" s="0" t="str">
        <f aca="false">IF(V26=0,"原始0：需核实适用/报告口径","")</f>
        <v/>
      </c>
    </row>
    <row r="27" customFormat="false" ht="15" hidden="false" customHeight="false" outlineLevel="0" collapsed="false">
      <c r="A27" s="0" t="n">
        <v>27</v>
      </c>
      <c r="B27" s="0" t="n">
        <v>618579</v>
      </c>
      <c r="C27" s="0" t="n">
        <v>18031</v>
      </c>
      <c r="D27" s="0" t="n">
        <v>539167</v>
      </c>
      <c r="E27" s="0" t="n">
        <v>0</v>
      </c>
      <c r="F27" s="0" t="n">
        <v>45852</v>
      </c>
      <c r="G27" s="0" t="n">
        <v>7.41247278035627</v>
      </c>
      <c r="H27" s="0" t="s">
        <v>156</v>
      </c>
      <c r="I27" s="0" t="n">
        <v>1.21031300615778</v>
      </c>
      <c r="J27" s="0" t="n">
        <v>32100</v>
      </c>
      <c r="K27" s="0" t="n">
        <v>8415</v>
      </c>
      <c r="L27" s="0" t="n">
        <v>414273</v>
      </c>
      <c r="M27" s="0" t="n">
        <v>409259</v>
      </c>
      <c r="N27" s="0" t="n">
        <v>368428</v>
      </c>
      <c r="O27" s="0" t="n">
        <v>602</v>
      </c>
      <c r="P27" s="0" t="s">
        <v>157</v>
      </c>
      <c r="Q27" s="0" t="n">
        <v>0.145314804488827</v>
      </c>
      <c r="R27" s="0" t="n">
        <v>2.83494716689371</v>
      </c>
      <c r="S27" s="0" t="n">
        <v>19</v>
      </c>
      <c r="T27" s="0" t="n">
        <v>1504</v>
      </c>
      <c r="U27" s="0" t="n">
        <v>0</v>
      </c>
      <c r="V27" s="0" t="n">
        <v>0</v>
      </c>
      <c r="W27" s="0" t="n">
        <v>20220331</v>
      </c>
      <c r="X27" s="0" t="n">
        <v>0.474826734203215</v>
      </c>
      <c r="Y27" s="0" t="n">
        <v>5.98</v>
      </c>
      <c r="Z27" s="0" t="s">
        <v>123</v>
      </c>
      <c r="AA27" s="0" t="n">
        <f aca="false">IF(AND(ISNUMBER(B27),B27&gt;0,ISNUMBER(U27),U27&gt;=0,ISNUMBER(O27),O27&gt;=0),1,0)</f>
        <v>1</v>
      </c>
      <c r="AB27" s="0" t="n">
        <f aca="false">IF(AA27=1,U27+O27,0)</f>
        <v>602</v>
      </c>
      <c r="AC27" s="0" t="n">
        <f aca="false">IF(AA27=1,100*AB27/B27,"")</f>
        <v>0.0973198249536438</v>
      </c>
      <c r="AD27" s="0" t="n">
        <f aca="false">IF(AND(AND(ISNUMBER(B27),B27=OriginalFinancials!B27),AND(ISNUMBER(U27),U27=OriginalFinancials!U27),AND(ISNUMBER(O27),O27=OriginalFinancials!O27)),0,1)</f>
        <v>0</v>
      </c>
      <c r="AE27" s="0" t="str">
        <f aca="false">IF(V27=0,"原始0：需核实适用/报告口径","")</f>
        <v>原始0：需核实适用/报告口径</v>
      </c>
    </row>
    <row r="28" customFormat="false" ht="15" hidden="false" customHeight="false" outlineLevel="0" collapsed="false">
      <c r="A28" s="0" t="n">
        <v>28</v>
      </c>
      <c r="B28" s="0" t="n">
        <v>483496</v>
      </c>
      <c r="C28" s="0" t="n">
        <v>18038</v>
      </c>
      <c r="D28" s="0" t="n">
        <v>404536</v>
      </c>
      <c r="E28" s="0" t="n">
        <v>0.04</v>
      </c>
      <c r="F28" s="0" t="n">
        <v>69131</v>
      </c>
      <c r="G28" s="0" t="n">
        <v>14.2981534490461</v>
      </c>
      <c r="H28" s="0" t="s">
        <v>158</v>
      </c>
      <c r="I28" s="0" t="n">
        <v>1.24057032046899</v>
      </c>
      <c r="J28" s="0" t="n">
        <v>17613</v>
      </c>
      <c r="K28" s="0" t="n">
        <v>3264</v>
      </c>
      <c r="L28" s="0" t="n">
        <v>356852</v>
      </c>
      <c r="M28" s="0" t="n">
        <v>352425</v>
      </c>
      <c r="N28" s="0" t="n">
        <v>335633</v>
      </c>
      <c r="O28" s="0" t="n">
        <v>2487</v>
      </c>
      <c r="P28" s="0" t="s">
        <v>159</v>
      </c>
      <c r="Q28" s="0" t="n">
        <v>0.696927577819376</v>
      </c>
      <c r="R28" s="0" t="n">
        <v>3.13809529560168</v>
      </c>
      <c r="S28" s="0" t="n">
        <v>-82</v>
      </c>
      <c r="T28" s="0" t="n">
        <v>1771</v>
      </c>
      <c r="U28" s="0" t="n">
        <v>0</v>
      </c>
      <c r="V28" s="0" t="n">
        <v>0</v>
      </c>
      <c r="W28" s="0" t="n">
        <v>20220331</v>
      </c>
      <c r="X28" s="0" t="n">
        <v>-0.708233314868386</v>
      </c>
      <c r="Y28" s="0" t="n">
        <v>-4.87</v>
      </c>
      <c r="Z28" s="0" t="s">
        <v>123</v>
      </c>
      <c r="AA28" s="0" t="n">
        <f aca="false">IF(AND(ISNUMBER(B28),B28&gt;0,ISNUMBER(U28),U28&gt;=0,ISNUMBER(O28),O28&gt;=0),1,0)</f>
        <v>1</v>
      </c>
      <c r="AB28" s="0" t="n">
        <f aca="false">IF(AA28=1,U28+O28,0)</f>
        <v>2487</v>
      </c>
      <c r="AC28" s="0" t="n">
        <f aca="false">IF(AA28=1,100*AB28/B28,"")</f>
        <v>0.514378609130169</v>
      </c>
      <c r="AD28" s="0" t="n">
        <f aca="false">IF(AND(AND(ISNUMBER(B28),B28=OriginalFinancials!B28),AND(ISNUMBER(U28),U28=OriginalFinancials!U28),AND(ISNUMBER(O28),O28=OriginalFinancials!O28)),0,1)</f>
        <v>0</v>
      </c>
      <c r="AE28" s="0" t="str">
        <f aca="false">IF(V28=0,"原始0：需核实适用/报告口径","")</f>
        <v>原始0：需核实适用/报告口径</v>
      </c>
    </row>
    <row r="29" customFormat="false" ht="15" hidden="false" customHeight="false" outlineLevel="0" collapsed="false">
      <c r="A29" s="0" t="n">
        <v>29</v>
      </c>
      <c r="B29" s="0" t="n">
        <v>6919263</v>
      </c>
      <c r="C29" s="0" t="n">
        <v>18408</v>
      </c>
      <c r="D29" s="0" t="n">
        <v>5759296</v>
      </c>
      <c r="E29" s="0" t="n">
        <v>0</v>
      </c>
      <c r="F29" s="0" t="n">
        <v>446779</v>
      </c>
      <c r="G29" s="0" t="n">
        <v>6.45703162316565</v>
      </c>
      <c r="H29" s="0" t="s">
        <v>160</v>
      </c>
      <c r="I29" s="0" t="n">
        <v>1.24362798121471</v>
      </c>
      <c r="J29" s="0" t="n">
        <v>286708</v>
      </c>
      <c r="K29" s="0" t="n">
        <v>28127</v>
      </c>
      <c r="L29" s="0" t="n">
        <v>3977154</v>
      </c>
      <c r="M29" s="0" t="n">
        <v>3927693</v>
      </c>
      <c r="N29" s="0" t="n">
        <v>3596517</v>
      </c>
      <c r="O29" s="0" t="n">
        <v>4978</v>
      </c>
      <c r="P29" s="0" t="s">
        <v>161</v>
      </c>
      <c r="Q29" s="0" t="n">
        <v>0.125164879207594</v>
      </c>
      <c r="R29" s="0" t="n">
        <v>2.73721410817608</v>
      </c>
      <c r="S29" s="0" t="n">
        <v>182</v>
      </c>
      <c r="T29" s="0" t="n">
        <v>3765</v>
      </c>
      <c r="U29" s="0" t="n">
        <v>0</v>
      </c>
      <c r="V29" s="0" t="n">
        <v>13.1233075612294</v>
      </c>
      <c r="W29" s="0" t="n">
        <v>20220331</v>
      </c>
      <c r="X29" s="0" t="n">
        <v>0.599350000296493</v>
      </c>
      <c r="Y29" s="0" t="n">
        <v>8.39</v>
      </c>
      <c r="Z29" s="0" t="s">
        <v>105</v>
      </c>
      <c r="AA29" s="0" t="n">
        <f aca="false">IF(AND(ISNUMBER(B29),B29&gt;0,ISNUMBER(U29),U29&gt;=0,ISNUMBER(O29),O29&gt;=0),1,0)</f>
        <v>1</v>
      </c>
      <c r="AB29" s="0" t="n">
        <f aca="false">IF(AA29=1,U29+O29,0)</f>
        <v>4978</v>
      </c>
      <c r="AC29" s="0" t="n">
        <f aca="false">IF(AA29=1,100*AB29/B29,"")</f>
        <v>0.0719440784372555</v>
      </c>
      <c r="AD29" s="0" t="n">
        <f aca="false">IF(AND(AND(ISNUMBER(B29),B29=OriginalFinancials!B29),AND(ISNUMBER(U29),U29=OriginalFinancials!U29),AND(ISNUMBER(O29),O29=OriginalFinancials!O29)),0,1)</f>
        <v>0</v>
      </c>
      <c r="AE29" s="0" t="str">
        <f aca="false">IF(V29=0,"原始0：需核实适用/报告口径","")</f>
        <v/>
      </c>
    </row>
    <row r="30" customFormat="false" ht="15" hidden="false" customHeight="false" outlineLevel="0" collapsed="false">
      <c r="A30" s="0" t="n">
        <v>30</v>
      </c>
      <c r="B30" s="0" t="n">
        <v>2173098</v>
      </c>
      <c r="C30" s="0" t="n">
        <v>19531</v>
      </c>
      <c r="D30" s="0" t="n">
        <v>1922538</v>
      </c>
      <c r="E30" s="0" t="n">
        <v>0.01</v>
      </c>
      <c r="F30" s="0" t="n">
        <v>230604</v>
      </c>
      <c r="G30" s="0" t="n">
        <v>10.6117625620198</v>
      </c>
      <c r="H30" s="0" t="s">
        <v>162</v>
      </c>
      <c r="I30" s="0" t="n">
        <v>1.44082257605153</v>
      </c>
      <c r="J30" s="0" t="n">
        <v>204310</v>
      </c>
      <c r="K30" s="0" t="n">
        <v>12774</v>
      </c>
      <c r="L30" s="0" t="n">
        <v>1643228</v>
      </c>
      <c r="M30" s="0" t="n">
        <v>1619552</v>
      </c>
      <c r="N30" s="0" t="n">
        <v>1345130</v>
      </c>
      <c r="O30" s="0" t="n">
        <v>5998</v>
      </c>
      <c r="P30" s="0" t="s">
        <v>163</v>
      </c>
      <c r="Q30" s="0" t="n">
        <v>0.39045099036774</v>
      </c>
      <c r="R30" s="0" t="n">
        <v>3.51954450569667</v>
      </c>
      <c r="S30" s="0" t="n">
        <v>24</v>
      </c>
      <c r="T30" s="0" t="n">
        <v>2467</v>
      </c>
      <c r="U30" s="0" t="n">
        <v>418</v>
      </c>
      <c r="V30" s="0" t="n">
        <v>15.6563181861576</v>
      </c>
      <c r="W30" s="0" t="n">
        <v>20220331</v>
      </c>
      <c r="X30" s="0" t="n">
        <v>0.72578440299364</v>
      </c>
      <c r="Y30" s="0" t="n">
        <v>6.95</v>
      </c>
      <c r="Z30" s="0" t="s">
        <v>105</v>
      </c>
      <c r="AA30" s="0" t="n">
        <f aca="false">IF(AND(ISNUMBER(B30),B30&gt;0,ISNUMBER(U30),U30&gt;=0,ISNUMBER(O30),O30&gt;=0),1,0)</f>
        <v>1</v>
      </c>
      <c r="AB30" s="0" t="n">
        <f aca="false">IF(AA30=1,U30+O30,0)</f>
        <v>6416</v>
      </c>
      <c r="AC30" s="0" t="n">
        <f aca="false">IF(AA30=1,100*AB30/B30,"")</f>
        <v>0.295246693890473</v>
      </c>
      <c r="AD30" s="0" t="n">
        <f aca="false">IF(AND(AND(ISNUMBER(B30),B30=OriginalFinancials!B30),AND(ISNUMBER(U30),U30=OriginalFinancials!U30),AND(ISNUMBER(O30),O30=OriginalFinancials!O30)),0,1)</f>
        <v>0</v>
      </c>
      <c r="AE30" s="0" t="str">
        <f aca="false">IF(V30=0,"原始0：需核实适用/报告口径","")</f>
        <v/>
      </c>
    </row>
    <row r="31" customFormat="false" ht="15" hidden="false" customHeight="false" outlineLevel="0" collapsed="false">
      <c r="A31" s="0" t="n">
        <v>31</v>
      </c>
      <c r="B31" s="0" t="n">
        <v>770032</v>
      </c>
      <c r="C31" s="0" t="n">
        <v>19532</v>
      </c>
      <c r="D31" s="0" t="n">
        <v>660375</v>
      </c>
      <c r="E31" s="0" t="n">
        <v>0.02</v>
      </c>
      <c r="F31" s="0" t="n">
        <v>96137</v>
      </c>
      <c r="G31" s="0" t="n">
        <v>12.4848058262514</v>
      </c>
      <c r="H31" s="0" t="s">
        <v>164</v>
      </c>
      <c r="I31" s="0" t="n">
        <v>1.17988205176373</v>
      </c>
      <c r="J31" s="0" t="n">
        <v>20391</v>
      </c>
      <c r="K31" s="0" t="n">
        <v>38849</v>
      </c>
      <c r="L31" s="0" t="n">
        <v>500389</v>
      </c>
      <c r="M31" s="0" t="n">
        <v>494485</v>
      </c>
      <c r="N31" s="0" t="n">
        <v>433748</v>
      </c>
      <c r="O31" s="0" t="n">
        <v>2804</v>
      </c>
      <c r="P31" s="0" t="s">
        <v>165</v>
      </c>
      <c r="Q31" s="0" t="n">
        <v>0.560364036779386</v>
      </c>
      <c r="R31" s="0" t="n">
        <v>3.10418099510352</v>
      </c>
      <c r="S31" s="0" t="n">
        <v>2</v>
      </c>
      <c r="T31" s="0" t="n">
        <v>615</v>
      </c>
      <c r="U31" s="0" t="n">
        <v>0</v>
      </c>
      <c r="V31" s="0" t="n">
        <v>21.7967561638214</v>
      </c>
      <c r="W31" s="0" t="n">
        <v>20220331</v>
      </c>
      <c r="X31" s="0" t="n">
        <v>0.746105488016068</v>
      </c>
      <c r="Y31" s="0" t="n">
        <v>5.79</v>
      </c>
      <c r="Z31" s="0" t="s">
        <v>105</v>
      </c>
      <c r="AA31" s="0" t="n">
        <f aca="false">IF(AND(ISNUMBER(B31),B31&gt;0,ISNUMBER(U31),U31&gt;=0,ISNUMBER(O31),O31&gt;=0),1,0)</f>
        <v>1</v>
      </c>
      <c r="AB31" s="0" t="n">
        <f aca="false">IF(AA31=1,U31+O31,0)</f>
        <v>2804</v>
      </c>
      <c r="AC31" s="0" t="n">
        <f aca="false">IF(AA31=1,100*AB31/B31,"")</f>
        <v>0.364140711035385</v>
      </c>
      <c r="AD31" s="0" t="n">
        <f aca="false">IF(AND(AND(ISNUMBER(B31),B31=OriginalFinancials!B31),AND(ISNUMBER(U31),U31=OriginalFinancials!U31),AND(ISNUMBER(O31),O31=OriginalFinancials!O31)),0,1)</f>
        <v>0</v>
      </c>
      <c r="AE31" s="0" t="str">
        <f aca="false">IF(V31=0,"原始0：需核实适用/报告口径","")</f>
        <v/>
      </c>
    </row>
    <row r="32" customFormat="false" ht="15" hidden="false" customHeight="false" outlineLevel="0" collapsed="false">
      <c r="A32" s="0" t="n">
        <v>32</v>
      </c>
      <c r="B32" s="0" t="n">
        <v>1566116</v>
      </c>
      <c r="C32" s="0" t="n">
        <v>19690</v>
      </c>
      <c r="D32" s="0" t="n">
        <v>1284535</v>
      </c>
      <c r="E32" s="0" t="n">
        <v>-0.08</v>
      </c>
      <c r="F32" s="0" t="n">
        <v>247469</v>
      </c>
      <c r="G32" s="0" t="n">
        <v>15.8014476577725</v>
      </c>
      <c r="H32" s="0" t="s">
        <v>166</v>
      </c>
      <c r="I32" s="0" t="n">
        <v>0.471953421378289</v>
      </c>
      <c r="J32" s="0" t="n">
        <v>25804</v>
      </c>
      <c r="K32" s="0" t="n">
        <v>777</v>
      </c>
      <c r="L32" s="0" t="n">
        <v>1232325</v>
      </c>
      <c r="M32" s="0" t="n">
        <v>1226509</v>
      </c>
      <c r="N32" s="0" t="n">
        <v>894476</v>
      </c>
      <c r="O32" s="0" t="n">
        <v>17912</v>
      </c>
      <c r="P32" s="0" t="s">
        <v>167</v>
      </c>
      <c r="Q32" s="0" t="n">
        <v>1.45351266914166</v>
      </c>
      <c r="R32" s="0" t="n">
        <v>5.76381679552061</v>
      </c>
      <c r="S32" s="0" t="n">
        <v>-63</v>
      </c>
      <c r="T32" s="0" t="n">
        <v>6729</v>
      </c>
      <c r="U32" s="0" t="n">
        <v>0</v>
      </c>
      <c r="V32" s="0" t="n">
        <v>20.6019537877708</v>
      </c>
      <c r="W32" s="0" t="n">
        <v>20220331</v>
      </c>
      <c r="X32" s="0" t="n">
        <v>2.79887682741086</v>
      </c>
      <c r="Y32" s="0" t="n">
        <v>17.4</v>
      </c>
      <c r="Z32" s="0" t="s">
        <v>105</v>
      </c>
      <c r="AA32" s="0" t="n">
        <f aca="false">IF(AND(ISNUMBER(B32),B32&gt;0,ISNUMBER(U32),U32&gt;=0,ISNUMBER(O32),O32&gt;=0),1,0)</f>
        <v>1</v>
      </c>
      <c r="AB32" s="0" t="n">
        <f aca="false">IF(AA32=1,U32+O32,0)</f>
        <v>17912</v>
      </c>
      <c r="AC32" s="0" t="n">
        <f aca="false">IF(AA32=1,100*AB32/B32,"")</f>
        <v>1.14372115475482</v>
      </c>
      <c r="AD32" s="0" t="n">
        <f aca="false">IF(AND(AND(ISNUMBER(B32),B32=OriginalFinancials!B32),AND(ISNUMBER(U32),U32=OriginalFinancials!U32),AND(ISNUMBER(O32),O32=OriginalFinancials!O32)),0,1)</f>
        <v>0</v>
      </c>
      <c r="AE32" s="0" t="str">
        <f aca="false">IF(V32=0,"原始0：需核实适用/报告口径","")</f>
        <v/>
      </c>
    </row>
    <row r="33" customFormat="false" ht="15" hidden="false" customHeight="false" outlineLevel="0" collapsed="false">
      <c r="A33" s="0" t="n">
        <v>33</v>
      </c>
      <c r="B33" s="0" t="n">
        <v>568589</v>
      </c>
      <c r="C33" s="0" t="n">
        <v>19836</v>
      </c>
      <c r="D33" s="0" t="n">
        <v>449964</v>
      </c>
      <c r="E33" s="0" t="n">
        <v>0</v>
      </c>
      <c r="F33" s="0" t="n">
        <v>112557</v>
      </c>
      <c r="G33" s="0" t="n">
        <v>19.7958455052771</v>
      </c>
      <c r="H33" s="0" t="s">
        <v>168</v>
      </c>
      <c r="I33" s="0" t="n">
        <v>0.911628167907884</v>
      </c>
      <c r="J33" s="0" t="n">
        <v>44135</v>
      </c>
      <c r="K33" s="0" t="n">
        <v>11311</v>
      </c>
      <c r="L33" s="0" t="n">
        <v>427806</v>
      </c>
      <c r="M33" s="0" t="n">
        <v>423906</v>
      </c>
      <c r="N33" s="0" t="n">
        <v>366535</v>
      </c>
      <c r="O33" s="0" t="n">
        <v>1696</v>
      </c>
      <c r="P33" s="0" t="s">
        <v>145</v>
      </c>
      <c r="Q33" s="0" t="n">
        <v>0.417712701551638</v>
      </c>
      <c r="R33" s="0" t="n">
        <v>3.87429732399215</v>
      </c>
      <c r="S33" s="0" t="n">
        <v>2</v>
      </c>
      <c r="T33" s="0" t="n">
        <v>3713</v>
      </c>
      <c r="U33" s="0" t="n">
        <v>91</v>
      </c>
      <c r="V33" s="0" t="n">
        <v>31.7038496016565</v>
      </c>
      <c r="W33" s="0" t="n">
        <v>20220331</v>
      </c>
      <c r="X33" s="0" t="n">
        <v>0.707485161136119</v>
      </c>
      <c r="Y33" s="0" t="n">
        <v>3.52</v>
      </c>
      <c r="Z33" s="0" t="s">
        <v>105</v>
      </c>
      <c r="AA33" s="0" t="n">
        <f aca="false">IF(AND(ISNUMBER(B33),B33&gt;0,ISNUMBER(U33),U33&gt;=0,ISNUMBER(O33),O33&gt;=0),1,0)</f>
        <v>1</v>
      </c>
      <c r="AB33" s="0" t="n">
        <f aca="false">IF(AA33=1,U33+O33,0)</f>
        <v>1787</v>
      </c>
      <c r="AC33" s="0" t="n">
        <f aca="false">IF(AA33=1,100*AB33/B33,"")</f>
        <v>0.314286769529484</v>
      </c>
      <c r="AD33" s="0" t="n">
        <f aca="false">IF(AND(AND(ISNUMBER(B33),B33=OriginalFinancials!B33),AND(ISNUMBER(U33),U33=OriginalFinancials!U33),AND(ISNUMBER(O33),O33=OriginalFinancials!O33)),0,1)</f>
        <v>0</v>
      </c>
      <c r="AE33" s="0" t="str">
        <f aca="false">IF(V33=0,"原始0：需核实适用/报告口径","")</f>
        <v/>
      </c>
    </row>
    <row r="34" customFormat="false" ht="15" hidden="false" customHeight="false" outlineLevel="0" collapsed="false">
      <c r="A34" s="0" t="n">
        <v>34</v>
      </c>
      <c r="B34" s="0" t="n">
        <v>1244446</v>
      </c>
      <c r="C34" s="0" t="n">
        <v>24540</v>
      </c>
      <c r="D34" s="0" t="n">
        <v>1040872</v>
      </c>
      <c r="E34" s="0" t="n">
        <v>-0.21</v>
      </c>
      <c r="F34" s="0" t="n">
        <v>192853</v>
      </c>
      <c r="G34" s="0" t="n">
        <v>15.4970967000577</v>
      </c>
      <c r="H34" s="0" t="s">
        <v>169</v>
      </c>
      <c r="I34" s="0" t="n">
        <v>1.17514522780929</v>
      </c>
      <c r="J34" s="0" t="n">
        <v>46308</v>
      </c>
      <c r="K34" s="0" t="n">
        <v>17</v>
      </c>
      <c r="L34" s="0" t="n">
        <v>1020810</v>
      </c>
      <c r="M34" s="0" t="n">
        <v>1008814</v>
      </c>
      <c r="N34" s="0" t="n">
        <v>977701</v>
      </c>
      <c r="O34" s="0" t="n">
        <v>815</v>
      </c>
      <c r="P34" s="0" t="s">
        <v>170</v>
      </c>
      <c r="Q34" s="0" t="n">
        <v>0.0798385595752392</v>
      </c>
      <c r="R34" s="0" t="n">
        <v>4.18655281953746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20220331</v>
      </c>
      <c r="X34" s="0" t="n">
        <v>2.22850033777255</v>
      </c>
      <c r="Y34" s="0" t="n">
        <v>14.73</v>
      </c>
      <c r="Z34" s="0" t="s">
        <v>123</v>
      </c>
      <c r="AA34" s="0" t="n">
        <f aca="false">IF(AND(ISNUMBER(B34),B34&gt;0,ISNUMBER(U34),U34&gt;=0,ISNUMBER(O34),O34&gt;=0),1,0)</f>
        <v>1</v>
      </c>
      <c r="AB34" s="0" t="n">
        <f aca="false">IF(AA34=1,U34+O34,0)</f>
        <v>815</v>
      </c>
      <c r="AC34" s="0" t="n">
        <f aca="false">IF(AA34=1,100*AB34/B34,"")</f>
        <v>0.0654909895648345</v>
      </c>
      <c r="AD34" s="0" t="n">
        <f aca="false">IF(AND(AND(ISNUMBER(B34),B34=OriginalFinancials!B34),AND(ISNUMBER(U34),U34=OriginalFinancials!U34),AND(ISNUMBER(O34),O34=OriginalFinancials!O34)),0,1)</f>
        <v>0</v>
      </c>
      <c r="AE34" s="0" t="str">
        <f aca="false">IF(V34=0,"原始0：需核实适用/报告口径","")</f>
        <v>原始0：需核实适用/报告口径</v>
      </c>
    </row>
    <row r="35" customFormat="false" ht="15" hidden="false" customHeight="false" outlineLevel="0" collapsed="false">
      <c r="A35" s="0" t="n">
        <v>35</v>
      </c>
      <c r="B35" s="0" t="n">
        <v>458925</v>
      </c>
      <c r="C35" s="0" t="n">
        <v>27824</v>
      </c>
      <c r="D35" s="0" t="n">
        <v>369032</v>
      </c>
      <c r="E35" s="0" t="n">
        <v>0</v>
      </c>
      <c r="F35" s="0" t="n">
        <v>69307</v>
      </c>
      <c r="G35" s="0" t="n">
        <v>15.1020319224274</v>
      </c>
      <c r="H35" s="0" t="s">
        <v>171</v>
      </c>
      <c r="I35" s="0" t="n">
        <v>0.843147163510129</v>
      </c>
      <c r="J35" s="0" t="n">
        <v>22180</v>
      </c>
      <c r="K35" s="0" t="n">
        <v>20605</v>
      </c>
      <c r="L35" s="0" t="n">
        <v>364112</v>
      </c>
      <c r="M35" s="0" t="n">
        <v>361042</v>
      </c>
      <c r="N35" s="0" t="n">
        <v>321326</v>
      </c>
      <c r="O35" s="0" t="n">
        <v>916</v>
      </c>
      <c r="P35" s="0" t="s">
        <v>172</v>
      </c>
      <c r="Q35" s="0" t="n">
        <v>0.251570945203673</v>
      </c>
      <c r="R35" s="0" t="n">
        <v>2.87084618829471</v>
      </c>
      <c r="S35" s="0" t="n">
        <v>0</v>
      </c>
      <c r="T35" s="0" t="n">
        <v>408</v>
      </c>
      <c r="U35" s="0" t="n">
        <v>0</v>
      </c>
      <c r="V35" s="0" t="n">
        <v>25.9429561741573</v>
      </c>
      <c r="W35" s="0" t="n">
        <v>20220331</v>
      </c>
      <c r="X35" s="0" t="n">
        <v>0.26632984641793</v>
      </c>
      <c r="Y35" s="0" t="n">
        <v>1.72</v>
      </c>
      <c r="Z35" s="0" t="s">
        <v>123</v>
      </c>
      <c r="AA35" s="0" t="n">
        <f aca="false">IF(AND(ISNUMBER(B35),B35&gt;0,ISNUMBER(U35),U35&gt;=0,ISNUMBER(O35),O35&gt;=0),1,0)</f>
        <v>1</v>
      </c>
      <c r="AB35" s="0" t="n">
        <f aca="false">IF(AA35=1,U35+O35,0)</f>
        <v>916</v>
      </c>
      <c r="AC35" s="0" t="n">
        <f aca="false">IF(AA35=1,100*AB35/B35,"")</f>
        <v>0.199596884022444</v>
      </c>
      <c r="AD35" s="0" t="n">
        <f aca="false">IF(AND(AND(ISNUMBER(B35),B35=OriginalFinancials!B35),AND(ISNUMBER(U35),U35=OriginalFinancials!U35),AND(ISNUMBER(O35),O35=OriginalFinancials!O35)),0,1)</f>
        <v>0</v>
      </c>
      <c r="AE35" s="0" t="str">
        <f aca="false">IF(V35=0,"原始0：需核实适用/报告口径","")</f>
        <v/>
      </c>
    </row>
    <row r="36" customFormat="false" ht="15" hidden="false" customHeight="false" outlineLevel="0" collapsed="false">
      <c r="A36" s="0" t="n">
        <v>36</v>
      </c>
      <c r="B36" s="0" t="n">
        <v>281830</v>
      </c>
      <c r="C36" s="0" t="n">
        <v>28155</v>
      </c>
      <c r="D36" s="0" t="n">
        <v>253420</v>
      </c>
      <c r="E36" s="0" t="n">
        <v>0.07</v>
      </c>
      <c r="F36" s="0" t="n">
        <v>27480</v>
      </c>
      <c r="G36" s="0" t="n">
        <v>9.7505588475322</v>
      </c>
      <c r="H36" s="0" t="s">
        <v>173</v>
      </c>
      <c r="I36" s="0" t="n">
        <v>0.589006569427366</v>
      </c>
      <c r="J36" s="0" t="n">
        <v>5388</v>
      </c>
      <c r="K36" s="0" t="n">
        <v>3851</v>
      </c>
      <c r="L36" s="0" t="n">
        <v>147197</v>
      </c>
      <c r="M36" s="0" t="n">
        <v>146330</v>
      </c>
      <c r="N36" s="0" t="n">
        <v>137297</v>
      </c>
      <c r="O36" s="0" t="n">
        <v>206</v>
      </c>
      <c r="P36" s="0" t="s">
        <v>174</v>
      </c>
      <c r="Q36" s="0" t="n">
        <v>0.13994850438528</v>
      </c>
      <c r="R36" s="0" t="n">
        <v>2.67920386996115</v>
      </c>
      <c r="S36" s="0" t="n">
        <v>0</v>
      </c>
      <c r="T36" s="0" t="n">
        <v>357</v>
      </c>
      <c r="U36" s="0" t="n">
        <v>0</v>
      </c>
      <c r="V36" s="0" t="n">
        <v>19.3787051455993</v>
      </c>
      <c r="W36" s="0" t="n">
        <v>20220331</v>
      </c>
      <c r="X36" s="0" t="n">
        <v>0.225168568578782</v>
      </c>
      <c r="Y36" s="0" t="n">
        <v>2.32</v>
      </c>
      <c r="Z36" s="0" t="s">
        <v>123</v>
      </c>
      <c r="AA36" s="0" t="n">
        <f aca="false">IF(AND(ISNUMBER(B36),B36&gt;0,ISNUMBER(U36),U36&gt;=0,ISNUMBER(O36),O36&gt;=0),1,0)</f>
        <v>1</v>
      </c>
      <c r="AB36" s="0" t="n">
        <f aca="false">IF(AA36=1,U36+O36,0)</f>
        <v>206</v>
      </c>
      <c r="AC36" s="0" t="n">
        <f aca="false">IF(AA36=1,100*AB36/B36,"")</f>
        <v>0.0730937089734947</v>
      </c>
      <c r="AD36" s="0" t="n">
        <f aca="false">IF(AND(AND(ISNUMBER(B36),B36=OriginalFinancials!B36),AND(ISNUMBER(U36),U36=OriginalFinancials!U36),AND(ISNUMBER(O36),O36=OriginalFinancials!O36)),0,1)</f>
        <v>0</v>
      </c>
      <c r="AE36" s="0" t="str">
        <f aca="false">IF(V36=0,"原始0：需核实适用/报告口径","")</f>
        <v/>
      </c>
    </row>
    <row r="37" customFormat="false" ht="15" hidden="false" customHeight="false" outlineLevel="0" collapsed="false">
      <c r="A37" s="0" t="n">
        <v>37</v>
      </c>
      <c r="B37" s="0" t="n">
        <v>92044</v>
      </c>
      <c r="C37" s="0" t="n">
        <v>28288</v>
      </c>
      <c r="D37" s="0" t="n">
        <v>76920</v>
      </c>
      <c r="E37" s="0" t="n">
        <v>0</v>
      </c>
      <c r="F37" s="0" t="n">
        <v>7147</v>
      </c>
      <c r="G37" s="0" t="n">
        <v>7.76476467776281</v>
      </c>
      <c r="H37" s="0" t="s">
        <v>175</v>
      </c>
      <c r="I37" s="0" t="n">
        <v>1.1641615089891</v>
      </c>
      <c r="J37" s="0" t="n">
        <v>3708</v>
      </c>
      <c r="K37" s="0" t="n">
        <v>587</v>
      </c>
      <c r="L37" s="0" t="n">
        <v>74646</v>
      </c>
      <c r="M37" s="0" t="n">
        <v>73777</v>
      </c>
      <c r="N37" s="0" t="n">
        <v>70352</v>
      </c>
      <c r="O37" s="0" t="n">
        <v>606</v>
      </c>
      <c r="P37" s="0" t="s">
        <v>176</v>
      </c>
      <c r="Q37" s="0" t="n">
        <v>0.811831846314605</v>
      </c>
      <c r="R37" s="0" t="n">
        <v>3.43394488632164</v>
      </c>
      <c r="S37" s="0" t="n">
        <v>-2</v>
      </c>
      <c r="T37" s="0" t="n">
        <v>345</v>
      </c>
      <c r="U37" s="0" t="n">
        <v>0</v>
      </c>
      <c r="V37" s="0" t="n">
        <v>14.4674296503636</v>
      </c>
      <c r="W37" s="0" t="n">
        <v>20220331</v>
      </c>
      <c r="X37" s="0" t="n">
        <v>0.0043253764429185</v>
      </c>
      <c r="Y37" s="0" t="n">
        <v>0.05</v>
      </c>
      <c r="Z37" s="0" t="s">
        <v>105</v>
      </c>
      <c r="AA37" s="0" t="n">
        <f aca="false">IF(AND(ISNUMBER(B37),B37&gt;0,ISNUMBER(U37),U37&gt;=0,ISNUMBER(O37),O37&gt;=0),1,0)</f>
        <v>1</v>
      </c>
      <c r="AB37" s="0" t="n">
        <f aca="false">IF(AA37=1,U37+O37,0)</f>
        <v>606</v>
      </c>
      <c r="AC37" s="0" t="n">
        <f aca="false">IF(AA37=1,100*AB37/B37,"")</f>
        <v>0.658380774412238</v>
      </c>
      <c r="AD37" s="0" t="n">
        <f aca="false">IF(AND(AND(ISNUMBER(B37),B37=OriginalFinancials!B37),AND(ISNUMBER(U37),U37=OriginalFinancials!U37),AND(ISNUMBER(O37),O37=OriginalFinancials!O37)),0,1)</f>
        <v>0</v>
      </c>
      <c r="AE37" s="0" t="str">
        <f aca="false">IF(V37=0,"原始0：需核实适用/报告口径","")</f>
        <v/>
      </c>
    </row>
    <row r="38" customFormat="false" ht="15" hidden="false" customHeight="false" outlineLevel="0" collapsed="false">
      <c r="A38" s="0" t="n">
        <v>38</v>
      </c>
      <c r="B38" s="0" t="n">
        <v>85281</v>
      </c>
      <c r="C38" s="0" t="n">
        <v>28369</v>
      </c>
      <c r="D38" s="0" t="n">
        <v>75519</v>
      </c>
      <c r="E38" s="0" t="n">
        <v>0.07</v>
      </c>
      <c r="F38" s="0" t="n">
        <v>9337</v>
      </c>
      <c r="G38" s="0" t="n">
        <v>10.948511391752</v>
      </c>
      <c r="H38" s="0" t="s">
        <v>177</v>
      </c>
      <c r="I38" s="0" t="n">
        <v>0.77640395109484</v>
      </c>
      <c r="J38" s="0" t="n">
        <v>9635</v>
      </c>
      <c r="K38" s="0" t="n">
        <v>948</v>
      </c>
      <c r="L38" s="0" t="n">
        <v>72385</v>
      </c>
      <c r="M38" s="0" t="n">
        <v>71823</v>
      </c>
      <c r="N38" s="0" t="n">
        <v>61802</v>
      </c>
      <c r="O38" s="0" t="n">
        <v>440</v>
      </c>
      <c r="P38" s="0" t="s">
        <v>178</v>
      </c>
      <c r="Q38" s="0" t="n">
        <v>0.607860744629412</v>
      </c>
      <c r="R38" s="0" t="n">
        <v>3.62481223374129</v>
      </c>
      <c r="S38" s="0" t="n">
        <v>-3</v>
      </c>
      <c r="T38" s="0" t="n">
        <v>13</v>
      </c>
      <c r="U38" s="0" t="n">
        <v>0</v>
      </c>
      <c r="V38" s="0" t="n">
        <v>0</v>
      </c>
      <c r="W38" s="0" t="n">
        <v>20220331</v>
      </c>
      <c r="X38" s="0" t="n">
        <v>-0.0793086154815082</v>
      </c>
      <c r="Y38" s="0" t="n">
        <v>-0.73</v>
      </c>
      <c r="Z38" s="0" t="s">
        <v>105</v>
      </c>
      <c r="AA38" s="0" t="n">
        <f aca="false">IF(AND(ISNUMBER(B38),B38&gt;0,ISNUMBER(U38),U38&gt;=0,ISNUMBER(O38),O38&gt;=0),1,0)</f>
        <v>1</v>
      </c>
      <c r="AB38" s="0" t="n">
        <f aca="false">IF(AA38=1,U38+O38,0)</f>
        <v>440</v>
      </c>
      <c r="AC38" s="0" t="n">
        <f aca="false">IF(AA38=1,100*AB38/B38,"")</f>
        <v>0.515941417197266</v>
      </c>
      <c r="AD38" s="0" t="n">
        <f aca="false">IF(AND(AND(ISNUMBER(B38),B38=OriginalFinancials!B38),AND(ISNUMBER(U38),U38=OriginalFinancials!U38),AND(ISNUMBER(O38),O38=OriginalFinancials!O38)),0,1)</f>
        <v>0</v>
      </c>
      <c r="AE38" s="0" t="str">
        <f aca="false">IF(V38=0,"原始0：需核实适用/报告口径","")</f>
        <v>原始0：需核实适用/报告口径</v>
      </c>
    </row>
    <row r="39" customFormat="false" ht="15" hidden="false" customHeight="false" outlineLevel="0" collapsed="false">
      <c r="A39" s="0" t="n">
        <v>39</v>
      </c>
      <c r="B39" s="0" t="n">
        <v>300452</v>
      </c>
      <c r="C39" s="0" t="n">
        <v>28837</v>
      </c>
      <c r="D39" s="0" t="n">
        <v>273714</v>
      </c>
      <c r="E39" s="0" t="n">
        <v>0.05</v>
      </c>
      <c r="F39" s="0" t="n">
        <v>22104</v>
      </c>
      <c r="G39" s="0" t="n">
        <v>7.35691558052534</v>
      </c>
      <c r="H39" s="0" t="s">
        <v>179</v>
      </c>
      <c r="I39" s="0" t="n">
        <v>1.17131389945078</v>
      </c>
      <c r="J39" s="0" t="n">
        <v>6477</v>
      </c>
      <c r="K39" s="0" t="n">
        <v>887</v>
      </c>
      <c r="L39" s="0" t="n">
        <v>189360</v>
      </c>
      <c r="M39" s="0" t="n">
        <v>187142</v>
      </c>
      <c r="N39" s="0" t="n">
        <v>180942</v>
      </c>
      <c r="O39" s="0" t="n">
        <v>71</v>
      </c>
      <c r="P39" s="0" t="s">
        <v>180</v>
      </c>
      <c r="Q39" s="0" t="n">
        <v>0.0374947190536544</v>
      </c>
      <c r="R39" s="0" t="n">
        <v>2.37407853799366</v>
      </c>
      <c r="S39" s="0" t="n">
        <v>128</v>
      </c>
      <c r="T39" s="0" t="n">
        <v>507</v>
      </c>
      <c r="U39" s="0" t="n">
        <v>0</v>
      </c>
      <c r="V39" s="0" t="n">
        <v>14.5340591975845</v>
      </c>
      <c r="W39" s="0" t="n">
        <v>20220331</v>
      </c>
      <c r="X39" s="0" t="n">
        <v>0.308720697205283</v>
      </c>
      <c r="Y39" s="0" t="n">
        <v>4.24</v>
      </c>
      <c r="Z39" s="0" t="s">
        <v>112</v>
      </c>
      <c r="AA39" s="0" t="n">
        <f aca="false">IF(AND(ISNUMBER(B39),B39&gt;0,ISNUMBER(U39),U39&gt;=0,ISNUMBER(O39),O39&gt;=0),1,0)</f>
        <v>1</v>
      </c>
      <c r="AB39" s="0" t="n">
        <f aca="false">IF(AA39=1,U39+O39,0)</f>
        <v>71</v>
      </c>
      <c r="AC39" s="0" t="n">
        <f aca="false">IF(AA39=1,100*AB39/B39,"")</f>
        <v>0.0236310625324511</v>
      </c>
      <c r="AD39" s="0" t="n">
        <f aca="false">IF(AND(AND(ISNUMBER(B39),B39=OriginalFinancials!B39),AND(ISNUMBER(U39),U39=OriginalFinancials!U39),AND(ISNUMBER(O39),O39=OriginalFinancials!O39)),0,1)</f>
        <v>0</v>
      </c>
      <c r="AE39" s="0" t="str">
        <f aca="false">IF(V39=0,"原始0：需核实适用/报告口径","")</f>
        <v/>
      </c>
    </row>
    <row r="40" customFormat="false" ht="15" hidden="false" customHeight="false" outlineLevel="0" collapsed="false">
      <c r="A40" s="0" t="n">
        <v>40</v>
      </c>
      <c r="B40" s="0" t="n">
        <v>179872</v>
      </c>
      <c r="C40" s="0" t="n">
        <v>29636</v>
      </c>
      <c r="D40" s="0" t="n">
        <v>154524</v>
      </c>
      <c r="E40" s="0" t="n">
        <v>0.03</v>
      </c>
      <c r="F40" s="0" t="n">
        <v>24006</v>
      </c>
      <c r="G40" s="0" t="n">
        <v>13.3461572673901</v>
      </c>
      <c r="H40" s="0" t="s">
        <v>181</v>
      </c>
      <c r="I40" s="0" t="n">
        <v>1.53637970395464</v>
      </c>
      <c r="J40" s="0" t="n">
        <v>1323</v>
      </c>
      <c r="K40" s="0" t="n">
        <v>2075</v>
      </c>
      <c r="L40" s="0" t="n">
        <v>108632</v>
      </c>
      <c r="M40" s="0" t="n">
        <v>106963</v>
      </c>
      <c r="N40" s="0" t="n">
        <v>105234</v>
      </c>
      <c r="O40" s="0" t="n">
        <v>1233</v>
      </c>
      <c r="P40" s="0" t="s">
        <v>182</v>
      </c>
      <c r="Q40" s="0" t="n">
        <v>1.13502467044701</v>
      </c>
      <c r="R40" s="0" t="n">
        <v>2.99433190856718</v>
      </c>
      <c r="S40" s="0" t="n">
        <v>-2</v>
      </c>
      <c r="T40" s="0" t="n">
        <v>2145</v>
      </c>
      <c r="U40" s="0" t="n">
        <v>0</v>
      </c>
      <c r="V40" s="0" t="n">
        <v>31.9768238739019</v>
      </c>
      <c r="W40" s="0" t="n">
        <v>20220331</v>
      </c>
      <c r="X40" s="0" t="n">
        <v>0.0400102248352356</v>
      </c>
      <c r="Y40" s="0" t="n">
        <v>0.3</v>
      </c>
      <c r="Z40" s="0" t="s">
        <v>105</v>
      </c>
      <c r="AA40" s="0" t="n">
        <f aca="false">IF(AND(ISNUMBER(B40),B40&gt;0,ISNUMBER(U40),U40&gt;=0,ISNUMBER(O40),O40&gt;=0),1,0)</f>
        <v>1</v>
      </c>
      <c r="AB40" s="0" t="n">
        <f aca="false">IF(AA40=1,U40+O40,0)</f>
        <v>1233</v>
      </c>
      <c r="AC40" s="0" t="n">
        <f aca="false">IF(AA40=1,100*AB40/B40,"")</f>
        <v>0.685487457747732</v>
      </c>
      <c r="AD40" s="0" t="n">
        <f aca="false">IF(AND(AND(ISNUMBER(B40),B40=OriginalFinancials!B40),AND(ISNUMBER(U40),U40=OriginalFinancials!U40),AND(ISNUMBER(O40),O40=OriginalFinancials!O40)),0,1)</f>
        <v>0</v>
      </c>
      <c r="AE40" s="0" t="str">
        <f aca="false">IF(V40=0,"原始0：需核实适用/报告口径","")</f>
        <v/>
      </c>
    </row>
    <row r="41" customFormat="false" ht="15" hidden="false" customHeight="false" outlineLevel="0" collapsed="false">
      <c r="A41" s="0" t="n">
        <v>41</v>
      </c>
      <c r="B41" s="0" t="n">
        <v>172820</v>
      </c>
      <c r="C41" s="0" t="n">
        <v>29743</v>
      </c>
      <c r="D41" s="0" t="n">
        <v>154916</v>
      </c>
      <c r="E41" s="0" t="n">
        <v>0</v>
      </c>
      <c r="F41" s="0" t="n">
        <v>15360</v>
      </c>
      <c r="G41" s="0" t="n">
        <v>8.88786020136558</v>
      </c>
      <c r="H41" s="0" t="s">
        <v>183</v>
      </c>
      <c r="I41" s="0" t="n">
        <v>0.442822093232003</v>
      </c>
      <c r="J41" s="0" t="n">
        <v>22643</v>
      </c>
      <c r="K41" s="0" t="n">
        <v>17066</v>
      </c>
      <c r="L41" s="0" t="n">
        <v>116977</v>
      </c>
      <c r="M41" s="0" t="n">
        <v>116459</v>
      </c>
      <c r="N41" s="0" t="n">
        <v>77243</v>
      </c>
      <c r="O41" s="0" t="n">
        <v>442</v>
      </c>
      <c r="P41" s="0" t="s">
        <v>184</v>
      </c>
      <c r="Q41" s="0" t="n">
        <v>0.377852056387153</v>
      </c>
      <c r="R41" s="0" t="n">
        <v>2.48846786023577</v>
      </c>
      <c r="S41" s="0" t="n">
        <v>12</v>
      </c>
      <c r="T41" s="0" t="n">
        <v>646</v>
      </c>
      <c r="U41" s="0" t="n">
        <v>0</v>
      </c>
      <c r="V41" s="0" t="n">
        <v>17.2715138879417</v>
      </c>
      <c r="W41" s="0" t="n">
        <v>20220331</v>
      </c>
      <c r="X41" s="0" t="n">
        <v>0.608807104275382</v>
      </c>
      <c r="Y41" s="0" t="n">
        <v>6.58</v>
      </c>
      <c r="Z41" s="0" t="s">
        <v>105</v>
      </c>
      <c r="AA41" s="0" t="n">
        <f aca="false">IF(AND(ISNUMBER(B41),B41&gt;0,ISNUMBER(U41),U41&gt;=0,ISNUMBER(O41),O41&gt;=0),1,0)</f>
        <v>1</v>
      </c>
      <c r="AB41" s="0" t="n">
        <f aca="false">IF(AA41=1,U41+O41,0)</f>
        <v>442</v>
      </c>
      <c r="AC41" s="0" t="n">
        <f aca="false">IF(AA41=1,100*AB41/B41,"")</f>
        <v>0.255757435482004</v>
      </c>
      <c r="AD41" s="0" t="n">
        <f aca="false">IF(AND(AND(ISNUMBER(B41),B41=OriginalFinancials!B41),AND(ISNUMBER(U41),U41=OriginalFinancials!U41),AND(ISNUMBER(O41),O41=OriginalFinancials!O41)),0,1)</f>
        <v>0</v>
      </c>
      <c r="AE41" s="0" t="str">
        <f aca="false">IF(V41=0,"原始0：需核实适用/报告口径","")</f>
        <v/>
      </c>
    </row>
    <row r="42" customFormat="false" ht="15" hidden="false" customHeight="false" outlineLevel="0" collapsed="false">
      <c r="A42" s="0" t="n">
        <v>42</v>
      </c>
      <c r="B42" s="0" t="n">
        <v>499707</v>
      </c>
      <c r="C42" s="0" t="n">
        <v>29744</v>
      </c>
      <c r="D42" s="0" t="n">
        <v>400905</v>
      </c>
      <c r="E42" s="0" t="n">
        <v>0.05</v>
      </c>
      <c r="F42" s="0" t="n">
        <v>46362</v>
      </c>
      <c r="G42" s="0" t="n">
        <v>9.27783681237205</v>
      </c>
      <c r="H42" s="0" t="s">
        <v>185</v>
      </c>
      <c r="I42" s="0" t="n">
        <v>0.959795075054815</v>
      </c>
      <c r="J42" s="0" t="n">
        <v>28459</v>
      </c>
      <c r="K42" s="0" t="n">
        <v>5712</v>
      </c>
      <c r="L42" s="0" t="n">
        <v>379456</v>
      </c>
      <c r="M42" s="0" t="n">
        <v>375814</v>
      </c>
      <c r="N42" s="0" t="n">
        <v>345285</v>
      </c>
      <c r="O42" s="0" t="n">
        <v>795</v>
      </c>
      <c r="P42" s="0" t="s">
        <v>186</v>
      </c>
      <c r="Q42" s="0" t="n">
        <v>0.209510457075392</v>
      </c>
      <c r="R42" s="0" t="n">
        <v>3.18765437827873</v>
      </c>
      <c r="S42" s="0" t="n">
        <v>8</v>
      </c>
      <c r="T42" s="0" t="n">
        <v>138</v>
      </c>
      <c r="U42" s="0" t="n">
        <v>0</v>
      </c>
      <c r="V42" s="0" t="n">
        <v>17.2969821518877</v>
      </c>
      <c r="W42" s="0" t="n">
        <v>20220331</v>
      </c>
      <c r="X42" s="0" t="n">
        <v>0.319298839198795</v>
      </c>
      <c r="Y42" s="0" t="n">
        <v>3.25</v>
      </c>
      <c r="Z42" s="0" t="s">
        <v>123</v>
      </c>
      <c r="AA42" s="0" t="n">
        <f aca="false">IF(AND(ISNUMBER(B42),B42&gt;0,ISNUMBER(U42),U42&gt;=0,ISNUMBER(O42),O42&gt;=0),1,0)</f>
        <v>1</v>
      </c>
      <c r="AB42" s="0" t="n">
        <f aca="false">IF(AA42=1,U42+O42,0)</f>
        <v>795</v>
      </c>
      <c r="AC42" s="0" t="n">
        <f aca="false">IF(AA42=1,100*AB42/B42,"")</f>
        <v>0.159093228631978</v>
      </c>
      <c r="AD42" s="0" t="n">
        <f aca="false">IF(AND(AND(ISNUMBER(B42),B42=OriginalFinancials!B42),AND(ISNUMBER(U42),U42=OriginalFinancials!U42),AND(ISNUMBER(O42),O42=OriginalFinancials!O42)),0,1)</f>
        <v>0</v>
      </c>
      <c r="AE42" s="0" t="str">
        <f aca="false">IF(V42=0,"原始0：需核实适用/报告口径","")</f>
        <v/>
      </c>
    </row>
    <row r="43" customFormat="false" ht="15" hidden="false" customHeight="false" outlineLevel="0" collapsed="false">
      <c r="A43" s="0" t="n">
        <v>43</v>
      </c>
      <c r="B43" s="0" t="n">
        <v>558084</v>
      </c>
      <c r="C43" s="0" t="n">
        <v>30350</v>
      </c>
      <c r="D43" s="0" t="n">
        <v>471489</v>
      </c>
      <c r="E43" s="0" t="n">
        <v>0</v>
      </c>
      <c r="F43" s="0" t="n">
        <v>51735</v>
      </c>
      <c r="G43" s="0" t="n">
        <v>9.27010987593266</v>
      </c>
      <c r="H43" s="0" t="s">
        <v>187</v>
      </c>
      <c r="I43" s="0" t="n">
        <v>1.44320981611108</v>
      </c>
      <c r="J43" s="0" t="n">
        <v>11781</v>
      </c>
      <c r="K43" s="0" t="n">
        <v>796</v>
      </c>
      <c r="L43" s="0" t="n">
        <v>367722</v>
      </c>
      <c r="M43" s="0" t="n">
        <v>362415</v>
      </c>
      <c r="N43" s="0" t="n">
        <v>353740</v>
      </c>
      <c r="O43" s="0" t="n">
        <v>2750</v>
      </c>
      <c r="P43" s="0" t="s">
        <v>188</v>
      </c>
      <c r="Q43" s="0" t="n">
        <v>0.747847558753624</v>
      </c>
      <c r="R43" s="0" t="n">
        <v>2.64878933304511</v>
      </c>
      <c r="S43" s="0" t="n">
        <v>-4</v>
      </c>
      <c r="T43" s="0" t="n">
        <v>1525</v>
      </c>
      <c r="U43" s="0" t="n">
        <v>0</v>
      </c>
      <c r="V43" s="0" t="n">
        <v>21.5752243865437</v>
      </c>
      <c r="W43" s="0" t="n">
        <v>20220331</v>
      </c>
      <c r="X43" s="0" t="n">
        <v>0.631458667705776</v>
      </c>
      <c r="Y43" s="0" t="n">
        <v>6.56</v>
      </c>
      <c r="Z43" s="0" t="s">
        <v>112</v>
      </c>
      <c r="AA43" s="0" t="n">
        <f aca="false">IF(AND(ISNUMBER(B43),B43&gt;0,ISNUMBER(U43),U43&gt;=0,ISNUMBER(O43),O43&gt;=0),1,0)</f>
        <v>1</v>
      </c>
      <c r="AB43" s="0" t="n">
        <f aca="false">IF(AA43=1,U43+O43,0)</f>
        <v>2750</v>
      </c>
      <c r="AC43" s="0" t="n">
        <f aca="false">IF(AA43=1,100*AB43/B43,"")</f>
        <v>0.492757362690921</v>
      </c>
      <c r="AD43" s="0" t="n">
        <f aca="false">IF(AND(AND(ISNUMBER(B43),B43=OriginalFinancials!B43),AND(ISNUMBER(U43),U43=OriginalFinancials!U43),AND(ISNUMBER(O43),O43=OriginalFinancials!O43)),0,1)</f>
        <v>0</v>
      </c>
      <c r="AE43" s="0" t="str">
        <f aca="false">IF(V43=0,"原始0：需核实适用/报告口径","")</f>
        <v/>
      </c>
    </row>
    <row r="44" customFormat="false" ht="15" hidden="false" customHeight="false" outlineLevel="0" collapsed="false">
      <c r="A44" s="0" t="n">
        <v>44</v>
      </c>
      <c r="B44" s="0" t="n">
        <v>100633</v>
      </c>
      <c r="C44" s="0" t="n">
        <v>30878</v>
      </c>
      <c r="D44" s="0" t="n">
        <v>78705</v>
      </c>
      <c r="E44" s="0" t="n">
        <v>0</v>
      </c>
      <c r="F44" s="0" t="n">
        <v>12369</v>
      </c>
      <c r="G44" s="0" t="n">
        <v>12.2911967247324</v>
      </c>
      <c r="H44" s="0" t="s">
        <v>189</v>
      </c>
      <c r="I44" s="0" t="n">
        <v>1.1397293687206</v>
      </c>
      <c r="J44" s="0" t="n">
        <v>0</v>
      </c>
      <c r="K44" s="0" t="n">
        <v>122</v>
      </c>
      <c r="L44" s="0" t="n">
        <v>68876</v>
      </c>
      <c r="M44" s="0" t="n">
        <v>68091</v>
      </c>
      <c r="N44" s="0" t="n">
        <v>68753</v>
      </c>
      <c r="O44" s="0" t="n">
        <v>539</v>
      </c>
      <c r="P44" s="0" t="s">
        <v>190</v>
      </c>
      <c r="Q44" s="0" t="n">
        <v>0.78256577036994</v>
      </c>
      <c r="R44" s="0" t="n">
        <v>1.98516265592569</v>
      </c>
      <c r="S44" s="0" t="n">
        <v>0</v>
      </c>
      <c r="T44" s="0" t="n">
        <v>375</v>
      </c>
      <c r="U44" s="0" t="n">
        <v>0</v>
      </c>
      <c r="V44" s="0" t="n">
        <v>0</v>
      </c>
      <c r="W44" s="0" t="n">
        <v>20220331</v>
      </c>
      <c r="X44" s="0" t="n">
        <v>0.175102599179207</v>
      </c>
      <c r="Y44" s="0" t="n">
        <v>1.41</v>
      </c>
      <c r="Z44" s="0" t="s">
        <v>105</v>
      </c>
      <c r="AA44" s="0" t="n">
        <f aca="false">IF(AND(ISNUMBER(B44),B44&gt;0,ISNUMBER(U44),U44&gt;=0,ISNUMBER(O44),O44&gt;=0),1,0)</f>
        <v>1</v>
      </c>
      <c r="AB44" s="0" t="n">
        <f aca="false">IF(AA44=1,U44+O44,0)</f>
        <v>539</v>
      </c>
      <c r="AC44" s="0" t="n">
        <f aca="false">IF(AA44=1,100*AB44/B44,"")</f>
        <v>0.535609591287152</v>
      </c>
      <c r="AD44" s="0" t="n">
        <f aca="false">IF(AND(AND(ISNUMBER(B44),B44=OriginalFinancials!B44),AND(ISNUMBER(U44),U44=OriginalFinancials!U44),AND(ISNUMBER(O44),O44=OriginalFinancials!O44)),0,1)</f>
        <v>0</v>
      </c>
      <c r="AE44" s="0" t="str">
        <f aca="false">IF(V44=0,"原始0：需核实适用/报告口径","")</f>
        <v>原始0：需核实适用/报告口径</v>
      </c>
    </row>
    <row r="45" customFormat="false" ht="15" hidden="false" customHeight="false" outlineLevel="0" collapsed="false">
      <c r="A45" s="0" t="n">
        <v>45</v>
      </c>
      <c r="B45" s="0" t="n">
        <v>757509</v>
      </c>
      <c r="C45" s="0" t="n">
        <v>33418</v>
      </c>
      <c r="D45" s="0" t="n">
        <v>686918</v>
      </c>
      <c r="E45" s="0" t="n">
        <v>0</v>
      </c>
      <c r="F45" s="0" t="n">
        <v>49895</v>
      </c>
      <c r="G45" s="0" t="n">
        <v>6.58672042180357</v>
      </c>
      <c r="H45" s="0" t="s">
        <v>191</v>
      </c>
      <c r="I45" s="0" t="n">
        <v>2.08213194264526</v>
      </c>
      <c r="J45" s="0" t="n">
        <v>41526</v>
      </c>
      <c r="K45" s="0" t="n">
        <v>14294</v>
      </c>
      <c r="L45" s="0" t="n">
        <v>358959</v>
      </c>
      <c r="M45" s="0" t="n">
        <v>351485</v>
      </c>
      <c r="N45" s="0" t="n">
        <v>303204</v>
      </c>
      <c r="O45" s="0" t="n">
        <v>1659</v>
      </c>
      <c r="P45" s="0" t="s">
        <v>192</v>
      </c>
      <c r="Q45" s="0" t="n">
        <v>0.462169774263913</v>
      </c>
      <c r="R45" s="0" t="n">
        <v>2.64547208066041</v>
      </c>
      <c r="S45" s="0" t="n">
        <v>-5</v>
      </c>
      <c r="T45" s="0" t="n">
        <v>308</v>
      </c>
      <c r="U45" s="0" t="n">
        <v>0</v>
      </c>
      <c r="V45" s="0" t="n">
        <v>15.1005735502168</v>
      </c>
      <c r="W45" s="0" t="n">
        <v>20220331</v>
      </c>
      <c r="X45" s="0" t="n">
        <v>1.08763023716891</v>
      </c>
      <c r="Y45" s="0" t="n">
        <v>13.83</v>
      </c>
      <c r="Z45" s="0" t="s">
        <v>112</v>
      </c>
      <c r="AA45" s="0" t="n">
        <f aca="false">IF(AND(ISNUMBER(B45),B45&gt;0,ISNUMBER(U45),U45&gt;=0,ISNUMBER(O45),O45&gt;=0),1,0)</f>
        <v>1</v>
      </c>
      <c r="AB45" s="0" t="n">
        <f aca="false">IF(AA45=1,U45+O45,0)</f>
        <v>1659</v>
      </c>
      <c r="AC45" s="0" t="n">
        <f aca="false">IF(AA45=1,100*AB45/B45,"")</f>
        <v>0.219007298923181</v>
      </c>
      <c r="AD45" s="0" t="n">
        <f aca="false">IF(AND(AND(ISNUMBER(B45),B45=OriginalFinancials!B45),AND(ISNUMBER(U45),U45=OriginalFinancials!U45),AND(ISNUMBER(O45),O45=OriginalFinancials!O45)),0,1)</f>
        <v>0</v>
      </c>
      <c r="AE45" s="0" t="str">
        <f aca="false">IF(V45=0,"原始0：需核实适用/报告口径","")</f>
        <v/>
      </c>
    </row>
    <row r="46" customFormat="false" ht="15" hidden="false" customHeight="false" outlineLevel="0" collapsed="false">
      <c r="A46" s="0" t="n">
        <v>46</v>
      </c>
      <c r="B46" s="0" t="n">
        <v>5406954</v>
      </c>
      <c r="C46" s="0" t="n">
        <v>4255</v>
      </c>
      <c r="D46" s="0" t="n">
        <v>4617834</v>
      </c>
      <c r="E46" s="0" t="n">
        <v>-0.08</v>
      </c>
      <c r="F46" s="0" t="n">
        <v>494704</v>
      </c>
      <c r="G46" s="0" t="n">
        <v>9.14940278759538</v>
      </c>
      <c r="H46" s="0" t="s">
        <v>193</v>
      </c>
      <c r="I46" s="0" t="n">
        <v>0.897223689981397</v>
      </c>
      <c r="J46" s="0" t="n">
        <v>332872</v>
      </c>
      <c r="K46" s="0" t="n">
        <v>18973</v>
      </c>
      <c r="L46" s="0" t="n">
        <v>3540923</v>
      </c>
      <c r="M46" s="0" t="n">
        <v>3509153</v>
      </c>
      <c r="N46" s="0" t="n">
        <v>3145490</v>
      </c>
      <c r="O46" s="0" t="n">
        <v>4452</v>
      </c>
      <c r="P46" s="0" t="s">
        <v>194</v>
      </c>
      <c r="Q46" s="0" t="n">
        <v>0.125729929738659</v>
      </c>
      <c r="R46" s="0" t="n">
        <v>2.92744682140836</v>
      </c>
      <c r="S46" s="0" t="n">
        <v>250</v>
      </c>
      <c r="T46" s="0" t="n">
        <v>1301</v>
      </c>
      <c r="U46" s="0" t="n">
        <v>0</v>
      </c>
      <c r="V46" s="0" t="n">
        <v>13.5561410868159</v>
      </c>
      <c r="W46" s="0" t="n">
        <v>20220331</v>
      </c>
      <c r="X46" s="0" t="n">
        <v>1.27683285497104</v>
      </c>
      <c r="Y46" s="0" t="n">
        <v>13.21</v>
      </c>
      <c r="Z46" s="0" t="s">
        <v>105</v>
      </c>
      <c r="AA46" s="0" t="n">
        <f aca="false">IF(AND(ISNUMBER(B46),B46&gt;0,ISNUMBER(U46),U46&gt;=0,ISNUMBER(O46),O46&gt;=0),1,0)</f>
        <v>1</v>
      </c>
      <c r="AB46" s="0" t="n">
        <f aca="false">IF(AA46=1,U46+O46,0)</f>
        <v>4452</v>
      </c>
      <c r="AC46" s="0" t="n">
        <f aca="false">IF(AA46=1,100*AB46/B46,"")</f>
        <v>0.0823384108686702</v>
      </c>
      <c r="AD46" s="0" t="n">
        <f aca="false">IF(AND(AND(ISNUMBER(B46),B46=OriginalFinancials!B46),AND(ISNUMBER(U46),U46=OriginalFinancials!U46),AND(ISNUMBER(O46),O46=OriginalFinancials!O46)),0,1)</f>
        <v>0</v>
      </c>
      <c r="AE46" s="0" t="str">
        <f aca="false">IF(V46=0,"原始0：需核实适用/报告口径","")</f>
        <v/>
      </c>
    </row>
    <row r="47" customFormat="false" ht="15" hidden="false" customHeight="false" outlineLevel="0" collapsed="false">
      <c r="A47" s="0" t="n">
        <v>47</v>
      </c>
      <c r="B47" s="0" t="n">
        <v>2514032</v>
      </c>
      <c r="C47" s="0" t="n">
        <v>4256</v>
      </c>
      <c r="D47" s="0" t="n">
        <v>2159436</v>
      </c>
      <c r="E47" s="0" t="n">
        <v>0.07</v>
      </c>
      <c r="F47" s="0" t="n">
        <v>204756</v>
      </c>
      <c r="G47" s="0" t="n">
        <v>8.14452640220968</v>
      </c>
      <c r="H47" s="0" t="s">
        <v>195</v>
      </c>
      <c r="I47" s="0" t="n">
        <v>0.923204126135706</v>
      </c>
      <c r="J47" s="0" t="n">
        <v>226654</v>
      </c>
      <c r="K47" s="0" t="n">
        <v>22077</v>
      </c>
      <c r="L47" s="0" t="n">
        <v>1707748</v>
      </c>
      <c r="M47" s="0" t="n">
        <v>1691982</v>
      </c>
      <c r="N47" s="0" t="n">
        <v>1367138</v>
      </c>
      <c r="O47" s="0" t="n">
        <v>5049</v>
      </c>
      <c r="P47" s="0" t="s">
        <v>196</v>
      </c>
      <c r="Q47" s="0" t="n">
        <v>0.298346126009224</v>
      </c>
      <c r="R47" s="0" t="n">
        <v>3.15768402829308</v>
      </c>
      <c r="S47" s="0" t="n">
        <v>205</v>
      </c>
      <c r="T47" s="0" t="n">
        <v>892</v>
      </c>
      <c r="U47" s="0" t="n">
        <v>46</v>
      </c>
      <c r="V47" s="0" t="n">
        <v>14.0050565438216</v>
      </c>
      <c r="W47" s="0" t="n">
        <v>20220331</v>
      </c>
      <c r="X47" s="0" t="n">
        <v>1.58060734186442</v>
      </c>
      <c r="Y47" s="0" t="n">
        <v>18.79</v>
      </c>
      <c r="Z47" s="0" t="s">
        <v>105</v>
      </c>
      <c r="AA47" s="0" t="n">
        <f aca="false">IF(AND(ISNUMBER(B47),B47&gt;0,ISNUMBER(U47),U47&gt;=0,ISNUMBER(O47),O47&gt;=0),1,0)</f>
        <v>1</v>
      </c>
      <c r="AB47" s="0" t="n">
        <f aca="false">IF(AA47=1,U47+O47,0)</f>
        <v>5095</v>
      </c>
      <c r="AC47" s="0" t="n">
        <f aca="false">IF(AA47=1,100*AB47/B47,"")</f>
        <v>0.202662495942772</v>
      </c>
      <c r="AD47" s="0" t="n">
        <f aca="false">IF(AND(AND(ISNUMBER(B47),B47=OriginalFinancials!B47),AND(ISNUMBER(U47),U47=OriginalFinancials!U47),AND(ISNUMBER(O47),O47=OriginalFinancials!O47)),0,1)</f>
        <v>0</v>
      </c>
      <c r="AE47" s="0" t="str">
        <f aca="false">IF(V47=0,"原始0：需核实适用/报告口径","")</f>
        <v/>
      </c>
    </row>
    <row r="48" customFormat="false" ht="15" hidden="false" customHeight="false" outlineLevel="0" collapsed="false">
      <c r="A48" s="0" t="n">
        <v>48</v>
      </c>
      <c r="B48" s="0" t="n">
        <v>702304</v>
      </c>
      <c r="C48" s="0" t="n">
        <v>59086</v>
      </c>
      <c r="D48" s="0" t="n">
        <v>631646</v>
      </c>
      <c r="E48" s="0" t="n">
        <v>0.15</v>
      </c>
      <c r="F48" s="0" t="n">
        <v>66816</v>
      </c>
      <c r="G48" s="0" t="n">
        <v>9.51382876930788</v>
      </c>
      <c r="H48" s="0" t="s">
        <v>197</v>
      </c>
      <c r="I48" s="0" t="n">
        <v>1.1506354816876</v>
      </c>
      <c r="J48" s="0" t="n">
        <v>115306</v>
      </c>
      <c r="K48" s="0" t="n">
        <v>0</v>
      </c>
      <c r="L48" s="0" t="n">
        <v>518583</v>
      </c>
      <c r="M48" s="0" t="n">
        <v>512616</v>
      </c>
      <c r="N48" s="0" t="n">
        <v>404171</v>
      </c>
      <c r="O48" s="0" t="n">
        <v>2111</v>
      </c>
      <c r="P48" s="0" t="s">
        <v>198</v>
      </c>
      <c r="Q48" s="0" t="n">
        <v>0.0657561084725106</v>
      </c>
      <c r="R48" s="0" t="n">
        <v>3.2247228753779</v>
      </c>
      <c r="S48" s="0" t="n">
        <v>0</v>
      </c>
      <c r="T48" s="0" t="n">
        <v>0</v>
      </c>
      <c r="U48" s="0" t="n">
        <v>341</v>
      </c>
      <c r="V48" s="0" t="n">
        <v>13.608114424605</v>
      </c>
      <c r="W48" s="0" t="n">
        <v>20220331</v>
      </c>
      <c r="X48" s="0" t="n">
        <v>1.1291386821763</v>
      </c>
      <c r="Y48" s="0" t="n">
        <v>11.87</v>
      </c>
      <c r="Z48" s="0" t="s">
        <v>123</v>
      </c>
      <c r="AA48" s="0" t="n">
        <f aca="false">IF(AND(ISNUMBER(B48),B48&gt;0,ISNUMBER(U48),U48&gt;=0,ISNUMBER(O48),O48&gt;=0),1,0)</f>
        <v>1</v>
      </c>
      <c r="AB48" s="0" t="n">
        <f aca="false">IF(AA48=1,U48+O48,0)</f>
        <v>2452</v>
      </c>
      <c r="AC48" s="0" t="n">
        <f aca="false">IF(AA48=1,100*AB48/B48,"")</f>
        <v>0.349136556249146</v>
      </c>
      <c r="AD48" s="0" t="n">
        <f aca="false">IF(AND(AND(ISNUMBER(B48),B48=OriginalFinancials!B48),AND(ISNUMBER(U48),U48=OriginalFinancials!U48),AND(ISNUMBER(O48),O48=OriginalFinancials!O48)),0,1)</f>
        <v>0</v>
      </c>
      <c r="AE48" s="0" t="str">
        <f aca="false">IF(V48=0,"原始0：需核实适用/报告口径","")</f>
        <v/>
      </c>
    </row>
    <row r="49" customFormat="false" ht="15" hidden="false" customHeight="false" outlineLevel="0" collapsed="false">
      <c r="A49" s="0" t="n">
        <v>49</v>
      </c>
      <c r="B49" s="0" t="n">
        <v>146747</v>
      </c>
      <c r="C49" s="0" t="n">
        <v>59176</v>
      </c>
      <c r="D49" s="0" t="n">
        <v>124821</v>
      </c>
      <c r="E49" s="0" t="n">
        <v>0.31</v>
      </c>
      <c r="F49" s="0" t="n">
        <v>21476</v>
      </c>
      <c r="G49" s="0" t="n">
        <v>14.6347114421419</v>
      </c>
      <c r="H49" s="0" t="s">
        <v>199</v>
      </c>
      <c r="I49" s="0" t="n">
        <v>0.849385173075556</v>
      </c>
      <c r="J49" s="0" t="n">
        <v>14832</v>
      </c>
      <c r="K49" s="0" t="n">
        <v>14</v>
      </c>
      <c r="L49" s="0" t="n">
        <v>112552</v>
      </c>
      <c r="M49" s="0" t="n">
        <v>111596</v>
      </c>
      <c r="N49" s="0" t="n">
        <v>97793</v>
      </c>
      <c r="O49" s="0" t="n">
        <v>42</v>
      </c>
      <c r="P49" s="0" t="s">
        <v>200</v>
      </c>
      <c r="Q49" s="0" t="n">
        <v>0.0373160850095955</v>
      </c>
      <c r="R49" s="0" t="n">
        <v>2.98511873974789</v>
      </c>
      <c r="S49" s="0" t="n">
        <v>0</v>
      </c>
      <c r="T49" s="0" t="n">
        <v>0</v>
      </c>
      <c r="U49" s="0" t="n">
        <v>0</v>
      </c>
      <c r="V49" s="0" t="n">
        <v>19.8448295690792</v>
      </c>
      <c r="W49" s="0" t="n">
        <v>20220331</v>
      </c>
      <c r="X49" s="0" t="n">
        <v>0.031957931740763</v>
      </c>
      <c r="Y49" s="0" t="n">
        <v>0.23</v>
      </c>
      <c r="Z49" s="0" t="s">
        <v>123</v>
      </c>
      <c r="AA49" s="0" t="n">
        <f aca="false">IF(AND(ISNUMBER(B49),B49&gt;0,ISNUMBER(U49),U49&gt;=0,ISNUMBER(O49),O49&gt;=0),1,0)</f>
        <v>1</v>
      </c>
      <c r="AB49" s="0" t="n">
        <f aca="false">IF(AA49=1,U49+O49,0)</f>
        <v>42</v>
      </c>
      <c r="AC49" s="0" t="n">
        <f aca="false">IF(AA49=1,100*AB49/B49,"")</f>
        <v>0.0286206873053623</v>
      </c>
      <c r="AD49" s="0" t="n">
        <f aca="false">IF(AND(AND(ISNUMBER(B49),B49=OriginalFinancials!B49),AND(ISNUMBER(U49),U49=OriginalFinancials!U49),AND(ISNUMBER(O49),O49=OriginalFinancials!O49)),0,1)</f>
        <v>0</v>
      </c>
      <c r="AE49" s="0" t="str">
        <f aca="false">IF(V49=0,"原始0：需核实适用/报告口径","")</f>
        <v/>
      </c>
    </row>
    <row r="50" customFormat="false" ht="15" hidden="false" customHeight="false" outlineLevel="0" collapsed="false">
      <c r="A50" s="0" t="n">
        <v>50</v>
      </c>
      <c r="B50" s="0" t="n">
        <v>1004765</v>
      </c>
      <c r="C50" s="0" t="n">
        <v>6271</v>
      </c>
      <c r="D50" s="0" t="n">
        <v>878431</v>
      </c>
      <c r="E50" s="0" t="n">
        <v>0.34</v>
      </c>
      <c r="F50" s="0" t="n">
        <v>89733</v>
      </c>
      <c r="G50" s="0" t="n">
        <v>8.93074500007464</v>
      </c>
      <c r="H50" s="0" t="s">
        <v>201</v>
      </c>
      <c r="I50" s="0" t="n">
        <v>1.13244155892614</v>
      </c>
      <c r="J50" s="0" t="n">
        <v>116404</v>
      </c>
      <c r="K50" s="0" t="n">
        <v>3056</v>
      </c>
      <c r="L50" s="0" t="n">
        <v>696813</v>
      </c>
      <c r="M50" s="0" t="n">
        <v>688922</v>
      </c>
      <c r="N50" s="0" t="n">
        <v>523731</v>
      </c>
      <c r="O50" s="0" t="n">
        <v>5415</v>
      </c>
      <c r="P50" s="0" t="s">
        <v>202</v>
      </c>
      <c r="Q50" s="0" t="n">
        <v>0.870965380955866</v>
      </c>
      <c r="R50" s="0" t="n">
        <v>3.22402305761983</v>
      </c>
      <c r="S50" s="0" t="n">
        <v>682</v>
      </c>
      <c r="T50" s="0" t="n">
        <v>2673</v>
      </c>
      <c r="U50" s="0" t="n">
        <v>654</v>
      </c>
      <c r="V50" s="0" t="n">
        <v>15.2204500210179</v>
      </c>
      <c r="W50" s="0" t="n">
        <v>20220331</v>
      </c>
      <c r="X50" s="0" t="n">
        <v>1.00825483937611</v>
      </c>
      <c r="Y50" s="0" t="n">
        <v>10.92</v>
      </c>
      <c r="Z50" s="0" t="s">
        <v>112</v>
      </c>
      <c r="AA50" s="0" t="n">
        <f aca="false">IF(AND(ISNUMBER(B50),B50&gt;0,ISNUMBER(U50),U50&gt;=0,ISNUMBER(O50),O50&gt;=0),1,0)</f>
        <v>1</v>
      </c>
      <c r="AB50" s="0" t="n">
        <f aca="false">IF(AA50=1,U50+O50,0)</f>
        <v>6069</v>
      </c>
      <c r="AC50" s="0" t="n">
        <f aca="false">IF(AA50=1,100*AB50/B50,"")</f>
        <v>0.60402183595169</v>
      </c>
      <c r="AD50" s="0" t="n">
        <f aca="false">IF(AND(AND(ISNUMBER(B50),B50=OriginalFinancials!B50),AND(ISNUMBER(U50),U50=OriginalFinancials!U50),AND(ISNUMBER(O50),O50=OriginalFinancials!O50)),0,1)</f>
        <v>0</v>
      </c>
      <c r="AE50" s="0" t="str">
        <f aca="false">IF(V50=0,"原始0：需核实适用/报告口径","")</f>
        <v/>
      </c>
    </row>
    <row r="51" customFormat="false" ht="15" hidden="false" customHeight="false" outlineLevel="0" collapsed="false">
      <c r="A51" s="0" t="n">
        <v>51</v>
      </c>
      <c r="B51" s="0" t="n">
        <v>531651</v>
      </c>
      <c r="C51" s="0" t="n">
        <v>6275</v>
      </c>
      <c r="D51" s="0" t="n">
        <v>472420</v>
      </c>
      <c r="E51" s="0" t="n">
        <v>0</v>
      </c>
      <c r="F51" s="0" t="n">
        <v>32835</v>
      </c>
      <c r="G51" s="0" t="n">
        <v>6.17604405897854</v>
      </c>
      <c r="H51" s="0" t="s">
        <v>203</v>
      </c>
      <c r="I51" s="0" t="n">
        <v>1.09890496565702</v>
      </c>
      <c r="J51" s="0" t="n">
        <v>24050</v>
      </c>
      <c r="K51" s="0" t="n">
        <v>12501</v>
      </c>
      <c r="L51" s="0" t="n">
        <v>284192</v>
      </c>
      <c r="M51" s="0" t="n">
        <v>281069</v>
      </c>
      <c r="N51" s="0" t="n">
        <v>237696</v>
      </c>
      <c r="O51" s="0" t="n">
        <v>1559</v>
      </c>
      <c r="P51" s="0" t="s">
        <v>204</v>
      </c>
      <c r="Q51" s="0" t="n">
        <v>0.633726494764103</v>
      </c>
      <c r="R51" s="0" t="n">
        <v>2.5345588039533</v>
      </c>
      <c r="S51" s="0" t="n">
        <v>-3</v>
      </c>
      <c r="T51" s="0" t="n">
        <v>381</v>
      </c>
      <c r="U51" s="0" t="n">
        <v>242</v>
      </c>
      <c r="V51" s="0" t="n">
        <v>16.2466459160674</v>
      </c>
      <c r="W51" s="0" t="n">
        <v>20220331</v>
      </c>
      <c r="X51" s="0" t="n">
        <v>0.470223643178008</v>
      </c>
      <c r="Y51" s="0" t="n">
        <v>6.87</v>
      </c>
      <c r="Z51" s="0" t="s">
        <v>112</v>
      </c>
      <c r="AA51" s="0" t="n">
        <f aca="false">IF(AND(ISNUMBER(B51),B51&gt;0,ISNUMBER(U51),U51&gt;=0,ISNUMBER(O51),O51&gt;=0),1,0)</f>
        <v>1</v>
      </c>
      <c r="AB51" s="0" t="n">
        <f aca="false">IF(AA51=1,U51+O51,0)</f>
        <v>1801</v>
      </c>
      <c r="AC51" s="0" t="n">
        <f aca="false">IF(AA51=1,100*AB51/B51,"")</f>
        <v>0.338756063658302</v>
      </c>
      <c r="AD51" s="0" t="n">
        <f aca="false">IF(AND(AND(ISNUMBER(B51),B51=OriginalFinancials!B51),AND(ISNUMBER(U51),U51=OriginalFinancials!U51),AND(ISNUMBER(O51),O51=OriginalFinancials!O51)),0,1)</f>
        <v>0</v>
      </c>
      <c r="AE51" s="0" t="str">
        <f aca="false">IF(V51=0,"原始0：需核实适用/报告口径","")</f>
        <v/>
      </c>
    </row>
    <row r="52" customFormat="false" ht="15" hidden="false" customHeight="false" outlineLevel="0" collapsed="false">
      <c r="A52" s="0" t="n">
        <v>52</v>
      </c>
      <c r="B52" s="0" t="n">
        <v>83998</v>
      </c>
      <c r="C52" s="0" t="n">
        <v>6280</v>
      </c>
      <c r="D52" s="0" t="n">
        <v>75709</v>
      </c>
      <c r="E52" s="0" t="n">
        <v>0.05</v>
      </c>
      <c r="F52" s="0" t="n">
        <v>8131</v>
      </c>
      <c r="G52" s="0" t="n">
        <v>9.67999238077097</v>
      </c>
      <c r="H52" s="0" t="s">
        <v>205</v>
      </c>
      <c r="I52" s="0" t="n">
        <v>1.33483980308288</v>
      </c>
      <c r="J52" s="0" t="n">
        <v>2686</v>
      </c>
      <c r="K52" s="0" t="n">
        <v>1876</v>
      </c>
      <c r="L52" s="0" t="n">
        <v>61955</v>
      </c>
      <c r="M52" s="0" t="n">
        <v>61128</v>
      </c>
      <c r="N52" s="0" t="n">
        <v>53939</v>
      </c>
      <c r="O52" s="0" t="n">
        <v>836</v>
      </c>
      <c r="P52" s="0" t="s">
        <v>206</v>
      </c>
      <c r="Q52" s="0" t="n">
        <v>1.34936647566782</v>
      </c>
      <c r="R52" s="0" t="n">
        <v>3.84047633815047</v>
      </c>
      <c r="S52" s="0" t="n">
        <v>-1</v>
      </c>
      <c r="T52" s="0" t="n">
        <v>644</v>
      </c>
      <c r="U52" s="0" t="n">
        <v>0</v>
      </c>
      <c r="V52" s="0" t="n">
        <v>0</v>
      </c>
      <c r="W52" s="0" t="n">
        <v>20220331</v>
      </c>
      <c r="X52" s="0" t="n">
        <v>1.18573807471095</v>
      </c>
      <c r="Y52" s="0" t="n">
        <v>12.54</v>
      </c>
      <c r="Z52" s="0" t="s">
        <v>112</v>
      </c>
      <c r="AA52" s="0" t="n">
        <f aca="false">IF(AND(ISNUMBER(B52),B52&gt;0,ISNUMBER(U52),U52&gt;=0,ISNUMBER(O52),O52&gt;=0),1,0)</f>
        <v>1</v>
      </c>
      <c r="AB52" s="0" t="n">
        <f aca="false">IF(AA52=1,U52+O52,0)</f>
        <v>836</v>
      </c>
      <c r="AC52" s="0" t="n">
        <f aca="false">IF(AA52=1,100*AB52/B52,"")</f>
        <v>0.995261791947427</v>
      </c>
      <c r="AD52" s="0" t="n">
        <f aca="false">IF(AND(AND(ISNUMBER(B52),B52=OriginalFinancials!B52),AND(ISNUMBER(U52),U52=OriginalFinancials!U52),AND(ISNUMBER(O52),O52=OriginalFinancials!O52)),0,1)</f>
        <v>0</v>
      </c>
      <c r="AE52" s="0" t="str">
        <f aca="false">IF(V52=0,"原始0：需核实适用/报告口径","")</f>
        <v>原始0：需核实适用/报告口径</v>
      </c>
    </row>
    <row r="53" customFormat="false" ht="15" hidden="false" customHeight="false" outlineLevel="0" collapsed="false">
      <c r="A53" s="0" t="n">
        <v>53</v>
      </c>
      <c r="B53" s="0" t="n">
        <v>3712836</v>
      </c>
      <c r="C53" s="0" t="n">
        <v>11971</v>
      </c>
      <c r="D53" s="0" t="n">
        <v>3085621</v>
      </c>
      <c r="E53" s="0" t="n">
        <v>0.07</v>
      </c>
      <c r="F53" s="0" t="n">
        <v>448597</v>
      </c>
      <c r="G53" s="0" t="n">
        <v>12.0823273637726</v>
      </c>
      <c r="H53" s="0" t="s">
        <v>207</v>
      </c>
      <c r="I53" s="0" t="n">
        <v>0.869924084878752</v>
      </c>
      <c r="J53" s="0" t="n">
        <v>204215</v>
      </c>
      <c r="K53" s="0" t="n">
        <v>8150</v>
      </c>
      <c r="L53" s="0" t="n">
        <v>2730813</v>
      </c>
      <c r="M53" s="0" t="n">
        <v>2707057</v>
      </c>
      <c r="N53" s="0" t="n">
        <v>2376853</v>
      </c>
      <c r="O53" s="0" t="n">
        <v>7878</v>
      </c>
      <c r="P53" s="0" t="s">
        <v>104</v>
      </c>
      <c r="Q53" s="0" t="n">
        <v>0.314814672407082</v>
      </c>
      <c r="R53" s="0" t="n">
        <v>3.14301219513661</v>
      </c>
      <c r="S53" s="0" t="n">
        <v>-127</v>
      </c>
      <c r="T53" s="0" t="n">
        <v>1169</v>
      </c>
      <c r="U53" s="0" t="n">
        <v>719</v>
      </c>
      <c r="V53" s="0" t="n">
        <v>13.5693025113801</v>
      </c>
      <c r="W53" s="0" t="n">
        <v>20220630</v>
      </c>
      <c r="X53" s="0" t="n">
        <v>1.16360424384539</v>
      </c>
      <c r="Y53" s="0" t="n">
        <v>9.3</v>
      </c>
      <c r="Z53" s="0" t="s">
        <v>105</v>
      </c>
      <c r="AA53" s="0" t="n">
        <f aca="false">IF(AND(ISNUMBER(B53),B53&gt;0,ISNUMBER(U53),U53&gt;=0,ISNUMBER(O53),O53&gt;=0),1,0)</f>
        <v>1</v>
      </c>
      <c r="AB53" s="0" t="n">
        <f aca="false">IF(AA53=1,U53+O53,0)</f>
        <v>8597</v>
      </c>
      <c r="AC53" s="0" t="n">
        <f aca="false">IF(AA53=1,100*AB53/B53,"")</f>
        <v>0.231548067299498</v>
      </c>
      <c r="AD53" s="0" t="n">
        <f aca="false">IF(AND(AND(ISNUMBER(B53),B53=OriginalFinancials!B53),AND(ISNUMBER(U53),U53=OriginalFinancials!U53),AND(ISNUMBER(O53),O53=OriginalFinancials!O53)),0,1)</f>
        <v>0</v>
      </c>
      <c r="AE53" s="0" t="str">
        <f aca="false">IF(V53=0,"原始0：需核实适用/报告口径","")</f>
        <v/>
      </c>
    </row>
    <row r="54" customFormat="false" ht="15" hidden="false" customHeight="false" outlineLevel="0" collapsed="false">
      <c r="A54" s="0" t="n">
        <v>54</v>
      </c>
      <c r="B54" s="0" t="n">
        <v>964224</v>
      </c>
      <c r="C54" s="0" t="n">
        <v>12874</v>
      </c>
      <c r="D54" s="0" t="n">
        <v>854371</v>
      </c>
      <c r="E54" s="0" t="n">
        <v>0</v>
      </c>
      <c r="F54" s="0" t="n">
        <v>94455</v>
      </c>
      <c r="G54" s="0" t="n">
        <v>9.79596027479092</v>
      </c>
      <c r="H54" s="0" t="s">
        <v>208</v>
      </c>
      <c r="I54" s="0" t="n">
        <v>1.05823329055455</v>
      </c>
      <c r="J54" s="0" t="n">
        <v>135529</v>
      </c>
      <c r="K54" s="0" t="n">
        <v>5199</v>
      </c>
      <c r="L54" s="0" t="n">
        <v>738684</v>
      </c>
      <c r="M54" s="0" t="n">
        <v>730867</v>
      </c>
      <c r="N54" s="0" t="n">
        <v>583137</v>
      </c>
      <c r="O54" s="0" t="n">
        <v>891</v>
      </c>
      <c r="P54" s="0" t="s">
        <v>107</v>
      </c>
      <c r="Q54" s="0" t="n">
        <v>0.126305700407752</v>
      </c>
      <c r="R54" s="0" t="n">
        <v>3.50029411107719</v>
      </c>
      <c r="S54" s="0" t="n">
        <v>-13</v>
      </c>
      <c r="T54" s="0" t="n">
        <v>242</v>
      </c>
      <c r="U54" s="0" t="n">
        <v>42</v>
      </c>
      <c r="V54" s="0" t="n">
        <v>15.2920846966426</v>
      </c>
      <c r="W54" s="0" t="n">
        <v>20220630</v>
      </c>
      <c r="X54" s="0" t="n">
        <v>0.905775942828036</v>
      </c>
      <c r="Y54" s="0" t="n">
        <v>8.85</v>
      </c>
      <c r="Z54" s="0" t="s">
        <v>105</v>
      </c>
      <c r="AA54" s="0" t="n">
        <f aca="false">IF(AND(ISNUMBER(B54),B54&gt;0,ISNUMBER(U54),U54&gt;=0,ISNUMBER(O54),O54&gt;=0),1,0)</f>
        <v>1</v>
      </c>
      <c r="AB54" s="0" t="n">
        <f aca="false">IF(AA54=1,U54+O54,0)</f>
        <v>933</v>
      </c>
      <c r="AC54" s="0" t="n">
        <f aca="false">IF(AA54=1,100*AB54/B54,"")</f>
        <v>0.0967617483074472</v>
      </c>
      <c r="AD54" s="0" t="n">
        <f aca="false">IF(AND(AND(ISNUMBER(B54),B54=OriginalFinancials!B54),AND(ISNUMBER(U54),U54=OriginalFinancials!U54),AND(ISNUMBER(O54),O54=OriginalFinancials!O54)),0,1)</f>
        <v>0</v>
      </c>
      <c r="AE54" s="0" t="str">
        <f aca="false">IF(V54=0,"原始0：需核实适用/报告口径","")</f>
        <v/>
      </c>
    </row>
    <row r="55" customFormat="false" ht="15" hidden="false" customHeight="false" outlineLevel="0" collapsed="false">
      <c r="A55" s="0" t="n">
        <v>55</v>
      </c>
      <c r="B55" s="0" t="n">
        <v>1796670</v>
      </c>
      <c r="C55" s="0" t="n">
        <v>13063</v>
      </c>
      <c r="D55" s="0" t="n">
        <v>1641103</v>
      </c>
      <c r="E55" s="0" t="n">
        <v>0</v>
      </c>
      <c r="F55" s="0" t="n">
        <v>138141</v>
      </c>
      <c r="G55" s="0" t="n">
        <v>7.68872413965837</v>
      </c>
      <c r="H55" s="0" t="s">
        <v>209</v>
      </c>
      <c r="I55" s="0" t="n">
        <v>1.17960076755983</v>
      </c>
      <c r="J55" s="0" t="n">
        <v>51462</v>
      </c>
      <c r="K55" s="0" t="n">
        <v>893</v>
      </c>
      <c r="L55" s="0" t="n">
        <v>1263224</v>
      </c>
      <c r="M55" s="0" t="n">
        <v>1248323</v>
      </c>
      <c r="N55" s="0" t="n">
        <v>1203684</v>
      </c>
      <c r="O55" s="0" t="n">
        <v>499</v>
      </c>
      <c r="P55" s="0" t="s">
        <v>109</v>
      </c>
      <c r="Q55" s="0" t="n">
        <v>0.11605225993173</v>
      </c>
      <c r="R55" s="0" t="n">
        <v>3.34802863649218</v>
      </c>
      <c r="S55" s="0" t="n">
        <v>-5</v>
      </c>
      <c r="T55" s="0" t="n">
        <v>1</v>
      </c>
      <c r="U55" s="0" t="n">
        <v>967</v>
      </c>
      <c r="V55" s="0" t="n">
        <v>0</v>
      </c>
      <c r="W55" s="0" t="n">
        <v>20220630</v>
      </c>
      <c r="X55" s="0" t="n">
        <v>0.589885287137242</v>
      </c>
      <c r="Y55" s="0" t="n">
        <v>7.06</v>
      </c>
      <c r="Z55" s="0" t="s">
        <v>105</v>
      </c>
      <c r="AA55" s="0" t="n">
        <f aca="false">IF(AND(ISNUMBER(B55),B55&gt;0,ISNUMBER(U55),U55&gt;=0,ISNUMBER(O55),O55&gt;=0),1,0)</f>
        <v>1</v>
      </c>
      <c r="AB55" s="0" t="n">
        <f aca="false">IF(AA55=1,U55+O55,0)</f>
        <v>1466</v>
      </c>
      <c r="AC55" s="0" t="n">
        <f aca="false">IF(AA55=1,100*AB55/B55,"")</f>
        <v>0.0815953959269092</v>
      </c>
      <c r="AD55" s="0" t="n">
        <f aca="false">IF(AND(AND(ISNUMBER(B55),B55=OriginalFinancials!B55),AND(ISNUMBER(U55),U55=OriginalFinancials!U55),AND(ISNUMBER(O55),O55=OriginalFinancials!O55)),0,1)</f>
        <v>0</v>
      </c>
      <c r="AE55" s="0" t="str">
        <f aca="false">IF(V55=0,"原始0：需核实适用/报告口径","")</f>
        <v>原始0：需核实适用/报告口径</v>
      </c>
    </row>
    <row r="56" customFormat="false" ht="15" hidden="false" customHeight="false" outlineLevel="0" collapsed="false">
      <c r="A56" s="0" t="n">
        <v>56</v>
      </c>
      <c r="B56" s="0" t="n">
        <v>842061</v>
      </c>
      <c r="C56" s="0" t="n">
        <v>14134</v>
      </c>
      <c r="D56" s="0" t="n">
        <v>714430</v>
      </c>
      <c r="E56" s="0" t="n">
        <v>0.1</v>
      </c>
      <c r="F56" s="0" t="n">
        <v>95205</v>
      </c>
      <c r="G56" s="0" t="n">
        <v>11.3061880315084</v>
      </c>
      <c r="H56" s="0" t="s">
        <v>210</v>
      </c>
      <c r="I56" s="0" t="n">
        <v>1.34312286170701</v>
      </c>
      <c r="J56" s="0" t="n">
        <v>33956</v>
      </c>
      <c r="K56" s="0" t="n">
        <v>24559</v>
      </c>
      <c r="L56" s="0" t="n">
        <v>618484</v>
      </c>
      <c r="M56" s="0" t="n">
        <v>610177</v>
      </c>
      <c r="N56" s="0" t="n">
        <v>541392</v>
      </c>
      <c r="O56" s="0" t="n">
        <v>8858</v>
      </c>
      <c r="P56" s="0" t="s">
        <v>111</v>
      </c>
      <c r="Q56" s="0" t="n">
        <v>1.43221166594447</v>
      </c>
      <c r="R56" s="0" t="n">
        <v>2.90948799338998</v>
      </c>
      <c r="S56" s="0" t="n">
        <v>295</v>
      </c>
      <c r="T56" s="0" t="n">
        <v>3228</v>
      </c>
      <c r="U56" s="0" t="n">
        <v>0</v>
      </c>
      <c r="V56" s="0" t="n">
        <v>17.3850644480774</v>
      </c>
      <c r="W56" s="0" t="n">
        <v>20220630</v>
      </c>
      <c r="X56" s="0" t="n">
        <v>-0.908691372525263</v>
      </c>
      <c r="Y56" s="0" t="n">
        <v>-7.73</v>
      </c>
      <c r="Z56" s="0" t="s">
        <v>112</v>
      </c>
      <c r="AA56" s="0" t="n">
        <f aca="false">IF(AND(ISNUMBER(B56),B56&gt;0,ISNUMBER(U56),U56&gt;=0,ISNUMBER(O56),O56&gt;=0),1,0)</f>
        <v>1</v>
      </c>
      <c r="AB56" s="0" t="n">
        <f aca="false">IF(AA56=1,U56+O56,0)</f>
        <v>8858</v>
      </c>
      <c r="AC56" s="0" t="n">
        <f aca="false">IF(AA56=1,100*AB56/B56,"")</f>
        <v>1.05194279274304</v>
      </c>
      <c r="AD56" s="0" t="n">
        <f aca="false">IF(AND(AND(ISNUMBER(B56),B56=OriginalFinancials!B56),AND(ISNUMBER(U56),U56=OriginalFinancials!U56),AND(ISNUMBER(O56),O56=OriginalFinancials!O56)),0,1)</f>
        <v>0</v>
      </c>
      <c r="AE56" s="0" t="str">
        <f aca="false">IF(V56=0,"原始0：需核实适用/报告口径","")</f>
        <v/>
      </c>
    </row>
    <row r="57" customFormat="false" ht="15" hidden="false" customHeight="false" outlineLevel="0" collapsed="false">
      <c r="A57" s="0" t="n">
        <v>57</v>
      </c>
      <c r="B57" s="0" t="n">
        <v>222750</v>
      </c>
      <c r="C57" s="0" t="n">
        <v>14136</v>
      </c>
      <c r="D57" s="0" t="n">
        <v>202215</v>
      </c>
      <c r="E57" s="0" t="n">
        <v>0.04</v>
      </c>
      <c r="F57" s="0" t="n">
        <v>16002</v>
      </c>
      <c r="G57" s="0" t="n">
        <v>7.18383838383838</v>
      </c>
      <c r="H57" s="0" t="s">
        <v>211</v>
      </c>
      <c r="I57" s="0" t="n">
        <v>1.07631107561318</v>
      </c>
      <c r="J57" s="0" t="n">
        <v>13764</v>
      </c>
      <c r="K57" s="0" t="n">
        <v>12183</v>
      </c>
      <c r="L57" s="0" t="n">
        <v>128959</v>
      </c>
      <c r="M57" s="0" t="n">
        <v>127571</v>
      </c>
      <c r="N57" s="0" t="n">
        <v>102631</v>
      </c>
      <c r="O57" s="0" t="n">
        <v>126</v>
      </c>
      <c r="P57" s="0" t="s">
        <v>114</v>
      </c>
      <c r="Q57" s="0" t="n">
        <v>0.653696135981203</v>
      </c>
      <c r="R57" s="0" t="n">
        <v>3.47918730744697</v>
      </c>
      <c r="S57" s="0" t="n">
        <v>13</v>
      </c>
      <c r="T57" s="0" t="n">
        <v>887</v>
      </c>
      <c r="U57" s="0" t="n">
        <v>717</v>
      </c>
      <c r="V57" s="0" t="n">
        <v>16.7839694709842</v>
      </c>
      <c r="W57" s="0" t="n">
        <v>20220630</v>
      </c>
      <c r="X57" s="0" t="n">
        <v>0.311791935041849</v>
      </c>
      <c r="Y57" s="0" t="n">
        <v>3.62</v>
      </c>
      <c r="Z57" s="0" t="s">
        <v>112</v>
      </c>
      <c r="AA57" s="0" t="n">
        <f aca="false">IF(AND(ISNUMBER(B57),B57&gt;0,ISNUMBER(U57),U57&gt;=0,ISNUMBER(O57),O57&gt;=0),1,0)</f>
        <v>1</v>
      </c>
      <c r="AB57" s="0" t="n">
        <f aca="false">IF(AA57=1,U57+O57,0)</f>
        <v>843</v>
      </c>
      <c r="AC57" s="0" t="n">
        <f aca="false">IF(AA57=1,100*AB57/B57,"")</f>
        <v>0.378451178451178</v>
      </c>
      <c r="AD57" s="0" t="n">
        <f aca="false">IF(AND(AND(ISNUMBER(B57),B57=OriginalFinancials!B57),AND(ISNUMBER(U57),U57=OriginalFinancials!U57),AND(ISNUMBER(O57),O57=OriginalFinancials!O57)),0,1)</f>
        <v>0</v>
      </c>
      <c r="AE57" s="0" t="str">
        <f aca="false">IF(V57=0,"原始0：需核实适用/报告口径","")</f>
        <v/>
      </c>
    </row>
    <row r="58" customFormat="false" ht="15" hidden="false" customHeight="false" outlineLevel="0" collapsed="false">
      <c r="A58" s="0" t="n">
        <v>58</v>
      </c>
      <c r="B58" s="0" t="n">
        <v>1436600</v>
      </c>
      <c r="C58" s="0" t="n">
        <v>14140</v>
      </c>
      <c r="D58" s="0" t="n">
        <v>1234672</v>
      </c>
      <c r="E58" s="0" t="n">
        <v>0</v>
      </c>
      <c r="F58" s="0" t="n">
        <v>117324</v>
      </c>
      <c r="G58" s="0" t="n">
        <v>8.16678268133092</v>
      </c>
      <c r="H58" s="0" t="s">
        <v>212</v>
      </c>
      <c r="I58" s="0" t="n">
        <v>1.09678501398675</v>
      </c>
      <c r="J58" s="0" t="n">
        <v>88677</v>
      </c>
      <c r="K58" s="0" t="n">
        <v>1269</v>
      </c>
      <c r="L58" s="0" t="n">
        <v>965914</v>
      </c>
      <c r="M58" s="0" t="n">
        <v>955320</v>
      </c>
      <c r="N58" s="0" t="n">
        <v>868077</v>
      </c>
      <c r="O58" s="0" t="n">
        <v>2695</v>
      </c>
      <c r="P58" s="0" t="s">
        <v>116</v>
      </c>
      <c r="Q58" s="0" t="n">
        <v>0.279010346676826</v>
      </c>
      <c r="R58" s="0" t="n">
        <v>3.03639975122093</v>
      </c>
      <c r="S58" s="0" t="n">
        <v>26</v>
      </c>
      <c r="T58" s="0" t="n">
        <v>499</v>
      </c>
      <c r="U58" s="0" t="n">
        <v>0</v>
      </c>
      <c r="V58" s="0" t="n">
        <v>0</v>
      </c>
      <c r="W58" s="0" t="n">
        <v>20220630</v>
      </c>
      <c r="X58" s="0" t="n">
        <v>0.707644826064353</v>
      </c>
      <c r="Y58" s="0" t="n">
        <v>7.9</v>
      </c>
      <c r="Z58" s="0" t="s">
        <v>112</v>
      </c>
      <c r="AA58" s="0" t="n">
        <f aca="false">IF(AND(ISNUMBER(B58),B58&gt;0,ISNUMBER(U58),U58&gt;=0,ISNUMBER(O58),O58&gt;=0),1,0)</f>
        <v>1</v>
      </c>
      <c r="AB58" s="0" t="n">
        <f aca="false">IF(AA58=1,U58+O58,0)</f>
        <v>2695</v>
      </c>
      <c r="AC58" s="0" t="n">
        <f aca="false">IF(AA58=1,100*AB58/B58,"")</f>
        <v>0.187595712098009</v>
      </c>
      <c r="AD58" s="0" t="n">
        <f aca="false">IF(AND(AND(ISNUMBER(B58),B58=OriginalFinancials!B58),AND(ISNUMBER(U58),U58=OriginalFinancials!U58),AND(ISNUMBER(O58),O58=OriginalFinancials!O58)),0,1)</f>
        <v>0</v>
      </c>
      <c r="AE58" s="0" t="str">
        <f aca="false">IF(V58=0,"原始0：需核实适用/报告口径","")</f>
        <v>原始0：需核实适用/报告口径</v>
      </c>
    </row>
    <row r="59" customFormat="false" ht="15" hidden="false" customHeight="false" outlineLevel="0" collapsed="false">
      <c r="A59" s="0" t="n">
        <v>59</v>
      </c>
      <c r="B59" s="0" t="n">
        <v>1191062</v>
      </c>
      <c r="C59" s="0" t="n">
        <v>14158</v>
      </c>
      <c r="D59" s="0" t="n">
        <v>1105727</v>
      </c>
      <c r="E59" s="0" t="n">
        <v>0</v>
      </c>
      <c r="F59" s="0" t="n">
        <v>75600</v>
      </c>
      <c r="G59" s="0" t="n">
        <v>6.34727663211487</v>
      </c>
      <c r="H59" s="0" t="s">
        <v>213</v>
      </c>
      <c r="I59" s="0" t="n">
        <v>1.01340760128608</v>
      </c>
      <c r="J59" s="0" t="n">
        <v>44278</v>
      </c>
      <c r="K59" s="0" t="n">
        <v>2085</v>
      </c>
      <c r="L59" s="0" t="n">
        <v>822966</v>
      </c>
      <c r="M59" s="0" t="n">
        <v>814626</v>
      </c>
      <c r="N59" s="0" t="n">
        <v>751338</v>
      </c>
      <c r="O59" s="0" t="n">
        <v>1416</v>
      </c>
      <c r="P59" s="0" t="s">
        <v>118</v>
      </c>
      <c r="Q59" s="0" t="n">
        <v>0.185305346757946</v>
      </c>
      <c r="R59" s="0" t="n">
        <v>3.35441193767321</v>
      </c>
      <c r="S59" s="0" t="n">
        <v>-4</v>
      </c>
      <c r="T59" s="0" t="n">
        <v>849</v>
      </c>
      <c r="U59" s="0" t="n">
        <v>109</v>
      </c>
      <c r="V59" s="0" t="n">
        <v>14.280952720623</v>
      </c>
      <c r="W59" s="0" t="n">
        <v>20220630</v>
      </c>
      <c r="X59" s="0" t="n">
        <v>0.965573503917802</v>
      </c>
      <c r="Y59" s="0" t="n">
        <v>13.45</v>
      </c>
      <c r="Z59" s="0" t="s">
        <v>112</v>
      </c>
      <c r="AA59" s="0" t="n">
        <f aca="false">IF(AND(ISNUMBER(B59),B59&gt;0,ISNUMBER(U59),U59&gt;=0,ISNUMBER(O59),O59&gt;=0),1,0)</f>
        <v>1</v>
      </c>
      <c r="AB59" s="0" t="n">
        <f aca="false">IF(AA59=1,U59+O59,0)</f>
        <v>1525</v>
      </c>
      <c r="AC59" s="0" t="n">
        <f aca="false">IF(AA59=1,100*AB59/B59,"")</f>
        <v>0.128036995555227</v>
      </c>
      <c r="AD59" s="0" t="n">
        <f aca="false">IF(AND(AND(ISNUMBER(B59),B59=OriginalFinancials!B59),AND(ISNUMBER(U59),U59=OriginalFinancials!U59),AND(ISNUMBER(O59),O59=OriginalFinancials!O59)),0,1)</f>
        <v>0</v>
      </c>
      <c r="AE59" s="0" t="str">
        <f aca="false">IF(V59=0,"原始0：需核实适用/报告口径","")</f>
        <v/>
      </c>
    </row>
    <row r="60" customFormat="false" ht="15" hidden="false" customHeight="false" outlineLevel="0" collapsed="false">
      <c r="A60" s="0" t="n">
        <v>60</v>
      </c>
      <c r="B60" s="0" t="n">
        <v>366581</v>
      </c>
      <c r="C60" s="0" t="n">
        <v>14168</v>
      </c>
      <c r="D60" s="0" t="n">
        <v>329789</v>
      </c>
      <c r="E60" s="0" t="n">
        <v>0</v>
      </c>
      <c r="F60" s="0" t="n">
        <v>32327</v>
      </c>
      <c r="G60" s="0" t="n">
        <v>8.81851487120173</v>
      </c>
      <c r="H60" s="0" t="s">
        <v>214</v>
      </c>
      <c r="I60" s="0" t="n">
        <v>1.44746407480805</v>
      </c>
      <c r="J60" s="0" t="n">
        <v>11194</v>
      </c>
      <c r="K60" s="0" t="n">
        <v>8894</v>
      </c>
      <c r="L60" s="0" t="n">
        <v>200834</v>
      </c>
      <c r="M60" s="0" t="n">
        <v>197927</v>
      </c>
      <c r="N60" s="0" t="n">
        <v>167425</v>
      </c>
      <c r="O60" s="0" t="n">
        <v>1103</v>
      </c>
      <c r="P60" s="0" t="s">
        <v>120</v>
      </c>
      <c r="Q60" s="0" t="n">
        <v>0.549209795154207</v>
      </c>
      <c r="R60" s="0" t="n">
        <v>2.67035333231683</v>
      </c>
      <c r="S60" s="0" t="n">
        <v>57</v>
      </c>
      <c r="T60" s="0" t="n">
        <v>467</v>
      </c>
      <c r="U60" s="0" t="n">
        <v>0</v>
      </c>
      <c r="V60" s="0" t="n">
        <v>18.6461441659596</v>
      </c>
      <c r="W60" s="0" t="n">
        <v>20220630</v>
      </c>
      <c r="X60" s="0" t="n">
        <v>0.313118388950259</v>
      </c>
      <c r="Y60" s="0" t="n">
        <v>3.41</v>
      </c>
      <c r="Z60" s="0" t="s">
        <v>112</v>
      </c>
      <c r="AA60" s="0" t="n">
        <f aca="false">IF(AND(ISNUMBER(B60),B60&gt;0,ISNUMBER(U60),U60&gt;=0,ISNUMBER(O60),O60&gt;=0),1,0)</f>
        <v>1</v>
      </c>
      <c r="AB60" s="0" t="n">
        <f aca="false">IF(AA60=1,U60+O60,0)</f>
        <v>1103</v>
      </c>
      <c r="AC60" s="0" t="n">
        <f aca="false">IF(AA60=1,100*AB60/B60,"")</f>
        <v>0.300888480308581</v>
      </c>
      <c r="AD60" s="0" t="n">
        <f aca="false">IF(AND(AND(ISNUMBER(B60),B60=OriginalFinancials!B60),AND(ISNUMBER(U60),U60=OriginalFinancials!U60),AND(ISNUMBER(O60),O60=OriginalFinancials!O60)),0,1)</f>
        <v>0</v>
      </c>
      <c r="AE60" s="0" t="str">
        <f aca="false">IF(V60=0,"原始0：需核实适用/报告口径","")</f>
        <v/>
      </c>
    </row>
    <row r="61" customFormat="false" ht="15" hidden="false" customHeight="false" outlineLevel="0" collapsed="false">
      <c r="A61" s="0" t="n">
        <v>61</v>
      </c>
      <c r="B61" s="0" t="n">
        <v>1238699</v>
      </c>
      <c r="C61" s="0" t="n">
        <v>14240</v>
      </c>
      <c r="D61" s="0" t="n">
        <v>1039863</v>
      </c>
      <c r="E61" s="0" t="n">
        <v>0.05</v>
      </c>
      <c r="F61" s="0" t="n">
        <v>89585</v>
      </c>
      <c r="G61" s="0" t="n">
        <v>7.23218473575905</v>
      </c>
      <c r="H61" s="0" t="s">
        <v>215</v>
      </c>
      <c r="I61" s="0" t="n">
        <v>1.13937295135095</v>
      </c>
      <c r="J61" s="0" t="n">
        <v>24677</v>
      </c>
      <c r="K61" s="0" t="n">
        <v>17572</v>
      </c>
      <c r="L61" s="0" t="n">
        <v>863984</v>
      </c>
      <c r="M61" s="0" t="n">
        <v>854140</v>
      </c>
      <c r="N61" s="0" t="n">
        <v>739584</v>
      </c>
      <c r="O61" s="0" t="n">
        <v>1924</v>
      </c>
      <c r="P61" s="0" t="s">
        <v>122</v>
      </c>
      <c r="Q61" s="0" t="n">
        <v>0.222689309061279</v>
      </c>
      <c r="R61" s="0" t="n">
        <v>2.91049898615787</v>
      </c>
      <c r="S61" s="0" t="n">
        <v>-78</v>
      </c>
      <c r="T61" s="0" t="n">
        <v>733</v>
      </c>
      <c r="U61" s="0" t="n">
        <v>0</v>
      </c>
      <c r="V61" s="0" t="n">
        <v>14.5547297139032</v>
      </c>
      <c r="W61" s="0" t="n">
        <v>20220630</v>
      </c>
      <c r="X61" s="0" t="n">
        <v>-0.0461854716711551</v>
      </c>
      <c r="Y61" s="0" t="n">
        <v>-0.55</v>
      </c>
      <c r="Z61" s="0" t="s">
        <v>123</v>
      </c>
      <c r="AA61" s="0" t="n">
        <f aca="false">IF(AND(ISNUMBER(B61),B61&gt;0,ISNUMBER(U61),U61&gt;=0,ISNUMBER(O61),O61&gt;=0),1,0)</f>
        <v>1</v>
      </c>
      <c r="AB61" s="0" t="n">
        <f aca="false">IF(AA61=1,U61+O61,0)</f>
        <v>1924</v>
      </c>
      <c r="AC61" s="0" t="n">
        <f aca="false">IF(AA61=1,100*AB61/B61,"")</f>
        <v>0.15532425552939</v>
      </c>
      <c r="AD61" s="0" t="n">
        <f aca="false">IF(AND(AND(ISNUMBER(B61),B61=OriginalFinancials!B61),AND(ISNUMBER(U61),U61=OriginalFinancials!U61),AND(ISNUMBER(O61),O61=OriginalFinancials!O61)),0,1)</f>
        <v>0</v>
      </c>
      <c r="AE61" s="0" t="str">
        <f aca="false">IF(V61=0,"原始0：需核实适用/报告口径","")</f>
        <v/>
      </c>
    </row>
    <row r="62" customFormat="false" ht="15" hidden="false" customHeight="false" outlineLevel="0" collapsed="false">
      <c r="A62" s="0" t="n">
        <v>62</v>
      </c>
      <c r="B62" s="0" t="n">
        <v>914201</v>
      </c>
      <c r="C62" s="0" t="n">
        <v>17115</v>
      </c>
      <c r="D62" s="0" t="n">
        <v>774623</v>
      </c>
      <c r="E62" s="0" t="n">
        <v>-0.07</v>
      </c>
      <c r="F62" s="0" t="n">
        <v>77851</v>
      </c>
      <c r="G62" s="0" t="n">
        <v>8.51574216173467</v>
      </c>
      <c r="H62" s="0" t="s">
        <v>216</v>
      </c>
      <c r="I62" s="0" t="n">
        <v>1.02881523503668</v>
      </c>
      <c r="J62" s="0" t="n">
        <v>45258</v>
      </c>
      <c r="K62" s="0" t="n">
        <v>3773</v>
      </c>
      <c r="L62" s="0" t="n">
        <v>737353</v>
      </c>
      <c r="M62" s="0" t="n">
        <v>729767</v>
      </c>
      <c r="N62" s="0" t="n">
        <v>687325</v>
      </c>
      <c r="O62" s="0" t="n">
        <v>157</v>
      </c>
      <c r="P62" s="0" t="s">
        <v>125</v>
      </c>
      <c r="Q62" s="0" t="n">
        <v>0.0212923796336354</v>
      </c>
      <c r="R62" s="0" t="n">
        <v>3.53120065215428</v>
      </c>
      <c r="S62" s="0" t="n">
        <v>196</v>
      </c>
      <c r="T62" s="0" t="n">
        <v>394</v>
      </c>
      <c r="U62" s="0" t="n">
        <v>0</v>
      </c>
      <c r="V62" s="0" t="n">
        <v>14.6817189734327</v>
      </c>
      <c r="W62" s="0" t="n">
        <v>20220630</v>
      </c>
      <c r="X62" s="0" t="n">
        <v>0.413239234898123</v>
      </c>
      <c r="Y62" s="0" t="n">
        <v>4.33</v>
      </c>
      <c r="Z62" s="0" t="s">
        <v>105</v>
      </c>
      <c r="AA62" s="0" t="n">
        <f aca="false">IF(AND(ISNUMBER(B62),B62&gt;0,ISNUMBER(U62),U62&gt;=0,ISNUMBER(O62),O62&gt;=0),1,0)</f>
        <v>1</v>
      </c>
      <c r="AB62" s="0" t="n">
        <f aca="false">IF(AA62=1,U62+O62,0)</f>
        <v>157</v>
      </c>
      <c r="AC62" s="0" t="n">
        <f aca="false">IF(AA62=1,100*AB62/B62,"")</f>
        <v>0.0171734662289803</v>
      </c>
      <c r="AD62" s="0" t="n">
        <f aca="false">IF(AND(AND(ISNUMBER(B62),B62=OriginalFinancials!B62),AND(ISNUMBER(U62),U62=OriginalFinancials!U62),AND(ISNUMBER(O62),O62=OriginalFinancials!O62)),0,1)</f>
        <v>0</v>
      </c>
      <c r="AE62" s="0" t="str">
        <f aca="false">IF(V62=0,"原始0：需核实适用/报告口径","")</f>
        <v/>
      </c>
    </row>
    <row r="63" customFormat="false" ht="15" hidden="false" customHeight="false" outlineLevel="0" collapsed="false">
      <c r="A63" s="0" t="n">
        <v>63</v>
      </c>
      <c r="B63" s="0" t="n">
        <v>1369843</v>
      </c>
      <c r="C63" s="0" t="n">
        <v>17180</v>
      </c>
      <c r="D63" s="0" t="n">
        <v>1167333</v>
      </c>
      <c r="E63" s="0" t="n">
        <v>0.03</v>
      </c>
      <c r="F63" s="0" t="n">
        <v>125334</v>
      </c>
      <c r="G63" s="0" t="n">
        <v>9.149515674424</v>
      </c>
      <c r="H63" s="0" t="s">
        <v>217</v>
      </c>
      <c r="I63" s="0" t="n">
        <v>0.920188809657924</v>
      </c>
      <c r="J63" s="0" t="n">
        <v>44037</v>
      </c>
      <c r="K63" s="0" t="n">
        <v>170718</v>
      </c>
      <c r="L63" s="0" t="n">
        <v>1219641</v>
      </c>
      <c r="M63" s="0" t="n">
        <v>1208418</v>
      </c>
      <c r="N63" s="0" t="n">
        <v>984334</v>
      </c>
      <c r="O63" s="0" t="n">
        <v>5496</v>
      </c>
      <c r="P63" s="0" t="s">
        <v>127</v>
      </c>
      <c r="Q63" s="0" t="n">
        <v>0.450624405050339</v>
      </c>
      <c r="R63" s="0" t="n">
        <v>3.58021996580859</v>
      </c>
      <c r="S63" s="0" t="n">
        <v>88</v>
      </c>
      <c r="T63" s="0" t="n">
        <v>692</v>
      </c>
      <c r="U63" s="0" t="n">
        <v>0</v>
      </c>
      <c r="V63" s="0" t="n">
        <v>14.7385258242796</v>
      </c>
      <c r="W63" s="0" t="n">
        <v>20220630</v>
      </c>
      <c r="X63" s="0" t="n">
        <v>0.751509742960674</v>
      </c>
      <c r="Y63" s="0" t="n">
        <v>7.8</v>
      </c>
      <c r="Z63" s="0" t="s">
        <v>123</v>
      </c>
      <c r="AA63" s="0" t="n">
        <f aca="false">IF(AND(ISNUMBER(B63),B63&gt;0,ISNUMBER(U63),U63&gt;=0,ISNUMBER(O63),O63&gt;=0),1,0)</f>
        <v>1</v>
      </c>
      <c r="AB63" s="0" t="n">
        <f aca="false">IF(AA63=1,U63+O63,0)</f>
        <v>5496</v>
      </c>
      <c r="AC63" s="0" t="n">
        <f aca="false">IF(AA63=1,100*AB63/B63,"")</f>
        <v>0.40121386173452</v>
      </c>
      <c r="AD63" s="0" t="n">
        <f aca="false">IF(AND(AND(ISNUMBER(B63),B63=OriginalFinancials!B63),AND(ISNUMBER(U63),U63=OriginalFinancials!U63),AND(ISNUMBER(O63),O63=OriginalFinancials!O63)),0,1)</f>
        <v>0</v>
      </c>
      <c r="AE63" s="0" t="str">
        <f aca="false">IF(V63=0,"原始0：需核实适用/报告口径","")</f>
        <v/>
      </c>
    </row>
    <row r="64" customFormat="false" ht="15" hidden="false" customHeight="false" outlineLevel="0" collapsed="false">
      <c r="A64" s="0" t="n">
        <v>64</v>
      </c>
      <c r="B64" s="0" t="n">
        <v>353376</v>
      </c>
      <c r="C64" s="0" t="n">
        <v>17443</v>
      </c>
      <c r="D64" s="0" t="n">
        <v>298828</v>
      </c>
      <c r="E64" s="0" t="n">
        <v>0.03</v>
      </c>
      <c r="F64" s="0" t="n">
        <v>40397</v>
      </c>
      <c r="G64" s="0" t="n">
        <v>11.4317327718917</v>
      </c>
      <c r="H64" s="0" t="s">
        <v>218</v>
      </c>
      <c r="I64" s="0" t="n">
        <v>0.851501677279814</v>
      </c>
      <c r="J64" s="0" t="n">
        <v>0</v>
      </c>
      <c r="K64" s="0" t="n">
        <v>1410</v>
      </c>
      <c r="L64" s="0" t="n">
        <v>190487</v>
      </c>
      <c r="M64" s="0" t="n">
        <v>188865</v>
      </c>
      <c r="N64" s="0" t="n">
        <v>188077</v>
      </c>
      <c r="O64" s="0" t="n">
        <v>178</v>
      </c>
      <c r="P64" s="0" t="s">
        <v>129</v>
      </c>
      <c r="Q64" s="0" t="n">
        <v>0.0934446970134444</v>
      </c>
      <c r="R64" s="0" t="n">
        <v>2.07853120419656</v>
      </c>
      <c r="S64" s="0" t="n">
        <v>0</v>
      </c>
      <c r="T64" s="0" t="n">
        <v>141</v>
      </c>
      <c r="U64" s="0" t="n">
        <v>0</v>
      </c>
      <c r="V64" s="0" t="n">
        <v>0</v>
      </c>
      <c r="W64" s="0" t="n">
        <v>20220630</v>
      </c>
      <c r="X64" s="0" t="n">
        <v>0.604229033746087</v>
      </c>
      <c r="Y64" s="0" t="n">
        <v>4.86</v>
      </c>
      <c r="Z64" s="0" t="s">
        <v>123</v>
      </c>
      <c r="AA64" s="0" t="n">
        <f aca="false">IF(AND(ISNUMBER(B64),B64&gt;0,ISNUMBER(U64),U64&gt;=0,ISNUMBER(O64),O64&gt;=0),1,0)</f>
        <v>1</v>
      </c>
      <c r="AB64" s="0" t="n">
        <f aca="false">IF(AA64=1,U64+O64,0)</f>
        <v>178</v>
      </c>
      <c r="AC64" s="0" t="n">
        <f aca="false">IF(AA64=1,100*AB64/B64,"")</f>
        <v>0.0503712759213982</v>
      </c>
      <c r="AD64" s="0" t="n">
        <f aca="false">IF(AND(AND(ISNUMBER(B64),B64=OriginalFinancials!B64),AND(ISNUMBER(U64),U64=OriginalFinancials!U64),AND(ISNUMBER(O64),O64=OriginalFinancials!O64)),0,1)</f>
        <v>0</v>
      </c>
      <c r="AE64" s="0" t="str">
        <f aca="false">IF(V64=0,"原始0：需核实适用/报告口径","")</f>
        <v>原始0：需核实适用/报告口径</v>
      </c>
    </row>
    <row r="65" customFormat="false" ht="15" hidden="false" customHeight="false" outlineLevel="0" collapsed="false">
      <c r="A65" s="0" t="n">
        <v>65</v>
      </c>
      <c r="B65" s="0" t="n">
        <v>1739201</v>
      </c>
      <c r="C65" s="0" t="n">
        <v>17658</v>
      </c>
      <c r="D65" s="0" t="n">
        <v>1514378</v>
      </c>
      <c r="E65" s="0" t="n">
        <v>0.02</v>
      </c>
      <c r="F65" s="0" t="n">
        <v>193833</v>
      </c>
      <c r="G65" s="0" t="n">
        <v>11.1449452938447</v>
      </c>
      <c r="H65" s="0" t="s">
        <v>219</v>
      </c>
      <c r="I65" s="0" t="n">
        <v>0.812179359635229</v>
      </c>
      <c r="J65" s="0" t="n">
        <v>78762</v>
      </c>
      <c r="K65" s="0" t="n">
        <v>60843</v>
      </c>
      <c r="L65" s="0" t="n">
        <v>1140881</v>
      </c>
      <c r="M65" s="0" t="n">
        <v>1131615</v>
      </c>
      <c r="N65" s="0" t="n">
        <v>992175</v>
      </c>
      <c r="O65" s="0" t="n">
        <v>519</v>
      </c>
      <c r="P65" s="0" t="s">
        <v>131</v>
      </c>
      <c r="Q65" s="0" t="n">
        <v>0.0454911599018653</v>
      </c>
      <c r="R65" s="0" t="n">
        <v>3.44171180472076</v>
      </c>
      <c r="S65" s="0" t="n">
        <v>24</v>
      </c>
      <c r="T65" s="0" t="n">
        <v>3501</v>
      </c>
      <c r="U65" s="0" t="n">
        <v>0</v>
      </c>
      <c r="V65" s="0" t="n">
        <v>0</v>
      </c>
      <c r="W65" s="0" t="n">
        <v>20220630</v>
      </c>
      <c r="X65" s="0" t="n">
        <v>-0.126062833693635</v>
      </c>
      <c r="Y65" s="0" t="n">
        <v>-1.03</v>
      </c>
      <c r="Z65" s="0" t="s">
        <v>105</v>
      </c>
      <c r="AA65" s="0" t="n">
        <f aca="false">IF(AND(ISNUMBER(B65),B65&gt;0,ISNUMBER(U65),U65&gt;=0,ISNUMBER(O65),O65&gt;=0),1,0)</f>
        <v>1</v>
      </c>
      <c r="AB65" s="0" t="n">
        <f aca="false">IF(AA65=1,U65+O65,0)</f>
        <v>519</v>
      </c>
      <c r="AC65" s="0" t="n">
        <f aca="false">IF(AA65=1,100*AB65/B65,"")</f>
        <v>0.0298412891896911</v>
      </c>
      <c r="AD65" s="0" t="n">
        <f aca="false">IF(AND(AND(ISNUMBER(B65),B65=OriginalFinancials!B65),AND(ISNUMBER(U65),U65=OriginalFinancials!U65),AND(ISNUMBER(O65),O65=OriginalFinancials!O65)),0,1)</f>
        <v>0</v>
      </c>
      <c r="AE65" s="0" t="str">
        <f aca="false">IF(V65=0,"原始0：需核实适用/报告口径","")</f>
        <v>原始0：需核实适用/报告口径</v>
      </c>
    </row>
    <row r="66" customFormat="false" ht="15" hidden="false" customHeight="false" outlineLevel="0" collapsed="false">
      <c r="A66" s="0" t="n">
        <v>66</v>
      </c>
      <c r="B66" s="0" t="n">
        <v>999824</v>
      </c>
      <c r="C66" s="0" t="n">
        <v>17741</v>
      </c>
      <c r="D66" s="0" t="n">
        <v>843050</v>
      </c>
      <c r="E66" s="0" t="n">
        <v>0.02</v>
      </c>
      <c r="F66" s="0" t="n">
        <v>128637</v>
      </c>
      <c r="G66" s="0" t="n">
        <v>12.8659644097361</v>
      </c>
      <c r="H66" s="0" t="s">
        <v>220</v>
      </c>
      <c r="I66" s="0" t="n">
        <v>0.971910632242122</v>
      </c>
      <c r="J66" s="0" t="n">
        <v>42508</v>
      </c>
      <c r="K66" s="0" t="n">
        <v>3332</v>
      </c>
      <c r="L66" s="0" t="n">
        <v>799662</v>
      </c>
      <c r="M66" s="0" t="n">
        <v>791890</v>
      </c>
      <c r="N66" s="0" t="n">
        <v>750035</v>
      </c>
      <c r="O66" s="0" t="n">
        <v>1947</v>
      </c>
      <c r="P66" s="0" t="s">
        <v>133</v>
      </c>
      <c r="Q66" s="0" t="n">
        <v>0.243477869399821</v>
      </c>
      <c r="R66" s="0" t="n">
        <v>3.35845923911318</v>
      </c>
      <c r="S66" s="0" t="n">
        <v>-1</v>
      </c>
      <c r="T66" s="0" t="n">
        <v>1852</v>
      </c>
      <c r="U66" s="0" t="n">
        <v>0</v>
      </c>
      <c r="V66" s="0" t="n">
        <v>0</v>
      </c>
      <c r="W66" s="0" t="n">
        <v>20220630</v>
      </c>
      <c r="X66" s="0" t="n">
        <v>0.558922565605422</v>
      </c>
      <c r="Y66" s="0" t="n">
        <v>4.32</v>
      </c>
      <c r="Z66" s="0" t="s">
        <v>105</v>
      </c>
      <c r="AA66" s="0" t="n">
        <f aca="false">IF(AND(ISNUMBER(B66),B66&gt;0,ISNUMBER(U66),U66&gt;=0,ISNUMBER(O66),O66&gt;=0),1,0)</f>
        <v>1</v>
      </c>
      <c r="AB66" s="0" t="n">
        <f aca="false">IF(AA66=1,U66+O66,0)</f>
        <v>1947</v>
      </c>
      <c r="AC66" s="0" t="n">
        <f aca="false">IF(AA66=1,100*AB66/B66,"")</f>
        <v>0.194734273232089</v>
      </c>
      <c r="AD66" s="0" t="n">
        <f aca="false">IF(AND(AND(ISNUMBER(B66),B66=OriginalFinancials!B66),AND(ISNUMBER(U66),U66=OriginalFinancials!U66),AND(ISNUMBER(O66),O66=OriginalFinancials!O66)),0,1)</f>
        <v>0</v>
      </c>
      <c r="AE66" s="0" t="str">
        <f aca="false">IF(V66=0,"原始0：需核实适用/报告口径","")</f>
        <v>原始0：需核实适用/报告口径</v>
      </c>
    </row>
    <row r="67" customFormat="false" ht="15" hidden="false" customHeight="false" outlineLevel="0" collapsed="false">
      <c r="A67" s="0" t="n">
        <v>67</v>
      </c>
      <c r="B67" s="0" t="n">
        <v>1226782</v>
      </c>
      <c r="C67" s="0" t="n">
        <v>17743</v>
      </c>
      <c r="D67" s="0" t="n">
        <v>933270</v>
      </c>
      <c r="E67" s="0" t="n">
        <v>-0.01</v>
      </c>
      <c r="F67" s="0" t="n">
        <v>121930</v>
      </c>
      <c r="G67" s="0" t="n">
        <v>9.93901116905856</v>
      </c>
      <c r="H67" s="0" t="s">
        <v>221</v>
      </c>
      <c r="I67" s="0" t="n">
        <v>0.520460697415211</v>
      </c>
      <c r="J67" s="0" t="n">
        <v>10654</v>
      </c>
      <c r="K67" s="0" t="n">
        <v>5546</v>
      </c>
      <c r="L67" s="0" t="n">
        <v>942050</v>
      </c>
      <c r="M67" s="0" t="n">
        <v>937147</v>
      </c>
      <c r="N67" s="0" t="n">
        <v>912536</v>
      </c>
      <c r="O67" s="0" t="n">
        <v>2944</v>
      </c>
      <c r="P67" s="0" t="s">
        <v>135</v>
      </c>
      <c r="Q67" s="0" t="n">
        <v>0.316225253436654</v>
      </c>
      <c r="R67" s="0" t="n">
        <v>2.80121730682431</v>
      </c>
      <c r="S67" s="0" t="n">
        <v>13</v>
      </c>
      <c r="T67" s="0" t="n">
        <v>735</v>
      </c>
      <c r="U67" s="0" t="n">
        <v>35</v>
      </c>
      <c r="V67" s="0" t="n">
        <v>0</v>
      </c>
      <c r="W67" s="0" t="n">
        <v>20220630</v>
      </c>
      <c r="X67" s="0" t="n">
        <v>0.302379907744483</v>
      </c>
      <c r="Y67" s="0" t="n">
        <v>2.81</v>
      </c>
      <c r="Z67" s="0" t="s">
        <v>105</v>
      </c>
      <c r="AA67" s="0" t="n">
        <f aca="false">IF(AND(ISNUMBER(B67),B67&gt;0,ISNUMBER(U67),U67&gt;=0,ISNUMBER(O67),O67&gt;=0),1,0)</f>
        <v>1</v>
      </c>
      <c r="AB67" s="0" t="n">
        <f aca="false">IF(AA67=1,U67+O67,0)</f>
        <v>2979</v>
      </c>
      <c r="AC67" s="0" t="n">
        <f aca="false">IF(AA67=1,100*AB67/B67,"")</f>
        <v>0.242830429530267</v>
      </c>
      <c r="AD67" s="0" t="n">
        <f aca="false">IF(AND(AND(ISNUMBER(B67),B67=OriginalFinancials!B67),AND(ISNUMBER(U67),U67=OriginalFinancials!U67),AND(ISNUMBER(O67),O67=OriginalFinancials!O67)),0,1)</f>
        <v>0</v>
      </c>
      <c r="AE67" s="0" t="str">
        <f aca="false">IF(V67=0,"原始0：需核实适用/报告口径","")</f>
        <v>原始0：需核实适用/报告口径</v>
      </c>
    </row>
    <row r="68" customFormat="false" ht="15" hidden="false" customHeight="false" outlineLevel="0" collapsed="false">
      <c r="A68" s="0" t="n">
        <v>68</v>
      </c>
      <c r="B68" s="0" t="n">
        <v>1555791</v>
      </c>
      <c r="C68" s="0" t="n">
        <v>17748</v>
      </c>
      <c r="D68" s="0" t="n">
        <v>1381456</v>
      </c>
      <c r="E68" s="0" t="n">
        <v>0.04</v>
      </c>
      <c r="F68" s="0" t="n">
        <v>113025</v>
      </c>
      <c r="G68" s="0" t="n">
        <v>7.26479327878873</v>
      </c>
      <c r="H68" s="0" t="s">
        <v>222</v>
      </c>
      <c r="I68" s="0" t="n">
        <v>0.831653764100478</v>
      </c>
      <c r="J68" s="0" t="n">
        <v>151034</v>
      </c>
      <c r="K68" s="0" t="n">
        <v>2941</v>
      </c>
      <c r="L68" s="0" t="n">
        <v>1170439</v>
      </c>
      <c r="M68" s="0" t="n">
        <v>1160705</v>
      </c>
      <c r="N68" s="0" t="n">
        <v>984164</v>
      </c>
      <c r="O68" s="0" t="n">
        <v>7622</v>
      </c>
      <c r="P68" s="0" t="s">
        <v>137</v>
      </c>
      <c r="Q68" s="0" t="n">
        <v>0.651208649062446</v>
      </c>
      <c r="R68" s="0" t="n">
        <v>3.13610096670494</v>
      </c>
      <c r="S68" s="0" t="n">
        <v>100</v>
      </c>
      <c r="T68" s="0" t="n">
        <v>1109</v>
      </c>
      <c r="U68" s="0" t="n">
        <v>0</v>
      </c>
      <c r="V68" s="0" t="n">
        <v>0</v>
      </c>
      <c r="W68" s="0" t="n">
        <v>20220630</v>
      </c>
      <c r="X68" s="0" t="n">
        <v>0.205556396548565</v>
      </c>
      <c r="Y68" s="0" t="n">
        <v>2.56</v>
      </c>
      <c r="Z68" s="0" t="s">
        <v>105</v>
      </c>
      <c r="AA68" s="0" t="n">
        <f aca="false">IF(AND(ISNUMBER(B68),B68&gt;0,ISNUMBER(U68),U68&gt;=0,ISNUMBER(O68),O68&gt;=0),1,0)</f>
        <v>1</v>
      </c>
      <c r="AB68" s="0" t="n">
        <f aca="false">IF(AA68=1,U68+O68,0)</f>
        <v>7622</v>
      </c>
      <c r="AC68" s="0" t="n">
        <f aca="false">IF(AA68=1,100*AB68/B68,"")</f>
        <v>0.489911562671336</v>
      </c>
      <c r="AD68" s="0" t="n">
        <f aca="false">IF(AND(AND(ISNUMBER(B68),B68=OriginalFinancials!B68),AND(ISNUMBER(U68),U68=OriginalFinancials!U68),AND(ISNUMBER(O68),O68=OriginalFinancials!O68)),0,1)</f>
        <v>0</v>
      </c>
      <c r="AE68" s="0" t="str">
        <f aca="false">IF(V68=0,"原始0：需核实适用/报告口径","")</f>
        <v>原始0：需核实适用/报告口径</v>
      </c>
    </row>
    <row r="69" customFormat="false" ht="15" hidden="false" customHeight="false" outlineLevel="0" collapsed="false">
      <c r="A69" s="0" t="n">
        <v>69</v>
      </c>
      <c r="B69" s="0" t="n">
        <v>1233246</v>
      </c>
      <c r="C69" s="0" t="n">
        <v>17749</v>
      </c>
      <c r="D69" s="0" t="n">
        <v>1026366</v>
      </c>
      <c r="E69" s="0" t="n">
        <v>0.05</v>
      </c>
      <c r="F69" s="0" t="n">
        <v>152379</v>
      </c>
      <c r="G69" s="0" t="n">
        <v>12.355928987404</v>
      </c>
      <c r="H69" s="0" t="s">
        <v>223</v>
      </c>
      <c r="I69" s="0" t="n">
        <v>1.41113989450366</v>
      </c>
      <c r="J69" s="0" t="n">
        <v>51726</v>
      </c>
      <c r="K69" s="0" t="n">
        <v>10530</v>
      </c>
      <c r="L69" s="0" t="n">
        <v>692915</v>
      </c>
      <c r="M69" s="0" t="n">
        <v>683137</v>
      </c>
      <c r="N69" s="0" t="n">
        <v>619470</v>
      </c>
      <c r="O69" s="0" t="n">
        <v>248</v>
      </c>
      <c r="P69" s="0" t="s">
        <v>139</v>
      </c>
      <c r="Q69" s="0" t="n">
        <v>0.0399760432376265</v>
      </c>
      <c r="R69" s="0" t="n">
        <v>2.83196913733009</v>
      </c>
      <c r="S69" s="0" t="n">
        <v>8</v>
      </c>
      <c r="T69" s="0" t="n">
        <v>253</v>
      </c>
      <c r="U69" s="0" t="n">
        <v>29</v>
      </c>
      <c r="V69" s="0" t="n">
        <v>0</v>
      </c>
      <c r="W69" s="0" t="n">
        <v>20220630</v>
      </c>
      <c r="X69" s="0" t="n">
        <v>-0.156467358353032</v>
      </c>
      <c r="Y69" s="0" t="n">
        <v>-1.15</v>
      </c>
      <c r="Z69" s="0" t="s">
        <v>105</v>
      </c>
      <c r="AA69" s="0" t="n">
        <f aca="false">IF(AND(ISNUMBER(B69),B69&gt;0,ISNUMBER(U69),U69&gt;=0,ISNUMBER(O69),O69&gt;=0),1,0)</f>
        <v>1</v>
      </c>
      <c r="AB69" s="0" t="n">
        <f aca="false">IF(AA69=1,U69+O69,0)</f>
        <v>277</v>
      </c>
      <c r="AC69" s="0" t="n">
        <f aca="false">IF(AA69=1,100*AB69/B69,"")</f>
        <v>0.0224610499446177</v>
      </c>
      <c r="AD69" s="0" t="n">
        <f aca="false">IF(AND(AND(ISNUMBER(B69),B69=OriginalFinancials!B69),AND(ISNUMBER(U69),U69=OriginalFinancials!U69),AND(ISNUMBER(O69),O69=OriginalFinancials!O69)),0,1)</f>
        <v>0</v>
      </c>
      <c r="AE69" s="0" t="str">
        <f aca="false">IF(V69=0,"原始0：需核实适用/报告口径","")</f>
        <v>原始0：需核实适用/报告口径</v>
      </c>
    </row>
    <row r="70" customFormat="false" ht="15" hidden="false" customHeight="false" outlineLevel="0" collapsed="false">
      <c r="A70" s="0" t="n">
        <v>70</v>
      </c>
      <c r="B70" s="0" t="n">
        <v>1424885</v>
      </c>
      <c r="C70" s="0" t="n">
        <v>17751</v>
      </c>
      <c r="D70" s="0" t="n">
        <v>1261975</v>
      </c>
      <c r="E70" s="0" t="n">
        <v>0.04</v>
      </c>
      <c r="F70" s="0" t="n">
        <v>126112</v>
      </c>
      <c r="G70" s="0" t="n">
        <v>8.85067917761784</v>
      </c>
      <c r="H70" s="0" t="s">
        <v>224</v>
      </c>
      <c r="I70" s="0" t="n">
        <v>1.05858830143249</v>
      </c>
      <c r="J70" s="0" t="n">
        <v>116943</v>
      </c>
      <c r="K70" s="0" t="n">
        <v>3247</v>
      </c>
      <c r="L70" s="0" t="n">
        <v>1131318</v>
      </c>
      <c r="M70" s="0" t="n">
        <v>1119342</v>
      </c>
      <c r="N70" s="0" t="n">
        <v>964858</v>
      </c>
      <c r="O70" s="0" t="n">
        <v>1523</v>
      </c>
      <c r="P70" s="0" t="s">
        <v>141</v>
      </c>
      <c r="Q70" s="0" t="n">
        <v>0.134621742074289</v>
      </c>
      <c r="R70" s="0" t="n">
        <v>3.02145916647337</v>
      </c>
      <c r="S70" s="0" t="n">
        <v>-244</v>
      </c>
      <c r="T70" s="0" t="n">
        <v>2004</v>
      </c>
      <c r="U70" s="0" t="n">
        <v>0</v>
      </c>
      <c r="V70" s="0" t="n">
        <v>13.4571511662563</v>
      </c>
      <c r="W70" s="0" t="n">
        <v>20220630</v>
      </c>
      <c r="X70" s="0" t="n">
        <v>0.566526729353532</v>
      </c>
      <c r="Y70" s="0" t="n">
        <v>6.04</v>
      </c>
      <c r="Z70" s="0" t="s">
        <v>105</v>
      </c>
      <c r="AA70" s="0" t="n">
        <f aca="false">IF(AND(ISNUMBER(B70),B70&gt;0,ISNUMBER(U70),U70&gt;=0,ISNUMBER(O70),O70&gt;=0),1,0)</f>
        <v>1</v>
      </c>
      <c r="AB70" s="0" t="n">
        <f aca="false">IF(AA70=1,U70+O70,0)</f>
        <v>1523</v>
      </c>
      <c r="AC70" s="0" t="n">
        <f aca="false">IF(AA70=1,100*AB70/B70,"")</f>
        <v>0.106885818855557</v>
      </c>
      <c r="AD70" s="0" t="n">
        <f aca="false">IF(AND(AND(ISNUMBER(B70),B70=OriginalFinancials!B70),AND(ISNUMBER(U70),U70=OriginalFinancials!U70),AND(ISNUMBER(O70),O70=OriginalFinancials!O70)),0,1)</f>
        <v>0</v>
      </c>
      <c r="AE70" s="0" t="str">
        <f aca="false">IF(V70=0,"原始0：需核实适用/报告口径","")</f>
        <v/>
      </c>
    </row>
    <row r="71" customFormat="false" ht="15" hidden="false" customHeight="false" outlineLevel="0" collapsed="false">
      <c r="A71" s="0" t="n">
        <v>71</v>
      </c>
      <c r="B71" s="0" t="n">
        <v>1531749</v>
      </c>
      <c r="C71" s="0" t="n">
        <v>17897</v>
      </c>
      <c r="D71" s="0" t="n">
        <v>1250686</v>
      </c>
      <c r="E71" s="0" t="n">
        <v>0.06</v>
      </c>
      <c r="F71" s="0" t="n">
        <v>191374</v>
      </c>
      <c r="G71" s="0" t="n">
        <v>12.4938224212975</v>
      </c>
      <c r="H71" s="0" t="s">
        <v>225</v>
      </c>
      <c r="I71" s="0" t="n">
        <v>0.621134006540635</v>
      </c>
      <c r="J71" s="0" t="n">
        <v>59285</v>
      </c>
      <c r="K71" s="0" t="n">
        <v>2829</v>
      </c>
      <c r="L71" s="0" t="n">
        <v>1281527</v>
      </c>
      <c r="M71" s="0" t="n">
        <v>1273567</v>
      </c>
      <c r="N71" s="0" t="n">
        <v>1214666</v>
      </c>
      <c r="O71" s="0" t="n">
        <v>3935</v>
      </c>
      <c r="P71" s="0" t="s">
        <v>143</v>
      </c>
      <c r="Q71" s="0" t="n">
        <v>0.307055567303693</v>
      </c>
      <c r="R71" s="0" t="n">
        <v>3.21931626860747</v>
      </c>
      <c r="S71" s="0" t="n">
        <v>11</v>
      </c>
      <c r="T71" s="0" t="n">
        <v>1718</v>
      </c>
      <c r="U71" s="0" t="n">
        <v>0</v>
      </c>
      <c r="V71" s="0" t="n">
        <v>0</v>
      </c>
      <c r="W71" s="0" t="n">
        <v>20220630</v>
      </c>
      <c r="X71" s="0" t="n">
        <v>-0.605378566093227</v>
      </c>
      <c r="Y71" s="0" t="n">
        <v>-4.54</v>
      </c>
      <c r="Z71" s="0" t="s">
        <v>105</v>
      </c>
      <c r="AA71" s="0" t="n">
        <f aca="false">IF(AND(ISNUMBER(B71),B71&gt;0,ISNUMBER(U71),U71&gt;=0,ISNUMBER(O71),O71&gt;=0),1,0)</f>
        <v>1</v>
      </c>
      <c r="AB71" s="0" t="n">
        <f aca="false">IF(AA71=1,U71+O71,0)</f>
        <v>3935</v>
      </c>
      <c r="AC71" s="0" t="n">
        <f aca="false">IF(AA71=1,100*AB71/B71,"")</f>
        <v>0.256895875238045</v>
      </c>
      <c r="AD71" s="0" t="n">
        <f aca="false">IF(AND(AND(ISNUMBER(B71),B71=OriginalFinancials!B71),AND(ISNUMBER(U71),U71=OriginalFinancials!U71),AND(ISNUMBER(O71),O71=OriginalFinancials!O71)),0,1)</f>
        <v>0</v>
      </c>
      <c r="AE71" s="0" t="str">
        <f aca="false">IF(V71=0,"原始0：需核实适用/报告口径","")</f>
        <v>原始0：需核实适用/报告口径</v>
      </c>
    </row>
    <row r="72" customFormat="false" ht="15" hidden="false" customHeight="false" outlineLevel="0" collapsed="false">
      <c r="A72" s="0" t="n">
        <v>72</v>
      </c>
      <c r="B72" s="0" t="n">
        <v>724308</v>
      </c>
      <c r="C72" s="0" t="n">
        <v>17951</v>
      </c>
      <c r="D72" s="0" t="n">
        <v>640946</v>
      </c>
      <c r="E72" s="0" t="n">
        <v>0.05</v>
      </c>
      <c r="F72" s="0" t="n">
        <v>53765</v>
      </c>
      <c r="G72" s="0" t="n">
        <v>7.42294714403265</v>
      </c>
      <c r="H72" s="0" t="s">
        <v>226</v>
      </c>
      <c r="I72" s="0" t="n">
        <v>0.814495190979788</v>
      </c>
      <c r="J72" s="0" t="n">
        <v>24396</v>
      </c>
      <c r="K72" s="0" t="n">
        <v>1572</v>
      </c>
      <c r="L72" s="0" t="n">
        <v>488769</v>
      </c>
      <c r="M72" s="0" t="n">
        <v>484788</v>
      </c>
      <c r="N72" s="0" t="n">
        <v>448742</v>
      </c>
      <c r="O72" s="0" t="n">
        <v>782</v>
      </c>
      <c r="P72" s="0" t="s">
        <v>145</v>
      </c>
      <c r="Q72" s="0" t="n">
        <v>0.15999378029294</v>
      </c>
      <c r="R72" s="0" t="n">
        <v>3.18151383220779</v>
      </c>
      <c r="S72" s="0" t="n">
        <v>-2</v>
      </c>
      <c r="T72" s="0" t="n">
        <v>31</v>
      </c>
      <c r="U72" s="0" t="n">
        <v>0</v>
      </c>
      <c r="V72" s="0" t="n">
        <v>15.0065477421255</v>
      </c>
      <c r="W72" s="0" t="n">
        <v>20220630</v>
      </c>
      <c r="X72" s="0" t="n">
        <v>0.944250983121892</v>
      </c>
      <c r="Y72" s="0" t="n">
        <v>11.53</v>
      </c>
      <c r="Z72" s="0" t="s">
        <v>123</v>
      </c>
      <c r="AA72" s="0" t="n">
        <f aca="false">IF(AND(ISNUMBER(B72),B72&gt;0,ISNUMBER(U72),U72&gt;=0,ISNUMBER(O72),O72&gt;=0),1,0)</f>
        <v>1</v>
      </c>
      <c r="AB72" s="0" t="n">
        <f aca="false">IF(AA72=1,U72+O72,0)</f>
        <v>782</v>
      </c>
      <c r="AC72" s="0" t="n">
        <f aca="false">IF(AA72=1,100*AB72/B72,"")</f>
        <v>0.107965119810909</v>
      </c>
      <c r="AD72" s="0" t="n">
        <f aca="false">IF(AND(AND(ISNUMBER(B72),B72=OriginalFinancials!B72),AND(ISNUMBER(U72),U72=OriginalFinancials!U72),AND(ISNUMBER(O72),O72=OriginalFinancials!O72)),0,1)</f>
        <v>0</v>
      </c>
      <c r="AE72" s="0" t="str">
        <f aca="false">IF(V72=0,"原始0：需核实适用/报告口径","")</f>
        <v/>
      </c>
    </row>
    <row r="73" customFormat="false" ht="15" hidden="false" customHeight="false" outlineLevel="0" collapsed="false">
      <c r="A73" s="0" t="n">
        <v>73</v>
      </c>
      <c r="B73" s="0" t="n">
        <v>1230052</v>
      </c>
      <c r="C73" s="0" t="n">
        <v>17960</v>
      </c>
      <c r="D73" s="0" t="n">
        <v>1013410</v>
      </c>
      <c r="E73" s="0" t="n">
        <v>0.11</v>
      </c>
      <c r="F73" s="0" t="n">
        <v>104397</v>
      </c>
      <c r="G73" s="0" t="n">
        <v>8.48720216706286</v>
      </c>
      <c r="H73" s="0" t="s">
        <v>227</v>
      </c>
      <c r="I73" s="0" t="n">
        <v>0.987079029641062</v>
      </c>
      <c r="J73" s="0" t="n">
        <v>101427</v>
      </c>
      <c r="K73" s="0" t="n">
        <v>165699</v>
      </c>
      <c r="L73" s="0" t="n">
        <v>1010760</v>
      </c>
      <c r="M73" s="0" t="n">
        <v>1000783</v>
      </c>
      <c r="N73" s="0" t="n">
        <v>739326</v>
      </c>
      <c r="O73" s="0" t="n">
        <v>789</v>
      </c>
      <c r="P73" s="0" t="s">
        <v>147</v>
      </c>
      <c r="Q73" s="0" t="n">
        <v>0.0811270726977719</v>
      </c>
      <c r="R73" s="0" t="n">
        <v>3.61237032710627</v>
      </c>
      <c r="S73" s="0" t="n">
        <v>8</v>
      </c>
      <c r="T73" s="0" t="n">
        <v>818</v>
      </c>
      <c r="U73" s="0" t="n">
        <v>31</v>
      </c>
      <c r="V73" s="0" t="n">
        <v>13.5305719072218</v>
      </c>
      <c r="W73" s="0" t="n">
        <v>20220630</v>
      </c>
      <c r="X73" s="0" t="n">
        <v>0.790703185834716</v>
      </c>
      <c r="Y73" s="0" t="n">
        <v>8.65</v>
      </c>
      <c r="Z73" s="0" t="s">
        <v>123</v>
      </c>
      <c r="AA73" s="0" t="n">
        <f aca="false">IF(AND(ISNUMBER(B73),B73&gt;0,ISNUMBER(U73),U73&gt;=0,ISNUMBER(O73),O73&gt;=0),1,0)</f>
        <v>1</v>
      </c>
      <c r="AB73" s="0" t="n">
        <f aca="false">IF(AA73=1,U73+O73,0)</f>
        <v>820</v>
      </c>
      <c r="AC73" s="0" t="n">
        <f aca="false">IF(AA73=1,100*AB73/B73,"")</f>
        <v>0.0666638483576304</v>
      </c>
      <c r="AD73" s="0" t="n">
        <f aca="false">IF(AND(AND(ISNUMBER(B73),B73=OriginalFinancials!B73),AND(ISNUMBER(U73),U73=OriginalFinancials!U73),AND(ISNUMBER(O73),O73=OriginalFinancials!O73)),0,1)</f>
        <v>0</v>
      </c>
      <c r="AE73" s="0" t="str">
        <f aca="false">IF(V73=0,"原始0：需核实适用/报告口径","")</f>
        <v/>
      </c>
    </row>
    <row r="74" customFormat="false" ht="15" hidden="false" customHeight="false" outlineLevel="0" collapsed="false">
      <c r="A74" s="0" t="n">
        <v>74</v>
      </c>
      <c r="B74" s="0" t="n">
        <v>2374786</v>
      </c>
      <c r="C74" s="0" t="n">
        <v>18012</v>
      </c>
      <c r="D74" s="0" t="n">
        <v>2014310</v>
      </c>
      <c r="E74" s="0" t="n">
        <v>0.02</v>
      </c>
      <c r="F74" s="0" t="n">
        <v>231360</v>
      </c>
      <c r="G74" s="0" t="n">
        <v>9.74235152135814</v>
      </c>
      <c r="H74" s="0" t="s">
        <v>228</v>
      </c>
      <c r="I74" s="0" t="n">
        <v>1.20610773336602</v>
      </c>
      <c r="J74" s="0" t="n">
        <v>53604</v>
      </c>
      <c r="K74" s="0" t="n">
        <v>35736</v>
      </c>
      <c r="L74" s="0" t="n">
        <v>1892617</v>
      </c>
      <c r="M74" s="0" t="n">
        <v>1869790</v>
      </c>
      <c r="N74" s="0" t="n">
        <v>1772602</v>
      </c>
      <c r="O74" s="0" t="n">
        <v>1132</v>
      </c>
      <c r="P74" s="0" t="s">
        <v>149</v>
      </c>
      <c r="Q74" s="0" t="n">
        <v>0.0598113617282313</v>
      </c>
      <c r="R74" s="0" t="n">
        <v>3.55342846169754</v>
      </c>
      <c r="S74" s="0" t="n">
        <v>22</v>
      </c>
      <c r="T74" s="0" t="n">
        <v>2539</v>
      </c>
      <c r="U74" s="0" t="n">
        <v>0</v>
      </c>
      <c r="V74" s="0" t="n">
        <v>12.6942760049431</v>
      </c>
      <c r="W74" s="0" t="n">
        <v>20220630</v>
      </c>
      <c r="X74" s="0" t="n">
        <v>1.27634753581963</v>
      </c>
      <c r="Y74" s="0" t="n">
        <v>12.6</v>
      </c>
      <c r="Z74" s="0" t="s">
        <v>123</v>
      </c>
      <c r="AA74" s="0" t="n">
        <f aca="false">IF(AND(ISNUMBER(B74),B74&gt;0,ISNUMBER(U74),U74&gt;=0,ISNUMBER(O74),O74&gt;=0),1,0)</f>
        <v>1</v>
      </c>
      <c r="AB74" s="0" t="n">
        <f aca="false">IF(AA74=1,U74+O74,0)</f>
        <v>1132</v>
      </c>
      <c r="AC74" s="0" t="n">
        <f aca="false">IF(AA74=1,100*AB74/B74,"")</f>
        <v>0.047667452983132</v>
      </c>
      <c r="AD74" s="0" t="n">
        <f aca="false">IF(AND(AND(ISNUMBER(B74),B74=OriginalFinancials!B74),AND(ISNUMBER(U74),U74=OriginalFinancials!U74),AND(ISNUMBER(O74),O74=OriginalFinancials!O74)),0,1)</f>
        <v>0</v>
      </c>
      <c r="AE74" s="0" t="str">
        <f aca="false">IF(V74=0,"原始0：需核实适用/报告口径","")</f>
        <v/>
      </c>
    </row>
    <row r="75" customFormat="false" ht="15" hidden="false" customHeight="false" outlineLevel="0" collapsed="false">
      <c r="A75" s="0" t="n">
        <v>75</v>
      </c>
      <c r="B75" s="0" t="n">
        <v>2601325</v>
      </c>
      <c r="C75" s="0" t="n">
        <v>18013</v>
      </c>
      <c r="D75" s="0" t="n">
        <v>2273331</v>
      </c>
      <c r="E75" s="0" t="n">
        <v>0.01</v>
      </c>
      <c r="F75" s="0" t="n">
        <v>196477</v>
      </c>
      <c r="G75" s="0" t="n">
        <v>7.55295858841168</v>
      </c>
      <c r="H75" s="0" t="s">
        <v>229</v>
      </c>
      <c r="I75" s="0" t="n">
        <v>0.922548522337314</v>
      </c>
      <c r="J75" s="0" t="n">
        <v>113370</v>
      </c>
      <c r="K75" s="0" t="n">
        <v>12266</v>
      </c>
      <c r="L75" s="0" t="n">
        <v>2018864</v>
      </c>
      <c r="M75" s="0" t="n">
        <v>2000239</v>
      </c>
      <c r="N75" s="0" t="n">
        <v>1844412</v>
      </c>
      <c r="O75" s="0" t="n">
        <v>1506</v>
      </c>
      <c r="P75" s="0" t="s">
        <v>151</v>
      </c>
      <c r="Q75" s="0" t="n">
        <v>0.113281528622037</v>
      </c>
      <c r="R75" s="0" t="n">
        <v>3.10393830317986</v>
      </c>
      <c r="S75" s="0" t="n">
        <v>-43</v>
      </c>
      <c r="T75" s="0" t="n">
        <v>3104</v>
      </c>
      <c r="U75" s="0" t="n">
        <v>781</v>
      </c>
      <c r="V75" s="0" t="n">
        <v>13.7038054450497</v>
      </c>
      <c r="W75" s="0" t="n">
        <v>20220630</v>
      </c>
      <c r="X75" s="0" t="n">
        <v>0.734825584062721</v>
      </c>
      <c r="Y75" s="0" t="n">
        <v>9.07</v>
      </c>
      <c r="Z75" s="0" t="s">
        <v>123</v>
      </c>
      <c r="AA75" s="0" t="n">
        <f aca="false">IF(AND(ISNUMBER(B75),B75&gt;0,ISNUMBER(U75),U75&gt;=0,ISNUMBER(O75),O75&gt;=0),1,0)</f>
        <v>1</v>
      </c>
      <c r="AB75" s="0" t="n">
        <f aca="false">IF(AA75=1,U75+O75,0)</f>
        <v>2287</v>
      </c>
      <c r="AC75" s="0" t="n">
        <f aca="false">IF(AA75=1,100*AB75/B75,"")</f>
        <v>0.0879167347409493</v>
      </c>
      <c r="AD75" s="0" t="n">
        <f aca="false">IF(AND(AND(ISNUMBER(B75),B75=OriginalFinancials!B75),AND(ISNUMBER(U75),U75=OriginalFinancials!U75),AND(ISNUMBER(O75),O75=OriginalFinancials!O75)),0,1)</f>
        <v>0</v>
      </c>
      <c r="AE75" s="0" t="str">
        <f aca="false">IF(V75=0,"原始0：需核实适用/报告口径","")</f>
        <v/>
      </c>
    </row>
    <row r="76" customFormat="false" ht="15" hidden="false" customHeight="false" outlineLevel="0" collapsed="false">
      <c r="A76" s="0" t="n">
        <v>76</v>
      </c>
      <c r="B76" s="0" t="n">
        <v>377551</v>
      </c>
      <c r="C76" s="0" t="n">
        <v>18028</v>
      </c>
      <c r="D76" s="0" t="n">
        <v>335244</v>
      </c>
      <c r="E76" s="0" t="n">
        <v>-0.02</v>
      </c>
      <c r="F76" s="0" t="n">
        <v>38122</v>
      </c>
      <c r="G76" s="0" t="n">
        <v>10.0971789241718</v>
      </c>
      <c r="H76" s="0" t="s">
        <v>230</v>
      </c>
      <c r="I76" s="0" t="n">
        <v>0.901574950432083</v>
      </c>
      <c r="J76" s="0" t="n">
        <v>16916</v>
      </c>
      <c r="K76" s="0" t="n">
        <v>6431</v>
      </c>
      <c r="L76" s="0" t="n">
        <v>240579</v>
      </c>
      <c r="M76" s="0" t="n">
        <v>238410</v>
      </c>
      <c r="N76" s="0" t="n">
        <v>210223</v>
      </c>
      <c r="O76" s="0" t="n">
        <v>1077</v>
      </c>
      <c r="P76" s="0" t="s">
        <v>153</v>
      </c>
      <c r="Q76" s="0" t="n">
        <v>0.458061593073377</v>
      </c>
      <c r="R76" s="0" t="n">
        <v>3.21951052319902</v>
      </c>
      <c r="S76" s="0" t="n">
        <v>61</v>
      </c>
      <c r="T76" s="0" t="n">
        <v>879</v>
      </c>
      <c r="U76" s="0" t="n">
        <v>25</v>
      </c>
      <c r="V76" s="0" t="n">
        <v>0</v>
      </c>
      <c r="W76" s="0" t="n">
        <v>20220630</v>
      </c>
      <c r="X76" s="0" t="n">
        <v>0.703599748815598</v>
      </c>
      <c r="Y76" s="0" t="n">
        <v>6.26</v>
      </c>
      <c r="Z76" s="0" t="s">
        <v>123</v>
      </c>
      <c r="AA76" s="0" t="n">
        <f aca="false">IF(AND(ISNUMBER(B76),B76&gt;0,ISNUMBER(U76),U76&gt;=0,ISNUMBER(O76),O76&gt;=0),1,0)</f>
        <v>1</v>
      </c>
      <c r="AB76" s="0" t="n">
        <f aca="false">IF(AA76=1,U76+O76,0)</f>
        <v>1102</v>
      </c>
      <c r="AC76" s="0" t="n">
        <f aca="false">IF(AA76=1,100*AB76/B76,"")</f>
        <v>0.291881096858438</v>
      </c>
      <c r="AD76" s="0" t="n">
        <f aca="false">IF(AND(AND(ISNUMBER(B76),B76=OriginalFinancials!B76),AND(ISNUMBER(U76),U76=OriginalFinancials!U76),AND(ISNUMBER(O76),O76=OriginalFinancials!O76)),0,1)</f>
        <v>0</v>
      </c>
      <c r="AE76" s="0" t="str">
        <f aca="false">IF(V76=0,"原始0：需核实适用/报告口径","")</f>
        <v>原始0：需核实适用/报告口径</v>
      </c>
    </row>
    <row r="77" customFormat="false" ht="15" hidden="false" customHeight="false" outlineLevel="0" collapsed="false">
      <c r="A77" s="0" t="n">
        <v>77</v>
      </c>
      <c r="B77" s="0" t="n">
        <v>687772</v>
      </c>
      <c r="C77" s="0" t="n">
        <v>18030</v>
      </c>
      <c r="D77" s="0" t="n">
        <v>640669</v>
      </c>
      <c r="E77" s="0" t="n">
        <v>0.1</v>
      </c>
      <c r="F77" s="0" t="n">
        <v>44729</v>
      </c>
      <c r="G77" s="0" t="n">
        <v>6.50346335704274</v>
      </c>
      <c r="H77" s="0" t="s">
        <v>231</v>
      </c>
      <c r="I77" s="0" t="n">
        <v>0.927777864587402</v>
      </c>
      <c r="J77" s="0" t="n">
        <v>28037</v>
      </c>
      <c r="K77" s="0" t="n">
        <v>84156</v>
      </c>
      <c r="L77" s="0" t="n">
        <v>511976</v>
      </c>
      <c r="M77" s="0" t="n">
        <v>507226</v>
      </c>
      <c r="N77" s="0" t="n">
        <v>399387</v>
      </c>
      <c r="O77" s="0" t="n">
        <v>564</v>
      </c>
      <c r="P77" s="0" t="s">
        <v>155</v>
      </c>
      <c r="Q77" s="0" t="n">
        <v>0.110161413816273</v>
      </c>
      <c r="R77" s="0" t="n">
        <v>3.01893171061528</v>
      </c>
      <c r="S77" s="0" t="n">
        <v>-30</v>
      </c>
      <c r="T77" s="0" t="n">
        <v>123</v>
      </c>
      <c r="U77" s="0" t="n">
        <v>0</v>
      </c>
      <c r="V77" s="0" t="n">
        <v>13.6627788194807</v>
      </c>
      <c r="W77" s="0" t="n">
        <v>20220630</v>
      </c>
      <c r="X77" s="0" t="n">
        <v>0.378784896628824</v>
      </c>
      <c r="Y77" s="0" t="n">
        <v>5.29</v>
      </c>
      <c r="Z77" s="0" t="s">
        <v>123</v>
      </c>
      <c r="AA77" s="0" t="n">
        <f aca="false">IF(AND(ISNUMBER(B77),B77&gt;0,ISNUMBER(U77),U77&gt;=0,ISNUMBER(O77),O77&gt;=0),1,0)</f>
        <v>1</v>
      </c>
      <c r="AB77" s="0" t="n">
        <f aca="false">IF(AA77=1,U77+O77,0)</f>
        <v>564</v>
      </c>
      <c r="AC77" s="0" t="n">
        <f aca="false">IF(AA77=1,100*AB77/B77,"")</f>
        <v>0.082003919903689</v>
      </c>
      <c r="AD77" s="0" t="n">
        <f aca="false">IF(AND(AND(ISNUMBER(B77),B77=OriginalFinancials!B77),AND(ISNUMBER(U77),U77=OriginalFinancials!U77),AND(ISNUMBER(O77),O77=OriginalFinancials!O77)),0,1)</f>
        <v>0</v>
      </c>
      <c r="AE77" s="0" t="str">
        <f aca="false">IF(V77=0,"原始0：需核实适用/报告口径","")</f>
        <v/>
      </c>
    </row>
    <row r="78" customFormat="false" ht="15" hidden="false" customHeight="false" outlineLevel="0" collapsed="false">
      <c r="A78" s="0" t="n">
        <v>78</v>
      </c>
      <c r="B78" s="0" t="n">
        <v>627001</v>
      </c>
      <c r="C78" s="0" t="n">
        <v>18031</v>
      </c>
      <c r="D78" s="0" t="n">
        <v>558118</v>
      </c>
      <c r="E78" s="0" t="n">
        <v>0</v>
      </c>
      <c r="F78" s="0" t="n">
        <v>39966</v>
      </c>
      <c r="G78" s="0" t="n">
        <v>6.37415251331338</v>
      </c>
      <c r="H78" s="0" t="s">
        <v>232</v>
      </c>
      <c r="I78" s="0" t="n">
        <v>1.1769329562282</v>
      </c>
      <c r="J78" s="0" t="n">
        <v>30545</v>
      </c>
      <c r="K78" s="0" t="n">
        <v>8127</v>
      </c>
      <c r="L78" s="0" t="n">
        <v>427467</v>
      </c>
      <c r="M78" s="0" t="n">
        <v>422436</v>
      </c>
      <c r="N78" s="0" t="n">
        <v>382501</v>
      </c>
      <c r="O78" s="0" t="n">
        <v>527</v>
      </c>
      <c r="P78" s="0" t="s">
        <v>157</v>
      </c>
      <c r="Q78" s="0" t="n">
        <v>0.123284370489418</v>
      </c>
      <c r="R78" s="0" t="n">
        <v>2.91034514485245</v>
      </c>
      <c r="S78" s="0" t="n">
        <v>3</v>
      </c>
      <c r="T78" s="0" t="n">
        <v>1081</v>
      </c>
      <c r="U78" s="0" t="n">
        <v>0</v>
      </c>
      <c r="V78" s="0" t="n">
        <v>0</v>
      </c>
      <c r="W78" s="0" t="n">
        <v>20220630</v>
      </c>
      <c r="X78" s="0" t="n">
        <v>0.460576991796965</v>
      </c>
      <c r="Y78" s="0" t="n">
        <v>6.21</v>
      </c>
      <c r="Z78" s="0" t="s">
        <v>123</v>
      </c>
      <c r="AA78" s="0" t="n">
        <f aca="false">IF(AND(ISNUMBER(B78),B78&gt;0,ISNUMBER(U78),U78&gt;=0,ISNUMBER(O78),O78&gt;=0),1,0)</f>
        <v>1</v>
      </c>
      <c r="AB78" s="0" t="n">
        <f aca="false">IF(AA78=1,U78+O78,0)</f>
        <v>527</v>
      </c>
      <c r="AC78" s="0" t="n">
        <f aca="false">IF(AA78=1,100*AB78/B78,"")</f>
        <v>0.0840509026301393</v>
      </c>
      <c r="AD78" s="0" t="n">
        <f aca="false">IF(AND(AND(ISNUMBER(B78),B78=OriginalFinancials!B78),AND(ISNUMBER(U78),U78=OriginalFinancials!U78),AND(ISNUMBER(O78),O78=OriginalFinancials!O78)),0,1)</f>
        <v>0</v>
      </c>
      <c r="AE78" s="0" t="str">
        <f aca="false">IF(V78=0,"原始0：需核实适用/报告口径","")</f>
        <v>原始0：需核实适用/报告口径</v>
      </c>
    </row>
    <row r="79" customFormat="false" ht="15" hidden="false" customHeight="false" outlineLevel="0" collapsed="false">
      <c r="A79" s="0" t="n">
        <v>79</v>
      </c>
      <c r="B79" s="0" t="n">
        <v>488764</v>
      </c>
      <c r="C79" s="0" t="n">
        <v>18038</v>
      </c>
      <c r="D79" s="0" t="n">
        <v>401670</v>
      </c>
      <c r="E79" s="0" t="n">
        <v>-0.13</v>
      </c>
      <c r="F79" s="0" t="n">
        <v>64314</v>
      </c>
      <c r="G79" s="0" t="n">
        <v>13.1584977617009</v>
      </c>
      <c r="H79" s="0" t="s">
        <v>233</v>
      </c>
      <c r="I79" s="0" t="n">
        <v>1.10668473722398</v>
      </c>
      <c r="J79" s="0" t="n">
        <v>17550</v>
      </c>
      <c r="K79" s="0" t="n">
        <v>3145</v>
      </c>
      <c r="L79" s="0" t="n">
        <v>365235</v>
      </c>
      <c r="M79" s="0" t="n">
        <v>361193</v>
      </c>
      <c r="N79" s="0" t="n">
        <v>344078</v>
      </c>
      <c r="O79" s="0" t="n">
        <v>2488</v>
      </c>
      <c r="P79" s="0" t="s">
        <v>159</v>
      </c>
      <c r="Q79" s="0" t="n">
        <v>0.681205251413474</v>
      </c>
      <c r="R79" s="0" t="n">
        <v>3.160436023118</v>
      </c>
      <c r="S79" s="0" t="n">
        <v>-72</v>
      </c>
      <c r="T79" s="0" t="n">
        <v>680</v>
      </c>
      <c r="U79" s="0" t="n">
        <v>0</v>
      </c>
      <c r="V79" s="0" t="n">
        <v>0</v>
      </c>
      <c r="W79" s="0" t="n">
        <v>20220630</v>
      </c>
      <c r="X79" s="0" t="n">
        <v>-1.25076524476901</v>
      </c>
      <c r="Y79" s="0" t="n">
        <v>-8.88</v>
      </c>
      <c r="Z79" s="0" t="s">
        <v>123</v>
      </c>
      <c r="AA79" s="0" t="n">
        <f aca="false">IF(AND(ISNUMBER(B79),B79&gt;0,ISNUMBER(U79),U79&gt;=0,ISNUMBER(O79),O79&gt;=0),1,0)</f>
        <v>1</v>
      </c>
      <c r="AB79" s="0" t="n">
        <f aca="false">IF(AA79=1,U79+O79,0)</f>
        <v>2488</v>
      </c>
      <c r="AC79" s="0" t="n">
        <f aca="false">IF(AA79=1,100*AB79/B79,"")</f>
        <v>0.509039127267966</v>
      </c>
      <c r="AD79" s="0" t="n">
        <f aca="false">IF(AND(AND(ISNUMBER(B79),B79=OriginalFinancials!B79),AND(ISNUMBER(U79),U79=OriginalFinancials!U79),AND(ISNUMBER(O79),O79=OriginalFinancials!O79)),0,1)</f>
        <v>0</v>
      </c>
      <c r="AE79" s="0" t="str">
        <f aca="false">IF(V79=0,"原始0：需核实适用/报告口径","")</f>
        <v>原始0：需核实适用/报告口径</v>
      </c>
    </row>
    <row r="80" customFormat="false" ht="15" hidden="false" customHeight="false" outlineLevel="0" collapsed="false">
      <c r="A80" s="0" t="n">
        <v>80</v>
      </c>
      <c r="B80" s="0" t="n">
        <v>7044628</v>
      </c>
      <c r="C80" s="0" t="n">
        <v>18408</v>
      </c>
      <c r="D80" s="0" t="n">
        <v>5698679</v>
      </c>
      <c r="E80" s="0" t="n">
        <v>-0.14</v>
      </c>
      <c r="F80" s="0" t="n">
        <v>400181</v>
      </c>
      <c r="G80" s="0" t="n">
        <v>5.68065481953057</v>
      </c>
      <c r="H80" s="0" t="s">
        <v>234</v>
      </c>
      <c r="I80" s="0" t="n">
        <v>1.05044143336233</v>
      </c>
      <c r="J80" s="0" t="n">
        <v>300704</v>
      </c>
      <c r="K80" s="0" t="n">
        <v>28143</v>
      </c>
      <c r="L80" s="0" t="n">
        <v>4218417</v>
      </c>
      <c r="M80" s="0" t="n">
        <v>4174105</v>
      </c>
      <c r="N80" s="0" t="n">
        <v>3811693</v>
      </c>
      <c r="O80" s="0" t="n">
        <v>3286</v>
      </c>
      <c r="P80" s="0" t="s">
        <v>161</v>
      </c>
      <c r="Q80" s="0" t="n">
        <v>0.0778965190022702</v>
      </c>
      <c r="R80" s="0" t="n">
        <v>2.71187008580479</v>
      </c>
      <c r="S80" s="0" t="n">
        <v>330</v>
      </c>
      <c r="T80" s="0" t="n">
        <v>2128</v>
      </c>
      <c r="U80" s="0" t="n">
        <v>0</v>
      </c>
      <c r="V80" s="0" t="n">
        <v>12.6356673275024</v>
      </c>
      <c r="W80" s="0" t="n">
        <v>20220630</v>
      </c>
      <c r="X80" s="0" t="n">
        <v>0.683736868525769</v>
      </c>
      <c r="Y80" s="0" t="n">
        <v>10.28</v>
      </c>
      <c r="Z80" s="0" t="s">
        <v>105</v>
      </c>
      <c r="AA80" s="0" t="n">
        <f aca="false">IF(AND(ISNUMBER(B80),B80&gt;0,ISNUMBER(U80),U80&gt;=0,ISNUMBER(O80),O80&gt;=0),1,0)</f>
        <v>1</v>
      </c>
      <c r="AB80" s="0" t="n">
        <f aca="false">IF(AA80=1,U80+O80,0)</f>
        <v>3286</v>
      </c>
      <c r="AC80" s="0" t="n">
        <f aca="false">IF(AA80=1,100*AB80/B80,"")</f>
        <v>0.0466454722662432</v>
      </c>
      <c r="AD80" s="0" t="n">
        <f aca="false">IF(AND(AND(ISNUMBER(B80),B80=OriginalFinancials!B80),AND(ISNUMBER(U80),U80=OriginalFinancials!U80),AND(ISNUMBER(O80),O80=OriginalFinancials!O80)),0,1)</f>
        <v>0</v>
      </c>
      <c r="AE80" s="0" t="str">
        <f aca="false">IF(V80=0,"原始0：需核实适用/报告口径","")</f>
        <v/>
      </c>
    </row>
    <row r="81" customFormat="false" ht="15" hidden="false" customHeight="false" outlineLevel="0" collapsed="false">
      <c r="A81" s="0" t="n">
        <v>81</v>
      </c>
      <c r="B81" s="0" t="n">
        <v>2272024</v>
      </c>
      <c r="C81" s="0" t="n">
        <v>19531</v>
      </c>
      <c r="D81" s="0" t="n">
        <v>1925714</v>
      </c>
      <c r="E81" s="0" t="n">
        <v>0</v>
      </c>
      <c r="F81" s="0" t="n">
        <v>222030</v>
      </c>
      <c r="G81" s="0" t="n">
        <v>9.77234395411316</v>
      </c>
      <c r="H81" s="0" t="s">
        <v>235</v>
      </c>
      <c r="I81" s="0" t="n">
        <v>1.33786598786406</v>
      </c>
      <c r="J81" s="0" t="n">
        <v>242350</v>
      </c>
      <c r="K81" s="0" t="n">
        <v>12873</v>
      </c>
      <c r="L81" s="0" t="n">
        <v>1764676</v>
      </c>
      <c r="M81" s="0" t="n">
        <v>1741067</v>
      </c>
      <c r="N81" s="0" t="n">
        <v>1421672</v>
      </c>
      <c r="O81" s="0" t="n">
        <v>5750</v>
      </c>
      <c r="P81" s="0" t="s">
        <v>163</v>
      </c>
      <c r="Q81" s="0" t="n">
        <v>0.325838850871208</v>
      </c>
      <c r="R81" s="0" t="n">
        <v>3.53092726803068</v>
      </c>
      <c r="S81" s="0" t="n">
        <v>33</v>
      </c>
      <c r="T81" s="0" t="n">
        <v>3231</v>
      </c>
      <c r="U81" s="0" t="n">
        <v>0</v>
      </c>
      <c r="V81" s="0" t="n">
        <v>14.6873232617526</v>
      </c>
      <c r="W81" s="0" t="n">
        <v>20220630</v>
      </c>
      <c r="X81" s="0" t="n">
        <v>0.393415877845515</v>
      </c>
      <c r="Y81" s="0" t="n">
        <v>3.85</v>
      </c>
      <c r="Z81" s="0" t="s">
        <v>105</v>
      </c>
      <c r="AA81" s="0" t="n">
        <f aca="false">IF(AND(ISNUMBER(B81),B81&gt;0,ISNUMBER(U81),U81&gt;=0,ISNUMBER(O81),O81&gt;=0),1,0)</f>
        <v>1</v>
      </c>
      <c r="AB81" s="0" t="n">
        <f aca="false">IF(AA81=1,U81+O81,0)</f>
        <v>5750</v>
      </c>
      <c r="AC81" s="0" t="n">
        <f aca="false">IF(AA81=1,100*AB81/B81,"")</f>
        <v>0.253078312553036</v>
      </c>
      <c r="AD81" s="0" t="n">
        <f aca="false">IF(AND(AND(ISNUMBER(B81),B81=OriginalFinancials!B81),AND(ISNUMBER(U81),U81=OriginalFinancials!U81),AND(ISNUMBER(O81),O81=OriginalFinancials!O81)),0,1)</f>
        <v>0</v>
      </c>
      <c r="AE81" s="0" t="str">
        <f aca="false">IF(V81=0,"原始0：需核实适用/报告口径","")</f>
        <v/>
      </c>
    </row>
    <row r="82" customFormat="false" ht="15" hidden="false" customHeight="false" outlineLevel="0" collapsed="false">
      <c r="A82" s="0" t="n">
        <v>82</v>
      </c>
      <c r="B82" s="0" t="n">
        <v>754376</v>
      </c>
      <c r="C82" s="0" t="n">
        <v>19532</v>
      </c>
      <c r="D82" s="0" t="n">
        <v>650205</v>
      </c>
      <c r="E82" s="0" t="n">
        <v>0.01</v>
      </c>
      <c r="F82" s="0" t="n">
        <v>89980</v>
      </c>
      <c r="G82" s="0" t="n">
        <v>11.9277389524587</v>
      </c>
      <c r="H82" s="0" t="s">
        <v>236</v>
      </c>
      <c r="I82" s="0" t="n">
        <v>1.14735483370052</v>
      </c>
      <c r="J82" s="0" t="n">
        <v>22566</v>
      </c>
      <c r="K82" s="0" t="n">
        <v>41806</v>
      </c>
      <c r="L82" s="0" t="n">
        <v>515185</v>
      </c>
      <c r="M82" s="0" t="n">
        <v>509274</v>
      </c>
      <c r="N82" s="0" t="n">
        <v>443130</v>
      </c>
      <c r="O82" s="0" t="n">
        <v>597</v>
      </c>
      <c r="P82" s="0" t="s">
        <v>165</v>
      </c>
      <c r="Q82" s="0" t="n">
        <v>0.152178343701777</v>
      </c>
      <c r="R82" s="0" t="n">
        <v>3.21438214693699</v>
      </c>
      <c r="S82" s="0" t="n">
        <v>-4</v>
      </c>
      <c r="T82" s="0" t="n">
        <v>596</v>
      </c>
      <c r="U82" s="0" t="n">
        <v>187</v>
      </c>
      <c r="V82" s="0" t="n">
        <v>21.3539763438792</v>
      </c>
      <c r="W82" s="0" t="n">
        <v>20220630</v>
      </c>
      <c r="X82" s="0" t="n">
        <v>0.477693119700524</v>
      </c>
      <c r="Y82" s="0" t="n">
        <v>3.8</v>
      </c>
      <c r="Z82" s="0" t="s">
        <v>105</v>
      </c>
      <c r="AA82" s="0" t="n">
        <f aca="false">IF(AND(ISNUMBER(B82),B82&gt;0,ISNUMBER(U82),U82&gt;=0,ISNUMBER(O82),O82&gt;=0),1,0)</f>
        <v>1</v>
      </c>
      <c r="AB82" s="0" t="n">
        <f aca="false">IF(AA82=1,U82+O82,0)</f>
        <v>784</v>
      </c>
      <c r="AC82" s="0" t="n">
        <f aca="false">IF(AA82=1,100*AB82/B82,"")</f>
        <v>0.103926954197907</v>
      </c>
      <c r="AD82" s="0" t="n">
        <f aca="false">IF(AND(AND(ISNUMBER(B82),B82=OriginalFinancials!B82),AND(ISNUMBER(U82),U82=OriginalFinancials!U82),AND(ISNUMBER(O82),O82=OriginalFinancials!O82)),0,1)</f>
        <v>0</v>
      </c>
      <c r="AE82" s="0" t="str">
        <f aca="false">IF(V82=0,"原始0：需核实适用/报告口径","")</f>
        <v/>
      </c>
    </row>
    <row r="83" customFormat="false" ht="15" hidden="false" customHeight="false" outlineLevel="0" collapsed="false">
      <c r="A83" s="0" t="n">
        <v>83</v>
      </c>
      <c r="B83" s="0" t="n">
        <v>1582759</v>
      </c>
      <c r="C83" s="0" t="n">
        <v>19690</v>
      </c>
      <c r="D83" s="0" t="n">
        <v>1302616</v>
      </c>
      <c r="E83" s="0" t="n">
        <v>-0.15</v>
      </c>
      <c r="F83" s="0" t="n">
        <v>248321</v>
      </c>
      <c r="G83" s="0" t="n">
        <v>15.6891226017353</v>
      </c>
      <c r="H83" s="0" t="s">
        <v>237</v>
      </c>
      <c r="I83" s="0" t="n">
        <v>0.385326922457938</v>
      </c>
      <c r="J83" s="0" t="n">
        <v>24614</v>
      </c>
      <c r="K83" s="0" t="n">
        <v>719</v>
      </c>
      <c r="L83" s="0" t="n">
        <v>1304866</v>
      </c>
      <c r="M83" s="0" t="n">
        <v>1299838</v>
      </c>
      <c r="N83" s="0" t="n">
        <v>951396</v>
      </c>
      <c r="O83" s="0" t="n">
        <v>12946</v>
      </c>
      <c r="P83" s="0" t="s">
        <v>167</v>
      </c>
      <c r="Q83" s="0" t="n">
        <v>0.992132525485375</v>
      </c>
      <c r="R83" s="0" t="n">
        <v>6.0280785575674</v>
      </c>
      <c r="S83" s="0" t="n">
        <v>-155</v>
      </c>
      <c r="T83" s="0" t="n">
        <v>590</v>
      </c>
      <c r="U83" s="0" t="n">
        <v>0</v>
      </c>
      <c r="V83" s="0" t="n">
        <v>19.4670764547208</v>
      </c>
      <c r="W83" s="0" t="n">
        <v>20220630</v>
      </c>
      <c r="X83" s="0" t="n">
        <v>2.71865093743965</v>
      </c>
      <c r="Y83" s="0" t="n">
        <v>17.05</v>
      </c>
      <c r="Z83" s="0" t="s">
        <v>105</v>
      </c>
      <c r="AA83" s="0" t="n">
        <f aca="false">IF(AND(ISNUMBER(B83),B83&gt;0,ISNUMBER(U83),U83&gt;=0,ISNUMBER(O83),O83&gt;=0),1,0)</f>
        <v>1</v>
      </c>
      <c r="AB83" s="0" t="n">
        <f aca="false">IF(AA83=1,U83+O83,0)</f>
        <v>12946</v>
      </c>
      <c r="AC83" s="0" t="n">
        <f aca="false">IF(AA83=1,100*AB83/B83,"")</f>
        <v>0.817938801801159</v>
      </c>
      <c r="AD83" s="0" t="n">
        <f aca="false">IF(AND(AND(ISNUMBER(B83),B83=OriginalFinancials!B83),AND(ISNUMBER(U83),U83=OriginalFinancials!U83),AND(ISNUMBER(O83),O83=OriginalFinancials!O83)),0,1)</f>
        <v>0</v>
      </c>
      <c r="AE83" s="0" t="str">
        <f aca="false">IF(V83=0,"原始0：需核实适用/报告口径","")</f>
        <v/>
      </c>
    </row>
    <row r="84" customFormat="false" ht="15" hidden="false" customHeight="false" outlineLevel="0" collapsed="false">
      <c r="A84" s="0" t="n">
        <v>84</v>
      </c>
      <c r="B84" s="0" t="n">
        <v>565870</v>
      </c>
      <c r="C84" s="0" t="n">
        <v>19836</v>
      </c>
      <c r="D84" s="0" t="n">
        <v>441969</v>
      </c>
      <c r="E84" s="0" t="n">
        <v>-0.01</v>
      </c>
      <c r="F84" s="0" t="n">
        <v>116691</v>
      </c>
      <c r="G84" s="0" t="n">
        <v>20.6215208440101</v>
      </c>
      <c r="H84" s="0" t="s">
        <v>238</v>
      </c>
      <c r="I84" s="0" t="n">
        <v>0.864915692897268</v>
      </c>
      <c r="J84" s="0" t="n">
        <v>49522</v>
      </c>
      <c r="K84" s="0" t="n">
        <v>11852</v>
      </c>
      <c r="L84" s="0" t="n">
        <v>450911</v>
      </c>
      <c r="M84" s="0" t="n">
        <v>447011</v>
      </c>
      <c r="N84" s="0" t="n">
        <v>383579</v>
      </c>
      <c r="O84" s="0" t="n">
        <v>1685</v>
      </c>
      <c r="P84" s="0" t="s">
        <v>145</v>
      </c>
      <c r="Q84" s="0" t="n">
        <v>0.373687933982538</v>
      </c>
      <c r="R84" s="0" t="n">
        <v>3.96827042134604</v>
      </c>
      <c r="S84" s="0" t="n">
        <v>-18</v>
      </c>
      <c r="T84" s="0" t="n">
        <v>1378</v>
      </c>
      <c r="U84" s="0" t="n">
        <v>0</v>
      </c>
      <c r="V84" s="0" t="n">
        <v>29.3004506448167</v>
      </c>
      <c r="W84" s="0" t="n">
        <v>20220630</v>
      </c>
      <c r="X84" s="0" t="n">
        <v>0.859566913692381</v>
      </c>
      <c r="Y84" s="0" t="n">
        <v>4.24</v>
      </c>
      <c r="Z84" s="0" t="s">
        <v>105</v>
      </c>
      <c r="AA84" s="0" t="n">
        <f aca="false">IF(AND(ISNUMBER(B84),B84&gt;0,ISNUMBER(U84),U84&gt;=0,ISNUMBER(O84),O84&gt;=0),1,0)</f>
        <v>1</v>
      </c>
      <c r="AB84" s="0" t="n">
        <f aca="false">IF(AA84=1,U84+O84,0)</f>
        <v>1685</v>
      </c>
      <c r="AC84" s="0" t="n">
        <f aca="false">IF(AA84=1,100*AB84/B84,"")</f>
        <v>0.297771572976125</v>
      </c>
      <c r="AD84" s="0" t="n">
        <f aca="false">IF(AND(AND(ISNUMBER(B84),B84=OriginalFinancials!B84),AND(ISNUMBER(U84),U84=OriginalFinancials!U84),AND(ISNUMBER(O84),O84=OriginalFinancials!O84)),0,1)</f>
        <v>0</v>
      </c>
      <c r="AE84" s="0" t="str">
        <f aca="false">IF(V84=0,"原始0：需核实适用/报告口径","")</f>
        <v/>
      </c>
    </row>
    <row r="85" customFormat="false" ht="15" hidden="false" customHeight="false" outlineLevel="0" collapsed="false">
      <c r="A85" s="0" t="n">
        <v>85</v>
      </c>
      <c r="B85" s="0" t="n">
        <v>1234978</v>
      </c>
      <c r="C85" s="0" t="n">
        <v>24540</v>
      </c>
      <c r="D85" s="0" t="n">
        <v>1010154</v>
      </c>
      <c r="E85" s="0" t="n">
        <v>0</v>
      </c>
      <c r="F85" s="0" t="n">
        <v>198951</v>
      </c>
      <c r="G85" s="0" t="n">
        <v>16.1096796866017</v>
      </c>
      <c r="H85" s="0" t="s">
        <v>239</v>
      </c>
      <c r="I85" s="0" t="n">
        <v>1.21608037306189</v>
      </c>
      <c r="J85" s="0" t="n">
        <v>42956</v>
      </c>
      <c r="K85" s="0" t="n">
        <v>114</v>
      </c>
      <c r="L85" s="0" t="n">
        <v>1041543</v>
      </c>
      <c r="M85" s="0" t="n">
        <v>1028877</v>
      </c>
      <c r="N85" s="0" t="n">
        <v>1001399</v>
      </c>
      <c r="O85" s="0" t="n">
        <v>782</v>
      </c>
      <c r="P85" s="0" t="s">
        <v>170</v>
      </c>
      <c r="Q85" s="0" t="n">
        <v>0.0750809136060633</v>
      </c>
      <c r="R85" s="0" t="n">
        <v>4.29022601129675</v>
      </c>
      <c r="S85" s="0" t="n">
        <v>-15</v>
      </c>
      <c r="T85" s="0" t="n">
        <v>0</v>
      </c>
      <c r="U85" s="0" t="n">
        <v>0</v>
      </c>
      <c r="V85" s="0" t="n">
        <v>0</v>
      </c>
      <c r="W85" s="0" t="n">
        <v>20220630</v>
      </c>
      <c r="X85" s="0" t="n">
        <v>2.15476323542861</v>
      </c>
      <c r="Y85" s="0" t="n">
        <v>13.94</v>
      </c>
      <c r="Z85" s="0" t="s">
        <v>123</v>
      </c>
      <c r="AA85" s="0" t="n">
        <f aca="false">IF(AND(ISNUMBER(B85),B85&gt;0,ISNUMBER(U85),U85&gt;=0,ISNUMBER(O85),O85&gt;=0),1,0)</f>
        <v>1</v>
      </c>
      <c r="AB85" s="0" t="n">
        <f aca="false">IF(AA85=1,U85+O85,0)</f>
        <v>782</v>
      </c>
      <c r="AC85" s="0" t="n">
        <f aca="false">IF(AA85=1,100*AB85/B85,"")</f>
        <v>0.0633209660415003</v>
      </c>
      <c r="AD85" s="0" t="n">
        <f aca="false">IF(AND(AND(ISNUMBER(B85),B85=OriginalFinancials!B85),AND(ISNUMBER(U85),U85=OriginalFinancials!U85),AND(ISNUMBER(O85),O85=OriginalFinancials!O85)),0,1)</f>
        <v>0</v>
      </c>
      <c r="AE85" s="0" t="str">
        <f aca="false">IF(V85=0,"原始0：需核实适用/报告口径","")</f>
        <v>原始0：需核实适用/报告口径</v>
      </c>
    </row>
    <row r="86" customFormat="false" ht="15" hidden="false" customHeight="false" outlineLevel="0" collapsed="false">
      <c r="A86" s="0" t="n">
        <v>86</v>
      </c>
      <c r="B86" s="0" t="n">
        <v>469898</v>
      </c>
      <c r="C86" s="0" t="n">
        <v>27824</v>
      </c>
      <c r="D86" s="0" t="n">
        <v>371733</v>
      </c>
      <c r="E86" s="0" t="n">
        <v>0</v>
      </c>
      <c r="F86" s="0" t="n">
        <v>67598</v>
      </c>
      <c r="G86" s="0" t="n">
        <v>14.3856751890836</v>
      </c>
      <c r="H86" s="0" t="s">
        <v>240</v>
      </c>
      <c r="I86" s="0" t="n">
        <v>0.808028699494916</v>
      </c>
      <c r="J86" s="0" t="n">
        <v>22410</v>
      </c>
      <c r="K86" s="0" t="n">
        <v>28849</v>
      </c>
      <c r="L86" s="0" t="n">
        <v>379937</v>
      </c>
      <c r="M86" s="0" t="n">
        <v>376867</v>
      </c>
      <c r="N86" s="0" t="n">
        <v>328679</v>
      </c>
      <c r="O86" s="0" t="n">
        <v>861</v>
      </c>
      <c r="P86" s="0" t="s">
        <v>172</v>
      </c>
      <c r="Q86" s="0" t="n">
        <v>0.226616518001669</v>
      </c>
      <c r="R86" s="0" t="n">
        <v>2.9356123296964</v>
      </c>
      <c r="S86" s="0" t="n">
        <v>0</v>
      </c>
      <c r="T86" s="0" t="n">
        <v>848</v>
      </c>
      <c r="U86" s="0" t="n">
        <v>0</v>
      </c>
      <c r="V86" s="0" t="n">
        <v>24.6578547583975</v>
      </c>
      <c r="W86" s="0" t="n">
        <v>20220630</v>
      </c>
      <c r="X86" s="0" t="n">
        <v>0.382958283601642</v>
      </c>
      <c r="Y86" s="0" t="n">
        <v>2.53</v>
      </c>
      <c r="Z86" s="0" t="s">
        <v>123</v>
      </c>
      <c r="AA86" s="0" t="n">
        <f aca="false">IF(AND(ISNUMBER(B86),B86&gt;0,ISNUMBER(U86),U86&gt;=0,ISNUMBER(O86),O86&gt;=0),1,0)</f>
        <v>1</v>
      </c>
      <c r="AB86" s="0" t="n">
        <f aca="false">IF(AA86=1,U86+O86,0)</f>
        <v>861</v>
      </c>
      <c r="AC86" s="0" t="n">
        <f aca="false">IF(AA86=1,100*AB86/B86,"")</f>
        <v>0.183231254442453</v>
      </c>
      <c r="AD86" s="0" t="n">
        <f aca="false">IF(AND(AND(ISNUMBER(B86),B86=OriginalFinancials!B86),AND(ISNUMBER(U86),U86=OriginalFinancials!U86),AND(ISNUMBER(O86),O86=OriginalFinancials!O86)),0,1)</f>
        <v>0</v>
      </c>
      <c r="AE86" s="0" t="str">
        <f aca="false">IF(V86=0,"原始0：需核实适用/报告口径","")</f>
        <v/>
      </c>
    </row>
    <row r="87" customFormat="false" ht="15" hidden="false" customHeight="false" outlineLevel="0" collapsed="false">
      <c r="A87" s="0" t="n">
        <v>87</v>
      </c>
      <c r="B87" s="0" t="n">
        <v>299676</v>
      </c>
      <c r="C87" s="0" t="n">
        <v>28155</v>
      </c>
      <c r="D87" s="0" t="n">
        <v>271184</v>
      </c>
      <c r="E87" s="0" t="n">
        <v>0.03</v>
      </c>
      <c r="F87" s="0" t="n">
        <v>27573</v>
      </c>
      <c r="G87" s="0" t="n">
        <v>9.20093701197293</v>
      </c>
      <c r="H87" s="0" t="s">
        <v>241</v>
      </c>
      <c r="I87" s="0" t="n">
        <v>0.576876852816281</v>
      </c>
      <c r="J87" s="0" t="n">
        <v>5461</v>
      </c>
      <c r="K87" s="0" t="n">
        <v>4201</v>
      </c>
      <c r="L87" s="0" t="n">
        <v>149772</v>
      </c>
      <c r="M87" s="0" t="n">
        <v>148908</v>
      </c>
      <c r="N87" s="0" t="n">
        <v>139442</v>
      </c>
      <c r="O87" s="0" t="n">
        <v>12</v>
      </c>
      <c r="P87" s="0" t="s">
        <v>174</v>
      </c>
      <c r="Q87" s="0" t="n">
        <v>0.0080121785113372</v>
      </c>
      <c r="R87" s="0" t="n">
        <v>2.68514754596641</v>
      </c>
      <c r="S87" s="0" t="n">
        <v>5</v>
      </c>
      <c r="T87" s="0" t="n">
        <v>958</v>
      </c>
      <c r="U87" s="0" t="n">
        <v>0</v>
      </c>
      <c r="V87" s="0" t="n">
        <v>19.0224932090442</v>
      </c>
      <c r="W87" s="0" t="n">
        <v>20220630</v>
      </c>
      <c r="X87" s="0" t="n">
        <v>0.25641055176648</v>
      </c>
      <c r="Y87" s="0" t="n">
        <v>2.69</v>
      </c>
      <c r="Z87" s="0" t="s">
        <v>123</v>
      </c>
      <c r="AA87" s="0" t="n">
        <f aca="false">IF(AND(ISNUMBER(B87),B87&gt;0,ISNUMBER(U87),U87&gt;=0,ISNUMBER(O87),O87&gt;=0),1,0)</f>
        <v>1</v>
      </c>
      <c r="AB87" s="0" t="n">
        <f aca="false">IF(AA87=1,U87+O87,0)</f>
        <v>12</v>
      </c>
      <c r="AC87" s="0" t="n">
        <f aca="false">IF(AA87=1,100*AB87/B87,"")</f>
        <v>0.0040043246706443</v>
      </c>
      <c r="AD87" s="0" t="n">
        <f aca="false">IF(AND(AND(ISNUMBER(B87),B87=OriginalFinancials!B87),AND(ISNUMBER(U87),U87=OriginalFinancials!U87),AND(ISNUMBER(O87),O87=OriginalFinancials!O87)),0,1)</f>
        <v>0</v>
      </c>
      <c r="AE87" s="0" t="str">
        <f aca="false">IF(V87=0,"原始0：需核实适用/报告口径","")</f>
        <v/>
      </c>
    </row>
    <row r="88" customFormat="false" ht="15" hidden="false" customHeight="false" outlineLevel="0" collapsed="false">
      <c r="A88" s="0" t="n">
        <v>88</v>
      </c>
      <c r="B88" s="0" t="n">
        <v>98212</v>
      </c>
      <c r="C88" s="0" t="n">
        <v>28288</v>
      </c>
      <c r="D88" s="0" t="n">
        <v>80509</v>
      </c>
      <c r="E88" s="0" t="n">
        <v>0.08</v>
      </c>
      <c r="F88" s="0" t="n">
        <v>6561</v>
      </c>
      <c r="G88" s="0" t="n">
        <v>6.6804463812976</v>
      </c>
      <c r="H88" s="0" t="s">
        <v>242</v>
      </c>
      <c r="I88" s="0" t="n">
        <v>1.11489946458898</v>
      </c>
      <c r="J88" s="0" t="n">
        <v>3133</v>
      </c>
      <c r="K88" s="0" t="n">
        <v>518</v>
      </c>
      <c r="L88" s="0" t="n">
        <v>77137</v>
      </c>
      <c r="M88" s="0" t="n">
        <v>76277</v>
      </c>
      <c r="N88" s="0" t="n">
        <v>73486</v>
      </c>
      <c r="O88" s="0" t="n">
        <v>408</v>
      </c>
      <c r="P88" s="0" t="s">
        <v>176</v>
      </c>
      <c r="Q88" s="0" t="n">
        <v>0.528929048316631</v>
      </c>
      <c r="R88" s="0" t="n">
        <v>3.52150607534091</v>
      </c>
      <c r="S88" s="0" t="n">
        <v>47</v>
      </c>
      <c r="T88" s="0" t="n">
        <v>38</v>
      </c>
      <c r="U88" s="0" t="n">
        <v>0</v>
      </c>
      <c r="V88" s="0" t="n">
        <v>13.4365080570448</v>
      </c>
      <c r="W88" s="0" t="n">
        <v>20220630</v>
      </c>
      <c r="X88" s="0" t="n">
        <v>0.0974689847333905</v>
      </c>
      <c r="Y88" s="0" t="n">
        <v>1.28</v>
      </c>
      <c r="Z88" s="0" t="s">
        <v>105</v>
      </c>
      <c r="AA88" s="0" t="n">
        <f aca="false">IF(AND(ISNUMBER(B88),B88&gt;0,ISNUMBER(U88),U88&gt;=0,ISNUMBER(O88),O88&gt;=0),1,0)</f>
        <v>1</v>
      </c>
      <c r="AB88" s="0" t="n">
        <f aca="false">IF(AA88=1,U88+O88,0)</f>
        <v>408</v>
      </c>
      <c r="AC88" s="0" t="n">
        <f aca="false">IF(AA88=1,100*AB88/B88,"")</f>
        <v>0.415427849957235</v>
      </c>
      <c r="AD88" s="0" t="n">
        <f aca="false">IF(AND(AND(ISNUMBER(B88),B88=OriginalFinancials!B88),AND(ISNUMBER(U88),U88=OriginalFinancials!U88),AND(ISNUMBER(O88),O88=OriginalFinancials!O88)),0,1)</f>
        <v>0</v>
      </c>
      <c r="AE88" s="0" t="str">
        <f aca="false">IF(V88=0,"原始0：需核实适用/报告口径","")</f>
        <v/>
      </c>
    </row>
    <row r="89" customFormat="false" ht="15" hidden="false" customHeight="false" outlineLevel="0" collapsed="false">
      <c r="A89" s="0" t="n">
        <v>89</v>
      </c>
      <c r="B89" s="0" t="n">
        <v>87270</v>
      </c>
      <c r="C89" s="0" t="n">
        <v>28369</v>
      </c>
      <c r="D89" s="0" t="n">
        <v>75522</v>
      </c>
      <c r="E89" s="0" t="n">
        <v>0.07</v>
      </c>
      <c r="F89" s="0" t="n">
        <v>9341</v>
      </c>
      <c r="G89" s="0" t="n">
        <v>10.7035636530308</v>
      </c>
      <c r="H89" s="0" t="s">
        <v>243</v>
      </c>
      <c r="I89" s="0" t="n">
        <v>0.788787750590226</v>
      </c>
      <c r="J89" s="0" t="n">
        <v>10612</v>
      </c>
      <c r="K89" s="0" t="n">
        <v>917</v>
      </c>
      <c r="L89" s="0" t="n">
        <v>73277</v>
      </c>
      <c r="M89" s="0" t="n">
        <v>72699</v>
      </c>
      <c r="N89" s="0" t="n">
        <v>61748</v>
      </c>
      <c r="O89" s="0" t="n">
        <v>372</v>
      </c>
      <c r="P89" s="0" t="s">
        <v>178</v>
      </c>
      <c r="Q89" s="0" t="n">
        <v>0.507662704532118</v>
      </c>
      <c r="R89" s="0" t="n">
        <v>3.60618763943027</v>
      </c>
      <c r="S89" s="0" t="n">
        <v>-4</v>
      </c>
      <c r="T89" s="0" t="n">
        <v>89</v>
      </c>
      <c r="U89" s="0" t="n">
        <v>0</v>
      </c>
      <c r="V89" s="0" t="n">
        <v>0</v>
      </c>
      <c r="W89" s="0" t="n">
        <v>20220630</v>
      </c>
      <c r="X89" s="0" t="n">
        <v>-0.030144694533762</v>
      </c>
      <c r="Y89" s="0" t="n">
        <v>-0.28</v>
      </c>
      <c r="Z89" s="0" t="s">
        <v>105</v>
      </c>
      <c r="AA89" s="0" t="n">
        <f aca="false">IF(AND(ISNUMBER(B89),B89&gt;0,ISNUMBER(U89),U89&gt;=0,ISNUMBER(O89),O89&gt;=0),1,0)</f>
        <v>1</v>
      </c>
      <c r="AB89" s="0" t="n">
        <f aca="false">IF(AA89=1,U89+O89,0)</f>
        <v>372</v>
      </c>
      <c r="AC89" s="0" t="n">
        <f aca="false">IF(AA89=1,100*AB89/B89,"")</f>
        <v>0.426263320728773</v>
      </c>
      <c r="AD89" s="0" t="n">
        <f aca="false">IF(AND(AND(ISNUMBER(B89),B89=OriginalFinancials!B89),AND(ISNUMBER(U89),U89=OriginalFinancials!U89),AND(ISNUMBER(O89),O89=OriginalFinancials!O89)),0,1)</f>
        <v>0</v>
      </c>
      <c r="AE89" s="0" t="str">
        <f aca="false">IF(V89=0,"原始0：需核实适用/报告口径","")</f>
        <v>原始0：需核实适用/报告口径</v>
      </c>
    </row>
    <row r="90" customFormat="false" ht="15" hidden="false" customHeight="false" outlineLevel="0" collapsed="false">
      <c r="A90" s="0" t="n">
        <v>90</v>
      </c>
      <c r="B90" s="0" t="n">
        <v>290878</v>
      </c>
      <c r="C90" s="0" t="n">
        <v>28837</v>
      </c>
      <c r="D90" s="0" t="n">
        <v>266261</v>
      </c>
      <c r="E90" s="0" t="n">
        <v>0.06</v>
      </c>
      <c r="F90" s="0" t="n">
        <v>22419</v>
      </c>
      <c r="G90" s="0" t="n">
        <v>7.7073549735628</v>
      </c>
      <c r="H90" s="0" t="s">
        <v>244</v>
      </c>
      <c r="I90" s="0" t="n">
        <v>1.2038357355272</v>
      </c>
      <c r="J90" s="0" t="n">
        <v>6574</v>
      </c>
      <c r="K90" s="0" t="n">
        <v>1145</v>
      </c>
      <c r="L90" s="0" t="n">
        <v>188647</v>
      </c>
      <c r="M90" s="0" t="n">
        <v>186376</v>
      </c>
      <c r="N90" s="0" t="n">
        <v>179830</v>
      </c>
      <c r="O90" s="0" t="n">
        <v>0</v>
      </c>
      <c r="P90" s="0" t="s">
        <v>180</v>
      </c>
      <c r="Q90" s="0" t="n">
        <v>0</v>
      </c>
      <c r="R90" s="0" t="n">
        <v>2.60354973570456</v>
      </c>
      <c r="S90" s="0" t="n">
        <v>135</v>
      </c>
      <c r="T90" s="0" t="n">
        <v>65</v>
      </c>
      <c r="U90" s="0" t="n">
        <v>0</v>
      </c>
      <c r="V90" s="0" t="n">
        <v>14.7624530597825</v>
      </c>
      <c r="W90" s="0" t="n">
        <v>20220630</v>
      </c>
      <c r="X90" s="0" t="n">
        <v>0.368184561732949</v>
      </c>
      <c r="Y90" s="0" t="n">
        <v>4.96</v>
      </c>
      <c r="Z90" s="0" t="s">
        <v>112</v>
      </c>
      <c r="AA90" s="0" t="n">
        <f aca="false">IF(AND(ISNUMBER(B90),B90&gt;0,ISNUMBER(U90),U90&gt;=0,ISNUMBER(O90),O90&gt;=0),1,0)</f>
        <v>1</v>
      </c>
      <c r="AB90" s="0" t="n">
        <f aca="false">IF(AA90=1,U90+O90,0)</f>
        <v>0</v>
      </c>
      <c r="AC90" s="0" t="n">
        <f aca="false">IF(AA90=1,100*AB90/B90,"")</f>
        <v>0</v>
      </c>
      <c r="AD90" s="0" t="n">
        <f aca="false">IF(AND(AND(ISNUMBER(B90),B90=OriginalFinancials!B90),AND(ISNUMBER(U90),U90=OriginalFinancials!U90),AND(ISNUMBER(O90),O90=OriginalFinancials!O90)),0,1)</f>
        <v>0</v>
      </c>
      <c r="AE90" s="0" t="str">
        <f aca="false">IF(V90=0,"原始0：需核实适用/报告口径","")</f>
        <v/>
      </c>
    </row>
    <row r="91" customFormat="false" ht="15" hidden="false" customHeight="false" outlineLevel="0" collapsed="false">
      <c r="A91" s="0" t="n">
        <v>91</v>
      </c>
      <c r="B91" s="0" t="n">
        <v>182713</v>
      </c>
      <c r="C91" s="0" t="n">
        <v>29636</v>
      </c>
      <c r="D91" s="0" t="n">
        <v>157371</v>
      </c>
      <c r="E91" s="0" t="n">
        <v>0.03</v>
      </c>
      <c r="F91" s="0" t="n">
        <v>23979</v>
      </c>
      <c r="G91" s="0" t="n">
        <v>13.1238609184897</v>
      </c>
      <c r="H91" s="0" t="s">
        <v>245</v>
      </c>
      <c r="I91" s="0" t="n">
        <v>1.51005510627639</v>
      </c>
      <c r="J91" s="0" t="n">
        <v>1377</v>
      </c>
      <c r="K91" s="0" t="n">
        <v>2115</v>
      </c>
      <c r="L91" s="0" t="n">
        <v>111784</v>
      </c>
      <c r="M91" s="0" t="n">
        <v>110096</v>
      </c>
      <c r="N91" s="0" t="n">
        <v>108292</v>
      </c>
      <c r="O91" s="0" t="n">
        <v>2116</v>
      </c>
      <c r="P91" s="0" t="s">
        <v>182</v>
      </c>
      <c r="Q91" s="0" t="n">
        <v>1.89293637729908</v>
      </c>
      <c r="R91" s="0" t="n">
        <v>3.03270209827388</v>
      </c>
      <c r="S91" s="0" t="n">
        <v>-3</v>
      </c>
      <c r="T91" s="0" t="n">
        <v>1771</v>
      </c>
      <c r="U91" s="0" t="n">
        <v>0</v>
      </c>
      <c r="V91" s="0" t="n">
        <v>30.849232534787</v>
      </c>
      <c r="W91" s="0" t="n">
        <v>20220630</v>
      </c>
      <c r="X91" s="0" t="n">
        <v>0.132689298792343</v>
      </c>
      <c r="Y91" s="0" t="n">
        <v>0.99</v>
      </c>
      <c r="Z91" s="0" t="s">
        <v>105</v>
      </c>
      <c r="AA91" s="0" t="n">
        <f aca="false">IF(AND(ISNUMBER(B91),B91&gt;0,ISNUMBER(U91),U91&gt;=0,ISNUMBER(O91),O91&gt;=0),1,0)</f>
        <v>1</v>
      </c>
      <c r="AB91" s="0" t="n">
        <f aca="false">IF(AA91=1,U91+O91,0)</f>
        <v>2116</v>
      </c>
      <c r="AC91" s="0" t="n">
        <f aca="false">IF(AA91=1,100*AB91/B91,"")</f>
        <v>1.1581004088379</v>
      </c>
      <c r="AD91" s="0" t="n">
        <f aca="false">IF(AND(AND(ISNUMBER(B91),B91=OriginalFinancials!B91),AND(ISNUMBER(U91),U91=OriginalFinancials!U91),AND(ISNUMBER(O91),O91=OriginalFinancials!O91)),0,1)</f>
        <v>0</v>
      </c>
      <c r="AE91" s="0" t="str">
        <f aca="false">IF(V91=0,"原始0：需核实适用/报告口径","")</f>
        <v/>
      </c>
    </row>
    <row r="92" customFormat="false" ht="15" hidden="false" customHeight="false" outlineLevel="0" collapsed="false">
      <c r="A92" s="0" t="n">
        <v>92</v>
      </c>
      <c r="B92" s="0" t="n">
        <v>176966</v>
      </c>
      <c r="C92" s="0" t="n">
        <v>29743</v>
      </c>
      <c r="D92" s="0" t="n">
        <v>160168</v>
      </c>
      <c r="E92" s="0" t="n">
        <v>0</v>
      </c>
      <c r="F92" s="0" t="n">
        <v>14544</v>
      </c>
      <c r="G92" s="0" t="n">
        <v>8.21852785280788</v>
      </c>
      <c r="H92" s="0" t="s">
        <v>246</v>
      </c>
      <c r="I92" s="0" t="n">
        <v>0.363489499192245</v>
      </c>
      <c r="J92" s="0" t="n">
        <v>21981</v>
      </c>
      <c r="K92" s="0" t="n">
        <v>18389</v>
      </c>
      <c r="L92" s="0" t="n">
        <v>118848</v>
      </c>
      <c r="M92" s="0" t="n">
        <v>118416</v>
      </c>
      <c r="N92" s="0" t="n">
        <v>78376</v>
      </c>
      <c r="O92" s="0" t="n">
        <v>467</v>
      </c>
      <c r="P92" s="0" t="s">
        <v>184</v>
      </c>
      <c r="Q92" s="0" t="n">
        <v>0.392938879913839</v>
      </c>
      <c r="R92" s="0" t="n">
        <v>2.56107379395051</v>
      </c>
      <c r="S92" s="0" t="n">
        <v>98</v>
      </c>
      <c r="T92" s="0" t="n">
        <v>84</v>
      </c>
      <c r="U92" s="0" t="n">
        <v>0</v>
      </c>
      <c r="V92" s="0" t="n">
        <v>17.6123658591362</v>
      </c>
      <c r="W92" s="0" t="n">
        <v>20220630</v>
      </c>
      <c r="X92" s="0" t="n">
        <v>0.753273491838587</v>
      </c>
      <c r="Y92" s="0" t="n">
        <v>8.46</v>
      </c>
      <c r="Z92" s="0" t="s">
        <v>105</v>
      </c>
      <c r="AA92" s="0" t="n">
        <f aca="false">IF(AND(ISNUMBER(B92),B92&gt;0,ISNUMBER(U92),U92&gt;=0,ISNUMBER(O92),O92&gt;=0),1,0)</f>
        <v>1</v>
      </c>
      <c r="AB92" s="0" t="n">
        <f aca="false">IF(AA92=1,U92+O92,0)</f>
        <v>467</v>
      </c>
      <c r="AC92" s="0" t="n">
        <f aca="false">IF(AA92=1,100*AB92/B92,"")</f>
        <v>0.263892499124126</v>
      </c>
      <c r="AD92" s="0" t="n">
        <f aca="false">IF(AND(AND(ISNUMBER(B92),B92=OriginalFinancials!B92),AND(ISNUMBER(U92),U92=OriginalFinancials!U92),AND(ISNUMBER(O92),O92=OriginalFinancials!O92)),0,1)</f>
        <v>0</v>
      </c>
      <c r="AE92" s="0" t="str">
        <f aca="false">IF(V92=0,"原始0：需核实适用/报告口径","")</f>
        <v/>
      </c>
    </row>
    <row r="93" customFormat="false" ht="15" hidden="false" customHeight="false" outlineLevel="0" collapsed="false">
      <c r="A93" s="0" t="n">
        <v>93</v>
      </c>
      <c r="B93" s="0" t="n">
        <v>510338</v>
      </c>
      <c r="C93" s="0" t="n">
        <v>29744</v>
      </c>
      <c r="D93" s="0" t="n">
        <v>400169</v>
      </c>
      <c r="E93" s="0" t="n">
        <v>0.02</v>
      </c>
      <c r="F93" s="0" t="n">
        <v>42675</v>
      </c>
      <c r="G93" s="0" t="n">
        <v>8.36210511464951</v>
      </c>
      <c r="H93" s="0" t="s">
        <v>247</v>
      </c>
      <c r="I93" s="0" t="n">
        <v>0.947368147314057</v>
      </c>
      <c r="J93" s="0" t="n">
        <v>24641</v>
      </c>
      <c r="K93" s="0" t="n">
        <v>7166</v>
      </c>
      <c r="L93" s="0" t="n">
        <v>384539</v>
      </c>
      <c r="M93" s="0" t="n">
        <v>380896</v>
      </c>
      <c r="N93" s="0" t="n">
        <v>352732</v>
      </c>
      <c r="O93" s="0" t="n">
        <v>602</v>
      </c>
      <c r="P93" s="0" t="s">
        <v>186</v>
      </c>
      <c r="Q93" s="0" t="n">
        <v>0.156551091046682</v>
      </c>
      <c r="R93" s="0" t="n">
        <v>3.18052641179198</v>
      </c>
      <c r="S93" s="0" t="n">
        <v>7</v>
      </c>
      <c r="T93" s="0" t="n">
        <v>10</v>
      </c>
      <c r="U93" s="0" t="n">
        <v>0</v>
      </c>
      <c r="V93" s="0" t="n">
        <v>16.7010073613681</v>
      </c>
      <c r="W93" s="0" t="n">
        <v>20220630</v>
      </c>
      <c r="X93" s="0" t="n">
        <v>0.255625872703925</v>
      </c>
      <c r="Y93" s="0" t="n">
        <v>2.74</v>
      </c>
      <c r="Z93" s="0" t="s">
        <v>123</v>
      </c>
      <c r="AA93" s="0" t="n">
        <f aca="false">IF(AND(ISNUMBER(B93),B93&gt;0,ISNUMBER(U93),U93&gt;=0,ISNUMBER(O93),O93&gt;=0),1,0)</f>
        <v>1</v>
      </c>
      <c r="AB93" s="0" t="n">
        <f aca="false">IF(AA93=1,U93+O93,0)</f>
        <v>602</v>
      </c>
      <c r="AC93" s="0" t="n">
        <f aca="false">IF(AA93=1,100*AB93/B93,"")</f>
        <v>0.117961037586854</v>
      </c>
      <c r="AD93" s="0" t="n">
        <f aca="false">IF(AND(AND(ISNUMBER(B93),B93=OriginalFinancials!B93),AND(ISNUMBER(U93),U93=OriginalFinancials!U93),AND(ISNUMBER(O93),O93=OriginalFinancials!O93)),0,1)</f>
        <v>0</v>
      </c>
      <c r="AE93" s="0" t="str">
        <f aca="false">IF(V93=0,"原始0：需核实适用/报告口径","")</f>
        <v/>
      </c>
    </row>
    <row r="94" customFormat="false" ht="15" hidden="false" customHeight="false" outlineLevel="0" collapsed="false">
      <c r="A94" s="0" t="n">
        <v>94</v>
      </c>
      <c r="B94" s="0" t="n">
        <v>543454</v>
      </c>
      <c r="C94" s="0" t="n">
        <v>30350</v>
      </c>
      <c r="D94" s="0" t="n">
        <v>468153</v>
      </c>
      <c r="E94" s="0" t="n">
        <v>0</v>
      </c>
      <c r="F94" s="0" t="n">
        <v>50997</v>
      </c>
      <c r="G94" s="0" t="n">
        <v>9.38386689581823</v>
      </c>
      <c r="H94" s="0" t="s">
        <v>248</v>
      </c>
      <c r="I94" s="0" t="n">
        <v>1.3722224019148</v>
      </c>
      <c r="J94" s="0" t="n">
        <v>10553</v>
      </c>
      <c r="K94" s="0" t="n">
        <v>876</v>
      </c>
      <c r="L94" s="0" t="n">
        <v>371004</v>
      </c>
      <c r="M94" s="0" t="n">
        <v>365913</v>
      </c>
      <c r="N94" s="0" t="n">
        <v>358181</v>
      </c>
      <c r="O94" s="0" t="n">
        <v>2718</v>
      </c>
      <c r="P94" s="0" t="s">
        <v>188</v>
      </c>
      <c r="Q94" s="0" t="n">
        <v>0.732606656532005</v>
      </c>
      <c r="R94" s="0" t="n">
        <v>2.72249357426288</v>
      </c>
      <c r="S94" s="0" t="n">
        <v>213</v>
      </c>
      <c r="T94" s="0" t="n">
        <v>662</v>
      </c>
      <c r="U94" s="0" t="n">
        <v>0</v>
      </c>
      <c r="V94" s="0" t="n">
        <v>21.2363870447464</v>
      </c>
      <c r="W94" s="0" t="n">
        <v>20220630</v>
      </c>
      <c r="X94" s="0" t="n">
        <v>0.502798290193913</v>
      </c>
      <c r="Y94" s="0" t="n">
        <v>5.27</v>
      </c>
      <c r="Z94" s="0" t="s">
        <v>112</v>
      </c>
      <c r="AA94" s="0" t="n">
        <f aca="false">IF(AND(ISNUMBER(B94),B94&gt;0,ISNUMBER(U94),U94&gt;=0,ISNUMBER(O94),O94&gt;=0),1,0)</f>
        <v>1</v>
      </c>
      <c r="AB94" s="0" t="n">
        <f aca="false">IF(AA94=1,U94+O94,0)</f>
        <v>2718</v>
      </c>
      <c r="AC94" s="0" t="n">
        <f aca="false">IF(AA94=1,100*AB94/B94,"")</f>
        <v>0.500134325996312</v>
      </c>
      <c r="AD94" s="0" t="n">
        <f aca="false">IF(AND(AND(ISNUMBER(B94),B94=OriginalFinancials!B94),AND(ISNUMBER(U94),U94=OriginalFinancials!U94),AND(ISNUMBER(O94),O94=OriginalFinancials!O94)),0,1)</f>
        <v>0</v>
      </c>
      <c r="AE94" s="0" t="str">
        <f aca="false">IF(V94=0,"原始0：需核实适用/报告口径","")</f>
        <v/>
      </c>
    </row>
    <row r="95" customFormat="false" ht="15" hidden="false" customHeight="false" outlineLevel="0" collapsed="false">
      <c r="A95" s="0" t="n">
        <v>95</v>
      </c>
      <c r="B95" s="0" t="n">
        <v>100800</v>
      </c>
      <c r="C95" s="0" t="n">
        <v>30878</v>
      </c>
      <c r="D95" s="0" t="n">
        <v>78524</v>
      </c>
      <c r="E95" s="0" t="n">
        <v>0.04</v>
      </c>
      <c r="F95" s="0" t="n">
        <v>12406</v>
      </c>
      <c r="G95" s="0" t="n">
        <v>12.3075396825397</v>
      </c>
      <c r="H95" s="0" t="s">
        <v>249</v>
      </c>
      <c r="I95" s="0" t="n">
        <v>1.10804851157663</v>
      </c>
      <c r="J95" s="0" t="n">
        <v>0</v>
      </c>
      <c r="K95" s="0" t="n">
        <v>92</v>
      </c>
      <c r="L95" s="0" t="n">
        <v>72560</v>
      </c>
      <c r="M95" s="0" t="n">
        <v>71756</v>
      </c>
      <c r="N95" s="0" t="n">
        <v>72468</v>
      </c>
      <c r="O95" s="0" t="n">
        <v>466</v>
      </c>
      <c r="P95" s="0" t="s">
        <v>190</v>
      </c>
      <c r="Q95" s="0" t="n">
        <v>0.642227122381477</v>
      </c>
      <c r="R95" s="0" t="n">
        <v>2.04745215081734</v>
      </c>
      <c r="S95" s="0" t="n">
        <v>0</v>
      </c>
      <c r="T95" s="0" t="n">
        <v>361</v>
      </c>
      <c r="U95" s="0" t="n">
        <v>0</v>
      </c>
      <c r="V95" s="0" t="n">
        <v>0</v>
      </c>
      <c r="W95" s="0" t="n">
        <v>20220630</v>
      </c>
      <c r="X95" s="0" t="n">
        <v>0.310113476352191</v>
      </c>
      <c r="Y95" s="0" t="n">
        <v>2.51</v>
      </c>
      <c r="Z95" s="0" t="s">
        <v>105</v>
      </c>
      <c r="AA95" s="0" t="n">
        <f aca="false">IF(AND(ISNUMBER(B95),B95&gt;0,ISNUMBER(U95),U95&gt;=0,ISNUMBER(O95),O95&gt;=0),1,0)</f>
        <v>1</v>
      </c>
      <c r="AB95" s="0" t="n">
        <f aca="false">IF(AA95=1,U95+O95,0)</f>
        <v>466</v>
      </c>
      <c r="AC95" s="0" t="n">
        <f aca="false">IF(AA95=1,100*AB95/B95,"")</f>
        <v>0.462301587301587</v>
      </c>
      <c r="AD95" s="0" t="n">
        <f aca="false">IF(AND(AND(ISNUMBER(B95),B95=OriginalFinancials!B95),AND(ISNUMBER(U95),U95=OriginalFinancials!U95),AND(ISNUMBER(O95),O95=OriginalFinancials!O95)),0,1)</f>
        <v>0</v>
      </c>
      <c r="AE95" s="0" t="str">
        <f aca="false">IF(V95=0,"原始0：需核实适用/报告口径","")</f>
        <v>原始0：需核实适用/报告口径</v>
      </c>
    </row>
    <row r="96" customFormat="false" ht="15" hidden="false" customHeight="false" outlineLevel="0" collapsed="false">
      <c r="A96" s="0" t="n">
        <v>96</v>
      </c>
      <c r="B96" s="0" t="n">
        <v>732318</v>
      </c>
      <c r="C96" s="0" t="n">
        <v>33418</v>
      </c>
      <c r="D96" s="0" t="n">
        <v>570903</v>
      </c>
      <c r="E96" s="0" t="n">
        <v>0</v>
      </c>
      <c r="F96" s="0" t="n">
        <v>59389</v>
      </c>
      <c r="G96" s="0" t="n">
        <v>8.10972828743797</v>
      </c>
      <c r="H96" s="0" t="s">
        <v>250</v>
      </c>
      <c r="I96" s="0" t="n">
        <v>2.10322893249722</v>
      </c>
      <c r="J96" s="0" t="n">
        <v>40513</v>
      </c>
      <c r="K96" s="0" t="n">
        <v>13342</v>
      </c>
      <c r="L96" s="0" t="n">
        <v>354978</v>
      </c>
      <c r="M96" s="0" t="n">
        <v>347512</v>
      </c>
      <c r="N96" s="0" t="n">
        <v>301150</v>
      </c>
      <c r="O96" s="0" t="n">
        <v>2652</v>
      </c>
      <c r="P96" s="0" t="s">
        <v>192</v>
      </c>
      <c r="Q96" s="0" t="n">
        <v>0.747088551966601</v>
      </c>
      <c r="R96" s="0" t="n">
        <v>2.71692040204904</v>
      </c>
      <c r="S96" s="0" t="n">
        <v>2</v>
      </c>
      <c r="T96" s="0" t="n">
        <v>497</v>
      </c>
      <c r="U96" s="0" t="n">
        <v>0</v>
      </c>
      <c r="V96" s="0" t="n">
        <v>18.6076360363737</v>
      </c>
      <c r="W96" s="0" t="n">
        <v>20220630</v>
      </c>
      <c r="X96" s="0" t="n">
        <v>1.16569230469518</v>
      </c>
      <c r="Y96" s="0" t="n">
        <v>14.67</v>
      </c>
      <c r="Z96" s="0" t="s">
        <v>112</v>
      </c>
      <c r="AA96" s="0" t="n">
        <f aca="false">IF(AND(ISNUMBER(B96),B96&gt;0,ISNUMBER(U96),U96&gt;=0,ISNUMBER(O96),O96&gt;=0),1,0)</f>
        <v>1</v>
      </c>
      <c r="AB96" s="0" t="n">
        <f aca="false">IF(AA96=1,U96+O96,0)</f>
        <v>2652</v>
      </c>
      <c r="AC96" s="0" t="n">
        <f aca="false">IF(AA96=1,100*AB96/B96,"")</f>
        <v>0.362137759825649</v>
      </c>
      <c r="AD96" s="0" t="n">
        <f aca="false">IF(AND(AND(ISNUMBER(B96),B96=OriginalFinancials!B96),AND(ISNUMBER(U96),U96=OriginalFinancials!U96),AND(ISNUMBER(O96),O96=OriginalFinancials!O96)),0,1)</f>
        <v>0</v>
      </c>
      <c r="AE96" s="0" t="str">
        <f aca="false">IF(V96=0,"原始0：需核实适用/报告口径","")</f>
        <v/>
      </c>
    </row>
    <row r="97" customFormat="false" ht="15" hidden="false" customHeight="false" outlineLevel="0" collapsed="false">
      <c r="A97" s="0" t="n">
        <v>97</v>
      </c>
      <c r="B97" s="0" t="n">
        <v>62457</v>
      </c>
      <c r="C97" s="0" t="n">
        <v>35206</v>
      </c>
      <c r="D97" s="0" t="n">
        <v>500</v>
      </c>
      <c r="E97" s="0" t="n">
        <v>0</v>
      </c>
      <c r="F97" s="0" t="n">
        <v>57487</v>
      </c>
      <c r="G97" s="0" t="n">
        <v>92.0425252573771</v>
      </c>
      <c r="H97" s="0" t="s">
        <v>251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s">
        <v>252</v>
      </c>
      <c r="Q97" s="0" t="n">
        <v>0</v>
      </c>
      <c r="R97" s="0" t="n">
        <v>3.17266832579952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20220630</v>
      </c>
      <c r="X97" s="0" t="n">
        <v>2.27731467928075</v>
      </c>
      <c r="Y97" s="0" t="n">
        <v>2.59</v>
      </c>
      <c r="Z97" s="0" t="s">
        <v>123</v>
      </c>
      <c r="AA97" s="0" t="n">
        <f aca="false">IF(AND(ISNUMBER(B97),B97&gt;0,ISNUMBER(U97),U97&gt;=0,ISNUMBER(O97),O97&gt;=0),1,0)</f>
        <v>1</v>
      </c>
      <c r="AB97" s="0" t="n">
        <f aca="false">IF(AA97=1,U97+O97,0)</f>
        <v>0</v>
      </c>
      <c r="AC97" s="0" t="n">
        <f aca="false">IF(AA97=1,100*AB97/B97,"")</f>
        <v>0</v>
      </c>
      <c r="AD97" s="0" t="n">
        <f aca="false">IF(AND(AND(ISNUMBER(B97),B97=OriginalFinancials!B97),AND(ISNUMBER(U97),U97=OriginalFinancials!U97),AND(ISNUMBER(O97),O97=OriginalFinancials!O97)),0,1)</f>
        <v>0</v>
      </c>
      <c r="AE97" s="0" t="str">
        <f aca="false">IF(V97=0,"原始0：需核实适用/报告口径","")</f>
        <v>原始0：需核实适用/报告口径</v>
      </c>
    </row>
    <row r="98" customFormat="false" ht="15" hidden="false" customHeight="false" outlineLevel="0" collapsed="false">
      <c r="A98" s="0" t="n">
        <v>98</v>
      </c>
      <c r="B98" s="0" t="n">
        <v>5454674</v>
      </c>
      <c r="C98" s="0" t="n">
        <v>4255</v>
      </c>
      <c r="D98" s="0" t="n">
        <v>4564900</v>
      </c>
      <c r="E98" s="0" t="n">
        <v>0.05</v>
      </c>
      <c r="F98" s="0" t="n">
        <v>460996</v>
      </c>
      <c r="G98" s="0" t="n">
        <v>8.45139416214425</v>
      </c>
      <c r="H98" s="0" t="s">
        <v>253</v>
      </c>
      <c r="I98" s="0" t="n">
        <v>0.918668933382016</v>
      </c>
      <c r="J98" s="0" t="n">
        <v>338478</v>
      </c>
      <c r="K98" s="0" t="n">
        <v>19646</v>
      </c>
      <c r="L98" s="0" t="n">
        <v>3727567</v>
      </c>
      <c r="M98" s="0" t="n">
        <v>3693323</v>
      </c>
      <c r="N98" s="0" t="n">
        <v>3314850</v>
      </c>
      <c r="O98" s="0" t="n">
        <v>3505</v>
      </c>
      <c r="P98" s="0" t="s">
        <v>194</v>
      </c>
      <c r="Q98" s="0" t="n">
        <v>0.0940291616488717</v>
      </c>
      <c r="R98" s="0" t="n">
        <v>2.93442239804111</v>
      </c>
      <c r="S98" s="0" t="n">
        <v>287</v>
      </c>
      <c r="T98" s="0" t="n">
        <v>2175</v>
      </c>
      <c r="U98" s="0" t="n">
        <v>0</v>
      </c>
      <c r="V98" s="0" t="n">
        <v>13.2979281956506</v>
      </c>
      <c r="W98" s="0" t="n">
        <v>20220630</v>
      </c>
      <c r="X98" s="0" t="n">
        <v>1.21491549982209</v>
      </c>
      <c r="Y98" s="0" t="n">
        <v>13.12</v>
      </c>
      <c r="Z98" s="0" t="s">
        <v>105</v>
      </c>
      <c r="AA98" s="0" t="n">
        <f aca="false">IF(AND(ISNUMBER(B98),B98&gt;0,ISNUMBER(U98),U98&gt;=0,ISNUMBER(O98),O98&gt;=0),1,0)</f>
        <v>1</v>
      </c>
      <c r="AB98" s="0" t="n">
        <f aca="false">IF(AA98=1,U98+O98,0)</f>
        <v>3505</v>
      </c>
      <c r="AC98" s="0" t="n">
        <f aca="false">IF(AA98=1,100*AB98/B98,"")</f>
        <v>0.0642568190142986</v>
      </c>
      <c r="AD98" s="0" t="n">
        <f aca="false">IF(AND(AND(ISNUMBER(B98),B98=OriginalFinancials!B98),AND(ISNUMBER(U98),U98=OriginalFinancials!U98),AND(ISNUMBER(O98),O98=OriginalFinancials!O98)),0,1)</f>
        <v>0</v>
      </c>
      <c r="AE98" s="0" t="str">
        <f aca="false">IF(V98=0,"原始0：需核实适用/报告口径","")</f>
        <v/>
      </c>
    </row>
    <row r="99" customFormat="false" ht="15" hidden="false" customHeight="false" outlineLevel="0" collapsed="false">
      <c r="A99" s="0" t="n">
        <v>99</v>
      </c>
      <c r="B99" s="0" t="n">
        <v>2595799</v>
      </c>
      <c r="C99" s="0" t="n">
        <v>4256</v>
      </c>
      <c r="D99" s="0" t="n">
        <v>2252978</v>
      </c>
      <c r="E99" s="0" t="n">
        <v>0.07</v>
      </c>
      <c r="F99" s="0" t="n">
        <v>198923</v>
      </c>
      <c r="G99" s="0" t="n">
        <v>7.66326668590288</v>
      </c>
      <c r="H99" s="0" t="s">
        <v>254</v>
      </c>
      <c r="I99" s="0" t="n">
        <v>0.9055674427236</v>
      </c>
      <c r="J99" s="0" t="n">
        <v>229669</v>
      </c>
      <c r="K99" s="0" t="n">
        <v>21356</v>
      </c>
      <c r="L99" s="0" t="n">
        <v>1789044</v>
      </c>
      <c r="M99" s="0" t="n">
        <v>1772843</v>
      </c>
      <c r="N99" s="0" t="n">
        <v>1445139</v>
      </c>
      <c r="O99" s="0" t="n">
        <v>4812</v>
      </c>
      <c r="P99" s="0" t="s">
        <v>196</v>
      </c>
      <c r="Q99" s="0" t="n">
        <v>0.273218545770814</v>
      </c>
      <c r="R99" s="0" t="n">
        <v>3.13072504237486</v>
      </c>
      <c r="S99" s="0" t="n">
        <v>220</v>
      </c>
      <c r="T99" s="0" t="n">
        <v>997</v>
      </c>
      <c r="U99" s="0" t="n">
        <v>76</v>
      </c>
      <c r="V99" s="0" t="n">
        <v>13.5641154228502</v>
      </c>
      <c r="W99" s="0" t="n">
        <v>20220630</v>
      </c>
      <c r="X99" s="0" t="n">
        <v>1.58945046854303</v>
      </c>
      <c r="Y99" s="0" t="n">
        <v>19.49</v>
      </c>
      <c r="Z99" s="0" t="s">
        <v>105</v>
      </c>
      <c r="AA99" s="0" t="n">
        <f aca="false">IF(AND(ISNUMBER(B99),B99&gt;0,ISNUMBER(U99),U99&gt;=0,ISNUMBER(O99),O99&gt;=0),1,0)</f>
        <v>1</v>
      </c>
      <c r="AB99" s="0" t="n">
        <f aca="false">IF(AA99=1,U99+O99,0)</f>
        <v>4888</v>
      </c>
      <c r="AC99" s="0" t="n">
        <f aca="false">IF(AA99=1,100*AB99/B99,"")</f>
        <v>0.188304256223228</v>
      </c>
      <c r="AD99" s="0" t="n">
        <f aca="false">IF(AND(AND(ISNUMBER(B99),B99=OriginalFinancials!B99),AND(ISNUMBER(U99),U99=OriginalFinancials!U99),AND(ISNUMBER(O99),O99=OriginalFinancials!O99)),0,1)</f>
        <v>0</v>
      </c>
      <c r="AE99" s="0" t="str">
        <f aca="false">IF(V99=0,"原始0：需核实适用/报告口径","")</f>
        <v/>
      </c>
    </row>
    <row r="100" customFormat="false" ht="15" hidden="false" customHeight="false" outlineLevel="0" collapsed="false">
      <c r="A100" s="0" t="n">
        <v>100</v>
      </c>
      <c r="B100" s="0" t="n">
        <v>670113</v>
      </c>
      <c r="C100" s="0" t="n">
        <v>59086</v>
      </c>
      <c r="D100" s="0" t="n">
        <v>597579</v>
      </c>
      <c r="E100" s="0" t="n">
        <v>0.16</v>
      </c>
      <c r="F100" s="0" t="n">
        <v>69673</v>
      </c>
      <c r="G100" s="0" t="n">
        <v>10.3972016659877</v>
      </c>
      <c r="H100" s="0" t="s">
        <v>255</v>
      </c>
      <c r="I100" s="0" t="n">
        <v>1.16814424400154</v>
      </c>
      <c r="J100" s="0" t="n">
        <v>114300</v>
      </c>
      <c r="K100" s="0" t="n">
        <v>0</v>
      </c>
      <c r="L100" s="0" t="n">
        <v>534095</v>
      </c>
      <c r="M100" s="0" t="n">
        <v>527856</v>
      </c>
      <c r="N100" s="0" t="n">
        <v>420476</v>
      </c>
      <c r="O100" s="0" t="n">
        <v>2111</v>
      </c>
      <c r="P100" s="0" t="s">
        <v>198</v>
      </c>
      <c r="Q100" s="0" t="n">
        <v>0.0638463194749997</v>
      </c>
      <c r="R100" s="0" t="n">
        <v>3.41245944030732</v>
      </c>
      <c r="S100" s="0" t="n">
        <v>0</v>
      </c>
      <c r="T100" s="0" t="n">
        <v>0</v>
      </c>
      <c r="U100" s="0" t="n">
        <v>341</v>
      </c>
      <c r="V100" s="0" t="n">
        <v>13.6305606679535</v>
      </c>
      <c r="W100" s="0" t="n">
        <v>20220630</v>
      </c>
      <c r="X100" s="0" t="n">
        <v>1.26067262302423</v>
      </c>
      <c r="Y100" s="0" t="n">
        <v>12.86</v>
      </c>
      <c r="Z100" s="0" t="s">
        <v>123</v>
      </c>
      <c r="AA100" s="0" t="n">
        <f aca="false">IF(AND(ISNUMBER(B100),B100&gt;0,ISNUMBER(U100),U100&gt;=0,ISNUMBER(O100),O100&gt;=0),1,0)</f>
        <v>1</v>
      </c>
      <c r="AB100" s="0" t="n">
        <f aca="false">IF(AA100=1,U100+O100,0)</f>
        <v>2452</v>
      </c>
      <c r="AC100" s="0" t="n">
        <f aca="false">IF(AA100=1,100*AB100/B100,"")</f>
        <v>0.365908436338349</v>
      </c>
      <c r="AD100" s="0" t="n">
        <f aca="false">IF(AND(AND(ISNUMBER(B100),B100=OriginalFinancials!B100),AND(ISNUMBER(U100),U100=OriginalFinancials!U100),AND(ISNUMBER(O100),O100=OriginalFinancials!O100)),0,1)</f>
        <v>0</v>
      </c>
      <c r="AE100" s="0" t="str">
        <f aca="false">IF(V100=0,"原始0：需核实适用/报告口径","")</f>
        <v/>
      </c>
    </row>
    <row r="101" customFormat="false" ht="15" hidden="false" customHeight="false" outlineLevel="0" collapsed="false">
      <c r="A101" s="0" t="n">
        <v>101</v>
      </c>
      <c r="B101" s="0" t="n">
        <v>167702</v>
      </c>
      <c r="C101" s="0" t="n">
        <v>59176</v>
      </c>
      <c r="D101" s="0" t="n">
        <v>142565</v>
      </c>
      <c r="E101" s="0" t="n">
        <v>0.32</v>
      </c>
      <c r="F101" s="0" t="n">
        <v>21565</v>
      </c>
      <c r="G101" s="0" t="n">
        <v>12.8591191518288</v>
      </c>
      <c r="H101" s="0" t="s">
        <v>256</v>
      </c>
      <c r="I101" s="0" t="n">
        <v>0.87191531803996</v>
      </c>
      <c r="J101" s="0" t="n">
        <v>18121</v>
      </c>
      <c r="K101" s="0" t="n">
        <v>13</v>
      </c>
      <c r="L101" s="0" t="n">
        <v>124324</v>
      </c>
      <c r="M101" s="0" t="n">
        <v>123240</v>
      </c>
      <c r="N101" s="0" t="n">
        <v>106199</v>
      </c>
      <c r="O101" s="0" t="n">
        <v>39</v>
      </c>
      <c r="P101" s="0" t="s">
        <v>200</v>
      </c>
      <c r="Q101" s="0" t="n">
        <v>0.0313696470512531</v>
      </c>
      <c r="R101" s="0" t="n">
        <v>3.10754446567691</v>
      </c>
      <c r="S101" s="0" t="n">
        <v>0</v>
      </c>
      <c r="T101" s="0" t="n">
        <v>0</v>
      </c>
      <c r="U101" s="0" t="n">
        <v>0</v>
      </c>
      <c r="V101" s="0" t="n">
        <v>18.8872412922766</v>
      </c>
      <c r="W101" s="0" t="n">
        <v>20220630</v>
      </c>
      <c r="X101" s="0" t="n">
        <v>0.166567358214614</v>
      </c>
      <c r="Y101" s="0" t="n">
        <v>1.23</v>
      </c>
      <c r="Z101" s="0" t="s">
        <v>123</v>
      </c>
      <c r="AA101" s="0" t="n">
        <f aca="false">IF(AND(ISNUMBER(B101),B101&gt;0,ISNUMBER(U101),U101&gt;=0,ISNUMBER(O101),O101&gt;=0),1,0)</f>
        <v>1</v>
      </c>
      <c r="AB101" s="0" t="n">
        <f aca="false">IF(AA101=1,U101+O101,0)</f>
        <v>39</v>
      </c>
      <c r="AC101" s="0" t="n">
        <f aca="false">IF(AA101=1,100*AB101/B101,"")</f>
        <v>0.0232555366065998</v>
      </c>
      <c r="AD101" s="0" t="n">
        <f aca="false">IF(AND(AND(ISNUMBER(B101),B101=OriginalFinancials!B101),AND(ISNUMBER(U101),U101=OriginalFinancials!U101),AND(ISNUMBER(O101),O101=OriginalFinancials!O101)),0,1)</f>
        <v>0</v>
      </c>
      <c r="AE101" s="0" t="str">
        <f aca="false">IF(V101=0,"原始0：需核实适用/报告口径","")</f>
        <v/>
      </c>
    </row>
    <row r="102" customFormat="false" ht="15" hidden="false" customHeight="false" outlineLevel="0" collapsed="false">
      <c r="A102" s="0" t="n">
        <v>102</v>
      </c>
      <c r="B102" s="0" t="n">
        <v>998962</v>
      </c>
      <c r="C102" s="0" t="n">
        <v>6271</v>
      </c>
      <c r="D102" s="0" t="n">
        <v>873100</v>
      </c>
      <c r="E102" s="0" t="n">
        <v>0.24</v>
      </c>
      <c r="F102" s="0" t="n">
        <v>86133</v>
      </c>
      <c r="G102" s="0" t="n">
        <v>8.62224989539142</v>
      </c>
      <c r="H102" s="0" t="s">
        <v>257</v>
      </c>
      <c r="I102" s="0" t="n">
        <v>1.16920114292856</v>
      </c>
      <c r="J102" s="0" t="n">
        <v>120847</v>
      </c>
      <c r="K102" s="0" t="n">
        <v>3287</v>
      </c>
      <c r="L102" s="0" t="n">
        <v>704156</v>
      </c>
      <c r="M102" s="0" t="n">
        <v>695923</v>
      </c>
      <c r="N102" s="0" t="n">
        <v>539059</v>
      </c>
      <c r="O102" s="0" t="n">
        <v>4860</v>
      </c>
      <c r="P102" s="0" t="s">
        <v>202</v>
      </c>
      <c r="Q102" s="0" t="n">
        <v>0.726543550008805</v>
      </c>
      <c r="R102" s="0" t="n">
        <v>3.30121090928702</v>
      </c>
      <c r="S102" s="0" t="n">
        <v>678</v>
      </c>
      <c r="T102" s="0" t="n">
        <v>1806</v>
      </c>
      <c r="U102" s="0" t="n">
        <v>256</v>
      </c>
      <c r="V102" s="0" t="n">
        <v>15.083968855691</v>
      </c>
      <c r="W102" s="0" t="n">
        <v>20220630</v>
      </c>
      <c r="X102" s="0" t="n">
        <v>1.1474856564293</v>
      </c>
      <c r="Y102" s="0" t="n">
        <v>12.71</v>
      </c>
      <c r="Z102" s="0" t="s">
        <v>112</v>
      </c>
      <c r="AA102" s="0" t="n">
        <f aca="false">IF(AND(ISNUMBER(B102),B102&gt;0,ISNUMBER(U102),U102&gt;=0,ISNUMBER(O102),O102&gt;=0),1,0)</f>
        <v>1</v>
      </c>
      <c r="AB102" s="0" t="n">
        <f aca="false">IF(AA102=1,U102+O102,0)</f>
        <v>5116</v>
      </c>
      <c r="AC102" s="0" t="n">
        <f aca="false">IF(AA102=1,100*AB102/B102,"")</f>
        <v>0.512131592593112</v>
      </c>
      <c r="AD102" s="0" t="n">
        <f aca="false">IF(AND(AND(ISNUMBER(B102),B102=OriginalFinancials!B102),AND(ISNUMBER(U102),U102=OriginalFinancials!U102),AND(ISNUMBER(O102),O102=OriginalFinancials!O102)),0,1)</f>
        <v>0</v>
      </c>
      <c r="AE102" s="0" t="str">
        <f aca="false">IF(V102=0,"原始0：需核实适用/报告口径","")</f>
        <v/>
      </c>
    </row>
    <row r="103" customFormat="false" ht="15" hidden="false" customHeight="false" outlineLevel="0" collapsed="false">
      <c r="A103" s="0" t="n">
        <v>103</v>
      </c>
      <c r="B103" s="0" t="n">
        <v>532831</v>
      </c>
      <c r="C103" s="0" t="n">
        <v>6275</v>
      </c>
      <c r="D103" s="0" t="n">
        <v>476559</v>
      </c>
      <c r="E103" s="0" t="n">
        <v>-0.11</v>
      </c>
      <c r="F103" s="0" t="n">
        <v>27657</v>
      </c>
      <c r="G103" s="0" t="n">
        <v>5.19057637412238</v>
      </c>
      <c r="H103" s="0" t="s">
        <v>258</v>
      </c>
      <c r="I103" s="0" t="n">
        <v>0.966814379179047</v>
      </c>
      <c r="J103" s="0" t="n">
        <v>24306</v>
      </c>
      <c r="K103" s="0" t="n">
        <v>12786</v>
      </c>
      <c r="L103" s="0" t="n">
        <v>291783</v>
      </c>
      <c r="M103" s="0" t="n">
        <v>288962</v>
      </c>
      <c r="N103" s="0" t="n">
        <v>243597</v>
      </c>
      <c r="O103" s="0" t="n">
        <v>1592</v>
      </c>
      <c r="P103" s="0" t="s">
        <v>204</v>
      </c>
      <c r="Q103" s="0" t="n">
        <v>0.545610950603702</v>
      </c>
      <c r="R103" s="0" t="n">
        <v>2.63578513235654</v>
      </c>
      <c r="S103" s="0" t="n">
        <v>-1</v>
      </c>
      <c r="T103" s="0" t="n">
        <v>126</v>
      </c>
      <c r="U103" s="0" t="n">
        <v>0</v>
      </c>
      <c r="V103" s="0" t="n">
        <v>16.2688855607059</v>
      </c>
      <c r="W103" s="0" t="n">
        <v>20220630</v>
      </c>
      <c r="X103" s="0" t="n">
        <v>0.557908413754798</v>
      </c>
      <c r="Y103" s="0" t="n">
        <v>8.86</v>
      </c>
      <c r="Z103" s="0" t="s">
        <v>112</v>
      </c>
      <c r="AA103" s="0" t="n">
        <f aca="false">IF(AND(ISNUMBER(B103),B103&gt;0,ISNUMBER(U103),U103&gt;=0,ISNUMBER(O103),O103&gt;=0),1,0)</f>
        <v>1</v>
      </c>
      <c r="AB103" s="0" t="n">
        <f aca="false">IF(AA103=1,U103+O103,0)</f>
        <v>1592</v>
      </c>
      <c r="AC103" s="0" t="n">
        <f aca="false">IF(AA103=1,100*AB103/B103,"")</f>
        <v>0.298781414745013</v>
      </c>
      <c r="AD103" s="0" t="n">
        <f aca="false">IF(AND(AND(ISNUMBER(B103),B103=OriginalFinancials!B103),AND(ISNUMBER(U103),U103=OriginalFinancials!U103),AND(ISNUMBER(O103),O103=OriginalFinancials!O103)),0,1)</f>
        <v>0</v>
      </c>
      <c r="AE103" s="0" t="str">
        <f aca="false">IF(V103=0,"原始0：需核实适用/报告口径","")</f>
        <v/>
      </c>
    </row>
    <row r="104" customFormat="false" ht="15" hidden="false" customHeight="false" outlineLevel="0" collapsed="false">
      <c r="A104" s="0" t="n">
        <v>104</v>
      </c>
      <c r="B104" s="0" t="n">
        <v>86239</v>
      </c>
      <c r="C104" s="0" t="n">
        <v>6280</v>
      </c>
      <c r="D104" s="0" t="n">
        <v>77591</v>
      </c>
      <c r="E104" s="0" t="n">
        <v>0.03</v>
      </c>
      <c r="F104" s="0" t="n">
        <v>8210</v>
      </c>
      <c r="G104" s="0" t="n">
        <v>9.52005473161794</v>
      </c>
      <c r="H104" s="0" t="s">
        <v>259</v>
      </c>
      <c r="I104" s="0" t="n">
        <v>1.33097288162871</v>
      </c>
      <c r="J104" s="0" t="n">
        <v>3382</v>
      </c>
      <c r="K104" s="0" t="n">
        <v>2008</v>
      </c>
      <c r="L104" s="0" t="n">
        <v>62135</v>
      </c>
      <c r="M104" s="0" t="n">
        <v>61308</v>
      </c>
      <c r="N104" s="0" t="n">
        <v>53194</v>
      </c>
      <c r="O104" s="0" t="n">
        <v>755</v>
      </c>
      <c r="P104" s="0" t="s">
        <v>206</v>
      </c>
      <c r="Q104" s="0" t="n">
        <v>1.21509616158365</v>
      </c>
      <c r="R104" s="0" t="n">
        <v>3.96841017566304</v>
      </c>
      <c r="S104" s="0" t="n">
        <v>-2</v>
      </c>
      <c r="T104" s="0" t="n">
        <v>120</v>
      </c>
      <c r="U104" s="0" t="n">
        <v>0</v>
      </c>
      <c r="V104" s="0" t="n">
        <v>0</v>
      </c>
      <c r="W104" s="0" t="n">
        <v>20220630</v>
      </c>
      <c r="X104" s="0" t="n">
        <v>1.36158225247961</v>
      </c>
      <c r="Y104" s="0" t="n">
        <v>14.37</v>
      </c>
      <c r="Z104" s="0" t="s">
        <v>112</v>
      </c>
      <c r="AA104" s="0" t="n">
        <f aca="false">IF(AND(ISNUMBER(B104),B104&gt;0,ISNUMBER(U104),U104&gt;=0,ISNUMBER(O104),O104&gt;=0),1,0)</f>
        <v>1</v>
      </c>
      <c r="AB104" s="0" t="n">
        <f aca="false">IF(AA104=1,U104+O104,0)</f>
        <v>755</v>
      </c>
      <c r="AC104" s="0" t="n">
        <f aca="false">IF(AA104=1,100*AB104/B104,"")</f>
        <v>0.875473973492272</v>
      </c>
      <c r="AD104" s="0" t="n">
        <f aca="false">IF(AND(AND(ISNUMBER(B104),B104=OriginalFinancials!B104),AND(ISNUMBER(U104),U104=OriginalFinancials!U104),AND(ISNUMBER(O104),O104=OriginalFinancials!O104)),0,1)</f>
        <v>0</v>
      </c>
      <c r="AE104" s="0" t="str">
        <f aca="false">IF(V104=0,"原始0：需核实适用/报告口径","")</f>
        <v>原始0：需核实适用/报告口径</v>
      </c>
    </row>
    <row r="105" customFormat="false" ht="15" hidden="false" customHeight="false" outlineLevel="0" collapsed="false">
      <c r="A105" s="0" t="n">
        <v>105</v>
      </c>
      <c r="B105" s="0" t="n">
        <v>3837295</v>
      </c>
      <c r="C105" s="0" t="n">
        <v>11971</v>
      </c>
      <c r="D105" s="0" t="n">
        <v>3143267</v>
      </c>
      <c r="E105" s="0" t="n">
        <v>0.09</v>
      </c>
      <c r="F105" s="0" t="n">
        <v>434474</v>
      </c>
      <c r="G105" s="0" t="n">
        <v>11.3224028905779</v>
      </c>
      <c r="H105" s="0" t="s">
        <v>260</v>
      </c>
      <c r="I105" s="0" t="n">
        <v>0.877410177509148</v>
      </c>
      <c r="J105" s="0" t="n">
        <v>216709</v>
      </c>
      <c r="K105" s="0" t="n">
        <v>8133</v>
      </c>
      <c r="L105" s="0" t="n">
        <v>2851346</v>
      </c>
      <c r="M105" s="0" t="n">
        <v>2826328</v>
      </c>
      <c r="N105" s="0" t="n">
        <v>2481945</v>
      </c>
      <c r="O105" s="0" t="n">
        <v>7772</v>
      </c>
      <c r="P105" s="0" t="s">
        <v>104</v>
      </c>
      <c r="Q105" s="0" t="n">
        <v>0.281621381621171</v>
      </c>
      <c r="R105" s="0" t="n">
        <v>3.30384258983793</v>
      </c>
      <c r="S105" s="0" t="n">
        <v>-83</v>
      </c>
      <c r="T105" s="0" t="n">
        <v>1064</v>
      </c>
      <c r="U105" s="0" t="n">
        <v>258</v>
      </c>
      <c r="V105" s="0" t="n">
        <v>13.2170291052592</v>
      </c>
      <c r="W105" s="0" t="n">
        <v>20220930</v>
      </c>
      <c r="X105" s="0" t="n">
        <v>1.23205511199835</v>
      </c>
      <c r="Y105" s="0" t="n">
        <v>10.09</v>
      </c>
      <c r="Z105" s="0" t="s">
        <v>105</v>
      </c>
      <c r="AA105" s="0" t="n">
        <f aca="false">IF(AND(ISNUMBER(B105),B105&gt;0,ISNUMBER(U105),U105&gt;=0,ISNUMBER(O105),O105&gt;=0),1,0)</f>
        <v>1</v>
      </c>
      <c r="AB105" s="0" t="n">
        <f aca="false">IF(AA105=1,U105+O105,0)</f>
        <v>8030</v>
      </c>
      <c r="AC105" s="0" t="n">
        <f aca="false">IF(AA105=1,100*AB105/B105,"")</f>
        <v>0.20926199314882</v>
      </c>
      <c r="AD105" s="0" t="n">
        <f aca="false">IF(AND(AND(ISNUMBER(B105),B105=OriginalFinancials!B105),AND(ISNUMBER(U105),U105=OriginalFinancials!U105),AND(ISNUMBER(O105),O105=OriginalFinancials!O105)),0,1)</f>
        <v>0</v>
      </c>
      <c r="AE105" s="0" t="str">
        <f aca="false">IF(V105=0,"原始0：需核实适用/报告口径","")</f>
        <v/>
      </c>
    </row>
    <row r="106" customFormat="false" ht="15" hidden="false" customHeight="false" outlineLevel="0" collapsed="false">
      <c r="A106" s="0" t="n">
        <v>106</v>
      </c>
      <c r="B106" s="0" t="n">
        <v>965147</v>
      </c>
      <c r="C106" s="0" t="n">
        <v>12874</v>
      </c>
      <c r="D106" s="0" t="n">
        <v>851082</v>
      </c>
      <c r="E106" s="0" t="n">
        <v>0</v>
      </c>
      <c r="F106" s="0" t="n">
        <v>93663</v>
      </c>
      <c r="G106" s="0" t="n">
        <v>9.70453205573866</v>
      </c>
      <c r="H106" s="0" t="s">
        <v>261</v>
      </c>
      <c r="I106" s="0" t="n">
        <v>1.07354570976552</v>
      </c>
      <c r="J106" s="0" t="n">
        <v>125703</v>
      </c>
      <c r="K106" s="0" t="n">
        <v>5372</v>
      </c>
      <c r="L106" s="0" t="n">
        <v>734482</v>
      </c>
      <c r="M106" s="0" t="n">
        <v>726597</v>
      </c>
      <c r="N106" s="0" t="n">
        <v>586996</v>
      </c>
      <c r="O106" s="0" t="n">
        <v>577</v>
      </c>
      <c r="P106" s="0" t="s">
        <v>107</v>
      </c>
      <c r="Q106" s="0" t="n">
        <v>0.0841409319765494</v>
      </c>
      <c r="R106" s="0" t="n">
        <v>3.647985444362</v>
      </c>
      <c r="S106" s="0" t="n">
        <v>-82</v>
      </c>
      <c r="T106" s="0" t="n">
        <v>774</v>
      </c>
      <c r="U106" s="0" t="n">
        <v>41</v>
      </c>
      <c r="V106" s="0" t="n">
        <v>15.4817930258654</v>
      </c>
      <c r="W106" s="0" t="n">
        <v>20220930</v>
      </c>
      <c r="X106" s="0" t="n">
        <v>0.995017130979604</v>
      </c>
      <c r="Y106" s="0" t="n">
        <v>9.85</v>
      </c>
      <c r="Z106" s="0" t="s">
        <v>105</v>
      </c>
      <c r="AA106" s="0" t="n">
        <f aca="false">IF(AND(ISNUMBER(B106),B106&gt;0,ISNUMBER(U106),U106&gt;=0,ISNUMBER(O106),O106&gt;=0),1,0)</f>
        <v>1</v>
      </c>
      <c r="AB106" s="0" t="n">
        <f aca="false">IF(AA106=1,U106+O106,0)</f>
        <v>618</v>
      </c>
      <c r="AC106" s="0" t="n">
        <f aca="false">IF(AA106=1,100*AB106/B106,"")</f>
        <v>0.064031696725991</v>
      </c>
      <c r="AD106" s="0" t="n">
        <f aca="false">IF(AND(AND(ISNUMBER(B106),B106=OriginalFinancials!B106),AND(ISNUMBER(U106),U106=OriginalFinancials!U106),AND(ISNUMBER(O106),O106=OriginalFinancials!O106)),0,1)</f>
        <v>0</v>
      </c>
      <c r="AE106" s="0" t="str">
        <f aca="false">IF(V106=0,"原始0：需核实适用/报告口径","")</f>
        <v/>
      </c>
    </row>
    <row r="107" customFormat="false" ht="15" hidden="false" customHeight="false" outlineLevel="0" collapsed="false">
      <c r="A107" s="0" t="n">
        <v>107</v>
      </c>
      <c r="B107" s="0" t="n">
        <v>1877331</v>
      </c>
      <c r="C107" s="0" t="n">
        <v>13063</v>
      </c>
      <c r="D107" s="0" t="n">
        <v>1697083</v>
      </c>
      <c r="E107" s="0" t="n">
        <v>-0.11</v>
      </c>
      <c r="F107" s="0" t="n">
        <v>131833</v>
      </c>
      <c r="G107" s="0" t="n">
        <v>7.02236313148827</v>
      </c>
      <c r="H107" s="0" t="s">
        <v>262</v>
      </c>
      <c r="I107" s="0" t="n">
        <v>1.04521315964769</v>
      </c>
      <c r="J107" s="0" t="n">
        <v>41370</v>
      </c>
      <c r="K107" s="0" t="n">
        <v>860</v>
      </c>
      <c r="L107" s="0" t="n">
        <v>1297056</v>
      </c>
      <c r="M107" s="0" t="n">
        <v>1283499</v>
      </c>
      <c r="N107" s="0" t="n">
        <v>1247709</v>
      </c>
      <c r="O107" s="0" t="n">
        <v>354</v>
      </c>
      <c r="P107" s="0" t="s">
        <v>109</v>
      </c>
      <c r="Q107" s="0" t="n">
        <v>0.1020002220413</v>
      </c>
      <c r="R107" s="0" t="n">
        <v>3.4335478478502</v>
      </c>
      <c r="S107" s="0" t="n">
        <v>-161</v>
      </c>
      <c r="T107" s="0" t="n">
        <v>61</v>
      </c>
      <c r="U107" s="0" t="n">
        <v>969</v>
      </c>
      <c r="V107" s="0" t="n">
        <v>0</v>
      </c>
      <c r="W107" s="0" t="n">
        <v>20220930</v>
      </c>
      <c r="X107" s="0" t="n">
        <v>0.78572349668144</v>
      </c>
      <c r="Y107" s="0" t="n">
        <v>9.81</v>
      </c>
      <c r="Z107" s="0" t="s">
        <v>105</v>
      </c>
      <c r="AA107" s="0" t="n">
        <f aca="false">IF(AND(ISNUMBER(B107),B107&gt;0,ISNUMBER(U107),U107&gt;=0,ISNUMBER(O107),O107&gt;=0),1,0)</f>
        <v>1</v>
      </c>
      <c r="AB107" s="0" t="n">
        <f aca="false">IF(AA107=1,U107+O107,0)</f>
        <v>1323</v>
      </c>
      <c r="AC107" s="0" t="n">
        <f aca="false">IF(AA107=1,100*AB107/B107,"")</f>
        <v>0.0704723887263354</v>
      </c>
      <c r="AD107" s="0" t="n">
        <f aca="false">IF(AND(AND(ISNUMBER(B107),B107=OriginalFinancials!B107),AND(ISNUMBER(U107),U107=OriginalFinancials!U107),AND(ISNUMBER(O107),O107=OriginalFinancials!O107)),0,1)</f>
        <v>0</v>
      </c>
      <c r="AE107" s="0" t="str">
        <f aca="false">IF(V107=0,"原始0：需核实适用/报告口径","")</f>
        <v>原始0：需核实适用/报告口径</v>
      </c>
    </row>
    <row r="108" customFormat="false" ht="15" hidden="false" customHeight="false" outlineLevel="0" collapsed="false">
      <c r="A108" s="0" t="n">
        <v>108</v>
      </c>
      <c r="B108" s="0" t="n">
        <v>838498</v>
      </c>
      <c r="C108" s="0" t="n">
        <v>14134</v>
      </c>
      <c r="D108" s="0" t="n">
        <v>723891</v>
      </c>
      <c r="E108" s="0" t="n">
        <v>0.1</v>
      </c>
      <c r="F108" s="0" t="n">
        <v>91539</v>
      </c>
      <c r="G108" s="0" t="n">
        <v>10.917020672679</v>
      </c>
      <c r="H108" s="0" t="s">
        <v>263</v>
      </c>
      <c r="I108" s="0" t="n">
        <v>1.35533782932157</v>
      </c>
      <c r="J108" s="0" t="n">
        <v>29795</v>
      </c>
      <c r="K108" s="0" t="n">
        <v>22934</v>
      </c>
      <c r="L108" s="0" t="n">
        <v>626781</v>
      </c>
      <c r="M108" s="0" t="n">
        <v>618286</v>
      </c>
      <c r="N108" s="0" t="n">
        <v>548807</v>
      </c>
      <c r="O108" s="0" t="n">
        <v>6193</v>
      </c>
      <c r="P108" s="0" t="s">
        <v>111</v>
      </c>
      <c r="Q108" s="0" t="n">
        <v>0.988064411652555</v>
      </c>
      <c r="R108" s="0" t="n">
        <v>3.06728844867761</v>
      </c>
      <c r="S108" s="0" t="n">
        <v>332</v>
      </c>
      <c r="T108" s="0" t="n">
        <v>11227</v>
      </c>
      <c r="U108" s="0" t="n">
        <v>0</v>
      </c>
      <c r="V108" s="0" t="n">
        <v>17.3760103737375</v>
      </c>
      <c r="W108" s="0" t="n">
        <v>20220930</v>
      </c>
      <c r="X108" s="0" t="n">
        <v>-0.560663297121952</v>
      </c>
      <c r="Y108" s="0" t="n">
        <v>-4.85</v>
      </c>
      <c r="Z108" s="0" t="s">
        <v>112</v>
      </c>
      <c r="AA108" s="0" t="n">
        <f aca="false">IF(AND(ISNUMBER(B108),B108&gt;0,ISNUMBER(U108),U108&gt;=0,ISNUMBER(O108),O108&gt;=0),1,0)</f>
        <v>1</v>
      </c>
      <c r="AB108" s="0" t="n">
        <f aca="false">IF(AA108=1,U108+O108,0)</f>
        <v>6193</v>
      </c>
      <c r="AC108" s="0" t="n">
        <f aca="false">IF(AA108=1,100*AB108/B108,"")</f>
        <v>0.738582560721671</v>
      </c>
      <c r="AD108" s="0" t="n">
        <f aca="false">IF(AND(AND(ISNUMBER(B108),B108=OriginalFinancials!B108),AND(ISNUMBER(U108),U108=OriginalFinancials!U108),AND(ISNUMBER(O108),O108=OriginalFinancials!O108)),0,1)</f>
        <v>0</v>
      </c>
      <c r="AE108" s="0" t="str">
        <f aca="false">IF(V108=0,"原始0：需核实适用/报告口径","")</f>
        <v/>
      </c>
    </row>
    <row r="109" customFormat="false" ht="15" hidden="false" customHeight="false" outlineLevel="0" collapsed="false">
      <c r="A109" s="0" t="n">
        <v>109</v>
      </c>
      <c r="B109" s="0" t="n">
        <v>225735</v>
      </c>
      <c r="C109" s="0" t="n">
        <v>14136</v>
      </c>
      <c r="D109" s="0" t="n">
        <v>207393</v>
      </c>
      <c r="E109" s="0" t="n">
        <v>0.03</v>
      </c>
      <c r="F109" s="0" t="n">
        <v>14034</v>
      </c>
      <c r="G109" s="0" t="n">
        <v>6.21702438700246</v>
      </c>
      <c r="H109" s="0" t="s">
        <v>264</v>
      </c>
      <c r="I109" s="0" t="n">
        <v>0.991153651479554</v>
      </c>
      <c r="J109" s="0" t="n">
        <v>12989</v>
      </c>
      <c r="K109" s="0" t="n">
        <v>12223</v>
      </c>
      <c r="L109" s="0" t="n">
        <v>132371</v>
      </c>
      <c r="M109" s="0" t="n">
        <v>131059</v>
      </c>
      <c r="N109" s="0" t="n">
        <v>106837</v>
      </c>
      <c r="O109" s="0" t="n">
        <v>110</v>
      </c>
      <c r="P109" s="0" t="s">
        <v>114</v>
      </c>
      <c r="Q109" s="0" t="n">
        <v>0.618715579696459</v>
      </c>
      <c r="R109" s="0" t="n">
        <v>3.58575597517997</v>
      </c>
      <c r="S109" s="0" t="n">
        <v>89</v>
      </c>
      <c r="T109" s="0" t="n">
        <v>458</v>
      </c>
      <c r="U109" s="0" t="n">
        <v>709</v>
      </c>
      <c r="V109" s="0" t="n">
        <v>17.115209519978</v>
      </c>
      <c r="W109" s="0" t="n">
        <v>20220930</v>
      </c>
      <c r="X109" s="0" t="n">
        <v>0.393354896764142</v>
      </c>
      <c r="Y109" s="0" t="n">
        <v>4.91</v>
      </c>
      <c r="Z109" s="0" t="s">
        <v>112</v>
      </c>
      <c r="AA109" s="0" t="n">
        <f aca="false">IF(AND(ISNUMBER(B109),B109&gt;0,ISNUMBER(U109),U109&gt;=0,ISNUMBER(O109),O109&gt;=0),1,0)</f>
        <v>1</v>
      </c>
      <c r="AB109" s="0" t="n">
        <f aca="false">IF(AA109=1,U109+O109,0)</f>
        <v>819</v>
      </c>
      <c r="AC109" s="0" t="n">
        <f aca="false">IF(AA109=1,100*AB109/B109,"")</f>
        <v>0.36281480497043</v>
      </c>
      <c r="AD109" s="0" t="n">
        <f aca="false">IF(AND(AND(ISNUMBER(B109),B109=OriginalFinancials!B109),AND(ISNUMBER(U109),U109=OriginalFinancials!U109),AND(ISNUMBER(O109),O109=OriginalFinancials!O109)),0,1)</f>
        <v>0</v>
      </c>
      <c r="AE109" s="0" t="str">
        <f aca="false">IF(V109=0,"原始0：需核实适用/报告口径","")</f>
        <v/>
      </c>
    </row>
    <row r="110" customFormat="false" ht="15" hidden="false" customHeight="false" outlineLevel="0" collapsed="false">
      <c r="A110" s="0" t="n">
        <v>110</v>
      </c>
      <c r="B110" s="0" t="n">
        <v>1443158</v>
      </c>
      <c r="C110" s="0" t="n">
        <v>14140</v>
      </c>
      <c r="D110" s="0" t="n">
        <v>1246266</v>
      </c>
      <c r="E110" s="0" t="n">
        <v>0</v>
      </c>
      <c r="F110" s="0" t="n">
        <v>107668</v>
      </c>
      <c r="G110" s="0" t="n">
        <v>7.46058297151109</v>
      </c>
      <c r="H110" s="0" t="s">
        <v>265</v>
      </c>
      <c r="I110" s="0" t="n">
        <v>1.100515560594</v>
      </c>
      <c r="J110" s="0" t="n">
        <v>82112</v>
      </c>
      <c r="K110" s="0" t="n">
        <v>1215</v>
      </c>
      <c r="L110" s="0" t="n">
        <v>959732</v>
      </c>
      <c r="M110" s="0" t="n">
        <v>949170</v>
      </c>
      <c r="N110" s="0" t="n">
        <v>868686</v>
      </c>
      <c r="O110" s="0" t="n">
        <v>2457</v>
      </c>
      <c r="P110" s="0" t="s">
        <v>116</v>
      </c>
      <c r="Q110" s="0" t="n">
        <v>0.25600896917056</v>
      </c>
      <c r="R110" s="0" t="n">
        <v>3.07660660567704</v>
      </c>
      <c r="S110" s="0" t="n">
        <v>58</v>
      </c>
      <c r="T110" s="0" t="n">
        <v>187</v>
      </c>
      <c r="U110" s="0" t="n">
        <v>0</v>
      </c>
      <c r="V110" s="0" t="n">
        <v>0</v>
      </c>
      <c r="W110" s="0" t="n">
        <v>20220930</v>
      </c>
      <c r="X110" s="0" t="n">
        <v>0.69874825034993</v>
      </c>
      <c r="Y110" s="0" t="n">
        <v>8.14</v>
      </c>
      <c r="Z110" s="0" t="s">
        <v>112</v>
      </c>
      <c r="AA110" s="0" t="n">
        <f aca="false">IF(AND(ISNUMBER(B110),B110&gt;0,ISNUMBER(U110),U110&gt;=0,ISNUMBER(O110),O110&gt;=0),1,0)</f>
        <v>1</v>
      </c>
      <c r="AB110" s="0" t="n">
        <f aca="false">IF(AA110=1,U110+O110,0)</f>
        <v>2457</v>
      </c>
      <c r="AC110" s="0" t="n">
        <f aca="false">IF(AA110=1,100*AB110/B110,"")</f>
        <v>0.170251628719794</v>
      </c>
      <c r="AD110" s="0" t="n">
        <f aca="false">IF(AND(AND(ISNUMBER(B110),B110=OriginalFinancials!B110),AND(ISNUMBER(U110),U110=OriginalFinancials!U110),AND(ISNUMBER(O110),O110=OriginalFinancials!O110)),0,1)</f>
        <v>0</v>
      </c>
      <c r="AE110" s="0" t="str">
        <f aca="false">IF(V110=0,"原始0：需核实适用/报告口径","")</f>
        <v>原始0：需核实适用/报告口径</v>
      </c>
    </row>
    <row r="111" customFormat="false" ht="15" hidden="false" customHeight="false" outlineLevel="0" collapsed="false">
      <c r="A111" s="0" t="n">
        <v>111</v>
      </c>
      <c r="B111" s="0" t="n">
        <v>1299582</v>
      </c>
      <c r="C111" s="0" t="n">
        <v>14158</v>
      </c>
      <c r="D111" s="0" t="n">
        <v>1199225</v>
      </c>
      <c r="E111" s="0" t="n">
        <v>0</v>
      </c>
      <c r="F111" s="0" t="n">
        <v>65471</v>
      </c>
      <c r="G111" s="0" t="n">
        <v>5.03785063197243</v>
      </c>
      <c r="H111" s="0" t="s">
        <v>266</v>
      </c>
      <c r="I111" s="0" t="n">
        <v>0.884885330956663</v>
      </c>
      <c r="J111" s="0" t="n">
        <v>41999</v>
      </c>
      <c r="K111" s="0" t="n">
        <v>2028</v>
      </c>
      <c r="L111" s="0" t="n">
        <v>942495</v>
      </c>
      <c r="M111" s="0" t="n">
        <v>934155</v>
      </c>
      <c r="N111" s="0" t="n">
        <v>802531</v>
      </c>
      <c r="O111" s="0" t="n">
        <v>1381</v>
      </c>
      <c r="P111" s="0" t="s">
        <v>118</v>
      </c>
      <c r="Q111" s="0" t="n">
        <v>0.179205194722518</v>
      </c>
      <c r="R111" s="0" t="n">
        <v>3.42554545153671</v>
      </c>
      <c r="S111" s="0" t="n">
        <v>-4</v>
      </c>
      <c r="T111" s="0" t="n">
        <v>3371</v>
      </c>
      <c r="U111" s="0" t="n">
        <v>308</v>
      </c>
      <c r="V111" s="0" t="n">
        <v>13.6509765861944</v>
      </c>
      <c r="W111" s="0" t="n">
        <v>20220930</v>
      </c>
      <c r="X111" s="0" t="n">
        <v>1.06363308286789</v>
      </c>
      <c r="Y111" s="0" t="n">
        <v>16.08</v>
      </c>
      <c r="Z111" s="0" t="s">
        <v>112</v>
      </c>
      <c r="AA111" s="0" t="n">
        <f aca="false">IF(AND(ISNUMBER(B111),B111&gt;0,ISNUMBER(U111),U111&gt;=0,ISNUMBER(O111),O111&gt;=0),1,0)</f>
        <v>1</v>
      </c>
      <c r="AB111" s="0" t="n">
        <f aca="false">IF(AA111=1,U111+O111,0)</f>
        <v>1689</v>
      </c>
      <c r="AC111" s="0" t="n">
        <f aca="false">IF(AA111=1,100*AB111/B111,"")</f>
        <v>0.129964865626024</v>
      </c>
      <c r="AD111" s="0" t="n">
        <f aca="false">IF(AND(AND(ISNUMBER(B111),B111=OriginalFinancials!B111),AND(ISNUMBER(U111),U111=OriginalFinancials!U111),AND(ISNUMBER(O111),O111=OriginalFinancials!O111)),0,1)</f>
        <v>0</v>
      </c>
      <c r="AE111" s="0" t="str">
        <f aca="false">IF(V111=0,"原始0：需核实适用/报告口径","")</f>
        <v/>
      </c>
    </row>
    <row r="112" customFormat="false" ht="15" hidden="false" customHeight="false" outlineLevel="0" collapsed="false">
      <c r="A112" s="0" t="n">
        <v>112</v>
      </c>
      <c r="B112" s="0" t="n">
        <v>365479</v>
      </c>
      <c r="C112" s="0" t="n">
        <v>14168</v>
      </c>
      <c r="D112" s="0" t="n">
        <v>330944</v>
      </c>
      <c r="E112" s="0" t="n">
        <v>0</v>
      </c>
      <c r="F112" s="0" t="n">
        <v>29862</v>
      </c>
      <c r="G112" s="0" t="n">
        <v>8.17064728753225</v>
      </c>
      <c r="H112" s="0" t="s">
        <v>267</v>
      </c>
      <c r="I112" s="0" t="n">
        <v>1.4693416219271</v>
      </c>
      <c r="J112" s="0" t="n">
        <v>10617</v>
      </c>
      <c r="K112" s="0" t="n">
        <v>8545</v>
      </c>
      <c r="L112" s="0" t="n">
        <v>198184</v>
      </c>
      <c r="M112" s="0" t="n">
        <v>195272</v>
      </c>
      <c r="N112" s="0" t="n">
        <v>164935</v>
      </c>
      <c r="O112" s="0" t="n">
        <v>1286</v>
      </c>
      <c r="P112" s="0" t="s">
        <v>120</v>
      </c>
      <c r="Q112" s="0" t="n">
        <v>0.648891938804344</v>
      </c>
      <c r="R112" s="0" t="n">
        <v>2.87830679115721</v>
      </c>
      <c r="S112" s="0" t="n">
        <v>52</v>
      </c>
      <c r="T112" s="0" t="n">
        <v>282</v>
      </c>
      <c r="U112" s="0" t="n">
        <v>0</v>
      </c>
      <c r="V112" s="0" t="n">
        <v>18.8524471995963</v>
      </c>
      <c r="W112" s="0" t="n">
        <v>20220930</v>
      </c>
      <c r="X112" s="0" t="n">
        <v>0.453583932259783</v>
      </c>
      <c r="Y112" s="0" t="n">
        <v>5.07</v>
      </c>
      <c r="Z112" s="0" t="s">
        <v>112</v>
      </c>
      <c r="AA112" s="0" t="n">
        <f aca="false">IF(AND(ISNUMBER(B112),B112&gt;0,ISNUMBER(U112),U112&gt;=0,ISNUMBER(O112),O112&gt;=0),1,0)</f>
        <v>1</v>
      </c>
      <c r="AB112" s="0" t="n">
        <f aca="false">IF(AA112=1,U112+O112,0)</f>
        <v>1286</v>
      </c>
      <c r="AC112" s="0" t="n">
        <f aca="false">IF(AA112=1,100*AB112/B112,"")</f>
        <v>0.351867001934448</v>
      </c>
      <c r="AD112" s="0" t="n">
        <f aca="false">IF(AND(AND(ISNUMBER(B112),B112=OriginalFinancials!B112),AND(ISNUMBER(U112),U112=OriginalFinancials!U112),AND(ISNUMBER(O112),O112=OriginalFinancials!O112)),0,1)</f>
        <v>0</v>
      </c>
      <c r="AE112" s="0" t="str">
        <f aca="false">IF(V112=0,"原始0：需核实适用/报告口径","")</f>
        <v/>
      </c>
    </row>
    <row r="113" customFormat="false" ht="15" hidden="false" customHeight="false" outlineLevel="0" collapsed="false">
      <c r="A113" s="0" t="n">
        <v>113</v>
      </c>
      <c r="B113" s="0" t="n">
        <v>1313807</v>
      </c>
      <c r="C113" s="0" t="n">
        <v>14240</v>
      </c>
      <c r="D113" s="0" t="n">
        <v>1060386</v>
      </c>
      <c r="E113" s="0" t="n">
        <v>0.11</v>
      </c>
      <c r="F113" s="0" t="n">
        <v>76133</v>
      </c>
      <c r="G113" s="0" t="n">
        <v>5.79483896797627</v>
      </c>
      <c r="H113" s="0" t="s">
        <v>268</v>
      </c>
      <c r="I113" s="0" t="n">
        <v>1.13918376014294</v>
      </c>
      <c r="J113" s="0" t="n">
        <v>23213</v>
      </c>
      <c r="K113" s="0" t="n">
        <v>16892</v>
      </c>
      <c r="L113" s="0" t="n">
        <v>932422</v>
      </c>
      <c r="M113" s="0" t="n">
        <v>921800</v>
      </c>
      <c r="N113" s="0" t="n">
        <v>792363</v>
      </c>
      <c r="O113" s="0" t="n">
        <v>1987</v>
      </c>
      <c r="P113" s="0" t="s">
        <v>122</v>
      </c>
      <c r="Q113" s="0" t="n">
        <v>0.213100934984374</v>
      </c>
      <c r="R113" s="0" t="n">
        <v>2.96943412272245</v>
      </c>
      <c r="S113" s="0" t="n">
        <v>-106</v>
      </c>
      <c r="T113" s="0" t="n">
        <v>321</v>
      </c>
      <c r="U113" s="0" t="n">
        <v>0</v>
      </c>
      <c r="V113" s="0" t="n">
        <v>13.811186570616</v>
      </c>
      <c r="W113" s="0" t="n">
        <v>20220930</v>
      </c>
      <c r="X113" s="0" t="n">
        <v>0.005741174219091</v>
      </c>
      <c r="Y113" s="0" t="n">
        <v>0.07</v>
      </c>
      <c r="Z113" s="0" t="s">
        <v>123</v>
      </c>
      <c r="AA113" s="0" t="n">
        <f aca="false">IF(AND(ISNUMBER(B113),B113&gt;0,ISNUMBER(U113),U113&gt;=0,ISNUMBER(O113),O113&gt;=0),1,0)</f>
        <v>1</v>
      </c>
      <c r="AB113" s="0" t="n">
        <f aca="false">IF(AA113=1,U113+O113,0)</f>
        <v>1987</v>
      </c>
      <c r="AC113" s="0" t="n">
        <f aca="false">IF(AA113=1,100*AB113/B113,"")</f>
        <v>0.151239870087463</v>
      </c>
      <c r="AD113" s="0" t="n">
        <f aca="false">IF(AND(AND(ISNUMBER(B113),B113=OriginalFinancials!B113),AND(ISNUMBER(U113),U113=OriginalFinancials!U113),AND(ISNUMBER(O113),O113=OriginalFinancials!O113)),0,1)</f>
        <v>0</v>
      </c>
      <c r="AE113" s="0" t="str">
        <f aca="false">IF(V113=0,"原始0：需核实适用/报告口径","")</f>
        <v/>
      </c>
    </row>
    <row r="114" customFormat="false" ht="15" hidden="false" customHeight="false" outlineLevel="0" collapsed="false">
      <c r="A114" s="0" t="n">
        <v>114</v>
      </c>
      <c r="B114" s="0" t="n">
        <v>978552</v>
      </c>
      <c r="C114" s="0" t="n">
        <v>17115</v>
      </c>
      <c r="D114" s="0" t="n">
        <v>820800</v>
      </c>
      <c r="E114" s="0" t="n">
        <v>-0.04</v>
      </c>
      <c r="F114" s="0" t="n">
        <v>74649</v>
      </c>
      <c r="G114" s="0" t="n">
        <v>7.62851642018002</v>
      </c>
      <c r="H114" s="0" t="s">
        <v>269</v>
      </c>
      <c r="I114" s="0" t="n">
        <v>0.945751081497688</v>
      </c>
      <c r="J114" s="0" t="n">
        <v>42975</v>
      </c>
      <c r="K114" s="0" t="n">
        <v>4081</v>
      </c>
      <c r="L114" s="0" t="n">
        <v>804440</v>
      </c>
      <c r="M114" s="0" t="n">
        <v>796832</v>
      </c>
      <c r="N114" s="0" t="n">
        <v>756417</v>
      </c>
      <c r="O114" s="0" t="n">
        <v>150</v>
      </c>
      <c r="P114" s="0" t="s">
        <v>125</v>
      </c>
      <c r="Q114" s="0" t="n">
        <v>0.0186465118591815</v>
      </c>
      <c r="R114" s="0" t="n">
        <v>3.55176061857441</v>
      </c>
      <c r="S114" s="0" t="n">
        <v>213</v>
      </c>
      <c r="T114" s="0" t="n">
        <v>519</v>
      </c>
      <c r="U114" s="0" t="n">
        <v>0</v>
      </c>
      <c r="V114" s="0" t="n">
        <v>13.9033302635097</v>
      </c>
      <c r="W114" s="0" t="n">
        <v>20220930</v>
      </c>
      <c r="X114" s="0" t="n">
        <v>0.298933215145743</v>
      </c>
      <c r="Y114" s="0" t="n">
        <v>3.32</v>
      </c>
      <c r="Z114" s="0" t="s">
        <v>105</v>
      </c>
      <c r="AA114" s="0" t="n">
        <f aca="false">IF(AND(ISNUMBER(B114),B114&gt;0,ISNUMBER(U114),U114&gt;=0,ISNUMBER(O114),O114&gt;=0),1,0)</f>
        <v>1</v>
      </c>
      <c r="AB114" s="0" t="n">
        <f aca="false">IF(AA114=1,U114+O114,0)</f>
        <v>150</v>
      </c>
      <c r="AC114" s="0" t="n">
        <f aca="false">IF(AA114=1,100*AB114/B114,"")</f>
        <v>0.0153287714909376</v>
      </c>
      <c r="AD114" s="0" t="n">
        <f aca="false">IF(AND(AND(ISNUMBER(B114),B114=OriginalFinancials!B114),AND(ISNUMBER(U114),U114=OriginalFinancials!U114),AND(ISNUMBER(O114),O114=OriginalFinancials!O114)),0,1)</f>
        <v>0</v>
      </c>
      <c r="AE114" s="0" t="str">
        <f aca="false">IF(V114=0,"原始0：需核实适用/报告口径","")</f>
        <v/>
      </c>
    </row>
    <row r="115" customFormat="false" ht="15" hidden="false" customHeight="false" outlineLevel="0" collapsed="false">
      <c r="A115" s="0" t="n">
        <v>115</v>
      </c>
      <c r="B115" s="0" t="n">
        <v>1483609</v>
      </c>
      <c r="C115" s="0" t="n">
        <v>17180</v>
      </c>
      <c r="D115" s="0" t="n">
        <v>1205127</v>
      </c>
      <c r="E115" s="0" t="n">
        <v>0.08</v>
      </c>
      <c r="F115" s="0" t="n">
        <v>123922</v>
      </c>
      <c r="G115" s="0" t="n">
        <v>8.35273983913551</v>
      </c>
      <c r="H115" s="0" t="s">
        <v>270</v>
      </c>
      <c r="I115" s="0" t="n">
        <v>0.895305032457631</v>
      </c>
      <c r="J115" s="0" t="n">
        <v>48894</v>
      </c>
      <c r="K115" s="0" t="n">
        <v>194686</v>
      </c>
      <c r="L115" s="0" t="n">
        <v>1328039</v>
      </c>
      <c r="M115" s="0" t="n">
        <v>1316149</v>
      </c>
      <c r="N115" s="0" t="n">
        <v>1064900</v>
      </c>
      <c r="O115" s="0" t="n">
        <v>3999</v>
      </c>
      <c r="P115" s="0" t="s">
        <v>127</v>
      </c>
      <c r="Q115" s="0" t="n">
        <v>0.326496435722144</v>
      </c>
      <c r="R115" s="0" t="n">
        <v>3.58156355724326</v>
      </c>
      <c r="S115" s="0" t="n">
        <v>88</v>
      </c>
      <c r="T115" s="0" t="n">
        <v>1536</v>
      </c>
      <c r="U115" s="0" t="n">
        <v>337</v>
      </c>
      <c r="V115" s="0" t="n">
        <v>13.9724383504197</v>
      </c>
      <c r="W115" s="0" t="n">
        <v>20220930</v>
      </c>
      <c r="X115" s="0" t="n">
        <v>0.744248263217769</v>
      </c>
      <c r="Y115" s="0" t="n">
        <v>8.01</v>
      </c>
      <c r="Z115" s="0" t="s">
        <v>123</v>
      </c>
      <c r="AA115" s="0" t="n">
        <f aca="false">IF(AND(ISNUMBER(B115),B115&gt;0,ISNUMBER(U115),U115&gt;=0,ISNUMBER(O115),O115&gt;=0),1,0)</f>
        <v>1</v>
      </c>
      <c r="AB115" s="0" t="n">
        <f aca="false">IF(AA115=1,U115+O115,0)</f>
        <v>4336</v>
      </c>
      <c r="AC115" s="0" t="n">
        <f aca="false">IF(AA115=1,100*AB115/B115,"")</f>
        <v>0.292260292300734</v>
      </c>
      <c r="AD115" s="0" t="n">
        <f aca="false">IF(AND(AND(ISNUMBER(B115),B115=OriginalFinancials!B115),AND(ISNUMBER(U115),U115=OriginalFinancials!U115),AND(ISNUMBER(O115),O115=OriginalFinancials!O115)),0,1)</f>
        <v>0</v>
      </c>
      <c r="AE115" s="0" t="str">
        <f aca="false">IF(V115=0,"原始0：需核实适用/报告口径","")</f>
        <v/>
      </c>
    </row>
    <row r="116" customFormat="false" ht="15" hidden="false" customHeight="false" outlineLevel="0" collapsed="false">
      <c r="A116" s="0" t="n">
        <v>116</v>
      </c>
      <c r="B116" s="0" t="n">
        <v>357184</v>
      </c>
      <c r="C116" s="0" t="n">
        <v>17443</v>
      </c>
      <c r="D116" s="0" t="n">
        <v>318685</v>
      </c>
      <c r="E116" s="0" t="n">
        <v>0.06</v>
      </c>
      <c r="F116" s="0" t="n">
        <v>37316</v>
      </c>
      <c r="G116" s="0" t="n">
        <v>10.4472764737502</v>
      </c>
      <c r="H116" s="0" t="s">
        <v>271</v>
      </c>
      <c r="I116" s="0" t="n">
        <v>0.853155237590357</v>
      </c>
      <c r="J116" s="0" t="n">
        <v>0</v>
      </c>
      <c r="K116" s="0" t="n">
        <v>954</v>
      </c>
      <c r="L116" s="0" t="n">
        <v>201839</v>
      </c>
      <c r="M116" s="0" t="n">
        <v>200117</v>
      </c>
      <c r="N116" s="0" t="n">
        <v>199865</v>
      </c>
      <c r="O116" s="0" t="n">
        <v>390</v>
      </c>
      <c r="P116" s="0" t="s">
        <v>129</v>
      </c>
      <c r="Q116" s="0" t="n">
        <v>0.193223311649384</v>
      </c>
      <c r="R116" s="0" t="n">
        <v>2.10360140968621</v>
      </c>
      <c r="S116" s="0" t="n">
        <v>0</v>
      </c>
      <c r="T116" s="0" t="n">
        <v>254</v>
      </c>
      <c r="U116" s="0" t="n">
        <v>0</v>
      </c>
      <c r="V116" s="0" t="n">
        <v>0</v>
      </c>
      <c r="W116" s="0" t="n">
        <v>20220930</v>
      </c>
      <c r="X116" s="0" t="n">
        <v>0.548533001407754</v>
      </c>
      <c r="Y116" s="0" t="n">
        <v>4.6</v>
      </c>
      <c r="Z116" s="0" t="s">
        <v>123</v>
      </c>
      <c r="AA116" s="0" t="n">
        <f aca="false">IF(AND(ISNUMBER(B116),B116&gt;0,ISNUMBER(U116),U116&gt;=0,ISNUMBER(O116),O116&gt;=0),1,0)</f>
        <v>1</v>
      </c>
      <c r="AB116" s="0" t="n">
        <f aca="false">IF(AA116=1,U116+O116,0)</f>
        <v>390</v>
      </c>
      <c r="AC116" s="0" t="n">
        <f aca="false">IF(AA116=1,100*AB116/B116,"")</f>
        <v>0.109187421609031</v>
      </c>
      <c r="AD116" s="0" t="n">
        <f aca="false">IF(AND(AND(ISNUMBER(B116),B116=OriginalFinancials!B116),AND(ISNUMBER(U116),U116=OriginalFinancials!U116),AND(ISNUMBER(O116),O116=OriginalFinancials!O116)),0,1)</f>
        <v>0</v>
      </c>
      <c r="AE116" s="0" t="str">
        <f aca="false">IF(V116=0,"原始0：需核实适用/报告口径","")</f>
        <v>原始0：需核实适用/报告口径</v>
      </c>
    </row>
    <row r="117" customFormat="false" ht="15" hidden="false" customHeight="false" outlineLevel="0" collapsed="false">
      <c r="A117" s="0" t="n">
        <v>117</v>
      </c>
      <c r="B117" s="0" t="n">
        <v>1739896</v>
      </c>
      <c r="C117" s="0" t="n">
        <v>17658</v>
      </c>
      <c r="D117" s="0" t="n">
        <v>1532921</v>
      </c>
      <c r="E117" s="0" t="n">
        <v>-0.02</v>
      </c>
      <c r="F117" s="0" t="n">
        <v>175487</v>
      </c>
      <c r="G117" s="0" t="n">
        <v>10.0860626152368</v>
      </c>
      <c r="H117" s="0" t="s">
        <v>272</v>
      </c>
      <c r="I117" s="0" t="n">
        <v>0.760877367487361</v>
      </c>
      <c r="J117" s="0" t="n">
        <v>84346</v>
      </c>
      <c r="K117" s="0" t="n">
        <v>64497</v>
      </c>
      <c r="L117" s="0" t="n">
        <v>1170228</v>
      </c>
      <c r="M117" s="0" t="n">
        <v>1161324</v>
      </c>
      <c r="N117" s="0" t="n">
        <v>1008787</v>
      </c>
      <c r="O117" s="0" t="n">
        <v>395</v>
      </c>
      <c r="P117" s="0" t="s">
        <v>131</v>
      </c>
      <c r="Q117" s="0" t="n">
        <v>0.0345231869345119</v>
      </c>
      <c r="R117" s="0" t="n">
        <v>3.56751582422221</v>
      </c>
      <c r="S117" s="0" t="n">
        <v>36</v>
      </c>
      <c r="T117" s="0" t="n">
        <v>2399</v>
      </c>
      <c r="U117" s="0" t="n">
        <v>9</v>
      </c>
      <c r="V117" s="0" t="n">
        <v>0</v>
      </c>
      <c r="W117" s="0" t="n">
        <v>20220930</v>
      </c>
      <c r="X117" s="0" t="n">
        <v>-0.0199909380414695</v>
      </c>
      <c r="Y117" s="0" t="n">
        <v>-0.17</v>
      </c>
      <c r="Z117" s="0" t="s">
        <v>105</v>
      </c>
      <c r="AA117" s="0" t="n">
        <f aca="false">IF(AND(ISNUMBER(B117),B117&gt;0,ISNUMBER(U117),U117&gt;=0,ISNUMBER(O117),O117&gt;=0),1,0)</f>
        <v>1</v>
      </c>
      <c r="AB117" s="0" t="n">
        <f aca="false">IF(AA117=1,U117+O117,0)</f>
        <v>404</v>
      </c>
      <c r="AC117" s="0" t="n">
        <f aca="false">IF(AA117=1,100*AB117/B117,"")</f>
        <v>0.0232197786534368</v>
      </c>
      <c r="AD117" s="0" t="n">
        <f aca="false">IF(AND(AND(ISNUMBER(B117),B117=OriginalFinancials!B117),AND(ISNUMBER(U117),U117=OriginalFinancials!U117),AND(ISNUMBER(O117),O117=OriginalFinancials!O117)),0,1)</f>
        <v>0</v>
      </c>
      <c r="AE117" s="0" t="str">
        <f aca="false">IF(V117=0,"原始0：需核实适用/报告口径","")</f>
        <v>原始0：需核实适用/报告口径</v>
      </c>
    </row>
    <row r="118" customFormat="false" ht="15" hidden="false" customHeight="false" outlineLevel="0" collapsed="false">
      <c r="A118" s="0" t="n">
        <v>118</v>
      </c>
      <c r="B118" s="0" t="n">
        <v>1011112</v>
      </c>
      <c r="C118" s="0" t="n">
        <v>17741</v>
      </c>
      <c r="D118" s="0" t="n">
        <v>854564</v>
      </c>
      <c r="E118" s="0" t="n">
        <v>0.02</v>
      </c>
      <c r="F118" s="0" t="n">
        <v>127616</v>
      </c>
      <c r="G118" s="0" t="n">
        <v>12.621351541669</v>
      </c>
      <c r="H118" s="0" t="s">
        <v>273</v>
      </c>
      <c r="I118" s="0" t="n">
        <v>0.939976602573717</v>
      </c>
      <c r="J118" s="0" t="n">
        <v>42271</v>
      </c>
      <c r="K118" s="0" t="n">
        <v>3280</v>
      </c>
      <c r="L118" s="0" t="n">
        <v>833425</v>
      </c>
      <c r="M118" s="0" t="n">
        <v>825591</v>
      </c>
      <c r="N118" s="0" t="n">
        <v>783810</v>
      </c>
      <c r="O118" s="0" t="n">
        <v>1945</v>
      </c>
      <c r="P118" s="0" t="s">
        <v>133</v>
      </c>
      <c r="Q118" s="0" t="n">
        <v>0.233374328823829</v>
      </c>
      <c r="R118" s="0" t="n">
        <v>3.45947489455709</v>
      </c>
      <c r="S118" s="0" t="n">
        <v>-6</v>
      </c>
      <c r="T118" s="0" t="n">
        <v>2126</v>
      </c>
      <c r="U118" s="0" t="n">
        <v>0</v>
      </c>
      <c r="V118" s="0" t="n">
        <v>0</v>
      </c>
      <c r="W118" s="0" t="n">
        <v>20220930</v>
      </c>
      <c r="X118" s="0" t="n">
        <v>0.759114908984001</v>
      </c>
      <c r="Y118" s="0" t="n">
        <v>5.9</v>
      </c>
      <c r="Z118" s="0" t="s">
        <v>105</v>
      </c>
      <c r="AA118" s="0" t="n">
        <f aca="false">IF(AND(ISNUMBER(B118),B118&gt;0,ISNUMBER(U118),U118&gt;=0,ISNUMBER(O118),O118&gt;=0),1,0)</f>
        <v>1</v>
      </c>
      <c r="AB118" s="0" t="n">
        <f aca="false">IF(AA118=1,U118+O118,0)</f>
        <v>1945</v>
      </c>
      <c r="AC118" s="0" t="n">
        <f aca="false">IF(AA118=1,100*AB118/B118,"")</f>
        <v>0.192362468252775</v>
      </c>
      <c r="AD118" s="0" t="n">
        <f aca="false">IF(AND(AND(ISNUMBER(B118),B118=OriginalFinancials!B118),AND(ISNUMBER(U118),U118=OriginalFinancials!U118),AND(ISNUMBER(O118),O118=OriginalFinancials!O118)),0,1)</f>
        <v>0</v>
      </c>
      <c r="AE118" s="0" t="str">
        <f aca="false">IF(V118=0,"原始0：需核实适用/报告口径","")</f>
        <v>原始0：需核实适用/报告口径</v>
      </c>
    </row>
    <row r="119" customFormat="false" ht="15" hidden="false" customHeight="false" outlineLevel="0" collapsed="false">
      <c r="A119" s="0" t="n">
        <v>119</v>
      </c>
      <c r="B119" s="0" t="n">
        <v>1249583</v>
      </c>
      <c r="C119" s="0" t="n">
        <v>17743</v>
      </c>
      <c r="D119" s="0" t="n">
        <v>1015664</v>
      </c>
      <c r="E119" s="0" t="n">
        <v>-0.04</v>
      </c>
      <c r="F119" s="0" t="n">
        <v>114993</v>
      </c>
      <c r="G119" s="0" t="n">
        <v>9.20250995732176</v>
      </c>
      <c r="H119" s="0" t="s">
        <v>274</v>
      </c>
      <c r="I119" s="0" t="n">
        <v>0.512951689448794</v>
      </c>
      <c r="J119" s="0" t="n">
        <v>11845</v>
      </c>
      <c r="K119" s="0" t="n">
        <v>6456</v>
      </c>
      <c r="L119" s="0" t="n">
        <v>953891</v>
      </c>
      <c r="M119" s="0" t="n">
        <v>948998</v>
      </c>
      <c r="N119" s="0" t="n">
        <v>922540</v>
      </c>
      <c r="O119" s="0" t="n">
        <v>2125</v>
      </c>
      <c r="P119" s="0" t="s">
        <v>135</v>
      </c>
      <c r="Q119" s="0" t="n">
        <v>0.222771784197565</v>
      </c>
      <c r="R119" s="0" t="n">
        <v>2.78915821800042</v>
      </c>
      <c r="S119" s="0" t="n">
        <v>-237</v>
      </c>
      <c r="T119" s="0" t="n">
        <v>713</v>
      </c>
      <c r="U119" s="0" t="n">
        <v>0</v>
      </c>
      <c r="V119" s="0" t="n">
        <v>0</v>
      </c>
      <c r="W119" s="0" t="n">
        <v>20220930</v>
      </c>
      <c r="X119" s="0" t="n">
        <v>0.359517686061837</v>
      </c>
      <c r="Y119" s="0" t="n">
        <v>3.48</v>
      </c>
      <c r="Z119" s="0" t="s">
        <v>105</v>
      </c>
      <c r="AA119" s="0" t="n">
        <f aca="false">IF(AND(ISNUMBER(B119),B119&gt;0,ISNUMBER(U119),U119&gt;=0,ISNUMBER(O119),O119&gt;=0),1,0)</f>
        <v>1</v>
      </c>
      <c r="AB119" s="0" t="n">
        <f aca="false">IF(AA119=1,U119+O119,0)</f>
        <v>2125</v>
      </c>
      <c r="AC119" s="0" t="n">
        <f aca="false">IF(AA119=1,100*AB119/B119,"")</f>
        <v>0.170056730925437</v>
      </c>
      <c r="AD119" s="0" t="n">
        <f aca="false">IF(AND(AND(ISNUMBER(B119),B119=OriginalFinancials!B119),AND(ISNUMBER(U119),U119=OriginalFinancials!U119),AND(ISNUMBER(O119),O119=OriginalFinancials!O119)),0,1)</f>
        <v>0</v>
      </c>
      <c r="AE119" s="0" t="str">
        <f aca="false">IF(V119=0,"原始0：需核实适用/报告口径","")</f>
        <v>原始0：需核实适用/报告口径</v>
      </c>
    </row>
    <row r="120" customFormat="false" ht="15" hidden="false" customHeight="false" outlineLevel="0" collapsed="false">
      <c r="A120" s="0" t="n">
        <v>120</v>
      </c>
      <c r="B120" s="0" t="n">
        <v>1552351</v>
      </c>
      <c r="C120" s="0" t="n">
        <v>17748</v>
      </c>
      <c r="D120" s="0" t="n">
        <v>1377805</v>
      </c>
      <c r="E120" s="0" t="n">
        <v>0.03</v>
      </c>
      <c r="F120" s="0" t="n">
        <v>102427</v>
      </c>
      <c r="G120" s="0" t="n">
        <v>6.59818559075879</v>
      </c>
      <c r="H120" s="0" t="s">
        <v>275</v>
      </c>
      <c r="I120" s="0" t="n">
        <v>0.818583097228005</v>
      </c>
      <c r="J120" s="0" t="n">
        <v>140498</v>
      </c>
      <c r="K120" s="0" t="n">
        <v>3081</v>
      </c>
      <c r="L120" s="0" t="n">
        <v>1181676</v>
      </c>
      <c r="M120" s="0" t="n">
        <v>1172003</v>
      </c>
      <c r="N120" s="0" t="n">
        <v>1007459</v>
      </c>
      <c r="O120" s="0" t="n">
        <v>6350</v>
      </c>
      <c r="P120" s="0" t="s">
        <v>137</v>
      </c>
      <c r="Q120" s="0" t="n">
        <v>0.537372342334108</v>
      </c>
      <c r="R120" s="0" t="n">
        <v>3.10802229687928</v>
      </c>
      <c r="S120" s="0" t="n">
        <v>196</v>
      </c>
      <c r="T120" s="0" t="n">
        <v>318</v>
      </c>
      <c r="U120" s="0" t="n">
        <v>0</v>
      </c>
      <c r="V120" s="0" t="n">
        <v>0</v>
      </c>
      <c r="W120" s="0" t="n">
        <v>20220930</v>
      </c>
      <c r="X120" s="0" t="n">
        <v>0.368036496430469</v>
      </c>
      <c r="Y120" s="0" t="n">
        <v>4.8</v>
      </c>
      <c r="Z120" s="0" t="s">
        <v>105</v>
      </c>
      <c r="AA120" s="0" t="n">
        <f aca="false">IF(AND(ISNUMBER(B120),B120&gt;0,ISNUMBER(U120),U120&gt;=0,ISNUMBER(O120),O120&gt;=0),1,0)</f>
        <v>1</v>
      </c>
      <c r="AB120" s="0" t="n">
        <f aca="false">IF(AA120=1,U120+O120,0)</f>
        <v>6350</v>
      </c>
      <c r="AC120" s="0" t="n">
        <f aca="false">IF(AA120=1,100*AB120/B120,"")</f>
        <v>0.40905697229557</v>
      </c>
      <c r="AD120" s="0" t="n">
        <f aca="false">IF(AND(AND(ISNUMBER(B120),B120=OriginalFinancials!B120),AND(ISNUMBER(U120),U120=OriginalFinancials!U120),AND(ISNUMBER(O120),O120=OriginalFinancials!O120)),0,1)</f>
        <v>0</v>
      </c>
      <c r="AE120" s="0" t="str">
        <f aca="false">IF(V120=0,"原始0：需核实适用/报告口径","")</f>
        <v>原始0：需核实适用/报告口径</v>
      </c>
    </row>
    <row r="121" customFormat="false" ht="15" hidden="false" customHeight="false" outlineLevel="0" collapsed="false">
      <c r="A121" s="0" t="n">
        <v>121</v>
      </c>
      <c r="B121" s="0" t="n">
        <v>1262862</v>
      </c>
      <c r="C121" s="0" t="n">
        <v>17749</v>
      </c>
      <c r="D121" s="0" t="n">
        <v>1042319</v>
      </c>
      <c r="E121" s="0" t="n">
        <v>0.05</v>
      </c>
      <c r="F121" s="0" t="n">
        <v>143149</v>
      </c>
      <c r="G121" s="0" t="n">
        <v>11.3352844570507</v>
      </c>
      <c r="H121" s="0" t="s">
        <v>276</v>
      </c>
      <c r="I121" s="0" t="n">
        <v>1.40540586396406</v>
      </c>
      <c r="J121" s="0" t="n">
        <v>46145</v>
      </c>
      <c r="K121" s="0" t="n">
        <v>10227</v>
      </c>
      <c r="L121" s="0" t="n">
        <v>707269</v>
      </c>
      <c r="M121" s="0" t="n">
        <v>697329</v>
      </c>
      <c r="N121" s="0" t="n">
        <v>639367</v>
      </c>
      <c r="O121" s="0" t="n">
        <v>237</v>
      </c>
      <c r="P121" s="0" t="s">
        <v>139</v>
      </c>
      <c r="Q121" s="0" t="n">
        <v>0.0353472299789754</v>
      </c>
      <c r="R121" s="0" t="n">
        <v>2.89899105262511</v>
      </c>
      <c r="S121" s="0" t="n">
        <v>13</v>
      </c>
      <c r="T121" s="0" t="n">
        <v>273</v>
      </c>
      <c r="U121" s="0" t="n">
        <v>13</v>
      </c>
      <c r="V121" s="0" t="n">
        <v>0</v>
      </c>
      <c r="W121" s="0" t="n">
        <v>20220930</v>
      </c>
      <c r="X121" s="0" t="n">
        <v>0.127474265793327</v>
      </c>
      <c r="Y121" s="0" t="n">
        <v>0.98</v>
      </c>
      <c r="Z121" s="0" t="s">
        <v>105</v>
      </c>
      <c r="AA121" s="0" t="n">
        <f aca="false">IF(AND(ISNUMBER(B121),B121&gt;0,ISNUMBER(U121),U121&gt;=0,ISNUMBER(O121),O121&gt;=0),1,0)</f>
        <v>1</v>
      </c>
      <c r="AB121" s="0" t="n">
        <f aca="false">IF(AA121=1,U121+O121,0)</f>
        <v>250</v>
      </c>
      <c r="AC121" s="0" t="n">
        <f aca="false">IF(AA121=1,100*AB121/B121,"")</f>
        <v>0.0197963039508672</v>
      </c>
      <c r="AD121" s="0" t="n">
        <f aca="false">IF(AND(AND(ISNUMBER(B121),B121=OriginalFinancials!B121),AND(ISNUMBER(U121),U121=OriginalFinancials!U121),AND(ISNUMBER(O121),O121=OriginalFinancials!O121)),0,1)</f>
        <v>0</v>
      </c>
      <c r="AE121" s="0" t="str">
        <f aca="false">IF(V121=0,"原始0：需核实适用/报告口径","")</f>
        <v>原始0：需核实适用/报告口径</v>
      </c>
    </row>
    <row r="122" customFormat="false" ht="15" hidden="false" customHeight="false" outlineLevel="0" collapsed="false">
      <c r="A122" s="0" t="n">
        <v>122</v>
      </c>
      <c r="B122" s="0" t="n">
        <v>1446107</v>
      </c>
      <c r="C122" s="0" t="n">
        <v>17751</v>
      </c>
      <c r="D122" s="0" t="n">
        <v>1280720</v>
      </c>
      <c r="E122" s="0" t="n">
        <v>0.03</v>
      </c>
      <c r="F122" s="0" t="n">
        <v>122617</v>
      </c>
      <c r="G122" s="0" t="n">
        <v>8.47910977541772</v>
      </c>
      <c r="H122" s="0" t="s">
        <v>277</v>
      </c>
      <c r="I122" s="0" t="n">
        <v>1.01393453819392</v>
      </c>
      <c r="J122" s="0" t="n">
        <v>111246</v>
      </c>
      <c r="K122" s="0" t="n">
        <v>3017</v>
      </c>
      <c r="L122" s="0" t="n">
        <v>1185974</v>
      </c>
      <c r="M122" s="0" t="n">
        <v>1173949</v>
      </c>
      <c r="N122" s="0" t="n">
        <v>1020660</v>
      </c>
      <c r="O122" s="0" t="n">
        <v>1170</v>
      </c>
      <c r="P122" s="0" t="s">
        <v>141</v>
      </c>
      <c r="Q122" s="0" t="n">
        <v>0.0986530902026519</v>
      </c>
      <c r="R122" s="0" t="n">
        <v>3.13508164909377</v>
      </c>
      <c r="S122" s="0" t="n">
        <v>-291</v>
      </c>
      <c r="T122" s="0" t="n">
        <v>807</v>
      </c>
      <c r="U122" s="0" t="n">
        <v>0</v>
      </c>
      <c r="V122" s="0" t="n">
        <v>13.4544785128385</v>
      </c>
      <c r="W122" s="0" t="n">
        <v>20220930</v>
      </c>
      <c r="X122" s="0" t="n">
        <v>0.656017372218693</v>
      </c>
      <c r="Y122" s="0" t="n">
        <v>7.17</v>
      </c>
      <c r="Z122" s="0" t="s">
        <v>105</v>
      </c>
      <c r="AA122" s="0" t="n">
        <f aca="false">IF(AND(ISNUMBER(B122),B122&gt;0,ISNUMBER(U122),U122&gt;=0,ISNUMBER(O122),O122&gt;=0),1,0)</f>
        <v>1</v>
      </c>
      <c r="AB122" s="0" t="n">
        <f aca="false">IF(AA122=1,U122+O122,0)</f>
        <v>1170</v>
      </c>
      <c r="AC122" s="0" t="n">
        <f aca="false">IF(AA122=1,100*AB122/B122,"")</f>
        <v>0.0809068761855105</v>
      </c>
      <c r="AD122" s="0" t="n">
        <f aca="false">IF(AND(AND(ISNUMBER(B122),B122=OriginalFinancials!B122),AND(ISNUMBER(U122),U122=OriginalFinancials!U122),AND(ISNUMBER(O122),O122=OriginalFinancials!O122)),0,1)</f>
        <v>0</v>
      </c>
      <c r="AE122" s="0" t="str">
        <f aca="false">IF(V122=0,"原始0：需核实适用/报告口径","")</f>
        <v/>
      </c>
    </row>
    <row r="123" customFormat="false" ht="15" hidden="false" customHeight="false" outlineLevel="0" collapsed="false">
      <c r="A123" s="0" t="n">
        <v>123</v>
      </c>
      <c r="B123" s="0" t="n">
        <v>1589541</v>
      </c>
      <c r="C123" s="0" t="n">
        <v>17897</v>
      </c>
      <c r="D123" s="0" t="n">
        <v>1347109</v>
      </c>
      <c r="E123" s="0" t="n">
        <v>0.08</v>
      </c>
      <c r="F123" s="0" t="n">
        <v>185467</v>
      </c>
      <c r="G123" s="0" t="n">
        <v>11.6679594927089</v>
      </c>
      <c r="H123" s="0" t="s">
        <v>278</v>
      </c>
      <c r="I123" s="0" t="n">
        <v>0.640503285568081</v>
      </c>
      <c r="J123" s="0" t="n">
        <v>64720</v>
      </c>
      <c r="K123" s="0" t="n">
        <v>3129</v>
      </c>
      <c r="L123" s="0" t="n">
        <v>1342538</v>
      </c>
      <c r="M123" s="0" t="n">
        <v>1333939</v>
      </c>
      <c r="N123" s="0" t="n">
        <v>1265598</v>
      </c>
      <c r="O123" s="0" t="n">
        <v>3303</v>
      </c>
      <c r="P123" s="0" t="s">
        <v>143</v>
      </c>
      <c r="Q123" s="0" t="n">
        <v>0.246026555672912</v>
      </c>
      <c r="R123" s="0" t="n">
        <v>3.22509965071587</v>
      </c>
      <c r="S123" s="0" t="n">
        <v>-128</v>
      </c>
      <c r="T123" s="0" t="n">
        <v>1323</v>
      </c>
      <c r="U123" s="0" t="n">
        <v>0</v>
      </c>
      <c r="V123" s="0" t="n">
        <v>0</v>
      </c>
      <c r="W123" s="0" t="n">
        <v>20220930</v>
      </c>
      <c r="X123" s="0" t="n">
        <v>-0.372021148911137</v>
      </c>
      <c r="Y123" s="0" t="n">
        <v>-2.89</v>
      </c>
      <c r="Z123" s="0" t="s">
        <v>105</v>
      </c>
      <c r="AA123" s="0" t="n">
        <f aca="false">IF(AND(ISNUMBER(B123),B123&gt;0,ISNUMBER(U123),U123&gt;=0,ISNUMBER(O123),O123&gt;=0),1,0)</f>
        <v>1</v>
      </c>
      <c r="AB123" s="0" t="n">
        <f aca="false">IF(AA123=1,U123+O123,0)</f>
        <v>3303</v>
      </c>
      <c r="AC123" s="0" t="n">
        <f aca="false">IF(AA123=1,100*AB123/B123,"")</f>
        <v>0.20779583540154</v>
      </c>
      <c r="AD123" s="0" t="n">
        <f aca="false">IF(AND(AND(ISNUMBER(B123),B123=OriginalFinancials!B123),AND(ISNUMBER(U123),U123=OriginalFinancials!U123),AND(ISNUMBER(O123),O123=OriginalFinancials!O123)),0,1)</f>
        <v>0</v>
      </c>
      <c r="AE123" s="0" t="str">
        <f aca="false">IF(V123=0,"原始0：需核实适用/报告口径","")</f>
        <v>原始0：需核实适用/报告口径</v>
      </c>
    </row>
    <row r="124" customFormat="false" ht="15" hidden="false" customHeight="false" outlineLevel="0" collapsed="false">
      <c r="A124" s="0" t="n">
        <v>124</v>
      </c>
      <c r="B124" s="0" t="n">
        <v>741759</v>
      </c>
      <c r="C124" s="0" t="n">
        <v>17951</v>
      </c>
      <c r="D124" s="0" t="n">
        <v>644557</v>
      </c>
      <c r="E124" s="0" t="n">
        <v>0.11</v>
      </c>
      <c r="F124" s="0" t="n">
        <v>52288</v>
      </c>
      <c r="G124" s="0" t="n">
        <v>7.04918983119854</v>
      </c>
      <c r="H124" s="0" t="s">
        <v>279</v>
      </c>
      <c r="I124" s="0" t="n">
        <v>0.85128900373308</v>
      </c>
      <c r="J124" s="0" t="n">
        <v>21389</v>
      </c>
      <c r="K124" s="0" t="n">
        <v>1636</v>
      </c>
      <c r="L124" s="0" t="n">
        <v>517803</v>
      </c>
      <c r="M124" s="0" t="n">
        <v>513395</v>
      </c>
      <c r="N124" s="0" t="n">
        <v>482723</v>
      </c>
      <c r="O124" s="0" t="n">
        <v>393</v>
      </c>
      <c r="P124" s="0" t="s">
        <v>145</v>
      </c>
      <c r="Q124" s="0" t="n">
        <v>0.0758975903963476</v>
      </c>
      <c r="R124" s="0" t="n">
        <v>3.22552262323986</v>
      </c>
      <c r="S124" s="0" t="n">
        <v>1</v>
      </c>
      <c r="T124" s="0" t="n">
        <v>0</v>
      </c>
      <c r="U124" s="0" t="n">
        <v>0</v>
      </c>
      <c r="V124" s="0" t="n">
        <v>14.4940601944432</v>
      </c>
      <c r="W124" s="0" t="n">
        <v>20220930</v>
      </c>
      <c r="X124" s="0" t="n">
        <v>1.02520929643113</v>
      </c>
      <c r="Y124" s="0" t="n">
        <v>12.99</v>
      </c>
      <c r="Z124" s="0" t="s">
        <v>123</v>
      </c>
      <c r="AA124" s="0" t="n">
        <f aca="false">IF(AND(ISNUMBER(B124),B124&gt;0,ISNUMBER(U124),U124&gt;=0,ISNUMBER(O124),O124&gt;=0),1,0)</f>
        <v>1</v>
      </c>
      <c r="AB124" s="0" t="n">
        <f aca="false">IF(AA124=1,U124+O124,0)</f>
        <v>393</v>
      </c>
      <c r="AC124" s="0" t="n">
        <f aca="false">IF(AA124=1,100*AB124/B124,"")</f>
        <v>0.0529821680626726</v>
      </c>
      <c r="AD124" s="0" t="n">
        <f aca="false">IF(AND(AND(ISNUMBER(B124),B124=OriginalFinancials!B124),AND(ISNUMBER(U124),U124=OriginalFinancials!U124),AND(ISNUMBER(O124),O124=OriginalFinancials!O124)),0,1)</f>
        <v>0</v>
      </c>
      <c r="AE124" s="0" t="str">
        <f aca="false">IF(V124=0,"原始0：需核实适用/报告口径","")</f>
        <v/>
      </c>
    </row>
    <row r="125" customFormat="false" ht="15" hidden="false" customHeight="false" outlineLevel="0" collapsed="false">
      <c r="A125" s="0" t="n">
        <v>125</v>
      </c>
      <c r="B125" s="0" t="n">
        <v>1278487</v>
      </c>
      <c r="C125" s="0" t="n">
        <v>17960</v>
      </c>
      <c r="D125" s="0" t="n">
        <v>1016704</v>
      </c>
      <c r="E125" s="0" t="n">
        <v>0.12</v>
      </c>
      <c r="F125" s="0" t="n">
        <v>101209</v>
      </c>
      <c r="G125" s="0" t="n">
        <v>7.91631045133818</v>
      </c>
      <c r="H125" s="0" t="s">
        <v>280</v>
      </c>
      <c r="I125" s="0" t="n">
        <v>0.961595306010848</v>
      </c>
      <c r="J125" s="0" t="n">
        <v>109964</v>
      </c>
      <c r="K125" s="0" t="n">
        <v>186516</v>
      </c>
      <c r="L125" s="0" t="n">
        <v>1082576</v>
      </c>
      <c r="M125" s="0" t="n">
        <v>1072166</v>
      </c>
      <c r="N125" s="0" t="n">
        <v>781834</v>
      </c>
      <c r="O125" s="0" t="n">
        <v>699</v>
      </c>
      <c r="P125" s="0" t="s">
        <v>147</v>
      </c>
      <c r="Q125" s="0" t="n">
        <v>0.0713113906090657</v>
      </c>
      <c r="R125" s="0" t="n">
        <v>3.60711263159523</v>
      </c>
      <c r="S125" s="0" t="n">
        <v>13</v>
      </c>
      <c r="T125" s="0" t="n">
        <v>1090</v>
      </c>
      <c r="U125" s="0" t="n">
        <v>73</v>
      </c>
      <c r="V125" s="0" t="n">
        <v>12.9291645449843</v>
      </c>
      <c r="W125" s="0" t="n">
        <v>20220930</v>
      </c>
      <c r="X125" s="0" t="n">
        <v>0.811990055001869</v>
      </c>
      <c r="Y125" s="0" t="n">
        <v>9.21</v>
      </c>
      <c r="Z125" s="0" t="s">
        <v>123</v>
      </c>
      <c r="AA125" s="0" t="n">
        <f aca="false">IF(AND(ISNUMBER(B125),B125&gt;0,ISNUMBER(U125),U125&gt;=0,ISNUMBER(O125),O125&gt;=0),1,0)</f>
        <v>1</v>
      </c>
      <c r="AB125" s="0" t="n">
        <f aca="false">IF(AA125=1,U125+O125,0)</f>
        <v>772</v>
      </c>
      <c r="AC125" s="0" t="n">
        <f aca="false">IF(AA125=1,100*AB125/B125,"")</f>
        <v>0.0603838756279884</v>
      </c>
      <c r="AD125" s="0" t="n">
        <f aca="false">IF(AND(AND(ISNUMBER(B125),B125=OriginalFinancials!B125),AND(ISNUMBER(U125),U125=OriginalFinancials!U125),AND(ISNUMBER(O125),O125=OriginalFinancials!O125)),0,1)</f>
        <v>0</v>
      </c>
      <c r="AE125" s="0" t="str">
        <f aca="false">IF(V125=0,"原始0：需核实适用/报告口径","")</f>
        <v/>
      </c>
    </row>
    <row r="126" customFormat="false" ht="15" hidden="false" customHeight="false" outlineLevel="0" collapsed="false">
      <c r="A126" s="0" t="n">
        <v>126</v>
      </c>
      <c r="B126" s="0" t="n">
        <v>2400019</v>
      </c>
      <c r="C126" s="0" t="n">
        <v>18012</v>
      </c>
      <c r="D126" s="0" t="n">
        <v>2088751</v>
      </c>
      <c r="E126" s="0" t="n">
        <v>0.01</v>
      </c>
      <c r="F126" s="0" t="n">
        <v>230722</v>
      </c>
      <c r="G126" s="0" t="n">
        <v>9.61334056105389</v>
      </c>
      <c r="H126" s="0" t="s">
        <v>281</v>
      </c>
      <c r="I126" s="0" t="n">
        <v>1.18574054986301</v>
      </c>
      <c r="J126" s="0" t="n">
        <v>50796</v>
      </c>
      <c r="K126" s="0" t="n">
        <v>36004</v>
      </c>
      <c r="L126" s="0" t="n">
        <v>1923861</v>
      </c>
      <c r="M126" s="0" t="n">
        <v>1901049</v>
      </c>
      <c r="N126" s="0" t="n">
        <v>1803269</v>
      </c>
      <c r="O126" s="0" t="n">
        <v>1056</v>
      </c>
      <c r="P126" s="0" t="s">
        <v>149</v>
      </c>
      <c r="Q126" s="0" t="n">
        <v>0.0548896204039688</v>
      </c>
      <c r="R126" s="0" t="n">
        <v>3.58161818367167</v>
      </c>
      <c r="S126" s="0" t="n">
        <v>38</v>
      </c>
      <c r="T126" s="0" t="n">
        <v>1681</v>
      </c>
      <c r="U126" s="0" t="n">
        <v>0</v>
      </c>
      <c r="V126" s="0" t="n">
        <v>12.8729126561258</v>
      </c>
      <c r="W126" s="0" t="n">
        <v>20220930</v>
      </c>
      <c r="X126" s="0" t="n">
        <v>1.21697575065678</v>
      </c>
      <c r="Y126" s="0" t="n">
        <v>12.17</v>
      </c>
      <c r="Z126" s="0" t="s">
        <v>123</v>
      </c>
      <c r="AA126" s="0" t="n">
        <f aca="false">IF(AND(ISNUMBER(B126),B126&gt;0,ISNUMBER(U126),U126&gt;=0,ISNUMBER(O126),O126&gt;=0),1,0)</f>
        <v>1</v>
      </c>
      <c r="AB126" s="0" t="n">
        <f aca="false">IF(AA126=1,U126+O126,0)</f>
        <v>1056</v>
      </c>
      <c r="AC126" s="0" t="n">
        <f aca="false">IF(AA126=1,100*AB126/B126,"")</f>
        <v>0.0439996516694243</v>
      </c>
      <c r="AD126" s="0" t="n">
        <f aca="false">IF(AND(AND(ISNUMBER(B126),B126=OriginalFinancials!B126),AND(ISNUMBER(U126),U126=OriginalFinancials!U126),AND(ISNUMBER(O126),O126=OriginalFinancials!O126)),0,1)</f>
        <v>0</v>
      </c>
      <c r="AE126" s="0" t="str">
        <f aca="false">IF(V126=0,"原始0：需核实适用/报告口径","")</f>
        <v/>
      </c>
    </row>
    <row r="127" customFormat="false" ht="15" hidden="false" customHeight="false" outlineLevel="0" collapsed="false">
      <c r="A127" s="0" t="n">
        <v>127</v>
      </c>
      <c r="B127" s="0" t="n">
        <v>2685566</v>
      </c>
      <c r="C127" s="0" t="n">
        <v>18013</v>
      </c>
      <c r="D127" s="0" t="n">
        <v>2352806</v>
      </c>
      <c r="E127" s="0" t="n">
        <v>0.05</v>
      </c>
      <c r="F127" s="0" t="n">
        <v>195855</v>
      </c>
      <c r="G127" s="0" t="n">
        <v>7.2928760641146</v>
      </c>
      <c r="H127" s="0" t="s">
        <v>282</v>
      </c>
      <c r="I127" s="0" t="n">
        <v>0.919531099659526</v>
      </c>
      <c r="J127" s="0" t="n">
        <v>102062</v>
      </c>
      <c r="K127" s="0" t="n">
        <v>16559</v>
      </c>
      <c r="L127" s="0" t="n">
        <v>2114991</v>
      </c>
      <c r="M127" s="0" t="n">
        <v>2095543</v>
      </c>
      <c r="N127" s="0" t="n">
        <v>1943255</v>
      </c>
      <c r="O127" s="0" t="n">
        <v>1930</v>
      </c>
      <c r="P127" s="0" t="s">
        <v>151</v>
      </c>
      <c r="Q127" s="0" t="n">
        <v>0.101797123486577</v>
      </c>
      <c r="R127" s="0" t="n">
        <v>3.15593137458496</v>
      </c>
      <c r="S127" s="0" t="n">
        <v>-39</v>
      </c>
      <c r="T127" s="0" t="n">
        <v>2713</v>
      </c>
      <c r="U127" s="0" t="n">
        <v>223</v>
      </c>
      <c r="V127" s="0" t="n">
        <v>13.448711877325</v>
      </c>
      <c r="W127" s="0" t="n">
        <v>20220930</v>
      </c>
      <c r="X127" s="0" t="n">
        <v>0.676604753783732</v>
      </c>
      <c r="Y127" s="0" t="n">
        <v>8.57</v>
      </c>
      <c r="Z127" s="0" t="s">
        <v>123</v>
      </c>
      <c r="AA127" s="0" t="n">
        <f aca="false">IF(AND(ISNUMBER(B127),B127&gt;0,ISNUMBER(U127),U127&gt;=0,ISNUMBER(O127),O127&gt;=0),1,0)</f>
        <v>1</v>
      </c>
      <c r="AB127" s="0" t="n">
        <f aca="false">IF(AA127=1,U127+O127,0)</f>
        <v>2153</v>
      </c>
      <c r="AC127" s="0" t="n">
        <f aca="false">IF(AA127=1,100*AB127/B127,"")</f>
        <v>0.0801693199869227</v>
      </c>
      <c r="AD127" s="0" t="n">
        <f aca="false">IF(AND(AND(ISNUMBER(B127),B127=OriginalFinancials!B127),AND(ISNUMBER(U127),U127=OriginalFinancials!U127),AND(ISNUMBER(O127),O127=OriginalFinancials!O127)),0,1)</f>
        <v>0</v>
      </c>
      <c r="AE127" s="0" t="str">
        <f aca="false">IF(V127=0,"原始0：需核实适用/报告口径","")</f>
        <v/>
      </c>
    </row>
    <row r="128" customFormat="false" ht="15" hidden="false" customHeight="false" outlineLevel="0" collapsed="false">
      <c r="A128" s="0" t="n">
        <v>128</v>
      </c>
      <c r="B128" s="0" t="n">
        <v>379383</v>
      </c>
      <c r="C128" s="0" t="n">
        <v>18028</v>
      </c>
      <c r="D128" s="0" t="n">
        <v>337295</v>
      </c>
      <c r="E128" s="0" t="n">
        <v>0.04</v>
      </c>
      <c r="F128" s="0" t="n">
        <v>34470</v>
      </c>
      <c r="G128" s="0" t="n">
        <v>9.08580510987577</v>
      </c>
      <c r="H128" s="0" t="s">
        <v>283</v>
      </c>
      <c r="I128" s="0" t="n">
        <v>0.927803504763459</v>
      </c>
      <c r="J128" s="0" t="n">
        <v>16788</v>
      </c>
      <c r="K128" s="0" t="n">
        <v>8019</v>
      </c>
      <c r="L128" s="0" t="n">
        <v>245095</v>
      </c>
      <c r="M128" s="0" t="n">
        <v>242821</v>
      </c>
      <c r="N128" s="0" t="n">
        <v>213616</v>
      </c>
      <c r="O128" s="0" t="n">
        <v>1067</v>
      </c>
      <c r="P128" s="0" t="s">
        <v>153</v>
      </c>
      <c r="Q128" s="0" t="n">
        <v>0.555294885656582</v>
      </c>
      <c r="R128" s="0" t="n">
        <v>3.34674640434086</v>
      </c>
      <c r="S128" s="0" t="n">
        <v>110</v>
      </c>
      <c r="T128" s="0" t="n">
        <v>351</v>
      </c>
      <c r="U128" s="0" t="n">
        <v>294</v>
      </c>
      <c r="V128" s="0" t="n">
        <v>0</v>
      </c>
      <c r="W128" s="0" t="n">
        <v>20220930</v>
      </c>
      <c r="X128" s="0" t="n">
        <v>0.711360152316906</v>
      </c>
      <c r="Y128" s="0" t="n">
        <v>6.65</v>
      </c>
      <c r="Z128" s="0" t="s">
        <v>123</v>
      </c>
      <c r="AA128" s="0" t="n">
        <f aca="false">IF(AND(ISNUMBER(B128),B128&gt;0,ISNUMBER(U128),U128&gt;=0,ISNUMBER(O128),O128&gt;=0),1,0)</f>
        <v>1</v>
      </c>
      <c r="AB128" s="0" t="n">
        <f aca="false">IF(AA128=1,U128+O128,0)</f>
        <v>1361</v>
      </c>
      <c r="AC128" s="0" t="n">
        <f aca="false">IF(AA128=1,100*AB128/B128,"")</f>
        <v>0.35874037582074</v>
      </c>
      <c r="AD128" s="0" t="n">
        <f aca="false">IF(AND(AND(ISNUMBER(B128),B128=OriginalFinancials!B128),AND(ISNUMBER(U128),U128=OriginalFinancials!U128),AND(ISNUMBER(O128),O128=OriginalFinancials!O128)),0,1)</f>
        <v>0</v>
      </c>
      <c r="AE128" s="0" t="str">
        <f aca="false">IF(V128=0,"原始0：需核实适用/报告口径","")</f>
        <v>原始0：需核实适用/报告口径</v>
      </c>
    </row>
    <row r="129" customFormat="false" ht="15" hidden="false" customHeight="false" outlineLevel="0" collapsed="false">
      <c r="A129" s="0" t="n">
        <v>129</v>
      </c>
      <c r="B129" s="0" t="n">
        <v>703383</v>
      </c>
      <c r="C129" s="0" t="n">
        <v>18030</v>
      </c>
      <c r="D129" s="0" t="n">
        <v>659450</v>
      </c>
      <c r="E129" s="0" t="n">
        <v>0.13</v>
      </c>
      <c r="F129" s="0" t="n">
        <v>40935</v>
      </c>
      <c r="G129" s="0" t="n">
        <v>5.81973121329347</v>
      </c>
      <c r="H129" s="0" t="s">
        <v>284</v>
      </c>
      <c r="I129" s="0" t="n">
        <v>0.930033565673407</v>
      </c>
      <c r="J129" s="0" t="n">
        <v>30312</v>
      </c>
      <c r="K129" s="0" t="n">
        <v>89007</v>
      </c>
      <c r="L129" s="0" t="n">
        <v>544604</v>
      </c>
      <c r="M129" s="0" t="n">
        <v>539539</v>
      </c>
      <c r="N129" s="0" t="n">
        <v>424875</v>
      </c>
      <c r="O129" s="0" t="n">
        <v>929</v>
      </c>
      <c r="P129" s="0" t="s">
        <v>155</v>
      </c>
      <c r="Q129" s="0" t="n">
        <v>0.19445321738364</v>
      </c>
      <c r="R129" s="0" t="n">
        <v>3.13216431026469</v>
      </c>
      <c r="S129" s="0" t="n">
        <v>-30</v>
      </c>
      <c r="T129" s="0" t="n">
        <v>19</v>
      </c>
      <c r="U129" s="0" t="n">
        <v>130</v>
      </c>
      <c r="V129" s="0" t="n">
        <v>13.0208288999923</v>
      </c>
      <c r="W129" s="0" t="n">
        <v>20220930</v>
      </c>
      <c r="X129" s="0" t="n">
        <v>0.410955323209553</v>
      </c>
      <c r="Y129" s="0" t="n">
        <v>6.03</v>
      </c>
      <c r="Z129" s="0" t="s">
        <v>123</v>
      </c>
      <c r="AA129" s="0" t="n">
        <f aca="false">IF(AND(ISNUMBER(B129),B129&gt;0,ISNUMBER(U129),U129&gt;=0,ISNUMBER(O129),O129&gt;=0),1,0)</f>
        <v>1</v>
      </c>
      <c r="AB129" s="0" t="n">
        <f aca="false">IF(AA129=1,U129+O129,0)</f>
        <v>1059</v>
      </c>
      <c r="AC129" s="0" t="n">
        <f aca="false">IF(AA129=1,100*AB129/B129,"")</f>
        <v>0.150558088552041</v>
      </c>
      <c r="AD129" s="0" t="n">
        <f aca="false">IF(AND(AND(ISNUMBER(B129),B129=OriginalFinancials!B129),AND(ISNUMBER(U129),U129=OriginalFinancials!U129),AND(ISNUMBER(O129),O129=OriginalFinancials!O129)),0,1)</f>
        <v>0</v>
      </c>
      <c r="AE129" s="0" t="str">
        <f aca="false">IF(V129=0,"原始0：需核实适用/报告口径","")</f>
        <v/>
      </c>
    </row>
    <row r="130" customFormat="false" ht="15" hidden="false" customHeight="false" outlineLevel="0" collapsed="false">
      <c r="A130" s="0" t="n">
        <v>130</v>
      </c>
      <c r="B130" s="0" t="n">
        <v>641019</v>
      </c>
      <c r="C130" s="0" t="n">
        <v>18031</v>
      </c>
      <c r="D130" s="0" t="n">
        <v>568656</v>
      </c>
      <c r="E130" s="0" t="n">
        <v>0</v>
      </c>
      <c r="F130" s="0" t="n">
        <v>33282</v>
      </c>
      <c r="G130" s="0" t="n">
        <v>5.19204578959438</v>
      </c>
      <c r="H130" s="0" t="s">
        <v>285</v>
      </c>
      <c r="I130" s="0" t="n">
        <v>1.10926393029122</v>
      </c>
      <c r="J130" s="0" t="n">
        <v>28825</v>
      </c>
      <c r="K130" s="0" t="n">
        <v>8856</v>
      </c>
      <c r="L130" s="0" t="n">
        <v>453544</v>
      </c>
      <c r="M130" s="0" t="n">
        <v>448513</v>
      </c>
      <c r="N130" s="0" t="n">
        <v>411232</v>
      </c>
      <c r="O130" s="0" t="n">
        <v>638</v>
      </c>
      <c r="P130" s="0" t="s">
        <v>157</v>
      </c>
      <c r="Q130" s="0" t="n">
        <v>0.140669923976505</v>
      </c>
      <c r="R130" s="0" t="n">
        <v>3.00407550002015</v>
      </c>
      <c r="S130" s="0" t="n">
        <v>3</v>
      </c>
      <c r="T130" s="0" t="n">
        <v>868</v>
      </c>
      <c r="U130" s="0" t="n">
        <v>0</v>
      </c>
      <c r="V130" s="0" t="n">
        <v>16.4504734644745</v>
      </c>
      <c r="W130" s="0" t="n">
        <v>20220930</v>
      </c>
      <c r="X130" s="0" t="n">
        <v>0.528270442861807</v>
      </c>
      <c r="Y130" s="0" t="n">
        <v>7.71</v>
      </c>
      <c r="Z130" s="0" t="s">
        <v>123</v>
      </c>
      <c r="AA130" s="0" t="n">
        <f aca="false">IF(AND(ISNUMBER(B130),B130&gt;0,ISNUMBER(U130),U130&gt;=0,ISNUMBER(O130),O130&gt;=0),1,0)</f>
        <v>1</v>
      </c>
      <c r="AB130" s="0" t="n">
        <f aca="false">IF(AA130=1,U130+O130,0)</f>
        <v>638</v>
      </c>
      <c r="AC130" s="0" t="n">
        <f aca="false">IF(AA130=1,100*AB130/B130,"")</f>
        <v>0.0995290311207624</v>
      </c>
      <c r="AD130" s="0" t="n">
        <f aca="false">IF(AND(AND(ISNUMBER(B130),B130=OriginalFinancials!B130),AND(ISNUMBER(U130),U130=OriginalFinancials!U130),AND(ISNUMBER(O130),O130=OriginalFinancials!O130)),0,1)</f>
        <v>0</v>
      </c>
      <c r="AE130" s="0" t="str">
        <f aca="false">IF(V130=0,"原始0：需核实适用/报告口径","")</f>
        <v/>
      </c>
    </row>
    <row r="131" customFormat="false" ht="15" hidden="false" customHeight="false" outlineLevel="0" collapsed="false">
      <c r="A131" s="0" t="n">
        <v>131</v>
      </c>
      <c r="B131" s="0" t="n">
        <v>492676</v>
      </c>
      <c r="C131" s="0" t="n">
        <v>18038</v>
      </c>
      <c r="D131" s="0" t="n">
        <v>386477</v>
      </c>
      <c r="E131" s="0" t="n">
        <v>-0.09</v>
      </c>
      <c r="F131" s="0" t="n">
        <v>61616</v>
      </c>
      <c r="G131" s="0" t="n">
        <v>12.5063936542474</v>
      </c>
      <c r="H131" s="0" t="s">
        <v>286</v>
      </c>
      <c r="I131" s="0" t="n">
        <v>1.07221239029775</v>
      </c>
      <c r="J131" s="0" t="n">
        <v>17520</v>
      </c>
      <c r="K131" s="0" t="n">
        <v>3246</v>
      </c>
      <c r="L131" s="0" t="n">
        <v>385931</v>
      </c>
      <c r="M131" s="0" t="n">
        <v>381793</v>
      </c>
      <c r="N131" s="0" t="n">
        <v>364802</v>
      </c>
      <c r="O131" s="0" t="n">
        <v>2589</v>
      </c>
      <c r="P131" s="0" t="s">
        <v>159</v>
      </c>
      <c r="Q131" s="0" t="n">
        <v>0.670845306544434</v>
      </c>
      <c r="R131" s="0" t="n">
        <v>3.18243691660641</v>
      </c>
      <c r="S131" s="0" t="n">
        <v>-168</v>
      </c>
      <c r="T131" s="0" t="n">
        <v>1188</v>
      </c>
      <c r="U131" s="0" t="n">
        <v>0</v>
      </c>
      <c r="V131" s="0" t="n">
        <v>0</v>
      </c>
      <c r="W131" s="0" t="n">
        <v>20220930</v>
      </c>
      <c r="X131" s="0" t="n">
        <v>-1.0692244589165</v>
      </c>
      <c r="Y131" s="0" t="n">
        <v>-7.81</v>
      </c>
      <c r="Z131" s="0" t="s">
        <v>123</v>
      </c>
      <c r="AA131" s="0" t="n">
        <f aca="false">IF(AND(ISNUMBER(B131),B131&gt;0,ISNUMBER(U131),U131&gt;=0,ISNUMBER(O131),O131&gt;=0),1,0)</f>
        <v>1</v>
      </c>
      <c r="AB131" s="0" t="n">
        <f aca="false">IF(AA131=1,U131+O131,0)</f>
        <v>2589</v>
      </c>
      <c r="AC131" s="0" t="n">
        <f aca="false">IF(AA131=1,100*AB131/B131,"")</f>
        <v>0.525497487192394</v>
      </c>
      <c r="AD131" s="0" t="n">
        <f aca="false">IF(AND(AND(ISNUMBER(B131),B131=OriginalFinancials!B131),AND(ISNUMBER(U131),U131=OriginalFinancials!U131),AND(ISNUMBER(O131),O131=OriginalFinancials!O131)),0,1)</f>
        <v>0</v>
      </c>
      <c r="AE131" s="0" t="str">
        <f aca="false">IF(V131=0,"原始0：需核实适用/报告口径","")</f>
        <v>原始0：需核实适用/报告口径</v>
      </c>
    </row>
    <row r="132" customFormat="false" ht="15" hidden="false" customHeight="false" outlineLevel="0" collapsed="false">
      <c r="A132" s="0" t="n">
        <v>132</v>
      </c>
      <c r="B132" s="0" t="n">
        <v>7207176</v>
      </c>
      <c r="C132" s="0" t="n">
        <v>18408</v>
      </c>
      <c r="D132" s="0" t="n">
        <v>5866760</v>
      </c>
      <c r="E132" s="0" t="n">
        <v>-0.19</v>
      </c>
      <c r="F132" s="0" t="n">
        <v>323363</v>
      </c>
      <c r="G132" s="0" t="n">
        <v>4.48668105232896</v>
      </c>
      <c r="H132" s="0" t="s">
        <v>287</v>
      </c>
      <c r="I132" s="0" t="n">
        <v>0.874806704466682</v>
      </c>
      <c r="J132" s="0" t="n">
        <v>297616</v>
      </c>
      <c r="K132" s="0" t="n">
        <v>28938</v>
      </c>
      <c r="L132" s="0" t="n">
        <v>4500880</v>
      </c>
      <c r="M132" s="0" t="n">
        <v>4461506</v>
      </c>
      <c r="N132" s="0" t="n">
        <v>4105596</v>
      </c>
      <c r="O132" s="0" t="n">
        <v>2950</v>
      </c>
      <c r="P132" s="0" t="s">
        <v>161</v>
      </c>
      <c r="Q132" s="0" t="n">
        <v>0.0655427383089529</v>
      </c>
      <c r="R132" s="0" t="n">
        <v>2.6901115457965</v>
      </c>
      <c r="S132" s="0" t="n">
        <v>268</v>
      </c>
      <c r="T132" s="0" t="n">
        <v>1920</v>
      </c>
      <c r="U132" s="0" t="n">
        <v>0</v>
      </c>
      <c r="V132" s="0" t="n">
        <v>11.9805434765398</v>
      </c>
      <c r="W132" s="0" t="n">
        <v>20220930</v>
      </c>
      <c r="X132" s="0" t="n">
        <v>0.777109309868285</v>
      </c>
      <c r="Y132" s="0" t="n">
        <v>12.75</v>
      </c>
      <c r="Z132" s="0" t="s">
        <v>105</v>
      </c>
      <c r="AA132" s="0" t="n">
        <f aca="false">IF(AND(ISNUMBER(B132),B132&gt;0,ISNUMBER(U132),U132&gt;=0,ISNUMBER(O132),O132&gt;=0),1,0)</f>
        <v>1</v>
      </c>
      <c r="AB132" s="0" t="n">
        <f aca="false">IF(AA132=1,U132+O132,0)</f>
        <v>2950</v>
      </c>
      <c r="AC132" s="0" t="n">
        <f aca="false">IF(AA132=1,100*AB132/B132,"")</f>
        <v>0.0409314272330799</v>
      </c>
      <c r="AD132" s="0" t="n">
        <f aca="false">IF(AND(AND(ISNUMBER(B132),B132=OriginalFinancials!B132),AND(ISNUMBER(U132),U132=OriginalFinancials!U132),AND(ISNUMBER(O132),O132=OriginalFinancials!O132)),0,1)</f>
        <v>0</v>
      </c>
      <c r="AE132" s="0" t="str">
        <f aca="false">IF(V132=0,"原始0：需核实适用/报告口径","")</f>
        <v/>
      </c>
    </row>
    <row r="133" customFormat="false" ht="15" hidden="false" customHeight="false" outlineLevel="0" collapsed="false">
      <c r="A133" s="0" t="n">
        <v>133</v>
      </c>
      <c r="B133" s="0" t="n">
        <v>2290994</v>
      </c>
      <c r="C133" s="0" t="n">
        <v>19531</v>
      </c>
      <c r="D133" s="0" t="n">
        <v>1937924</v>
      </c>
      <c r="E133" s="0" t="n">
        <v>0</v>
      </c>
      <c r="F133" s="0" t="n">
        <v>213958</v>
      </c>
      <c r="G133" s="0" t="n">
        <v>9.33909036863475</v>
      </c>
      <c r="H133" s="0" t="s">
        <v>288</v>
      </c>
      <c r="I133" s="0" t="n">
        <v>1.29744268971566</v>
      </c>
      <c r="J133" s="0" t="n">
        <v>236379</v>
      </c>
      <c r="K133" s="0" t="n">
        <v>13005</v>
      </c>
      <c r="L133" s="0" t="n">
        <v>1815032</v>
      </c>
      <c r="M133" s="0" t="n">
        <v>1791483</v>
      </c>
      <c r="N133" s="0" t="n">
        <v>1463937</v>
      </c>
      <c r="O133" s="0" t="n">
        <v>5667</v>
      </c>
      <c r="P133" s="0" t="s">
        <v>163</v>
      </c>
      <c r="Q133" s="0" t="n">
        <v>0.314374622596186</v>
      </c>
      <c r="R133" s="0" t="n">
        <v>3.57897912147177</v>
      </c>
      <c r="S133" s="0" t="n">
        <v>93</v>
      </c>
      <c r="T133" s="0" t="n">
        <v>3339</v>
      </c>
      <c r="U133" s="0" t="n">
        <v>39</v>
      </c>
      <c r="V133" s="0" t="n">
        <v>14.5589856040453</v>
      </c>
      <c r="W133" s="0" t="n">
        <v>20220930</v>
      </c>
      <c r="X133" s="0" t="n">
        <v>0.571809349197938</v>
      </c>
      <c r="Y133" s="0" t="n">
        <v>5.72</v>
      </c>
      <c r="Z133" s="0" t="s">
        <v>105</v>
      </c>
      <c r="AA133" s="0" t="n">
        <f aca="false">IF(AND(ISNUMBER(B133),B133&gt;0,ISNUMBER(U133),U133&gt;=0,ISNUMBER(O133),O133&gt;=0),1,0)</f>
        <v>1</v>
      </c>
      <c r="AB133" s="0" t="n">
        <f aca="false">IF(AA133=1,U133+O133,0)</f>
        <v>5706</v>
      </c>
      <c r="AC133" s="0" t="n">
        <f aca="false">IF(AA133=1,100*AB133/B133,"")</f>
        <v>0.24906219745665</v>
      </c>
      <c r="AD133" s="0" t="n">
        <f aca="false">IF(AND(AND(ISNUMBER(B133),B133=OriginalFinancials!B133),AND(ISNUMBER(U133),U133=OriginalFinancials!U133),AND(ISNUMBER(O133),O133=OriginalFinancials!O133)),0,1)</f>
        <v>0</v>
      </c>
      <c r="AE133" s="0" t="str">
        <f aca="false">IF(V133=0,"原始0：需核实适用/报告口径","")</f>
        <v/>
      </c>
    </row>
    <row r="134" customFormat="false" ht="15" hidden="false" customHeight="false" outlineLevel="0" collapsed="false">
      <c r="A134" s="0" t="n">
        <v>134</v>
      </c>
      <c r="B134" s="0" t="n">
        <v>779214</v>
      </c>
      <c r="C134" s="0" t="n">
        <v>19532</v>
      </c>
      <c r="D134" s="0" t="n">
        <v>683500</v>
      </c>
      <c r="E134" s="0" t="n">
        <v>0.01</v>
      </c>
      <c r="F134" s="0" t="n">
        <v>83123</v>
      </c>
      <c r="G134" s="0" t="n">
        <v>10.6675444743036</v>
      </c>
      <c r="H134" s="0" t="s">
        <v>289</v>
      </c>
      <c r="I134" s="0" t="n">
        <v>1.11201195923127</v>
      </c>
      <c r="J134" s="0" t="n">
        <v>25822</v>
      </c>
      <c r="K134" s="0" t="n">
        <v>43323</v>
      </c>
      <c r="L134" s="0" t="n">
        <v>529131</v>
      </c>
      <c r="M134" s="0" t="n">
        <v>523247</v>
      </c>
      <c r="N134" s="0" t="n">
        <v>452724</v>
      </c>
      <c r="O134" s="0" t="n">
        <v>598</v>
      </c>
      <c r="P134" s="0" t="s">
        <v>165</v>
      </c>
      <c r="Q134" s="0" t="n">
        <v>0.113015491437848</v>
      </c>
      <c r="R134" s="0" t="n">
        <v>3.29443240506329</v>
      </c>
      <c r="S134" s="0" t="n">
        <v>23</v>
      </c>
      <c r="T134" s="0" t="n">
        <v>596</v>
      </c>
      <c r="U134" s="0" t="n">
        <v>0</v>
      </c>
      <c r="V134" s="0" t="n">
        <v>20.8518802619619</v>
      </c>
      <c r="W134" s="0" t="n">
        <v>20220930</v>
      </c>
      <c r="X134" s="0" t="n">
        <v>0.438029053439951</v>
      </c>
      <c r="Y134" s="0" t="n">
        <v>3.62</v>
      </c>
      <c r="Z134" s="0" t="s">
        <v>105</v>
      </c>
      <c r="AA134" s="0" t="n">
        <f aca="false">IF(AND(ISNUMBER(B134),B134&gt;0,ISNUMBER(U134),U134&gt;=0,ISNUMBER(O134),O134&gt;=0),1,0)</f>
        <v>1</v>
      </c>
      <c r="AB134" s="0" t="n">
        <f aca="false">IF(AA134=1,U134+O134,0)</f>
        <v>598</v>
      </c>
      <c r="AC134" s="0" t="n">
        <f aca="false">IF(AA134=1,100*AB134/B134,"")</f>
        <v>0.0767440010061421</v>
      </c>
      <c r="AD134" s="0" t="n">
        <f aca="false">IF(AND(AND(ISNUMBER(B134),B134=OriginalFinancials!B134),AND(ISNUMBER(U134),U134=OriginalFinancials!U134),AND(ISNUMBER(O134),O134=OriginalFinancials!O134)),0,1)</f>
        <v>0</v>
      </c>
      <c r="AE134" s="0" t="str">
        <f aca="false">IF(V134=0,"原始0：需核实适用/报告口径","")</f>
        <v/>
      </c>
    </row>
    <row r="135" customFormat="false" ht="15" hidden="false" customHeight="false" outlineLevel="0" collapsed="false">
      <c r="A135" s="0" t="n">
        <v>135</v>
      </c>
      <c r="B135" s="0" t="n">
        <v>1742943</v>
      </c>
      <c r="C135" s="0" t="n">
        <v>19690</v>
      </c>
      <c r="D135" s="0" t="n">
        <v>1344811</v>
      </c>
      <c r="E135" s="0" t="n">
        <v>-0.03</v>
      </c>
      <c r="F135" s="0" t="n">
        <v>252162</v>
      </c>
      <c r="G135" s="0" t="n">
        <v>14.4675987682902</v>
      </c>
      <c r="H135" s="0" t="s">
        <v>290</v>
      </c>
      <c r="I135" s="0" t="n">
        <v>0.402808321153925</v>
      </c>
      <c r="J135" s="0" t="n">
        <v>22707</v>
      </c>
      <c r="K135" s="0" t="n">
        <v>653</v>
      </c>
      <c r="L135" s="0" t="n">
        <v>1464220</v>
      </c>
      <c r="M135" s="0" t="n">
        <v>1458322</v>
      </c>
      <c r="N135" s="0" t="n">
        <v>1069457</v>
      </c>
      <c r="O135" s="0" t="n">
        <v>13597</v>
      </c>
      <c r="P135" s="0" t="s">
        <v>167</v>
      </c>
      <c r="Q135" s="0" t="n">
        <v>0.92861728428788</v>
      </c>
      <c r="R135" s="0" t="n">
        <v>5.94953342943275</v>
      </c>
      <c r="S135" s="0" t="n">
        <v>-174</v>
      </c>
      <c r="T135" s="0" t="n">
        <v>4098</v>
      </c>
      <c r="U135" s="0" t="n">
        <v>0</v>
      </c>
      <c r="V135" s="0" t="n">
        <v>17.7660683765957</v>
      </c>
      <c r="W135" s="0" t="n">
        <v>20220930</v>
      </c>
      <c r="X135" s="0" t="n">
        <v>2.44922864844194</v>
      </c>
      <c r="Y135" s="0" t="n">
        <v>15.76</v>
      </c>
      <c r="Z135" s="0" t="s">
        <v>105</v>
      </c>
      <c r="AA135" s="0" t="n">
        <f aca="false">IF(AND(ISNUMBER(B135),B135&gt;0,ISNUMBER(U135),U135&gt;=0,ISNUMBER(O135),O135&gt;=0),1,0)</f>
        <v>1</v>
      </c>
      <c r="AB135" s="0" t="n">
        <f aca="false">IF(AA135=1,U135+O135,0)</f>
        <v>13597</v>
      </c>
      <c r="AC135" s="0" t="n">
        <f aca="false">IF(AA135=1,100*AB135/B135,"")</f>
        <v>0.780117307335926</v>
      </c>
      <c r="AD135" s="0" t="n">
        <f aca="false">IF(AND(AND(ISNUMBER(B135),B135=OriginalFinancials!B135),AND(ISNUMBER(U135),U135=OriginalFinancials!U135),AND(ISNUMBER(O135),O135=OriginalFinancials!O135)),0,1)</f>
        <v>0</v>
      </c>
      <c r="AE135" s="0" t="str">
        <f aca="false">IF(V135=0,"原始0：需核实适用/报告口径","")</f>
        <v/>
      </c>
    </row>
    <row r="136" customFormat="false" ht="15" hidden="false" customHeight="false" outlineLevel="0" collapsed="false">
      <c r="A136" s="0" t="n">
        <v>136</v>
      </c>
      <c r="B136" s="0" t="n">
        <v>579332</v>
      </c>
      <c r="C136" s="0" t="n">
        <v>19836</v>
      </c>
      <c r="D136" s="0" t="n">
        <v>456854</v>
      </c>
      <c r="E136" s="0" t="n">
        <v>0</v>
      </c>
      <c r="F136" s="0" t="n">
        <v>115337</v>
      </c>
      <c r="G136" s="0" t="n">
        <v>19.9086188921033</v>
      </c>
      <c r="H136" s="0" t="s">
        <v>291</v>
      </c>
      <c r="I136" s="0" t="n">
        <v>0.826610937546364</v>
      </c>
      <c r="J136" s="0" t="n">
        <v>53274</v>
      </c>
      <c r="K136" s="0" t="n">
        <v>11850</v>
      </c>
      <c r="L136" s="0" t="n">
        <v>471806</v>
      </c>
      <c r="M136" s="0" t="n">
        <v>467906</v>
      </c>
      <c r="N136" s="0" t="n">
        <v>401514</v>
      </c>
      <c r="O136" s="0" t="n">
        <v>1439</v>
      </c>
      <c r="P136" s="0" t="s">
        <v>145</v>
      </c>
      <c r="Q136" s="0" t="n">
        <v>0.334883405467501</v>
      </c>
      <c r="R136" s="0" t="n">
        <v>4.09507804405102</v>
      </c>
      <c r="S136" s="0" t="n">
        <v>-15</v>
      </c>
      <c r="T136" s="0" t="n">
        <v>1421</v>
      </c>
      <c r="U136" s="0" t="n">
        <v>141</v>
      </c>
      <c r="V136" s="0" t="n">
        <v>28.3528259517265</v>
      </c>
      <c r="W136" s="0" t="n">
        <v>20220930</v>
      </c>
      <c r="X136" s="0" t="n">
        <v>0.933083820950688</v>
      </c>
      <c r="Y136" s="0" t="n">
        <v>4.62</v>
      </c>
      <c r="Z136" s="0" t="s">
        <v>105</v>
      </c>
      <c r="AA136" s="0" t="n">
        <f aca="false">IF(AND(ISNUMBER(B136),B136&gt;0,ISNUMBER(U136),U136&gt;=0,ISNUMBER(O136),O136&gt;=0),1,0)</f>
        <v>1</v>
      </c>
      <c r="AB136" s="0" t="n">
        <f aca="false">IF(AA136=1,U136+O136,0)</f>
        <v>1580</v>
      </c>
      <c r="AC136" s="0" t="n">
        <f aca="false">IF(AA136=1,100*AB136/B136,"")</f>
        <v>0.272727900409437</v>
      </c>
      <c r="AD136" s="0" t="n">
        <f aca="false">IF(AND(AND(ISNUMBER(B136),B136=OriginalFinancials!B136),AND(ISNUMBER(U136),U136=OriginalFinancials!U136),AND(ISNUMBER(O136),O136=OriginalFinancials!O136)),0,1)</f>
        <v>0</v>
      </c>
      <c r="AE136" s="0" t="str">
        <f aca="false">IF(V136=0,"原始0：需核实适用/报告口径","")</f>
        <v/>
      </c>
    </row>
    <row r="137" customFormat="false" ht="15" hidden="false" customHeight="false" outlineLevel="0" collapsed="false">
      <c r="A137" s="0" t="n">
        <v>137</v>
      </c>
      <c r="B137" s="0" t="n">
        <v>1199727</v>
      </c>
      <c r="C137" s="0" t="n">
        <v>24540</v>
      </c>
      <c r="D137" s="0" t="n">
        <v>965688</v>
      </c>
      <c r="E137" s="0" t="n">
        <v>0.05</v>
      </c>
      <c r="F137" s="0" t="n">
        <v>206211</v>
      </c>
      <c r="G137" s="0" t="n">
        <v>17.1881603064697</v>
      </c>
      <c r="H137" s="0" t="s">
        <v>292</v>
      </c>
      <c r="I137" s="0" t="n">
        <v>1.19974371736315</v>
      </c>
      <c r="J137" s="0" t="n">
        <v>45436</v>
      </c>
      <c r="K137" s="0" t="n">
        <v>177</v>
      </c>
      <c r="L137" s="0" t="n">
        <v>1090983</v>
      </c>
      <c r="M137" s="0" t="n">
        <v>1077894</v>
      </c>
      <c r="N137" s="0" t="n">
        <v>1048616</v>
      </c>
      <c r="O137" s="0" t="n">
        <v>693</v>
      </c>
      <c r="P137" s="0" t="s">
        <v>170</v>
      </c>
      <c r="Q137" s="0" t="n">
        <v>0.0635206964728139</v>
      </c>
      <c r="R137" s="0" t="n">
        <v>4.57696572902816</v>
      </c>
      <c r="S137" s="0" t="n">
        <v>-15</v>
      </c>
      <c r="T137" s="0" t="n">
        <v>0</v>
      </c>
      <c r="U137" s="0" t="n">
        <v>0</v>
      </c>
      <c r="V137" s="0" t="n">
        <v>0</v>
      </c>
      <c r="W137" s="0" t="n">
        <v>20220930</v>
      </c>
      <c r="X137" s="0" t="n">
        <v>2.27932571681005</v>
      </c>
      <c r="Y137" s="0" t="n">
        <v>14.36</v>
      </c>
      <c r="Z137" s="0" t="s">
        <v>123</v>
      </c>
      <c r="AA137" s="0" t="n">
        <f aca="false">IF(AND(ISNUMBER(B137),B137&gt;0,ISNUMBER(U137),U137&gt;=0,ISNUMBER(O137),O137&gt;=0),1,0)</f>
        <v>1</v>
      </c>
      <c r="AB137" s="0" t="n">
        <f aca="false">IF(AA137=1,U137+O137,0)</f>
        <v>693</v>
      </c>
      <c r="AC137" s="0" t="n">
        <f aca="false">IF(AA137=1,100*AB137/B137,"")</f>
        <v>0.0577631411146036</v>
      </c>
      <c r="AD137" s="0" t="n">
        <f aca="false">IF(AND(AND(ISNUMBER(B137),B137=OriginalFinancials!B137),AND(ISNUMBER(U137),U137=OriginalFinancials!U137),AND(ISNUMBER(O137),O137=OriginalFinancials!O137)),0,1)</f>
        <v>0</v>
      </c>
      <c r="AE137" s="0" t="str">
        <f aca="false">IF(V137=0,"原始0：需核实适用/报告口径","")</f>
        <v>原始0：需核实适用/报告口径</v>
      </c>
    </row>
    <row r="138" customFormat="false" ht="15" hidden="false" customHeight="false" outlineLevel="0" collapsed="false">
      <c r="A138" s="0" t="n">
        <v>138</v>
      </c>
      <c r="B138" s="0" t="n">
        <v>478442</v>
      </c>
      <c r="C138" s="0" t="n">
        <v>27824</v>
      </c>
      <c r="D138" s="0" t="n">
        <v>398401</v>
      </c>
      <c r="E138" s="0" t="n">
        <v>0.03</v>
      </c>
      <c r="F138" s="0" t="n">
        <v>66369</v>
      </c>
      <c r="G138" s="0" t="n">
        <v>13.8719008782674</v>
      </c>
      <c r="H138" s="0" t="s">
        <v>293</v>
      </c>
      <c r="I138" s="0" t="n">
        <v>0.814944415755249</v>
      </c>
      <c r="J138" s="0" t="n">
        <v>21793</v>
      </c>
      <c r="K138" s="0" t="n">
        <v>34521</v>
      </c>
      <c r="L138" s="0" t="n">
        <v>389229</v>
      </c>
      <c r="M138" s="0" t="n">
        <v>386057</v>
      </c>
      <c r="N138" s="0" t="n">
        <v>332914</v>
      </c>
      <c r="O138" s="0" t="n">
        <v>1040</v>
      </c>
      <c r="P138" s="0" t="s">
        <v>172</v>
      </c>
      <c r="Q138" s="0" t="n">
        <v>0.267194890411557</v>
      </c>
      <c r="R138" s="0" t="n">
        <v>2.90969614533436</v>
      </c>
      <c r="S138" s="0" t="n">
        <v>0</v>
      </c>
      <c r="T138" s="0" t="n">
        <v>773</v>
      </c>
      <c r="U138" s="0" t="n">
        <v>0</v>
      </c>
      <c r="V138" s="0" t="n">
        <v>24.0539268875851</v>
      </c>
      <c r="W138" s="0" t="n">
        <v>20220930</v>
      </c>
      <c r="X138" s="0" t="n">
        <v>0.316684318660046</v>
      </c>
      <c r="Y138" s="0" t="n">
        <v>2.14</v>
      </c>
      <c r="Z138" s="0" t="s">
        <v>123</v>
      </c>
      <c r="AA138" s="0" t="n">
        <f aca="false">IF(AND(ISNUMBER(B138),B138&gt;0,ISNUMBER(U138),U138&gt;=0,ISNUMBER(O138),O138&gt;=0),1,0)</f>
        <v>1</v>
      </c>
      <c r="AB138" s="0" t="n">
        <f aca="false">IF(AA138=1,U138+O138,0)</f>
        <v>1040</v>
      </c>
      <c r="AC138" s="0" t="n">
        <f aca="false">IF(AA138=1,100*AB138/B138,"")</f>
        <v>0.217372220666246</v>
      </c>
      <c r="AD138" s="0" t="n">
        <f aca="false">IF(AND(AND(ISNUMBER(B138),B138=OriginalFinancials!B138),AND(ISNUMBER(U138),U138=OriginalFinancials!U138),AND(ISNUMBER(O138),O138=OriginalFinancials!O138)),0,1)</f>
        <v>0</v>
      </c>
      <c r="AE138" s="0" t="str">
        <f aca="false">IF(V138=0,"原始0：需核实适用/报告口径","")</f>
        <v/>
      </c>
    </row>
    <row r="139" customFormat="false" ht="15" hidden="false" customHeight="false" outlineLevel="0" collapsed="false">
      <c r="A139" s="0" t="n">
        <v>139</v>
      </c>
      <c r="B139" s="0" t="n">
        <v>306788</v>
      </c>
      <c r="C139" s="0" t="n">
        <v>28155</v>
      </c>
      <c r="D139" s="0" t="n">
        <v>278328</v>
      </c>
      <c r="E139" s="0" t="n">
        <v>0.04</v>
      </c>
      <c r="F139" s="0" t="n">
        <v>27419</v>
      </c>
      <c r="G139" s="0" t="n">
        <v>8.93744214245668</v>
      </c>
      <c r="H139" s="0" t="s">
        <v>294</v>
      </c>
      <c r="I139" s="0" t="n">
        <v>0.579039914464404</v>
      </c>
      <c r="J139" s="0" t="n">
        <v>6105</v>
      </c>
      <c r="K139" s="0" t="n">
        <v>4615</v>
      </c>
      <c r="L139" s="0" t="n">
        <v>155257</v>
      </c>
      <c r="M139" s="0" t="n">
        <v>154358</v>
      </c>
      <c r="N139" s="0" t="n">
        <v>143872</v>
      </c>
      <c r="O139" s="0" t="n">
        <v>222</v>
      </c>
      <c r="P139" s="0" t="s">
        <v>174</v>
      </c>
      <c r="Q139" s="0" t="n">
        <v>0.142988721925581</v>
      </c>
      <c r="R139" s="0" t="n">
        <v>2.71277062616387</v>
      </c>
      <c r="S139" s="0" t="n">
        <v>5</v>
      </c>
      <c r="T139" s="0" t="n">
        <v>420</v>
      </c>
      <c r="U139" s="0" t="n">
        <v>0</v>
      </c>
      <c r="V139" s="0" t="n">
        <v>18.3948124270968</v>
      </c>
      <c r="W139" s="0" t="n">
        <v>20220930</v>
      </c>
      <c r="X139" s="0" t="n">
        <v>0.211071666580136</v>
      </c>
      <c r="Y139" s="0" t="n">
        <v>2.25</v>
      </c>
      <c r="Z139" s="0" t="s">
        <v>123</v>
      </c>
      <c r="AA139" s="0" t="n">
        <f aca="false">IF(AND(ISNUMBER(B139),B139&gt;0,ISNUMBER(U139),U139&gt;=0,ISNUMBER(O139),O139&gt;=0),1,0)</f>
        <v>1</v>
      </c>
      <c r="AB139" s="0" t="n">
        <f aca="false">IF(AA139=1,U139+O139,0)</f>
        <v>222</v>
      </c>
      <c r="AC139" s="0" t="n">
        <f aca="false">IF(AA139=1,100*AB139/B139,"")</f>
        <v>0.072362673898588</v>
      </c>
      <c r="AD139" s="0" t="n">
        <f aca="false">IF(AND(AND(ISNUMBER(B139),B139=OriginalFinancials!B139),AND(ISNUMBER(U139),U139=OriginalFinancials!U139),AND(ISNUMBER(O139),O139=OriginalFinancials!O139)),0,1)</f>
        <v>0</v>
      </c>
      <c r="AE139" s="0" t="str">
        <f aca="false">IF(V139=0,"原始0：需核实适用/报告口径","")</f>
        <v/>
      </c>
    </row>
    <row r="140" customFormat="false" ht="15" hidden="false" customHeight="false" outlineLevel="0" collapsed="false">
      <c r="A140" s="0" t="n">
        <v>140</v>
      </c>
      <c r="B140" s="0" t="n">
        <v>98792</v>
      </c>
      <c r="C140" s="0" t="n">
        <v>28288</v>
      </c>
      <c r="D140" s="0" t="n">
        <v>81542</v>
      </c>
      <c r="E140" s="0" t="n">
        <v>0.06</v>
      </c>
      <c r="F140" s="0" t="n">
        <v>5736</v>
      </c>
      <c r="G140" s="0" t="n">
        <v>5.80613814883796</v>
      </c>
      <c r="H140" s="0" t="s">
        <v>295</v>
      </c>
      <c r="I140" s="0" t="n">
        <v>1.10268691888015</v>
      </c>
      <c r="J140" s="0" t="n">
        <v>3129</v>
      </c>
      <c r="K140" s="0" t="n">
        <v>444</v>
      </c>
      <c r="L140" s="0" t="n">
        <v>78082</v>
      </c>
      <c r="M140" s="0" t="n">
        <v>77221</v>
      </c>
      <c r="N140" s="0" t="n">
        <v>74509</v>
      </c>
      <c r="O140" s="0" t="n">
        <v>387</v>
      </c>
      <c r="P140" s="0" t="s">
        <v>176</v>
      </c>
      <c r="Q140" s="0" t="n">
        <v>0.495632796291079</v>
      </c>
      <c r="R140" s="0" t="n">
        <v>3.53829172909139</v>
      </c>
      <c r="S140" s="0" t="n">
        <v>46</v>
      </c>
      <c r="T140" s="0" t="n">
        <v>133</v>
      </c>
      <c r="U140" s="0" t="n">
        <v>0</v>
      </c>
      <c r="V140" s="0" t="n">
        <v>13.8047190555651</v>
      </c>
      <c r="W140" s="0" t="n">
        <v>20220930</v>
      </c>
      <c r="X140" s="0" t="n">
        <v>0.100531837186714</v>
      </c>
      <c r="Y140" s="0" t="n">
        <v>1.41</v>
      </c>
      <c r="Z140" s="0" t="s">
        <v>105</v>
      </c>
      <c r="AA140" s="0" t="n">
        <f aca="false">IF(AND(ISNUMBER(B140),B140&gt;0,ISNUMBER(U140),U140&gt;=0,ISNUMBER(O140),O140&gt;=0),1,0)</f>
        <v>1</v>
      </c>
      <c r="AB140" s="0" t="n">
        <f aca="false">IF(AA140=1,U140+O140,0)</f>
        <v>387</v>
      </c>
      <c r="AC140" s="0" t="n">
        <f aca="false">IF(AA140=1,100*AB140/B140,"")</f>
        <v>0.391732124058628</v>
      </c>
      <c r="AD140" s="0" t="n">
        <f aca="false">IF(AND(AND(ISNUMBER(B140),B140=OriginalFinancials!B140),AND(ISNUMBER(U140),U140=OriginalFinancials!U140),AND(ISNUMBER(O140),O140=OriginalFinancials!O140)),0,1)</f>
        <v>0</v>
      </c>
      <c r="AE140" s="0" t="str">
        <f aca="false">IF(V140=0,"原始0：需核实适用/报告口径","")</f>
        <v/>
      </c>
    </row>
    <row r="141" customFormat="false" ht="15" hidden="false" customHeight="false" outlineLevel="0" collapsed="false">
      <c r="A141" s="0" t="n">
        <v>141</v>
      </c>
      <c r="B141" s="0" t="n">
        <v>89339</v>
      </c>
      <c r="C141" s="0" t="n">
        <v>28369</v>
      </c>
      <c r="D141" s="0" t="n">
        <v>79460</v>
      </c>
      <c r="E141" s="0" t="n">
        <v>-0.03</v>
      </c>
      <c r="F141" s="0" t="n">
        <v>9472</v>
      </c>
      <c r="G141" s="0" t="n">
        <v>10.6023125398762</v>
      </c>
      <c r="H141" s="0" t="s">
        <v>296</v>
      </c>
      <c r="I141" s="0" t="n">
        <v>0.724519033974621</v>
      </c>
      <c r="J141" s="0" t="n">
        <v>10475</v>
      </c>
      <c r="K141" s="0" t="n">
        <v>854</v>
      </c>
      <c r="L141" s="0" t="n">
        <v>73290</v>
      </c>
      <c r="M141" s="0" t="n">
        <v>72759</v>
      </c>
      <c r="N141" s="0" t="n">
        <v>61961</v>
      </c>
      <c r="O141" s="0" t="n">
        <v>377</v>
      </c>
      <c r="P141" s="0" t="s">
        <v>178</v>
      </c>
      <c r="Q141" s="0" t="n">
        <v>0.514394869695729</v>
      </c>
      <c r="R141" s="0" t="n">
        <v>3.62027668619877</v>
      </c>
      <c r="S141" s="0" t="n">
        <v>-7</v>
      </c>
      <c r="T141" s="0" t="n">
        <v>68</v>
      </c>
      <c r="U141" s="0" t="n">
        <v>0</v>
      </c>
      <c r="V141" s="0" t="n">
        <v>0</v>
      </c>
      <c r="W141" s="0" t="n">
        <v>20220930</v>
      </c>
      <c r="X141" s="0" t="n">
        <v>0.180791114967063</v>
      </c>
      <c r="Y141" s="0" t="n">
        <v>1.68</v>
      </c>
      <c r="Z141" s="0" t="s">
        <v>105</v>
      </c>
      <c r="AA141" s="0" t="n">
        <f aca="false">IF(AND(ISNUMBER(B141),B141&gt;0,ISNUMBER(U141),U141&gt;=0,ISNUMBER(O141),O141&gt;=0),1,0)</f>
        <v>1</v>
      </c>
      <c r="AB141" s="0" t="n">
        <f aca="false">IF(AA141=1,U141+O141,0)</f>
        <v>377</v>
      </c>
      <c r="AC141" s="0" t="n">
        <f aca="false">IF(AA141=1,100*AB141/B141,"")</f>
        <v>0.421988157467623</v>
      </c>
      <c r="AD141" s="0" t="n">
        <f aca="false">IF(AND(AND(ISNUMBER(B141),B141=OriginalFinancials!B141),AND(ISNUMBER(U141),U141=OriginalFinancials!U141),AND(ISNUMBER(O141),O141=OriginalFinancials!O141)),0,1)</f>
        <v>0</v>
      </c>
      <c r="AE141" s="0" t="str">
        <f aca="false">IF(V141=0,"原始0：需核实适用/报告口径","")</f>
        <v>原始0：需核实适用/报告口径</v>
      </c>
    </row>
    <row r="142" customFormat="false" ht="15" hidden="false" customHeight="false" outlineLevel="0" collapsed="false">
      <c r="A142" s="0" t="n">
        <v>142</v>
      </c>
      <c r="B142" s="0" t="n">
        <v>308029</v>
      </c>
      <c r="C142" s="0" t="n">
        <v>28837</v>
      </c>
      <c r="D142" s="0" t="n">
        <v>282630</v>
      </c>
      <c r="E142" s="0" t="n">
        <v>0.06</v>
      </c>
      <c r="F142" s="0" t="n">
        <v>22847</v>
      </c>
      <c r="G142" s="0" t="n">
        <v>7.41715877401154</v>
      </c>
      <c r="H142" s="0" t="s">
        <v>297</v>
      </c>
      <c r="I142" s="0" t="n">
        <v>1.21743249644718</v>
      </c>
      <c r="J142" s="0" t="n">
        <v>6504</v>
      </c>
      <c r="K142" s="0" t="n">
        <v>1852</v>
      </c>
      <c r="L142" s="0" t="n">
        <v>189990</v>
      </c>
      <c r="M142" s="0" t="n">
        <v>187677</v>
      </c>
      <c r="N142" s="0" t="n">
        <v>180618</v>
      </c>
      <c r="O142" s="0" t="n">
        <v>240</v>
      </c>
      <c r="P142" s="0" t="s">
        <v>180</v>
      </c>
      <c r="Q142" s="0" t="n">
        <v>0.126322438023054</v>
      </c>
      <c r="R142" s="0" t="n">
        <v>2.81999663466663</v>
      </c>
      <c r="S142" s="0" t="n">
        <v>132</v>
      </c>
      <c r="T142" s="0" t="n">
        <v>105</v>
      </c>
      <c r="U142" s="0" t="n">
        <v>0</v>
      </c>
      <c r="V142" s="0" t="n">
        <v>15.1026996647475</v>
      </c>
      <c r="W142" s="0" t="n">
        <v>20220930</v>
      </c>
      <c r="X142" s="0" t="n">
        <v>0.481132029976162</v>
      </c>
      <c r="Y142" s="0" t="n">
        <v>6.48</v>
      </c>
      <c r="Z142" s="0" t="s">
        <v>112</v>
      </c>
      <c r="AA142" s="0" t="n">
        <f aca="false">IF(AND(ISNUMBER(B142),B142&gt;0,ISNUMBER(U142),U142&gt;=0,ISNUMBER(O142),O142&gt;=0),1,0)</f>
        <v>1</v>
      </c>
      <c r="AB142" s="0" t="n">
        <f aca="false">IF(AA142=1,U142+O142,0)</f>
        <v>240</v>
      </c>
      <c r="AC142" s="0" t="n">
        <f aca="false">IF(AA142=1,100*AB142/B142,"")</f>
        <v>0.0779147417937921</v>
      </c>
      <c r="AD142" s="0" t="n">
        <f aca="false">IF(AND(AND(ISNUMBER(B142),B142=OriginalFinancials!B142),AND(ISNUMBER(U142),U142=OriginalFinancials!U142),AND(ISNUMBER(O142),O142=OriginalFinancials!O142)),0,1)</f>
        <v>0</v>
      </c>
      <c r="AE142" s="0" t="str">
        <f aca="false">IF(V142=0,"原始0：需核实适用/报告口径","")</f>
        <v/>
      </c>
    </row>
    <row r="143" customFormat="false" ht="15" hidden="false" customHeight="false" outlineLevel="0" collapsed="false">
      <c r="A143" s="0" t="n">
        <v>143</v>
      </c>
      <c r="B143" s="0" t="n">
        <v>180105</v>
      </c>
      <c r="C143" s="0" t="n">
        <v>29636</v>
      </c>
      <c r="D143" s="0" t="n">
        <v>155107</v>
      </c>
      <c r="E143" s="0" t="n">
        <v>0.05</v>
      </c>
      <c r="F143" s="0" t="n">
        <v>23599</v>
      </c>
      <c r="G143" s="0" t="n">
        <v>13.1029121901113</v>
      </c>
      <c r="H143" s="0" t="s">
        <v>298</v>
      </c>
      <c r="I143" s="0" t="n">
        <v>1.4735219829616</v>
      </c>
      <c r="J143" s="0" t="n">
        <v>1340</v>
      </c>
      <c r="K143" s="0" t="n">
        <v>1958</v>
      </c>
      <c r="L143" s="0" t="n">
        <v>116795</v>
      </c>
      <c r="M143" s="0" t="n">
        <v>115074</v>
      </c>
      <c r="N143" s="0" t="n">
        <v>113497</v>
      </c>
      <c r="O143" s="0" t="n">
        <v>2099</v>
      </c>
      <c r="P143" s="0" t="s">
        <v>182</v>
      </c>
      <c r="Q143" s="0" t="n">
        <v>1.79716597457083</v>
      </c>
      <c r="R143" s="0" t="n">
        <v>3.25257717128124</v>
      </c>
      <c r="S143" s="0" t="n">
        <v>-4</v>
      </c>
      <c r="T143" s="0" t="n">
        <v>1876</v>
      </c>
      <c r="U143" s="0" t="n">
        <v>0</v>
      </c>
      <c r="V143" s="0" t="n">
        <v>31.34737779275</v>
      </c>
      <c r="W143" s="0" t="n">
        <v>20220930</v>
      </c>
      <c r="X143" s="0" t="n">
        <v>0.276723128820604</v>
      </c>
      <c r="Y143" s="0" t="n">
        <v>2.08</v>
      </c>
      <c r="Z143" s="0" t="s">
        <v>105</v>
      </c>
      <c r="AA143" s="0" t="n">
        <f aca="false">IF(AND(ISNUMBER(B143),B143&gt;0,ISNUMBER(U143),U143&gt;=0,ISNUMBER(O143),O143&gt;=0),1,0)</f>
        <v>1</v>
      </c>
      <c r="AB143" s="0" t="n">
        <f aca="false">IF(AA143=1,U143+O143,0)</f>
        <v>2099</v>
      </c>
      <c r="AC143" s="0" t="n">
        <f aca="false">IF(AA143=1,100*AB143/B143,"")</f>
        <v>1.16543127619999</v>
      </c>
      <c r="AD143" s="0" t="n">
        <f aca="false">IF(AND(AND(ISNUMBER(B143),B143=OriginalFinancials!B143),AND(ISNUMBER(U143),U143=OriginalFinancials!U143),AND(ISNUMBER(O143),O143=OriginalFinancials!O143)),0,1)</f>
        <v>0</v>
      </c>
      <c r="AE143" s="0" t="str">
        <f aca="false">IF(V143=0,"原始0：需核实适用/报告口径","")</f>
        <v/>
      </c>
    </row>
    <row r="144" customFormat="false" ht="15" hidden="false" customHeight="false" outlineLevel="0" collapsed="false">
      <c r="A144" s="0" t="n">
        <v>144</v>
      </c>
      <c r="B144" s="0" t="n">
        <v>179520</v>
      </c>
      <c r="C144" s="0" t="n">
        <v>29743</v>
      </c>
      <c r="D144" s="0" t="n">
        <v>163392</v>
      </c>
      <c r="E144" s="0" t="n">
        <v>0</v>
      </c>
      <c r="F144" s="0" t="n">
        <v>13788</v>
      </c>
      <c r="G144" s="0" t="n">
        <v>7.68048128342246</v>
      </c>
      <c r="H144" s="0" t="s">
        <v>299</v>
      </c>
      <c r="I144" s="0" t="n">
        <v>0.328656921416658</v>
      </c>
      <c r="J144" s="0" t="n">
        <v>22426</v>
      </c>
      <c r="K144" s="0" t="n">
        <v>19352</v>
      </c>
      <c r="L144" s="0" t="n">
        <v>122316</v>
      </c>
      <c r="M144" s="0" t="n">
        <v>121914</v>
      </c>
      <c r="N144" s="0" t="n">
        <v>80448</v>
      </c>
      <c r="O144" s="0" t="n">
        <v>502</v>
      </c>
      <c r="P144" s="0" t="s">
        <v>184</v>
      </c>
      <c r="Q144" s="0" t="n">
        <v>0.410412374505379</v>
      </c>
      <c r="R144" s="0" t="n">
        <v>2.63766137629584</v>
      </c>
      <c r="S144" s="0" t="n">
        <v>128</v>
      </c>
      <c r="T144" s="0" t="n">
        <v>493</v>
      </c>
      <c r="U144" s="0" t="n">
        <v>0</v>
      </c>
      <c r="V144" s="0" t="n">
        <v>17.5319100223227</v>
      </c>
      <c r="W144" s="0" t="n">
        <v>20220930</v>
      </c>
      <c r="X144" s="0" t="n">
        <v>0.779559617122413</v>
      </c>
      <c r="Y144" s="0" t="n">
        <v>9.07</v>
      </c>
      <c r="Z144" s="0" t="s">
        <v>105</v>
      </c>
      <c r="AA144" s="0" t="n">
        <f aca="false">IF(AND(ISNUMBER(B144),B144&gt;0,ISNUMBER(U144),U144&gt;=0,ISNUMBER(O144),O144&gt;=0),1,0)</f>
        <v>1</v>
      </c>
      <c r="AB144" s="0" t="n">
        <f aca="false">IF(AA144=1,U144+O144,0)</f>
        <v>502</v>
      </c>
      <c r="AC144" s="0" t="n">
        <f aca="false">IF(AA144=1,100*AB144/B144,"")</f>
        <v>0.279634581105169</v>
      </c>
      <c r="AD144" s="0" t="n">
        <f aca="false">IF(AND(AND(ISNUMBER(B144),B144=OriginalFinancials!B144),AND(ISNUMBER(U144),U144=OriginalFinancials!U144),AND(ISNUMBER(O144),O144=OriginalFinancials!O144)),0,1)</f>
        <v>0</v>
      </c>
      <c r="AE144" s="0" t="str">
        <f aca="false">IF(V144=0,"原始0：需核实适用/报告口径","")</f>
        <v/>
      </c>
    </row>
    <row r="145" customFormat="false" ht="15" hidden="false" customHeight="false" outlineLevel="0" collapsed="false">
      <c r="A145" s="0" t="n">
        <v>145</v>
      </c>
      <c r="B145" s="0" t="n">
        <v>523655</v>
      </c>
      <c r="C145" s="0" t="n">
        <v>29744</v>
      </c>
      <c r="D145" s="0" t="n">
        <v>398937</v>
      </c>
      <c r="E145" s="0" t="n">
        <v>0</v>
      </c>
      <c r="F145" s="0" t="n">
        <v>38532</v>
      </c>
      <c r="G145" s="0" t="n">
        <v>7.35827978344521</v>
      </c>
      <c r="H145" s="0" t="s">
        <v>300</v>
      </c>
      <c r="I145" s="0" t="n">
        <v>0.906609598830312</v>
      </c>
      <c r="J145" s="0" t="n">
        <v>25090</v>
      </c>
      <c r="K145" s="0" t="n">
        <v>7352</v>
      </c>
      <c r="L145" s="0" t="n">
        <v>395319</v>
      </c>
      <c r="M145" s="0" t="n">
        <v>391735</v>
      </c>
      <c r="N145" s="0" t="n">
        <v>362877</v>
      </c>
      <c r="O145" s="0" t="n">
        <v>5</v>
      </c>
      <c r="P145" s="0" t="s">
        <v>186</v>
      </c>
      <c r="Q145" s="0" t="n">
        <v>0.0012648013376538</v>
      </c>
      <c r="R145" s="0" t="n">
        <v>3.15459338694802</v>
      </c>
      <c r="S145" s="0" t="n">
        <v>6</v>
      </c>
      <c r="T145" s="0" t="n">
        <v>280</v>
      </c>
      <c r="U145" s="0" t="n">
        <v>0</v>
      </c>
      <c r="V145" s="0" t="n">
        <v>16.3715315758086</v>
      </c>
      <c r="W145" s="0" t="n">
        <v>20220930</v>
      </c>
      <c r="X145" s="0" t="n">
        <v>0.291575019444318</v>
      </c>
      <c r="Y145" s="0" t="n">
        <v>3.31</v>
      </c>
      <c r="Z145" s="0" t="s">
        <v>123</v>
      </c>
      <c r="AA145" s="0" t="n">
        <f aca="false">IF(AND(ISNUMBER(B145),B145&gt;0,ISNUMBER(U145),U145&gt;=0,ISNUMBER(O145),O145&gt;=0),1,0)</f>
        <v>1</v>
      </c>
      <c r="AB145" s="0" t="n">
        <f aca="false">IF(AA145=1,U145+O145,0)</f>
        <v>5</v>
      </c>
      <c r="AC145" s="0" t="n">
        <f aca="false">IF(AA145=1,100*AB145/B145,"")</f>
        <v>0.000954827128548376</v>
      </c>
      <c r="AD145" s="0" t="n">
        <f aca="false">IF(AND(AND(ISNUMBER(B145),B145=OriginalFinancials!B145),AND(ISNUMBER(U145),U145=OriginalFinancials!U145),AND(ISNUMBER(O145),O145=OriginalFinancials!O145)),0,1)</f>
        <v>0</v>
      </c>
      <c r="AE145" s="0" t="str">
        <f aca="false">IF(V145=0,"原始0：需核实适用/报告口径","")</f>
        <v/>
      </c>
    </row>
    <row r="146" customFormat="false" ht="15" hidden="false" customHeight="false" outlineLevel="0" collapsed="false">
      <c r="A146" s="0" t="n">
        <v>146</v>
      </c>
      <c r="B146" s="0" t="n">
        <v>541685</v>
      </c>
      <c r="C146" s="0" t="n">
        <v>30350</v>
      </c>
      <c r="D146" s="0" t="n">
        <v>473333</v>
      </c>
      <c r="E146" s="0" t="n">
        <v>0</v>
      </c>
      <c r="F146" s="0" t="n">
        <v>49256</v>
      </c>
      <c r="G146" s="0" t="n">
        <v>9.09310761789601</v>
      </c>
      <c r="H146" s="0" t="s">
        <v>301</v>
      </c>
      <c r="I146" s="0" t="n">
        <v>1.34735050145652</v>
      </c>
      <c r="J146" s="0" t="n">
        <v>11326</v>
      </c>
      <c r="K146" s="0" t="n">
        <v>1056</v>
      </c>
      <c r="L146" s="0" t="n">
        <v>378298</v>
      </c>
      <c r="M146" s="0" t="n">
        <v>373201</v>
      </c>
      <c r="N146" s="0" t="n">
        <v>363012</v>
      </c>
      <c r="O146" s="0" t="n">
        <v>1989</v>
      </c>
      <c r="P146" s="0" t="s">
        <v>188</v>
      </c>
      <c r="Q146" s="0" t="n">
        <v>0.525775975553664</v>
      </c>
      <c r="R146" s="0" t="n">
        <v>2.870390732848</v>
      </c>
      <c r="S146" s="0" t="n">
        <v>206</v>
      </c>
      <c r="T146" s="0" t="n">
        <v>720</v>
      </c>
      <c r="U146" s="0" t="n">
        <v>0</v>
      </c>
      <c r="V146" s="0" t="n">
        <v>21.2709183090001</v>
      </c>
      <c r="W146" s="0" t="n">
        <v>20220930</v>
      </c>
      <c r="X146" s="0" t="n">
        <v>0.649181741581514</v>
      </c>
      <c r="Y146" s="0" t="n">
        <v>6.88</v>
      </c>
      <c r="Z146" s="0" t="s">
        <v>112</v>
      </c>
      <c r="AA146" s="0" t="n">
        <f aca="false">IF(AND(ISNUMBER(B146),B146&gt;0,ISNUMBER(U146),U146&gt;=0,ISNUMBER(O146),O146&gt;=0),1,0)</f>
        <v>1</v>
      </c>
      <c r="AB146" s="0" t="n">
        <f aca="false">IF(AA146=1,U146+O146,0)</f>
        <v>1989</v>
      </c>
      <c r="AC146" s="0" t="n">
        <f aca="false">IF(AA146=1,100*AB146/B146,"")</f>
        <v>0.367187572112944</v>
      </c>
      <c r="AD146" s="0" t="n">
        <f aca="false">IF(AND(AND(ISNUMBER(B146),B146=OriginalFinancials!B146),AND(ISNUMBER(U146),U146=OriginalFinancials!U146),AND(ISNUMBER(O146),O146=OriginalFinancials!O146)),0,1)</f>
        <v>0</v>
      </c>
      <c r="AE146" s="0" t="str">
        <f aca="false">IF(V146=0,"原始0：需核实适用/报告口径","")</f>
        <v/>
      </c>
    </row>
    <row r="147" customFormat="false" ht="15" hidden="false" customHeight="false" outlineLevel="0" collapsed="false">
      <c r="A147" s="0" t="n">
        <v>147</v>
      </c>
      <c r="B147" s="0" t="n">
        <v>100514</v>
      </c>
      <c r="C147" s="0" t="n">
        <v>30878</v>
      </c>
      <c r="D147" s="0" t="n">
        <v>76264</v>
      </c>
      <c r="E147" s="0" t="n">
        <v>0.08</v>
      </c>
      <c r="F147" s="0" t="n">
        <v>12319</v>
      </c>
      <c r="G147" s="0" t="n">
        <v>12.2560041387269</v>
      </c>
      <c r="H147" s="0" t="s">
        <v>302</v>
      </c>
      <c r="I147" s="0" t="n">
        <v>1.09130073704973</v>
      </c>
      <c r="J147" s="0" t="n">
        <v>0</v>
      </c>
      <c r="K147" s="0" t="n">
        <v>103</v>
      </c>
      <c r="L147" s="0" t="n">
        <v>77064</v>
      </c>
      <c r="M147" s="0" t="n">
        <v>76223</v>
      </c>
      <c r="N147" s="0" t="n">
        <v>76961</v>
      </c>
      <c r="O147" s="0" t="n">
        <v>589</v>
      </c>
      <c r="P147" s="0" t="s">
        <v>190</v>
      </c>
      <c r="Q147" s="0" t="n">
        <v>0.764299802761341</v>
      </c>
      <c r="R147" s="0" t="n">
        <v>2.14957788304442</v>
      </c>
      <c r="S147" s="0" t="n">
        <v>0</v>
      </c>
      <c r="T147" s="0" t="n">
        <v>284</v>
      </c>
      <c r="U147" s="0" t="n">
        <v>0</v>
      </c>
      <c r="V147" s="0" t="n">
        <v>0</v>
      </c>
      <c r="W147" s="0" t="n">
        <v>20220930</v>
      </c>
      <c r="X147" s="0" t="n">
        <v>0.295597394237198</v>
      </c>
      <c r="Y147" s="0" t="n">
        <v>2.4</v>
      </c>
      <c r="Z147" s="0" t="s">
        <v>105</v>
      </c>
      <c r="AA147" s="0" t="n">
        <f aca="false">IF(AND(ISNUMBER(B147),B147&gt;0,ISNUMBER(U147),U147&gt;=0,ISNUMBER(O147),O147&gt;=0),1,0)</f>
        <v>1</v>
      </c>
      <c r="AB147" s="0" t="n">
        <f aca="false">IF(AA147=1,U147+O147,0)</f>
        <v>589</v>
      </c>
      <c r="AC147" s="0" t="n">
        <f aca="false">IF(AA147=1,100*AB147/B147,"")</f>
        <v>0.585988021569135</v>
      </c>
      <c r="AD147" s="0" t="n">
        <f aca="false">IF(AND(AND(ISNUMBER(B147),B147=OriginalFinancials!B147),AND(ISNUMBER(U147),U147=OriginalFinancials!U147),AND(ISNUMBER(O147),O147=OriginalFinancials!O147)),0,1)</f>
        <v>0</v>
      </c>
      <c r="AE147" s="0" t="str">
        <f aca="false">IF(V147=0,"原始0：需核实适用/报告口径","")</f>
        <v>原始0：需核实适用/报告口径</v>
      </c>
    </row>
    <row r="148" customFormat="false" ht="15" hidden="false" customHeight="false" outlineLevel="0" collapsed="false">
      <c r="A148" s="0" t="n">
        <v>148</v>
      </c>
      <c r="B148" s="0" t="n">
        <v>728017</v>
      </c>
      <c r="C148" s="0" t="n">
        <v>33418</v>
      </c>
      <c r="D148" s="0" t="n">
        <v>571364</v>
      </c>
      <c r="E148" s="0" t="n">
        <v>-0.13</v>
      </c>
      <c r="F148" s="0" t="n">
        <v>59731</v>
      </c>
      <c r="G148" s="0" t="n">
        <v>8.20461610099764</v>
      </c>
      <c r="H148" s="0" t="s">
        <v>303</v>
      </c>
      <c r="I148" s="0" t="n">
        <v>1.90071587974578</v>
      </c>
      <c r="J148" s="0" t="n">
        <v>38891</v>
      </c>
      <c r="K148" s="0" t="n">
        <v>11836</v>
      </c>
      <c r="L148" s="0" t="n">
        <v>353551</v>
      </c>
      <c r="M148" s="0" t="n">
        <v>346831</v>
      </c>
      <c r="N148" s="0" t="n">
        <v>302851</v>
      </c>
      <c r="O148" s="0" t="n">
        <v>3182</v>
      </c>
      <c r="P148" s="0" t="s">
        <v>192</v>
      </c>
      <c r="Q148" s="0" t="n">
        <v>0.900011596629624</v>
      </c>
      <c r="R148" s="0" t="n">
        <v>2.74288198149817</v>
      </c>
      <c r="S148" s="0" t="n">
        <v>-1</v>
      </c>
      <c r="T148" s="0" t="n">
        <v>192</v>
      </c>
      <c r="U148" s="0" t="n">
        <v>0</v>
      </c>
      <c r="V148" s="0" t="n">
        <v>18.9996701825354</v>
      </c>
      <c r="W148" s="0" t="n">
        <v>20220930</v>
      </c>
      <c r="X148" s="0" t="n">
        <v>1.19732263126932</v>
      </c>
      <c r="Y148" s="0" t="n">
        <v>14.95</v>
      </c>
      <c r="Z148" s="0" t="s">
        <v>112</v>
      </c>
      <c r="AA148" s="0" t="n">
        <f aca="false">IF(AND(ISNUMBER(B148),B148&gt;0,ISNUMBER(U148),U148&gt;=0,ISNUMBER(O148),O148&gt;=0),1,0)</f>
        <v>1</v>
      </c>
      <c r="AB148" s="0" t="n">
        <f aca="false">IF(AA148=1,U148+O148,0)</f>
        <v>3182</v>
      </c>
      <c r="AC148" s="0" t="n">
        <f aca="false">IF(AA148=1,100*AB148/B148,"")</f>
        <v>0.437077705603029</v>
      </c>
      <c r="AD148" s="0" t="n">
        <f aca="false">IF(AND(AND(ISNUMBER(B148),B148=OriginalFinancials!B148),AND(ISNUMBER(U148),U148=OriginalFinancials!U148),AND(ISNUMBER(O148),O148=OriginalFinancials!O148)),0,1)</f>
        <v>0</v>
      </c>
      <c r="AE148" s="0" t="str">
        <f aca="false">IF(V148=0,"原始0：需核实适用/报告口径","")</f>
        <v/>
      </c>
    </row>
    <row r="149" customFormat="false" ht="15" hidden="false" customHeight="false" outlineLevel="0" collapsed="false">
      <c r="A149" s="0" t="n">
        <v>149</v>
      </c>
      <c r="B149" s="0" t="n">
        <v>60178</v>
      </c>
      <c r="C149" s="0" t="n">
        <v>35206</v>
      </c>
      <c r="D149" s="0" t="n">
        <v>500</v>
      </c>
      <c r="E149" s="0" t="n">
        <v>0</v>
      </c>
      <c r="F149" s="0" t="n">
        <v>57817</v>
      </c>
      <c r="G149" s="0" t="n">
        <v>96.0766393033999</v>
      </c>
      <c r="H149" s="0" t="s">
        <v>304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s">
        <v>252</v>
      </c>
      <c r="Q149" s="0" t="n">
        <v>0</v>
      </c>
      <c r="R149" s="0" t="n">
        <v>3.62402262771205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20220930</v>
      </c>
      <c r="X149" s="0" t="n">
        <v>2.23680494034471</v>
      </c>
      <c r="Y149" s="0" t="n">
        <v>2.49</v>
      </c>
      <c r="Z149" s="0" t="s">
        <v>123</v>
      </c>
      <c r="AA149" s="0" t="n">
        <f aca="false">IF(AND(ISNUMBER(B149),B149&gt;0,ISNUMBER(U149),U149&gt;=0,ISNUMBER(O149),O149&gt;=0),1,0)</f>
        <v>1</v>
      </c>
      <c r="AB149" s="0" t="n">
        <f aca="false">IF(AA149=1,U149+O149,0)</f>
        <v>0</v>
      </c>
      <c r="AC149" s="0" t="n">
        <f aca="false">IF(AA149=1,100*AB149/B149,"")</f>
        <v>0</v>
      </c>
      <c r="AD149" s="0" t="n">
        <f aca="false">IF(AND(AND(ISNUMBER(B149),B149=OriginalFinancials!B149),AND(ISNUMBER(U149),U149=OriginalFinancials!U149),AND(ISNUMBER(O149),O149=OriginalFinancials!O149)),0,1)</f>
        <v>0</v>
      </c>
      <c r="AE149" s="0" t="str">
        <f aca="false">IF(V149=0,"原始0：需核实适用/报告口径","")</f>
        <v>原始0：需核实适用/报告口径</v>
      </c>
    </row>
    <row r="150" customFormat="false" ht="15" hidden="false" customHeight="false" outlineLevel="0" collapsed="false">
      <c r="A150" s="0" t="n">
        <v>150</v>
      </c>
      <c r="B150" s="0" t="n">
        <v>5539983</v>
      </c>
      <c r="C150" s="0" t="n">
        <v>4255</v>
      </c>
      <c r="D150" s="0" t="n">
        <v>4604972</v>
      </c>
      <c r="E150" s="0" t="n">
        <v>0.1</v>
      </c>
      <c r="F150" s="0" t="n">
        <v>444488</v>
      </c>
      <c r="G150" s="0" t="n">
        <v>8.02327371762693</v>
      </c>
      <c r="H150" s="0" t="s">
        <v>305</v>
      </c>
      <c r="I150" s="0" t="n">
        <v>0.945383667903394</v>
      </c>
      <c r="J150" s="0" t="n">
        <v>340321</v>
      </c>
      <c r="K150" s="0" t="n">
        <v>21084</v>
      </c>
      <c r="L150" s="0" t="n">
        <v>3865309</v>
      </c>
      <c r="M150" s="0" t="n">
        <v>3828767</v>
      </c>
      <c r="N150" s="0" t="n">
        <v>3453052</v>
      </c>
      <c r="O150" s="0" t="n">
        <v>2765</v>
      </c>
      <c r="P150" s="0" t="s">
        <v>194</v>
      </c>
      <c r="Q150" s="0" t="n">
        <v>0.0715337376649577</v>
      </c>
      <c r="R150" s="0" t="n">
        <v>2.96224785009783</v>
      </c>
      <c r="S150" s="0" t="n">
        <v>502</v>
      </c>
      <c r="T150" s="0" t="n">
        <v>4708</v>
      </c>
      <c r="U150" s="0" t="n">
        <v>0</v>
      </c>
      <c r="V150" s="0" t="n">
        <v>13.0703989197068</v>
      </c>
      <c r="W150" s="0" t="n">
        <v>20220930</v>
      </c>
      <c r="X150" s="0" t="n">
        <v>1.16771643069494</v>
      </c>
      <c r="Y150" s="0" t="n">
        <v>13.05</v>
      </c>
      <c r="Z150" s="0" t="s">
        <v>105</v>
      </c>
      <c r="AA150" s="0" t="n">
        <f aca="false">IF(AND(ISNUMBER(B150),B150&gt;0,ISNUMBER(U150),U150&gt;=0,ISNUMBER(O150),O150&gt;=0),1,0)</f>
        <v>1</v>
      </c>
      <c r="AB150" s="0" t="n">
        <f aca="false">IF(AA150=1,U150+O150,0)</f>
        <v>2765</v>
      </c>
      <c r="AC150" s="0" t="n">
        <f aca="false">IF(AA150=1,100*AB150/B150,"")</f>
        <v>0.0499099004455429</v>
      </c>
      <c r="AD150" s="0" t="n">
        <f aca="false">IF(AND(AND(ISNUMBER(B150),B150=OriginalFinancials!B150),AND(ISNUMBER(U150),U150=OriginalFinancials!U150),AND(ISNUMBER(O150),O150=OriginalFinancials!O150)),0,1)</f>
        <v>0</v>
      </c>
      <c r="AE150" s="0" t="str">
        <f aca="false">IF(V150=0,"原始0：需核实适用/报告口径","")</f>
        <v/>
      </c>
    </row>
    <row r="151" customFormat="false" ht="15" hidden="false" customHeight="false" outlineLevel="0" collapsed="false">
      <c r="A151" s="0" t="n">
        <v>151</v>
      </c>
      <c r="B151" s="0" t="n">
        <v>2699877</v>
      </c>
      <c r="C151" s="0" t="n">
        <v>4256</v>
      </c>
      <c r="D151" s="0" t="n">
        <v>2370865</v>
      </c>
      <c r="E151" s="0" t="n">
        <v>0.07</v>
      </c>
      <c r="F151" s="0" t="n">
        <v>191219</v>
      </c>
      <c r="G151" s="0" t="n">
        <v>7.08250783276423</v>
      </c>
      <c r="H151" s="0" t="s">
        <v>306</v>
      </c>
      <c r="I151" s="0" t="n">
        <v>0.881981727418292</v>
      </c>
      <c r="J151" s="0" t="n">
        <v>262426</v>
      </c>
      <c r="K151" s="0" t="n">
        <v>20819</v>
      </c>
      <c r="L151" s="0" t="n">
        <v>1857975</v>
      </c>
      <c r="M151" s="0" t="n">
        <v>1841588</v>
      </c>
      <c r="N151" s="0" t="n">
        <v>1478344</v>
      </c>
      <c r="O151" s="0" t="n">
        <v>1860</v>
      </c>
      <c r="P151" s="0" t="s">
        <v>196</v>
      </c>
      <c r="Q151" s="0" t="n">
        <v>0.100108989625802</v>
      </c>
      <c r="R151" s="0" t="n">
        <v>3.11979442771444</v>
      </c>
      <c r="S151" s="0" t="n">
        <v>434</v>
      </c>
      <c r="T151" s="0" t="n">
        <v>898</v>
      </c>
      <c r="U151" s="0" t="n">
        <v>0</v>
      </c>
      <c r="V151" s="0" t="n">
        <v>13.5242415345785</v>
      </c>
      <c r="W151" s="0" t="n">
        <v>20220930</v>
      </c>
      <c r="X151" s="0" t="n">
        <v>1.5759119347341</v>
      </c>
      <c r="Y151" s="0" t="n">
        <v>20.01</v>
      </c>
      <c r="Z151" s="0" t="s">
        <v>105</v>
      </c>
      <c r="AA151" s="0" t="n">
        <f aca="false">IF(AND(ISNUMBER(B151),B151&gt;0,ISNUMBER(U151),U151&gt;=0,ISNUMBER(O151),O151&gt;=0),1,0)</f>
        <v>1</v>
      </c>
      <c r="AB151" s="0" t="n">
        <f aca="false">IF(AA151=1,U151+O151,0)</f>
        <v>1860</v>
      </c>
      <c r="AC151" s="0" t="n">
        <f aca="false">IF(AA151=1,100*AB151/B151,"")</f>
        <v>0.0688920273034661</v>
      </c>
      <c r="AD151" s="0" t="n">
        <f aca="false">IF(AND(AND(ISNUMBER(B151),B151=OriginalFinancials!B151),AND(ISNUMBER(U151),U151=OriginalFinancials!U151),AND(ISNUMBER(O151),O151=OriginalFinancials!O151)),0,1)</f>
        <v>0</v>
      </c>
      <c r="AE151" s="0" t="str">
        <f aca="false">IF(V151=0,"原始0：需核实适用/报告口径","")</f>
        <v/>
      </c>
    </row>
    <row r="152" customFormat="false" ht="15" hidden="false" customHeight="false" outlineLevel="0" collapsed="false">
      <c r="A152" s="0" t="n">
        <v>152</v>
      </c>
      <c r="B152" s="0" t="n">
        <v>686995</v>
      </c>
      <c r="C152" s="0" t="n">
        <v>59086</v>
      </c>
      <c r="D152" s="0" t="n">
        <v>610836</v>
      </c>
      <c r="E152" s="0" t="n">
        <v>0.16</v>
      </c>
      <c r="F152" s="0" t="n">
        <v>72795</v>
      </c>
      <c r="G152" s="0" t="n">
        <v>10.5961469879693</v>
      </c>
      <c r="H152" s="0" t="s">
        <v>307</v>
      </c>
      <c r="I152" s="0" t="n">
        <v>1.17814807643939</v>
      </c>
      <c r="J152" s="0" t="n">
        <v>119943</v>
      </c>
      <c r="K152" s="0" t="n">
        <v>0</v>
      </c>
      <c r="L152" s="0" t="n">
        <v>552647</v>
      </c>
      <c r="M152" s="0" t="n">
        <v>546136</v>
      </c>
      <c r="N152" s="0" t="n">
        <v>433350</v>
      </c>
      <c r="O152" s="0" t="n">
        <v>2111</v>
      </c>
      <c r="P152" s="0" t="s">
        <v>198</v>
      </c>
      <c r="Q152" s="0" t="n">
        <v>0.0617030400961192</v>
      </c>
      <c r="R152" s="0" t="n">
        <v>3.6266175241851</v>
      </c>
      <c r="S152" s="0" t="n">
        <v>0</v>
      </c>
      <c r="T152" s="0" t="n">
        <v>0</v>
      </c>
      <c r="U152" s="0" t="n">
        <v>341</v>
      </c>
      <c r="V152" s="0" t="n">
        <v>13.7494495435112</v>
      </c>
      <c r="W152" s="0" t="n">
        <v>20220930</v>
      </c>
      <c r="X152" s="0" t="n">
        <v>1.41290663287171</v>
      </c>
      <c r="Y152" s="0" t="n">
        <v>14.12</v>
      </c>
      <c r="Z152" s="0" t="s">
        <v>123</v>
      </c>
      <c r="AA152" s="0" t="n">
        <f aca="false">IF(AND(ISNUMBER(B152),B152&gt;0,ISNUMBER(U152),U152&gt;=0,ISNUMBER(O152),O152&gt;=0),1,0)</f>
        <v>1</v>
      </c>
      <c r="AB152" s="0" t="n">
        <f aca="false">IF(AA152=1,U152+O152,0)</f>
        <v>2452</v>
      </c>
      <c r="AC152" s="0" t="n">
        <f aca="false">IF(AA152=1,100*AB152/B152,"")</f>
        <v>0.356916717006674</v>
      </c>
      <c r="AD152" s="0" t="n">
        <f aca="false">IF(AND(AND(ISNUMBER(B152),B152=OriginalFinancials!B152),AND(ISNUMBER(U152),U152=OriginalFinancials!U152),AND(ISNUMBER(O152),O152=OriginalFinancials!O152)),0,1)</f>
        <v>0</v>
      </c>
      <c r="AE152" s="0" t="str">
        <f aca="false">IF(V152=0,"原始0：需核实适用/报告口径","")</f>
        <v/>
      </c>
    </row>
    <row r="153" customFormat="false" ht="15" hidden="false" customHeight="false" outlineLevel="0" collapsed="false">
      <c r="A153" s="0" t="n">
        <v>153</v>
      </c>
      <c r="B153" s="0" t="n">
        <v>182612</v>
      </c>
      <c r="C153" s="0" t="n">
        <v>59176</v>
      </c>
      <c r="D153" s="0" t="n">
        <v>160518</v>
      </c>
      <c r="E153" s="0" t="n">
        <v>0.28</v>
      </c>
      <c r="F153" s="0" t="n">
        <v>21662</v>
      </c>
      <c r="G153" s="0" t="n">
        <v>11.8623091582152</v>
      </c>
      <c r="H153" s="0" t="s">
        <v>308</v>
      </c>
      <c r="I153" s="0" t="n">
        <v>0.944416408333934</v>
      </c>
      <c r="J153" s="0" t="n">
        <v>17036</v>
      </c>
      <c r="K153" s="0" t="n">
        <v>12</v>
      </c>
      <c r="L153" s="0" t="n">
        <v>124839</v>
      </c>
      <c r="M153" s="0" t="n">
        <v>123660</v>
      </c>
      <c r="N153" s="0" t="n">
        <v>107791</v>
      </c>
      <c r="O153" s="0" t="n">
        <v>0</v>
      </c>
      <c r="P153" s="0" t="s">
        <v>200</v>
      </c>
      <c r="Q153" s="0" t="n">
        <v>0</v>
      </c>
      <c r="R153" s="0" t="n">
        <v>3.09322288309581</v>
      </c>
      <c r="S153" s="0" t="n">
        <v>0</v>
      </c>
      <c r="T153" s="0" t="n">
        <v>0</v>
      </c>
      <c r="U153" s="0" t="n">
        <v>0</v>
      </c>
      <c r="V153" s="0" t="n">
        <v>18.6279642747151</v>
      </c>
      <c r="W153" s="0" t="n">
        <v>20220930</v>
      </c>
      <c r="X153" s="0" t="n">
        <v>0.224178584443066</v>
      </c>
      <c r="Y153" s="0" t="n">
        <v>1.72</v>
      </c>
      <c r="Z153" s="0" t="s">
        <v>123</v>
      </c>
      <c r="AA153" s="0" t="n">
        <f aca="false">IF(AND(ISNUMBER(B153),B153&gt;0,ISNUMBER(U153),U153&gt;=0,ISNUMBER(O153),O153&gt;=0),1,0)</f>
        <v>1</v>
      </c>
      <c r="AB153" s="0" t="n">
        <f aca="false">IF(AA153=1,U153+O153,0)</f>
        <v>0</v>
      </c>
      <c r="AC153" s="0" t="n">
        <f aca="false">IF(AA153=1,100*AB153/B153,"")</f>
        <v>0</v>
      </c>
      <c r="AD153" s="0" t="n">
        <f aca="false">IF(AND(AND(ISNUMBER(B153),B153=OriginalFinancials!B153),AND(ISNUMBER(U153),U153=OriginalFinancials!U153),AND(ISNUMBER(O153),O153=OriginalFinancials!O153)),0,1)</f>
        <v>0</v>
      </c>
      <c r="AE153" s="0" t="str">
        <f aca="false">IF(V153=0,"原始0：需核实适用/报告口径","")</f>
        <v/>
      </c>
    </row>
    <row r="154" customFormat="false" ht="15" hidden="false" customHeight="false" outlineLevel="0" collapsed="false">
      <c r="A154" s="0" t="n">
        <v>154</v>
      </c>
      <c r="B154" s="0" t="n">
        <v>38217</v>
      </c>
      <c r="C154" s="0" t="n">
        <v>59298</v>
      </c>
      <c r="D154" s="0" t="n">
        <v>6690</v>
      </c>
      <c r="E154" s="0" t="n">
        <v>0.26</v>
      </c>
      <c r="F154" s="0" t="n">
        <v>30598</v>
      </c>
      <c r="G154" s="0" t="n">
        <v>80.0638459324385</v>
      </c>
      <c r="H154" s="0" t="s">
        <v>309</v>
      </c>
      <c r="I154" s="0" t="n">
        <v>0.993723849372385</v>
      </c>
      <c r="J154" s="0" t="n">
        <v>3084</v>
      </c>
      <c r="K154" s="0" t="n">
        <v>0</v>
      </c>
      <c r="L154" s="0" t="n">
        <v>7648</v>
      </c>
      <c r="M154" s="0" t="n">
        <v>7572</v>
      </c>
      <c r="N154" s="0" t="n">
        <v>4565</v>
      </c>
      <c r="O154" s="0" t="n">
        <v>0</v>
      </c>
      <c r="P154" s="0" t="s">
        <v>310</v>
      </c>
      <c r="Q154" s="0" t="n">
        <v>0</v>
      </c>
      <c r="R154" s="0" t="n">
        <v>0.568493727280182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20220930</v>
      </c>
      <c r="X154" s="0" t="n">
        <v>-1.79322343459717</v>
      </c>
      <c r="Y154" s="0" t="n">
        <v>-2.24</v>
      </c>
      <c r="Z154" s="0" t="s">
        <v>112</v>
      </c>
      <c r="AA154" s="0" t="n">
        <f aca="false">IF(AND(ISNUMBER(B154),B154&gt;0,ISNUMBER(U154),U154&gt;=0,ISNUMBER(O154),O154&gt;=0),1,0)</f>
        <v>1</v>
      </c>
      <c r="AB154" s="0" t="n">
        <f aca="false">IF(AA154=1,U154+O154,0)</f>
        <v>0</v>
      </c>
      <c r="AC154" s="0" t="n">
        <f aca="false">IF(AA154=1,100*AB154/B154,"")</f>
        <v>0</v>
      </c>
      <c r="AD154" s="0" t="n">
        <f aca="false">IF(AND(AND(ISNUMBER(B154),B154=OriginalFinancials!B154),AND(ISNUMBER(U154),U154=OriginalFinancials!U154),AND(ISNUMBER(O154),O154=OriginalFinancials!O154)),0,1)</f>
        <v>0</v>
      </c>
      <c r="AE154" s="0" t="str">
        <f aca="false">IF(V154=0,"原始0：需核实适用/报告口径","")</f>
        <v>原始0：需核实适用/报告口径</v>
      </c>
    </row>
    <row r="155" customFormat="false" ht="15" hidden="false" customHeight="false" outlineLevel="0" collapsed="false">
      <c r="A155" s="0" t="n">
        <v>155</v>
      </c>
      <c r="B155" s="0" t="n">
        <v>1026347</v>
      </c>
      <c r="C155" s="0" t="n">
        <v>6271</v>
      </c>
      <c r="D155" s="0" t="n">
        <v>904130</v>
      </c>
      <c r="E155" s="0" t="n">
        <v>0.17</v>
      </c>
      <c r="F155" s="0" t="n">
        <v>81739</v>
      </c>
      <c r="G155" s="0" t="n">
        <v>7.96407063108286</v>
      </c>
      <c r="H155" s="0" t="s">
        <v>311</v>
      </c>
      <c r="I155" s="0" t="n">
        <v>1.16336985420625</v>
      </c>
      <c r="J155" s="0" t="n">
        <v>124262</v>
      </c>
      <c r="K155" s="0" t="n">
        <v>3902</v>
      </c>
      <c r="L155" s="0" t="n">
        <v>724791</v>
      </c>
      <c r="M155" s="0" t="n">
        <v>716359</v>
      </c>
      <c r="N155" s="0" t="n">
        <v>551311</v>
      </c>
      <c r="O155" s="0" t="n">
        <v>8603</v>
      </c>
      <c r="P155" s="0" t="s">
        <v>202</v>
      </c>
      <c r="Q155" s="0" t="n">
        <v>1.28961314365107</v>
      </c>
      <c r="R155" s="0" t="n">
        <v>3.38614224773598</v>
      </c>
      <c r="S155" s="0" t="n">
        <v>603</v>
      </c>
      <c r="T155" s="0" t="n">
        <v>987</v>
      </c>
      <c r="U155" s="0" t="n">
        <v>744</v>
      </c>
      <c r="V155" s="0" t="n">
        <v>15.053195210868</v>
      </c>
      <c r="W155" s="0" t="n">
        <v>20220930</v>
      </c>
      <c r="X155" s="0" t="n">
        <v>1.26525953247623</v>
      </c>
      <c r="Y155" s="0" t="n">
        <v>14.44</v>
      </c>
      <c r="Z155" s="0" t="s">
        <v>112</v>
      </c>
      <c r="AA155" s="0" t="n">
        <f aca="false">IF(AND(ISNUMBER(B155),B155&gt;0,ISNUMBER(U155),U155&gt;=0,ISNUMBER(O155),O155&gt;=0),1,0)</f>
        <v>1</v>
      </c>
      <c r="AB155" s="0" t="n">
        <f aca="false">IF(AA155=1,U155+O155,0)</f>
        <v>9347</v>
      </c>
      <c r="AC155" s="0" t="n">
        <f aca="false">IF(AA155=1,100*AB155/B155,"")</f>
        <v>0.910705638541351</v>
      </c>
      <c r="AD155" s="0" t="n">
        <f aca="false">IF(AND(AND(ISNUMBER(B155),B155=OriginalFinancials!B155),AND(ISNUMBER(U155),U155=OriginalFinancials!U155),AND(ISNUMBER(O155),O155=OriginalFinancials!O155)),0,1)</f>
        <v>0</v>
      </c>
      <c r="AE155" s="0" t="str">
        <f aca="false">IF(V155=0,"原始0：需核实适用/报告口径","")</f>
        <v/>
      </c>
    </row>
    <row r="156" customFormat="false" ht="15" hidden="false" customHeight="false" outlineLevel="0" collapsed="false">
      <c r="A156" s="0" t="n">
        <v>156</v>
      </c>
      <c r="B156" s="0" t="n">
        <v>538969</v>
      </c>
      <c r="C156" s="0" t="n">
        <v>6275</v>
      </c>
      <c r="D156" s="0" t="n">
        <v>499382</v>
      </c>
      <c r="E156" s="0" t="n">
        <v>-0.08</v>
      </c>
      <c r="F156" s="0" t="n">
        <v>21431</v>
      </c>
      <c r="G156" s="0" t="n">
        <v>3.97629548267154</v>
      </c>
      <c r="H156" s="0" t="s">
        <v>312</v>
      </c>
      <c r="I156" s="0" t="n">
        <v>0.927895668719114</v>
      </c>
      <c r="J156" s="0" t="n">
        <v>29293</v>
      </c>
      <c r="K156" s="0" t="n">
        <v>13387</v>
      </c>
      <c r="L156" s="0" t="n">
        <v>302728</v>
      </c>
      <c r="M156" s="0" t="n">
        <v>299919</v>
      </c>
      <c r="N156" s="0" t="n">
        <v>249546</v>
      </c>
      <c r="O156" s="0" t="n">
        <v>1530</v>
      </c>
      <c r="P156" s="0" t="s">
        <v>204</v>
      </c>
      <c r="Q156" s="0" t="n">
        <v>0.513001770566317</v>
      </c>
      <c r="R156" s="0" t="n">
        <v>2.74506460329647</v>
      </c>
      <c r="S156" s="0" t="n">
        <v>0</v>
      </c>
      <c r="T156" s="0" t="n">
        <v>46</v>
      </c>
      <c r="U156" s="0" t="n">
        <v>23</v>
      </c>
      <c r="V156" s="0" t="n">
        <v>15.7909585316112</v>
      </c>
      <c r="W156" s="0" t="n">
        <v>20220930</v>
      </c>
      <c r="X156" s="0" t="n">
        <v>0.61233728150206</v>
      </c>
      <c r="Y156" s="0" t="n">
        <v>10.71</v>
      </c>
      <c r="Z156" s="0" t="s">
        <v>112</v>
      </c>
      <c r="AA156" s="0" t="n">
        <f aca="false">IF(AND(ISNUMBER(B156),B156&gt;0,ISNUMBER(U156),U156&gt;=0,ISNUMBER(O156),O156&gt;=0),1,0)</f>
        <v>1</v>
      </c>
      <c r="AB156" s="0" t="n">
        <f aca="false">IF(AA156=1,U156+O156,0)</f>
        <v>1553</v>
      </c>
      <c r="AC156" s="0" t="n">
        <f aca="false">IF(AA156=1,100*AB156/B156,"")</f>
        <v>0.288142731771215</v>
      </c>
      <c r="AD156" s="0" t="n">
        <f aca="false">IF(AND(AND(ISNUMBER(B156),B156=OriginalFinancials!B156),AND(ISNUMBER(U156),U156=OriginalFinancials!U156),AND(ISNUMBER(O156),O156=OriginalFinancials!O156)),0,1)</f>
        <v>0</v>
      </c>
      <c r="AE156" s="0" t="str">
        <f aca="false">IF(V156=0,"原始0：需核实适用/报告口径","")</f>
        <v/>
      </c>
    </row>
    <row r="157" customFormat="false" ht="15" hidden="false" customHeight="false" outlineLevel="0" collapsed="false">
      <c r="A157" s="0" t="n">
        <v>157</v>
      </c>
      <c r="B157" s="0" t="n">
        <v>87700</v>
      </c>
      <c r="C157" s="0" t="n">
        <v>6280</v>
      </c>
      <c r="D157" s="0" t="n">
        <v>78966</v>
      </c>
      <c r="E157" s="0" t="n">
        <v>0.14</v>
      </c>
      <c r="F157" s="0" t="n">
        <v>8505</v>
      </c>
      <c r="G157" s="0" t="n">
        <v>9.69783352337514</v>
      </c>
      <c r="H157" s="0" t="s">
        <v>313</v>
      </c>
      <c r="I157" s="0" t="n">
        <v>1.31916862069516</v>
      </c>
      <c r="J157" s="0" t="n">
        <v>3097</v>
      </c>
      <c r="K157" s="0" t="n">
        <v>1958</v>
      </c>
      <c r="L157" s="0" t="n">
        <v>62691</v>
      </c>
      <c r="M157" s="0" t="n">
        <v>61864</v>
      </c>
      <c r="N157" s="0" t="n">
        <v>53838</v>
      </c>
      <c r="O157" s="0" t="n">
        <v>667</v>
      </c>
      <c r="P157" s="0" t="s">
        <v>206</v>
      </c>
      <c r="Q157" s="0" t="n">
        <v>1.06394857316042</v>
      </c>
      <c r="R157" s="0" t="n">
        <v>4.11454325169757</v>
      </c>
      <c r="S157" s="0" t="n">
        <v>78</v>
      </c>
      <c r="T157" s="0" t="n">
        <v>659</v>
      </c>
      <c r="U157" s="0" t="n">
        <v>0</v>
      </c>
      <c r="V157" s="0" t="n">
        <v>0</v>
      </c>
      <c r="W157" s="0" t="n">
        <v>20220930</v>
      </c>
      <c r="X157" s="0" t="n">
        <v>1.35938068951454</v>
      </c>
      <c r="Y157" s="0" t="n">
        <v>14.26</v>
      </c>
      <c r="Z157" s="0" t="s">
        <v>112</v>
      </c>
      <c r="AA157" s="0" t="n">
        <f aca="false">IF(AND(ISNUMBER(B157),B157&gt;0,ISNUMBER(U157),U157&gt;=0,ISNUMBER(O157),O157&gt;=0),1,0)</f>
        <v>1</v>
      </c>
      <c r="AB157" s="0" t="n">
        <f aca="false">IF(AA157=1,U157+O157,0)</f>
        <v>667</v>
      </c>
      <c r="AC157" s="0" t="n">
        <f aca="false">IF(AA157=1,100*AB157/B157,"")</f>
        <v>0.76054732041049</v>
      </c>
      <c r="AD157" s="0" t="n">
        <f aca="false">IF(AND(AND(ISNUMBER(B157),B157=OriginalFinancials!B157),AND(ISNUMBER(U157),U157=OriginalFinancials!U157),AND(ISNUMBER(O157),O157=OriginalFinancials!O157)),0,1)</f>
        <v>0</v>
      </c>
      <c r="AE157" s="0" t="str">
        <f aca="false">IF(V157=0,"原始0：需核实适用/报告口径","")</f>
        <v>原始0：需核实适用/报告口径</v>
      </c>
    </row>
    <row r="158" customFormat="false" ht="15" hidden="false" customHeight="false" outlineLevel="0" collapsed="false">
      <c r="A158" s="0" t="n">
        <v>158</v>
      </c>
      <c r="B158" s="0" t="n">
        <v>3906943</v>
      </c>
      <c r="C158" s="0" t="n">
        <v>11971</v>
      </c>
      <c r="D158" s="0" t="n">
        <v>3050819</v>
      </c>
      <c r="E158" s="0" t="n">
        <v>0.12</v>
      </c>
      <c r="F158" s="0" t="n">
        <v>447316</v>
      </c>
      <c r="G158" s="0" t="n">
        <v>11.449258409964</v>
      </c>
      <c r="H158" s="0" t="s">
        <v>314</v>
      </c>
      <c r="I158" s="0" t="n">
        <v>0.890897753463167</v>
      </c>
      <c r="J158" s="0" t="n">
        <v>194294</v>
      </c>
      <c r="K158" s="0" t="n">
        <v>7800</v>
      </c>
      <c r="L158" s="0" t="n">
        <v>2902690</v>
      </c>
      <c r="M158" s="0" t="n">
        <v>2876830</v>
      </c>
      <c r="N158" s="0" t="n">
        <v>2554897</v>
      </c>
      <c r="O158" s="0" t="n">
        <v>6548</v>
      </c>
      <c r="P158" s="0" t="s">
        <v>104</v>
      </c>
      <c r="Q158" s="0" t="n">
        <v>0.233025228322694</v>
      </c>
      <c r="R158" s="0" t="n">
        <v>3.45843569395616</v>
      </c>
      <c r="S158" s="0" t="n">
        <v>-237</v>
      </c>
      <c r="T158" s="0" t="n">
        <v>1146</v>
      </c>
      <c r="U158" s="0" t="n">
        <v>216</v>
      </c>
      <c r="V158" s="0" t="n">
        <v>13.2911679611455</v>
      </c>
      <c r="W158" s="0" t="n">
        <v>20221231</v>
      </c>
      <c r="X158" s="0" t="n">
        <v>1.30045350644</v>
      </c>
      <c r="Y158" s="0" t="n">
        <v>10.79</v>
      </c>
      <c r="Z158" s="0" t="s">
        <v>105</v>
      </c>
      <c r="AA158" s="0" t="n">
        <f aca="false">IF(AND(ISNUMBER(B158),B158&gt;0,ISNUMBER(U158),U158&gt;=0,ISNUMBER(O158),O158&gt;=0),1,0)</f>
        <v>1</v>
      </c>
      <c r="AB158" s="0" t="n">
        <f aca="false">IF(AA158=1,U158+O158,0)</f>
        <v>6764</v>
      </c>
      <c r="AC158" s="0" t="n">
        <f aca="false">IF(AA158=1,100*AB158/B158,"")</f>
        <v>0.173127685763524</v>
      </c>
      <c r="AD158" s="0" t="n">
        <f aca="false">IF(AND(AND(ISNUMBER(B158),B158=OriginalFinancials!B158),AND(ISNUMBER(U158),U158=OriginalFinancials!U158),AND(ISNUMBER(O158),O158=OriginalFinancials!O158)),0,1)</f>
        <v>0</v>
      </c>
      <c r="AE158" s="0" t="str">
        <f aca="false">IF(V158=0,"原始0：需核实适用/报告口径","")</f>
        <v/>
      </c>
    </row>
    <row r="159" customFormat="false" ht="15" hidden="false" customHeight="false" outlineLevel="0" collapsed="false">
      <c r="A159" s="0" t="n">
        <v>159</v>
      </c>
      <c r="B159" s="0" t="n">
        <v>981838</v>
      </c>
      <c r="C159" s="0" t="n">
        <v>12874</v>
      </c>
      <c r="D159" s="0" t="n">
        <v>861068</v>
      </c>
      <c r="E159" s="0" t="n">
        <v>-0.05</v>
      </c>
      <c r="F159" s="0" t="n">
        <v>97187</v>
      </c>
      <c r="G159" s="0" t="n">
        <v>9.89847612335232</v>
      </c>
      <c r="H159" s="0" t="s">
        <v>315</v>
      </c>
      <c r="I159" s="0" t="n">
        <v>0.990899413304305</v>
      </c>
      <c r="J159" s="0" t="n">
        <v>130722</v>
      </c>
      <c r="K159" s="0" t="n">
        <v>5348</v>
      </c>
      <c r="L159" s="0" t="n">
        <v>749622</v>
      </c>
      <c r="M159" s="0" t="n">
        <v>742194</v>
      </c>
      <c r="N159" s="0" t="n">
        <v>599821</v>
      </c>
      <c r="O159" s="0" t="n">
        <v>505</v>
      </c>
      <c r="P159" s="0" t="s">
        <v>107</v>
      </c>
      <c r="Q159" s="0" t="n">
        <v>0.0673672864457019</v>
      </c>
      <c r="R159" s="0" t="n">
        <v>3.7482197406091</v>
      </c>
      <c r="S159" s="0" t="n">
        <v>-125</v>
      </c>
      <c r="T159" s="0" t="n">
        <v>390</v>
      </c>
      <c r="U159" s="0" t="n">
        <v>0</v>
      </c>
      <c r="V159" s="0" t="n">
        <v>15.4509262729079</v>
      </c>
      <c r="W159" s="0" t="n">
        <v>20221231</v>
      </c>
      <c r="X159" s="0" t="n">
        <v>1.09464857855594</v>
      </c>
      <c r="Y159" s="0" t="n">
        <v>10.88</v>
      </c>
      <c r="Z159" s="0" t="s">
        <v>105</v>
      </c>
      <c r="AA159" s="0" t="n">
        <f aca="false">IF(AND(ISNUMBER(B159),B159&gt;0,ISNUMBER(U159),U159&gt;=0,ISNUMBER(O159),O159&gt;=0),1,0)</f>
        <v>1</v>
      </c>
      <c r="AB159" s="0" t="n">
        <f aca="false">IF(AA159=1,U159+O159,0)</f>
        <v>505</v>
      </c>
      <c r="AC159" s="0" t="n">
        <f aca="false">IF(AA159=1,100*AB159/B159,"")</f>
        <v>0.0514341469774036</v>
      </c>
      <c r="AD159" s="0" t="n">
        <f aca="false">IF(AND(AND(ISNUMBER(B159),B159=OriginalFinancials!B159),AND(ISNUMBER(U159),U159=OriginalFinancials!U159),AND(ISNUMBER(O159),O159=OriginalFinancials!O159)),0,1)</f>
        <v>0</v>
      </c>
      <c r="AE159" s="0" t="str">
        <f aca="false">IF(V159=0,"原始0：需核实适用/报告口径","")</f>
        <v/>
      </c>
    </row>
    <row r="160" customFormat="false" ht="15" hidden="false" customHeight="false" outlineLevel="0" collapsed="false">
      <c r="A160" s="0" t="n">
        <v>160</v>
      </c>
      <c r="B160" s="0" t="n">
        <v>1843469</v>
      </c>
      <c r="C160" s="0" t="n">
        <v>13063</v>
      </c>
      <c r="D160" s="0" t="n">
        <v>1640586</v>
      </c>
      <c r="E160" s="0" t="n">
        <v>-0.08</v>
      </c>
      <c r="F160" s="0" t="n">
        <v>136120</v>
      </c>
      <c r="G160" s="0" t="n">
        <v>7.3839050182021</v>
      </c>
      <c r="H160" s="0" t="s">
        <v>316</v>
      </c>
      <c r="I160" s="0" t="n">
        <v>1.01489055204655</v>
      </c>
      <c r="J160" s="0" t="n">
        <v>46233</v>
      </c>
      <c r="K160" s="0" t="n">
        <v>839</v>
      </c>
      <c r="L160" s="0" t="n">
        <v>1335612</v>
      </c>
      <c r="M160" s="0" t="n">
        <v>1322057</v>
      </c>
      <c r="N160" s="0" t="n">
        <v>1281066</v>
      </c>
      <c r="O160" s="0" t="n">
        <v>528</v>
      </c>
      <c r="P160" s="0" t="s">
        <v>109</v>
      </c>
      <c r="Q160" s="0" t="n">
        <v>0.0953869836449507</v>
      </c>
      <c r="R160" s="0" t="n">
        <v>3.53048222013871</v>
      </c>
      <c r="S160" s="0" t="n">
        <v>-159</v>
      </c>
      <c r="T160" s="0" t="n">
        <v>261</v>
      </c>
      <c r="U160" s="0" t="n">
        <v>746</v>
      </c>
      <c r="V160" s="0" t="n">
        <v>0</v>
      </c>
      <c r="W160" s="0" t="n">
        <v>20221231</v>
      </c>
      <c r="X160" s="0" t="n">
        <v>0.74485484313953</v>
      </c>
      <c r="Y160" s="0" t="n">
        <v>9.45</v>
      </c>
      <c r="Z160" s="0" t="s">
        <v>105</v>
      </c>
      <c r="AA160" s="0" t="n">
        <f aca="false">IF(AND(ISNUMBER(B160),B160&gt;0,ISNUMBER(U160),U160&gt;=0,ISNUMBER(O160),O160&gt;=0),1,0)</f>
        <v>1</v>
      </c>
      <c r="AB160" s="0" t="n">
        <f aca="false">IF(AA160=1,U160+O160,0)</f>
        <v>1274</v>
      </c>
      <c r="AC160" s="0" t="n">
        <f aca="false">IF(AA160=1,100*AB160/B160,"")</f>
        <v>0.0691088377401518</v>
      </c>
      <c r="AD160" s="0" t="n">
        <f aca="false">IF(AND(AND(ISNUMBER(B160),B160=OriginalFinancials!B160),AND(ISNUMBER(U160),U160=OriginalFinancials!U160),AND(ISNUMBER(O160),O160=OriginalFinancials!O160)),0,1)</f>
        <v>0</v>
      </c>
      <c r="AE160" s="0" t="str">
        <f aca="false">IF(V160=0,"原始0：需核实适用/报告口径","")</f>
        <v>原始0：需核实适用/报告口径</v>
      </c>
    </row>
    <row r="161" customFormat="false" ht="15" hidden="false" customHeight="false" outlineLevel="0" collapsed="false">
      <c r="A161" s="0" t="n">
        <v>161</v>
      </c>
      <c r="B161" s="0" t="n">
        <v>838127</v>
      </c>
      <c r="C161" s="0" t="n">
        <v>14134</v>
      </c>
      <c r="D161" s="0" t="n">
        <v>719419</v>
      </c>
      <c r="E161" s="0" t="n">
        <v>-0.11</v>
      </c>
      <c r="F161" s="0" t="n">
        <v>97584</v>
      </c>
      <c r="G161" s="0" t="n">
        <v>11.6431042073576</v>
      </c>
      <c r="H161" s="0" t="s">
        <v>317</v>
      </c>
      <c r="I161" s="0" t="n">
        <v>1.09359277581672</v>
      </c>
      <c r="J161" s="0" t="n">
        <v>28029</v>
      </c>
      <c r="K161" s="0" t="n">
        <v>22010</v>
      </c>
      <c r="L161" s="0" t="n">
        <v>618146</v>
      </c>
      <c r="M161" s="0" t="n">
        <v>611386</v>
      </c>
      <c r="N161" s="0" t="n">
        <v>543525</v>
      </c>
      <c r="O161" s="0" t="n">
        <v>12984</v>
      </c>
      <c r="P161" s="0" t="s">
        <v>111</v>
      </c>
      <c r="Q161" s="0" t="n">
        <v>2.10047464514856</v>
      </c>
      <c r="R161" s="0" t="n">
        <v>3.12340753760266</v>
      </c>
      <c r="S161" s="0" t="n">
        <v>467</v>
      </c>
      <c r="T161" s="0" t="n">
        <v>5416</v>
      </c>
      <c r="U161" s="0" t="n">
        <v>0</v>
      </c>
      <c r="V161" s="0" t="n">
        <v>18.0562778373292</v>
      </c>
      <c r="W161" s="0" t="n">
        <v>20221231</v>
      </c>
      <c r="X161" s="0" t="n">
        <v>0.221752918751042</v>
      </c>
      <c r="Y161" s="0" t="n">
        <v>1.92</v>
      </c>
      <c r="Z161" s="0" t="s">
        <v>112</v>
      </c>
      <c r="AA161" s="0" t="n">
        <f aca="false">IF(AND(ISNUMBER(B161),B161&gt;0,ISNUMBER(U161),U161&gt;=0,ISNUMBER(O161),O161&gt;=0),1,0)</f>
        <v>1</v>
      </c>
      <c r="AB161" s="0" t="n">
        <f aca="false">IF(AA161=1,U161+O161,0)</f>
        <v>12984</v>
      </c>
      <c r="AC161" s="0" t="n">
        <f aca="false">IF(AA161=1,100*AB161/B161,"")</f>
        <v>1.54916856275958</v>
      </c>
      <c r="AD161" s="0" t="n">
        <f aca="false">IF(AND(AND(ISNUMBER(B161),B161=OriginalFinancials!B161),AND(ISNUMBER(U161),U161=OriginalFinancials!U161),AND(ISNUMBER(O161),O161=OriginalFinancials!O161)),0,1)</f>
        <v>0</v>
      </c>
      <c r="AE161" s="0" t="str">
        <f aca="false">IF(V161=0,"原始0：需核实适用/报告口径","")</f>
        <v/>
      </c>
    </row>
    <row r="162" customFormat="false" ht="15" hidden="false" customHeight="false" outlineLevel="0" collapsed="false">
      <c r="A162" s="0" t="n">
        <v>162</v>
      </c>
      <c r="B162" s="0" t="n">
        <v>228201</v>
      </c>
      <c r="C162" s="0" t="n">
        <v>14136</v>
      </c>
      <c r="D162" s="0" t="n">
        <v>209378</v>
      </c>
      <c r="E162" s="0" t="n">
        <v>0.03</v>
      </c>
      <c r="F162" s="0" t="n">
        <v>14622</v>
      </c>
      <c r="G162" s="0" t="n">
        <v>6.4075091695479</v>
      </c>
      <c r="H162" s="0" t="s">
        <v>318</v>
      </c>
      <c r="I162" s="0" t="n">
        <v>0.958171970790403</v>
      </c>
      <c r="J162" s="0" t="n">
        <v>13222</v>
      </c>
      <c r="K162" s="0" t="n">
        <v>12457</v>
      </c>
      <c r="L162" s="0" t="n">
        <v>139954</v>
      </c>
      <c r="M162" s="0" t="n">
        <v>138613</v>
      </c>
      <c r="N162" s="0" t="n">
        <v>113932</v>
      </c>
      <c r="O162" s="0" t="n">
        <v>107</v>
      </c>
      <c r="P162" s="0" t="s">
        <v>114</v>
      </c>
      <c r="Q162" s="0" t="n">
        <v>0.555182417079898</v>
      </c>
      <c r="R162" s="0" t="n">
        <v>3.71178604169158</v>
      </c>
      <c r="S162" s="0" t="n">
        <v>90</v>
      </c>
      <c r="T162" s="0" t="n">
        <v>1094</v>
      </c>
      <c r="U162" s="0" t="n">
        <v>670</v>
      </c>
      <c r="V162" s="0" t="n">
        <v>17.6671209321242</v>
      </c>
      <c r="W162" s="0" t="n">
        <v>20221231</v>
      </c>
      <c r="X162" s="0" t="n">
        <v>0.464923878187269</v>
      </c>
      <c r="Y162" s="0" t="n">
        <v>6.05</v>
      </c>
      <c r="Z162" s="0" t="s">
        <v>112</v>
      </c>
      <c r="AA162" s="0" t="n">
        <f aca="false">IF(AND(ISNUMBER(B162),B162&gt;0,ISNUMBER(U162),U162&gt;=0,ISNUMBER(O162),O162&gt;=0),1,0)</f>
        <v>1</v>
      </c>
      <c r="AB162" s="0" t="n">
        <f aca="false">IF(AA162=1,U162+O162,0)</f>
        <v>777</v>
      </c>
      <c r="AC162" s="0" t="n">
        <f aca="false">IF(AA162=1,100*AB162/B162,"")</f>
        <v>0.340489305480695</v>
      </c>
      <c r="AD162" s="0" t="n">
        <f aca="false">IF(AND(AND(ISNUMBER(B162),B162=OriginalFinancials!B162),AND(ISNUMBER(U162),U162=OriginalFinancials!U162),AND(ISNUMBER(O162),O162=OriginalFinancials!O162)),0,1)</f>
        <v>0</v>
      </c>
      <c r="AE162" s="0" t="str">
        <f aca="false">IF(V162=0,"原始0：需核实适用/报告口径","")</f>
        <v/>
      </c>
    </row>
    <row r="163" customFormat="false" ht="15" hidden="false" customHeight="false" outlineLevel="0" collapsed="false">
      <c r="A163" s="0" t="n">
        <v>163</v>
      </c>
      <c r="B163" s="0" t="n">
        <v>1414255</v>
      </c>
      <c r="C163" s="0" t="n">
        <v>14140</v>
      </c>
      <c r="D163" s="0" t="n">
        <v>1185491</v>
      </c>
      <c r="E163" s="0" t="n">
        <v>0</v>
      </c>
      <c r="F163" s="0" t="n">
        <v>113940</v>
      </c>
      <c r="G163" s="0" t="n">
        <v>8.05653860159589</v>
      </c>
      <c r="H163" s="0" t="s">
        <v>319</v>
      </c>
      <c r="I163" s="0" t="n">
        <v>1.08278076667533</v>
      </c>
      <c r="J163" s="0" t="n">
        <v>86826</v>
      </c>
      <c r="K163" s="0" t="n">
        <v>1204</v>
      </c>
      <c r="L163" s="0" t="n">
        <v>973789</v>
      </c>
      <c r="M163" s="0" t="n">
        <v>963245</v>
      </c>
      <c r="N163" s="0" t="n">
        <v>878159</v>
      </c>
      <c r="O163" s="0" t="n">
        <v>2462</v>
      </c>
      <c r="P163" s="0" t="s">
        <v>116</v>
      </c>
      <c r="Q163" s="0" t="n">
        <v>0.252826844419068</v>
      </c>
      <c r="R163" s="0" t="n">
        <v>3.11589074154042</v>
      </c>
      <c r="S163" s="0" t="n">
        <v>76</v>
      </c>
      <c r="T163" s="0" t="n">
        <v>734</v>
      </c>
      <c r="U163" s="0" t="n">
        <v>0</v>
      </c>
      <c r="V163" s="0" t="n">
        <v>0</v>
      </c>
      <c r="W163" s="0" t="n">
        <v>20221231</v>
      </c>
      <c r="X163" s="0" t="n">
        <v>0.706430614112242</v>
      </c>
      <c r="Y163" s="0" t="n">
        <v>8.33</v>
      </c>
      <c r="Z163" s="0" t="s">
        <v>112</v>
      </c>
      <c r="AA163" s="0" t="n">
        <f aca="false">IF(AND(ISNUMBER(B163),B163&gt;0,ISNUMBER(U163),U163&gt;=0,ISNUMBER(O163),O163&gt;=0),1,0)</f>
        <v>1</v>
      </c>
      <c r="AB163" s="0" t="n">
        <f aca="false">IF(AA163=1,U163+O163,0)</f>
        <v>2462</v>
      </c>
      <c r="AC163" s="0" t="n">
        <f aca="false">IF(AA163=1,100*AB163/B163,"")</f>
        <v>0.174084588705714</v>
      </c>
      <c r="AD163" s="0" t="n">
        <f aca="false">IF(AND(AND(ISNUMBER(B163),B163=OriginalFinancials!B163),AND(ISNUMBER(U163),U163=OriginalFinancials!U163),AND(ISNUMBER(O163),O163=OriginalFinancials!O163)),0,1)</f>
        <v>0</v>
      </c>
      <c r="AE163" s="0" t="str">
        <f aca="false">IF(V163=0,"原始0：需核实适用/报告口径","")</f>
        <v>原始0：需核实适用/报告口径</v>
      </c>
    </row>
    <row r="164" customFormat="false" ht="15" hidden="false" customHeight="false" outlineLevel="0" collapsed="false">
      <c r="A164" s="0" t="n">
        <v>164</v>
      </c>
      <c r="B164" s="0" t="n">
        <v>1335789</v>
      </c>
      <c r="C164" s="0" t="n">
        <v>14158</v>
      </c>
      <c r="D164" s="0" t="n">
        <v>1204403</v>
      </c>
      <c r="E164" s="0" t="n">
        <v>0</v>
      </c>
      <c r="F164" s="0" t="n">
        <v>71084</v>
      </c>
      <c r="G164" s="0" t="n">
        <v>5.3214991289792</v>
      </c>
      <c r="H164" s="0" t="s">
        <v>320</v>
      </c>
      <c r="I164" s="0" t="n">
        <v>0.868039110163625</v>
      </c>
      <c r="J164" s="0" t="n">
        <v>40782</v>
      </c>
      <c r="K164" s="0" t="n">
        <v>2089</v>
      </c>
      <c r="L164" s="0" t="n">
        <v>960671</v>
      </c>
      <c r="M164" s="0" t="n">
        <v>952332</v>
      </c>
      <c r="N164" s="0" t="n">
        <v>824447</v>
      </c>
      <c r="O164" s="0" t="n">
        <v>2211</v>
      </c>
      <c r="P164" s="0" t="s">
        <v>118</v>
      </c>
      <c r="Q164" s="0" t="n">
        <v>0.249513100738963</v>
      </c>
      <c r="R164" s="0" t="n">
        <v>3.42354879042827</v>
      </c>
      <c r="S164" s="0" t="n">
        <v>-3</v>
      </c>
      <c r="T164" s="0" t="n">
        <v>3040</v>
      </c>
      <c r="U164" s="0" t="n">
        <v>186</v>
      </c>
      <c r="V164" s="0" t="n">
        <v>13.9528938577954</v>
      </c>
      <c r="W164" s="0" t="n">
        <v>20221231</v>
      </c>
      <c r="X164" s="0" t="n">
        <v>1.07564545512455</v>
      </c>
      <c r="Y164" s="0" t="n">
        <v>16.97</v>
      </c>
      <c r="Z164" s="0" t="s">
        <v>112</v>
      </c>
      <c r="AA164" s="0" t="n">
        <f aca="false">IF(AND(ISNUMBER(B164),B164&gt;0,ISNUMBER(U164),U164&gt;=0,ISNUMBER(O164),O164&gt;=0),1,0)</f>
        <v>1</v>
      </c>
      <c r="AB164" s="0" t="n">
        <f aca="false">IF(AA164=1,U164+O164,0)</f>
        <v>2397</v>
      </c>
      <c r="AC164" s="0" t="n">
        <f aca="false">IF(AA164=1,100*AB164/B164,"")</f>
        <v>0.179444508077249</v>
      </c>
      <c r="AD164" s="0" t="n">
        <f aca="false">IF(AND(AND(ISNUMBER(B164),B164=OriginalFinancials!B164),AND(ISNUMBER(U164),U164=OriginalFinancials!U164),AND(ISNUMBER(O164),O164=OriginalFinancials!O164)),0,1)</f>
        <v>0</v>
      </c>
      <c r="AE164" s="0" t="str">
        <f aca="false">IF(V164=0,"原始0：需核实适用/报告口径","")</f>
        <v/>
      </c>
    </row>
    <row r="165" customFormat="false" ht="15" hidden="false" customHeight="false" outlineLevel="0" collapsed="false">
      <c r="A165" s="0" t="n">
        <v>165</v>
      </c>
      <c r="B165" s="0" t="n">
        <v>368796</v>
      </c>
      <c r="C165" s="0" t="n">
        <v>14168</v>
      </c>
      <c r="D165" s="0" t="n">
        <v>332153</v>
      </c>
      <c r="E165" s="0" t="n">
        <v>0.02</v>
      </c>
      <c r="F165" s="0" t="n">
        <v>31831</v>
      </c>
      <c r="G165" s="0" t="n">
        <v>8.6310589051942</v>
      </c>
      <c r="H165" s="0" t="s">
        <v>321</v>
      </c>
      <c r="I165" s="0" t="n">
        <v>1.42682780902238</v>
      </c>
      <c r="J165" s="0" t="n">
        <v>11593</v>
      </c>
      <c r="K165" s="0" t="n">
        <v>9164</v>
      </c>
      <c r="L165" s="0" t="n">
        <v>208925</v>
      </c>
      <c r="M165" s="0" t="n">
        <v>205944</v>
      </c>
      <c r="N165" s="0" t="n">
        <v>173273</v>
      </c>
      <c r="O165" s="0" t="n">
        <v>1146</v>
      </c>
      <c r="P165" s="0" t="s">
        <v>120</v>
      </c>
      <c r="Q165" s="0" t="n">
        <v>0.548522196960632</v>
      </c>
      <c r="R165" s="0" t="n">
        <v>3.0732840381186</v>
      </c>
      <c r="S165" s="0" t="n">
        <v>58</v>
      </c>
      <c r="T165" s="0" t="n">
        <v>204</v>
      </c>
      <c r="U165" s="0" t="n">
        <v>0</v>
      </c>
      <c r="V165" s="0" t="n">
        <v>18.3394750971745</v>
      </c>
      <c r="W165" s="0" t="n">
        <v>20221231</v>
      </c>
      <c r="X165" s="0" t="n">
        <v>0.554974035143356</v>
      </c>
      <c r="Y165" s="0" t="n">
        <v>6.25</v>
      </c>
      <c r="Z165" s="0" t="s">
        <v>112</v>
      </c>
      <c r="AA165" s="0" t="n">
        <f aca="false">IF(AND(ISNUMBER(B165),B165&gt;0,ISNUMBER(U165),U165&gt;=0,ISNUMBER(O165),O165&gt;=0),1,0)</f>
        <v>1</v>
      </c>
      <c r="AB165" s="0" t="n">
        <f aca="false">IF(AA165=1,U165+O165,0)</f>
        <v>1146</v>
      </c>
      <c r="AC165" s="0" t="n">
        <f aca="false">IF(AA165=1,100*AB165/B165,"")</f>
        <v>0.310740897406696</v>
      </c>
      <c r="AD165" s="0" t="n">
        <f aca="false">IF(AND(AND(ISNUMBER(B165),B165=OriginalFinancials!B165),AND(ISNUMBER(U165),U165=OriginalFinancials!U165),AND(ISNUMBER(O165),O165=OriginalFinancials!O165)),0,1)</f>
        <v>0</v>
      </c>
      <c r="AE165" s="0" t="str">
        <f aca="false">IF(V165=0,"原始0：需核实适用/报告口径","")</f>
        <v/>
      </c>
    </row>
    <row r="166" customFormat="false" ht="15" hidden="false" customHeight="false" outlineLevel="0" collapsed="false">
      <c r="A166" s="0" t="n">
        <v>166</v>
      </c>
      <c r="B166" s="0" t="n">
        <v>1297773</v>
      </c>
      <c r="C166" s="0" t="n">
        <v>14240</v>
      </c>
      <c r="D166" s="0" t="n">
        <v>1070008</v>
      </c>
      <c r="E166" s="0" t="n">
        <v>0.14</v>
      </c>
      <c r="F166" s="0" t="n">
        <v>81085</v>
      </c>
      <c r="G166" s="0" t="n">
        <v>6.24801101579398</v>
      </c>
      <c r="H166" s="0" t="s">
        <v>322</v>
      </c>
      <c r="I166" s="0" t="n">
        <v>1.22148698836792</v>
      </c>
      <c r="J166" s="0" t="n">
        <v>24518</v>
      </c>
      <c r="K166" s="0" t="n">
        <v>17452</v>
      </c>
      <c r="L166" s="0" t="n">
        <v>930014</v>
      </c>
      <c r="M166" s="0" t="n">
        <v>918654</v>
      </c>
      <c r="N166" s="0" t="n">
        <v>824710</v>
      </c>
      <c r="O166" s="0" t="n">
        <v>2163</v>
      </c>
      <c r="P166" s="0" t="s">
        <v>122</v>
      </c>
      <c r="Q166" s="0" t="n">
        <v>0.232577143999983</v>
      </c>
      <c r="R166" s="0" t="n">
        <v>3.01422887354516</v>
      </c>
      <c r="S166" s="0" t="n">
        <v>-94</v>
      </c>
      <c r="T166" s="0" t="n">
        <v>8212</v>
      </c>
      <c r="U166" s="0" t="n">
        <v>0</v>
      </c>
      <c r="V166" s="0" t="n">
        <v>14.7172199109766</v>
      </c>
      <c r="W166" s="0" t="n">
        <v>20221231</v>
      </c>
      <c r="X166" s="0" t="n">
        <v>0.31097349194486</v>
      </c>
      <c r="Y166" s="0" t="n">
        <v>4.22</v>
      </c>
      <c r="Z166" s="0" t="s">
        <v>123</v>
      </c>
      <c r="AA166" s="0" t="n">
        <f aca="false">IF(AND(ISNUMBER(B166),B166&gt;0,ISNUMBER(U166),U166&gt;=0,ISNUMBER(O166),O166&gt;=0),1,0)</f>
        <v>1</v>
      </c>
      <c r="AB166" s="0" t="n">
        <f aca="false">IF(AA166=1,U166+O166,0)</f>
        <v>2163</v>
      </c>
      <c r="AC166" s="0" t="n">
        <f aca="false">IF(AA166=1,100*AB166/B166,"")</f>
        <v>0.166670134145186</v>
      </c>
      <c r="AD166" s="0" t="n">
        <f aca="false">IF(AND(AND(ISNUMBER(B166),B166=OriginalFinancials!B166),AND(ISNUMBER(U166),U166=OriginalFinancials!U166),AND(ISNUMBER(O166),O166=OriginalFinancials!O166)),0,1)</f>
        <v>0</v>
      </c>
      <c r="AE166" s="0" t="str">
        <f aca="false">IF(V166=0,"原始0：需核实适用/报告口径","")</f>
        <v/>
      </c>
    </row>
    <row r="167" customFormat="false" ht="15" hidden="false" customHeight="false" outlineLevel="0" collapsed="false">
      <c r="A167" s="0" t="n">
        <v>167</v>
      </c>
      <c r="B167" s="0" t="n">
        <v>1004795</v>
      </c>
      <c r="C167" s="0" t="n">
        <v>17115</v>
      </c>
      <c r="D167" s="0" t="n">
        <v>856846</v>
      </c>
      <c r="E167" s="0" t="n">
        <v>0</v>
      </c>
      <c r="F167" s="0" t="n">
        <v>78632</v>
      </c>
      <c r="G167" s="0" t="n">
        <v>7.82567588413557</v>
      </c>
      <c r="H167" s="0" t="s">
        <v>323</v>
      </c>
      <c r="I167" s="0" t="n">
        <v>0.938865178960301</v>
      </c>
      <c r="J167" s="0" t="n">
        <v>40984</v>
      </c>
      <c r="K167" s="0" t="n">
        <v>4504</v>
      </c>
      <c r="L167" s="0" t="n">
        <v>833453</v>
      </c>
      <c r="M167" s="0" t="n">
        <v>825628</v>
      </c>
      <c r="N167" s="0" t="n">
        <v>786913</v>
      </c>
      <c r="O167" s="0" t="n">
        <v>265</v>
      </c>
      <c r="P167" s="0" t="s">
        <v>125</v>
      </c>
      <c r="Q167" s="0" t="n">
        <v>0.0317954341756523</v>
      </c>
      <c r="R167" s="0" t="n">
        <v>3.57368381916725</v>
      </c>
      <c r="S167" s="0" t="n">
        <v>216</v>
      </c>
      <c r="T167" s="0" t="n">
        <v>278</v>
      </c>
      <c r="U167" s="0" t="n">
        <v>0</v>
      </c>
      <c r="V167" s="0" t="n">
        <v>13.9518994818667</v>
      </c>
      <c r="W167" s="0" t="n">
        <v>20221231</v>
      </c>
      <c r="X167" s="0" t="n">
        <v>0.643393077444468</v>
      </c>
      <c r="Y167" s="0" t="n">
        <v>7.35</v>
      </c>
      <c r="Z167" s="0" t="s">
        <v>105</v>
      </c>
      <c r="AA167" s="0" t="n">
        <f aca="false">IF(AND(ISNUMBER(B167),B167&gt;0,ISNUMBER(U167),U167&gt;=0,ISNUMBER(O167),O167&gt;=0),1,0)</f>
        <v>1</v>
      </c>
      <c r="AB167" s="0" t="n">
        <f aca="false">IF(AA167=1,U167+O167,0)</f>
        <v>265</v>
      </c>
      <c r="AC167" s="0" t="n">
        <f aca="false">IF(AA167=1,100*AB167/B167,"")</f>
        <v>0.0263735388810653</v>
      </c>
      <c r="AD167" s="0" t="n">
        <f aca="false">IF(AND(AND(ISNUMBER(B167),B167=OriginalFinancials!B167),AND(ISNUMBER(U167),U167=OriginalFinancials!U167),AND(ISNUMBER(O167),O167=OriginalFinancials!O167)),0,1)</f>
        <v>0</v>
      </c>
      <c r="AE167" s="0" t="str">
        <f aca="false">IF(V167=0,"原始0：需核实适用/报告口径","")</f>
        <v/>
      </c>
    </row>
    <row r="168" customFormat="false" ht="15" hidden="false" customHeight="false" outlineLevel="0" collapsed="false">
      <c r="A168" s="0" t="n">
        <v>168</v>
      </c>
      <c r="B168" s="0" t="n">
        <v>1552881</v>
      </c>
      <c r="C168" s="0" t="n">
        <v>17180</v>
      </c>
      <c r="D168" s="0" t="n">
        <v>1174035</v>
      </c>
      <c r="E168" s="0" t="n">
        <v>0.15</v>
      </c>
      <c r="F168" s="0" t="n">
        <v>127894</v>
      </c>
      <c r="G168" s="0" t="n">
        <v>8.23591762665652</v>
      </c>
      <c r="H168" s="0" t="s">
        <v>324</v>
      </c>
      <c r="I168" s="0" t="n">
        <v>0.934719958101985</v>
      </c>
      <c r="J168" s="0" t="n">
        <v>49201</v>
      </c>
      <c r="K168" s="0" t="n">
        <v>202826</v>
      </c>
      <c r="L168" s="0" t="n">
        <v>1390042</v>
      </c>
      <c r="M168" s="0" t="n">
        <v>1377049</v>
      </c>
      <c r="N168" s="0" t="n">
        <v>1118314</v>
      </c>
      <c r="O168" s="0" t="n">
        <v>4104</v>
      </c>
      <c r="P168" s="0" t="s">
        <v>127</v>
      </c>
      <c r="Q168" s="0" t="n">
        <v>0.295314817825648</v>
      </c>
      <c r="R168" s="0" t="n">
        <v>3.52667259637935</v>
      </c>
      <c r="S168" s="0" t="n">
        <v>275</v>
      </c>
      <c r="T168" s="0" t="n">
        <v>2652</v>
      </c>
      <c r="U168" s="0" t="n">
        <v>1</v>
      </c>
      <c r="V168" s="0" t="n">
        <v>13.6744035365497</v>
      </c>
      <c r="W168" s="0" t="n">
        <v>20221231</v>
      </c>
      <c r="X168" s="0" t="n">
        <v>0.772403237007327</v>
      </c>
      <c r="Y168" s="0" t="n">
        <v>8.53</v>
      </c>
      <c r="Z168" s="0" t="s">
        <v>123</v>
      </c>
      <c r="AA168" s="0" t="n">
        <f aca="false">IF(AND(ISNUMBER(B168),B168&gt;0,ISNUMBER(U168),U168&gt;=0,ISNUMBER(O168),O168&gt;=0),1,0)</f>
        <v>1</v>
      </c>
      <c r="AB168" s="0" t="n">
        <f aca="false">IF(AA168=1,U168+O168,0)</f>
        <v>4105</v>
      </c>
      <c r="AC168" s="0" t="n">
        <f aca="false">IF(AA168=1,100*AB168/B168,"")</f>
        <v>0.264347364672502</v>
      </c>
      <c r="AD168" s="0" t="n">
        <f aca="false">IF(AND(AND(ISNUMBER(B168),B168=OriginalFinancials!B168),AND(ISNUMBER(U168),U168=OriginalFinancials!U168),AND(ISNUMBER(O168),O168=OriginalFinancials!O168)),0,1)</f>
        <v>0</v>
      </c>
      <c r="AE168" s="0" t="str">
        <f aca="false">IF(V168=0,"原始0：需核实适用/报告口径","")</f>
        <v/>
      </c>
    </row>
    <row r="169" customFormat="false" ht="15" hidden="false" customHeight="false" outlineLevel="0" collapsed="false">
      <c r="A169" s="0" t="n">
        <v>169</v>
      </c>
      <c r="B169" s="0" t="n">
        <v>380965</v>
      </c>
      <c r="C169" s="0" t="n">
        <v>17443</v>
      </c>
      <c r="D169" s="0" t="n">
        <v>341206</v>
      </c>
      <c r="E169" s="0" t="n">
        <v>0.05</v>
      </c>
      <c r="F169" s="0" t="n">
        <v>38509</v>
      </c>
      <c r="G169" s="0" t="n">
        <v>10.1082776633024</v>
      </c>
      <c r="H169" s="0" t="s">
        <v>325</v>
      </c>
      <c r="I169" s="0" t="n">
        <v>0.853066342611196</v>
      </c>
      <c r="J169" s="0" t="n">
        <v>0</v>
      </c>
      <c r="K169" s="0" t="n">
        <v>969</v>
      </c>
      <c r="L169" s="0" t="n">
        <v>206549</v>
      </c>
      <c r="M169" s="0" t="n">
        <v>204787</v>
      </c>
      <c r="N169" s="0" t="n">
        <v>204563</v>
      </c>
      <c r="O169" s="0" t="n">
        <v>286</v>
      </c>
      <c r="P169" s="0" t="s">
        <v>129</v>
      </c>
      <c r="Q169" s="0" t="n">
        <v>0.138465933023157</v>
      </c>
      <c r="R169" s="0" t="n">
        <v>2.04936413046113</v>
      </c>
      <c r="S169" s="0" t="n">
        <v>0</v>
      </c>
      <c r="T169" s="0" t="n">
        <v>523</v>
      </c>
      <c r="U169" s="0" t="n">
        <v>0</v>
      </c>
      <c r="V169" s="0" t="n">
        <v>0</v>
      </c>
      <c r="W169" s="0" t="n">
        <v>20221231</v>
      </c>
      <c r="X169" s="0" t="n">
        <v>0.432265478536582</v>
      </c>
      <c r="Y169" s="0" t="n">
        <v>3.75</v>
      </c>
      <c r="Z169" s="0" t="s">
        <v>123</v>
      </c>
      <c r="AA169" s="0" t="n">
        <f aca="false">IF(AND(ISNUMBER(B169),B169&gt;0,ISNUMBER(U169),U169&gt;=0,ISNUMBER(O169),O169&gt;=0),1,0)</f>
        <v>1</v>
      </c>
      <c r="AB169" s="0" t="n">
        <f aca="false">IF(AA169=1,U169+O169,0)</f>
        <v>286</v>
      </c>
      <c r="AC169" s="0" t="n">
        <f aca="false">IF(AA169=1,100*AB169/B169,"")</f>
        <v>0.0750725132229995</v>
      </c>
      <c r="AD169" s="0" t="n">
        <f aca="false">IF(AND(AND(ISNUMBER(B169),B169=OriginalFinancials!B169),AND(ISNUMBER(U169),U169=OriginalFinancials!U169),AND(ISNUMBER(O169),O169=OriginalFinancials!O169)),0,1)</f>
        <v>0</v>
      </c>
      <c r="AE169" s="0" t="str">
        <f aca="false">IF(V169=0,"原始0：需核实适用/报告口径","")</f>
        <v>原始0：需核实适用/报告口径</v>
      </c>
    </row>
    <row r="170" customFormat="false" ht="15" hidden="false" customHeight="false" outlineLevel="0" collapsed="false">
      <c r="A170" s="0" t="n">
        <v>170</v>
      </c>
      <c r="B170" s="0" t="n">
        <v>1795136</v>
      </c>
      <c r="C170" s="0" t="n">
        <v>17658</v>
      </c>
      <c r="D170" s="0" t="n">
        <v>1531543</v>
      </c>
      <c r="E170" s="0" t="n">
        <v>-0.01</v>
      </c>
      <c r="F170" s="0" t="n">
        <v>187871</v>
      </c>
      <c r="G170" s="0" t="n">
        <v>10.4655580412849</v>
      </c>
      <c r="H170" s="0" t="s">
        <v>326</v>
      </c>
      <c r="I170" s="0" t="n">
        <v>0.691892016453319</v>
      </c>
      <c r="J170" s="0" t="n">
        <v>87968</v>
      </c>
      <c r="K170" s="0" t="n">
        <v>64395</v>
      </c>
      <c r="L170" s="0" t="n">
        <v>1215074</v>
      </c>
      <c r="M170" s="0" t="n">
        <v>1206667</v>
      </c>
      <c r="N170" s="0" t="n">
        <v>1049471</v>
      </c>
      <c r="O170" s="0" t="n">
        <v>677</v>
      </c>
      <c r="P170" s="0" t="s">
        <v>131</v>
      </c>
      <c r="Q170" s="0" t="n">
        <v>0.0719297754704651</v>
      </c>
      <c r="R170" s="0" t="n">
        <v>3.63823974585111</v>
      </c>
      <c r="S170" s="0" t="n">
        <v>533</v>
      </c>
      <c r="T170" s="0" t="n">
        <v>1734</v>
      </c>
      <c r="U170" s="0" t="n">
        <v>197</v>
      </c>
      <c r="V170" s="0" t="n">
        <v>0</v>
      </c>
      <c r="W170" s="0" t="n">
        <v>20221231</v>
      </c>
      <c r="X170" s="0" t="n">
        <v>0.528128430999244</v>
      </c>
      <c r="Y170" s="0" t="n">
        <v>4.61</v>
      </c>
      <c r="Z170" s="0" t="s">
        <v>105</v>
      </c>
      <c r="AA170" s="0" t="n">
        <f aca="false">IF(AND(ISNUMBER(B170),B170&gt;0,ISNUMBER(U170),U170&gt;=0,ISNUMBER(O170),O170&gt;=0),1,0)</f>
        <v>1</v>
      </c>
      <c r="AB170" s="0" t="n">
        <f aca="false">IF(AA170=1,U170+O170,0)</f>
        <v>874</v>
      </c>
      <c r="AC170" s="0" t="n">
        <f aca="false">IF(AA170=1,100*AB170/B170,"")</f>
        <v>0.0486871189703733</v>
      </c>
      <c r="AD170" s="0" t="n">
        <f aca="false">IF(AND(AND(ISNUMBER(B170),B170=OriginalFinancials!B170),AND(ISNUMBER(U170),U170=OriginalFinancials!U170),AND(ISNUMBER(O170),O170=OriginalFinancials!O170)),0,1)</f>
        <v>0</v>
      </c>
      <c r="AE170" s="0" t="str">
        <f aca="false">IF(V170=0,"原始0：需核实适用/报告口径","")</f>
        <v>原始0：需核实适用/报告口径</v>
      </c>
    </row>
    <row r="171" customFormat="false" ht="15" hidden="false" customHeight="false" outlineLevel="0" collapsed="false">
      <c r="A171" s="0" t="n">
        <v>171</v>
      </c>
      <c r="B171" s="0" t="n">
        <v>1004289</v>
      </c>
      <c r="C171" s="0" t="n">
        <v>17741</v>
      </c>
      <c r="D171" s="0" t="n">
        <v>828427</v>
      </c>
      <c r="E171" s="0" t="n">
        <v>0.02</v>
      </c>
      <c r="F171" s="0" t="n">
        <v>130201</v>
      </c>
      <c r="G171" s="0" t="n">
        <v>12.9644952797452</v>
      </c>
      <c r="H171" s="0" t="s">
        <v>327</v>
      </c>
      <c r="I171" s="0" t="n">
        <v>0.932551492471344</v>
      </c>
      <c r="J171" s="0" t="n">
        <v>45845</v>
      </c>
      <c r="K171" s="0" t="n">
        <v>3546</v>
      </c>
      <c r="L171" s="0" t="n">
        <v>848425</v>
      </c>
      <c r="M171" s="0" t="n">
        <v>840513</v>
      </c>
      <c r="N171" s="0" t="n">
        <v>795357</v>
      </c>
      <c r="O171" s="0" t="n">
        <v>1820</v>
      </c>
      <c r="P171" s="0" t="s">
        <v>133</v>
      </c>
      <c r="Q171" s="0" t="n">
        <v>0.214515130977989</v>
      </c>
      <c r="R171" s="0" t="n">
        <v>3.5594789903923</v>
      </c>
      <c r="S171" s="0" t="n">
        <v>-9</v>
      </c>
      <c r="T171" s="0" t="n">
        <v>2400</v>
      </c>
      <c r="U171" s="0" t="n">
        <v>0</v>
      </c>
      <c r="V171" s="0" t="n">
        <v>0</v>
      </c>
      <c r="W171" s="0" t="n">
        <v>20221231</v>
      </c>
      <c r="X171" s="0" t="n">
        <v>0.824176914710342</v>
      </c>
      <c r="Y171" s="0" t="n">
        <v>6.4</v>
      </c>
      <c r="Z171" s="0" t="s">
        <v>105</v>
      </c>
      <c r="AA171" s="0" t="n">
        <f aca="false">IF(AND(ISNUMBER(B171),B171&gt;0,ISNUMBER(U171),U171&gt;=0,ISNUMBER(O171),O171&gt;=0),1,0)</f>
        <v>1</v>
      </c>
      <c r="AB171" s="0" t="n">
        <f aca="false">IF(AA171=1,U171+O171,0)</f>
        <v>1820</v>
      </c>
      <c r="AC171" s="0" t="n">
        <f aca="false">IF(AA171=1,100*AB171/B171,"")</f>
        <v>0.18122273568664</v>
      </c>
      <c r="AD171" s="0" t="n">
        <f aca="false">IF(AND(AND(ISNUMBER(B171),B171=OriginalFinancials!B171),AND(ISNUMBER(U171),U171=OriginalFinancials!U171),AND(ISNUMBER(O171),O171=OriginalFinancials!O171)),0,1)</f>
        <v>0</v>
      </c>
      <c r="AE171" s="0" t="str">
        <f aca="false">IF(V171=0,"原始0：需核实适用/报告口径","")</f>
        <v>原始0：需核实适用/报告口径</v>
      </c>
    </row>
    <row r="172" customFormat="false" ht="15" hidden="false" customHeight="false" outlineLevel="0" collapsed="false">
      <c r="A172" s="0" t="n">
        <v>172</v>
      </c>
      <c r="B172" s="0" t="n">
        <v>1276362</v>
      </c>
      <c r="C172" s="0" t="n">
        <v>17743</v>
      </c>
      <c r="D172" s="0" t="n">
        <v>1007618</v>
      </c>
      <c r="E172" s="0" t="n">
        <v>-0.03</v>
      </c>
      <c r="F172" s="0" t="n">
        <v>120023</v>
      </c>
      <c r="G172" s="0" t="n">
        <v>9.40352345181069</v>
      </c>
      <c r="H172" s="0" t="s">
        <v>328</v>
      </c>
      <c r="I172" s="0" t="n">
        <v>0.497508393421833</v>
      </c>
      <c r="J172" s="0" t="n">
        <v>11335</v>
      </c>
      <c r="K172" s="0" t="n">
        <v>6789</v>
      </c>
      <c r="L172" s="0" t="n">
        <v>984104</v>
      </c>
      <c r="M172" s="0" t="n">
        <v>979208</v>
      </c>
      <c r="N172" s="0" t="n">
        <v>953202</v>
      </c>
      <c r="O172" s="0" t="n">
        <v>2426</v>
      </c>
      <c r="P172" s="0" t="s">
        <v>135</v>
      </c>
      <c r="Q172" s="0" t="n">
        <v>0.246518660629364</v>
      </c>
      <c r="R172" s="0" t="n">
        <v>2.6949216119851</v>
      </c>
      <c r="S172" s="0" t="n">
        <v>-240</v>
      </c>
      <c r="T172" s="0" t="n">
        <v>2594</v>
      </c>
      <c r="U172" s="0" t="n">
        <v>0</v>
      </c>
      <c r="V172" s="0" t="n">
        <v>0</v>
      </c>
      <c r="W172" s="0" t="n">
        <v>20221231</v>
      </c>
      <c r="X172" s="0" t="n">
        <v>0.417446254000801</v>
      </c>
      <c r="Y172" s="0" t="n">
        <v>4.11</v>
      </c>
      <c r="Z172" s="0" t="s">
        <v>105</v>
      </c>
      <c r="AA172" s="0" t="n">
        <f aca="false">IF(AND(ISNUMBER(B172),B172&gt;0,ISNUMBER(U172),U172&gt;=0,ISNUMBER(O172),O172&gt;=0),1,0)</f>
        <v>1</v>
      </c>
      <c r="AB172" s="0" t="n">
        <f aca="false">IF(AA172=1,U172+O172,0)</f>
        <v>2426</v>
      </c>
      <c r="AC172" s="0" t="n">
        <f aca="false">IF(AA172=1,100*AB172/B172,"")</f>
        <v>0.190071468752595</v>
      </c>
      <c r="AD172" s="0" t="n">
        <f aca="false">IF(AND(AND(ISNUMBER(B172),B172=OriginalFinancials!B172),AND(ISNUMBER(U172),U172=OriginalFinancials!U172),AND(ISNUMBER(O172),O172=OriginalFinancials!O172)),0,1)</f>
        <v>0</v>
      </c>
      <c r="AE172" s="0" t="str">
        <f aca="false">IF(V172=0,"原始0：需核实适用/报告口径","")</f>
        <v>原始0：需核实适用/报告口径</v>
      </c>
    </row>
    <row r="173" customFormat="false" ht="15" hidden="false" customHeight="false" outlineLevel="0" collapsed="false">
      <c r="A173" s="0" t="n">
        <v>173</v>
      </c>
      <c r="B173" s="0" t="n">
        <v>1607984</v>
      </c>
      <c r="C173" s="0" t="n">
        <v>17748</v>
      </c>
      <c r="D173" s="0" t="n">
        <v>1349761</v>
      </c>
      <c r="E173" s="0" t="n">
        <v>0.06</v>
      </c>
      <c r="F173" s="0" t="n">
        <v>106514</v>
      </c>
      <c r="G173" s="0" t="n">
        <v>6.62407088627748</v>
      </c>
      <c r="H173" s="0" t="s">
        <v>329</v>
      </c>
      <c r="I173" s="0" t="n">
        <v>0.817512014534263</v>
      </c>
      <c r="J173" s="0" t="n">
        <v>166333</v>
      </c>
      <c r="K173" s="0" t="n">
        <v>3017</v>
      </c>
      <c r="L173" s="0" t="n">
        <v>1241205</v>
      </c>
      <c r="M173" s="0" t="n">
        <v>1231058</v>
      </c>
      <c r="N173" s="0" t="n">
        <v>1039935</v>
      </c>
      <c r="O173" s="0" t="n">
        <v>6143</v>
      </c>
      <c r="P173" s="0" t="s">
        <v>137</v>
      </c>
      <c r="Q173" s="0" t="n">
        <v>0.494922273113627</v>
      </c>
      <c r="R173" s="0" t="n">
        <v>3.0347031274041</v>
      </c>
      <c r="S173" s="0" t="n">
        <v>242</v>
      </c>
      <c r="T173" s="0" t="n">
        <v>3233</v>
      </c>
      <c r="U173" s="0" t="n">
        <v>0</v>
      </c>
      <c r="V173" s="0" t="n">
        <v>0</v>
      </c>
      <c r="W173" s="0" t="n">
        <v>20221231</v>
      </c>
      <c r="X173" s="0" t="n">
        <v>0.399009983706452</v>
      </c>
      <c r="Y173" s="0" t="n">
        <v>5.35</v>
      </c>
      <c r="Z173" s="0" t="s">
        <v>105</v>
      </c>
      <c r="AA173" s="0" t="n">
        <f aca="false">IF(AND(ISNUMBER(B173),B173&gt;0,ISNUMBER(U173),U173&gt;=0,ISNUMBER(O173),O173&gt;=0),1,0)</f>
        <v>1</v>
      </c>
      <c r="AB173" s="0" t="n">
        <f aca="false">IF(AA173=1,U173+O173,0)</f>
        <v>6143</v>
      </c>
      <c r="AC173" s="0" t="n">
        <f aca="false">IF(AA173=1,100*AB173/B173,"")</f>
        <v>0.382031164489199</v>
      </c>
      <c r="AD173" s="0" t="n">
        <f aca="false">IF(AND(AND(ISNUMBER(B173),B173=OriginalFinancials!B173),AND(ISNUMBER(U173),U173=OriginalFinancials!U173),AND(ISNUMBER(O173),O173=OriginalFinancials!O173)),0,1)</f>
        <v>0</v>
      </c>
      <c r="AE173" s="0" t="str">
        <f aca="false">IF(V173=0,"原始0：需核实适用/报告口径","")</f>
        <v>原始0：需核实适用/报告口径</v>
      </c>
    </row>
    <row r="174" customFormat="false" ht="15" hidden="false" customHeight="false" outlineLevel="0" collapsed="false">
      <c r="A174" s="0" t="n">
        <v>174</v>
      </c>
      <c r="B174" s="0" t="n">
        <v>1276951</v>
      </c>
      <c r="C174" s="0" t="n">
        <v>17749</v>
      </c>
      <c r="D174" s="0" t="n">
        <v>1055695</v>
      </c>
      <c r="E174" s="0" t="n">
        <v>0.05</v>
      </c>
      <c r="F174" s="0" t="n">
        <v>150442</v>
      </c>
      <c r="G174" s="0" t="n">
        <v>11.7813447814364</v>
      </c>
      <c r="H174" s="0" t="s">
        <v>330</v>
      </c>
      <c r="I174" s="0" t="n">
        <v>1.37966620355871</v>
      </c>
      <c r="J174" s="0" t="n">
        <v>48423</v>
      </c>
      <c r="K174" s="0" t="n">
        <v>9983</v>
      </c>
      <c r="L174" s="0" t="n">
        <v>724813</v>
      </c>
      <c r="M174" s="0" t="n">
        <v>714813</v>
      </c>
      <c r="N174" s="0" t="n">
        <v>655371</v>
      </c>
      <c r="O174" s="0" t="n">
        <v>204</v>
      </c>
      <c r="P174" s="0" t="s">
        <v>139</v>
      </c>
      <c r="Q174" s="0" t="n">
        <v>0.0281451905525977</v>
      </c>
      <c r="R174" s="0" t="n">
        <v>2.95051816547678</v>
      </c>
      <c r="S174" s="0" t="n">
        <v>17</v>
      </c>
      <c r="T174" s="0" t="n">
        <v>965</v>
      </c>
      <c r="U174" s="0" t="n">
        <v>0</v>
      </c>
      <c r="V174" s="0" t="n">
        <v>0</v>
      </c>
      <c r="W174" s="0" t="n">
        <v>20221231</v>
      </c>
      <c r="X174" s="0" t="n">
        <v>0.633133792451287</v>
      </c>
      <c r="Y174" s="0" t="n">
        <v>4.96</v>
      </c>
      <c r="Z174" s="0" t="s">
        <v>105</v>
      </c>
      <c r="AA174" s="0" t="n">
        <f aca="false">IF(AND(ISNUMBER(B174),B174&gt;0,ISNUMBER(U174),U174&gt;=0,ISNUMBER(O174),O174&gt;=0),1,0)</f>
        <v>1</v>
      </c>
      <c r="AB174" s="0" t="n">
        <f aca="false">IF(AA174=1,U174+O174,0)</f>
        <v>204</v>
      </c>
      <c r="AC174" s="0" t="n">
        <f aca="false">IF(AA174=1,100*AB174/B174,"")</f>
        <v>0.015975554269506</v>
      </c>
      <c r="AD174" s="0" t="n">
        <f aca="false">IF(AND(AND(ISNUMBER(B174),B174=OriginalFinancials!B174),AND(ISNUMBER(U174),U174=OriginalFinancials!U174),AND(ISNUMBER(O174),O174=OriginalFinancials!O174)),0,1)</f>
        <v>0</v>
      </c>
      <c r="AE174" s="0" t="str">
        <f aca="false">IF(V174=0,"原始0：需核实适用/报告口径","")</f>
        <v>原始0：需核实适用/报告口径</v>
      </c>
    </row>
    <row r="175" customFormat="false" ht="15" hidden="false" customHeight="false" outlineLevel="0" collapsed="false">
      <c r="A175" s="0" t="n">
        <v>175</v>
      </c>
      <c r="B175" s="0" t="n">
        <v>1450036</v>
      </c>
      <c r="C175" s="0" t="n">
        <v>17751</v>
      </c>
      <c r="D175" s="0" t="n">
        <v>1265376</v>
      </c>
      <c r="E175" s="0" t="n">
        <v>0.23</v>
      </c>
      <c r="F175" s="0" t="n">
        <v>125470</v>
      </c>
      <c r="G175" s="0" t="n">
        <v>8.65288861793776</v>
      </c>
      <c r="H175" s="0" t="s">
        <v>331</v>
      </c>
      <c r="I175" s="0" t="n">
        <v>1.25644457664089</v>
      </c>
      <c r="J175" s="0" t="n">
        <v>116008</v>
      </c>
      <c r="K175" s="0" t="n">
        <v>1809</v>
      </c>
      <c r="L175" s="0" t="n">
        <v>1210320</v>
      </c>
      <c r="M175" s="0" t="n">
        <v>1195113</v>
      </c>
      <c r="N175" s="0" t="n">
        <v>1045931</v>
      </c>
      <c r="O175" s="0" t="n">
        <v>6987</v>
      </c>
      <c r="P175" s="0" t="s">
        <v>141</v>
      </c>
      <c r="Q175" s="0" t="n">
        <v>0.577285346024192</v>
      </c>
      <c r="R175" s="0" t="n">
        <v>3.25537988746412</v>
      </c>
      <c r="S175" s="0" t="n">
        <v>-458</v>
      </c>
      <c r="T175" s="0" t="n">
        <v>2294</v>
      </c>
      <c r="U175" s="0" t="n">
        <v>0</v>
      </c>
      <c r="V175" s="0" t="n">
        <v>13.1251359750373</v>
      </c>
      <c r="W175" s="0" t="n">
        <v>20221231</v>
      </c>
      <c r="X175" s="0" t="n">
        <v>0.578831780065149</v>
      </c>
      <c r="Y175" s="0" t="n">
        <v>6.4</v>
      </c>
      <c r="Z175" s="0" t="s">
        <v>105</v>
      </c>
      <c r="AA175" s="0" t="n">
        <f aca="false">IF(AND(ISNUMBER(B175),B175&gt;0,ISNUMBER(U175),U175&gt;=0,ISNUMBER(O175),O175&gt;=0),1,0)</f>
        <v>1</v>
      </c>
      <c r="AB175" s="0" t="n">
        <f aca="false">IF(AA175=1,U175+O175,0)</f>
        <v>6987</v>
      </c>
      <c r="AC175" s="0" t="n">
        <f aca="false">IF(AA175=1,100*AB175/B175,"")</f>
        <v>0.481850105790477</v>
      </c>
      <c r="AD175" s="0" t="n">
        <f aca="false">IF(AND(AND(ISNUMBER(B175),B175=OriginalFinancials!B175),AND(ISNUMBER(U175),U175=OriginalFinancials!U175),AND(ISNUMBER(O175),O175=OriginalFinancials!O175)),0,1)</f>
        <v>0</v>
      </c>
      <c r="AE175" s="0" t="str">
        <f aca="false">IF(V175=0,"原始0：需核实适用/报告口径","")</f>
        <v/>
      </c>
    </row>
    <row r="176" customFormat="false" ht="15" hidden="false" customHeight="false" outlineLevel="0" collapsed="false">
      <c r="A176" s="0" t="n">
        <v>176</v>
      </c>
      <c r="B176" s="0" t="n">
        <v>1640422</v>
      </c>
      <c r="C176" s="0" t="n">
        <v>17897</v>
      </c>
      <c r="D176" s="0" t="n">
        <v>1346856</v>
      </c>
      <c r="E176" s="0" t="n">
        <v>0.09</v>
      </c>
      <c r="F176" s="0" t="n">
        <v>195954</v>
      </c>
      <c r="G176" s="0" t="n">
        <v>11.9453408939895</v>
      </c>
      <c r="H176" s="0" t="s">
        <v>332</v>
      </c>
      <c r="I176" s="0" t="n">
        <v>0.64868533587646</v>
      </c>
      <c r="J176" s="0" t="n">
        <v>70885</v>
      </c>
      <c r="K176" s="0" t="n">
        <v>3472</v>
      </c>
      <c r="L176" s="0" t="n">
        <v>1382026</v>
      </c>
      <c r="M176" s="0" t="n">
        <v>1373061</v>
      </c>
      <c r="N176" s="0" t="n">
        <v>1298561</v>
      </c>
      <c r="O176" s="0" t="n">
        <v>3315</v>
      </c>
      <c r="P176" s="0" t="s">
        <v>143</v>
      </c>
      <c r="Q176" s="0" t="n">
        <v>0.239865241319628</v>
      </c>
      <c r="R176" s="0" t="n">
        <v>3.21087062819531</v>
      </c>
      <c r="S176" s="0" t="n">
        <v>-94</v>
      </c>
      <c r="T176" s="0" t="n">
        <v>2597</v>
      </c>
      <c r="U176" s="0" t="n">
        <v>0</v>
      </c>
      <c r="V176" s="0" t="n">
        <v>0</v>
      </c>
      <c r="W176" s="0" t="n">
        <v>20221231</v>
      </c>
      <c r="X176" s="0" t="n">
        <v>0.289515552655698</v>
      </c>
      <c r="Y176" s="0" t="n">
        <v>2.28</v>
      </c>
      <c r="Z176" s="0" t="s">
        <v>105</v>
      </c>
      <c r="AA176" s="0" t="n">
        <f aca="false">IF(AND(ISNUMBER(B176),B176&gt;0,ISNUMBER(U176),U176&gt;=0,ISNUMBER(O176),O176&gt;=0),1,0)</f>
        <v>1</v>
      </c>
      <c r="AB176" s="0" t="n">
        <f aca="false">IF(AA176=1,U176+O176,0)</f>
        <v>3315</v>
      </c>
      <c r="AC176" s="0" t="n">
        <f aca="false">IF(AA176=1,100*AB176/B176,"")</f>
        <v>0.202082147154817</v>
      </c>
      <c r="AD176" s="0" t="n">
        <f aca="false">IF(AND(AND(ISNUMBER(B176),B176=OriginalFinancials!B176),AND(ISNUMBER(U176),U176=OriginalFinancials!U176),AND(ISNUMBER(O176),O176=OriginalFinancials!O176)),0,1)</f>
        <v>0</v>
      </c>
      <c r="AE176" s="0" t="str">
        <f aca="false">IF(V176=0,"原始0：需核实适用/报告口径","")</f>
        <v>原始0：需核实适用/报告口径</v>
      </c>
    </row>
    <row r="177" customFormat="false" ht="15" hidden="false" customHeight="false" outlineLevel="0" collapsed="false">
      <c r="A177" s="0" t="n">
        <v>177</v>
      </c>
      <c r="B177" s="0" t="n">
        <v>761892</v>
      </c>
      <c r="C177" s="0" t="n">
        <v>17951</v>
      </c>
      <c r="D177" s="0" t="n">
        <v>670773</v>
      </c>
      <c r="E177" s="0" t="n">
        <v>0.12</v>
      </c>
      <c r="F177" s="0" t="n">
        <v>55088</v>
      </c>
      <c r="G177" s="0" t="n">
        <v>7.23042110955358</v>
      </c>
      <c r="H177" s="0" t="s">
        <v>333</v>
      </c>
      <c r="I177" s="0" t="n">
        <v>0.815293417378781</v>
      </c>
      <c r="J177" s="0" t="n">
        <v>21098</v>
      </c>
      <c r="K177" s="0" t="n">
        <v>1648</v>
      </c>
      <c r="L177" s="0" t="n">
        <v>532569</v>
      </c>
      <c r="M177" s="0" t="n">
        <v>528227</v>
      </c>
      <c r="N177" s="0" t="n">
        <v>498217</v>
      </c>
      <c r="O177" s="0" t="n">
        <v>69</v>
      </c>
      <c r="P177" s="0" t="s">
        <v>145</v>
      </c>
      <c r="Q177" s="0" t="n">
        <v>0.0129560676644716</v>
      </c>
      <c r="R177" s="0" t="n">
        <v>3.1978524844161</v>
      </c>
      <c r="S177" s="0" t="n">
        <v>292</v>
      </c>
      <c r="T177" s="0" t="n">
        <v>114</v>
      </c>
      <c r="U177" s="0" t="n">
        <v>0</v>
      </c>
      <c r="V177" s="0" t="n">
        <v>14.5594363369594</v>
      </c>
      <c r="W177" s="0" t="n">
        <v>20221231</v>
      </c>
      <c r="X177" s="0" t="n">
        <v>0.957897026346038</v>
      </c>
      <c r="Y177" s="0" t="n">
        <v>12.35</v>
      </c>
      <c r="Z177" s="0" t="s">
        <v>123</v>
      </c>
      <c r="AA177" s="0" t="n">
        <f aca="false">IF(AND(ISNUMBER(B177),B177&gt;0,ISNUMBER(U177),U177&gt;=0,ISNUMBER(O177),O177&gt;=0),1,0)</f>
        <v>1</v>
      </c>
      <c r="AB177" s="0" t="n">
        <f aca="false">IF(AA177=1,U177+O177,0)</f>
        <v>69</v>
      </c>
      <c r="AC177" s="0" t="n">
        <f aca="false">IF(AA177=1,100*AB177/B177,"")</f>
        <v>0.00905640169472839</v>
      </c>
      <c r="AD177" s="0" t="n">
        <f aca="false">IF(AND(AND(ISNUMBER(B177),B177=OriginalFinancials!B177),AND(ISNUMBER(U177),U177=OriginalFinancials!U177),AND(ISNUMBER(O177),O177=OriginalFinancials!O177)),0,1)</f>
        <v>0</v>
      </c>
      <c r="AE177" s="0" t="str">
        <f aca="false">IF(V177=0,"原始0：需核实适用/报告口径","")</f>
        <v/>
      </c>
    </row>
    <row r="178" customFormat="false" ht="15" hidden="false" customHeight="false" outlineLevel="0" collapsed="false">
      <c r="A178" s="0" t="n">
        <v>178</v>
      </c>
      <c r="B178" s="0" t="n">
        <v>1317746</v>
      </c>
      <c r="C178" s="0" t="n">
        <v>17960</v>
      </c>
      <c r="D178" s="0" t="n">
        <v>1042080</v>
      </c>
      <c r="E178" s="0" t="n">
        <v>0.12</v>
      </c>
      <c r="F178" s="0" t="n">
        <v>104375</v>
      </c>
      <c r="G178" s="0" t="n">
        <v>7.92072220291316</v>
      </c>
      <c r="H178" s="0" t="s">
        <v>334</v>
      </c>
      <c r="I178" s="0" t="n">
        <v>0.959567045352894</v>
      </c>
      <c r="J178" s="0" t="n">
        <v>105990</v>
      </c>
      <c r="K178" s="0" t="n">
        <v>197482</v>
      </c>
      <c r="L178" s="0" t="n">
        <v>1117900</v>
      </c>
      <c r="M178" s="0" t="n">
        <v>1107173</v>
      </c>
      <c r="N178" s="0" t="n">
        <v>810216</v>
      </c>
      <c r="O178" s="0" t="n">
        <v>789</v>
      </c>
      <c r="P178" s="0" t="s">
        <v>147</v>
      </c>
      <c r="Q178" s="0" t="n">
        <v>0.151176312729224</v>
      </c>
      <c r="R178" s="0" t="n">
        <v>3.52927271699529</v>
      </c>
      <c r="S178" s="0" t="n">
        <v>58</v>
      </c>
      <c r="T178" s="0" t="n">
        <v>2173</v>
      </c>
      <c r="U178" s="0" t="n">
        <v>901</v>
      </c>
      <c r="V178" s="0" t="n">
        <v>12.7428677725826</v>
      </c>
      <c r="W178" s="0" t="n">
        <v>20221231</v>
      </c>
      <c r="X178" s="0" t="n">
        <v>0.767586875249667</v>
      </c>
      <c r="Y178" s="0" t="n">
        <v>8.9</v>
      </c>
      <c r="Z178" s="0" t="s">
        <v>123</v>
      </c>
      <c r="AA178" s="0" t="n">
        <f aca="false">IF(AND(ISNUMBER(B178),B178&gt;0,ISNUMBER(U178),U178&gt;=0,ISNUMBER(O178),O178&gt;=0),1,0)</f>
        <v>1</v>
      </c>
      <c r="AB178" s="0" t="n">
        <f aca="false">IF(AA178=1,U178+O178,0)</f>
        <v>1690</v>
      </c>
      <c r="AC178" s="0" t="n">
        <f aca="false">IF(AA178=1,100*AB178/B178,"")</f>
        <v>0.128249298423217</v>
      </c>
      <c r="AD178" s="0" t="n">
        <f aca="false">IF(AND(AND(ISNUMBER(B178),B178=OriginalFinancials!B178),AND(ISNUMBER(U178),U178=OriginalFinancials!U178),AND(ISNUMBER(O178),O178=OriginalFinancials!O178)),0,1)</f>
        <v>0</v>
      </c>
      <c r="AE178" s="0" t="str">
        <f aca="false">IF(V178=0,"原始0：需核实适用/报告口径","")</f>
        <v/>
      </c>
    </row>
    <row r="179" customFormat="false" ht="15" hidden="false" customHeight="false" outlineLevel="0" collapsed="false">
      <c r="A179" s="0" t="n">
        <v>179</v>
      </c>
      <c r="B179" s="0" t="n">
        <v>2432022</v>
      </c>
      <c r="C179" s="0" t="n">
        <v>18012</v>
      </c>
      <c r="D179" s="0" t="n">
        <v>2055299</v>
      </c>
      <c r="E179" s="0" t="n">
        <v>0.01</v>
      </c>
      <c r="F179" s="0" t="n">
        <v>239523</v>
      </c>
      <c r="G179" s="0" t="n">
        <v>9.84871847376381</v>
      </c>
      <c r="H179" s="0" t="s">
        <v>335</v>
      </c>
      <c r="I179" s="0" t="n">
        <v>1.16118510354045</v>
      </c>
      <c r="J179" s="0" t="n">
        <v>45540</v>
      </c>
      <c r="K179" s="0" t="n">
        <v>34202</v>
      </c>
      <c r="L179" s="0" t="n">
        <v>1963339</v>
      </c>
      <c r="M179" s="0" t="n">
        <v>1940541</v>
      </c>
      <c r="N179" s="0" t="n">
        <v>1858029</v>
      </c>
      <c r="O179" s="0" t="n">
        <v>1509</v>
      </c>
      <c r="P179" s="0" t="s">
        <v>149</v>
      </c>
      <c r="Q179" s="0" t="n">
        <v>0.0768588613581251</v>
      </c>
      <c r="R179" s="0" t="n">
        <v>3.56773617213357</v>
      </c>
      <c r="S179" s="0" t="n">
        <v>51</v>
      </c>
      <c r="T179" s="0" t="n">
        <v>1590</v>
      </c>
      <c r="U179" s="0" t="n">
        <v>0</v>
      </c>
      <c r="V179" s="0" t="n">
        <v>12.9616102023348</v>
      </c>
      <c r="W179" s="0" t="n">
        <v>20221231</v>
      </c>
      <c r="X179" s="0" t="n">
        <v>1.14794471486809</v>
      </c>
      <c r="Y179" s="0" t="n">
        <v>11.52</v>
      </c>
      <c r="Z179" s="0" t="s">
        <v>123</v>
      </c>
      <c r="AA179" s="0" t="n">
        <f aca="false">IF(AND(ISNUMBER(B179),B179&gt;0,ISNUMBER(U179),U179&gt;=0,ISNUMBER(O179),O179&gt;=0),1,0)</f>
        <v>1</v>
      </c>
      <c r="AB179" s="0" t="n">
        <f aca="false">IF(AA179=1,U179+O179,0)</f>
        <v>1509</v>
      </c>
      <c r="AC179" s="0" t="n">
        <f aca="false">IF(AA179=1,100*AB179/B179,"")</f>
        <v>0.0620471360867624</v>
      </c>
      <c r="AD179" s="0" t="n">
        <f aca="false">IF(AND(AND(ISNUMBER(B179),B179=OriginalFinancials!B179),AND(ISNUMBER(U179),U179=OriginalFinancials!U179),AND(ISNUMBER(O179),O179=OriginalFinancials!O179)),0,1)</f>
        <v>0</v>
      </c>
      <c r="AE179" s="0" t="str">
        <f aca="false">IF(V179=0,"原始0：需核实适用/报告口径","")</f>
        <v/>
      </c>
    </row>
    <row r="180" customFormat="false" ht="15" hidden="false" customHeight="false" outlineLevel="0" collapsed="false">
      <c r="A180" s="0" t="n">
        <v>180</v>
      </c>
      <c r="B180" s="0" t="n">
        <v>2733504</v>
      </c>
      <c r="C180" s="0" t="n">
        <v>18013</v>
      </c>
      <c r="D180" s="0" t="n">
        <v>2369151</v>
      </c>
      <c r="E180" s="0" t="n">
        <v>0.01</v>
      </c>
      <c r="F180" s="0" t="n">
        <v>202913</v>
      </c>
      <c r="G180" s="0" t="n">
        <v>7.42318284516869</v>
      </c>
      <c r="H180" s="0" t="s">
        <v>336</v>
      </c>
      <c r="I180" s="0" t="n">
        <v>0.864166630943969</v>
      </c>
      <c r="J180" s="0" t="n">
        <v>109331</v>
      </c>
      <c r="K180" s="0" t="n">
        <v>20430</v>
      </c>
      <c r="L180" s="0" t="n">
        <v>2169489</v>
      </c>
      <c r="M180" s="0" t="n">
        <v>2150741</v>
      </c>
      <c r="N180" s="0" t="n">
        <v>1987119</v>
      </c>
      <c r="O180" s="0" t="n">
        <v>1584</v>
      </c>
      <c r="P180" s="0" t="s">
        <v>151</v>
      </c>
      <c r="Q180" s="0" t="n">
        <v>0.0758704008178884</v>
      </c>
      <c r="R180" s="0" t="n">
        <v>3.17602118840462</v>
      </c>
      <c r="S180" s="0" t="n">
        <v>-34</v>
      </c>
      <c r="T180" s="0" t="n">
        <v>2395</v>
      </c>
      <c r="U180" s="0" t="n">
        <v>62</v>
      </c>
      <c r="V180" s="0" t="n">
        <v>13.2949257471121</v>
      </c>
      <c r="W180" s="0" t="n">
        <v>20221231</v>
      </c>
      <c r="X180" s="0" t="n">
        <v>0.710358869365882</v>
      </c>
      <c r="Y180" s="0" t="n">
        <v>9.11</v>
      </c>
      <c r="Z180" s="0" t="s">
        <v>123</v>
      </c>
      <c r="AA180" s="0" t="n">
        <f aca="false">IF(AND(ISNUMBER(B180),B180&gt;0,ISNUMBER(U180),U180&gt;=0,ISNUMBER(O180),O180&gt;=0),1,0)</f>
        <v>1</v>
      </c>
      <c r="AB180" s="0" t="n">
        <f aca="false">IF(AA180=1,U180+O180,0)</f>
        <v>1646</v>
      </c>
      <c r="AC180" s="0" t="n">
        <f aca="false">IF(AA180=1,100*AB180/B180,"")</f>
        <v>0.0602157523822903</v>
      </c>
      <c r="AD180" s="0" t="n">
        <f aca="false">IF(AND(AND(ISNUMBER(B180),B180=OriginalFinancials!B180),AND(ISNUMBER(U180),U180=OriginalFinancials!U180),AND(ISNUMBER(O180),O180=OriginalFinancials!O180)),0,1)</f>
        <v>0</v>
      </c>
      <c r="AE180" s="0" t="str">
        <f aca="false">IF(V180=0,"原始0：需核实适用/报告口径","")</f>
        <v/>
      </c>
    </row>
    <row r="181" customFormat="false" ht="15" hidden="false" customHeight="false" outlineLevel="0" collapsed="false">
      <c r="A181" s="0" t="n">
        <v>181</v>
      </c>
      <c r="B181" s="0" t="n">
        <v>382131</v>
      </c>
      <c r="C181" s="0" t="n">
        <v>18028</v>
      </c>
      <c r="D181" s="0" t="n">
        <v>329968</v>
      </c>
      <c r="E181" s="0" t="n">
        <v>0.1</v>
      </c>
      <c r="F181" s="0" t="n">
        <v>35637</v>
      </c>
      <c r="G181" s="0" t="n">
        <v>9.32585945657379</v>
      </c>
      <c r="H181" s="0" t="s">
        <v>337</v>
      </c>
      <c r="I181" s="0" t="n">
        <v>0.959418956849934</v>
      </c>
      <c r="J181" s="0" t="n">
        <v>18569</v>
      </c>
      <c r="K181" s="0" t="n">
        <v>8838</v>
      </c>
      <c r="L181" s="0" t="n">
        <v>252236</v>
      </c>
      <c r="M181" s="0" t="n">
        <v>249816</v>
      </c>
      <c r="N181" s="0" t="n">
        <v>218425</v>
      </c>
      <c r="O181" s="0" t="n">
        <v>1059</v>
      </c>
      <c r="P181" s="0" t="s">
        <v>153</v>
      </c>
      <c r="Q181" s="0" t="n">
        <v>0.600627983317211</v>
      </c>
      <c r="R181" s="0" t="n">
        <v>3.44182797024617</v>
      </c>
      <c r="S181" s="0" t="n">
        <v>220</v>
      </c>
      <c r="T181" s="0" t="n">
        <v>820</v>
      </c>
      <c r="U181" s="0" t="n">
        <v>456</v>
      </c>
      <c r="V181" s="0" t="n">
        <v>0</v>
      </c>
      <c r="W181" s="0" t="n">
        <v>20221231</v>
      </c>
      <c r="X181" s="0" t="n">
        <v>0.675459452597504</v>
      </c>
      <c r="Y181" s="0" t="n">
        <v>6.48</v>
      </c>
      <c r="Z181" s="0" t="s">
        <v>123</v>
      </c>
      <c r="AA181" s="0" t="n">
        <f aca="false">IF(AND(ISNUMBER(B181),B181&gt;0,ISNUMBER(U181),U181&gt;=0,ISNUMBER(O181),O181&gt;=0),1,0)</f>
        <v>1</v>
      </c>
      <c r="AB181" s="0" t="n">
        <f aca="false">IF(AA181=1,U181+O181,0)</f>
        <v>1515</v>
      </c>
      <c r="AC181" s="0" t="n">
        <f aca="false">IF(AA181=1,100*AB181/B181,"")</f>
        <v>0.396460899534453</v>
      </c>
      <c r="AD181" s="0" t="n">
        <f aca="false">IF(AND(AND(ISNUMBER(B181),B181=OriginalFinancials!B181),AND(ISNUMBER(U181),U181=OriginalFinancials!U181),AND(ISNUMBER(O181),O181=OriginalFinancials!O181)),0,1)</f>
        <v>0</v>
      </c>
      <c r="AE181" s="0" t="str">
        <f aca="false">IF(V181=0,"原始0：需核实适用/报告口径","")</f>
        <v>原始0：需核实适用/报告口径</v>
      </c>
    </row>
    <row r="182" customFormat="false" ht="15" hidden="false" customHeight="false" outlineLevel="0" collapsed="false">
      <c r="A182" s="0" t="n">
        <v>182</v>
      </c>
      <c r="B182" s="0" t="n">
        <v>702716</v>
      </c>
      <c r="C182" s="0" t="n">
        <v>18030</v>
      </c>
      <c r="D182" s="0" t="n">
        <v>654989</v>
      </c>
      <c r="E182" s="0" t="n">
        <v>0.19</v>
      </c>
      <c r="F182" s="0" t="n">
        <v>42204</v>
      </c>
      <c r="G182" s="0" t="n">
        <v>6.00584019717781</v>
      </c>
      <c r="H182" s="0" t="s">
        <v>338</v>
      </c>
      <c r="I182" s="0" t="n">
        <v>1.00065102159615</v>
      </c>
      <c r="J182" s="0" t="n">
        <v>34512</v>
      </c>
      <c r="K182" s="0" t="n">
        <v>86350</v>
      </c>
      <c r="L182" s="0" t="n">
        <v>551441</v>
      </c>
      <c r="M182" s="0" t="n">
        <v>545923</v>
      </c>
      <c r="N182" s="0" t="n">
        <v>430473</v>
      </c>
      <c r="O182" s="0" t="n">
        <v>822</v>
      </c>
      <c r="P182" s="0" t="s">
        <v>155</v>
      </c>
      <c r="Q182" s="0" t="n">
        <v>0.149063997780361</v>
      </c>
      <c r="R182" s="0" t="n">
        <v>3.23438857231214</v>
      </c>
      <c r="S182" s="0" t="n">
        <v>172</v>
      </c>
      <c r="T182" s="0" t="n">
        <v>415</v>
      </c>
      <c r="U182" s="0" t="n">
        <v>0</v>
      </c>
      <c r="V182" s="0" t="n">
        <v>12.9663643069234</v>
      </c>
      <c r="W182" s="0" t="n">
        <v>20221231</v>
      </c>
      <c r="X182" s="0" t="n">
        <v>0.385791360891022</v>
      </c>
      <c r="Y182" s="0" t="n">
        <v>5.8</v>
      </c>
      <c r="Z182" s="0" t="s">
        <v>123</v>
      </c>
      <c r="AA182" s="0" t="n">
        <f aca="false">IF(AND(ISNUMBER(B182),B182&gt;0,ISNUMBER(U182),U182&gt;=0,ISNUMBER(O182),O182&gt;=0),1,0)</f>
        <v>1</v>
      </c>
      <c r="AB182" s="0" t="n">
        <f aca="false">IF(AA182=1,U182+O182,0)</f>
        <v>822</v>
      </c>
      <c r="AC182" s="0" t="n">
        <f aca="false">IF(AA182=1,100*AB182/B182,"")</f>
        <v>0.116974709555496</v>
      </c>
      <c r="AD182" s="0" t="n">
        <f aca="false">IF(AND(AND(ISNUMBER(B182),B182=OriginalFinancials!B182),AND(ISNUMBER(U182),U182=OriginalFinancials!U182),AND(ISNUMBER(O182),O182=OriginalFinancials!O182)),0,1)</f>
        <v>0</v>
      </c>
      <c r="AE182" s="0" t="str">
        <f aca="false">IF(V182=0,"原始0：需核实适用/报告口径","")</f>
        <v/>
      </c>
    </row>
    <row r="183" customFormat="false" ht="15" hidden="false" customHeight="false" outlineLevel="0" collapsed="false">
      <c r="A183" s="0" t="n">
        <v>183</v>
      </c>
      <c r="B183" s="0" t="n">
        <v>648071</v>
      </c>
      <c r="C183" s="0" t="n">
        <v>18031</v>
      </c>
      <c r="D183" s="0" t="n">
        <v>582524</v>
      </c>
      <c r="E183" s="0" t="n">
        <v>-0.12</v>
      </c>
      <c r="F183" s="0" t="n">
        <v>35327</v>
      </c>
      <c r="G183" s="0" t="n">
        <v>5.45110026524872</v>
      </c>
      <c r="H183" s="0" t="s">
        <v>339</v>
      </c>
      <c r="I183" s="0" t="n">
        <v>0.923401104108779</v>
      </c>
      <c r="J183" s="0" t="n">
        <v>28982</v>
      </c>
      <c r="K183" s="0" t="n">
        <v>8276</v>
      </c>
      <c r="L183" s="0" t="n">
        <v>463179</v>
      </c>
      <c r="M183" s="0" t="n">
        <v>458902</v>
      </c>
      <c r="N183" s="0" t="n">
        <v>421449</v>
      </c>
      <c r="O183" s="0" t="n">
        <v>630</v>
      </c>
      <c r="P183" s="0" t="s">
        <v>157</v>
      </c>
      <c r="Q183" s="0" t="n">
        <v>0.136016529246792</v>
      </c>
      <c r="R183" s="0" t="n">
        <v>3.04436126621075</v>
      </c>
      <c r="S183" s="0" t="n">
        <v>6</v>
      </c>
      <c r="T183" s="0" t="n">
        <v>1137</v>
      </c>
      <c r="U183" s="0" t="n">
        <v>0</v>
      </c>
      <c r="V183" s="0" t="n">
        <v>16.3655120252505</v>
      </c>
      <c r="W183" s="0" t="n">
        <v>20221231</v>
      </c>
      <c r="X183" s="0" t="n">
        <v>0.634198912846815</v>
      </c>
      <c r="Y183" s="0" t="n">
        <v>9.66</v>
      </c>
      <c r="Z183" s="0" t="s">
        <v>123</v>
      </c>
      <c r="AA183" s="0" t="n">
        <f aca="false">IF(AND(ISNUMBER(B183),B183&gt;0,ISNUMBER(U183),U183&gt;=0,ISNUMBER(O183),O183&gt;=0),1,0)</f>
        <v>1</v>
      </c>
      <c r="AB183" s="0" t="n">
        <f aca="false">IF(AA183=1,U183+O183,0)</f>
        <v>630</v>
      </c>
      <c r="AC183" s="0" t="n">
        <f aca="false">IF(AA183=1,100*AB183/B183,"")</f>
        <v>0.097211570954417</v>
      </c>
      <c r="AD183" s="0" t="n">
        <f aca="false">IF(AND(AND(ISNUMBER(B183),B183=OriginalFinancials!B183),AND(ISNUMBER(U183),U183=OriginalFinancials!U183),AND(ISNUMBER(O183),O183=OriginalFinancials!O183)),0,1)</f>
        <v>0</v>
      </c>
      <c r="AE183" s="0" t="str">
        <f aca="false">IF(V183=0,"原始0：需核实适用/报告口径","")</f>
        <v/>
      </c>
    </row>
    <row r="184" customFormat="false" ht="15" hidden="false" customHeight="false" outlineLevel="0" collapsed="false">
      <c r="A184" s="0" t="n">
        <v>184</v>
      </c>
      <c r="B184" s="0" t="n">
        <v>530980</v>
      </c>
      <c r="C184" s="0" t="n">
        <v>18038</v>
      </c>
      <c r="D184" s="0" t="n">
        <v>432649</v>
      </c>
      <c r="E184" s="0" t="n">
        <v>-0.04</v>
      </c>
      <c r="F184" s="0" t="n">
        <v>63947</v>
      </c>
      <c r="G184" s="0" t="n">
        <v>12.043203133828</v>
      </c>
      <c r="H184" s="0" t="s">
        <v>340</v>
      </c>
      <c r="I184" s="0" t="n">
        <v>1.05005146585111</v>
      </c>
      <c r="J184" s="0" t="n">
        <v>16994</v>
      </c>
      <c r="K184" s="0" t="n">
        <v>3229</v>
      </c>
      <c r="L184" s="0" t="n">
        <v>405123</v>
      </c>
      <c r="M184" s="0" t="n">
        <v>400869</v>
      </c>
      <c r="N184" s="0" t="n">
        <v>384424</v>
      </c>
      <c r="O184" s="0" t="n">
        <v>2186</v>
      </c>
      <c r="P184" s="0" t="s">
        <v>159</v>
      </c>
      <c r="Q184" s="0" t="n">
        <v>0.53958921117784</v>
      </c>
      <c r="R184" s="0" t="n">
        <v>3.1083634457838</v>
      </c>
      <c r="S184" s="0" t="n">
        <v>-169</v>
      </c>
      <c r="T184" s="0" t="n">
        <v>3681</v>
      </c>
      <c r="U184" s="0" t="n">
        <v>0</v>
      </c>
      <c r="V184" s="0" t="n">
        <v>0</v>
      </c>
      <c r="W184" s="0" t="n">
        <v>20221231</v>
      </c>
      <c r="X184" s="0" t="n">
        <v>-0.282240555796787</v>
      </c>
      <c r="Y184" s="0" t="n">
        <v>-2.12</v>
      </c>
      <c r="Z184" s="0" t="s">
        <v>123</v>
      </c>
      <c r="AA184" s="0" t="n">
        <f aca="false">IF(AND(ISNUMBER(B184),B184&gt;0,ISNUMBER(U184),U184&gt;=0,ISNUMBER(O184),O184&gt;=0),1,0)</f>
        <v>1</v>
      </c>
      <c r="AB184" s="0" t="n">
        <f aca="false">IF(AA184=1,U184+O184,0)</f>
        <v>2186</v>
      </c>
      <c r="AC184" s="0" t="n">
        <f aca="false">IF(AA184=1,100*AB184/B184,"")</f>
        <v>0.411691589137067</v>
      </c>
      <c r="AD184" s="0" t="n">
        <f aca="false">IF(AND(AND(ISNUMBER(B184),B184=OriginalFinancials!B184),AND(ISNUMBER(U184),U184=OriginalFinancials!U184),AND(ISNUMBER(O184),O184=OriginalFinancials!O184)),0,1)</f>
        <v>0</v>
      </c>
      <c r="AE184" s="0" t="str">
        <f aca="false">IF(V184=0,"原始0：需核实适用/报告口径","")</f>
        <v>原始0：需核实适用/报告口径</v>
      </c>
    </row>
    <row r="185" customFormat="false" ht="15" hidden="false" customHeight="false" outlineLevel="0" collapsed="false">
      <c r="A185" s="0" t="n">
        <v>185</v>
      </c>
      <c r="B185" s="0" t="n">
        <v>7377141</v>
      </c>
      <c r="C185" s="0" t="n">
        <v>18408</v>
      </c>
      <c r="D185" s="0" t="n">
        <v>5909658</v>
      </c>
      <c r="E185" s="0" t="n">
        <v>-0.16</v>
      </c>
      <c r="F185" s="0" t="n">
        <v>349062</v>
      </c>
      <c r="G185" s="0" t="n">
        <v>4.73167043980859</v>
      </c>
      <c r="H185" s="0" t="s">
        <v>341</v>
      </c>
      <c r="I185" s="0" t="n">
        <v>0.806778497714869</v>
      </c>
      <c r="J185" s="0" t="n">
        <v>320720</v>
      </c>
      <c r="K185" s="0" t="n">
        <v>29697</v>
      </c>
      <c r="L185" s="0" t="n">
        <v>4697324</v>
      </c>
      <c r="M185" s="0" t="n">
        <v>4659427</v>
      </c>
      <c r="N185" s="0" t="n">
        <v>4276244</v>
      </c>
      <c r="O185" s="0" t="n">
        <v>5657</v>
      </c>
      <c r="P185" s="0" t="s">
        <v>161</v>
      </c>
      <c r="Q185" s="0" t="n">
        <v>0.120430270511466</v>
      </c>
      <c r="R185" s="0" t="n">
        <v>2.6371533699813</v>
      </c>
      <c r="S185" s="0" t="n">
        <v>246</v>
      </c>
      <c r="T185" s="0" t="n">
        <v>7442</v>
      </c>
      <c r="U185" s="0" t="n">
        <v>0</v>
      </c>
      <c r="V185" s="0" t="n">
        <v>11.766441688643</v>
      </c>
      <c r="W185" s="0" t="n">
        <v>20221231</v>
      </c>
      <c r="X185" s="0" t="n">
        <v>0.719697481409942</v>
      </c>
      <c r="Y185" s="0" t="n">
        <v>12.38</v>
      </c>
      <c r="Z185" s="0" t="s">
        <v>105</v>
      </c>
      <c r="AA185" s="0" t="n">
        <f aca="false">IF(AND(ISNUMBER(B185),B185&gt;0,ISNUMBER(U185),U185&gt;=0,ISNUMBER(O185),O185&gt;=0),1,0)</f>
        <v>1</v>
      </c>
      <c r="AB185" s="0" t="n">
        <f aca="false">IF(AA185=1,U185+O185,0)</f>
        <v>5657</v>
      </c>
      <c r="AC185" s="0" t="n">
        <f aca="false">IF(AA185=1,100*AB185/B185,"")</f>
        <v>0.0766828233322367</v>
      </c>
      <c r="AD185" s="0" t="n">
        <f aca="false">IF(AND(AND(ISNUMBER(B185),B185=OriginalFinancials!B185),AND(ISNUMBER(U185),U185=OriginalFinancials!U185),AND(ISNUMBER(O185),O185=OriginalFinancials!O185)),0,1)</f>
        <v>0</v>
      </c>
      <c r="AE185" s="0" t="str">
        <f aca="false">IF(V185=0,"原始0：需核实适用/报告口径","")</f>
        <v/>
      </c>
    </row>
    <row r="186" customFormat="false" ht="15" hidden="false" customHeight="false" outlineLevel="0" collapsed="false">
      <c r="A186" s="0" t="n">
        <v>186</v>
      </c>
      <c r="B186" s="0" t="n">
        <v>2360784</v>
      </c>
      <c r="C186" s="0" t="n">
        <v>19531</v>
      </c>
      <c r="D186" s="0" t="n">
        <v>1966979</v>
      </c>
      <c r="E186" s="0" t="n">
        <v>0</v>
      </c>
      <c r="F186" s="0" t="n">
        <v>223250</v>
      </c>
      <c r="G186" s="0" t="n">
        <v>9.45660424672482</v>
      </c>
      <c r="H186" s="0" t="s">
        <v>342</v>
      </c>
      <c r="I186" s="0" t="n">
        <v>1.23835035822002</v>
      </c>
      <c r="J186" s="0" t="n">
        <v>244556</v>
      </c>
      <c r="K186" s="0" t="n">
        <v>13770</v>
      </c>
      <c r="L186" s="0" t="n">
        <v>1885573</v>
      </c>
      <c r="M186" s="0" t="n">
        <v>1862223</v>
      </c>
      <c r="N186" s="0" t="n">
        <v>1530116</v>
      </c>
      <c r="O186" s="0" t="n">
        <v>8354</v>
      </c>
      <c r="P186" s="0" t="s">
        <v>163</v>
      </c>
      <c r="Q186" s="0" t="n">
        <v>0.443048346576876</v>
      </c>
      <c r="R186" s="0" t="n">
        <v>3.51497175830085</v>
      </c>
      <c r="S186" s="0" t="n">
        <v>201</v>
      </c>
      <c r="T186" s="0" t="n">
        <v>8421</v>
      </c>
      <c r="U186" s="0" t="n">
        <v>0</v>
      </c>
      <c r="V186" s="0" t="n">
        <v>14.3614098222374</v>
      </c>
      <c r="W186" s="0" t="n">
        <v>20221231</v>
      </c>
      <c r="X186" s="0" t="n">
        <v>0.703967262708858</v>
      </c>
      <c r="Y186" s="0" t="n">
        <v>7.12</v>
      </c>
      <c r="Z186" s="0" t="s">
        <v>105</v>
      </c>
      <c r="AA186" s="0" t="n">
        <f aca="false">IF(AND(ISNUMBER(B186),B186&gt;0,ISNUMBER(U186),U186&gt;=0,ISNUMBER(O186),O186&gt;=0),1,0)</f>
        <v>1</v>
      </c>
      <c r="AB186" s="0" t="n">
        <f aca="false">IF(AA186=1,U186+O186,0)</f>
        <v>8354</v>
      </c>
      <c r="AC186" s="0" t="n">
        <f aca="false">IF(AA186=1,100*AB186/B186,"")</f>
        <v>0.353865495530298</v>
      </c>
      <c r="AD186" s="0" t="n">
        <f aca="false">IF(AND(AND(ISNUMBER(B186),B186=OriginalFinancials!B186),AND(ISNUMBER(U186),U186=OriginalFinancials!U186),AND(ISNUMBER(O186),O186=OriginalFinancials!O186)),0,1)</f>
        <v>0</v>
      </c>
      <c r="AE186" s="0" t="str">
        <f aca="false">IF(V186=0,"原始0：需核实适用/报告口径","")</f>
        <v/>
      </c>
    </row>
    <row r="187" customFormat="false" ht="15" hidden="false" customHeight="false" outlineLevel="0" collapsed="false">
      <c r="A187" s="0" t="n">
        <v>187</v>
      </c>
      <c r="B187" s="0" t="n">
        <v>774373</v>
      </c>
      <c r="C187" s="0" t="n">
        <v>19532</v>
      </c>
      <c r="D187" s="0" t="n">
        <v>673912</v>
      </c>
      <c r="E187" s="0" t="n">
        <v>0</v>
      </c>
      <c r="F187" s="0" t="n">
        <v>87739</v>
      </c>
      <c r="G187" s="0" t="n">
        <v>11.3303278910809</v>
      </c>
      <c r="H187" s="0" t="s">
        <v>343</v>
      </c>
      <c r="I187" s="0" t="n">
        <v>1.07683149543803</v>
      </c>
      <c r="J187" s="0" t="n">
        <v>30200</v>
      </c>
      <c r="K187" s="0" t="n">
        <v>46433</v>
      </c>
      <c r="L187" s="0" t="n">
        <v>544282</v>
      </c>
      <c r="M187" s="0" t="n">
        <v>538421</v>
      </c>
      <c r="N187" s="0" t="n">
        <v>460817</v>
      </c>
      <c r="O187" s="0" t="n">
        <v>797</v>
      </c>
      <c r="P187" s="0" t="s">
        <v>165</v>
      </c>
      <c r="Q187" s="0" t="n">
        <v>0.146431445463932</v>
      </c>
      <c r="R187" s="0" t="n">
        <v>3.35594796053323</v>
      </c>
      <c r="S187" s="0" t="n">
        <v>45</v>
      </c>
      <c r="T187" s="0" t="n">
        <v>790</v>
      </c>
      <c r="U187" s="0" t="n">
        <v>0</v>
      </c>
      <c r="V187" s="0" t="n">
        <v>20.8845928529584</v>
      </c>
      <c r="W187" s="0" t="n">
        <v>20221231</v>
      </c>
      <c r="X187" s="0" t="n">
        <v>0.722576685653743</v>
      </c>
      <c r="Y187" s="0" t="n">
        <v>6.05</v>
      </c>
      <c r="Z187" s="0" t="s">
        <v>105</v>
      </c>
      <c r="AA187" s="0" t="n">
        <f aca="false">IF(AND(ISNUMBER(B187),B187&gt;0,ISNUMBER(U187),U187&gt;=0,ISNUMBER(O187),O187&gt;=0),1,0)</f>
        <v>1</v>
      </c>
      <c r="AB187" s="0" t="n">
        <f aca="false">IF(AA187=1,U187+O187,0)</f>
        <v>797</v>
      </c>
      <c r="AC187" s="0" t="n">
        <f aca="false">IF(AA187=1,100*AB187/B187,"")</f>
        <v>0.102921976876776</v>
      </c>
      <c r="AD187" s="0" t="n">
        <f aca="false">IF(AND(AND(ISNUMBER(B187),B187=OriginalFinancials!B187),AND(ISNUMBER(U187),U187=OriginalFinancials!U187),AND(ISNUMBER(O187),O187=OriginalFinancials!O187)),0,1)</f>
        <v>0</v>
      </c>
      <c r="AE187" s="0" t="str">
        <f aca="false">IF(V187=0,"原始0：需核实适用/报告口径","")</f>
        <v/>
      </c>
    </row>
    <row r="188" customFormat="false" ht="15" hidden="false" customHeight="false" outlineLevel="0" collapsed="false">
      <c r="A188" s="0" t="n">
        <v>188</v>
      </c>
      <c r="B188" s="0" t="n">
        <v>2809418</v>
      </c>
      <c r="C188" s="0" t="n">
        <v>19690</v>
      </c>
      <c r="D188" s="0" t="n">
        <v>2251472</v>
      </c>
      <c r="E188" s="0" t="n">
        <v>0</v>
      </c>
      <c r="F188" s="0" t="n">
        <v>263427</v>
      </c>
      <c r="G188" s="0" t="n">
        <v>9.37656838533817</v>
      </c>
      <c r="H188" s="0" t="s">
        <v>344</v>
      </c>
      <c r="I188" s="0" t="n">
        <v>0.255952972683578</v>
      </c>
      <c r="J188" s="0" t="n">
        <v>46473</v>
      </c>
      <c r="K188" s="0" t="n">
        <v>609</v>
      </c>
      <c r="L188" s="0" t="n">
        <v>2504757</v>
      </c>
      <c r="M188" s="0" t="n">
        <v>2498346</v>
      </c>
      <c r="N188" s="0" t="n">
        <v>2024933</v>
      </c>
      <c r="O188" s="0" t="n">
        <v>12899</v>
      </c>
      <c r="P188" s="0" t="s">
        <v>167</v>
      </c>
      <c r="Q188" s="0" t="n">
        <v>0.514980095873572</v>
      </c>
      <c r="R188" s="0" t="n">
        <v>5.49030154110946</v>
      </c>
      <c r="S188" s="0" t="n">
        <v>-362</v>
      </c>
      <c r="T188" s="0" t="n">
        <v>10727</v>
      </c>
      <c r="U188" s="0" t="n">
        <v>0</v>
      </c>
      <c r="V188" s="0" t="n">
        <v>11.1047375715636</v>
      </c>
      <c r="W188" s="0" t="n">
        <v>20221231</v>
      </c>
      <c r="X188" s="0" t="n">
        <v>2.20866479041863</v>
      </c>
      <c r="Y188" s="0" t="n">
        <v>16.18</v>
      </c>
      <c r="Z188" s="0" t="s">
        <v>105</v>
      </c>
      <c r="AA188" s="0" t="n">
        <f aca="false">IF(AND(ISNUMBER(B188),B188&gt;0,ISNUMBER(U188),U188&gt;=0,ISNUMBER(O188),O188&gt;=0),1,0)</f>
        <v>1</v>
      </c>
      <c r="AB188" s="0" t="n">
        <f aca="false">IF(AA188=1,U188+O188,0)</f>
        <v>12899</v>
      </c>
      <c r="AC188" s="0" t="n">
        <f aca="false">IF(AA188=1,100*AB188/B188,"")</f>
        <v>0.45913424061496</v>
      </c>
      <c r="AD188" s="0" t="n">
        <f aca="false">IF(AND(AND(ISNUMBER(B188),B188=OriginalFinancials!B188),AND(ISNUMBER(U188),U188=OriginalFinancials!U188),AND(ISNUMBER(O188),O188=OriginalFinancials!O188)),0,1)</f>
        <v>0</v>
      </c>
      <c r="AE188" s="0" t="str">
        <f aca="false">IF(V188=0,"原始0：需核实适用/报告口径","")</f>
        <v/>
      </c>
    </row>
    <row r="189" customFormat="false" ht="15" hidden="false" customHeight="false" outlineLevel="0" collapsed="false">
      <c r="A189" s="0" t="n">
        <v>189</v>
      </c>
      <c r="B189" s="0" t="n">
        <v>578817</v>
      </c>
      <c r="C189" s="0" t="n">
        <v>19836</v>
      </c>
      <c r="D189" s="0" t="n">
        <v>445845</v>
      </c>
      <c r="E189" s="0" t="n">
        <v>0.09</v>
      </c>
      <c r="F189" s="0" t="n">
        <v>116585</v>
      </c>
      <c r="G189" s="0" t="n">
        <v>20.1419446906362</v>
      </c>
      <c r="H189" s="0" t="s">
        <v>345</v>
      </c>
      <c r="I189" s="0" t="n">
        <v>0.892709299244933</v>
      </c>
      <c r="J189" s="0" t="n">
        <v>49718</v>
      </c>
      <c r="K189" s="0" t="n">
        <v>11831</v>
      </c>
      <c r="L189" s="0" t="n">
        <v>483136</v>
      </c>
      <c r="M189" s="0" t="n">
        <v>478823</v>
      </c>
      <c r="N189" s="0" t="n">
        <v>416786</v>
      </c>
      <c r="O189" s="0" t="n">
        <v>1681</v>
      </c>
      <c r="P189" s="0" t="s">
        <v>145</v>
      </c>
      <c r="Q189" s="0" t="n">
        <v>0.369875149026361</v>
      </c>
      <c r="R189" s="0" t="n">
        <v>4.22369418469126</v>
      </c>
      <c r="S189" s="0" t="n">
        <v>111</v>
      </c>
      <c r="T189" s="0" t="n">
        <v>2966</v>
      </c>
      <c r="U189" s="0" t="n">
        <v>106</v>
      </c>
      <c r="V189" s="0" t="n">
        <v>28.2794278089045</v>
      </c>
      <c r="W189" s="0" t="n">
        <v>20221231</v>
      </c>
      <c r="X189" s="0" t="n">
        <v>0.83577055943012</v>
      </c>
      <c r="Y189" s="0" t="n">
        <v>4.14</v>
      </c>
      <c r="Z189" s="0" t="s">
        <v>105</v>
      </c>
      <c r="AA189" s="0" t="n">
        <f aca="false">IF(AND(ISNUMBER(B189),B189&gt;0,ISNUMBER(U189),U189&gt;=0,ISNUMBER(O189),O189&gt;=0),1,0)</f>
        <v>1</v>
      </c>
      <c r="AB189" s="0" t="n">
        <f aca="false">IF(AA189=1,U189+O189,0)</f>
        <v>1787</v>
      </c>
      <c r="AC189" s="0" t="n">
        <f aca="false">IF(AA189=1,100*AB189/B189,"")</f>
        <v>0.308733157457366</v>
      </c>
      <c r="AD189" s="0" t="n">
        <f aca="false">IF(AND(AND(ISNUMBER(B189),B189=OriginalFinancials!B189),AND(ISNUMBER(U189),U189=OriginalFinancials!U189),AND(ISNUMBER(O189),O189=OriginalFinancials!O189)),0,1)</f>
        <v>0</v>
      </c>
      <c r="AE189" s="0" t="str">
        <f aca="false">IF(V189=0,"原始0：需核实适用/报告口径","")</f>
        <v/>
      </c>
    </row>
    <row r="190" customFormat="false" ht="15" hidden="false" customHeight="false" outlineLevel="0" collapsed="false">
      <c r="A190" s="0" t="n">
        <v>190</v>
      </c>
      <c r="B190" s="0" t="n">
        <v>1260196</v>
      </c>
      <c r="C190" s="0" t="n">
        <v>24540</v>
      </c>
      <c r="D190" s="0" t="n">
        <v>1017970</v>
      </c>
      <c r="E190" s="0" t="n">
        <v>0.05</v>
      </c>
      <c r="F190" s="0" t="n">
        <v>214985</v>
      </c>
      <c r="G190" s="0" t="n">
        <v>17.0596478643005</v>
      </c>
      <c r="H190" s="0" t="s">
        <v>346</v>
      </c>
      <c r="I190" s="0" t="n">
        <v>1.21993508028503</v>
      </c>
      <c r="J190" s="0" t="n">
        <v>42837</v>
      </c>
      <c r="K190" s="0" t="n">
        <v>32</v>
      </c>
      <c r="L190" s="0" t="n">
        <v>1087189</v>
      </c>
      <c r="M190" s="0" t="n">
        <v>1073926</v>
      </c>
      <c r="N190" s="0" t="n">
        <v>1047480</v>
      </c>
      <c r="O190" s="0" t="n">
        <v>372</v>
      </c>
      <c r="P190" s="0" t="s">
        <v>170</v>
      </c>
      <c r="Q190" s="0" t="n">
        <v>0.0342166817361102</v>
      </c>
      <c r="R190" s="0" t="n">
        <v>4.74422673868285</v>
      </c>
      <c r="S190" s="0" t="n">
        <v>-15</v>
      </c>
      <c r="T190" s="0" t="n">
        <v>2026</v>
      </c>
      <c r="U190" s="0" t="n">
        <v>0</v>
      </c>
      <c r="V190" s="0" t="n">
        <v>0</v>
      </c>
      <c r="W190" s="0" t="n">
        <v>20221231</v>
      </c>
      <c r="X190" s="0" t="n">
        <v>2.4490506964624</v>
      </c>
      <c r="Y190" s="0" t="n">
        <v>15.2</v>
      </c>
      <c r="Z190" s="0" t="s">
        <v>123</v>
      </c>
      <c r="AA190" s="0" t="n">
        <f aca="false">IF(AND(ISNUMBER(B190),B190&gt;0,ISNUMBER(U190),U190&gt;=0,ISNUMBER(O190),O190&gt;=0),1,0)</f>
        <v>1</v>
      </c>
      <c r="AB190" s="0" t="n">
        <f aca="false">IF(AA190=1,U190+O190,0)</f>
        <v>372</v>
      </c>
      <c r="AC190" s="0" t="n">
        <f aca="false">IF(AA190=1,100*AB190/B190,"")</f>
        <v>0.0295192176455091</v>
      </c>
      <c r="AD190" s="0" t="n">
        <f aca="false">IF(AND(AND(ISNUMBER(B190),B190=OriginalFinancials!B190),AND(ISNUMBER(U190),U190=OriginalFinancials!U190),AND(ISNUMBER(O190),O190=OriginalFinancials!O190)),0,1)</f>
        <v>0</v>
      </c>
      <c r="AE190" s="0" t="str">
        <f aca="false">IF(V190=0,"原始0：需核实适用/报告口径","")</f>
        <v>原始0：需核实适用/报告口径</v>
      </c>
    </row>
    <row r="191" customFormat="false" ht="15" hidden="false" customHeight="false" outlineLevel="0" collapsed="false">
      <c r="A191" s="0" t="n">
        <v>191</v>
      </c>
      <c r="B191" s="0" t="n">
        <v>487232</v>
      </c>
      <c r="C191" s="0" t="n">
        <v>27824</v>
      </c>
      <c r="D191" s="0" t="n">
        <v>385881</v>
      </c>
      <c r="E191" s="0" t="n">
        <v>0.02</v>
      </c>
      <c r="F191" s="0" t="n">
        <v>66059</v>
      </c>
      <c r="G191" s="0" t="n">
        <v>13.558017535794</v>
      </c>
      <c r="H191" s="0" t="s">
        <v>347</v>
      </c>
      <c r="I191" s="0" t="n">
        <v>0.771508206875193</v>
      </c>
      <c r="J191" s="0" t="n">
        <v>21116</v>
      </c>
      <c r="K191" s="0" t="n">
        <v>39942</v>
      </c>
      <c r="L191" s="0" t="n">
        <v>403625</v>
      </c>
      <c r="M191" s="0" t="n">
        <v>400511</v>
      </c>
      <c r="N191" s="0" t="n">
        <v>342567</v>
      </c>
      <c r="O191" s="0" t="n">
        <v>881</v>
      </c>
      <c r="P191" s="0" t="s">
        <v>172</v>
      </c>
      <c r="Q191" s="0" t="n">
        <v>0.2182719108083</v>
      </c>
      <c r="R191" s="0" t="n">
        <v>2.83552534330862</v>
      </c>
      <c r="S191" s="0" t="n">
        <v>58</v>
      </c>
      <c r="T191" s="0" t="n">
        <v>967</v>
      </c>
      <c r="U191" s="0" t="n">
        <v>0</v>
      </c>
      <c r="V191" s="0" t="n">
        <v>23.0970442865222</v>
      </c>
      <c r="W191" s="0" t="n">
        <v>20221231</v>
      </c>
      <c r="X191" s="0" t="n">
        <v>0.24575653263604</v>
      </c>
      <c r="Y191" s="0" t="n">
        <v>1.69</v>
      </c>
      <c r="Z191" s="0" t="s">
        <v>123</v>
      </c>
      <c r="AA191" s="0" t="n">
        <f aca="false">IF(AND(ISNUMBER(B191),B191&gt;0,ISNUMBER(U191),U191&gt;=0,ISNUMBER(O191),O191&gt;=0),1,0)</f>
        <v>1</v>
      </c>
      <c r="AB191" s="0" t="n">
        <f aca="false">IF(AA191=1,U191+O191,0)</f>
        <v>881</v>
      </c>
      <c r="AC191" s="0" t="n">
        <f aca="false">IF(AA191=1,100*AB191/B191,"")</f>
        <v>0.180817351898069</v>
      </c>
      <c r="AD191" s="0" t="n">
        <f aca="false">IF(AND(AND(ISNUMBER(B191),B191=OriginalFinancials!B191),AND(ISNUMBER(U191),U191=OriginalFinancials!U191),AND(ISNUMBER(O191),O191=OriginalFinancials!O191)),0,1)</f>
        <v>0</v>
      </c>
      <c r="AE191" s="0" t="str">
        <f aca="false">IF(V191=0,"原始0：需核实适用/报告口径","")</f>
        <v/>
      </c>
    </row>
    <row r="192" customFormat="false" ht="15" hidden="false" customHeight="false" outlineLevel="0" collapsed="false">
      <c r="A192" s="0" t="n">
        <v>192</v>
      </c>
      <c r="B192" s="0" t="n">
        <v>297675</v>
      </c>
      <c r="C192" s="0" t="n">
        <v>28155</v>
      </c>
      <c r="D192" s="0" t="n">
        <v>258019</v>
      </c>
      <c r="E192" s="0" t="n">
        <v>0.03</v>
      </c>
      <c r="F192" s="0" t="n">
        <v>27626</v>
      </c>
      <c r="G192" s="0" t="n">
        <v>9.28059124884522</v>
      </c>
      <c r="H192" s="0" t="s">
        <v>348</v>
      </c>
      <c r="I192" s="0" t="n">
        <v>0.578169971850587</v>
      </c>
      <c r="J192" s="0" t="n">
        <v>6284</v>
      </c>
      <c r="K192" s="0" t="n">
        <v>5033</v>
      </c>
      <c r="L192" s="0" t="n">
        <v>158085</v>
      </c>
      <c r="M192" s="0" t="n">
        <v>157171</v>
      </c>
      <c r="N192" s="0" t="n">
        <v>146082</v>
      </c>
      <c r="O192" s="0" t="n">
        <v>67</v>
      </c>
      <c r="P192" s="0" t="s">
        <v>174</v>
      </c>
      <c r="Q192" s="0" t="n">
        <v>0.0423822627067716</v>
      </c>
      <c r="R192" s="0" t="n">
        <v>2.77876474751211</v>
      </c>
      <c r="S192" s="0" t="n">
        <v>5</v>
      </c>
      <c r="T192" s="0" t="n">
        <v>732</v>
      </c>
      <c r="U192" s="0" t="n">
        <v>0</v>
      </c>
      <c r="V192" s="0" t="n">
        <v>18.1932924630364</v>
      </c>
      <c r="W192" s="0" t="n">
        <v>20221231</v>
      </c>
      <c r="X192" s="0" t="n">
        <v>0.129023320625668</v>
      </c>
      <c r="Y192" s="0" t="n">
        <v>1.38</v>
      </c>
      <c r="Z192" s="0" t="s">
        <v>123</v>
      </c>
      <c r="AA192" s="0" t="n">
        <f aca="false">IF(AND(ISNUMBER(B192),B192&gt;0,ISNUMBER(U192),U192&gt;=0,ISNUMBER(O192),O192&gt;=0),1,0)</f>
        <v>1</v>
      </c>
      <c r="AB192" s="0" t="n">
        <f aca="false">IF(AA192=1,U192+O192,0)</f>
        <v>67</v>
      </c>
      <c r="AC192" s="0" t="n">
        <f aca="false">IF(AA192=1,100*AB192/B192,"")</f>
        <v>0.0225077685395146</v>
      </c>
      <c r="AD192" s="0" t="n">
        <f aca="false">IF(AND(AND(ISNUMBER(B192),B192=OriginalFinancials!B192),AND(ISNUMBER(U192),U192=OriginalFinancials!U192),AND(ISNUMBER(O192),O192=OriginalFinancials!O192)),0,1)</f>
        <v>0</v>
      </c>
      <c r="AE192" s="0" t="str">
        <f aca="false">IF(V192=0,"原始0：需核实适用/报告口径","")</f>
        <v/>
      </c>
    </row>
    <row r="193" customFormat="false" ht="15" hidden="false" customHeight="false" outlineLevel="0" collapsed="false">
      <c r="A193" s="0" t="n">
        <v>193</v>
      </c>
      <c r="B193" s="0" t="n">
        <v>101567</v>
      </c>
      <c r="C193" s="0" t="n">
        <v>28288</v>
      </c>
      <c r="D193" s="0" t="n">
        <v>81268</v>
      </c>
      <c r="E193" s="0" t="n">
        <v>0.04</v>
      </c>
      <c r="F193" s="0" t="n">
        <v>5901</v>
      </c>
      <c r="G193" s="0" t="n">
        <v>5.80995795878583</v>
      </c>
      <c r="H193" s="0" t="s">
        <v>349</v>
      </c>
      <c r="I193" s="0" t="n">
        <v>1.09490905395793</v>
      </c>
      <c r="J193" s="0" t="n">
        <v>3446</v>
      </c>
      <c r="K193" s="0" t="n">
        <v>633</v>
      </c>
      <c r="L193" s="0" t="n">
        <v>78728</v>
      </c>
      <c r="M193" s="0" t="n">
        <v>77866</v>
      </c>
      <c r="N193" s="0" t="n">
        <v>74650</v>
      </c>
      <c r="O193" s="0" t="n">
        <v>364</v>
      </c>
      <c r="P193" s="0" t="s">
        <v>176</v>
      </c>
      <c r="Q193" s="0" t="n">
        <v>0.462351387054161</v>
      </c>
      <c r="R193" s="0" t="n">
        <v>3.46738373105731</v>
      </c>
      <c r="S193" s="0" t="n">
        <v>45</v>
      </c>
      <c r="T193" s="0" t="n">
        <v>54</v>
      </c>
      <c r="U193" s="0" t="n">
        <v>0</v>
      </c>
      <c r="V193" s="0" t="n">
        <v>13.6622857582046</v>
      </c>
      <c r="W193" s="0" t="n">
        <v>20221231</v>
      </c>
      <c r="X193" s="0" t="n">
        <v>0.0982367028867113</v>
      </c>
      <c r="Y193" s="0" t="n">
        <v>1.43</v>
      </c>
      <c r="Z193" s="0" t="s">
        <v>105</v>
      </c>
      <c r="AA193" s="0" t="n">
        <f aca="false">IF(AND(ISNUMBER(B193),B193&gt;0,ISNUMBER(U193),U193&gt;=0,ISNUMBER(O193),O193&gt;=0),1,0)</f>
        <v>1</v>
      </c>
      <c r="AB193" s="0" t="n">
        <f aca="false">IF(AA193=1,U193+O193,0)</f>
        <v>364</v>
      </c>
      <c r="AC193" s="0" t="n">
        <f aca="false">IF(AA193=1,100*AB193/B193,"")</f>
        <v>0.358384120826646</v>
      </c>
      <c r="AD193" s="0" t="n">
        <f aca="false">IF(AND(AND(ISNUMBER(B193),B193=OriginalFinancials!B193),AND(ISNUMBER(U193),U193=OriginalFinancials!U193),AND(ISNUMBER(O193),O193=OriginalFinancials!O193)),0,1)</f>
        <v>0</v>
      </c>
      <c r="AE193" s="0" t="str">
        <f aca="false">IF(V193=0,"原始0：需核实适用/报告口径","")</f>
        <v/>
      </c>
    </row>
    <row r="194" customFormat="false" ht="15" hidden="false" customHeight="false" outlineLevel="0" collapsed="false">
      <c r="A194" s="0" t="n">
        <v>194</v>
      </c>
      <c r="B194" s="0" t="n">
        <v>86156</v>
      </c>
      <c r="C194" s="0" t="n">
        <v>28369</v>
      </c>
      <c r="D194" s="0" t="n">
        <v>76209</v>
      </c>
      <c r="E194" s="0" t="n">
        <v>-0.01</v>
      </c>
      <c r="F194" s="0" t="n">
        <v>9537</v>
      </c>
      <c r="G194" s="0" t="n">
        <v>11.069455406472</v>
      </c>
      <c r="H194" s="0" t="s">
        <v>350</v>
      </c>
      <c r="I194" s="0" t="n">
        <v>0.746960362030424</v>
      </c>
      <c r="J194" s="0" t="n">
        <v>10376</v>
      </c>
      <c r="K194" s="0" t="n">
        <v>789</v>
      </c>
      <c r="L194" s="0" t="n">
        <v>73364</v>
      </c>
      <c r="M194" s="0" t="n">
        <v>72816</v>
      </c>
      <c r="N194" s="0" t="n">
        <v>62199</v>
      </c>
      <c r="O194" s="0" t="n">
        <v>243</v>
      </c>
      <c r="P194" s="0" t="s">
        <v>178</v>
      </c>
      <c r="Q194" s="0" t="n">
        <v>0.331225124039038</v>
      </c>
      <c r="R194" s="0" t="n">
        <v>3.68178301928101</v>
      </c>
      <c r="S194" s="0" t="n">
        <v>-9</v>
      </c>
      <c r="T194" s="0" t="n">
        <v>299</v>
      </c>
      <c r="U194" s="0" t="n">
        <v>0</v>
      </c>
      <c r="V194" s="0" t="n">
        <v>0</v>
      </c>
      <c r="W194" s="0" t="n">
        <v>20221231</v>
      </c>
      <c r="X194" s="0" t="n">
        <v>0.120898935398517</v>
      </c>
      <c r="Y194" s="0" t="n">
        <v>1.11</v>
      </c>
      <c r="Z194" s="0" t="s">
        <v>105</v>
      </c>
      <c r="AA194" s="0" t="n">
        <f aca="false">IF(AND(ISNUMBER(B194),B194&gt;0,ISNUMBER(U194),U194&gt;=0,ISNUMBER(O194),O194&gt;=0),1,0)</f>
        <v>1</v>
      </c>
      <c r="AB194" s="0" t="n">
        <f aca="false">IF(AA194=1,U194+O194,0)</f>
        <v>243</v>
      </c>
      <c r="AC194" s="0" t="n">
        <f aca="false">IF(AA194=1,100*AB194/B194,"")</f>
        <v>0.282046520265565</v>
      </c>
      <c r="AD194" s="0" t="n">
        <f aca="false">IF(AND(AND(ISNUMBER(B194),B194=OriginalFinancials!B194),AND(ISNUMBER(U194),U194=OriginalFinancials!U194),AND(ISNUMBER(O194),O194=OriginalFinancials!O194)),0,1)</f>
        <v>0</v>
      </c>
      <c r="AE194" s="0" t="str">
        <f aca="false">IF(V194=0,"原始0：需核实适用/报告口径","")</f>
        <v>原始0：需核实适用/报告口径</v>
      </c>
    </row>
    <row r="195" customFormat="false" ht="15" hidden="false" customHeight="false" outlineLevel="0" collapsed="false">
      <c r="A195" s="0" t="n">
        <v>195</v>
      </c>
      <c r="B195" s="0" t="n">
        <v>309393</v>
      </c>
      <c r="C195" s="0" t="n">
        <v>28837</v>
      </c>
      <c r="D195" s="0" t="n">
        <v>282476</v>
      </c>
      <c r="E195" s="0" t="n">
        <v>0.04</v>
      </c>
      <c r="F195" s="0" t="n">
        <v>23557</v>
      </c>
      <c r="G195" s="0" t="n">
        <v>7.61394084546192</v>
      </c>
      <c r="H195" s="0" t="s">
        <v>351</v>
      </c>
      <c r="I195" s="0" t="n">
        <v>1.22063785091349</v>
      </c>
      <c r="J195" s="0" t="n">
        <v>6121</v>
      </c>
      <c r="K195" s="0" t="n">
        <v>1547</v>
      </c>
      <c r="L195" s="0" t="n">
        <v>188508</v>
      </c>
      <c r="M195" s="0" t="n">
        <v>186207</v>
      </c>
      <c r="N195" s="0" t="n">
        <v>179883</v>
      </c>
      <c r="O195" s="0" t="n">
        <v>19</v>
      </c>
      <c r="P195" s="0" t="s">
        <v>180</v>
      </c>
      <c r="Q195" s="0" t="n">
        <v>0.0100791478345746</v>
      </c>
      <c r="R195" s="0" t="n">
        <v>3.00954600230921</v>
      </c>
      <c r="S195" s="0" t="n">
        <v>117</v>
      </c>
      <c r="T195" s="0" t="n">
        <v>480</v>
      </c>
      <c r="U195" s="0" t="n">
        <v>0</v>
      </c>
      <c r="V195" s="0" t="n">
        <v>15.4061497879384</v>
      </c>
      <c r="W195" s="0" t="n">
        <v>20221231</v>
      </c>
      <c r="X195" s="0" t="n">
        <v>0.587269738016854</v>
      </c>
      <c r="Y195" s="0" t="n">
        <v>7.87</v>
      </c>
      <c r="Z195" s="0" t="s">
        <v>112</v>
      </c>
      <c r="AA195" s="0" t="n">
        <f aca="false">IF(AND(ISNUMBER(B195),B195&gt;0,ISNUMBER(U195),U195&gt;=0,ISNUMBER(O195),O195&gt;=0),1,0)</f>
        <v>1</v>
      </c>
      <c r="AB195" s="0" t="n">
        <f aca="false">IF(AA195=1,U195+O195,0)</f>
        <v>19</v>
      </c>
      <c r="AC195" s="0" t="n">
        <f aca="false">IF(AA195=1,100*AB195/B195,"")</f>
        <v>0.00614105684356143</v>
      </c>
      <c r="AD195" s="0" t="n">
        <f aca="false">IF(AND(AND(ISNUMBER(B195),B195=OriginalFinancials!B195),AND(ISNUMBER(U195),U195=OriginalFinancials!U195),AND(ISNUMBER(O195),O195=OriginalFinancials!O195)),0,1)</f>
        <v>0</v>
      </c>
      <c r="AE195" s="0" t="str">
        <f aca="false">IF(V195=0,"原始0：需核实适用/报告口径","")</f>
        <v/>
      </c>
    </row>
    <row r="196" customFormat="false" ht="15" hidden="false" customHeight="false" outlineLevel="0" collapsed="false">
      <c r="A196" s="0" t="n">
        <v>196</v>
      </c>
      <c r="B196" s="0" t="n">
        <v>181529</v>
      </c>
      <c r="C196" s="0" t="n">
        <v>29636</v>
      </c>
      <c r="D196" s="0" t="n">
        <v>149099</v>
      </c>
      <c r="E196" s="0" t="n">
        <v>0.05</v>
      </c>
      <c r="F196" s="0" t="n">
        <v>24331</v>
      </c>
      <c r="G196" s="0" t="n">
        <v>13.4033680568945</v>
      </c>
      <c r="H196" s="0" t="s">
        <v>352</v>
      </c>
      <c r="I196" s="0" t="n">
        <v>1.4302922007993</v>
      </c>
      <c r="J196" s="0" t="n">
        <v>1648</v>
      </c>
      <c r="K196" s="0" t="n">
        <v>1819</v>
      </c>
      <c r="L196" s="0" t="n">
        <v>125359</v>
      </c>
      <c r="M196" s="0" t="n">
        <v>123566</v>
      </c>
      <c r="N196" s="0" t="n">
        <v>121892</v>
      </c>
      <c r="O196" s="0" t="n">
        <v>2260</v>
      </c>
      <c r="P196" s="0" t="s">
        <v>182</v>
      </c>
      <c r="Q196" s="0" t="n">
        <v>1.80282229437057</v>
      </c>
      <c r="R196" s="0" t="n">
        <v>3.34702562270041</v>
      </c>
      <c r="S196" s="0" t="n">
        <v>-42</v>
      </c>
      <c r="T196" s="0" t="n">
        <v>2724</v>
      </c>
      <c r="U196" s="0" t="n">
        <v>0</v>
      </c>
      <c r="V196" s="0" t="n">
        <v>27.508772658375</v>
      </c>
      <c r="W196" s="0" t="n">
        <v>20221231</v>
      </c>
      <c r="X196" s="0" t="n">
        <v>0.361070715672017</v>
      </c>
      <c r="Y196" s="0" t="n">
        <v>2.71</v>
      </c>
      <c r="Z196" s="0" t="s">
        <v>105</v>
      </c>
      <c r="AA196" s="0" t="n">
        <f aca="false">IF(AND(ISNUMBER(B196),B196&gt;0,ISNUMBER(U196),U196&gt;=0,ISNUMBER(O196),O196&gt;=0),1,0)</f>
        <v>1</v>
      </c>
      <c r="AB196" s="0" t="n">
        <f aca="false">IF(AA196=1,U196+O196,0)</f>
        <v>2260</v>
      </c>
      <c r="AC196" s="0" t="n">
        <f aca="false">IF(AA196=1,100*AB196/B196,"")</f>
        <v>1.24498014091412</v>
      </c>
      <c r="AD196" s="0" t="n">
        <f aca="false">IF(AND(AND(ISNUMBER(B196),B196=OriginalFinancials!B196),AND(ISNUMBER(U196),U196=OriginalFinancials!U196),AND(ISNUMBER(O196),O196=OriginalFinancials!O196)),0,1)</f>
        <v>0</v>
      </c>
      <c r="AE196" s="0" t="str">
        <f aca="false">IF(V196=0,"原始0：需核实适用/报告口径","")</f>
        <v/>
      </c>
    </row>
    <row r="197" customFormat="false" ht="15" hidden="false" customHeight="false" outlineLevel="0" collapsed="false">
      <c r="A197" s="0" t="n">
        <v>197</v>
      </c>
      <c r="B197" s="0" t="n">
        <v>185569</v>
      </c>
      <c r="C197" s="0" t="n">
        <v>29743</v>
      </c>
      <c r="D197" s="0" t="n">
        <v>165554</v>
      </c>
      <c r="E197" s="0" t="n">
        <v>0</v>
      </c>
      <c r="F197" s="0" t="n">
        <v>15292</v>
      </c>
      <c r="G197" s="0" t="n">
        <v>8.24060053133875</v>
      </c>
      <c r="H197" s="0" t="s">
        <v>353</v>
      </c>
      <c r="I197" s="0" t="n">
        <v>0.324531165486676</v>
      </c>
      <c r="J197" s="0" t="n">
        <v>22468</v>
      </c>
      <c r="K197" s="0" t="n">
        <v>20308</v>
      </c>
      <c r="L197" s="0" t="n">
        <v>123871</v>
      </c>
      <c r="M197" s="0" t="n">
        <v>123469</v>
      </c>
      <c r="N197" s="0" t="n">
        <v>81025</v>
      </c>
      <c r="O197" s="0" t="n">
        <v>643</v>
      </c>
      <c r="P197" s="0" t="s">
        <v>184</v>
      </c>
      <c r="Q197" s="0" t="n">
        <v>0.519088406487394</v>
      </c>
      <c r="R197" s="0" t="n">
        <v>2.65814854829539</v>
      </c>
      <c r="S197" s="0" t="n">
        <v>128</v>
      </c>
      <c r="T197" s="0" t="n">
        <v>910</v>
      </c>
      <c r="U197" s="0" t="n">
        <v>0</v>
      </c>
      <c r="V197" s="0" t="n">
        <v>17.815004611099</v>
      </c>
      <c r="W197" s="0" t="n">
        <v>20221231</v>
      </c>
      <c r="X197" s="0" t="n">
        <v>0.780066196271609</v>
      </c>
      <c r="Y197" s="0" t="n">
        <v>9.16</v>
      </c>
      <c r="Z197" s="0" t="s">
        <v>105</v>
      </c>
      <c r="AA197" s="0" t="n">
        <f aca="false">IF(AND(ISNUMBER(B197),B197&gt;0,ISNUMBER(U197),U197&gt;=0,ISNUMBER(O197),O197&gt;=0),1,0)</f>
        <v>1</v>
      </c>
      <c r="AB197" s="0" t="n">
        <f aca="false">IF(AA197=1,U197+O197,0)</f>
        <v>643</v>
      </c>
      <c r="AC197" s="0" t="n">
        <f aca="false">IF(AA197=1,100*AB197/B197,"")</f>
        <v>0.346501840285824</v>
      </c>
      <c r="AD197" s="0" t="n">
        <f aca="false">IF(AND(AND(ISNUMBER(B197),B197=OriginalFinancials!B197),AND(ISNUMBER(U197),U197=OriginalFinancials!U197),AND(ISNUMBER(O197),O197=OriginalFinancials!O197)),0,1)</f>
        <v>0</v>
      </c>
      <c r="AE197" s="0" t="str">
        <f aca="false">IF(V197=0,"原始0：需核实适用/报告口径","")</f>
        <v/>
      </c>
    </row>
    <row r="198" customFormat="false" ht="15" hidden="false" customHeight="false" outlineLevel="0" collapsed="false">
      <c r="A198" s="0" t="n">
        <v>198</v>
      </c>
      <c r="B198" s="0" t="n">
        <v>537395</v>
      </c>
      <c r="C198" s="0" t="n">
        <v>29744</v>
      </c>
      <c r="D198" s="0" t="n">
        <v>393417</v>
      </c>
      <c r="E198" s="0" t="n">
        <v>0</v>
      </c>
      <c r="F198" s="0" t="n">
        <v>39950</v>
      </c>
      <c r="G198" s="0" t="n">
        <v>7.43401036481545</v>
      </c>
      <c r="H198" s="0" t="s">
        <v>354</v>
      </c>
      <c r="I198" s="0" t="n">
        <v>0.890540617856086</v>
      </c>
      <c r="J198" s="0" t="n">
        <v>24059</v>
      </c>
      <c r="K198" s="0" t="n">
        <v>8168</v>
      </c>
      <c r="L198" s="0" t="n">
        <v>402003</v>
      </c>
      <c r="M198" s="0" t="n">
        <v>398423</v>
      </c>
      <c r="N198" s="0" t="n">
        <v>369776</v>
      </c>
      <c r="O198" s="0" t="n">
        <v>89</v>
      </c>
      <c r="P198" s="0" t="s">
        <v>186</v>
      </c>
      <c r="Q198" s="0" t="n">
        <v>0.0221391382651373</v>
      </c>
      <c r="R198" s="0" t="n">
        <v>3.10480213755178</v>
      </c>
      <c r="S198" s="0" t="n">
        <v>10</v>
      </c>
      <c r="T198" s="0" t="n">
        <v>13</v>
      </c>
      <c r="U198" s="0" t="n">
        <v>0</v>
      </c>
      <c r="V198" s="0" t="n">
        <v>15.5322247414502</v>
      </c>
      <c r="W198" s="0" t="n">
        <v>20221231</v>
      </c>
      <c r="X198" s="0" t="n">
        <v>-0.0975161331550553</v>
      </c>
      <c r="Y198" s="0" t="n">
        <v>-1.14</v>
      </c>
      <c r="Z198" s="0" t="s">
        <v>123</v>
      </c>
      <c r="AA198" s="0" t="n">
        <f aca="false">IF(AND(ISNUMBER(B198),B198&gt;0,ISNUMBER(U198),U198&gt;=0,ISNUMBER(O198),O198&gt;=0),1,0)</f>
        <v>1</v>
      </c>
      <c r="AB198" s="0" t="n">
        <f aca="false">IF(AA198=1,U198+O198,0)</f>
        <v>89</v>
      </c>
      <c r="AC198" s="0" t="n">
        <f aca="false">IF(AA198=1,100*AB198/B198,"")</f>
        <v>0.0165613747801896</v>
      </c>
      <c r="AD198" s="0" t="n">
        <f aca="false">IF(AND(AND(ISNUMBER(B198),B198=OriginalFinancials!B198),AND(ISNUMBER(U198),U198=OriginalFinancials!U198),AND(ISNUMBER(O198),O198=OriginalFinancials!O198)),0,1)</f>
        <v>0</v>
      </c>
      <c r="AE198" s="0" t="str">
        <f aca="false">IF(V198=0,"原始0：需核实适用/报告口径","")</f>
        <v/>
      </c>
    </row>
    <row r="199" customFormat="false" ht="15" hidden="false" customHeight="false" outlineLevel="0" collapsed="false">
      <c r="A199" s="0" t="n">
        <v>199</v>
      </c>
      <c r="B199" s="0" t="n">
        <v>551789</v>
      </c>
      <c r="C199" s="0" t="n">
        <v>30350</v>
      </c>
      <c r="D199" s="0" t="n">
        <v>463644</v>
      </c>
      <c r="E199" s="0" t="n">
        <v>0</v>
      </c>
      <c r="F199" s="0" t="n">
        <v>51142</v>
      </c>
      <c r="G199" s="0" t="n">
        <v>9.26839788397377</v>
      </c>
      <c r="H199" s="0" t="s">
        <v>355</v>
      </c>
      <c r="I199" s="0" t="n">
        <v>1.30094674495944</v>
      </c>
      <c r="J199" s="0" t="n">
        <v>16386</v>
      </c>
      <c r="K199" s="0" t="n">
        <v>1149</v>
      </c>
      <c r="L199" s="0" t="n">
        <v>392714</v>
      </c>
      <c r="M199" s="0" t="n">
        <v>387605</v>
      </c>
      <c r="N199" s="0" t="n">
        <v>373732</v>
      </c>
      <c r="O199" s="0" t="n">
        <v>1476</v>
      </c>
      <c r="P199" s="0" t="s">
        <v>188</v>
      </c>
      <c r="Q199" s="0" t="n">
        <v>0.375846035537312</v>
      </c>
      <c r="R199" s="0" t="n">
        <v>2.92072690193104</v>
      </c>
      <c r="S199" s="0" t="n">
        <v>194</v>
      </c>
      <c r="T199" s="0" t="n">
        <v>909</v>
      </c>
      <c r="U199" s="0" t="n">
        <v>0</v>
      </c>
      <c r="V199" s="0" t="n">
        <v>20.9587789111335</v>
      </c>
      <c r="W199" s="0" t="n">
        <v>20221231</v>
      </c>
      <c r="X199" s="0" t="n">
        <v>0.726111639299295</v>
      </c>
      <c r="Y199" s="0" t="n">
        <v>7.72</v>
      </c>
      <c r="Z199" s="0" t="s">
        <v>112</v>
      </c>
      <c r="AA199" s="0" t="n">
        <f aca="false">IF(AND(ISNUMBER(B199),B199&gt;0,ISNUMBER(U199),U199&gt;=0,ISNUMBER(O199),O199&gt;=0),1,0)</f>
        <v>1</v>
      </c>
      <c r="AB199" s="0" t="n">
        <f aca="false">IF(AA199=1,U199+O199,0)</f>
        <v>1476</v>
      </c>
      <c r="AC199" s="0" t="n">
        <f aca="false">IF(AA199=1,100*AB199/B199,"")</f>
        <v>0.2674935527892</v>
      </c>
      <c r="AD199" s="0" t="n">
        <f aca="false">IF(AND(AND(ISNUMBER(B199),B199=OriginalFinancials!B199),AND(ISNUMBER(U199),U199=OriginalFinancials!U199),AND(ISNUMBER(O199),O199=OriginalFinancials!O199)),0,1)</f>
        <v>0</v>
      </c>
      <c r="AE199" s="0" t="str">
        <f aca="false">IF(V199=0,"原始0：需核实适用/报告口径","")</f>
        <v/>
      </c>
    </row>
    <row r="200" customFormat="false" ht="15" hidden="false" customHeight="false" outlineLevel="0" collapsed="false">
      <c r="A200" s="0" t="n">
        <v>200</v>
      </c>
      <c r="B200" s="0" t="n">
        <v>101068</v>
      </c>
      <c r="C200" s="0" t="n">
        <v>30878</v>
      </c>
      <c r="D200" s="0" t="n">
        <v>73524</v>
      </c>
      <c r="E200" s="0" t="n">
        <v>0.08</v>
      </c>
      <c r="F200" s="0" t="n">
        <v>12458</v>
      </c>
      <c r="G200" s="0" t="n">
        <v>12.3263545335814</v>
      </c>
      <c r="H200" s="0" t="s">
        <v>356</v>
      </c>
      <c r="I200" s="0" t="n">
        <v>1.0530827159738</v>
      </c>
      <c r="J200" s="0" t="n">
        <v>0</v>
      </c>
      <c r="K200" s="0" t="n">
        <v>110</v>
      </c>
      <c r="L200" s="0" t="n">
        <v>81665</v>
      </c>
      <c r="M200" s="0" t="n">
        <v>80805</v>
      </c>
      <c r="N200" s="0" t="n">
        <v>81554</v>
      </c>
      <c r="O200" s="0" t="n">
        <v>710</v>
      </c>
      <c r="P200" s="0" t="s">
        <v>190</v>
      </c>
      <c r="Q200" s="0" t="n">
        <v>0.869405498071389</v>
      </c>
      <c r="R200" s="0" t="n">
        <v>2.2059004756858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20221231</v>
      </c>
      <c r="X200" s="0" t="n">
        <v>0.311874884536766</v>
      </c>
      <c r="Y200" s="0" t="n">
        <v>2.53</v>
      </c>
      <c r="Z200" s="0" t="s">
        <v>105</v>
      </c>
      <c r="AA200" s="0" t="n">
        <f aca="false">IF(AND(ISNUMBER(B200),B200&gt;0,ISNUMBER(U200),U200&gt;=0,ISNUMBER(O200),O200&gt;=0),1,0)</f>
        <v>1</v>
      </c>
      <c r="AB200" s="0" t="n">
        <f aca="false">IF(AA200=1,U200+O200,0)</f>
        <v>710</v>
      </c>
      <c r="AC200" s="0" t="n">
        <f aca="false">IF(AA200=1,100*AB200/B200,"")</f>
        <v>0.702497328531286</v>
      </c>
      <c r="AD200" s="0" t="n">
        <f aca="false">IF(AND(AND(ISNUMBER(B200),B200=OriginalFinancials!B200),AND(ISNUMBER(U200),U200=OriginalFinancials!U200),AND(ISNUMBER(O200),O200=OriginalFinancials!O200)),0,1)</f>
        <v>0</v>
      </c>
      <c r="AE200" s="0" t="str">
        <f aca="false">IF(V200=0,"原始0：需核实适用/报告口径","")</f>
        <v>原始0：需核实适用/报告口径</v>
      </c>
    </row>
    <row r="201" customFormat="false" ht="15" hidden="false" customHeight="false" outlineLevel="0" collapsed="false">
      <c r="A201" s="0" t="n">
        <v>201</v>
      </c>
      <c r="B201" s="0" t="n">
        <v>742176</v>
      </c>
      <c r="C201" s="0" t="n">
        <v>33418</v>
      </c>
      <c r="D201" s="0" t="n">
        <v>574586</v>
      </c>
      <c r="E201" s="0" t="n">
        <v>-0.49</v>
      </c>
      <c r="F201" s="0" t="n">
        <v>65423</v>
      </c>
      <c r="G201" s="0" t="n">
        <v>8.81502500754538</v>
      </c>
      <c r="H201" s="0" t="s">
        <v>357</v>
      </c>
      <c r="I201" s="0" t="n">
        <v>1.0614350779021</v>
      </c>
      <c r="J201" s="0" t="n">
        <v>41788</v>
      </c>
      <c r="K201" s="0" t="n">
        <v>11928</v>
      </c>
      <c r="L201" s="0" t="n">
        <v>362057</v>
      </c>
      <c r="M201" s="0" t="n">
        <v>358214</v>
      </c>
      <c r="N201" s="0" t="n">
        <v>308351</v>
      </c>
      <c r="O201" s="0" t="n">
        <v>1487</v>
      </c>
      <c r="P201" s="0" t="s">
        <v>192</v>
      </c>
      <c r="Q201" s="0" t="n">
        <v>0.410708811043565</v>
      </c>
      <c r="R201" s="0" t="n">
        <v>2.81376676100904</v>
      </c>
      <c r="S201" s="0" t="n">
        <v>-8</v>
      </c>
      <c r="T201" s="0" t="n">
        <v>238</v>
      </c>
      <c r="U201" s="0" t="n">
        <v>0</v>
      </c>
      <c r="V201" s="0" t="n">
        <v>18.7624877592514</v>
      </c>
      <c r="W201" s="0" t="n">
        <v>20221231</v>
      </c>
      <c r="X201" s="0" t="n">
        <v>1.03439074331582</v>
      </c>
      <c r="Y201" s="0" t="n">
        <v>12.66</v>
      </c>
      <c r="Z201" s="0" t="s">
        <v>112</v>
      </c>
      <c r="AA201" s="0" t="n">
        <f aca="false">IF(AND(ISNUMBER(B201),B201&gt;0,ISNUMBER(U201),U201&gt;=0,ISNUMBER(O201),O201&gt;=0),1,0)</f>
        <v>1</v>
      </c>
      <c r="AB201" s="0" t="n">
        <f aca="false">IF(AA201=1,U201+O201,0)</f>
        <v>1487</v>
      </c>
      <c r="AC201" s="0" t="n">
        <f aca="false">IF(AA201=1,100*AB201/B201,"")</f>
        <v>0.200356788686242</v>
      </c>
      <c r="AD201" s="0" t="n">
        <f aca="false">IF(AND(AND(ISNUMBER(B201),B201=OriginalFinancials!B201),AND(ISNUMBER(U201),U201=OriginalFinancials!U201),AND(ISNUMBER(O201),O201=OriginalFinancials!O201)),0,1)</f>
        <v>0</v>
      </c>
      <c r="AE201" s="0" t="str">
        <f aca="false">IF(V201=0,"原始0：需核实适用/报告口径","")</f>
        <v/>
      </c>
    </row>
    <row r="202" customFormat="false" ht="15" hidden="false" customHeight="false" outlineLevel="0" collapsed="false">
      <c r="A202" s="0" t="n">
        <v>202</v>
      </c>
      <c r="B202" s="0" t="n">
        <v>65008</v>
      </c>
      <c r="C202" s="0" t="n">
        <v>35206</v>
      </c>
      <c r="D202" s="0" t="n">
        <v>500</v>
      </c>
      <c r="E202" s="0" t="n">
        <v>0</v>
      </c>
      <c r="F202" s="0" t="n">
        <v>60620</v>
      </c>
      <c r="G202" s="0" t="n">
        <v>93.2500615308885</v>
      </c>
      <c r="H202" s="0" t="s">
        <v>358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s">
        <v>252</v>
      </c>
      <c r="Q202" s="0" t="n">
        <v>0</v>
      </c>
      <c r="R202" s="0" t="n">
        <v>4.03106585162927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20221231</v>
      </c>
      <c r="X202" s="0" t="n">
        <v>6.0520993219523</v>
      </c>
      <c r="Y202" s="0" t="n">
        <v>6.69</v>
      </c>
      <c r="Z202" s="0" t="s">
        <v>123</v>
      </c>
      <c r="AA202" s="0" t="n">
        <f aca="false">IF(AND(ISNUMBER(B202),B202&gt;0,ISNUMBER(U202),U202&gt;=0,ISNUMBER(O202),O202&gt;=0),1,0)</f>
        <v>1</v>
      </c>
      <c r="AB202" s="0" t="n">
        <f aca="false">IF(AA202=1,U202+O202,0)</f>
        <v>0</v>
      </c>
      <c r="AC202" s="0" t="n">
        <f aca="false">IF(AA202=1,100*AB202/B202,"")</f>
        <v>0</v>
      </c>
      <c r="AD202" s="0" t="n">
        <f aca="false">IF(AND(AND(ISNUMBER(B202),B202=OriginalFinancials!B202),AND(ISNUMBER(U202),U202=OriginalFinancials!U202),AND(ISNUMBER(O202),O202=OriginalFinancials!O202)),0,1)</f>
        <v>0</v>
      </c>
      <c r="AE202" s="0" t="str">
        <f aca="false">IF(V202=0,"原始0：需核实适用/报告口径","")</f>
        <v>原始0：需核实适用/报告口径</v>
      </c>
    </row>
    <row r="203" customFormat="false" ht="15" hidden="false" customHeight="false" outlineLevel="0" collapsed="false">
      <c r="A203" s="0" t="n">
        <v>203</v>
      </c>
      <c r="B203" s="0" t="n">
        <v>5662457</v>
      </c>
      <c r="C203" s="0" t="n">
        <v>4255</v>
      </c>
      <c r="D203" s="0" t="n">
        <v>4867005</v>
      </c>
      <c r="E203" s="0" t="n">
        <v>0.08</v>
      </c>
      <c r="F203" s="0" t="n">
        <v>460754</v>
      </c>
      <c r="G203" s="0" t="n">
        <v>8.13699777322812</v>
      </c>
      <c r="H203" s="0" t="s">
        <v>359</v>
      </c>
      <c r="I203" s="0" t="n">
        <v>0.919475538842749</v>
      </c>
      <c r="J203" s="0" t="n">
        <v>354169</v>
      </c>
      <c r="K203" s="0" t="n">
        <v>20661</v>
      </c>
      <c r="L203" s="0" t="n">
        <v>4015550</v>
      </c>
      <c r="M203" s="0" t="n">
        <v>3978628</v>
      </c>
      <c r="N203" s="0" t="n">
        <v>3596765</v>
      </c>
      <c r="O203" s="0" t="n">
        <v>2991</v>
      </c>
      <c r="P203" s="0" t="s">
        <v>194</v>
      </c>
      <c r="Q203" s="0" t="n">
        <v>0.074485437860318</v>
      </c>
      <c r="R203" s="0" t="n">
        <v>2.94392266172712</v>
      </c>
      <c r="S203" s="0" t="n">
        <v>764</v>
      </c>
      <c r="T203" s="0" t="n">
        <v>2554</v>
      </c>
      <c r="U203" s="0" t="n">
        <v>0</v>
      </c>
      <c r="V203" s="0" t="n">
        <v>13.0289267440629</v>
      </c>
      <c r="W203" s="0" t="n">
        <v>20221231</v>
      </c>
      <c r="X203" s="0" t="n">
        <v>1.15861850141068</v>
      </c>
      <c r="Y203" s="0" t="n">
        <v>13.19</v>
      </c>
      <c r="Z203" s="0" t="s">
        <v>105</v>
      </c>
      <c r="AA203" s="0" t="n">
        <f aca="false">IF(AND(ISNUMBER(B203),B203&gt;0,ISNUMBER(U203),U203&gt;=0,ISNUMBER(O203),O203&gt;=0),1,0)</f>
        <v>1</v>
      </c>
      <c r="AB203" s="0" t="n">
        <f aca="false">IF(AA203=1,U203+O203,0)</f>
        <v>2991</v>
      </c>
      <c r="AC203" s="0" t="n">
        <f aca="false">IF(AA203=1,100*AB203/B203,"")</f>
        <v>0.0528215931705971</v>
      </c>
      <c r="AD203" s="0" t="n">
        <f aca="false">IF(AND(AND(ISNUMBER(B203),B203=OriginalFinancials!B203),AND(ISNUMBER(U203),U203=OriginalFinancials!U203),AND(ISNUMBER(O203),O203=OriginalFinancials!O203)),0,1)</f>
        <v>0</v>
      </c>
      <c r="AE203" s="0" t="str">
        <f aca="false">IF(V203=0,"原始0：需核实适用/报告口径","")</f>
        <v/>
      </c>
    </row>
    <row r="204" customFormat="false" ht="15" hidden="false" customHeight="false" outlineLevel="0" collapsed="false">
      <c r="A204" s="0" t="n">
        <v>204</v>
      </c>
      <c r="B204" s="0" t="n">
        <v>2704047</v>
      </c>
      <c r="C204" s="0" t="n">
        <v>4256</v>
      </c>
      <c r="D204" s="0" t="n">
        <v>2379757</v>
      </c>
      <c r="E204" s="0" t="n">
        <v>0.07</v>
      </c>
      <c r="F204" s="0" t="n">
        <v>200180</v>
      </c>
      <c r="G204" s="0" t="n">
        <v>7.40297783285572</v>
      </c>
      <c r="H204" s="0" t="s">
        <v>360</v>
      </c>
      <c r="I204" s="0" t="n">
        <v>0.873286964822562</v>
      </c>
      <c r="J204" s="0" t="n">
        <v>274364</v>
      </c>
      <c r="K204" s="0" t="n">
        <v>21063</v>
      </c>
      <c r="L204" s="0" t="n">
        <v>1914949</v>
      </c>
      <c r="M204" s="0" t="n">
        <v>1898226</v>
      </c>
      <c r="N204" s="0" t="n">
        <v>1533908</v>
      </c>
      <c r="O204" s="0" t="n">
        <v>1755</v>
      </c>
      <c r="P204" s="0" t="s">
        <v>196</v>
      </c>
      <c r="Q204" s="0" t="n">
        <v>0.104284761630727</v>
      </c>
      <c r="R204" s="0" t="n">
        <v>3.11099175224319</v>
      </c>
      <c r="S204" s="0" t="n">
        <v>548</v>
      </c>
      <c r="T204" s="0" t="n">
        <v>518</v>
      </c>
      <c r="U204" s="0" t="n">
        <v>242</v>
      </c>
      <c r="V204" s="0" t="n">
        <v>13.5201318899043</v>
      </c>
      <c r="W204" s="0" t="n">
        <v>20221231</v>
      </c>
      <c r="X204" s="0" t="n">
        <v>1.53167395198859</v>
      </c>
      <c r="Y204" s="0" t="n">
        <v>19.7</v>
      </c>
      <c r="Z204" s="0" t="s">
        <v>105</v>
      </c>
      <c r="AA204" s="0" t="n">
        <f aca="false">IF(AND(ISNUMBER(B204),B204&gt;0,ISNUMBER(U204),U204&gt;=0,ISNUMBER(O204),O204&gt;=0),1,0)</f>
        <v>1</v>
      </c>
      <c r="AB204" s="0" t="n">
        <f aca="false">IF(AA204=1,U204+O204,0)</f>
        <v>1997</v>
      </c>
      <c r="AC204" s="0" t="n">
        <f aca="false">IF(AA204=1,100*AB204/B204,"")</f>
        <v>0.0738522666211053</v>
      </c>
      <c r="AD204" s="0" t="n">
        <f aca="false">IF(AND(AND(ISNUMBER(B204),B204=OriginalFinancials!B204),AND(ISNUMBER(U204),U204=OriginalFinancials!U204),AND(ISNUMBER(O204),O204=OriginalFinancials!O204)),0,1)</f>
        <v>0</v>
      </c>
      <c r="AE204" s="0" t="str">
        <f aca="false">IF(V204=0,"原始0：需核实适用/报告口径","")</f>
        <v/>
      </c>
    </row>
    <row r="205" customFormat="false" ht="15" hidden="false" customHeight="false" outlineLevel="0" collapsed="false">
      <c r="A205" s="0" t="n">
        <v>205</v>
      </c>
      <c r="B205" s="0" t="n">
        <v>654191</v>
      </c>
      <c r="C205" s="0" t="n">
        <v>59086</v>
      </c>
      <c r="D205" s="0" t="n">
        <v>564578</v>
      </c>
      <c r="E205" s="0" t="n">
        <v>0.21</v>
      </c>
      <c r="F205" s="0" t="n">
        <v>76313</v>
      </c>
      <c r="G205" s="0" t="n">
        <v>11.6652476111717</v>
      </c>
      <c r="H205" s="0" t="s">
        <v>361</v>
      </c>
      <c r="I205" s="0" t="n">
        <v>1.23568346623896</v>
      </c>
      <c r="J205" s="0" t="n">
        <v>120243</v>
      </c>
      <c r="K205" s="0" t="n">
        <v>0</v>
      </c>
      <c r="L205" s="0" t="n">
        <v>575471</v>
      </c>
      <c r="M205" s="0" t="n">
        <v>568360</v>
      </c>
      <c r="N205" s="0" t="n">
        <v>455851</v>
      </c>
      <c r="O205" s="0" t="n">
        <v>2111</v>
      </c>
      <c r="P205" s="0" t="s">
        <v>198</v>
      </c>
      <c r="Q205" s="0" t="n">
        <v>0.0592558095890149</v>
      </c>
      <c r="R205" s="0" t="n">
        <v>3.913191146591</v>
      </c>
      <c r="S205" s="0" t="n">
        <v>0</v>
      </c>
      <c r="T205" s="0" t="n">
        <v>0</v>
      </c>
      <c r="U205" s="0" t="n">
        <v>341</v>
      </c>
      <c r="V205" s="0" t="n">
        <v>13.9312588297769</v>
      </c>
      <c r="W205" s="0" t="n">
        <v>20221231</v>
      </c>
      <c r="X205" s="0" t="n">
        <v>1.57591595036138</v>
      </c>
      <c r="Y205" s="0" t="n">
        <v>15.26</v>
      </c>
      <c r="Z205" s="0" t="s">
        <v>123</v>
      </c>
      <c r="AA205" s="0" t="n">
        <f aca="false">IF(AND(ISNUMBER(B205),B205&gt;0,ISNUMBER(U205),U205&gt;=0,ISNUMBER(O205),O205&gt;=0),1,0)</f>
        <v>1</v>
      </c>
      <c r="AB205" s="0" t="n">
        <f aca="false">IF(AA205=1,U205+O205,0)</f>
        <v>2452</v>
      </c>
      <c r="AC205" s="0" t="n">
        <f aca="false">IF(AA205=1,100*AB205/B205,"")</f>
        <v>0.374814083348747</v>
      </c>
      <c r="AD205" s="0" t="n">
        <f aca="false">IF(AND(AND(ISNUMBER(B205),B205=OriginalFinancials!B205),AND(ISNUMBER(U205),U205=OriginalFinancials!U205),AND(ISNUMBER(O205),O205=OriginalFinancials!O205)),0,1)</f>
        <v>0</v>
      </c>
      <c r="AE205" s="0" t="str">
        <f aca="false">IF(V205=0,"原始0：需核实适用/报告口径","")</f>
        <v/>
      </c>
    </row>
    <row r="206" customFormat="false" ht="15" hidden="false" customHeight="false" outlineLevel="0" collapsed="false">
      <c r="A206" s="0" t="n">
        <v>206</v>
      </c>
      <c r="B206" s="0" t="n">
        <v>176672</v>
      </c>
      <c r="C206" s="0" t="n">
        <v>59176</v>
      </c>
      <c r="D206" s="0" t="n">
        <v>151831</v>
      </c>
      <c r="E206" s="0" t="n">
        <v>0.27</v>
      </c>
      <c r="F206" s="0" t="n">
        <v>23234</v>
      </c>
      <c r="G206" s="0" t="n">
        <v>13.1509237456982</v>
      </c>
      <c r="H206" s="0" t="s">
        <v>362</v>
      </c>
      <c r="I206" s="0" t="n">
        <v>0.947013237420742</v>
      </c>
      <c r="J206" s="0" t="n">
        <v>18249</v>
      </c>
      <c r="K206" s="0" t="n">
        <v>9</v>
      </c>
      <c r="L206" s="0" t="n">
        <v>134845</v>
      </c>
      <c r="M206" s="0" t="n">
        <v>133568</v>
      </c>
      <c r="N206" s="0" t="n">
        <v>116593</v>
      </c>
      <c r="O206" s="0" t="n">
        <v>0</v>
      </c>
      <c r="P206" s="0" t="s">
        <v>200</v>
      </c>
      <c r="Q206" s="0" t="n">
        <v>0</v>
      </c>
      <c r="R206" s="0" t="n">
        <v>3.22916520994023</v>
      </c>
      <c r="S206" s="0" t="n">
        <v>0</v>
      </c>
      <c r="T206" s="0" t="n">
        <v>0</v>
      </c>
      <c r="U206" s="0" t="n">
        <v>0</v>
      </c>
      <c r="V206" s="0" t="n">
        <v>18.312919218431</v>
      </c>
      <c r="W206" s="0" t="n">
        <v>20221231</v>
      </c>
      <c r="X206" s="0" t="n">
        <v>0.876801587341154</v>
      </c>
      <c r="Y206" s="0" t="n">
        <v>6.71</v>
      </c>
      <c r="Z206" s="0" t="s">
        <v>123</v>
      </c>
      <c r="AA206" s="0" t="n">
        <f aca="false">IF(AND(ISNUMBER(B206),B206&gt;0,ISNUMBER(U206),U206&gt;=0,ISNUMBER(O206),O206&gt;=0),1,0)</f>
        <v>1</v>
      </c>
      <c r="AB206" s="0" t="n">
        <f aca="false">IF(AA206=1,U206+O206,0)</f>
        <v>0</v>
      </c>
      <c r="AC206" s="0" t="n">
        <f aca="false">IF(AA206=1,100*AB206/B206,"")</f>
        <v>0</v>
      </c>
      <c r="AD206" s="0" t="n">
        <f aca="false">IF(AND(AND(ISNUMBER(B206),B206=OriginalFinancials!B206),AND(ISNUMBER(U206),U206=OriginalFinancials!U206),AND(ISNUMBER(O206),O206=OriginalFinancials!O206)),0,1)</f>
        <v>0</v>
      </c>
      <c r="AE206" s="0" t="str">
        <f aca="false">IF(V206=0,"原始0：需核实适用/报告口径","")</f>
        <v/>
      </c>
    </row>
    <row r="207" customFormat="false" ht="15" hidden="false" customHeight="false" outlineLevel="0" collapsed="false">
      <c r="A207" s="0" t="n">
        <v>207</v>
      </c>
      <c r="B207" s="0" t="n">
        <v>22693</v>
      </c>
      <c r="C207" s="0" t="n">
        <v>59289</v>
      </c>
      <c r="D207" s="0" t="n">
        <v>525</v>
      </c>
      <c r="E207" s="0" t="n">
        <v>0.22</v>
      </c>
      <c r="F207" s="0" t="n">
        <v>21542</v>
      </c>
      <c r="G207" s="0" t="n">
        <v>94.9279513506368</v>
      </c>
      <c r="H207" s="0" t="s">
        <v>363</v>
      </c>
      <c r="I207" s="0" t="n">
        <v>1.07913669064748</v>
      </c>
      <c r="J207" s="0" t="n">
        <v>1605</v>
      </c>
      <c r="K207" s="0" t="n">
        <v>0</v>
      </c>
      <c r="L207" s="0" t="n">
        <v>4726</v>
      </c>
      <c r="M207" s="0" t="n">
        <v>4675</v>
      </c>
      <c r="N207" s="0" t="n">
        <v>2961</v>
      </c>
      <c r="O207" s="0" t="n">
        <v>0</v>
      </c>
      <c r="P207" s="0" t="s">
        <v>364</v>
      </c>
      <c r="Q207" s="0" t="n">
        <v>0</v>
      </c>
      <c r="R207" s="0" t="n">
        <v>1.36841090874048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20221231</v>
      </c>
      <c r="X207" s="0" t="n">
        <v>-12.4840259110739</v>
      </c>
      <c r="Y207" s="0" t="n">
        <v>-13.15</v>
      </c>
      <c r="Z207" s="0" t="s">
        <v>123</v>
      </c>
      <c r="AA207" s="0" t="n">
        <f aca="false">IF(AND(ISNUMBER(B207),B207&gt;0,ISNUMBER(U207),U207&gt;=0,ISNUMBER(O207),O207&gt;=0),1,0)</f>
        <v>1</v>
      </c>
      <c r="AB207" s="0" t="n">
        <f aca="false">IF(AA207=1,U207+O207,0)</f>
        <v>0</v>
      </c>
      <c r="AC207" s="0" t="n">
        <f aca="false">IF(AA207=1,100*AB207/B207,"")</f>
        <v>0</v>
      </c>
      <c r="AD207" s="0" t="n">
        <f aca="false">IF(AND(AND(ISNUMBER(B207),B207=OriginalFinancials!B207),AND(ISNUMBER(U207),U207=OriginalFinancials!U207),AND(ISNUMBER(O207),O207=OriginalFinancials!O207)),0,1)</f>
        <v>0</v>
      </c>
      <c r="AE207" s="0" t="str">
        <f aca="false">IF(V207=0,"原始0：需核实适用/报告口径","")</f>
        <v>原始0：需核实适用/报告口径</v>
      </c>
    </row>
    <row r="208" customFormat="false" ht="15" hidden="false" customHeight="false" outlineLevel="0" collapsed="false">
      <c r="A208" s="0" t="n">
        <v>208</v>
      </c>
      <c r="B208" s="0" t="n">
        <v>87230</v>
      </c>
      <c r="C208" s="0" t="n">
        <v>59298</v>
      </c>
      <c r="D208" s="0" t="n">
        <v>56740</v>
      </c>
      <c r="E208" s="0" t="n">
        <v>0.36</v>
      </c>
      <c r="F208" s="0" t="n">
        <v>29627</v>
      </c>
      <c r="G208" s="0" t="n">
        <v>33.9642324888227</v>
      </c>
      <c r="H208" s="0" t="s">
        <v>365</v>
      </c>
      <c r="I208" s="0" t="n">
        <v>1.00219229564673</v>
      </c>
      <c r="J208" s="0" t="n">
        <v>6633</v>
      </c>
      <c r="K208" s="0" t="n">
        <v>0</v>
      </c>
      <c r="L208" s="0" t="n">
        <v>22351</v>
      </c>
      <c r="M208" s="0" t="n">
        <v>22127</v>
      </c>
      <c r="N208" s="0" t="n">
        <v>15722</v>
      </c>
      <c r="O208" s="0" t="n">
        <v>0</v>
      </c>
      <c r="P208" s="0" t="s">
        <v>310</v>
      </c>
      <c r="Q208" s="0" t="n">
        <v>0</v>
      </c>
      <c r="R208" s="0" t="n">
        <v>0.821136479111009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20221231</v>
      </c>
      <c r="X208" s="0" t="n">
        <v>-2.33883632131498</v>
      </c>
      <c r="Y208" s="0" t="n">
        <v>-4.87</v>
      </c>
      <c r="Z208" s="0" t="s">
        <v>112</v>
      </c>
      <c r="AA208" s="0" t="n">
        <f aca="false">IF(AND(ISNUMBER(B208),B208&gt;0,ISNUMBER(U208),U208&gt;=0,ISNUMBER(O208),O208&gt;=0),1,0)</f>
        <v>1</v>
      </c>
      <c r="AB208" s="0" t="n">
        <f aca="false">IF(AA208=1,U208+O208,0)</f>
        <v>0</v>
      </c>
      <c r="AC208" s="0" t="n">
        <f aca="false">IF(AA208=1,100*AB208/B208,"")</f>
        <v>0</v>
      </c>
      <c r="AD208" s="0" t="n">
        <f aca="false">IF(AND(AND(ISNUMBER(B208),B208=OriginalFinancials!B208),AND(ISNUMBER(U208),U208=OriginalFinancials!U208),AND(ISNUMBER(O208),O208=OriginalFinancials!O208)),0,1)</f>
        <v>0</v>
      </c>
      <c r="AE208" s="0" t="str">
        <f aca="false">IF(V208=0,"原始0：需核实适用/报告口径","")</f>
        <v>原始0：需核实适用/报告口径</v>
      </c>
    </row>
    <row r="209" customFormat="false" ht="15" hidden="false" customHeight="false" outlineLevel="0" collapsed="false">
      <c r="A209" s="0" t="n">
        <v>209</v>
      </c>
      <c r="B209" s="0" t="n">
        <v>1055421</v>
      </c>
      <c r="C209" s="0" t="n">
        <v>6271</v>
      </c>
      <c r="D209" s="0" t="n">
        <v>924344</v>
      </c>
      <c r="E209" s="0" t="n">
        <v>0.1</v>
      </c>
      <c r="F209" s="0" t="n">
        <v>87018</v>
      </c>
      <c r="G209" s="0" t="n">
        <v>8.24486152919072</v>
      </c>
      <c r="H209" s="0" t="s">
        <v>366</v>
      </c>
      <c r="I209" s="0" t="n">
        <v>1.162685136481</v>
      </c>
      <c r="J209" s="0" t="n">
        <v>116759</v>
      </c>
      <c r="K209" s="0" t="n">
        <v>3803</v>
      </c>
      <c r="L209" s="0" t="n">
        <v>749042</v>
      </c>
      <c r="M209" s="0" t="n">
        <v>740333</v>
      </c>
      <c r="N209" s="0" t="n">
        <v>589916</v>
      </c>
      <c r="O209" s="0" t="n">
        <v>7890</v>
      </c>
      <c r="P209" s="0" t="s">
        <v>202</v>
      </c>
      <c r="Q209" s="0" t="n">
        <v>1.12984318636338</v>
      </c>
      <c r="R209" s="0" t="n">
        <v>3.50957980394927</v>
      </c>
      <c r="S209" s="0" t="n">
        <v>-21</v>
      </c>
      <c r="T209" s="0" t="n">
        <v>2601</v>
      </c>
      <c r="U209" s="0" t="n">
        <v>573</v>
      </c>
      <c r="V209" s="0" t="n">
        <v>14.8923999335706</v>
      </c>
      <c r="W209" s="0" t="n">
        <v>20221231</v>
      </c>
      <c r="X209" s="0" t="n">
        <v>1.42847962432808</v>
      </c>
      <c r="Y209" s="0" t="n">
        <v>16.51</v>
      </c>
      <c r="Z209" s="0" t="s">
        <v>112</v>
      </c>
      <c r="AA209" s="0" t="n">
        <f aca="false">IF(AND(ISNUMBER(B209),B209&gt;0,ISNUMBER(U209),U209&gt;=0,ISNUMBER(O209),O209&gt;=0),1,0)</f>
        <v>1</v>
      </c>
      <c r="AB209" s="0" t="n">
        <f aca="false">IF(AA209=1,U209+O209,0)</f>
        <v>8463</v>
      </c>
      <c r="AC209" s="0" t="n">
        <f aca="false">IF(AA209=1,100*AB209/B209,"")</f>
        <v>0.801860110799387</v>
      </c>
      <c r="AD209" s="0" t="n">
        <f aca="false">IF(AND(AND(ISNUMBER(B209),B209=OriginalFinancials!B209),AND(ISNUMBER(U209),U209=OriginalFinancials!U209),AND(ISNUMBER(O209),O209=OriginalFinancials!O209)),0,1)</f>
        <v>0</v>
      </c>
      <c r="AE209" s="0" t="str">
        <f aca="false">IF(V209=0,"原始0：需核实适用/报告口径","")</f>
        <v/>
      </c>
    </row>
    <row r="210" customFormat="false" ht="15" hidden="false" customHeight="false" outlineLevel="0" collapsed="false">
      <c r="A210" s="0" t="n">
        <v>210</v>
      </c>
      <c r="B210" s="0" t="n">
        <v>534246</v>
      </c>
      <c r="C210" s="0" t="n">
        <v>6275</v>
      </c>
      <c r="D210" s="0" t="n">
        <v>499882</v>
      </c>
      <c r="E210" s="0" t="n">
        <v>-0.06</v>
      </c>
      <c r="F210" s="0" t="n">
        <v>24487</v>
      </c>
      <c r="G210" s="0" t="n">
        <v>4.58346903860768</v>
      </c>
      <c r="H210" s="0" t="s">
        <v>367</v>
      </c>
      <c r="I210" s="0" t="n">
        <v>0.903217915002237</v>
      </c>
      <c r="J210" s="0" t="n">
        <v>33759</v>
      </c>
      <c r="K210" s="0" t="n">
        <v>13570</v>
      </c>
      <c r="L210" s="0" t="n">
        <v>310667</v>
      </c>
      <c r="M210" s="0" t="n">
        <v>307861</v>
      </c>
      <c r="N210" s="0" t="n">
        <v>252290</v>
      </c>
      <c r="O210" s="0" t="n">
        <v>1436</v>
      </c>
      <c r="P210" s="0" t="s">
        <v>204</v>
      </c>
      <c r="Q210" s="0" t="n">
        <v>0.462231263700361</v>
      </c>
      <c r="R210" s="0" t="n">
        <v>2.86500169611941</v>
      </c>
      <c r="S210" s="0" t="n">
        <v>2</v>
      </c>
      <c r="T210" s="0" t="n">
        <v>237</v>
      </c>
      <c r="U210" s="0" t="n">
        <v>0</v>
      </c>
      <c r="V210" s="0" t="n">
        <v>15.6864385509914</v>
      </c>
      <c r="W210" s="0" t="n">
        <v>20221231</v>
      </c>
      <c r="X210" s="0" t="n">
        <v>0.583126084404197</v>
      </c>
      <c r="Y210" s="0" t="n">
        <v>10.62</v>
      </c>
      <c r="Z210" s="0" t="s">
        <v>112</v>
      </c>
      <c r="AA210" s="0" t="n">
        <f aca="false">IF(AND(ISNUMBER(B210),B210&gt;0,ISNUMBER(U210),U210&gt;=0,ISNUMBER(O210),O210&gt;=0),1,0)</f>
        <v>1</v>
      </c>
      <c r="AB210" s="0" t="n">
        <f aca="false">IF(AA210=1,U210+O210,0)</f>
        <v>1436</v>
      </c>
      <c r="AC210" s="0" t="n">
        <f aca="false">IF(AA210=1,100*AB210/B210,"")</f>
        <v>0.268790033055933</v>
      </c>
      <c r="AD210" s="0" t="n">
        <f aca="false">IF(AND(AND(ISNUMBER(B210),B210=OriginalFinancials!B210),AND(ISNUMBER(U210),U210=OriginalFinancials!U210),AND(ISNUMBER(O210),O210=OriginalFinancials!O210)),0,1)</f>
        <v>0</v>
      </c>
      <c r="AE210" s="0" t="str">
        <f aca="false">IF(V210=0,"原始0：需核实适用/报告口径","")</f>
        <v/>
      </c>
    </row>
    <row r="211" customFormat="false" ht="15" hidden="false" customHeight="false" outlineLevel="0" collapsed="false">
      <c r="A211" s="0" t="n">
        <v>211</v>
      </c>
      <c r="B211" s="0" t="n">
        <v>84636</v>
      </c>
      <c r="C211" s="0" t="n">
        <v>6280</v>
      </c>
      <c r="D211" s="0" t="n">
        <v>75635</v>
      </c>
      <c r="E211" s="0" t="n">
        <v>0.11</v>
      </c>
      <c r="F211" s="0" t="n">
        <v>8605</v>
      </c>
      <c r="G211" s="0" t="n">
        <v>10.1670683869748</v>
      </c>
      <c r="H211" s="0" t="s">
        <v>368</v>
      </c>
      <c r="I211" s="0" t="n">
        <v>1.30441640378549</v>
      </c>
      <c r="J211" s="0" t="n">
        <v>3426</v>
      </c>
      <c r="K211" s="0" t="n">
        <v>1765</v>
      </c>
      <c r="L211" s="0" t="n">
        <v>63400</v>
      </c>
      <c r="M211" s="0" t="n">
        <v>62573</v>
      </c>
      <c r="N211" s="0" t="n">
        <v>54882</v>
      </c>
      <c r="O211" s="0" t="n">
        <v>622</v>
      </c>
      <c r="P211" s="0" t="s">
        <v>206</v>
      </c>
      <c r="Q211" s="0" t="n">
        <v>0.981072555205047</v>
      </c>
      <c r="R211" s="0" t="n">
        <v>4.34579347751593</v>
      </c>
      <c r="S211" s="0" t="n">
        <v>78</v>
      </c>
      <c r="T211" s="0" t="n">
        <v>1116</v>
      </c>
      <c r="U211" s="0" t="n">
        <v>0</v>
      </c>
      <c r="V211" s="0" t="n">
        <v>0</v>
      </c>
      <c r="W211" s="0" t="n">
        <v>20221231</v>
      </c>
      <c r="X211" s="0" t="n">
        <v>1.43133896209814</v>
      </c>
      <c r="Y211" s="0" t="n">
        <v>14.82</v>
      </c>
      <c r="Z211" s="0" t="s">
        <v>112</v>
      </c>
      <c r="AA211" s="0" t="n">
        <f aca="false">IF(AND(ISNUMBER(B211),B211&gt;0,ISNUMBER(U211),U211&gt;=0,ISNUMBER(O211),O211&gt;=0),1,0)</f>
        <v>1</v>
      </c>
      <c r="AB211" s="0" t="n">
        <f aca="false">IF(AA211=1,U211+O211,0)</f>
        <v>622</v>
      </c>
      <c r="AC211" s="0" t="n">
        <f aca="false">IF(AA211=1,100*AB211/B211,"")</f>
        <v>0.734911857838272</v>
      </c>
      <c r="AD211" s="0" t="n">
        <f aca="false">IF(AND(AND(ISNUMBER(B211),B211=OriginalFinancials!B211),AND(ISNUMBER(U211),U211=OriginalFinancials!U211),AND(ISNUMBER(O211),O211=OriginalFinancials!O211)),0,1)</f>
        <v>0</v>
      </c>
      <c r="AE211" s="0" t="str">
        <f aca="false">IF(V211=0,"原始0：需核实适用/报告口径","")</f>
        <v>原始0：需核实适用/报告口径</v>
      </c>
    </row>
    <row r="212" customFormat="false" ht="15" hidden="false" customHeight="false" outlineLevel="0" collapsed="false">
      <c r="A212" s="0" t="n">
        <v>212</v>
      </c>
      <c r="B212" s="0" t="n">
        <v>3925512</v>
      </c>
      <c r="C212" s="0" t="n">
        <v>11971</v>
      </c>
      <c r="D212" s="0" t="n">
        <v>3061414</v>
      </c>
      <c r="E212" s="0" t="n">
        <v>0.06</v>
      </c>
      <c r="F212" s="0" t="n">
        <v>461427</v>
      </c>
      <c r="G212" s="0" t="n">
        <v>11.7545685760227</v>
      </c>
      <c r="H212" s="0" t="s">
        <v>369</v>
      </c>
      <c r="I212" s="0" t="n">
        <v>0.903626426360746</v>
      </c>
      <c r="J212" s="0" t="n">
        <v>195856</v>
      </c>
      <c r="K212" s="0" t="n">
        <v>7535</v>
      </c>
      <c r="L212" s="0" t="n">
        <v>2944469</v>
      </c>
      <c r="M212" s="0" t="n">
        <v>2917862</v>
      </c>
      <c r="N212" s="0" t="n">
        <v>2595296</v>
      </c>
      <c r="O212" s="0" t="n">
        <v>7795</v>
      </c>
      <c r="P212" s="0" t="s">
        <v>104</v>
      </c>
      <c r="Q212" s="0" t="n">
        <v>0.269420394645011</v>
      </c>
      <c r="R212" s="0" t="n">
        <v>3.62834593183597</v>
      </c>
      <c r="S212" s="0" t="n">
        <v>51</v>
      </c>
      <c r="T212" s="0" t="n">
        <v>6311</v>
      </c>
      <c r="U212" s="0" t="n">
        <v>138</v>
      </c>
      <c r="V212" s="0" t="n">
        <v>13.4222908894178</v>
      </c>
      <c r="W212" s="0" t="n">
        <v>20230331</v>
      </c>
      <c r="X212" s="0" t="n">
        <v>1.46140641727275</v>
      </c>
      <c r="Y212" s="0" t="n">
        <v>12.6</v>
      </c>
      <c r="Z212" s="0" t="s">
        <v>105</v>
      </c>
      <c r="AA212" s="0" t="n">
        <f aca="false">IF(AND(ISNUMBER(B212),B212&gt;0,ISNUMBER(U212),U212&gt;=0,ISNUMBER(O212),O212&gt;=0),1,0)</f>
        <v>1</v>
      </c>
      <c r="AB212" s="0" t="n">
        <f aca="false">IF(AA212=1,U212+O212,0)</f>
        <v>7933</v>
      </c>
      <c r="AC212" s="0" t="n">
        <f aca="false">IF(AA212=1,100*AB212/B212,"")</f>
        <v>0.202088288101017</v>
      </c>
      <c r="AD212" s="0" t="n">
        <f aca="false">IF(AND(AND(ISNUMBER(B212),B212=OriginalFinancials!B212),AND(ISNUMBER(U212),U212=OriginalFinancials!U212),AND(ISNUMBER(O212),O212=OriginalFinancials!O212)),0,1)</f>
        <v>0</v>
      </c>
      <c r="AE212" s="0" t="str">
        <f aca="false">IF(V212=0,"原始0：需核实适用/报告口径","")</f>
        <v/>
      </c>
    </row>
    <row r="213" customFormat="false" ht="15" hidden="false" customHeight="false" outlineLevel="0" collapsed="false">
      <c r="A213" s="0" t="n">
        <v>213</v>
      </c>
      <c r="B213" s="0" t="n">
        <v>980710</v>
      </c>
      <c r="C213" s="0" t="n">
        <v>12874</v>
      </c>
      <c r="D213" s="0" t="n">
        <v>858980</v>
      </c>
      <c r="E213" s="0" t="n">
        <v>-0.01</v>
      </c>
      <c r="F213" s="0" t="n">
        <v>100647</v>
      </c>
      <c r="G213" s="0" t="n">
        <v>10.2626668434094</v>
      </c>
      <c r="H213" s="0" t="s">
        <v>370</v>
      </c>
      <c r="I213" s="0" t="n">
        <v>1.02329517604435</v>
      </c>
      <c r="J213" s="0" t="n">
        <v>133780</v>
      </c>
      <c r="K213" s="0" t="n">
        <v>4939</v>
      </c>
      <c r="L213" s="0" t="n">
        <v>760973</v>
      </c>
      <c r="M213" s="0" t="n">
        <v>753186</v>
      </c>
      <c r="N213" s="0" t="n">
        <v>608741</v>
      </c>
      <c r="O213" s="0" t="n">
        <v>468</v>
      </c>
      <c r="P213" s="0" t="s">
        <v>107</v>
      </c>
      <c r="Q213" s="0" t="n">
        <v>0.0622886751566744</v>
      </c>
      <c r="R213" s="0" t="n">
        <v>3.92115359174494</v>
      </c>
      <c r="S213" s="0" t="n">
        <v>-2</v>
      </c>
      <c r="T213" s="0" t="n">
        <v>165</v>
      </c>
      <c r="U213" s="0" t="n">
        <v>6</v>
      </c>
      <c r="V213" s="0" t="n">
        <v>15.7448301196799</v>
      </c>
      <c r="W213" s="0" t="n">
        <v>20230331</v>
      </c>
      <c r="X213" s="0" t="n">
        <v>1.11202375687117</v>
      </c>
      <c r="Y213" s="0" t="n">
        <v>11.03</v>
      </c>
      <c r="Z213" s="0" t="s">
        <v>105</v>
      </c>
      <c r="AA213" s="0" t="n">
        <f aca="false">IF(AND(ISNUMBER(B213),B213&gt;0,ISNUMBER(U213),U213&gt;=0,ISNUMBER(O213),O213&gt;=0),1,0)</f>
        <v>1</v>
      </c>
      <c r="AB213" s="0" t="n">
        <f aca="false">IF(AA213=1,U213+O213,0)</f>
        <v>474</v>
      </c>
      <c r="AC213" s="0" t="n">
        <f aca="false">IF(AA213=1,100*AB213/B213,"")</f>
        <v>0.0483323306584006</v>
      </c>
      <c r="AD213" s="0" t="n">
        <f aca="false">IF(AND(AND(ISNUMBER(B213),B213=OriginalFinancials!B213),AND(ISNUMBER(U213),U213=OriginalFinancials!U213),AND(ISNUMBER(O213),O213=OriginalFinancials!O213)),0,1)</f>
        <v>0</v>
      </c>
      <c r="AE213" s="0" t="str">
        <f aca="false">IF(V213=0,"原始0：需核实适用/报告口径","")</f>
        <v/>
      </c>
    </row>
    <row r="214" customFormat="false" ht="15" hidden="false" customHeight="false" outlineLevel="0" collapsed="false">
      <c r="A214" s="0" t="n">
        <v>214</v>
      </c>
      <c r="B214" s="0" t="n">
        <v>1853851</v>
      </c>
      <c r="C214" s="0" t="n">
        <v>13063</v>
      </c>
      <c r="D214" s="0" t="n">
        <v>1620191</v>
      </c>
      <c r="E214" s="0" t="n">
        <v>0.14</v>
      </c>
      <c r="F214" s="0" t="n">
        <v>141179</v>
      </c>
      <c r="G214" s="0" t="n">
        <v>7.61544482269611</v>
      </c>
      <c r="H214" s="0" t="s">
        <v>371</v>
      </c>
      <c r="I214" s="0" t="n">
        <v>1.12301950709827</v>
      </c>
      <c r="J214" s="0" t="n">
        <v>53456</v>
      </c>
      <c r="K214" s="0" t="n">
        <v>932</v>
      </c>
      <c r="L214" s="0" t="n">
        <v>1379139</v>
      </c>
      <c r="M214" s="0" t="n">
        <v>1363651</v>
      </c>
      <c r="N214" s="0" t="n">
        <v>1316711</v>
      </c>
      <c r="O214" s="0" t="n">
        <v>519</v>
      </c>
      <c r="P214" s="0" t="s">
        <v>109</v>
      </c>
      <c r="Q214" s="0" t="n">
        <v>0.102310209485773</v>
      </c>
      <c r="R214" s="0" t="n">
        <v>3.32459574825263</v>
      </c>
      <c r="S214" s="0" t="n">
        <v>55</v>
      </c>
      <c r="T214" s="0" t="n">
        <v>1178</v>
      </c>
      <c r="U214" s="0" t="n">
        <v>892</v>
      </c>
      <c r="V214" s="0" t="n">
        <v>0</v>
      </c>
      <c r="W214" s="0" t="n">
        <v>20230331</v>
      </c>
      <c r="X214" s="0" t="n">
        <v>0.432313134919347</v>
      </c>
      <c r="Y214" s="0" t="n">
        <v>5.76</v>
      </c>
      <c r="Z214" s="0" t="s">
        <v>105</v>
      </c>
      <c r="AA214" s="0" t="n">
        <f aca="false">IF(AND(ISNUMBER(B214),B214&gt;0,ISNUMBER(U214),U214&gt;=0,ISNUMBER(O214),O214&gt;=0),1,0)</f>
        <v>1</v>
      </c>
      <c r="AB214" s="0" t="n">
        <f aca="false">IF(AA214=1,U214+O214,0)</f>
        <v>1411</v>
      </c>
      <c r="AC214" s="0" t="n">
        <f aca="false">IF(AA214=1,100*AB214/B214,"")</f>
        <v>0.0761118342304748</v>
      </c>
      <c r="AD214" s="0" t="n">
        <f aca="false">IF(AND(AND(ISNUMBER(B214),B214=OriginalFinancials!B214),AND(ISNUMBER(U214),U214=OriginalFinancials!U214),AND(ISNUMBER(O214),O214=OriginalFinancials!O214)),0,1)</f>
        <v>0</v>
      </c>
      <c r="AE214" s="0" t="str">
        <f aca="false">IF(V214=0,"原始0：需核实适用/报告口径","")</f>
        <v>原始0：需核实适用/报告口径</v>
      </c>
    </row>
    <row r="215" customFormat="false" ht="15" hidden="false" customHeight="false" outlineLevel="0" collapsed="false">
      <c r="A215" s="0" t="n">
        <v>215</v>
      </c>
      <c r="B215" s="0" t="n">
        <v>835568</v>
      </c>
      <c r="C215" s="0" t="n">
        <v>14134</v>
      </c>
      <c r="D215" s="0" t="n">
        <v>701903</v>
      </c>
      <c r="E215" s="0" t="n">
        <v>0.11</v>
      </c>
      <c r="F215" s="0" t="n">
        <v>99761</v>
      </c>
      <c r="G215" s="0" t="n">
        <v>11.939303563564</v>
      </c>
      <c r="H215" s="0" t="s">
        <v>372</v>
      </c>
      <c r="I215" s="0" t="n">
        <v>1.10966624690114</v>
      </c>
      <c r="J215" s="0" t="n">
        <v>27912</v>
      </c>
      <c r="K215" s="0" t="n">
        <v>29009</v>
      </c>
      <c r="L215" s="0" t="n">
        <v>632893</v>
      </c>
      <c r="M215" s="0" t="n">
        <v>625870</v>
      </c>
      <c r="N215" s="0" t="n">
        <v>551797</v>
      </c>
      <c r="O215" s="0" t="n">
        <v>12896</v>
      </c>
      <c r="P215" s="0" t="s">
        <v>111</v>
      </c>
      <c r="Q215" s="0" t="n">
        <v>2.03762721344682</v>
      </c>
      <c r="R215" s="0" t="n">
        <v>3.39563138167248</v>
      </c>
      <c r="S215" s="0" t="n">
        <v>397</v>
      </c>
      <c r="T215" s="0" t="n">
        <v>4692</v>
      </c>
      <c r="U215" s="0" t="n">
        <v>0</v>
      </c>
      <c r="V215" s="0" t="n">
        <v>17.7441561803976</v>
      </c>
      <c r="W215" s="0" t="n">
        <v>20230331</v>
      </c>
      <c r="X215" s="0" t="n">
        <v>0.6945112460753</v>
      </c>
      <c r="Y215" s="0" t="n">
        <v>5.89</v>
      </c>
      <c r="Z215" s="0" t="s">
        <v>112</v>
      </c>
      <c r="AA215" s="0" t="n">
        <f aca="false">IF(AND(ISNUMBER(B215),B215&gt;0,ISNUMBER(U215),U215&gt;=0,ISNUMBER(O215),O215&gt;=0),1,0)</f>
        <v>1</v>
      </c>
      <c r="AB215" s="0" t="n">
        <f aca="false">IF(AA215=1,U215+O215,0)</f>
        <v>12896</v>
      </c>
      <c r="AC215" s="0" t="n">
        <f aca="false">IF(AA215=1,100*AB215/B215,"")</f>
        <v>1.54338126878961</v>
      </c>
      <c r="AD215" s="0" t="n">
        <f aca="false">IF(AND(AND(ISNUMBER(B215),B215=OriginalFinancials!B215),AND(ISNUMBER(U215),U215=OriginalFinancials!U215),AND(ISNUMBER(O215),O215=OriginalFinancials!O215)),0,1)</f>
        <v>0</v>
      </c>
      <c r="AE215" s="0" t="str">
        <f aca="false">IF(V215=0,"原始0：需核实适用/报告口径","")</f>
        <v/>
      </c>
    </row>
    <row r="216" customFormat="false" ht="15" hidden="false" customHeight="false" outlineLevel="0" collapsed="false">
      <c r="A216" s="0" t="n">
        <v>216</v>
      </c>
      <c r="B216" s="0" t="n">
        <v>223596</v>
      </c>
      <c r="C216" s="0" t="n">
        <v>14136</v>
      </c>
      <c r="D216" s="0" t="n">
        <v>203232</v>
      </c>
      <c r="E216" s="0" t="n">
        <v>0.05</v>
      </c>
      <c r="F216" s="0" t="n">
        <v>15756</v>
      </c>
      <c r="G216" s="0" t="n">
        <v>7.04663768582622</v>
      </c>
      <c r="H216" s="0" t="s">
        <v>373</v>
      </c>
      <c r="I216" s="0" t="n">
        <v>1.31991672449688</v>
      </c>
      <c r="J216" s="0" t="n">
        <v>13072</v>
      </c>
      <c r="K216" s="0" t="n">
        <v>14836</v>
      </c>
      <c r="L216" s="0" t="n">
        <v>144100</v>
      </c>
      <c r="M216" s="0" t="n">
        <v>142198</v>
      </c>
      <c r="N216" s="0" t="n">
        <v>115852</v>
      </c>
      <c r="O216" s="0" t="n">
        <v>73</v>
      </c>
      <c r="P216" s="0" t="s">
        <v>114</v>
      </c>
      <c r="Q216" s="0" t="n">
        <v>0.228313671061763</v>
      </c>
      <c r="R216" s="0" t="n">
        <v>4.1509021946044</v>
      </c>
      <c r="S216" s="0" t="n">
        <v>6</v>
      </c>
      <c r="T216" s="0" t="n">
        <v>1355</v>
      </c>
      <c r="U216" s="0" t="n">
        <v>256</v>
      </c>
      <c r="V216" s="0" t="n">
        <v>17.6630149084257</v>
      </c>
      <c r="W216" s="0" t="n">
        <v>20230331</v>
      </c>
      <c r="X216" s="0" t="n">
        <v>0.561314041483232</v>
      </c>
      <c r="Y216" s="0" t="n">
        <v>8.35</v>
      </c>
      <c r="Z216" s="0" t="s">
        <v>112</v>
      </c>
      <c r="AA216" s="0" t="n">
        <f aca="false">IF(AND(ISNUMBER(B216),B216&gt;0,ISNUMBER(U216),U216&gt;=0,ISNUMBER(O216),O216&gt;=0),1,0)</f>
        <v>1</v>
      </c>
      <c r="AB216" s="0" t="n">
        <f aca="false">IF(AA216=1,U216+O216,0)</f>
        <v>329</v>
      </c>
      <c r="AC216" s="0" t="n">
        <f aca="false">IF(AA216=1,100*AB216/B216,"")</f>
        <v>0.147140378182078</v>
      </c>
      <c r="AD216" s="0" t="n">
        <f aca="false">IF(AND(AND(ISNUMBER(B216),B216=OriginalFinancials!B216),AND(ISNUMBER(U216),U216=OriginalFinancials!U216),AND(ISNUMBER(O216),O216=OriginalFinancials!O216)),0,1)</f>
        <v>0</v>
      </c>
      <c r="AE216" s="0" t="str">
        <f aca="false">IF(V216=0,"原始0：需核实适用/报告口径","")</f>
        <v/>
      </c>
    </row>
    <row r="217" customFormat="false" ht="15" hidden="false" customHeight="false" outlineLevel="0" collapsed="false">
      <c r="A217" s="0" t="n">
        <v>217</v>
      </c>
      <c r="B217" s="0" t="n">
        <v>1413583</v>
      </c>
      <c r="C217" s="0" t="n">
        <v>14140</v>
      </c>
      <c r="D217" s="0" t="n">
        <v>1126353</v>
      </c>
      <c r="E217" s="0" t="n">
        <v>0.04</v>
      </c>
      <c r="F217" s="0" t="n">
        <v>121200</v>
      </c>
      <c r="G217" s="0" t="n">
        <v>8.57395710050277</v>
      </c>
      <c r="H217" s="0" t="s">
        <v>374</v>
      </c>
      <c r="I217" s="0" t="n">
        <v>0.818129928334355</v>
      </c>
      <c r="J217" s="0" t="n">
        <v>88947</v>
      </c>
      <c r="K217" s="0" t="n">
        <v>1356</v>
      </c>
      <c r="L217" s="0" t="n">
        <v>993363</v>
      </c>
      <c r="M217" s="0" t="n">
        <v>985236</v>
      </c>
      <c r="N217" s="0" t="n">
        <v>890367</v>
      </c>
      <c r="O217" s="0" t="n">
        <v>2395</v>
      </c>
      <c r="P217" s="0" t="s">
        <v>116</v>
      </c>
      <c r="Q217" s="0" t="n">
        <v>0.241100181907319</v>
      </c>
      <c r="R217" s="0" t="n">
        <v>2.94879850271109</v>
      </c>
      <c r="S217" s="0" t="n">
        <v>23</v>
      </c>
      <c r="T217" s="0" t="n">
        <v>1113</v>
      </c>
      <c r="U217" s="0" t="n">
        <v>0</v>
      </c>
      <c r="V217" s="0" t="n">
        <v>0</v>
      </c>
      <c r="W217" s="0" t="n">
        <v>20230331</v>
      </c>
      <c r="X217" s="0" t="n">
        <v>0.454340029379335</v>
      </c>
      <c r="Y217" s="0" t="n">
        <v>5.46</v>
      </c>
      <c r="Z217" s="0" t="s">
        <v>112</v>
      </c>
      <c r="AA217" s="0" t="n">
        <f aca="false">IF(AND(ISNUMBER(B217),B217&gt;0,ISNUMBER(U217),U217&gt;=0,ISNUMBER(O217),O217&gt;=0),1,0)</f>
        <v>1</v>
      </c>
      <c r="AB217" s="0" t="n">
        <f aca="false">IF(AA217=1,U217+O217,0)</f>
        <v>2395</v>
      </c>
      <c r="AC217" s="0" t="n">
        <f aca="false">IF(AA217=1,100*AB217/B217,"")</f>
        <v>0.169427617621321</v>
      </c>
      <c r="AD217" s="0" t="n">
        <f aca="false">IF(AND(AND(ISNUMBER(B217),B217=OriginalFinancials!B217),AND(ISNUMBER(U217),U217=OriginalFinancials!U217),AND(ISNUMBER(O217),O217=OriginalFinancials!O217)),0,1)</f>
        <v>0</v>
      </c>
      <c r="AE217" s="0" t="str">
        <f aca="false">IF(V217=0,"原始0：需核实适用/报告口径","")</f>
        <v>原始0：需核实适用/报告口径</v>
      </c>
    </row>
    <row r="218" customFormat="false" ht="15" hidden="false" customHeight="false" outlineLevel="0" collapsed="false">
      <c r="A218" s="0" t="n">
        <v>218</v>
      </c>
      <c r="B218" s="0" t="n">
        <v>1361586</v>
      </c>
      <c r="C218" s="0" t="n">
        <v>14158</v>
      </c>
      <c r="D218" s="0" t="n">
        <v>1229192</v>
      </c>
      <c r="E218" s="0" t="n">
        <v>0.02</v>
      </c>
      <c r="F218" s="0" t="n">
        <v>76684</v>
      </c>
      <c r="G218" s="0" t="n">
        <v>5.631961550721</v>
      </c>
      <c r="H218" s="0" t="s">
        <v>375</v>
      </c>
      <c r="I218" s="0" t="n">
        <v>0.710002703211907</v>
      </c>
      <c r="J218" s="0" t="n">
        <v>41376</v>
      </c>
      <c r="K218" s="0" t="n">
        <v>2300</v>
      </c>
      <c r="L218" s="0" t="n">
        <v>976616</v>
      </c>
      <c r="M218" s="0" t="n">
        <v>969682</v>
      </c>
      <c r="N218" s="0" t="n">
        <v>836877</v>
      </c>
      <c r="O218" s="0" t="n">
        <v>2174</v>
      </c>
      <c r="P218" s="0" t="s">
        <v>118</v>
      </c>
      <c r="Q218" s="0" t="n">
        <v>0.240524423110004</v>
      </c>
      <c r="R218" s="0" t="n">
        <v>3.20763847247988</v>
      </c>
      <c r="S218" s="0" t="n">
        <v>0</v>
      </c>
      <c r="T218" s="0" t="n">
        <v>1202</v>
      </c>
      <c r="U218" s="0" t="n">
        <v>175</v>
      </c>
      <c r="V218" s="0" t="n">
        <v>13.6817856840481</v>
      </c>
      <c r="W218" s="0" t="n">
        <v>20230331</v>
      </c>
      <c r="X218" s="0" t="n">
        <v>0.950553779137124</v>
      </c>
      <c r="Y218" s="0" t="n">
        <v>17.35</v>
      </c>
      <c r="Z218" s="0" t="s">
        <v>112</v>
      </c>
      <c r="AA218" s="0" t="n">
        <f aca="false">IF(AND(ISNUMBER(B218),B218&gt;0,ISNUMBER(U218),U218&gt;=0,ISNUMBER(O218),O218&gt;=0),1,0)</f>
        <v>1</v>
      </c>
      <c r="AB218" s="0" t="n">
        <f aca="false">IF(AA218=1,U218+O218,0)</f>
        <v>2349</v>
      </c>
      <c r="AC218" s="0" t="n">
        <f aca="false">IF(AA218=1,100*AB218/B218,"")</f>
        <v>0.172519400170096</v>
      </c>
      <c r="AD218" s="0" t="n">
        <f aca="false">IF(AND(AND(ISNUMBER(B218),B218=OriginalFinancials!B218),AND(ISNUMBER(U218),U218=OriginalFinancials!U218),AND(ISNUMBER(O218),O218=OriginalFinancials!O218)),0,1)</f>
        <v>0</v>
      </c>
      <c r="AE218" s="0" t="str">
        <f aca="false">IF(V218=0,"原始0：需核实适用/报告口径","")</f>
        <v/>
      </c>
    </row>
    <row r="219" customFormat="false" ht="15" hidden="false" customHeight="false" outlineLevel="0" collapsed="false">
      <c r="A219" s="0" t="n">
        <v>219</v>
      </c>
      <c r="B219" s="0" t="n">
        <v>356091</v>
      </c>
      <c r="C219" s="0" t="n">
        <v>14168</v>
      </c>
      <c r="D219" s="0" t="n">
        <v>318086</v>
      </c>
      <c r="E219" s="0" t="n">
        <v>0.08</v>
      </c>
      <c r="F219" s="0" t="n">
        <v>33166</v>
      </c>
      <c r="G219" s="0" t="n">
        <v>9.31391133165399</v>
      </c>
      <c r="H219" s="0" t="s">
        <v>376</v>
      </c>
      <c r="I219" s="0" t="n">
        <v>1.51664848311739</v>
      </c>
      <c r="J219" s="0" t="n">
        <v>11681</v>
      </c>
      <c r="K219" s="0" t="n">
        <v>9179</v>
      </c>
      <c r="L219" s="0" t="n">
        <v>213563</v>
      </c>
      <c r="M219" s="0" t="n">
        <v>210324</v>
      </c>
      <c r="N219" s="0" t="n">
        <v>178006</v>
      </c>
      <c r="O219" s="0" t="n">
        <v>977</v>
      </c>
      <c r="P219" s="0" t="s">
        <v>120</v>
      </c>
      <c r="Q219" s="0" t="n">
        <v>0.457476248226519</v>
      </c>
      <c r="R219" s="0" t="n">
        <v>3.74117535947867</v>
      </c>
      <c r="S219" s="0" t="n">
        <v>1</v>
      </c>
      <c r="T219" s="0" t="n">
        <v>232</v>
      </c>
      <c r="U219" s="0" t="n">
        <v>0</v>
      </c>
      <c r="V219" s="0" t="n">
        <v>17.5009100837277</v>
      </c>
      <c r="W219" s="0" t="n">
        <v>20230331</v>
      </c>
      <c r="X219" s="0" t="n">
        <v>0.78798488592015</v>
      </c>
      <c r="Y219" s="0" t="n">
        <v>8.79</v>
      </c>
      <c r="Z219" s="0" t="s">
        <v>112</v>
      </c>
      <c r="AA219" s="0" t="n">
        <f aca="false">IF(AND(ISNUMBER(B219),B219&gt;0,ISNUMBER(U219),U219&gt;=0,ISNUMBER(O219),O219&gt;=0),1,0)</f>
        <v>1</v>
      </c>
      <c r="AB219" s="0" t="n">
        <f aca="false">IF(AA219=1,U219+O219,0)</f>
        <v>977</v>
      </c>
      <c r="AC219" s="0" t="n">
        <f aca="false">IF(AA219=1,100*AB219/B219,"")</f>
        <v>0.274368068836337</v>
      </c>
      <c r="AD219" s="0" t="n">
        <f aca="false">IF(AND(AND(ISNUMBER(B219),B219=OriginalFinancials!B219),AND(ISNUMBER(U219),U219=OriginalFinancials!U219),AND(ISNUMBER(O219),O219=OriginalFinancials!O219)),0,1)</f>
        <v>0</v>
      </c>
      <c r="AE219" s="0" t="str">
        <f aca="false">IF(V219=0,"原始0：需核实适用/报告口径","")</f>
        <v/>
      </c>
    </row>
    <row r="220" customFormat="false" ht="15" hidden="false" customHeight="false" outlineLevel="0" collapsed="false">
      <c r="A220" s="0" t="n">
        <v>220</v>
      </c>
      <c r="B220" s="0" t="n">
        <v>1364518</v>
      </c>
      <c r="C220" s="0" t="n">
        <v>14240</v>
      </c>
      <c r="D220" s="0" t="n">
        <v>1019790</v>
      </c>
      <c r="E220" s="0" t="n">
        <v>0</v>
      </c>
      <c r="F220" s="0" t="n">
        <v>86202</v>
      </c>
      <c r="G220" s="0" t="n">
        <v>6.31739559316916</v>
      </c>
      <c r="H220" s="0" t="s">
        <v>377</v>
      </c>
      <c r="I220" s="0" t="n">
        <v>1.1672668570719</v>
      </c>
      <c r="J220" s="0" t="n">
        <v>24984</v>
      </c>
      <c r="K220" s="0" t="n">
        <v>17932</v>
      </c>
      <c r="L220" s="0" t="n">
        <v>950254</v>
      </c>
      <c r="M220" s="0" t="n">
        <v>939162</v>
      </c>
      <c r="N220" s="0" t="n">
        <v>832225</v>
      </c>
      <c r="O220" s="0" t="n">
        <v>2251</v>
      </c>
      <c r="P220" s="0" t="s">
        <v>122</v>
      </c>
      <c r="Q220" s="0" t="n">
        <v>0.236884033111147</v>
      </c>
      <c r="R220" s="0" t="n">
        <v>2.9700610541535</v>
      </c>
      <c r="S220" s="0" t="n">
        <v>26</v>
      </c>
      <c r="T220" s="0" t="n">
        <v>2644</v>
      </c>
      <c r="U220" s="0" t="n">
        <v>0</v>
      </c>
      <c r="V220" s="0" t="n">
        <v>14.7648949355952</v>
      </c>
      <c r="W220" s="0" t="n">
        <v>20230331</v>
      </c>
      <c r="X220" s="0" t="n">
        <v>0.441424322134583</v>
      </c>
      <c r="Y220" s="0" t="n">
        <v>7.03</v>
      </c>
      <c r="Z220" s="0" t="s">
        <v>123</v>
      </c>
      <c r="AA220" s="0" t="n">
        <f aca="false">IF(AND(ISNUMBER(B220),B220&gt;0,ISNUMBER(U220),U220&gt;=0,ISNUMBER(O220),O220&gt;=0),1,0)</f>
        <v>1</v>
      </c>
      <c r="AB220" s="0" t="n">
        <f aca="false">IF(AA220=1,U220+O220,0)</f>
        <v>2251</v>
      </c>
      <c r="AC220" s="0" t="n">
        <f aca="false">IF(AA220=1,100*AB220/B220,"")</f>
        <v>0.164966676877843</v>
      </c>
      <c r="AD220" s="0" t="n">
        <f aca="false">IF(AND(AND(ISNUMBER(B220),B220=OriginalFinancials!B220),AND(ISNUMBER(U220),U220=OriginalFinancials!U220),AND(ISNUMBER(O220),O220=OriginalFinancials!O220)),0,1)</f>
        <v>0</v>
      </c>
      <c r="AE220" s="0" t="str">
        <f aca="false">IF(V220=0,"原始0：需核实适用/报告口径","")</f>
        <v/>
      </c>
    </row>
    <row r="221" customFormat="false" ht="15" hidden="false" customHeight="false" outlineLevel="0" collapsed="false">
      <c r="A221" s="0" t="n">
        <v>221</v>
      </c>
      <c r="B221" s="0" t="n">
        <v>1044604</v>
      </c>
      <c r="C221" s="0" t="n">
        <v>17115</v>
      </c>
      <c r="D221" s="0" t="n">
        <v>888210</v>
      </c>
      <c r="E221" s="0" t="n">
        <v>0.03</v>
      </c>
      <c r="F221" s="0" t="n">
        <v>82605</v>
      </c>
      <c r="G221" s="0" t="n">
        <v>7.90778132191721</v>
      </c>
      <c r="H221" s="0" t="s">
        <v>378</v>
      </c>
      <c r="I221" s="0" t="n">
        <v>1.0281384652739</v>
      </c>
      <c r="J221" s="0" t="n">
        <v>41130</v>
      </c>
      <c r="K221" s="0" t="n">
        <v>4630</v>
      </c>
      <c r="L221" s="0" t="n">
        <v>860779</v>
      </c>
      <c r="M221" s="0" t="n">
        <v>851929</v>
      </c>
      <c r="N221" s="0" t="n">
        <v>814065</v>
      </c>
      <c r="O221" s="0" t="n">
        <v>259</v>
      </c>
      <c r="P221" s="0" t="s">
        <v>125</v>
      </c>
      <c r="Q221" s="0" t="n">
        <v>0.0300890240119705</v>
      </c>
      <c r="R221" s="0" t="n">
        <v>3.14233773367192</v>
      </c>
      <c r="S221" s="0" t="n">
        <v>7</v>
      </c>
      <c r="T221" s="0" t="n">
        <v>37</v>
      </c>
      <c r="U221" s="0" t="n">
        <v>0</v>
      </c>
      <c r="V221" s="0" t="n">
        <v>13.626834654189</v>
      </c>
      <c r="W221" s="0" t="n">
        <v>20230331</v>
      </c>
      <c r="X221" s="0" t="n">
        <v>0.694447494119008</v>
      </c>
      <c r="Y221" s="0" t="n">
        <v>8.83</v>
      </c>
      <c r="Z221" s="0" t="s">
        <v>105</v>
      </c>
      <c r="AA221" s="0" t="n">
        <f aca="false">IF(AND(ISNUMBER(B221),B221&gt;0,ISNUMBER(U221),U221&gt;=0,ISNUMBER(O221),O221&gt;=0),1,0)</f>
        <v>1</v>
      </c>
      <c r="AB221" s="0" t="n">
        <f aca="false">IF(AA221=1,U221+O221,0)</f>
        <v>259</v>
      </c>
      <c r="AC221" s="0" t="n">
        <f aca="false">IF(AA221=1,100*AB221/B221,"")</f>
        <v>0.0247940846483452</v>
      </c>
      <c r="AD221" s="0" t="n">
        <f aca="false">IF(AND(AND(ISNUMBER(B221),B221=OriginalFinancials!B221),AND(ISNUMBER(U221),U221=OriginalFinancials!U221),AND(ISNUMBER(O221),O221=OriginalFinancials!O221)),0,1)</f>
        <v>0</v>
      </c>
      <c r="AE221" s="0" t="str">
        <f aca="false">IF(V221=0,"原始0：需核实适用/报告口径","")</f>
        <v/>
      </c>
    </row>
    <row r="222" customFormat="false" ht="15" hidden="false" customHeight="false" outlineLevel="0" collapsed="false">
      <c r="A222" s="0" t="n">
        <v>222</v>
      </c>
      <c r="B222" s="0" t="n">
        <v>1570158</v>
      </c>
      <c r="C222" s="0" t="n">
        <v>17180</v>
      </c>
      <c r="D222" s="0" t="n">
        <v>1147694</v>
      </c>
      <c r="E222" s="0" t="n">
        <v>0.11</v>
      </c>
      <c r="F222" s="0" t="n">
        <v>131076</v>
      </c>
      <c r="G222" s="0" t="n">
        <v>8.34794969678211</v>
      </c>
      <c r="H222" s="0" t="s">
        <v>379</v>
      </c>
      <c r="I222" s="0" t="n">
        <v>0.942880578148849</v>
      </c>
      <c r="J222" s="0" t="n">
        <v>49856</v>
      </c>
      <c r="K222" s="0" t="n">
        <v>201536</v>
      </c>
      <c r="L222" s="0" t="n">
        <v>1410571</v>
      </c>
      <c r="M222" s="0" t="n">
        <v>1397271</v>
      </c>
      <c r="N222" s="0" t="n">
        <v>1135680</v>
      </c>
      <c r="O222" s="0" t="n">
        <v>4701</v>
      </c>
      <c r="P222" s="0" t="s">
        <v>127</v>
      </c>
      <c r="Q222" s="0" t="n">
        <v>0.333269293073514</v>
      </c>
      <c r="R222" s="0" t="n">
        <v>3.04575475622422</v>
      </c>
      <c r="S222" s="0" t="n">
        <v>72</v>
      </c>
      <c r="T222" s="0" t="n">
        <v>1615</v>
      </c>
      <c r="U222" s="0" t="n">
        <v>0</v>
      </c>
      <c r="V222" s="0" t="n">
        <v>13.7737837295927</v>
      </c>
      <c r="W222" s="0" t="n">
        <v>20230331</v>
      </c>
      <c r="X222" s="0" t="n">
        <v>0.508991402284762</v>
      </c>
      <c r="Y222" s="0" t="n">
        <v>6.14</v>
      </c>
      <c r="Z222" s="0" t="s">
        <v>123</v>
      </c>
      <c r="AA222" s="0" t="n">
        <f aca="false">IF(AND(ISNUMBER(B222),B222&gt;0,ISNUMBER(U222),U222&gt;=0,ISNUMBER(O222),O222&gt;=0),1,0)</f>
        <v>1</v>
      </c>
      <c r="AB222" s="0" t="n">
        <f aca="false">IF(AA222=1,U222+O222,0)</f>
        <v>4701</v>
      </c>
      <c r="AC222" s="0" t="n">
        <f aca="false">IF(AA222=1,100*AB222/B222,"")</f>
        <v>0.299396621231749</v>
      </c>
      <c r="AD222" s="0" t="n">
        <f aca="false">IF(AND(AND(ISNUMBER(B222),B222=OriginalFinancials!B222),AND(ISNUMBER(U222),U222=OriginalFinancials!U222),AND(ISNUMBER(O222),O222=OriginalFinancials!O222)),0,1)</f>
        <v>0</v>
      </c>
      <c r="AE222" s="0" t="str">
        <f aca="false">IF(V222=0,"原始0：需核实适用/报告口径","")</f>
        <v/>
      </c>
    </row>
    <row r="223" customFormat="false" ht="15" hidden="false" customHeight="false" outlineLevel="0" collapsed="false">
      <c r="A223" s="0" t="n">
        <v>223</v>
      </c>
      <c r="B223" s="0" t="n">
        <v>371402</v>
      </c>
      <c r="C223" s="0" t="n">
        <v>17443</v>
      </c>
      <c r="D223" s="0" t="n">
        <v>330910</v>
      </c>
      <c r="E223" s="0" t="n">
        <v>0.04</v>
      </c>
      <c r="F223" s="0" t="n">
        <v>39228</v>
      </c>
      <c r="G223" s="0" t="n">
        <v>10.5621402146461</v>
      </c>
      <c r="H223" s="0" t="s">
        <v>380</v>
      </c>
      <c r="I223" s="0" t="n">
        <v>0.829746234744845</v>
      </c>
      <c r="J223" s="0" t="n">
        <v>0</v>
      </c>
      <c r="K223" s="0" t="n">
        <v>927</v>
      </c>
      <c r="L223" s="0" t="n">
        <v>208618</v>
      </c>
      <c r="M223" s="0" t="n">
        <v>206887</v>
      </c>
      <c r="N223" s="0" t="n">
        <v>206692</v>
      </c>
      <c r="O223" s="0" t="n">
        <v>250</v>
      </c>
      <c r="P223" s="0" t="s">
        <v>129</v>
      </c>
      <c r="Q223" s="0" t="n">
        <v>0.119836255740157</v>
      </c>
      <c r="R223" s="0" t="n">
        <v>1.74122890578543</v>
      </c>
      <c r="S223" s="0" t="n">
        <v>0</v>
      </c>
      <c r="T223" s="0" t="n">
        <v>520</v>
      </c>
      <c r="U223" s="0" t="n">
        <v>0</v>
      </c>
      <c r="V223" s="0" t="n">
        <v>0</v>
      </c>
      <c r="W223" s="0" t="n">
        <v>20230331</v>
      </c>
      <c r="X223" s="0" t="n">
        <v>0.103141153187208</v>
      </c>
      <c r="Y223" s="0" t="n">
        <v>1</v>
      </c>
      <c r="Z223" s="0" t="s">
        <v>123</v>
      </c>
      <c r="AA223" s="0" t="n">
        <f aca="false">IF(AND(ISNUMBER(B223),B223&gt;0,ISNUMBER(U223),U223&gt;=0,ISNUMBER(O223),O223&gt;=0),1,0)</f>
        <v>1</v>
      </c>
      <c r="AB223" s="0" t="n">
        <f aca="false">IF(AA223=1,U223+O223,0)</f>
        <v>250</v>
      </c>
      <c r="AC223" s="0" t="n">
        <f aca="false">IF(AA223=1,100*AB223/B223,"")</f>
        <v>0.0673125077409384</v>
      </c>
      <c r="AD223" s="0" t="n">
        <f aca="false">IF(AND(AND(ISNUMBER(B223),B223=OriginalFinancials!B223),AND(ISNUMBER(U223),U223=OriginalFinancials!U223),AND(ISNUMBER(O223),O223=OriginalFinancials!O223)),0,1)</f>
        <v>0</v>
      </c>
      <c r="AE223" s="0" t="str">
        <f aca="false">IF(V223=0,"原始0：需核实适用/报告口径","")</f>
        <v>原始0：需核实适用/报告口径</v>
      </c>
    </row>
    <row r="224" customFormat="false" ht="15" hidden="false" customHeight="false" outlineLevel="0" collapsed="false">
      <c r="A224" s="0" t="n">
        <v>224</v>
      </c>
      <c r="B224" s="0" t="n">
        <v>1830565</v>
      </c>
      <c r="C224" s="0" t="n">
        <v>17658</v>
      </c>
      <c r="D224" s="0" t="n">
        <v>1563995</v>
      </c>
      <c r="E224" s="0" t="n">
        <v>0.02</v>
      </c>
      <c r="F224" s="0" t="n">
        <v>199630</v>
      </c>
      <c r="G224" s="0" t="n">
        <v>10.9053762089847</v>
      </c>
      <c r="H224" s="0" t="s">
        <v>381</v>
      </c>
      <c r="I224" s="0" t="n">
        <v>0.603288542624123</v>
      </c>
      <c r="J224" s="0" t="n">
        <v>89661</v>
      </c>
      <c r="K224" s="0" t="n">
        <v>67833</v>
      </c>
      <c r="L224" s="0" t="n">
        <v>1233738</v>
      </c>
      <c r="M224" s="0" t="n">
        <v>1226295</v>
      </c>
      <c r="N224" s="0" t="n">
        <v>1063253</v>
      </c>
      <c r="O224" s="0" t="n">
        <v>672</v>
      </c>
      <c r="P224" s="0" t="s">
        <v>131</v>
      </c>
      <c r="Q224" s="0" t="n">
        <v>0.0544686148923029</v>
      </c>
      <c r="R224" s="0" t="n">
        <v>3.49825185127277</v>
      </c>
      <c r="S224" s="0" t="n">
        <v>-7</v>
      </c>
      <c r="T224" s="0" t="n">
        <v>1867</v>
      </c>
      <c r="U224" s="0" t="n">
        <v>0</v>
      </c>
      <c r="V224" s="0" t="n">
        <v>0</v>
      </c>
      <c r="W224" s="0" t="n">
        <v>20230331</v>
      </c>
      <c r="X224" s="0" t="n">
        <v>1.0847005861763</v>
      </c>
      <c r="Y224" s="0" t="n">
        <v>10.15</v>
      </c>
      <c r="Z224" s="0" t="s">
        <v>105</v>
      </c>
      <c r="AA224" s="0" t="n">
        <f aca="false">IF(AND(ISNUMBER(B224),B224&gt;0,ISNUMBER(U224),U224&gt;=0,ISNUMBER(O224),O224&gt;=0),1,0)</f>
        <v>1</v>
      </c>
      <c r="AB224" s="0" t="n">
        <f aca="false">IF(AA224=1,U224+O224,0)</f>
        <v>672</v>
      </c>
      <c r="AC224" s="0" t="n">
        <f aca="false">IF(AA224=1,100*AB224/B224,"")</f>
        <v>0.0367099775206016</v>
      </c>
      <c r="AD224" s="0" t="n">
        <f aca="false">IF(AND(AND(ISNUMBER(B224),B224=OriginalFinancials!B224),AND(ISNUMBER(U224),U224=OriginalFinancials!U224),AND(ISNUMBER(O224),O224=OriginalFinancials!O224)),0,1)</f>
        <v>0</v>
      </c>
      <c r="AE224" s="0" t="str">
        <f aca="false">IF(V224=0,"原始0：需核实适用/报告口径","")</f>
        <v>原始0：需核实适用/报告口径</v>
      </c>
    </row>
    <row r="225" customFormat="false" ht="15" hidden="false" customHeight="false" outlineLevel="0" collapsed="false">
      <c r="A225" s="0" t="n">
        <v>225</v>
      </c>
      <c r="B225" s="0" t="n">
        <v>1010266</v>
      </c>
      <c r="C225" s="0" t="n">
        <v>17741</v>
      </c>
      <c r="D225" s="0" t="n">
        <v>833199</v>
      </c>
      <c r="E225" s="0" t="n">
        <v>0.04</v>
      </c>
      <c r="F225" s="0" t="n">
        <v>132521</v>
      </c>
      <c r="G225" s="0" t="n">
        <v>13.1174363979388</v>
      </c>
      <c r="H225" s="0" t="s">
        <v>382</v>
      </c>
      <c r="I225" s="0" t="n">
        <v>0.970167411442848</v>
      </c>
      <c r="J225" s="0" t="n">
        <v>43923</v>
      </c>
      <c r="K225" s="0" t="n">
        <v>3582</v>
      </c>
      <c r="L225" s="0" t="n">
        <v>842535</v>
      </c>
      <c r="M225" s="0" t="n">
        <v>834361</v>
      </c>
      <c r="N225" s="0" t="n">
        <v>791960</v>
      </c>
      <c r="O225" s="0" t="n">
        <v>1676</v>
      </c>
      <c r="P225" s="0" t="s">
        <v>133</v>
      </c>
      <c r="Q225" s="0" t="n">
        <v>0.198923486858113</v>
      </c>
      <c r="R225" s="0" t="n">
        <v>3.62976174766622</v>
      </c>
      <c r="S225" s="0" t="n">
        <v>-2</v>
      </c>
      <c r="T225" s="0" t="n">
        <v>2512</v>
      </c>
      <c r="U225" s="0" t="n">
        <v>0</v>
      </c>
      <c r="V225" s="0" t="n">
        <v>0</v>
      </c>
      <c r="W225" s="0" t="n">
        <v>20230331</v>
      </c>
      <c r="X225" s="0" t="n">
        <v>0.783895202662623</v>
      </c>
      <c r="Y225" s="0" t="n">
        <v>6.01</v>
      </c>
      <c r="Z225" s="0" t="s">
        <v>105</v>
      </c>
      <c r="AA225" s="0" t="n">
        <f aca="false">IF(AND(ISNUMBER(B225),B225&gt;0,ISNUMBER(U225),U225&gt;=0,ISNUMBER(O225),O225&gt;=0),1,0)</f>
        <v>1</v>
      </c>
      <c r="AB225" s="0" t="n">
        <f aca="false">IF(AA225=1,U225+O225,0)</f>
        <v>1676</v>
      </c>
      <c r="AC225" s="0" t="n">
        <f aca="false">IF(AA225=1,100*AB225/B225,"")</f>
        <v>0.165896902399962</v>
      </c>
      <c r="AD225" s="0" t="n">
        <f aca="false">IF(AND(AND(ISNUMBER(B225),B225=OriginalFinancials!B225),AND(ISNUMBER(U225),U225=OriginalFinancials!U225),AND(ISNUMBER(O225),O225=OriginalFinancials!O225)),0,1)</f>
        <v>0</v>
      </c>
      <c r="AE225" s="0" t="str">
        <f aca="false">IF(V225=0,"原始0：需核实适用/报告口径","")</f>
        <v>原始0：需核实适用/报告口径</v>
      </c>
    </row>
    <row r="226" customFormat="false" ht="15" hidden="false" customHeight="false" outlineLevel="0" collapsed="false">
      <c r="A226" s="0" t="n">
        <v>226</v>
      </c>
      <c r="B226" s="0" t="n">
        <v>1303794</v>
      </c>
      <c r="C226" s="0" t="n">
        <v>17743</v>
      </c>
      <c r="D226" s="0" t="n">
        <v>997602</v>
      </c>
      <c r="E226" s="0" t="n">
        <v>0</v>
      </c>
      <c r="F226" s="0" t="n">
        <v>122164</v>
      </c>
      <c r="G226" s="0" t="n">
        <v>9.36988511988857</v>
      </c>
      <c r="H226" s="0" t="s">
        <v>383</v>
      </c>
      <c r="I226" s="0" t="n">
        <v>0.466605826578003</v>
      </c>
      <c r="J226" s="0" t="n">
        <v>10295</v>
      </c>
      <c r="K226" s="0" t="n">
        <v>7106</v>
      </c>
      <c r="L226" s="0" t="n">
        <v>1009203</v>
      </c>
      <c r="M226" s="0" t="n">
        <v>1004494</v>
      </c>
      <c r="N226" s="0" t="n">
        <v>979266</v>
      </c>
      <c r="O226" s="0" t="n">
        <v>2506</v>
      </c>
      <c r="P226" s="0" t="s">
        <v>135</v>
      </c>
      <c r="Q226" s="0" t="n">
        <v>0.248314759270434</v>
      </c>
      <c r="R226" s="0" t="n">
        <v>2.16823970331417</v>
      </c>
      <c r="S226" s="0" t="n">
        <v>-13</v>
      </c>
      <c r="T226" s="0" t="n">
        <v>3655</v>
      </c>
      <c r="U226" s="0" t="n">
        <v>0</v>
      </c>
      <c r="V226" s="0" t="n">
        <v>0</v>
      </c>
      <c r="W226" s="0" t="n">
        <v>20230331</v>
      </c>
      <c r="X226" s="0" t="n">
        <v>0.0852661622010452</v>
      </c>
      <c r="Y226" s="0" t="n">
        <v>0.91</v>
      </c>
      <c r="Z226" s="0" t="s">
        <v>105</v>
      </c>
      <c r="AA226" s="0" t="n">
        <f aca="false">IF(AND(ISNUMBER(B226),B226&gt;0,ISNUMBER(U226),U226&gt;=0,ISNUMBER(O226),O226&gt;=0),1,0)</f>
        <v>1</v>
      </c>
      <c r="AB226" s="0" t="n">
        <f aca="false">IF(AA226=1,U226+O226,0)</f>
        <v>2506</v>
      </c>
      <c r="AC226" s="0" t="n">
        <f aca="false">IF(AA226=1,100*AB226/B226,"")</f>
        <v>0.192208278301634</v>
      </c>
      <c r="AD226" s="0" t="n">
        <f aca="false">IF(AND(AND(ISNUMBER(B226),B226=OriginalFinancials!B226),AND(ISNUMBER(U226),U226=OriginalFinancials!U226),AND(ISNUMBER(O226),O226=OriginalFinancials!O226)),0,1)</f>
        <v>0</v>
      </c>
      <c r="AE226" s="0" t="str">
        <f aca="false">IF(V226=0,"原始0：需核实适用/报告口径","")</f>
        <v>原始0：需核实适用/报告口径</v>
      </c>
    </row>
    <row r="227" customFormat="false" ht="15" hidden="false" customHeight="false" outlineLevel="0" collapsed="false">
      <c r="A227" s="0" t="n">
        <v>227</v>
      </c>
      <c r="B227" s="0" t="n">
        <v>1649776</v>
      </c>
      <c r="C227" s="0" t="n">
        <v>17748</v>
      </c>
      <c r="D227" s="0" t="n">
        <v>1413359</v>
      </c>
      <c r="E227" s="0" t="n">
        <v>0.2</v>
      </c>
      <c r="F227" s="0" t="n">
        <v>110285</v>
      </c>
      <c r="G227" s="0" t="n">
        <v>6.68484691255055</v>
      </c>
      <c r="H227" s="0" t="s">
        <v>384</v>
      </c>
      <c r="I227" s="0" t="n">
        <v>0.788861658196826</v>
      </c>
      <c r="J227" s="0" t="n">
        <v>161096</v>
      </c>
      <c r="K227" s="0" t="n">
        <v>3255</v>
      </c>
      <c r="L227" s="0" t="n">
        <v>1247367</v>
      </c>
      <c r="M227" s="0" t="n">
        <v>1237527</v>
      </c>
      <c r="N227" s="0" t="n">
        <v>1051242</v>
      </c>
      <c r="O227" s="0" t="n">
        <v>6401</v>
      </c>
      <c r="P227" s="0" t="s">
        <v>137</v>
      </c>
      <c r="Q227" s="0" t="n">
        <v>0.513160922166451</v>
      </c>
      <c r="R227" s="0" t="n">
        <v>2.55248226856839</v>
      </c>
      <c r="S227" s="0" t="n">
        <v>1111</v>
      </c>
      <c r="T227" s="0" t="n">
        <v>2887</v>
      </c>
      <c r="U227" s="0" t="n">
        <v>0</v>
      </c>
      <c r="V227" s="0" t="n">
        <v>0</v>
      </c>
      <c r="W227" s="0" t="n">
        <v>20230331</v>
      </c>
      <c r="X227" s="0" t="n">
        <v>0.111242080447915</v>
      </c>
      <c r="Y227" s="0" t="n">
        <v>1.67</v>
      </c>
      <c r="Z227" s="0" t="s">
        <v>105</v>
      </c>
      <c r="AA227" s="0" t="n">
        <f aca="false">IF(AND(ISNUMBER(B227),B227&gt;0,ISNUMBER(U227),U227&gt;=0,ISNUMBER(O227),O227&gt;=0),1,0)</f>
        <v>1</v>
      </c>
      <c r="AB227" s="0" t="n">
        <f aca="false">IF(AA227=1,U227+O227,0)</f>
        <v>6401</v>
      </c>
      <c r="AC227" s="0" t="n">
        <f aca="false">IF(AA227=1,100*AB227/B227,"")</f>
        <v>0.387992066801796</v>
      </c>
      <c r="AD227" s="0" t="n">
        <f aca="false">IF(AND(AND(ISNUMBER(B227),B227=OriginalFinancials!B227),AND(ISNUMBER(U227),U227=OriginalFinancials!U227),AND(ISNUMBER(O227),O227=OriginalFinancials!O227)),0,1)</f>
        <v>0</v>
      </c>
      <c r="AE227" s="0" t="str">
        <f aca="false">IF(V227=0,"原始0：需核实适用/报告口径","")</f>
        <v>原始0：需核实适用/报告口径</v>
      </c>
    </row>
    <row r="228" customFormat="false" ht="15" hidden="false" customHeight="false" outlineLevel="0" collapsed="false">
      <c r="A228" s="0" t="n">
        <v>228</v>
      </c>
      <c r="B228" s="0" t="n">
        <v>1286254</v>
      </c>
      <c r="C228" s="0" t="n">
        <v>17749</v>
      </c>
      <c r="D228" s="0" t="n">
        <v>1024638</v>
      </c>
      <c r="E228" s="0" t="n">
        <v>0.05</v>
      </c>
      <c r="F228" s="0" t="n">
        <v>162250</v>
      </c>
      <c r="G228" s="0" t="n">
        <v>12.6141493048807</v>
      </c>
      <c r="H228" s="0" t="s">
        <v>385</v>
      </c>
      <c r="I228" s="0" t="n">
        <v>1.44066256041747</v>
      </c>
      <c r="J228" s="0" t="n">
        <v>49547</v>
      </c>
      <c r="K228" s="0" t="n">
        <v>9780</v>
      </c>
      <c r="L228" s="0" t="n">
        <v>748128</v>
      </c>
      <c r="M228" s="0" t="n">
        <v>737350</v>
      </c>
      <c r="N228" s="0" t="n">
        <v>677598</v>
      </c>
      <c r="O228" s="0" t="n">
        <v>210</v>
      </c>
      <c r="P228" s="0" t="s">
        <v>139</v>
      </c>
      <c r="Q228" s="0" t="n">
        <v>0.0280700628769408</v>
      </c>
      <c r="R228" s="0" t="n">
        <v>2.98792967429749</v>
      </c>
      <c r="S228" s="0" t="n">
        <v>7</v>
      </c>
      <c r="T228" s="0" t="n">
        <v>1358</v>
      </c>
      <c r="U228" s="0" t="n">
        <v>0</v>
      </c>
      <c r="V228" s="0" t="n">
        <v>0</v>
      </c>
      <c r="W228" s="0" t="n">
        <v>20230331</v>
      </c>
      <c r="X228" s="0" t="n">
        <v>1.31710105122298</v>
      </c>
      <c r="Y228" s="0" t="n">
        <v>10.8</v>
      </c>
      <c r="Z228" s="0" t="s">
        <v>105</v>
      </c>
      <c r="AA228" s="0" t="n">
        <f aca="false">IF(AND(ISNUMBER(B228),B228&gt;0,ISNUMBER(U228),U228&gt;=0,ISNUMBER(O228),O228&gt;=0),1,0)</f>
        <v>1</v>
      </c>
      <c r="AB228" s="0" t="n">
        <f aca="false">IF(AA228=1,U228+O228,0)</f>
        <v>210</v>
      </c>
      <c r="AC228" s="0" t="n">
        <f aca="false">IF(AA228=1,100*AB228/B228,"")</f>
        <v>0.0163264798399072</v>
      </c>
      <c r="AD228" s="0" t="n">
        <f aca="false">IF(AND(AND(ISNUMBER(B228),B228=OriginalFinancials!B228),AND(ISNUMBER(U228),U228=OriginalFinancials!U228),AND(ISNUMBER(O228),O228=OriginalFinancials!O228)),0,1)</f>
        <v>0</v>
      </c>
      <c r="AE228" s="0" t="str">
        <f aca="false">IF(V228=0,"原始0：需核实适用/报告口径","")</f>
        <v>原始0：需核实适用/报告口径</v>
      </c>
    </row>
    <row r="229" customFormat="false" ht="15" hidden="false" customHeight="false" outlineLevel="0" collapsed="false">
      <c r="A229" s="0" t="n">
        <v>229</v>
      </c>
      <c r="B229" s="0" t="n">
        <v>1498353</v>
      </c>
      <c r="C229" s="0" t="n">
        <v>17751</v>
      </c>
      <c r="D229" s="0" t="n">
        <v>1191607</v>
      </c>
      <c r="E229" s="0" t="n">
        <v>0.08</v>
      </c>
      <c r="F229" s="0" t="n">
        <v>129181</v>
      </c>
      <c r="G229" s="0" t="n">
        <v>8.62153311002147</v>
      </c>
      <c r="H229" s="0" t="s">
        <v>386</v>
      </c>
      <c r="I229" s="0" t="n">
        <v>0.943414113785107</v>
      </c>
      <c r="J229" s="0" t="n">
        <v>113658</v>
      </c>
      <c r="K229" s="0" t="n">
        <v>1501</v>
      </c>
      <c r="L229" s="0" t="n">
        <v>1213041</v>
      </c>
      <c r="M229" s="0" t="n">
        <v>1201597</v>
      </c>
      <c r="N229" s="0" t="n">
        <v>1050455</v>
      </c>
      <c r="O229" s="0" t="n">
        <v>2844</v>
      </c>
      <c r="P229" s="0" t="s">
        <v>141</v>
      </c>
      <c r="Q229" s="0" t="n">
        <v>0.23445209189137</v>
      </c>
      <c r="R229" s="0" t="n">
        <v>3.21523746744756</v>
      </c>
      <c r="S229" s="0" t="n">
        <v>4071</v>
      </c>
      <c r="T229" s="0" t="n">
        <v>2201</v>
      </c>
      <c r="U229" s="0" t="n">
        <v>0</v>
      </c>
      <c r="V229" s="0" t="n">
        <v>13.1459416871701</v>
      </c>
      <c r="W229" s="0" t="n">
        <v>20230331</v>
      </c>
      <c r="X229" s="0" t="n">
        <v>0.577400064916807</v>
      </c>
      <c r="Y229" s="0" t="n">
        <v>6.69</v>
      </c>
      <c r="Z229" s="0" t="s">
        <v>105</v>
      </c>
      <c r="AA229" s="0" t="n">
        <f aca="false">IF(AND(ISNUMBER(B229),B229&gt;0,ISNUMBER(U229),U229&gt;=0,ISNUMBER(O229),O229&gt;=0),1,0)</f>
        <v>1</v>
      </c>
      <c r="AB229" s="0" t="n">
        <f aca="false">IF(AA229=1,U229+O229,0)</f>
        <v>2844</v>
      </c>
      <c r="AC229" s="0" t="n">
        <f aca="false">IF(AA229=1,100*AB229/B229,"")</f>
        <v>0.189808409633778</v>
      </c>
      <c r="AD229" s="0" t="n">
        <f aca="false">IF(AND(AND(ISNUMBER(B229),B229=OriginalFinancials!B229),AND(ISNUMBER(U229),U229=OriginalFinancials!U229),AND(ISNUMBER(O229),O229=OriginalFinancials!O229)),0,1)</f>
        <v>0</v>
      </c>
      <c r="AE229" s="0" t="str">
        <f aca="false">IF(V229=0,"原始0：需核实适用/报告口径","")</f>
        <v/>
      </c>
    </row>
    <row r="230" customFormat="false" ht="15" hidden="false" customHeight="false" outlineLevel="0" collapsed="false">
      <c r="A230" s="0" t="n">
        <v>230</v>
      </c>
      <c r="B230" s="0" t="n">
        <v>1665050</v>
      </c>
      <c r="C230" s="0" t="n">
        <v>17897</v>
      </c>
      <c r="D230" s="0" t="n">
        <v>1329955</v>
      </c>
      <c r="E230" s="0" t="n">
        <v>-0.05</v>
      </c>
      <c r="F230" s="0" t="n">
        <v>200040</v>
      </c>
      <c r="G230" s="0" t="n">
        <v>12.0140536320231</v>
      </c>
      <c r="H230" s="0" t="s">
        <v>387</v>
      </c>
      <c r="I230" s="0" t="n">
        <v>0.602990045042801</v>
      </c>
      <c r="J230" s="0" t="n">
        <v>69971</v>
      </c>
      <c r="K230" s="0" t="n">
        <v>3501</v>
      </c>
      <c r="L230" s="0" t="n">
        <v>1405330</v>
      </c>
      <c r="M230" s="0" t="n">
        <v>1396856</v>
      </c>
      <c r="N230" s="0" t="n">
        <v>1322849</v>
      </c>
      <c r="O230" s="0" t="n">
        <v>3806</v>
      </c>
      <c r="P230" s="0" t="s">
        <v>143</v>
      </c>
      <c r="Q230" s="0" t="n">
        <v>0.271964591946375</v>
      </c>
      <c r="R230" s="0" t="n">
        <v>2.67608748065265</v>
      </c>
      <c r="S230" s="0" t="n">
        <v>-101</v>
      </c>
      <c r="T230" s="0" t="n">
        <v>1292</v>
      </c>
      <c r="U230" s="0" t="n">
        <v>16</v>
      </c>
      <c r="V230" s="0" t="n">
        <v>0</v>
      </c>
      <c r="W230" s="0" t="n">
        <v>20230331</v>
      </c>
      <c r="X230" s="0" t="n">
        <v>0.65685021685254</v>
      </c>
      <c r="Y230" s="0" t="n">
        <v>5.48</v>
      </c>
      <c r="Z230" s="0" t="s">
        <v>105</v>
      </c>
      <c r="AA230" s="0" t="n">
        <f aca="false">IF(AND(ISNUMBER(B230),B230&gt;0,ISNUMBER(U230),U230&gt;=0,ISNUMBER(O230),O230&gt;=0),1,0)</f>
        <v>1</v>
      </c>
      <c r="AB230" s="0" t="n">
        <f aca="false">IF(AA230=1,U230+O230,0)</f>
        <v>3822</v>
      </c>
      <c r="AC230" s="0" t="n">
        <f aca="false">IF(AA230=1,100*AB230/B230,"")</f>
        <v>0.229542656376685</v>
      </c>
      <c r="AD230" s="0" t="n">
        <f aca="false">IF(AND(AND(ISNUMBER(B230),B230=OriginalFinancials!B230),AND(ISNUMBER(U230),U230=OriginalFinancials!U230),AND(ISNUMBER(O230),O230=OriginalFinancials!O230)),0,1)</f>
        <v>0</v>
      </c>
      <c r="AE230" s="0" t="str">
        <f aca="false">IF(V230=0,"原始0：需核实适用/报告口径","")</f>
        <v>原始0：需核实适用/报告口径</v>
      </c>
    </row>
    <row r="231" customFormat="false" ht="15" hidden="false" customHeight="false" outlineLevel="0" collapsed="false">
      <c r="A231" s="0" t="n">
        <v>231</v>
      </c>
      <c r="B231" s="0" t="n">
        <v>753464</v>
      </c>
      <c r="C231" s="0" t="n">
        <v>17951</v>
      </c>
      <c r="D231" s="0" t="n">
        <v>678863</v>
      </c>
      <c r="E231" s="0" t="n">
        <v>0.12</v>
      </c>
      <c r="F231" s="0" t="n">
        <v>57390</v>
      </c>
      <c r="G231" s="0" t="n">
        <v>7.61682044530329</v>
      </c>
      <c r="H231" s="0" t="s">
        <v>388</v>
      </c>
      <c r="I231" s="0" t="n">
        <v>0.889678055913561</v>
      </c>
      <c r="J231" s="0" t="n">
        <v>22713</v>
      </c>
      <c r="K231" s="0" t="n">
        <v>1774</v>
      </c>
      <c r="L231" s="0" t="n">
        <v>536149</v>
      </c>
      <c r="M231" s="0" t="n">
        <v>531379</v>
      </c>
      <c r="N231" s="0" t="n">
        <v>498891</v>
      </c>
      <c r="O231" s="0" t="n">
        <v>68</v>
      </c>
      <c r="P231" s="0" t="s">
        <v>145</v>
      </c>
      <c r="Q231" s="0" t="n">
        <v>0.0126830414679501</v>
      </c>
      <c r="R231" s="0" t="n">
        <v>2.83578052985655</v>
      </c>
      <c r="S231" s="0" t="n">
        <v>-203</v>
      </c>
      <c r="T231" s="0" t="n">
        <v>2194</v>
      </c>
      <c r="U231" s="0" t="n">
        <v>0</v>
      </c>
      <c r="V231" s="0" t="n">
        <v>14.6626029628837</v>
      </c>
      <c r="W231" s="0" t="n">
        <v>20230331</v>
      </c>
      <c r="X231" s="0" t="n">
        <v>0.569635122043929</v>
      </c>
      <c r="Y231" s="0" t="n">
        <v>7.67</v>
      </c>
      <c r="Z231" s="0" t="s">
        <v>123</v>
      </c>
      <c r="AA231" s="0" t="n">
        <f aca="false">IF(AND(ISNUMBER(B231),B231&gt;0,ISNUMBER(U231),U231&gt;=0,ISNUMBER(O231),O231&gt;=0),1,0)</f>
        <v>1</v>
      </c>
      <c r="AB231" s="0" t="n">
        <f aca="false">IF(AA231=1,U231+O231,0)</f>
        <v>68</v>
      </c>
      <c r="AC231" s="0" t="n">
        <f aca="false">IF(AA231=1,100*AB231/B231,"")</f>
        <v>0.00902498327723687</v>
      </c>
      <c r="AD231" s="0" t="n">
        <f aca="false">IF(AND(AND(ISNUMBER(B231),B231=OriginalFinancials!B231),AND(ISNUMBER(U231),U231=OriginalFinancials!U231),AND(ISNUMBER(O231),O231=OriginalFinancials!O231)),0,1)</f>
        <v>0</v>
      </c>
      <c r="AE231" s="0" t="str">
        <f aca="false">IF(V231=0,"原始0：需核实适用/报告口径","")</f>
        <v/>
      </c>
    </row>
    <row r="232" customFormat="false" ht="15" hidden="false" customHeight="false" outlineLevel="0" collapsed="false">
      <c r="A232" s="0" t="n">
        <v>232</v>
      </c>
      <c r="B232" s="0" t="n">
        <v>1332758</v>
      </c>
      <c r="C232" s="0" t="n">
        <v>17960</v>
      </c>
      <c r="D232" s="0" t="n">
        <v>1015763</v>
      </c>
      <c r="E232" s="0" t="n">
        <v>0.05</v>
      </c>
      <c r="F232" s="0" t="n">
        <v>107964</v>
      </c>
      <c r="G232" s="0" t="n">
        <v>8.10079549325534</v>
      </c>
      <c r="H232" s="0" t="s">
        <v>389</v>
      </c>
      <c r="I232" s="0" t="n">
        <v>1.00034437223045</v>
      </c>
      <c r="J232" s="0" t="n">
        <v>113261</v>
      </c>
      <c r="K232" s="0" t="n">
        <v>202345</v>
      </c>
      <c r="L232" s="0" t="n">
        <v>1141207</v>
      </c>
      <c r="M232" s="0" t="n">
        <v>1129791</v>
      </c>
      <c r="N232" s="0" t="n">
        <v>821435</v>
      </c>
      <c r="O232" s="0" t="n">
        <v>821</v>
      </c>
      <c r="P232" s="0" t="s">
        <v>147</v>
      </c>
      <c r="Q232" s="0" t="n">
        <v>0.0719413743518923</v>
      </c>
      <c r="R232" s="0" t="n">
        <v>2.98488627502336</v>
      </c>
      <c r="S232" s="0" t="n">
        <v>23</v>
      </c>
      <c r="T232" s="0" t="n">
        <v>2222</v>
      </c>
      <c r="U232" s="0" t="n">
        <v>0</v>
      </c>
      <c r="V232" s="0" t="n">
        <v>12.874141309121</v>
      </c>
      <c r="W232" s="0" t="n">
        <v>20230331</v>
      </c>
      <c r="X232" s="0" t="n">
        <v>0.555969732548979</v>
      </c>
      <c r="Y232" s="0" t="n">
        <v>6.94</v>
      </c>
      <c r="Z232" s="0" t="s">
        <v>123</v>
      </c>
      <c r="AA232" s="0" t="n">
        <f aca="false">IF(AND(ISNUMBER(B232),B232&gt;0,ISNUMBER(U232),U232&gt;=0,ISNUMBER(O232),O232&gt;=0),1,0)</f>
        <v>1</v>
      </c>
      <c r="AB232" s="0" t="n">
        <f aca="false">IF(AA232=1,U232+O232,0)</f>
        <v>821</v>
      </c>
      <c r="AC232" s="0" t="n">
        <f aca="false">IF(AA232=1,100*AB232/B232,"")</f>
        <v>0.061601581082237</v>
      </c>
      <c r="AD232" s="0" t="n">
        <f aca="false">IF(AND(AND(ISNUMBER(B232),B232=OriginalFinancials!B232),AND(ISNUMBER(U232),U232=OriginalFinancials!U232),AND(ISNUMBER(O232),O232=OriginalFinancials!O232)),0,1)</f>
        <v>0</v>
      </c>
      <c r="AE232" s="0" t="str">
        <f aca="false">IF(V232=0,"原始0：需核实适用/报告口径","")</f>
        <v/>
      </c>
    </row>
    <row r="233" customFormat="false" ht="15" hidden="false" customHeight="false" outlineLevel="0" collapsed="false">
      <c r="A233" s="0" t="n">
        <v>233</v>
      </c>
      <c r="B233" s="0" t="n">
        <v>2429028</v>
      </c>
      <c r="C233" s="0" t="n">
        <v>18012</v>
      </c>
      <c r="D233" s="0" t="n">
        <v>2050411</v>
      </c>
      <c r="E233" s="0" t="n">
        <v>0.06</v>
      </c>
      <c r="F233" s="0" t="n">
        <v>248764</v>
      </c>
      <c r="G233" s="0" t="n">
        <v>10.2412981653567</v>
      </c>
      <c r="H233" s="0" t="s">
        <v>390</v>
      </c>
      <c r="I233" s="0" t="n">
        <v>1.26869596601962</v>
      </c>
      <c r="J233" s="0" t="n">
        <v>46030</v>
      </c>
      <c r="K233" s="0" t="n">
        <v>34042</v>
      </c>
      <c r="L233" s="0" t="n">
        <v>1975493</v>
      </c>
      <c r="M233" s="0" t="n">
        <v>1950430</v>
      </c>
      <c r="N233" s="0" t="n">
        <v>1870355</v>
      </c>
      <c r="O233" s="0" t="n">
        <v>1410</v>
      </c>
      <c r="P233" s="0" t="s">
        <v>149</v>
      </c>
      <c r="Q233" s="0" t="n">
        <v>0.0713745885204351</v>
      </c>
      <c r="R233" s="0" t="n">
        <v>3.23879774845535</v>
      </c>
      <c r="S233" s="0" t="n">
        <v>46</v>
      </c>
      <c r="T233" s="0" t="n">
        <v>1100</v>
      </c>
      <c r="U233" s="0" t="n">
        <v>0</v>
      </c>
      <c r="V233" s="0" t="n">
        <v>13.3370750765378</v>
      </c>
      <c r="W233" s="0" t="n">
        <v>20230331</v>
      </c>
      <c r="X233" s="0" t="n">
        <v>0.993530204379712</v>
      </c>
      <c r="Y233" s="0" t="n">
        <v>9.89</v>
      </c>
      <c r="Z233" s="0" t="s">
        <v>123</v>
      </c>
      <c r="AA233" s="0" t="n">
        <f aca="false">IF(AND(ISNUMBER(B233),B233&gt;0,ISNUMBER(U233),U233&gt;=0,ISNUMBER(O233),O233&gt;=0),1,0)</f>
        <v>1</v>
      </c>
      <c r="AB233" s="0" t="n">
        <f aca="false">IF(AA233=1,U233+O233,0)</f>
        <v>1410</v>
      </c>
      <c r="AC233" s="0" t="n">
        <f aca="false">IF(AA233=1,100*AB233/B233,"")</f>
        <v>0.0580479105222336</v>
      </c>
      <c r="AD233" s="0" t="n">
        <f aca="false">IF(AND(AND(ISNUMBER(B233),B233=OriginalFinancials!B233),AND(ISNUMBER(U233),U233=OriginalFinancials!U233),AND(ISNUMBER(O233),O233=OriginalFinancials!O233)),0,1)</f>
        <v>0</v>
      </c>
      <c r="AE233" s="0" t="str">
        <f aca="false">IF(V233=0,"原始0：需核实适用/报告口径","")</f>
        <v/>
      </c>
    </row>
    <row r="234" customFormat="false" ht="15" hidden="false" customHeight="false" outlineLevel="0" collapsed="false">
      <c r="A234" s="0" t="n">
        <v>234</v>
      </c>
      <c r="B234" s="0" t="n">
        <v>2733301</v>
      </c>
      <c r="C234" s="0" t="n">
        <v>18013</v>
      </c>
      <c r="D234" s="0" t="n">
        <v>2369188</v>
      </c>
      <c r="E234" s="0" t="n">
        <v>0.04</v>
      </c>
      <c r="F234" s="0" t="n">
        <v>210055</v>
      </c>
      <c r="G234" s="0" t="n">
        <v>7.68502993267115</v>
      </c>
      <c r="H234" s="0" t="s">
        <v>391</v>
      </c>
      <c r="I234" s="0" t="n">
        <v>0.742497763930001</v>
      </c>
      <c r="J234" s="0" t="n">
        <v>110218</v>
      </c>
      <c r="K234" s="0" t="n">
        <v>23888</v>
      </c>
      <c r="L234" s="0" t="n">
        <v>2203643</v>
      </c>
      <c r="M234" s="0" t="n">
        <v>2187281</v>
      </c>
      <c r="N234" s="0" t="n">
        <v>2017963</v>
      </c>
      <c r="O234" s="0" t="n">
        <v>1023</v>
      </c>
      <c r="P234" s="0" t="s">
        <v>151</v>
      </c>
      <c r="Q234" s="0" t="n">
        <v>0.0464231275211093</v>
      </c>
      <c r="R234" s="0" t="n">
        <v>2.9811963289553</v>
      </c>
      <c r="S234" s="0" t="n">
        <v>9</v>
      </c>
      <c r="T234" s="0" t="n">
        <v>3732</v>
      </c>
      <c r="U234" s="0" t="n">
        <v>0</v>
      </c>
      <c r="V234" s="0" t="n">
        <v>13.3103871528666</v>
      </c>
      <c r="W234" s="0" t="n">
        <v>20230331</v>
      </c>
      <c r="X234" s="0" t="n">
        <v>0.443403413877027</v>
      </c>
      <c r="Y234" s="0" t="n">
        <v>5.87</v>
      </c>
      <c r="Z234" s="0" t="s">
        <v>123</v>
      </c>
      <c r="AA234" s="0" t="n">
        <f aca="false">IF(AND(ISNUMBER(B234),B234&gt;0,ISNUMBER(U234),U234&gt;=0,ISNUMBER(O234),O234&gt;=0),1,0)</f>
        <v>1</v>
      </c>
      <c r="AB234" s="0" t="n">
        <f aca="false">IF(AA234=1,U234+O234,0)</f>
        <v>1023</v>
      </c>
      <c r="AC234" s="0" t="n">
        <f aca="false">IF(AA234=1,100*AB234/B234,"")</f>
        <v>0.0374272720055347</v>
      </c>
      <c r="AD234" s="0" t="n">
        <f aca="false">IF(AND(AND(ISNUMBER(B234),B234=OriginalFinancials!B234),AND(ISNUMBER(U234),U234=OriginalFinancials!U234),AND(ISNUMBER(O234),O234=OriginalFinancials!O234)),0,1)</f>
        <v>0</v>
      </c>
      <c r="AE234" s="0" t="str">
        <f aca="false">IF(V234=0,"原始0：需核实适用/报告口径","")</f>
        <v/>
      </c>
    </row>
    <row r="235" customFormat="false" ht="15" hidden="false" customHeight="false" outlineLevel="0" collapsed="false">
      <c r="A235" s="0" t="n">
        <v>235</v>
      </c>
      <c r="B235" s="0" t="n">
        <v>384151</v>
      </c>
      <c r="C235" s="0" t="n">
        <v>18028</v>
      </c>
      <c r="D235" s="0" t="n">
        <v>321675</v>
      </c>
      <c r="E235" s="0" t="n">
        <v>0.15</v>
      </c>
      <c r="F235" s="0" t="n">
        <v>38054</v>
      </c>
      <c r="G235" s="0" t="n">
        <v>9.90600050500975</v>
      </c>
      <c r="H235" s="0" t="s">
        <v>392</v>
      </c>
      <c r="I235" s="0" t="n">
        <v>0.977234694199741</v>
      </c>
      <c r="J235" s="0" t="n">
        <v>15846</v>
      </c>
      <c r="K235" s="0" t="n">
        <v>8663</v>
      </c>
      <c r="L235" s="0" t="n">
        <v>253368</v>
      </c>
      <c r="M235" s="0" t="n">
        <v>250892</v>
      </c>
      <c r="N235" s="0" t="n">
        <v>222649</v>
      </c>
      <c r="O235" s="0" t="n">
        <v>1519</v>
      </c>
      <c r="P235" s="0" t="s">
        <v>153</v>
      </c>
      <c r="Q235" s="0" t="n">
        <v>0.663856524896593</v>
      </c>
      <c r="R235" s="0" t="n">
        <v>3.57814376005256</v>
      </c>
      <c r="S235" s="0" t="n">
        <v>87</v>
      </c>
      <c r="T235" s="0" t="n">
        <v>1473</v>
      </c>
      <c r="U235" s="0" t="n">
        <v>163</v>
      </c>
      <c r="V235" s="0" t="n">
        <v>0</v>
      </c>
      <c r="W235" s="0" t="n">
        <v>20230331</v>
      </c>
      <c r="X235" s="0" t="n">
        <v>0.60865321121989</v>
      </c>
      <c r="Y235" s="0" t="n">
        <v>6.33</v>
      </c>
      <c r="Z235" s="0" t="s">
        <v>123</v>
      </c>
      <c r="AA235" s="0" t="n">
        <f aca="false">IF(AND(ISNUMBER(B235),B235&gt;0,ISNUMBER(U235),U235&gt;=0,ISNUMBER(O235),O235&gt;=0),1,0)</f>
        <v>1</v>
      </c>
      <c r="AB235" s="0" t="n">
        <f aca="false">IF(AA235=1,U235+O235,0)</f>
        <v>1682</v>
      </c>
      <c r="AC235" s="0" t="n">
        <f aca="false">IF(AA235=1,100*AB235/B235,"")</f>
        <v>0.437848658470237</v>
      </c>
      <c r="AD235" s="0" t="n">
        <f aca="false">IF(AND(AND(ISNUMBER(B235),B235=OriginalFinancials!B235),AND(ISNUMBER(U235),U235=OriginalFinancials!U235),AND(ISNUMBER(O235),O235=OriginalFinancials!O235)),0,1)</f>
        <v>0</v>
      </c>
      <c r="AE235" s="0" t="str">
        <f aca="false">IF(V235=0,"原始0：需核实适用/报告口径","")</f>
        <v>原始0：需核实适用/报告口径</v>
      </c>
    </row>
    <row r="236" customFormat="false" ht="15" hidden="false" customHeight="false" outlineLevel="0" collapsed="false">
      <c r="A236" s="0" t="n">
        <v>236</v>
      </c>
      <c r="B236" s="0" t="n">
        <v>704016</v>
      </c>
      <c r="C236" s="0" t="n">
        <v>18030</v>
      </c>
      <c r="D236" s="0" t="n">
        <v>652422</v>
      </c>
      <c r="E236" s="0" t="n">
        <v>0.11</v>
      </c>
      <c r="F236" s="0" t="n">
        <v>44712</v>
      </c>
      <c r="G236" s="0" t="n">
        <v>6.35099202290857</v>
      </c>
      <c r="H236" s="0" t="s">
        <v>393</v>
      </c>
      <c r="I236" s="0" t="n">
        <v>1.01863954591846</v>
      </c>
      <c r="J236" s="0" t="n">
        <v>34886</v>
      </c>
      <c r="K236" s="0" t="n">
        <v>86405</v>
      </c>
      <c r="L236" s="0" t="n">
        <v>558490</v>
      </c>
      <c r="M236" s="0" t="n">
        <v>552801</v>
      </c>
      <c r="N236" s="0" t="n">
        <v>437108</v>
      </c>
      <c r="O236" s="0" t="n">
        <v>501</v>
      </c>
      <c r="P236" s="0" t="s">
        <v>155</v>
      </c>
      <c r="Q236" s="0" t="n">
        <v>0.0897061719994986</v>
      </c>
      <c r="R236" s="0" t="n">
        <v>3.50492880613362</v>
      </c>
      <c r="S236" s="0" t="n">
        <v>-12</v>
      </c>
      <c r="T236" s="0" t="n">
        <v>714</v>
      </c>
      <c r="U236" s="0" t="n">
        <v>0</v>
      </c>
      <c r="V236" s="0" t="n">
        <v>12.9898118719735</v>
      </c>
      <c r="W236" s="0" t="n">
        <v>20230331</v>
      </c>
      <c r="X236" s="0" t="n">
        <v>0.626132056425815</v>
      </c>
      <c r="Y236" s="0" t="n">
        <v>10.13</v>
      </c>
      <c r="Z236" s="0" t="s">
        <v>123</v>
      </c>
      <c r="AA236" s="0" t="n">
        <f aca="false">IF(AND(ISNUMBER(B236),B236&gt;0,ISNUMBER(U236),U236&gt;=0,ISNUMBER(O236),O236&gt;=0),1,0)</f>
        <v>1</v>
      </c>
      <c r="AB236" s="0" t="n">
        <f aca="false">IF(AA236=1,U236+O236,0)</f>
        <v>501</v>
      </c>
      <c r="AC236" s="0" t="n">
        <f aca="false">IF(AA236=1,100*AB236/B236,"")</f>
        <v>0.0711631553828322</v>
      </c>
      <c r="AD236" s="0" t="n">
        <f aca="false">IF(AND(AND(ISNUMBER(B236),B236=OriginalFinancials!B236),AND(ISNUMBER(U236),U236=OriginalFinancials!U236),AND(ISNUMBER(O236),O236=OriginalFinancials!O236)),0,1)</f>
        <v>0</v>
      </c>
      <c r="AE236" s="0" t="str">
        <f aca="false">IF(V236=0,"原始0：需核实适用/报告口径","")</f>
        <v/>
      </c>
    </row>
    <row r="237" customFormat="false" ht="15" hidden="false" customHeight="false" outlineLevel="0" collapsed="false">
      <c r="A237" s="0" t="n">
        <v>237</v>
      </c>
      <c r="B237" s="0" t="n">
        <v>653889</v>
      </c>
      <c r="C237" s="0" t="n">
        <v>18031</v>
      </c>
      <c r="D237" s="0" t="n">
        <v>579895</v>
      </c>
      <c r="E237" s="0" t="n">
        <v>0.06</v>
      </c>
      <c r="F237" s="0" t="n">
        <v>37639</v>
      </c>
      <c r="G237" s="0" t="n">
        <v>5.75617574236606</v>
      </c>
      <c r="H237" s="0" t="s">
        <v>394</v>
      </c>
      <c r="I237" s="0" t="n">
        <v>0.883044224924987</v>
      </c>
      <c r="J237" s="0" t="n">
        <v>28272</v>
      </c>
      <c r="K237" s="0" t="n">
        <v>7125</v>
      </c>
      <c r="L237" s="0" t="n">
        <v>467587</v>
      </c>
      <c r="M237" s="0" t="n">
        <v>463458</v>
      </c>
      <c r="N237" s="0" t="n">
        <v>424817</v>
      </c>
      <c r="O237" s="0" t="n">
        <v>861</v>
      </c>
      <c r="P237" s="0" t="s">
        <v>157</v>
      </c>
      <c r="Q237" s="0" t="n">
        <v>0.184136855815068</v>
      </c>
      <c r="R237" s="0" t="n">
        <v>2.86529528105113</v>
      </c>
      <c r="S237" s="0" t="n">
        <v>3</v>
      </c>
      <c r="T237" s="0" t="n">
        <v>1064</v>
      </c>
      <c r="U237" s="0" t="n">
        <v>0</v>
      </c>
      <c r="V237" s="0" t="n">
        <v>16.3983634751584</v>
      </c>
      <c r="W237" s="0" t="n">
        <v>20230331</v>
      </c>
      <c r="X237" s="0" t="n">
        <v>0.311530308150788</v>
      </c>
      <c r="Y237" s="0" t="n">
        <v>5.56</v>
      </c>
      <c r="Z237" s="0" t="s">
        <v>123</v>
      </c>
      <c r="AA237" s="0" t="n">
        <f aca="false">IF(AND(ISNUMBER(B237),B237&gt;0,ISNUMBER(U237),U237&gt;=0,ISNUMBER(O237),O237&gt;=0),1,0)</f>
        <v>1</v>
      </c>
      <c r="AB237" s="0" t="n">
        <f aca="false">IF(AA237=1,U237+O237,0)</f>
        <v>861</v>
      </c>
      <c r="AC237" s="0" t="n">
        <f aca="false">IF(AA237=1,100*AB237/B237,"")</f>
        <v>0.131673724439469</v>
      </c>
      <c r="AD237" s="0" t="n">
        <f aca="false">IF(AND(AND(ISNUMBER(B237),B237=OriginalFinancials!B237),AND(ISNUMBER(U237),U237=OriginalFinancials!U237),AND(ISNUMBER(O237),O237=OriginalFinancials!O237)),0,1)</f>
        <v>0</v>
      </c>
      <c r="AE237" s="0" t="str">
        <f aca="false">IF(V237=0,"原始0：需核实适用/报告口径","")</f>
        <v/>
      </c>
    </row>
    <row r="238" customFormat="false" ht="15" hidden="false" customHeight="false" outlineLevel="0" collapsed="false">
      <c r="A238" s="0" t="n">
        <v>238</v>
      </c>
      <c r="B238" s="0" t="n">
        <v>548592</v>
      </c>
      <c r="C238" s="0" t="n">
        <v>18038</v>
      </c>
      <c r="D238" s="0" t="n">
        <v>453467</v>
      </c>
      <c r="E238" s="0" t="n">
        <v>0.12</v>
      </c>
      <c r="F238" s="0" t="n">
        <v>65334</v>
      </c>
      <c r="G238" s="0" t="n">
        <v>11.909397147607</v>
      </c>
      <c r="H238" s="0" t="s">
        <v>395</v>
      </c>
      <c r="I238" s="0" t="n">
        <v>0.981353095864212</v>
      </c>
      <c r="J238" s="0" t="n">
        <v>17283</v>
      </c>
      <c r="K238" s="0" t="n">
        <v>3452</v>
      </c>
      <c r="L238" s="0" t="n">
        <v>418300</v>
      </c>
      <c r="M238" s="0" t="n">
        <v>414195</v>
      </c>
      <c r="N238" s="0" t="n">
        <v>397248</v>
      </c>
      <c r="O238" s="0" t="n">
        <v>2269</v>
      </c>
      <c r="P238" s="0" t="s">
        <v>159</v>
      </c>
      <c r="Q238" s="0" t="n">
        <v>0.542433660052594</v>
      </c>
      <c r="R238" s="0" t="n">
        <v>2.59646477985742</v>
      </c>
      <c r="S238" s="0" t="n">
        <v>0</v>
      </c>
      <c r="T238" s="0" t="n">
        <v>1813</v>
      </c>
      <c r="U238" s="0" t="n">
        <v>0</v>
      </c>
      <c r="V238" s="0" t="n">
        <v>0</v>
      </c>
      <c r="W238" s="0" t="n">
        <v>20230331</v>
      </c>
      <c r="X238" s="0" t="n">
        <v>0.0703982689436183</v>
      </c>
      <c r="Y238" s="0" t="n">
        <v>0.59</v>
      </c>
      <c r="Z238" s="0" t="s">
        <v>123</v>
      </c>
      <c r="AA238" s="0" t="n">
        <f aca="false">IF(AND(ISNUMBER(B238),B238&gt;0,ISNUMBER(U238),U238&gt;=0,ISNUMBER(O238),O238&gt;=0),1,0)</f>
        <v>1</v>
      </c>
      <c r="AB238" s="0" t="n">
        <f aca="false">IF(AA238=1,U238+O238,0)</f>
        <v>2269</v>
      </c>
      <c r="AC238" s="0" t="n">
        <f aca="false">IF(AA238=1,100*AB238/B238,"")</f>
        <v>0.41360428150611</v>
      </c>
      <c r="AD238" s="0" t="n">
        <f aca="false">IF(AND(AND(ISNUMBER(B238),B238=OriginalFinancials!B238),AND(ISNUMBER(U238),U238=OriginalFinancials!U238),AND(ISNUMBER(O238),O238=OriginalFinancials!O238)),0,1)</f>
        <v>0</v>
      </c>
      <c r="AE238" s="0" t="str">
        <f aca="false">IF(V238=0,"原始0：需核实适用/报告口径","")</f>
        <v>原始0：需核实适用/报告口径</v>
      </c>
    </row>
    <row r="239" customFormat="false" ht="15" hidden="false" customHeight="false" outlineLevel="0" collapsed="false">
      <c r="A239" s="0" t="n">
        <v>239</v>
      </c>
      <c r="B239" s="0" t="n">
        <v>7408655</v>
      </c>
      <c r="C239" s="0" t="n">
        <v>18408</v>
      </c>
      <c r="D239" s="0" t="n">
        <v>5909216</v>
      </c>
      <c r="E239" s="0" t="n">
        <v>0</v>
      </c>
      <c r="F239" s="0" t="n">
        <v>379605</v>
      </c>
      <c r="G239" s="0" t="n">
        <v>5.12380452322318</v>
      </c>
      <c r="H239" s="0" t="s">
        <v>396</v>
      </c>
      <c r="I239" s="0" t="n">
        <v>0.773535000383253</v>
      </c>
      <c r="J239" s="0" t="n">
        <v>323957</v>
      </c>
      <c r="K239" s="0" t="n">
        <v>30117</v>
      </c>
      <c r="L239" s="0" t="n">
        <v>4709677</v>
      </c>
      <c r="M239" s="0" t="n">
        <v>4673246</v>
      </c>
      <c r="N239" s="0" t="n">
        <v>4284764</v>
      </c>
      <c r="O239" s="0" t="n">
        <v>2650</v>
      </c>
      <c r="P239" s="0" t="s">
        <v>161</v>
      </c>
      <c r="Q239" s="0" t="n">
        <v>0.056267128297758</v>
      </c>
      <c r="R239" s="0" t="n">
        <v>2.1967342242162</v>
      </c>
      <c r="S239" s="0" t="n">
        <v>1465</v>
      </c>
      <c r="T239" s="0" t="n">
        <v>5472</v>
      </c>
      <c r="U239" s="0" t="n">
        <v>0</v>
      </c>
      <c r="V239" s="0" t="n">
        <v>11.786074914701</v>
      </c>
      <c r="W239" s="0" t="n">
        <v>20230331</v>
      </c>
      <c r="X239" s="0" t="n">
        <v>0.0727725446773376</v>
      </c>
      <c r="Y239" s="0" t="n">
        <v>1.48</v>
      </c>
      <c r="Z239" s="0" t="s">
        <v>105</v>
      </c>
      <c r="AA239" s="0" t="n">
        <f aca="false">IF(AND(ISNUMBER(B239),B239&gt;0,ISNUMBER(U239),U239&gt;=0,ISNUMBER(O239),O239&gt;=0),1,0)</f>
        <v>1</v>
      </c>
      <c r="AB239" s="0" t="n">
        <f aca="false">IF(AA239=1,U239+O239,0)</f>
        <v>2650</v>
      </c>
      <c r="AC239" s="0" t="n">
        <f aca="false">IF(AA239=1,100*AB239/B239,"")</f>
        <v>0.0357689756102828</v>
      </c>
      <c r="AD239" s="0" t="n">
        <f aca="false">IF(AND(AND(ISNUMBER(B239),B239=OriginalFinancials!B239),AND(ISNUMBER(U239),U239=OriginalFinancials!U239),AND(ISNUMBER(O239),O239=OriginalFinancials!O239)),0,1)</f>
        <v>0</v>
      </c>
      <c r="AE239" s="0" t="str">
        <f aca="false">IF(V239=0,"原始0：需核实适用/报告口径","")</f>
        <v/>
      </c>
    </row>
    <row r="240" customFormat="false" ht="15" hidden="false" customHeight="false" outlineLevel="0" collapsed="false">
      <c r="A240" s="0" t="n">
        <v>240</v>
      </c>
      <c r="B240" s="0" t="n">
        <v>2391401</v>
      </c>
      <c r="C240" s="0" t="n">
        <v>19531</v>
      </c>
      <c r="D240" s="0" t="n">
        <v>1997122</v>
      </c>
      <c r="E240" s="0" t="n">
        <v>0</v>
      </c>
      <c r="F240" s="0" t="n">
        <v>231126</v>
      </c>
      <c r="G240" s="0" t="n">
        <v>9.66487845409448</v>
      </c>
      <c r="H240" s="0" t="s">
        <v>397</v>
      </c>
      <c r="I240" s="0" t="n">
        <v>1.21529212083691</v>
      </c>
      <c r="J240" s="0" t="n">
        <v>238788</v>
      </c>
      <c r="K240" s="0" t="n">
        <v>14418</v>
      </c>
      <c r="L240" s="0" t="n">
        <v>1912462</v>
      </c>
      <c r="M240" s="0" t="n">
        <v>1889220</v>
      </c>
      <c r="N240" s="0" t="n">
        <v>1564296</v>
      </c>
      <c r="O240" s="0" t="n">
        <v>14969</v>
      </c>
      <c r="P240" s="0" t="s">
        <v>163</v>
      </c>
      <c r="Q240" s="0" t="n">
        <v>0.782708362309944</v>
      </c>
      <c r="R240" s="0" t="n">
        <v>2.83903414631549</v>
      </c>
      <c r="S240" s="0" t="n">
        <v>24</v>
      </c>
      <c r="T240" s="0" t="n">
        <v>8568</v>
      </c>
      <c r="U240" s="0" t="n">
        <v>0</v>
      </c>
      <c r="V240" s="0" t="n">
        <v>14.2370552569306</v>
      </c>
      <c r="W240" s="0" t="n">
        <v>20230331</v>
      </c>
      <c r="X240" s="0" t="n">
        <v>0.598798237021496</v>
      </c>
      <c r="Y240" s="0" t="n">
        <v>6.26</v>
      </c>
      <c r="Z240" s="0" t="s">
        <v>105</v>
      </c>
      <c r="AA240" s="0" t="n">
        <f aca="false">IF(AND(ISNUMBER(B240),B240&gt;0,ISNUMBER(U240),U240&gt;=0,ISNUMBER(O240),O240&gt;=0),1,0)</f>
        <v>1</v>
      </c>
      <c r="AB240" s="0" t="n">
        <f aca="false">IF(AA240=1,U240+O240,0)</f>
        <v>14969</v>
      </c>
      <c r="AC240" s="0" t="n">
        <f aca="false">IF(AA240=1,100*AB240/B240,"")</f>
        <v>0.625951063832456</v>
      </c>
      <c r="AD240" s="0" t="n">
        <f aca="false">IF(AND(AND(ISNUMBER(B240),B240=OriginalFinancials!B240),AND(ISNUMBER(U240),U240=OriginalFinancials!U240),AND(ISNUMBER(O240),O240=OriginalFinancials!O240)),0,1)</f>
        <v>0</v>
      </c>
      <c r="AE240" s="0" t="str">
        <f aca="false">IF(V240=0,"原始0：需核实适用/报告口径","")</f>
        <v/>
      </c>
    </row>
    <row r="241" customFormat="false" ht="15" hidden="false" customHeight="false" outlineLevel="0" collapsed="false">
      <c r="A241" s="0" t="n">
        <v>241</v>
      </c>
      <c r="B241" s="0" t="n">
        <v>781513</v>
      </c>
      <c r="C241" s="0" t="n">
        <v>19532</v>
      </c>
      <c r="D241" s="0" t="n">
        <v>676028</v>
      </c>
      <c r="E241" s="0" t="n">
        <v>0</v>
      </c>
      <c r="F241" s="0" t="n">
        <v>91464</v>
      </c>
      <c r="G241" s="0" t="n">
        <v>11.7034521498683</v>
      </c>
      <c r="H241" s="0" t="s">
        <v>398</v>
      </c>
      <c r="I241" s="0" t="n">
        <v>1.03349728097759</v>
      </c>
      <c r="J241" s="0" t="n">
        <v>34197</v>
      </c>
      <c r="K241" s="0" t="n">
        <v>47272</v>
      </c>
      <c r="L241" s="0" t="n">
        <v>558105</v>
      </c>
      <c r="M241" s="0" t="n">
        <v>552337</v>
      </c>
      <c r="N241" s="0" t="n">
        <v>465968</v>
      </c>
      <c r="O241" s="0" t="n">
        <v>712</v>
      </c>
      <c r="P241" s="0" t="s">
        <v>165</v>
      </c>
      <c r="Q241" s="0" t="n">
        <v>0.127574560342588</v>
      </c>
      <c r="R241" s="0" t="n">
        <v>3.56459940305092</v>
      </c>
      <c r="S241" s="0" t="n">
        <v>16</v>
      </c>
      <c r="T241" s="0" t="n">
        <v>427</v>
      </c>
      <c r="U241" s="0" t="n">
        <v>0</v>
      </c>
      <c r="V241" s="0" t="n">
        <v>21.6495094755333</v>
      </c>
      <c r="W241" s="0" t="n">
        <v>20230331</v>
      </c>
      <c r="X241" s="0" t="n">
        <v>0.829366675964691</v>
      </c>
      <c r="Y241" s="0" t="n">
        <v>7.2</v>
      </c>
      <c r="Z241" s="0" t="s">
        <v>105</v>
      </c>
      <c r="AA241" s="0" t="n">
        <f aca="false">IF(AND(ISNUMBER(B241),B241&gt;0,ISNUMBER(U241),U241&gt;=0,ISNUMBER(O241),O241&gt;=0),1,0)</f>
        <v>1</v>
      </c>
      <c r="AB241" s="0" t="n">
        <f aca="false">IF(AA241=1,U241+O241,0)</f>
        <v>712</v>
      </c>
      <c r="AC241" s="0" t="n">
        <f aca="false">IF(AA241=1,100*AB241/B241,"")</f>
        <v>0.0911053303016073</v>
      </c>
      <c r="AD241" s="0" t="n">
        <f aca="false">IF(AND(AND(ISNUMBER(B241),B241=OriginalFinancials!B241),AND(ISNUMBER(U241),U241=OriginalFinancials!U241),AND(ISNUMBER(O241),O241=OriginalFinancials!O241)),0,1)</f>
        <v>0</v>
      </c>
      <c r="AE241" s="0" t="str">
        <f aca="false">IF(V241=0,"原始0：需核实适用/报告口径","")</f>
        <v/>
      </c>
    </row>
    <row r="242" customFormat="false" ht="15" hidden="false" customHeight="false" outlineLevel="0" collapsed="false">
      <c r="A242" s="0" t="n">
        <v>242</v>
      </c>
      <c r="B242" s="0" t="n">
        <v>2866479</v>
      </c>
      <c r="C242" s="0" t="n">
        <v>19690</v>
      </c>
      <c r="D242" s="0" t="n">
        <v>2150204</v>
      </c>
      <c r="E242" s="0" t="n">
        <v>0.1</v>
      </c>
      <c r="F242" s="0" t="n">
        <v>283869</v>
      </c>
      <c r="G242" s="0" t="n">
        <v>9.9030552814097</v>
      </c>
      <c r="H242" s="0" t="s">
        <v>399</v>
      </c>
      <c r="I242" s="0" t="n">
        <v>0.282572879458282</v>
      </c>
      <c r="J242" s="0" t="n">
        <v>41557</v>
      </c>
      <c r="K242" s="0" t="n">
        <v>534</v>
      </c>
      <c r="L242" s="0" t="n">
        <v>2509795</v>
      </c>
      <c r="M242" s="0" t="n">
        <v>2502703</v>
      </c>
      <c r="N242" s="0" t="n">
        <v>2010351</v>
      </c>
      <c r="O242" s="0" t="n">
        <v>14522</v>
      </c>
      <c r="P242" s="0" t="s">
        <v>167</v>
      </c>
      <c r="Q242" s="0" t="n">
        <v>0.578612994288378</v>
      </c>
      <c r="R242" s="0" t="n">
        <v>4.69912192082439</v>
      </c>
      <c r="S242" s="0" t="n">
        <v>-5</v>
      </c>
      <c r="T242" s="0" t="n">
        <v>6586</v>
      </c>
      <c r="U242" s="0" t="n">
        <v>0</v>
      </c>
      <c r="V242" s="0" t="n">
        <v>11.8894271150854</v>
      </c>
      <c r="W242" s="0" t="n">
        <v>20230331</v>
      </c>
      <c r="X242" s="0" t="n">
        <v>1.76423215572798</v>
      </c>
      <c r="Y242" s="0" t="n">
        <v>18.3</v>
      </c>
      <c r="Z242" s="0" t="s">
        <v>105</v>
      </c>
      <c r="AA242" s="0" t="n">
        <f aca="false">IF(AND(ISNUMBER(B242),B242&gt;0,ISNUMBER(U242),U242&gt;=0,ISNUMBER(O242),O242&gt;=0),1,0)</f>
        <v>1</v>
      </c>
      <c r="AB242" s="0" t="n">
        <f aca="false">IF(AA242=1,U242+O242,0)</f>
        <v>14522</v>
      </c>
      <c r="AC242" s="0" t="n">
        <f aca="false">IF(AA242=1,100*AB242/B242,"")</f>
        <v>0.506614560929977</v>
      </c>
      <c r="AD242" s="0" t="n">
        <f aca="false">IF(AND(AND(ISNUMBER(B242),B242=OriginalFinancials!B242),AND(ISNUMBER(U242),U242=OriginalFinancials!U242),AND(ISNUMBER(O242),O242=OriginalFinancials!O242)),0,1)</f>
        <v>0</v>
      </c>
      <c r="AE242" s="0" t="str">
        <f aca="false">IF(V242=0,"原始0：需核实适用/报告口径","")</f>
        <v/>
      </c>
    </row>
    <row r="243" customFormat="false" ht="15" hidden="false" customHeight="false" outlineLevel="0" collapsed="false">
      <c r="A243" s="0" t="n">
        <v>243</v>
      </c>
      <c r="B243" s="0" t="n">
        <v>600233</v>
      </c>
      <c r="C243" s="0" t="n">
        <v>19836</v>
      </c>
      <c r="D243" s="0" t="n">
        <v>442530</v>
      </c>
      <c r="E243" s="0" t="n">
        <v>0.01</v>
      </c>
      <c r="F243" s="0" t="n">
        <v>118387</v>
      </c>
      <c r="G243" s="0" t="n">
        <v>19.7235073713041</v>
      </c>
      <c r="H243" s="0" t="s">
        <v>400</v>
      </c>
      <c r="I243" s="0" t="n">
        <v>0.867764936904455</v>
      </c>
      <c r="J243" s="0" t="n">
        <v>49653</v>
      </c>
      <c r="K243" s="0" t="n">
        <v>12278</v>
      </c>
      <c r="L243" s="0" t="n">
        <v>497024</v>
      </c>
      <c r="M243" s="0" t="n">
        <v>492711</v>
      </c>
      <c r="N243" s="0" t="n">
        <v>430517</v>
      </c>
      <c r="O243" s="0" t="n">
        <v>2423</v>
      </c>
      <c r="P243" s="0" t="s">
        <v>145</v>
      </c>
      <c r="Q243" s="0" t="n">
        <v>0.495549510687613</v>
      </c>
      <c r="R243" s="0" t="n">
        <v>4.18519544520099</v>
      </c>
      <c r="S243" s="0" t="n">
        <v>14</v>
      </c>
      <c r="T243" s="0" t="n">
        <v>2008</v>
      </c>
      <c r="U243" s="0" t="n">
        <v>40</v>
      </c>
      <c r="V243" s="0" t="n">
        <v>27.6259114445736</v>
      </c>
      <c r="W243" s="0" t="n">
        <v>20230331</v>
      </c>
      <c r="X243" s="0" t="n">
        <v>0.661549552605911</v>
      </c>
      <c r="Y243" s="0" t="n">
        <v>3.32</v>
      </c>
      <c r="Z243" s="0" t="s">
        <v>105</v>
      </c>
      <c r="AA243" s="0" t="n">
        <f aca="false">IF(AND(ISNUMBER(B243),B243&gt;0,ISNUMBER(U243),U243&gt;=0,ISNUMBER(O243),O243&gt;=0),1,0)</f>
        <v>1</v>
      </c>
      <c r="AB243" s="0" t="n">
        <f aca="false">IF(AA243=1,U243+O243,0)</f>
        <v>2463</v>
      </c>
      <c r="AC243" s="0" t="n">
        <f aca="false">IF(AA243=1,100*AB243/B243,"")</f>
        <v>0.410340651047177</v>
      </c>
      <c r="AD243" s="0" t="n">
        <f aca="false">IF(AND(AND(ISNUMBER(B243),B243=OriginalFinancials!B243),AND(ISNUMBER(U243),U243=OriginalFinancials!U243),AND(ISNUMBER(O243),O243=OriginalFinancials!O243)),0,1)</f>
        <v>0</v>
      </c>
      <c r="AE243" s="0" t="str">
        <f aca="false">IF(V243=0,"原始0：需核实适用/报告口径","")</f>
        <v/>
      </c>
    </row>
    <row r="244" customFormat="false" ht="15" hidden="false" customHeight="false" outlineLevel="0" collapsed="false">
      <c r="A244" s="0" t="n">
        <v>244</v>
      </c>
      <c r="B244" s="0" t="n">
        <v>1306028</v>
      </c>
      <c r="C244" s="0" t="n">
        <v>24540</v>
      </c>
      <c r="D244" s="0" t="n">
        <v>1050825</v>
      </c>
      <c r="E244" s="0" t="n">
        <v>0.44</v>
      </c>
      <c r="F244" s="0" t="n">
        <v>223212</v>
      </c>
      <c r="G244" s="0" t="n">
        <v>17.0909046360415</v>
      </c>
      <c r="H244" s="0" t="s">
        <v>401</v>
      </c>
      <c r="I244" s="0" t="n">
        <v>0.998533228026628</v>
      </c>
      <c r="J244" s="0" t="n">
        <v>38781</v>
      </c>
      <c r="K244" s="0" t="n">
        <v>84</v>
      </c>
      <c r="L244" s="0" t="n">
        <v>1134464</v>
      </c>
      <c r="M244" s="0" t="n">
        <v>1123136</v>
      </c>
      <c r="N244" s="0" t="n">
        <v>1099219</v>
      </c>
      <c r="O244" s="0" t="n">
        <v>358</v>
      </c>
      <c r="P244" s="0" t="s">
        <v>170</v>
      </c>
      <c r="Q244" s="0" t="n">
        <v>0.0315567527925081</v>
      </c>
      <c r="R244" s="0" t="n">
        <v>5.05140342249484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20230331</v>
      </c>
      <c r="X244" s="0" t="n">
        <v>2.21929184669772</v>
      </c>
      <c r="Y244" s="0" t="n">
        <v>13</v>
      </c>
      <c r="Z244" s="0" t="s">
        <v>123</v>
      </c>
      <c r="AA244" s="0" t="n">
        <f aca="false">IF(AND(ISNUMBER(B244),B244&gt;0,ISNUMBER(U244),U244&gt;=0,ISNUMBER(O244),O244&gt;=0),1,0)</f>
        <v>1</v>
      </c>
      <c r="AB244" s="0" t="n">
        <f aca="false">IF(AA244=1,U244+O244,0)</f>
        <v>358</v>
      </c>
      <c r="AC244" s="0" t="n">
        <f aca="false">IF(AA244=1,100*AB244/B244,"")</f>
        <v>0.0274113571837663</v>
      </c>
      <c r="AD244" s="0" t="n">
        <f aca="false">IF(AND(AND(ISNUMBER(B244),B244=OriginalFinancials!B244),AND(ISNUMBER(U244),U244=OriginalFinancials!U244),AND(ISNUMBER(O244),O244=OriginalFinancials!O244)),0,1)</f>
        <v>0</v>
      </c>
      <c r="AE244" s="0" t="str">
        <f aca="false">IF(V244=0,"原始0：需核实适用/报告口径","")</f>
        <v>原始0：需核实适用/报告口径</v>
      </c>
    </row>
    <row r="245" customFormat="false" ht="15" hidden="false" customHeight="false" outlineLevel="0" collapsed="false">
      <c r="A245" s="0" t="n">
        <v>245</v>
      </c>
      <c r="B245" s="0" t="n">
        <v>495672</v>
      </c>
      <c r="C245" s="0" t="n">
        <v>27824</v>
      </c>
      <c r="D245" s="0" t="n">
        <v>388458</v>
      </c>
      <c r="E245" s="0" t="n">
        <v>0</v>
      </c>
      <c r="F245" s="0" t="n">
        <v>66508</v>
      </c>
      <c r="G245" s="0" t="n">
        <v>13.4177439919947</v>
      </c>
      <c r="H245" s="0" t="s">
        <v>402</v>
      </c>
      <c r="I245" s="0" t="n">
        <v>0.749319966468787</v>
      </c>
      <c r="J245" s="0" t="n">
        <v>20795</v>
      </c>
      <c r="K245" s="0" t="n">
        <v>40413</v>
      </c>
      <c r="L245" s="0" t="n">
        <v>409171</v>
      </c>
      <c r="M245" s="0" t="n">
        <v>406105</v>
      </c>
      <c r="N245" s="0" t="n">
        <v>347963</v>
      </c>
      <c r="O245" s="0" t="n">
        <v>1218</v>
      </c>
      <c r="P245" s="0" t="s">
        <v>172</v>
      </c>
      <c r="Q245" s="0" t="n">
        <v>0.297675055172532</v>
      </c>
      <c r="R245" s="0" t="n">
        <v>2.10264237732131</v>
      </c>
      <c r="S245" s="0" t="n">
        <v>49</v>
      </c>
      <c r="T245" s="0" t="n">
        <v>948</v>
      </c>
      <c r="U245" s="0" t="n">
        <v>0</v>
      </c>
      <c r="V245" s="0" t="n">
        <v>23.0543893100378</v>
      </c>
      <c r="W245" s="0" t="n">
        <v>20230331</v>
      </c>
      <c r="X245" s="0" t="n">
        <v>-0.20429258605113</v>
      </c>
      <c r="Y245" s="0" t="n">
        <v>-1.51</v>
      </c>
      <c r="Z245" s="0" t="s">
        <v>123</v>
      </c>
      <c r="AA245" s="0" t="n">
        <f aca="false">IF(AND(ISNUMBER(B245),B245&gt;0,ISNUMBER(U245),U245&gt;=0,ISNUMBER(O245),O245&gt;=0),1,0)</f>
        <v>1</v>
      </c>
      <c r="AB245" s="0" t="n">
        <f aca="false">IF(AA245=1,U245+O245,0)</f>
        <v>1218</v>
      </c>
      <c r="AC245" s="0" t="n">
        <f aca="false">IF(AA245=1,100*AB245/B245,"")</f>
        <v>0.245727013024742</v>
      </c>
      <c r="AD245" s="0" t="n">
        <f aca="false">IF(AND(AND(ISNUMBER(B245),B245=OriginalFinancials!B245),AND(ISNUMBER(U245),U245=OriginalFinancials!U245),AND(ISNUMBER(O245),O245=OriginalFinancials!O245)),0,1)</f>
        <v>0</v>
      </c>
      <c r="AE245" s="0" t="str">
        <f aca="false">IF(V245=0,"原始0：需核实适用/报告口径","")</f>
        <v/>
      </c>
    </row>
    <row r="246" customFormat="false" ht="15" hidden="false" customHeight="false" outlineLevel="0" collapsed="false">
      <c r="A246" s="0" t="n">
        <v>246</v>
      </c>
      <c r="B246" s="0" t="n">
        <v>300236</v>
      </c>
      <c r="C246" s="0" t="n">
        <v>28155</v>
      </c>
      <c r="D246" s="0" t="n">
        <v>253151</v>
      </c>
      <c r="E246" s="0" t="n">
        <v>0</v>
      </c>
      <c r="F246" s="0" t="n">
        <v>27786</v>
      </c>
      <c r="G246" s="0" t="n">
        <v>9.25471962056516</v>
      </c>
      <c r="H246" s="0" t="s">
        <v>403</v>
      </c>
      <c r="I246" s="0" t="n">
        <v>0.567726048862993</v>
      </c>
      <c r="J246" s="0" t="n">
        <v>6272</v>
      </c>
      <c r="K246" s="0" t="n">
        <v>5371</v>
      </c>
      <c r="L246" s="0" t="n">
        <v>160817</v>
      </c>
      <c r="M246" s="0" t="n">
        <v>159904</v>
      </c>
      <c r="N246" s="0" t="n">
        <v>148519</v>
      </c>
      <c r="O246" s="0" t="n">
        <v>52</v>
      </c>
      <c r="P246" s="0" t="s">
        <v>174</v>
      </c>
      <c r="Q246" s="0" t="n">
        <v>0.0323348899681003</v>
      </c>
      <c r="R246" s="0" t="n">
        <v>2.59801376961667</v>
      </c>
      <c r="S246" s="0" t="n">
        <v>0</v>
      </c>
      <c r="T246" s="0" t="n">
        <v>344</v>
      </c>
      <c r="U246" s="0" t="n">
        <v>0</v>
      </c>
      <c r="V246" s="0" t="n">
        <v>17.8546426332098</v>
      </c>
      <c r="W246" s="0" t="n">
        <v>20230331</v>
      </c>
      <c r="X246" s="0" t="n">
        <v>0.0923214324539939</v>
      </c>
      <c r="Y246" s="0" t="n">
        <v>1</v>
      </c>
      <c r="Z246" s="0" t="s">
        <v>123</v>
      </c>
      <c r="AA246" s="0" t="n">
        <f aca="false">IF(AND(ISNUMBER(B246),B246&gt;0,ISNUMBER(U246),U246&gt;=0,ISNUMBER(O246),O246&gt;=0),1,0)</f>
        <v>1</v>
      </c>
      <c r="AB246" s="0" t="n">
        <f aca="false">IF(AA246=1,U246+O246,0)</f>
        <v>52</v>
      </c>
      <c r="AC246" s="0" t="n">
        <f aca="false">IF(AA246=1,100*AB246/B246,"")</f>
        <v>0.0173197084959832</v>
      </c>
      <c r="AD246" s="0" t="n">
        <f aca="false">IF(AND(AND(ISNUMBER(B246),B246=OriginalFinancials!B246),AND(ISNUMBER(U246),U246=OriginalFinancials!U246),AND(ISNUMBER(O246),O246=OriginalFinancials!O246)),0,1)</f>
        <v>0</v>
      </c>
      <c r="AE246" s="0" t="str">
        <f aca="false">IF(V246=0,"原始0：需核实适用/报告口径","")</f>
        <v/>
      </c>
    </row>
    <row r="247" customFormat="false" ht="15" hidden="false" customHeight="false" outlineLevel="0" collapsed="false">
      <c r="A247" s="0" t="n">
        <v>247</v>
      </c>
      <c r="B247" s="0" t="n">
        <v>101744</v>
      </c>
      <c r="C247" s="0" t="n">
        <v>28288</v>
      </c>
      <c r="D247" s="0" t="n">
        <v>79637</v>
      </c>
      <c r="E247" s="0" t="n">
        <v>0</v>
      </c>
      <c r="F247" s="0" t="n">
        <v>6128</v>
      </c>
      <c r="G247" s="0" t="n">
        <v>6.02295958484038</v>
      </c>
      <c r="H247" s="0" t="s">
        <v>404</v>
      </c>
      <c r="I247" s="0" t="n">
        <v>1.09146033350177</v>
      </c>
      <c r="J247" s="0" t="n">
        <v>3222</v>
      </c>
      <c r="K247" s="0" t="n">
        <v>625</v>
      </c>
      <c r="L247" s="0" t="n">
        <v>79160</v>
      </c>
      <c r="M247" s="0" t="n">
        <v>78296</v>
      </c>
      <c r="N247" s="0" t="n">
        <v>75313</v>
      </c>
      <c r="O247" s="0" t="n">
        <v>270</v>
      </c>
      <c r="P247" s="0" t="s">
        <v>176</v>
      </c>
      <c r="Q247" s="0" t="n">
        <v>0.341081354219303</v>
      </c>
      <c r="R247" s="0" t="n">
        <v>3.00779992314323</v>
      </c>
      <c r="S247" s="0" t="n">
        <v>-1</v>
      </c>
      <c r="T247" s="0" t="n">
        <v>844</v>
      </c>
      <c r="U247" s="0" t="n">
        <v>0</v>
      </c>
      <c r="V247" s="0" t="n">
        <v>13.7641491928002</v>
      </c>
      <c r="W247" s="0" t="n">
        <v>20230331</v>
      </c>
      <c r="X247" s="0" t="n">
        <v>0.0747623099586348</v>
      </c>
      <c r="Y247" s="0" t="n">
        <v>1.26</v>
      </c>
      <c r="Z247" s="0" t="s">
        <v>105</v>
      </c>
      <c r="AA247" s="0" t="n">
        <f aca="false">IF(AND(ISNUMBER(B247),B247&gt;0,ISNUMBER(U247),U247&gt;=0,ISNUMBER(O247),O247&gt;=0),1,0)</f>
        <v>1</v>
      </c>
      <c r="AB247" s="0" t="n">
        <f aca="false">IF(AA247=1,U247+O247,0)</f>
        <v>270</v>
      </c>
      <c r="AC247" s="0" t="n">
        <f aca="false">IF(AA247=1,100*AB247/B247,"")</f>
        <v>0.265371913822928</v>
      </c>
      <c r="AD247" s="0" t="n">
        <f aca="false">IF(AND(AND(ISNUMBER(B247),B247=OriginalFinancials!B247),AND(ISNUMBER(U247),U247=OriginalFinancials!U247),AND(ISNUMBER(O247),O247=OriginalFinancials!O247)),0,1)</f>
        <v>0</v>
      </c>
      <c r="AE247" s="0" t="str">
        <f aca="false">IF(V247=0,"原始0：需核实适用/报告口径","")</f>
        <v/>
      </c>
    </row>
    <row r="248" customFormat="false" ht="15" hidden="false" customHeight="false" outlineLevel="0" collapsed="false">
      <c r="A248" s="0" t="n">
        <v>248</v>
      </c>
      <c r="B248" s="0" t="n">
        <v>87275</v>
      </c>
      <c r="C248" s="0" t="n">
        <v>28369</v>
      </c>
      <c r="D248" s="0" t="n">
        <v>77349</v>
      </c>
      <c r="E248" s="0" t="n">
        <v>0.04</v>
      </c>
      <c r="F248" s="0" t="n">
        <v>9500</v>
      </c>
      <c r="G248" s="0" t="n">
        <v>10.8851331996563</v>
      </c>
      <c r="H248" s="0" t="s">
        <v>405</v>
      </c>
      <c r="I248" s="0" t="n">
        <v>0.764954171049217</v>
      </c>
      <c r="J248" s="0" t="n">
        <v>10828</v>
      </c>
      <c r="K248" s="0" t="n">
        <v>757</v>
      </c>
      <c r="L248" s="0" t="n">
        <v>73207</v>
      </c>
      <c r="M248" s="0" t="n">
        <v>72647</v>
      </c>
      <c r="N248" s="0" t="n">
        <v>61622</v>
      </c>
      <c r="O248" s="0" t="n">
        <v>326</v>
      </c>
      <c r="P248" s="0" t="s">
        <v>178</v>
      </c>
      <c r="Q248" s="0" t="n">
        <v>0.445312606717937</v>
      </c>
      <c r="R248" s="0" t="n">
        <v>3.49219492000097</v>
      </c>
      <c r="S248" s="0" t="n">
        <v>1</v>
      </c>
      <c r="T248" s="0" t="n">
        <v>230</v>
      </c>
      <c r="U248" s="0" t="n">
        <v>0</v>
      </c>
      <c r="V248" s="0" t="n">
        <v>0</v>
      </c>
      <c r="W248" s="0" t="n">
        <v>20230331</v>
      </c>
      <c r="X248" s="0" t="n">
        <v>-0.092255709763537</v>
      </c>
      <c r="Y248" s="0" t="n">
        <v>-0.84</v>
      </c>
      <c r="Z248" s="0" t="s">
        <v>105</v>
      </c>
      <c r="AA248" s="0" t="n">
        <f aca="false">IF(AND(ISNUMBER(B248),B248&gt;0,ISNUMBER(U248),U248&gt;=0,ISNUMBER(O248),O248&gt;=0),1,0)</f>
        <v>1</v>
      </c>
      <c r="AB248" s="0" t="n">
        <f aca="false">IF(AA248=1,U248+O248,0)</f>
        <v>326</v>
      </c>
      <c r="AC248" s="0" t="n">
        <f aca="false">IF(AA248=1,100*AB248/B248,"")</f>
        <v>0.373531939272415</v>
      </c>
      <c r="AD248" s="0" t="n">
        <f aca="false">IF(AND(AND(ISNUMBER(B248),B248=OriginalFinancials!B248),AND(ISNUMBER(U248),U248=OriginalFinancials!U248),AND(ISNUMBER(O248),O248=OriginalFinancials!O248)),0,1)</f>
        <v>0</v>
      </c>
      <c r="AE248" s="0" t="str">
        <f aca="false">IF(V248=0,"原始0：需核实适用/报告口径","")</f>
        <v>原始0：需核实适用/报告口径</v>
      </c>
    </row>
    <row r="249" customFormat="false" ht="15" hidden="false" customHeight="false" outlineLevel="0" collapsed="false">
      <c r="A249" s="0" t="n">
        <v>249</v>
      </c>
      <c r="B249" s="0" t="n">
        <v>288419</v>
      </c>
      <c r="C249" s="0" t="n">
        <v>28837</v>
      </c>
      <c r="D249" s="0" t="n">
        <v>260987</v>
      </c>
      <c r="E249" s="0" t="n">
        <v>0.01</v>
      </c>
      <c r="F249" s="0" t="n">
        <v>24341</v>
      </c>
      <c r="G249" s="0" t="n">
        <v>8.4394578720542</v>
      </c>
      <c r="H249" s="0" t="s">
        <v>406</v>
      </c>
      <c r="I249" s="0" t="n">
        <v>1.21477937267411</v>
      </c>
      <c r="J249" s="0" t="n">
        <v>6280</v>
      </c>
      <c r="K249" s="0" t="n">
        <v>1194</v>
      </c>
      <c r="L249" s="0" t="n">
        <v>188100</v>
      </c>
      <c r="M249" s="0" t="n">
        <v>185815</v>
      </c>
      <c r="N249" s="0" t="n">
        <v>179697</v>
      </c>
      <c r="O249" s="0" t="n">
        <v>19</v>
      </c>
      <c r="P249" s="0" t="s">
        <v>180</v>
      </c>
      <c r="Q249" s="0" t="n">
        <v>0.0101010101010101</v>
      </c>
      <c r="R249" s="0" t="n">
        <v>3.67223584421509</v>
      </c>
      <c r="S249" s="0" t="n">
        <v>-2</v>
      </c>
      <c r="T249" s="0" t="n">
        <v>454</v>
      </c>
      <c r="U249" s="0" t="n">
        <v>0</v>
      </c>
      <c r="V249" s="0" t="n">
        <v>16.3411097226028</v>
      </c>
      <c r="W249" s="0" t="n">
        <v>20230331</v>
      </c>
      <c r="X249" s="0" t="n">
        <v>0.859132971569657</v>
      </c>
      <c r="Y249" s="0" t="n">
        <v>10.72</v>
      </c>
      <c r="Z249" s="0" t="s">
        <v>112</v>
      </c>
      <c r="AA249" s="0" t="n">
        <f aca="false">IF(AND(ISNUMBER(B249),B249&gt;0,ISNUMBER(U249),U249&gt;=0,ISNUMBER(O249),O249&gt;=0),1,0)</f>
        <v>1</v>
      </c>
      <c r="AB249" s="0" t="n">
        <f aca="false">IF(AA249=1,U249+O249,0)</f>
        <v>19</v>
      </c>
      <c r="AC249" s="0" t="n">
        <f aca="false">IF(AA249=1,100*AB249/B249,"")</f>
        <v>0.00658763812370198</v>
      </c>
      <c r="AD249" s="0" t="n">
        <f aca="false">IF(AND(AND(ISNUMBER(B249),B249=OriginalFinancials!B249),AND(ISNUMBER(U249),U249=OriginalFinancials!U249),AND(ISNUMBER(O249),O249=OriginalFinancials!O249)),0,1)</f>
        <v>0</v>
      </c>
      <c r="AE249" s="0" t="str">
        <f aca="false">IF(V249=0,"原始0：需核实适用/报告口径","")</f>
        <v/>
      </c>
    </row>
    <row r="250" customFormat="false" ht="15" hidden="false" customHeight="false" outlineLevel="0" collapsed="false">
      <c r="A250" s="0" t="n">
        <v>250</v>
      </c>
      <c r="B250" s="0" t="n">
        <v>185057</v>
      </c>
      <c r="C250" s="0" t="n">
        <v>29636</v>
      </c>
      <c r="D250" s="0" t="n">
        <v>147344</v>
      </c>
      <c r="E250" s="0" t="n">
        <v>0.07</v>
      </c>
      <c r="F250" s="0" t="n">
        <v>24743</v>
      </c>
      <c r="G250" s="0" t="n">
        <v>13.3704750428246</v>
      </c>
      <c r="H250" s="0" t="s">
        <v>407</v>
      </c>
      <c r="I250" s="0" t="n">
        <v>1.44858462187566</v>
      </c>
      <c r="J250" s="0" t="n">
        <v>1626</v>
      </c>
      <c r="K250" s="0" t="n">
        <v>1707</v>
      </c>
      <c r="L250" s="0" t="n">
        <v>127987</v>
      </c>
      <c r="M250" s="0" t="n">
        <v>126133</v>
      </c>
      <c r="N250" s="0" t="n">
        <v>124654</v>
      </c>
      <c r="O250" s="0" t="n">
        <v>2472</v>
      </c>
      <c r="P250" s="0" t="s">
        <v>182</v>
      </c>
      <c r="Q250" s="0" t="n">
        <v>1.93144616250088</v>
      </c>
      <c r="R250" s="0" t="n">
        <v>3.56806733632053</v>
      </c>
      <c r="S250" s="0" t="n">
        <v>3</v>
      </c>
      <c r="T250" s="0" t="n">
        <v>2283</v>
      </c>
      <c r="U250" s="0" t="n">
        <v>0</v>
      </c>
      <c r="V250" s="0" t="n">
        <v>26.4550684388018</v>
      </c>
      <c r="W250" s="0" t="n">
        <v>20230331</v>
      </c>
      <c r="X250" s="0" t="n">
        <v>0.327344743116213</v>
      </c>
      <c r="Y250" s="0" t="n">
        <v>2.45</v>
      </c>
      <c r="Z250" s="0" t="s">
        <v>105</v>
      </c>
      <c r="AA250" s="0" t="n">
        <f aca="false">IF(AND(ISNUMBER(B250),B250&gt;0,ISNUMBER(U250),U250&gt;=0,ISNUMBER(O250),O250&gt;=0),1,0)</f>
        <v>1</v>
      </c>
      <c r="AB250" s="0" t="n">
        <f aca="false">IF(AA250=1,U250+O250,0)</f>
        <v>2472</v>
      </c>
      <c r="AC250" s="0" t="n">
        <f aca="false">IF(AA250=1,100*AB250/B250,"")</f>
        <v>1.33580464397456</v>
      </c>
      <c r="AD250" s="0" t="n">
        <f aca="false">IF(AND(AND(ISNUMBER(B250),B250=OriginalFinancials!B250),AND(ISNUMBER(U250),U250=OriginalFinancials!U250),AND(ISNUMBER(O250),O250=OriginalFinancials!O250)),0,1)</f>
        <v>0</v>
      </c>
      <c r="AE250" s="0" t="str">
        <f aca="false">IF(V250=0,"原始0：需核实适用/报告口径","")</f>
        <v/>
      </c>
    </row>
    <row r="251" customFormat="false" ht="15" hidden="false" customHeight="false" outlineLevel="0" collapsed="false">
      <c r="A251" s="0" t="n">
        <v>251</v>
      </c>
      <c r="B251" s="0" t="n">
        <v>189487</v>
      </c>
      <c r="C251" s="0" t="n">
        <v>29743</v>
      </c>
      <c r="D251" s="0" t="n">
        <v>163950</v>
      </c>
      <c r="E251" s="0" t="n">
        <v>-0.03</v>
      </c>
      <c r="F251" s="0" t="n">
        <v>16226</v>
      </c>
      <c r="G251" s="0" t="n">
        <v>8.5631204251479</v>
      </c>
      <c r="H251" s="0" t="s">
        <v>408</v>
      </c>
      <c r="I251" s="0" t="n">
        <v>0.754678133339668</v>
      </c>
      <c r="J251" s="0" t="n">
        <v>24692</v>
      </c>
      <c r="K251" s="0" t="n">
        <v>20551</v>
      </c>
      <c r="L251" s="0" t="n">
        <v>126279</v>
      </c>
      <c r="M251" s="0" t="n">
        <v>125326</v>
      </c>
      <c r="N251" s="0" t="n">
        <v>80937</v>
      </c>
      <c r="O251" s="0" t="n">
        <v>203</v>
      </c>
      <c r="P251" s="0" t="s">
        <v>184</v>
      </c>
      <c r="Q251" s="0" t="n">
        <v>0.160755153271724</v>
      </c>
      <c r="R251" s="0" t="n">
        <v>2.47345429828997</v>
      </c>
      <c r="S251" s="0" t="n">
        <v>0</v>
      </c>
      <c r="T251" s="0" t="n">
        <v>607</v>
      </c>
      <c r="U251" s="0" t="n">
        <v>0</v>
      </c>
      <c r="V251" s="0" t="n">
        <v>17.9095834111713</v>
      </c>
      <c r="W251" s="0" t="n">
        <v>20230331</v>
      </c>
      <c r="X251" s="0" t="n">
        <v>0.71029392943987</v>
      </c>
      <c r="Y251" s="0" t="n">
        <v>8.45</v>
      </c>
      <c r="Z251" s="0" t="s">
        <v>105</v>
      </c>
      <c r="AA251" s="0" t="n">
        <f aca="false">IF(AND(ISNUMBER(B251),B251&gt;0,ISNUMBER(U251),U251&gt;=0,ISNUMBER(O251),O251&gt;=0),1,0)</f>
        <v>1</v>
      </c>
      <c r="AB251" s="0" t="n">
        <f aca="false">IF(AA251=1,U251+O251,0)</f>
        <v>203</v>
      </c>
      <c r="AC251" s="0" t="n">
        <f aca="false">IF(AA251=1,100*AB251/B251,"")</f>
        <v>0.107131359934982</v>
      </c>
      <c r="AD251" s="0" t="n">
        <f aca="false">IF(AND(AND(ISNUMBER(B251),B251=OriginalFinancials!B251),AND(ISNUMBER(U251),U251=OriginalFinancials!U251),AND(ISNUMBER(O251),O251=OriginalFinancials!O251)),0,1)</f>
        <v>0</v>
      </c>
      <c r="AE251" s="0" t="str">
        <f aca="false">IF(V251=0,"原始0：需核实适用/报告口径","")</f>
        <v/>
      </c>
    </row>
    <row r="252" customFormat="false" ht="15" hidden="false" customHeight="false" outlineLevel="0" collapsed="false">
      <c r="A252" s="0" t="n">
        <v>252</v>
      </c>
      <c r="B252" s="0" t="n">
        <v>548387</v>
      </c>
      <c r="C252" s="0" t="n">
        <v>29744</v>
      </c>
      <c r="D252" s="0" t="n">
        <v>438333</v>
      </c>
      <c r="E252" s="0" t="n">
        <v>0</v>
      </c>
      <c r="F252" s="0" t="n">
        <v>54173</v>
      </c>
      <c r="G252" s="0" t="n">
        <v>9.87860762563664</v>
      </c>
      <c r="H252" s="0" t="s">
        <v>409</v>
      </c>
      <c r="I252" s="0" t="n">
        <v>0.809740542964794</v>
      </c>
      <c r="J252" s="0" t="n">
        <v>24690</v>
      </c>
      <c r="K252" s="0" t="n">
        <v>8293</v>
      </c>
      <c r="L252" s="0" t="n">
        <v>405809</v>
      </c>
      <c r="M252" s="0" t="n">
        <v>402523</v>
      </c>
      <c r="N252" s="0" t="n">
        <v>372826</v>
      </c>
      <c r="O252" s="0" t="n">
        <v>88</v>
      </c>
      <c r="P252" s="0" t="s">
        <v>186</v>
      </c>
      <c r="Q252" s="0" t="n">
        <v>0.0216850784482355</v>
      </c>
      <c r="R252" s="0" t="n">
        <v>2.48227565047063</v>
      </c>
      <c r="S252" s="0" t="n">
        <v>-1</v>
      </c>
      <c r="T252" s="0" t="n">
        <v>240</v>
      </c>
      <c r="U252" s="0" t="n">
        <v>0</v>
      </c>
      <c r="V252" s="0" t="n">
        <v>19.7611282318518</v>
      </c>
      <c r="W252" s="0" t="n">
        <v>20230331</v>
      </c>
      <c r="X252" s="0" t="n">
        <v>0.341873414737028</v>
      </c>
      <c r="Y252" s="0" t="n">
        <v>3.94</v>
      </c>
      <c r="Z252" s="0" t="s">
        <v>123</v>
      </c>
      <c r="AA252" s="0" t="n">
        <f aca="false">IF(AND(ISNUMBER(B252),B252&gt;0,ISNUMBER(U252),U252&gt;=0,ISNUMBER(O252),O252&gt;=0),1,0)</f>
        <v>1</v>
      </c>
      <c r="AB252" s="0" t="n">
        <f aca="false">IF(AA252=1,U252+O252,0)</f>
        <v>88</v>
      </c>
      <c r="AC252" s="0" t="n">
        <f aca="false">IF(AA252=1,100*AB252/B252,"")</f>
        <v>0.0160470616553638</v>
      </c>
      <c r="AD252" s="0" t="n">
        <f aca="false">IF(AND(AND(ISNUMBER(B252),B252=OriginalFinancials!B252),AND(ISNUMBER(U252),U252=OriginalFinancials!U252),AND(ISNUMBER(O252),O252=OriginalFinancials!O252)),0,1)</f>
        <v>0</v>
      </c>
      <c r="AE252" s="0" t="str">
        <f aca="false">IF(V252=0,"原始0：需核实适用/报告口径","")</f>
        <v/>
      </c>
    </row>
    <row r="253" customFormat="false" ht="15" hidden="false" customHeight="false" outlineLevel="0" collapsed="false">
      <c r="A253" s="0" t="n">
        <v>253</v>
      </c>
      <c r="B253" s="0" t="n">
        <v>554362</v>
      </c>
      <c r="C253" s="0" t="n">
        <v>30350</v>
      </c>
      <c r="D253" s="0" t="n">
        <v>454335</v>
      </c>
      <c r="E253" s="0" t="n">
        <v>0</v>
      </c>
      <c r="F253" s="0" t="n">
        <v>53124</v>
      </c>
      <c r="G253" s="0" t="n">
        <v>9.58290791937398</v>
      </c>
      <c r="H253" s="0" t="s">
        <v>410</v>
      </c>
      <c r="I253" s="0" t="n">
        <v>1.30365991392029</v>
      </c>
      <c r="J253" s="0" t="n">
        <v>16693</v>
      </c>
      <c r="K253" s="0" t="n">
        <v>1231</v>
      </c>
      <c r="L253" s="0" t="n">
        <v>393124</v>
      </c>
      <c r="M253" s="0" t="n">
        <v>387999</v>
      </c>
      <c r="N253" s="0" t="n">
        <v>373761</v>
      </c>
      <c r="O253" s="0" t="n">
        <v>1313</v>
      </c>
      <c r="P253" s="0" t="s">
        <v>188</v>
      </c>
      <c r="Q253" s="0" t="n">
        <v>0.333991310629725</v>
      </c>
      <c r="R253" s="0" t="n">
        <v>3.03436326107607</v>
      </c>
      <c r="S253" s="0" t="n">
        <v>-16</v>
      </c>
      <c r="T253" s="0" t="n">
        <v>1612</v>
      </c>
      <c r="U253" s="0" t="n">
        <v>0</v>
      </c>
      <c r="V253" s="0" t="n">
        <v>21.4867285184799</v>
      </c>
      <c r="W253" s="0" t="n">
        <v>20230331</v>
      </c>
      <c r="X253" s="0" t="n">
        <v>0.821587649425802</v>
      </c>
      <c r="Y253" s="0" t="n">
        <v>8.72</v>
      </c>
      <c r="Z253" s="0" t="s">
        <v>112</v>
      </c>
      <c r="AA253" s="0" t="n">
        <f aca="false">IF(AND(ISNUMBER(B253),B253&gt;0,ISNUMBER(U253),U253&gt;=0,ISNUMBER(O253),O253&gt;=0),1,0)</f>
        <v>1</v>
      </c>
      <c r="AB253" s="0" t="n">
        <f aca="false">IF(AA253=1,U253+O253,0)</f>
        <v>1313</v>
      </c>
      <c r="AC253" s="0" t="n">
        <f aca="false">IF(AA253=1,100*AB253/B253,"")</f>
        <v>0.236848846060877</v>
      </c>
      <c r="AD253" s="0" t="n">
        <f aca="false">IF(AND(AND(ISNUMBER(B253),B253=OriginalFinancials!B253),AND(ISNUMBER(U253),U253=OriginalFinancials!U253),AND(ISNUMBER(O253),O253=OriginalFinancials!O253)),0,1)</f>
        <v>0</v>
      </c>
      <c r="AE253" s="0" t="str">
        <f aca="false">IF(V253=0,"原始0：需核实适用/报告口径","")</f>
        <v/>
      </c>
    </row>
    <row r="254" customFormat="false" ht="15" hidden="false" customHeight="false" outlineLevel="0" collapsed="false">
      <c r="A254" s="0" t="n">
        <v>254</v>
      </c>
      <c r="B254" s="0" t="n">
        <v>104047</v>
      </c>
      <c r="C254" s="0" t="n">
        <v>30878</v>
      </c>
      <c r="D254" s="0" t="n">
        <v>76408</v>
      </c>
      <c r="E254" s="0" t="n">
        <v>0.34</v>
      </c>
      <c r="F254" s="0" t="n">
        <v>12490</v>
      </c>
      <c r="G254" s="0" t="n">
        <v>12.0041904139475</v>
      </c>
      <c r="H254" s="0" t="s">
        <v>411</v>
      </c>
      <c r="I254" s="0" t="n">
        <v>1.01662696407517</v>
      </c>
      <c r="J254" s="0" t="n">
        <v>0</v>
      </c>
      <c r="K254" s="0" t="n">
        <v>97</v>
      </c>
      <c r="L254" s="0" t="n">
        <v>83118</v>
      </c>
      <c r="M254" s="0" t="n">
        <v>82273</v>
      </c>
      <c r="N254" s="0" t="n">
        <v>83020</v>
      </c>
      <c r="O254" s="0" t="n">
        <v>710</v>
      </c>
      <c r="P254" s="0" t="s">
        <v>190</v>
      </c>
      <c r="Q254" s="0" t="n">
        <v>0.854207271589788</v>
      </c>
      <c r="R254" s="0" t="n">
        <v>2.00579294029632</v>
      </c>
      <c r="S254" s="0" t="n">
        <v>0</v>
      </c>
      <c r="T254" s="0" t="n">
        <v>25</v>
      </c>
      <c r="U254" s="0" t="n">
        <v>0</v>
      </c>
      <c r="V254" s="0" t="n">
        <v>0</v>
      </c>
      <c r="W254" s="0" t="n">
        <v>20230331</v>
      </c>
      <c r="X254" s="0" t="n">
        <v>-0.300319333057065</v>
      </c>
      <c r="Y254" s="0" t="n">
        <v>-2.47</v>
      </c>
      <c r="Z254" s="0" t="s">
        <v>105</v>
      </c>
      <c r="AA254" s="0" t="n">
        <f aca="false">IF(AND(ISNUMBER(B254),B254&gt;0,ISNUMBER(U254),U254&gt;=0,ISNUMBER(O254),O254&gt;=0),1,0)</f>
        <v>1</v>
      </c>
      <c r="AB254" s="0" t="n">
        <f aca="false">IF(AA254=1,U254+O254,0)</f>
        <v>710</v>
      </c>
      <c r="AC254" s="0" t="n">
        <f aca="false">IF(AA254=1,100*AB254/B254,"")</f>
        <v>0.682383922650341</v>
      </c>
      <c r="AD254" s="0" t="n">
        <f aca="false">IF(AND(AND(ISNUMBER(B254),B254=OriginalFinancials!B254),AND(ISNUMBER(U254),U254=OriginalFinancials!U254),AND(ISNUMBER(O254),O254=OriginalFinancials!O254)),0,1)</f>
        <v>0</v>
      </c>
      <c r="AE254" s="0" t="str">
        <f aca="false">IF(V254=0,"原始0：需核实适用/报告口径","")</f>
        <v>原始0：需核实适用/报告口径</v>
      </c>
    </row>
    <row r="255" customFormat="false" ht="15" hidden="false" customHeight="false" outlineLevel="0" collapsed="false">
      <c r="A255" s="0" t="n">
        <v>255</v>
      </c>
      <c r="B255" s="0" t="n">
        <v>745394</v>
      </c>
      <c r="C255" s="0" t="n">
        <v>33418</v>
      </c>
      <c r="D255" s="0" t="n">
        <v>529254</v>
      </c>
      <c r="E255" s="0" t="n">
        <v>0.01</v>
      </c>
      <c r="F255" s="0" t="n">
        <v>67356</v>
      </c>
      <c r="G255" s="0" t="n">
        <v>9.03629489907351</v>
      </c>
      <c r="H255" s="0" t="s">
        <v>412</v>
      </c>
      <c r="I255" s="0" t="n">
        <v>0.783495965601006</v>
      </c>
      <c r="J255" s="0" t="n">
        <v>46441</v>
      </c>
      <c r="K255" s="0" t="n">
        <v>11330</v>
      </c>
      <c r="L255" s="0" t="n">
        <v>363499</v>
      </c>
      <c r="M255" s="0" t="n">
        <v>360651</v>
      </c>
      <c r="N255" s="0" t="n">
        <v>305729</v>
      </c>
      <c r="O255" s="0" t="n">
        <v>1287</v>
      </c>
      <c r="P255" s="0" t="s">
        <v>192</v>
      </c>
      <c r="Q255" s="0" t="n">
        <v>0.354058745691185</v>
      </c>
      <c r="R255" s="0" t="n">
        <v>3.00755226824019</v>
      </c>
      <c r="S255" s="0" t="n">
        <v>2</v>
      </c>
      <c r="T255" s="0" t="n">
        <v>237</v>
      </c>
      <c r="U255" s="0" t="n">
        <v>0</v>
      </c>
      <c r="V255" s="0" t="n">
        <v>18.9057850876711</v>
      </c>
      <c r="W255" s="0" t="n">
        <v>20230331</v>
      </c>
      <c r="X255" s="0" t="n">
        <v>0.931989755103962</v>
      </c>
      <c r="Y255" s="0" t="n">
        <v>10.44</v>
      </c>
      <c r="Z255" s="0" t="s">
        <v>112</v>
      </c>
      <c r="AA255" s="0" t="n">
        <f aca="false">IF(AND(ISNUMBER(B255),B255&gt;0,ISNUMBER(U255),U255&gt;=0,ISNUMBER(O255),O255&gt;=0),1,0)</f>
        <v>1</v>
      </c>
      <c r="AB255" s="0" t="n">
        <f aca="false">IF(AA255=1,U255+O255,0)</f>
        <v>1287</v>
      </c>
      <c r="AC255" s="0" t="n">
        <f aca="false">IF(AA255=1,100*AB255/B255,"")</f>
        <v>0.172660364854024</v>
      </c>
      <c r="AD255" s="0" t="n">
        <f aca="false">IF(AND(AND(ISNUMBER(B255),B255=OriginalFinancials!B255),AND(ISNUMBER(U255),U255=OriginalFinancials!U255),AND(ISNUMBER(O255),O255=OriginalFinancials!O255)),0,1)</f>
        <v>0</v>
      </c>
      <c r="AE255" s="0" t="str">
        <f aca="false">IF(V255=0,"原始0：需核实适用/报告口径","")</f>
        <v/>
      </c>
    </row>
    <row r="256" customFormat="false" ht="15" hidden="false" customHeight="false" outlineLevel="0" collapsed="false">
      <c r="A256" s="0" t="n">
        <v>256</v>
      </c>
      <c r="B256" s="0" t="n">
        <v>66610</v>
      </c>
      <c r="C256" s="0" t="n">
        <v>35206</v>
      </c>
      <c r="D256" s="0" t="n">
        <v>500</v>
      </c>
      <c r="E256" s="0" t="n">
        <v>0</v>
      </c>
      <c r="F256" s="0" t="n">
        <v>64048</v>
      </c>
      <c r="G256" s="0" t="n">
        <v>96.1537306710704</v>
      </c>
      <c r="H256" s="0" t="s">
        <v>413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s">
        <v>252</v>
      </c>
      <c r="Q256" s="0" t="n">
        <v>0</v>
      </c>
      <c r="R256" s="0" t="n">
        <v>4.34943363248294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20230331</v>
      </c>
      <c r="X256" s="0" t="n">
        <v>20.8360558586212</v>
      </c>
      <c r="Y256" s="0" t="n">
        <v>22</v>
      </c>
      <c r="Z256" s="0" t="s">
        <v>123</v>
      </c>
      <c r="AA256" s="0" t="n">
        <f aca="false">IF(AND(ISNUMBER(B256),B256&gt;0,ISNUMBER(U256),U256&gt;=0,ISNUMBER(O256),O256&gt;=0),1,0)</f>
        <v>1</v>
      </c>
      <c r="AB256" s="0" t="n">
        <f aca="false">IF(AA256=1,U256+O256,0)</f>
        <v>0</v>
      </c>
      <c r="AC256" s="0" t="n">
        <f aca="false">IF(AA256=1,100*AB256/B256,"")</f>
        <v>0</v>
      </c>
      <c r="AD256" s="0" t="n">
        <f aca="false">IF(AND(AND(ISNUMBER(B256),B256=OriginalFinancials!B256),AND(ISNUMBER(U256),U256=OriginalFinancials!U256),AND(ISNUMBER(O256),O256=OriginalFinancials!O256)),0,1)</f>
        <v>0</v>
      </c>
      <c r="AE256" s="0" t="str">
        <f aca="false">IF(V256=0,"原始0：需核实适用/报告口径","")</f>
        <v>原始0：需核实适用/报告口径</v>
      </c>
    </row>
    <row r="257" customFormat="false" ht="15" hidden="false" customHeight="false" outlineLevel="0" collapsed="false">
      <c r="A257" s="0" t="n">
        <v>257</v>
      </c>
      <c r="B257" s="0" t="n">
        <v>5707400</v>
      </c>
      <c r="C257" s="0" t="n">
        <v>4255</v>
      </c>
      <c r="D257" s="0" t="n">
        <v>4682533</v>
      </c>
      <c r="E257" s="0" t="n">
        <v>0.01</v>
      </c>
      <c r="F257" s="0" t="n">
        <v>475108</v>
      </c>
      <c r="G257" s="0" t="n">
        <v>8.3244209272173</v>
      </c>
      <c r="H257" s="0" t="s">
        <v>414</v>
      </c>
      <c r="I257" s="0" t="n">
        <v>0.910667121174592</v>
      </c>
      <c r="J257" s="0" t="n">
        <v>347458</v>
      </c>
      <c r="K257" s="0" t="n">
        <v>19811</v>
      </c>
      <c r="L257" s="0" t="n">
        <v>4077670</v>
      </c>
      <c r="M257" s="0" t="n">
        <v>4040536</v>
      </c>
      <c r="N257" s="0" t="n">
        <v>3668834</v>
      </c>
      <c r="O257" s="0" t="n">
        <v>2958</v>
      </c>
      <c r="P257" s="0" t="s">
        <v>194</v>
      </c>
      <c r="Q257" s="0" t="n">
        <v>0.0725414268442517</v>
      </c>
      <c r="R257" s="0" t="n">
        <v>2.65321190023137</v>
      </c>
      <c r="S257" s="0" t="n">
        <v>227</v>
      </c>
      <c r="T257" s="0" t="n">
        <v>2138</v>
      </c>
      <c r="U257" s="0" t="n">
        <v>0</v>
      </c>
      <c r="V257" s="0" t="n">
        <v>13.1782412567421</v>
      </c>
      <c r="W257" s="0" t="n">
        <v>20230331</v>
      </c>
      <c r="X257" s="0" t="n">
        <v>0.937848206885979</v>
      </c>
      <c r="Y257" s="0" t="n">
        <v>11.39</v>
      </c>
      <c r="Z257" s="0" t="s">
        <v>105</v>
      </c>
      <c r="AA257" s="0" t="n">
        <f aca="false">IF(AND(ISNUMBER(B257),B257&gt;0,ISNUMBER(U257),U257&gt;=0,ISNUMBER(O257),O257&gt;=0),1,0)</f>
        <v>1</v>
      </c>
      <c r="AB257" s="0" t="n">
        <f aca="false">IF(AA257=1,U257+O257,0)</f>
        <v>2958</v>
      </c>
      <c r="AC257" s="0" t="n">
        <f aca="false">IF(AA257=1,100*AB257/B257,"")</f>
        <v>0.0518274520797561</v>
      </c>
      <c r="AD257" s="0" t="n">
        <f aca="false">IF(AND(AND(ISNUMBER(B257),B257=OriginalFinancials!B257),AND(ISNUMBER(U257),U257=OriginalFinancials!U257),AND(ISNUMBER(O257),O257=OriginalFinancials!O257)),0,1)</f>
        <v>0</v>
      </c>
      <c r="AE257" s="0" t="str">
        <f aca="false">IF(V257=0,"原始0：需核实适用/报告口径","")</f>
        <v/>
      </c>
    </row>
    <row r="258" customFormat="false" ht="15" hidden="false" customHeight="false" outlineLevel="0" collapsed="false">
      <c r="A258" s="0" t="n">
        <v>258</v>
      </c>
      <c r="B258" s="0" t="n">
        <v>2776791</v>
      </c>
      <c r="C258" s="0" t="n">
        <v>4256</v>
      </c>
      <c r="D258" s="0" t="n">
        <v>2467296</v>
      </c>
      <c r="E258" s="0" t="n">
        <v>0.08</v>
      </c>
      <c r="F258" s="0" t="n">
        <v>199927</v>
      </c>
      <c r="G258" s="0" t="n">
        <v>7.1999297030277</v>
      </c>
      <c r="H258" s="0" t="s">
        <v>415</v>
      </c>
      <c r="I258" s="0" t="n">
        <v>1.18304639742754</v>
      </c>
      <c r="J258" s="0" t="n">
        <v>294299</v>
      </c>
      <c r="K258" s="0" t="n">
        <v>19435</v>
      </c>
      <c r="L258" s="0" t="n">
        <v>1982847</v>
      </c>
      <c r="M258" s="0" t="n">
        <v>1959389</v>
      </c>
      <c r="N258" s="0" t="n">
        <v>1576558</v>
      </c>
      <c r="O258" s="0" t="n">
        <v>1800</v>
      </c>
      <c r="P258" s="0" t="s">
        <v>196</v>
      </c>
      <c r="Q258" s="0" t="n">
        <v>0.101268529543631</v>
      </c>
      <c r="R258" s="0" t="n">
        <v>2.70732453141392</v>
      </c>
      <c r="S258" s="0" t="n">
        <v>25</v>
      </c>
      <c r="T258" s="0" t="n">
        <v>946</v>
      </c>
      <c r="U258" s="0" t="n">
        <v>208</v>
      </c>
      <c r="V258" s="0" t="n">
        <v>13.6350384316431</v>
      </c>
      <c r="W258" s="0" t="n">
        <v>20230331</v>
      </c>
      <c r="X258" s="0" t="n">
        <v>1.19339414885096</v>
      </c>
      <c r="Y258" s="0" t="n">
        <v>16.35</v>
      </c>
      <c r="Z258" s="0" t="s">
        <v>105</v>
      </c>
      <c r="AA258" s="0" t="n">
        <f aca="false">IF(AND(ISNUMBER(B258),B258&gt;0,ISNUMBER(U258),U258&gt;=0,ISNUMBER(O258),O258&gt;=0),1,0)</f>
        <v>1</v>
      </c>
      <c r="AB258" s="0" t="n">
        <f aca="false">IF(AA258=1,U258+O258,0)</f>
        <v>2008</v>
      </c>
      <c r="AC258" s="0" t="n">
        <f aca="false">IF(AA258=1,100*AB258/B258,"")</f>
        <v>0.072313688714779</v>
      </c>
      <c r="AD258" s="0" t="n">
        <f aca="false">IF(AND(AND(ISNUMBER(B258),B258=OriginalFinancials!B258),AND(ISNUMBER(U258),U258=OriginalFinancials!U258),AND(ISNUMBER(O258),O258=OriginalFinancials!O258)),0,1)</f>
        <v>0</v>
      </c>
      <c r="AE258" s="0" t="str">
        <f aca="false">IF(V258=0,"原始0：需核实适用/报告口径","")</f>
        <v/>
      </c>
    </row>
    <row r="259" customFormat="false" ht="15" hidden="false" customHeight="false" outlineLevel="0" collapsed="false">
      <c r="A259" s="0" t="n">
        <v>259</v>
      </c>
      <c r="B259" s="0" t="n">
        <v>693867</v>
      </c>
      <c r="C259" s="0" t="n">
        <v>59086</v>
      </c>
      <c r="D259" s="0" t="n">
        <v>607363</v>
      </c>
      <c r="E259" s="0" t="n">
        <v>-0.07</v>
      </c>
      <c r="F259" s="0" t="n">
        <v>80605</v>
      </c>
      <c r="G259" s="0" t="n">
        <v>11.6167795845602</v>
      </c>
      <c r="H259" s="0" t="s">
        <v>416</v>
      </c>
      <c r="I259" s="0" t="n">
        <v>1.10141974915643</v>
      </c>
      <c r="J259" s="0" t="n">
        <v>118646</v>
      </c>
      <c r="K259" s="0" t="n">
        <v>0</v>
      </c>
      <c r="L259" s="0" t="n">
        <v>581159</v>
      </c>
      <c r="M259" s="0" t="n">
        <v>574758</v>
      </c>
      <c r="N259" s="0" t="n">
        <v>463062</v>
      </c>
      <c r="O259" s="0" t="n">
        <v>4263</v>
      </c>
      <c r="P259" s="0" t="s">
        <v>198</v>
      </c>
      <c r="Q259" s="0" t="n">
        <v>0.370294532133203</v>
      </c>
      <c r="R259" s="0" t="n">
        <v>4.14472638660804</v>
      </c>
      <c r="S259" s="0" t="n">
        <v>0</v>
      </c>
      <c r="T259" s="0" t="n">
        <v>200</v>
      </c>
      <c r="U259" s="0" t="n">
        <v>0</v>
      </c>
      <c r="V259" s="0" t="n">
        <v>14.3503452916795</v>
      </c>
      <c r="W259" s="0" t="n">
        <v>20230331</v>
      </c>
      <c r="X259" s="0" t="n">
        <v>1.65037409369627</v>
      </c>
      <c r="Y259" s="0" t="n">
        <v>14.18</v>
      </c>
      <c r="Z259" s="0" t="s">
        <v>123</v>
      </c>
      <c r="AA259" s="0" t="n">
        <f aca="false">IF(AND(ISNUMBER(B259),B259&gt;0,ISNUMBER(U259),U259&gt;=0,ISNUMBER(O259),O259&gt;=0),1,0)</f>
        <v>1</v>
      </c>
      <c r="AB259" s="0" t="n">
        <f aca="false">IF(AA259=1,U259+O259,0)</f>
        <v>4263</v>
      </c>
      <c r="AC259" s="0" t="n">
        <f aca="false">IF(AA259=1,100*AB259/B259,"")</f>
        <v>0.614382871645431</v>
      </c>
      <c r="AD259" s="0" t="n">
        <f aca="false">IF(AND(AND(ISNUMBER(B259),B259=OriginalFinancials!B259),AND(ISNUMBER(U259),U259=OriginalFinancials!U259),AND(ISNUMBER(O259),O259=OriginalFinancials!O259)),0,1)</f>
        <v>0</v>
      </c>
      <c r="AE259" s="0" t="str">
        <f aca="false">IF(V259=0,"原始0：需核实适用/报告口径","")</f>
        <v/>
      </c>
    </row>
    <row r="260" customFormat="false" ht="15" hidden="false" customHeight="false" outlineLevel="0" collapsed="false">
      <c r="A260" s="0" t="n">
        <v>260</v>
      </c>
      <c r="B260" s="0" t="n">
        <v>191655</v>
      </c>
      <c r="C260" s="0" t="n">
        <v>59176</v>
      </c>
      <c r="D260" s="0" t="n">
        <v>161440</v>
      </c>
      <c r="E260" s="0" t="n">
        <v>0.2</v>
      </c>
      <c r="F260" s="0" t="n">
        <v>23472</v>
      </c>
      <c r="G260" s="0" t="n">
        <v>12.2470063395163</v>
      </c>
      <c r="H260" s="0" t="s">
        <v>417</v>
      </c>
      <c r="I260" s="0" t="n">
        <v>0.988404834447605</v>
      </c>
      <c r="J260" s="0" t="n">
        <v>18881</v>
      </c>
      <c r="K260" s="0" t="n">
        <v>8</v>
      </c>
      <c r="L260" s="0" t="n">
        <v>138506</v>
      </c>
      <c r="M260" s="0" t="n">
        <v>137137</v>
      </c>
      <c r="N260" s="0" t="n">
        <v>119629</v>
      </c>
      <c r="O260" s="0" t="n">
        <v>0</v>
      </c>
      <c r="P260" s="0" t="s">
        <v>200</v>
      </c>
      <c r="Q260" s="0" t="n">
        <v>0</v>
      </c>
      <c r="R260" s="0" t="n">
        <v>2.88197979481557</v>
      </c>
      <c r="S260" s="0" t="n">
        <v>0</v>
      </c>
      <c r="T260" s="0" t="n">
        <v>0</v>
      </c>
      <c r="U260" s="0" t="n">
        <v>0</v>
      </c>
      <c r="V260" s="0" t="n">
        <v>18.2380826024283</v>
      </c>
      <c r="W260" s="0" t="n">
        <v>20230331</v>
      </c>
      <c r="X260" s="0" t="n">
        <v>0.210682355624214</v>
      </c>
      <c r="Y260" s="0" t="n">
        <v>1.66</v>
      </c>
      <c r="Z260" s="0" t="s">
        <v>123</v>
      </c>
      <c r="AA260" s="0" t="n">
        <f aca="false">IF(AND(ISNUMBER(B260),B260&gt;0,ISNUMBER(U260),U260&gt;=0,ISNUMBER(O260),O260&gt;=0),1,0)</f>
        <v>1</v>
      </c>
      <c r="AB260" s="0" t="n">
        <f aca="false">IF(AA260=1,U260+O260,0)</f>
        <v>0</v>
      </c>
      <c r="AC260" s="0" t="n">
        <f aca="false">IF(AA260=1,100*AB260/B260,"")</f>
        <v>0</v>
      </c>
      <c r="AD260" s="0" t="n">
        <f aca="false">IF(AND(AND(ISNUMBER(B260),B260=OriginalFinancials!B260),AND(ISNUMBER(U260),U260=OriginalFinancials!U260),AND(ISNUMBER(O260),O260=OriginalFinancials!O260)),0,1)</f>
        <v>0</v>
      </c>
      <c r="AE260" s="0" t="str">
        <f aca="false">IF(V260=0,"原始0：需核实适用/报告口径","")</f>
        <v/>
      </c>
    </row>
    <row r="261" customFormat="false" ht="15" hidden="false" customHeight="false" outlineLevel="0" collapsed="false">
      <c r="A261" s="0" t="n">
        <v>261</v>
      </c>
      <c r="B261" s="0" t="n">
        <v>44619</v>
      </c>
      <c r="C261" s="0" t="n">
        <v>59289</v>
      </c>
      <c r="D261" s="0" t="n">
        <v>22939</v>
      </c>
      <c r="E261" s="0" t="n">
        <v>0.9</v>
      </c>
      <c r="F261" s="0" t="n">
        <v>20800</v>
      </c>
      <c r="G261" s="0" t="n">
        <v>46.6169120778144</v>
      </c>
      <c r="H261" s="0" t="s">
        <v>418</v>
      </c>
      <c r="I261" s="0" t="n">
        <v>1.15150965636051</v>
      </c>
      <c r="J261" s="0" t="n">
        <v>5881</v>
      </c>
      <c r="K261" s="0" t="n">
        <v>0</v>
      </c>
      <c r="L261" s="0" t="n">
        <v>11029</v>
      </c>
      <c r="M261" s="0" t="n">
        <v>10902</v>
      </c>
      <c r="N261" s="0" t="n">
        <v>4676</v>
      </c>
      <c r="O261" s="0" t="n">
        <v>0</v>
      </c>
      <c r="P261" s="0" t="s">
        <v>364</v>
      </c>
      <c r="Q261" s="0" t="n">
        <v>0</v>
      </c>
      <c r="R261" s="0" t="n">
        <v>3.92436110451776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20230331</v>
      </c>
      <c r="X261" s="0" t="n">
        <v>-8.18873306394105</v>
      </c>
      <c r="Y261" s="0" t="n">
        <v>-13.02</v>
      </c>
      <c r="Z261" s="0" t="s">
        <v>123</v>
      </c>
      <c r="AA261" s="0" t="n">
        <f aca="false">IF(AND(ISNUMBER(B261),B261&gt;0,ISNUMBER(U261),U261&gt;=0,ISNUMBER(O261),O261&gt;=0),1,0)</f>
        <v>1</v>
      </c>
      <c r="AB261" s="0" t="n">
        <f aca="false">IF(AA261=1,U261+O261,0)</f>
        <v>0</v>
      </c>
      <c r="AC261" s="0" t="n">
        <f aca="false">IF(AA261=1,100*AB261/B261,"")</f>
        <v>0</v>
      </c>
      <c r="AD261" s="0" t="n">
        <f aca="false">IF(AND(AND(ISNUMBER(B261),B261=OriginalFinancials!B261),AND(ISNUMBER(U261),U261=OriginalFinancials!U261),AND(ISNUMBER(O261),O261=OriginalFinancials!O261)),0,1)</f>
        <v>0</v>
      </c>
      <c r="AE261" s="0" t="str">
        <f aca="false">IF(V261=0,"原始0：需核实适用/报告口径","")</f>
        <v>原始0：需核实适用/报告口径</v>
      </c>
    </row>
    <row r="262" customFormat="false" ht="15" hidden="false" customHeight="false" outlineLevel="0" collapsed="false">
      <c r="A262" s="0" t="n">
        <v>262</v>
      </c>
      <c r="B262" s="0" t="n">
        <v>115337</v>
      </c>
      <c r="C262" s="0" t="n">
        <v>59298</v>
      </c>
      <c r="D262" s="0" t="n">
        <v>85635</v>
      </c>
      <c r="E262" s="0" t="n">
        <v>0.58</v>
      </c>
      <c r="F262" s="0" t="n">
        <v>28720</v>
      </c>
      <c r="G262" s="0" t="n">
        <v>24.9009424555867</v>
      </c>
      <c r="H262" s="0" t="s">
        <v>419</v>
      </c>
      <c r="I262" s="0" t="n">
        <v>0.999434282481614</v>
      </c>
      <c r="J262" s="0" t="n">
        <v>8264</v>
      </c>
      <c r="K262" s="0" t="n">
        <v>0</v>
      </c>
      <c r="L262" s="0" t="n">
        <v>37121</v>
      </c>
      <c r="M262" s="0" t="n">
        <v>36750</v>
      </c>
      <c r="N262" s="0" t="n">
        <v>28863</v>
      </c>
      <c r="O262" s="0" t="n">
        <v>0</v>
      </c>
      <c r="P262" s="0" t="s">
        <v>310</v>
      </c>
      <c r="Q262" s="0" t="n">
        <v>0</v>
      </c>
      <c r="R262" s="0" t="n">
        <v>2.41809750847441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20230331</v>
      </c>
      <c r="X262" s="0" t="n">
        <v>-3.58202471281107</v>
      </c>
      <c r="Y262" s="0" t="n">
        <v>-12.44</v>
      </c>
      <c r="Z262" s="0" t="s">
        <v>112</v>
      </c>
      <c r="AA262" s="0" t="n">
        <f aca="false">IF(AND(ISNUMBER(B262),B262&gt;0,ISNUMBER(U262),U262&gt;=0,ISNUMBER(O262),O262&gt;=0),1,0)</f>
        <v>1</v>
      </c>
      <c r="AB262" s="0" t="n">
        <f aca="false">IF(AA262=1,U262+O262,0)</f>
        <v>0</v>
      </c>
      <c r="AC262" s="0" t="n">
        <f aca="false">IF(AA262=1,100*AB262/B262,"")</f>
        <v>0</v>
      </c>
      <c r="AD262" s="0" t="n">
        <f aca="false">IF(AND(AND(ISNUMBER(B262),B262=OriginalFinancials!B262),AND(ISNUMBER(U262),U262=OriginalFinancials!U262),AND(ISNUMBER(O262),O262=OriginalFinancials!O262)),0,1)</f>
        <v>0</v>
      </c>
      <c r="AE262" s="0" t="str">
        <f aca="false">IF(V262=0,"原始0：需核实适用/报告口径","")</f>
        <v>原始0：需核实适用/报告口径</v>
      </c>
    </row>
    <row r="263" customFormat="false" ht="15" hidden="false" customHeight="false" outlineLevel="0" collapsed="false">
      <c r="A263" s="0" t="n">
        <v>263</v>
      </c>
      <c r="B263" s="0" t="n">
        <v>1030080</v>
      </c>
      <c r="C263" s="0" t="n">
        <v>6271</v>
      </c>
      <c r="D263" s="0" t="n">
        <v>889655</v>
      </c>
      <c r="E263" s="0" t="n">
        <v>0.11</v>
      </c>
      <c r="F263" s="0" t="n">
        <v>91934</v>
      </c>
      <c r="G263" s="0" t="n">
        <v>8.92493786890339</v>
      </c>
      <c r="H263" s="0" t="s">
        <v>420</v>
      </c>
      <c r="I263" s="0" t="n">
        <v>1.21934511576928</v>
      </c>
      <c r="J263" s="0" t="n">
        <v>120865</v>
      </c>
      <c r="K263" s="0" t="n">
        <v>3347</v>
      </c>
      <c r="L263" s="0" t="n">
        <v>759096</v>
      </c>
      <c r="M263" s="0" t="n">
        <v>749840</v>
      </c>
      <c r="N263" s="0" t="n">
        <v>593607</v>
      </c>
      <c r="O263" s="0" t="n">
        <v>8482</v>
      </c>
      <c r="P263" s="0" t="s">
        <v>202</v>
      </c>
      <c r="Q263" s="0" t="n">
        <v>1.14056720098644</v>
      </c>
      <c r="R263" s="0" t="n">
        <v>3.56771486783687</v>
      </c>
      <c r="S263" s="0" t="n">
        <v>-96</v>
      </c>
      <c r="T263" s="0" t="n">
        <v>2551</v>
      </c>
      <c r="U263" s="0" t="n">
        <v>176</v>
      </c>
      <c r="V263" s="0" t="n">
        <v>15.0686740437823</v>
      </c>
      <c r="W263" s="0" t="n">
        <v>20230331</v>
      </c>
      <c r="X263" s="0" t="n">
        <v>1.38518274505742</v>
      </c>
      <c r="Y263" s="0" t="n">
        <v>16.14</v>
      </c>
      <c r="Z263" s="0" t="s">
        <v>112</v>
      </c>
      <c r="AA263" s="0" t="n">
        <f aca="false">IF(AND(ISNUMBER(B263),B263&gt;0,ISNUMBER(U263),U263&gt;=0,ISNUMBER(O263),O263&gt;=0),1,0)</f>
        <v>1</v>
      </c>
      <c r="AB263" s="0" t="n">
        <f aca="false">IF(AA263=1,U263+O263,0)</f>
        <v>8658</v>
      </c>
      <c r="AC263" s="0" t="n">
        <f aca="false">IF(AA263=1,100*AB263/B263,"")</f>
        <v>0.84051724137931</v>
      </c>
      <c r="AD263" s="0" t="n">
        <f aca="false">IF(AND(AND(ISNUMBER(B263),B263=OriginalFinancials!B263),AND(ISNUMBER(U263),U263=OriginalFinancials!U263),AND(ISNUMBER(O263),O263=OriginalFinancials!O263)),0,1)</f>
        <v>0</v>
      </c>
      <c r="AE263" s="0" t="str">
        <f aca="false">IF(V263=0,"原始0：需核实适用/报告口径","")</f>
        <v/>
      </c>
    </row>
    <row r="264" customFormat="false" ht="15" hidden="false" customHeight="false" outlineLevel="0" collapsed="false">
      <c r="A264" s="0" t="n">
        <v>264</v>
      </c>
      <c r="B264" s="0" t="n">
        <v>537695</v>
      </c>
      <c r="C264" s="0" t="n">
        <v>6275</v>
      </c>
      <c r="D264" s="0" t="n">
        <v>478571</v>
      </c>
      <c r="E264" s="0" t="n">
        <v>0</v>
      </c>
      <c r="F264" s="0" t="n">
        <v>28866</v>
      </c>
      <c r="G264" s="0" t="n">
        <v>5.36847097332131</v>
      </c>
      <c r="H264" s="0" t="s">
        <v>421</v>
      </c>
      <c r="I264" s="0" t="n">
        <v>0.423460803784898</v>
      </c>
      <c r="J264" s="0" t="n">
        <v>34399</v>
      </c>
      <c r="K264" s="0" t="n">
        <v>13680</v>
      </c>
      <c r="L264" s="0" t="n">
        <v>316204</v>
      </c>
      <c r="M264" s="0" t="n">
        <v>314865</v>
      </c>
      <c r="N264" s="0" t="n">
        <v>257983</v>
      </c>
      <c r="O264" s="0" t="n">
        <v>1344</v>
      </c>
      <c r="P264" s="0" t="s">
        <v>204</v>
      </c>
      <c r="Q264" s="0" t="n">
        <v>0.425042061453998</v>
      </c>
      <c r="R264" s="0" t="n">
        <v>3.1316128693877</v>
      </c>
      <c r="S264" s="0" t="n">
        <v>-1</v>
      </c>
      <c r="T264" s="0" t="n">
        <v>84</v>
      </c>
      <c r="U264" s="0" t="n">
        <v>0</v>
      </c>
      <c r="V264" s="0" t="n">
        <v>15.478889436504</v>
      </c>
      <c r="W264" s="0" t="n">
        <v>20230331</v>
      </c>
      <c r="X264" s="0" t="n">
        <v>0.598540404742425</v>
      </c>
      <c r="Y264" s="0" t="n">
        <v>12.03</v>
      </c>
      <c r="Z264" s="0" t="s">
        <v>112</v>
      </c>
      <c r="AA264" s="0" t="n">
        <f aca="false">IF(AND(ISNUMBER(B264),B264&gt;0,ISNUMBER(U264),U264&gt;=0,ISNUMBER(O264),O264&gt;=0),1,0)</f>
        <v>1</v>
      </c>
      <c r="AB264" s="0" t="n">
        <f aca="false">IF(AA264=1,U264+O264,0)</f>
        <v>1344</v>
      </c>
      <c r="AC264" s="0" t="n">
        <f aca="false">IF(AA264=1,100*AB264/B264,"")</f>
        <v>0.249955829977961</v>
      </c>
      <c r="AD264" s="0" t="n">
        <f aca="false">IF(AND(AND(ISNUMBER(B264),B264=OriginalFinancials!B264),AND(ISNUMBER(U264),U264=OriginalFinancials!U264),AND(ISNUMBER(O264),O264=OriginalFinancials!O264)),0,1)</f>
        <v>0</v>
      </c>
      <c r="AE264" s="0" t="str">
        <f aca="false">IF(V264=0,"原始0：需核实适用/报告口径","")</f>
        <v/>
      </c>
    </row>
    <row r="265" customFormat="false" ht="15" hidden="false" customHeight="false" outlineLevel="0" collapsed="false">
      <c r="A265" s="0" t="n">
        <v>265</v>
      </c>
      <c r="B265" s="0" t="n">
        <v>83956</v>
      </c>
      <c r="C265" s="0" t="n">
        <v>6280</v>
      </c>
      <c r="D265" s="0" t="n">
        <v>74763</v>
      </c>
      <c r="E265" s="0" t="n">
        <v>0</v>
      </c>
      <c r="F265" s="0" t="n">
        <v>9018</v>
      </c>
      <c r="G265" s="0" t="n">
        <v>10.7413407022726</v>
      </c>
      <c r="H265" s="0" t="s">
        <v>422</v>
      </c>
      <c r="I265" s="0" t="n">
        <v>1.299395082096</v>
      </c>
      <c r="J265" s="0" t="n">
        <v>3599</v>
      </c>
      <c r="K265" s="0" t="n">
        <v>1756</v>
      </c>
      <c r="L265" s="0" t="n">
        <v>63645</v>
      </c>
      <c r="M265" s="0" t="n">
        <v>62818</v>
      </c>
      <c r="N265" s="0" t="n">
        <v>55677</v>
      </c>
      <c r="O265" s="0" t="n">
        <v>597</v>
      </c>
      <c r="P265" s="0" t="s">
        <v>206</v>
      </c>
      <c r="Q265" s="0" t="n">
        <v>0.938015555031817</v>
      </c>
      <c r="R265" s="0" t="n">
        <v>4.84342172329343</v>
      </c>
      <c r="S265" s="0" t="n">
        <v>0</v>
      </c>
      <c r="T265" s="0" t="n">
        <v>768</v>
      </c>
      <c r="U265" s="0" t="n">
        <v>0</v>
      </c>
      <c r="V265" s="0" t="n">
        <v>0</v>
      </c>
      <c r="W265" s="0" t="n">
        <v>20230331</v>
      </c>
      <c r="X265" s="0" t="n">
        <v>1.95501565910601</v>
      </c>
      <c r="Y265" s="0" t="n">
        <v>18.7</v>
      </c>
      <c r="Z265" s="0" t="s">
        <v>112</v>
      </c>
      <c r="AA265" s="0" t="n">
        <f aca="false">IF(AND(ISNUMBER(B265),B265&gt;0,ISNUMBER(U265),U265&gt;=0,ISNUMBER(O265),O265&gt;=0),1,0)</f>
        <v>1</v>
      </c>
      <c r="AB265" s="0" t="n">
        <f aca="false">IF(AA265=1,U265+O265,0)</f>
        <v>597</v>
      </c>
      <c r="AC265" s="0" t="n">
        <f aca="false">IF(AA265=1,100*AB265/B265,"")</f>
        <v>0.711086759731288</v>
      </c>
      <c r="AD265" s="0" t="n">
        <f aca="false">IF(AND(AND(ISNUMBER(B265),B265=OriginalFinancials!B265),AND(ISNUMBER(U265),U265=OriginalFinancials!U265),AND(ISNUMBER(O265),O265=OriginalFinancials!O265)),0,1)</f>
        <v>0</v>
      </c>
      <c r="AE265" s="0" t="str">
        <f aca="false">IF(V265=0,"原始0：需核实适用/报告口径","")</f>
        <v>原始0：需核实适用/报告口径</v>
      </c>
    </row>
    <row r="266" customFormat="false" ht="15" hidden="false" customHeight="false" outlineLevel="0" collapsed="false">
      <c r="A266" s="0" t="n">
        <v>266</v>
      </c>
      <c r="B266" s="0" t="n">
        <v>4024714</v>
      </c>
      <c r="C266" s="0" t="n">
        <v>11971</v>
      </c>
      <c r="D266" s="0" t="n">
        <v>3097302</v>
      </c>
      <c r="E266" s="0" t="n">
        <v>0.07</v>
      </c>
      <c r="F266" s="0" t="n">
        <v>463527</v>
      </c>
      <c r="G266" s="0" t="n">
        <v>11.5170171097872</v>
      </c>
      <c r="H266" s="0" t="s">
        <v>423</v>
      </c>
      <c r="I266" s="0" t="n">
        <v>0.908689672945444</v>
      </c>
      <c r="J266" s="0" t="n">
        <v>218097</v>
      </c>
      <c r="K266" s="0" t="n">
        <v>7796</v>
      </c>
      <c r="L266" s="0" t="n">
        <v>3011149</v>
      </c>
      <c r="M266" s="0" t="n">
        <v>2983787</v>
      </c>
      <c r="N266" s="0" t="n">
        <v>2647016</v>
      </c>
      <c r="O266" s="0" t="n">
        <v>6704</v>
      </c>
      <c r="P266" s="0" t="s">
        <v>104</v>
      </c>
      <c r="Q266" s="0" t="n">
        <v>0.241502496223202</v>
      </c>
      <c r="R266" s="0" t="n">
        <v>3.47596816651074</v>
      </c>
      <c r="S266" s="0" t="n">
        <v>46</v>
      </c>
      <c r="T266" s="0" t="n">
        <v>1816</v>
      </c>
      <c r="U266" s="0" t="n">
        <v>568</v>
      </c>
      <c r="V266" s="0" t="n">
        <v>13.2942278137619</v>
      </c>
      <c r="W266" s="0" t="n">
        <v>20230630</v>
      </c>
      <c r="X266" s="0" t="n">
        <v>1.34667895852712</v>
      </c>
      <c r="Y266" s="0" t="n">
        <v>11.64</v>
      </c>
      <c r="Z266" s="0" t="s">
        <v>105</v>
      </c>
      <c r="AA266" s="0" t="n">
        <f aca="false">IF(AND(ISNUMBER(B266),B266&gt;0,ISNUMBER(U266),U266&gt;=0,ISNUMBER(O266),O266&gt;=0),1,0)</f>
        <v>1</v>
      </c>
      <c r="AB266" s="0" t="n">
        <f aca="false">IF(AA266=1,U266+O266,0)</f>
        <v>7272</v>
      </c>
      <c r="AC266" s="0" t="n">
        <f aca="false">IF(AA266=1,100*AB266/B266,"")</f>
        <v>0.180683646092617</v>
      </c>
      <c r="AD266" s="0" t="n">
        <f aca="false">IF(AND(AND(ISNUMBER(B266),B266=OriginalFinancials!B266),AND(ISNUMBER(U266),U266=OriginalFinancials!U266),AND(ISNUMBER(O266),O266=OriginalFinancials!O266)),0,1)</f>
        <v>0</v>
      </c>
      <c r="AE266" s="0" t="str">
        <f aca="false">IF(V266=0,"原始0：需核实适用/报告口径","")</f>
        <v/>
      </c>
    </row>
    <row r="267" customFormat="false" ht="15" hidden="false" customHeight="false" outlineLevel="0" collapsed="false">
      <c r="A267" s="0" t="n">
        <v>267</v>
      </c>
      <c r="B267" s="0" t="n">
        <v>1000625</v>
      </c>
      <c r="C267" s="0" t="n">
        <v>12874</v>
      </c>
      <c r="D267" s="0" t="n">
        <v>879800</v>
      </c>
      <c r="E267" s="0" t="n">
        <v>-0.02</v>
      </c>
      <c r="F267" s="0" t="n">
        <v>101151</v>
      </c>
      <c r="G267" s="0" t="n">
        <v>10.108782011243</v>
      </c>
      <c r="H267" s="0" t="s">
        <v>424</v>
      </c>
      <c r="I267" s="0" t="n">
        <v>0.982805700964371</v>
      </c>
      <c r="J267" s="0" t="n">
        <v>141954</v>
      </c>
      <c r="K267" s="0" t="n">
        <v>5455</v>
      </c>
      <c r="L267" s="0" t="n">
        <v>781131</v>
      </c>
      <c r="M267" s="0" t="n">
        <v>773454</v>
      </c>
      <c r="N267" s="0" t="n">
        <v>615778</v>
      </c>
      <c r="O267" s="0" t="n">
        <v>420</v>
      </c>
      <c r="P267" s="0" t="s">
        <v>107</v>
      </c>
      <c r="Q267" s="0" t="n">
        <v>0.0537681899706963</v>
      </c>
      <c r="R267" s="0" t="n">
        <v>3.90232385084841</v>
      </c>
      <c r="S267" s="0" t="n">
        <v>32</v>
      </c>
      <c r="T267" s="0" t="n">
        <v>193</v>
      </c>
      <c r="U267" s="0" t="n">
        <v>0</v>
      </c>
      <c r="V267" s="0" t="n">
        <v>15.460188076053</v>
      </c>
      <c r="W267" s="0" t="n">
        <v>20230630</v>
      </c>
      <c r="X267" s="0" t="n">
        <v>1.1001045163411</v>
      </c>
      <c r="Y267" s="0" t="n">
        <v>10.9</v>
      </c>
      <c r="Z267" s="0" t="s">
        <v>105</v>
      </c>
      <c r="AA267" s="0" t="n">
        <f aca="false">IF(AND(ISNUMBER(B267),B267&gt;0,ISNUMBER(U267),U267&gt;=0,ISNUMBER(O267),O267&gt;=0),1,0)</f>
        <v>1</v>
      </c>
      <c r="AB267" s="0" t="n">
        <f aca="false">IF(AA267=1,U267+O267,0)</f>
        <v>420</v>
      </c>
      <c r="AC267" s="0" t="n">
        <f aca="false">IF(AA267=1,100*AB267/B267,"")</f>
        <v>0.0419737663960025</v>
      </c>
      <c r="AD267" s="0" t="n">
        <f aca="false">IF(AND(AND(ISNUMBER(B267),B267=OriginalFinancials!B267),AND(ISNUMBER(U267),U267=OriginalFinancials!U267),AND(ISNUMBER(O267),O267=OriginalFinancials!O267)),0,1)</f>
        <v>0</v>
      </c>
      <c r="AE267" s="0" t="str">
        <f aca="false">IF(V267=0,"原始0：需核实适用/报告口径","")</f>
        <v/>
      </c>
    </row>
    <row r="268" customFormat="false" ht="15" hidden="false" customHeight="false" outlineLevel="0" collapsed="false">
      <c r="A268" s="0" t="n">
        <v>268</v>
      </c>
      <c r="B268" s="0" t="n">
        <v>1812064</v>
      </c>
      <c r="C268" s="0" t="n">
        <v>13063</v>
      </c>
      <c r="D268" s="0" t="n">
        <v>1600851</v>
      </c>
      <c r="E268" s="0" t="n">
        <v>0.14</v>
      </c>
      <c r="F268" s="0" t="n">
        <v>137010</v>
      </c>
      <c r="G268" s="0" t="n">
        <v>7.56099122326805</v>
      </c>
      <c r="H268" s="0" t="s">
        <v>425</v>
      </c>
      <c r="I268" s="0" t="n">
        <v>1.1635900442791</v>
      </c>
      <c r="J268" s="0" t="n">
        <v>53620</v>
      </c>
      <c r="K268" s="0" t="n">
        <v>851</v>
      </c>
      <c r="L268" s="0" t="n">
        <v>1384852</v>
      </c>
      <c r="M268" s="0" t="n">
        <v>1368738</v>
      </c>
      <c r="N268" s="0" t="n">
        <v>1322359</v>
      </c>
      <c r="O268" s="0" t="n">
        <v>501</v>
      </c>
      <c r="P268" s="0" t="s">
        <v>109</v>
      </c>
      <c r="Q268" s="0" t="n">
        <v>0.0875183774150595</v>
      </c>
      <c r="R268" s="0" t="n">
        <v>3.22117893560772</v>
      </c>
      <c r="S268" s="0" t="n">
        <v>53</v>
      </c>
      <c r="T268" s="0" t="n">
        <v>0</v>
      </c>
      <c r="U268" s="0" t="n">
        <v>711</v>
      </c>
      <c r="V268" s="0" t="n">
        <v>0</v>
      </c>
      <c r="W268" s="0" t="n">
        <v>20230630</v>
      </c>
      <c r="X268" s="0" t="n">
        <v>0.106400279958703</v>
      </c>
      <c r="Y268" s="0" t="n">
        <v>1.41</v>
      </c>
      <c r="Z268" s="0" t="s">
        <v>105</v>
      </c>
      <c r="AA268" s="0" t="n">
        <f aca="false">IF(AND(ISNUMBER(B268),B268&gt;0,ISNUMBER(U268),U268&gt;=0,ISNUMBER(O268),O268&gt;=0),1,0)</f>
        <v>1</v>
      </c>
      <c r="AB268" s="0" t="n">
        <f aca="false">IF(AA268=1,U268+O268,0)</f>
        <v>1212</v>
      </c>
      <c r="AC268" s="0" t="n">
        <f aca="false">IF(AA268=1,100*AB268/B268,"")</f>
        <v>0.0668850548325004</v>
      </c>
      <c r="AD268" s="0" t="n">
        <f aca="false">IF(AND(AND(ISNUMBER(B268),B268=OriginalFinancials!B268),AND(ISNUMBER(U268),U268=OriginalFinancials!U268),AND(ISNUMBER(O268),O268=OriginalFinancials!O268)),0,1)</f>
        <v>0</v>
      </c>
      <c r="AE268" s="0" t="str">
        <f aca="false">IF(V268=0,"原始0：需核实适用/报告口径","")</f>
        <v>原始0：需核实适用/报告口径</v>
      </c>
    </row>
    <row r="269" customFormat="false" ht="15" hidden="false" customHeight="false" outlineLevel="0" collapsed="false">
      <c r="A269" s="0" t="n">
        <v>269</v>
      </c>
      <c r="B269" s="0" t="n">
        <v>847137</v>
      </c>
      <c r="C269" s="0" t="n">
        <v>14134</v>
      </c>
      <c r="D269" s="0" t="n">
        <v>678698</v>
      </c>
      <c r="E269" s="0" t="n">
        <v>0.11</v>
      </c>
      <c r="F269" s="0" t="n">
        <v>100453</v>
      </c>
      <c r="G269" s="0" t="n">
        <v>11.8579403331456</v>
      </c>
      <c r="H269" s="0" t="s">
        <v>426</v>
      </c>
      <c r="I269" s="0" t="n">
        <v>1.11359643351935</v>
      </c>
      <c r="J269" s="0" t="n">
        <v>28195</v>
      </c>
      <c r="K269" s="0" t="n">
        <v>29490</v>
      </c>
      <c r="L269" s="0" t="n">
        <v>646015</v>
      </c>
      <c r="M269" s="0" t="n">
        <v>638821</v>
      </c>
      <c r="N269" s="0" t="n">
        <v>571141</v>
      </c>
      <c r="O269" s="0" t="n">
        <v>12099</v>
      </c>
      <c r="P269" s="0" t="s">
        <v>111</v>
      </c>
      <c r="Q269" s="0" t="n">
        <v>1.87286672910072</v>
      </c>
      <c r="R269" s="0" t="n">
        <v>3.29334633797883</v>
      </c>
      <c r="S269" s="0" t="n">
        <v>451</v>
      </c>
      <c r="T269" s="0" t="n">
        <v>5509</v>
      </c>
      <c r="U269" s="0" t="n">
        <v>0</v>
      </c>
      <c r="V269" s="0" t="n">
        <v>18.0862145256514</v>
      </c>
      <c r="W269" s="0" t="n">
        <v>20230630</v>
      </c>
      <c r="X269" s="0" t="n">
        <v>0.701673098405606</v>
      </c>
      <c r="Y269" s="0" t="n">
        <v>5.94</v>
      </c>
      <c r="Z269" s="0" t="s">
        <v>112</v>
      </c>
      <c r="AA269" s="0" t="n">
        <f aca="false">IF(AND(ISNUMBER(B269),B269&gt;0,ISNUMBER(U269),U269&gt;=0,ISNUMBER(O269),O269&gt;=0),1,0)</f>
        <v>1</v>
      </c>
      <c r="AB269" s="0" t="n">
        <f aca="false">IF(AA269=1,U269+O269,0)</f>
        <v>12099</v>
      </c>
      <c r="AC269" s="0" t="n">
        <f aca="false">IF(AA269=1,100*AB269/B269,"")</f>
        <v>1.42822235364528</v>
      </c>
      <c r="AD269" s="0" t="n">
        <f aca="false">IF(AND(AND(ISNUMBER(B269),B269=OriginalFinancials!B269),AND(ISNUMBER(U269),U269=OriginalFinancials!U269),AND(ISNUMBER(O269),O269=OriginalFinancials!O269)),0,1)</f>
        <v>0</v>
      </c>
      <c r="AE269" s="0" t="str">
        <f aca="false">IF(V269=0,"原始0：需核实适用/报告口径","")</f>
        <v/>
      </c>
    </row>
    <row r="270" customFormat="false" ht="15" hidden="false" customHeight="false" outlineLevel="0" collapsed="false">
      <c r="A270" s="0" t="n">
        <v>270</v>
      </c>
      <c r="B270" s="0" t="n">
        <v>231428</v>
      </c>
      <c r="C270" s="0" t="n">
        <v>14136</v>
      </c>
      <c r="D270" s="0" t="n">
        <v>199035</v>
      </c>
      <c r="E270" s="0" t="n">
        <v>0.06</v>
      </c>
      <c r="F270" s="0" t="n">
        <v>15826</v>
      </c>
      <c r="G270" s="0" t="n">
        <v>6.83841194669616</v>
      </c>
      <c r="H270" s="0" t="s">
        <v>427</v>
      </c>
      <c r="I270" s="0" t="n">
        <v>1.30946709317362</v>
      </c>
      <c r="J270" s="0" t="n">
        <v>13599</v>
      </c>
      <c r="K270" s="0" t="n">
        <v>14936</v>
      </c>
      <c r="L270" s="0" t="n">
        <v>146930</v>
      </c>
      <c r="M270" s="0" t="n">
        <v>145006</v>
      </c>
      <c r="N270" s="0" t="n">
        <v>118077</v>
      </c>
      <c r="O270" s="0" t="n">
        <v>71</v>
      </c>
      <c r="P270" s="0" t="s">
        <v>114</v>
      </c>
      <c r="Q270" s="0" t="n">
        <v>0.497515823861703</v>
      </c>
      <c r="R270" s="0" t="n">
        <v>4.11601446727282</v>
      </c>
      <c r="S270" s="0" t="n">
        <v>21</v>
      </c>
      <c r="T270" s="0" t="n">
        <v>1765</v>
      </c>
      <c r="U270" s="0" t="n">
        <v>660</v>
      </c>
      <c r="V270" s="0" t="n">
        <v>17.4186390532544</v>
      </c>
      <c r="W270" s="0" t="n">
        <v>20230630</v>
      </c>
      <c r="X270" s="0" t="n">
        <v>0.65864100406162</v>
      </c>
      <c r="Y270" s="0" t="n">
        <v>9.74</v>
      </c>
      <c r="Z270" s="0" t="s">
        <v>112</v>
      </c>
      <c r="AA270" s="0" t="n">
        <f aca="false">IF(AND(ISNUMBER(B270),B270&gt;0,ISNUMBER(U270),U270&gt;=0,ISNUMBER(O270),O270&gt;=0),1,0)</f>
        <v>1</v>
      </c>
      <c r="AB270" s="0" t="n">
        <f aca="false">IF(AA270=1,U270+O270,0)</f>
        <v>731</v>
      </c>
      <c r="AC270" s="0" t="n">
        <f aca="false">IF(AA270=1,100*AB270/B270,"")</f>
        <v>0.315864977444389</v>
      </c>
      <c r="AD270" s="0" t="n">
        <f aca="false">IF(AND(AND(ISNUMBER(B270),B270=OriginalFinancials!B270),AND(ISNUMBER(U270),U270=OriginalFinancials!U270),AND(ISNUMBER(O270),O270=OriginalFinancials!O270)),0,1)</f>
        <v>0</v>
      </c>
      <c r="AE270" s="0" t="str">
        <f aca="false">IF(V270=0,"原始0：需核实适用/报告口径","")</f>
        <v/>
      </c>
    </row>
    <row r="271" customFormat="false" ht="15" hidden="false" customHeight="false" outlineLevel="0" collapsed="false">
      <c r="A271" s="0" t="n">
        <v>271</v>
      </c>
      <c r="B271" s="0" t="n">
        <v>1455126</v>
      </c>
      <c r="C271" s="0" t="n">
        <v>14140</v>
      </c>
      <c r="D271" s="0" t="n">
        <v>1135506</v>
      </c>
      <c r="E271" s="0" t="n">
        <v>0.04</v>
      </c>
      <c r="F271" s="0" t="n">
        <v>119184</v>
      </c>
      <c r="G271" s="0" t="n">
        <v>8.19063091443628</v>
      </c>
      <c r="H271" s="0" t="s">
        <v>428</v>
      </c>
      <c r="I271" s="0" t="n">
        <v>0.817670852433217</v>
      </c>
      <c r="J271" s="0" t="n">
        <v>93803</v>
      </c>
      <c r="K271" s="0" t="n">
        <v>1397</v>
      </c>
      <c r="L271" s="0" t="n">
        <v>1012877</v>
      </c>
      <c r="M271" s="0" t="n">
        <v>1004595</v>
      </c>
      <c r="N271" s="0" t="n">
        <v>902092</v>
      </c>
      <c r="O271" s="0" t="n">
        <v>4474</v>
      </c>
      <c r="P271" s="0" t="s">
        <v>116</v>
      </c>
      <c r="Q271" s="0" t="n">
        <v>0.441712073627894</v>
      </c>
      <c r="R271" s="0" t="n">
        <v>2.7602160616299</v>
      </c>
      <c r="S271" s="0" t="n">
        <v>18</v>
      </c>
      <c r="T271" s="0" t="n">
        <v>169</v>
      </c>
      <c r="U271" s="0" t="n">
        <v>0</v>
      </c>
      <c r="V271" s="0" t="n">
        <v>0</v>
      </c>
      <c r="W271" s="0" t="n">
        <v>20230630</v>
      </c>
      <c r="X271" s="0" t="n">
        <v>0.339718008369905</v>
      </c>
      <c r="Y271" s="0" t="n">
        <v>4.11</v>
      </c>
      <c r="Z271" s="0" t="s">
        <v>112</v>
      </c>
      <c r="AA271" s="0" t="n">
        <f aca="false">IF(AND(ISNUMBER(B271),B271&gt;0,ISNUMBER(U271),U271&gt;=0,ISNUMBER(O271),O271&gt;=0),1,0)</f>
        <v>1</v>
      </c>
      <c r="AB271" s="0" t="n">
        <f aca="false">IF(AA271=1,U271+O271,0)</f>
        <v>4474</v>
      </c>
      <c r="AC271" s="0" t="n">
        <f aca="false">IF(AA271=1,100*AB271/B271,"")</f>
        <v>0.307464783118438</v>
      </c>
      <c r="AD271" s="0" t="n">
        <f aca="false">IF(AND(AND(ISNUMBER(B271),B271=OriginalFinancials!B271),AND(ISNUMBER(U271),U271=OriginalFinancials!U271),AND(ISNUMBER(O271),O271=OriginalFinancials!O271)),0,1)</f>
        <v>0</v>
      </c>
      <c r="AE271" s="0" t="str">
        <f aca="false">IF(V271=0,"原始0：需核实适用/报告口径","")</f>
        <v>原始0：需核实适用/报告口径</v>
      </c>
    </row>
    <row r="272" customFormat="false" ht="15" hidden="false" customHeight="false" outlineLevel="0" collapsed="false">
      <c r="A272" s="0" t="n">
        <v>272</v>
      </c>
      <c r="B272" s="0" t="n">
        <v>1334466</v>
      </c>
      <c r="C272" s="0" t="n">
        <v>14158</v>
      </c>
      <c r="D272" s="0" t="n">
        <v>1127096</v>
      </c>
      <c r="E272" s="0" t="n">
        <v>0</v>
      </c>
      <c r="F272" s="0" t="n">
        <v>75241</v>
      </c>
      <c r="G272" s="0" t="n">
        <v>5.63828527665748</v>
      </c>
      <c r="H272" s="0" t="s">
        <v>429</v>
      </c>
      <c r="I272" s="0" t="n">
        <v>0.721094787803501</v>
      </c>
      <c r="J272" s="0" t="n">
        <v>41096</v>
      </c>
      <c r="K272" s="0" t="n">
        <v>2333</v>
      </c>
      <c r="L272" s="0" t="n">
        <v>940237</v>
      </c>
      <c r="M272" s="0" t="n">
        <v>933457</v>
      </c>
      <c r="N272" s="0" t="n">
        <v>869255</v>
      </c>
      <c r="O272" s="0" t="n">
        <v>1957</v>
      </c>
      <c r="P272" s="0" t="s">
        <v>118</v>
      </c>
      <c r="Q272" s="0" t="n">
        <v>0.214945806216943</v>
      </c>
      <c r="R272" s="0" t="n">
        <v>3.17333702990149</v>
      </c>
      <c r="S272" s="0" t="n">
        <v>3</v>
      </c>
      <c r="T272" s="0" t="n">
        <v>286</v>
      </c>
      <c r="U272" s="0" t="n">
        <v>64</v>
      </c>
      <c r="V272" s="0" t="n">
        <v>13.4736798668519</v>
      </c>
      <c r="W272" s="0" t="n">
        <v>20230630</v>
      </c>
      <c r="X272" s="0" t="n">
        <v>0.914619400913875</v>
      </c>
      <c r="Y272" s="0" t="n">
        <v>16.54</v>
      </c>
      <c r="Z272" s="0" t="s">
        <v>112</v>
      </c>
      <c r="AA272" s="0" t="n">
        <f aca="false">IF(AND(ISNUMBER(B272),B272&gt;0,ISNUMBER(U272),U272&gt;=0,ISNUMBER(O272),O272&gt;=0),1,0)</f>
        <v>1</v>
      </c>
      <c r="AB272" s="0" t="n">
        <f aca="false">IF(AA272=1,U272+O272,0)</f>
        <v>2021</v>
      </c>
      <c r="AC272" s="0" t="n">
        <f aca="false">IF(AA272=1,100*AB272/B272,"")</f>
        <v>0.151446346328794</v>
      </c>
      <c r="AD272" s="0" t="n">
        <f aca="false">IF(AND(AND(ISNUMBER(B272),B272=OriginalFinancials!B272),AND(ISNUMBER(U272),U272=OriginalFinancials!U272),AND(ISNUMBER(O272),O272=OriginalFinancials!O272)),0,1)</f>
        <v>0</v>
      </c>
      <c r="AE272" s="0" t="str">
        <f aca="false">IF(V272=0,"原始0：需核实适用/报告口径","")</f>
        <v/>
      </c>
    </row>
    <row r="273" customFormat="false" ht="15" hidden="false" customHeight="false" outlineLevel="0" collapsed="false">
      <c r="A273" s="0" t="n">
        <v>273</v>
      </c>
      <c r="B273" s="0" t="n">
        <v>354017</v>
      </c>
      <c r="C273" s="0" t="n">
        <v>14168</v>
      </c>
      <c r="D273" s="0" t="n">
        <v>316211</v>
      </c>
      <c r="E273" s="0" t="n">
        <v>0.18</v>
      </c>
      <c r="F273" s="0" t="n">
        <v>33013</v>
      </c>
      <c r="G273" s="0" t="n">
        <v>9.32525839154617</v>
      </c>
      <c r="H273" s="0" t="s">
        <v>430</v>
      </c>
      <c r="I273" s="0" t="n">
        <v>1.57551285286801</v>
      </c>
      <c r="J273" s="0" t="n">
        <v>11719</v>
      </c>
      <c r="K273" s="0" t="n">
        <v>9368</v>
      </c>
      <c r="L273" s="0" t="n">
        <v>221896</v>
      </c>
      <c r="M273" s="0" t="n">
        <v>218400</v>
      </c>
      <c r="N273" s="0" t="n">
        <v>185047</v>
      </c>
      <c r="O273" s="0" t="n">
        <v>1000</v>
      </c>
      <c r="P273" s="0" t="s">
        <v>120</v>
      </c>
      <c r="Q273" s="0" t="n">
        <v>0.450661571186502</v>
      </c>
      <c r="R273" s="0" t="n">
        <v>3.87001556218775</v>
      </c>
      <c r="S273" s="0" t="n">
        <v>-6</v>
      </c>
      <c r="T273" s="0" t="n">
        <v>648</v>
      </c>
      <c r="U273" s="0" t="n">
        <v>0</v>
      </c>
      <c r="V273" s="0" t="n">
        <v>17.1814956205516</v>
      </c>
      <c r="W273" s="0" t="n">
        <v>20230630</v>
      </c>
      <c r="X273" s="0" t="n">
        <v>0.771338321111053</v>
      </c>
      <c r="Y273" s="0" t="n">
        <v>8.49</v>
      </c>
      <c r="Z273" s="0" t="s">
        <v>112</v>
      </c>
      <c r="AA273" s="0" t="n">
        <f aca="false">IF(AND(ISNUMBER(B273),B273&gt;0,ISNUMBER(U273),U273&gt;=0,ISNUMBER(O273),O273&gt;=0),1,0)</f>
        <v>1</v>
      </c>
      <c r="AB273" s="0" t="n">
        <f aca="false">IF(AA273=1,U273+O273,0)</f>
        <v>1000</v>
      </c>
      <c r="AC273" s="0" t="n">
        <f aca="false">IF(AA273=1,100*AB273/B273,"")</f>
        <v>0.282472310651748</v>
      </c>
      <c r="AD273" s="0" t="n">
        <f aca="false">IF(AND(AND(ISNUMBER(B273),B273=OriginalFinancials!B273),AND(ISNUMBER(U273),U273=OriginalFinancials!U273),AND(ISNUMBER(O273),O273=OriginalFinancials!O273)),0,1)</f>
        <v>0</v>
      </c>
      <c r="AE273" s="0" t="str">
        <f aca="false">IF(V273=0,"原始0：需核实适用/报告口径","")</f>
        <v/>
      </c>
    </row>
    <row r="274" customFormat="false" ht="15" hidden="false" customHeight="false" outlineLevel="0" collapsed="false">
      <c r="A274" s="0" t="n">
        <v>274</v>
      </c>
      <c r="B274" s="0" t="n">
        <v>1364156</v>
      </c>
      <c r="C274" s="0" t="n">
        <v>14240</v>
      </c>
      <c r="D274" s="0" t="n">
        <v>1068855</v>
      </c>
      <c r="E274" s="0" t="n">
        <v>0</v>
      </c>
      <c r="F274" s="0" t="n">
        <v>84062</v>
      </c>
      <c r="G274" s="0" t="n">
        <v>6.16219845824085</v>
      </c>
      <c r="H274" s="0" t="s">
        <v>431</v>
      </c>
      <c r="I274" s="0" t="n">
        <v>1.1548987240257</v>
      </c>
      <c r="J274" s="0" t="n">
        <v>25053</v>
      </c>
      <c r="K274" s="0" t="n">
        <v>18013</v>
      </c>
      <c r="L274" s="0" t="n">
        <v>961383</v>
      </c>
      <c r="M274" s="0" t="n">
        <v>950280</v>
      </c>
      <c r="N274" s="0" t="n">
        <v>840679</v>
      </c>
      <c r="O274" s="0" t="n">
        <v>2407</v>
      </c>
      <c r="P274" s="0" t="s">
        <v>122</v>
      </c>
      <c r="Q274" s="0" t="n">
        <v>0.250368479575778</v>
      </c>
      <c r="R274" s="0" t="n">
        <v>2.84318350205087</v>
      </c>
      <c r="S274" s="0" t="n">
        <v>15</v>
      </c>
      <c r="T274" s="0" t="n">
        <v>439</v>
      </c>
      <c r="U274" s="0" t="n">
        <v>0</v>
      </c>
      <c r="V274" s="0" t="n">
        <v>14.8382290668257</v>
      </c>
      <c r="W274" s="0" t="n">
        <v>20230630</v>
      </c>
      <c r="X274" s="0" t="n">
        <v>0.488172326619474</v>
      </c>
      <c r="Y274" s="0" t="n">
        <v>7.82</v>
      </c>
      <c r="Z274" s="0" t="s">
        <v>123</v>
      </c>
      <c r="AA274" s="0" t="n">
        <f aca="false">IF(AND(ISNUMBER(B274),B274&gt;0,ISNUMBER(U274),U274&gt;=0,ISNUMBER(O274),O274&gt;=0),1,0)</f>
        <v>1</v>
      </c>
      <c r="AB274" s="0" t="n">
        <f aca="false">IF(AA274=1,U274+O274,0)</f>
        <v>2407</v>
      </c>
      <c r="AC274" s="0" t="n">
        <f aca="false">IF(AA274=1,100*AB274/B274,"")</f>
        <v>0.176446095607834</v>
      </c>
      <c r="AD274" s="0" t="n">
        <f aca="false">IF(AND(AND(ISNUMBER(B274),B274=OriginalFinancials!B274),AND(ISNUMBER(U274),U274=OriginalFinancials!U274),AND(ISNUMBER(O274),O274=OriginalFinancials!O274)),0,1)</f>
        <v>0</v>
      </c>
      <c r="AE274" s="0" t="str">
        <f aca="false">IF(V274=0,"原始0：需核实适用/报告口径","")</f>
        <v/>
      </c>
    </row>
    <row r="275" customFormat="false" ht="15" hidden="false" customHeight="false" outlineLevel="0" collapsed="false">
      <c r="A275" s="0" t="n">
        <v>275</v>
      </c>
      <c r="B275" s="0" t="n">
        <v>1072006</v>
      </c>
      <c r="C275" s="0" t="n">
        <v>17115</v>
      </c>
      <c r="D275" s="0" t="n">
        <v>821428</v>
      </c>
      <c r="E275" s="0" t="n">
        <v>0.09</v>
      </c>
      <c r="F275" s="0" t="n">
        <v>81921</v>
      </c>
      <c r="G275" s="0" t="n">
        <v>7.64184155685696</v>
      </c>
      <c r="H275" s="0" t="s">
        <v>432</v>
      </c>
      <c r="I275" s="0" t="n">
        <v>1.0444982544483</v>
      </c>
      <c r="J275" s="0" t="n">
        <v>43867</v>
      </c>
      <c r="K275" s="0" t="n">
        <v>5156</v>
      </c>
      <c r="L275" s="0" t="n">
        <v>882529</v>
      </c>
      <c r="M275" s="0" t="n">
        <v>873311</v>
      </c>
      <c r="N275" s="0" t="n">
        <v>832338</v>
      </c>
      <c r="O275" s="0" t="n">
        <v>254</v>
      </c>
      <c r="P275" s="0" t="s">
        <v>125</v>
      </c>
      <c r="Q275" s="0" t="n">
        <v>0.0287809239129818</v>
      </c>
      <c r="R275" s="0" t="n">
        <v>3.00711122081169</v>
      </c>
      <c r="S275" s="0" t="n">
        <v>11</v>
      </c>
      <c r="T275" s="0" t="n">
        <v>36</v>
      </c>
      <c r="U275" s="0" t="n">
        <v>0</v>
      </c>
      <c r="V275" s="0" t="n">
        <v>13.5922802319822</v>
      </c>
      <c r="W275" s="0" t="n">
        <v>20230630</v>
      </c>
      <c r="X275" s="0" t="n">
        <v>0.58243002750364</v>
      </c>
      <c r="Y275" s="0" t="n">
        <v>7.48</v>
      </c>
      <c r="Z275" s="0" t="s">
        <v>105</v>
      </c>
      <c r="AA275" s="0" t="n">
        <f aca="false">IF(AND(ISNUMBER(B275),B275&gt;0,ISNUMBER(U275),U275&gt;=0,ISNUMBER(O275),O275&gt;=0),1,0)</f>
        <v>1</v>
      </c>
      <c r="AB275" s="0" t="n">
        <f aca="false">IF(AA275=1,U275+O275,0)</f>
        <v>254</v>
      </c>
      <c r="AC275" s="0" t="n">
        <f aca="false">IF(AA275=1,100*AB275/B275,"")</f>
        <v>0.0236938972356498</v>
      </c>
      <c r="AD275" s="0" t="n">
        <f aca="false">IF(AND(AND(ISNUMBER(B275),B275=OriginalFinancials!B275),AND(ISNUMBER(U275),U275=OriginalFinancials!U275),AND(ISNUMBER(O275),O275=OriginalFinancials!O275)),0,1)</f>
        <v>0</v>
      </c>
      <c r="AE275" s="0" t="str">
        <f aca="false">IF(V275=0,"原始0：需核实适用/报告口径","")</f>
        <v/>
      </c>
    </row>
    <row r="276" customFormat="false" ht="15" hidden="false" customHeight="false" outlineLevel="0" collapsed="false">
      <c r="A276" s="0" t="n">
        <v>276</v>
      </c>
      <c r="B276" s="0" t="n">
        <v>1616649</v>
      </c>
      <c r="C276" s="0" t="n">
        <v>17180</v>
      </c>
      <c r="D276" s="0" t="n">
        <v>1185191</v>
      </c>
      <c r="E276" s="0" t="n">
        <v>0.12</v>
      </c>
      <c r="F276" s="0" t="n">
        <v>131745</v>
      </c>
      <c r="G276" s="0" t="n">
        <v>8.14926431154815</v>
      </c>
      <c r="H276" s="0" t="s">
        <v>433</v>
      </c>
      <c r="I276" s="0" t="n">
        <v>0.947256107227489</v>
      </c>
      <c r="J276" s="0" t="n">
        <v>51213</v>
      </c>
      <c r="K276" s="0" t="n">
        <v>198983</v>
      </c>
      <c r="L276" s="0" t="n">
        <v>1450822</v>
      </c>
      <c r="M276" s="0" t="n">
        <v>1437079</v>
      </c>
      <c r="N276" s="0" t="n">
        <v>1177241</v>
      </c>
      <c r="O276" s="0" t="n">
        <v>5043</v>
      </c>
      <c r="P276" s="0" t="s">
        <v>127</v>
      </c>
      <c r="Q276" s="0" t="n">
        <v>0.440302118385302</v>
      </c>
      <c r="R276" s="0" t="n">
        <v>2.9118152452165</v>
      </c>
      <c r="S276" s="0" t="n">
        <v>149</v>
      </c>
      <c r="T276" s="0" t="n">
        <v>1866</v>
      </c>
      <c r="U276" s="0" t="n">
        <v>1345</v>
      </c>
      <c r="V276" s="0" t="n">
        <v>13.6752678572979</v>
      </c>
      <c r="W276" s="0" t="n">
        <v>20230630</v>
      </c>
      <c r="X276" s="0" t="n">
        <v>0.391164988075164</v>
      </c>
      <c r="Y276" s="0" t="n">
        <v>4.75</v>
      </c>
      <c r="Z276" s="0" t="s">
        <v>123</v>
      </c>
      <c r="AA276" s="0" t="n">
        <f aca="false">IF(AND(ISNUMBER(B276),B276&gt;0,ISNUMBER(U276),U276&gt;=0,ISNUMBER(O276),O276&gt;=0),1,0)</f>
        <v>1</v>
      </c>
      <c r="AB276" s="0" t="n">
        <f aca="false">IF(AA276=1,U276+O276,0)</f>
        <v>6388</v>
      </c>
      <c r="AC276" s="0" t="n">
        <f aca="false">IF(AA276=1,100*AB276/B276,"")</f>
        <v>0.395138338625144</v>
      </c>
      <c r="AD276" s="0" t="n">
        <f aca="false">IF(AND(AND(ISNUMBER(B276),B276=OriginalFinancials!B276),AND(ISNUMBER(U276),U276=OriginalFinancials!U276),AND(ISNUMBER(O276),O276=OriginalFinancials!O276)),0,1)</f>
        <v>0</v>
      </c>
      <c r="AE276" s="0" t="str">
        <f aca="false">IF(V276=0,"原始0：需核实适用/报告口径","")</f>
        <v/>
      </c>
    </row>
    <row r="277" customFormat="false" ht="15" hidden="false" customHeight="false" outlineLevel="0" collapsed="false">
      <c r="A277" s="0" t="n">
        <v>277</v>
      </c>
      <c r="B277" s="0" t="n">
        <v>360577</v>
      </c>
      <c r="C277" s="0" t="n">
        <v>17443</v>
      </c>
      <c r="D277" s="0" t="n">
        <v>321273</v>
      </c>
      <c r="E277" s="0" t="n">
        <v>0.03</v>
      </c>
      <c r="F277" s="0" t="n">
        <v>38058</v>
      </c>
      <c r="G277" s="0" t="n">
        <v>10.5547497483201</v>
      </c>
      <c r="H277" s="0" t="s">
        <v>434</v>
      </c>
      <c r="I277" s="0" t="n">
        <v>0.826244071369419</v>
      </c>
      <c r="J277" s="0" t="n">
        <v>0</v>
      </c>
      <c r="K277" s="0" t="n">
        <v>716</v>
      </c>
      <c r="L277" s="0" t="n">
        <v>212528</v>
      </c>
      <c r="M277" s="0" t="n">
        <v>210772</v>
      </c>
      <c r="N277" s="0" t="n">
        <v>210812</v>
      </c>
      <c r="O277" s="0" t="n">
        <v>109</v>
      </c>
      <c r="P277" s="0" t="s">
        <v>129</v>
      </c>
      <c r="Q277" s="0" t="n">
        <v>0.0512873597831815</v>
      </c>
      <c r="R277" s="0" t="n">
        <v>1.66288900108496</v>
      </c>
      <c r="S277" s="0" t="n">
        <v>0</v>
      </c>
      <c r="T277" s="0" t="n">
        <v>1208</v>
      </c>
      <c r="U277" s="0" t="n">
        <v>0</v>
      </c>
      <c r="V277" s="0" t="n">
        <v>0</v>
      </c>
      <c r="W277" s="0" t="n">
        <v>20230630</v>
      </c>
      <c r="X277" s="0" t="n">
        <v>0.0986572549921649</v>
      </c>
      <c r="Y277" s="0" t="n">
        <v>0.95</v>
      </c>
      <c r="Z277" s="0" t="s">
        <v>123</v>
      </c>
      <c r="AA277" s="0" t="n">
        <f aca="false">IF(AND(ISNUMBER(B277),B277&gt;0,ISNUMBER(U277),U277&gt;=0,ISNUMBER(O277),O277&gt;=0),1,0)</f>
        <v>1</v>
      </c>
      <c r="AB277" s="0" t="n">
        <f aca="false">IF(AA277=1,U277+O277,0)</f>
        <v>109</v>
      </c>
      <c r="AC277" s="0" t="n">
        <f aca="false">IF(AA277=1,100*AB277/B277,"")</f>
        <v>0.0302293268844103</v>
      </c>
      <c r="AD277" s="0" t="n">
        <f aca="false">IF(AND(AND(ISNUMBER(B277),B277=OriginalFinancials!B277),AND(ISNUMBER(U277),U277=OriginalFinancials!U277),AND(ISNUMBER(O277),O277=OriginalFinancials!O277)),0,1)</f>
        <v>0</v>
      </c>
      <c r="AE277" s="0" t="str">
        <f aca="false">IF(V277=0,"原始0：需核实适用/报告口径","")</f>
        <v>原始0：需核实适用/报告口径</v>
      </c>
    </row>
    <row r="278" customFormat="false" ht="15" hidden="false" customHeight="false" outlineLevel="0" collapsed="false">
      <c r="A278" s="0" t="n">
        <v>278</v>
      </c>
      <c r="B278" s="0" t="n">
        <v>1826350</v>
      </c>
      <c r="C278" s="0" t="n">
        <v>17658</v>
      </c>
      <c r="D278" s="0" t="n">
        <v>1452649</v>
      </c>
      <c r="E278" s="0" t="n">
        <v>0</v>
      </c>
      <c r="F278" s="0" t="n">
        <v>198387</v>
      </c>
      <c r="G278" s="0" t="n">
        <v>10.8624852848578</v>
      </c>
      <c r="H278" s="0" t="s">
        <v>435</v>
      </c>
      <c r="I278" s="0" t="n">
        <v>0.586666162617339</v>
      </c>
      <c r="J278" s="0" t="n">
        <v>94739</v>
      </c>
      <c r="K278" s="0" t="n">
        <v>76379</v>
      </c>
      <c r="L278" s="0" t="n">
        <v>1269717</v>
      </c>
      <c r="M278" s="0" t="n">
        <v>1262268</v>
      </c>
      <c r="N278" s="0" t="n">
        <v>1085469</v>
      </c>
      <c r="O278" s="0" t="n">
        <v>1369</v>
      </c>
      <c r="P278" s="0" t="s">
        <v>131</v>
      </c>
      <c r="Q278" s="0" t="n">
        <v>0.10781930146639</v>
      </c>
      <c r="R278" s="0" t="n">
        <v>3.42723508377535</v>
      </c>
      <c r="S278" s="0" t="n">
        <v>-88</v>
      </c>
      <c r="T278" s="0" t="n">
        <v>1757</v>
      </c>
      <c r="U278" s="0" t="n">
        <v>0</v>
      </c>
      <c r="V278" s="0" t="n">
        <v>0</v>
      </c>
      <c r="W278" s="0" t="n">
        <v>20230630</v>
      </c>
      <c r="X278" s="0" t="n">
        <v>0.930695622619818</v>
      </c>
      <c r="Y278" s="0" t="n">
        <v>8.66</v>
      </c>
      <c r="Z278" s="0" t="s">
        <v>105</v>
      </c>
      <c r="AA278" s="0" t="n">
        <f aca="false">IF(AND(ISNUMBER(B278),B278&gt;0,ISNUMBER(U278),U278&gt;=0,ISNUMBER(O278),O278&gt;=0),1,0)</f>
        <v>1</v>
      </c>
      <c r="AB278" s="0" t="n">
        <f aca="false">IF(AA278=1,U278+O278,0)</f>
        <v>1369</v>
      </c>
      <c r="AC278" s="0" t="n">
        <f aca="false">IF(AA278=1,100*AB278/B278,"")</f>
        <v>0.0749582500615983</v>
      </c>
      <c r="AD278" s="0" t="n">
        <f aca="false">IF(AND(AND(ISNUMBER(B278),B278=OriginalFinancials!B278),AND(ISNUMBER(U278),U278=OriginalFinancials!U278),AND(ISNUMBER(O278),O278=OriginalFinancials!O278)),0,1)</f>
        <v>0</v>
      </c>
      <c r="AE278" s="0" t="str">
        <f aca="false">IF(V278=0,"原始0：需核实适用/报告口径","")</f>
        <v>原始0：需核实适用/报告口径</v>
      </c>
    </row>
    <row r="279" customFormat="false" ht="15" hidden="false" customHeight="false" outlineLevel="0" collapsed="false">
      <c r="A279" s="0" t="n">
        <v>279</v>
      </c>
      <c r="B279" s="0" t="n">
        <v>1036036</v>
      </c>
      <c r="C279" s="0" t="n">
        <v>17741</v>
      </c>
      <c r="D279" s="0" t="n">
        <v>800487</v>
      </c>
      <c r="E279" s="0" t="n">
        <v>0.03</v>
      </c>
      <c r="F279" s="0" t="n">
        <v>133406</v>
      </c>
      <c r="G279" s="0" t="n">
        <v>12.8765795783158</v>
      </c>
      <c r="H279" s="0" t="s">
        <v>436</v>
      </c>
      <c r="I279" s="0" t="n">
        <v>0.93536203979561</v>
      </c>
      <c r="J279" s="0" t="n">
        <v>50276</v>
      </c>
      <c r="K279" s="0" t="n">
        <v>4108</v>
      </c>
      <c r="L279" s="0" t="n">
        <v>877735</v>
      </c>
      <c r="M279" s="0" t="n">
        <v>869525</v>
      </c>
      <c r="N279" s="0" t="n">
        <v>820189</v>
      </c>
      <c r="O279" s="0" t="n">
        <v>1987</v>
      </c>
      <c r="P279" s="0" t="s">
        <v>133</v>
      </c>
      <c r="Q279" s="0" t="n">
        <v>0.226378120959059</v>
      </c>
      <c r="R279" s="0" t="n">
        <v>3.42548551951932</v>
      </c>
      <c r="S279" s="0" t="n">
        <v>-3</v>
      </c>
      <c r="T279" s="0" t="n">
        <v>2554</v>
      </c>
      <c r="U279" s="0" t="n">
        <v>0</v>
      </c>
      <c r="V279" s="0" t="n">
        <v>0</v>
      </c>
      <c r="W279" s="0" t="n">
        <v>20230630</v>
      </c>
      <c r="X279" s="0" t="n">
        <v>0.691931497863857</v>
      </c>
      <c r="Y279" s="0" t="n">
        <v>5.33</v>
      </c>
      <c r="Z279" s="0" t="s">
        <v>105</v>
      </c>
      <c r="AA279" s="0" t="n">
        <f aca="false">IF(AND(ISNUMBER(B279),B279&gt;0,ISNUMBER(U279),U279&gt;=0,ISNUMBER(O279),O279&gt;=0),1,0)</f>
        <v>1</v>
      </c>
      <c r="AB279" s="0" t="n">
        <f aca="false">IF(AA279=1,U279+O279,0)</f>
        <v>1987</v>
      </c>
      <c r="AC279" s="0" t="n">
        <f aca="false">IF(AA279=1,100*AB279/B279,"")</f>
        <v>0.191788702323085</v>
      </c>
      <c r="AD279" s="0" t="n">
        <f aca="false">IF(AND(AND(ISNUMBER(B279),B279=OriginalFinancials!B279),AND(ISNUMBER(U279),U279=OriginalFinancials!U279),AND(ISNUMBER(O279),O279=OriginalFinancials!O279)),0,1)</f>
        <v>0</v>
      </c>
      <c r="AE279" s="0" t="str">
        <f aca="false">IF(V279=0,"原始0：需核实适用/报告口径","")</f>
        <v>原始0：需核实适用/报告口径</v>
      </c>
    </row>
    <row r="280" customFormat="false" ht="15" hidden="false" customHeight="false" outlineLevel="0" collapsed="false">
      <c r="A280" s="0" t="n">
        <v>280</v>
      </c>
      <c r="B280" s="0" t="n">
        <v>1333208</v>
      </c>
      <c r="C280" s="0" t="n">
        <v>17743</v>
      </c>
      <c r="D280" s="0" t="n">
        <v>950623</v>
      </c>
      <c r="E280" s="0" t="n">
        <v>0</v>
      </c>
      <c r="F280" s="0" t="n">
        <v>121236</v>
      </c>
      <c r="G280" s="0" t="n">
        <v>9.09355479415065</v>
      </c>
      <c r="H280" s="0" t="s">
        <v>437</v>
      </c>
      <c r="I280" s="0" t="n">
        <v>0.454345157685347</v>
      </c>
      <c r="J280" s="0" t="n">
        <v>11605</v>
      </c>
      <c r="K280" s="0" t="n">
        <v>7617</v>
      </c>
      <c r="L280" s="0" t="n">
        <v>1037097</v>
      </c>
      <c r="M280" s="0" t="n">
        <v>1032385</v>
      </c>
      <c r="N280" s="0" t="n">
        <v>1005554</v>
      </c>
      <c r="O280" s="0" t="n">
        <v>4416</v>
      </c>
      <c r="P280" s="0" t="s">
        <v>135</v>
      </c>
      <c r="Q280" s="0" t="n">
        <v>0.425803950835843</v>
      </c>
      <c r="R280" s="0" t="n">
        <v>2.08643107377961</v>
      </c>
      <c r="S280" s="0" t="n">
        <v>-16</v>
      </c>
      <c r="T280" s="0" t="n">
        <v>993</v>
      </c>
      <c r="U280" s="0" t="n">
        <v>0</v>
      </c>
      <c r="V280" s="0" t="n">
        <v>0</v>
      </c>
      <c r="W280" s="0" t="n">
        <v>20230630</v>
      </c>
      <c r="X280" s="0" t="n">
        <v>0.0965920880347445</v>
      </c>
      <c r="Y280" s="0" t="n">
        <v>1.04</v>
      </c>
      <c r="Z280" s="0" t="s">
        <v>105</v>
      </c>
      <c r="AA280" s="0" t="n">
        <f aca="false">IF(AND(ISNUMBER(B280),B280&gt;0,ISNUMBER(U280),U280&gt;=0,ISNUMBER(O280),O280&gt;=0),1,0)</f>
        <v>1</v>
      </c>
      <c r="AB280" s="0" t="n">
        <f aca="false">IF(AA280=1,U280+O280,0)</f>
        <v>4416</v>
      </c>
      <c r="AC280" s="0" t="n">
        <f aca="false">IF(AA280=1,100*AB280/B280,"")</f>
        <v>0.331231135726758</v>
      </c>
      <c r="AD280" s="0" t="n">
        <f aca="false">IF(AND(AND(ISNUMBER(B280),B280=OriginalFinancials!B280),AND(ISNUMBER(U280),U280=OriginalFinancials!U280),AND(ISNUMBER(O280),O280=OriginalFinancials!O280)),0,1)</f>
        <v>0</v>
      </c>
      <c r="AE280" s="0" t="str">
        <f aca="false">IF(V280=0,"原始0：需核实适用/报告口径","")</f>
        <v>原始0：需核实适用/报告口径</v>
      </c>
    </row>
    <row r="281" customFormat="false" ht="15" hidden="false" customHeight="false" outlineLevel="0" collapsed="false">
      <c r="A281" s="0" t="n">
        <v>281</v>
      </c>
      <c r="B281" s="0" t="n">
        <v>1638948</v>
      </c>
      <c r="C281" s="0" t="n">
        <v>17748</v>
      </c>
      <c r="D281" s="0" t="n">
        <v>1352478</v>
      </c>
      <c r="E281" s="0" t="n">
        <v>0.1</v>
      </c>
      <c r="F281" s="0" t="n">
        <v>107830</v>
      </c>
      <c r="G281" s="0" t="n">
        <v>6.57922032913796</v>
      </c>
      <c r="H281" s="0" t="s">
        <v>438</v>
      </c>
      <c r="I281" s="0" t="n">
        <v>0.891878043947316</v>
      </c>
      <c r="J281" s="0" t="n">
        <v>181251</v>
      </c>
      <c r="K281" s="0" t="n">
        <v>3607</v>
      </c>
      <c r="L281" s="0" t="n">
        <v>1266653</v>
      </c>
      <c r="M281" s="0" t="n">
        <v>1255356</v>
      </c>
      <c r="N281" s="0" t="n">
        <v>1048029</v>
      </c>
      <c r="O281" s="0" t="n">
        <v>6702</v>
      </c>
      <c r="P281" s="0" t="s">
        <v>137</v>
      </c>
      <c r="Q281" s="0" t="n">
        <v>0.529110971986803</v>
      </c>
      <c r="R281" s="0" t="n">
        <v>2.48237446499793</v>
      </c>
      <c r="S281" s="0" t="n">
        <v>1110</v>
      </c>
      <c r="T281" s="0" t="n">
        <v>1943</v>
      </c>
      <c r="U281" s="0" t="n">
        <v>0</v>
      </c>
      <c r="V281" s="0" t="n">
        <v>0</v>
      </c>
      <c r="W281" s="0" t="n">
        <v>20230630</v>
      </c>
      <c r="X281" s="0" t="n">
        <v>0.186125045642909</v>
      </c>
      <c r="Y281" s="0" t="n">
        <v>2.81</v>
      </c>
      <c r="Z281" s="0" t="s">
        <v>105</v>
      </c>
      <c r="AA281" s="0" t="n">
        <f aca="false">IF(AND(ISNUMBER(B281),B281&gt;0,ISNUMBER(U281),U281&gt;=0,ISNUMBER(O281),O281&gt;=0),1,0)</f>
        <v>1</v>
      </c>
      <c r="AB281" s="0" t="n">
        <f aca="false">IF(AA281=1,U281+O281,0)</f>
        <v>6702</v>
      </c>
      <c r="AC281" s="0" t="n">
        <f aca="false">IF(AA281=1,100*AB281/B281,"")</f>
        <v>0.408920844346495</v>
      </c>
      <c r="AD281" s="0" t="n">
        <f aca="false">IF(AND(AND(ISNUMBER(B281),B281=OriginalFinancials!B281),AND(ISNUMBER(U281),U281=OriginalFinancials!U281),AND(ISNUMBER(O281),O281=OriginalFinancials!O281)),0,1)</f>
        <v>0</v>
      </c>
      <c r="AE281" s="0" t="str">
        <f aca="false">IF(V281=0,"原始0：需核实适用/报告口径","")</f>
        <v>原始0：需核实适用/报告口径</v>
      </c>
    </row>
    <row r="282" customFormat="false" ht="15" hidden="false" customHeight="false" outlineLevel="0" collapsed="false">
      <c r="A282" s="0" t="n">
        <v>282</v>
      </c>
      <c r="B282" s="0" t="n">
        <v>1316293</v>
      </c>
      <c r="C282" s="0" t="n">
        <v>17749</v>
      </c>
      <c r="D282" s="0" t="n">
        <v>1027633</v>
      </c>
      <c r="E282" s="0" t="n">
        <v>0.05</v>
      </c>
      <c r="F282" s="0" t="n">
        <v>161414</v>
      </c>
      <c r="G282" s="0" t="n">
        <v>12.2627712826855</v>
      </c>
      <c r="H282" s="0" t="s">
        <v>439</v>
      </c>
      <c r="I282" s="0" t="n">
        <v>1.41011029766849</v>
      </c>
      <c r="J282" s="0" t="n">
        <v>52094</v>
      </c>
      <c r="K282" s="0" t="n">
        <v>10410</v>
      </c>
      <c r="L282" s="0" t="n">
        <v>776535</v>
      </c>
      <c r="M282" s="0" t="n">
        <v>765585</v>
      </c>
      <c r="N282" s="0" t="n">
        <v>702580</v>
      </c>
      <c r="O282" s="0" t="n">
        <v>293</v>
      </c>
      <c r="P282" s="0" t="s">
        <v>139</v>
      </c>
      <c r="Q282" s="0" t="n">
        <v>0.0377317184672938</v>
      </c>
      <c r="R282" s="0" t="n">
        <v>2.84287513095667</v>
      </c>
      <c r="S282" s="0" t="n">
        <v>11</v>
      </c>
      <c r="T282" s="0" t="n">
        <v>280</v>
      </c>
      <c r="U282" s="0" t="n">
        <v>0</v>
      </c>
      <c r="V282" s="0" t="n">
        <v>0</v>
      </c>
      <c r="W282" s="0" t="n">
        <v>20230630</v>
      </c>
      <c r="X282" s="0" t="n">
        <v>1.33285285879771</v>
      </c>
      <c r="Y282" s="0" t="n">
        <v>10.91</v>
      </c>
      <c r="Z282" s="0" t="s">
        <v>105</v>
      </c>
      <c r="AA282" s="0" t="n">
        <f aca="false">IF(AND(ISNUMBER(B282),B282&gt;0,ISNUMBER(U282),U282&gt;=0,ISNUMBER(O282),O282&gt;=0),1,0)</f>
        <v>1</v>
      </c>
      <c r="AB282" s="0" t="n">
        <f aca="false">IF(AA282=1,U282+O282,0)</f>
        <v>293</v>
      </c>
      <c r="AC282" s="0" t="n">
        <f aca="false">IF(AA282=1,100*AB282/B282,"")</f>
        <v>0.0222594817415272</v>
      </c>
      <c r="AD282" s="0" t="n">
        <f aca="false">IF(AND(AND(ISNUMBER(B282),B282=OriginalFinancials!B282),AND(ISNUMBER(U282),U282=OriginalFinancials!U282),AND(ISNUMBER(O282),O282=OriginalFinancials!O282)),0,1)</f>
        <v>0</v>
      </c>
      <c r="AE282" s="0" t="str">
        <f aca="false">IF(V282=0,"原始0：需核实适用/报告口径","")</f>
        <v>原始0：需核实适用/报告口径</v>
      </c>
    </row>
    <row r="283" customFormat="false" ht="15" hidden="false" customHeight="false" outlineLevel="0" collapsed="false">
      <c r="A283" s="0" t="n">
        <v>283</v>
      </c>
      <c r="B283" s="0" t="n">
        <v>1539209</v>
      </c>
      <c r="C283" s="0" t="n">
        <v>17751</v>
      </c>
      <c r="D283" s="0" t="n">
        <v>1218035</v>
      </c>
      <c r="E283" s="0" t="n">
        <v>0.08</v>
      </c>
      <c r="F283" s="0" t="n">
        <v>129936</v>
      </c>
      <c r="G283" s="0" t="n">
        <v>8.44173858131027</v>
      </c>
      <c r="H283" s="0" t="s">
        <v>440</v>
      </c>
      <c r="I283" s="0" t="n">
        <v>0.925847764698013</v>
      </c>
      <c r="J283" s="0" t="n">
        <v>118420</v>
      </c>
      <c r="K283" s="0" t="n">
        <v>2111</v>
      </c>
      <c r="L283" s="0" t="n">
        <v>1255714</v>
      </c>
      <c r="M283" s="0" t="n">
        <v>1244088</v>
      </c>
      <c r="N283" s="0" t="n">
        <v>1072258</v>
      </c>
      <c r="O283" s="0" t="n">
        <v>2725</v>
      </c>
      <c r="P283" s="0" t="s">
        <v>141</v>
      </c>
      <c r="Q283" s="0" t="n">
        <v>0.217008012971106</v>
      </c>
      <c r="R283" s="0" t="n">
        <v>3.14254047562197</v>
      </c>
      <c r="S283" s="0" t="n">
        <v>4196</v>
      </c>
      <c r="T283" s="0" t="n">
        <v>2912</v>
      </c>
      <c r="U283" s="0" t="n">
        <v>0</v>
      </c>
      <c r="V283" s="0" t="n">
        <v>12.7403512952889</v>
      </c>
      <c r="W283" s="0" t="n">
        <v>20230630</v>
      </c>
      <c r="X283" s="0" t="n">
        <v>0.57224377049816</v>
      </c>
      <c r="Y283" s="0" t="n">
        <v>6.68</v>
      </c>
      <c r="Z283" s="0" t="s">
        <v>105</v>
      </c>
      <c r="AA283" s="0" t="n">
        <f aca="false">IF(AND(ISNUMBER(B283),B283&gt;0,ISNUMBER(U283),U283&gt;=0,ISNUMBER(O283),O283&gt;=0),1,0)</f>
        <v>1</v>
      </c>
      <c r="AB283" s="0" t="n">
        <f aca="false">IF(AA283=1,U283+O283,0)</f>
        <v>2725</v>
      </c>
      <c r="AC283" s="0" t="n">
        <f aca="false">IF(AA283=1,100*AB283/B283,"")</f>
        <v>0.177038985608842</v>
      </c>
      <c r="AD283" s="0" t="n">
        <f aca="false">IF(AND(AND(ISNUMBER(B283),B283=OriginalFinancials!B283),AND(ISNUMBER(U283),U283=OriginalFinancials!U283),AND(ISNUMBER(O283),O283=OriginalFinancials!O283)),0,1)</f>
        <v>0</v>
      </c>
      <c r="AE283" s="0" t="str">
        <f aca="false">IF(V283=0,"原始0：需核实适用/报告口径","")</f>
        <v/>
      </c>
    </row>
    <row r="284" customFormat="false" ht="15" hidden="false" customHeight="false" outlineLevel="0" collapsed="false">
      <c r="A284" s="0" t="n">
        <v>284</v>
      </c>
      <c r="B284" s="0" t="n">
        <v>1670135</v>
      </c>
      <c r="C284" s="0" t="n">
        <v>17897</v>
      </c>
      <c r="D284" s="0" t="n">
        <v>1316659</v>
      </c>
      <c r="E284" s="0" t="n">
        <v>-0.05</v>
      </c>
      <c r="F284" s="0" t="n">
        <v>202487</v>
      </c>
      <c r="G284" s="0" t="n">
        <v>12.1239899768582</v>
      </c>
      <c r="H284" s="0" t="s">
        <v>441</v>
      </c>
      <c r="I284" s="0" t="n">
        <v>0.59335065148274</v>
      </c>
      <c r="J284" s="0" t="n">
        <v>70462</v>
      </c>
      <c r="K284" s="0" t="n">
        <v>3869</v>
      </c>
      <c r="L284" s="0" t="n">
        <v>1413161</v>
      </c>
      <c r="M284" s="0" t="n">
        <v>1404776</v>
      </c>
      <c r="N284" s="0" t="n">
        <v>1329657</v>
      </c>
      <c r="O284" s="0" t="n">
        <v>3724</v>
      </c>
      <c r="P284" s="0" t="s">
        <v>143</v>
      </c>
      <c r="Q284" s="0" t="n">
        <v>0.263522698404499</v>
      </c>
      <c r="R284" s="0" t="n">
        <v>2.60427667903162</v>
      </c>
      <c r="S284" s="0" t="n">
        <v>-87</v>
      </c>
      <c r="T284" s="0" t="n">
        <v>1892</v>
      </c>
      <c r="U284" s="0" t="n">
        <v>0</v>
      </c>
      <c r="V284" s="0" t="n">
        <v>17.1387717890176</v>
      </c>
      <c r="W284" s="0" t="n">
        <v>20230630</v>
      </c>
      <c r="X284" s="0" t="n">
        <v>0.7142445132825</v>
      </c>
      <c r="Y284" s="0" t="n">
        <v>5.94</v>
      </c>
      <c r="Z284" s="0" t="s">
        <v>105</v>
      </c>
      <c r="AA284" s="0" t="n">
        <f aca="false">IF(AND(ISNUMBER(B284),B284&gt;0,ISNUMBER(U284),U284&gt;=0,ISNUMBER(O284),O284&gt;=0),1,0)</f>
        <v>1</v>
      </c>
      <c r="AB284" s="0" t="n">
        <f aca="false">IF(AA284=1,U284+O284,0)</f>
        <v>3724</v>
      </c>
      <c r="AC284" s="0" t="n">
        <f aca="false">IF(AA284=1,100*AB284/B284,"")</f>
        <v>0.222975986971113</v>
      </c>
      <c r="AD284" s="0" t="n">
        <f aca="false">IF(AND(AND(ISNUMBER(B284),B284=OriginalFinancials!B284),AND(ISNUMBER(U284),U284=OriginalFinancials!U284),AND(ISNUMBER(O284),O284=OriginalFinancials!O284)),0,1)</f>
        <v>0</v>
      </c>
      <c r="AE284" s="0" t="str">
        <f aca="false">IF(V284=0,"原始0：需核实适用/报告口径","")</f>
        <v/>
      </c>
    </row>
    <row r="285" customFormat="false" ht="15" hidden="false" customHeight="false" outlineLevel="0" collapsed="false">
      <c r="A285" s="0" t="n">
        <v>285</v>
      </c>
      <c r="B285" s="0" t="n">
        <v>785855</v>
      </c>
      <c r="C285" s="0" t="n">
        <v>17951</v>
      </c>
      <c r="D285" s="0" t="n">
        <v>698423</v>
      </c>
      <c r="E285" s="0" t="n">
        <v>0.12</v>
      </c>
      <c r="F285" s="0" t="n">
        <v>56939</v>
      </c>
      <c r="G285" s="0" t="n">
        <v>7.24548421782644</v>
      </c>
      <c r="H285" s="0" t="s">
        <v>442</v>
      </c>
      <c r="I285" s="0" t="n">
        <v>0.900785411212422</v>
      </c>
      <c r="J285" s="0" t="n">
        <v>23611</v>
      </c>
      <c r="K285" s="0" t="n">
        <v>1822</v>
      </c>
      <c r="L285" s="0" t="n">
        <v>553850</v>
      </c>
      <c r="M285" s="0" t="n">
        <v>548861</v>
      </c>
      <c r="N285" s="0" t="n">
        <v>515478</v>
      </c>
      <c r="O285" s="0" t="n">
        <v>67</v>
      </c>
      <c r="P285" s="0" t="s">
        <v>145</v>
      </c>
      <c r="Q285" s="0" t="n">
        <v>0.0120971382143179</v>
      </c>
      <c r="R285" s="0" t="n">
        <v>2.73948979123525</v>
      </c>
      <c r="S285" s="0" t="n">
        <v>-197</v>
      </c>
      <c r="T285" s="0" t="n">
        <v>168</v>
      </c>
      <c r="U285" s="0" t="n">
        <v>0</v>
      </c>
      <c r="V285" s="0" t="n">
        <v>14.4439118904905</v>
      </c>
      <c r="W285" s="0" t="n">
        <v>20230630</v>
      </c>
      <c r="X285" s="0" t="n">
        <v>0.577782741347925</v>
      </c>
      <c r="Y285" s="0" t="n">
        <v>7.85</v>
      </c>
      <c r="Z285" s="0" t="s">
        <v>123</v>
      </c>
      <c r="AA285" s="0" t="n">
        <f aca="false">IF(AND(ISNUMBER(B285),B285&gt;0,ISNUMBER(U285),U285&gt;=0,ISNUMBER(O285),O285&gt;=0),1,0)</f>
        <v>1</v>
      </c>
      <c r="AB285" s="0" t="n">
        <f aca="false">IF(AA285=1,U285+O285,0)</f>
        <v>67</v>
      </c>
      <c r="AC285" s="0" t="n">
        <f aca="false">IF(AA285=1,100*AB285/B285,"")</f>
        <v>0.0085257458436989</v>
      </c>
      <c r="AD285" s="0" t="n">
        <f aca="false">IF(AND(AND(ISNUMBER(B285),B285=OriginalFinancials!B285),AND(ISNUMBER(U285),U285=OriginalFinancials!U285),AND(ISNUMBER(O285),O285=OriginalFinancials!O285)),0,1)</f>
        <v>0</v>
      </c>
      <c r="AE285" s="0" t="str">
        <f aca="false">IF(V285=0,"原始0：需核实适用/报告口径","")</f>
        <v/>
      </c>
    </row>
    <row r="286" customFormat="false" ht="15" hidden="false" customHeight="false" outlineLevel="0" collapsed="false">
      <c r="A286" s="0" t="n">
        <v>286</v>
      </c>
      <c r="B286" s="0" t="n">
        <v>1355202</v>
      </c>
      <c r="C286" s="0" t="n">
        <v>17960</v>
      </c>
      <c r="D286" s="0" t="n">
        <v>1044918</v>
      </c>
      <c r="E286" s="0" t="n">
        <v>0.06</v>
      </c>
      <c r="F286" s="0" t="n">
        <v>108306</v>
      </c>
      <c r="G286" s="0" t="n">
        <v>7.99187132250395</v>
      </c>
      <c r="H286" s="0" t="s">
        <v>443</v>
      </c>
      <c r="I286" s="0" t="n">
        <v>0.968657341658803</v>
      </c>
      <c r="J286" s="0" t="n">
        <v>111328</v>
      </c>
      <c r="K286" s="0" t="n">
        <v>219108</v>
      </c>
      <c r="L286" s="0" t="n">
        <v>1162537</v>
      </c>
      <c r="M286" s="0" t="n">
        <v>1151276</v>
      </c>
      <c r="N286" s="0" t="n">
        <v>827985</v>
      </c>
      <c r="O286" s="0" t="n">
        <v>8464</v>
      </c>
      <c r="P286" s="0" t="s">
        <v>147</v>
      </c>
      <c r="Q286" s="0" t="n">
        <v>0.728062848752341</v>
      </c>
      <c r="R286" s="0" t="n">
        <v>2.86686073652849</v>
      </c>
      <c r="S286" s="0" t="n">
        <v>39</v>
      </c>
      <c r="T286" s="0" t="n">
        <v>2045</v>
      </c>
      <c r="U286" s="0" t="n">
        <v>0</v>
      </c>
      <c r="V286" s="0" t="n">
        <v>12.7361396545319</v>
      </c>
      <c r="W286" s="0" t="n">
        <v>20230630</v>
      </c>
      <c r="X286" s="0" t="n">
        <v>0.47751881940412</v>
      </c>
      <c r="Y286" s="0" t="n">
        <v>5.97</v>
      </c>
      <c r="Z286" s="0" t="s">
        <v>123</v>
      </c>
      <c r="AA286" s="0" t="n">
        <f aca="false">IF(AND(ISNUMBER(B286),B286&gt;0,ISNUMBER(U286),U286&gt;=0,ISNUMBER(O286),O286&gt;=0),1,0)</f>
        <v>1</v>
      </c>
      <c r="AB286" s="0" t="n">
        <f aca="false">IF(AA286=1,U286+O286,0)</f>
        <v>8464</v>
      </c>
      <c r="AC286" s="0" t="n">
        <f aca="false">IF(AA286=1,100*AB286/B286,"")</f>
        <v>0.624556339202569</v>
      </c>
      <c r="AD286" s="0" t="n">
        <f aca="false">IF(AND(AND(ISNUMBER(B286),B286=OriginalFinancials!B286),AND(ISNUMBER(U286),U286=OriginalFinancials!U286),AND(ISNUMBER(O286),O286=OriginalFinancials!O286)),0,1)</f>
        <v>0</v>
      </c>
      <c r="AE286" s="0" t="str">
        <f aca="false">IF(V286=0,"原始0：需核实适用/报告口径","")</f>
        <v/>
      </c>
    </row>
    <row r="287" customFormat="false" ht="15" hidden="false" customHeight="false" outlineLevel="0" collapsed="false">
      <c r="A287" s="0" t="n">
        <v>287</v>
      </c>
      <c r="B287" s="0" t="n">
        <v>2459524</v>
      </c>
      <c r="C287" s="0" t="n">
        <v>18012</v>
      </c>
      <c r="D287" s="0" t="n">
        <v>2061672</v>
      </c>
      <c r="E287" s="0" t="n">
        <v>0.06</v>
      </c>
      <c r="F287" s="0" t="n">
        <v>250653</v>
      </c>
      <c r="G287" s="0" t="n">
        <v>10.1911182814236</v>
      </c>
      <c r="H287" s="0" t="s">
        <v>444</v>
      </c>
      <c r="I287" s="0" t="n">
        <v>1.26768612127541</v>
      </c>
      <c r="J287" s="0" t="n">
        <v>50060</v>
      </c>
      <c r="K287" s="0" t="n">
        <v>34372</v>
      </c>
      <c r="L287" s="0" t="n">
        <v>2005386</v>
      </c>
      <c r="M287" s="0" t="n">
        <v>1979964</v>
      </c>
      <c r="N287" s="0" t="n">
        <v>1892192</v>
      </c>
      <c r="O287" s="0" t="n">
        <v>1011</v>
      </c>
      <c r="P287" s="0" t="s">
        <v>149</v>
      </c>
      <c r="Q287" s="0" t="n">
        <v>0.0504142344665815</v>
      </c>
      <c r="R287" s="0" t="n">
        <v>3.08785515504174</v>
      </c>
      <c r="S287" s="0" t="n">
        <v>74</v>
      </c>
      <c r="T287" s="0" t="n">
        <v>2254</v>
      </c>
      <c r="U287" s="0" t="n">
        <v>0</v>
      </c>
      <c r="V287" s="0" t="n">
        <v>13.5220936775833</v>
      </c>
      <c r="W287" s="0" t="n">
        <v>20230630</v>
      </c>
      <c r="X287" s="0" t="n">
        <v>0.853047862093874</v>
      </c>
      <c r="Y287" s="0" t="n">
        <v>8.45</v>
      </c>
      <c r="Z287" s="0" t="s">
        <v>123</v>
      </c>
      <c r="AA287" s="0" t="n">
        <f aca="false">IF(AND(ISNUMBER(B287),B287&gt;0,ISNUMBER(U287),U287&gt;=0,ISNUMBER(O287),O287&gt;=0),1,0)</f>
        <v>1</v>
      </c>
      <c r="AB287" s="0" t="n">
        <f aca="false">IF(AA287=1,U287+O287,0)</f>
        <v>1011</v>
      </c>
      <c r="AC287" s="0" t="n">
        <f aca="false">IF(AA287=1,100*AB287/B287,"")</f>
        <v>0.0411055147256136</v>
      </c>
      <c r="AD287" s="0" t="n">
        <f aca="false">IF(AND(AND(ISNUMBER(B287),B287=OriginalFinancials!B287),AND(ISNUMBER(U287),U287=OriginalFinancials!U287),AND(ISNUMBER(O287),O287=OriginalFinancials!O287)),0,1)</f>
        <v>0</v>
      </c>
      <c r="AE287" s="0" t="str">
        <f aca="false">IF(V287=0,"原始0：需核实适用/报告口径","")</f>
        <v/>
      </c>
    </row>
    <row r="288" customFormat="false" ht="15" hidden="false" customHeight="false" outlineLevel="0" collapsed="false">
      <c r="A288" s="0" t="n">
        <v>288</v>
      </c>
      <c r="B288" s="0" t="n">
        <v>2835749</v>
      </c>
      <c r="C288" s="0" t="n">
        <v>18013</v>
      </c>
      <c r="D288" s="0" t="n">
        <v>2403310</v>
      </c>
      <c r="E288" s="0" t="n">
        <v>0.02</v>
      </c>
      <c r="F288" s="0" t="n">
        <v>211459</v>
      </c>
      <c r="G288" s="0" t="n">
        <v>7.45690115733092</v>
      </c>
      <c r="H288" s="0" t="s">
        <v>445</v>
      </c>
      <c r="I288" s="0" t="n">
        <v>0.720314869129533</v>
      </c>
      <c r="J288" s="0" t="n">
        <v>108738</v>
      </c>
      <c r="K288" s="0" t="n">
        <v>25577</v>
      </c>
      <c r="L288" s="0" t="n">
        <v>2261511</v>
      </c>
      <c r="M288" s="0" t="n">
        <v>2245221</v>
      </c>
      <c r="N288" s="0" t="n">
        <v>2073740</v>
      </c>
      <c r="O288" s="0" t="n">
        <v>1133</v>
      </c>
      <c r="P288" s="0" t="s">
        <v>151</v>
      </c>
      <c r="Q288" s="0" t="n">
        <v>0.050939394059989</v>
      </c>
      <c r="R288" s="0" t="n">
        <v>2.83684674080354</v>
      </c>
      <c r="S288" s="0" t="n">
        <v>93</v>
      </c>
      <c r="T288" s="0" t="n">
        <v>3815</v>
      </c>
      <c r="U288" s="0" t="n">
        <v>19</v>
      </c>
      <c r="V288" s="0" t="n">
        <v>13.0579757124412</v>
      </c>
      <c r="W288" s="0" t="n">
        <v>20230630</v>
      </c>
      <c r="X288" s="0" t="n">
        <v>0.458533603033476</v>
      </c>
      <c r="Y288" s="0" t="n">
        <v>6.1</v>
      </c>
      <c r="Z288" s="0" t="s">
        <v>123</v>
      </c>
      <c r="AA288" s="0" t="n">
        <f aca="false">IF(AND(ISNUMBER(B288),B288&gt;0,ISNUMBER(U288),U288&gt;=0,ISNUMBER(O288),O288&gt;=0),1,0)</f>
        <v>1</v>
      </c>
      <c r="AB288" s="0" t="n">
        <f aca="false">IF(AA288=1,U288+O288,0)</f>
        <v>1152</v>
      </c>
      <c r="AC288" s="0" t="n">
        <f aca="false">IF(AA288=1,100*AB288/B288,"")</f>
        <v>0.040624187824804</v>
      </c>
      <c r="AD288" s="0" t="n">
        <f aca="false">IF(AND(AND(ISNUMBER(B288),B288=OriginalFinancials!B288),AND(ISNUMBER(U288),U288=OriginalFinancials!U288),AND(ISNUMBER(O288),O288=OriginalFinancials!O288)),0,1)</f>
        <v>0</v>
      </c>
      <c r="AE288" s="0" t="str">
        <f aca="false">IF(V288=0,"原始0：需核实适用/报告口径","")</f>
        <v/>
      </c>
    </row>
    <row r="289" customFormat="false" ht="15" hidden="false" customHeight="false" outlineLevel="0" collapsed="false">
      <c r="A289" s="0" t="n">
        <v>289</v>
      </c>
      <c r="B289" s="0" t="n">
        <v>385140</v>
      </c>
      <c r="C289" s="0" t="n">
        <v>18028</v>
      </c>
      <c r="D289" s="0" t="n">
        <v>318025</v>
      </c>
      <c r="E289" s="0" t="n">
        <v>0.13</v>
      </c>
      <c r="F289" s="0" t="n">
        <v>37896</v>
      </c>
      <c r="G289" s="0" t="n">
        <v>9.83953886898271</v>
      </c>
      <c r="H289" s="0" t="s">
        <v>446</v>
      </c>
      <c r="I289" s="0" t="n">
        <v>0.946317161746904</v>
      </c>
      <c r="J289" s="0" t="n">
        <v>15285</v>
      </c>
      <c r="K289" s="0" t="n">
        <v>7701</v>
      </c>
      <c r="L289" s="0" t="n">
        <v>257736</v>
      </c>
      <c r="M289" s="0" t="n">
        <v>255297</v>
      </c>
      <c r="N289" s="0" t="n">
        <v>228527</v>
      </c>
      <c r="O289" s="0" t="n">
        <v>855</v>
      </c>
      <c r="P289" s="0" t="s">
        <v>153</v>
      </c>
      <c r="Q289" s="0" t="n">
        <v>0.339494676723469</v>
      </c>
      <c r="R289" s="0" t="n">
        <v>3.49800968810121</v>
      </c>
      <c r="S289" s="0" t="n">
        <v>234</v>
      </c>
      <c r="T289" s="0" t="n">
        <v>417</v>
      </c>
      <c r="U289" s="0" t="n">
        <v>20</v>
      </c>
      <c r="V289" s="0" t="n">
        <v>0</v>
      </c>
      <c r="W289" s="0" t="n">
        <v>20230630</v>
      </c>
      <c r="X289" s="0" t="n">
        <v>0.575288643086549</v>
      </c>
      <c r="Y289" s="0" t="n">
        <v>5.94</v>
      </c>
      <c r="Z289" s="0" t="s">
        <v>123</v>
      </c>
      <c r="AA289" s="0" t="n">
        <f aca="false">IF(AND(ISNUMBER(B289),B289&gt;0,ISNUMBER(U289),U289&gt;=0,ISNUMBER(O289),O289&gt;=0),1,0)</f>
        <v>1</v>
      </c>
      <c r="AB289" s="0" t="n">
        <f aca="false">IF(AA289=1,U289+O289,0)</f>
        <v>875</v>
      </c>
      <c r="AC289" s="0" t="n">
        <f aca="false">IF(AA289=1,100*AB289/B289,"")</f>
        <v>0.227190112686296</v>
      </c>
      <c r="AD289" s="0" t="n">
        <f aca="false">IF(AND(AND(ISNUMBER(B289),B289=OriginalFinancials!B289),AND(ISNUMBER(U289),U289=OriginalFinancials!U289),AND(ISNUMBER(O289),O289=OriginalFinancials!O289)),0,1)</f>
        <v>0</v>
      </c>
      <c r="AE289" s="0" t="str">
        <f aca="false">IF(V289=0,"原始0：需核实适用/报告口径","")</f>
        <v>原始0：需核实适用/报告口径</v>
      </c>
    </row>
    <row r="290" customFormat="false" ht="15" hidden="false" customHeight="false" outlineLevel="0" collapsed="false">
      <c r="A290" s="0" t="n">
        <v>290</v>
      </c>
      <c r="B290" s="0" t="n">
        <v>736677</v>
      </c>
      <c r="C290" s="0" t="n">
        <v>18030</v>
      </c>
      <c r="D290" s="0" t="n">
        <v>664243</v>
      </c>
      <c r="E290" s="0" t="n">
        <v>0.13</v>
      </c>
      <c r="F290" s="0" t="n">
        <v>44564</v>
      </c>
      <c r="G290" s="0" t="n">
        <v>6.04932690989402</v>
      </c>
      <c r="H290" s="0" t="s">
        <v>447</v>
      </c>
      <c r="I290" s="0" t="n">
        <v>0.991600361201506</v>
      </c>
      <c r="J290" s="0" t="n">
        <v>41828</v>
      </c>
      <c r="K290" s="0" t="n">
        <v>95640</v>
      </c>
      <c r="L290" s="0" t="n">
        <v>586930</v>
      </c>
      <c r="M290" s="0" t="n">
        <v>581110</v>
      </c>
      <c r="N290" s="0" t="n">
        <v>449340</v>
      </c>
      <c r="O290" s="0" t="n">
        <v>490</v>
      </c>
      <c r="P290" s="0" t="s">
        <v>155</v>
      </c>
      <c r="Q290" s="0" t="n">
        <v>0.0834852537781336</v>
      </c>
      <c r="R290" s="0" t="n">
        <v>3.48465163748127</v>
      </c>
      <c r="S290" s="0" t="n">
        <v>-4</v>
      </c>
      <c r="T290" s="0" t="n">
        <v>161</v>
      </c>
      <c r="U290" s="0" t="n">
        <v>0</v>
      </c>
      <c r="V290" s="0" t="n">
        <v>12.5009957508155</v>
      </c>
      <c r="W290" s="0" t="n">
        <v>20230630</v>
      </c>
      <c r="X290" s="0" t="n">
        <v>0.584769402386572</v>
      </c>
      <c r="Y290" s="0" t="n">
        <v>9.53</v>
      </c>
      <c r="Z290" s="0" t="s">
        <v>123</v>
      </c>
      <c r="AA290" s="0" t="n">
        <f aca="false">IF(AND(ISNUMBER(B290),B290&gt;0,ISNUMBER(U290),U290&gt;=0,ISNUMBER(O290),O290&gt;=0),1,0)</f>
        <v>1</v>
      </c>
      <c r="AB290" s="0" t="n">
        <f aca="false">IF(AA290=1,U290+O290,0)</f>
        <v>490</v>
      </c>
      <c r="AC290" s="0" t="n">
        <f aca="false">IF(AA290=1,100*AB290/B290,"")</f>
        <v>0.0665149040895806</v>
      </c>
      <c r="AD290" s="0" t="n">
        <f aca="false">IF(AND(AND(ISNUMBER(B290),B290=OriginalFinancials!B290),AND(ISNUMBER(U290),U290=OriginalFinancials!U290),AND(ISNUMBER(O290),O290=OriginalFinancials!O290)),0,1)</f>
        <v>0</v>
      </c>
      <c r="AE290" s="0" t="str">
        <f aca="false">IF(V290=0,"原始0：需核实适用/报告口径","")</f>
        <v/>
      </c>
    </row>
    <row r="291" customFormat="false" ht="15" hidden="false" customHeight="false" outlineLevel="0" collapsed="false">
      <c r="A291" s="0" t="n">
        <v>291</v>
      </c>
      <c r="B291" s="0" t="n">
        <v>686908</v>
      </c>
      <c r="C291" s="0" t="n">
        <v>18031</v>
      </c>
      <c r="D291" s="0" t="n">
        <v>578969</v>
      </c>
      <c r="E291" s="0" t="n">
        <v>0.01</v>
      </c>
      <c r="F291" s="0" t="n">
        <v>36036</v>
      </c>
      <c r="G291" s="0" t="n">
        <v>5.24611738398738</v>
      </c>
      <c r="H291" s="0" t="s">
        <v>448</v>
      </c>
      <c r="I291" s="0" t="n">
        <v>0.854667035967238</v>
      </c>
      <c r="J291" s="0" t="n">
        <v>28192</v>
      </c>
      <c r="K291" s="0" t="n">
        <v>10462</v>
      </c>
      <c r="L291" s="0" t="n">
        <v>480187</v>
      </c>
      <c r="M291" s="0" t="n">
        <v>476083</v>
      </c>
      <c r="N291" s="0" t="n">
        <v>433545</v>
      </c>
      <c r="O291" s="0" t="n">
        <v>1022</v>
      </c>
      <c r="P291" s="0" t="s">
        <v>157</v>
      </c>
      <c r="Q291" s="0" t="n">
        <v>0.212833750184824</v>
      </c>
      <c r="R291" s="0" t="n">
        <v>2.74432283882166</v>
      </c>
      <c r="S291" s="0" t="n">
        <v>-1</v>
      </c>
      <c r="T291" s="0" t="n">
        <v>1125</v>
      </c>
      <c r="U291" s="0" t="n">
        <v>0</v>
      </c>
      <c r="V291" s="0" t="n">
        <v>16.120512261208</v>
      </c>
      <c r="W291" s="0" t="n">
        <v>20230630</v>
      </c>
      <c r="X291" s="0" t="n">
        <v>0.289913659428378</v>
      </c>
      <c r="Y291" s="0" t="n">
        <v>5.29</v>
      </c>
      <c r="Z291" s="0" t="s">
        <v>123</v>
      </c>
      <c r="AA291" s="0" t="n">
        <f aca="false">IF(AND(ISNUMBER(B291),B291&gt;0,ISNUMBER(U291),U291&gt;=0,ISNUMBER(O291),O291&gt;=0),1,0)</f>
        <v>1</v>
      </c>
      <c r="AB291" s="0" t="n">
        <f aca="false">IF(AA291=1,U291+O291,0)</f>
        <v>1022</v>
      </c>
      <c r="AC291" s="0" t="n">
        <f aca="false">IF(AA291=1,100*AB291/B291,"")</f>
        <v>0.148782660851235</v>
      </c>
      <c r="AD291" s="0" t="n">
        <f aca="false">IF(AND(AND(ISNUMBER(B291),B291=OriginalFinancials!B291),AND(ISNUMBER(U291),U291=OriginalFinancials!U291),AND(ISNUMBER(O291),O291=OriginalFinancials!O291)),0,1)</f>
        <v>0</v>
      </c>
      <c r="AE291" s="0" t="str">
        <f aca="false">IF(V291=0,"原始0：需核实适用/报告口径","")</f>
        <v/>
      </c>
    </row>
    <row r="292" customFormat="false" ht="15" hidden="false" customHeight="false" outlineLevel="0" collapsed="false">
      <c r="A292" s="0" t="n">
        <v>292</v>
      </c>
      <c r="B292" s="0" t="n">
        <v>548920</v>
      </c>
      <c r="C292" s="0" t="n">
        <v>18038</v>
      </c>
      <c r="D292" s="0" t="n">
        <v>429568</v>
      </c>
      <c r="E292" s="0" t="n">
        <v>0.06</v>
      </c>
      <c r="F292" s="0" t="n">
        <v>65364</v>
      </c>
      <c r="G292" s="0" t="n">
        <v>11.9077461196531</v>
      </c>
      <c r="H292" s="0" t="s">
        <v>449</v>
      </c>
      <c r="I292" s="0" t="n">
        <v>0.988074065079558</v>
      </c>
      <c r="J292" s="0" t="n">
        <v>16670</v>
      </c>
      <c r="K292" s="0" t="n">
        <v>3651</v>
      </c>
      <c r="L292" s="0" t="n">
        <v>420009</v>
      </c>
      <c r="M292" s="0" t="n">
        <v>415859</v>
      </c>
      <c r="N292" s="0" t="n">
        <v>399161</v>
      </c>
      <c r="O292" s="0" t="n">
        <v>2268</v>
      </c>
      <c r="P292" s="0" t="s">
        <v>159</v>
      </c>
      <c r="Q292" s="0" t="n">
        <v>0.539988428819382</v>
      </c>
      <c r="R292" s="0" t="n">
        <v>2.59263990566501</v>
      </c>
      <c r="S292" s="0" t="n">
        <v>-9</v>
      </c>
      <c r="T292" s="0" t="n">
        <v>765</v>
      </c>
      <c r="U292" s="0" t="n">
        <v>0</v>
      </c>
      <c r="V292" s="0" t="n">
        <v>0</v>
      </c>
      <c r="W292" s="0" t="n">
        <v>20230630</v>
      </c>
      <c r="X292" s="0" t="n">
        <v>0.388703168329964</v>
      </c>
      <c r="Y292" s="0" t="n">
        <v>3.25</v>
      </c>
      <c r="Z292" s="0" t="s">
        <v>123</v>
      </c>
      <c r="AA292" s="0" t="n">
        <f aca="false">IF(AND(ISNUMBER(B292),B292&gt;0,ISNUMBER(U292),U292&gt;=0,ISNUMBER(O292),O292&gt;=0),1,0)</f>
        <v>1</v>
      </c>
      <c r="AB292" s="0" t="n">
        <f aca="false">IF(AA292=1,U292+O292,0)</f>
        <v>2268</v>
      </c>
      <c r="AC292" s="0" t="n">
        <f aca="false">IF(AA292=1,100*AB292/B292,"")</f>
        <v>0.413174961743059</v>
      </c>
      <c r="AD292" s="0" t="n">
        <f aca="false">IF(AND(AND(ISNUMBER(B292),B292=OriginalFinancials!B292),AND(ISNUMBER(U292),U292=OriginalFinancials!U292),AND(ISNUMBER(O292),O292=OriginalFinancials!O292)),0,1)</f>
        <v>0</v>
      </c>
      <c r="AE292" s="0" t="str">
        <f aca="false">IF(V292=0,"原始0：需核实适用/报告口径","")</f>
        <v>原始0：需核实适用/报告口径</v>
      </c>
    </row>
    <row r="293" customFormat="false" ht="15" hidden="false" customHeight="false" outlineLevel="0" collapsed="false">
      <c r="A293" s="0" t="n">
        <v>293</v>
      </c>
      <c r="B293" s="0" t="n">
        <v>7459345</v>
      </c>
      <c r="C293" s="0" t="n">
        <v>18408</v>
      </c>
      <c r="D293" s="0" t="n">
        <v>5594077</v>
      </c>
      <c r="E293" s="0" t="n">
        <v>0.07</v>
      </c>
      <c r="F293" s="0" t="n">
        <v>367424</v>
      </c>
      <c r="G293" s="0" t="n">
        <v>4.92568717494633</v>
      </c>
      <c r="H293" s="0" t="s">
        <v>450</v>
      </c>
      <c r="I293" s="0" t="n">
        <v>0.797373279764637</v>
      </c>
      <c r="J293" s="0" t="n">
        <v>309355</v>
      </c>
      <c r="K293" s="0" t="n">
        <v>32242</v>
      </c>
      <c r="L293" s="0" t="n">
        <v>4774928</v>
      </c>
      <c r="M293" s="0" t="n">
        <v>4736854</v>
      </c>
      <c r="N293" s="0" t="n">
        <v>4349363</v>
      </c>
      <c r="O293" s="0" t="n">
        <v>3474</v>
      </c>
      <c r="P293" s="0" t="s">
        <v>161</v>
      </c>
      <c r="Q293" s="0" t="n">
        <v>0.0727550237406721</v>
      </c>
      <c r="R293" s="0" t="n">
        <v>2.12159952430504</v>
      </c>
      <c r="S293" s="0" t="n">
        <v>1521</v>
      </c>
      <c r="T293" s="0" t="n">
        <v>3273</v>
      </c>
      <c r="U293" s="0" t="n">
        <v>0</v>
      </c>
      <c r="V293" s="0" t="n">
        <v>11.6689079054605</v>
      </c>
      <c r="W293" s="0" t="n">
        <v>20230630</v>
      </c>
      <c r="X293" s="0" t="n">
        <v>0.0746320286304321</v>
      </c>
      <c r="Y293" s="0" t="n">
        <v>1.51</v>
      </c>
      <c r="Z293" s="0" t="s">
        <v>105</v>
      </c>
      <c r="AA293" s="0" t="n">
        <f aca="false">IF(AND(ISNUMBER(B293),B293&gt;0,ISNUMBER(U293),U293&gt;=0,ISNUMBER(O293),O293&gt;=0),1,0)</f>
        <v>1</v>
      </c>
      <c r="AB293" s="0" t="n">
        <f aca="false">IF(AA293=1,U293+O293,0)</f>
        <v>3474</v>
      </c>
      <c r="AC293" s="0" t="n">
        <f aca="false">IF(AA293=1,100*AB293/B293,"")</f>
        <v>0.0465724537476146</v>
      </c>
      <c r="AD293" s="0" t="n">
        <f aca="false">IF(AND(AND(ISNUMBER(B293),B293=OriginalFinancials!B293),AND(ISNUMBER(U293),U293=OriginalFinancials!U293),AND(ISNUMBER(O293),O293=OriginalFinancials!O293)),0,1)</f>
        <v>0</v>
      </c>
      <c r="AE293" s="0" t="str">
        <f aca="false">IF(V293=0,"原始0：需核实适用/报告口径","")</f>
        <v/>
      </c>
    </row>
    <row r="294" customFormat="false" ht="15" hidden="false" customHeight="false" outlineLevel="0" collapsed="false">
      <c r="A294" s="0" t="n">
        <v>294</v>
      </c>
      <c r="B294" s="0" t="n">
        <v>2396062</v>
      </c>
      <c r="C294" s="0" t="n">
        <v>19531</v>
      </c>
      <c r="D294" s="0" t="n">
        <v>1963859</v>
      </c>
      <c r="E294" s="0" t="n">
        <v>0</v>
      </c>
      <c r="F294" s="0" t="n">
        <v>235363</v>
      </c>
      <c r="G294" s="0" t="n">
        <v>9.82290942387968</v>
      </c>
      <c r="H294" s="0" t="s">
        <v>451</v>
      </c>
      <c r="I294" s="0" t="n">
        <v>1.16162492034352</v>
      </c>
      <c r="J294" s="0" t="n">
        <v>238802</v>
      </c>
      <c r="K294" s="0" t="n">
        <v>15221</v>
      </c>
      <c r="L294" s="0" t="n">
        <v>1948994</v>
      </c>
      <c r="M294" s="0" t="n">
        <v>1926354</v>
      </c>
      <c r="N294" s="0" t="n">
        <v>1592985</v>
      </c>
      <c r="O294" s="0" t="n">
        <v>11853</v>
      </c>
      <c r="P294" s="0" t="s">
        <v>163</v>
      </c>
      <c r="Q294" s="0" t="n">
        <v>0.611494955859279</v>
      </c>
      <c r="R294" s="0" t="n">
        <v>2.73756903103094</v>
      </c>
      <c r="S294" s="0" t="n">
        <v>1077</v>
      </c>
      <c r="T294" s="0" t="n">
        <v>2559</v>
      </c>
      <c r="U294" s="0" t="n">
        <v>65</v>
      </c>
      <c r="V294" s="0" t="n">
        <v>14.3314513958643</v>
      </c>
      <c r="W294" s="0" t="n">
        <v>20230630</v>
      </c>
      <c r="X294" s="0" t="n">
        <v>0.462742823520228</v>
      </c>
      <c r="Y294" s="0" t="n">
        <v>4.8</v>
      </c>
      <c r="Z294" s="0" t="s">
        <v>105</v>
      </c>
      <c r="AA294" s="0" t="n">
        <f aca="false">IF(AND(ISNUMBER(B294),B294&gt;0,ISNUMBER(U294),U294&gt;=0,ISNUMBER(O294),O294&gt;=0),1,0)</f>
        <v>1</v>
      </c>
      <c r="AB294" s="0" t="n">
        <f aca="false">IF(AA294=1,U294+O294,0)</f>
        <v>11918</v>
      </c>
      <c r="AC294" s="0" t="n">
        <f aca="false">IF(AA294=1,100*AB294/B294,"")</f>
        <v>0.497399482984998</v>
      </c>
      <c r="AD294" s="0" t="n">
        <f aca="false">IF(AND(AND(ISNUMBER(B294),B294=OriginalFinancials!B294),AND(ISNUMBER(U294),U294=OriginalFinancials!U294),AND(ISNUMBER(O294),O294=OriginalFinancials!O294)),0,1)</f>
        <v>0</v>
      </c>
      <c r="AE294" s="0" t="str">
        <f aca="false">IF(V294=0,"原始0：需核实适用/报告口径","")</f>
        <v/>
      </c>
    </row>
    <row r="295" customFormat="false" ht="15" hidden="false" customHeight="false" outlineLevel="0" collapsed="false">
      <c r="A295" s="0" t="n">
        <v>295</v>
      </c>
      <c r="B295" s="0" t="n">
        <v>792753</v>
      </c>
      <c r="C295" s="0" t="n">
        <v>19532</v>
      </c>
      <c r="D295" s="0" t="n">
        <v>647966</v>
      </c>
      <c r="E295" s="0" t="n">
        <v>0</v>
      </c>
      <c r="F295" s="0" t="n">
        <v>91641</v>
      </c>
      <c r="G295" s="0" t="n">
        <v>11.5598427252877</v>
      </c>
      <c r="H295" s="0" t="s">
        <v>452</v>
      </c>
      <c r="I295" s="0" t="n">
        <v>1.01916851433388</v>
      </c>
      <c r="J295" s="0" t="n">
        <v>38262</v>
      </c>
      <c r="K295" s="0" t="n">
        <v>49373</v>
      </c>
      <c r="L295" s="0" t="n">
        <v>564676</v>
      </c>
      <c r="M295" s="0" t="n">
        <v>558921</v>
      </c>
      <c r="N295" s="0" t="n">
        <v>466819</v>
      </c>
      <c r="O295" s="0" t="n">
        <v>876</v>
      </c>
      <c r="P295" s="0" t="s">
        <v>165</v>
      </c>
      <c r="Q295" s="0" t="n">
        <v>0.157612506995162</v>
      </c>
      <c r="R295" s="0" t="n">
        <v>3.4494049372331</v>
      </c>
      <c r="S295" s="0" t="n">
        <v>30</v>
      </c>
      <c r="T295" s="0" t="n">
        <v>999</v>
      </c>
      <c r="U295" s="0" t="n">
        <v>14</v>
      </c>
      <c r="V295" s="0" t="n">
        <v>20.7353954790339</v>
      </c>
      <c r="W295" s="0" t="n">
        <v>20230630</v>
      </c>
      <c r="X295" s="0" t="n">
        <v>0.820049398822041</v>
      </c>
      <c r="Y295" s="0" t="n">
        <v>7.11</v>
      </c>
      <c r="Z295" s="0" t="s">
        <v>105</v>
      </c>
      <c r="AA295" s="0" t="n">
        <f aca="false">IF(AND(ISNUMBER(B295),B295&gt;0,ISNUMBER(U295),U295&gt;=0,ISNUMBER(O295),O295&gt;=0),1,0)</f>
        <v>1</v>
      </c>
      <c r="AB295" s="0" t="n">
        <f aca="false">IF(AA295=1,U295+O295,0)</f>
        <v>890</v>
      </c>
      <c r="AC295" s="0" t="n">
        <f aca="false">IF(AA295=1,100*AB295/B295,"")</f>
        <v>0.11226699867424</v>
      </c>
      <c r="AD295" s="0" t="n">
        <f aca="false">IF(AND(AND(ISNUMBER(B295),B295=OriginalFinancials!B295),AND(ISNUMBER(U295),U295=OriginalFinancials!U295),AND(ISNUMBER(O295),O295=OriginalFinancials!O295)),0,1)</f>
        <v>0</v>
      </c>
      <c r="AE295" s="0" t="str">
        <f aca="false">IF(V295=0,"原始0：需核实适用/报告口径","")</f>
        <v/>
      </c>
    </row>
    <row r="296" customFormat="false" ht="15" hidden="false" customHeight="false" outlineLevel="0" collapsed="false">
      <c r="A296" s="0" t="n">
        <v>296</v>
      </c>
      <c r="B296" s="0" t="n">
        <v>2869938</v>
      </c>
      <c r="C296" s="0" t="n">
        <v>19690</v>
      </c>
      <c r="D296" s="0" t="n">
        <v>1960331</v>
      </c>
      <c r="E296" s="0" t="n">
        <v>0.08</v>
      </c>
      <c r="F296" s="0" t="n">
        <v>296663</v>
      </c>
      <c r="G296" s="0" t="n">
        <v>10.3369132016092</v>
      </c>
      <c r="H296" s="0" t="s">
        <v>453</v>
      </c>
      <c r="I296" s="0" t="n">
        <v>0.289799869859861</v>
      </c>
      <c r="J296" s="0" t="n">
        <v>37835</v>
      </c>
      <c r="K296" s="0" t="n">
        <v>470</v>
      </c>
      <c r="L296" s="0" t="n">
        <v>2520360</v>
      </c>
      <c r="M296" s="0" t="n">
        <v>2513056</v>
      </c>
      <c r="N296" s="0" t="n">
        <v>2020060</v>
      </c>
      <c r="O296" s="0" t="n">
        <v>15683</v>
      </c>
      <c r="P296" s="0" t="s">
        <v>167</v>
      </c>
      <c r="Q296" s="0" t="n">
        <v>0.622252376644606</v>
      </c>
      <c r="R296" s="0" t="n">
        <v>4.82690808234839</v>
      </c>
      <c r="S296" s="0" t="n">
        <v>234</v>
      </c>
      <c r="T296" s="0" t="n">
        <v>645</v>
      </c>
      <c r="U296" s="0" t="n">
        <v>0</v>
      </c>
      <c r="V296" s="0" t="n">
        <v>12.2983890529339</v>
      </c>
      <c r="W296" s="0" t="n">
        <v>20230630</v>
      </c>
      <c r="X296" s="0" t="n">
        <v>1.72729756659238</v>
      </c>
      <c r="Y296" s="0" t="n">
        <v>17.49</v>
      </c>
      <c r="Z296" s="0" t="s">
        <v>105</v>
      </c>
      <c r="AA296" s="0" t="n">
        <f aca="false">IF(AND(ISNUMBER(B296),B296&gt;0,ISNUMBER(U296),U296&gt;=0,ISNUMBER(O296),O296&gt;=0),1,0)</f>
        <v>1</v>
      </c>
      <c r="AB296" s="0" t="n">
        <f aca="false">IF(AA296=1,U296+O296,0)</f>
        <v>15683</v>
      </c>
      <c r="AC296" s="0" t="n">
        <f aca="false">IF(AA296=1,100*AB296/B296,"")</f>
        <v>0.546457798043024</v>
      </c>
      <c r="AD296" s="0" t="n">
        <f aca="false">IF(AND(AND(ISNUMBER(B296),B296=OriginalFinancials!B296),AND(ISNUMBER(U296),U296=OriginalFinancials!U296),AND(ISNUMBER(O296),O296=OriginalFinancials!O296)),0,1)</f>
        <v>0</v>
      </c>
      <c r="AE296" s="0" t="str">
        <f aca="false">IF(V296=0,"原始0：需核实适用/报告口径","")</f>
        <v/>
      </c>
    </row>
    <row r="297" customFormat="false" ht="15" hidden="false" customHeight="false" outlineLevel="0" collapsed="false">
      <c r="A297" s="0" t="n">
        <v>297</v>
      </c>
      <c r="B297" s="0" t="n">
        <v>608950</v>
      </c>
      <c r="C297" s="0" t="n">
        <v>19836</v>
      </c>
      <c r="D297" s="0" t="n">
        <v>446012</v>
      </c>
      <c r="E297" s="0" t="n">
        <v>0.03</v>
      </c>
      <c r="F297" s="0" t="n">
        <v>119294</v>
      </c>
      <c r="G297" s="0" t="n">
        <v>19.590114130881</v>
      </c>
      <c r="H297" s="0" t="s">
        <v>454</v>
      </c>
      <c r="I297" s="0" t="n">
        <v>0.851015970608083</v>
      </c>
      <c r="J297" s="0" t="n">
        <v>52848</v>
      </c>
      <c r="K297" s="0" t="n">
        <v>12252</v>
      </c>
      <c r="L297" s="0" t="n">
        <v>506806</v>
      </c>
      <c r="M297" s="0" t="n">
        <v>502493</v>
      </c>
      <c r="N297" s="0" t="n">
        <v>437325</v>
      </c>
      <c r="O297" s="0" t="n">
        <v>3354</v>
      </c>
      <c r="P297" s="0" t="s">
        <v>145</v>
      </c>
      <c r="Q297" s="0" t="n">
        <v>0.724932222586157</v>
      </c>
      <c r="R297" s="0" t="n">
        <v>4.15464324965216</v>
      </c>
      <c r="S297" s="0" t="n">
        <v>85</v>
      </c>
      <c r="T297" s="0" t="n">
        <v>2513</v>
      </c>
      <c r="U297" s="0" t="n">
        <v>320</v>
      </c>
      <c r="V297" s="0" t="n">
        <v>27.2365493944138</v>
      </c>
      <c r="W297" s="0" t="n">
        <v>20230630</v>
      </c>
      <c r="X297" s="0" t="n">
        <v>0.835906040268456</v>
      </c>
      <c r="Y297" s="0" t="n">
        <v>4.22</v>
      </c>
      <c r="Z297" s="0" t="s">
        <v>105</v>
      </c>
      <c r="AA297" s="0" t="n">
        <f aca="false">IF(AND(ISNUMBER(B297),B297&gt;0,ISNUMBER(U297),U297&gt;=0,ISNUMBER(O297),O297&gt;=0),1,0)</f>
        <v>1</v>
      </c>
      <c r="AB297" s="0" t="n">
        <f aca="false">IF(AA297=1,U297+O297,0)</f>
        <v>3674</v>
      </c>
      <c r="AC297" s="0" t="n">
        <f aca="false">IF(AA297=1,100*AB297/B297,"")</f>
        <v>0.603333607028492</v>
      </c>
      <c r="AD297" s="0" t="n">
        <f aca="false">IF(AND(AND(ISNUMBER(B297),B297=OriginalFinancials!B297),AND(ISNUMBER(U297),U297=OriginalFinancials!U297),AND(ISNUMBER(O297),O297=OriginalFinancials!O297)),0,1)</f>
        <v>0</v>
      </c>
      <c r="AE297" s="0" t="str">
        <f aca="false">IF(V297=0,"原始0：需核实适用/报告口径","")</f>
        <v/>
      </c>
    </row>
    <row r="298" customFormat="false" ht="15" hidden="false" customHeight="false" outlineLevel="0" collapsed="false">
      <c r="A298" s="0" t="n">
        <v>298</v>
      </c>
      <c r="B298" s="0" t="n">
        <v>1353335</v>
      </c>
      <c r="C298" s="0" t="n">
        <v>24540</v>
      </c>
      <c r="D298" s="0" t="n">
        <v>1091222</v>
      </c>
      <c r="E298" s="0" t="n">
        <v>0.16</v>
      </c>
      <c r="F298" s="0" t="n">
        <v>232110</v>
      </c>
      <c r="G298" s="0" t="n">
        <v>17.1509640997979</v>
      </c>
      <c r="H298" s="0" t="s">
        <v>455</v>
      </c>
      <c r="I298" s="0" t="n">
        <v>0.946001137993989</v>
      </c>
      <c r="J298" s="0" t="n">
        <v>40277</v>
      </c>
      <c r="K298" s="0" t="n">
        <v>135</v>
      </c>
      <c r="L298" s="0" t="n">
        <v>1145876</v>
      </c>
      <c r="M298" s="0" t="n">
        <v>1135036</v>
      </c>
      <c r="N298" s="0" t="n">
        <v>1109265</v>
      </c>
      <c r="O298" s="0" t="n">
        <v>342</v>
      </c>
      <c r="P298" s="0" t="s">
        <v>170</v>
      </c>
      <c r="Q298" s="0" t="n">
        <v>0.029846161364755</v>
      </c>
      <c r="R298" s="0" t="n">
        <v>5.00438106220581</v>
      </c>
      <c r="S298" s="0" t="n">
        <v>0</v>
      </c>
      <c r="T298" s="0" t="n">
        <v>118</v>
      </c>
      <c r="U298" s="0" t="n">
        <v>0</v>
      </c>
      <c r="V298" s="0" t="n">
        <v>0</v>
      </c>
      <c r="W298" s="0" t="n">
        <v>20230630</v>
      </c>
      <c r="X298" s="0" t="n">
        <v>2.53176441533346</v>
      </c>
      <c r="Y298" s="0" t="n">
        <v>14.8</v>
      </c>
      <c r="Z298" s="0" t="s">
        <v>123</v>
      </c>
      <c r="AA298" s="0" t="n">
        <f aca="false">IF(AND(ISNUMBER(B298),B298&gt;0,ISNUMBER(U298),U298&gt;=0,ISNUMBER(O298),O298&gt;=0),1,0)</f>
        <v>1</v>
      </c>
      <c r="AB298" s="0" t="n">
        <f aca="false">IF(AA298=1,U298+O298,0)</f>
        <v>342</v>
      </c>
      <c r="AC298" s="0" t="n">
        <f aca="false">IF(AA298=1,100*AB298/B298,"")</f>
        <v>0.0252709048387871</v>
      </c>
      <c r="AD298" s="0" t="n">
        <f aca="false">IF(AND(AND(ISNUMBER(B298),B298=OriginalFinancials!B298),AND(ISNUMBER(U298),U298=OriginalFinancials!U298),AND(ISNUMBER(O298),O298=OriginalFinancials!O298)),0,1)</f>
        <v>0</v>
      </c>
      <c r="AE298" s="0" t="str">
        <f aca="false">IF(V298=0,"原始0：需核实适用/报告口径","")</f>
        <v>原始0：需核实适用/报告口径</v>
      </c>
    </row>
    <row r="299" customFormat="false" ht="15" hidden="false" customHeight="false" outlineLevel="0" collapsed="false">
      <c r="A299" s="0" t="n">
        <v>299</v>
      </c>
      <c r="B299" s="0" t="n">
        <v>511371</v>
      </c>
      <c r="C299" s="0" t="n">
        <v>27824</v>
      </c>
      <c r="D299" s="0" t="n">
        <v>380476</v>
      </c>
      <c r="E299" s="0" t="n">
        <v>0</v>
      </c>
      <c r="F299" s="0" t="n">
        <v>65899</v>
      </c>
      <c r="G299" s="0" t="n">
        <v>12.8867299866438</v>
      </c>
      <c r="H299" s="0" t="s">
        <v>456</v>
      </c>
      <c r="I299" s="0" t="n">
        <v>0.759165622051015</v>
      </c>
      <c r="J299" s="0" t="n">
        <v>21394</v>
      </c>
      <c r="K299" s="0" t="n">
        <v>41917</v>
      </c>
      <c r="L299" s="0" t="n">
        <v>425994</v>
      </c>
      <c r="M299" s="0" t="n">
        <v>422760</v>
      </c>
      <c r="N299" s="0" t="n">
        <v>362683</v>
      </c>
      <c r="O299" s="0" t="n">
        <v>1230</v>
      </c>
      <c r="P299" s="0" t="s">
        <v>172</v>
      </c>
      <c r="Q299" s="0" t="n">
        <v>0.288736461076917</v>
      </c>
      <c r="R299" s="0" t="n">
        <v>2.03415693915202</v>
      </c>
      <c r="S299" s="0" t="n">
        <v>-6</v>
      </c>
      <c r="T299" s="0" t="n">
        <v>1038</v>
      </c>
      <c r="U299" s="0" t="n">
        <v>0</v>
      </c>
      <c r="V299" s="0" t="n">
        <v>21.8651868052185</v>
      </c>
      <c r="W299" s="0" t="n">
        <v>20230630</v>
      </c>
      <c r="X299" s="0" t="n">
        <v>-0.179485034548527</v>
      </c>
      <c r="Y299" s="0" t="n">
        <v>-1.35</v>
      </c>
      <c r="Z299" s="0" t="s">
        <v>123</v>
      </c>
      <c r="AA299" s="0" t="n">
        <f aca="false">IF(AND(ISNUMBER(B299),B299&gt;0,ISNUMBER(U299),U299&gt;=0,ISNUMBER(O299),O299&gt;=0),1,0)</f>
        <v>1</v>
      </c>
      <c r="AB299" s="0" t="n">
        <f aca="false">IF(AA299=1,U299+O299,0)</f>
        <v>1230</v>
      </c>
      <c r="AC299" s="0" t="n">
        <f aca="false">IF(AA299=1,100*AB299/B299,"")</f>
        <v>0.24052986970321</v>
      </c>
      <c r="AD299" s="0" t="n">
        <f aca="false">IF(AND(AND(ISNUMBER(B299),B299=OriginalFinancials!B299),AND(ISNUMBER(U299),U299=OriginalFinancials!U299),AND(ISNUMBER(O299),O299=OriginalFinancials!O299)),0,1)</f>
        <v>0</v>
      </c>
      <c r="AE299" s="0" t="str">
        <f aca="false">IF(V299=0,"原始0：需核实适用/报告口径","")</f>
        <v/>
      </c>
    </row>
    <row r="300" customFormat="false" ht="15" hidden="false" customHeight="false" outlineLevel="0" collapsed="false">
      <c r="A300" s="0" t="n">
        <v>300</v>
      </c>
      <c r="B300" s="0" t="n">
        <v>297569</v>
      </c>
      <c r="C300" s="0" t="n">
        <v>28155</v>
      </c>
      <c r="D300" s="0" t="n">
        <v>264006</v>
      </c>
      <c r="E300" s="0" t="n">
        <v>-0.07</v>
      </c>
      <c r="F300" s="0" t="n">
        <v>27564</v>
      </c>
      <c r="G300" s="0" t="n">
        <v>9.26306167645151</v>
      </c>
      <c r="H300" s="0" t="s">
        <v>457</v>
      </c>
      <c r="I300" s="0" t="n">
        <v>0.510813154224104</v>
      </c>
      <c r="J300" s="0" t="n">
        <v>5813</v>
      </c>
      <c r="K300" s="0" t="n">
        <v>5560</v>
      </c>
      <c r="L300" s="0" t="n">
        <v>159158</v>
      </c>
      <c r="M300" s="0" t="n">
        <v>158345</v>
      </c>
      <c r="N300" s="0" t="n">
        <v>147112</v>
      </c>
      <c r="O300" s="0" t="n">
        <v>52</v>
      </c>
      <c r="P300" s="0" t="s">
        <v>174</v>
      </c>
      <c r="Q300" s="0" t="n">
        <v>0.0326719360635343</v>
      </c>
      <c r="R300" s="0" t="n">
        <v>2.47080923260729</v>
      </c>
      <c r="S300" s="0" t="n">
        <v>0</v>
      </c>
      <c r="T300" s="0" t="n">
        <v>767</v>
      </c>
      <c r="U300" s="0" t="n">
        <v>0</v>
      </c>
      <c r="V300" s="0" t="n">
        <v>17.8379338650592</v>
      </c>
      <c r="W300" s="0" t="n">
        <v>20230630</v>
      </c>
      <c r="X300" s="0" t="n">
        <v>0.0381918077455666</v>
      </c>
      <c r="Y300" s="0" t="n">
        <v>0.41</v>
      </c>
      <c r="Z300" s="0" t="s">
        <v>123</v>
      </c>
      <c r="AA300" s="0" t="n">
        <f aca="false">IF(AND(ISNUMBER(B300),B300&gt;0,ISNUMBER(U300),U300&gt;=0,ISNUMBER(O300),O300&gt;=0),1,0)</f>
        <v>1</v>
      </c>
      <c r="AB300" s="0" t="n">
        <f aca="false">IF(AA300=1,U300+O300,0)</f>
        <v>52</v>
      </c>
      <c r="AC300" s="0" t="n">
        <f aca="false">IF(AA300=1,100*AB300/B300,"")</f>
        <v>0.0174749385856726</v>
      </c>
      <c r="AD300" s="0" t="n">
        <f aca="false">IF(AND(AND(ISNUMBER(B300),B300=OriginalFinancials!B300),AND(ISNUMBER(U300),U300=OriginalFinancials!U300),AND(ISNUMBER(O300),O300=OriginalFinancials!O300)),0,1)</f>
        <v>0</v>
      </c>
      <c r="AE300" s="0" t="str">
        <f aca="false">IF(V300=0,"原始0：需核实适用/报告口径","")</f>
        <v/>
      </c>
    </row>
    <row r="301" customFormat="false" ht="15" hidden="false" customHeight="false" outlineLevel="0" collapsed="false">
      <c r="A301" s="0" t="n">
        <v>301</v>
      </c>
      <c r="B301" s="0" t="n">
        <v>103989</v>
      </c>
      <c r="C301" s="0" t="n">
        <v>28288</v>
      </c>
      <c r="D301" s="0" t="n">
        <v>78624</v>
      </c>
      <c r="E301" s="0" t="n">
        <v>0</v>
      </c>
      <c r="F301" s="0" t="n">
        <v>5937</v>
      </c>
      <c r="G301" s="0" t="n">
        <v>5.70925770995009</v>
      </c>
      <c r="H301" s="0" t="s">
        <v>458</v>
      </c>
      <c r="I301" s="0" t="n">
        <v>1.07286875238929</v>
      </c>
      <c r="J301" s="0" t="n">
        <v>4909</v>
      </c>
      <c r="K301" s="0" t="n">
        <v>651</v>
      </c>
      <c r="L301" s="0" t="n">
        <v>81091</v>
      </c>
      <c r="M301" s="0" t="n">
        <v>80221</v>
      </c>
      <c r="N301" s="0" t="n">
        <v>75531</v>
      </c>
      <c r="O301" s="0" t="n">
        <v>266</v>
      </c>
      <c r="P301" s="0" t="s">
        <v>176</v>
      </c>
      <c r="Q301" s="0" t="n">
        <v>0.328026538086841</v>
      </c>
      <c r="R301" s="0" t="n">
        <v>2.81908951863754</v>
      </c>
      <c r="S301" s="0" t="n">
        <v>-8</v>
      </c>
      <c r="T301" s="0" t="n">
        <v>831</v>
      </c>
      <c r="U301" s="0" t="n">
        <v>0</v>
      </c>
      <c r="V301" s="0" t="n">
        <v>13.4329035086393</v>
      </c>
      <c r="W301" s="0" t="n">
        <v>20230630</v>
      </c>
      <c r="X301" s="0" t="n">
        <v>-0.0292873413602343</v>
      </c>
      <c r="Y301" s="0" t="n">
        <v>-0.5</v>
      </c>
      <c r="Z301" s="0" t="s">
        <v>105</v>
      </c>
      <c r="AA301" s="0" t="n">
        <f aca="false">IF(AND(ISNUMBER(B301),B301&gt;0,ISNUMBER(U301),U301&gt;=0,ISNUMBER(O301),O301&gt;=0),1,0)</f>
        <v>1</v>
      </c>
      <c r="AB301" s="0" t="n">
        <f aca="false">IF(AA301=1,U301+O301,0)</f>
        <v>266</v>
      </c>
      <c r="AC301" s="0" t="n">
        <f aca="false">IF(AA301=1,100*AB301/B301,"")</f>
        <v>0.25579628614565</v>
      </c>
      <c r="AD301" s="0" t="n">
        <f aca="false">IF(AND(AND(ISNUMBER(B301),B301=OriginalFinancials!B301),AND(ISNUMBER(U301),U301=OriginalFinancials!U301),AND(ISNUMBER(O301),O301=OriginalFinancials!O301)),0,1)</f>
        <v>0</v>
      </c>
      <c r="AE301" s="0" t="str">
        <f aca="false">IF(V301=0,"原始0：需核实适用/报告口径","")</f>
        <v/>
      </c>
    </row>
    <row r="302" customFormat="false" ht="15" hidden="false" customHeight="false" outlineLevel="0" collapsed="false">
      <c r="A302" s="0" t="n">
        <v>302</v>
      </c>
      <c r="B302" s="0" t="n">
        <v>87702</v>
      </c>
      <c r="C302" s="0" t="n">
        <v>28369</v>
      </c>
      <c r="D302" s="0" t="n">
        <v>77819</v>
      </c>
      <c r="E302" s="0" t="n">
        <v>0.03</v>
      </c>
      <c r="F302" s="0" t="n">
        <v>9428</v>
      </c>
      <c r="G302" s="0" t="n">
        <v>10.7500399078698</v>
      </c>
      <c r="H302" s="0" t="s">
        <v>459</v>
      </c>
      <c r="I302" s="0" t="n">
        <v>0.755313076606534</v>
      </c>
      <c r="J302" s="0" t="n">
        <v>11294</v>
      </c>
      <c r="K302" s="0" t="n">
        <v>827</v>
      </c>
      <c r="L302" s="0" t="n">
        <v>75333</v>
      </c>
      <c r="M302" s="0" t="n">
        <v>74764</v>
      </c>
      <c r="N302" s="0" t="n">
        <v>63212</v>
      </c>
      <c r="O302" s="0" t="n">
        <v>231</v>
      </c>
      <c r="P302" s="0" t="s">
        <v>178</v>
      </c>
      <c r="Q302" s="0" t="n">
        <v>0.306638524949225</v>
      </c>
      <c r="R302" s="0" t="n">
        <v>3.38744850981342</v>
      </c>
      <c r="S302" s="0" t="n">
        <v>-1</v>
      </c>
      <c r="T302" s="0" t="n">
        <v>76</v>
      </c>
      <c r="U302" s="0" t="n">
        <v>0</v>
      </c>
      <c r="V302" s="0" t="n">
        <v>0</v>
      </c>
      <c r="W302" s="0" t="n">
        <v>20230630</v>
      </c>
      <c r="X302" s="0" t="n">
        <v>-0.21138653483091</v>
      </c>
      <c r="Y302" s="0" t="n">
        <v>-1.94</v>
      </c>
      <c r="Z302" s="0" t="s">
        <v>105</v>
      </c>
      <c r="AA302" s="0" t="n">
        <f aca="false">IF(AND(ISNUMBER(B302),B302&gt;0,ISNUMBER(U302),U302&gt;=0,ISNUMBER(O302),O302&gt;=0),1,0)</f>
        <v>1</v>
      </c>
      <c r="AB302" s="0" t="n">
        <f aca="false">IF(AA302=1,U302+O302,0)</f>
        <v>231</v>
      </c>
      <c r="AC302" s="0" t="n">
        <f aca="false">IF(AA302=1,100*AB302/B302,"")</f>
        <v>0.263391940890744</v>
      </c>
      <c r="AD302" s="0" t="n">
        <f aca="false">IF(AND(AND(ISNUMBER(B302),B302=OriginalFinancials!B302),AND(ISNUMBER(U302),U302=OriginalFinancials!U302),AND(ISNUMBER(O302),O302=OriginalFinancials!O302)),0,1)</f>
        <v>0</v>
      </c>
      <c r="AE302" s="0" t="str">
        <f aca="false">IF(V302=0,"原始0：需核实适用/报告口径","")</f>
        <v>原始0：需核实适用/报告口径</v>
      </c>
    </row>
    <row r="303" customFormat="false" ht="15" hidden="false" customHeight="false" outlineLevel="0" collapsed="false">
      <c r="A303" s="0" t="n">
        <v>303</v>
      </c>
      <c r="B303" s="0" t="n">
        <v>285195</v>
      </c>
      <c r="C303" s="0" t="n">
        <v>28837</v>
      </c>
      <c r="D303" s="0" t="n">
        <v>256863</v>
      </c>
      <c r="E303" s="0" t="n">
        <v>0</v>
      </c>
      <c r="F303" s="0" t="n">
        <v>24942</v>
      </c>
      <c r="G303" s="0" t="n">
        <v>8.74559511912902</v>
      </c>
      <c r="H303" s="0" t="s">
        <v>460</v>
      </c>
      <c r="I303" s="0" t="n">
        <v>1.17921351225325</v>
      </c>
      <c r="J303" s="0" t="n">
        <v>6474</v>
      </c>
      <c r="K303" s="0" t="n">
        <v>1267</v>
      </c>
      <c r="L303" s="0" t="n">
        <v>193010</v>
      </c>
      <c r="M303" s="0" t="n">
        <v>190734</v>
      </c>
      <c r="N303" s="0" t="n">
        <v>183990</v>
      </c>
      <c r="O303" s="0" t="n">
        <v>38</v>
      </c>
      <c r="P303" s="0" t="s">
        <v>180</v>
      </c>
      <c r="Q303" s="0" t="n">
        <v>0.0196880990622247</v>
      </c>
      <c r="R303" s="0" t="n">
        <v>3.64030461666489</v>
      </c>
      <c r="S303" s="0" t="n">
        <v>-4</v>
      </c>
      <c r="T303" s="0" t="n">
        <v>366</v>
      </c>
      <c r="U303" s="0" t="n">
        <v>0</v>
      </c>
      <c r="V303" s="0" t="n">
        <v>16.3569852514226</v>
      </c>
      <c r="W303" s="0" t="n">
        <v>20230630</v>
      </c>
      <c r="X303" s="0" t="n">
        <v>0.998180082377603</v>
      </c>
      <c r="Y303" s="0" t="n">
        <v>12.1</v>
      </c>
      <c r="Z303" s="0" t="s">
        <v>112</v>
      </c>
      <c r="AA303" s="0" t="n">
        <f aca="false">IF(AND(ISNUMBER(B303),B303&gt;0,ISNUMBER(U303),U303&gt;=0,ISNUMBER(O303),O303&gt;=0),1,0)</f>
        <v>1</v>
      </c>
      <c r="AB303" s="0" t="n">
        <f aca="false">IF(AA303=1,U303+O303,0)</f>
        <v>38</v>
      </c>
      <c r="AC303" s="0" t="n">
        <f aca="false">IF(AA303=1,100*AB303/B303,"")</f>
        <v>0.0133242167639685</v>
      </c>
      <c r="AD303" s="0" t="n">
        <f aca="false">IF(AND(AND(ISNUMBER(B303),B303=OriginalFinancials!B303),AND(ISNUMBER(U303),U303=OriginalFinancials!U303),AND(ISNUMBER(O303),O303=OriginalFinancials!O303)),0,1)</f>
        <v>0</v>
      </c>
      <c r="AE303" s="0" t="str">
        <f aca="false">IF(V303=0,"原始0：需核实适用/报告口径","")</f>
        <v/>
      </c>
    </row>
    <row r="304" customFormat="false" ht="15" hidden="false" customHeight="false" outlineLevel="0" collapsed="false">
      <c r="A304" s="0" t="n">
        <v>304</v>
      </c>
      <c r="B304" s="0" t="n">
        <v>182034</v>
      </c>
      <c r="C304" s="0" t="n">
        <v>29636</v>
      </c>
      <c r="D304" s="0" t="n">
        <v>145903</v>
      </c>
      <c r="E304" s="0" t="n">
        <v>0.07</v>
      </c>
      <c r="F304" s="0" t="n">
        <v>24760</v>
      </c>
      <c r="G304" s="0" t="n">
        <v>13.6018545985915</v>
      </c>
      <c r="H304" s="0" t="s">
        <v>461</v>
      </c>
      <c r="I304" s="0" t="n">
        <v>1.4568782499</v>
      </c>
      <c r="J304" s="0" t="n">
        <v>2015</v>
      </c>
      <c r="K304" s="0" t="n">
        <v>1467</v>
      </c>
      <c r="L304" s="0" t="n">
        <v>130004</v>
      </c>
      <c r="M304" s="0" t="n">
        <v>128110</v>
      </c>
      <c r="N304" s="0" t="n">
        <v>126522</v>
      </c>
      <c r="O304" s="0" t="n">
        <v>2061</v>
      </c>
      <c r="P304" s="0" t="s">
        <v>182</v>
      </c>
      <c r="Q304" s="0" t="n">
        <v>1.58533583582044</v>
      </c>
      <c r="R304" s="0" t="n">
        <v>3.55071845607826</v>
      </c>
      <c r="S304" s="0" t="n">
        <v>-5</v>
      </c>
      <c r="T304" s="0" t="n">
        <v>2273</v>
      </c>
      <c r="U304" s="0" t="n">
        <v>0</v>
      </c>
      <c r="V304" s="0" t="n">
        <v>26.7116213478459</v>
      </c>
      <c r="W304" s="0" t="n">
        <v>20230630</v>
      </c>
      <c r="X304" s="0" t="n">
        <v>0.410119937297218</v>
      </c>
      <c r="Y304" s="0" t="n">
        <v>3.05</v>
      </c>
      <c r="Z304" s="0" t="s">
        <v>105</v>
      </c>
      <c r="AA304" s="0" t="n">
        <f aca="false">IF(AND(ISNUMBER(B304),B304&gt;0,ISNUMBER(U304),U304&gt;=0,ISNUMBER(O304),O304&gt;=0),1,0)</f>
        <v>1</v>
      </c>
      <c r="AB304" s="0" t="n">
        <f aca="false">IF(AA304=1,U304+O304,0)</f>
        <v>2061</v>
      </c>
      <c r="AC304" s="0" t="n">
        <f aca="false">IF(AA304=1,100*AB304/B304,"")</f>
        <v>1.13220607139326</v>
      </c>
      <c r="AD304" s="0" t="n">
        <f aca="false">IF(AND(AND(ISNUMBER(B304),B304=OriginalFinancials!B304),AND(ISNUMBER(U304),U304=OriginalFinancials!U304),AND(ISNUMBER(O304),O304=OriginalFinancials!O304)),0,1)</f>
        <v>0</v>
      </c>
      <c r="AE304" s="0" t="str">
        <f aca="false">IF(V304=0,"原始0：需核实适用/报告口径","")</f>
        <v/>
      </c>
    </row>
    <row r="305" customFormat="false" ht="15" hidden="false" customHeight="false" outlineLevel="0" collapsed="false">
      <c r="A305" s="0" t="n">
        <v>305</v>
      </c>
      <c r="B305" s="0" t="n">
        <v>185445</v>
      </c>
      <c r="C305" s="0" t="n">
        <v>29743</v>
      </c>
      <c r="D305" s="0" t="n">
        <v>165388</v>
      </c>
      <c r="E305" s="0" t="n">
        <v>-0.01</v>
      </c>
      <c r="F305" s="0" t="n">
        <v>15742</v>
      </c>
      <c r="G305" s="0" t="n">
        <v>8.48877025533177</v>
      </c>
      <c r="H305" s="0" t="s">
        <v>462</v>
      </c>
      <c r="I305" s="0" t="n">
        <v>0.72650952534711</v>
      </c>
      <c r="J305" s="0" t="n">
        <v>27495</v>
      </c>
      <c r="K305" s="0" t="n">
        <v>20952</v>
      </c>
      <c r="L305" s="0" t="n">
        <v>130074</v>
      </c>
      <c r="M305" s="0" t="n">
        <v>129129</v>
      </c>
      <c r="N305" s="0" t="n">
        <v>81523</v>
      </c>
      <c r="O305" s="0" t="n">
        <v>624</v>
      </c>
      <c r="P305" s="0" t="s">
        <v>184</v>
      </c>
      <c r="Q305" s="0" t="n">
        <v>0.479726924673647</v>
      </c>
      <c r="R305" s="0" t="n">
        <v>2.39838700420097</v>
      </c>
      <c r="S305" s="0" t="n">
        <v>8</v>
      </c>
      <c r="T305" s="0" t="n">
        <v>575</v>
      </c>
      <c r="U305" s="0" t="n">
        <v>0</v>
      </c>
      <c r="V305" s="0" t="n">
        <v>17.6543434711346</v>
      </c>
      <c r="W305" s="0" t="n">
        <v>20230630</v>
      </c>
      <c r="X305" s="0" t="n">
        <v>0.593040868794168</v>
      </c>
      <c r="Y305" s="0" t="n">
        <v>7.03</v>
      </c>
      <c r="Z305" s="0" t="s">
        <v>105</v>
      </c>
      <c r="AA305" s="0" t="n">
        <f aca="false">IF(AND(ISNUMBER(B305),B305&gt;0,ISNUMBER(U305),U305&gt;=0,ISNUMBER(O305),O305&gt;=0),1,0)</f>
        <v>1</v>
      </c>
      <c r="AB305" s="0" t="n">
        <f aca="false">IF(AA305=1,U305+O305,0)</f>
        <v>624</v>
      </c>
      <c r="AC305" s="0" t="n">
        <f aca="false">IF(AA305=1,100*AB305/B305,"")</f>
        <v>0.336487907465825</v>
      </c>
      <c r="AD305" s="0" t="n">
        <f aca="false">IF(AND(AND(ISNUMBER(B305),B305=OriginalFinancials!B305),AND(ISNUMBER(U305),U305=OriginalFinancials!U305),AND(ISNUMBER(O305),O305=OriginalFinancials!O305)),0,1)</f>
        <v>0</v>
      </c>
      <c r="AE305" s="0" t="str">
        <f aca="false">IF(V305=0,"原始0：需核实适用/报告口径","")</f>
        <v/>
      </c>
    </row>
    <row r="306" customFormat="false" ht="15" hidden="false" customHeight="false" outlineLevel="0" collapsed="false">
      <c r="A306" s="0" t="n">
        <v>306</v>
      </c>
      <c r="B306" s="0" t="n">
        <v>552677</v>
      </c>
      <c r="C306" s="0" t="n">
        <v>29744</v>
      </c>
      <c r="D306" s="0" t="n">
        <v>410619</v>
      </c>
      <c r="E306" s="0" t="n">
        <v>0.01</v>
      </c>
      <c r="F306" s="0" t="n">
        <v>52781</v>
      </c>
      <c r="G306" s="0" t="n">
        <v>9.55006269484708</v>
      </c>
      <c r="H306" s="0" t="s">
        <v>463</v>
      </c>
      <c r="I306" s="0" t="n">
        <v>0.795638968330261</v>
      </c>
      <c r="J306" s="0" t="n">
        <v>24168</v>
      </c>
      <c r="K306" s="0" t="n">
        <v>8922</v>
      </c>
      <c r="L306" s="0" t="n">
        <v>417149</v>
      </c>
      <c r="M306" s="0" t="n">
        <v>413830</v>
      </c>
      <c r="N306" s="0" t="n">
        <v>384059</v>
      </c>
      <c r="O306" s="0" t="n">
        <v>3</v>
      </c>
      <c r="P306" s="0" t="s">
        <v>186</v>
      </c>
      <c r="Q306" s="0" t="n">
        <v>0.0007191674917115</v>
      </c>
      <c r="R306" s="0" t="n">
        <v>2.38092808099467</v>
      </c>
      <c r="S306" s="0" t="n">
        <v>2</v>
      </c>
      <c r="T306" s="0" t="n">
        <v>0</v>
      </c>
      <c r="U306" s="0" t="n">
        <v>0</v>
      </c>
      <c r="V306" s="0" t="n">
        <v>18.6877368552431</v>
      </c>
      <c r="W306" s="0" t="n">
        <v>20230630</v>
      </c>
      <c r="X306" s="0" t="n">
        <v>-0.0278310290339886</v>
      </c>
      <c r="Y306" s="0" t="n">
        <v>-0.31</v>
      </c>
      <c r="Z306" s="0" t="s">
        <v>123</v>
      </c>
      <c r="AA306" s="0" t="n">
        <f aca="false">IF(AND(ISNUMBER(B306),B306&gt;0,ISNUMBER(U306),U306&gt;=0,ISNUMBER(O306),O306&gt;=0),1,0)</f>
        <v>1</v>
      </c>
      <c r="AB306" s="0" t="n">
        <f aca="false">IF(AA306=1,U306+O306,0)</f>
        <v>3</v>
      </c>
      <c r="AC306" s="0" t="n">
        <f aca="false">IF(AA306=1,100*AB306/B306,"")</f>
        <v>0.000542812528836916</v>
      </c>
      <c r="AD306" s="0" t="n">
        <f aca="false">IF(AND(AND(ISNUMBER(B306),B306=OriginalFinancials!B306),AND(ISNUMBER(U306),U306=OriginalFinancials!U306),AND(ISNUMBER(O306),O306=OriginalFinancials!O306)),0,1)</f>
        <v>0</v>
      </c>
      <c r="AE306" s="0" t="str">
        <f aca="false">IF(V306=0,"原始0：需核实适用/报告口径","")</f>
        <v/>
      </c>
    </row>
    <row r="307" customFormat="false" ht="15" hidden="false" customHeight="false" outlineLevel="0" collapsed="false">
      <c r="A307" s="0" t="n">
        <v>307</v>
      </c>
      <c r="B307" s="0" t="n">
        <v>551849</v>
      </c>
      <c r="C307" s="0" t="n">
        <v>30350</v>
      </c>
      <c r="D307" s="0" t="n">
        <v>438525</v>
      </c>
      <c r="E307" s="0" t="n">
        <v>0</v>
      </c>
      <c r="F307" s="0" t="n">
        <v>53168</v>
      </c>
      <c r="G307" s="0" t="n">
        <v>9.63451958778579</v>
      </c>
      <c r="H307" s="0" t="s">
        <v>464</v>
      </c>
      <c r="I307" s="0" t="n">
        <v>1.29282205233295</v>
      </c>
      <c r="J307" s="0" t="n">
        <v>17162</v>
      </c>
      <c r="K307" s="0" t="n">
        <v>1216</v>
      </c>
      <c r="L307" s="0" t="n">
        <v>396729</v>
      </c>
      <c r="M307" s="0" t="n">
        <v>391600</v>
      </c>
      <c r="N307" s="0" t="n">
        <v>376669</v>
      </c>
      <c r="O307" s="0" t="n">
        <v>1166</v>
      </c>
      <c r="P307" s="0" t="s">
        <v>188</v>
      </c>
      <c r="Q307" s="0" t="n">
        <v>0.293903395012716</v>
      </c>
      <c r="R307" s="0" t="n">
        <v>2.96883492457416</v>
      </c>
      <c r="S307" s="0" t="n">
        <v>-20</v>
      </c>
      <c r="T307" s="0" t="n">
        <v>486</v>
      </c>
      <c r="U307" s="0" t="n">
        <v>0</v>
      </c>
      <c r="V307" s="0" t="n">
        <v>21.5000066539797</v>
      </c>
      <c r="W307" s="0" t="n">
        <v>20230630</v>
      </c>
      <c r="X307" s="0" t="n">
        <v>0.679975874547648</v>
      </c>
      <c r="Y307" s="0" t="n">
        <v>7.16</v>
      </c>
      <c r="Z307" s="0" t="s">
        <v>112</v>
      </c>
      <c r="AA307" s="0" t="n">
        <f aca="false">IF(AND(ISNUMBER(B307),B307&gt;0,ISNUMBER(U307),U307&gt;=0,ISNUMBER(O307),O307&gt;=0),1,0)</f>
        <v>1</v>
      </c>
      <c r="AB307" s="0" t="n">
        <f aca="false">IF(AA307=1,U307+O307,0)</f>
        <v>1166</v>
      </c>
      <c r="AC307" s="0" t="n">
        <f aca="false">IF(AA307=1,100*AB307/B307,"")</f>
        <v>0.211289682503728</v>
      </c>
      <c r="AD307" s="0" t="n">
        <f aca="false">IF(AND(AND(ISNUMBER(B307),B307=OriginalFinancials!B307),AND(ISNUMBER(U307),U307=OriginalFinancials!U307),AND(ISNUMBER(O307),O307=OriginalFinancials!O307)),0,1)</f>
        <v>0</v>
      </c>
      <c r="AE307" s="0" t="str">
        <f aca="false">IF(V307=0,"原始0：需核实适用/报告口径","")</f>
        <v/>
      </c>
    </row>
    <row r="308" customFormat="false" ht="15" hidden="false" customHeight="false" outlineLevel="0" collapsed="false">
      <c r="A308" s="0" t="n">
        <v>308</v>
      </c>
      <c r="B308" s="0" t="n">
        <v>102023</v>
      </c>
      <c r="C308" s="0" t="n">
        <v>30878</v>
      </c>
      <c r="D308" s="0" t="n">
        <v>73248</v>
      </c>
      <c r="E308" s="0" t="n">
        <v>-0.12</v>
      </c>
      <c r="F308" s="0" t="n">
        <v>12549</v>
      </c>
      <c r="G308" s="0" t="n">
        <v>12.3001676092646</v>
      </c>
      <c r="H308" s="0" t="s">
        <v>465</v>
      </c>
      <c r="I308" s="0" t="n">
        <v>0.824283193386785</v>
      </c>
      <c r="J308" s="0" t="n">
        <v>0</v>
      </c>
      <c r="K308" s="0" t="n">
        <v>178</v>
      </c>
      <c r="L308" s="0" t="n">
        <v>84437</v>
      </c>
      <c r="M308" s="0" t="n">
        <v>83741</v>
      </c>
      <c r="N308" s="0" t="n">
        <v>84259</v>
      </c>
      <c r="O308" s="0" t="n">
        <v>704</v>
      </c>
      <c r="P308" s="0" t="s">
        <v>190</v>
      </c>
      <c r="Q308" s="0" t="n">
        <v>0.833757712851001</v>
      </c>
      <c r="R308" s="0" t="n">
        <v>1.78418160806126</v>
      </c>
      <c r="S308" s="0" t="n">
        <v>0</v>
      </c>
      <c r="T308" s="0" t="n">
        <v>109</v>
      </c>
      <c r="U308" s="0" t="n">
        <v>0</v>
      </c>
      <c r="V308" s="0" t="n">
        <v>0</v>
      </c>
      <c r="W308" s="0" t="n">
        <v>20230630</v>
      </c>
      <c r="X308" s="0" t="n">
        <v>0.095722443982835</v>
      </c>
      <c r="Y308" s="0" t="n">
        <v>0.78</v>
      </c>
      <c r="Z308" s="0" t="s">
        <v>105</v>
      </c>
      <c r="AA308" s="0" t="n">
        <f aca="false">IF(AND(ISNUMBER(B308),B308&gt;0,ISNUMBER(U308),U308&gt;=0,ISNUMBER(O308),O308&gt;=0),1,0)</f>
        <v>1</v>
      </c>
      <c r="AB308" s="0" t="n">
        <f aca="false">IF(AA308=1,U308+O308,0)</f>
        <v>704</v>
      </c>
      <c r="AC308" s="0" t="n">
        <f aca="false">IF(AA308=1,100*AB308/B308,"")</f>
        <v>0.690040481067994</v>
      </c>
      <c r="AD308" s="0" t="n">
        <f aca="false">IF(AND(AND(ISNUMBER(B308),B308=OriginalFinancials!B308),AND(ISNUMBER(U308),U308=OriginalFinancials!U308),AND(ISNUMBER(O308),O308=OriginalFinancials!O308)),0,1)</f>
        <v>0</v>
      </c>
      <c r="AE308" s="0" t="str">
        <f aca="false">IF(V308=0,"原始0：需核实适用/报告口径","")</f>
        <v>原始0：需核实适用/报告口径</v>
      </c>
    </row>
    <row r="309" customFormat="false" ht="15" hidden="false" customHeight="false" outlineLevel="0" collapsed="false">
      <c r="A309" s="0" t="n">
        <v>309</v>
      </c>
      <c r="B309" s="0" t="n">
        <v>749197</v>
      </c>
      <c r="C309" s="0" t="n">
        <v>33418</v>
      </c>
      <c r="D309" s="0" t="n">
        <v>565840</v>
      </c>
      <c r="E309" s="0" t="n">
        <v>0.07</v>
      </c>
      <c r="F309" s="0" t="n">
        <v>68367</v>
      </c>
      <c r="G309" s="0" t="n">
        <v>9.12537022972596</v>
      </c>
      <c r="H309" s="0" t="s">
        <v>466</v>
      </c>
      <c r="I309" s="0" t="n">
        <v>0.836717678384121</v>
      </c>
      <c r="J309" s="0" t="n">
        <v>45951</v>
      </c>
      <c r="K309" s="0" t="n">
        <v>11428</v>
      </c>
      <c r="L309" s="0" t="n">
        <v>371810</v>
      </c>
      <c r="M309" s="0" t="n">
        <v>368699</v>
      </c>
      <c r="N309" s="0" t="n">
        <v>314793</v>
      </c>
      <c r="O309" s="0" t="n">
        <v>1120</v>
      </c>
      <c r="P309" s="0" t="s">
        <v>192</v>
      </c>
      <c r="Q309" s="0" t="n">
        <v>0.301229122401226</v>
      </c>
      <c r="R309" s="0" t="n">
        <v>2.80710680168781</v>
      </c>
      <c r="S309" s="0" t="n">
        <v>-24</v>
      </c>
      <c r="T309" s="0" t="n">
        <v>58</v>
      </c>
      <c r="U309" s="0" t="n">
        <v>0</v>
      </c>
      <c r="V309" s="0" t="n">
        <v>18.5404060518078</v>
      </c>
      <c r="W309" s="0" t="n">
        <v>20230630</v>
      </c>
      <c r="X309" s="0" t="n">
        <v>0.729624498215505</v>
      </c>
      <c r="Y309" s="0" t="n">
        <v>8.11</v>
      </c>
      <c r="Z309" s="0" t="s">
        <v>112</v>
      </c>
      <c r="AA309" s="0" t="n">
        <f aca="false">IF(AND(ISNUMBER(B309),B309&gt;0,ISNUMBER(U309),U309&gt;=0,ISNUMBER(O309),O309&gt;=0),1,0)</f>
        <v>1</v>
      </c>
      <c r="AB309" s="0" t="n">
        <f aca="false">IF(AA309=1,U309+O309,0)</f>
        <v>1120</v>
      </c>
      <c r="AC309" s="0" t="n">
        <f aca="false">IF(AA309=1,100*AB309/B309,"")</f>
        <v>0.149493390923883</v>
      </c>
      <c r="AD309" s="0" t="n">
        <f aca="false">IF(AND(AND(ISNUMBER(B309),B309=OriginalFinancials!B309),AND(ISNUMBER(U309),U309=OriginalFinancials!U309),AND(ISNUMBER(O309),O309=OriginalFinancials!O309)),0,1)</f>
        <v>0</v>
      </c>
      <c r="AE309" s="0" t="str">
        <f aca="false">IF(V309=0,"原始0：需核实适用/报告口径","")</f>
        <v/>
      </c>
    </row>
    <row r="310" customFormat="false" ht="15" hidden="false" customHeight="false" outlineLevel="0" collapsed="false">
      <c r="A310" s="0" t="n">
        <v>310</v>
      </c>
      <c r="B310" s="0" t="n">
        <v>69697</v>
      </c>
      <c r="C310" s="0" t="n">
        <v>35206</v>
      </c>
      <c r="D310" s="0" t="n">
        <v>500</v>
      </c>
      <c r="E310" s="0" t="n">
        <v>0</v>
      </c>
      <c r="F310" s="0" t="n">
        <v>67177</v>
      </c>
      <c r="G310" s="0" t="n">
        <v>96.384349398109</v>
      </c>
      <c r="H310" s="0" t="s">
        <v>467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s">
        <v>252</v>
      </c>
      <c r="Q310" s="0" t="n">
        <v>0</v>
      </c>
      <c r="R310" s="0" t="n">
        <v>4.70983556889856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20230630</v>
      </c>
      <c r="X310" s="0" t="n">
        <v>19.5425080098353</v>
      </c>
      <c r="Y310" s="0" t="n">
        <v>20.51</v>
      </c>
      <c r="Z310" s="0" t="s">
        <v>123</v>
      </c>
      <c r="AA310" s="0" t="n">
        <f aca="false">IF(AND(ISNUMBER(B310),B310&gt;0,ISNUMBER(U310),U310&gt;=0,ISNUMBER(O310),O310&gt;=0),1,0)</f>
        <v>1</v>
      </c>
      <c r="AB310" s="0" t="n">
        <f aca="false">IF(AA310=1,U310+O310,0)</f>
        <v>0</v>
      </c>
      <c r="AC310" s="0" t="n">
        <f aca="false">IF(AA310=1,100*AB310/B310,"")</f>
        <v>0</v>
      </c>
      <c r="AD310" s="0" t="n">
        <f aca="false">IF(AND(AND(ISNUMBER(B310),B310=OriginalFinancials!B310),AND(ISNUMBER(U310),U310=OriginalFinancials!U310),AND(ISNUMBER(O310),O310=OriginalFinancials!O310)),0,1)</f>
        <v>0</v>
      </c>
      <c r="AE310" s="0" t="str">
        <f aca="false">IF(V310=0,"原始0：需核实适用/报告口径","")</f>
        <v>原始0：需核实适用/报告口径</v>
      </c>
    </row>
    <row r="311" customFormat="false" ht="15" hidden="false" customHeight="false" outlineLevel="0" collapsed="false">
      <c r="A311" s="0" t="n">
        <v>311</v>
      </c>
      <c r="B311" s="0" t="n">
        <v>5734437</v>
      </c>
      <c r="C311" s="0" t="n">
        <v>4255</v>
      </c>
      <c r="D311" s="0" t="n">
        <v>4731600</v>
      </c>
      <c r="E311" s="0" t="n">
        <v>0.01</v>
      </c>
      <c r="F311" s="0" t="n">
        <v>478695</v>
      </c>
      <c r="G311" s="0" t="n">
        <v>8.3477244583906</v>
      </c>
      <c r="H311" s="0" t="s">
        <v>468</v>
      </c>
      <c r="I311" s="0" t="n">
        <v>0.899355497964942</v>
      </c>
      <c r="J311" s="0" t="n">
        <v>346048</v>
      </c>
      <c r="K311" s="0" t="n">
        <v>19845</v>
      </c>
      <c r="L311" s="0" t="n">
        <v>4112167</v>
      </c>
      <c r="M311" s="0" t="n">
        <v>4075184</v>
      </c>
      <c r="N311" s="0" t="n">
        <v>3708024</v>
      </c>
      <c r="O311" s="0" t="n">
        <v>3048</v>
      </c>
      <c r="P311" s="0" t="s">
        <v>194</v>
      </c>
      <c r="Q311" s="0" t="n">
        <v>0.0741215033338869</v>
      </c>
      <c r="R311" s="0" t="n">
        <v>2.58787003447893</v>
      </c>
      <c r="S311" s="0" t="n">
        <v>683</v>
      </c>
      <c r="T311" s="0" t="n">
        <v>2251</v>
      </c>
      <c r="U311" s="0" t="n">
        <v>0</v>
      </c>
      <c r="V311" s="0" t="n">
        <v>13.2297972957237</v>
      </c>
      <c r="W311" s="0" t="n">
        <v>20230630</v>
      </c>
      <c r="X311" s="0" t="n">
        <v>0.927240843731989</v>
      </c>
      <c r="Y311" s="0" t="n">
        <v>11.21</v>
      </c>
      <c r="Z311" s="0" t="s">
        <v>105</v>
      </c>
      <c r="AA311" s="0" t="n">
        <f aca="false">IF(AND(ISNUMBER(B311),B311&gt;0,ISNUMBER(U311),U311&gt;=0,ISNUMBER(O311),O311&gt;=0),1,0)</f>
        <v>1</v>
      </c>
      <c r="AB311" s="0" t="n">
        <f aca="false">IF(AA311=1,U311+O311,0)</f>
        <v>3048</v>
      </c>
      <c r="AC311" s="0" t="n">
        <f aca="false">IF(AA311=1,100*AB311/B311,"")</f>
        <v>0.0531525588300996</v>
      </c>
      <c r="AD311" s="0" t="n">
        <f aca="false">IF(AND(AND(ISNUMBER(B311),B311=OriginalFinancials!B311),AND(ISNUMBER(U311),U311=OriginalFinancials!U311),AND(ISNUMBER(O311),O311=OriginalFinancials!O311)),0,1)</f>
        <v>0</v>
      </c>
      <c r="AE311" s="0" t="str">
        <f aca="false">IF(V311=0,"原始0：需核实适用/报告口径","")</f>
        <v/>
      </c>
    </row>
    <row r="312" customFormat="false" ht="15" hidden="false" customHeight="false" outlineLevel="0" collapsed="false">
      <c r="A312" s="0" t="n">
        <v>312</v>
      </c>
      <c r="B312" s="0" t="n">
        <v>2844637</v>
      </c>
      <c r="C312" s="0" t="n">
        <v>4256</v>
      </c>
      <c r="D312" s="0" t="n">
        <v>2500556</v>
      </c>
      <c r="E312" s="0" t="n">
        <v>0.05</v>
      </c>
      <c r="F312" s="0" t="n">
        <v>203536</v>
      </c>
      <c r="G312" s="0" t="n">
        <v>7.15507813474971</v>
      </c>
      <c r="H312" s="0" t="s">
        <v>469</v>
      </c>
      <c r="I312" s="0" t="n">
        <v>1.13855095191399</v>
      </c>
      <c r="J312" s="0" t="n">
        <v>306090</v>
      </c>
      <c r="K312" s="0" t="n">
        <v>20316</v>
      </c>
      <c r="L312" s="0" t="n">
        <v>2060953</v>
      </c>
      <c r="M312" s="0" t="n">
        <v>2037488</v>
      </c>
      <c r="N312" s="0" t="n">
        <v>1630531</v>
      </c>
      <c r="O312" s="0" t="n">
        <v>1676</v>
      </c>
      <c r="P312" s="0" t="s">
        <v>196</v>
      </c>
      <c r="Q312" s="0" t="n">
        <v>0.0967513572604518</v>
      </c>
      <c r="R312" s="0" t="n">
        <v>2.56137469947548</v>
      </c>
      <c r="S312" s="0" t="n">
        <v>48</v>
      </c>
      <c r="T312" s="0" t="n">
        <v>1949</v>
      </c>
      <c r="U312" s="0" t="n">
        <v>318</v>
      </c>
      <c r="V312" s="0" t="n">
        <v>13.625326178735</v>
      </c>
      <c r="W312" s="0" t="n">
        <v>20230630</v>
      </c>
      <c r="X312" s="0" t="n">
        <v>1.14263750716926</v>
      </c>
      <c r="Y312" s="0" t="n">
        <v>15.76</v>
      </c>
      <c r="Z312" s="0" t="s">
        <v>105</v>
      </c>
      <c r="AA312" s="0" t="n">
        <f aca="false">IF(AND(ISNUMBER(B312),B312&gt;0,ISNUMBER(U312),U312&gt;=0,ISNUMBER(O312),O312&gt;=0),1,0)</f>
        <v>1</v>
      </c>
      <c r="AB312" s="0" t="n">
        <f aca="false">IF(AA312=1,U312+O312,0)</f>
        <v>1994</v>
      </c>
      <c r="AC312" s="0" t="n">
        <f aca="false">IF(AA312=1,100*AB312/B312,"")</f>
        <v>0.0700968172740494</v>
      </c>
      <c r="AD312" s="0" t="n">
        <f aca="false">IF(AND(AND(ISNUMBER(B312),B312=OriginalFinancials!B312),AND(ISNUMBER(U312),U312=OriginalFinancials!U312),AND(ISNUMBER(O312),O312=OriginalFinancials!O312)),0,1)</f>
        <v>0</v>
      </c>
      <c r="AE312" s="0" t="str">
        <f aca="false">IF(V312=0,"原始0：需核实适用/报告口径","")</f>
        <v/>
      </c>
    </row>
    <row r="313" customFormat="false" ht="15" hidden="false" customHeight="false" outlineLevel="0" collapsed="false">
      <c r="A313" s="0" t="n">
        <v>313</v>
      </c>
      <c r="B313" s="0" t="n">
        <v>695227</v>
      </c>
      <c r="C313" s="0" t="n">
        <v>59086</v>
      </c>
      <c r="D313" s="0" t="n">
        <v>607749</v>
      </c>
      <c r="E313" s="0" t="n">
        <v>-0.05</v>
      </c>
      <c r="F313" s="0" t="n">
        <v>83914</v>
      </c>
      <c r="G313" s="0" t="n">
        <v>12.0700145420129</v>
      </c>
      <c r="H313" s="0" t="s">
        <v>470</v>
      </c>
      <c r="I313" s="0" t="n">
        <v>1.03426363246028</v>
      </c>
      <c r="J313" s="0" t="n">
        <v>116363</v>
      </c>
      <c r="K313" s="0" t="n">
        <v>0</v>
      </c>
      <c r="L313" s="0" t="n">
        <v>582250</v>
      </c>
      <c r="M313" s="0" t="n">
        <v>576228</v>
      </c>
      <c r="N313" s="0" t="n">
        <v>466335</v>
      </c>
      <c r="O313" s="0" t="n">
        <v>4947</v>
      </c>
      <c r="P313" s="0" t="s">
        <v>198</v>
      </c>
      <c r="Q313" s="0" t="n">
        <v>0.49480463718334</v>
      </c>
      <c r="R313" s="0" t="n">
        <v>4.13253602764002</v>
      </c>
      <c r="S313" s="0" t="n">
        <v>313</v>
      </c>
      <c r="T313" s="0" t="n">
        <v>1699</v>
      </c>
      <c r="U313" s="0" t="n">
        <v>45</v>
      </c>
      <c r="V313" s="0" t="n">
        <v>14.706791359989</v>
      </c>
      <c r="W313" s="0" t="n">
        <v>20230630</v>
      </c>
      <c r="X313" s="0" t="n">
        <v>1.69256858441187</v>
      </c>
      <c r="Y313" s="0" t="n">
        <v>14.36</v>
      </c>
      <c r="Z313" s="0" t="s">
        <v>123</v>
      </c>
      <c r="AA313" s="0" t="n">
        <f aca="false">IF(AND(ISNUMBER(B313),B313&gt;0,ISNUMBER(U313),U313&gt;=0,ISNUMBER(O313),O313&gt;=0),1,0)</f>
        <v>1</v>
      </c>
      <c r="AB313" s="0" t="n">
        <f aca="false">IF(AA313=1,U313+O313,0)</f>
        <v>4992</v>
      </c>
      <c r="AC313" s="0" t="n">
        <f aca="false">IF(AA313=1,100*AB313/B313,"")</f>
        <v>0.71803885637353</v>
      </c>
      <c r="AD313" s="0" t="n">
        <f aca="false">IF(AND(AND(ISNUMBER(B313),B313=OriginalFinancials!B313),AND(ISNUMBER(U313),U313=OriginalFinancials!U313),AND(ISNUMBER(O313),O313=OriginalFinancials!O313)),0,1)</f>
        <v>0</v>
      </c>
      <c r="AE313" s="0" t="str">
        <f aca="false">IF(V313=0,"原始0：需核实适用/报告口径","")</f>
        <v/>
      </c>
    </row>
    <row r="314" customFormat="false" ht="15" hidden="false" customHeight="false" outlineLevel="0" collapsed="false">
      <c r="A314" s="0" t="n">
        <v>314</v>
      </c>
      <c r="B314" s="0" t="n">
        <v>202708</v>
      </c>
      <c r="C314" s="0" t="n">
        <v>59176</v>
      </c>
      <c r="D314" s="0" t="n">
        <v>173553</v>
      </c>
      <c r="E314" s="0" t="n">
        <v>0.2</v>
      </c>
      <c r="F314" s="0" t="n">
        <v>23273</v>
      </c>
      <c r="G314" s="0" t="n">
        <v>11.4810466286481</v>
      </c>
      <c r="H314" s="0" t="s">
        <v>471</v>
      </c>
      <c r="I314" s="0" t="n">
        <v>1.04495037945126</v>
      </c>
      <c r="J314" s="0" t="n">
        <v>19871</v>
      </c>
      <c r="K314" s="0" t="n">
        <v>6</v>
      </c>
      <c r="L314" s="0" t="n">
        <v>137040</v>
      </c>
      <c r="M314" s="0" t="n">
        <v>135608</v>
      </c>
      <c r="N314" s="0" t="n">
        <v>117163</v>
      </c>
      <c r="O314" s="0" t="n">
        <v>0</v>
      </c>
      <c r="P314" s="0" t="s">
        <v>200</v>
      </c>
      <c r="Q314" s="0" t="n">
        <v>0</v>
      </c>
      <c r="R314" s="0" t="n">
        <v>2.54666176438783</v>
      </c>
      <c r="S314" s="0" t="n">
        <v>34</v>
      </c>
      <c r="T314" s="0" t="n">
        <v>0</v>
      </c>
      <c r="U314" s="0" t="n">
        <v>0</v>
      </c>
      <c r="V314" s="0" t="n">
        <v>18.4854420018709</v>
      </c>
      <c r="W314" s="0" t="n">
        <v>20230630</v>
      </c>
      <c r="X314" s="0" t="n">
        <v>-0.113478158081378</v>
      </c>
      <c r="Y314" s="0" t="n">
        <v>-0.93</v>
      </c>
      <c r="Z314" s="0" t="s">
        <v>123</v>
      </c>
      <c r="AA314" s="0" t="n">
        <f aca="false">IF(AND(ISNUMBER(B314),B314&gt;0,ISNUMBER(U314),U314&gt;=0,ISNUMBER(O314),O314&gt;=0),1,0)</f>
        <v>1</v>
      </c>
      <c r="AB314" s="0" t="n">
        <f aca="false">IF(AA314=1,U314+O314,0)</f>
        <v>0</v>
      </c>
      <c r="AC314" s="0" t="n">
        <f aca="false">IF(AA314=1,100*AB314/B314,"")</f>
        <v>0</v>
      </c>
      <c r="AD314" s="0" t="n">
        <f aca="false">IF(AND(AND(ISNUMBER(B314),B314=OriginalFinancials!B314),AND(ISNUMBER(U314),U314=OriginalFinancials!U314),AND(ISNUMBER(O314),O314=OriginalFinancials!O314)),0,1)</f>
        <v>0</v>
      </c>
      <c r="AE314" s="0" t="str">
        <f aca="false">IF(V314=0,"原始0：需核实适用/报告口径","")</f>
        <v/>
      </c>
    </row>
    <row r="315" customFormat="false" ht="15" hidden="false" customHeight="false" outlineLevel="0" collapsed="false">
      <c r="A315" s="0" t="n">
        <v>315</v>
      </c>
      <c r="B315" s="0" t="n">
        <v>50390</v>
      </c>
      <c r="C315" s="0" t="n">
        <v>59289</v>
      </c>
      <c r="D315" s="0" t="n">
        <v>29218</v>
      </c>
      <c r="E315" s="0" t="n">
        <v>0.79</v>
      </c>
      <c r="F315" s="0" t="n">
        <v>20357</v>
      </c>
      <c r="G315" s="0" t="n">
        <v>40.3988886683866</v>
      </c>
      <c r="H315" s="0" t="s">
        <v>472</v>
      </c>
      <c r="I315" s="0" t="n">
        <v>1.17992402440428</v>
      </c>
      <c r="J315" s="0" t="n">
        <v>8750</v>
      </c>
      <c r="K315" s="0" t="n">
        <v>0</v>
      </c>
      <c r="L315" s="0" t="n">
        <v>17374</v>
      </c>
      <c r="M315" s="0" t="n">
        <v>17169</v>
      </c>
      <c r="N315" s="0" t="n">
        <v>7760</v>
      </c>
      <c r="O315" s="0" t="n">
        <v>0</v>
      </c>
      <c r="P315" s="0" t="s">
        <v>364</v>
      </c>
      <c r="Q315" s="0" t="n">
        <v>0</v>
      </c>
      <c r="R315" s="0" t="n">
        <v>4.45994655954665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20230630</v>
      </c>
      <c r="X315" s="0" t="n">
        <v>-5.7705051740837</v>
      </c>
      <c r="Y315" s="0" t="n">
        <v>-10.83</v>
      </c>
      <c r="Z315" s="0" t="s">
        <v>123</v>
      </c>
      <c r="AA315" s="0" t="n">
        <f aca="false">IF(AND(ISNUMBER(B315),B315&gt;0,ISNUMBER(U315),U315&gt;=0,ISNUMBER(O315),O315&gt;=0),1,0)</f>
        <v>1</v>
      </c>
      <c r="AB315" s="0" t="n">
        <f aca="false">IF(AA315=1,U315+O315,0)</f>
        <v>0</v>
      </c>
      <c r="AC315" s="0" t="n">
        <f aca="false">IF(AA315=1,100*AB315/B315,"")</f>
        <v>0</v>
      </c>
      <c r="AD315" s="0" t="n">
        <f aca="false">IF(AND(AND(ISNUMBER(B315),B315=OriginalFinancials!B315),AND(ISNUMBER(U315),U315=OriginalFinancials!U315),AND(ISNUMBER(O315),O315=OriginalFinancials!O315)),0,1)</f>
        <v>0</v>
      </c>
      <c r="AE315" s="0" t="str">
        <f aca="false">IF(V315=0,"原始0：需核实适用/报告口径","")</f>
        <v>原始0：需核实适用/报告口径</v>
      </c>
    </row>
    <row r="316" customFormat="false" ht="15" hidden="false" customHeight="false" outlineLevel="0" collapsed="false">
      <c r="A316" s="0" t="n">
        <v>316</v>
      </c>
      <c r="B316" s="0" t="n">
        <v>125919</v>
      </c>
      <c r="C316" s="0" t="n">
        <v>59298</v>
      </c>
      <c r="D316" s="0" t="n">
        <v>96751</v>
      </c>
      <c r="E316" s="0" t="n">
        <v>0.24</v>
      </c>
      <c r="F316" s="0" t="n">
        <v>28131</v>
      </c>
      <c r="G316" s="0" t="n">
        <v>22.3405522597861</v>
      </c>
      <c r="H316" s="0" t="s">
        <v>473</v>
      </c>
      <c r="I316" s="0" t="n">
        <v>0.769113449680807</v>
      </c>
      <c r="J316" s="0" t="n">
        <v>10224</v>
      </c>
      <c r="K316" s="0" t="n">
        <v>0</v>
      </c>
      <c r="L316" s="0" t="n">
        <v>45897</v>
      </c>
      <c r="M316" s="0" t="n">
        <v>45544</v>
      </c>
      <c r="N316" s="0" t="n">
        <v>35680</v>
      </c>
      <c r="O316" s="0" t="n">
        <v>0</v>
      </c>
      <c r="P316" s="0" t="s">
        <v>310</v>
      </c>
      <c r="Q316" s="0" t="n">
        <v>0</v>
      </c>
      <c r="R316" s="0" t="n">
        <v>2.64668436492276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20230630</v>
      </c>
      <c r="X316" s="0" t="n">
        <v>-2.72523029900818</v>
      </c>
      <c r="Y316" s="0" t="n">
        <v>-10.35</v>
      </c>
      <c r="Z316" s="0" t="s">
        <v>112</v>
      </c>
      <c r="AA316" s="0" t="n">
        <f aca="false">IF(AND(ISNUMBER(B316),B316&gt;0,ISNUMBER(U316),U316&gt;=0,ISNUMBER(O316),O316&gt;=0),1,0)</f>
        <v>1</v>
      </c>
      <c r="AB316" s="0" t="n">
        <f aca="false">IF(AA316=1,U316+O316,0)</f>
        <v>0</v>
      </c>
      <c r="AC316" s="0" t="n">
        <f aca="false">IF(AA316=1,100*AB316/B316,"")</f>
        <v>0</v>
      </c>
      <c r="AD316" s="0" t="n">
        <f aca="false">IF(AND(AND(ISNUMBER(B316),B316=OriginalFinancials!B316),AND(ISNUMBER(U316),U316=OriginalFinancials!U316),AND(ISNUMBER(O316),O316=OriginalFinancials!O316)),0,1)</f>
        <v>0</v>
      </c>
      <c r="AE316" s="0" t="str">
        <f aca="false">IF(V316=0,"原始0：需核实适用/报告口径","")</f>
        <v>原始0：需核实适用/报告口径</v>
      </c>
    </row>
    <row r="317" customFormat="false" ht="15" hidden="false" customHeight="false" outlineLevel="0" collapsed="false">
      <c r="A317" s="0" t="n">
        <v>317</v>
      </c>
      <c r="B317" s="0" t="n">
        <v>1031317</v>
      </c>
      <c r="C317" s="0" t="n">
        <v>6271</v>
      </c>
      <c r="D317" s="0" t="n">
        <v>852686</v>
      </c>
      <c r="E317" s="0" t="n">
        <v>0.11</v>
      </c>
      <c r="F317" s="0" t="n">
        <v>92265</v>
      </c>
      <c r="G317" s="0" t="n">
        <v>8.94632785069964</v>
      </c>
      <c r="H317" s="0" t="s">
        <v>474</v>
      </c>
      <c r="I317" s="0" t="n">
        <v>1.18300995256969</v>
      </c>
      <c r="J317" s="0" t="n">
        <v>125407</v>
      </c>
      <c r="K317" s="0" t="n">
        <v>3526</v>
      </c>
      <c r="L317" s="0" t="n">
        <v>782411</v>
      </c>
      <c r="M317" s="0" t="n">
        <v>773155</v>
      </c>
      <c r="N317" s="0" t="n">
        <v>618469</v>
      </c>
      <c r="O317" s="0" t="n">
        <v>7745</v>
      </c>
      <c r="P317" s="0" t="s">
        <v>202</v>
      </c>
      <c r="Q317" s="0" t="n">
        <v>1.03475027830641</v>
      </c>
      <c r="R317" s="0" t="n">
        <v>3.53794135103339</v>
      </c>
      <c r="S317" s="0" t="n">
        <v>283</v>
      </c>
      <c r="T317" s="0" t="n">
        <v>1900</v>
      </c>
      <c r="U317" s="0" t="n">
        <v>351</v>
      </c>
      <c r="V317" s="0" t="n">
        <v>14.8339396306876</v>
      </c>
      <c r="W317" s="0" t="n">
        <v>20230630</v>
      </c>
      <c r="X317" s="0" t="n">
        <v>1.36947361058618</v>
      </c>
      <c r="Y317" s="0" t="n">
        <v>15.74</v>
      </c>
      <c r="Z317" s="0" t="s">
        <v>112</v>
      </c>
      <c r="AA317" s="0" t="n">
        <f aca="false">IF(AND(ISNUMBER(B317),B317&gt;0,ISNUMBER(U317),U317&gt;=0,ISNUMBER(O317),O317&gt;=0),1,0)</f>
        <v>1</v>
      </c>
      <c r="AB317" s="0" t="n">
        <f aca="false">IF(AA317=1,U317+O317,0)</f>
        <v>8096</v>
      </c>
      <c r="AC317" s="0" t="n">
        <f aca="false">IF(AA317=1,100*AB317/B317,"")</f>
        <v>0.785015664436832</v>
      </c>
      <c r="AD317" s="0" t="n">
        <f aca="false">IF(AND(AND(ISNUMBER(B317),B317=OriginalFinancials!B317),AND(ISNUMBER(U317),U317=OriginalFinancials!U317),AND(ISNUMBER(O317),O317=OriginalFinancials!O317)),0,1)</f>
        <v>0</v>
      </c>
      <c r="AE317" s="0" t="str">
        <f aca="false">IF(V317=0,"原始0：需核实适用/报告口径","")</f>
        <v/>
      </c>
    </row>
    <row r="318" customFormat="false" ht="15" hidden="false" customHeight="false" outlineLevel="0" collapsed="false">
      <c r="A318" s="0" t="n">
        <v>318</v>
      </c>
      <c r="B318" s="0" t="n">
        <v>549189</v>
      </c>
      <c r="C318" s="0" t="n">
        <v>6275</v>
      </c>
      <c r="D318" s="0" t="n">
        <v>469803</v>
      </c>
      <c r="E318" s="0" t="n">
        <v>0</v>
      </c>
      <c r="F318" s="0" t="n">
        <v>27287</v>
      </c>
      <c r="G318" s="0" t="n">
        <v>4.96859915256861</v>
      </c>
      <c r="H318" s="0" t="s">
        <v>475</v>
      </c>
      <c r="I318" s="0" t="n">
        <v>0.410419174783846</v>
      </c>
      <c r="J318" s="0" t="n">
        <v>34100</v>
      </c>
      <c r="K318" s="0" t="n">
        <v>13676</v>
      </c>
      <c r="L318" s="0" t="n">
        <v>328932</v>
      </c>
      <c r="M318" s="0" t="n">
        <v>327582</v>
      </c>
      <c r="N318" s="0" t="n">
        <v>269836</v>
      </c>
      <c r="O318" s="0" t="n">
        <v>1335</v>
      </c>
      <c r="P318" s="0" t="s">
        <v>204</v>
      </c>
      <c r="Q318" s="0" t="n">
        <v>0.452069120669318</v>
      </c>
      <c r="R318" s="0" t="n">
        <v>2.97239376778099</v>
      </c>
      <c r="S318" s="0" t="n">
        <v>0</v>
      </c>
      <c r="T318" s="0" t="n">
        <v>246</v>
      </c>
      <c r="U318" s="0" t="n">
        <v>152</v>
      </c>
      <c r="V318" s="0" t="n">
        <v>15.0712824477511</v>
      </c>
      <c r="W318" s="0" t="n">
        <v>20230630</v>
      </c>
      <c r="X318" s="0" t="n">
        <v>0.480035530771746</v>
      </c>
      <c r="Y318" s="0" t="n">
        <v>9.65</v>
      </c>
      <c r="Z318" s="0" t="s">
        <v>112</v>
      </c>
      <c r="AA318" s="0" t="n">
        <f aca="false">IF(AND(ISNUMBER(B318),B318&gt;0,ISNUMBER(U318),U318&gt;=0,ISNUMBER(O318),O318&gt;=0),1,0)</f>
        <v>1</v>
      </c>
      <c r="AB318" s="0" t="n">
        <f aca="false">IF(AA318=1,U318+O318,0)</f>
        <v>1487</v>
      </c>
      <c r="AC318" s="0" t="n">
        <f aca="false">IF(AA318=1,100*AB318/B318,"")</f>
        <v>0.270762888550208</v>
      </c>
      <c r="AD318" s="0" t="n">
        <f aca="false">IF(AND(AND(ISNUMBER(B318),B318=OriginalFinancials!B318),AND(ISNUMBER(U318),U318=OriginalFinancials!U318),AND(ISNUMBER(O318),O318=OriginalFinancials!O318)),0,1)</f>
        <v>0</v>
      </c>
      <c r="AE318" s="0" t="str">
        <f aca="false">IF(V318=0,"原始0：需核实适用/报告口径","")</f>
        <v/>
      </c>
    </row>
    <row r="319" customFormat="false" ht="15" hidden="false" customHeight="false" outlineLevel="0" collapsed="false">
      <c r="A319" s="0" t="n">
        <v>319</v>
      </c>
      <c r="B319" s="0" t="n">
        <v>83293</v>
      </c>
      <c r="C319" s="0" t="n">
        <v>6280</v>
      </c>
      <c r="D319" s="0" t="n">
        <v>73688</v>
      </c>
      <c r="E319" s="0" t="n">
        <v>0.06</v>
      </c>
      <c r="F319" s="0" t="n">
        <v>9047</v>
      </c>
      <c r="G319" s="0" t="n">
        <v>10.8616570420083</v>
      </c>
      <c r="H319" s="0" t="s">
        <v>476</v>
      </c>
      <c r="I319" s="0" t="n">
        <v>1.29200941867221</v>
      </c>
      <c r="J319" s="0" t="n">
        <v>3640</v>
      </c>
      <c r="K319" s="0" t="n">
        <v>1707</v>
      </c>
      <c r="L319" s="0" t="n">
        <v>65402</v>
      </c>
      <c r="M319" s="0" t="n">
        <v>64557</v>
      </c>
      <c r="N319" s="0" t="n">
        <v>57427</v>
      </c>
      <c r="O319" s="0" t="n">
        <v>711</v>
      </c>
      <c r="P319" s="0" t="s">
        <v>206</v>
      </c>
      <c r="Q319" s="0" t="n">
        <v>1.0871227179597</v>
      </c>
      <c r="R319" s="0" t="n">
        <v>5.0004375382846</v>
      </c>
      <c r="S319" s="0" t="n">
        <v>9</v>
      </c>
      <c r="T319" s="0" t="n">
        <v>316</v>
      </c>
      <c r="U319" s="0" t="n">
        <v>0</v>
      </c>
      <c r="V319" s="0" t="n">
        <v>0</v>
      </c>
      <c r="W319" s="0" t="n">
        <v>20230630</v>
      </c>
      <c r="X319" s="0" t="n">
        <v>1.943744168966</v>
      </c>
      <c r="Y319" s="0" t="n">
        <v>18.36</v>
      </c>
      <c r="Z319" s="0" t="s">
        <v>112</v>
      </c>
      <c r="AA319" s="0" t="n">
        <f aca="false">IF(AND(ISNUMBER(B319),B319&gt;0,ISNUMBER(U319),U319&gt;=0,ISNUMBER(O319),O319&gt;=0),1,0)</f>
        <v>1</v>
      </c>
      <c r="AB319" s="0" t="n">
        <f aca="false">IF(AA319=1,U319+O319,0)</f>
        <v>711</v>
      </c>
      <c r="AC319" s="0" t="n">
        <f aca="false">IF(AA319=1,100*AB319/B319,"")</f>
        <v>0.853613148764002</v>
      </c>
      <c r="AD319" s="0" t="n">
        <f aca="false">IF(AND(AND(ISNUMBER(B319),B319=OriginalFinancials!B319),AND(ISNUMBER(U319),U319=OriginalFinancials!U319),AND(ISNUMBER(O319),O319=OriginalFinancials!O319)),0,1)</f>
        <v>0</v>
      </c>
      <c r="AE319" s="0" t="str">
        <f aca="false">IF(V319=0,"原始0：需核实适用/报告口径","")</f>
        <v>原始0：需核实适用/报告口径</v>
      </c>
    </row>
    <row r="320" customFormat="false" ht="15" hidden="false" customHeight="false" outlineLevel="0" collapsed="false">
      <c r="A320" s="0" t="n">
        <v>320</v>
      </c>
      <c r="B320" s="0" t="n">
        <v>3980815</v>
      </c>
      <c r="C320" s="0" t="n">
        <v>11971</v>
      </c>
      <c r="D320" s="0" t="n">
        <v>3148381</v>
      </c>
      <c r="E320" s="0" t="n">
        <v>0.07</v>
      </c>
      <c r="F320" s="0" t="n">
        <v>456209</v>
      </c>
      <c r="G320" s="0" t="n">
        <v>11.4601909407998</v>
      </c>
      <c r="H320" s="0" t="s">
        <v>477</v>
      </c>
      <c r="I320" s="0" t="n">
        <v>0.935319037253486</v>
      </c>
      <c r="J320" s="0" t="n">
        <v>203469</v>
      </c>
      <c r="K320" s="0" t="n">
        <v>7845</v>
      </c>
      <c r="L320" s="0" t="n">
        <v>2994807</v>
      </c>
      <c r="M320" s="0" t="n">
        <v>2966796</v>
      </c>
      <c r="N320" s="0" t="n">
        <v>2636437</v>
      </c>
      <c r="O320" s="0" t="n">
        <v>6769</v>
      </c>
      <c r="P320" s="0" t="s">
        <v>104</v>
      </c>
      <c r="Q320" s="0" t="n">
        <v>0.258046678801005</v>
      </c>
      <c r="R320" s="0" t="n">
        <v>3.44709104963489</v>
      </c>
      <c r="S320" s="0" t="n">
        <v>70</v>
      </c>
      <c r="T320" s="0" t="n">
        <v>2914</v>
      </c>
      <c r="U320" s="0" t="n">
        <v>959</v>
      </c>
      <c r="V320" s="0" t="n">
        <v>13.601622045909</v>
      </c>
      <c r="W320" s="0" t="n">
        <v>20230930</v>
      </c>
      <c r="X320" s="0" t="n">
        <v>1.3228625688724</v>
      </c>
      <c r="Y320" s="0" t="n">
        <v>11.46</v>
      </c>
      <c r="Z320" s="0" t="s">
        <v>105</v>
      </c>
      <c r="AA320" s="0" t="n">
        <f aca="false">IF(AND(ISNUMBER(B320),B320&gt;0,ISNUMBER(U320),U320&gt;=0,ISNUMBER(O320),O320&gt;=0),1,0)</f>
        <v>1</v>
      </c>
      <c r="AB320" s="0" t="n">
        <f aca="false">IF(AA320=1,U320+O320,0)</f>
        <v>7728</v>
      </c>
      <c r="AC320" s="0" t="n">
        <f aca="false">IF(AA320=1,100*AB320/B320,"")</f>
        <v>0.194131101294584</v>
      </c>
      <c r="AD320" s="0" t="n">
        <f aca="false">IF(AND(AND(ISNUMBER(B320),B320=OriginalFinancials!B320),AND(ISNUMBER(U320),U320=OriginalFinancials!U320),AND(ISNUMBER(O320),O320=OriginalFinancials!O320)),0,1)</f>
        <v>0</v>
      </c>
      <c r="AE320" s="0" t="str">
        <f aca="false">IF(V320=0,"原始0：需核实适用/报告口径","")</f>
        <v/>
      </c>
    </row>
    <row r="321" customFormat="false" ht="15" hidden="false" customHeight="false" outlineLevel="0" collapsed="false">
      <c r="A321" s="0" t="n">
        <v>321</v>
      </c>
      <c r="B321" s="0" t="n">
        <v>1015573</v>
      </c>
      <c r="C321" s="0" t="n">
        <v>12874</v>
      </c>
      <c r="D321" s="0" t="n">
        <v>892145</v>
      </c>
      <c r="E321" s="0" t="n">
        <v>-0.03</v>
      </c>
      <c r="F321" s="0" t="n">
        <v>100287</v>
      </c>
      <c r="G321" s="0" t="n">
        <v>9.87491790348897</v>
      </c>
      <c r="H321" s="0" t="s">
        <v>478</v>
      </c>
      <c r="I321" s="0" t="n">
        <v>0.968286623954454</v>
      </c>
      <c r="J321" s="0" t="n">
        <v>141382</v>
      </c>
      <c r="K321" s="0" t="n">
        <v>5445</v>
      </c>
      <c r="L321" s="0" t="n">
        <v>791811</v>
      </c>
      <c r="M321" s="0" t="n">
        <v>784144</v>
      </c>
      <c r="N321" s="0" t="n">
        <v>624999</v>
      </c>
      <c r="O321" s="0" t="n">
        <v>415</v>
      </c>
      <c r="P321" s="0" t="s">
        <v>107</v>
      </c>
      <c r="Q321" s="0" t="n">
        <v>0.0524114971880916</v>
      </c>
      <c r="R321" s="0" t="n">
        <v>3.89276399528267</v>
      </c>
      <c r="S321" s="0" t="n">
        <v>34</v>
      </c>
      <c r="T321" s="0" t="n">
        <v>1582</v>
      </c>
      <c r="U321" s="0" t="n">
        <v>0</v>
      </c>
      <c r="V321" s="0" t="n">
        <v>15.5130608673916</v>
      </c>
      <c r="W321" s="0" t="n">
        <v>20230930</v>
      </c>
      <c r="X321" s="0" t="n">
        <v>1.10517821444244</v>
      </c>
      <c r="Y321" s="0" t="n">
        <v>11.01</v>
      </c>
      <c r="Z321" s="0" t="s">
        <v>105</v>
      </c>
      <c r="AA321" s="0" t="n">
        <f aca="false">IF(AND(ISNUMBER(B321),B321&gt;0,ISNUMBER(U321),U321&gt;=0,ISNUMBER(O321),O321&gt;=0),1,0)</f>
        <v>1</v>
      </c>
      <c r="AB321" s="0" t="n">
        <f aca="false">IF(AA321=1,U321+O321,0)</f>
        <v>415</v>
      </c>
      <c r="AC321" s="0" t="n">
        <f aca="false">IF(AA321=1,100*AB321/B321,"")</f>
        <v>0.0408636306794292</v>
      </c>
      <c r="AD321" s="0" t="n">
        <f aca="false">IF(AND(AND(ISNUMBER(B321),B321=OriginalFinancials!B321),AND(ISNUMBER(U321),U321=OriginalFinancials!U321),AND(ISNUMBER(O321),O321=OriginalFinancials!O321)),0,1)</f>
        <v>0</v>
      </c>
      <c r="AE321" s="0" t="str">
        <f aca="false">IF(V321=0,"原始0：需核实适用/报告口径","")</f>
        <v/>
      </c>
    </row>
    <row r="322" customFormat="false" ht="15" hidden="false" customHeight="false" outlineLevel="0" collapsed="false">
      <c r="A322" s="0" t="n">
        <v>322</v>
      </c>
      <c r="B322" s="0" t="n">
        <v>1813189</v>
      </c>
      <c r="C322" s="0" t="n">
        <v>13063</v>
      </c>
      <c r="D322" s="0" t="n">
        <v>1662459</v>
      </c>
      <c r="E322" s="0" t="n">
        <v>0.14</v>
      </c>
      <c r="F322" s="0" t="n">
        <v>130802</v>
      </c>
      <c r="G322" s="0" t="n">
        <v>7.21391978442402</v>
      </c>
      <c r="H322" s="0" t="s">
        <v>479</v>
      </c>
      <c r="I322" s="0" t="n">
        <v>1.18844354822092</v>
      </c>
      <c r="J322" s="0" t="n">
        <v>54104</v>
      </c>
      <c r="K322" s="0" t="n">
        <v>893</v>
      </c>
      <c r="L322" s="0" t="n">
        <v>1407387</v>
      </c>
      <c r="M322" s="0" t="n">
        <v>1390661</v>
      </c>
      <c r="N322" s="0" t="n">
        <v>1342676</v>
      </c>
      <c r="O322" s="0" t="n">
        <v>592</v>
      </c>
      <c r="P322" s="0" t="s">
        <v>109</v>
      </c>
      <c r="Q322" s="0" t="n">
        <v>0.0918013311193012</v>
      </c>
      <c r="R322" s="0" t="n">
        <v>3.19853630126845</v>
      </c>
      <c r="S322" s="0" t="n">
        <v>66</v>
      </c>
      <c r="T322" s="0" t="n">
        <v>398</v>
      </c>
      <c r="U322" s="0" t="n">
        <v>700</v>
      </c>
      <c r="V322" s="0" t="n">
        <v>0</v>
      </c>
      <c r="W322" s="0" t="n">
        <v>20230930</v>
      </c>
      <c r="X322" s="0" t="n">
        <v>0.205095820826914</v>
      </c>
      <c r="Y322" s="0" t="n">
        <v>2.76</v>
      </c>
      <c r="Z322" s="0" t="s">
        <v>105</v>
      </c>
      <c r="AA322" s="0" t="n">
        <f aca="false">IF(AND(ISNUMBER(B322),B322&gt;0,ISNUMBER(U322),U322&gt;=0,ISNUMBER(O322),O322&gt;=0),1,0)</f>
        <v>1</v>
      </c>
      <c r="AB322" s="0" t="n">
        <f aca="false">IF(AA322=1,U322+O322,0)</f>
        <v>1292</v>
      </c>
      <c r="AC322" s="0" t="n">
        <f aca="false">IF(AA322=1,100*AB322/B322,"")</f>
        <v>0.0712556716370991</v>
      </c>
      <c r="AD322" s="0" t="n">
        <f aca="false">IF(AND(AND(ISNUMBER(B322),B322=OriginalFinancials!B322),AND(ISNUMBER(U322),U322=OriginalFinancials!U322),AND(ISNUMBER(O322),O322=OriginalFinancials!O322)),0,1)</f>
        <v>0</v>
      </c>
      <c r="AE322" s="0" t="str">
        <f aca="false">IF(V322=0,"原始0：需核实适用/报告口径","")</f>
        <v>原始0：需核实适用/报告口径</v>
      </c>
    </row>
    <row r="323" customFormat="false" ht="15" hidden="false" customHeight="false" outlineLevel="0" collapsed="false">
      <c r="A323" s="0" t="n">
        <v>323</v>
      </c>
      <c r="B323" s="0" t="n">
        <v>862974</v>
      </c>
      <c r="C323" s="0" t="n">
        <v>14134</v>
      </c>
      <c r="D323" s="0" t="n">
        <v>683848</v>
      </c>
      <c r="E323" s="0" t="n">
        <v>0.11</v>
      </c>
      <c r="F323" s="0" t="n">
        <v>97790</v>
      </c>
      <c r="G323" s="0" t="n">
        <v>11.3317434824224</v>
      </c>
      <c r="H323" s="0" t="s">
        <v>480</v>
      </c>
      <c r="I323" s="0" t="n">
        <v>1.11332502357968</v>
      </c>
      <c r="J323" s="0" t="n">
        <v>26362</v>
      </c>
      <c r="K323" s="0" t="n">
        <v>28791</v>
      </c>
      <c r="L323" s="0" t="n">
        <v>659466</v>
      </c>
      <c r="M323" s="0" t="n">
        <v>652124</v>
      </c>
      <c r="N323" s="0" t="n">
        <v>579506</v>
      </c>
      <c r="O323" s="0" t="n">
        <v>12208</v>
      </c>
      <c r="P323" s="0" t="s">
        <v>111</v>
      </c>
      <c r="Q323" s="0" t="n">
        <v>1.85119475454383</v>
      </c>
      <c r="R323" s="0" t="n">
        <v>3.23068828096064</v>
      </c>
      <c r="S323" s="0" t="n">
        <v>528</v>
      </c>
      <c r="T323" s="0" t="n">
        <v>7041</v>
      </c>
      <c r="U323" s="0" t="n">
        <v>0</v>
      </c>
      <c r="V323" s="0" t="n">
        <v>19.4095803936131</v>
      </c>
      <c r="W323" s="0" t="n">
        <v>20230930</v>
      </c>
      <c r="X323" s="0" t="n">
        <v>0.466681754214042</v>
      </c>
      <c r="Y323" s="0" t="n">
        <v>3.99</v>
      </c>
      <c r="Z323" s="0" t="s">
        <v>112</v>
      </c>
      <c r="AA323" s="0" t="n">
        <f aca="false">IF(AND(ISNUMBER(B323),B323&gt;0,ISNUMBER(U323),U323&gt;=0,ISNUMBER(O323),O323&gt;=0),1,0)</f>
        <v>1</v>
      </c>
      <c r="AB323" s="0" t="n">
        <f aca="false">IF(AA323=1,U323+O323,0)</f>
        <v>12208</v>
      </c>
      <c r="AC323" s="0" t="n">
        <f aca="false">IF(AA323=1,100*AB323/B323,"")</f>
        <v>1.41464285134894</v>
      </c>
      <c r="AD323" s="0" t="n">
        <f aca="false">IF(AND(AND(ISNUMBER(B323),B323=OriginalFinancials!B323),AND(ISNUMBER(U323),U323=OriginalFinancials!U323),AND(ISNUMBER(O323),O323=OriginalFinancials!O323)),0,1)</f>
        <v>0</v>
      </c>
      <c r="AE323" s="0" t="str">
        <f aca="false">IF(V323=0,"原始0：需核实适用/报告口径","")</f>
        <v/>
      </c>
    </row>
    <row r="324" customFormat="false" ht="15" hidden="false" customHeight="false" outlineLevel="0" collapsed="false">
      <c r="A324" s="0" t="n">
        <v>324</v>
      </c>
      <c r="B324" s="0" t="n">
        <v>226042</v>
      </c>
      <c r="C324" s="0" t="n">
        <v>14136</v>
      </c>
      <c r="D324" s="0" t="n">
        <v>193047</v>
      </c>
      <c r="E324" s="0" t="n">
        <v>0.05</v>
      </c>
      <c r="F324" s="0" t="n">
        <v>14702</v>
      </c>
      <c r="G324" s="0" t="n">
        <v>6.50410100777732</v>
      </c>
      <c r="H324" s="0" t="s">
        <v>481</v>
      </c>
      <c r="I324" s="0" t="n">
        <v>1.29442558586561</v>
      </c>
      <c r="J324" s="0" t="n">
        <v>14059</v>
      </c>
      <c r="K324" s="0" t="n">
        <v>14729</v>
      </c>
      <c r="L324" s="0" t="n">
        <v>146706</v>
      </c>
      <c r="M324" s="0" t="n">
        <v>144807</v>
      </c>
      <c r="N324" s="0" t="n">
        <v>117617</v>
      </c>
      <c r="O324" s="0" t="n">
        <v>83</v>
      </c>
      <c r="P324" s="0" t="s">
        <v>114</v>
      </c>
      <c r="Q324" s="0" t="n">
        <v>0.556896105135441</v>
      </c>
      <c r="R324" s="0" t="n">
        <v>4.07799974023827</v>
      </c>
      <c r="S324" s="0" t="n">
        <v>74</v>
      </c>
      <c r="T324" s="0" t="n">
        <v>546</v>
      </c>
      <c r="U324" s="0" t="n">
        <v>734</v>
      </c>
      <c r="V324" s="0" t="n">
        <v>17.6797625377766</v>
      </c>
      <c r="W324" s="0" t="n">
        <v>20230930</v>
      </c>
      <c r="X324" s="0" t="n">
        <v>0.657509532403573</v>
      </c>
      <c r="Y324" s="0" t="n">
        <v>9.82</v>
      </c>
      <c r="Z324" s="0" t="s">
        <v>112</v>
      </c>
      <c r="AA324" s="0" t="n">
        <f aca="false">IF(AND(ISNUMBER(B324),B324&gt;0,ISNUMBER(U324),U324&gt;=0,ISNUMBER(O324),O324&gt;=0),1,0)</f>
        <v>1</v>
      </c>
      <c r="AB324" s="0" t="n">
        <f aca="false">IF(AA324=1,U324+O324,0)</f>
        <v>817</v>
      </c>
      <c r="AC324" s="0" t="n">
        <f aca="false">IF(AA324=1,100*AB324/B324,"")</f>
        <v>0.361437255023403</v>
      </c>
      <c r="AD324" s="0" t="n">
        <f aca="false">IF(AND(AND(ISNUMBER(B324),B324=OriginalFinancials!B324),AND(ISNUMBER(U324),U324=OriginalFinancials!U324),AND(ISNUMBER(O324),O324=OriginalFinancials!O324)),0,1)</f>
        <v>0</v>
      </c>
      <c r="AE324" s="0" t="str">
        <f aca="false">IF(V324=0,"原始0：需核实适用/报告口径","")</f>
        <v/>
      </c>
    </row>
    <row r="325" customFormat="false" ht="15" hidden="false" customHeight="false" outlineLevel="0" collapsed="false">
      <c r="A325" s="0" t="n">
        <v>325</v>
      </c>
      <c r="B325" s="0" t="n">
        <v>1446742</v>
      </c>
      <c r="C325" s="0" t="n">
        <v>14140</v>
      </c>
      <c r="D325" s="0" t="n">
        <v>1144937</v>
      </c>
      <c r="E325" s="0" t="n">
        <v>0.04</v>
      </c>
      <c r="F325" s="0" t="n">
        <v>114596</v>
      </c>
      <c r="G325" s="0" t="n">
        <v>7.92097001400388</v>
      </c>
      <c r="H325" s="0" t="s">
        <v>482</v>
      </c>
      <c r="I325" s="0" t="n">
        <v>0.8135127562536</v>
      </c>
      <c r="J325" s="0" t="n">
        <v>85696</v>
      </c>
      <c r="K325" s="0" t="n">
        <v>1520</v>
      </c>
      <c r="L325" s="0" t="n">
        <v>1027888</v>
      </c>
      <c r="M325" s="0" t="n">
        <v>1019526</v>
      </c>
      <c r="N325" s="0" t="n">
        <v>915552</v>
      </c>
      <c r="O325" s="0" t="n">
        <v>4596</v>
      </c>
      <c r="P325" s="0" t="s">
        <v>116</v>
      </c>
      <c r="Q325" s="0" t="n">
        <v>0.44713042666127</v>
      </c>
      <c r="R325" s="0" t="n">
        <v>2.6996394553038</v>
      </c>
      <c r="S325" s="0" t="n">
        <v>38</v>
      </c>
      <c r="T325" s="0" t="n">
        <v>265</v>
      </c>
      <c r="U325" s="0" t="n">
        <v>0</v>
      </c>
      <c r="V325" s="0" t="n">
        <v>0</v>
      </c>
      <c r="W325" s="0" t="n">
        <v>20230930</v>
      </c>
      <c r="X325" s="0" t="n">
        <v>0.282590331859959</v>
      </c>
      <c r="Y325" s="0" t="n">
        <v>3.45</v>
      </c>
      <c r="Z325" s="0" t="s">
        <v>112</v>
      </c>
      <c r="AA325" s="0" t="n">
        <f aca="false">IF(AND(ISNUMBER(B325),B325&gt;0,ISNUMBER(U325),U325&gt;=0,ISNUMBER(O325),O325&gt;=0),1,0)</f>
        <v>1</v>
      </c>
      <c r="AB325" s="0" t="n">
        <f aca="false">IF(AA325=1,U325+O325,0)</f>
        <v>4596</v>
      </c>
      <c r="AC325" s="0" t="n">
        <f aca="false">IF(AA325=1,100*AB325/B325,"")</f>
        <v>0.317679309787094</v>
      </c>
      <c r="AD325" s="0" t="n">
        <f aca="false">IF(AND(AND(ISNUMBER(B325),B325=OriginalFinancials!B325),AND(ISNUMBER(U325),U325=OriginalFinancials!U325),AND(ISNUMBER(O325),O325=OriginalFinancials!O325)),0,1)</f>
        <v>0</v>
      </c>
      <c r="AE325" s="0" t="str">
        <f aca="false">IF(V325=0,"原始0：需核实适用/报告口径","")</f>
        <v>原始0：需核实适用/报告口径</v>
      </c>
    </row>
    <row r="326" customFormat="false" ht="15" hidden="false" customHeight="false" outlineLevel="0" collapsed="false">
      <c r="A326" s="0" t="n">
        <v>326</v>
      </c>
      <c r="B326" s="0" t="n">
        <v>1395141</v>
      </c>
      <c r="C326" s="0" t="n">
        <v>14158</v>
      </c>
      <c r="D326" s="0" t="n">
        <v>1225741</v>
      </c>
      <c r="E326" s="0" t="n">
        <v>-0.02</v>
      </c>
      <c r="F326" s="0" t="n">
        <v>65297</v>
      </c>
      <c r="G326" s="0" t="n">
        <v>4.68031546632204</v>
      </c>
      <c r="H326" s="0" t="s">
        <v>483</v>
      </c>
      <c r="I326" s="0" t="n">
        <v>0.669589748818871</v>
      </c>
      <c r="J326" s="0" t="n">
        <v>41125</v>
      </c>
      <c r="K326" s="0" t="n">
        <v>2184</v>
      </c>
      <c r="L326" s="0" t="n">
        <v>1029735</v>
      </c>
      <c r="M326" s="0" t="n">
        <v>1022840</v>
      </c>
      <c r="N326" s="0" t="n">
        <v>900510</v>
      </c>
      <c r="O326" s="0" t="n">
        <v>1882</v>
      </c>
      <c r="P326" s="0" t="s">
        <v>118</v>
      </c>
      <c r="Q326" s="0" t="n">
        <v>0.206557997931507</v>
      </c>
      <c r="R326" s="0" t="n">
        <v>3.07647902159446</v>
      </c>
      <c r="S326" s="0" t="n">
        <v>4</v>
      </c>
      <c r="T326" s="0" t="n">
        <v>150</v>
      </c>
      <c r="U326" s="0" t="n">
        <v>245</v>
      </c>
      <c r="V326" s="0" t="n">
        <v>13.1807756858742</v>
      </c>
      <c r="W326" s="0" t="n">
        <v>20230930</v>
      </c>
      <c r="X326" s="0" t="n">
        <v>0.872949562021764</v>
      </c>
      <c r="Y326" s="0" t="n">
        <v>16.43</v>
      </c>
      <c r="Z326" s="0" t="s">
        <v>112</v>
      </c>
      <c r="AA326" s="0" t="n">
        <f aca="false">IF(AND(ISNUMBER(B326),B326&gt;0,ISNUMBER(U326),U326&gt;=0,ISNUMBER(O326),O326&gt;=0),1,0)</f>
        <v>1</v>
      </c>
      <c r="AB326" s="0" t="n">
        <f aca="false">IF(AA326=1,U326+O326,0)</f>
        <v>2127</v>
      </c>
      <c r="AC326" s="0" t="n">
        <f aca="false">IF(AA326=1,100*AB326/B326,"")</f>
        <v>0.152457708575692</v>
      </c>
      <c r="AD326" s="0" t="n">
        <f aca="false">IF(AND(AND(ISNUMBER(B326),B326=OriginalFinancials!B326),AND(ISNUMBER(U326),U326=OriginalFinancials!U326),AND(ISNUMBER(O326),O326=OriginalFinancials!O326)),0,1)</f>
        <v>0</v>
      </c>
      <c r="AE326" s="0" t="str">
        <f aca="false">IF(V326=0,"原始0：需核实适用/报告口径","")</f>
        <v/>
      </c>
    </row>
    <row r="327" customFormat="false" ht="15" hidden="false" customHeight="false" outlineLevel="0" collapsed="false">
      <c r="A327" s="0" t="n">
        <v>327</v>
      </c>
      <c r="B327" s="0" t="n">
        <v>359023</v>
      </c>
      <c r="C327" s="0" t="n">
        <v>14168</v>
      </c>
      <c r="D327" s="0" t="n">
        <v>322770</v>
      </c>
      <c r="E327" s="0" t="n">
        <v>0.18</v>
      </c>
      <c r="F327" s="0" t="n">
        <v>31301</v>
      </c>
      <c r="G327" s="0" t="n">
        <v>8.71838294482526</v>
      </c>
      <c r="H327" s="0" t="s">
        <v>484</v>
      </c>
      <c r="I327" s="0" t="n">
        <v>1.59384290323003</v>
      </c>
      <c r="J327" s="0" t="n">
        <v>11392</v>
      </c>
      <c r="K327" s="0" t="n">
        <v>9903</v>
      </c>
      <c r="L327" s="0" t="n">
        <v>229069</v>
      </c>
      <c r="M327" s="0" t="n">
        <v>225418</v>
      </c>
      <c r="N327" s="0" t="n">
        <v>191581</v>
      </c>
      <c r="O327" s="0" t="n">
        <v>1133</v>
      </c>
      <c r="P327" s="0" t="s">
        <v>120</v>
      </c>
      <c r="Q327" s="0" t="n">
        <v>0.494610794127534</v>
      </c>
      <c r="R327" s="0" t="n">
        <v>3.93880269357462</v>
      </c>
      <c r="S327" s="0" t="n">
        <v>-11</v>
      </c>
      <c r="T327" s="0" t="n">
        <v>363</v>
      </c>
      <c r="U327" s="0" t="n">
        <v>0</v>
      </c>
      <c r="V327" s="0" t="n">
        <v>16.9790621609938</v>
      </c>
      <c r="W327" s="0" t="n">
        <v>20230930</v>
      </c>
      <c r="X327" s="0" t="n">
        <v>0.847124283777966</v>
      </c>
      <c r="Y327" s="0" t="n">
        <v>9.42</v>
      </c>
      <c r="Z327" s="0" t="s">
        <v>112</v>
      </c>
      <c r="AA327" s="0" t="n">
        <f aca="false">IF(AND(ISNUMBER(B327),B327&gt;0,ISNUMBER(U327),U327&gt;=0,ISNUMBER(O327),O327&gt;=0),1,0)</f>
        <v>1</v>
      </c>
      <c r="AB327" s="0" t="n">
        <f aca="false">IF(AA327=1,U327+O327,0)</f>
        <v>1133</v>
      </c>
      <c r="AC327" s="0" t="n">
        <f aca="false">IF(AA327=1,100*AB327/B327,"")</f>
        <v>0.31557866766196</v>
      </c>
      <c r="AD327" s="0" t="n">
        <f aca="false">IF(AND(AND(ISNUMBER(B327),B327=OriginalFinancials!B327),AND(ISNUMBER(U327),U327=OriginalFinancials!U327),AND(ISNUMBER(O327),O327=OriginalFinancials!O327)),0,1)</f>
        <v>0</v>
      </c>
      <c r="AE327" s="0" t="str">
        <f aca="false">IF(V327=0,"原始0：需核实适用/报告口径","")</f>
        <v/>
      </c>
    </row>
    <row r="328" customFormat="false" ht="15" hidden="false" customHeight="false" outlineLevel="0" collapsed="false">
      <c r="A328" s="0" t="n">
        <v>328</v>
      </c>
      <c r="B328" s="0" t="n">
        <v>1352605</v>
      </c>
      <c r="C328" s="0" t="n">
        <v>14240</v>
      </c>
      <c r="D328" s="0" t="n">
        <v>1054870</v>
      </c>
      <c r="E328" s="0" t="n">
        <v>0</v>
      </c>
      <c r="F328" s="0" t="n">
        <v>75740</v>
      </c>
      <c r="G328" s="0" t="n">
        <v>5.5995652832867</v>
      </c>
      <c r="H328" s="0" t="s">
        <v>485</v>
      </c>
      <c r="I328" s="0" t="n">
        <v>1.14987211007012</v>
      </c>
      <c r="J328" s="0" t="n">
        <v>26965</v>
      </c>
      <c r="K328" s="0" t="n">
        <v>17762</v>
      </c>
      <c r="L328" s="0" t="n">
        <v>967238</v>
      </c>
      <c r="M328" s="0" t="n">
        <v>956116</v>
      </c>
      <c r="N328" s="0" t="n">
        <v>823267</v>
      </c>
      <c r="O328" s="0" t="n">
        <v>2967</v>
      </c>
      <c r="P328" s="0" t="s">
        <v>122</v>
      </c>
      <c r="Q328" s="0" t="n">
        <v>0.306749734811908</v>
      </c>
      <c r="R328" s="0" t="n">
        <v>2.85113070307758</v>
      </c>
      <c r="S328" s="0" t="n">
        <v>-4</v>
      </c>
      <c r="T328" s="0" t="n">
        <v>236</v>
      </c>
      <c r="U328" s="0" t="n">
        <v>0</v>
      </c>
      <c r="V328" s="0" t="n">
        <v>15.1569679287591</v>
      </c>
      <c r="W328" s="0" t="n">
        <v>20230930</v>
      </c>
      <c r="X328" s="0" t="n">
        <v>0.527762579725944</v>
      </c>
      <c r="Y328" s="0" t="n">
        <v>8.68</v>
      </c>
      <c r="Z328" s="0" t="s">
        <v>123</v>
      </c>
      <c r="AA328" s="0" t="n">
        <f aca="false">IF(AND(ISNUMBER(B328),B328&gt;0,ISNUMBER(U328),U328&gt;=0,ISNUMBER(O328),O328&gt;=0),1,0)</f>
        <v>1</v>
      </c>
      <c r="AB328" s="0" t="n">
        <f aca="false">IF(AA328=1,U328+O328,0)</f>
        <v>2967</v>
      </c>
      <c r="AC328" s="0" t="n">
        <f aca="false">IF(AA328=1,100*AB328/B328,"")</f>
        <v>0.219354504825873</v>
      </c>
      <c r="AD328" s="0" t="n">
        <f aca="false">IF(AND(AND(ISNUMBER(B328),B328=OriginalFinancials!B328),AND(ISNUMBER(U328),U328=OriginalFinancials!U328),AND(ISNUMBER(O328),O328=OriginalFinancials!O328)),0,1)</f>
        <v>0</v>
      </c>
      <c r="AE328" s="0" t="str">
        <f aca="false">IF(V328=0,"原始0：需核实适用/报告口径","")</f>
        <v/>
      </c>
    </row>
    <row r="329" customFormat="false" ht="15" hidden="false" customHeight="false" outlineLevel="0" collapsed="false">
      <c r="A329" s="0" t="n">
        <v>329</v>
      </c>
      <c r="B329" s="0" t="n">
        <v>1080866</v>
      </c>
      <c r="C329" s="0" t="n">
        <v>17115</v>
      </c>
      <c r="D329" s="0" t="n">
        <v>797533</v>
      </c>
      <c r="E329" s="0" t="n">
        <v>0.06</v>
      </c>
      <c r="F329" s="0" t="n">
        <v>79915</v>
      </c>
      <c r="G329" s="0" t="n">
        <v>7.3936084584028</v>
      </c>
      <c r="H329" s="0" t="s">
        <v>486</v>
      </c>
      <c r="I329" s="0" t="n">
        <v>1.05623660784378</v>
      </c>
      <c r="J329" s="0" t="n">
        <v>44197</v>
      </c>
      <c r="K329" s="0" t="n">
        <v>5743</v>
      </c>
      <c r="L329" s="0" t="n">
        <v>885313</v>
      </c>
      <c r="M329" s="0" t="n">
        <v>875962</v>
      </c>
      <c r="N329" s="0" t="n">
        <v>833728</v>
      </c>
      <c r="O329" s="0" t="n">
        <v>244</v>
      </c>
      <c r="P329" s="0" t="s">
        <v>125</v>
      </c>
      <c r="Q329" s="0" t="n">
        <v>0.0275608739507948</v>
      </c>
      <c r="R329" s="0" t="n">
        <v>2.94787495581982</v>
      </c>
      <c r="S329" s="0" t="n">
        <v>-71</v>
      </c>
      <c r="T329" s="0" t="n">
        <v>1158</v>
      </c>
      <c r="U329" s="0" t="n">
        <v>0</v>
      </c>
      <c r="V329" s="0" t="n">
        <v>13.5669711163055</v>
      </c>
      <c r="W329" s="0" t="n">
        <v>20230930</v>
      </c>
      <c r="X329" s="0" t="n">
        <v>0.498638540922278</v>
      </c>
      <c r="Y329" s="0" t="n">
        <v>6.49</v>
      </c>
      <c r="Z329" s="0" t="s">
        <v>105</v>
      </c>
      <c r="AA329" s="0" t="n">
        <f aca="false">IF(AND(ISNUMBER(B329),B329&gt;0,ISNUMBER(U329),U329&gt;=0,ISNUMBER(O329),O329&gt;=0),1,0)</f>
        <v>1</v>
      </c>
      <c r="AB329" s="0" t="n">
        <f aca="false">IF(AA329=1,U329+O329,0)</f>
        <v>244</v>
      </c>
      <c r="AC329" s="0" t="n">
        <f aca="false">IF(AA329=1,100*AB329/B329,"")</f>
        <v>0.0225744911950232</v>
      </c>
      <c r="AD329" s="0" t="n">
        <f aca="false">IF(AND(AND(ISNUMBER(B329),B329=OriginalFinancials!B329),AND(ISNUMBER(U329),U329=OriginalFinancials!U329),AND(ISNUMBER(O329),O329=OriginalFinancials!O329)),0,1)</f>
        <v>0</v>
      </c>
      <c r="AE329" s="0" t="str">
        <f aca="false">IF(V329=0,"原始0：需核实适用/报告口径","")</f>
        <v/>
      </c>
    </row>
    <row r="330" customFormat="false" ht="15" hidden="false" customHeight="false" outlineLevel="0" collapsed="false">
      <c r="A330" s="0" t="n">
        <v>330</v>
      </c>
      <c r="B330" s="0" t="n">
        <v>1618725</v>
      </c>
      <c r="C330" s="0" t="n">
        <v>17180</v>
      </c>
      <c r="D330" s="0" t="n">
        <v>1198681</v>
      </c>
      <c r="E330" s="0" t="n">
        <v>0.12</v>
      </c>
      <c r="F330" s="0" t="n">
        <v>130715</v>
      </c>
      <c r="G330" s="0" t="n">
        <v>8.07518262830314</v>
      </c>
      <c r="H330" s="0" t="s">
        <v>487</v>
      </c>
      <c r="I330" s="0" t="n">
        <v>0.965928748509822</v>
      </c>
      <c r="J330" s="0" t="n">
        <v>53778</v>
      </c>
      <c r="K330" s="0" t="n">
        <v>195410</v>
      </c>
      <c r="L330" s="0" t="n">
        <v>1465429</v>
      </c>
      <c r="M330" s="0" t="n">
        <v>1451274</v>
      </c>
      <c r="N330" s="0" t="n">
        <v>1192665</v>
      </c>
      <c r="O330" s="0" t="n">
        <v>5236</v>
      </c>
      <c r="P330" s="0" t="s">
        <v>127</v>
      </c>
      <c r="Q330" s="0" t="n">
        <v>0.357301513754675</v>
      </c>
      <c r="R330" s="0" t="n">
        <v>2.89756095197028</v>
      </c>
      <c r="S330" s="0" t="n">
        <v>234</v>
      </c>
      <c r="T330" s="0" t="n">
        <v>2857</v>
      </c>
      <c r="U330" s="0" t="n">
        <v>0</v>
      </c>
      <c r="V330" s="0" t="n">
        <v>13.815531195592</v>
      </c>
      <c r="W330" s="0" t="n">
        <v>20230930</v>
      </c>
      <c r="X330" s="0" t="n">
        <v>0.396147648792238</v>
      </c>
      <c r="Y330" s="0" t="n">
        <v>4.83</v>
      </c>
      <c r="Z330" s="0" t="s">
        <v>123</v>
      </c>
      <c r="AA330" s="0" t="n">
        <f aca="false">IF(AND(ISNUMBER(B330),B330&gt;0,ISNUMBER(U330),U330&gt;=0,ISNUMBER(O330),O330&gt;=0),1,0)</f>
        <v>1</v>
      </c>
      <c r="AB330" s="0" t="n">
        <f aca="false">IF(AA330=1,U330+O330,0)</f>
        <v>5236</v>
      </c>
      <c r="AC330" s="0" t="n">
        <f aca="false">IF(AA330=1,100*AB330/B330,"")</f>
        <v>0.323464455049499</v>
      </c>
      <c r="AD330" s="0" t="n">
        <f aca="false">IF(AND(AND(ISNUMBER(B330),B330=OriginalFinancials!B330),AND(ISNUMBER(U330),U330=OriginalFinancials!U330),AND(ISNUMBER(O330),O330=OriginalFinancials!O330)),0,1)</f>
        <v>0</v>
      </c>
      <c r="AE330" s="0" t="str">
        <f aca="false">IF(V330=0,"原始0：需核实适用/报告口径","")</f>
        <v/>
      </c>
    </row>
    <row r="331" customFormat="false" ht="15" hidden="false" customHeight="false" outlineLevel="0" collapsed="false">
      <c r="A331" s="0" t="n">
        <v>331</v>
      </c>
      <c r="B331" s="0" t="n">
        <v>359919</v>
      </c>
      <c r="C331" s="0" t="n">
        <v>17443</v>
      </c>
      <c r="D331" s="0" t="n">
        <v>321726</v>
      </c>
      <c r="E331" s="0" t="n">
        <v>0.02</v>
      </c>
      <c r="F331" s="0" t="n">
        <v>36888</v>
      </c>
      <c r="G331" s="0" t="n">
        <v>10.2489726855209</v>
      </c>
      <c r="H331" s="0" t="s">
        <v>488</v>
      </c>
      <c r="I331" s="0" t="n">
        <v>0.855883657685112</v>
      </c>
      <c r="J331" s="0" t="n">
        <v>0</v>
      </c>
      <c r="K331" s="0" t="n">
        <v>761</v>
      </c>
      <c r="L331" s="0" t="n">
        <v>207388</v>
      </c>
      <c r="M331" s="0" t="n">
        <v>205613</v>
      </c>
      <c r="N331" s="0" t="n">
        <v>205626</v>
      </c>
      <c r="O331" s="0" t="n">
        <v>109</v>
      </c>
      <c r="P331" s="0" t="s">
        <v>129</v>
      </c>
      <c r="Q331" s="0" t="n">
        <v>0.48508110401759</v>
      </c>
      <c r="R331" s="0" t="n">
        <v>1.59052041879174</v>
      </c>
      <c r="S331" s="0" t="n">
        <v>0</v>
      </c>
      <c r="T331" s="0" t="n">
        <v>310</v>
      </c>
      <c r="U331" s="0" t="n">
        <v>897</v>
      </c>
      <c r="V331" s="0" t="n">
        <v>0</v>
      </c>
      <c r="W331" s="0" t="n">
        <v>20230930</v>
      </c>
      <c r="X331" s="0" t="n">
        <v>0.0680743287053853</v>
      </c>
      <c r="Y331" s="0" t="n">
        <v>0.66</v>
      </c>
      <c r="Z331" s="0" t="s">
        <v>123</v>
      </c>
      <c r="AA331" s="0" t="n">
        <f aca="false">IF(AND(ISNUMBER(B331),B331&gt;0,ISNUMBER(U331),U331&gt;=0,ISNUMBER(O331),O331&gt;=0),1,0)</f>
        <v>1</v>
      </c>
      <c r="AB331" s="0" t="n">
        <f aca="false">IF(AA331=1,U331+O331,0)</f>
        <v>1006</v>
      </c>
      <c r="AC331" s="0" t="n">
        <f aca="false">IF(AA331=1,100*AB331/B331,"")</f>
        <v>0.279507333594503</v>
      </c>
      <c r="AD331" s="0" t="n">
        <f aca="false">IF(AND(AND(ISNUMBER(B331),B331=OriginalFinancials!B331),AND(ISNUMBER(U331),U331=OriginalFinancials!U331),AND(ISNUMBER(O331),O331=OriginalFinancials!O331)),0,1)</f>
        <v>0</v>
      </c>
      <c r="AE331" s="0" t="str">
        <f aca="false">IF(V331=0,"原始0：需核实适用/报告口径","")</f>
        <v>原始0：需核实适用/报告口径</v>
      </c>
    </row>
    <row r="332" customFormat="false" ht="15" hidden="false" customHeight="false" outlineLevel="0" collapsed="false">
      <c r="A332" s="0" t="n">
        <v>332</v>
      </c>
      <c r="B332" s="0" t="n">
        <v>1854542</v>
      </c>
      <c r="C332" s="0" t="n">
        <v>17658</v>
      </c>
      <c r="D332" s="0" t="n">
        <v>1539926</v>
      </c>
      <c r="E332" s="0" t="n">
        <v>0.06</v>
      </c>
      <c r="F332" s="0" t="n">
        <v>184915</v>
      </c>
      <c r="G332" s="0" t="n">
        <v>9.97092543603758</v>
      </c>
      <c r="H332" s="0" t="s">
        <v>489</v>
      </c>
      <c r="I332" s="0" t="n">
        <v>0.638478485109004</v>
      </c>
      <c r="J332" s="0" t="n">
        <v>95704</v>
      </c>
      <c r="K332" s="0" t="n">
        <v>80475</v>
      </c>
      <c r="L332" s="0" t="n">
        <v>1292291</v>
      </c>
      <c r="M332" s="0" t="n">
        <v>1284040</v>
      </c>
      <c r="N332" s="0" t="n">
        <v>1103288</v>
      </c>
      <c r="O332" s="0" t="n">
        <v>1361</v>
      </c>
      <c r="P332" s="0" t="s">
        <v>131</v>
      </c>
      <c r="Q332" s="0" t="n">
        <v>0.105316836532948</v>
      </c>
      <c r="R332" s="0" t="n">
        <v>3.39384266025843</v>
      </c>
      <c r="S332" s="0" t="n">
        <v>-125</v>
      </c>
      <c r="T332" s="0" t="n">
        <v>2709</v>
      </c>
      <c r="U332" s="0" t="n">
        <v>0</v>
      </c>
      <c r="V332" s="0" t="n">
        <v>0</v>
      </c>
      <c r="W332" s="0" t="n">
        <v>20230930</v>
      </c>
      <c r="X332" s="0" t="n">
        <v>0.655756640612116</v>
      </c>
      <c r="Y332" s="0" t="n">
        <v>6.22</v>
      </c>
      <c r="Z332" s="0" t="s">
        <v>105</v>
      </c>
      <c r="AA332" s="0" t="n">
        <f aca="false">IF(AND(ISNUMBER(B332),B332&gt;0,ISNUMBER(U332),U332&gt;=0,ISNUMBER(O332),O332&gt;=0),1,0)</f>
        <v>1</v>
      </c>
      <c r="AB332" s="0" t="n">
        <f aca="false">IF(AA332=1,U332+O332,0)</f>
        <v>1361</v>
      </c>
      <c r="AC332" s="0" t="n">
        <f aca="false">IF(AA332=1,100*AB332/B332,"")</f>
        <v>0.0733873916039648</v>
      </c>
      <c r="AD332" s="0" t="n">
        <f aca="false">IF(AND(AND(ISNUMBER(B332),B332=OriginalFinancials!B332),AND(ISNUMBER(U332),U332=OriginalFinancials!U332),AND(ISNUMBER(O332),O332=OriginalFinancials!O332)),0,1)</f>
        <v>0</v>
      </c>
      <c r="AE332" s="0" t="str">
        <f aca="false">IF(V332=0,"原始0：需核实适用/报告口径","")</f>
        <v>原始0：需核实适用/报告口径</v>
      </c>
    </row>
    <row r="333" customFormat="false" ht="15" hidden="false" customHeight="false" outlineLevel="0" collapsed="false">
      <c r="A333" s="0" t="n">
        <v>333</v>
      </c>
      <c r="B333" s="0" t="n">
        <v>1063414</v>
      </c>
      <c r="C333" s="0" t="n">
        <v>17741</v>
      </c>
      <c r="D333" s="0" t="n">
        <v>803860</v>
      </c>
      <c r="E333" s="0" t="n">
        <v>0.03</v>
      </c>
      <c r="F333" s="0" t="n">
        <v>132027</v>
      </c>
      <c r="G333" s="0" t="n">
        <v>12.4153904311961</v>
      </c>
      <c r="H333" s="0" t="s">
        <v>490</v>
      </c>
      <c r="I333" s="0" t="n">
        <v>0.918704275915972</v>
      </c>
      <c r="J333" s="0" t="n">
        <v>52698</v>
      </c>
      <c r="K333" s="0" t="n">
        <v>4222</v>
      </c>
      <c r="L333" s="0" t="n">
        <v>905841</v>
      </c>
      <c r="M333" s="0" t="n">
        <v>897519</v>
      </c>
      <c r="N333" s="0" t="n">
        <v>844883</v>
      </c>
      <c r="O333" s="0" t="n">
        <v>2371</v>
      </c>
      <c r="P333" s="0" t="s">
        <v>133</v>
      </c>
      <c r="Q333" s="0" t="n">
        <v>0.26174571475568</v>
      </c>
      <c r="R333" s="0" t="n">
        <v>3.32134528468549</v>
      </c>
      <c r="S333" s="0" t="n">
        <v>-38</v>
      </c>
      <c r="T333" s="0" t="n">
        <v>3001</v>
      </c>
      <c r="U333" s="0" t="n">
        <v>0</v>
      </c>
      <c r="V333" s="0" t="n">
        <v>0</v>
      </c>
      <c r="W333" s="0" t="n">
        <v>20230930</v>
      </c>
      <c r="X333" s="0" t="n">
        <v>0.584654904405804</v>
      </c>
      <c r="Y333" s="0" t="n">
        <v>4.55</v>
      </c>
      <c r="Z333" s="0" t="s">
        <v>105</v>
      </c>
      <c r="AA333" s="0" t="n">
        <f aca="false">IF(AND(ISNUMBER(B333),B333&gt;0,ISNUMBER(U333),U333&gt;=0,ISNUMBER(O333),O333&gt;=0),1,0)</f>
        <v>1</v>
      </c>
      <c r="AB333" s="0" t="n">
        <f aca="false">IF(AA333=1,U333+O333,0)</f>
        <v>2371</v>
      </c>
      <c r="AC333" s="0" t="n">
        <f aca="false">IF(AA333=1,100*AB333/B333,"")</f>
        <v>0.222961142132791</v>
      </c>
      <c r="AD333" s="0" t="n">
        <f aca="false">IF(AND(AND(ISNUMBER(B333),B333=OriginalFinancials!B333),AND(ISNUMBER(U333),U333=OriginalFinancials!U333),AND(ISNUMBER(O333),O333=OriginalFinancials!O333)),0,1)</f>
        <v>0</v>
      </c>
      <c r="AE333" s="0" t="str">
        <f aca="false">IF(V333=0,"原始0：需核实适用/报告口径","")</f>
        <v>原始0：需核实适用/报告口径</v>
      </c>
    </row>
    <row r="334" customFormat="false" ht="15" hidden="false" customHeight="false" outlineLevel="0" collapsed="false">
      <c r="A334" s="0" t="n">
        <v>334</v>
      </c>
      <c r="B334" s="0" t="n">
        <v>1343923</v>
      </c>
      <c r="C334" s="0" t="n">
        <v>17743</v>
      </c>
      <c r="D334" s="0" t="n">
        <v>962463</v>
      </c>
      <c r="E334" s="0" t="n">
        <v>0</v>
      </c>
      <c r="F334" s="0" t="n">
        <v>114040</v>
      </c>
      <c r="G334" s="0" t="n">
        <v>8.48560520208375</v>
      </c>
      <c r="H334" s="0" t="s">
        <v>491</v>
      </c>
      <c r="I334" s="0" t="n">
        <v>0.44413745204957</v>
      </c>
      <c r="J334" s="0" t="n">
        <v>13921</v>
      </c>
      <c r="K334" s="0" t="n">
        <v>9333</v>
      </c>
      <c r="L334" s="0" t="n">
        <v>1053953</v>
      </c>
      <c r="M334" s="0" t="n">
        <v>1049272</v>
      </c>
      <c r="N334" s="0" t="n">
        <v>1018679</v>
      </c>
      <c r="O334" s="0" t="n">
        <v>4816</v>
      </c>
      <c r="P334" s="0" t="s">
        <v>135</v>
      </c>
      <c r="Q334" s="0" t="n">
        <v>0.4616904169351</v>
      </c>
      <c r="R334" s="0" t="n">
        <v>2.06213614232857</v>
      </c>
      <c r="S334" s="0" t="n">
        <v>16</v>
      </c>
      <c r="T334" s="0" t="n">
        <v>614</v>
      </c>
      <c r="U334" s="0" t="n">
        <v>50</v>
      </c>
      <c r="V334" s="0" t="n">
        <v>0</v>
      </c>
      <c r="W334" s="0" t="n">
        <v>20230930</v>
      </c>
      <c r="X334" s="0" t="n">
        <v>0.0416934666112007</v>
      </c>
      <c r="Y334" s="0" t="n">
        <v>0.46</v>
      </c>
      <c r="Z334" s="0" t="s">
        <v>105</v>
      </c>
      <c r="AA334" s="0" t="n">
        <f aca="false">IF(AND(ISNUMBER(B334),B334&gt;0,ISNUMBER(U334),U334&gt;=0,ISNUMBER(O334),O334&gt;=0),1,0)</f>
        <v>1</v>
      </c>
      <c r="AB334" s="0" t="n">
        <f aca="false">IF(AA334=1,U334+O334,0)</f>
        <v>4866</v>
      </c>
      <c r="AC334" s="0" t="n">
        <f aca="false">IF(AA334=1,100*AB334/B334,"")</f>
        <v>0.36207431526955</v>
      </c>
      <c r="AD334" s="0" t="n">
        <f aca="false">IF(AND(AND(ISNUMBER(B334),B334=OriginalFinancials!B334),AND(ISNUMBER(U334),U334=OriginalFinancials!U334),AND(ISNUMBER(O334),O334=OriginalFinancials!O334)),0,1)</f>
        <v>0</v>
      </c>
      <c r="AE334" s="0" t="str">
        <f aca="false">IF(V334=0,"原始0：需核实适用/报告口径","")</f>
        <v>原始0：需核实适用/报告口径</v>
      </c>
    </row>
    <row r="335" customFormat="false" ht="15" hidden="false" customHeight="false" outlineLevel="0" collapsed="false">
      <c r="A335" s="0" t="n">
        <v>335</v>
      </c>
      <c r="B335" s="0" t="n">
        <v>1637222</v>
      </c>
      <c r="C335" s="0" t="n">
        <v>17748</v>
      </c>
      <c r="D335" s="0" t="n">
        <v>1377757</v>
      </c>
      <c r="E335" s="0" t="n">
        <v>0.03</v>
      </c>
      <c r="F335" s="0" t="n">
        <v>100984</v>
      </c>
      <c r="G335" s="0" t="n">
        <v>6.16800898106671</v>
      </c>
      <c r="H335" s="0" t="s">
        <v>492</v>
      </c>
      <c r="I335" s="0" t="n">
        <v>0.773595161525291</v>
      </c>
      <c r="J335" s="0" t="n">
        <v>181024</v>
      </c>
      <c r="K335" s="0" t="n">
        <v>3627</v>
      </c>
      <c r="L335" s="0" t="n">
        <v>1276766</v>
      </c>
      <c r="M335" s="0" t="n">
        <v>1266889</v>
      </c>
      <c r="N335" s="0" t="n">
        <v>1059712</v>
      </c>
      <c r="O335" s="0" t="n">
        <v>6912</v>
      </c>
      <c r="P335" s="0" t="s">
        <v>137</v>
      </c>
      <c r="Q335" s="0" t="n">
        <v>0.541367799581129</v>
      </c>
      <c r="R335" s="0" t="n">
        <v>2.50725017577047</v>
      </c>
      <c r="S335" s="0" t="n">
        <v>1118</v>
      </c>
      <c r="T335" s="0" t="n">
        <v>1286</v>
      </c>
      <c r="U335" s="0" t="n">
        <v>0</v>
      </c>
      <c r="V335" s="0" t="n">
        <v>0</v>
      </c>
      <c r="W335" s="0" t="n">
        <v>20230930</v>
      </c>
      <c r="X335" s="0" t="n">
        <v>0.256949701022202</v>
      </c>
      <c r="Y335" s="0" t="n">
        <v>3.94</v>
      </c>
      <c r="Z335" s="0" t="s">
        <v>105</v>
      </c>
      <c r="AA335" s="0" t="n">
        <f aca="false">IF(AND(ISNUMBER(B335),B335&gt;0,ISNUMBER(U335),U335&gt;=0,ISNUMBER(O335),O335&gt;=0),1,0)</f>
        <v>1</v>
      </c>
      <c r="AB335" s="0" t="n">
        <f aca="false">IF(AA335=1,U335+O335,0)</f>
        <v>6912</v>
      </c>
      <c r="AC335" s="0" t="n">
        <f aca="false">IF(AA335=1,100*AB335/B335,"")</f>
        <v>0.422178543899361</v>
      </c>
      <c r="AD335" s="0" t="n">
        <f aca="false">IF(AND(AND(ISNUMBER(B335),B335=OriginalFinancials!B335),AND(ISNUMBER(U335),U335=OriginalFinancials!U335),AND(ISNUMBER(O335),O335=OriginalFinancials!O335)),0,1)</f>
        <v>0</v>
      </c>
      <c r="AE335" s="0" t="str">
        <f aca="false">IF(V335=0,"原始0：需核实适用/报告口径","")</f>
        <v>原始0：需核实适用/报告口径</v>
      </c>
    </row>
    <row r="336" customFormat="false" ht="15" hidden="false" customHeight="false" outlineLevel="0" collapsed="false">
      <c r="A336" s="0" t="n">
        <v>336</v>
      </c>
      <c r="B336" s="0" t="n">
        <v>1286435</v>
      </c>
      <c r="C336" s="0" t="n">
        <v>17749</v>
      </c>
      <c r="D336" s="0" t="n">
        <v>1014838</v>
      </c>
      <c r="E336" s="0" t="n">
        <v>0.05</v>
      </c>
      <c r="F336" s="0" t="n">
        <v>152647</v>
      </c>
      <c r="G336" s="0" t="n">
        <v>11.8658929522284</v>
      </c>
      <c r="H336" s="0" t="s">
        <v>493</v>
      </c>
      <c r="I336" s="0" t="n">
        <v>1.4267779261066</v>
      </c>
      <c r="J336" s="0" t="n">
        <v>49432</v>
      </c>
      <c r="K336" s="0" t="n">
        <v>10742</v>
      </c>
      <c r="L336" s="0" t="n">
        <v>779799</v>
      </c>
      <c r="M336" s="0" t="n">
        <v>768673</v>
      </c>
      <c r="N336" s="0" t="n">
        <v>708062</v>
      </c>
      <c r="O336" s="0" t="n">
        <v>34</v>
      </c>
      <c r="P336" s="0" t="s">
        <v>139</v>
      </c>
      <c r="Q336" s="0" t="n">
        <v>0.0043600979226698</v>
      </c>
      <c r="R336" s="0" t="n">
        <v>2.80780948296844</v>
      </c>
      <c r="S336" s="0" t="n">
        <v>9</v>
      </c>
      <c r="T336" s="0" t="n">
        <v>1039</v>
      </c>
      <c r="U336" s="0" t="n">
        <v>0</v>
      </c>
      <c r="V336" s="0" t="n">
        <v>0</v>
      </c>
      <c r="W336" s="0" t="n">
        <v>20230930</v>
      </c>
      <c r="X336" s="0" t="n">
        <v>0.980966388840118</v>
      </c>
      <c r="Y336" s="0" t="n">
        <v>8.09</v>
      </c>
      <c r="Z336" s="0" t="s">
        <v>105</v>
      </c>
      <c r="AA336" s="0" t="n">
        <f aca="false">IF(AND(ISNUMBER(B336),B336&gt;0,ISNUMBER(U336),U336&gt;=0,ISNUMBER(O336),O336&gt;=0),1,0)</f>
        <v>1</v>
      </c>
      <c r="AB336" s="0" t="n">
        <f aca="false">IF(AA336=1,U336+O336,0)</f>
        <v>34</v>
      </c>
      <c r="AC336" s="0" t="n">
        <f aca="false">IF(AA336=1,100*AB336/B336,"")</f>
        <v>0.00264296291689825</v>
      </c>
      <c r="AD336" s="0" t="n">
        <f aca="false">IF(AND(AND(ISNUMBER(B336),B336=OriginalFinancials!B336),AND(ISNUMBER(U336),U336=OriginalFinancials!U336),AND(ISNUMBER(O336),O336=OriginalFinancials!O336)),0,1)</f>
        <v>0</v>
      </c>
      <c r="AE336" s="0" t="str">
        <f aca="false">IF(V336=0,"原始0：需核实适用/报告口径","")</f>
        <v>原始0：需核实适用/报告口径</v>
      </c>
    </row>
    <row r="337" customFormat="false" ht="15" hidden="false" customHeight="false" outlineLevel="0" collapsed="false">
      <c r="A337" s="0" t="n">
        <v>337</v>
      </c>
      <c r="B337" s="0" t="n">
        <v>1580361</v>
      </c>
      <c r="C337" s="0" t="n">
        <v>17751</v>
      </c>
      <c r="D337" s="0" t="n">
        <v>1300135</v>
      </c>
      <c r="E337" s="0" t="n">
        <v>0.08</v>
      </c>
      <c r="F337" s="0" t="n">
        <v>128888</v>
      </c>
      <c r="G337" s="0" t="n">
        <v>8.15560495355175</v>
      </c>
      <c r="H337" s="0" t="s">
        <v>494</v>
      </c>
      <c r="I337" s="0" t="n">
        <v>0.930553457375979</v>
      </c>
      <c r="J337" s="0" t="n">
        <v>120460</v>
      </c>
      <c r="K337" s="0" t="n">
        <v>2396</v>
      </c>
      <c r="L337" s="0" t="n">
        <v>1284182</v>
      </c>
      <c r="M337" s="0" t="n">
        <v>1272232</v>
      </c>
      <c r="N337" s="0" t="n">
        <v>1091898</v>
      </c>
      <c r="O337" s="0" t="n">
        <v>2621</v>
      </c>
      <c r="P337" s="0" t="s">
        <v>141</v>
      </c>
      <c r="Q337" s="0" t="n">
        <v>0.204098795965058</v>
      </c>
      <c r="R337" s="0" t="n">
        <v>3.12643695959044</v>
      </c>
      <c r="S337" s="0" t="n">
        <v>4179</v>
      </c>
      <c r="T337" s="0" t="n">
        <v>4485</v>
      </c>
      <c r="U337" s="0" t="n">
        <v>0</v>
      </c>
      <c r="V337" s="0" t="n">
        <v>12.6039990480709</v>
      </c>
      <c r="W337" s="0" t="n">
        <v>20230930</v>
      </c>
      <c r="X337" s="0" t="n">
        <v>0.591331773995177</v>
      </c>
      <c r="Y337" s="0" t="n">
        <v>6.99</v>
      </c>
      <c r="Z337" s="0" t="s">
        <v>105</v>
      </c>
      <c r="AA337" s="0" t="n">
        <f aca="false">IF(AND(ISNUMBER(B337),B337&gt;0,ISNUMBER(U337),U337&gt;=0,ISNUMBER(O337),O337&gt;=0),1,0)</f>
        <v>1</v>
      </c>
      <c r="AB337" s="0" t="n">
        <f aca="false">IF(AA337=1,U337+O337,0)</f>
        <v>2621</v>
      </c>
      <c r="AC337" s="0" t="n">
        <f aca="false">IF(AA337=1,100*AB337/B337,"")</f>
        <v>0.165848182788616</v>
      </c>
      <c r="AD337" s="0" t="n">
        <f aca="false">IF(AND(AND(ISNUMBER(B337),B337=OriginalFinancials!B337),AND(ISNUMBER(U337),U337=OriginalFinancials!U337),AND(ISNUMBER(O337),O337=OriginalFinancials!O337)),0,1)</f>
        <v>0</v>
      </c>
      <c r="AE337" s="0" t="str">
        <f aca="false">IF(V337=0,"原始0：需核实适用/报告口径","")</f>
        <v/>
      </c>
    </row>
    <row r="338" customFormat="false" ht="15" hidden="false" customHeight="false" outlineLevel="0" collapsed="false">
      <c r="A338" s="0" t="n">
        <v>338</v>
      </c>
      <c r="B338" s="0" t="n">
        <v>1672541</v>
      </c>
      <c r="C338" s="0" t="n">
        <v>17897</v>
      </c>
      <c r="D338" s="0" t="n">
        <v>1315387</v>
      </c>
      <c r="E338" s="0" t="n">
        <v>-0.03</v>
      </c>
      <c r="F338" s="0" t="n">
        <v>196829</v>
      </c>
      <c r="G338" s="0" t="n">
        <v>11.7682615852167</v>
      </c>
      <c r="H338" s="0" t="s">
        <v>495</v>
      </c>
      <c r="I338" s="0" t="n">
        <v>0.615465902011774</v>
      </c>
      <c r="J338" s="0" t="n">
        <v>71428</v>
      </c>
      <c r="K338" s="0" t="n">
        <v>4426</v>
      </c>
      <c r="L338" s="0" t="n">
        <v>1427049</v>
      </c>
      <c r="M338" s="0" t="n">
        <v>1418266</v>
      </c>
      <c r="N338" s="0" t="n">
        <v>1342461</v>
      </c>
      <c r="O338" s="0" t="n">
        <v>2834</v>
      </c>
      <c r="P338" s="0" t="s">
        <v>143</v>
      </c>
      <c r="Q338" s="0" t="n">
        <v>0.198591639109799</v>
      </c>
      <c r="R338" s="0" t="n">
        <v>2.57492746103926</v>
      </c>
      <c r="S338" s="0" t="n">
        <v>-116</v>
      </c>
      <c r="T338" s="0" t="n">
        <v>2130</v>
      </c>
      <c r="U338" s="0" t="n">
        <v>0</v>
      </c>
      <c r="V338" s="0" t="n">
        <v>16.1017927907317</v>
      </c>
      <c r="W338" s="0" t="n">
        <v>20230930</v>
      </c>
      <c r="X338" s="0" t="n">
        <v>0.380808315338347</v>
      </c>
      <c r="Y338" s="0" t="n">
        <v>3.18</v>
      </c>
      <c r="Z338" s="0" t="s">
        <v>105</v>
      </c>
      <c r="AA338" s="0" t="n">
        <f aca="false">IF(AND(ISNUMBER(B338),B338&gt;0,ISNUMBER(U338),U338&gt;=0,ISNUMBER(O338),O338&gt;=0),1,0)</f>
        <v>1</v>
      </c>
      <c r="AB338" s="0" t="n">
        <f aca="false">IF(AA338=1,U338+O338,0)</f>
        <v>2834</v>
      </c>
      <c r="AC338" s="0" t="n">
        <f aca="false">IF(AA338=1,100*AB338/B338,"")</f>
        <v>0.169442781970666</v>
      </c>
      <c r="AD338" s="0" t="n">
        <f aca="false">IF(AND(AND(ISNUMBER(B338),B338=OriginalFinancials!B338),AND(ISNUMBER(U338),U338=OriginalFinancials!U338),AND(ISNUMBER(O338),O338=OriginalFinancials!O338)),0,1)</f>
        <v>0</v>
      </c>
      <c r="AE338" s="0" t="str">
        <f aca="false">IF(V338=0,"原始0：需核实适用/报告口径","")</f>
        <v/>
      </c>
    </row>
    <row r="339" customFormat="false" ht="15" hidden="false" customHeight="false" outlineLevel="0" collapsed="false">
      <c r="A339" s="0" t="n">
        <v>339</v>
      </c>
      <c r="B339" s="0" t="n">
        <v>774390</v>
      </c>
      <c r="C339" s="0" t="n">
        <v>17951</v>
      </c>
      <c r="D339" s="0" t="n">
        <v>686785</v>
      </c>
      <c r="E339" s="0" t="n">
        <v>0.12</v>
      </c>
      <c r="F339" s="0" t="n">
        <v>56538</v>
      </c>
      <c r="G339" s="0" t="n">
        <v>7.30097237825902</v>
      </c>
      <c r="H339" s="0" t="s">
        <v>496</v>
      </c>
      <c r="I339" s="0" t="n">
        <v>0.922765746793788</v>
      </c>
      <c r="J339" s="0" t="n">
        <v>24630</v>
      </c>
      <c r="K339" s="0" t="n">
        <v>1937</v>
      </c>
      <c r="L339" s="0" t="n">
        <v>564607</v>
      </c>
      <c r="M339" s="0" t="n">
        <v>559397</v>
      </c>
      <c r="N339" s="0" t="n">
        <v>525776</v>
      </c>
      <c r="O339" s="0" t="n">
        <v>179</v>
      </c>
      <c r="P339" s="0" t="s">
        <v>145</v>
      </c>
      <c r="Q339" s="0" t="n">
        <v>0.0317034680760245</v>
      </c>
      <c r="R339" s="0" t="n">
        <v>2.73481206488146</v>
      </c>
      <c r="S339" s="0" t="n">
        <v>-193</v>
      </c>
      <c r="T339" s="0" t="n">
        <v>137</v>
      </c>
      <c r="U339" s="0" t="n">
        <v>0</v>
      </c>
      <c r="V339" s="0" t="n">
        <v>14.6359562064762</v>
      </c>
      <c r="W339" s="0" t="n">
        <v>20230930</v>
      </c>
      <c r="X339" s="0" t="n">
        <v>0.594947433038291</v>
      </c>
      <c r="Y339" s="0" t="n">
        <v>8.1</v>
      </c>
      <c r="Z339" s="0" t="s">
        <v>123</v>
      </c>
      <c r="AA339" s="0" t="n">
        <f aca="false">IF(AND(ISNUMBER(B339),B339&gt;0,ISNUMBER(U339),U339&gt;=0,ISNUMBER(O339),O339&gt;=0),1,0)</f>
        <v>1</v>
      </c>
      <c r="AB339" s="0" t="n">
        <f aca="false">IF(AA339=1,U339+O339,0)</f>
        <v>179</v>
      </c>
      <c r="AC339" s="0" t="n">
        <f aca="false">IF(AA339=1,100*AB339/B339,"")</f>
        <v>0.0231149679102261</v>
      </c>
      <c r="AD339" s="0" t="n">
        <f aca="false">IF(AND(AND(ISNUMBER(B339),B339=OriginalFinancials!B339),AND(ISNUMBER(U339),U339=OriginalFinancials!U339),AND(ISNUMBER(O339),O339=OriginalFinancials!O339)),0,1)</f>
        <v>0</v>
      </c>
      <c r="AE339" s="0" t="str">
        <f aca="false">IF(V339=0,"原始0：需核实适用/报告口径","")</f>
        <v/>
      </c>
    </row>
    <row r="340" customFormat="false" ht="15" hidden="false" customHeight="false" outlineLevel="0" collapsed="false">
      <c r="A340" s="0" t="n">
        <v>340</v>
      </c>
      <c r="B340" s="0" t="n">
        <v>1360683</v>
      </c>
      <c r="C340" s="0" t="n">
        <v>17960</v>
      </c>
      <c r="D340" s="0" t="n">
        <v>1035461</v>
      </c>
      <c r="E340" s="0" t="n">
        <v>0.06</v>
      </c>
      <c r="F340" s="0" t="n">
        <v>105758</v>
      </c>
      <c r="G340" s="0" t="n">
        <v>7.77242017428012</v>
      </c>
      <c r="H340" s="0" t="s">
        <v>497</v>
      </c>
      <c r="I340" s="0" t="n">
        <v>0.976987988301472</v>
      </c>
      <c r="J340" s="0" t="n">
        <v>111087</v>
      </c>
      <c r="K340" s="0" t="n">
        <v>223391</v>
      </c>
      <c r="L340" s="0" t="n">
        <v>1168694</v>
      </c>
      <c r="M340" s="0" t="n">
        <v>1157276</v>
      </c>
      <c r="N340" s="0" t="n">
        <v>830148</v>
      </c>
      <c r="O340" s="0" t="n">
        <v>8539</v>
      </c>
      <c r="P340" s="0" t="s">
        <v>147</v>
      </c>
      <c r="Q340" s="0" t="n">
        <v>0.730644634095837</v>
      </c>
      <c r="R340" s="0" t="n">
        <v>2.80908470351212</v>
      </c>
      <c r="S340" s="0" t="n">
        <v>132</v>
      </c>
      <c r="T340" s="0" t="n">
        <v>1539</v>
      </c>
      <c r="U340" s="0" t="n">
        <v>0</v>
      </c>
      <c r="V340" s="0" t="n">
        <v>12.8543313948285</v>
      </c>
      <c r="W340" s="0" t="n">
        <v>20230930</v>
      </c>
      <c r="X340" s="0" t="n">
        <v>0.41501730865951</v>
      </c>
      <c r="Y340" s="0" t="n">
        <v>5.22</v>
      </c>
      <c r="Z340" s="0" t="s">
        <v>123</v>
      </c>
      <c r="AA340" s="0" t="n">
        <f aca="false">IF(AND(ISNUMBER(B340),B340&gt;0,ISNUMBER(U340),U340&gt;=0,ISNUMBER(O340),O340&gt;=0),1,0)</f>
        <v>1</v>
      </c>
      <c r="AB340" s="0" t="n">
        <f aca="false">IF(AA340=1,U340+O340,0)</f>
        <v>8539</v>
      </c>
      <c r="AC340" s="0" t="n">
        <f aca="false">IF(AA340=1,100*AB340/B340,"")</f>
        <v>0.627552486508614</v>
      </c>
      <c r="AD340" s="0" t="n">
        <f aca="false">IF(AND(AND(ISNUMBER(B340),B340=OriginalFinancials!B340),AND(ISNUMBER(U340),U340=OriginalFinancials!U340),AND(ISNUMBER(O340),O340=OriginalFinancials!O340)),0,1)</f>
        <v>0</v>
      </c>
      <c r="AE340" s="0" t="str">
        <f aca="false">IF(V340=0,"原始0：需核实适用/报告口径","")</f>
        <v/>
      </c>
    </row>
    <row r="341" customFormat="false" ht="15" hidden="false" customHeight="false" outlineLevel="0" collapsed="false">
      <c r="A341" s="0" t="n">
        <v>341</v>
      </c>
      <c r="B341" s="0" t="n">
        <v>2450354</v>
      </c>
      <c r="C341" s="0" t="n">
        <v>18012</v>
      </c>
      <c r="D341" s="0" t="n">
        <v>2087557</v>
      </c>
      <c r="E341" s="0" t="n">
        <v>0.01</v>
      </c>
      <c r="F341" s="0" t="n">
        <v>251689</v>
      </c>
      <c r="G341" s="0" t="n">
        <v>10.271536275983</v>
      </c>
      <c r="H341" s="0" t="s">
        <v>498</v>
      </c>
      <c r="I341" s="0" t="n">
        <v>1.24540399739518</v>
      </c>
      <c r="J341" s="0" t="n">
        <v>48455</v>
      </c>
      <c r="K341" s="0" t="n">
        <v>33439</v>
      </c>
      <c r="L341" s="0" t="n">
        <v>1996300</v>
      </c>
      <c r="M341" s="0" t="n">
        <v>1971438</v>
      </c>
      <c r="N341" s="0" t="n">
        <v>1885157</v>
      </c>
      <c r="O341" s="0" t="n">
        <v>742</v>
      </c>
      <c r="P341" s="0" t="s">
        <v>149</v>
      </c>
      <c r="Q341" s="0" t="n">
        <v>0.0371687622100886</v>
      </c>
      <c r="R341" s="0" t="n">
        <v>3.04374113069113</v>
      </c>
      <c r="S341" s="0" t="n">
        <v>134</v>
      </c>
      <c r="T341" s="0" t="n">
        <v>2224</v>
      </c>
      <c r="U341" s="0" t="n">
        <v>0</v>
      </c>
      <c r="V341" s="0" t="n">
        <v>13.7963240873137</v>
      </c>
      <c r="W341" s="0" t="n">
        <v>20230930</v>
      </c>
      <c r="X341" s="0" t="n">
        <v>0.871079377516649</v>
      </c>
      <c r="Y341" s="0" t="n">
        <v>8.59</v>
      </c>
      <c r="Z341" s="0" t="s">
        <v>123</v>
      </c>
      <c r="AA341" s="0" t="n">
        <f aca="false">IF(AND(ISNUMBER(B341),B341&gt;0,ISNUMBER(U341),U341&gt;=0,ISNUMBER(O341),O341&gt;=0),1,0)</f>
        <v>1</v>
      </c>
      <c r="AB341" s="0" t="n">
        <f aca="false">IF(AA341=1,U341+O341,0)</f>
        <v>742</v>
      </c>
      <c r="AC341" s="0" t="n">
        <f aca="false">IF(AA341=1,100*AB341/B341,"")</f>
        <v>0.0302813389412305</v>
      </c>
      <c r="AD341" s="0" t="n">
        <f aca="false">IF(AND(AND(ISNUMBER(B341),B341=OriginalFinancials!B341),AND(ISNUMBER(U341),U341=OriginalFinancials!U341),AND(ISNUMBER(O341),O341=OriginalFinancials!O341)),0,1)</f>
        <v>0</v>
      </c>
      <c r="AE341" s="0" t="str">
        <f aca="false">IF(V341=0,"原始0：需核实适用/报告口径","")</f>
        <v/>
      </c>
    </row>
    <row r="342" customFormat="false" ht="15" hidden="false" customHeight="false" outlineLevel="0" collapsed="false">
      <c r="A342" s="0" t="n">
        <v>342</v>
      </c>
      <c r="B342" s="0" t="n">
        <v>2857828</v>
      </c>
      <c r="C342" s="0" t="n">
        <v>18013</v>
      </c>
      <c r="D342" s="0" t="n">
        <v>2426366</v>
      </c>
      <c r="E342" s="0" t="n">
        <v>0.01</v>
      </c>
      <c r="F342" s="0" t="n">
        <v>208913</v>
      </c>
      <c r="G342" s="0" t="n">
        <v>7.31020201355715</v>
      </c>
      <c r="H342" s="0" t="s">
        <v>499</v>
      </c>
      <c r="I342" s="0" t="n">
        <v>0.694040427598615</v>
      </c>
      <c r="J342" s="0" t="n">
        <v>111358</v>
      </c>
      <c r="K342" s="0" t="n">
        <v>26647</v>
      </c>
      <c r="L342" s="0" t="n">
        <v>2341074</v>
      </c>
      <c r="M342" s="0" t="n">
        <v>2324826</v>
      </c>
      <c r="N342" s="0" t="n">
        <v>2134736</v>
      </c>
      <c r="O342" s="0" t="n">
        <v>1061</v>
      </c>
      <c r="P342" s="0" t="s">
        <v>151</v>
      </c>
      <c r="Q342" s="0" t="n">
        <v>0.0460472415651961</v>
      </c>
      <c r="R342" s="0" t="n">
        <v>2.78616306186857</v>
      </c>
      <c r="S342" s="0" t="n">
        <v>129</v>
      </c>
      <c r="T342" s="0" t="n">
        <v>4243</v>
      </c>
      <c r="U342" s="0" t="n">
        <v>17</v>
      </c>
      <c r="V342" s="0" t="n">
        <v>12.718417791956</v>
      </c>
      <c r="W342" s="0" t="n">
        <v>20230930</v>
      </c>
      <c r="X342" s="0" t="n">
        <v>0.455600254543259</v>
      </c>
      <c r="Y342" s="0" t="n">
        <v>6.1</v>
      </c>
      <c r="Z342" s="0" t="s">
        <v>123</v>
      </c>
      <c r="AA342" s="0" t="n">
        <f aca="false">IF(AND(ISNUMBER(B342),B342&gt;0,ISNUMBER(U342),U342&gt;=0,ISNUMBER(O342),O342&gt;=0),1,0)</f>
        <v>1</v>
      </c>
      <c r="AB342" s="0" t="n">
        <f aca="false">IF(AA342=1,U342+O342,0)</f>
        <v>1078</v>
      </c>
      <c r="AC342" s="0" t="n">
        <f aca="false">IF(AA342=1,100*AB342/B342,"")</f>
        <v>0.0377209545151073</v>
      </c>
      <c r="AD342" s="0" t="n">
        <f aca="false">IF(AND(AND(ISNUMBER(B342),B342=OriginalFinancials!B342),AND(ISNUMBER(U342),U342=OriginalFinancials!U342),AND(ISNUMBER(O342),O342=OriginalFinancials!O342)),0,1)</f>
        <v>0</v>
      </c>
      <c r="AE342" s="0" t="str">
        <f aca="false">IF(V342=0,"原始0：需核实适用/报告口径","")</f>
        <v/>
      </c>
    </row>
    <row r="343" customFormat="false" ht="15" hidden="false" customHeight="false" outlineLevel="0" collapsed="false">
      <c r="A343" s="0" t="n">
        <v>343</v>
      </c>
      <c r="B343" s="0" t="n">
        <v>381526</v>
      </c>
      <c r="C343" s="0" t="n">
        <v>18028</v>
      </c>
      <c r="D343" s="0" t="n">
        <v>312777</v>
      </c>
      <c r="E343" s="0" t="n">
        <v>0.09</v>
      </c>
      <c r="F343" s="0" t="n">
        <v>35629</v>
      </c>
      <c r="G343" s="0" t="n">
        <v>9.33855097686658</v>
      </c>
      <c r="H343" s="0" t="s">
        <v>500</v>
      </c>
      <c r="I343" s="0" t="n">
        <v>0.904108019327362</v>
      </c>
      <c r="J343" s="0" t="n">
        <v>14223</v>
      </c>
      <c r="K343" s="0" t="n">
        <v>6237</v>
      </c>
      <c r="L343" s="0" t="n">
        <v>261805</v>
      </c>
      <c r="M343" s="0" t="n">
        <v>259438</v>
      </c>
      <c r="N343" s="0" t="n">
        <v>235366</v>
      </c>
      <c r="O343" s="0" t="n">
        <v>831</v>
      </c>
      <c r="P343" s="0" t="s">
        <v>153</v>
      </c>
      <c r="Q343" s="0" t="n">
        <v>0.40640935047077</v>
      </c>
      <c r="R343" s="0" t="n">
        <v>3.46173527125438</v>
      </c>
      <c r="S343" s="0" t="n">
        <v>324</v>
      </c>
      <c r="T343" s="0" t="n">
        <v>925</v>
      </c>
      <c r="U343" s="0" t="n">
        <v>233</v>
      </c>
      <c r="V343" s="0" t="n">
        <v>0</v>
      </c>
      <c r="W343" s="0" t="n">
        <v>20230930</v>
      </c>
      <c r="X343" s="0" t="n">
        <v>0.57647828889173</v>
      </c>
      <c r="Y343" s="0" t="n">
        <v>6</v>
      </c>
      <c r="Z343" s="0" t="s">
        <v>123</v>
      </c>
      <c r="AA343" s="0" t="n">
        <f aca="false">IF(AND(ISNUMBER(B343),B343&gt;0,ISNUMBER(U343),U343&gt;=0,ISNUMBER(O343),O343&gt;=0),1,0)</f>
        <v>1</v>
      </c>
      <c r="AB343" s="0" t="n">
        <f aca="false">IF(AA343=1,U343+O343,0)</f>
        <v>1064</v>
      </c>
      <c r="AC343" s="0" t="n">
        <f aca="false">IF(AA343=1,100*AB343/B343,"")</f>
        <v>0.278880076325073</v>
      </c>
      <c r="AD343" s="0" t="n">
        <f aca="false">IF(AND(AND(ISNUMBER(B343),B343=OriginalFinancials!B343),AND(ISNUMBER(U343),U343=OriginalFinancials!U343),AND(ISNUMBER(O343),O343=OriginalFinancials!O343)),0,1)</f>
        <v>0</v>
      </c>
      <c r="AE343" s="0" t="str">
        <f aca="false">IF(V343=0,"原始0：需核实适用/报告口径","")</f>
        <v>原始0：需核实适用/报告口径</v>
      </c>
    </row>
    <row r="344" customFormat="false" ht="15" hidden="false" customHeight="false" outlineLevel="0" collapsed="false">
      <c r="A344" s="0" t="n">
        <v>344</v>
      </c>
      <c r="B344" s="0" t="n">
        <v>734470</v>
      </c>
      <c r="C344" s="0" t="n">
        <v>18030</v>
      </c>
      <c r="D344" s="0" t="n">
        <v>660381</v>
      </c>
      <c r="E344" s="0" t="n">
        <v>0.13</v>
      </c>
      <c r="F344" s="0" t="n">
        <v>43119</v>
      </c>
      <c r="G344" s="0" t="n">
        <v>5.87076395223767</v>
      </c>
      <c r="H344" s="0" t="s">
        <v>501</v>
      </c>
      <c r="I344" s="0" t="n">
        <v>1.02141663696123</v>
      </c>
      <c r="J344" s="0" t="n">
        <v>41868</v>
      </c>
      <c r="K344" s="0" t="n">
        <v>96224</v>
      </c>
      <c r="L344" s="0" t="n">
        <v>591923</v>
      </c>
      <c r="M344" s="0" t="n">
        <v>585877</v>
      </c>
      <c r="N344" s="0" t="n">
        <v>453550</v>
      </c>
      <c r="O344" s="0" t="n">
        <v>457</v>
      </c>
      <c r="P344" s="0" t="s">
        <v>155</v>
      </c>
      <c r="Q344" s="0" t="n">
        <v>0.0998440675560841</v>
      </c>
      <c r="R344" s="0" t="n">
        <v>3.47560193665529</v>
      </c>
      <c r="S344" s="0" t="n">
        <v>10</v>
      </c>
      <c r="T344" s="0" t="n">
        <v>226</v>
      </c>
      <c r="U344" s="0" t="n">
        <v>134</v>
      </c>
      <c r="V344" s="0" t="n">
        <v>12.6144232067429</v>
      </c>
      <c r="W344" s="0" t="n">
        <v>20230930</v>
      </c>
      <c r="X344" s="0" t="n">
        <v>0.565402270213584</v>
      </c>
      <c r="Y344" s="0" t="n">
        <v>9.32</v>
      </c>
      <c r="Z344" s="0" t="s">
        <v>123</v>
      </c>
      <c r="AA344" s="0" t="n">
        <f aca="false">IF(AND(ISNUMBER(B344),B344&gt;0,ISNUMBER(U344),U344&gt;=0,ISNUMBER(O344),O344&gt;=0),1,0)</f>
        <v>1</v>
      </c>
      <c r="AB344" s="0" t="n">
        <f aca="false">IF(AA344=1,U344+O344,0)</f>
        <v>591</v>
      </c>
      <c r="AC344" s="0" t="n">
        <f aca="false">IF(AA344=1,100*AB344/B344,"")</f>
        <v>0.0804661865018313</v>
      </c>
      <c r="AD344" s="0" t="n">
        <f aca="false">IF(AND(AND(ISNUMBER(B344),B344=OriginalFinancials!B344),AND(ISNUMBER(U344),U344=OriginalFinancials!U344),AND(ISNUMBER(O344),O344=OriginalFinancials!O344)),0,1)</f>
        <v>0</v>
      </c>
      <c r="AE344" s="0" t="str">
        <f aca="false">IF(V344=0,"原始0：需核实适用/报告口径","")</f>
        <v/>
      </c>
    </row>
    <row r="345" customFormat="false" ht="15" hidden="false" customHeight="false" outlineLevel="0" collapsed="false">
      <c r="A345" s="0" t="n">
        <v>345</v>
      </c>
      <c r="B345" s="0" t="n">
        <v>671966</v>
      </c>
      <c r="C345" s="0" t="n">
        <v>18031</v>
      </c>
      <c r="D345" s="0" t="n">
        <v>568415</v>
      </c>
      <c r="E345" s="0" t="n">
        <v>-0.01</v>
      </c>
      <c r="F345" s="0" t="n">
        <v>31180</v>
      </c>
      <c r="G345" s="0" t="n">
        <v>4.6401157201406</v>
      </c>
      <c r="H345" s="0" t="s">
        <v>502</v>
      </c>
      <c r="I345" s="0" t="n">
        <v>0.833109770426891</v>
      </c>
      <c r="J345" s="0" t="n">
        <v>26820</v>
      </c>
      <c r="K345" s="0" t="n">
        <v>11759</v>
      </c>
      <c r="L345" s="0" t="n">
        <v>480849</v>
      </c>
      <c r="M345" s="0" t="n">
        <v>476843</v>
      </c>
      <c r="N345" s="0" t="n">
        <v>434791</v>
      </c>
      <c r="O345" s="0" t="n">
        <v>790</v>
      </c>
      <c r="P345" s="0" t="s">
        <v>157</v>
      </c>
      <c r="Q345" s="0" t="n">
        <v>0.164292740548488</v>
      </c>
      <c r="R345" s="0" t="n">
        <v>2.73992860785314</v>
      </c>
      <c r="S345" s="0" t="n">
        <v>7</v>
      </c>
      <c r="T345" s="0" t="n">
        <v>1516</v>
      </c>
      <c r="U345" s="0" t="n">
        <v>0</v>
      </c>
      <c r="V345" s="0" t="n">
        <v>16.1364216823375</v>
      </c>
      <c r="W345" s="0" t="n">
        <v>20230930</v>
      </c>
      <c r="X345" s="0" t="n">
        <v>0.288423659649568</v>
      </c>
      <c r="Y345" s="0" t="n">
        <v>5.47</v>
      </c>
      <c r="Z345" s="0" t="s">
        <v>123</v>
      </c>
      <c r="AA345" s="0" t="n">
        <f aca="false">IF(AND(ISNUMBER(B345),B345&gt;0,ISNUMBER(U345),U345&gt;=0,ISNUMBER(O345),O345&gt;=0),1,0)</f>
        <v>1</v>
      </c>
      <c r="AB345" s="0" t="n">
        <f aca="false">IF(AA345=1,U345+O345,0)</f>
        <v>790</v>
      </c>
      <c r="AC345" s="0" t="n">
        <f aca="false">IF(AA345=1,100*AB345/B345,"")</f>
        <v>0.117565472062575</v>
      </c>
      <c r="AD345" s="0" t="n">
        <f aca="false">IF(AND(AND(ISNUMBER(B345),B345=OriginalFinancials!B345),AND(ISNUMBER(U345),U345=OriginalFinancials!U345),AND(ISNUMBER(O345),O345=OriginalFinancials!O345)),0,1)</f>
        <v>0</v>
      </c>
      <c r="AE345" s="0" t="str">
        <f aca="false">IF(V345=0,"原始0：需核实适用/报告口径","")</f>
        <v/>
      </c>
    </row>
    <row r="346" customFormat="false" ht="15" hidden="false" customHeight="false" outlineLevel="0" collapsed="false">
      <c r="A346" s="0" t="n">
        <v>346</v>
      </c>
      <c r="B346" s="0" t="n">
        <v>555533</v>
      </c>
      <c r="C346" s="0" t="n">
        <v>18038</v>
      </c>
      <c r="D346" s="0" t="n">
        <v>444746</v>
      </c>
      <c r="E346" s="0" t="n">
        <v>0.04</v>
      </c>
      <c r="F346" s="0" t="n">
        <v>62652</v>
      </c>
      <c r="G346" s="0" t="n">
        <v>11.2778178794059</v>
      </c>
      <c r="H346" s="0" t="s">
        <v>503</v>
      </c>
      <c r="I346" s="0" t="n">
        <v>1.00238089512037</v>
      </c>
      <c r="J346" s="0" t="n">
        <v>16653</v>
      </c>
      <c r="K346" s="0" t="n">
        <v>3686</v>
      </c>
      <c r="L346" s="0" t="n">
        <v>415810</v>
      </c>
      <c r="M346" s="0" t="n">
        <v>411642</v>
      </c>
      <c r="N346" s="0" t="n">
        <v>395105</v>
      </c>
      <c r="O346" s="0" t="n">
        <v>2136</v>
      </c>
      <c r="P346" s="0" t="s">
        <v>159</v>
      </c>
      <c r="Q346" s="0" t="n">
        <v>0.516101103869556</v>
      </c>
      <c r="R346" s="0" t="n">
        <v>2.50931095109534</v>
      </c>
      <c r="S346" s="0" t="n">
        <v>-19</v>
      </c>
      <c r="T346" s="0" t="n">
        <v>1391</v>
      </c>
      <c r="U346" s="0" t="n">
        <v>10</v>
      </c>
      <c r="V346" s="0" t="n">
        <v>0</v>
      </c>
      <c r="W346" s="0" t="n">
        <v>20230930</v>
      </c>
      <c r="X346" s="0" t="n">
        <v>-0.0175817767653758</v>
      </c>
      <c r="Y346" s="0" t="n">
        <v>-0.15</v>
      </c>
      <c r="Z346" s="0" t="s">
        <v>123</v>
      </c>
      <c r="AA346" s="0" t="n">
        <f aca="false">IF(AND(ISNUMBER(B346),B346&gt;0,ISNUMBER(U346),U346&gt;=0,ISNUMBER(O346),O346&gt;=0),1,0)</f>
        <v>1</v>
      </c>
      <c r="AB346" s="0" t="n">
        <f aca="false">IF(AA346=1,U346+O346,0)</f>
        <v>2146</v>
      </c>
      <c r="AC346" s="0" t="n">
        <f aca="false">IF(AA346=1,100*AB346/B346,"")</f>
        <v>0.386295683604754</v>
      </c>
      <c r="AD346" s="0" t="n">
        <f aca="false">IF(AND(AND(ISNUMBER(B346),B346=OriginalFinancials!B346),AND(ISNUMBER(U346),U346=OriginalFinancials!U346),AND(ISNUMBER(O346),O346=OriginalFinancials!O346)),0,1)</f>
        <v>0</v>
      </c>
      <c r="AE346" s="0" t="str">
        <f aca="false">IF(V346=0,"原始0：需核实适用/报告口径","")</f>
        <v>原始0：需核实适用/报告口径</v>
      </c>
    </row>
    <row r="347" customFormat="false" ht="15" hidden="false" customHeight="false" outlineLevel="0" collapsed="false">
      <c r="A347" s="0" t="n">
        <v>347</v>
      </c>
      <c r="B347" s="0" t="n">
        <v>7253561</v>
      </c>
      <c r="C347" s="0" t="n">
        <v>18408</v>
      </c>
      <c r="D347" s="0" t="n">
        <v>5526161</v>
      </c>
      <c r="E347" s="0" t="n">
        <v>-0.06</v>
      </c>
      <c r="F347" s="0" t="n">
        <v>339914</v>
      </c>
      <c r="G347" s="0" t="n">
        <v>4.6861672494379</v>
      </c>
      <c r="H347" s="0" t="s">
        <v>504</v>
      </c>
      <c r="I347" s="0" t="n">
        <v>0.687980372654995</v>
      </c>
      <c r="J347" s="0" t="n">
        <v>321633</v>
      </c>
      <c r="K347" s="0" t="n">
        <v>33238</v>
      </c>
      <c r="L347" s="0" t="n">
        <v>4807986</v>
      </c>
      <c r="M347" s="0" t="n">
        <v>4774908</v>
      </c>
      <c r="N347" s="0" t="n">
        <v>4382847</v>
      </c>
      <c r="O347" s="0" t="n">
        <v>3957</v>
      </c>
      <c r="P347" s="0" t="s">
        <v>161</v>
      </c>
      <c r="Q347" s="0" t="n">
        <v>0.0823005724226318</v>
      </c>
      <c r="R347" s="0" t="n">
        <v>2.10961267600752</v>
      </c>
      <c r="S347" s="0" t="n">
        <v>1597</v>
      </c>
      <c r="T347" s="0" t="n">
        <v>2852</v>
      </c>
      <c r="U347" s="0" t="n">
        <v>0</v>
      </c>
      <c r="V347" s="0" t="n">
        <v>11.6647820410089</v>
      </c>
      <c r="W347" s="0" t="n">
        <v>20230930</v>
      </c>
      <c r="X347" s="0" t="n">
        <v>0.192762984622171</v>
      </c>
      <c r="Y347" s="0" t="n">
        <v>3.96</v>
      </c>
      <c r="Z347" s="0" t="s">
        <v>105</v>
      </c>
      <c r="AA347" s="0" t="n">
        <f aca="false">IF(AND(ISNUMBER(B347),B347&gt;0,ISNUMBER(U347),U347&gt;=0,ISNUMBER(O347),O347&gt;=0),1,0)</f>
        <v>1</v>
      </c>
      <c r="AB347" s="0" t="n">
        <f aca="false">IF(AA347=1,U347+O347,0)</f>
        <v>3957</v>
      </c>
      <c r="AC347" s="0" t="n">
        <f aca="false">IF(AA347=1,100*AB347/B347,"")</f>
        <v>0.0545525156540353</v>
      </c>
      <c r="AD347" s="0" t="n">
        <f aca="false">IF(AND(AND(ISNUMBER(B347),B347=OriginalFinancials!B347),AND(ISNUMBER(U347),U347=OriginalFinancials!U347),AND(ISNUMBER(O347),O347=OriginalFinancials!O347)),0,1)</f>
        <v>0</v>
      </c>
      <c r="AE347" s="0" t="str">
        <f aca="false">IF(V347=0,"原始0：需核实适用/报告口径","")</f>
        <v/>
      </c>
    </row>
    <row r="348" customFormat="false" ht="15" hidden="false" customHeight="false" outlineLevel="0" collapsed="false">
      <c r="A348" s="0" t="n">
        <v>348</v>
      </c>
      <c r="B348" s="0" t="n">
        <v>2461701</v>
      </c>
      <c r="C348" s="0" t="n">
        <v>19531</v>
      </c>
      <c r="D348" s="0" t="n">
        <v>2036756</v>
      </c>
      <c r="E348" s="0" t="n">
        <v>0</v>
      </c>
      <c r="F348" s="0" t="n">
        <v>225877</v>
      </c>
      <c r="G348" s="0" t="n">
        <v>9.17564724554282</v>
      </c>
      <c r="H348" s="0" t="s">
        <v>505</v>
      </c>
      <c r="I348" s="0" t="n">
        <v>1.14261836617052</v>
      </c>
      <c r="J348" s="0" t="n">
        <v>237278</v>
      </c>
      <c r="K348" s="0" t="n">
        <v>14701</v>
      </c>
      <c r="L348" s="0" t="n">
        <v>1986315</v>
      </c>
      <c r="M348" s="0" t="n">
        <v>1963619</v>
      </c>
      <c r="N348" s="0" t="n">
        <v>1627608</v>
      </c>
      <c r="O348" s="0" t="n">
        <v>9780</v>
      </c>
      <c r="P348" s="0" t="s">
        <v>163</v>
      </c>
      <c r="Q348" s="0" t="n">
        <v>0.492369035122828</v>
      </c>
      <c r="R348" s="0" t="n">
        <v>2.71472125457892</v>
      </c>
      <c r="S348" s="0" t="n">
        <v>1145</v>
      </c>
      <c r="T348" s="0" t="n">
        <v>4674</v>
      </c>
      <c r="U348" s="0" t="n">
        <v>0</v>
      </c>
      <c r="V348" s="0" t="n">
        <v>14.2913702341625</v>
      </c>
      <c r="W348" s="0" t="n">
        <v>20230930</v>
      </c>
      <c r="X348" s="0" t="n">
        <v>0.447969025430731</v>
      </c>
      <c r="Y348" s="0" t="n">
        <v>4.7</v>
      </c>
      <c r="Z348" s="0" t="s">
        <v>105</v>
      </c>
      <c r="AA348" s="0" t="n">
        <f aca="false">IF(AND(ISNUMBER(B348),B348&gt;0,ISNUMBER(U348),U348&gt;=0,ISNUMBER(O348),O348&gt;=0),1,0)</f>
        <v>1</v>
      </c>
      <c r="AB348" s="0" t="n">
        <f aca="false">IF(AA348=1,U348+O348,0)</f>
        <v>9780</v>
      </c>
      <c r="AC348" s="0" t="n">
        <f aca="false">IF(AA348=1,100*AB348/B348,"")</f>
        <v>0.397286266691203</v>
      </c>
      <c r="AD348" s="0" t="n">
        <f aca="false">IF(AND(AND(ISNUMBER(B348),B348=OriginalFinancials!B348),AND(ISNUMBER(U348),U348=OriginalFinancials!U348),AND(ISNUMBER(O348),O348=OriginalFinancials!O348)),0,1)</f>
        <v>0</v>
      </c>
      <c r="AE348" s="0" t="str">
        <f aca="false">IF(V348=0,"原始0：需核实适用/报告口径","")</f>
        <v/>
      </c>
    </row>
    <row r="349" customFormat="false" ht="15" hidden="false" customHeight="false" outlineLevel="0" collapsed="false">
      <c r="A349" s="0" t="n">
        <v>349</v>
      </c>
      <c r="B349" s="0" t="n">
        <v>816575</v>
      </c>
      <c r="C349" s="0" t="n">
        <v>19532</v>
      </c>
      <c r="D349" s="0" t="n">
        <v>712795</v>
      </c>
      <c r="E349" s="0" t="n">
        <v>0.01</v>
      </c>
      <c r="F349" s="0" t="n">
        <v>89758</v>
      </c>
      <c r="G349" s="0" t="n">
        <v>10.9920093071671</v>
      </c>
      <c r="H349" s="0" t="s">
        <v>506</v>
      </c>
      <c r="I349" s="0" t="n">
        <v>0.990379222276157</v>
      </c>
      <c r="J349" s="0" t="n">
        <v>40005</v>
      </c>
      <c r="K349" s="0" t="n">
        <v>51182</v>
      </c>
      <c r="L349" s="0" t="n">
        <v>583009</v>
      </c>
      <c r="M349" s="0" t="n">
        <v>577235</v>
      </c>
      <c r="N349" s="0" t="n">
        <v>480800</v>
      </c>
      <c r="O349" s="0" t="n">
        <v>1137</v>
      </c>
      <c r="P349" s="0" t="s">
        <v>165</v>
      </c>
      <c r="Q349" s="0" t="n">
        <v>0.195022718345686</v>
      </c>
      <c r="R349" s="0" t="n">
        <v>3.37267208819972</v>
      </c>
      <c r="S349" s="0" t="n">
        <v>83</v>
      </c>
      <c r="T349" s="0" t="n">
        <v>847</v>
      </c>
      <c r="U349" s="0" t="n">
        <v>0</v>
      </c>
      <c r="V349" s="0" t="n">
        <v>21.3660838090436</v>
      </c>
      <c r="W349" s="0" t="n">
        <v>20230930</v>
      </c>
      <c r="X349" s="0" t="n">
        <v>0.688130053765717</v>
      </c>
      <c r="Y349" s="0" t="n">
        <v>6.04</v>
      </c>
      <c r="Z349" s="0" t="s">
        <v>105</v>
      </c>
      <c r="AA349" s="0" t="n">
        <f aca="false">IF(AND(ISNUMBER(B349),B349&gt;0,ISNUMBER(U349),U349&gt;=0,ISNUMBER(O349),O349&gt;=0),1,0)</f>
        <v>1</v>
      </c>
      <c r="AB349" s="0" t="n">
        <f aca="false">IF(AA349=1,U349+O349,0)</f>
        <v>1137</v>
      </c>
      <c r="AC349" s="0" t="n">
        <f aca="false">IF(AA349=1,100*AB349/B349,"")</f>
        <v>0.139240118788844</v>
      </c>
      <c r="AD349" s="0" t="n">
        <f aca="false">IF(AND(AND(ISNUMBER(B349),B349=OriginalFinancials!B349),AND(ISNUMBER(U349),U349=OriginalFinancials!U349),AND(ISNUMBER(O349),O349=OriginalFinancials!O349)),0,1)</f>
        <v>0</v>
      </c>
      <c r="AE349" s="0" t="str">
        <f aca="false">IF(V349=0,"原始0：需核实适用/报告口径","")</f>
        <v/>
      </c>
    </row>
    <row r="350" customFormat="false" ht="15" hidden="false" customHeight="false" outlineLevel="0" collapsed="false">
      <c r="A350" s="0" t="n">
        <v>350</v>
      </c>
      <c r="B350" s="0" t="n">
        <v>2876461</v>
      </c>
      <c r="C350" s="0" t="n">
        <v>19690</v>
      </c>
      <c r="D350" s="0" t="n">
        <v>1996495</v>
      </c>
      <c r="E350" s="0" t="n">
        <v>0.06</v>
      </c>
      <c r="F350" s="0" t="n">
        <v>311569</v>
      </c>
      <c r="G350" s="0" t="n">
        <v>10.8316782323835</v>
      </c>
      <c r="H350" s="0" t="s">
        <v>507</v>
      </c>
      <c r="I350" s="0" t="n">
        <v>1.00082667183501</v>
      </c>
      <c r="J350" s="0" t="n">
        <v>42688</v>
      </c>
      <c r="K350" s="0" t="n">
        <v>421</v>
      </c>
      <c r="L350" s="0" t="n">
        <v>2528210</v>
      </c>
      <c r="M350" s="0" t="n">
        <v>2502907</v>
      </c>
      <c r="N350" s="0" t="n">
        <v>2043563</v>
      </c>
      <c r="O350" s="0" t="n">
        <v>17448</v>
      </c>
      <c r="P350" s="0" t="s">
        <v>167</v>
      </c>
      <c r="Q350" s="0" t="n">
        <v>0.690132544369336</v>
      </c>
      <c r="R350" s="0" t="n">
        <v>5.01279887177971</v>
      </c>
      <c r="S350" s="0" t="n">
        <v>1773</v>
      </c>
      <c r="T350" s="0" t="n">
        <v>10951</v>
      </c>
      <c r="U350" s="0" t="n">
        <v>0</v>
      </c>
      <c r="V350" s="0" t="n">
        <v>13.4609825320188</v>
      </c>
      <c r="W350" s="0" t="n">
        <v>20230930</v>
      </c>
      <c r="X350" s="0" t="n">
        <v>1.85718670922203</v>
      </c>
      <c r="Y350" s="0" t="n">
        <v>18.36</v>
      </c>
      <c r="Z350" s="0" t="s">
        <v>105</v>
      </c>
      <c r="AA350" s="0" t="n">
        <f aca="false">IF(AND(ISNUMBER(B350),B350&gt;0,ISNUMBER(U350),U350&gt;=0,ISNUMBER(O350),O350&gt;=0),1,0)</f>
        <v>1</v>
      </c>
      <c r="AB350" s="0" t="n">
        <f aca="false">IF(AA350=1,U350+O350,0)</f>
        <v>17448</v>
      </c>
      <c r="AC350" s="0" t="n">
        <f aca="false">IF(AA350=1,100*AB350/B350,"")</f>
        <v>0.606578709045595</v>
      </c>
      <c r="AD350" s="0" t="n">
        <f aca="false">IF(AND(AND(ISNUMBER(B350),B350=OriginalFinancials!B350),AND(ISNUMBER(U350),U350=OriginalFinancials!U350),AND(ISNUMBER(O350),O350=OriginalFinancials!O350)),0,1)</f>
        <v>0</v>
      </c>
      <c r="AE350" s="0" t="str">
        <f aca="false">IF(V350=0,"原始0：需核实适用/报告口径","")</f>
        <v/>
      </c>
    </row>
    <row r="351" customFormat="false" ht="15" hidden="false" customHeight="false" outlineLevel="0" collapsed="false">
      <c r="A351" s="0" t="n">
        <v>351</v>
      </c>
      <c r="B351" s="0" t="n">
        <v>636045</v>
      </c>
      <c r="C351" s="0" t="n">
        <v>19836</v>
      </c>
      <c r="D351" s="0" t="n">
        <v>487132</v>
      </c>
      <c r="E351" s="0" t="n">
        <v>0.01</v>
      </c>
      <c r="F351" s="0" t="n">
        <v>119013</v>
      </c>
      <c r="G351" s="0" t="n">
        <v>18.7114119284013</v>
      </c>
      <c r="H351" s="0" t="s">
        <v>508</v>
      </c>
      <c r="I351" s="0" t="n">
        <v>0.821891703905558</v>
      </c>
      <c r="J351" s="0" t="n">
        <v>51639</v>
      </c>
      <c r="K351" s="0" t="n">
        <v>12237</v>
      </c>
      <c r="L351" s="0" t="n">
        <v>524765</v>
      </c>
      <c r="M351" s="0" t="n">
        <v>520452</v>
      </c>
      <c r="N351" s="0" t="n">
        <v>456725</v>
      </c>
      <c r="O351" s="0" t="n">
        <v>3230</v>
      </c>
      <c r="P351" s="0" t="s">
        <v>145</v>
      </c>
      <c r="Q351" s="0" t="n">
        <v>0.629234038093242</v>
      </c>
      <c r="R351" s="0" t="n">
        <v>4.05619318892258</v>
      </c>
      <c r="S351" s="0" t="n">
        <v>35</v>
      </c>
      <c r="T351" s="0" t="n">
        <v>2063</v>
      </c>
      <c r="U351" s="0" t="n">
        <v>72</v>
      </c>
      <c r="V351" s="0" t="n">
        <v>26.4663895951883</v>
      </c>
      <c r="W351" s="0" t="n">
        <v>20230930</v>
      </c>
      <c r="X351" s="0" t="n">
        <v>0.906671171533532</v>
      </c>
      <c r="Y351" s="0" t="n">
        <v>4.64</v>
      </c>
      <c r="Z351" s="0" t="s">
        <v>105</v>
      </c>
      <c r="AA351" s="0" t="n">
        <f aca="false">IF(AND(ISNUMBER(B351),B351&gt;0,ISNUMBER(U351),U351&gt;=0,ISNUMBER(O351),O351&gt;=0),1,0)</f>
        <v>1</v>
      </c>
      <c r="AB351" s="0" t="n">
        <f aca="false">IF(AA351=1,U351+O351,0)</f>
        <v>3302</v>
      </c>
      <c r="AC351" s="0" t="n">
        <f aca="false">IF(AA351=1,100*AB351/B351,"")</f>
        <v>0.519145657933008</v>
      </c>
      <c r="AD351" s="0" t="n">
        <f aca="false">IF(AND(AND(ISNUMBER(B351),B351=OriginalFinancials!B351),AND(ISNUMBER(U351),U351=OriginalFinancials!U351),AND(ISNUMBER(O351),O351=OriginalFinancials!O351)),0,1)</f>
        <v>0</v>
      </c>
      <c r="AE351" s="0" t="str">
        <f aca="false">IF(V351=0,"原始0：需核实适用/报告口径","")</f>
        <v/>
      </c>
    </row>
    <row r="352" customFormat="false" ht="15" hidden="false" customHeight="false" outlineLevel="0" collapsed="false">
      <c r="A352" s="0" t="n">
        <v>352</v>
      </c>
      <c r="B352" s="0" t="n">
        <v>1388131</v>
      </c>
      <c r="C352" s="0" t="n">
        <v>24540</v>
      </c>
      <c r="D352" s="0" t="n">
        <v>1118585</v>
      </c>
      <c r="E352" s="0" t="n">
        <v>0.29</v>
      </c>
      <c r="F352" s="0" t="n">
        <v>238721</v>
      </c>
      <c r="G352" s="0" t="n">
        <v>17.1972962206017</v>
      </c>
      <c r="H352" s="0" t="s">
        <v>509</v>
      </c>
      <c r="I352" s="0" t="n">
        <v>0.939211800361955</v>
      </c>
      <c r="J352" s="0" t="n">
        <v>40839</v>
      </c>
      <c r="K352" s="0" t="n">
        <v>84</v>
      </c>
      <c r="L352" s="0" t="n">
        <v>1197387</v>
      </c>
      <c r="M352" s="0" t="n">
        <v>1186141</v>
      </c>
      <c r="N352" s="0" t="n">
        <v>1160736</v>
      </c>
      <c r="O352" s="0" t="n">
        <v>445</v>
      </c>
      <c r="P352" s="0" t="s">
        <v>170</v>
      </c>
      <c r="Q352" s="0" t="n">
        <v>0.0371642585062306</v>
      </c>
      <c r="R352" s="0" t="n">
        <v>4.95855725729659</v>
      </c>
      <c r="S352" s="0" t="n">
        <v>0</v>
      </c>
      <c r="T352" s="0" t="n">
        <v>0</v>
      </c>
      <c r="U352" s="0" t="n">
        <v>0</v>
      </c>
      <c r="V352" s="0" t="n">
        <v>18.7852347950974</v>
      </c>
      <c r="W352" s="0" t="n">
        <v>20230930</v>
      </c>
      <c r="X352" s="0" t="n">
        <v>2.37998404579016</v>
      </c>
      <c r="Y352" s="0" t="n">
        <v>13.9</v>
      </c>
      <c r="Z352" s="0" t="s">
        <v>123</v>
      </c>
      <c r="AA352" s="0" t="n">
        <f aca="false">IF(AND(ISNUMBER(B352),B352&gt;0,ISNUMBER(U352),U352&gt;=0,ISNUMBER(O352),O352&gt;=0),1,0)</f>
        <v>1</v>
      </c>
      <c r="AB352" s="0" t="n">
        <f aca="false">IF(AA352=1,U352+O352,0)</f>
        <v>445</v>
      </c>
      <c r="AC352" s="0" t="n">
        <f aca="false">IF(AA352=1,100*AB352/B352,"")</f>
        <v>0.0320574931328527</v>
      </c>
      <c r="AD352" s="0" t="n">
        <f aca="false">IF(AND(AND(ISNUMBER(B352),B352=OriginalFinancials!B352),AND(ISNUMBER(U352),U352=OriginalFinancials!U352),AND(ISNUMBER(O352),O352=OriginalFinancials!O352)),0,1)</f>
        <v>0</v>
      </c>
      <c r="AE352" s="0" t="str">
        <f aca="false">IF(V352=0,"原始0：需核实适用/报告口径","")</f>
        <v/>
      </c>
    </row>
    <row r="353" customFormat="false" ht="15" hidden="false" customHeight="false" outlineLevel="0" collapsed="false">
      <c r="A353" s="0" t="n">
        <v>353</v>
      </c>
      <c r="B353" s="0" t="n">
        <v>525416</v>
      </c>
      <c r="C353" s="0" t="n">
        <v>27824</v>
      </c>
      <c r="D353" s="0" t="n">
        <v>391764</v>
      </c>
      <c r="E353" s="0" t="n">
        <v>-0.01</v>
      </c>
      <c r="F353" s="0" t="n">
        <v>64487</v>
      </c>
      <c r="G353" s="0" t="n">
        <v>12.2735127974786</v>
      </c>
      <c r="H353" s="0" t="s">
        <v>510</v>
      </c>
      <c r="I353" s="0" t="n">
        <v>0.710999014635822</v>
      </c>
      <c r="J353" s="0" t="n">
        <v>21545</v>
      </c>
      <c r="K353" s="0" t="n">
        <v>44503</v>
      </c>
      <c r="L353" s="0" t="n">
        <v>442476</v>
      </c>
      <c r="M353" s="0" t="n">
        <v>439330</v>
      </c>
      <c r="N353" s="0" t="n">
        <v>376428</v>
      </c>
      <c r="O353" s="0" t="n">
        <v>1101</v>
      </c>
      <c r="P353" s="0" t="s">
        <v>172</v>
      </c>
      <c r="Q353" s="0" t="n">
        <v>0.248827055026713</v>
      </c>
      <c r="R353" s="0" t="n">
        <v>1.9506679893547</v>
      </c>
      <c r="S353" s="0" t="n">
        <v>82</v>
      </c>
      <c r="T353" s="0" t="n">
        <v>1118</v>
      </c>
      <c r="U353" s="0" t="n">
        <v>0</v>
      </c>
      <c r="V353" s="0" t="n">
        <v>21.0095810176617</v>
      </c>
      <c r="W353" s="0" t="n">
        <v>20230930</v>
      </c>
      <c r="X353" s="0" t="n">
        <v>-0.199629507682116</v>
      </c>
      <c r="Y353" s="0" t="n">
        <v>-1.53</v>
      </c>
      <c r="Z353" s="0" t="s">
        <v>123</v>
      </c>
      <c r="AA353" s="0" t="n">
        <f aca="false">IF(AND(ISNUMBER(B353),B353&gt;0,ISNUMBER(U353),U353&gt;=0,ISNUMBER(O353),O353&gt;=0),1,0)</f>
        <v>1</v>
      </c>
      <c r="AB353" s="0" t="n">
        <f aca="false">IF(AA353=1,U353+O353,0)</f>
        <v>1101</v>
      </c>
      <c r="AC353" s="0" t="n">
        <f aca="false">IF(AA353=1,100*AB353/B353,"")</f>
        <v>0.209548243677391</v>
      </c>
      <c r="AD353" s="0" t="n">
        <f aca="false">IF(AND(AND(ISNUMBER(B353),B353=OriginalFinancials!B353),AND(ISNUMBER(U353),U353=OriginalFinancials!U353),AND(ISNUMBER(O353),O353=OriginalFinancials!O353)),0,1)</f>
        <v>0</v>
      </c>
      <c r="AE353" s="0" t="str">
        <f aca="false">IF(V353=0,"原始0：需核实适用/报告口径","")</f>
        <v/>
      </c>
    </row>
    <row r="354" customFormat="false" ht="15" hidden="false" customHeight="false" outlineLevel="0" collapsed="false">
      <c r="A354" s="0" t="n">
        <v>354</v>
      </c>
      <c r="B354" s="0" t="n">
        <v>298875</v>
      </c>
      <c r="C354" s="0" t="n">
        <v>28155</v>
      </c>
      <c r="D354" s="0" t="n">
        <v>265401</v>
      </c>
      <c r="E354" s="0" t="n">
        <v>-0.04</v>
      </c>
      <c r="F354" s="0" t="n">
        <v>27404</v>
      </c>
      <c r="G354" s="0" t="n">
        <v>9.16905060644082</v>
      </c>
      <c r="H354" s="0" t="s">
        <v>511</v>
      </c>
      <c r="I354" s="0" t="n">
        <v>0.492209222382439</v>
      </c>
      <c r="J354" s="0" t="n">
        <v>11483</v>
      </c>
      <c r="K354" s="0" t="n">
        <v>5666</v>
      </c>
      <c r="L354" s="0" t="n">
        <v>164361</v>
      </c>
      <c r="M354" s="0" t="n">
        <v>163552</v>
      </c>
      <c r="N354" s="0" t="n">
        <v>146698</v>
      </c>
      <c r="O354" s="0" t="n">
        <v>23</v>
      </c>
      <c r="P354" s="0" t="s">
        <v>174</v>
      </c>
      <c r="Q354" s="0" t="n">
        <v>0.0139935872865217</v>
      </c>
      <c r="R354" s="0" t="n">
        <v>2.46018753591954</v>
      </c>
      <c r="S354" s="0" t="n">
        <v>5</v>
      </c>
      <c r="T354" s="0" t="n">
        <v>1393</v>
      </c>
      <c r="U354" s="0" t="n">
        <v>0</v>
      </c>
      <c r="V354" s="0" t="n">
        <v>18.1839172272631</v>
      </c>
      <c r="W354" s="0" t="n">
        <v>20230930</v>
      </c>
      <c r="X354" s="0" t="n">
        <v>0.0370623139686274</v>
      </c>
      <c r="Y354" s="0" t="n">
        <v>0.4</v>
      </c>
      <c r="Z354" s="0" t="s">
        <v>123</v>
      </c>
      <c r="AA354" s="0" t="n">
        <f aca="false">IF(AND(ISNUMBER(B354),B354&gt;0,ISNUMBER(U354),U354&gt;=0,ISNUMBER(O354),O354&gt;=0),1,0)</f>
        <v>1</v>
      </c>
      <c r="AB354" s="0" t="n">
        <f aca="false">IF(AA354=1,U354+O354,0)</f>
        <v>23</v>
      </c>
      <c r="AC354" s="0" t="n">
        <f aca="false">IF(AA354=1,100*AB354/B354,"")</f>
        <v>0.00769552488498536</v>
      </c>
      <c r="AD354" s="0" t="n">
        <f aca="false">IF(AND(AND(ISNUMBER(B354),B354=OriginalFinancials!B354),AND(ISNUMBER(U354),U354=OriginalFinancials!U354),AND(ISNUMBER(O354),O354=OriginalFinancials!O354)),0,1)</f>
        <v>0</v>
      </c>
      <c r="AE354" s="0" t="str">
        <f aca="false">IF(V354=0,"原始0：需核实适用/报告口径","")</f>
        <v/>
      </c>
    </row>
    <row r="355" customFormat="false" ht="15" hidden="false" customHeight="false" outlineLevel="0" collapsed="false">
      <c r="A355" s="0" t="n">
        <v>355</v>
      </c>
      <c r="B355" s="0" t="n">
        <v>101273</v>
      </c>
      <c r="C355" s="0" t="n">
        <v>28288</v>
      </c>
      <c r="D355" s="0" t="n">
        <v>77424</v>
      </c>
      <c r="E355" s="0" t="n">
        <v>0</v>
      </c>
      <c r="F355" s="0" t="n">
        <v>5334</v>
      </c>
      <c r="G355" s="0" t="n">
        <v>5.26695170479792</v>
      </c>
      <c r="H355" s="0" t="s">
        <v>512</v>
      </c>
      <c r="I355" s="0" t="n">
        <v>1.07154733899078</v>
      </c>
      <c r="J355" s="0" t="n">
        <v>4476</v>
      </c>
      <c r="K355" s="0" t="n">
        <v>527</v>
      </c>
      <c r="L355" s="0" t="n">
        <v>81191</v>
      </c>
      <c r="M355" s="0" t="n">
        <v>80321</v>
      </c>
      <c r="N355" s="0" t="n">
        <v>76188</v>
      </c>
      <c r="O355" s="0" t="n">
        <v>264</v>
      </c>
      <c r="P355" s="0" t="s">
        <v>176</v>
      </c>
      <c r="Q355" s="0" t="n">
        <v>0.325159192521338</v>
      </c>
      <c r="R355" s="0" t="n">
        <v>2.73718549820226</v>
      </c>
      <c r="S355" s="0" t="n">
        <v>-8</v>
      </c>
      <c r="T355" s="0" t="n">
        <v>37</v>
      </c>
      <c r="U355" s="0" t="n">
        <v>0</v>
      </c>
      <c r="V355" s="0" t="n">
        <v>13.2681105302464</v>
      </c>
      <c r="W355" s="0" t="n">
        <v>20230930</v>
      </c>
      <c r="X355" s="0" t="n">
        <v>-0.0352437385730334</v>
      </c>
      <c r="Y355" s="0" t="n">
        <v>-0.62</v>
      </c>
      <c r="Z355" s="0" t="s">
        <v>105</v>
      </c>
      <c r="AA355" s="0" t="n">
        <f aca="false">IF(AND(ISNUMBER(B355),B355&gt;0,ISNUMBER(U355),U355&gt;=0,ISNUMBER(O355),O355&gt;=0),1,0)</f>
        <v>1</v>
      </c>
      <c r="AB355" s="0" t="n">
        <f aca="false">IF(AA355=1,U355+O355,0)</f>
        <v>264</v>
      </c>
      <c r="AC355" s="0" t="n">
        <f aca="false">IF(AA355=1,100*AB355/B355,"")</f>
        <v>0.260681524196973</v>
      </c>
      <c r="AD355" s="0" t="n">
        <f aca="false">IF(AND(AND(ISNUMBER(B355),B355=OriginalFinancials!B355),AND(ISNUMBER(U355),U355=OriginalFinancials!U355),AND(ISNUMBER(O355),O355=OriginalFinancials!O355)),0,1)</f>
        <v>0</v>
      </c>
      <c r="AE355" s="0" t="str">
        <f aca="false">IF(V355=0,"原始0：需核实适用/报告口径","")</f>
        <v/>
      </c>
    </row>
    <row r="356" customFormat="false" ht="15" hidden="false" customHeight="false" outlineLevel="0" collapsed="false">
      <c r="A356" s="0" t="n">
        <v>356</v>
      </c>
      <c r="B356" s="0" t="n">
        <v>89908</v>
      </c>
      <c r="C356" s="0" t="n">
        <v>28369</v>
      </c>
      <c r="D356" s="0" t="n">
        <v>79937</v>
      </c>
      <c r="E356" s="0" t="n">
        <v>0.04</v>
      </c>
      <c r="F356" s="0" t="n">
        <v>9426</v>
      </c>
      <c r="G356" s="0" t="n">
        <v>10.4840503625929</v>
      </c>
      <c r="H356" s="0" t="s">
        <v>513</v>
      </c>
      <c r="I356" s="0" t="n">
        <v>0.74635493609095</v>
      </c>
      <c r="J356" s="0" t="n">
        <v>11687</v>
      </c>
      <c r="K356" s="0" t="n">
        <v>821</v>
      </c>
      <c r="L356" s="0" t="n">
        <v>77845</v>
      </c>
      <c r="M356" s="0" t="n">
        <v>77264</v>
      </c>
      <c r="N356" s="0" t="n">
        <v>65337</v>
      </c>
      <c r="O356" s="0" t="n">
        <v>225</v>
      </c>
      <c r="P356" s="0" t="s">
        <v>178</v>
      </c>
      <c r="Q356" s="0" t="n">
        <v>0.289035904682382</v>
      </c>
      <c r="R356" s="0" t="n">
        <v>3.35494907396286</v>
      </c>
      <c r="S356" s="0" t="n">
        <v>-1</v>
      </c>
      <c r="T356" s="0" t="n">
        <v>180</v>
      </c>
      <c r="U356" s="0" t="n">
        <v>0</v>
      </c>
      <c r="V356" s="0" t="n">
        <v>0</v>
      </c>
      <c r="W356" s="0" t="n">
        <v>20230930</v>
      </c>
      <c r="X356" s="0" t="n">
        <v>-0.142809757264821</v>
      </c>
      <c r="Y356" s="0" t="n">
        <v>-1.32</v>
      </c>
      <c r="Z356" s="0" t="s">
        <v>105</v>
      </c>
      <c r="AA356" s="0" t="n">
        <f aca="false">IF(AND(ISNUMBER(B356),B356&gt;0,ISNUMBER(U356),U356&gt;=0,ISNUMBER(O356),O356&gt;=0),1,0)</f>
        <v>1</v>
      </c>
      <c r="AB356" s="0" t="n">
        <f aca="false">IF(AA356=1,U356+O356,0)</f>
        <v>225</v>
      </c>
      <c r="AC356" s="0" t="n">
        <f aca="false">IF(AA356=1,100*AB356/B356,"")</f>
        <v>0.250255817057436</v>
      </c>
      <c r="AD356" s="0" t="n">
        <f aca="false">IF(AND(AND(ISNUMBER(B356),B356=OriginalFinancials!B356),AND(ISNUMBER(U356),U356=OriginalFinancials!U356),AND(ISNUMBER(O356),O356=OriginalFinancials!O356)),0,1)</f>
        <v>0</v>
      </c>
      <c r="AE356" s="0" t="str">
        <f aca="false">IF(V356=0,"原始0：需核实适用/报告口径","")</f>
        <v>原始0：需核实适用/报告口径</v>
      </c>
    </row>
    <row r="357" customFormat="false" ht="15" hidden="false" customHeight="false" outlineLevel="0" collapsed="false">
      <c r="A357" s="0" t="n">
        <v>357</v>
      </c>
      <c r="B357" s="0" t="n">
        <v>282885</v>
      </c>
      <c r="C357" s="0" t="n">
        <v>28837</v>
      </c>
      <c r="D357" s="0" t="n">
        <v>253635</v>
      </c>
      <c r="E357" s="0" t="n">
        <v>0.03</v>
      </c>
      <c r="F357" s="0" t="n">
        <v>25486</v>
      </c>
      <c r="G357" s="0" t="n">
        <v>9.00931473920498</v>
      </c>
      <c r="H357" s="0" t="s">
        <v>514</v>
      </c>
      <c r="I357" s="0" t="n">
        <v>1.13972726851542</v>
      </c>
      <c r="J357" s="0" t="n">
        <v>6214</v>
      </c>
      <c r="K357" s="0" t="n">
        <v>1468</v>
      </c>
      <c r="L357" s="0" t="n">
        <v>194257</v>
      </c>
      <c r="M357" s="0" t="n">
        <v>192043</v>
      </c>
      <c r="N357" s="0" t="n">
        <v>185306</v>
      </c>
      <c r="O357" s="0" t="n">
        <v>52</v>
      </c>
      <c r="P357" s="0" t="s">
        <v>180</v>
      </c>
      <c r="Q357" s="0" t="n">
        <v>0.0267686621331535</v>
      </c>
      <c r="R357" s="0" t="n">
        <v>3.61649026008213</v>
      </c>
      <c r="S357" s="0" t="n">
        <v>49</v>
      </c>
      <c r="T357" s="0" t="n">
        <v>150</v>
      </c>
      <c r="U357" s="0" t="n">
        <v>0</v>
      </c>
      <c r="V357" s="0" t="n">
        <v>16.4920250160645</v>
      </c>
      <c r="W357" s="0" t="n">
        <v>20230930</v>
      </c>
      <c r="X357" s="0" t="n">
        <v>0.916700071704755</v>
      </c>
      <c r="Y357" s="0" t="n">
        <v>10.87</v>
      </c>
      <c r="Z357" s="0" t="s">
        <v>112</v>
      </c>
      <c r="AA357" s="0" t="n">
        <f aca="false">IF(AND(ISNUMBER(B357),B357&gt;0,ISNUMBER(U357),U357&gt;=0,ISNUMBER(O357),O357&gt;=0),1,0)</f>
        <v>1</v>
      </c>
      <c r="AB357" s="0" t="n">
        <f aca="false">IF(AA357=1,U357+O357,0)</f>
        <v>52</v>
      </c>
      <c r="AC357" s="0" t="n">
        <f aca="false">IF(AA357=1,100*AB357/B357,"")</f>
        <v>0.0183820280325928</v>
      </c>
      <c r="AD357" s="0" t="n">
        <f aca="false">IF(AND(AND(ISNUMBER(B357),B357=OriginalFinancials!B357),AND(ISNUMBER(U357),U357=OriginalFinancials!U357),AND(ISNUMBER(O357),O357=OriginalFinancials!O357)),0,1)</f>
        <v>0</v>
      </c>
      <c r="AE357" s="0" t="str">
        <f aca="false">IF(V357=0,"原始0：需核实适用/报告口径","")</f>
        <v/>
      </c>
    </row>
    <row r="358" customFormat="false" ht="15" hidden="false" customHeight="false" outlineLevel="0" collapsed="false">
      <c r="A358" s="0" t="n">
        <v>358</v>
      </c>
      <c r="B358" s="0" t="n">
        <v>180600</v>
      </c>
      <c r="C358" s="0" t="n">
        <v>29636</v>
      </c>
      <c r="D358" s="0" t="n">
        <v>148201</v>
      </c>
      <c r="E358" s="0" t="n">
        <v>0.05</v>
      </c>
      <c r="F358" s="0" t="n">
        <v>24993</v>
      </c>
      <c r="G358" s="0" t="n">
        <v>13.8388704318937</v>
      </c>
      <c r="H358" s="0" t="s">
        <v>515</v>
      </c>
      <c r="I358" s="0" t="n">
        <v>1.43396511364495</v>
      </c>
      <c r="J358" s="0" t="n">
        <v>1905</v>
      </c>
      <c r="K358" s="0" t="n">
        <v>1503</v>
      </c>
      <c r="L358" s="0" t="n">
        <v>132430</v>
      </c>
      <c r="M358" s="0" t="n">
        <v>130531</v>
      </c>
      <c r="N358" s="0" t="n">
        <v>129022</v>
      </c>
      <c r="O358" s="0" t="n">
        <v>1460</v>
      </c>
      <c r="P358" s="0" t="s">
        <v>182</v>
      </c>
      <c r="Q358" s="0" t="n">
        <v>1.10246922902666</v>
      </c>
      <c r="R358" s="0" t="n">
        <v>3.59795728465481</v>
      </c>
      <c r="S358" s="0" t="n">
        <v>-7</v>
      </c>
      <c r="T358" s="0" t="n">
        <v>2021</v>
      </c>
      <c r="U358" s="0" t="n">
        <v>0</v>
      </c>
      <c r="V358" s="0" t="n">
        <v>26.9099099993054</v>
      </c>
      <c r="W358" s="0" t="n">
        <v>20230930</v>
      </c>
      <c r="X358" s="0" t="n">
        <v>0.435888648144593</v>
      </c>
      <c r="Y358" s="0" t="n">
        <v>3.22</v>
      </c>
      <c r="Z358" s="0" t="s">
        <v>105</v>
      </c>
      <c r="AA358" s="0" t="n">
        <f aca="false">IF(AND(ISNUMBER(B358),B358&gt;0,ISNUMBER(U358),U358&gt;=0,ISNUMBER(O358),O358&gt;=0),1,0)</f>
        <v>1</v>
      </c>
      <c r="AB358" s="0" t="n">
        <f aca="false">IF(AA358=1,U358+O358,0)</f>
        <v>1460</v>
      </c>
      <c r="AC358" s="0" t="n">
        <f aca="false">IF(AA358=1,100*AB358/B358,"")</f>
        <v>0.808416389811739</v>
      </c>
      <c r="AD358" s="0" t="n">
        <f aca="false">IF(AND(AND(ISNUMBER(B358),B358=OriginalFinancials!B358),AND(ISNUMBER(U358),U358=OriginalFinancials!U358),AND(ISNUMBER(O358),O358=OriginalFinancials!O358)),0,1)</f>
        <v>0</v>
      </c>
      <c r="AE358" s="0" t="str">
        <f aca="false">IF(V358=0,"原始0：需核实适用/报告口径","")</f>
        <v/>
      </c>
    </row>
    <row r="359" customFormat="false" ht="15" hidden="false" customHeight="false" outlineLevel="0" collapsed="false">
      <c r="A359" s="0" t="n">
        <v>359</v>
      </c>
      <c r="B359" s="0" t="n">
        <v>181231</v>
      </c>
      <c r="C359" s="0" t="n">
        <v>29743</v>
      </c>
      <c r="D359" s="0" t="n">
        <v>161163</v>
      </c>
      <c r="E359" s="0" t="n">
        <v>-0.01</v>
      </c>
      <c r="F359" s="0" t="n">
        <v>15641</v>
      </c>
      <c r="G359" s="0" t="n">
        <v>8.63042194768003</v>
      </c>
      <c r="H359" s="0" t="s">
        <v>516</v>
      </c>
      <c r="I359" s="0" t="n">
        <v>0.714732691481261</v>
      </c>
      <c r="J359" s="0" t="n">
        <v>27176</v>
      </c>
      <c r="K359" s="0" t="n">
        <v>21550</v>
      </c>
      <c r="L359" s="0" t="n">
        <v>132637</v>
      </c>
      <c r="M359" s="0" t="n">
        <v>131689</v>
      </c>
      <c r="N359" s="0" t="n">
        <v>83811</v>
      </c>
      <c r="O359" s="0" t="n">
        <v>267</v>
      </c>
      <c r="P359" s="0" t="s">
        <v>184</v>
      </c>
      <c r="Q359" s="0" t="n">
        <v>0.201301296018456</v>
      </c>
      <c r="R359" s="0" t="n">
        <v>2.41981937458205</v>
      </c>
      <c r="S359" s="0" t="n">
        <v>9</v>
      </c>
      <c r="T359" s="0" t="n">
        <v>442</v>
      </c>
      <c r="U359" s="0" t="n">
        <v>0</v>
      </c>
      <c r="V359" s="0" t="n">
        <v>17.9771689497717</v>
      </c>
      <c r="W359" s="0" t="n">
        <v>20230930</v>
      </c>
      <c r="X359" s="0" t="n">
        <v>0.609728796923956</v>
      </c>
      <c r="Y359" s="0" t="n">
        <v>7.19</v>
      </c>
      <c r="Z359" s="0" t="s">
        <v>105</v>
      </c>
      <c r="AA359" s="0" t="n">
        <f aca="false">IF(AND(ISNUMBER(B359),B359&gt;0,ISNUMBER(U359),U359&gt;=0,ISNUMBER(O359),O359&gt;=0),1,0)</f>
        <v>1</v>
      </c>
      <c r="AB359" s="0" t="n">
        <f aca="false">IF(AA359=1,U359+O359,0)</f>
        <v>267</v>
      </c>
      <c r="AC359" s="0" t="n">
        <f aca="false">IF(AA359=1,100*AB359/B359,"")</f>
        <v>0.147325788634395</v>
      </c>
      <c r="AD359" s="0" t="n">
        <f aca="false">IF(AND(AND(ISNUMBER(B359),B359=OriginalFinancials!B359),AND(ISNUMBER(U359),U359=OriginalFinancials!U359),AND(ISNUMBER(O359),O359=OriginalFinancials!O359)),0,1)</f>
        <v>0</v>
      </c>
      <c r="AE359" s="0" t="str">
        <f aca="false">IF(V359=0,"原始0：需核实适用/报告口径","")</f>
        <v/>
      </c>
    </row>
    <row r="360" customFormat="false" ht="15" hidden="false" customHeight="false" outlineLevel="0" collapsed="false">
      <c r="A360" s="0" t="n">
        <v>360</v>
      </c>
      <c r="B360" s="0" t="n">
        <v>556748</v>
      </c>
      <c r="C360" s="0" t="n">
        <v>29744</v>
      </c>
      <c r="D360" s="0" t="n">
        <v>435499</v>
      </c>
      <c r="E360" s="0" t="n">
        <v>0.01</v>
      </c>
      <c r="F360" s="0" t="n">
        <v>47207</v>
      </c>
      <c r="G360" s="0" t="n">
        <v>8.4790605444474</v>
      </c>
      <c r="H360" s="0" t="s">
        <v>517</v>
      </c>
      <c r="I360" s="0" t="n">
        <v>0.782493089807963</v>
      </c>
      <c r="J360" s="0" t="n">
        <v>24875</v>
      </c>
      <c r="K360" s="0" t="n">
        <v>9813</v>
      </c>
      <c r="L360" s="0" t="n">
        <v>427991</v>
      </c>
      <c r="M360" s="0" t="n">
        <v>424642</v>
      </c>
      <c r="N360" s="0" t="n">
        <v>393303</v>
      </c>
      <c r="O360" s="0" t="n">
        <v>0</v>
      </c>
      <c r="P360" s="0" t="s">
        <v>186</v>
      </c>
      <c r="Q360" s="0" t="n">
        <v>0</v>
      </c>
      <c r="R360" s="0" t="n">
        <v>2.23388795792033</v>
      </c>
      <c r="S360" s="0" t="n">
        <v>2</v>
      </c>
      <c r="T360" s="0" t="n">
        <v>0</v>
      </c>
      <c r="U360" s="0" t="n">
        <v>0</v>
      </c>
      <c r="V360" s="0" t="n">
        <v>17.9248565206076</v>
      </c>
      <c r="W360" s="0" t="n">
        <v>20230930</v>
      </c>
      <c r="X360" s="0" t="n">
        <v>-0.23978915883559</v>
      </c>
      <c r="Y360" s="0" t="n">
        <v>-2.71</v>
      </c>
      <c r="Z360" s="0" t="s">
        <v>123</v>
      </c>
      <c r="AA360" s="0" t="n">
        <f aca="false">IF(AND(ISNUMBER(B360),B360&gt;0,ISNUMBER(U360),U360&gt;=0,ISNUMBER(O360),O360&gt;=0),1,0)</f>
        <v>1</v>
      </c>
      <c r="AB360" s="0" t="n">
        <f aca="false">IF(AA360=1,U360+O360,0)</f>
        <v>0</v>
      </c>
      <c r="AC360" s="0" t="n">
        <f aca="false">IF(AA360=1,100*AB360/B360,"")</f>
        <v>0</v>
      </c>
      <c r="AD360" s="0" t="n">
        <f aca="false">IF(AND(AND(ISNUMBER(B360),B360=OriginalFinancials!B360),AND(ISNUMBER(U360),U360=OriginalFinancials!U360),AND(ISNUMBER(O360),O360=OriginalFinancials!O360)),0,1)</f>
        <v>0</v>
      </c>
      <c r="AE360" s="0" t="str">
        <f aca="false">IF(V360=0,"原始0：需核实适用/报告口径","")</f>
        <v/>
      </c>
    </row>
    <row r="361" customFormat="false" ht="15" hidden="false" customHeight="false" outlineLevel="0" collapsed="false">
      <c r="A361" s="0" t="n">
        <v>361</v>
      </c>
      <c r="B361" s="0" t="n">
        <v>558317</v>
      </c>
      <c r="C361" s="0" t="n">
        <v>30350</v>
      </c>
      <c r="D361" s="0" t="n">
        <v>447436</v>
      </c>
      <c r="E361" s="0" t="n">
        <v>0</v>
      </c>
      <c r="F361" s="0" t="n">
        <v>53432</v>
      </c>
      <c r="G361" s="0" t="n">
        <v>9.5701904115404</v>
      </c>
      <c r="H361" s="0" t="s">
        <v>518</v>
      </c>
      <c r="I361" s="0" t="n">
        <v>1.29940924731448</v>
      </c>
      <c r="J361" s="0" t="n">
        <v>16937</v>
      </c>
      <c r="K361" s="0" t="n">
        <v>1367</v>
      </c>
      <c r="L361" s="0" t="n">
        <v>405415</v>
      </c>
      <c r="M361" s="0" t="n">
        <v>400147</v>
      </c>
      <c r="N361" s="0" t="n">
        <v>383676</v>
      </c>
      <c r="O361" s="0" t="n">
        <v>1501</v>
      </c>
      <c r="P361" s="0" t="s">
        <v>188</v>
      </c>
      <c r="Q361" s="0" t="n">
        <v>0.370237904369597</v>
      </c>
      <c r="R361" s="0" t="n">
        <v>2.88804492626645</v>
      </c>
      <c r="S361" s="0" t="n">
        <v>-26</v>
      </c>
      <c r="T361" s="0" t="n">
        <v>857</v>
      </c>
      <c r="U361" s="0" t="n">
        <v>0</v>
      </c>
      <c r="V361" s="0" t="n">
        <v>20.0620932556609</v>
      </c>
      <c r="W361" s="0" t="n">
        <v>20230930</v>
      </c>
      <c r="X361" s="0" t="n">
        <v>0.68917419304188</v>
      </c>
      <c r="Y361" s="0" t="n">
        <v>7.24</v>
      </c>
      <c r="Z361" s="0" t="s">
        <v>112</v>
      </c>
      <c r="AA361" s="0" t="n">
        <f aca="false">IF(AND(ISNUMBER(B361),B361&gt;0,ISNUMBER(U361),U361&gt;=0,ISNUMBER(O361),O361&gt;=0),1,0)</f>
        <v>1</v>
      </c>
      <c r="AB361" s="0" t="n">
        <f aca="false">IF(AA361=1,U361+O361,0)</f>
        <v>1501</v>
      </c>
      <c r="AC361" s="0" t="n">
        <f aca="false">IF(AA361=1,100*AB361/B361,"")</f>
        <v>0.268843685576474</v>
      </c>
      <c r="AD361" s="0" t="n">
        <f aca="false">IF(AND(AND(ISNUMBER(B361),B361=OriginalFinancials!B361),AND(ISNUMBER(U361),U361=OriginalFinancials!U361),AND(ISNUMBER(O361),O361=OriginalFinancials!O361)),0,1)</f>
        <v>0</v>
      </c>
      <c r="AE361" s="0" t="str">
        <f aca="false">IF(V361=0,"原始0：需核实适用/报告口径","")</f>
        <v/>
      </c>
    </row>
    <row r="362" customFormat="false" ht="15" hidden="false" customHeight="false" outlineLevel="0" collapsed="false">
      <c r="A362" s="0" t="n">
        <v>362</v>
      </c>
      <c r="B362" s="0" t="n">
        <v>103998</v>
      </c>
      <c r="C362" s="0" t="n">
        <v>30878</v>
      </c>
      <c r="D362" s="0" t="n">
        <v>73816</v>
      </c>
      <c r="E362" s="0" t="n">
        <v>-0.06</v>
      </c>
      <c r="F362" s="0" t="n">
        <v>12376</v>
      </c>
      <c r="G362" s="0" t="n">
        <v>11.9002288505548</v>
      </c>
      <c r="H362" s="0" t="s">
        <v>519</v>
      </c>
      <c r="I362" s="0" t="n">
        <v>0.82951017192641</v>
      </c>
      <c r="J362" s="0" t="n">
        <v>0</v>
      </c>
      <c r="K362" s="0" t="n">
        <v>196</v>
      </c>
      <c r="L362" s="0" t="n">
        <v>86316</v>
      </c>
      <c r="M362" s="0" t="n">
        <v>85600</v>
      </c>
      <c r="N362" s="0" t="n">
        <v>86120</v>
      </c>
      <c r="O362" s="0" t="n">
        <v>700</v>
      </c>
      <c r="P362" s="0" t="s">
        <v>190</v>
      </c>
      <c r="Q362" s="0" t="n">
        <v>0.81097363177163</v>
      </c>
      <c r="R362" s="0" t="n">
        <v>1.57863495847898</v>
      </c>
      <c r="S362" s="0" t="n">
        <v>0</v>
      </c>
      <c r="T362" s="0" t="n">
        <v>215</v>
      </c>
      <c r="U362" s="0" t="n">
        <v>0</v>
      </c>
      <c r="V362" s="0" t="n">
        <v>0</v>
      </c>
      <c r="W362" s="0" t="n">
        <v>20230930</v>
      </c>
      <c r="X362" s="0" t="n">
        <v>-0.189389204545454</v>
      </c>
      <c r="Y362" s="0" t="n">
        <v>-1.56</v>
      </c>
      <c r="Z362" s="0" t="s">
        <v>105</v>
      </c>
      <c r="AA362" s="0" t="n">
        <f aca="false">IF(AND(ISNUMBER(B362),B362&gt;0,ISNUMBER(U362),U362&gt;=0,ISNUMBER(O362),O362&gt;=0),1,0)</f>
        <v>1</v>
      </c>
      <c r="AB362" s="0" t="n">
        <f aca="false">IF(AA362=1,U362+O362,0)</f>
        <v>700</v>
      </c>
      <c r="AC362" s="0" t="n">
        <f aca="false">IF(AA362=1,100*AB362/B362,"")</f>
        <v>0.673089867112829</v>
      </c>
      <c r="AD362" s="0" t="n">
        <f aca="false">IF(AND(AND(ISNUMBER(B362),B362=OriginalFinancials!B362),AND(ISNUMBER(U362),U362=OriginalFinancials!U362),AND(ISNUMBER(O362),O362=OriginalFinancials!O362)),0,1)</f>
        <v>0</v>
      </c>
      <c r="AE362" s="0" t="str">
        <f aca="false">IF(V362=0,"原始0：需核实适用/报告口径","")</f>
        <v>原始0：需核实适用/报告口径</v>
      </c>
    </row>
    <row r="363" customFormat="false" ht="15" hidden="false" customHeight="false" outlineLevel="0" collapsed="false">
      <c r="A363" s="0" t="n">
        <v>363</v>
      </c>
      <c r="B363" s="0" t="n">
        <v>798886</v>
      </c>
      <c r="C363" s="0" t="n">
        <v>33418</v>
      </c>
      <c r="D363" s="0" t="n">
        <v>597610</v>
      </c>
      <c r="E363" s="0" t="n">
        <v>-0.01</v>
      </c>
      <c r="F363" s="0" t="n">
        <v>66192</v>
      </c>
      <c r="G363" s="0" t="n">
        <v>8.28553761112349</v>
      </c>
      <c r="H363" s="0" t="s">
        <v>520</v>
      </c>
      <c r="I363" s="0" t="n">
        <v>0.709660157985105</v>
      </c>
      <c r="J363" s="0" t="n">
        <v>45738</v>
      </c>
      <c r="K363" s="0" t="n">
        <v>10764</v>
      </c>
      <c r="L363" s="0" t="n">
        <v>384973</v>
      </c>
      <c r="M363" s="0" t="n">
        <v>382241</v>
      </c>
      <c r="N363" s="0" t="n">
        <v>329540</v>
      </c>
      <c r="O363" s="0" t="n">
        <v>1080</v>
      </c>
      <c r="P363" s="0" t="s">
        <v>192</v>
      </c>
      <c r="Q363" s="0" t="n">
        <v>0.280539154693965</v>
      </c>
      <c r="R363" s="0" t="n">
        <v>2.64905350409492</v>
      </c>
      <c r="S363" s="0" t="n">
        <v>-27</v>
      </c>
      <c r="T363" s="0" t="n">
        <v>452</v>
      </c>
      <c r="U363" s="0" t="n">
        <v>0</v>
      </c>
      <c r="V363" s="0" t="n">
        <v>17.5388397485744</v>
      </c>
      <c r="W363" s="0" t="n">
        <v>20230930</v>
      </c>
      <c r="X363" s="0" t="n">
        <v>0.6651450346927</v>
      </c>
      <c r="Y363" s="0" t="n">
        <v>7.55</v>
      </c>
      <c r="Z363" s="0" t="s">
        <v>112</v>
      </c>
      <c r="AA363" s="0" t="n">
        <f aca="false">IF(AND(ISNUMBER(B363),B363&gt;0,ISNUMBER(U363),U363&gt;=0,ISNUMBER(O363),O363&gt;=0),1,0)</f>
        <v>1</v>
      </c>
      <c r="AB363" s="0" t="n">
        <f aca="false">IF(AA363=1,U363+O363,0)</f>
        <v>1080</v>
      </c>
      <c r="AC363" s="0" t="n">
        <f aca="false">IF(AA363=1,100*AB363/B363,"")</f>
        <v>0.13518824963762</v>
      </c>
      <c r="AD363" s="0" t="n">
        <f aca="false">IF(AND(AND(ISNUMBER(B363),B363=OriginalFinancials!B363),AND(ISNUMBER(U363),U363=OriginalFinancials!U363),AND(ISNUMBER(O363),O363=OriginalFinancials!O363)),0,1)</f>
        <v>0</v>
      </c>
      <c r="AE363" s="0" t="str">
        <f aca="false">IF(V363=0,"原始0：需核实适用/报告口径","")</f>
        <v/>
      </c>
    </row>
    <row r="364" customFormat="false" ht="15" hidden="false" customHeight="false" outlineLevel="0" collapsed="false">
      <c r="A364" s="0" t="n">
        <v>364</v>
      </c>
      <c r="B364" s="0" t="n">
        <v>71615</v>
      </c>
      <c r="C364" s="0" t="n">
        <v>35206</v>
      </c>
      <c r="D364" s="0" t="n">
        <v>500</v>
      </c>
      <c r="E364" s="0" t="n">
        <v>0</v>
      </c>
      <c r="F364" s="0" t="n">
        <v>69069</v>
      </c>
      <c r="G364" s="0" t="n">
        <v>96.4448788661593</v>
      </c>
      <c r="H364" s="0" t="s">
        <v>521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s">
        <v>252</v>
      </c>
      <c r="Q364" s="0" t="n">
        <v>0</v>
      </c>
      <c r="R364" s="0" t="n">
        <v>4.55333780973658</v>
      </c>
      <c r="S364" s="0" t="n">
        <v>0</v>
      </c>
      <c r="T364" s="0" t="n">
        <v>0</v>
      </c>
      <c r="U364" s="0" t="n">
        <v>0</v>
      </c>
      <c r="V364" s="0" t="n">
        <v>0</v>
      </c>
      <c r="W364" s="0" t="n">
        <v>20230930</v>
      </c>
      <c r="X364" s="0" t="n">
        <v>16.5098035393691</v>
      </c>
      <c r="Y364" s="0" t="n">
        <v>17.27</v>
      </c>
      <c r="Z364" s="0" t="s">
        <v>123</v>
      </c>
      <c r="AA364" s="0" t="n">
        <f aca="false">IF(AND(ISNUMBER(B364),B364&gt;0,ISNUMBER(U364),U364&gt;=0,ISNUMBER(O364),O364&gt;=0),1,0)</f>
        <v>1</v>
      </c>
      <c r="AB364" s="0" t="n">
        <f aca="false">IF(AA364=1,U364+O364,0)</f>
        <v>0</v>
      </c>
      <c r="AC364" s="0" t="n">
        <f aca="false">IF(AA364=1,100*AB364/B364,"")</f>
        <v>0</v>
      </c>
      <c r="AD364" s="0" t="n">
        <f aca="false">IF(AND(AND(ISNUMBER(B364),B364=OriginalFinancials!B364),AND(ISNUMBER(U364),U364=OriginalFinancials!U364),AND(ISNUMBER(O364),O364=OriginalFinancials!O364)),0,1)</f>
        <v>0</v>
      </c>
      <c r="AE364" s="0" t="str">
        <f aca="false">IF(V364=0,"原始0：需核实适用/报告口径","")</f>
        <v>原始0：需核实适用/报告口径</v>
      </c>
    </row>
    <row r="365" customFormat="false" ht="15" hidden="false" customHeight="false" outlineLevel="0" collapsed="false">
      <c r="A365" s="0" t="n">
        <v>365</v>
      </c>
      <c r="B365" s="0" t="n">
        <v>5769551</v>
      </c>
      <c r="C365" s="0" t="n">
        <v>4255</v>
      </c>
      <c r="D365" s="0" t="n">
        <v>4715626</v>
      </c>
      <c r="E365" s="0" t="n">
        <v>-0.01</v>
      </c>
      <c r="F365" s="0" t="n">
        <v>473807</v>
      </c>
      <c r="G365" s="0" t="n">
        <v>8.21219883488334</v>
      </c>
      <c r="H365" s="0" t="s">
        <v>522</v>
      </c>
      <c r="I365" s="0" t="n">
        <v>0.894608806762335</v>
      </c>
      <c r="J365" s="0" t="n">
        <v>329244</v>
      </c>
      <c r="K365" s="0" t="n">
        <v>19312</v>
      </c>
      <c r="L365" s="0" t="n">
        <v>4069600</v>
      </c>
      <c r="M365" s="0" t="n">
        <v>4033193</v>
      </c>
      <c r="N365" s="0" t="n">
        <v>3692040</v>
      </c>
      <c r="O365" s="0" t="n">
        <v>4624</v>
      </c>
      <c r="P365" s="0" t="s">
        <v>194</v>
      </c>
      <c r="Q365" s="0" t="n">
        <v>0.113622960487517</v>
      </c>
      <c r="R365" s="0" t="n">
        <v>2.56474515514667</v>
      </c>
      <c r="S365" s="0" t="n">
        <v>803</v>
      </c>
      <c r="T365" s="0" t="n">
        <v>3802</v>
      </c>
      <c r="U365" s="0" t="n">
        <v>0</v>
      </c>
      <c r="V365" s="0" t="n">
        <v>13.4798604676514</v>
      </c>
      <c r="W365" s="0" t="n">
        <v>20230930</v>
      </c>
      <c r="X365" s="0" t="n">
        <v>0.85843791282139</v>
      </c>
      <c r="Y365" s="0" t="n">
        <v>10.4</v>
      </c>
      <c r="Z365" s="0" t="s">
        <v>105</v>
      </c>
      <c r="AA365" s="0" t="n">
        <f aca="false">IF(AND(ISNUMBER(B365),B365&gt;0,ISNUMBER(U365),U365&gt;=0,ISNUMBER(O365),O365&gt;=0),1,0)</f>
        <v>1</v>
      </c>
      <c r="AB365" s="0" t="n">
        <f aca="false">IF(AA365=1,U365+O365,0)</f>
        <v>4624</v>
      </c>
      <c r="AC365" s="0" t="n">
        <f aca="false">IF(AA365=1,100*AB365/B365,"")</f>
        <v>0.08014488475793</v>
      </c>
      <c r="AD365" s="0" t="n">
        <f aca="false">IF(AND(AND(ISNUMBER(B365),B365=OriginalFinancials!B365),AND(ISNUMBER(U365),U365=OriginalFinancials!U365),AND(ISNUMBER(O365),O365=OriginalFinancials!O365)),0,1)</f>
        <v>0</v>
      </c>
      <c r="AE365" s="0" t="str">
        <f aca="false">IF(V365=0,"原始0：需核实适用/报告口径","")</f>
        <v/>
      </c>
    </row>
    <row r="366" customFormat="false" ht="15" hidden="false" customHeight="false" outlineLevel="0" collapsed="false">
      <c r="A366" s="0" t="n">
        <v>366</v>
      </c>
      <c r="B366" s="0" t="n">
        <v>2908137</v>
      </c>
      <c r="C366" s="0" t="n">
        <v>4256</v>
      </c>
      <c r="D366" s="0" t="n">
        <v>2600576</v>
      </c>
      <c r="E366" s="0" t="n">
        <v>0.02</v>
      </c>
      <c r="F366" s="0" t="n">
        <v>198185</v>
      </c>
      <c r="G366" s="0" t="n">
        <v>6.814844004942</v>
      </c>
      <c r="H366" s="0" t="s">
        <v>523</v>
      </c>
      <c r="I366" s="0" t="n">
        <v>1.12118100424589</v>
      </c>
      <c r="J366" s="0" t="n">
        <v>305649</v>
      </c>
      <c r="K366" s="0" t="n">
        <v>19370</v>
      </c>
      <c r="L366" s="0" t="n">
        <v>2080128</v>
      </c>
      <c r="M366" s="0" t="n">
        <v>2056806</v>
      </c>
      <c r="N366" s="0" t="n">
        <v>1651715</v>
      </c>
      <c r="O366" s="0" t="n">
        <v>2553</v>
      </c>
      <c r="P366" s="0" t="s">
        <v>196</v>
      </c>
      <c r="Q366" s="0" t="n">
        <v>0.123261645437204</v>
      </c>
      <c r="R366" s="0" t="n">
        <v>2.49431632578962</v>
      </c>
      <c r="S366" s="0" t="n">
        <v>30</v>
      </c>
      <c r="T366" s="0" t="n">
        <v>876</v>
      </c>
      <c r="U366" s="0" t="n">
        <v>11</v>
      </c>
      <c r="V366" s="0" t="n">
        <v>13.7220466873877</v>
      </c>
      <c r="W366" s="0" t="n">
        <v>20230930</v>
      </c>
      <c r="X366" s="0" t="n">
        <v>1.11780782530143</v>
      </c>
      <c r="Y366" s="0" t="n">
        <v>15.66</v>
      </c>
      <c r="Z366" s="0" t="s">
        <v>105</v>
      </c>
      <c r="AA366" s="0" t="n">
        <f aca="false">IF(AND(ISNUMBER(B366),B366&gt;0,ISNUMBER(U366),U366&gt;=0,ISNUMBER(O366),O366&gt;=0),1,0)</f>
        <v>1</v>
      </c>
      <c r="AB366" s="0" t="n">
        <f aca="false">IF(AA366=1,U366+O366,0)</f>
        <v>2564</v>
      </c>
      <c r="AC366" s="0" t="n">
        <f aca="false">IF(AA366=1,100*AB366/B366,"")</f>
        <v>0.088166410316983</v>
      </c>
      <c r="AD366" s="0" t="n">
        <f aca="false">IF(AND(AND(ISNUMBER(B366),B366=OriginalFinancials!B366),AND(ISNUMBER(U366),U366=OriginalFinancials!U366),AND(ISNUMBER(O366),O366=OriginalFinancials!O366)),0,1)</f>
        <v>0</v>
      </c>
      <c r="AE366" s="0" t="str">
        <f aca="false">IF(V366=0,"原始0：需核实适用/报告口径","")</f>
        <v/>
      </c>
    </row>
    <row r="367" customFormat="false" ht="15" hidden="false" customHeight="false" outlineLevel="0" collapsed="false">
      <c r="A367" s="0" t="n">
        <v>367</v>
      </c>
      <c r="B367" s="0" t="n">
        <v>697563</v>
      </c>
      <c r="C367" s="0" t="n">
        <v>59086</v>
      </c>
      <c r="D367" s="0" t="n">
        <v>607269</v>
      </c>
      <c r="E367" s="0" t="n">
        <v>0.07</v>
      </c>
      <c r="F367" s="0" t="n">
        <v>86533</v>
      </c>
      <c r="G367" s="0" t="n">
        <v>12.405044418927</v>
      </c>
      <c r="H367" s="0" t="s">
        <v>524</v>
      </c>
      <c r="I367" s="0" t="n">
        <v>1.09824843101201</v>
      </c>
      <c r="J367" s="0" t="n">
        <v>115698</v>
      </c>
      <c r="K367" s="0" t="n">
        <v>0</v>
      </c>
      <c r="L367" s="0" t="n">
        <v>579195</v>
      </c>
      <c r="M367" s="0" t="n">
        <v>572834</v>
      </c>
      <c r="N367" s="0" t="n">
        <v>463924</v>
      </c>
      <c r="O367" s="0" t="n">
        <v>6396</v>
      </c>
      <c r="P367" s="0" t="s">
        <v>198</v>
      </c>
      <c r="Q367" s="0" t="n">
        <v>0.98705962586003</v>
      </c>
      <c r="R367" s="0" t="n">
        <v>4.07526020642892</v>
      </c>
      <c r="S367" s="0" t="n">
        <v>513</v>
      </c>
      <c r="T367" s="0" t="n">
        <v>2283</v>
      </c>
      <c r="U367" s="0" t="n">
        <v>1232</v>
      </c>
      <c r="V367" s="0" t="n">
        <v>15.287885221135</v>
      </c>
      <c r="W367" s="0" t="n">
        <v>20230930</v>
      </c>
      <c r="X367" s="0" t="n">
        <v>1.59440584811708</v>
      </c>
      <c r="Y367" s="0" t="n">
        <v>13.35</v>
      </c>
      <c r="Z367" s="0" t="s">
        <v>123</v>
      </c>
      <c r="AA367" s="0" t="n">
        <f aca="false">IF(AND(ISNUMBER(B367),B367&gt;0,ISNUMBER(U367),U367&gt;=0,ISNUMBER(O367),O367&gt;=0),1,0)</f>
        <v>1</v>
      </c>
      <c r="AB367" s="0" t="n">
        <f aca="false">IF(AA367=1,U367+O367,0)</f>
        <v>7628</v>
      </c>
      <c r="AC367" s="0" t="n">
        <f aca="false">IF(AA367=1,100*AB367/B367,"")</f>
        <v>1.0935213020186</v>
      </c>
      <c r="AD367" s="0" t="n">
        <f aca="false">IF(AND(AND(ISNUMBER(B367),B367=OriginalFinancials!B367),AND(ISNUMBER(U367),U367=OriginalFinancials!U367),AND(ISNUMBER(O367),O367=OriginalFinancials!O367)),0,1)</f>
        <v>0</v>
      </c>
      <c r="AE367" s="0" t="str">
        <f aca="false">IF(V367=0,"原始0：需核实适用/报告口径","")</f>
        <v/>
      </c>
    </row>
    <row r="368" customFormat="false" ht="15" hidden="false" customHeight="false" outlineLevel="0" collapsed="false">
      <c r="A368" s="0" t="n">
        <v>368</v>
      </c>
      <c r="B368" s="0" t="n">
        <v>219071</v>
      </c>
      <c r="C368" s="0" t="n">
        <v>59176</v>
      </c>
      <c r="D368" s="0" t="n">
        <v>188051</v>
      </c>
      <c r="E368" s="0" t="n">
        <v>0.2</v>
      </c>
      <c r="F368" s="0" t="n">
        <v>23030</v>
      </c>
      <c r="G368" s="0" t="n">
        <v>10.5125735492146</v>
      </c>
      <c r="H368" s="0" t="s">
        <v>525</v>
      </c>
      <c r="I368" s="0" t="n">
        <v>1.05648054772342</v>
      </c>
      <c r="J368" s="0" t="n">
        <v>20876</v>
      </c>
      <c r="K368" s="0" t="n">
        <v>5</v>
      </c>
      <c r="L368" s="0" t="n">
        <v>145767</v>
      </c>
      <c r="M368" s="0" t="n">
        <v>144227</v>
      </c>
      <c r="N368" s="0" t="n">
        <v>124886</v>
      </c>
      <c r="O368" s="0" t="n">
        <v>0</v>
      </c>
      <c r="P368" s="0" t="s">
        <v>200</v>
      </c>
      <c r="Q368" s="0" t="n">
        <v>0</v>
      </c>
      <c r="R368" s="0" t="n">
        <v>2.37742627283054</v>
      </c>
      <c r="S368" s="0" t="n">
        <v>34</v>
      </c>
      <c r="T368" s="0" t="n">
        <v>0</v>
      </c>
      <c r="U368" s="0" t="n">
        <v>0</v>
      </c>
      <c r="V368" s="0" t="n">
        <v>17.3183973610061</v>
      </c>
      <c r="W368" s="0" t="n">
        <v>20230930</v>
      </c>
      <c r="X368" s="0" t="n">
        <v>-0.224099348694985</v>
      </c>
      <c r="Y368" s="0" t="n">
        <v>-1.9</v>
      </c>
      <c r="Z368" s="0" t="s">
        <v>123</v>
      </c>
      <c r="AA368" s="0" t="n">
        <f aca="false">IF(AND(ISNUMBER(B368),B368&gt;0,ISNUMBER(U368),U368&gt;=0,ISNUMBER(O368),O368&gt;=0),1,0)</f>
        <v>1</v>
      </c>
      <c r="AB368" s="0" t="n">
        <f aca="false">IF(AA368=1,U368+O368,0)</f>
        <v>0</v>
      </c>
      <c r="AC368" s="0" t="n">
        <f aca="false">IF(AA368=1,100*AB368/B368,"")</f>
        <v>0</v>
      </c>
      <c r="AD368" s="0" t="n">
        <f aca="false">IF(AND(AND(ISNUMBER(B368),B368=OriginalFinancials!B368),AND(ISNUMBER(U368),U368=OriginalFinancials!U368),AND(ISNUMBER(O368),O368=OriginalFinancials!O368)),0,1)</f>
        <v>0</v>
      </c>
      <c r="AE368" s="0" t="str">
        <f aca="false">IF(V368=0,"原始0：需核实适用/报告口径","")</f>
        <v/>
      </c>
    </row>
    <row r="369" customFormat="false" ht="15" hidden="false" customHeight="false" outlineLevel="0" collapsed="false">
      <c r="A369" s="0" t="n">
        <v>369</v>
      </c>
      <c r="B369" s="0" t="n">
        <v>61993</v>
      </c>
      <c r="C369" s="0" t="n">
        <v>59289</v>
      </c>
      <c r="D369" s="0" t="n">
        <v>41455</v>
      </c>
      <c r="E369" s="0" t="n">
        <v>1.02</v>
      </c>
      <c r="F369" s="0" t="n">
        <v>19641</v>
      </c>
      <c r="G369" s="0" t="n">
        <v>31.6826093268595</v>
      </c>
      <c r="H369" s="0" t="s">
        <v>526</v>
      </c>
      <c r="I369" s="0" t="n">
        <v>1.30161876445325</v>
      </c>
      <c r="J369" s="0" t="n">
        <v>16338</v>
      </c>
      <c r="K369" s="0" t="n">
        <v>0</v>
      </c>
      <c r="L369" s="0" t="n">
        <v>30270</v>
      </c>
      <c r="M369" s="0" t="n">
        <v>29876</v>
      </c>
      <c r="N369" s="0" t="n">
        <v>13029</v>
      </c>
      <c r="O369" s="0" t="n">
        <v>0</v>
      </c>
      <c r="P369" s="0" t="s">
        <v>364</v>
      </c>
      <c r="Q369" s="0" t="n">
        <v>0</v>
      </c>
      <c r="R369" s="0" t="n">
        <v>4.55562914912624</v>
      </c>
      <c r="S369" s="0" t="n">
        <v>0</v>
      </c>
      <c r="T369" s="0" t="n">
        <v>0</v>
      </c>
      <c r="U369" s="0" t="n">
        <v>0</v>
      </c>
      <c r="V369" s="0" t="n">
        <v>0</v>
      </c>
      <c r="W369" s="0" t="n">
        <v>20230930</v>
      </c>
      <c r="X369" s="0" t="n">
        <v>-5.48471220679485</v>
      </c>
      <c r="Y369" s="0" t="n">
        <v>-11.97</v>
      </c>
      <c r="Z369" s="0" t="s">
        <v>123</v>
      </c>
      <c r="AA369" s="0" t="n">
        <f aca="false">IF(AND(ISNUMBER(B369),B369&gt;0,ISNUMBER(U369),U369&gt;=0,ISNUMBER(O369),O369&gt;=0),1,0)</f>
        <v>1</v>
      </c>
      <c r="AB369" s="0" t="n">
        <f aca="false">IF(AA369=1,U369+O369,0)</f>
        <v>0</v>
      </c>
      <c r="AC369" s="0" t="n">
        <f aca="false">IF(AA369=1,100*AB369/B369,"")</f>
        <v>0</v>
      </c>
      <c r="AD369" s="0" t="n">
        <f aca="false">IF(AND(AND(ISNUMBER(B369),B369=OriginalFinancials!B369),AND(ISNUMBER(U369),U369=OriginalFinancials!U369),AND(ISNUMBER(O369),O369=OriginalFinancials!O369)),0,1)</f>
        <v>0</v>
      </c>
      <c r="AE369" s="0" t="str">
        <f aca="false">IF(V369=0,"原始0：需核实适用/报告口径","")</f>
        <v>原始0：需核实适用/报告口径</v>
      </c>
    </row>
    <row r="370" customFormat="false" ht="15" hidden="false" customHeight="false" outlineLevel="0" collapsed="false">
      <c r="A370" s="0" t="n">
        <v>370</v>
      </c>
      <c r="B370" s="0" t="n">
        <v>134128</v>
      </c>
      <c r="C370" s="0" t="n">
        <v>59298</v>
      </c>
      <c r="D370" s="0" t="n">
        <v>105729</v>
      </c>
      <c r="E370" s="0" t="n">
        <v>0.23</v>
      </c>
      <c r="F370" s="0" t="n">
        <v>27342</v>
      </c>
      <c r="G370" s="0" t="n">
        <v>20.3850053680067</v>
      </c>
      <c r="H370" s="0" t="s">
        <v>527</v>
      </c>
      <c r="I370" s="0" t="n">
        <v>0.789434301107453</v>
      </c>
      <c r="J370" s="0" t="n">
        <v>15440</v>
      </c>
      <c r="K370" s="0" t="n">
        <v>0</v>
      </c>
      <c r="L370" s="0" t="n">
        <v>53456</v>
      </c>
      <c r="M370" s="0" t="n">
        <v>53034</v>
      </c>
      <c r="N370" s="0" t="n">
        <v>38015</v>
      </c>
      <c r="O370" s="0" t="n">
        <v>0</v>
      </c>
      <c r="P370" s="0" t="s">
        <v>310</v>
      </c>
      <c r="Q370" s="0" t="n">
        <v>0</v>
      </c>
      <c r="R370" s="0" t="n">
        <v>2.77001222612168</v>
      </c>
      <c r="S370" s="0" t="n">
        <v>0</v>
      </c>
      <c r="T370" s="0" t="n">
        <v>0</v>
      </c>
      <c r="U370" s="0" t="n">
        <v>0</v>
      </c>
      <c r="V370" s="0" t="n">
        <v>0</v>
      </c>
      <c r="W370" s="0" t="n">
        <v>20230930</v>
      </c>
      <c r="X370" s="0" t="n">
        <v>-2.33450133372531</v>
      </c>
      <c r="Y370" s="0" t="n">
        <v>-9.49</v>
      </c>
      <c r="Z370" s="0" t="s">
        <v>112</v>
      </c>
      <c r="AA370" s="0" t="n">
        <f aca="false">IF(AND(ISNUMBER(B370),B370&gt;0,ISNUMBER(U370),U370&gt;=0,ISNUMBER(O370),O370&gt;=0),1,0)</f>
        <v>1</v>
      </c>
      <c r="AB370" s="0" t="n">
        <f aca="false">IF(AA370=1,U370+O370,0)</f>
        <v>0</v>
      </c>
      <c r="AC370" s="0" t="n">
        <f aca="false">IF(AA370=1,100*AB370/B370,"")</f>
        <v>0</v>
      </c>
      <c r="AD370" s="0" t="n">
        <f aca="false">IF(AND(AND(ISNUMBER(B370),B370=OriginalFinancials!B370),AND(ISNUMBER(U370),U370=OriginalFinancials!U370),AND(ISNUMBER(O370),O370=OriginalFinancials!O370)),0,1)</f>
        <v>0</v>
      </c>
      <c r="AE370" s="0" t="str">
        <f aca="false">IF(V370=0,"原始0：需核实适用/报告口径","")</f>
        <v>原始0：需核实适用/报告口径</v>
      </c>
    </row>
    <row r="371" customFormat="false" ht="15" hidden="false" customHeight="false" outlineLevel="0" collapsed="false">
      <c r="A371" s="0" t="n">
        <v>371</v>
      </c>
      <c r="B371" s="0" t="n">
        <v>1082666</v>
      </c>
      <c r="C371" s="0" t="n">
        <v>6271</v>
      </c>
      <c r="D371" s="0" t="n">
        <v>902628</v>
      </c>
      <c r="E371" s="0" t="n">
        <v>0.1</v>
      </c>
      <c r="F371" s="0" t="n">
        <v>90587</v>
      </c>
      <c r="G371" s="0" t="n">
        <v>8.36703101418166</v>
      </c>
      <c r="H371" s="0" t="s">
        <v>528</v>
      </c>
      <c r="I371" s="0" t="n">
        <v>1.13062886464032</v>
      </c>
      <c r="J371" s="0" t="n">
        <v>125837</v>
      </c>
      <c r="K371" s="0" t="n">
        <v>3320</v>
      </c>
      <c r="L371" s="0" t="n">
        <v>839179</v>
      </c>
      <c r="M371" s="0" t="n">
        <v>829691</v>
      </c>
      <c r="N371" s="0" t="n">
        <v>644820</v>
      </c>
      <c r="O371" s="0" t="n">
        <v>7215</v>
      </c>
      <c r="P371" s="0" t="s">
        <v>202</v>
      </c>
      <c r="Q371" s="0" t="n">
        <v>0.978813816837647</v>
      </c>
      <c r="R371" s="0" t="n">
        <v>3.50998122320519</v>
      </c>
      <c r="S371" s="0" t="n">
        <v>314</v>
      </c>
      <c r="T371" s="0" t="n">
        <v>724</v>
      </c>
      <c r="U371" s="0" t="n">
        <v>999</v>
      </c>
      <c r="V371" s="0" t="n">
        <v>14.6491413757327</v>
      </c>
      <c r="W371" s="0" t="n">
        <v>20230930</v>
      </c>
      <c r="X371" s="0" t="n">
        <v>1.3701658298972</v>
      </c>
      <c r="Y371" s="0" t="n">
        <v>15.9</v>
      </c>
      <c r="Z371" s="0" t="s">
        <v>112</v>
      </c>
      <c r="AA371" s="0" t="n">
        <f aca="false">IF(AND(ISNUMBER(B371),B371&gt;0,ISNUMBER(U371),U371&gt;=0,ISNUMBER(O371),O371&gt;=0),1,0)</f>
        <v>1</v>
      </c>
      <c r="AB371" s="0" t="n">
        <f aca="false">IF(AA371=1,U371+O371,0)</f>
        <v>8214</v>
      </c>
      <c r="AC371" s="0" t="n">
        <f aca="false">IF(AA371=1,100*AB371/B371,"")</f>
        <v>0.758682733179023</v>
      </c>
      <c r="AD371" s="0" t="n">
        <f aca="false">IF(AND(AND(ISNUMBER(B371),B371=OriginalFinancials!B371),AND(ISNUMBER(U371),U371=OriginalFinancials!U371),AND(ISNUMBER(O371),O371=OriginalFinancials!O371)),0,1)</f>
        <v>0</v>
      </c>
      <c r="AE371" s="0" t="str">
        <f aca="false">IF(V371=0,"原始0：需核实适用/报告口径","")</f>
        <v/>
      </c>
    </row>
    <row r="372" customFormat="false" ht="15" hidden="false" customHeight="false" outlineLevel="0" collapsed="false">
      <c r="A372" s="0" t="n">
        <v>372</v>
      </c>
      <c r="B372" s="0" t="n">
        <v>554170</v>
      </c>
      <c r="C372" s="0" t="n">
        <v>6275</v>
      </c>
      <c r="D372" s="0" t="n">
        <v>479167</v>
      </c>
      <c r="E372" s="0" t="n">
        <v>0.01</v>
      </c>
      <c r="F372" s="0" t="n">
        <v>22855</v>
      </c>
      <c r="G372" s="0" t="n">
        <v>4.12418571918364</v>
      </c>
      <c r="H372" s="0" t="s">
        <v>529</v>
      </c>
      <c r="I372" s="0" t="n">
        <v>0.406204504196847</v>
      </c>
      <c r="J372" s="0" t="n">
        <v>34934</v>
      </c>
      <c r="K372" s="0" t="n">
        <v>13861</v>
      </c>
      <c r="L372" s="0" t="n">
        <v>333822</v>
      </c>
      <c r="M372" s="0" t="n">
        <v>332466</v>
      </c>
      <c r="N372" s="0" t="n">
        <v>274189</v>
      </c>
      <c r="O372" s="0" t="n">
        <v>1262</v>
      </c>
      <c r="P372" s="0" t="s">
        <v>204</v>
      </c>
      <c r="Q372" s="0" t="n">
        <v>0.378045784879367</v>
      </c>
      <c r="R372" s="0" t="n">
        <v>2.89483386017296</v>
      </c>
      <c r="S372" s="0" t="n">
        <v>0</v>
      </c>
      <c r="T372" s="0" t="n">
        <v>392</v>
      </c>
      <c r="U372" s="0" t="n">
        <v>0</v>
      </c>
      <c r="V372" s="0" t="n">
        <v>14.7986092970606</v>
      </c>
      <c r="W372" s="0" t="n">
        <v>20230930</v>
      </c>
      <c r="X372" s="0" t="n">
        <v>0.428313354479842</v>
      </c>
      <c r="Y372" s="0" t="n">
        <v>9</v>
      </c>
      <c r="Z372" s="0" t="s">
        <v>112</v>
      </c>
      <c r="AA372" s="0" t="n">
        <f aca="false">IF(AND(ISNUMBER(B372),B372&gt;0,ISNUMBER(U372),U372&gt;=0,ISNUMBER(O372),O372&gt;=0),1,0)</f>
        <v>1</v>
      </c>
      <c r="AB372" s="0" t="n">
        <f aca="false">IF(AA372=1,U372+O372,0)</f>
        <v>1262</v>
      </c>
      <c r="AC372" s="0" t="n">
        <f aca="false">IF(AA372=1,100*AB372/B372,"")</f>
        <v>0.227727953516069</v>
      </c>
      <c r="AD372" s="0" t="n">
        <f aca="false">IF(AND(AND(ISNUMBER(B372),B372=OriginalFinancials!B372),AND(ISNUMBER(U372),U372=OriginalFinancials!U372),AND(ISNUMBER(O372),O372=OriginalFinancials!O372)),0,1)</f>
        <v>0</v>
      </c>
      <c r="AE372" s="0" t="str">
        <f aca="false">IF(V372=0,"原始0：需核实适用/报告口径","")</f>
        <v/>
      </c>
    </row>
    <row r="373" customFormat="false" ht="15" hidden="false" customHeight="false" outlineLevel="0" collapsed="false">
      <c r="A373" s="0" t="n">
        <v>373</v>
      </c>
      <c r="B373" s="0" t="n">
        <v>81114</v>
      </c>
      <c r="C373" s="0" t="n">
        <v>6280</v>
      </c>
      <c r="D373" s="0" t="n">
        <v>71481</v>
      </c>
      <c r="E373" s="0" t="n">
        <v>0.07</v>
      </c>
      <c r="F373" s="0" t="n">
        <v>9381</v>
      </c>
      <c r="G373" s="0" t="n">
        <v>11.5652045269621</v>
      </c>
      <c r="H373" s="0" t="s">
        <v>530</v>
      </c>
      <c r="I373" s="0" t="n">
        <v>1.29307111891154</v>
      </c>
      <c r="J373" s="0" t="n">
        <v>3368</v>
      </c>
      <c r="K373" s="0" t="n">
        <v>1610</v>
      </c>
      <c r="L373" s="0" t="n">
        <v>66663</v>
      </c>
      <c r="M373" s="0" t="n">
        <v>65801</v>
      </c>
      <c r="N373" s="0" t="n">
        <v>59127</v>
      </c>
      <c r="O373" s="0" t="n">
        <v>952</v>
      </c>
      <c r="P373" s="0" t="s">
        <v>206</v>
      </c>
      <c r="Q373" s="0" t="n">
        <v>1.42807854431994</v>
      </c>
      <c r="R373" s="0" t="n">
        <v>4.97162854589493</v>
      </c>
      <c r="S373" s="0" t="n">
        <v>9</v>
      </c>
      <c r="T373" s="0" t="n">
        <v>721</v>
      </c>
      <c r="U373" s="0" t="n">
        <v>0</v>
      </c>
      <c r="V373" s="0" t="n">
        <v>0</v>
      </c>
      <c r="W373" s="0" t="n">
        <v>20230930</v>
      </c>
      <c r="X373" s="0" t="n">
        <v>1.84180132673071</v>
      </c>
      <c r="Y373" s="0" t="n">
        <v>17.01</v>
      </c>
      <c r="Z373" s="0" t="s">
        <v>112</v>
      </c>
      <c r="AA373" s="0" t="n">
        <f aca="false">IF(AND(ISNUMBER(B373),B373&gt;0,ISNUMBER(U373),U373&gt;=0,ISNUMBER(O373),O373&gt;=0),1,0)</f>
        <v>1</v>
      </c>
      <c r="AB373" s="0" t="n">
        <f aca="false">IF(AA373=1,U373+O373,0)</f>
        <v>952</v>
      </c>
      <c r="AC373" s="0" t="n">
        <f aca="false">IF(AA373=1,100*AB373/B373,"")</f>
        <v>1.1736568286609</v>
      </c>
      <c r="AD373" s="0" t="n">
        <f aca="false">IF(AND(AND(ISNUMBER(B373),B373=OriginalFinancials!B373),AND(ISNUMBER(U373),U373=OriginalFinancials!U373),AND(ISNUMBER(O373),O373=OriginalFinancials!O373)),0,1)</f>
        <v>0</v>
      </c>
      <c r="AE373" s="0" t="str">
        <f aca="false">IF(V373=0,"原始0：需核实适用/报告口径","")</f>
        <v>原始0：需核实适用/报告口径</v>
      </c>
    </row>
    <row r="374" customFormat="false" ht="15" hidden="false" customHeight="false" outlineLevel="0" collapsed="false">
      <c r="A374" s="0" t="n">
        <v>374</v>
      </c>
      <c r="B374" s="0" t="n">
        <v>3967808</v>
      </c>
      <c r="C374" s="0" t="n">
        <v>11971</v>
      </c>
      <c r="D374" s="0" t="n">
        <v>3149026</v>
      </c>
      <c r="E374" s="0" t="n">
        <v>0.07</v>
      </c>
      <c r="F374" s="0" t="n">
        <v>483954</v>
      </c>
      <c r="G374" s="0" t="n">
        <v>12.1970115489459</v>
      </c>
      <c r="H374" s="0" t="s">
        <v>531</v>
      </c>
      <c r="I374" s="0" t="n">
        <v>0.937679717503244</v>
      </c>
      <c r="J374" s="0" t="n">
        <v>218797</v>
      </c>
      <c r="K374" s="0" t="n">
        <v>7832</v>
      </c>
      <c r="L374" s="0" t="n">
        <v>3001238</v>
      </c>
      <c r="M374" s="0" t="n">
        <v>2973096</v>
      </c>
      <c r="N374" s="0" t="n">
        <v>2638835</v>
      </c>
      <c r="O374" s="0" t="n">
        <v>5529</v>
      </c>
      <c r="P374" s="0" t="s">
        <v>104</v>
      </c>
      <c r="Q374" s="0" t="n">
        <v>0.188922038172248</v>
      </c>
      <c r="R374" s="0" t="n">
        <v>3.42069609134703</v>
      </c>
      <c r="S374" s="0" t="n">
        <v>626</v>
      </c>
      <c r="T374" s="0" t="n">
        <v>2393</v>
      </c>
      <c r="U374" s="0" t="n">
        <v>141</v>
      </c>
      <c r="V374" s="0" t="n">
        <v>13.9732003897365</v>
      </c>
      <c r="W374" s="0" t="n">
        <v>20231231</v>
      </c>
      <c r="X374" s="0" t="n">
        <v>1.29383869122729</v>
      </c>
      <c r="Y374" s="0" t="n">
        <v>11.08</v>
      </c>
      <c r="Z374" s="0" t="s">
        <v>105</v>
      </c>
      <c r="AA374" s="0" t="n">
        <f aca="false">IF(AND(ISNUMBER(B374),B374&gt;0,ISNUMBER(U374),U374&gt;=0,ISNUMBER(O374),O374&gt;=0),1,0)</f>
        <v>1</v>
      </c>
      <c r="AB374" s="0" t="n">
        <f aca="false">IF(AA374=1,U374+O374,0)</f>
        <v>5670</v>
      </c>
      <c r="AC374" s="0" t="n">
        <f aca="false">IF(AA374=1,100*AB374/B374,"")</f>
        <v>0.142900059680307</v>
      </c>
      <c r="AD374" s="0" t="n">
        <f aca="false">IF(AND(AND(ISNUMBER(B374),B374=OriginalFinancials!B374),AND(ISNUMBER(U374),U374=OriginalFinancials!U374),AND(ISNUMBER(O374),O374=OriginalFinancials!O374)),0,1)</f>
        <v>0</v>
      </c>
      <c r="AE374" s="0" t="str">
        <f aca="false">IF(V374=0,"原始0：需核实适用/报告口径","")</f>
        <v/>
      </c>
    </row>
    <row r="375" customFormat="false" ht="15" hidden="false" customHeight="false" outlineLevel="0" collapsed="false">
      <c r="A375" s="0" t="n">
        <v>375</v>
      </c>
      <c r="B375" s="0" t="n">
        <v>1032673</v>
      </c>
      <c r="C375" s="0" t="n">
        <v>12874</v>
      </c>
      <c r="D375" s="0" t="n">
        <v>895094</v>
      </c>
      <c r="E375" s="0" t="n">
        <v>0.01</v>
      </c>
      <c r="F375" s="0" t="n">
        <v>106976</v>
      </c>
      <c r="G375" s="0" t="n">
        <v>10.3591359510707</v>
      </c>
      <c r="H375" s="0" t="s">
        <v>532</v>
      </c>
      <c r="I375" s="0" t="n">
        <v>0.998006489857876</v>
      </c>
      <c r="J375" s="0" t="n">
        <v>144853</v>
      </c>
      <c r="K375" s="0" t="n">
        <v>5403</v>
      </c>
      <c r="L375" s="0" t="n">
        <v>799093</v>
      </c>
      <c r="M375" s="0" t="n">
        <v>791118</v>
      </c>
      <c r="N375" s="0" t="n">
        <v>632740</v>
      </c>
      <c r="O375" s="0" t="n">
        <v>670</v>
      </c>
      <c r="P375" s="0" t="s">
        <v>107</v>
      </c>
      <c r="Q375" s="0" t="n">
        <v>0.0838450593360222</v>
      </c>
      <c r="R375" s="0" t="n">
        <v>3.88814771309452</v>
      </c>
      <c r="S375" s="0" t="n">
        <v>34</v>
      </c>
      <c r="T375" s="0" t="n">
        <v>2266</v>
      </c>
      <c r="U375" s="0" t="n">
        <v>0</v>
      </c>
      <c r="V375" s="0" t="n">
        <v>15.8859869558655</v>
      </c>
      <c r="W375" s="0" t="n">
        <v>20231231</v>
      </c>
      <c r="X375" s="0" t="n">
        <v>1.07594276192033</v>
      </c>
      <c r="Y375" s="0" t="n">
        <v>10.65</v>
      </c>
      <c r="Z375" s="0" t="s">
        <v>105</v>
      </c>
      <c r="AA375" s="0" t="n">
        <f aca="false">IF(AND(ISNUMBER(B375),B375&gt;0,ISNUMBER(U375),U375&gt;=0,ISNUMBER(O375),O375&gt;=0),1,0)</f>
        <v>1</v>
      </c>
      <c r="AB375" s="0" t="n">
        <f aca="false">IF(AA375=1,U375+O375,0)</f>
        <v>670</v>
      </c>
      <c r="AC375" s="0" t="n">
        <f aca="false">IF(AA375=1,100*AB375/B375,"")</f>
        <v>0.0648801701990853</v>
      </c>
      <c r="AD375" s="0" t="n">
        <f aca="false">IF(AND(AND(ISNUMBER(B375),B375=OriginalFinancials!B375),AND(ISNUMBER(U375),U375=OriginalFinancials!U375),AND(ISNUMBER(O375),O375=OriginalFinancials!O375)),0,1)</f>
        <v>0</v>
      </c>
      <c r="AE375" s="0" t="str">
        <f aca="false">IF(V375=0,"原始0：需核实适用/报告口径","")</f>
        <v/>
      </c>
    </row>
    <row r="376" customFormat="false" ht="15" hidden="false" customHeight="false" outlineLevel="0" collapsed="false">
      <c r="A376" s="0" t="n">
        <v>376</v>
      </c>
      <c r="B376" s="0" t="n">
        <v>1825832</v>
      </c>
      <c r="C376" s="0" t="n">
        <v>13063</v>
      </c>
      <c r="D376" s="0" t="n">
        <v>1598543</v>
      </c>
      <c r="E376" s="0" t="n">
        <v>0.11</v>
      </c>
      <c r="F376" s="0" t="n">
        <v>144898</v>
      </c>
      <c r="G376" s="0" t="n">
        <v>7.93599849274194</v>
      </c>
      <c r="H376" s="0" t="s">
        <v>533</v>
      </c>
      <c r="I376" s="0" t="n">
        <v>1.19367542169489</v>
      </c>
      <c r="J376" s="0" t="n">
        <v>54417</v>
      </c>
      <c r="K376" s="0" t="n">
        <v>842</v>
      </c>
      <c r="L376" s="0" t="n">
        <v>1419984</v>
      </c>
      <c r="M376" s="0" t="n">
        <v>1403034</v>
      </c>
      <c r="N376" s="0" t="n">
        <v>1355009</v>
      </c>
      <c r="O376" s="0" t="n">
        <v>809</v>
      </c>
      <c r="P376" s="0" t="s">
        <v>109</v>
      </c>
      <c r="Q376" s="0" t="n">
        <v>0.0752825383947988</v>
      </c>
      <c r="R376" s="0" t="n">
        <v>3.17083919363506</v>
      </c>
      <c r="S376" s="0" t="n">
        <v>51</v>
      </c>
      <c r="T376" s="0" t="n">
        <v>1108</v>
      </c>
      <c r="U376" s="0" t="n">
        <v>260</v>
      </c>
      <c r="V376" s="0" t="n">
        <v>0</v>
      </c>
      <c r="W376" s="0" t="n">
        <v>20231231</v>
      </c>
      <c r="X376" s="0" t="n">
        <v>0.21976508473335</v>
      </c>
      <c r="Y376" s="0" t="n">
        <v>2.91</v>
      </c>
      <c r="Z376" s="0" t="s">
        <v>105</v>
      </c>
      <c r="AA376" s="0" t="n">
        <f aca="false">IF(AND(ISNUMBER(B376),B376&gt;0,ISNUMBER(U376),U376&gt;=0,ISNUMBER(O376),O376&gt;=0),1,0)</f>
        <v>1</v>
      </c>
      <c r="AB376" s="0" t="n">
        <f aca="false">IF(AA376=1,U376+O376,0)</f>
        <v>1069</v>
      </c>
      <c r="AC376" s="0" t="n">
        <f aca="false">IF(AA376=1,100*AB376/B376,"")</f>
        <v>0.0585486506973259</v>
      </c>
      <c r="AD376" s="0" t="n">
        <f aca="false">IF(AND(AND(ISNUMBER(B376),B376=OriginalFinancials!B376),AND(ISNUMBER(U376),U376=OriginalFinancials!U376),AND(ISNUMBER(O376),O376=OriginalFinancials!O376)),0,1)</f>
        <v>0</v>
      </c>
      <c r="AE376" s="0" t="str">
        <f aca="false">IF(V376=0,"原始0：需核实适用/报告口径","")</f>
        <v>原始0：需核实适用/报告口径</v>
      </c>
    </row>
    <row r="377" customFormat="false" ht="15" hidden="false" customHeight="false" outlineLevel="0" collapsed="false">
      <c r="A377" s="0" t="n">
        <v>377</v>
      </c>
      <c r="B377" s="0" t="n">
        <v>854743</v>
      </c>
      <c r="C377" s="0" t="n">
        <v>14134</v>
      </c>
      <c r="D377" s="0" t="n">
        <v>681633</v>
      </c>
      <c r="E377" s="0" t="n">
        <v>0.08</v>
      </c>
      <c r="F377" s="0" t="n">
        <v>105791</v>
      </c>
      <c r="G377" s="0" t="n">
        <v>12.3769366932517</v>
      </c>
      <c r="H377" s="0" t="s">
        <v>534</v>
      </c>
      <c r="I377" s="0" t="n">
        <v>1.13509060441429</v>
      </c>
      <c r="J377" s="0" t="n">
        <v>25773</v>
      </c>
      <c r="K377" s="0" t="n">
        <v>27211</v>
      </c>
      <c r="L377" s="0" t="n">
        <v>640918</v>
      </c>
      <c r="M377" s="0" t="n">
        <v>633643</v>
      </c>
      <c r="N377" s="0" t="n">
        <v>566020</v>
      </c>
      <c r="O377" s="0" t="n">
        <v>10339</v>
      </c>
      <c r="P377" s="0" t="s">
        <v>111</v>
      </c>
      <c r="Q377" s="0" t="n">
        <v>1.61315488096761</v>
      </c>
      <c r="R377" s="0" t="n">
        <v>3.22393019720266</v>
      </c>
      <c r="S377" s="0" t="n">
        <v>595</v>
      </c>
      <c r="T377" s="0" t="n">
        <v>3255</v>
      </c>
      <c r="U377" s="0" t="n">
        <v>0</v>
      </c>
      <c r="V377" s="0" t="n">
        <v>19.2684553429436</v>
      </c>
      <c r="W377" s="0" t="n">
        <v>20231231</v>
      </c>
      <c r="X377" s="0" t="n">
        <v>0.845572388097908</v>
      </c>
      <c r="Y377" s="0" t="n">
        <v>7.15</v>
      </c>
      <c r="Z377" s="0" t="s">
        <v>112</v>
      </c>
      <c r="AA377" s="0" t="n">
        <f aca="false">IF(AND(ISNUMBER(B377),B377&gt;0,ISNUMBER(U377),U377&gt;=0,ISNUMBER(O377),O377&gt;=0),1,0)</f>
        <v>1</v>
      </c>
      <c r="AB377" s="0" t="n">
        <f aca="false">IF(AA377=1,U377+O377,0)</f>
        <v>10339</v>
      </c>
      <c r="AC377" s="0" t="n">
        <f aca="false">IF(AA377=1,100*AB377/B377,"")</f>
        <v>1.20960335445859</v>
      </c>
      <c r="AD377" s="0" t="n">
        <f aca="false">IF(AND(AND(ISNUMBER(B377),B377=OriginalFinancials!B377),AND(ISNUMBER(U377),U377=OriginalFinancials!U377),AND(ISNUMBER(O377),O377=OriginalFinancials!O377)),0,1)</f>
        <v>0</v>
      </c>
      <c r="AE377" s="0" t="str">
        <f aca="false">IF(V377=0,"原始0：需核实适用/报告口径","")</f>
        <v/>
      </c>
    </row>
    <row r="378" customFormat="false" ht="15" hidden="false" customHeight="false" outlineLevel="0" collapsed="false">
      <c r="A378" s="0" t="n">
        <v>378</v>
      </c>
      <c r="B378" s="0" t="n">
        <v>233858</v>
      </c>
      <c r="C378" s="0" t="n">
        <v>14136</v>
      </c>
      <c r="D378" s="0" t="n">
        <v>193772</v>
      </c>
      <c r="E378" s="0" t="n">
        <v>0.06</v>
      </c>
      <c r="F378" s="0" t="n">
        <v>17016</v>
      </c>
      <c r="G378" s="0" t="n">
        <v>7.27621034987043</v>
      </c>
      <c r="H378" s="0" t="s">
        <v>535</v>
      </c>
      <c r="I378" s="0" t="n">
        <v>1.25238580803723</v>
      </c>
      <c r="J378" s="0" t="n">
        <v>14469</v>
      </c>
      <c r="K378" s="0" t="n">
        <v>14725</v>
      </c>
      <c r="L378" s="0" t="n">
        <v>152988</v>
      </c>
      <c r="M378" s="0" t="n">
        <v>151072</v>
      </c>
      <c r="N378" s="0" t="n">
        <v>123494</v>
      </c>
      <c r="O378" s="0" t="n">
        <v>6</v>
      </c>
      <c r="P378" s="0" t="s">
        <v>114</v>
      </c>
      <c r="Q378" s="0" t="n">
        <v>0.33532041728763</v>
      </c>
      <c r="R378" s="0" t="n">
        <v>4.02120098867828</v>
      </c>
      <c r="S378" s="0" t="n">
        <v>93</v>
      </c>
      <c r="T378" s="0" t="n">
        <v>1094</v>
      </c>
      <c r="U378" s="0" t="n">
        <v>507</v>
      </c>
      <c r="V378" s="0" t="n">
        <v>17.5667789596541</v>
      </c>
      <c r="W378" s="0" t="n">
        <v>20231231</v>
      </c>
      <c r="X378" s="0" t="n">
        <v>0.594423182066703</v>
      </c>
      <c r="Y378" s="0" t="n">
        <v>8.72</v>
      </c>
      <c r="Z378" s="0" t="s">
        <v>112</v>
      </c>
      <c r="AA378" s="0" t="n">
        <f aca="false">IF(AND(ISNUMBER(B378),B378&gt;0,ISNUMBER(U378),U378&gt;=0,ISNUMBER(O378),O378&gt;=0),1,0)</f>
        <v>1</v>
      </c>
      <c r="AB378" s="0" t="n">
        <f aca="false">IF(AA378=1,U378+O378,0)</f>
        <v>513</v>
      </c>
      <c r="AC378" s="0" t="n">
        <f aca="false">IF(AA378=1,100*AB378/B378,"")</f>
        <v>0.219363887487279</v>
      </c>
      <c r="AD378" s="0" t="n">
        <f aca="false">IF(AND(AND(ISNUMBER(B378),B378=OriginalFinancials!B378),AND(ISNUMBER(U378),U378=OriginalFinancials!U378),AND(ISNUMBER(O378),O378=OriginalFinancials!O378)),0,1)</f>
        <v>0</v>
      </c>
      <c r="AE378" s="0" t="str">
        <f aca="false">IF(V378=0,"原始0：需核实适用/报告口径","")</f>
        <v/>
      </c>
    </row>
    <row r="379" customFormat="false" ht="15" hidden="false" customHeight="false" outlineLevel="0" collapsed="false">
      <c r="A379" s="0" t="n">
        <v>379</v>
      </c>
      <c r="B379" s="0" t="n">
        <v>1504702</v>
      </c>
      <c r="C379" s="0" t="n">
        <v>14140</v>
      </c>
      <c r="D379" s="0" t="n">
        <v>1190702</v>
      </c>
      <c r="E379" s="0" t="n">
        <v>0.03</v>
      </c>
      <c r="F379" s="0" t="n">
        <v>126249</v>
      </c>
      <c r="G379" s="0" t="n">
        <v>8.39029920874698</v>
      </c>
      <c r="H379" s="0" t="s">
        <v>536</v>
      </c>
      <c r="I379" s="0" t="n">
        <v>0.820739617879485</v>
      </c>
      <c r="J379" s="0" t="n">
        <v>93067</v>
      </c>
      <c r="K379" s="0" t="n">
        <v>1491</v>
      </c>
      <c r="L379" s="0" t="n">
        <v>1039672</v>
      </c>
      <c r="M379" s="0" t="n">
        <v>1031139</v>
      </c>
      <c r="N379" s="0" t="n">
        <v>927729</v>
      </c>
      <c r="O379" s="0" t="n">
        <v>4671</v>
      </c>
      <c r="P379" s="0" t="s">
        <v>116</v>
      </c>
      <c r="Q379" s="0" t="n">
        <v>0.449276310220916</v>
      </c>
      <c r="R379" s="0" t="n">
        <v>2.63872597463427</v>
      </c>
      <c r="S379" s="0" t="n">
        <v>67</v>
      </c>
      <c r="T379" s="0" t="n">
        <v>1538</v>
      </c>
      <c r="U379" s="0" t="n">
        <v>0</v>
      </c>
      <c r="V379" s="0" t="n">
        <v>0</v>
      </c>
      <c r="W379" s="0" t="n">
        <v>20231231</v>
      </c>
      <c r="X379" s="0" t="n">
        <v>0.220681498748757</v>
      </c>
      <c r="Y379" s="0" t="n">
        <v>2.68</v>
      </c>
      <c r="Z379" s="0" t="s">
        <v>112</v>
      </c>
      <c r="AA379" s="0" t="n">
        <f aca="false">IF(AND(ISNUMBER(B379),B379&gt;0,ISNUMBER(U379),U379&gt;=0,ISNUMBER(O379),O379&gt;=0),1,0)</f>
        <v>1</v>
      </c>
      <c r="AB379" s="0" t="n">
        <f aca="false">IF(AA379=1,U379+O379,0)</f>
        <v>4671</v>
      </c>
      <c r="AC379" s="0" t="n">
        <f aca="false">IF(AA379=1,100*AB379/B379,"")</f>
        <v>0.31042691509681</v>
      </c>
      <c r="AD379" s="0" t="n">
        <f aca="false">IF(AND(AND(ISNUMBER(B379),B379=OriginalFinancials!B379),AND(ISNUMBER(U379),U379=OriginalFinancials!U379),AND(ISNUMBER(O379),O379=OriginalFinancials!O379)),0,1)</f>
        <v>0</v>
      </c>
      <c r="AE379" s="0" t="str">
        <f aca="false">IF(V379=0,"原始0：需核实适用/报告口径","")</f>
        <v>原始0：需核实适用/报告口径</v>
      </c>
    </row>
    <row r="380" customFormat="false" ht="15" hidden="false" customHeight="false" outlineLevel="0" collapsed="false">
      <c r="A380" s="0" t="n">
        <v>380</v>
      </c>
      <c r="B380" s="0" t="n">
        <v>1468468</v>
      </c>
      <c r="C380" s="0" t="n">
        <v>14158</v>
      </c>
      <c r="D380" s="0" t="n">
        <v>1308218</v>
      </c>
      <c r="E380" s="0" t="n">
        <v>-0.04</v>
      </c>
      <c r="F380" s="0" t="n">
        <v>82122</v>
      </c>
      <c r="G380" s="0" t="n">
        <v>5.59235883928012</v>
      </c>
      <c r="H380" s="0" t="s">
        <v>537</v>
      </c>
      <c r="I380" s="0" t="n">
        <v>0.635567790671112</v>
      </c>
      <c r="J380" s="0" t="n">
        <v>40326</v>
      </c>
      <c r="K380" s="0" t="n">
        <v>2468</v>
      </c>
      <c r="L380" s="0" t="n">
        <v>1033092</v>
      </c>
      <c r="M380" s="0" t="n">
        <v>1026526</v>
      </c>
      <c r="N380" s="0" t="n">
        <v>908227</v>
      </c>
      <c r="O380" s="0" t="n">
        <v>1858</v>
      </c>
      <c r="P380" s="0" t="s">
        <v>118</v>
      </c>
      <c r="Q380" s="0" t="n">
        <v>0.195529536575639</v>
      </c>
      <c r="R380" s="0" t="n">
        <v>2.98715522475713</v>
      </c>
      <c r="S380" s="0" t="n">
        <v>4</v>
      </c>
      <c r="T380" s="0" t="n">
        <v>3617</v>
      </c>
      <c r="U380" s="0" t="n">
        <v>162</v>
      </c>
      <c r="V380" s="0" t="n">
        <v>13.3530640668524</v>
      </c>
      <c r="W380" s="0" t="n">
        <v>20231231</v>
      </c>
      <c r="X380" s="0" t="n">
        <v>0.879855556925219</v>
      </c>
      <c r="Y380" s="0" t="n">
        <v>16.38</v>
      </c>
      <c r="Z380" s="0" t="s">
        <v>112</v>
      </c>
      <c r="AA380" s="0" t="n">
        <f aca="false">IF(AND(ISNUMBER(B380),B380&gt;0,ISNUMBER(U380),U380&gt;=0,ISNUMBER(O380),O380&gt;=0),1,0)</f>
        <v>1</v>
      </c>
      <c r="AB380" s="0" t="n">
        <f aca="false">IF(AA380=1,U380+O380,0)</f>
        <v>2020</v>
      </c>
      <c r="AC380" s="0" t="n">
        <f aca="false">IF(AA380=1,100*AB380/B380,"")</f>
        <v>0.137558326092227</v>
      </c>
      <c r="AD380" s="0" t="n">
        <f aca="false">IF(AND(AND(ISNUMBER(B380),B380=OriginalFinancials!B380),AND(ISNUMBER(U380),U380=OriginalFinancials!U380),AND(ISNUMBER(O380),O380=OriginalFinancials!O380)),0,1)</f>
        <v>0</v>
      </c>
      <c r="AE380" s="0" t="str">
        <f aca="false">IF(V380=0,"原始0：需核实适用/报告口径","")</f>
        <v/>
      </c>
    </row>
    <row r="381" customFormat="false" ht="15" hidden="false" customHeight="false" outlineLevel="0" collapsed="false">
      <c r="A381" s="0" t="n">
        <v>381</v>
      </c>
      <c r="B381" s="0" t="n">
        <v>357709</v>
      </c>
      <c r="C381" s="0" t="n">
        <v>14168</v>
      </c>
      <c r="D381" s="0" t="n">
        <v>317592</v>
      </c>
      <c r="E381" s="0" t="n">
        <v>0.22</v>
      </c>
      <c r="F381" s="0" t="n">
        <v>35301</v>
      </c>
      <c r="G381" s="0" t="n">
        <v>9.86863623783578</v>
      </c>
      <c r="H381" s="0" t="s">
        <v>538</v>
      </c>
      <c r="I381" s="0" t="n">
        <v>1.67092055190506</v>
      </c>
      <c r="J381" s="0" t="n">
        <v>11698</v>
      </c>
      <c r="K381" s="0" t="n">
        <v>10178</v>
      </c>
      <c r="L381" s="0" t="n">
        <v>239389</v>
      </c>
      <c r="M381" s="0" t="n">
        <v>235389</v>
      </c>
      <c r="N381" s="0" t="n">
        <v>202849</v>
      </c>
      <c r="O381" s="0" t="n">
        <v>1115</v>
      </c>
      <c r="P381" s="0" t="s">
        <v>120</v>
      </c>
      <c r="Q381" s="0" t="n">
        <v>0.465769103843535</v>
      </c>
      <c r="R381" s="0" t="n">
        <v>3.99627193623627</v>
      </c>
      <c r="S381" s="0" t="n">
        <v>-60</v>
      </c>
      <c r="T381" s="0" t="n">
        <v>513</v>
      </c>
      <c r="U381" s="0" t="n">
        <v>0</v>
      </c>
      <c r="V381" s="0" t="n">
        <v>16.7449070853622</v>
      </c>
      <c r="W381" s="0" t="n">
        <v>20231231</v>
      </c>
      <c r="X381" s="0" t="n">
        <v>0.791084607348037</v>
      </c>
      <c r="Y381" s="0" t="n">
        <v>8.63</v>
      </c>
      <c r="Z381" s="0" t="s">
        <v>112</v>
      </c>
      <c r="AA381" s="0" t="n">
        <f aca="false">IF(AND(ISNUMBER(B381),B381&gt;0,ISNUMBER(U381),U381&gt;=0,ISNUMBER(O381),O381&gt;=0),1,0)</f>
        <v>1</v>
      </c>
      <c r="AB381" s="0" t="n">
        <f aca="false">IF(AA381=1,U381+O381,0)</f>
        <v>1115</v>
      </c>
      <c r="AC381" s="0" t="n">
        <f aca="false">IF(AA381=1,100*AB381/B381,"")</f>
        <v>0.311705883832948</v>
      </c>
      <c r="AD381" s="0" t="n">
        <f aca="false">IF(AND(AND(ISNUMBER(B381),B381=OriginalFinancials!B381),AND(ISNUMBER(U381),U381=OriginalFinancials!U381),AND(ISNUMBER(O381),O381=OriginalFinancials!O381)),0,1)</f>
        <v>0</v>
      </c>
      <c r="AE381" s="0" t="str">
        <f aca="false">IF(V381=0,"原始0：需核实适用/报告口径","")</f>
        <v/>
      </c>
    </row>
    <row r="382" customFormat="false" ht="15" hidden="false" customHeight="false" outlineLevel="0" collapsed="false">
      <c r="A382" s="0" t="n">
        <v>382</v>
      </c>
      <c r="B382" s="0" t="n">
        <v>1284888</v>
      </c>
      <c r="C382" s="0" t="n">
        <v>14240</v>
      </c>
      <c r="D382" s="0" t="n">
        <v>1001876</v>
      </c>
      <c r="E382" s="0" t="n">
        <v>-0.04</v>
      </c>
      <c r="F382" s="0" t="n">
        <v>89997</v>
      </c>
      <c r="G382" s="0" t="n">
        <v>7.00426807628369</v>
      </c>
      <c r="H382" s="0" t="s">
        <v>539</v>
      </c>
      <c r="I382" s="0" t="n">
        <v>1.16147877879671</v>
      </c>
      <c r="J382" s="0" t="n">
        <v>26444</v>
      </c>
      <c r="K382" s="0" t="n">
        <v>16789</v>
      </c>
      <c r="L382" s="0" t="n">
        <v>920895</v>
      </c>
      <c r="M382" s="0" t="n">
        <v>910199</v>
      </c>
      <c r="N382" s="0" t="n">
        <v>809855</v>
      </c>
      <c r="O382" s="0" t="n">
        <v>2809</v>
      </c>
      <c r="P382" s="0" t="s">
        <v>122</v>
      </c>
      <c r="Q382" s="0" t="n">
        <v>0.305029346451007</v>
      </c>
      <c r="R382" s="0" t="n">
        <v>2.84438328976009</v>
      </c>
      <c r="S382" s="0" t="n">
        <v>17</v>
      </c>
      <c r="T382" s="0" t="n">
        <v>3092</v>
      </c>
      <c r="U382" s="0" t="n">
        <v>0</v>
      </c>
      <c r="V382" s="0" t="n">
        <v>15.654705756581</v>
      </c>
      <c r="W382" s="0" t="n">
        <v>20231231</v>
      </c>
      <c r="X382" s="0" t="n">
        <v>0.476970080763032</v>
      </c>
      <c r="Y382" s="0" t="n">
        <v>7.62</v>
      </c>
      <c r="Z382" s="0" t="s">
        <v>123</v>
      </c>
      <c r="AA382" s="0" t="n">
        <f aca="false">IF(AND(ISNUMBER(B382),B382&gt;0,ISNUMBER(U382),U382&gt;=0,ISNUMBER(O382),O382&gt;=0),1,0)</f>
        <v>1</v>
      </c>
      <c r="AB382" s="0" t="n">
        <f aca="false">IF(AA382=1,U382+O382,0)</f>
        <v>2809</v>
      </c>
      <c r="AC382" s="0" t="n">
        <f aca="false">IF(AA382=1,100*AB382/B382,"")</f>
        <v>0.218618276456781</v>
      </c>
      <c r="AD382" s="0" t="n">
        <f aca="false">IF(AND(AND(ISNUMBER(B382),B382=OriginalFinancials!B382),AND(ISNUMBER(U382),U382=OriginalFinancials!U382),AND(ISNUMBER(O382),O382=OriginalFinancials!O382)),0,1)</f>
        <v>0</v>
      </c>
      <c r="AE382" s="0" t="str">
        <f aca="false">IF(V382=0,"原始0：需核实适用/报告口径","")</f>
        <v/>
      </c>
    </row>
    <row r="383" customFormat="false" ht="15" hidden="false" customHeight="false" outlineLevel="0" collapsed="false">
      <c r="A383" s="0" t="n">
        <v>383</v>
      </c>
      <c r="B383" s="0" t="n">
        <v>1091692</v>
      </c>
      <c r="C383" s="0" t="n">
        <v>17115</v>
      </c>
      <c r="D383" s="0" t="n">
        <v>771961</v>
      </c>
      <c r="E383" s="0" t="n">
        <v>0</v>
      </c>
      <c r="F383" s="0" t="n">
        <v>87410</v>
      </c>
      <c r="G383" s="0" t="n">
        <v>8.00683709324608</v>
      </c>
      <c r="H383" s="0" t="s">
        <v>540</v>
      </c>
      <c r="I383" s="0" t="n">
        <v>0.991754649683795</v>
      </c>
      <c r="J383" s="0" t="n">
        <v>43686</v>
      </c>
      <c r="K383" s="0" t="n">
        <v>6112</v>
      </c>
      <c r="L383" s="0" t="n">
        <v>899416</v>
      </c>
      <c r="M383" s="0" t="n">
        <v>890496</v>
      </c>
      <c r="N383" s="0" t="n">
        <v>848763</v>
      </c>
      <c r="O383" s="0" t="n">
        <v>2404</v>
      </c>
      <c r="P383" s="0" t="s">
        <v>125</v>
      </c>
      <c r="Q383" s="0" t="n">
        <v>0.267284549085184</v>
      </c>
      <c r="R383" s="0" t="n">
        <v>2.88707546912739</v>
      </c>
      <c r="S383" s="0" t="n">
        <v>-27</v>
      </c>
      <c r="T383" s="0" t="n">
        <v>124</v>
      </c>
      <c r="U383" s="0" t="n">
        <v>0</v>
      </c>
      <c r="V383" s="0" t="n">
        <v>13.662485837327</v>
      </c>
      <c r="W383" s="0" t="n">
        <v>20231231</v>
      </c>
      <c r="X383" s="0" t="n">
        <v>0.666513914056445</v>
      </c>
      <c r="Y383" s="0" t="n">
        <v>8.6</v>
      </c>
      <c r="Z383" s="0" t="s">
        <v>105</v>
      </c>
      <c r="AA383" s="0" t="n">
        <f aca="false">IF(AND(ISNUMBER(B383),B383&gt;0,ISNUMBER(U383),U383&gt;=0,ISNUMBER(O383),O383&gt;=0),1,0)</f>
        <v>1</v>
      </c>
      <c r="AB383" s="0" t="n">
        <f aca="false">IF(AA383=1,U383+O383,0)</f>
        <v>2404</v>
      </c>
      <c r="AC383" s="0" t="n">
        <f aca="false">IF(AA383=1,100*AB383/B383,"")</f>
        <v>0.220208630273007</v>
      </c>
      <c r="AD383" s="0" t="n">
        <f aca="false">IF(AND(AND(ISNUMBER(B383),B383=OriginalFinancials!B383),AND(ISNUMBER(U383),U383=OriginalFinancials!U383),AND(ISNUMBER(O383),O383=OriginalFinancials!O383)),0,1)</f>
        <v>0</v>
      </c>
      <c r="AE383" s="0" t="str">
        <f aca="false">IF(V383=0,"原始0：需核实适用/报告口径","")</f>
        <v/>
      </c>
    </row>
    <row r="384" customFormat="false" ht="15" hidden="false" customHeight="false" outlineLevel="0" collapsed="false">
      <c r="A384" s="0" t="n">
        <v>384</v>
      </c>
      <c r="B384" s="0" t="n">
        <v>1636765</v>
      </c>
      <c r="C384" s="0" t="n">
        <v>17180</v>
      </c>
      <c r="D384" s="0" t="n">
        <v>1188350</v>
      </c>
      <c r="E384" s="0" t="n">
        <v>0.12</v>
      </c>
      <c r="F384" s="0" t="n">
        <v>136707</v>
      </c>
      <c r="G384" s="0" t="n">
        <v>8.35226804092219</v>
      </c>
      <c r="H384" s="0" t="s">
        <v>541</v>
      </c>
      <c r="I384" s="0" t="n">
        <v>0.96326346447928</v>
      </c>
      <c r="J384" s="0" t="n">
        <v>52850</v>
      </c>
      <c r="K384" s="0" t="n">
        <v>190591</v>
      </c>
      <c r="L384" s="0" t="n">
        <v>1480488</v>
      </c>
      <c r="M384" s="0" t="n">
        <v>1466227</v>
      </c>
      <c r="N384" s="0" t="n">
        <v>1208918</v>
      </c>
      <c r="O384" s="0" t="n">
        <v>4903</v>
      </c>
      <c r="P384" s="0" t="s">
        <v>127</v>
      </c>
      <c r="Q384" s="0" t="n">
        <v>0.331174585677155</v>
      </c>
      <c r="R384" s="0" t="n">
        <v>2.86567771971113</v>
      </c>
      <c r="S384" s="0" t="n">
        <v>626</v>
      </c>
      <c r="T384" s="0" t="n">
        <v>3022</v>
      </c>
      <c r="U384" s="0" t="n">
        <v>0</v>
      </c>
      <c r="V384" s="0" t="n">
        <v>14.1649013448556</v>
      </c>
      <c r="W384" s="0" t="n">
        <v>20231231</v>
      </c>
      <c r="X384" s="0" t="n">
        <v>0.452272607314059</v>
      </c>
      <c r="Y384" s="0" t="n">
        <v>5.49</v>
      </c>
      <c r="Z384" s="0" t="s">
        <v>123</v>
      </c>
      <c r="AA384" s="0" t="n">
        <f aca="false">IF(AND(ISNUMBER(B384),B384&gt;0,ISNUMBER(U384),U384&gt;=0,ISNUMBER(O384),O384&gt;=0),1,0)</f>
        <v>1</v>
      </c>
      <c r="AB384" s="0" t="n">
        <f aca="false">IF(AA384=1,U384+O384,0)</f>
        <v>4903</v>
      </c>
      <c r="AC384" s="0" t="n">
        <f aca="false">IF(AA384=1,100*AB384/B384,"")</f>
        <v>0.299554303763827</v>
      </c>
      <c r="AD384" s="0" t="n">
        <f aca="false">IF(AND(AND(ISNUMBER(B384),B384=OriginalFinancials!B384),AND(ISNUMBER(U384),U384=OriginalFinancials!U384),AND(ISNUMBER(O384),O384=OriginalFinancials!O384)),0,1)</f>
        <v>0</v>
      </c>
      <c r="AE384" s="0" t="str">
        <f aca="false">IF(V384=0,"原始0：需核实适用/报告口径","")</f>
        <v/>
      </c>
    </row>
    <row r="385" customFormat="false" ht="15" hidden="false" customHeight="false" outlineLevel="0" collapsed="false">
      <c r="A385" s="0" t="n">
        <v>385</v>
      </c>
      <c r="B385" s="0" t="n">
        <v>351163</v>
      </c>
      <c r="C385" s="0" t="n">
        <v>17443</v>
      </c>
      <c r="D385" s="0" t="n">
        <v>309824</v>
      </c>
      <c r="E385" s="0" t="n">
        <v>0</v>
      </c>
      <c r="F385" s="0" t="n">
        <v>40157</v>
      </c>
      <c r="G385" s="0" t="n">
        <v>11.4354302702734</v>
      </c>
      <c r="H385" s="0" t="s">
        <v>542</v>
      </c>
      <c r="I385" s="0" t="n">
        <v>0.833910405836397</v>
      </c>
      <c r="J385" s="0" t="n">
        <v>0</v>
      </c>
      <c r="K385" s="0" t="n">
        <v>794</v>
      </c>
      <c r="L385" s="0" t="n">
        <v>205058</v>
      </c>
      <c r="M385" s="0" t="n">
        <v>203348</v>
      </c>
      <c r="N385" s="0" t="n">
        <v>203264</v>
      </c>
      <c r="O385" s="0" t="n">
        <v>173</v>
      </c>
      <c r="P385" s="0" t="s">
        <v>129</v>
      </c>
      <c r="Q385" s="0" t="n">
        <v>0.0843663743916355</v>
      </c>
      <c r="R385" s="0" t="n">
        <v>1.55712530163154</v>
      </c>
      <c r="S385" s="0" t="n">
        <v>0</v>
      </c>
      <c r="T385" s="0" t="n">
        <v>1121</v>
      </c>
      <c r="U385" s="0" t="n">
        <v>0</v>
      </c>
      <c r="V385" s="0" t="n">
        <v>0</v>
      </c>
      <c r="W385" s="0" t="n">
        <v>20231231</v>
      </c>
      <c r="X385" s="0" t="n">
        <v>0.0112388748844588</v>
      </c>
      <c r="Y385" s="0" t="n">
        <v>0.11</v>
      </c>
      <c r="Z385" s="0" t="s">
        <v>123</v>
      </c>
      <c r="AA385" s="0" t="n">
        <f aca="false">IF(AND(ISNUMBER(B385),B385&gt;0,ISNUMBER(U385),U385&gt;=0,ISNUMBER(O385),O385&gt;=0),1,0)</f>
        <v>1</v>
      </c>
      <c r="AB385" s="0" t="n">
        <f aca="false">IF(AA385=1,U385+O385,0)</f>
        <v>173</v>
      </c>
      <c r="AC385" s="0" t="n">
        <f aca="false">IF(AA385=1,100*AB385/B385,"")</f>
        <v>0.0492648712990833</v>
      </c>
      <c r="AD385" s="0" t="n">
        <f aca="false">IF(AND(AND(ISNUMBER(B385),B385=OriginalFinancials!B385),AND(ISNUMBER(U385),U385=OriginalFinancials!U385),AND(ISNUMBER(O385),O385=OriginalFinancials!O385)),0,1)</f>
        <v>0</v>
      </c>
      <c r="AE385" s="0" t="str">
        <f aca="false">IF(V385=0,"原始0：需核实适用/报告口径","")</f>
        <v>原始0：需核实适用/报告口径</v>
      </c>
    </row>
    <row r="386" customFormat="false" ht="15" hidden="false" customHeight="false" outlineLevel="0" collapsed="false">
      <c r="A386" s="0" t="n">
        <v>386</v>
      </c>
      <c r="B386" s="0" t="n">
        <v>1865564</v>
      </c>
      <c r="C386" s="0" t="n">
        <v>17658</v>
      </c>
      <c r="D386" s="0" t="n">
        <v>1489308</v>
      </c>
      <c r="E386" s="0" t="n">
        <v>0.09</v>
      </c>
      <c r="F386" s="0" t="n">
        <v>208565</v>
      </c>
      <c r="G386" s="0" t="n">
        <v>11.1797290256459</v>
      </c>
      <c r="H386" s="0" t="s">
        <v>543</v>
      </c>
      <c r="I386" s="0" t="n">
        <v>0.704655383905784</v>
      </c>
      <c r="J386" s="0" t="n">
        <v>101314</v>
      </c>
      <c r="K386" s="0" t="n">
        <v>79258</v>
      </c>
      <c r="L386" s="0" t="n">
        <v>1305177</v>
      </c>
      <c r="M386" s="0" t="n">
        <v>1295980</v>
      </c>
      <c r="N386" s="0" t="n">
        <v>1111057</v>
      </c>
      <c r="O386" s="0" t="n">
        <v>8793</v>
      </c>
      <c r="P386" s="0" t="s">
        <v>131</v>
      </c>
      <c r="Q386" s="0" t="n">
        <v>0.67370172781163</v>
      </c>
      <c r="R386" s="0" t="n">
        <v>3.36483689960805</v>
      </c>
      <c r="S386" s="0" t="n">
        <v>-127</v>
      </c>
      <c r="T386" s="0" t="n">
        <v>3070</v>
      </c>
      <c r="U386" s="0" t="n">
        <v>0</v>
      </c>
      <c r="V386" s="0" t="n">
        <v>0</v>
      </c>
      <c r="W386" s="0" t="n">
        <v>20231231</v>
      </c>
      <c r="X386" s="0" t="n">
        <v>0.767976387669771</v>
      </c>
      <c r="Y386" s="0" t="n">
        <v>7.19</v>
      </c>
      <c r="Z386" s="0" t="s">
        <v>105</v>
      </c>
      <c r="AA386" s="0" t="n">
        <f aca="false">IF(AND(ISNUMBER(B386),B386&gt;0,ISNUMBER(U386),U386&gt;=0,ISNUMBER(O386),O386&gt;=0),1,0)</f>
        <v>1</v>
      </c>
      <c r="AB386" s="0" t="n">
        <f aca="false">IF(AA386=1,U386+O386,0)</f>
        <v>8793</v>
      </c>
      <c r="AC386" s="0" t="n">
        <f aca="false">IF(AA386=1,100*AB386/B386,"")</f>
        <v>0.471331993970724</v>
      </c>
      <c r="AD386" s="0" t="n">
        <f aca="false">IF(AND(AND(ISNUMBER(B386),B386=OriginalFinancials!B386),AND(ISNUMBER(U386),U386=OriginalFinancials!U386),AND(ISNUMBER(O386),O386=OriginalFinancials!O386)),0,1)</f>
        <v>0</v>
      </c>
      <c r="AE386" s="0" t="str">
        <f aca="false">IF(V386=0,"原始0：需核实适用/报告口径","")</f>
        <v>原始0：需核实适用/报告口径</v>
      </c>
    </row>
    <row r="387" customFormat="false" ht="15" hidden="false" customHeight="false" outlineLevel="0" collapsed="false">
      <c r="A387" s="0" t="n">
        <v>387</v>
      </c>
      <c r="B387" s="0" t="n">
        <v>1084657</v>
      </c>
      <c r="C387" s="0" t="n">
        <v>17741</v>
      </c>
      <c r="D387" s="0" t="n">
        <v>813318</v>
      </c>
      <c r="E387" s="0" t="n">
        <v>0.05</v>
      </c>
      <c r="F387" s="0" t="n">
        <v>139308</v>
      </c>
      <c r="G387" s="0" t="n">
        <v>12.8435072101134</v>
      </c>
      <c r="H387" s="0" t="s">
        <v>544</v>
      </c>
      <c r="I387" s="0" t="n">
        <v>0.951890806239519</v>
      </c>
      <c r="J387" s="0" t="n">
        <v>54439</v>
      </c>
      <c r="K387" s="0" t="n">
        <v>4268</v>
      </c>
      <c r="L387" s="0" t="n">
        <v>917122</v>
      </c>
      <c r="M387" s="0" t="n">
        <v>908392</v>
      </c>
      <c r="N387" s="0" t="n">
        <v>853812</v>
      </c>
      <c r="O387" s="0" t="n">
        <v>6632</v>
      </c>
      <c r="P387" s="0" t="s">
        <v>133</v>
      </c>
      <c r="Q387" s="0" t="n">
        <v>0.723131709848853</v>
      </c>
      <c r="R387" s="0" t="n">
        <v>3.25992794364075</v>
      </c>
      <c r="S387" s="0" t="n">
        <v>-17</v>
      </c>
      <c r="T387" s="0" t="n">
        <v>2100</v>
      </c>
      <c r="U387" s="0" t="n">
        <v>0</v>
      </c>
      <c r="V387" s="0" t="n">
        <v>0</v>
      </c>
      <c r="W387" s="0" t="n">
        <v>20231231</v>
      </c>
      <c r="X387" s="0" t="n">
        <v>0.623237286824956</v>
      </c>
      <c r="Y387" s="0" t="n">
        <v>4.85</v>
      </c>
      <c r="Z387" s="0" t="s">
        <v>105</v>
      </c>
      <c r="AA387" s="0" t="n">
        <f aca="false">IF(AND(ISNUMBER(B387),B387&gt;0,ISNUMBER(U387),U387&gt;=0,ISNUMBER(O387),O387&gt;=0),1,0)</f>
        <v>1</v>
      </c>
      <c r="AB387" s="0" t="n">
        <f aca="false">IF(AA387=1,U387+O387,0)</f>
        <v>6632</v>
      </c>
      <c r="AC387" s="0" t="n">
        <f aca="false">IF(AA387=1,100*AB387/B387,"")</f>
        <v>0.611437532786862</v>
      </c>
      <c r="AD387" s="0" t="n">
        <f aca="false">IF(AND(AND(ISNUMBER(B387),B387=OriginalFinancials!B387),AND(ISNUMBER(U387),U387=OriginalFinancials!U387),AND(ISNUMBER(O387),O387=OriginalFinancials!O387)),0,1)</f>
        <v>0</v>
      </c>
      <c r="AE387" s="0" t="str">
        <f aca="false">IF(V387=0,"原始0：需核实适用/报告口径","")</f>
        <v>原始0：需核实适用/报告口径</v>
      </c>
    </row>
    <row r="388" customFormat="false" ht="15" hidden="false" customHeight="false" outlineLevel="0" collapsed="false">
      <c r="A388" s="0" t="n">
        <v>388</v>
      </c>
      <c r="B388" s="0" t="n">
        <v>1380826</v>
      </c>
      <c r="C388" s="0" t="n">
        <v>17743</v>
      </c>
      <c r="D388" s="0" t="n">
        <v>963516</v>
      </c>
      <c r="E388" s="0" t="n">
        <v>0</v>
      </c>
      <c r="F388" s="0" t="n">
        <v>122659</v>
      </c>
      <c r="G388" s="0" t="n">
        <v>8.88301639743168</v>
      </c>
      <c r="H388" s="0" t="s">
        <v>545</v>
      </c>
      <c r="I388" s="0" t="n">
        <v>0.429064247882617</v>
      </c>
      <c r="J388" s="0" t="n">
        <v>16284</v>
      </c>
      <c r="K388" s="0" t="n">
        <v>9354</v>
      </c>
      <c r="L388" s="0" t="n">
        <v>1091678</v>
      </c>
      <c r="M388" s="0" t="n">
        <v>1086994</v>
      </c>
      <c r="N388" s="0" t="n">
        <v>1054307</v>
      </c>
      <c r="O388" s="0" t="n">
        <v>1762</v>
      </c>
      <c r="P388" s="0" t="s">
        <v>135</v>
      </c>
      <c r="Q388" s="0" t="n">
        <v>0.161402904519465</v>
      </c>
      <c r="R388" s="0" t="n">
        <v>2.02539734976566</v>
      </c>
      <c r="S388" s="0" t="n">
        <v>13</v>
      </c>
      <c r="T388" s="0" t="n">
        <v>3339</v>
      </c>
      <c r="U388" s="0" t="n">
        <v>0</v>
      </c>
      <c r="V388" s="0" t="n">
        <v>0</v>
      </c>
      <c r="W388" s="0" t="n">
        <v>20231231</v>
      </c>
      <c r="X388" s="0" t="n">
        <v>0.0464740506827768</v>
      </c>
      <c r="Y388" s="0" t="n">
        <v>0.51</v>
      </c>
      <c r="Z388" s="0" t="s">
        <v>105</v>
      </c>
      <c r="AA388" s="0" t="n">
        <f aca="false">IF(AND(ISNUMBER(B388),B388&gt;0,ISNUMBER(U388),U388&gt;=0,ISNUMBER(O388),O388&gt;=0),1,0)</f>
        <v>1</v>
      </c>
      <c r="AB388" s="0" t="n">
        <f aca="false">IF(AA388=1,U388+O388,0)</f>
        <v>1762</v>
      </c>
      <c r="AC388" s="0" t="n">
        <f aca="false">IF(AA388=1,100*AB388/B388,"")</f>
        <v>0.127604781485864</v>
      </c>
      <c r="AD388" s="0" t="n">
        <f aca="false">IF(AND(AND(ISNUMBER(B388),B388=OriginalFinancials!B388),AND(ISNUMBER(U388),U388=OriginalFinancials!U388),AND(ISNUMBER(O388),O388=OriginalFinancials!O388)),0,1)</f>
        <v>0</v>
      </c>
      <c r="AE388" s="0" t="str">
        <f aca="false">IF(V388=0,"原始0：需核实适用/报告口径","")</f>
        <v>原始0：需核实适用/报告口径</v>
      </c>
    </row>
    <row r="389" customFormat="false" ht="15" hidden="false" customHeight="false" outlineLevel="0" collapsed="false">
      <c r="A389" s="0" t="n">
        <v>389</v>
      </c>
      <c r="B389" s="0" t="n">
        <v>1668860</v>
      </c>
      <c r="C389" s="0" t="n">
        <v>17748</v>
      </c>
      <c r="D389" s="0" t="n">
        <v>1336828</v>
      </c>
      <c r="E389" s="0" t="n">
        <v>-0.04</v>
      </c>
      <c r="F389" s="0" t="n">
        <v>114376</v>
      </c>
      <c r="G389" s="0" t="n">
        <v>6.85354074038565</v>
      </c>
      <c r="H389" s="0" t="s">
        <v>546</v>
      </c>
      <c r="I389" s="0" t="n">
        <v>0.774689870119317</v>
      </c>
      <c r="J389" s="0" t="n">
        <v>175931</v>
      </c>
      <c r="K389" s="0" t="n">
        <v>3416</v>
      </c>
      <c r="L389" s="0" t="n">
        <v>1279867</v>
      </c>
      <c r="M389" s="0" t="n">
        <v>1269952</v>
      </c>
      <c r="N389" s="0" t="n">
        <v>1067583</v>
      </c>
      <c r="O389" s="0" t="n">
        <v>7520</v>
      </c>
      <c r="P389" s="0" t="s">
        <v>137</v>
      </c>
      <c r="Q389" s="0" t="n">
        <v>0.587561051265483</v>
      </c>
      <c r="R389" s="0" t="n">
        <v>2.48310737904527</v>
      </c>
      <c r="S389" s="0" t="n">
        <v>1213</v>
      </c>
      <c r="T389" s="0" t="n">
        <v>8168</v>
      </c>
      <c r="U389" s="0" t="n">
        <v>0</v>
      </c>
      <c r="V389" s="0" t="n">
        <v>0</v>
      </c>
      <c r="W389" s="0" t="n">
        <v>20231231</v>
      </c>
      <c r="X389" s="0" t="n">
        <v>0.322207444052572</v>
      </c>
      <c r="Y389" s="0" t="n">
        <v>4.89</v>
      </c>
      <c r="Z389" s="0" t="s">
        <v>105</v>
      </c>
      <c r="AA389" s="0" t="n">
        <f aca="false">IF(AND(ISNUMBER(B389),B389&gt;0,ISNUMBER(U389),U389&gt;=0,ISNUMBER(O389),O389&gt;=0),1,0)</f>
        <v>1</v>
      </c>
      <c r="AB389" s="0" t="n">
        <f aca="false">IF(AA389=1,U389+O389,0)</f>
        <v>7520</v>
      </c>
      <c r="AC389" s="0" t="n">
        <f aca="false">IF(AA389=1,100*AB389/B389,"")</f>
        <v>0.450607001186439</v>
      </c>
      <c r="AD389" s="0" t="n">
        <f aca="false">IF(AND(AND(ISNUMBER(B389),B389=OriginalFinancials!B389),AND(ISNUMBER(U389),U389=OriginalFinancials!U389),AND(ISNUMBER(O389),O389=OriginalFinancials!O389)),0,1)</f>
        <v>0</v>
      </c>
      <c r="AE389" s="0" t="str">
        <f aca="false">IF(V389=0,"原始0：需核实适用/报告口径","")</f>
        <v>原始0：需核实适用/报告口径</v>
      </c>
    </row>
    <row r="390" customFormat="false" ht="15" hidden="false" customHeight="false" outlineLevel="0" collapsed="false">
      <c r="A390" s="0" t="n">
        <v>390</v>
      </c>
      <c r="B390" s="0" t="n">
        <v>1355181</v>
      </c>
      <c r="C390" s="0" t="n">
        <v>17749</v>
      </c>
      <c r="D390" s="0" t="n">
        <v>1052313</v>
      </c>
      <c r="E390" s="0" t="n">
        <v>0.03</v>
      </c>
      <c r="F390" s="0" t="n">
        <v>172387</v>
      </c>
      <c r="G390" s="0" t="n">
        <v>12.7205886151001</v>
      </c>
      <c r="H390" s="0" t="s">
        <v>547</v>
      </c>
      <c r="I390" s="0" t="n">
        <v>1.38040774735024</v>
      </c>
      <c r="J390" s="0" t="n">
        <v>48794</v>
      </c>
      <c r="K390" s="0" t="n">
        <v>10226</v>
      </c>
      <c r="L390" s="0" t="n">
        <v>796866</v>
      </c>
      <c r="M390" s="0" t="n">
        <v>785866</v>
      </c>
      <c r="N390" s="0" t="n">
        <v>724667</v>
      </c>
      <c r="O390" s="0" t="n">
        <v>247</v>
      </c>
      <c r="P390" s="0" t="s">
        <v>139</v>
      </c>
      <c r="Q390" s="0" t="n">
        <v>0.0491927124510268</v>
      </c>
      <c r="R390" s="0" t="n">
        <v>2.72937346562349</v>
      </c>
      <c r="S390" s="0" t="n">
        <v>47</v>
      </c>
      <c r="T390" s="0" t="n">
        <v>630</v>
      </c>
      <c r="U390" s="0" t="n">
        <v>145</v>
      </c>
      <c r="V390" s="0" t="n">
        <v>0</v>
      </c>
      <c r="W390" s="0" t="n">
        <v>20231231</v>
      </c>
      <c r="X390" s="0" t="n">
        <v>1.21574319970484</v>
      </c>
      <c r="Y390" s="0" t="n">
        <v>9.92</v>
      </c>
      <c r="Z390" s="0" t="s">
        <v>105</v>
      </c>
      <c r="AA390" s="0" t="n">
        <f aca="false">IF(AND(ISNUMBER(B390),B390&gt;0,ISNUMBER(U390),U390&gt;=0,ISNUMBER(O390),O390&gt;=0),1,0)</f>
        <v>1</v>
      </c>
      <c r="AB390" s="0" t="n">
        <f aca="false">IF(AA390=1,U390+O390,0)</f>
        <v>392</v>
      </c>
      <c r="AC390" s="0" t="n">
        <f aca="false">IF(AA390=1,100*AB390/B390,"")</f>
        <v>0.0289260253796356</v>
      </c>
      <c r="AD390" s="0" t="n">
        <f aca="false">IF(AND(AND(ISNUMBER(B390),B390=OriginalFinancials!B390),AND(ISNUMBER(U390),U390=OriginalFinancials!U390),AND(ISNUMBER(O390),O390=OriginalFinancials!O390)),0,1)</f>
        <v>0</v>
      </c>
      <c r="AE390" s="0" t="str">
        <f aca="false">IF(V390=0,"原始0：需核实适用/报告口径","")</f>
        <v>原始0：需核实适用/报告口径</v>
      </c>
    </row>
    <row r="391" customFormat="false" ht="15" hidden="false" customHeight="false" outlineLevel="0" collapsed="false">
      <c r="A391" s="0" t="n">
        <v>391</v>
      </c>
      <c r="B391" s="0" t="n">
        <v>1594063</v>
      </c>
      <c r="C391" s="0" t="n">
        <v>17751</v>
      </c>
      <c r="D391" s="0" t="n">
        <v>1298128</v>
      </c>
      <c r="E391" s="0" t="n">
        <v>0.04</v>
      </c>
      <c r="F391" s="0" t="n">
        <v>137906</v>
      </c>
      <c r="G391" s="0" t="n">
        <v>8.65122645717265</v>
      </c>
      <c r="H391" s="0" t="s">
        <v>548</v>
      </c>
      <c r="I391" s="0" t="n">
        <v>0.915292945996871</v>
      </c>
      <c r="J391" s="0" t="n">
        <v>128172</v>
      </c>
      <c r="K391" s="0" t="n">
        <v>3312</v>
      </c>
      <c r="L391" s="0" t="n">
        <v>1301332</v>
      </c>
      <c r="M391" s="0" t="n">
        <v>1289421</v>
      </c>
      <c r="N391" s="0" t="n">
        <v>1106344</v>
      </c>
      <c r="O391" s="0" t="n">
        <v>868</v>
      </c>
      <c r="P391" s="0" t="s">
        <v>141</v>
      </c>
      <c r="Q391" s="0" t="n">
        <v>0.0667008880132049</v>
      </c>
      <c r="R391" s="0" t="n">
        <v>3.06166841264483</v>
      </c>
      <c r="S391" s="0" t="n">
        <v>4158</v>
      </c>
      <c r="T391" s="0" t="n">
        <v>5195</v>
      </c>
      <c r="U391" s="0" t="n">
        <v>0</v>
      </c>
      <c r="V391" s="0" t="n">
        <v>12.1764467340533</v>
      </c>
      <c r="W391" s="0" t="n">
        <v>20231231</v>
      </c>
      <c r="X391" s="0" t="n">
        <v>0.596513557387332</v>
      </c>
      <c r="Y391" s="0" t="n">
        <v>7.02</v>
      </c>
      <c r="Z391" s="0" t="s">
        <v>105</v>
      </c>
      <c r="AA391" s="0" t="n">
        <f aca="false">IF(AND(ISNUMBER(B391),B391&gt;0,ISNUMBER(U391),U391&gt;=0,ISNUMBER(O391),O391&gt;=0),1,0)</f>
        <v>1</v>
      </c>
      <c r="AB391" s="0" t="n">
        <f aca="false">IF(AA391=1,U391+O391,0)</f>
        <v>868</v>
      </c>
      <c r="AC391" s="0" t="n">
        <f aca="false">IF(AA391=1,100*AB391/B391,"")</f>
        <v>0.0544520511422698</v>
      </c>
      <c r="AD391" s="0" t="n">
        <f aca="false">IF(AND(AND(ISNUMBER(B391),B391=OriginalFinancials!B391),AND(ISNUMBER(U391),U391=OriginalFinancials!U391),AND(ISNUMBER(O391),O391=OriginalFinancials!O391)),0,1)</f>
        <v>0</v>
      </c>
      <c r="AE391" s="0" t="str">
        <f aca="false">IF(V391=0,"原始0：需核实适用/报告口径","")</f>
        <v/>
      </c>
    </row>
    <row r="392" customFormat="false" ht="15" hidden="false" customHeight="false" outlineLevel="0" collapsed="false">
      <c r="A392" s="0" t="n">
        <v>392</v>
      </c>
      <c r="B392" s="0" t="n">
        <v>1710496</v>
      </c>
      <c r="C392" s="0" t="n">
        <v>17897</v>
      </c>
      <c r="D392" s="0" t="n">
        <v>1305375</v>
      </c>
      <c r="E392" s="0" t="n">
        <v>-0.02</v>
      </c>
      <c r="F392" s="0" t="n">
        <v>207718</v>
      </c>
      <c r="G392" s="0" t="n">
        <v>12.1437290703983</v>
      </c>
      <c r="H392" s="0" t="s">
        <v>549</v>
      </c>
      <c r="I392" s="0" t="n">
        <v>0.621882876184048</v>
      </c>
      <c r="J392" s="0" t="n">
        <v>72247</v>
      </c>
      <c r="K392" s="0" t="n">
        <v>3995</v>
      </c>
      <c r="L392" s="0" t="n">
        <v>1443037</v>
      </c>
      <c r="M392" s="0" t="n">
        <v>1434063</v>
      </c>
      <c r="N392" s="0" t="n">
        <v>1358198</v>
      </c>
      <c r="O392" s="0" t="n">
        <v>3022</v>
      </c>
      <c r="P392" s="0" t="s">
        <v>143</v>
      </c>
      <c r="Q392" s="0" t="n">
        <v>0.209419439695586</v>
      </c>
      <c r="R392" s="0" t="n">
        <v>2.54413608727822</v>
      </c>
      <c r="S392" s="0" t="n">
        <v>-105</v>
      </c>
      <c r="T392" s="0" t="n">
        <v>2841</v>
      </c>
      <c r="U392" s="0" t="n">
        <v>0</v>
      </c>
      <c r="V392" s="0" t="n">
        <v>17.2376294794173</v>
      </c>
      <c r="W392" s="0" t="n">
        <v>20231231</v>
      </c>
      <c r="X392" s="0" t="n">
        <v>0.65399363820256</v>
      </c>
      <c r="Y392" s="0" t="n">
        <v>5.45</v>
      </c>
      <c r="Z392" s="0" t="s">
        <v>105</v>
      </c>
      <c r="AA392" s="0" t="n">
        <f aca="false">IF(AND(ISNUMBER(B392),B392&gt;0,ISNUMBER(U392),U392&gt;=0,ISNUMBER(O392),O392&gt;=0),1,0)</f>
        <v>1</v>
      </c>
      <c r="AB392" s="0" t="n">
        <f aca="false">IF(AA392=1,U392+O392,0)</f>
        <v>3022</v>
      </c>
      <c r="AC392" s="0" t="n">
        <f aca="false">IF(AA392=1,100*AB392/B392,"")</f>
        <v>0.176673900435897</v>
      </c>
      <c r="AD392" s="0" t="n">
        <f aca="false">IF(AND(AND(ISNUMBER(B392),B392=OriginalFinancials!B392),AND(ISNUMBER(U392),U392=OriginalFinancials!U392),AND(ISNUMBER(O392),O392=OriginalFinancials!O392)),0,1)</f>
        <v>0</v>
      </c>
      <c r="AE392" s="0" t="str">
        <f aca="false">IF(V392=0,"原始0：需核实适用/报告口径","")</f>
        <v/>
      </c>
    </row>
    <row r="393" customFormat="false" ht="15" hidden="false" customHeight="false" outlineLevel="0" collapsed="false">
      <c r="A393" s="0" t="n">
        <v>393</v>
      </c>
      <c r="B393" s="0" t="n">
        <v>786047</v>
      </c>
      <c r="C393" s="0" t="n">
        <v>17951</v>
      </c>
      <c r="D393" s="0" t="n">
        <v>667956</v>
      </c>
      <c r="E393" s="0" t="n">
        <v>0.1</v>
      </c>
      <c r="F393" s="0" t="n">
        <v>61893</v>
      </c>
      <c r="G393" s="0" t="n">
        <v>7.8739566463583</v>
      </c>
      <c r="H393" s="0" t="s">
        <v>550</v>
      </c>
      <c r="I393" s="0" t="n">
        <v>0.85332385770691</v>
      </c>
      <c r="J393" s="0" t="n">
        <v>24625</v>
      </c>
      <c r="K393" s="0" t="n">
        <v>2014</v>
      </c>
      <c r="L393" s="0" t="n">
        <v>579733</v>
      </c>
      <c r="M393" s="0" t="n">
        <v>574786</v>
      </c>
      <c r="N393" s="0" t="n">
        <v>540903</v>
      </c>
      <c r="O393" s="0" t="n">
        <v>175</v>
      </c>
      <c r="P393" s="0" t="s">
        <v>145</v>
      </c>
      <c r="Q393" s="0" t="n">
        <v>0.030186309904732</v>
      </c>
      <c r="R393" s="0" t="n">
        <v>2.70000309550974</v>
      </c>
      <c r="S393" s="0" t="n">
        <v>-192</v>
      </c>
      <c r="T393" s="0" t="n">
        <v>24</v>
      </c>
      <c r="U393" s="0" t="n">
        <v>0</v>
      </c>
      <c r="V393" s="0" t="n">
        <v>14.5884941078829</v>
      </c>
      <c r="W393" s="0" t="n">
        <v>20231231</v>
      </c>
      <c r="X393" s="0" t="n">
        <v>0.589256193210774</v>
      </c>
      <c r="Y393" s="0" t="n">
        <v>7.91</v>
      </c>
      <c r="Z393" s="0" t="s">
        <v>123</v>
      </c>
      <c r="AA393" s="0" t="n">
        <f aca="false">IF(AND(ISNUMBER(B393),B393&gt;0,ISNUMBER(U393),U393&gt;=0,ISNUMBER(O393),O393&gt;=0),1,0)</f>
        <v>1</v>
      </c>
      <c r="AB393" s="0" t="n">
        <f aca="false">IF(AA393=1,U393+O393,0)</f>
        <v>175</v>
      </c>
      <c r="AC393" s="0" t="n">
        <f aca="false">IF(AA393=1,100*AB393/B393,"")</f>
        <v>0.0222632997772398</v>
      </c>
      <c r="AD393" s="0" t="n">
        <f aca="false">IF(AND(AND(ISNUMBER(B393),B393=OriginalFinancials!B393),AND(ISNUMBER(U393),U393=OriginalFinancials!U393),AND(ISNUMBER(O393),O393=OriginalFinancials!O393)),0,1)</f>
        <v>0</v>
      </c>
      <c r="AE393" s="0" t="str">
        <f aca="false">IF(V393=0,"原始0：需核实适用/报告口径","")</f>
        <v/>
      </c>
    </row>
    <row r="394" customFormat="false" ht="15" hidden="false" customHeight="false" outlineLevel="0" collapsed="false">
      <c r="A394" s="0" t="n">
        <v>394</v>
      </c>
      <c r="B394" s="0" t="n">
        <v>1368285</v>
      </c>
      <c r="C394" s="0" t="n">
        <v>17960</v>
      </c>
      <c r="D394" s="0" t="n">
        <v>1030269</v>
      </c>
      <c r="E394" s="0" t="n">
        <v>0.05</v>
      </c>
      <c r="F394" s="0" t="n">
        <v>113530</v>
      </c>
      <c r="G394" s="0" t="n">
        <v>8.29724801485071</v>
      </c>
      <c r="H394" s="0" t="s">
        <v>551</v>
      </c>
      <c r="I394" s="0" t="n">
        <v>0.979023979950907</v>
      </c>
      <c r="J394" s="0" t="n">
        <v>105296</v>
      </c>
      <c r="K394" s="0" t="n">
        <v>223057</v>
      </c>
      <c r="L394" s="0" t="n">
        <v>1165140</v>
      </c>
      <c r="M394" s="0" t="n">
        <v>1153733</v>
      </c>
      <c r="N394" s="0" t="n">
        <v>832768</v>
      </c>
      <c r="O394" s="0" t="n">
        <v>8829</v>
      </c>
      <c r="P394" s="0" t="s">
        <v>147</v>
      </c>
      <c r="Q394" s="0" t="n">
        <v>0.782137768851812</v>
      </c>
      <c r="R394" s="0" t="n">
        <v>2.79041633518132</v>
      </c>
      <c r="S394" s="0" t="n">
        <v>199</v>
      </c>
      <c r="T394" s="0" t="n">
        <v>2370</v>
      </c>
      <c r="U394" s="0" t="n">
        <v>284</v>
      </c>
      <c r="V394" s="0" t="n">
        <v>13.2488524274602</v>
      </c>
      <c r="W394" s="0" t="n">
        <v>20231231</v>
      </c>
      <c r="X394" s="0" t="n">
        <v>0.517619709580597</v>
      </c>
      <c r="Y394" s="0" t="n">
        <v>6.46</v>
      </c>
      <c r="Z394" s="0" t="s">
        <v>123</v>
      </c>
      <c r="AA394" s="0" t="n">
        <f aca="false">IF(AND(ISNUMBER(B394),B394&gt;0,ISNUMBER(U394),U394&gt;=0,ISNUMBER(O394),O394&gt;=0),1,0)</f>
        <v>1</v>
      </c>
      <c r="AB394" s="0" t="n">
        <f aca="false">IF(AA394=1,U394+O394,0)</f>
        <v>9113</v>
      </c>
      <c r="AC394" s="0" t="n">
        <f aca="false">IF(AA394=1,100*AB394/B394,"")</f>
        <v>0.666016217381613</v>
      </c>
      <c r="AD394" s="0" t="n">
        <f aca="false">IF(AND(AND(ISNUMBER(B394),B394=OriginalFinancials!B394),AND(ISNUMBER(U394),U394=OriginalFinancials!U394),AND(ISNUMBER(O394),O394=OriginalFinancials!O394)),0,1)</f>
        <v>0</v>
      </c>
      <c r="AE394" s="0" t="str">
        <f aca="false">IF(V394=0,"原始0：需核实适用/报告口径","")</f>
        <v/>
      </c>
    </row>
    <row r="395" customFormat="false" ht="15" hidden="false" customHeight="false" outlineLevel="0" collapsed="false">
      <c r="A395" s="0" t="n">
        <v>395</v>
      </c>
      <c r="B395" s="0" t="n">
        <v>2515915</v>
      </c>
      <c r="C395" s="0" t="n">
        <v>18012</v>
      </c>
      <c r="D395" s="0" t="n">
        <v>2106019</v>
      </c>
      <c r="E395" s="0" t="n">
        <v>-0.02</v>
      </c>
      <c r="F395" s="0" t="n">
        <v>266248</v>
      </c>
      <c r="G395" s="0" t="n">
        <v>10.5825514772955</v>
      </c>
      <c r="H395" s="0" t="s">
        <v>552</v>
      </c>
      <c r="I395" s="0" t="n">
        <v>1.20429468902431</v>
      </c>
      <c r="J395" s="0" t="n">
        <v>49841</v>
      </c>
      <c r="K395" s="0" t="n">
        <v>33148</v>
      </c>
      <c r="L395" s="0" t="n">
        <v>1993532</v>
      </c>
      <c r="M395" s="0" t="n">
        <v>1969524</v>
      </c>
      <c r="N395" s="0" t="n">
        <v>1887130</v>
      </c>
      <c r="O395" s="0" t="n">
        <v>555</v>
      </c>
      <c r="P395" s="0" t="s">
        <v>149</v>
      </c>
      <c r="Q395" s="0" t="n">
        <v>0.0278400346721296</v>
      </c>
      <c r="R395" s="0" t="n">
        <v>3.00536889829927</v>
      </c>
      <c r="S395" s="0" t="n">
        <v>162</v>
      </c>
      <c r="T395" s="0" t="n">
        <v>3215</v>
      </c>
      <c r="U395" s="0" t="n">
        <v>0</v>
      </c>
      <c r="V395" s="0" t="n">
        <v>14.2074219489544</v>
      </c>
      <c r="W395" s="0" t="n">
        <v>20231231</v>
      </c>
      <c r="X395" s="0" t="n">
        <v>0.877971664486964</v>
      </c>
      <c r="Y395" s="0" t="n">
        <v>8.58</v>
      </c>
      <c r="Z395" s="0" t="s">
        <v>123</v>
      </c>
      <c r="AA395" s="0" t="n">
        <f aca="false">IF(AND(ISNUMBER(B395),B395&gt;0,ISNUMBER(U395),U395&gt;=0,ISNUMBER(O395),O395&gt;=0),1,0)</f>
        <v>1</v>
      </c>
      <c r="AB395" s="0" t="n">
        <f aca="false">IF(AA395=1,U395+O395,0)</f>
        <v>555</v>
      </c>
      <c r="AC395" s="0" t="n">
        <f aca="false">IF(AA395=1,100*AB395/B395,"")</f>
        <v>0.022059568785114</v>
      </c>
      <c r="AD395" s="0" t="n">
        <f aca="false">IF(AND(AND(ISNUMBER(B395),B395=OriginalFinancials!B395),AND(ISNUMBER(U395),U395=OriginalFinancials!U395),AND(ISNUMBER(O395),O395=OriginalFinancials!O395)),0,1)</f>
        <v>0</v>
      </c>
      <c r="AE395" s="0" t="str">
        <f aca="false">IF(V395=0,"原始0：需核实适用/报告口径","")</f>
        <v/>
      </c>
    </row>
    <row r="396" customFormat="false" ht="15" hidden="false" customHeight="false" outlineLevel="0" collapsed="false">
      <c r="A396" s="0" t="n">
        <v>396</v>
      </c>
      <c r="B396" s="0" t="n">
        <v>2931539</v>
      </c>
      <c r="C396" s="0" t="n">
        <v>18013</v>
      </c>
      <c r="D396" s="0" t="n">
        <v>2493477</v>
      </c>
      <c r="E396" s="0" t="n">
        <v>0.05</v>
      </c>
      <c r="F396" s="0" t="n">
        <v>220301</v>
      </c>
      <c r="G396" s="0" t="n">
        <v>7.51485823657812</v>
      </c>
      <c r="H396" s="0" t="s">
        <v>553</v>
      </c>
      <c r="I396" s="0" t="n">
        <v>0.71005314133557</v>
      </c>
      <c r="J396" s="0" t="n">
        <v>110574</v>
      </c>
      <c r="K396" s="0" t="n">
        <v>26129</v>
      </c>
      <c r="L396" s="0" t="n">
        <v>2374611</v>
      </c>
      <c r="M396" s="0" t="n">
        <v>2357750</v>
      </c>
      <c r="N396" s="0" t="n">
        <v>2161468</v>
      </c>
      <c r="O396" s="0" t="n">
        <v>686</v>
      </c>
      <c r="P396" s="0" t="s">
        <v>151</v>
      </c>
      <c r="Q396" s="0" t="n">
        <v>0.0298996340874357</v>
      </c>
      <c r="R396" s="0" t="n">
        <v>2.73279494803359</v>
      </c>
      <c r="S396" s="0" t="n">
        <v>320</v>
      </c>
      <c r="T396" s="0" t="n">
        <v>5925</v>
      </c>
      <c r="U396" s="0" t="n">
        <v>24</v>
      </c>
      <c r="V396" s="0" t="n">
        <v>12.6829971931169</v>
      </c>
      <c r="W396" s="0" t="n">
        <v>20231231</v>
      </c>
      <c r="X396" s="0" t="n">
        <v>0.394516829891397</v>
      </c>
      <c r="Y396" s="0" t="n">
        <v>5.28</v>
      </c>
      <c r="Z396" s="0" t="s">
        <v>123</v>
      </c>
      <c r="AA396" s="0" t="n">
        <f aca="false">IF(AND(ISNUMBER(B396),B396&gt;0,ISNUMBER(U396),U396&gt;=0,ISNUMBER(O396),O396&gt;=0),1,0)</f>
        <v>1</v>
      </c>
      <c r="AB396" s="0" t="n">
        <f aca="false">IF(AA396=1,U396+O396,0)</f>
        <v>710</v>
      </c>
      <c r="AC396" s="0" t="n">
        <f aca="false">IF(AA396=1,100*AB396/B396,"")</f>
        <v>0.0242193605474803</v>
      </c>
      <c r="AD396" s="0" t="n">
        <f aca="false">IF(AND(AND(ISNUMBER(B396),B396=OriginalFinancials!B396),AND(ISNUMBER(U396),U396=OriginalFinancials!U396),AND(ISNUMBER(O396),O396=OriginalFinancials!O396)),0,1)</f>
        <v>0</v>
      </c>
      <c r="AE396" s="0" t="str">
        <f aca="false">IF(V396=0,"原始0：需核实适用/报告口径","")</f>
        <v/>
      </c>
    </row>
    <row r="397" customFormat="false" ht="15" hidden="false" customHeight="false" outlineLevel="0" collapsed="false">
      <c r="A397" s="0" t="n">
        <v>397</v>
      </c>
      <c r="B397" s="0" t="n">
        <v>392854</v>
      </c>
      <c r="C397" s="0" t="n">
        <v>18028</v>
      </c>
      <c r="D397" s="0" t="n">
        <v>313497</v>
      </c>
      <c r="E397" s="0" t="n">
        <v>0.07</v>
      </c>
      <c r="F397" s="0" t="n">
        <v>40632</v>
      </c>
      <c r="G397" s="0" t="n">
        <v>10.3427736512801</v>
      </c>
      <c r="H397" s="0" t="s">
        <v>554</v>
      </c>
      <c r="I397" s="0" t="n">
        <v>0.877133414821857</v>
      </c>
      <c r="J397" s="0" t="n">
        <v>15393</v>
      </c>
      <c r="K397" s="0" t="n">
        <v>6367</v>
      </c>
      <c r="L397" s="0" t="n">
        <v>265068</v>
      </c>
      <c r="M397" s="0" t="n">
        <v>262743</v>
      </c>
      <c r="N397" s="0" t="n">
        <v>237654</v>
      </c>
      <c r="O397" s="0" t="n">
        <v>817</v>
      </c>
      <c r="P397" s="0" t="s">
        <v>153</v>
      </c>
      <c r="Q397" s="0" t="n">
        <v>0.347458010774594</v>
      </c>
      <c r="R397" s="0" t="n">
        <v>3.41924397656439</v>
      </c>
      <c r="S397" s="0" t="n">
        <v>383</v>
      </c>
      <c r="T397" s="0" t="n">
        <v>1644</v>
      </c>
      <c r="U397" s="0" t="n">
        <v>104</v>
      </c>
      <c r="V397" s="0" t="n">
        <v>0</v>
      </c>
      <c r="W397" s="0" t="n">
        <v>20231231</v>
      </c>
      <c r="X397" s="0" t="n">
        <v>0.610395045804293</v>
      </c>
      <c r="Y397" s="0" t="n">
        <v>6.26</v>
      </c>
      <c r="Z397" s="0" t="s">
        <v>123</v>
      </c>
      <c r="AA397" s="0" t="n">
        <f aca="false">IF(AND(ISNUMBER(B397),B397&gt;0,ISNUMBER(U397),U397&gt;=0,ISNUMBER(O397),O397&gt;=0),1,0)</f>
        <v>1</v>
      </c>
      <c r="AB397" s="0" t="n">
        <f aca="false">IF(AA397=1,U397+O397,0)</f>
        <v>921</v>
      </c>
      <c r="AC397" s="0" t="n">
        <f aca="false">IF(AA397=1,100*AB397/B397,"")</f>
        <v>0.234438239142277</v>
      </c>
      <c r="AD397" s="0" t="n">
        <f aca="false">IF(AND(AND(ISNUMBER(B397),B397=OriginalFinancials!B397),AND(ISNUMBER(U397),U397=OriginalFinancials!U397),AND(ISNUMBER(O397),O397=OriginalFinancials!O397)),0,1)</f>
        <v>0</v>
      </c>
      <c r="AE397" s="0" t="str">
        <f aca="false">IF(V397=0,"原始0：需核实适用/报告口径","")</f>
        <v>原始0：需核实适用/报告口径</v>
      </c>
    </row>
    <row r="398" customFormat="false" ht="15" hidden="false" customHeight="false" outlineLevel="0" collapsed="false">
      <c r="A398" s="0" t="n">
        <v>398</v>
      </c>
      <c r="B398" s="0" t="n">
        <v>727730</v>
      </c>
      <c r="C398" s="0" t="n">
        <v>18030</v>
      </c>
      <c r="D398" s="0" t="n">
        <v>660214</v>
      </c>
      <c r="E398" s="0" t="n">
        <v>0.04</v>
      </c>
      <c r="F398" s="0" t="n">
        <v>49050</v>
      </c>
      <c r="G398" s="0" t="n">
        <v>6.740137138774</v>
      </c>
      <c r="H398" s="0" t="s">
        <v>555</v>
      </c>
      <c r="I398" s="0" t="n">
        <v>1.01574394610824</v>
      </c>
      <c r="J398" s="0" t="n">
        <v>41412</v>
      </c>
      <c r="K398" s="0" t="n">
        <v>95210</v>
      </c>
      <c r="L398" s="0" t="n">
        <v>587845</v>
      </c>
      <c r="M398" s="0" t="n">
        <v>581874</v>
      </c>
      <c r="N398" s="0" t="n">
        <v>451120</v>
      </c>
      <c r="O398" s="0" t="n">
        <v>456</v>
      </c>
      <c r="P398" s="0" t="s">
        <v>155</v>
      </c>
      <c r="Q398" s="0" t="n">
        <v>0.0775714686694621</v>
      </c>
      <c r="R398" s="0" t="n">
        <v>3.49141875348247</v>
      </c>
      <c r="S398" s="0" t="n">
        <v>-350</v>
      </c>
      <c r="T398" s="0" t="n">
        <v>829</v>
      </c>
      <c r="U398" s="0" t="n">
        <v>0</v>
      </c>
      <c r="V398" s="0" t="n">
        <v>13.2959890498966</v>
      </c>
      <c r="W398" s="0" t="n">
        <v>20231231</v>
      </c>
      <c r="X398" s="0" t="n">
        <v>0.703209915440082</v>
      </c>
      <c r="Y398" s="0" t="n">
        <v>11.34</v>
      </c>
      <c r="Z398" s="0" t="s">
        <v>123</v>
      </c>
      <c r="AA398" s="0" t="n">
        <f aca="false">IF(AND(ISNUMBER(B398),B398&gt;0,ISNUMBER(U398),U398&gt;=0,ISNUMBER(O398),O398&gt;=0),1,0)</f>
        <v>1</v>
      </c>
      <c r="AB398" s="0" t="n">
        <f aca="false">IF(AA398=1,U398+O398,0)</f>
        <v>456</v>
      </c>
      <c r="AC398" s="0" t="n">
        <f aca="false">IF(AA398=1,100*AB398/B398,"")</f>
        <v>0.0626606021464005</v>
      </c>
      <c r="AD398" s="0" t="n">
        <f aca="false">IF(AND(AND(ISNUMBER(B398),B398=OriginalFinancials!B398),AND(ISNUMBER(U398),U398=OriginalFinancials!U398),AND(ISNUMBER(O398),O398=OriginalFinancials!O398)),0,1)</f>
        <v>0</v>
      </c>
      <c r="AE398" s="0" t="str">
        <f aca="false">IF(V398=0,"原始0：需核实适用/报告口径","")</f>
        <v/>
      </c>
    </row>
    <row r="399" customFormat="false" ht="15" hidden="false" customHeight="false" outlineLevel="0" collapsed="false">
      <c r="A399" s="0" t="n">
        <v>399</v>
      </c>
      <c r="B399" s="0" t="n">
        <v>684364</v>
      </c>
      <c r="C399" s="0" t="n">
        <v>18031</v>
      </c>
      <c r="D399" s="0" t="n">
        <v>562404</v>
      </c>
      <c r="E399" s="0" t="n">
        <v>-0.01</v>
      </c>
      <c r="F399" s="0" t="n">
        <v>37606</v>
      </c>
      <c r="G399" s="0" t="n">
        <v>5.49502896119609</v>
      </c>
      <c r="H399" s="0" t="s">
        <v>556</v>
      </c>
      <c r="I399" s="0" t="n">
        <v>0.836002015566503</v>
      </c>
      <c r="J399" s="0" t="n">
        <v>23262</v>
      </c>
      <c r="K399" s="0" t="n">
        <v>10669</v>
      </c>
      <c r="L399" s="0" t="n">
        <v>480262</v>
      </c>
      <c r="M399" s="0" t="n">
        <v>476247</v>
      </c>
      <c r="N399" s="0" t="n">
        <v>439722</v>
      </c>
      <c r="O399" s="0" t="n">
        <v>697</v>
      </c>
      <c r="P399" s="0" t="s">
        <v>157</v>
      </c>
      <c r="Q399" s="0" t="n">
        <v>0.145129117023625</v>
      </c>
      <c r="R399" s="0" t="n">
        <v>2.72156004022497</v>
      </c>
      <c r="S399" s="0" t="n">
        <v>-8</v>
      </c>
      <c r="T399" s="0" t="n">
        <v>1155</v>
      </c>
      <c r="U399" s="0" t="n">
        <v>0</v>
      </c>
      <c r="V399" s="0" t="n">
        <v>16.0938463078374</v>
      </c>
      <c r="W399" s="0" t="n">
        <v>20231231</v>
      </c>
      <c r="X399" s="0" t="n">
        <v>0.257383867860736</v>
      </c>
      <c r="Y399" s="0" t="n">
        <v>4.84</v>
      </c>
      <c r="Z399" s="0" t="s">
        <v>123</v>
      </c>
      <c r="AA399" s="0" t="n">
        <f aca="false">IF(AND(ISNUMBER(B399),B399&gt;0,ISNUMBER(U399),U399&gt;=0,ISNUMBER(O399),O399&gt;=0),1,0)</f>
        <v>1</v>
      </c>
      <c r="AB399" s="0" t="n">
        <f aca="false">IF(AA399=1,U399+O399,0)</f>
        <v>697</v>
      </c>
      <c r="AC399" s="0" t="n">
        <f aca="false">IF(AA399=1,100*AB399/B399,"")</f>
        <v>0.101846385841453</v>
      </c>
      <c r="AD399" s="0" t="n">
        <f aca="false">IF(AND(AND(ISNUMBER(B399),B399=OriginalFinancials!B399),AND(ISNUMBER(U399),U399=OriginalFinancials!U399),AND(ISNUMBER(O399),O399=OriginalFinancials!O399)),0,1)</f>
        <v>0</v>
      </c>
      <c r="AE399" s="0" t="str">
        <f aca="false">IF(V399=0,"原始0：需核实适用/报告口径","")</f>
        <v/>
      </c>
    </row>
    <row r="400" customFormat="false" ht="15" hidden="false" customHeight="false" outlineLevel="0" collapsed="false">
      <c r="A400" s="0" t="n">
        <v>400</v>
      </c>
      <c r="B400" s="0" t="n">
        <v>552093</v>
      </c>
      <c r="C400" s="0" t="n">
        <v>18038</v>
      </c>
      <c r="D400" s="0" t="n">
        <v>419606</v>
      </c>
      <c r="E400" s="0" t="n">
        <v>-0.04</v>
      </c>
      <c r="F400" s="0" t="n">
        <v>66547</v>
      </c>
      <c r="G400" s="0" t="n">
        <v>12.0535851749615</v>
      </c>
      <c r="H400" s="0" t="s">
        <v>557</v>
      </c>
      <c r="I400" s="0" t="n">
        <v>0.92744461393534</v>
      </c>
      <c r="J400" s="0" t="n">
        <v>21976</v>
      </c>
      <c r="K400" s="0" t="n">
        <v>3848</v>
      </c>
      <c r="L400" s="0" t="n">
        <v>418246</v>
      </c>
      <c r="M400" s="0" t="n">
        <v>414367</v>
      </c>
      <c r="N400" s="0" t="n">
        <v>392161</v>
      </c>
      <c r="O400" s="0" t="n">
        <v>2367</v>
      </c>
      <c r="P400" s="0" t="s">
        <v>159</v>
      </c>
      <c r="Q400" s="0" t="n">
        <v>0.565934880429221</v>
      </c>
      <c r="R400" s="0" t="n">
        <v>2.45051426504837</v>
      </c>
      <c r="S400" s="0" t="n">
        <v>-77</v>
      </c>
      <c r="T400" s="0" t="n">
        <v>822</v>
      </c>
      <c r="U400" s="0" t="n">
        <v>0</v>
      </c>
      <c r="V400" s="0" t="n">
        <v>0</v>
      </c>
      <c r="W400" s="0" t="n">
        <v>20231231</v>
      </c>
      <c r="X400" s="0" t="n">
        <v>0.311938300906613</v>
      </c>
      <c r="Y400" s="0" t="n">
        <v>2.64</v>
      </c>
      <c r="Z400" s="0" t="s">
        <v>123</v>
      </c>
      <c r="AA400" s="0" t="n">
        <f aca="false">IF(AND(ISNUMBER(B400),B400&gt;0,ISNUMBER(U400),U400&gt;=0,ISNUMBER(O400),O400&gt;=0),1,0)</f>
        <v>1</v>
      </c>
      <c r="AB400" s="0" t="n">
        <f aca="false">IF(AA400=1,U400+O400,0)</f>
        <v>2367</v>
      </c>
      <c r="AC400" s="0" t="n">
        <f aca="false">IF(AA400=1,100*AB400/B400,"")</f>
        <v>0.428732115784841</v>
      </c>
      <c r="AD400" s="0" t="n">
        <f aca="false">IF(AND(AND(ISNUMBER(B400),B400=OriginalFinancials!B400),AND(ISNUMBER(U400),U400=OriginalFinancials!U400),AND(ISNUMBER(O400),O400=OriginalFinancials!O400)),0,1)</f>
        <v>0</v>
      </c>
      <c r="AE400" s="0" t="str">
        <f aca="false">IF(V400=0,"原始0：需核实适用/报告口径","")</f>
        <v>原始0：需核实适用/报告口径</v>
      </c>
    </row>
    <row r="401" customFormat="false" ht="15" hidden="false" customHeight="false" outlineLevel="0" collapsed="false">
      <c r="A401" s="0" t="n">
        <v>401</v>
      </c>
      <c r="B401" s="0" t="n">
        <v>7260613</v>
      </c>
      <c r="C401" s="0" t="n">
        <v>18408</v>
      </c>
      <c r="D401" s="0" t="n">
        <v>5329154</v>
      </c>
      <c r="E401" s="0" t="n">
        <v>-0.07</v>
      </c>
      <c r="F401" s="0" t="n">
        <v>408311</v>
      </c>
      <c r="G401" s="0" t="n">
        <v>5.62364362347918</v>
      </c>
      <c r="H401" s="0" t="s">
        <v>558</v>
      </c>
      <c r="I401" s="0" t="n">
        <v>0.658884158350031</v>
      </c>
      <c r="J401" s="0" t="n">
        <v>333151</v>
      </c>
      <c r="K401" s="0" t="n">
        <v>34286</v>
      </c>
      <c r="L401" s="0" t="n">
        <v>4829377</v>
      </c>
      <c r="M401" s="0" t="n">
        <v>4797557</v>
      </c>
      <c r="N401" s="0" t="n">
        <v>4395557</v>
      </c>
      <c r="O401" s="0" t="n">
        <v>3682</v>
      </c>
      <c r="P401" s="0" t="s">
        <v>161</v>
      </c>
      <c r="Q401" s="0" t="n">
        <v>0.0762417181346579</v>
      </c>
      <c r="R401" s="0" t="n">
        <v>2.09802163979008</v>
      </c>
      <c r="S401" s="0" t="n">
        <v>1220</v>
      </c>
      <c r="T401" s="0" t="n">
        <v>7936</v>
      </c>
      <c r="U401" s="0" t="n">
        <v>0</v>
      </c>
      <c r="V401" s="0" t="n">
        <v>11.8012092146704</v>
      </c>
      <c r="W401" s="0" t="n">
        <v>20231231</v>
      </c>
      <c r="X401" s="0" t="n">
        <v>0.245774438397451</v>
      </c>
      <c r="Y401" s="0" t="n">
        <v>4.9</v>
      </c>
      <c r="Z401" s="0" t="s">
        <v>105</v>
      </c>
      <c r="AA401" s="0" t="n">
        <f aca="false">IF(AND(ISNUMBER(B401),B401&gt;0,ISNUMBER(U401),U401&gt;=0,ISNUMBER(O401),O401&gt;=0),1,0)</f>
        <v>1</v>
      </c>
      <c r="AB401" s="0" t="n">
        <f aca="false">IF(AA401=1,U401+O401,0)</f>
        <v>3682</v>
      </c>
      <c r="AC401" s="0" t="n">
        <f aca="false">IF(AA401=1,100*AB401/B401,"")</f>
        <v>0.0507119715649354</v>
      </c>
      <c r="AD401" s="0" t="n">
        <f aca="false">IF(AND(AND(ISNUMBER(B401),B401=OriginalFinancials!B401),AND(ISNUMBER(U401),U401=OriginalFinancials!U401),AND(ISNUMBER(O401),O401=OriginalFinancials!O401)),0,1)</f>
        <v>0</v>
      </c>
      <c r="AE401" s="0" t="str">
        <f aca="false">IF(V401=0,"原始0：需核实适用/报告口径","")</f>
        <v/>
      </c>
    </row>
    <row r="402" customFormat="false" ht="15" hidden="false" customHeight="false" outlineLevel="0" collapsed="false">
      <c r="A402" s="0" t="n">
        <v>402</v>
      </c>
      <c r="B402" s="0" t="n">
        <v>2483046</v>
      </c>
      <c r="C402" s="0" t="n">
        <v>19531</v>
      </c>
      <c r="D402" s="0" t="n">
        <v>2045823</v>
      </c>
      <c r="E402" s="0" t="n">
        <v>-0.1</v>
      </c>
      <c r="F402" s="0" t="n">
        <v>242363</v>
      </c>
      <c r="G402" s="0" t="n">
        <v>9.76071325299652</v>
      </c>
      <c r="H402" s="0" t="s">
        <v>559</v>
      </c>
      <c r="I402" s="0" t="n">
        <v>1.05420592953895</v>
      </c>
      <c r="J402" s="0" t="n">
        <v>248052</v>
      </c>
      <c r="K402" s="0" t="n">
        <v>14524</v>
      </c>
      <c r="L402" s="0" t="n">
        <v>1996479</v>
      </c>
      <c r="M402" s="0" t="n">
        <v>1975432</v>
      </c>
      <c r="N402" s="0" t="n">
        <v>1632308</v>
      </c>
      <c r="O402" s="0" t="n">
        <v>6950</v>
      </c>
      <c r="P402" s="0" t="s">
        <v>163</v>
      </c>
      <c r="Q402" s="0" t="n">
        <v>0.350767526229928</v>
      </c>
      <c r="R402" s="0" t="n">
        <v>2.72825941963083</v>
      </c>
      <c r="S402" s="0" t="n">
        <v>433</v>
      </c>
      <c r="T402" s="0" t="n">
        <v>8747</v>
      </c>
      <c r="U402" s="0" t="n">
        <v>53</v>
      </c>
      <c r="V402" s="0" t="n">
        <v>14.4325224821325</v>
      </c>
      <c r="W402" s="0" t="n">
        <v>20231231</v>
      </c>
      <c r="X402" s="0" t="n">
        <v>0.483130976497632</v>
      </c>
      <c r="Y402" s="0" t="n">
        <v>5.05</v>
      </c>
      <c r="Z402" s="0" t="s">
        <v>105</v>
      </c>
      <c r="AA402" s="0" t="n">
        <f aca="false">IF(AND(ISNUMBER(B402),B402&gt;0,ISNUMBER(U402),U402&gt;=0,ISNUMBER(O402),O402&gt;=0),1,0)</f>
        <v>1</v>
      </c>
      <c r="AB402" s="0" t="n">
        <f aca="false">IF(AA402=1,U402+O402,0)</f>
        <v>7003</v>
      </c>
      <c r="AC402" s="0" t="n">
        <f aca="false">IF(AA402=1,100*AB402/B402,"")</f>
        <v>0.282032632500566</v>
      </c>
      <c r="AD402" s="0" t="n">
        <f aca="false">IF(AND(AND(ISNUMBER(B402),B402=OriginalFinancials!B402),AND(ISNUMBER(U402),U402=OriginalFinancials!U402),AND(ISNUMBER(O402),O402=OriginalFinancials!O402)),0,1)</f>
        <v>0</v>
      </c>
      <c r="AE402" s="0" t="str">
        <f aca="false">IF(V402=0,"原始0：需核实适用/报告口径","")</f>
        <v/>
      </c>
    </row>
    <row r="403" customFormat="false" ht="15" hidden="false" customHeight="false" outlineLevel="0" collapsed="false">
      <c r="A403" s="0" t="n">
        <v>403</v>
      </c>
      <c r="B403" s="0" t="n">
        <v>876702</v>
      </c>
      <c r="C403" s="0" t="n">
        <v>19532</v>
      </c>
      <c r="D403" s="0" t="n">
        <v>727881</v>
      </c>
      <c r="E403" s="0" t="n">
        <v>0.03</v>
      </c>
      <c r="F403" s="0" t="n">
        <v>96676</v>
      </c>
      <c r="G403" s="0" t="n">
        <v>11.0272361646261</v>
      </c>
      <c r="H403" s="0" t="s">
        <v>560</v>
      </c>
      <c r="I403" s="0" t="n">
        <v>1.0106237616998</v>
      </c>
      <c r="J403" s="0" t="n">
        <v>43720</v>
      </c>
      <c r="K403" s="0" t="n">
        <v>53648</v>
      </c>
      <c r="L403" s="0" t="n">
        <v>585480</v>
      </c>
      <c r="M403" s="0" t="n">
        <v>579563</v>
      </c>
      <c r="N403" s="0" t="n">
        <v>482338</v>
      </c>
      <c r="O403" s="0" t="n">
        <v>1128</v>
      </c>
      <c r="P403" s="0" t="s">
        <v>165</v>
      </c>
      <c r="Q403" s="0" t="n">
        <v>0.194712031153925</v>
      </c>
      <c r="R403" s="0" t="n">
        <v>3.29213749359693</v>
      </c>
      <c r="S403" s="0" t="n">
        <v>102</v>
      </c>
      <c r="T403" s="0" t="n">
        <v>1388</v>
      </c>
      <c r="U403" s="0" t="n">
        <v>12</v>
      </c>
      <c r="V403" s="0" t="n">
        <v>20.8402581908709</v>
      </c>
      <c r="W403" s="0" t="n">
        <v>20231231</v>
      </c>
      <c r="X403" s="0" t="n">
        <v>0.768323735574911</v>
      </c>
      <c r="Y403" s="0" t="n">
        <v>6.79</v>
      </c>
      <c r="Z403" s="0" t="s">
        <v>105</v>
      </c>
      <c r="AA403" s="0" t="n">
        <f aca="false">IF(AND(ISNUMBER(B403),B403&gt;0,ISNUMBER(U403),U403&gt;=0,ISNUMBER(O403),O403&gt;=0),1,0)</f>
        <v>1</v>
      </c>
      <c r="AB403" s="0" t="n">
        <f aca="false">IF(AA403=1,U403+O403,0)</f>
        <v>1140</v>
      </c>
      <c r="AC403" s="0" t="n">
        <f aca="false">IF(AA403=1,100*AB403/B403,"")</f>
        <v>0.130032781948712</v>
      </c>
      <c r="AD403" s="0" t="n">
        <f aca="false">IF(AND(AND(ISNUMBER(B403),B403=OriginalFinancials!B403),AND(ISNUMBER(U403),U403=OriginalFinancials!U403),AND(ISNUMBER(O403),O403=OriginalFinancials!O403)),0,1)</f>
        <v>0</v>
      </c>
      <c r="AE403" s="0" t="str">
        <f aca="false">IF(V403=0,"原始0：需核实适用/报告口径","")</f>
        <v/>
      </c>
    </row>
    <row r="404" customFormat="false" ht="15" hidden="false" customHeight="false" outlineLevel="0" collapsed="false">
      <c r="A404" s="0" t="n">
        <v>404</v>
      </c>
      <c r="B404" s="0" t="n">
        <v>2968976</v>
      </c>
      <c r="C404" s="0" t="n">
        <v>19690</v>
      </c>
      <c r="D404" s="0" t="n">
        <v>2150988</v>
      </c>
      <c r="E404" s="0" t="n">
        <v>0.06</v>
      </c>
      <c r="F404" s="0" t="n">
        <v>327540</v>
      </c>
      <c r="G404" s="0" t="n">
        <v>11.03208648369</v>
      </c>
      <c r="H404" s="0" t="s">
        <v>561</v>
      </c>
      <c r="I404" s="0" t="n">
        <v>1.05681298538753</v>
      </c>
      <c r="J404" s="0" t="n">
        <v>48038</v>
      </c>
      <c r="K404" s="0" t="n">
        <v>382</v>
      </c>
      <c r="L404" s="0" t="n">
        <v>2611058</v>
      </c>
      <c r="M404" s="0" t="n">
        <v>2583464</v>
      </c>
      <c r="N404" s="0" t="n">
        <v>2127332</v>
      </c>
      <c r="O404" s="0" t="n">
        <v>30772</v>
      </c>
      <c r="P404" s="0" t="s">
        <v>167</v>
      </c>
      <c r="Q404" s="0" t="n">
        <v>1.17852609938194</v>
      </c>
      <c r="R404" s="0" t="n">
        <v>5.06398378833269</v>
      </c>
      <c r="S404" s="0" t="n">
        <v>2768</v>
      </c>
      <c r="T404" s="0" t="n">
        <v>3570</v>
      </c>
      <c r="U404" s="0" t="n">
        <v>0</v>
      </c>
      <c r="V404" s="0" t="n">
        <v>13.7063330070435</v>
      </c>
      <c r="W404" s="0" t="n">
        <v>20231231</v>
      </c>
      <c r="X404" s="0" t="n">
        <v>1.87023078988431</v>
      </c>
      <c r="Y404" s="0" t="n">
        <v>18.15</v>
      </c>
      <c r="Z404" s="0" t="s">
        <v>105</v>
      </c>
      <c r="AA404" s="0" t="n">
        <f aca="false">IF(AND(ISNUMBER(B404),B404&gt;0,ISNUMBER(U404),U404&gt;=0,ISNUMBER(O404),O404&gt;=0),1,0)</f>
        <v>1</v>
      </c>
      <c r="AB404" s="0" t="n">
        <f aca="false">IF(AA404=1,U404+O404,0)</f>
        <v>30772</v>
      </c>
      <c r="AC404" s="0" t="n">
        <f aca="false">IF(AA404=1,100*AB404/B404,"")</f>
        <v>1.03645162507208</v>
      </c>
      <c r="AD404" s="0" t="n">
        <f aca="false">IF(AND(AND(ISNUMBER(B404),B404=OriginalFinancials!B404),AND(ISNUMBER(U404),U404=OriginalFinancials!U404),AND(ISNUMBER(O404),O404=OriginalFinancials!O404)),0,1)</f>
        <v>0</v>
      </c>
      <c r="AE404" s="0" t="str">
        <f aca="false">IF(V404=0,"原始0：需核实适用/报告口径","")</f>
        <v/>
      </c>
    </row>
    <row r="405" customFormat="false" ht="15" hidden="false" customHeight="false" outlineLevel="0" collapsed="false">
      <c r="A405" s="0" t="n">
        <v>405</v>
      </c>
      <c r="B405" s="0" t="n">
        <v>659684</v>
      </c>
      <c r="C405" s="0" t="n">
        <v>19836</v>
      </c>
      <c r="D405" s="0" t="n">
        <v>484649</v>
      </c>
      <c r="E405" s="0" t="n">
        <v>0.04</v>
      </c>
      <c r="F405" s="0" t="n">
        <v>120787</v>
      </c>
      <c r="G405" s="0" t="n">
        <v>18.3098271293528</v>
      </c>
      <c r="H405" s="0" t="s">
        <v>562</v>
      </c>
      <c r="I405" s="0" t="n">
        <v>0.815597782188061</v>
      </c>
      <c r="J405" s="0" t="n">
        <v>49815</v>
      </c>
      <c r="K405" s="0" t="n">
        <v>11959</v>
      </c>
      <c r="L405" s="0" t="n">
        <v>547206</v>
      </c>
      <c r="M405" s="0" t="n">
        <v>542743</v>
      </c>
      <c r="N405" s="0" t="n">
        <v>481157</v>
      </c>
      <c r="O405" s="0" t="n">
        <v>3751</v>
      </c>
      <c r="P405" s="0" t="s">
        <v>145</v>
      </c>
      <c r="Q405" s="0" t="n">
        <v>0.707960073537205</v>
      </c>
      <c r="R405" s="0" t="n">
        <v>3.92169622453003</v>
      </c>
      <c r="S405" s="0" t="n">
        <v>72</v>
      </c>
      <c r="T405" s="0" t="n">
        <v>3494</v>
      </c>
      <c r="U405" s="0" t="n">
        <v>123</v>
      </c>
      <c r="V405" s="0" t="n">
        <v>25.7908734334641</v>
      </c>
      <c r="W405" s="0" t="n">
        <v>20231231</v>
      </c>
      <c r="X405" s="0" t="n">
        <v>0.787682704932891</v>
      </c>
      <c r="Y405" s="0" t="n">
        <v>4.09</v>
      </c>
      <c r="Z405" s="0" t="s">
        <v>105</v>
      </c>
      <c r="AA405" s="0" t="n">
        <f aca="false">IF(AND(ISNUMBER(B405),B405&gt;0,ISNUMBER(U405),U405&gt;=0,ISNUMBER(O405),O405&gt;=0),1,0)</f>
        <v>1</v>
      </c>
      <c r="AB405" s="0" t="n">
        <f aca="false">IF(AA405=1,U405+O405,0)</f>
        <v>3874</v>
      </c>
      <c r="AC405" s="0" t="n">
        <f aca="false">IF(AA405=1,100*AB405/B405,"")</f>
        <v>0.587250865565938</v>
      </c>
      <c r="AD405" s="0" t="n">
        <f aca="false">IF(AND(AND(ISNUMBER(B405),B405=OriginalFinancials!B405),AND(ISNUMBER(U405),U405=OriginalFinancials!U405),AND(ISNUMBER(O405),O405=OriginalFinancials!O405)),0,1)</f>
        <v>0</v>
      </c>
      <c r="AE405" s="0" t="str">
        <f aca="false">IF(V405=0,"原始0：需核实适用/报告口径","")</f>
        <v/>
      </c>
    </row>
    <row r="406" customFormat="false" ht="15" hidden="false" customHeight="false" outlineLevel="0" collapsed="false">
      <c r="A406" s="0" t="n">
        <v>406</v>
      </c>
      <c r="B406" s="0" t="n">
        <v>1381838</v>
      </c>
      <c r="C406" s="0" t="n">
        <v>24540</v>
      </c>
      <c r="D406" s="0" t="n">
        <v>1106164</v>
      </c>
      <c r="E406" s="0" t="n">
        <v>0.3</v>
      </c>
      <c r="F406" s="0" t="n">
        <v>246470</v>
      </c>
      <c r="G406" s="0" t="n">
        <v>17.8363889254746</v>
      </c>
      <c r="H406" s="0" t="s">
        <v>563</v>
      </c>
      <c r="I406" s="0" t="n">
        <v>0.963960448647168</v>
      </c>
      <c r="J406" s="0" t="n">
        <v>42620</v>
      </c>
      <c r="K406" s="0" t="n">
        <v>66</v>
      </c>
      <c r="L406" s="0" t="n">
        <v>1204510</v>
      </c>
      <c r="M406" s="0" t="n">
        <v>1192899</v>
      </c>
      <c r="N406" s="0" t="n">
        <v>1166184</v>
      </c>
      <c r="O406" s="0" t="n">
        <v>430</v>
      </c>
      <c r="P406" s="0" t="s">
        <v>170</v>
      </c>
      <c r="Q406" s="0" t="n">
        <v>0.0356991639753924</v>
      </c>
      <c r="R406" s="0" t="n">
        <v>4.94178638574564</v>
      </c>
      <c r="S406" s="0" t="n">
        <v>0</v>
      </c>
      <c r="T406" s="0" t="n">
        <v>21674</v>
      </c>
      <c r="U406" s="0" t="n">
        <v>0</v>
      </c>
      <c r="V406" s="0" t="n">
        <v>19.0652745831146</v>
      </c>
      <c r="W406" s="0" t="n">
        <v>20231231</v>
      </c>
      <c r="X406" s="0" t="n">
        <v>2.38776188693731</v>
      </c>
      <c r="Y406" s="0" t="n">
        <v>13.82</v>
      </c>
      <c r="Z406" s="0" t="s">
        <v>123</v>
      </c>
      <c r="AA406" s="0" t="n">
        <f aca="false">IF(AND(ISNUMBER(B406),B406&gt;0,ISNUMBER(U406),U406&gt;=0,ISNUMBER(O406),O406&gt;=0),1,0)</f>
        <v>1</v>
      </c>
      <c r="AB406" s="0" t="n">
        <f aca="false">IF(AA406=1,U406+O406,0)</f>
        <v>430</v>
      </c>
      <c r="AC406" s="0" t="n">
        <f aca="false">IF(AA406=1,100*AB406/B406,"")</f>
        <v>0.0311179747553621</v>
      </c>
      <c r="AD406" s="0" t="n">
        <f aca="false">IF(AND(AND(ISNUMBER(B406),B406=OriginalFinancials!B406),AND(ISNUMBER(U406),U406=OriginalFinancials!U406),AND(ISNUMBER(O406),O406=OriginalFinancials!O406)),0,1)</f>
        <v>0</v>
      </c>
      <c r="AE406" s="0" t="str">
        <f aca="false">IF(V406=0,"原始0：需核实适用/报告口径","")</f>
        <v/>
      </c>
    </row>
    <row r="407" customFormat="false" ht="15" hidden="false" customHeight="false" outlineLevel="0" collapsed="false">
      <c r="A407" s="0" t="n">
        <v>407</v>
      </c>
      <c r="B407" s="0" t="n">
        <v>540887</v>
      </c>
      <c r="C407" s="0" t="n">
        <v>27824</v>
      </c>
      <c r="D407" s="0" t="n">
        <v>387033</v>
      </c>
      <c r="E407" s="0" t="n">
        <v>-0.04</v>
      </c>
      <c r="F407" s="0" t="n">
        <v>65160</v>
      </c>
      <c r="G407" s="0" t="n">
        <v>12.0468785531913</v>
      </c>
      <c r="H407" s="0" t="s">
        <v>564</v>
      </c>
      <c r="I407" s="0" t="n">
        <v>0.66170826605966</v>
      </c>
      <c r="J407" s="0" t="n">
        <v>21688</v>
      </c>
      <c r="K407" s="0" t="n">
        <v>43401</v>
      </c>
      <c r="L407" s="0" t="n">
        <v>453372</v>
      </c>
      <c r="M407" s="0" t="n">
        <v>450372</v>
      </c>
      <c r="N407" s="0" t="n">
        <v>388283</v>
      </c>
      <c r="O407" s="0" t="n">
        <v>1178</v>
      </c>
      <c r="P407" s="0" t="s">
        <v>172</v>
      </c>
      <c r="Q407" s="0" t="n">
        <v>0.259830779139426</v>
      </c>
      <c r="R407" s="0" t="n">
        <v>1.87494551404564</v>
      </c>
      <c r="S407" s="0" t="n">
        <v>122</v>
      </c>
      <c r="T407" s="0" t="n">
        <v>1408</v>
      </c>
      <c r="U407" s="0" t="n">
        <v>0</v>
      </c>
      <c r="V407" s="0" t="n">
        <v>21.059017196498</v>
      </c>
      <c r="W407" s="0" t="n">
        <v>20231231</v>
      </c>
      <c r="X407" s="0" t="n">
        <v>-0.189996164928387</v>
      </c>
      <c r="Y407" s="0" t="n">
        <v>-1.48</v>
      </c>
      <c r="Z407" s="0" t="s">
        <v>123</v>
      </c>
      <c r="AA407" s="0" t="n">
        <f aca="false">IF(AND(ISNUMBER(B407),B407&gt;0,ISNUMBER(U407),U407&gt;=0,ISNUMBER(O407),O407&gt;=0),1,0)</f>
        <v>1</v>
      </c>
      <c r="AB407" s="0" t="n">
        <f aca="false">IF(AA407=1,U407+O407,0)</f>
        <v>1178</v>
      </c>
      <c r="AC407" s="0" t="n">
        <f aca="false">IF(AA407=1,100*AB407/B407,"")</f>
        <v>0.21779040723848</v>
      </c>
      <c r="AD407" s="0" t="n">
        <f aca="false">IF(AND(AND(ISNUMBER(B407),B407=OriginalFinancials!B407),AND(ISNUMBER(U407),U407=OriginalFinancials!U407),AND(ISNUMBER(O407),O407=OriginalFinancials!O407)),0,1)</f>
        <v>0</v>
      </c>
      <c r="AE407" s="0" t="str">
        <f aca="false">IF(V407=0,"原始0：需核实适用/报告口径","")</f>
        <v/>
      </c>
    </row>
    <row r="408" customFormat="false" ht="15" hidden="false" customHeight="false" outlineLevel="0" collapsed="false">
      <c r="A408" s="0" t="n">
        <v>408</v>
      </c>
      <c r="B408" s="0" t="n">
        <v>300333</v>
      </c>
      <c r="C408" s="0" t="n">
        <v>28155</v>
      </c>
      <c r="D408" s="0" t="n">
        <v>262408</v>
      </c>
      <c r="E408" s="0" t="n">
        <v>-0.03</v>
      </c>
      <c r="F408" s="0" t="n">
        <v>27418</v>
      </c>
      <c r="G408" s="0" t="n">
        <v>9.12919992142056</v>
      </c>
      <c r="H408" s="0" t="s">
        <v>565</v>
      </c>
      <c r="I408" s="0" t="n">
        <v>0.483537001352467</v>
      </c>
      <c r="J408" s="0" t="n">
        <v>11200</v>
      </c>
      <c r="K408" s="0" t="n">
        <v>5939</v>
      </c>
      <c r="L408" s="0" t="n">
        <v>167102</v>
      </c>
      <c r="M408" s="0" t="n">
        <v>166294</v>
      </c>
      <c r="N408" s="0" t="n">
        <v>149453</v>
      </c>
      <c r="O408" s="0" t="n">
        <v>0</v>
      </c>
      <c r="P408" s="0" t="s">
        <v>174</v>
      </c>
      <c r="Q408" s="0" t="n">
        <v>0</v>
      </c>
      <c r="R408" s="0" t="n">
        <v>2.44769608992379</v>
      </c>
      <c r="S408" s="0" t="n">
        <v>5</v>
      </c>
      <c r="T408" s="0" t="n">
        <v>931</v>
      </c>
      <c r="U408" s="0" t="n">
        <v>0</v>
      </c>
      <c r="V408" s="0" t="n">
        <v>17.465163376961</v>
      </c>
      <c r="W408" s="0" t="n">
        <v>20231231</v>
      </c>
      <c r="X408" s="0" t="n">
        <v>-0.0555299835149542</v>
      </c>
      <c r="Y408" s="0" t="n">
        <v>-0.6</v>
      </c>
      <c r="Z408" s="0" t="s">
        <v>123</v>
      </c>
      <c r="AA408" s="0" t="n">
        <f aca="false">IF(AND(ISNUMBER(B408),B408&gt;0,ISNUMBER(U408),U408&gt;=0,ISNUMBER(O408),O408&gt;=0),1,0)</f>
        <v>1</v>
      </c>
      <c r="AB408" s="0" t="n">
        <f aca="false">IF(AA408=1,U408+O408,0)</f>
        <v>0</v>
      </c>
      <c r="AC408" s="0" t="n">
        <f aca="false">IF(AA408=1,100*AB408/B408,"")</f>
        <v>0</v>
      </c>
      <c r="AD408" s="0" t="n">
        <f aca="false">IF(AND(AND(ISNUMBER(B408),B408=OriginalFinancials!B408),AND(ISNUMBER(U408),U408=OriginalFinancials!U408),AND(ISNUMBER(O408),O408=OriginalFinancials!O408)),0,1)</f>
        <v>0</v>
      </c>
      <c r="AE408" s="0" t="str">
        <f aca="false">IF(V408=0,"原始0：需核实适用/报告口径","")</f>
        <v/>
      </c>
    </row>
    <row r="409" customFormat="false" ht="15" hidden="false" customHeight="false" outlineLevel="0" collapsed="false">
      <c r="A409" s="0" t="n">
        <v>409</v>
      </c>
      <c r="B409" s="0" t="n">
        <v>105413</v>
      </c>
      <c r="C409" s="0" t="n">
        <v>28288</v>
      </c>
      <c r="D409" s="0" t="n">
        <v>79221</v>
      </c>
      <c r="E409" s="0" t="n">
        <v>0</v>
      </c>
      <c r="F409" s="0" t="n">
        <v>6044</v>
      </c>
      <c r="G409" s="0" t="n">
        <v>5.7336381660706</v>
      </c>
      <c r="H409" s="0" t="s">
        <v>566</v>
      </c>
      <c r="I409" s="0" t="n">
        <v>1.0243006499011</v>
      </c>
      <c r="J409" s="0" t="n">
        <v>5007</v>
      </c>
      <c r="K409" s="0" t="n">
        <v>3064</v>
      </c>
      <c r="L409" s="0" t="n">
        <v>84936</v>
      </c>
      <c r="M409" s="0" t="n">
        <v>84066</v>
      </c>
      <c r="N409" s="0" t="n">
        <v>76865</v>
      </c>
      <c r="O409" s="0" t="n">
        <v>257</v>
      </c>
      <c r="P409" s="0" t="s">
        <v>176</v>
      </c>
      <c r="Q409" s="0" t="n">
        <v>0.302580766694923</v>
      </c>
      <c r="R409" s="0" t="n">
        <v>2.66046881663987</v>
      </c>
      <c r="S409" s="0" t="n">
        <v>-8</v>
      </c>
      <c r="T409" s="0" t="n">
        <v>125</v>
      </c>
      <c r="U409" s="0" t="n">
        <v>0</v>
      </c>
      <c r="V409" s="0" t="n">
        <v>12.817178197792</v>
      </c>
      <c r="W409" s="0" t="n">
        <v>20231231</v>
      </c>
      <c r="X409" s="0" t="n">
        <v>-0.0661496616639363</v>
      </c>
      <c r="Y409" s="0" t="n">
        <v>-1.16</v>
      </c>
      <c r="Z409" s="0" t="s">
        <v>105</v>
      </c>
      <c r="AA409" s="0" t="n">
        <f aca="false">IF(AND(ISNUMBER(B409),B409&gt;0,ISNUMBER(U409),U409&gt;=0,ISNUMBER(O409),O409&gt;=0),1,0)</f>
        <v>1</v>
      </c>
      <c r="AB409" s="0" t="n">
        <f aca="false">IF(AA409=1,U409+O409,0)</f>
        <v>257</v>
      </c>
      <c r="AC409" s="0" t="n">
        <f aca="false">IF(AA409=1,100*AB409/B409,"")</f>
        <v>0.243802946505649</v>
      </c>
      <c r="AD409" s="0" t="n">
        <f aca="false">IF(AND(AND(ISNUMBER(B409),B409=OriginalFinancials!B409),AND(ISNUMBER(U409),U409=OriginalFinancials!U409),AND(ISNUMBER(O409),O409=OriginalFinancials!O409)),0,1)</f>
        <v>0</v>
      </c>
      <c r="AE409" s="0" t="str">
        <f aca="false">IF(V409=0,"原始0：需核实适用/报告口径","")</f>
        <v/>
      </c>
    </row>
    <row r="410" customFormat="false" ht="15" hidden="false" customHeight="false" outlineLevel="0" collapsed="false">
      <c r="A410" s="0" t="n">
        <v>410</v>
      </c>
      <c r="B410" s="0" t="n">
        <v>93947</v>
      </c>
      <c r="C410" s="0" t="n">
        <v>28369</v>
      </c>
      <c r="D410" s="0" t="n">
        <v>77109</v>
      </c>
      <c r="E410" s="0" t="n">
        <v>0.03</v>
      </c>
      <c r="F410" s="0" t="n">
        <v>9350</v>
      </c>
      <c r="G410" s="0" t="n">
        <v>9.95241998147892</v>
      </c>
      <c r="H410" s="0" t="s">
        <v>567</v>
      </c>
      <c r="I410" s="0" t="n">
        <v>0.747895750938039</v>
      </c>
      <c r="J410" s="0" t="n">
        <v>12166</v>
      </c>
      <c r="K410" s="0" t="n">
        <v>834</v>
      </c>
      <c r="L410" s="0" t="n">
        <v>78888</v>
      </c>
      <c r="M410" s="0" t="n">
        <v>78298</v>
      </c>
      <c r="N410" s="0" t="n">
        <v>65888</v>
      </c>
      <c r="O410" s="0" t="n">
        <v>178</v>
      </c>
      <c r="P410" s="0" t="s">
        <v>178</v>
      </c>
      <c r="Q410" s="0" t="n">
        <v>0.225636345198256</v>
      </c>
      <c r="R410" s="0" t="n">
        <v>3.31528724993313</v>
      </c>
      <c r="S410" s="0" t="n">
        <v>-2</v>
      </c>
      <c r="T410" s="0" t="n">
        <v>102</v>
      </c>
      <c r="U410" s="0" t="n">
        <v>0</v>
      </c>
      <c r="V410" s="0" t="n">
        <v>0</v>
      </c>
      <c r="W410" s="0" t="n">
        <v>20231231</v>
      </c>
      <c r="X410" s="0" t="n">
        <v>-0.191016386958749</v>
      </c>
      <c r="Y410" s="0" t="n">
        <v>-1.8</v>
      </c>
      <c r="Z410" s="0" t="s">
        <v>105</v>
      </c>
      <c r="AA410" s="0" t="n">
        <f aca="false">IF(AND(ISNUMBER(B410),B410&gt;0,ISNUMBER(U410),U410&gt;=0,ISNUMBER(O410),O410&gt;=0),1,0)</f>
        <v>1</v>
      </c>
      <c r="AB410" s="0" t="n">
        <f aca="false">IF(AA410=1,U410+O410,0)</f>
        <v>178</v>
      </c>
      <c r="AC410" s="0" t="n">
        <f aca="false">IF(AA410=1,100*AB410/B410,"")</f>
        <v>0.18946853012869</v>
      </c>
      <c r="AD410" s="0" t="n">
        <f aca="false">IF(AND(AND(ISNUMBER(B410),B410=OriginalFinancials!B410),AND(ISNUMBER(U410),U410=OriginalFinancials!U410),AND(ISNUMBER(O410),O410=OriginalFinancials!O410)),0,1)</f>
        <v>0</v>
      </c>
      <c r="AE410" s="0" t="str">
        <f aca="false">IF(V410=0,"原始0：需核实适用/报告口径","")</f>
        <v>原始0：需核实适用/报告口径</v>
      </c>
    </row>
    <row r="411" customFormat="false" ht="15" hidden="false" customHeight="false" outlineLevel="0" collapsed="false">
      <c r="A411" s="0" t="n">
        <v>411</v>
      </c>
      <c r="B411" s="0" t="n">
        <v>285205</v>
      </c>
      <c r="C411" s="0" t="n">
        <v>28837</v>
      </c>
      <c r="D411" s="0" t="n">
        <v>255839</v>
      </c>
      <c r="E411" s="0" t="n">
        <v>0.06</v>
      </c>
      <c r="F411" s="0" t="n">
        <v>26107</v>
      </c>
      <c r="G411" s="0" t="n">
        <v>9.15376658894479</v>
      </c>
      <c r="H411" s="0" t="s">
        <v>568</v>
      </c>
      <c r="I411" s="0" t="n">
        <v>1.16905750090664</v>
      </c>
      <c r="J411" s="0" t="n">
        <v>6136</v>
      </c>
      <c r="K411" s="0" t="n">
        <v>790</v>
      </c>
      <c r="L411" s="0" t="n">
        <v>198536</v>
      </c>
      <c r="M411" s="0" t="n">
        <v>196215</v>
      </c>
      <c r="N411" s="0" t="n">
        <v>190865</v>
      </c>
      <c r="O411" s="0" t="n">
        <v>89</v>
      </c>
      <c r="P411" s="0" t="s">
        <v>180</v>
      </c>
      <c r="Q411" s="0" t="n">
        <v>0.0448281419994358</v>
      </c>
      <c r="R411" s="0" t="n">
        <v>3.60337323936935</v>
      </c>
      <c r="S411" s="0" t="n">
        <v>44</v>
      </c>
      <c r="T411" s="0" t="n">
        <v>689</v>
      </c>
      <c r="U411" s="0" t="n">
        <v>0</v>
      </c>
      <c r="V411" s="0" t="n">
        <v>16.6032466838163</v>
      </c>
      <c r="W411" s="0" t="n">
        <v>20231231</v>
      </c>
      <c r="X411" s="0" t="n">
        <v>0.843499779821749</v>
      </c>
      <c r="Y411" s="0" t="n">
        <v>9.84</v>
      </c>
      <c r="Z411" s="0" t="s">
        <v>112</v>
      </c>
      <c r="AA411" s="0" t="n">
        <f aca="false">IF(AND(ISNUMBER(B411),B411&gt;0,ISNUMBER(U411),U411&gt;=0,ISNUMBER(O411),O411&gt;=0),1,0)</f>
        <v>1</v>
      </c>
      <c r="AB411" s="0" t="n">
        <f aca="false">IF(AA411=1,U411+O411,0)</f>
        <v>89</v>
      </c>
      <c r="AC411" s="0" t="n">
        <f aca="false">IF(AA411=1,100*AB411/B411,"")</f>
        <v>0.0312056240248242</v>
      </c>
      <c r="AD411" s="0" t="n">
        <f aca="false">IF(AND(AND(ISNUMBER(B411),B411=OriginalFinancials!B411),AND(ISNUMBER(U411),U411=OriginalFinancials!U411),AND(ISNUMBER(O411),O411=OriginalFinancials!O411)),0,1)</f>
        <v>0</v>
      </c>
      <c r="AE411" s="0" t="str">
        <f aca="false">IF(V411=0,"原始0：需核实适用/报告口径","")</f>
        <v/>
      </c>
    </row>
    <row r="412" customFormat="false" ht="15" hidden="false" customHeight="false" outlineLevel="0" collapsed="false">
      <c r="A412" s="0" t="n">
        <v>412</v>
      </c>
      <c r="B412" s="0" t="n">
        <v>179139</v>
      </c>
      <c r="C412" s="0" t="n">
        <v>29636</v>
      </c>
      <c r="D412" s="0" t="n">
        <v>140257</v>
      </c>
      <c r="E412" s="0" t="n">
        <v>0.04</v>
      </c>
      <c r="F412" s="0" t="n">
        <v>25841</v>
      </c>
      <c r="G412" s="0" t="n">
        <v>14.4251112264778</v>
      </c>
      <c r="H412" s="0" t="s">
        <v>569</v>
      </c>
      <c r="I412" s="0" t="n">
        <v>1.41134110743973</v>
      </c>
      <c r="J412" s="0" t="n">
        <v>1690</v>
      </c>
      <c r="K412" s="0" t="n">
        <v>1505</v>
      </c>
      <c r="L412" s="0" t="n">
        <v>134978</v>
      </c>
      <c r="M412" s="0" t="n">
        <v>133073</v>
      </c>
      <c r="N412" s="0" t="n">
        <v>131783</v>
      </c>
      <c r="O412" s="0" t="n">
        <v>1361</v>
      </c>
      <c r="P412" s="0" t="s">
        <v>182</v>
      </c>
      <c r="Q412" s="0" t="n">
        <v>1.00831246573516</v>
      </c>
      <c r="R412" s="0" t="n">
        <v>3.65429206434729</v>
      </c>
      <c r="S412" s="0" t="n">
        <v>-10</v>
      </c>
      <c r="T412" s="0" t="n">
        <v>2467</v>
      </c>
      <c r="U412" s="0" t="n">
        <v>0</v>
      </c>
      <c r="V412" s="0" t="n">
        <v>27.101782005029</v>
      </c>
      <c r="W412" s="0" t="n">
        <v>20231231</v>
      </c>
      <c r="X412" s="0" t="n">
        <v>0.411731485018589</v>
      </c>
      <c r="Y412" s="0" t="n">
        <v>3</v>
      </c>
      <c r="Z412" s="0" t="s">
        <v>105</v>
      </c>
      <c r="AA412" s="0" t="n">
        <f aca="false">IF(AND(ISNUMBER(B412),B412&gt;0,ISNUMBER(U412),U412&gt;=0,ISNUMBER(O412),O412&gt;=0),1,0)</f>
        <v>1</v>
      </c>
      <c r="AB412" s="0" t="n">
        <f aca="false">IF(AA412=1,U412+O412,0)</f>
        <v>1361</v>
      </c>
      <c r="AC412" s="0" t="n">
        <f aca="false">IF(AA412=1,100*AB412/B412,"")</f>
        <v>0.759745225774399</v>
      </c>
      <c r="AD412" s="0" t="n">
        <f aca="false">IF(AND(AND(ISNUMBER(B412),B412=OriginalFinancials!B412),AND(ISNUMBER(U412),U412=OriginalFinancials!U412),AND(ISNUMBER(O412),O412=OriginalFinancials!O412)),0,1)</f>
        <v>0</v>
      </c>
      <c r="AE412" s="0" t="str">
        <f aca="false">IF(V412=0,"原始0：需核实适用/报告口径","")</f>
        <v/>
      </c>
    </row>
    <row r="413" customFormat="false" ht="15" hidden="false" customHeight="false" outlineLevel="0" collapsed="false">
      <c r="A413" s="0" t="n">
        <v>413</v>
      </c>
      <c r="B413" s="0" t="n">
        <v>188129</v>
      </c>
      <c r="C413" s="0" t="n">
        <v>29743</v>
      </c>
      <c r="D413" s="0" t="n">
        <v>163831</v>
      </c>
      <c r="E413" s="0" t="n">
        <v>-0.03</v>
      </c>
      <c r="F413" s="0" t="n">
        <v>16795</v>
      </c>
      <c r="G413" s="0" t="n">
        <v>8.92738493267917</v>
      </c>
      <c r="H413" s="0" t="s">
        <v>570</v>
      </c>
      <c r="I413" s="0" t="n">
        <v>0.666427589504513</v>
      </c>
      <c r="J413" s="0" t="n">
        <v>26224</v>
      </c>
      <c r="K413" s="0" t="n">
        <v>21579</v>
      </c>
      <c r="L413" s="0" t="n">
        <v>133848</v>
      </c>
      <c r="M413" s="0" t="n">
        <v>132956</v>
      </c>
      <c r="N413" s="0" t="n">
        <v>85948</v>
      </c>
      <c r="O413" s="0" t="n">
        <v>436</v>
      </c>
      <c r="P413" s="0" t="s">
        <v>184</v>
      </c>
      <c r="Q413" s="0" t="n">
        <v>0.325742633434941</v>
      </c>
      <c r="R413" s="0" t="n">
        <v>2.35417694416758</v>
      </c>
      <c r="S413" s="0" t="n">
        <v>10</v>
      </c>
      <c r="T413" s="0" t="n">
        <v>573</v>
      </c>
      <c r="U413" s="0" t="n">
        <v>0</v>
      </c>
      <c r="V413" s="0" t="n">
        <v>17.8279612561101</v>
      </c>
      <c r="W413" s="0" t="n">
        <v>20231231</v>
      </c>
      <c r="X413" s="0" t="n">
        <v>0.530724484627272</v>
      </c>
      <c r="Y413" s="0" t="n">
        <v>6.19</v>
      </c>
      <c r="Z413" s="0" t="s">
        <v>105</v>
      </c>
      <c r="AA413" s="0" t="n">
        <f aca="false">IF(AND(ISNUMBER(B413),B413&gt;0,ISNUMBER(U413),U413&gt;=0,ISNUMBER(O413),O413&gt;=0),1,0)</f>
        <v>1</v>
      </c>
      <c r="AB413" s="0" t="n">
        <f aca="false">IF(AA413=1,U413+O413,0)</f>
        <v>436</v>
      </c>
      <c r="AC413" s="0" t="n">
        <f aca="false">IF(AA413=1,100*AB413/B413,"")</f>
        <v>0.231755869642639</v>
      </c>
      <c r="AD413" s="0" t="n">
        <f aca="false">IF(AND(AND(ISNUMBER(B413),B413=OriginalFinancials!B413),AND(ISNUMBER(U413),U413=OriginalFinancials!U413),AND(ISNUMBER(O413),O413=OriginalFinancials!O413)),0,1)</f>
        <v>0</v>
      </c>
      <c r="AE413" s="0" t="str">
        <f aca="false">IF(V413=0,"原始0：需核实适用/报告口径","")</f>
        <v/>
      </c>
    </row>
    <row r="414" customFormat="false" ht="15" hidden="false" customHeight="false" outlineLevel="0" collapsed="false">
      <c r="A414" s="0" t="n">
        <v>414</v>
      </c>
      <c r="B414" s="0" t="n">
        <v>571301</v>
      </c>
      <c r="C414" s="0" t="n">
        <v>29744</v>
      </c>
      <c r="D414" s="0" t="n">
        <v>426673</v>
      </c>
      <c r="E414" s="0" t="n">
        <v>0.02</v>
      </c>
      <c r="F414" s="0" t="n">
        <v>46181</v>
      </c>
      <c r="G414" s="0" t="n">
        <v>8.08347963682892</v>
      </c>
      <c r="H414" s="0" t="s">
        <v>571</v>
      </c>
      <c r="I414" s="0" t="n">
        <v>0.788983096211717</v>
      </c>
      <c r="J414" s="0" t="n">
        <v>25511</v>
      </c>
      <c r="K414" s="0" t="n">
        <v>9826</v>
      </c>
      <c r="L414" s="0" t="n">
        <v>429667</v>
      </c>
      <c r="M414" s="0" t="n">
        <v>426277</v>
      </c>
      <c r="N414" s="0" t="n">
        <v>394330</v>
      </c>
      <c r="O414" s="0" t="n">
        <v>141</v>
      </c>
      <c r="P414" s="0" t="s">
        <v>186</v>
      </c>
      <c r="Q414" s="0" t="n">
        <v>0.0328161110813723</v>
      </c>
      <c r="R414" s="0" t="n">
        <v>2.18195327583115</v>
      </c>
      <c r="S414" s="0" t="n">
        <v>1</v>
      </c>
      <c r="T414" s="0" t="n">
        <v>4</v>
      </c>
      <c r="U414" s="0" t="n">
        <v>0</v>
      </c>
      <c r="V414" s="0" t="n">
        <v>15.3066612398453</v>
      </c>
      <c r="W414" s="0" t="n">
        <v>20231231</v>
      </c>
      <c r="X414" s="0" t="n">
        <v>-1.92589358136684</v>
      </c>
      <c r="Y414" s="0" t="n">
        <v>-22.17</v>
      </c>
      <c r="Z414" s="0" t="s">
        <v>123</v>
      </c>
      <c r="AA414" s="0" t="n">
        <f aca="false">IF(AND(ISNUMBER(B414),B414&gt;0,ISNUMBER(U414),U414&gt;=0,ISNUMBER(O414),O414&gt;=0),1,0)</f>
        <v>1</v>
      </c>
      <c r="AB414" s="0" t="n">
        <f aca="false">IF(AA414=1,U414+O414,0)</f>
        <v>141</v>
      </c>
      <c r="AC414" s="0" t="n">
        <f aca="false">IF(AA414=1,100*AB414/B414,"")</f>
        <v>0.0246805099238405</v>
      </c>
      <c r="AD414" s="0" t="n">
        <f aca="false">IF(AND(AND(ISNUMBER(B414),B414=OriginalFinancials!B414),AND(ISNUMBER(U414),U414=OriginalFinancials!U414),AND(ISNUMBER(O414),O414=OriginalFinancials!O414)),0,1)</f>
        <v>0</v>
      </c>
      <c r="AE414" s="0" t="str">
        <f aca="false">IF(V414=0,"原始0：需核实适用/报告口径","")</f>
        <v/>
      </c>
    </row>
    <row r="415" customFormat="false" ht="15" hidden="false" customHeight="false" outlineLevel="0" collapsed="false">
      <c r="A415" s="0" t="n">
        <v>415</v>
      </c>
      <c r="B415" s="0" t="n">
        <v>552031</v>
      </c>
      <c r="C415" s="0" t="n">
        <v>30350</v>
      </c>
      <c r="D415" s="0" t="n">
        <v>441306</v>
      </c>
      <c r="E415" s="0" t="n">
        <v>0</v>
      </c>
      <c r="F415" s="0" t="n">
        <v>56419</v>
      </c>
      <c r="G415" s="0" t="n">
        <v>10.2202593694919</v>
      </c>
      <c r="H415" s="0" t="s">
        <v>572</v>
      </c>
      <c r="I415" s="0" t="n">
        <v>1.30472183865874</v>
      </c>
      <c r="J415" s="0" t="n">
        <v>16929</v>
      </c>
      <c r="K415" s="0" t="n">
        <v>1371</v>
      </c>
      <c r="L415" s="0" t="n">
        <v>403381</v>
      </c>
      <c r="M415" s="0" t="n">
        <v>398118</v>
      </c>
      <c r="N415" s="0" t="n">
        <v>383810</v>
      </c>
      <c r="O415" s="0" t="n">
        <v>2020</v>
      </c>
      <c r="P415" s="0" t="s">
        <v>188</v>
      </c>
      <c r="Q415" s="0" t="n">
        <v>0.500767264695164</v>
      </c>
      <c r="R415" s="0" t="n">
        <v>2.83298526110028</v>
      </c>
      <c r="S415" s="0" t="n">
        <v>-22</v>
      </c>
      <c r="T415" s="0" t="n">
        <v>904</v>
      </c>
      <c r="U415" s="0" t="n">
        <v>0</v>
      </c>
      <c r="V415" s="0" t="n">
        <v>20.7187970391521</v>
      </c>
      <c r="W415" s="0" t="n">
        <v>20231231</v>
      </c>
      <c r="X415" s="0" t="n">
        <v>0.694638101857136</v>
      </c>
      <c r="Y415" s="0" t="n">
        <v>7.19</v>
      </c>
      <c r="Z415" s="0" t="s">
        <v>112</v>
      </c>
      <c r="AA415" s="0" t="n">
        <f aca="false">IF(AND(ISNUMBER(B415),B415&gt;0,ISNUMBER(U415),U415&gt;=0,ISNUMBER(O415),O415&gt;=0),1,0)</f>
        <v>1</v>
      </c>
      <c r="AB415" s="0" t="n">
        <f aca="false">IF(AA415=1,U415+O415,0)</f>
        <v>2020</v>
      </c>
      <c r="AC415" s="0" t="n">
        <f aca="false">IF(AA415=1,100*AB415/B415,"")</f>
        <v>0.365921479047372</v>
      </c>
      <c r="AD415" s="0" t="n">
        <f aca="false">IF(AND(AND(ISNUMBER(B415),B415=OriginalFinancials!B415),AND(ISNUMBER(U415),U415=OriginalFinancials!U415),AND(ISNUMBER(O415),O415=OriginalFinancials!O415)),0,1)</f>
        <v>0</v>
      </c>
      <c r="AE415" s="0" t="str">
        <f aca="false">IF(V415=0,"原始0：需核实适用/报告口径","")</f>
        <v/>
      </c>
    </row>
    <row r="416" customFormat="false" ht="15" hidden="false" customHeight="false" outlineLevel="0" collapsed="false">
      <c r="A416" s="0" t="n">
        <v>416</v>
      </c>
      <c r="B416" s="0" t="n">
        <v>105203</v>
      </c>
      <c r="C416" s="0" t="n">
        <v>30878</v>
      </c>
      <c r="D416" s="0" t="n">
        <v>73899</v>
      </c>
      <c r="E416" s="0" t="n">
        <v>-0.05</v>
      </c>
      <c r="F416" s="0" t="n">
        <v>12316</v>
      </c>
      <c r="G416" s="0" t="n">
        <v>11.7068904879138</v>
      </c>
      <c r="H416" s="0" t="s">
        <v>573</v>
      </c>
      <c r="I416" s="0" t="n">
        <v>0.814884923474688</v>
      </c>
      <c r="J416" s="0" t="n">
        <v>0</v>
      </c>
      <c r="K416" s="0" t="n">
        <v>104</v>
      </c>
      <c r="L416" s="0" t="n">
        <v>86638</v>
      </c>
      <c r="M416" s="0" t="n">
        <v>85932</v>
      </c>
      <c r="N416" s="0" t="n">
        <v>86535</v>
      </c>
      <c r="O416" s="0" t="n">
        <v>584</v>
      </c>
      <c r="P416" s="0" t="s">
        <v>190</v>
      </c>
      <c r="Q416" s="0" t="n">
        <v>0.674069115168864</v>
      </c>
      <c r="R416" s="0" t="n">
        <v>1.43139746208405</v>
      </c>
      <c r="S416" s="0" t="n">
        <v>0</v>
      </c>
      <c r="T416" s="0" t="n">
        <v>151</v>
      </c>
      <c r="U416" s="0" t="n">
        <v>0</v>
      </c>
      <c r="V416" s="0" t="n">
        <v>0</v>
      </c>
      <c r="W416" s="0" t="n">
        <v>20231231</v>
      </c>
      <c r="X416" s="0" t="n">
        <v>-0.284696681831123</v>
      </c>
      <c r="Y416" s="0" t="n">
        <v>-2.36</v>
      </c>
      <c r="Z416" s="0" t="s">
        <v>105</v>
      </c>
      <c r="AA416" s="0" t="n">
        <f aca="false">IF(AND(ISNUMBER(B416),B416&gt;0,ISNUMBER(U416),U416&gt;=0,ISNUMBER(O416),O416&gt;=0),1,0)</f>
        <v>1</v>
      </c>
      <c r="AB416" s="0" t="n">
        <f aca="false">IF(AA416=1,U416+O416,0)</f>
        <v>584</v>
      </c>
      <c r="AC416" s="0" t="n">
        <f aca="false">IF(AA416=1,100*AB416/B416,"")</f>
        <v>0.555117249508094</v>
      </c>
      <c r="AD416" s="0" t="n">
        <f aca="false">IF(AND(AND(ISNUMBER(B416),B416=OriginalFinancials!B416),AND(ISNUMBER(U416),U416=OriginalFinancials!U416),AND(ISNUMBER(O416),O416=OriginalFinancials!O416)),0,1)</f>
        <v>0</v>
      </c>
      <c r="AE416" s="0" t="str">
        <f aca="false">IF(V416=0,"原始0：需核实适用/报告口径","")</f>
        <v>原始0：需核实适用/报告口径</v>
      </c>
    </row>
    <row r="417" customFormat="false" ht="15" hidden="false" customHeight="false" outlineLevel="0" collapsed="false">
      <c r="A417" s="0" t="n">
        <v>417</v>
      </c>
      <c r="B417" s="0" t="n">
        <v>854116</v>
      </c>
      <c r="C417" s="0" t="n">
        <v>33418</v>
      </c>
      <c r="D417" s="0" t="n">
        <v>664122</v>
      </c>
      <c r="E417" s="0" t="n">
        <v>0.09</v>
      </c>
      <c r="F417" s="0" t="n">
        <v>68784</v>
      </c>
      <c r="G417" s="0" t="n">
        <v>8.05323867015721</v>
      </c>
      <c r="H417" s="0" t="s">
        <v>574</v>
      </c>
      <c r="I417" s="0" t="n">
        <v>0.663833038827069</v>
      </c>
      <c r="J417" s="0" t="n">
        <v>52712</v>
      </c>
      <c r="K417" s="0" t="n">
        <v>11771</v>
      </c>
      <c r="L417" s="0" t="n">
        <v>418780</v>
      </c>
      <c r="M417" s="0" t="n">
        <v>416000</v>
      </c>
      <c r="N417" s="0" t="n">
        <v>354004</v>
      </c>
      <c r="O417" s="0" t="n">
        <v>1741</v>
      </c>
      <c r="P417" s="0" t="s">
        <v>192</v>
      </c>
      <c r="Q417" s="0" t="n">
        <v>0.415731410287024</v>
      </c>
      <c r="R417" s="0" t="n">
        <v>2.54550855392525</v>
      </c>
      <c r="S417" s="0" t="n">
        <v>-50</v>
      </c>
      <c r="T417" s="0" t="n">
        <v>1957</v>
      </c>
      <c r="U417" s="0" t="n">
        <v>0</v>
      </c>
      <c r="V417" s="0" t="n">
        <v>16.202753847616</v>
      </c>
      <c r="W417" s="0" t="n">
        <v>20231231</v>
      </c>
      <c r="X417" s="0" t="n">
        <v>0.532293820018618</v>
      </c>
      <c r="Y417" s="0" t="n">
        <v>6.16</v>
      </c>
      <c r="Z417" s="0" t="s">
        <v>112</v>
      </c>
      <c r="AA417" s="0" t="n">
        <f aca="false">IF(AND(ISNUMBER(B417),B417&gt;0,ISNUMBER(U417),U417&gt;=0,ISNUMBER(O417),O417&gt;=0),1,0)</f>
        <v>1</v>
      </c>
      <c r="AB417" s="0" t="n">
        <f aca="false">IF(AA417=1,U417+O417,0)</f>
        <v>1741</v>
      </c>
      <c r="AC417" s="0" t="n">
        <f aca="false">IF(AA417=1,100*AB417/B417,"")</f>
        <v>0.203836481227374</v>
      </c>
      <c r="AD417" s="0" t="n">
        <f aca="false">IF(AND(AND(ISNUMBER(B417),B417=OriginalFinancials!B417),AND(ISNUMBER(U417),U417=OriginalFinancials!U417),AND(ISNUMBER(O417),O417=OriginalFinancials!O417)),0,1)</f>
        <v>0</v>
      </c>
      <c r="AE417" s="0" t="str">
        <f aca="false">IF(V417=0,"原始0：需核实适用/报告口径","")</f>
        <v/>
      </c>
    </row>
    <row r="418" customFormat="false" ht="15" hidden="false" customHeight="false" outlineLevel="0" collapsed="false">
      <c r="A418" s="0" t="n">
        <v>418</v>
      </c>
      <c r="B418" s="0" t="n">
        <v>78004</v>
      </c>
      <c r="C418" s="0" t="n">
        <v>35206</v>
      </c>
      <c r="D418" s="0" t="n">
        <v>500</v>
      </c>
      <c r="E418" s="0" t="n">
        <v>0</v>
      </c>
      <c r="F418" s="0" t="n">
        <v>74403</v>
      </c>
      <c r="G418" s="0" t="n">
        <v>95.3835700733296</v>
      </c>
      <c r="H418" s="0" t="s">
        <v>575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s">
        <v>252</v>
      </c>
      <c r="Q418" s="0" t="n">
        <v>0</v>
      </c>
      <c r="R418" s="0" t="n">
        <v>4.44282523941103</v>
      </c>
      <c r="S418" s="0" t="n">
        <v>0</v>
      </c>
      <c r="T418" s="0" t="n">
        <v>0</v>
      </c>
      <c r="U418" s="0" t="n">
        <v>0</v>
      </c>
      <c r="V418" s="0" t="n">
        <v>0</v>
      </c>
      <c r="W418" s="0" t="n">
        <v>20231231</v>
      </c>
      <c r="X418" s="0" t="n">
        <v>19.6375956732605</v>
      </c>
      <c r="Y418" s="0" t="n">
        <v>20.55</v>
      </c>
      <c r="Z418" s="0" t="s">
        <v>123</v>
      </c>
      <c r="AA418" s="0" t="n">
        <f aca="false">IF(AND(ISNUMBER(B418),B418&gt;0,ISNUMBER(U418),U418&gt;=0,ISNUMBER(O418),O418&gt;=0),1,0)</f>
        <v>1</v>
      </c>
      <c r="AB418" s="0" t="n">
        <f aca="false">IF(AA418=1,U418+O418,0)</f>
        <v>0</v>
      </c>
      <c r="AC418" s="0" t="n">
        <f aca="false">IF(AA418=1,100*AB418/B418,"")</f>
        <v>0</v>
      </c>
      <c r="AD418" s="0" t="n">
        <f aca="false">IF(AND(AND(ISNUMBER(B418),B418=OriginalFinancials!B418),AND(ISNUMBER(U418),U418=OriginalFinancials!U418),AND(ISNUMBER(O418),O418=OriginalFinancials!O418)),0,1)</f>
        <v>0</v>
      </c>
      <c r="AE418" s="0" t="str">
        <f aca="false">IF(V418=0,"原始0：需核实适用/报告口径","")</f>
        <v>原始0：需核实适用/报告口径</v>
      </c>
    </row>
    <row r="419" customFormat="false" ht="15" hidden="false" customHeight="false" outlineLevel="0" collapsed="false">
      <c r="A419" s="0" t="n">
        <v>419</v>
      </c>
      <c r="B419" s="0" t="n">
        <v>5700364</v>
      </c>
      <c r="C419" s="0" t="n">
        <v>4255</v>
      </c>
      <c r="D419" s="0" t="n">
        <v>4632579</v>
      </c>
      <c r="E419" s="0" t="n">
        <v>0</v>
      </c>
      <c r="F419" s="0" t="n">
        <v>508674</v>
      </c>
      <c r="G419" s="0" t="n">
        <v>8.92353540931772</v>
      </c>
      <c r="H419" s="0" t="s">
        <v>576</v>
      </c>
      <c r="I419" s="0" t="n">
        <v>0.899008717232489</v>
      </c>
      <c r="J419" s="0" t="n">
        <v>335214</v>
      </c>
      <c r="K419" s="0" t="n">
        <v>18237</v>
      </c>
      <c r="L419" s="0" t="n">
        <v>4108414</v>
      </c>
      <c r="M419" s="0" t="n">
        <v>4071479</v>
      </c>
      <c r="N419" s="0" t="n">
        <v>3717758</v>
      </c>
      <c r="O419" s="0" t="n">
        <v>5448</v>
      </c>
      <c r="P419" s="0" t="s">
        <v>194</v>
      </c>
      <c r="Q419" s="0" t="n">
        <v>0.132605915567418</v>
      </c>
      <c r="R419" s="0" t="n">
        <v>2.55844446697609</v>
      </c>
      <c r="S419" s="0" t="n">
        <v>1161</v>
      </c>
      <c r="T419" s="0" t="n">
        <v>4959</v>
      </c>
      <c r="U419" s="0" t="n">
        <v>0</v>
      </c>
      <c r="V419" s="0" t="n">
        <v>13.6976813844604</v>
      </c>
      <c r="W419" s="0" t="n">
        <v>20231231</v>
      </c>
      <c r="X419" s="0" t="n">
        <v>0.80297935806377</v>
      </c>
      <c r="Y419" s="0" t="n">
        <v>9.57</v>
      </c>
      <c r="Z419" s="0" t="s">
        <v>105</v>
      </c>
      <c r="AA419" s="0" t="n">
        <f aca="false">IF(AND(ISNUMBER(B419),B419&gt;0,ISNUMBER(U419),U419&gt;=0,ISNUMBER(O419),O419&gt;=0),1,0)</f>
        <v>1</v>
      </c>
      <c r="AB419" s="0" t="n">
        <f aca="false">IF(AA419=1,U419+O419,0)</f>
        <v>5448</v>
      </c>
      <c r="AC419" s="0" t="n">
        <f aca="false">IF(AA419=1,100*AB419/B419,"")</f>
        <v>0.0955728441201299</v>
      </c>
      <c r="AD419" s="0" t="n">
        <f aca="false">IF(AND(AND(ISNUMBER(B419),B419=OriginalFinancials!B419),AND(ISNUMBER(U419),U419=OriginalFinancials!U419),AND(ISNUMBER(O419),O419=OriginalFinancials!O419)),0,1)</f>
        <v>0</v>
      </c>
      <c r="AE419" s="0" t="str">
        <f aca="false">IF(V419=0,"原始0：需核实适用/报告口径","")</f>
        <v/>
      </c>
    </row>
    <row r="420" customFormat="false" ht="15" hidden="false" customHeight="false" outlineLevel="0" collapsed="false">
      <c r="A420" s="0" t="n">
        <v>420</v>
      </c>
      <c r="B420" s="0" t="n">
        <v>2911223</v>
      </c>
      <c r="C420" s="0" t="n">
        <v>4256</v>
      </c>
      <c r="D420" s="0" t="n">
        <v>2600329</v>
      </c>
      <c r="E420" s="0" t="n">
        <v>0.04</v>
      </c>
      <c r="F420" s="0" t="n">
        <v>214531</v>
      </c>
      <c r="G420" s="0" t="n">
        <v>7.3691022638939</v>
      </c>
      <c r="H420" s="0" t="s">
        <v>577</v>
      </c>
      <c r="I420" s="0" t="n">
        <v>1.12845828085509</v>
      </c>
      <c r="J420" s="0" t="n">
        <v>314127</v>
      </c>
      <c r="K420" s="0" t="n">
        <v>19401</v>
      </c>
      <c r="L420" s="0" t="n">
        <v>2129454</v>
      </c>
      <c r="M420" s="0" t="n">
        <v>2105424</v>
      </c>
      <c r="N420" s="0" t="n">
        <v>1701843</v>
      </c>
      <c r="O420" s="0" t="n">
        <v>2178</v>
      </c>
      <c r="P420" s="0" t="s">
        <v>196</v>
      </c>
      <c r="Q420" s="0" t="n">
        <v>0.122425748572169</v>
      </c>
      <c r="R420" s="0" t="n">
        <v>2.45271276205377</v>
      </c>
      <c r="S420" s="0" t="n">
        <v>233</v>
      </c>
      <c r="T420" s="0" t="n">
        <v>2617</v>
      </c>
      <c r="U420" s="0" t="n">
        <v>429</v>
      </c>
      <c r="V420" s="0" t="n">
        <v>13.6193252605501</v>
      </c>
      <c r="W420" s="0" t="n">
        <v>20231231</v>
      </c>
      <c r="X420" s="0" t="n">
        <v>1.07604648622624</v>
      </c>
      <c r="Y420" s="0" t="n">
        <v>14.98</v>
      </c>
      <c r="Z420" s="0" t="s">
        <v>105</v>
      </c>
      <c r="AA420" s="0" t="n">
        <f aca="false">IF(AND(ISNUMBER(B420),B420&gt;0,ISNUMBER(U420),U420&gt;=0,ISNUMBER(O420),O420&gt;=0),1,0)</f>
        <v>1</v>
      </c>
      <c r="AB420" s="0" t="n">
        <f aca="false">IF(AA420=1,U420+O420,0)</f>
        <v>2607</v>
      </c>
      <c r="AC420" s="0" t="n">
        <f aca="false">IF(AA420=1,100*AB420/B420,"")</f>
        <v>0.0895499932502594</v>
      </c>
      <c r="AD420" s="0" t="n">
        <f aca="false">IF(AND(AND(ISNUMBER(B420),B420=OriginalFinancials!B420),AND(ISNUMBER(U420),U420=OriginalFinancials!U420),AND(ISNUMBER(O420),O420=OriginalFinancials!O420)),0,1)</f>
        <v>0</v>
      </c>
      <c r="AE420" s="0" t="str">
        <f aca="false">IF(V420=0,"原始0：需核实适用/报告口径","")</f>
        <v/>
      </c>
    </row>
    <row r="421" customFormat="false" ht="15" hidden="false" customHeight="false" outlineLevel="0" collapsed="false">
      <c r="A421" s="0" t="n">
        <v>421</v>
      </c>
      <c r="B421" s="0" t="n">
        <v>693138</v>
      </c>
      <c r="C421" s="0" t="n">
        <v>59086</v>
      </c>
      <c r="D421" s="0" t="n">
        <v>600781</v>
      </c>
      <c r="E421" s="0" t="n">
        <v>0.11</v>
      </c>
      <c r="F421" s="0" t="n">
        <v>88263</v>
      </c>
      <c r="G421" s="0" t="n">
        <v>12.7338278957437</v>
      </c>
      <c r="H421" s="0" t="s">
        <v>578</v>
      </c>
      <c r="I421" s="0" t="n">
        <v>1.14039111745417</v>
      </c>
      <c r="J421" s="0" t="n">
        <v>115313</v>
      </c>
      <c r="K421" s="0" t="n">
        <v>0</v>
      </c>
      <c r="L421" s="0" t="n">
        <v>588570</v>
      </c>
      <c r="M421" s="0" t="n">
        <v>581858</v>
      </c>
      <c r="N421" s="0" t="n">
        <v>473617</v>
      </c>
      <c r="O421" s="0" t="n">
        <v>4555</v>
      </c>
      <c r="P421" s="0" t="s">
        <v>198</v>
      </c>
      <c r="Q421" s="0" t="n">
        <v>0.638156888730313</v>
      </c>
      <c r="R421" s="0" t="n">
        <v>4.0764259406766</v>
      </c>
      <c r="S421" s="0" t="n">
        <v>540</v>
      </c>
      <c r="T421" s="0" t="n">
        <v>0</v>
      </c>
      <c r="U421" s="0" t="n">
        <v>1112</v>
      </c>
      <c r="V421" s="0" t="n">
        <v>15.2351344587961</v>
      </c>
      <c r="W421" s="0" t="n">
        <v>20231231</v>
      </c>
      <c r="X421" s="0" t="n">
        <v>1.45617949519887</v>
      </c>
      <c r="Y421" s="0" t="n">
        <v>12.03</v>
      </c>
      <c r="Z421" s="0" t="s">
        <v>123</v>
      </c>
      <c r="AA421" s="0" t="n">
        <f aca="false">IF(AND(ISNUMBER(B421),B421&gt;0,ISNUMBER(U421),U421&gt;=0,ISNUMBER(O421),O421&gt;=0),1,0)</f>
        <v>1</v>
      </c>
      <c r="AB421" s="0" t="n">
        <f aca="false">IF(AA421=1,U421+O421,0)</f>
        <v>5667</v>
      </c>
      <c r="AC421" s="0" t="n">
        <f aca="false">IF(AA421=1,100*AB421/B421,"")</f>
        <v>0.817586108393999</v>
      </c>
      <c r="AD421" s="0" t="n">
        <f aca="false">IF(AND(AND(ISNUMBER(B421),B421=OriginalFinancials!B421),AND(ISNUMBER(U421),U421=OriginalFinancials!U421),AND(ISNUMBER(O421),O421=OriginalFinancials!O421)),0,1)</f>
        <v>0</v>
      </c>
      <c r="AE421" s="0" t="str">
        <f aca="false">IF(V421=0,"原始0：需核实适用/报告口径","")</f>
        <v/>
      </c>
    </row>
    <row r="422" customFormat="false" ht="15" hidden="false" customHeight="false" outlineLevel="0" collapsed="false">
      <c r="A422" s="0" t="n">
        <v>422</v>
      </c>
      <c r="B422" s="0" t="n">
        <v>238058</v>
      </c>
      <c r="C422" s="0" t="n">
        <v>59176</v>
      </c>
      <c r="D422" s="0" t="n">
        <v>197828</v>
      </c>
      <c r="E422" s="0" t="n">
        <v>0.2</v>
      </c>
      <c r="F422" s="0" t="n">
        <v>23051</v>
      </c>
      <c r="G422" s="0" t="n">
        <v>9.68293441094187</v>
      </c>
      <c r="H422" s="0" t="s">
        <v>579</v>
      </c>
      <c r="I422" s="0" t="n">
        <v>0.981727498239865</v>
      </c>
      <c r="J422" s="0" t="n">
        <v>23200</v>
      </c>
      <c r="K422" s="0" t="n">
        <v>4</v>
      </c>
      <c r="L422" s="0" t="n">
        <v>151977</v>
      </c>
      <c r="M422" s="0" t="n">
        <v>150485</v>
      </c>
      <c r="N422" s="0" t="n">
        <v>128774</v>
      </c>
      <c r="O422" s="0" t="n">
        <v>0</v>
      </c>
      <c r="P422" s="0" t="s">
        <v>200</v>
      </c>
      <c r="Q422" s="0" t="n">
        <v>0</v>
      </c>
      <c r="R422" s="0" t="n">
        <v>2.3031848814327</v>
      </c>
      <c r="S422" s="0" t="n">
        <v>66</v>
      </c>
      <c r="T422" s="0" t="n">
        <v>0</v>
      </c>
      <c r="U422" s="0" t="n">
        <v>0</v>
      </c>
      <c r="V422" s="0" t="n">
        <v>16.0544884234369</v>
      </c>
      <c r="W422" s="0" t="n">
        <v>20231231</v>
      </c>
      <c r="X422" s="0" t="n">
        <v>-0.191603674122027</v>
      </c>
      <c r="Y422" s="0" t="n">
        <v>-1.7</v>
      </c>
      <c r="Z422" s="0" t="s">
        <v>123</v>
      </c>
      <c r="AA422" s="0" t="n">
        <f aca="false">IF(AND(ISNUMBER(B422),B422&gt;0,ISNUMBER(U422),U422&gt;=0,ISNUMBER(O422),O422&gt;=0),1,0)</f>
        <v>1</v>
      </c>
      <c r="AB422" s="0" t="n">
        <f aca="false">IF(AA422=1,U422+O422,0)</f>
        <v>0</v>
      </c>
      <c r="AC422" s="0" t="n">
        <f aca="false">IF(AA422=1,100*AB422/B422,"")</f>
        <v>0</v>
      </c>
      <c r="AD422" s="0" t="n">
        <f aca="false">IF(AND(AND(ISNUMBER(B422),B422=OriginalFinancials!B422),AND(ISNUMBER(U422),U422=OriginalFinancials!U422),AND(ISNUMBER(O422),O422=OriginalFinancials!O422)),0,1)</f>
        <v>0</v>
      </c>
      <c r="AE422" s="0" t="str">
        <f aca="false">IF(V422=0,"原始0：需核实适用/报告口径","")</f>
        <v/>
      </c>
    </row>
    <row r="423" customFormat="false" ht="15" hidden="false" customHeight="false" outlineLevel="0" collapsed="false">
      <c r="A423" s="0" t="n">
        <v>423</v>
      </c>
      <c r="B423" s="0" t="n">
        <v>75597</v>
      </c>
      <c r="C423" s="0" t="n">
        <v>59289</v>
      </c>
      <c r="D423" s="0" t="n">
        <v>55515</v>
      </c>
      <c r="E423" s="0" t="n">
        <v>0.81</v>
      </c>
      <c r="F423" s="0" t="n">
        <v>19214</v>
      </c>
      <c r="G423" s="0" t="n">
        <v>25.4163525007606</v>
      </c>
      <c r="H423" s="0" t="s">
        <v>580</v>
      </c>
      <c r="I423" s="0" t="n">
        <v>1.35699069075204</v>
      </c>
      <c r="J423" s="0" t="n">
        <v>19039</v>
      </c>
      <c r="K423" s="0" t="n">
        <v>0</v>
      </c>
      <c r="L423" s="0" t="n">
        <v>34267</v>
      </c>
      <c r="M423" s="0" t="n">
        <v>33802</v>
      </c>
      <c r="N423" s="0" t="n">
        <v>13703</v>
      </c>
      <c r="O423" s="0" t="n">
        <v>0</v>
      </c>
      <c r="P423" s="0" t="s">
        <v>364</v>
      </c>
      <c r="Q423" s="0" t="n">
        <v>0</v>
      </c>
      <c r="R423" s="0" t="n">
        <v>4.5859950609221</v>
      </c>
      <c r="S423" s="0" t="n">
        <v>0</v>
      </c>
      <c r="T423" s="0" t="n">
        <v>0</v>
      </c>
      <c r="U423" s="0" t="n">
        <v>0</v>
      </c>
      <c r="V423" s="0" t="n">
        <v>0</v>
      </c>
      <c r="W423" s="0" t="n">
        <v>20231231</v>
      </c>
      <c r="X423" s="0" t="n">
        <v>-4.45568212086552</v>
      </c>
      <c r="Y423" s="0" t="n">
        <v>-11.2</v>
      </c>
      <c r="Z423" s="0" t="s">
        <v>123</v>
      </c>
      <c r="AA423" s="0" t="n">
        <f aca="false">IF(AND(ISNUMBER(B423),B423&gt;0,ISNUMBER(U423),U423&gt;=0,ISNUMBER(O423),O423&gt;=0),1,0)</f>
        <v>1</v>
      </c>
      <c r="AB423" s="0" t="n">
        <f aca="false">IF(AA423=1,U423+O423,0)</f>
        <v>0</v>
      </c>
      <c r="AC423" s="0" t="n">
        <f aca="false">IF(AA423=1,100*AB423/B423,"")</f>
        <v>0</v>
      </c>
      <c r="AD423" s="0" t="n">
        <f aca="false">IF(AND(AND(ISNUMBER(B423),B423=OriginalFinancials!B423),AND(ISNUMBER(U423),U423=OriginalFinancials!U423),AND(ISNUMBER(O423),O423=OriginalFinancials!O423)),0,1)</f>
        <v>0</v>
      </c>
      <c r="AE423" s="0" t="str">
        <f aca="false">IF(V423=0,"原始0：需核实适用/报告口径","")</f>
        <v>原始0：需核实适用/报告口径</v>
      </c>
    </row>
    <row r="424" customFormat="false" ht="15" hidden="false" customHeight="false" outlineLevel="0" collapsed="false">
      <c r="A424" s="0" t="n">
        <v>424</v>
      </c>
      <c r="B424" s="0" t="n">
        <v>159178</v>
      </c>
      <c r="C424" s="0" t="n">
        <v>59298</v>
      </c>
      <c r="D424" s="0" t="n">
        <v>130214</v>
      </c>
      <c r="E424" s="0" t="n">
        <v>0.31</v>
      </c>
      <c r="F424" s="0" t="n">
        <v>27360</v>
      </c>
      <c r="G424" s="0" t="n">
        <v>17.1883049165086</v>
      </c>
      <c r="H424" s="0" t="s">
        <v>581</v>
      </c>
      <c r="I424" s="0" t="n">
        <v>0.790432154573399</v>
      </c>
      <c r="J424" s="0" t="n">
        <v>19027</v>
      </c>
      <c r="K424" s="0" t="n">
        <v>0</v>
      </c>
      <c r="L424" s="0" t="n">
        <v>77426</v>
      </c>
      <c r="M424" s="0" t="n">
        <v>76814</v>
      </c>
      <c r="N424" s="0" t="n">
        <v>58407</v>
      </c>
      <c r="O424" s="0" t="n">
        <v>0</v>
      </c>
      <c r="P424" s="0" t="s">
        <v>310</v>
      </c>
      <c r="Q424" s="0" t="n">
        <v>0</v>
      </c>
      <c r="R424" s="0" t="n">
        <v>2.77710579481781</v>
      </c>
      <c r="S424" s="0" t="n">
        <v>0</v>
      </c>
      <c r="T424" s="0" t="n">
        <v>0</v>
      </c>
      <c r="U424" s="0" t="n">
        <v>0</v>
      </c>
      <c r="V424" s="0" t="n">
        <v>0</v>
      </c>
      <c r="W424" s="0" t="n">
        <v>20231231</v>
      </c>
      <c r="X424" s="0" t="n">
        <v>-2.10600972672534</v>
      </c>
      <c r="Y424" s="0" t="n">
        <v>-9.28</v>
      </c>
      <c r="Z424" s="0" t="s">
        <v>112</v>
      </c>
      <c r="AA424" s="0" t="n">
        <f aca="false">IF(AND(ISNUMBER(B424),B424&gt;0,ISNUMBER(U424),U424&gt;=0,ISNUMBER(O424),O424&gt;=0),1,0)</f>
        <v>1</v>
      </c>
      <c r="AB424" s="0" t="n">
        <f aca="false">IF(AA424=1,U424+O424,0)</f>
        <v>0</v>
      </c>
      <c r="AC424" s="0" t="n">
        <f aca="false">IF(AA424=1,100*AB424/B424,"")</f>
        <v>0</v>
      </c>
      <c r="AD424" s="0" t="n">
        <f aca="false">IF(AND(AND(ISNUMBER(B424),B424=OriginalFinancials!B424),AND(ISNUMBER(U424),U424=OriginalFinancials!U424),AND(ISNUMBER(O424),O424=OriginalFinancials!O424)),0,1)</f>
        <v>0</v>
      </c>
      <c r="AE424" s="0" t="str">
        <f aca="false">IF(V424=0,"原始0：需核实适用/报告口径","")</f>
        <v>原始0：需核实适用/报告口径</v>
      </c>
    </row>
    <row r="425" customFormat="false" ht="15" hidden="false" customHeight="false" outlineLevel="0" collapsed="false">
      <c r="A425" s="0" t="n">
        <v>425</v>
      </c>
      <c r="B425" s="0" t="n">
        <v>1098634</v>
      </c>
      <c r="C425" s="0" t="n">
        <v>6271</v>
      </c>
      <c r="D425" s="0" t="n">
        <v>898049</v>
      </c>
      <c r="E425" s="0" t="n">
        <v>0.14</v>
      </c>
      <c r="F425" s="0" t="n">
        <v>101032</v>
      </c>
      <c r="G425" s="0" t="n">
        <v>9.19614721554221</v>
      </c>
      <c r="H425" s="0" t="s">
        <v>582</v>
      </c>
      <c r="I425" s="0" t="n">
        <v>1.16347105152109</v>
      </c>
      <c r="J425" s="0" t="n">
        <v>122908</v>
      </c>
      <c r="K425" s="0" t="n">
        <v>7945</v>
      </c>
      <c r="L425" s="0" t="n">
        <v>846003</v>
      </c>
      <c r="M425" s="0" t="n">
        <v>836160</v>
      </c>
      <c r="N425" s="0" t="n">
        <v>655964</v>
      </c>
      <c r="O425" s="0" t="n">
        <v>6955</v>
      </c>
      <c r="P425" s="0" t="s">
        <v>202</v>
      </c>
      <c r="Q425" s="0" t="n">
        <v>0.879429505569129</v>
      </c>
      <c r="R425" s="0" t="n">
        <v>3.53792271157194</v>
      </c>
      <c r="S425" s="0" t="n">
        <v>341</v>
      </c>
      <c r="T425" s="0" t="n">
        <v>2530</v>
      </c>
      <c r="U425" s="0" t="n">
        <v>485</v>
      </c>
      <c r="V425" s="0" t="n">
        <v>14.9041762421334</v>
      </c>
      <c r="W425" s="0" t="n">
        <v>20231231</v>
      </c>
      <c r="X425" s="0" t="n">
        <v>1.3825664132056</v>
      </c>
      <c r="Y425" s="0" t="n">
        <v>15.83</v>
      </c>
      <c r="Z425" s="0" t="s">
        <v>112</v>
      </c>
      <c r="AA425" s="0" t="n">
        <f aca="false">IF(AND(ISNUMBER(B425),B425&gt;0,ISNUMBER(U425),U425&gt;=0,ISNUMBER(O425),O425&gt;=0),1,0)</f>
        <v>1</v>
      </c>
      <c r="AB425" s="0" t="n">
        <f aca="false">IF(AA425=1,U425+O425,0)</f>
        <v>7440</v>
      </c>
      <c r="AC425" s="0" t="n">
        <f aca="false">IF(AA425=1,100*AB425/B425,"")</f>
        <v>0.677204601350404</v>
      </c>
      <c r="AD425" s="0" t="n">
        <f aca="false">IF(AND(AND(ISNUMBER(B425),B425=OriginalFinancials!B425),AND(ISNUMBER(U425),U425=OriginalFinancials!U425),AND(ISNUMBER(O425),O425=OriginalFinancials!O425)),0,1)</f>
        <v>0</v>
      </c>
      <c r="AE425" s="0" t="str">
        <f aca="false">IF(V425=0,"原始0：需核实适用/报告口径","")</f>
        <v/>
      </c>
    </row>
    <row r="426" customFormat="false" ht="15" hidden="false" customHeight="false" outlineLevel="0" collapsed="false">
      <c r="A426" s="0" t="n">
        <v>426</v>
      </c>
      <c r="B426" s="0" t="n">
        <v>560588</v>
      </c>
      <c r="C426" s="0" t="n">
        <v>6275</v>
      </c>
      <c r="D426" s="0" t="n">
        <v>486814</v>
      </c>
      <c r="E426" s="0" t="n">
        <v>0.01</v>
      </c>
      <c r="F426" s="0" t="n">
        <v>30793</v>
      </c>
      <c r="G426" s="0" t="n">
        <v>5.49298236851306</v>
      </c>
      <c r="H426" s="0" t="s">
        <v>583</v>
      </c>
      <c r="I426" s="0" t="n">
        <v>0.408028820188376</v>
      </c>
      <c r="J426" s="0" t="n">
        <v>35545</v>
      </c>
      <c r="K426" s="0" t="n">
        <v>12925</v>
      </c>
      <c r="L426" s="0" t="n">
        <v>336986</v>
      </c>
      <c r="M426" s="0" t="n">
        <v>335611</v>
      </c>
      <c r="N426" s="0" t="n">
        <v>278886</v>
      </c>
      <c r="O426" s="0" t="n">
        <v>1221</v>
      </c>
      <c r="P426" s="0" t="s">
        <v>204</v>
      </c>
      <c r="Q426" s="0" t="n">
        <v>0.393191408545162</v>
      </c>
      <c r="R426" s="0" t="n">
        <v>2.86365448541739</v>
      </c>
      <c r="S426" s="0" t="n">
        <v>8</v>
      </c>
      <c r="T426" s="0" t="n">
        <v>326</v>
      </c>
      <c r="U426" s="0" t="n">
        <v>104</v>
      </c>
      <c r="V426" s="0" t="n">
        <v>14.8417408506429</v>
      </c>
      <c r="W426" s="0" t="n">
        <v>20231231</v>
      </c>
      <c r="X426" s="0" t="n">
        <v>0.433314521647085</v>
      </c>
      <c r="Y426" s="0" t="n">
        <v>8.83</v>
      </c>
      <c r="Z426" s="0" t="s">
        <v>112</v>
      </c>
      <c r="AA426" s="0" t="n">
        <f aca="false">IF(AND(ISNUMBER(B426),B426&gt;0,ISNUMBER(U426),U426&gt;=0,ISNUMBER(O426),O426&gt;=0),1,0)</f>
        <v>1</v>
      </c>
      <c r="AB426" s="0" t="n">
        <f aca="false">IF(AA426=1,U426+O426,0)</f>
        <v>1325</v>
      </c>
      <c r="AC426" s="0" t="n">
        <f aca="false">IF(AA426=1,100*AB426/B426,"")</f>
        <v>0.236358965942903</v>
      </c>
      <c r="AD426" s="0" t="n">
        <f aca="false">IF(AND(AND(ISNUMBER(B426),B426=OriginalFinancials!B426),AND(ISNUMBER(U426),U426=OriginalFinancials!U426),AND(ISNUMBER(O426),O426=OriginalFinancials!O426)),0,1)</f>
        <v>0</v>
      </c>
      <c r="AE426" s="0" t="str">
        <f aca="false">IF(V426=0,"原始0：需核实适用/报告口径","")</f>
        <v/>
      </c>
    </row>
    <row r="427" customFormat="false" ht="15" hidden="false" customHeight="false" outlineLevel="0" collapsed="false">
      <c r="A427" s="0" t="n">
        <v>427</v>
      </c>
      <c r="B427" s="0" t="n">
        <v>78840</v>
      </c>
      <c r="C427" s="0" t="n">
        <v>6280</v>
      </c>
      <c r="D427" s="0" t="n">
        <v>68883</v>
      </c>
      <c r="E427" s="0" t="n">
        <v>0.09</v>
      </c>
      <c r="F427" s="0" t="n">
        <v>9375</v>
      </c>
      <c r="G427" s="0" t="n">
        <v>11.8911719939117</v>
      </c>
      <c r="H427" s="0" t="s">
        <v>584</v>
      </c>
      <c r="I427" s="0" t="n">
        <v>1.31923790453194</v>
      </c>
      <c r="J427" s="0" t="n">
        <v>3335</v>
      </c>
      <c r="K427" s="0" t="n">
        <v>2153</v>
      </c>
      <c r="L427" s="0" t="n">
        <v>67918</v>
      </c>
      <c r="M427" s="0" t="n">
        <v>67022</v>
      </c>
      <c r="N427" s="0" t="n">
        <v>59964</v>
      </c>
      <c r="O427" s="0" t="n">
        <v>956</v>
      </c>
      <c r="P427" s="0" t="s">
        <v>206</v>
      </c>
      <c r="Q427" s="0" t="n">
        <v>1.40757972849613</v>
      </c>
      <c r="R427" s="0" t="n">
        <v>5.13228352094596</v>
      </c>
      <c r="S427" s="0" t="n">
        <v>9</v>
      </c>
      <c r="T427" s="0" t="n">
        <v>1133</v>
      </c>
      <c r="U427" s="0" t="n">
        <v>0</v>
      </c>
      <c r="V427" s="0" t="n">
        <v>0</v>
      </c>
      <c r="W427" s="0" t="n">
        <v>20231231</v>
      </c>
      <c r="X427" s="0" t="n">
        <v>1.84538132619786</v>
      </c>
      <c r="Y427" s="0" t="n">
        <v>16.73</v>
      </c>
      <c r="Z427" s="0" t="s">
        <v>112</v>
      </c>
      <c r="AA427" s="0" t="n">
        <f aca="false">IF(AND(ISNUMBER(B427),B427&gt;0,ISNUMBER(U427),U427&gt;=0,ISNUMBER(O427),O427&gt;=0),1,0)</f>
        <v>1</v>
      </c>
      <c r="AB427" s="0" t="n">
        <f aca="false">IF(AA427=1,U427+O427,0)</f>
        <v>956</v>
      </c>
      <c r="AC427" s="0" t="n">
        <f aca="false">IF(AA427=1,100*AB427/B427,"")</f>
        <v>1.21258244545916</v>
      </c>
      <c r="AD427" s="0" t="n">
        <f aca="false">IF(AND(AND(ISNUMBER(B427),B427=OriginalFinancials!B427),AND(ISNUMBER(U427),U427=OriginalFinancials!U427),AND(ISNUMBER(O427),O427=OriginalFinancials!O427)),0,1)</f>
        <v>0</v>
      </c>
      <c r="AE427" s="0" t="str">
        <f aca="false">IF(V427=0,"原始0：需核实适用/报告口径","")</f>
        <v>原始0：需核实适用/报告口径</v>
      </c>
    </row>
    <row r="428" customFormat="false" ht="15" hidden="false" customHeight="false" outlineLevel="0" collapsed="false">
      <c r="A428" s="0" t="n">
        <v>428</v>
      </c>
      <c r="B428" s="0" t="n">
        <v>3955727</v>
      </c>
      <c r="C428" s="0" t="n">
        <v>11971</v>
      </c>
      <c r="D428" s="0" t="n">
        <v>3137892</v>
      </c>
      <c r="E428" s="0" t="n">
        <v>0.01</v>
      </c>
      <c r="F428" s="0" t="n">
        <v>487592</v>
      </c>
      <c r="G428" s="0" t="n">
        <v>12.3262297929053</v>
      </c>
      <c r="H428" s="0" t="s">
        <v>585</v>
      </c>
      <c r="I428" s="0" t="n">
        <v>0.940523927054749</v>
      </c>
      <c r="J428" s="0" t="n">
        <v>200453</v>
      </c>
      <c r="K428" s="0" t="n">
        <v>7629</v>
      </c>
      <c r="L428" s="0" t="n">
        <v>3014809</v>
      </c>
      <c r="M428" s="0" t="n">
        <v>2986454</v>
      </c>
      <c r="N428" s="0" t="n">
        <v>2661075</v>
      </c>
      <c r="O428" s="0" t="n">
        <v>6869</v>
      </c>
      <c r="P428" s="0" t="s">
        <v>104</v>
      </c>
      <c r="Q428" s="0" t="n">
        <v>0.227841962791009</v>
      </c>
      <c r="R428" s="0" t="n">
        <v>3.25579709921018</v>
      </c>
      <c r="S428" s="0" t="n">
        <v>76</v>
      </c>
      <c r="T428" s="0" t="n">
        <v>2796</v>
      </c>
      <c r="U428" s="0" t="n">
        <v>0</v>
      </c>
      <c r="V428" s="0" t="n">
        <v>14.0984467343394</v>
      </c>
      <c r="W428" s="0" t="n">
        <v>20240331</v>
      </c>
      <c r="X428" s="0" t="n">
        <v>1.1683674016711</v>
      </c>
      <c r="Y428" s="0" t="n">
        <v>9.53</v>
      </c>
      <c r="Z428" s="0" t="s">
        <v>105</v>
      </c>
      <c r="AA428" s="0" t="n">
        <f aca="false">IF(AND(ISNUMBER(B428),B428&gt;0,ISNUMBER(U428),U428&gt;=0,ISNUMBER(O428),O428&gt;=0),1,0)</f>
        <v>1</v>
      </c>
      <c r="AB428" s="0" t="n">
        <f aca="false">IF(AA428=1,U428+O428,0)</f>
        <v>6869</v>
      </c>
      <c r="AC428" s="0" t="n">
        <f aca="false">IF(AA428=1,100*AB428/B428,"")</f>
        <v>0.173646968054166</v>
      </c>
      <c r="AD428" s="0" t="n">
        <f aca="false">IF(AND(AND(ISNUMBER(B428),B428=OriginalFinancials!B428),AND(ISNUMBER(U428),U428=OriginalFinancials!U428),AND(ISNUMBER(O428),O428=OriginalFinancials!O428)),0,1)</f>
        <v>0</v>
      </c>
      <c r="AE428" s="0" t="str">
        <f aca="false">IF(V428=0,"原始0：需核实适用/报告口径","")</f>
        <v/>
      </c>
    </row>
    <row r="429" customFormat="false" ht="15" hidden="false" customHeight="false" outlineLevel="0" collapsed="false">
      <c r="A429" s="0" t="n">
        <v>429</v>
      </c>
      <c r="B429" s="0" t="n">
        <v>1024449</v>
      </c>
      <c r="C429" s="0" t="n">
        <v>12874</v>
      </c>
      <c r="D429" s="0" t="n">
        <v>876882</v>
      </c>
      <c r="E429" s="0" t="n">
        <v>-0.05</v>
      </c>
      <c r="F429" s="0" t="n">
        <v>106671</v>
      </c>
      <c r="G429" s="0" t="n">
        <v>10.4125241959336</v>
      </c>
      <c r="H429" s="0" t="s">
        <v>586</v>
      </c>
      <c r="I429" s="0" t="n">
        <v>0.989606313425053</v>
      </c>
      <c r="J429" s="0" t="n">
        <v>149340</v>
      </c>
      <c r="K429" s="0" t="n">
        <v>5156</v>
      </c>
      <c r="L429" s="0" t="n">
        <v>797792</v>
      </c>
      <c r="M429" s="0" t="n">
        <v>789897</v>
      </c>
      <c r="N429" s="0" t="n">
        <v>629564</v>
      </c>
      <c r="O429" s="0" t="n">
        <v>1466</v>
      </c>
      <c r="P429" s="0" t="s">
        <v>107</v>
      </c>
      <c r="Q429" s="0" t="n">
        <v>0.183757169788617</v>
      </c>
      <c r="R429" s="0" t="n">
        <v>3.63748180471991</v>
      </c>
      <c r="S429" s="0" t="n">
        <v>-40</v>
      </c>
      <c r="T429" s="0" t="n">
        <v>286</v>
      </c>
      <c r="U429" s="0" t="n">
        <v>0</v>
      </c>
      <c r="V429" s="0" t="n">
        <v>16.0884328878907</v>
      </c>
      <c r="W429" s="0" t="n">
        <v>20240331</v>
      </c>
      <c r="X429" s="0" t="n">
        <v>0.884731192413479</v>
      </c>
      <c r="Y429" s="0" t="n">
        <v>8.52</v>
      </c>
      <c r="Z429" s="0" t="s">
        <v>105</v>
      </c>
      <c r="AA429" s="0" t="n">
        <f aca="false">IF(AND(ISNUMBER(B429),B429&gt;0,ISNUMBER(U429),U429&gt;=0,ISNUMBER(O429),O429&gt;=0),1,0)</f>
        <v>1</v>
      </c>
      <c r="AB429" s="0" t="n">
        <f aca="false">IF(AA429=1,U429+O429,0)</f>
        <v>1466</v>
      </c>
      <c r="AC429" s="0" t="n">
        <f aca="false">IF(AA429=1,100*AB429/B429,"")</f>
        <v>0.143101315926903</v>
      </c>
      <c r="AD429" s="0" t="n">
        <f aca="false">IF(AND(AND(ISNUMBER(B429),B429=OriginalFinancials!B429),AND(ISNUMBER(U429),U429=OriginalFinancials!U429),AND(ISNUMBER(O429),O429=OriginalFinancials!O429)),0,1)</f>
        <v>0</v>
      </c>
      <c r="AE429" s="0" t="str">
        <f aca="false">IF(V429=0,"原始0：需核实适用/报告口径","")</f>
        <v/>
      </c>
    </row>
    <row r="430" customFormat="false" ht="15" hidden="false" customHeight="false" outlineLevel="0" collapsed="false">
      <c r="A430" s="0" t="n">
        <v>430</v>
      </c>
      <c r="B430" s="0" t="n">
        <v>1806517</v>
      </c>
      <c r="C430" s="0" t="n">
        <v>13063</v>
      </c>
      <c r="D430" s="0" t="n">
        <v>1572488</v>
      </c>
      <c r="E430" s="0" t="n">
        <v>0.06</v>
      </c>
      <c r="F430" s="0" t="n">
        <v>144426</v>
      </c>
      <c r="G430" s="0" t="n">
        <v>7.994721333926</v>
      </c>
      <c r="H430" s="0" t="s">
        <v>587</v>
      </c>
      <c r="I430" s="0" t="n">
        <v>1.20322501230921</v>
      </c>
      <c r="J430" s="0" t="n">
        <v>57837</v>
      </c>
      <c r="K430" s="0" t="n">
        <v>758</v>
      </c>
      <c r="L430" s="0" t="n">
        <v>1429824</v>
      </c>
      <c r="M430" s="0" t="n">
        <v>1412620</v>
      </c>
      <c r="N430" s="0" t="n">
        <v>1360729</v>
      </c>
      <c r="O430" s="0" t="n">
        <v>510</v>
      </c>
      <c r="P430" s="0" t="s">
        <v>109</v>
      </c>
      <c r="Q430" s="0" t="n">
        <v>0.0356687256613401</v>
      </c>
      <c r="R430" s="0" t="n">
        <v>2.96240345136222</v>
      </c>
      <c r="S430" s="0" t="n">
        <v>-4</v>
      </c>
      <c r="T430" s="0" t="n">
        <v>3365</v>
      </c>
      <c r="U430" s="0" t="n">
        <v>0</v>
      </c>
      <c r="V430" s="0" t="n">
        <v>0</v>
      </c>
      <c r="W430" s="0" t="n">
        <v>20240331</v>
      </c>
      <c r="X430" s="0" t="n">
        <v>0.280149291821904</v>
      </c>
      <c r="Y430" s="0" t="n">
        <v>3.52</v>
      </c>
      <c r="Z430" s="0" t="s">
        <v>105</v>
      </c>
      <c r="AA430" s="0" t="n">
        <f aca="false">IF(AND(ISNUMBER(B430),B430&gt;0,ISNUMBER(U430),U430&gt;=0,ISNUMBER(O430),O430&gt;=0),1,0)</f>
        <v>1</v>
      </c>
      <c r="AB430" s="0" t="n">
        <f aca="false">IF(AA430=1,U430+O430,0)</f>
        <v>510</v>
      </c>
      <c r="AC430" s="0" t="n">
        <f aca="false">IF(AA430=1,100*AB430/B430,"")</f>
        <v>0.0282311209913884</v>
      </c>
      <c r="AD430" s="0" t="n">
        <f aca="false">IF(AND(AND(ISNUMBER(B430),B430=OriginalFinancials!B430),AND(ISNUMBER(U430),U430=OriginalFinancials!U430),AND(ISNUMBER(O430),O430=OriginalFinancials!O430)),0,1)</f>
        <v>0</v>
      </c>
      <c r="AE430" s="0" t="str">
        <f aca="false">IF(V430=0,"原始0：需核实适用/报告口径","")</f>
        <v>原始0：需核实适用/报告口径</v>
      </c>
    </row>
    <row r="431" customFormat="false" ht="15" hidden="false" customHeight="false" outlineLevel="0" collapsed="false">
      <c r="A431" s="0" t="n">
        <v>431</v>
      </c>
      <c r="B431" s="0" t="n">
        <v>842231</v>
      </c>
      <c r="C431" s="0" t="n">
        <v>14134</v>
      </c>
      <c r="D431" s="0" t="n">
        <v>674131</v>
      </c>
      <c r="E431" s="0" t="n">
        <v>0.09</v>
      </c>
      <c r="F431" s="0" t="n">
        <v>108189</v>
      </c>
      <c r="G431" s="0" t="n">
        <v>12.8455257524361</v>
      </c>
      <c r="H431" s="0" t="s">
        <v>588</v>
      </c>
      <c r="I431" s="0" t="n">
        <v>1.15496383334913</v>
      </c>
      <c r="J431" s="0" t="n">
        <v>25471</v>
      </c>
      <c r="K431" s="0" t="n">
        <v>24735</v>
      </c>
      <c r="L431" s="0" t="n">
        <v>633180</v>
      </c>
      <c r="M431" s="0" t="n">
        <v>625867</v>
      </c>
      <c r="N431" s="0" t="n">
        <v>560872</v>
      </c>
      <c r="O431" s="0" t="n">
        <v>10903</v>
      </c>
      <c r="P431" s="0" t="s">
        <v>111</v>
      </c>
      <c r="Q431" s="0" t="n">
        <v>1.72194320730282</v>
      </c>
      <c r="R431" s="0" t="n">
        <v>3.06668550800971</v>
      </c>
      <c r="S431" s="0" t="n">
        <v>150</v>
      </c>
      <c r="T431" s="0" t="n">
        <v>4407</v>
      </c>
      <c r="U431" s="0" t="n">
        <v>0</v>
      </c>
      <c r="V431" s="0" t="n">
        <v>19.5631605084554</v>
      </c>
      <c r="W431" s="0" t="n">
        <v>20240331</v>
      </c>
      <c r="X431" s="0" t="n">
        <v>1.52742469831594</v>
      </c>
      <c r="Y431" s="0" t="n">
        <v>12.11</v>
      </c>
      <c r="Z431" s="0" t="s">
        <v>112</v>
      </c>
      <c r="AA431" s="0" t="n">
        <f aca="false">IF(AND(ISNUMBER(B431),B431&gt;0,ISNUMBER(U431),U431&gt;=0,ISNUMBER(O431),O431&gt;=0),1,0)</f>
        <v>1</v>
      </c>
      <c r="AB431" s="0" t="n">
        <f aca="false">IF(AA431=1,U431+O431,0)</f>
        <v>10903</v>
      </c>
      <c r="AC431" s="0" t="n">
        <f aca="false">IF(AA431=1,100*AB431/B431,"")</f>
        <v>1.29453795930095</v>
      </c>
      <c r="AD431" s="0" t="n">
        <f aca="false">IF(AND(AND(ISNUMBER(B431),B431=OriginalFinancials!B431),AND(ISNUMBER(U431),U431=OriginalFinancials!U431),AND(ISNUMBER(O431),O431=OriginalFinancials!O431)),0,1)</f>
        <v>0</v>
      </c>
      <c r="AE431" s="0" t="str">
        <f aca="false">IF(V431=0,"原始0：需核实适用/报告口径","")</f>
        <v/>
      </c>
    </row>
    <row r="432" customFormat="false" ht="15" hidden="false" customHeight="false" outlineLevel="0" collapsed="false">
      <c r="A432" s="0" t="n">
        <v>432</v>
      </c>
      <c r="B432" s="0" t="n">
        <v>239150</v>
      </c>
      <c r="C432" s="0" t="n">
        <v>14136</v>
      </c>
      <c r="D432" s="0" t="n">
        <v>196243</v>
      </c>
      <c r="E432" s="0" t="n">
        <v>-0.18</v>
      </c>
      <c r="F432" s="0" t="n">
        <v>17389</v>
      </c>
      <c r="G432" s="0" t="n">
        <v>7.27116872255906</v>
      </c>
      <c r="H432" s="0" t="s">
        <v>589</v>
      </c>
      <c r="I432" s="0" t="n">
        <v>1.10535834372531</v>
      </c>
      <c r="J432" s="0" t="n">
        <v>14438</v>
      </c>
      <c r="K432" s="0" t="n">
        <v>14594</v>
      </c>
      <c r="L432" s="0" t="n">
        <v>153163</v>
      </c>
      <c r="M432" s="0" t="n">
        <v>151470</v>
      </c>
      <c r="N432" s="0" t="n">
        <v>123830</v>
      </c>
      <c r="O432" s="0" t="n">
        <v>502</v>
      </c>
      <c r="P432" s="0" t="s">
        <v>114</v>
      </c>
      <c r="Q432" s="0" t="n">
        <v>0.633965122124795</v>
      </c>
      <c r="R432" s="0" t="n">
        <v>3.75432733834968</v>
      </c>
      <c r="S432" s="0" t="n">
        <v>82</v>
      </c>
      <c r="T432" s="0" t="n">
        <v>634</v>
      </c>
      <c r="U432" s="0" t="n">
        <v>469</v>
      </c>
      <c r="V432" s="0" t="n">
        <v>17.5483668012374</v>
      </c>
      <c r="W432" s="0" t="n">
        <v>20240331</v>
      </c>
      <c r="X432" s="0" t="n">
        <v>0.678212630653181</v>
      </c>
      <c r="Y432" s="0" t="n">
        <v>9.32</v>
      </c>
      <c r="Z432" s="0" t="s">
        <v>112</v>
      </c>
      <c r="AA432" s="0" t="n">
        <f aca="false">IF(AND(ISNUMBER(B432),B432&gt;0,ISNUMBER(U432),U432&gt;=0,ISNUMBER(O432),O432&gt;=0),1,0)</f>
        <v>1</v>
      </c>
      <c r="AB432" s="0" t="n">
        <f aca="false">IF(AA432=1,U432+O432,0)</f>
        <v>971</v>
      </c>
      <c r="AC432" s="0" t="n">
        <f aca="false">IF(AA432=1,100*AB432/B432,"")</f>
        <v>0.406021325527911</v>
      </c>
      <c r="AD432" s="0" t="n">
        <f aca="false">IF(AND(AND(ISNUMBER(B432),B432=OriginalFinancials!B432),AND(ISNUMBER(U432),U432=OriginalFinancials!U432),AND(ISNUMBER(O432),O432=OriginalFinancials!O432)),0,1)</f>
        <v>0</v>
      </c>
      <c r="AE432" s="0" t="str">
        <f aca="false">IF(V432=0,"原始0：需核实适用/报告口径","")</f>
        <v/>
      </c>
    </row>
    <row r="433" customFormat="false" ht="15" hidden="false" customHeight="false" outlineLevel="0" collapsed="false">
      <c r="A433" s="0" t="n">
        <v>433</v>
      </c>
      <c r="B433" s="0" t="n">
        <v>1501419</v>
      </c>
      <c r="C433" s="0" t="n">
        <v>14140</v>
      </c>
      <c r="D433" s="0" t="n">
        <v>1223701</v>
      </c>
      <c r="E433" s="0" t="n">
        <v>0.03</v>
      </c>
      <c r="F433" s="0" t="n">
        <v>125756</v>
      </c>
      <c r="G433" s="0" t="n">
        <v>8.37580981724622</v>
      </c>
      <c r="H433" s="0" t="s">
        <v>590</v>
      </c>
      <c r="I433" s="0" t="n">
        <v>0.842063813594939</v>
      </c>
      <c r="J433" s="0" t="n">
        <v>86843</v>
      </c>
      <c r="K433" s="0" t="n">
        <v>1578</v>
      </c>
      <c r="L433" s="0" t="n">
        <v>1056452</v>
      </c>
      <c r="M433" s="0" t="n">
        <v>1047556</v>
      </c>
      <c r="N433" s="0" t="n">
        <v>938480</v>
      </c>
      <c r="O433" s="0" t="n">
        <v>4548</v>
      </c>
      <c r="P433" s="0" t="s">
        <v>116</v>
      </c>
      <c r="Q433" s="0" t="n">
        <v>0.430497552184103</v>
      </c>
      <c r="R433" s="0" t="n">
        <v>2.39161561031373</v>
      </c>
      <c r="S433" s="0" t="n">
        <v>7</v>
      </c>
      <c r="T433" s="0" t="n">
        <v>85</v>
      </c>
      <c r="U433" s="0" t="n">
        <v>0</v>
      </c>
      <c r="V433" s="0" t="n">
        <v>0</v>
      </c>
      <c r="W433" s="0" t="n">
        <v>20240331</v>
      </c>
      <c r="X433" s="0" t="n">
        <v>0.266123685640066</v>
      </c>
      <c r="Y433" s="0" t="n">
        <v>3.17</v>
      </c>
      <c r="Z433" s="0" t="s">
        <v>112</v>
      </c>
      <c r="AA433" s="0" t="n">
        <f aca="false">IF(AND(ISNUMBER(B433),B433&gt;0,ISNUMBER(U433),U433&gt;=0,ISNUMBER(O433),O433&gt;=0),1,0)</f>
        <v>1</v>
      </c>
      <c r="AB433" s="0" t="n">
        <f aca="false">IF(AA433=1,U433+O433,0)</f>
        <v>4548</v>
      </c>
      <c r="AC433" s="0" t="n">
        <f aca="false">IF(AA433=1,100*AB433/B433,"")</f>
        <v>0.302913443882088</v>
      </c>
      <c r="AD433" s="0" t="n">
        <f aca="false">IF(AND(AND(ISNUMBER(B433),B433=OriginalFinancials!B433),AND(ISNUMBER(U433),U433=OriginalFinancials!U433),AND(ISNUMBER(O433),O433=OriginalFinancials!O433)),0,1)</f>
        <v>0</v>
      </c>
      <c r="AE433" s="0" t="str">
        <f aca="false">IF(V433=0,"原始0：需核实适用/报告口径","")</f>
        <v>原始0：需核实适用/报告口径</v>
      </c>
    </row>
    <row r="434" customFormat="false" ht="15" hidden="false" customHeight="false" outlineLevel="0" collapsed="false">
      <c r="A434" s="0" t="n">
        <v>434</v>
      </c>
      <c r="B434" s="0" t="n">
        <v>1416981</v>
      </c>
      <c r="C434" s="0" t="n">
        <v>14158</v>
      </c>
      <c r="D434" s="0" t="n">
        <v>1175239</v>
      </c>
      <c r="E434" s="0" t="n">
        <v>-0.06</v>
      </c>
      <c r="F434" s="0" t="n">
        <v>79774</v>
      </c>
      <c r="G434" s="0" t="n">
        <v>5.62985671649796</v>
      </c>
      <c r="H434" s="0" t="s">
        <v>591</v>
      </c>
      <c r="I434" s="0" t="n">
        <v>0.639316676784771</v>
      </c>
      <c r="J434" s="0" t="n">
        <v>40567</v>
      </c>
      <c r="K434" s="0" t="n">
        <v>2275</v>
      </c>
      <c r="L434" s="0" t="n">
        <v>1039391</v>
      </c>
      <c r="M434" s="0" t="n">
        <v>1032746</v>
      </c>
      <c r="N434" s="0" t="n">
        <v>909000</v>
      </c>
      <c r="O434" s="0" t="n">
        <v>1813</v>
      </c>
      <c r="P434" s="0" t="s">
        <v>118</v>
      </c>
      <c r="Q434" s="0" t="n">
        <v>0.180201675788996</v>
      </c>
      <c r="R434" s="0" t="n">
        <v>2.72025620948648</v>
      </c>
      <c r="S434" s="0" t="n">
        <v>-1</v>
      </c>
      <c r="T434" s="0" t="n">
        <v>2549</v>
      </c>
      <c r="U434" s="0" t="n">
        <v>60</v>
      </c>
      <c r="V434" s="0" t="n">
        <v>13.3404695925329</v>
      </c>
      <c r="W434" s="0" t="n">
        <v>20240331</v>
      </c>
      <c r="X434" s="0" t="n">
        <v>0.733611995914674</v>
      </c>
      <c r="Y434" s="0" t="n">
        <v>13.08</v>
      </c>
      <c r="Z434" s="0" t="s">
        <v>112</v>
      </c>
      <c r="AA434" s="0" t="n">
        <f aca="false">IF(AND(ISNUMBER(B434),B434&gt;0,ISNUMBER(U434),U434&gt;=0,ISNUMBER(O434),O434&gt;=0),1,0)</f>
        <v>1</v>
      </c>
      <c r="AB434" s="0" t="n">
        <f aca="false">IF(AA434=1,U434+O434,0)</f>
        <v>1873</v>
      </c>
      <c r="AC434" s="0" t="n">
        <f aca="false">IF(AA434=1,100*AB434/B434,"")</f>
        <v>0.132182435756019</v>
      </c>
      <c r="AD434" s="0" t="n">
        <f aca="false">IF(AND(AND(ISNUMBER(B434),B434=OriginalFinancials!B434),AND(ISNUMBER(U434),U434=OriginalFinancials!U434),AND(ISNUMBER(O434),O434=OriginalFinancials!O434)),0,1)</f>
        <v>0</v>
      </c>
      <c r="AE434" s="0" t="str">
        <f aca="false">IF(V434=0,"原始0：需核实适用/报告口径","")</f>
        <v/>
      </c>
    </row>
    <row r="435" customFormat="false" ht="15" hidden="false" customHeight="false" outlineLevel="0" collapsed="false">
      <c r="A435" s="0" t="n">
        <v>435</v>
      </c>
      <c r="B435" s="0" t="n">
        <v>363663</v>
      </c>
      <c r="C435" s="0" t="n">
        <v>14168</v>
      </c>
      <c r="D435" s="0" t="n">
        <v>323430</v>
      </c>
      <c r="E435" s="0" t="n">
        <v>0.11</v>
      </c>
      <c r="F435" s="0" t="n">
        <v>35210</v>
      </c>
      <c r="G435" s="0" t="n">
        <v>9.6820407905121</v>
      </c>
      <c r="H435" s="0" t="s">
        <v>592</v>
      </c>
      <c r="I435" s="0" t="n">
        <v>1.64537977359574</v>
      </c>
      <c r="J435" s="0" t="n">
        <v>12376</v>
      </c>
      <c r="K435" s="0" t="n">
        <v>10104</v>
      </c>
      <c r="L435" s="0" t="n">
        <v>250702</v>
      </c>
      <c r="M435" s="0" t="n">
        <v>246577</v>
      </c>
      <c r="N435" s="0" t="n">
        <v>213218</v>
      </c>
      <c r="O435" s="0" t="n">
        <v>1095</v>
      </c>
      <c r="P435" s="0" t="s">
        <v>120</v>
      </c>
      <c r="Q435" s="0" t="n">
        <v>0.437172419845075</v>
      </c>
      <c r="R435" s="0" t="n">
        <v>3.9809390262742</v>
      </c>
      <c r="S435" s="0" t="n">
        <v>-25</v>
      </c>
      <c r="T435" s="0" t="n">
        <v>1276</v>
      </c>
      <c r="U435" s="0" t="n">
        <v>1</v>
      </c>
      <c r="V435" s="0" t="n">
        <v>16.3907253005299</v>
      </c>
      <c r="W435" s="0" t="n">
        <v>20240331</v>
      </c>
      <c r="X435" s="0" t="n">
        <v>0.787388476403298</v>
      </c>
      <c r="Y435" s="0" t="n">
        <v>8.06</v>
      </c>
      <c r="Z435" s="0" t="s">
        <v>112</v>
      </c>
      <c r="AA435" s="0" t="n">
        <f aca="false">IF(AND(ISNUMBER(B435),B435&gt;0,ISNUMBER(U435),U435&gt;=0,ISNUMBER(O435),O435&gt;=0),1,0)</f>
        <v>1</v>
      </c>
      <c r="AB435" s="0" t="n">
        <f aca="false">IF(AA435=1,U435+O435,0)</f>
        <v>1096</v>
      </c>
      <c r="AC435" s="0" t="n">
        <f aca="false">IF(AA435=1,100*AB435/B435,"")</f>
        <v>0.301377924067062</v>
      </c>
      <c r="AD435" s="0" t="n">
        <f aca="false">IF(AND(AND(ISNUMBER(B435),B435=OriginalFinancials!B435),AND(ISNUMBER(U435),U435=OriginalFinancials!U435),AND(ISNUMBER(O435),O435=OriginalFinancials!O435)),0,1)</f>
        <v>0</v>
      </c>
      <c r="AE435" s="0" t="str">
        <f aca="false">IF(V435=0,"原始0：需核实适用/报告口径","")</f>
        <v/>
      </c>
    </row>
    <row r="436" customFormat="false" ht="15" hidden="false" customHeight="false" outlineLevel="0" collapsed="false">
      <c r="A436" s="0" t="n">
        <v>436</v>
      </c>
      <c r="B436" s="0" t="n">
        <v>1238358</v>
      </c>
      <c r="C436" s="0" t="n">
        <v>14240</v>
      </c>
      <c r="D436" s="0" t="n">
        <v>983728</v>
      </c>
      <c r="E436" s="0" t="n">
        <v>0</v>
      </c>
      <c r="F436" s="0" t="n">
        <v>87867</v>
      </c>
      <c r="G436" s="0" t="n">
        <v>7.09544412843459</v>
      </c>
      <c r="H436" s="0" t="s">
        <v>593</v>
      </c>
      <c r="I436" s="0" t="n">
        <v>1.16311800833159</v>
      </c>
      <c r="J436" s="0" t="n">
        <v>26576</v>
      </c>
      <c r="K436" s="0" t="n">
        <v>15838</v>
      </c>
      <c r="L436" s="0" t="n">
        <v>920113</v>
      </c>
      <c r="M436" s="0" t="n">
        <v>909411</v>
      </c>
      <c r="N436" s="0" t="n">
        <v>804017</v>
      </c>
      <c r="O436" s="0" t="n">
        <v>3281</v>
      </c>
      <c r="P436" s="0" t="s">
        <v>122</v>
      </c>
      <c r="Q436" s="0" t="n">
        <v>0.356586636641369</v>
      </c>
      <c r="R436" s="0" t="n">
        <v>2.8576455097097</v>
      </c>
      <c r="S436" s="0" t="n">
        <v>-6</v>
      </c>
      <c r="T436" s="0" t="n">
        <v>2878</v>
      </c>
      <c r="U436" s="0" t="n">
        <v>0</v>
      </c>
      <c r="V436" s="0" t="n">
        <v>16.0804516584333</v>
      </c>
      <c r="W436" s="0" t="n">
        <v>20240331</v>
      </c>
      <c r="X436" s="0" t="n">
        <v>0.489845223176813</v>
      </c>
      <c r="Y436" s="0" t="n">
        <v>6.95</v>
      </c>
      <c r="Z436" s="0" t="s">
        <v>123</v>
      </c>
      <c r="AA436" s="0" t="n">
        <f aca="false">IF(AND(ISNUMBER(B436),B436&gt;0,ISNUMBER(U436),U436&gt;=0,ISNUMBER(O436),O436&gt;=0),1,0)</f>
        <v>1</v>
      </c>
      <c r="AB436" s="0" t="n">
        <f aca="false">IF(AA436=1,U436+O436,0)</f>
        <v>3281</v>
      </c>
      <c r="AC436" s="0" t="n">
        <f aca="false">IF(AA436=1,100*AB436/B436,"")</f>
        <v>0.264947616117472</v>
      </c>
      <c r="AD436" s="0" t="n">
        <f aca="false">IF(AND(AND(ISNUMBER(B436),B436=OriginalFinancials!B436),AND(ISNUMBER(U436),U436=OriginalFinancials!U436),AND(ISNUMBER(O436),O436=OriginalFinancials!O436)),0,1)</f>
        <v>0</v>
      </c>
      <c r="AE436" s="0" t="str">
        <f aca="false">IF(V436=0,"原始0：需核实适用/报告口径","")</f>
        <v/>
      </c>
    </row>
    <row r="437" customFormat="false" ht="15" hidden="false" customHeight="false" outlineLevel="0" collapsed="false">
      <c r="A437" s="0" t="n">
        <v>437</v>
      </c>
      <c r="B437" s="0" t="n">
        <v>1079745</v>
      </c>
      <c r="C437" s="0" t="n">
        <v>17115</v>
      </c>
      <c r="D437" s="0" t="n">
        <v>803428</v>
      </c>
      <c r="E437" s="0" t="n">
        <v>0.03</v>
      </c>
      <c r="F437" s="0" t="n">
        <v>88109</v>
      </c>
      <c r="G437" s="0" t="n">
        <v>8.16016744694349</v>
      </c>
      <c r="H437" s="0" t="s">
        <v>594</v>
      </c>
      <c r="I437" s="0" t="n">
        <v>1.00294702167807</v>
      </c>
      <c r="J437" s="0" t="n">
        <v>43323</v>
      </c>
      <c r="K437" s="0" t="n">
        <v>6768</v>
      </c>
      <c r="L437" s="0" t="n">
        <v>896159</v>
      </c>
      <c r="M437" s="0" t="n">
        <v>887171</v>
      </c>
      <c r="N437" s="0" t="n">
        <v>845242</v>
      </c>
      <c r="O437" s="0" t="n">
        <v>2344</v>
      </c>
      <c r="P437" s="0" t="s">
        <v>125</v>
      </c>
      <c r="Q437" s="0" t="n">
        <v>0.261560727504829</v>
      </c>
      <c r="R437" s="0" t="n">
        <v>2.59385352969745</v>
      </c>
      <c r="S437" s="0" t="n">
        <v>8</v>
      </c>
      <c r="T437" s="0" t="n">
        <v>1163</v>
      </c>
      <c r="U437" s="0" t="n">
        <v>0</v>
      </c>
      <c r="V437" s="0" t="n">
        <v>13.958856660342</v>
      </c>
      <c r="W437" s="0" t="n">
        <v>20240331</v>
      </c>
      <c r="X437" s="0" t="n">
        <v>0.534576872366088</v>
      </c>
      <c r="Y437" s="0" t="n">
        <v>6.61</v>
      </c>
      <c r="Z437" s="0" t="s">
        <v>105</v>
      </c>
      <c r="AA437" s="0" t="n">
        <f aca="false">IF(AND(ISNUMBER(B437),B437&gt;0,ISNUMBER(U437),U437&gt;=0,ISNUMBER(O437),O437&gt;=0),1,0)</f>
        <v>1</v>
      </c>
      <c r="AB437" s="0" t="n">
        <f aca="false">IF(AA437=1,U437+O437,0)</f>
        <v>2344</v>
      </c>
      <c r="AC437" s="0" t="n">
        <f aca="false">IF(AA437=1,100*AB437/B437,"")</f>
        <v>0.217088293995341</v>
      </c>
      <c r="AD437" s="0" t="n">
        <f aca="false">IF(AND(AND(ISNUMBER(B437),B437=OriginalFinancials!B437),AND(ISNUMBER(U437),U437=OriginalFinancials!U437),AND(ISNUMBER(O437),O437=OriginalFinancials!O437)),0,1)</f>
        <v>0</v>
      </c>
      <c r="AE437" s="0" t="str">
        <f aca="false">IF(V437=0,"原始0：需核实适用/报告口径","")</f>
        <v/>
      </c>
    </row>
    <row r="438" customFormat="false" ht="15" hidden="false" customHeight="false" outlineLevel="0" collapsed="false">
      <c r="A438" s="0" t="n">
        <v>438</v>
      </c>
      <c r="B438" s="0" t="n">
        <v>1658628</v>
      </c>
      <c r="C438" s="0" t="n">
        <v>17180</v>
      </c>
      <c r="D438" s="0" t="n">
        <v>1184689</v>
      </c>
      <c r="E438" s="0" t="n">
        <v>0.13</v>
      </c>
      <c r="F438" s="0" t="n">
        <v>137543</v>
      </c>
      <c r="G438" s="0" t="n">
        <v>8.29257675621056</v>
      </c>
      <c r="H438" s="0" t="s">
        <v>595</v>
      </c>
      <c r="I438" s="0" t="n">
        <v>0.985514879460849</v>
      </c>
      <c r="J438" s="0" t="n">
        <v>54013</v>
      </c>
      <c r="K438" s="0" t="n">
        <v>183116</v>
      </c>
      <c r="L438" s="0" t="n">
        <v>1488562</v>
      </c>
      <c r="M438" s="0" t="n">
        <v>1473892</v>
      </c>
      <c r="N438" s="0" t="n">
        <v>1225328</v>
      </c>
      <c r="O438" s="0" t="n">
        <v>6109</v>
      </c>
      <c r="P438" s="0" t="s">
        <v>127</v>
      </c>
      <c r="Q438" s="0" t="n">
        <v>0.410396073525993</v>
      </c>
      <c r="R438" s="0" t="n">
        <v>2.65361488045845</v>
      </c>
      <c r="S438" s="0" t="n">
        <v>108</v>
      </c>
      <c r="T438" s="0" t="n">
        <v>1366</v>
      </c>
      <c r="U438" s="0" t="n">
        <v>0</v>
      </c>
      <c r="V438" s="0" t="n">
        <v>14.3313029893451</v>
      </c>
      <c r="W438" s="0" t="n">
        <v>20240331</v>
      </c>
      <c r="X438" s="0" t="n">
        <v>0.387207231428846</v>
      </c>
      <c r="Y438" s="0" t="n">
        <v>4.65</v>
      </c>
      <c r="Z438" s="0" t="s">
        <v>123</v>
      </c>
      <c r="AA438" s="0" t="n">
        <f aca="false">IF(AND(ISNUMBER(B438),B438&gt;0,ISNUMBER(U438),U438&gt;=0,ISNUMBER(O438),O438&gt;=0),1,0)</f>
        <v>1</v>
      </c>
      <c r="AB438" s="0" t="n">
        <f aca="false">IF(AA438=1,U438+O438,0)</f>
        <v>6109</v>
      </c>
      <c r="AC438" s="0" t="n">
        <f aca="false">IF(AA438=1,100*AB438/B438,"")</f>
        <v>0.368316463969015</v>
      </c>
      <c r="AD438" s="0" t="n">
        <f aca="false">IF(AND(AND(ISNUMBER(B438),B438=OriginalFinancials!B438),AND(ISNUMBER(U438),U438=OriginalFinancials!U438),AND(ISNUMBER(O438),O438=OriginalFinancials!O438)),0,1)</f>
        <v>0</v>
      </c>
      <c r="AE438" s="0" t="str">
        <f aca="false">IF(V438=0,"原始0：需核实适用/报告口径","")</f>
        <v/>
      </c>
    </row>
    <row r="439" customFormat="false" ht="15" hidden="false" customHeight="false" outlineLevel="0" collapsed="false">
      <c r="A439" s="0" t="n">
        <v>439</v>
      </c>
      <c r="B439" s="0" t="n">
        <v>343636</v>
      </c>
      <c r="C439" s="0" t="n">
        <v>17443</v>
      </c>
      <c r="D439" s="0" t="n">
        <v>303567</v>
      </c>
      <c r="E439" s="0" t="n">
        <v>-0.07</v>
      </c>
      <c r="F439" s="0" t="n">
        <v>38886</v>
      </c>
      <c r="G439" s="0" t="n">
        <v>11.3160437206812</v>
      </c>
      <c r="H439" s="0" t="s">
        <v>596</v>
      </c>
      <c r="I439" s="0" t="n">
        <v>0.825663372655385</v>
      </c>
      <c r="J439" s="0" t="n">
        <v>0</v>
      </c>
      <c r="K439" s="0" t="n">
        <v>725</v>
      </c>
      <c r="L439" s="0" t="n">
        <v>200566</v>
      </c>
      <c r="M439" s="0" t="n">
        <v>198910</v>
      </c>
      <c r="N439" s="0" t="n">
        <v>198841</v>
      </c>
      <c r="O439" s="0" t="n">
        <v>1048</v>
      </c>
      <c r="P439" s="0" t="s">
        <v>129</v>
      </c>
      <c r="Q439" s="0" t="n">
        <v>0.522521264820558</v>
      </c>
      <c r="R439" s="0" t="n">
        <v>1.18845740550462</v>
      </c>
      <c r="S439" s="0" t="n">
        <v>0</v>
      </c>
      <c r="T439" s="0" t="n">
        <v>366</v>
      </c>
      <c r="U439" s="0" t="n">
        <v>0</v>
      </c>
      <c r="V439" s="0" t="n">
        <v>0</v>
      </c>
      <c r="W439" s="0" t="n">
        <v>20240331</v>
      </c>
      <c r="X439" s="0" t="n">
        <v>-0.50316710300389</v>
      </c>
      <c r="Y439" s="0" t="n">
        <v>-4.42</v>
      </c>
      <c r="Z439" s="0" t="s">
        <v>123</v>
      </c>
      <c r="AA439" s="0" t="n">
        <f aca="false">IF(AND(ISNUMBER(B439),B439&gt;0,ISNUMBER(U439),U439&gt;=0,ISNUMBER(O439),O439&gt;=0),1,0)</f>
        <v>1</v>
      </c>
      <c r="AB439" s="0" t="n">
        <f aca="false">IF(AA439=1,U439+O439,0)</f>
        <v>1048</v>
      </c>
      <c r="AC439" s="0" t="n">
        <f aca="false">IF(AA439=1,100*AB439/B439,"")</f>
        <v>0.304973867697214</v>
      </c>
      <c r="AD439" s="0" t="n">
        <f aca="false">IF(AND(AND(ISNUMBER(B439),B439=OriginalFinancials!B439),AND(ISNUMBER(U439),U439=OriginalFinancials!U439),AND(ISNUMBER(O439),O439=OriginalFinancials!O439)),0,1)</f>
        <v>0</v>
      </c>
      <c r="AE439" s="0" t="str">
        <f aca="false">IF(V439=0,"原始0：需核实适用/报告口径","")</f>
        <v>原始0：需核实适用/报告口径</v>
      </c>
    </row>
    <row r="440" customFormat="false" ht="15" hidden="false" customHeight="false" outlineLevel="0" collapsed="false">
      <c r="A440" s="0" t="n">
        <v>440</v>
      </c>
      <c r="B440" s="0" t="n">
        <v>1866220</v>
      </c>
      <c r="C440" s="0" t="n">
        <v>17658</v>
      </c>
      <c r="D440" s="0" t="n">
        <v>1503369</v>
      </c>
      <c r="E440" s="0" t="n">
        <v>-0.01</v>
      </c>
      <c r="F440" s="0" t="n">
        <v>208139</v>
      </c>
      <c r="G440" s="0" t="n">
        <v>11.1529723183762</v>
      </c>
      <c r="H440" s="0" t="s">
        <v>597</v>
      </c>
      <c r="I440" s="0" t="n">
        <v>0.684069283706091</v>
      </c>
      <c r="J440" s="0" t="n">
        <v>99126</v>
      </c>
      <c r="K440" s="0" t="n">
        <v>78729</v>
      </c>
      <c r="L440" s="0" t="n">
        <v>1313902</v>
      </c>
      <c r="M440" s="0" t="n">
        <v>1304914</v>
      </c>
      <c r="N440" s="0" t="n">
        <v>1122390</v>
      </c>
      <c r="O440" s="0" t="n">
        <v>9256</v>
      </c>
      <c r="P440" s="0" t="s">
        <v>131</v>
      </c>
      <c r="Q440" s="0" t="n">
        <v>0.733768576347399</v>
      </c>
      <c r="R440" s="0" t="n">
        <v>3.03780900395487</v>
      </c>
      <c r="S440" s="0" t="n">
        <v>-125</v>
      </c>
      <c r="T440" s="0" t="n">
        <v>2838</v>
      </c>
      <c r="U440" s="0" t="n">
        <v>385</v>
      </c>
      <c r="V440" s="0" t="n">
        <v>0</v>
      </c>
      <c r="W440" s="0" t="n">
        <v>20240331</v>
      </c>
      <c r="X440" s="0" t="n">
        <v>0.958254818606865</v>
      </c>
      <c r="Y440" s="0" t="n">
        <v>8.58</v>
      </c>
      <c r="Z440" s="0" t="s">
        <v>105</v>
      </c>
      <c r="AA440" s="0" t="n">
        <f aca="false">IF(AND(ISNUMBER(B440),B440&gt;0,ISNUMBER(U440),U440&gt;=0,ISNUMBER(O440),O440&gt;=0),1,0)</f>
        <v>1</v>
      </c>
      <c r="AB440" s="0" t="n">
        <f aca="false">IF(AA440=1,U440+O440,0)</f>
        <v>9641</v>
      </c>
      <c r="AC440" s="0" t="n">
        <f aca="false">IF(AA440=1,100*AB440/B440,"")</f>
        <v>0.516605759235246</v>
      </c>
      <c r="AD440" s="0" t="n">
        <f aca="false">IF(AND(AND(ISNUMBER(B440),B440=OriginalFinancials!B440),AND(ISNUMBER(U440),U440=OriginalFinancials!U440),AND(ISNUMBER(O440),O440=OriginalFinancials!O440)),0,1)</f>
        <v>0</v>
      </c>
      <c r="AE440" s="0" t="str">
        <f aca="false">IF(V440=0,"原始0：需核实适用/报告口径","")</f>
        <v>原始0：需核实适用/报告口径</v>
      </c>
    </row>
    <row r="441" customFormat="false" ht="15" hidden="false" customHeight="false" outlineLevel="0" collapsed="false">
      <c r="A441" s="0" t="n">
        <v>441</v>
      </c>
      <c r="B441" s="0" t="n">
        <v>1107414</v>
      </c>
      <c r="C441" s="0" t="n">
        <v>17741</v>
      </c>
      <c r="D441" s="0" t="n">
        <v>821220</v>
      </c>
      <c r="E441" s="0" t="n">
        <v>0.04</v>
      </c>
      <c r="F441" s="0" t="n">
        <v>140357</v>
      </c>
      <c r="G441" s="0" t="n">
        <v>12.6743024740522</v>
      </c>
      <c r="H441" s="0" t="s">
        <v>598</v>
      </c>
      <c r="I441" s="0" t="n">
        <v>0.959463787197014</v>
      </c>
      <c r="J441" s="0" t="n">
        <v>56338</v>
      </c>
      <c r="K441" s="0" t="n">
        <v>4181</v>
      </c>
      <c r="L441" s="0" t="n">
        <v>927393</v>
      </c>
      <c r="M441" s="0" t="n">
        <v>918495</v>
      </c>
      <c r="N441" s="0" t="n">
        <v>863345</v>
      </c>
      <c r="O441" s="0" t="n">
        <v>7415</v>
      </c>
      <c r="P441" s="0" t="s">
        <v>133</v>
      </c>
      <c r="Q441" s="0" t="n">
        <v>0.799553155997511</v>
      </c>
      <c r="R441" s="0" t="n">
        <v>2.9839273577202</v>
      </c>
      <c r="S441" s="0" t="n">
        <v>48</v>
      </c>
      <c r="T441" s="0" t="n">
        <v>2790</v>
      </c>
      <c r="U441" s="0" t="n">
        <v>0</v>
      </c>
      <c r="V441" s="0" t="n">
        <v>0</v>
      </c>
      <c r="W441" s="0" t="n">
        <v>20240331</v>
      </c>
      <c r="X441" s="0" t="n">
        <v>0.564580253103116</v>
      </c>
      <c r="Y441" s="0" t="n">
        <v>4.43</v>
      </c>
      <c r="Z441" s="0" t="s">
        <v>105</v>
      </c>
      <c r="AA441" s="0" t="n">
        <f aca="false">IF(AND(ISNUMBER(B441),B441&gt;0,ISNUMBER(U441),U441&gt;=0,ISNUMBER(O441),O441&gt;=0),1,0)</f>
        <v>1</v>
      </c>
      <c r="AB441" s="0" t="n">
        <f aca="false">IF(AA441=1,U441+O441,0)</f>
        <v>7415</v>
      </c>
      <c r="AC441" s="0" t="n">
        <f aca="false">IF(AA441=1,100*AB441/B441,"")</f>
        <v>0.669577953683085</v>
      </c>
      <c r="AD441" s="0" t="n">
        <f aca="false">IF(AND(AND(ISNUMBER(B441),B441=OriginalFinancials!B441),AND(ISNUMBER(U441),U441=OriginalFinancials!U441),AND(ISNUMBER(O441),O441=OriginalFinancials!O441)),0,1)</f>
        <v>0</v>
      </c>
      <c r="AE441" s="0" t="str">
        <f aca="false">IF(V441=0,"原始0：需核实适用/报告口径","")</f>
        <v>原始0：需核实适用/报告口径</v>
      </c>
    </row>
    <row r="442" customFormat="false" ht="15" hidden="false" customHeight="false" outlineLevel="0" collapsed="false">
      <c r="A442" s="0" t="n">
        <v>442</v>
      </c>
      <c r="B442" s="0" t="n">
        <v>1393711</v>
      </c>
      <c r="C442" s="0" t="n">
        <v>17743</v>
      </c>
      <c r="D442" s="0" t="n">
        <v>978717</v>
      </c>
      <c r="E442" s="0" t="n">
        <v>-0.01</v>
      </c>
      <c r="F442" s="0" t="n">
        <v>122061</v>
      </c>
      <c r="G442" s="0" t="n">
        <v>8.75798497679935</v>
      </c>
      <c r="H442" s="0" t="s">
        <v>599</v>
      </c>
      <c r="I442" s="0" t="n">
        <v>0.426144114191345</v>
      </c>
      <c r="J442" s="0" t="n">
        <v>15543</v>
      </c>
      <c r="K442" s="0" t="n">
        <v>9685</v>
      </c>
      <c r="L442" s="0" t="n">
        <v>1099628</v>
      </c>
      <c r="M442" s="0" t="n">
        <v>1094942</v>
      </c>
      <c r="N442" s="0" t="n">
        <v>1062851</v>
      </c>
      <c r="O442" s="0" t="n">
        <v>3695</v>
      </c>
      <c r="P442" s="0" t="s">
        <v>135</v>
      </c>
      <c r="Q442" s="0" t="n">
        <v>0.33602272768609</v>
      </c>
      <c r="R442" s="0" t="n">
        <v>1.83483584309946</v>
      </c>
      <c r="S442" s="0" t="n">
        <v>-2</v>
      </c>
      <c r="T442" s="0" t="n">
        <v>8713</v>
      </c>
      <c r="U442" s="0" t="n">
        <v>0</v>
      </c>
      <c r="V442" s="0" t="n">
        <v>0</v>
      </c>
      <c r="W442" s="0" t="n">
        <v>20240331</v>
      </c>
      <c r="X442" s="0" t="n">
        <v>-0.0366187223309691</v>
      </c>
      <c r="Y442" s="0" t="n">
        <v>-0.42</v>
      </c>
      <c r="Z442" s="0" t="s">
        <v>105</v>
      </c>
      <c r="AA442" s="0" t="n">
        <f aca="false">IF(AND(ISNUMBER(B442),B442&gt;0,ISNUMBER(U442),U442&gt;=0,ISNUMBER(O442),O442&gt;=0),1,0)</f>
        <v>1</v>
      </c>
      <c r="AB442" s="0" t="n">
        <f aca="false">IF(AA442=1,U442+O442,0)</f>
        <v>3695</v>
      </c>
      <c r="AC442" s="0" t="n">
        <f aca="false">IF(AA442=1,100*AB442/B442,"")</f>
        <v>0.265119526214545</v>
      </c>
      <c r="AD442" s="0" t="n">
        <f aca="false">IF(AND(AND(ISNUMBER(B442),B442=OriginalFinancials!B442),AND(ISNUMBER(U442),U442=OriginalFinancials!U442),AND(ISNUMBER(O442),O442=OriginalFinancials!O442)),0,1)</f>
        <v>0</v>
      </c>
      <c r="AE442" s="0" t="str">
        <f aca="false">IF(V442=0,"原始0：需核实适用/报告口径","")</f>
        <v>原始0：需核实适用/报告口径</v>
      </c>
    </row>
    <row r="443" customFormat="false" ht="15" hidden="false" customHeight="false" outlineLevel="0" collapsed="false">
      <c r="A443" s="0" t="n">
        <v>443</v>
      </c>
      <c r="B443" s="0" t="n">
        <v>1644996</v>
      </c>
      <c r="C443" s="0" t="n">
        <v>17748</v>
      </c>
      <c r="D443" s="0" t="n">
        <v>1346317</v>
      </c>
      <c r="E443" s="0" t="n">
        <v>0.03</v>
      </c>
      <c r="F443" s="0" t="n">
        <v>112176</v>
      </c>
      <c r="G443" s="0" t="n">
        <v>6.81922630814908</v>
      </c>
      <c r="H443" s="0" t="s">
        <v>600</v>
      </c>
      <c r="I443" s="0" t="n">
        <v>0.770771997075619</v>
      </c>
      <c r="J443" s="0" t="n">
        <v>176024</v>
      </c>
      <c r="K443" s="0" t="n">
        <v>3218</v>
      </c>
      <c r="L443" s="0" t="n">
        <v>1265225</v>
      </c>
      <c r="M443" s="0" t="n">
        <v>1255473</v>
      </c>
      <c r="N443" s="0" t="n">
        <v>1052324</v>
      </c>
      <c r="O443" s="0" t="n">
        <v>9414</v>
      </c>
      <c r="P443" s="0" t="s">
        <v>137</v>
      </c>
      <c r="Q443" s="0" t="n">
        <v>0.744057381098224</v>
      </c>
      <c r="R443" s="0" t="n">
        <v>2.34329764353995</v>
      </c>
      <c r="S443" s="0" t="n">
        <v>326</v>
      </c>
      <c r="T443" s="0" t="n">
        <v>726</v>
      </c>
      <c r="U443" s="0" t="n">
        <v>0</v>
      </c>
      <c r="V443" s="0" t="n">
        <v>0</v>
      </c>
      <c r="W443" s="0" t="n">
        <v>20240331</v>
      </c>
      <c r="X443" s="0" t="n">
        <v>0.186368991289905</v>
      </c>
      <c r="Y443" s="0" t="n">
        <v>2.73</v>
      </c>
      <c r="Z443" s="0" t="s">
        <v>105</v>
      </c>
      <c r="AA443" s="0" t="n">
        <f aca="false">IF(AND(ISNUMBER(B443),B443&gt;0,ISNUMBER(U443),U443&gt;=0,ISNUMBER(O443),O443&gt;=0),1,0)</f>
        <v>1</v>
      </c>
      <c r="AB443" s="0" t="n">
        <f aca="false">IF(AA443=1,U443+O443,0)</f>
        <v>9414</v>
      </c>
      <c r="AC443" s="0" t="n">
        <f aca="false">IF(AA443=1,100*AB443/B443,"")</f>
        <v>0.572281026823165</v>
      </c>
      <c r="AD443" s="0" t="n">
        <f aca="false">IF(AND(AND(ISNUMBER(B443),B443=OriginalFinancials!B443),AND(ISNUMBER(U443),U443=OriginalFinancials!U443),AND(ISNUMBER(O443),O443=OriginalFinancials!O443)),0,1)</f>
        <v>0</v>
      </c>
      <c r="AE443" s="0" t="str">
        <f aca="false">IF(V443=0,"原始0：需核实适用/报告口径","")</f>
        <v>原始0：需核实适用/报告口径</v>
      </c>
    </row>
    <row r="444" customFormat="false" ht="15" hidden="false" customHeight="false" outlineLevel="0" collapsed="false">
      <c r="A444" s="0" t="n">
        <v>444</v>
      </c>
      <c r="B444" s="0" t="n">
        <v>1350095</v>
      </c>
      <c r="C444" s="0" t="n">
        <v>17749</v>
      </c>
      <c r="D444" s="0" t="n">
        <v>1048039</v>
      </c>
      <c r="E444" s="0" t="n">
        <v>0.07</v>
      </c>
      <c r="F444" s="0" t="n">
        <v>173084</v>
      </c>
      <c r="G444" s="0" t="n">
        <v>12.8201348793974</v>
      </c>
      <c r="H444" s="0" t="s">
        <v>601</v>
      </c>
      <c r="I444" s="0" t="n">
        <v>1.37475437631579</v>
      </c>
      <c r="J444" s="0" t="n">
        <v>50316</v>
      </c>
      <c r="K444" s="0" t="n">
        <v>10949</v>
      </c>
      <c r="L444" s="0" t="n">
        <v>812727</v>
      </c>
      <c r="M444" s="0" t="n">
        <v>801554</v>
      </c>
      <c r="N444" s="0" t="n">
        <v>738584</v>
      </c>
      <c r="O444" s="0" t="n">
        <v>546</v>
      </c>
      <c r="P444" s="0" t="s">
        <v>139</v>
      </c>
      <c r="Q444" s="0" t="n">
        <v>0.0675503582383752</v>
      </c>
      <c r="R444" s="0" t="n">
        <v>2.50316352302883</v>
      </c>
      <c r="S444" s="0" t="n">
        <v>4</v>
      </c>
      <c r="T444" s="0" t="n">
        <v>361</v>
      </c>
      <c r="U444" s="0" t="n">
        <v>3</v>
      </c>
      <c r="V444" s="0" t="n">
        <v>0</v>
      </c>
      <c r="W444" s="0" t="n">
        <v>20240331</v>
      </c>
      <c r="X444" s="0" t="n">
        <v>1.20534836371594</v>
      </c>
      <c r="Y444" s="0" t="n">
        <v>9.44</v>
      </c>
      <c r="Z444" s="0" t="s">
        <v>105</v>
      </c>
      <c r="AA444" s="0" t="n">
        <f aca="false">IF(AND(ISNUMBER(B444),B444&gt;0,ISNUMBER(U444),U444&gt;=0,ISNUMBER(O444),O444&gt;=0),1,0)</f>
        <v>1</v>
      </c>
      <c r="AB444" s="0" t="n">
        <f aca="false">IF(AA444=1,U444+O444,0)</f>
        <v>549</v>
      </c>
      <c r="AC444" s="0" t="n">
        <f aca="false">IF(AA444=1,100*AB444/B444,"")</f>
        <v>0.0406638051396383</v>
      </c>
      <c r="AD444" s="0" t="n">
        <f aca="false">IF(AND(AND(ISNUMBER(B444),B444=OriginalFinancials!B444),AND(ISNUMBER(U444),U444=OriginalFinancials!U444),AND(ISNUMBER(O444),O444=OriginalFinancials!O444)),0,1)</f>
        <v>0</v>
      </c>
      <c r="AE444" s="0" t="str">
        <f aca="false">IF(V444=0,"原始0：需核实适用/报告口径","")</f>
        <v>原始0：需核实适用/报告口径</v>
      </c>
    </row>
    <row r="445" customFormat="false" ht="15" hidden="false" customHeight="false" outlineLevel="0" collapsed="false">
      <c r="A445" s="0" t="n">
        <v>445</v>
      </c>
      <c r="B445" s="0" t="n">
        <v>1632063</v>
      </c>
      <c r="C445" s="0" t="n">
        <v>17751</v>
      </c>
      <c r="D445" s="0" t="n">
        <v>1308912</v>
      </c>
      <c r="E445" s="0" t="n">
        <v>0.03</v>
      </c>
      <c r="F445" s="0" t="n">
        <v>138475</v>
      </c>
      <c r="G445" s="0" t="n">
        <v>8.48466021225896</v>
      </c>
      <c r="H445" s="0" t="s">
        <v>602</v>
      </c>
      <c r="I445" s="0" t="n">
        <v>0.904967865233651</v>
      </c>
      <c r="J445" s="0" t="n">
        <v>135811</v>
      </c>
      <c r="K445" s="0" t="n">
        <v>2663</v>
      </c>
      <c r="L445" s="0" t="n">
        <v>1332202</v>
      </c>
      <c r="M445" s="0" t="n">
        <v>1320146</v>
      </c>
      <c r="N445" s="0" t="n">
        <v>1123971</v>
      </c>
      <c r="O445" s="0" t="n">
        <v>805</v>
      </c>
      <c r="P445" s="0" t="s">
        <v>141</v>
      </c>
      <c r="Q445" s="0" t="n">
        <v>0.0604262716915302</v>
      </c>
      <c r="R445" s="0" t="n">
        <v>2.63611632629603</v>
      </c>
      <c r="S445" s="0" t="n">
        <v>-18</v>
      </c>
      <c r="T445" s="0" t="n">
        <v>2865</v>
      </c>
      <c r="U445" s="0" t="n">
        <v>0</v>
      </c>
      <c r="V445" s="0" t="n">
        <v>11.9941117035014</v>
      </c>
      <c r="W445" s="0" t="n">
        <v>20240331</v>
      </c>
      <c r="X445" s="0" t="n">
        <v>0.407671616049714</v>
      </c>
      <c r="Y445" s="0" t="n">
        <v>4.76</v>
      </c>
      <c r="Z445" s="0" t="s">
        <v>105</v>
      </c>
      <c r="AA445" s="0" t="n">
        <f aca="false">IF(AND(ISNUMBER(B445),B445&gt;0,ISNUMBER(U445),U445&gt;=0,ISNUMBER(O445),O445&gt;=0),1,0)</f>
        <v>1</v>
      </c>
      <c r="AB445" s="0" t="n">
        <f aca="false">IF(AA445=1,U445+O445,0)</f>
        <v>805</v>
      </c>
      <c r="AC445" s="0" t="n">
        <f aca="false">IF(AA445=1,100*AB445/B445,"")</f>
        <v>0.0493240763377394</v>
      </c>
      <c r="AD445" s="0" t="n">
        <f aca="false">IF(AND(AND(ISNUMBER(B445),B445=OriginalFinancials!B445),AND(ISNUMBER(U445),U445=OriginalFinancials!U445),AND(ISNUMBER(O445),O445=OriginalFinancials!O445)),0,1)</f>
        <v>0</v>
      </c>
      <c r="AE445" s="0" t="str">
        <f aca="false">IF(V445=0,"原始0：需核实适用/报告口径","")</f>
        <v/>
      </c>
    </row>
    <row r="446" customFormat="false" ht="15" hidden="false" customHeight="false" outlineLevel="0" collapsed="false">
      <c r="A446" s="0" t="n">
        <v>446</v>
      </c>
      <c r="B446" s="0" t="n">
        <v>1717181</v>
      </c>
      <c r="C446" s="0" t="n">
        <v>17897</v>
      </c>
      <c r="D446" s="0" t="n">
        <v>1296371</v>
      </c>
      <c r="E446" s="0" t="n">
        <v>-0.08</v>
      </c>
      <c r="F446" s="0" t="n">
        <v>211359</v>
      </c>
      <c r="G446" s="0" t="n">
        <v>12.3084869911792</v>
      </c>
      <c r="H446" s="0" t="s">
        <v>603</v>
      </c>
      <c r="I446" s="0" t="n">
        <v>0.608158800279979</v>
      </c>
      <c r="J446" s="0" t="n">
        <v>73033</v>
      </c>
      <c r="K446" s="0" t="n">
        <v>3094</v>
      </c>
      <c r="L446" s="0" t="n">
        <v>1431534</v>
      </c>
      <c r="M446" s="0" t="n">
        <v>1422828</v>
      </c>
      <c r="N446" s="0" t="n">
        <v>1346782</v>
      </c>
      <c r="O446" s="0" t="n">
        <v>3411</v>
      </c>
      <c r="P446" s="0" t="s">
        <v>143</v>
      </c>
      <c r="Q446" s="0" t="n">
        <v>0.238275863514244</v>
      </c>
      <c r="R446" s="0" t="n">
        <v>2.29920093008967</v>
      </c>
      <c r="S446" s="0" t="n">
        <v>-32</v>
      </c>
      <c r="T446" s="0" t="n">
        <v>2066</v>
      </c>
      <c r="U446" s="0" t="n">
        <v>0</v>
      </c>
      <c r="V446" s="0" t="n">
        <v>17.5420163258205</v>
      </c>
      <c r="W446" s="0" t="n">
        <v>20240331</v>
      </c>
      <c r="X446" s="0" t="n">
        <v>1.19917950261941</v>
      </c>
      <c r="Y446" s="0" t="n">
        <v>9.81</v>
      </c>
      <c r="Z446" s="0" t="s">
        <v>105</v>
      </c>
      <c r="AA446" s="0" t="n">
        <f aca="false">IF(AND(ISNUMBER(B446),B446&gt;0,ISNUMBER(U446),U446&gt;=0,ISNUMBER(O446),O446&gt;=0),1,0)</f>
        <v>1</v>
      </c>
      <c r="AB446" s="0" t="n">
        <f aca="false">IF(AA446=1,U446+O446,0)</f>
        <v>3411</v>
      </c>
      <c r="AC446" s="0" t="n">
        <f aca="false">IF(AA446=1,100*AB446/B446,"")</f>
        <v>0.198639514413449</v>
      </c>
      <c r="AD446" s="0" t="n">
        <f aca="false">IF(AND(AND(ISNUMBER(B446),B446=OriginalFinancials!B446),AND(ISNUMBER(U446),U446=OriginalFinancials!U446),AND(ISNUMBER(O446),O446=OriginalFinancials!O446)),0,1)</f>
        <v>0</v>
      </c>
      <c r="AE446" s="0" t="str">
        <f aca="false">IF(V446=0,"原始0：需核实适用/报告口径","")</f>
        <v/>
      </c>
    </row>
    <row r="447" customFormat="false" ht="15" hidden="false" customHeight="false" outlineLevel="0" collapsed="false">
      <c r="A447" s="0" t="n">
        <v>447</v>
      </c>
      <c r="B447" s="0" t="n">
        <v>794635</v>
      </c>
      <c r="C447" s="0" t="n">
        <v>17951</v>
      </c>
      <c r="D447" s="0" t="n">
        <v>661495</v>
      </c>
      <c r="E447" s="0" t="n">
        <v>-0.03</v>
      </c>
      <c r="F447" s="0" t="n">
        <v>61632</v>
      </c>
      <c r="G447" s="0" t="n">
        <v>7.75601376732714</v>
      </c>
      <c r="H447" s="0" t="s">
        <v>604</v>
      </c>
      <c r="I447" s="0" t="n">
        <v>0.852312015857921</v>
      </c>
      <c r="J447" s="0" t="n">
        <v>27259</v>
      </c>
      <c r="K447" s="0" t="n">
        <v>1980</v>
      </c>
      <c r="L447" s="0" t="n">
        <v>585701</v>
      </c>
      <c r="M447" s="0" t="n">
        <v>580709</v>
      </c>
      <c r="N447" s="0" t="n">
        <v>544281</v>
      </c>
      <c r="O447" s="0" t="n">
        <v>174</v>
      </c>
      <c r="P447" s="0" t="s">
        <v>145</v>
      </c>
      <c r="Q447" s="0" t="n">
        <v>0.0297079909373554</v>
      </c>
      <c r="R447" s="0" t="n">
        <v>2.50658748853139</v>
      </c>
      <c r="S447" s="0" t="n">
        <v>-125</v>
      </c>
      <c r="T447" s="0" t="n">
        <v>137</v>
      </c>
      <c r="U447" s="0" t="n">
        <v>0</v>
      </c>
      <c r="V447" s="0" t="n">
        <v>14.6324208046485</v>
      </c>
      <c r="W447" s="0" t="n">
        <v>20240331</v>
      </c>
      <c r="X447" s="0" t="n">
        <v>0.56026449342752</v>
      </c>
      <c r="Y447" s="0" t="n">
        <v>7.17</v>
      </c>
      <c r="Z447" s="0" t="s">
        <v>123</v>
      </c>
      <c r="AA447" s="0" t="n">
        <f aca="false">IF(AND(ISNUMBER(B447),B447&gt;0,ISNUMBER(U447),U447&gt;=0,ISNUMBER(O447),O447&gt;=0),1,0)</f>
        <v>1</v>
      </c>
      <c r="AB447" s="0" t="n">
        <f aca="false">IF(AA447=1,U447+O447,0)</f>
        <v>174</v>
      </c>
      <c r="AC447" s="0" t="n">
        <f aca="false">IF(AA447=1,100*AB447/B447,"")</f>
        <v>0.0218968457216206</v>
      </c>
      <c r="AD447" s="0" t="n">
        <f aca="false">IF(AND(AND(ISNUMBER(B447),B447=OriginalFinancials!B447),AND(ISNUMBER(U447),U447=OriginalFinancials!U447),AND(ISNUMBER(O447),O447=OriginalFinancials!O447)),0,1)</f>
        <v>0</v>
      </c>
      <c r="AE447" s="0" t="str">
        <f aca="false">IF(V447=0,"原始0：需核实适用/报告口径","")</f>
        <v/>
      </c>
    </row>
    <row r="448" customFormat="false" ht="15" hidden="false" customHeight="false" outlineLevel="0" collapsed="false">
      <c r="A448" s="0" t="n">
        <v>448</v>
      </c>
      <c r="B448" s="0" t="n">
        <v>1358652</v>
      </c>
      <c r="C448" s="0" t="n">
        <v>17960</v>
      </c>
      <c r="D448" s="0" t="n">
        <v>1003157</v>
      </c>
      <c r="E448" s="0" t="n">
        <v>0.07</v>
      </c>
      <c r="F448" s="0" t="n">
        <v>113634</v>
      </c>
      <c r="G448" s="0" t="n">
        <v>8.3637311099531</v>
      </c>
      <c r="H448" s="0" t="s">
        <v>605</v>
      </c>
      <c r="I448" s="0" t="n">
        <v>0.98143999342281</v>
      </c>
      <c r="J448" s="0" t="n">
        <v>110468</v>
      </c>
      <c r="K448" s="0" t="n">
        <v>221886</v>
      </c>
      <c r="L448" s="0" t="n">
        <v>1167672</v>
      </c>
      <c r="M448" s="0" t="n">
        <v>1156212</v>
      </c>
      <c r="N448" s="0" t="n">
        <v>831348</v>
      </c>
      <c r="O448" s="0" t="n">
        <v>9231</v>
      </c>
      <c r="P448" s="0" t="s">
        <v>147</v>
      </c>
      <c r="Q448" s="0" t="n">
        <v>0.790547345487431</v>
      </c>
      <c r="R448" s="0" t="n">
        <v>2.71200769173513</v>
      </c>
      <c r="S448" s="0" t="n">
        <v>175</v>
      </c>
      <c r="T448" s="0" t="n">
        <v>2013</v>
      </c>
      <c r="U448" s="0" t="n">
        <v>0</v>
      </c>
      <c r="V448" s="0" t="n">
        <v>13.3536414605849</v>
      </c>
      <c r="W448" s="0" t="n">
        <v>20240331</v>
      </c>
      <c r="X448" s="0" t="n">
        <v>0.376099631197934</v>
      </c>
      <c r="Y448" s="0" t="n">
        <v>4.51</v>
      </c>
      <c r="Z448" s="0" t="s">
        <v>123</v>
      </c>
      <c r="AA448" s="0" t="n">
        <f aca="false">IF(AND(ISNUMBER(B448),B448&gt;0,ISNUMBER(U448),U448&gt;=0,ISNUMBER(O448),O448&gt;=0),1,0)</f>
        <v>1</v>
      </c>
      <c r="AB448" s="0" t="n">
        <f aca="false">IF(AA448=1,U448+O448,0)</f>
        <v>9231</v>
      </c>
      <c r="AC448" s="0" t="n">
        <f aca="false">IF(AA448=1,100*AB448/B448,"")</f>
        <v>0.679423428515911</v>
      </c>
      <c r="AD448" s="0" t="n">
        <f aca="false">IF(AND(AND(ISNUMBER(B448),B448=OriginalFinancials!B448),AND(ISNUMBER(U448),U448=OriginalFinancials!U448),AND(ISNUMBER(O448),O448=OriginalFinancials!O448)),0,1)</f>
        <v>0</v>
      </c>
      <c r="AE448" s="0" t="str">
        <f aca="false">IF(V448=0,"原始0：需核实适用/报告口径","")</f>
        <v/>
      </c>
    </row>
    <row r="449" customFormat="false" ht="15" hidden="false" customHeight="false" outlineLevel="0" collapsed="false">
      <c r="A449" s="0" t="n">
        <v>449</v>
      </c>
      <c r="B449" s="0" t="n">
        <v>2475597</v>
      </c>
      <c r="C449" s="0" t="n">
        <v>18012</v>
      </c>
      <c r="D449" s="0" t="n">
        <v>2087993</v>
      </c>
      <c r="E449" s="0" t="n">
        <v>0.06</v>
      </c>
      <c r="F449" s="0" t="n">
        <v>269535</v>
      </c>
      <c r="G449" s="0" t="n">
        <v>10.8876767906893</v>
      </c>
      <c r="H449" s="0" t="s">
        <v>606</v>
      </c>
      <c r="I449" s="0" t="n">
        <v>1.22122512094325</v>
      </c>
      <c r="J449" s="0" t="n">
        <v>50469</v>
      </c>
      <c r="K449" s="0" t="n">
        <v>31306</v>
      </c>
      <c r="L449" s="0" t="n">
        <v>1997011</v>
      </c>
      <c r="M449" s="0" t="n">
        <v>1972623</v>
      </c>
      <c r="N449" s="0" t="n">
        <v>1892259</v>
      </c>
      <c r="O449" s="0" t="n">
        <v>790</v>
      </c>
      <c r="P449" s="0" t="s">
        <v>149</v>
      </c>
      <c r="Q449" s="0" t="n">
        <v>0.0395591211064936</v>
      </c>
      <c r="R449" s="0" t="n">
        <v>2.68109876927255</v>
      </c>
      <c r="S449" s="0" t="n">
        <v>22</v>
      </c>
      <c r="T449" s="0" t="n">
        <v>4940</v>
      </c>
      <c r="U449" s="0" t="n">
        <v>0</v>
      </c>
      <c r="V449" s="0" t="n">
        <v>14.3710292966398</v>
      </c>
      <c r="W449" s="0" t="n">
        <v>20240331</v>
      </c>
      <c r="X449" s="0" t="n">
        <v>0.667372932289855</v>
      </c>
      <c r="Y449" s="0" t="n">
        <v>6.22</v>
      </c>
      <c r="Z449" s="0" t="s">
        <v>123</v>
      </c>
      <c r="AA449" s="0" t="n">
        <f aca="false">IF(AND(ISNUMBER(B449),B449&gt;0,ISNUMBER(U449),U449&gt;=0,ISNUMBER(O449),O449&gt;=0),1,0)</f>
        <v>1</v>
      </c>
      <c r="AB449" s="0" t="n">
        <f aca="false">IF(AA449=1,U449+O449,0)</f>
        <v>790</v>
      </c>
      <c r="AC449" s="0" t="n">
        <f aca="false">IF(AA449=1,100*AB449/B449,"")</f>
        <v>0.0319114944799174</v>
      </c>
      <c r="AD449" s="0" t="n">
        <f aca="false">IF(AND(AND(ISNUMBER(B449),B449=OriginalFinancials!B449),AND(ISNUMBER(U449),U449=OriginalFinancials!U449),AND(ISNUMBER(O449),O449=OriginalFinancials!O449)),0,1)</f>
        <v>0</v>
      </c>
      <c r="AE449" s="0" t="str">
        <f aca="false">IF(V449=0,"原始0：需核实适用/报告口径","")</f>
        <v/>
      </c>
    </row>
    <row r="450" customFormat="false" ht="15" hidden="false" customHeight="false" outlineLevel="0" collapsed="false">
      <c r="A450" s="0" t="n">
        <v>450</v>
      </c>
      <c r="B450" s="0" t="n">
        <v>2943126</v>
      </c>
      <c r="C450" s="0" t="n">
        <v>18013</v>
      </c>
      <c r="D450" s="0" t="n">
        <v>2511525</v>
      </c>
      <c r="E450" s="0" t="n">
        <v>-0.01</v>
      </c>
      <c r="F450" s="0" t="n">
        <v>220450</v>
      </c>
      <c r="G450" s="0" t="n">
        <v>7.49033510627816</v>
      </c>
      <c r="H450" s="0" t="s">
        <v>607</v>
      </c>
      <c r="I450" s="0" t="n">
        <v>0.700546377577824</v>
      </c>
      <c r="J450" s="0" t="n">
        <v>113938</v>
      </c>
      <c r="K450" s="0" t="n">
        <v>28036</v>
      </c>
      <c r="L450" s="0" t="n">
        <v>2386994</v>
      </c>
      <c r="M450" s="0" t="n">
        <v>2370272</v>
      </c>
      <c r="N450" s="0" t="n">
        <v>2170356</v>
      </c>
      <c r="O450" s="0" t="n">
        <v>990</v>
      </c>
      <c r="P450" s="0" t="s">
        <v>151</v>
      </c>
      <c r="Q450" s="0" t="n">
        <v>0.0564308079534343</v>
      </c>
      <c r="R450" s="0" t="n">
        <v>2.46666204557587</v>
      </c>
      <c r="S450" s="0" t="n">
        <v>12</v>
      </c>
      <c r="T450" s="0" t="n">
        <v>4721</v>
      </c>
      <c r="U450" s="0" t="n">
        <v>357</v>
      </c>
      <c r="V450" s="0" t="n">
        <v>12.4379068806188</v>
      </c>
      <c r="W450" s="0" t="n">
        <v>20240331</v>
      </c>
      <c r="X450" s="0" t="n">
        <v>0.262414963236201</v>
      </c>
      <c r="Y450" s="0" t="n">
        <v>3.5</v>
      </c>
      <c r="Z450" s="0" t="s">
        <v>123</v>
      </c>
      <c r="AA450" s="0" t="n">
        <f aca="false">IF(AND(ISNUMBER(B450),B450&gt;0,ISNUMBER(U450),U450&gt;=0,ISNUMBER(O450),O450&gt;=0),1,0)</f>
        <v>1</v>
      </c>
      <c r="AB450" s="0" t="n">
        <f aca="false">IF(AA450=1,U450+O450,0)</f>
        <v>1347</v>
      </c>
      <c r="AC450" s="0" t="n">
        <f aca="false">IF(AA450=1,100*AB450/B450,"")</f>
        <v>0.0457676633620171</v>
      </c>
      <c r="AD450" s="0" t="n">
        <f aca="false">IF(AND(AND(ISNUMBER(B450),B450=OriginalFinancials!B450),AND(ISNUMBER(U450),U450=OriginalFinancials!U450),AND(ISNUMBER(O450),O450=OriginalFinancials!O450)),0,1)</f>
        <v>0</v>
      </c>
      <c r="AE450" s="0" t="str">
        <f aca="false">IF(V450=0,"原始0：需核实适用/报告口径","")</f>
        <v/>
      </c>
    </row>
    <row r="451" customFormat="false" ht="15" hidden="false" customHeight="false" outlineLevel="0" collapsed="false">
      <c r="A451" s="0" t="n">
        <v>451</v>
      </c>
      <c r="B451" s="0" t="n">
        <v>397277</v>
      </c>
      <c r="C451" s="0" t="n">
        <v>18028</v>
      </c>
      <c r="D451" s="0" t="n">
        <v>325871</v>
      </c>
      <c r="E451" s="0" t="n">
        <v>0.03</v>
      </c>
      <c r="F451" s="0" t="n">
        <v>40522</v>
      </c>
      <c r="G451" s="0" t="n">
        <v>10.1999360647609</v>
      </c>
      <c r="H451" s="0" t="s">
        <v>608</v>
      </c>
      <c r="I451" s="0" t="n">
        <v>0.844460726408182</v>
      </c>
      <c r="J451" s="0" t="n">
        <v>14766</v>
      </c>
      <c r="K451" s="0" t="n">
        <v>6592</v>
      </c>
      <c r="L451" s="0" t="n">
        <v>267508</v>
      </c>
      <c r="M451" s="0" t="n">
        <v>265249</v>
      </c>
      <c r="N451" s="0" t="n">
        <v>240691</v>
      </c>
      <c r="O451" s="0" t="n">
        <v>704</v>
      </c>
      <c r="P451" s="0" t="s">
        <v>153</v>
      </c>
      <c r="Q451" s="0" t="n">
        <v>0.285225114762923</v>
      </c>
      <c r="R451" s="0" t="n">
        <v>3.21726110492571</v>
      </c>
      <c r="S451" s="0" t="n">
        <v>99</v>
      </c>
      <c r="T451" s="0" t="n">
        <v>2237</v>
      </c>
      <c r="U451" s="0" t="n">
        <v>59</v>
      </c>
      <c r="V451" s="0" t="n">
        <v>0</v>
      </c>
      <c r="W451" s="0" t="n">
        <v>20240331</v>
      </c>
      <c r="X451" s="0" t="n">
        <v>0.397908701215368</v>
      </c>
      <c r="Y451" s="0" t="n">
        <v>3.87</v>
      </c>
      <c r="Z451" s="0" t="s">
        <v>123</v>
      </c>
      <c r="AA451" s="0" t="n">
        <f aca="false">IF(AND(ISNUMBER(B451),B451&gt;0,ISNUMBER(U451),U451&gt;=0,ISNUMBER(O451),O451&gt;=0),1,0)</f>
        <v>1</v>
      </c>
      <c r="AB451" s="0" t="n">
        <f aca="false">IF(AA451=1,U451+O451,0)</f>
        <v>763</v>
      </c>
      <c r="AC451" s="0" t="n">
        <f aca="false">IF(AA451=1,100*AB451/B451,"")</f>
        <v>0.192057430961269</v>
      </c>
      <c r="AD451" s="0" t="n">
        <f aca="false">IF(AND(AND(ISNUMBER(B451),B451=OriginalFinancials!B451),AND(ISNUMBER(U451),U451=OriginalFinancials!U451),AND(ISNUMBER(O451),O451=OriginalFinancials!O451)),0,1)</f>
        <v>0</v>
      </c>
      <c r="AE451" s="0" t="str">
        <f aca="false">IF(V451=0,"原始0：需核实适用/报告口径","")</f>
        <v>原始0：需核实适用/报告口径</v>
      </c>
    </row>
    <row r="452" customFormat="false" ht="15" hidden="false" customHeight="false" outlineLevel="0" collapsed="false">
      <c r="A452" s="0" t="n">
        <v>452</v>
      </c>
      <c r="B452" s="0" t="n">
        <v>760475</v>
      </c>
      <c r="C452" s="0" t="n">
        <v>18030</v>
      </c>
      <c r="D452" s="0" t="n">
        <v>679167</v>
      </c>
      <c r="E452" s="0" t="n">
        <v>-0.01</v>
      </c>
      <c r="F452" s="0" t="n">
        <v>49359</v>
      </c>
      <c r="G452" s="0" t="n">
        <v>6.490548670239</v>
      </c>
      <c r="H452" s="0" t="s">
        <v>609</v>
      </c>
      <c r="I452" s="0" t="n">
        <v>1.02982177764044</v>
      </c>
      <c r="J452" s="0" t="n">
        <v>36835</v>
      </c>
      <c r="K452" s="0" t="n">
        <v>94431</v>
      </c>
      <c r="L452" s="0" t="n">
        <v>576022</v>
      </c>
      <c r="M452" s="0" t="n">
        <v>570090</v>
      </c>
      <c r="N452" s="0" t="n">
        <v>444671</v>
      </c>
      <c r="O452" s="0" t="n">
        <v>508</v>
      </c>
      <c r="P452" s="0" t="s">
        <v>155</v>
      </c>
      <c r="Q452" s="0" t="n">
        <v>0.111280471926419</v>
      </c>
      <c r="R452" s="0" t="n">
        <v>3.43622712156946</v>
      </c>
      <c r="S452" s="0" t="n">
        <v>-1</v>
      </c>
      <c r="T452" s="0" t="n">
        <v>2582</v>
      </c>
      <c r="U452" s="0" t="n">
        <v>133</v>
      </c>
      <c r="V452" s="0" t="n">
        <v>13.5007684922143</v>
      </c>
      <c r="W452" s="0" t="n">
        <v>20240331</v>
      </c>
      <c r="X452" s="0" t="n">
        <v>0.68055140252855</v>
      </c>
      <c r="Y452" s="0" t="n">
        <v>10.29</v>
      </c>
      <c r="Z452" s="0" t="s">
        <v>123</v>
      </c>
      <c r="AA452" s="0" t="n">
        <f aca="false">IF(AND(ISNUMBER(B452),B452&gt;0,ISNUMBER(U452),U452&gt;=0,ISNUMBER(O452),O452&gt;=0),1,0)</f>
        <v>1</v>
      </c>
      <c r="AB452" s="0" t="n">
        <f aca="false">IF(AA452=1,U452+O452,0)</f>
        <v>641</v>
      </c>
      <c r="AC452" s="0" t="n">
        <f aca="false">IF(AA452=1,100*AB452/B452,"")</f>
        <v>0.0842894243729248</v>
      </c>
      <c r="AD452" s="0" t="n">
        <f aca="false">IF(AND(AND(ISNUMBER(B452),B452=OriginalFinancials!B452),AND(ISNUMBER(U452),U452=OriginalFinancials!U452),AND(ISNUMBER(O452),O452=OriginalFinancials!O452)),0,1)</f>
        <v>0</v>
      </c>
      <c r="AE452" s="0" t="str">
        <f aca="false">IF(V452=0,"原始0：需核实适用/报告口径","")</f>
        <v/>
      </c>
    </row>
    <row r="453" customFormat="false" ht="15" hidden="false" customHeight="false" outlineLevel="0" collapsed="false">
      <c r="A453" s="0" t="n">
        <v>453</v>
      </c>
      <c r="B453" s="0" t="n">
        <v>669872</v>
      </c>
      <c r="C453" s="0" t="n">
        <v>18031</v>
      </c>
      <c r="D453" s="0" t="n">
        <v>532494</v>
      </c>
      <c r="E453" s="0" t="n">
        <v>-0.1</v>
      </c>
      <c r="F453" s="0" t="n">
        <v>36392</v>
      </c>
      <c r="G453" s="0" t="n">
        <v>5.43267967611723</v>
      </c>
      <c r="H453" s="0" t="s">
        <v>610</v>
      </c>
      <c r="I453" s="0" t="n">
        <v>0.807860857452731</v>
      </c>
      <c r="J453" s="0" t="n">
        <v>23631</v>
      </c>
      <c r="K453" s="0" t="n">
        <v>10269</v>
      </c>
      <c r="L453" s="0" t="n">
        <v>476691</v>
      </c>
      <c r="M453" s="0" t="n">
        <v>472840</v>
      </c>
      <c r="N453" s="0" t="n">
        <v>436768</v>
      </c>
      <c r="O453" s="0" t="n">
        <v>893</v>
      </c>
      <c r="P453" s="0" t="s">
        <v>157</v>
      </c>
      <c r="Q453" s="0" t="n">
        <v>0.189011330190836</v>
      </c>
      <c r="R453" s="0" t="n">
        <v>2.6129414762646</v>
      </c>
      <c r="S453" s="0" t="n">
        <v>13</v>
      </c>
      <c r="T453" s="0" t="n">
        <v>1463</v>
      </c>
      <c r="U453" s="0" t="n">
        <v>8</v>
      </c>
      <c r="V453" s="0" t="n">
        <v>16.3361319436295</v>
      </c>
      <c r="W453" s="0" t="n">
        <v>20240331</v>
      </c>
      <c r="X453" s="0" t="n">
        <v>0.457822713323232</v>
      </c>
      <c r="Y453" s="0" t="n">
        <v>8.38</v>
      </c>
      <c r="Z453" s="0" t="s">
        <v>123</v>
      </c>
      <c r="AA453" s="0" t="n">
        <f aca="false">IF(AND(ISNUMBER(B453),B453&gt;0,ISNUMBER(U453),U453&gt;=0,ISNUMBER(O453),O453&gt;=0),1,0)</f>
        <v>1</v>
      </c>
      <c r="AB453" s="0" t="n">
        <f aca="false">IF(AA453=1,U453+O453,0)</f>
        <v>901</v>
      </c>
      <c r="AC453" s="0" t="n">
        <f aca="false">IF(AA453=1,100*AB453/B453,"")</f>
        <v>0.134503308094681</v>
      </c>
      <c r="AD453" s="0" t="n">
        <f aca="false">IF(AND(AND(ISNUMBER(B453),B453=OriginalFinancials!B453),AND(ISNUMBER(U453),U453=OriginalFinancials!U453),AND(ISNUMBER(O453),O453=OriginalFinancials!O453)),0,1)</f>
        <v>0</v>
      </c>
      <c r="AE453" s="0" t="str">
        <f aca="false">IF(V453=0,"原始0：需核实适用/报告口径","")</f>
        <v/>
      </c>
    </row>
    <row r="454" customFormat="false" ht="15" hidden="false" customHeight="false" outlineLevel="0" collapsed="false">
      <c r="A454" s="0" t="n">
        <v>454</v>
      </c>
      <c r="B454" s="0" t="n">
        <v>522345</v>
      </c>
      <c r="C454" s="0" t="n">
        <v>18038</v>
      </c>
      <c r="D454" s="0" t="n">
        <v>409953</v>
      </c>
      <c r="E454" s="0" t="n">
        <v>0</v>
      </c>
      <c r="F454" s="0" t="n">
        <v>65908</v>
      </c>
      <c r="G454" s="0" t="n">
        <v>12.6177143458825</v>
      </c>
      <c r="H454" s="0" t="s">
        <v>611</v>
      </c>
      <c r="I454" s="0" t="n">
        <v>0.932183863906916</v>
      </c>
      <c r="J454" s="0" t="n">
        <v>23498</v>
      </c>
      <c r="K454" s="0" t="n">
        <v>3734</v>
      </c>
      <c r="L454" s="0" t="n">
        <v>416656</v>
      </c>
      <c r="M454" s="0" t="n">
        <v>412772</v>
      </c>
      <c r="N454" s="0" t="n">
        <v>389167</v>
      </c>
      <c r="O454" s="0" t="n">
        <v>2189</v>
      </c>
      <c r="P454" s="0" t="s">
        <v>159</v>
      </c>
      <c r="Q454" s="0" t="n">
        <v>0.525373449560309</v>
      </c>
      <c r="R454" s="0" t="n">
        <v>2.4034256360768</v>
      </c>
      <c r="S454" s="0" t="n">
        <v>-3</v>
      </c>
      <c r="T454" s="0" t="n">
        <v>1700</v>
      </c>
      <c r="U454" s="0" t="n">
        <v>0</v>
      </c>
      <c r="V454" s="0" t="n">
        <v>0</v>
      </c>
      <c r="W454" s="0" t="n">
        <v>20240331</v>
      </c>
      <c r="X454" s="0" t="n">
        <v>1.0870799431889</v>
      </c>
      <c r="Y454" s="0" t="n">
        <v>8.82</v>
      </c>
      <c r="Z454" s="0" t="s">
        <v>123</v>
      </c>
      <c r="AA454" s="0" t="n">
        <f aca="false">IF(AND(ISNUMBER(B454),B454&gt;0,ISNUMBER(U454),U454&gt;=0,ISNUMBER(O454),O454&gt;=0),1,0)</f>
        <v>1</v>
      </c>
      <c r="AB454" s="0" t="n">
        <f aca="false">IF(AA454=1,U454+O454,0)</f>
        <v>2189</v>
      </c>
      <c r="AC454" s="0" t="n">
        <f aca="false">IF(AA454=1,100*AB454/B454,"")</f>
        <v>0.419071686337574</v>
      </c>
      <c r="AD454" s="0" t="n">
        <f aca="false">IF(AND(AND(ISNUMBER(B454),B454=OriginalFinancials!B454),AND(ISNUMBER(U454),U454=OriginalFinancials!U454),AND(ISNUMBER(O454),O454=OriginalFinancials!O454)),0,1)</f>
        <v>0</v>
      </c>
      <c r="AE454" s="0" t="str">
        <f aca="false">IF(V454=0,"原始0：需核实适用/报告口径","")</f>
        <v>原始0：需核实适用/报告口径</v>
      </c>
    </row>
    <row r="455" customFormat="false" ht="15" hidden="false" customHeight="false" outlineLevel="0" collapsed="false">
      <c r="A455" s="0" t="n">
        <v>455</v>
      </c>
      <c r="B455" s="0" t="n">
        <v>7209064</v>
      </c>
      <c r="C455" s="0" t="n">
        <v>18408</v>
      </c>
      <c r="D455" s="0" t="n">
        <v>5243296</v>
      </c>
      <c r="E455" s="0" t="n">
        <v>0.02</v>
      </c>
      <c r="F455" s="0" t="n">
        <v>402922</v>
      </c>
      <c r="G455" s="0" t="n">
        <v>5.58910282943805</v>
      </c>
      <c r="H455" s="0" t="s">
        <v>612</v>
      </c>
      <c r="I455" s="0" t="n">
        <v>0.662341673113531</v>
      </c>
      <c r="J455" s="0" t="n">
        <v>359864</v>
      </c>
      <c r="K455" s="0" t="n">
        <v>34725</v>
      </c>
      <c r="L455" s="0" t="n">
        <v>4840855</v>
      </c>
      <c r="M455" s="0" t="n">
        <v>4808792</v>
      </c>
      <c r="N455" s="0" t="n">
        <v>4375722</v>
      </c>
      <c r="O455" s="0" t="n">
        <v>4530</v>
      </c>
      <c r="P455" s="0" t="s">
        <v>161</v>
      </c>
      <c r="Q455" s="0" t="n">
        <v>0.0935785104077688</v>
      </c>
      <c r="R455" s="0" t="n">
        <v>2.02641372858428</v>
      </c>
      <c r="S455" s="0" t="n">
        <v>-238</v>
      </c>
      <c r="T455" s="0" t="n">
        <v>7195</v>
      </c>
      <c r="U455" s="0" t="n">
        <v>0</v>
      </c>
      <c r="V455" s="0" t="n">
        <v>11.6477404589509</v>
      </c>
      <c r="W455" s="0" t="n">
        <v>20240331</v>
      </c>
      <c r="X455" s="0" t="n">
        <v>-0.0140431607422888</v>
      </c>
      <c r="Y455" s="0" t="n">
        <v>-0.25</v>
      </c>
      <c r="Z455" s="0" t="s">
        <v>105</v>
      </c>
      <c r="AA455" s="0" t="n">
        <f aca="false">IF(AND(ISNUMBER(B455),B455&gt;0,ISNUMBER(U455),U455&gt;=0,ISNUMBER(O455),O455&gt;=0),1,0)</f>
        <v>1</v>
      </c>
      <c r="AB455" s="0" t="n">
        <f aca="false">IF(AA455=1,U455+O455,0)</f>
        <v>4530</v>
      </c>
      <c r="AC455" s="0" t="n">
        <f aca="false">IF(AA455=1,100*AB455/B455,"")</f>
        <v>0.0628375611591186</v>
      </c>
      <c r="AD455" s="0" t="n">
        <f aca="false">IF(AND(AND(ISNUMBER(B455),B455=OriginalFinancials!B455),AND(ISNUMBER(U455),U455=OriginalFinancials!U455),AND(ISNUMBER(O455),O455=OriginalFinancials!O455)),0,1)</f>
        <v>0</v>
      </c>
      <c r="AE455" s="0" t="str">
        <f aca="false">IF(V455=0,"原始0：需核实适用/报告口径","")</f>
        <v/>
      </c>
    </row>
    <row r="456" customFormat="false" ht="15" hidden="false" customHeight="false" outlineLevel="0" collapsed="false">
      <c r="A456" s="0" t="n">
        <v>456</v>
      </c>
      <c r="B456" s="0" t="n">
        <v>2536962</v>
      </c>
      <c r="C456" s="0" t="n">
        <v>19531</v>
      </c>
      <c r="D456" s="0" t="n">
        <v>1943034</v>
      </c>
      <c r="E456" s="0" t="n">
        <v>0</v>
      </c>
      <c r="F456" s="0" t="n">
        <v>242536</v>
      </c>
      <c r="G456" s="0" t="n">
        <v>9.56009589422309</v>
      </c>
      <c r="H456" s="0" t="s">
        <v>613</v>
      </c>
      <c r="I456" s="0" t="n">
        <v>1.027663134959</v>
      </c>
      <c r="J456" s="0" t="n">
        <v>257202</v>
      </c>
      <c r="K456" s="0" t="n">
        <v>12370</v>
      </c>
      <c r="L456" s="0" t="n">
        <v>2037730</v>
      </c>
      <c r="M456" s="0" t="n">
        <v>2016789</v>
      </c>
      <c r="N456" s="0" t="n">
        <v>1667925</v>
      </c>
      <c r="O456" s="0" t="n">
        <v>8011</v>
      </c>
      <c r="P456" s="0" t="s">
        <v>163</v>
      </c>
      <c r="Q456" s="0" t="n">
        <v>0.394409465434577</v>
      </c>
      <c r="R456" s="0" t="n">
        <v>2.58073221173921</v>
      </c>
      <c r="S456" s="0" t="n">
        <v>141</v>
      </c>
      <c r="T456" s="0" t="n">
        <v>9492</v>
      </c>
      <c r="U456" s="0" t="n">
        <v>26</v>
      </c>
      <c r="V456" s="0" t="n">
        <v>14.3160659623927</v>
      </c>
      <c r="W456" s="0" t="n">
        <v>20240331</v>
      </c>
      <c r="X456" s="0" t="n">
        <v>0.303107086681934</v>
      </c>
      <c r="Y456" s="0" t="n">
        <v>3.14</v>
      </c>
      <c r="Z456" s="0" t="s">
        <v>105</v>
      </c>
      <c r="AA456" s="0" t="n">
        <f aca="false">IF(AND(ISNUMBER(B456),B456&gt;0,ISNUMBER(U456),U456&gt;=0,ISNUMBER(O456),O456&gt;=0),1,0)</f>
        <v>1</v>
      </c>
      <c r="AB456" s="0" t="n">
        <f aca="false">IF(AA456=1,U456+O456,0)</f>
        <v>8037</v>
      </c>
      <c r="AC456" s="0" t="n">
        <f aca="false">IF(AA456=1,100*AB456/B456,"")</f>
        <v>0.316796231082689</v>
      </c>
      <c r="AD456" s="0" t="n">
        <f aca="false">IF(AND(AND(ISNUMBER(B456),B456=OriginalFinancials!B456),AND(ISNUMBER(U456),U456=OriginalFinancials!U456),AND(ISNUMBER(O456),O456=OriginalFinancials!O456)),0,1)</f>
        <v>0</v>
      </c>
      <c r="AE456" s="0" t="str">
        <f aca="false">IF(V456=0,"原始0：需核实适用/报告口径","")</f>
        <v/>
      </c>
    </row>
    <row r="457" customFormat="false" ht="15" hidden="false" customHeight="false" outlineLevel="0" collapsed="false">
      <c r="A457" s="0" t="n">
        <v>457</v>
      </c>
      <c r="B457" s="0" t="n">
        <v>898226</v>
      </c>
      <c r="C457" s="0" t="n">
        <v>19532</v>
      </c>
      <c r="D457" s="0" t="n">
        <v>728574</v>
      </c>
      <c r="E457" s="0" t="n">
        <v>0.02</v>
      </c>
      <c r="F457" s="0" t="n">
        <v>97076</v>
      </c>
      <c r="G457" s="0" t="n">
        <v>10.8075250549416</v>
      </c>
      <c r="H457" s="0" t="s">
        <v>614</v>
      </c>
      <c r="I457" s="0" t="n">
        <v>1.0027023783972</v>
      </c>
      <c r="J457" s="0" t="n">
        <v>47376</v>
      </c>
      <c r="K457" s="0" t="n">
        <v>51912</v>
      </c>
      <c r="L457" s="0" t="n">
        <v>591701</v>
      </c>
      <c r="M457" s="0" t="n">
        <v>585768</v>
      </c>
      <c r="N457" s="0" t="n">
        <v>486940</v>
      </c>
      <c r="O457" s="0" t="n">
        <v>1722</v>
      </c>
      <c r="P457" s="0" t="s">
        <v>165</v>
      </c>
      <c r="Q457" s="0" t="n">
        <v>0.29102536585201</v>
      </c>
      <c r="R457" s="0" t="n">
        <v>2.92777746211838</v>
      </c>
      <c r="S457" s="0" t="n">
        <v>26</v>
      </c>
      <c r="T457" s="0" t="n">
        <v>894</v>
      </c>
      <c r="U457" s="0" t="n">
        <v>0</v>
      </c>
      <c r="V457" s="0" t="n">
        <v>20.9615309283706</v>
      </c>
      <c r="W457" s="0" t="n">
        <v>20240331</v>
      </c>
      <c r="X457" s="0" t="n">
        <v>0.943362209622024</v>
      </c>
      <c r="Y457" s="0" t="n">
        <v>8.64</v>
      </c>
      <c r="Z457" s="0" t="s">
        <v>105</v>
      </c>
      <c r="AA457" s="0" t="n">
        <f aca="false">IF(AND(ISNUMBER(B457),B457&gt;0,ISNUMBER(U457),U457&gt;=0,ISNUMBER(O457),O457&gt;=0),1,0)</f>
        <v>1</v>
      </c>
      <c r="AB457" s="0" t="n">
        <f aca="false">IF(AA457=1,U457+O457,0)</f>
        <v>1722</v>
      </c>
      <c r="AC457" s="0" t="n">
        <f aca="false">IF(AA457=1,100*AB457/B457,"")</f>
        <v>0.191711217444162</v>
      </c>
      <c r="AD457" s="0" t="n">
        <f aca="false">IF(AND(AND(ISNUMBER(B457),B457=OriginalFinancials!B457),AND(ISNUMBER(U457),U457=OriginalFinancials!U457),AND(ISNUMBER(O457),O457=OriginalFinancials!O457)),0,1)</f>
        <v>0</v>
      </c>
      <c r="AE457" s="0" t="str">
        <f aca="false">IF(V457=0,"原始0：需核实适用/报告口径","")</f>
        <v/>
      </c>
    </row>
    <row r="458" customFormat="false" ht="15" hidden="false" customHeight="false" outlineLevel="0" collapsed="false">
      <c r="A458" s="0" t="n">
        <v>458</v>
      </c>
      <c r="B458" s="0" t="n">
        <v>3001015</v>
      </c>
      <c r="C458" s="0" t="n">
        <v>19690</v>
      </c>
      <c r="D458" s="0" t="n">
        <v>2249394</v>
      </c>
      <c r="E458" s="0" t="n">
        <v>0.07</v>
      </c>
      <c r="F458" s="0" t="n">
        <v>351913</v>
      </c>
      <c r="G458" s="0" t="n">
        <v>11.7264658790443</v>
      </c>
      <c r="H458" s="0" t="s">
        <v>615</v>
      </c>
      <c r="I458" s="0" t="n">
        <v>0.976444802940099</v>
      </c>
      <c r="J458" s="0" t="n">
        <v>53076</v>
      </c>
      <c r="K458" s="0" t="n">
        <v>319</v>
      </c>
      <c r="L458" s="0" t="n">
        <v>2656781</v>
      </c>
      <c r="M458" s="0" t="n">
        <v>2630839</v>
      </c>
      <c r="N458" s="0" t="n">
        <v>2071416</v>
      </c>
      <c r="O458" s="0" t="n">
        <v>27951</v>
      </c>
      <c r="P458" s="0" t="s">
        <v>167</v>
      </c>
      <c r="Q458" s="0" t="n">
        <v>1.0520626276686</v>
      </c>
      <c r="R458" s="0" t="n">
        <v>5.07860865095937</v>
      </c>
      <c r="S458" s="0" t="n">
        <v>2248</v>
      </c>
      <c r="T458" s="0" t="n">
        <v>5111</v>
      </c>
      <c r="U458" s="0" t="n">
        <v>0</v>
      </c>
      <c r="V458" s="0" t="n">
        <v>14.2226449666769</v>
      </c>
      <c r="W458" s="0" t="n">
        <v>20240331</v>
      </c>
      <c r="X458" s="0" t="n">
        <v>1.85795924985482</v>
      </c>
      <c r="Y458" s="0" t="n">
        <v>16.32</v>
      </c>
      <c r="Z458" s="0" t="s">
        <v>105</v>
      </c>
      <c r="AA458" s="0" t="n">
        <f aca="false">IF(AND(ISNUMBER(B458),B458&gt;0,ISNUMBER(U458),U458&gt;=0,ISNUMBER(O458),O458&gt;=0),1,0)</f>
        <v>1</v>
      </c>
      <c r="AB458" s="0" t="n">
        <f aca="false">IF(AA458=1,U458+O458,0)</f>
        <v>27951</v>
      </c>
      <c r="AC458" s="0" t="n">
        <f aca="false">IF(AA458=1,100*AB458/B458,"")</f>
        <v>0.931384881448443</v>
      </c>
      <c r="AD458" s="0" t="n">
        <f aca="false">IF(AND(AND(ISNUMBER(B458),B458=OriginalFinancials!B458),AND(ISNUMBER(U458),U458=OriginalFinancials!U458),AND(ISNUMBER(O458),O458=OriginalFinancials!O458)),0,1)</f>
        <v>0</v>
      </c>
      <c r="AE458" s="0" t="str">
        <f aca="false">IF(V458=0,"原始0：需核实适用/报告口径","")</f>
        <v/>
      </c>
    </row>
    <row r="459" customFormat="false" ht="15" hidden="false" customHeight="false" outlineLevel="0" collapsed="false">
      <c r="A459" s="0" t="n">
        <v>459</v>
      </c>
      <c r="B459" s="0" t="n">
        <v>677132</v>
      </c>
      <c r="C459" s="0" t="n">
        <v>19836</v>
      </c>
      <c r="D459" s="0" t="n">
        <v>501943</v>
      </c>
      <c r="E459" s="0" t="n">
        <v>0</v>
      </c>
      <c r="F459" s="0" t="n">
        <v>121076</v>
      </c>
      <c r="G459" s="0" t="n">
        <v>17.8807086358347</v>
      </c>
      <c r="H459" s="0" t="s">
        <v>616</v>
      </c>
      <c r="I459" s="0" t="n">
        <v>0.791438350091327</v>
      </c>
      <c r="J459" s="0" t="n">
        <v>47004</v>
      </c>
      <c r="K459" s="0" t="n">
        <v>11321</v>
      </c>
      <c r="L459" s="0" t="n">
        <v>563910</v>
      </c>
      <c r="M459" s="0" t="n">
        <v>559447</v>
      </c>
      <c r="N459" s="0" t="n">
        <v>501814</v>
      </c>
      <c r="O459" s="0" t="n">
        <v>4708</v>
      </c>
      <c r="P459" s="0" t="s">
        <v>145</v>
      </c>
      <c r="Q459" s="0" t="n">
        <v>0.858647656540937</v>
      </c>
      <c r="R459" s="0" t="n">
        <v>3.55685564125512</v>
      </c>
      <c r="S459" s="0" t="n">
        <v>-6</v>
      </c>
      <c r="T459" s="0" t="n">
        <v>1775</v>
      </c>
      <c r="U459" s="0" t="n">
        <v>134</v>
      </c>
      <c r="V459" s="0" t="n">
        <v>25.4067359742023</v>
      </c>
      <c r="W459" s="0" t="n">
        <v>20240331</v>
      </c>
      <c r="X459" s="0" t="n">
        <v>0.619382173762133</v>
      </c>
      <c r="Y459" s="0" t="n">
        <v>3.42</v>
      </c>
      <c r="Z459" s="0" t="s">
        <v>105</v>
      </c>
      <c r="AA459" s="0" t="n">
        <f aca="false">IF(AND(ISNUMBER(B459),B459&gt;0,ISNUMBER(U459),U459&gt;=0,ISNUMBER(O459),O459&gt;=0),1,0)</f>
        <v>1</v>
      </c>
      <c r="AB459" s="0" t="n">
        <f aca="false">IF(AA459=1,U459+O459,0)</f>
        <v>4842</v>
      </c>
      <c r="AC459" s="0" t="n">
        <f aca="false">IF(AA459=1,100*AB459/B459,"")</f>
        <v>0.715074756472889</v>
      </c>
      <c r="AD459" s="0" t="n">
        <f aca="false">IF(AND(AND(ISNUMBER(B459),B459=OriginalFinancials!B459),AND(ISNUMBER(U459),U459=OriginalFinancials!U459),AND(ISNUMBER(O459),O459=OriginalFinancials!O459)),0,1)</f>
        <v>0</v>
      </c>
      <c r="AE459" s="0" t="str">
        <f aca="false">IF(V459=0,"原始0：需核实适用/报告口径","")</f>
        <v/>
      </c>
    </row>
    <row r="460" customFormat="false" ht="15" hidden="false" customHeight="false" outlineLevel="0" collapsed="false">
      <c r="A460" s="0" t="n">
        <v>460</v>
      </c>
      <c r="B460" s="0" t="n">
        <v>1433532</v>
      </c>
      <c r="C460" s="0" t="n">
        <v>24540</v>
      </c>
      <c r="D460" s="0" t="n">
        <v>1156113</v>
      </c>
      <c r="E460" s="0" t="n">
        <v>0.06</v>
      </c>
      <c r="F460" s="0" t="n">
        <v>252599</v>
      </c>
      <c r="G460" s="0" t="n">
        <v>17.6207437294738</v>
      </c>
      <c r="H460" s="0" t="s">
        <v>617</v>
      </c>
      <c r="I460" s="0" t="n">
        <v>0.952699451724457</v>
      </c>
      <c r="J460" s="0" t="n">
        <v>42959</v>
      </c>
      <c r="K460" s="0" t="n">
        <v>75</v>
      </c>
      <c r="L460" s="0" t="n">
        <v>1220007</v>
      </c>
      <c r="M460" s="0" t="n">
        <v>1208384</v>
      </c>
      <c r="N460" s="0" t="n">
        <v>1181027</v>
      </c>
      <c r="O460" s="0" t="n">
        <v>30157</v>
      </c>
      <c r="P460" s="0" t="s">
        <v>170</v>
      </c>
      <c r="Q460" s="0" t="n">
        <v>2.47187106303488</v>
      </c>
      <c r="R460" s="0" t="n">
        <v>4.09894292806512</v>
      </c>
      <c r="S460" s="0" t="n">
        <v>0</v>
      </c>
      <c r="T460" s="0" t="n">
        <v>0</v>
      </c>
      <c r="U460" s="0" t="n">
        <v>0</v>
      </c>
      <c r="V460" s="0" t="n">
        <v>18.9186492671387</v>
      </c>
      <c r="W460" s="0" t="n">
        <v>20240331</v>
      </c>
      <c r="X460" s="0" t="n">
        <v>1.89104806828232</v>
      </c>
      <c r="Y460" s="0" t="n">
        <v>10.67</v>
      </c>
      <c r="Z460" s="0" t="s">
        <v>123</v>
      </c>
      <c r="AA460" s="0" t="n">
        <f aca="false">IF(AND(ISNUMBER(B460),B460&gt;0,ISNUMBER(U460),U460&gt;=0,ISNUMBER(O460),O460&gt;=0),1,0)</f>
        <v>1</v>
      </c>
      <c r="AB460" s="0" t="n">
        <f aca="false">IF(AA460=1,U460+O460,0)</f>
        <v>30157</v>
      </c>
      <c r="AC460" s="0" t="n">
        <f aca="false">IF(AA460=1,100*AB460/B460,"")</f>
        <v>2.10368516363778</v>
      </c>
      <c r="AD460" s="0" t="n">
        <f aca="false">IF(AND(AND(ISNUMBER(B460),B460=OriginalFinancials!B460),AND(ISNUMBER(U460),U460=OriginalFinancials!U460),AND(ISNUMBER(O460),O460=OriginalFinancials!O460)),0,1)</f>
        <v>0</v>
      </c>
      <c r="AE460" s="0" t="str">
        <f aca="false">IF(V460=0,"原始0：需核实适用/报告口径","")</f>
        <v/>
      </c>
    </row>
    <row r="461" customFormat="false" ht="15" hidden="false" customHeight="false" outlineLevel="0" collapsed="false">
      <c r="A461" s="0" t="n">
        <v>461</v>
      </c>
      <c r="B461" s="0" t="n">
        <v>541415</v>
      </c>
      <c r="C461" s="0" t="n">
        <v>27824</v>
      </c>
      <c r="D461" s="0" t="n">
        <v>385991</v>
      </c>
      <c r="E461" s="0" t="n">
        <v>0.09</v>
      </c>
      <c r="F461" s="0" t="n">
        <v>64777</v>
      </c>
      <c r="G461" s="0" t="n">
        <v>11.9643896087105</v>
      </c>
      <c r="H461" s="0" t="s">
        <v>618</v>
      </c>
      <c r="I461" s="0" t="n">
        <v>0.645518543766643</v>
      </c>
      <c r="J461" s="0" t="n">
        <v>20617</v>
      </c>
      <c r="K461" s="0" t="n">
        <v>41816</v>
      </c>
      <c r="L461" s="0" t="n">
        <v>453279</v>
      </c>
      <c r="M461" s="0" t="n">
        <v>450353</v>
      </c>
      <c r="N461" s="0" t="n">
        <v>390846</v>
      </c>
      <c r="O461" s="0" t="n">
        <v>1045</v>
      </c>
      <c r="P461" s="0" t="s">
        <v>172</v>
      </c>
      <c r="Q461" s="0" t="n">
        <v>0.230542337059515</v>
      </c>
      <c r="R461" s="0" t="n">
        <v>1.62890150261009</v>
      </c>
      <c r="S461" s="0" t="n">
        <v>116</v>
      </c>
      <c r="T461" s="0" t="n">
        <v>1418</v>
      </c>
      <c r="U461" s="0" t="n">
        <v>0</v>
      </c>
      <c r="V461" s="0" t="n">
        <v>21.0236173119163</v>
      </c>
      <c r="W461" s="0" t="n">
        <v>20240331</v>
      </c>
      <c r="X461" s="0" t="n">
        <v>-0.393235899037422</v>
      </c>
      <c r="Y461" s="0" t="n">
        <v>-3.28</v>
      </c>
      <c r="Z461" s="0" t="s">
        <v>123</v>
      </c>
      <c r="AA461" s="0" t="n">
        <f aca="false">IF(AND(ISNUMBER(B461),B461&gt;0,ISNUMBER(U461),U461&gt;=0,ISNUMBER(O461),O461&gt;=0),1,0)</f>
        <v>1</v>
      </c>
      <c r="AB461" s="0" t="n">
        <f aca="false">IF(AA461=1,U461+O461,0)</f>
        <v>1045</v>
      </c>
      <c r="AC461" s="0" t="n">
        <f aca="false">IF(AA461=1,100*AB461/B461,"")</f>
        <v>0.193012753617835</v>
      </c>
      <c r="AD461" s="0" t="n">
        <f aca="false">IF(AND(AND(ISNUMBER(B461),B461=OriginalFinancials!B461),AND(ISNUMBER(U461),U461=OriginalFinancials!U461),AND(ISNUMBER(O461),O461=OriginalFinancials!O461)),0,1)</f>
        <v>0</v>
      </c>
      <c r="AE461" s="0" t="str">
        <f aca="false">IF(V461=0,"原始0：需核实适用/报告口径","")</f>
        <v/>
      </c>
    </row>
    <row r="462" customFormat="false" ht="15" hidden="false" customHeight="false" outlineLevel="0" collapsed="false">
      <c r="A462" s="0" t="n">
        <v>462</v>
      </c>
      <c r="B462" s="0" t="n">
        <v>297031</v>
      </c>
      <c r="C462" s="0" t="n">
        <v>28155</v>
      </c>
      <c r="D462" s="0" t="n">
        <v>249108</v>
      </c>
      <c r="E462" s="0" t="n">
        <v>-0.03</v>
      </c>
      <c r="F462" s="0" t="n">
        <v>27388</v>
      </c>
      <c r="G462" s="0" t="n">
        <v>9.22058640343937</v>
      </c>
      <c r="H462" s="0" t="s">
        <v>619</v>
      </c>
      <c r="I462" s="0" t="n">
        <v>0.472481547437027</v>
      </c>
      <c r="J462" s="0" t="n">
        <v>10532</v>
      </c>
      <c r="K462" s="0" t="n">
        <v>5990</v>
      </c>
      <c r="L462" s="0" t="n">
        <v>166779</v>
      </c>
      <c r="M462" s="0" t="n">
        <v>165991</v>
      </c>
      <c r="N462" s="0" t="n">
        <v>149746</v>
      </c>
      <c r="O462" s="0" t="n">
        <v>130</v>
      </c>
      <c r="P462" s="0" t="s">
        <v>174</v>
      </c>
      <c r="Q462" s="0" t="n">
        <v>0.0779474634096619</v>
      </c>
      <c r="R462" s="0" t="n">
        <v>2.36750375517175</v>
      </c>
      <c r="S462" s="0" t="n">
        <v>1</v>
      </c>
      <c r="T462" s="0" t="n">
        <v>447</v>
      </c>
      <c r="U462" s="0" t="n">
        <v>0</v>
      </c>
      <c r="V462" s="0" t="n">
        <v>17.7250205933339</v>
      </c>
      <c r="W462" s="0" t="n">
        <v>20240331</v>
      </c>
      <c r="X462" s="0" t="n">
        <v>-0.0455333766346816</v>
      </c>
      <c r="Y462" s="0" t="n">
        <v>-0.5</v>
      </c>
      <c r="Z462" s="0" t="s">
        <v>123</v>
      </c>
      <c r="AA462" s="0" t="n">
        <f aca="false">IF(AND(ISNUMBER(B462),B462&gt;0,ISNUMBER(U462),U462&gt;=0,ISNUMBER(O462),O462&gt;=0),1,0)</f>
        <v>1</v>
      </c>
      <c r="AB462" s="0" t="n">
        <f aca="false">IF(AA462=1,U462+O462,0)</f>
        <v>130</v>
      </c>
      <c r="AC462" s="0" t="n">
        <f aca="false">IF(AA462=1,100*AB462/B462,"")</f>
        <v>0.0437664755530568</v>
      </c>
      <c r="AD462" s="0" t="n">
        <f aca="false">IF(AND(AND(ISNUMBER(B462),B462=OriginalFinancials!B462),AND(ISNUMBER(U462),U462=OriginalFinancials!U462),AND(ISNUMBER(O462),O462=OriginalFinancials!O462)),0,1)</f>
        <v>0</v>
      </c>
      <c r="AE462" s="0" t="str">
        <f aca="false">IF(V462=0,"原始0：需核实适用/报告口径","")</f>
        <v/>
      </c>
    </row>
    <row r="463" customFormat="false" ht="15" hidden="false" customHeight="false" outlineLevel="0" collapsed="false">
      <c r="A463" s="0" t="n">
        <v>463</v>
      </c>
      <c r="B463" s="0" t="n">
        <v>103458</v>
      </c>
      <c r="C463" s="0" t="n">
        <v>28288</v>
      </c>
      <c r="D463" s="0" t="n">
        <v>74972</v>
      </c>
      <c r="E463" s="0" t="n">
        <v>0</v>
      </c>
      <c r="F463" s="0" t="n">
        <v>5859</v>
      </c>
      <c r="G463" s="0" t="n">
        <v>5.66316766223975</v>
      </c>
      <c r="H463" s="0" t="s">
        <v>620</v>
      </c>
      <c r="I463" s="0" t="n">
        <v>1.03855795630894</v>
      </c>
      <c r="J463" s="0" t="n">
        <v>4949</v>
      </c>
      <c r="K463" s="0" t="n">
        <v>2908</v>
      </c>
      <c r="L463" s="0" t="n">
        <v>83770</v>
      </c>
      <c r="M463" s="0" t="n">
        <v>82900</v>
      </c>
      <c r="N463" s="0" t="n">
        <v>75913</v>
      </c>
      <c r="O463" s="0" t="n">
        <v>254</v>
      </c>
      <c r="P463" s="0" t="s">
        <v>176</v>
      </c>
      <c r="Q463" s="0" t="n">
        <v>0.303211173451116</v>
      </c>
      <c r="R463" s="0" t="n">
        <v>2.71613383497978</v>
      </c>
      <c r="S463" s="0" t="n">
        <v>0</v>
      </c>
      <c r="T463" s="0" t="n">
        <v>107</v>
      </c>
      <c r="U463" s="0" t="n">
        <v>0</v>
      </c>
      <c r="V463" s="0" t="n">
        <v>13.7396501276225</v>
      </c>
      <c r="W463" s="0" t="n">
        <v>20240331</v>
      </c>
      <c r="X463" s="0" t="n">
        <v>0.0727721895332525</v>
      </c>
      <c r="Y463" s="0" t="n">
        <v>1.28</v>
      </c>
      <c r="Z463" s="0" t="s">
        <v>105</v>
      </c>
      <c r="AA463" s="0" t="n">
        <f aca="false">IF(AND(ISNUMBER(B463),B463&gt;0,ISNUMBER(U463),U463&gt;=0,ISNUMBER(O463),O463&gt;=0),1,0)</f>
        <v>1</v>
      </c>
      <c r="AB463" s="0" t="n">
        <f aca="false">IF(AA463=1,U463+O463,0)</f>
        <v>254</v>
      </c>
      <c r="AC463" s="0" t="n">
        <f aca="false">IF(AA463=1,100*AB463/B463,"")</f>
        <v>0.245510255369329</v>
      </c>
      <c r="AD463" s="0" t="n">
        <f aca="false">IF(AND(AND(ISNUMBER(B463),B463=OriginalFinancials!B463),AND(ISNUMBER(U463),U463=OriginalFinancials!U463),AND(ISNUMBER(O463),O463=OriginalFinancials!O463)),0,1)</f>
        <v>0</v>
      </c>
      <c r="AE463" s="0" t="str">
        <f aca="false">IF(V463=0,"原始0：需核实适用/报告口径","")</f>
        <v/>
      </c>
    </row>
    <row r="464" customFormat="false" ht="15" hidden="false" customHeight="false" outlineLevel="0" collapsed="false">
      <c r="A464" s="0" t="n">
        <v>464</v>
      </c>
      <c r="B464" s="0" t="n">
        <v>95113</v>
      </c>
      <c r="C464" s="0" t="n">
        <v>28369</v>
      </c>
      <c r="D464" s="0" t="n">
        <v>75369</v>
      </c>
      <c r="E464" s="0" t="n">
        <v>0.03</v>
      </c>
      <c r="F464" s="0" t="n">
        <v>9266</v>
      </c>
      <c r="G464" s="0" t="n">
        <v>9.74209624341573</v>
      </c>
      <c r="H464" s="0" t="s">
        <v>621</v>
      </c>
      <c r="I464" s="0" t="n">
        <v>0.741162350437397</v>
      </c>
      <c r="J464" s="0" t="n">
        <v>12521</v>
      </c>
      <c r="K464" s="0" t="n">
        <v>832</v>
      </c>
      <c r="L464" s="0" t="n">
        <v>80819</v>
      </c>
      <c r="M464" s="0" t="n">
        <v>80220</v>
      </c>
      <c r="N464" s="0" t="n">
        <v>67466</v>
      </c>
      <c r="O464" s="0" t="n">
        <v>174</v>
      </c>
      <c r="P464" s="0" t="s">
        <v>178</v>
      </c>
      <c r="Q464" s="0" t="n">
        <v>0.215295908140412</v>
      </c>
      <c r="R464" s="0" t="n">
        <v>3.0142140002894</v>
      </c>
      <c r="S464" s="0" t="n">
        <v>-1</v>
      </c>
      <c r="T464" s="0" t="n">
        <v>4</v>
      </c>
      <c r="U464" s="0" t="n">
        <v>0</v>
      </c>
      <c r="V464" s="0" t="n">
        <v>13.8289808112487</v>
      </c>
      <c r="W464" s="0" t="n">
        <v>20240331</v>
      </c>
      <c r="X464" s="0" t="n">
        <v>-0.355442716597905</v>
      </c>
      <c r="Y464" s="0" t="n">
        <v>-3.61</v>
      </c>
      <c r="Z464" s="0" t="s">
        <v>105</v>
      </c>
      <c r="AA464" s="0" t="n">
        <f aca="false">IF(AND(ISNUMBER(B464),B464&gt;0,ISNUMBER(U464),U464&gt;=0,ISNUMBER(O464),O464&gt;=0),1,0)</f>
        <v>1</v>
      </c>
      <c r="AB464" s="0" t="n">
        <f aca="false">IF(AA464=1,U464+O464,0)</f>
        <v>174</v>
      </c>
      <c r="AC464" s="0" t="n">
        <f aca="false">IF(AA464=1,100*AB464/B464,"")</f>
        <v>0.182940292073639</v>
      </c>
      <c r="AD464" s="0" t="n">
        <f aca="false">IF(AND(AND(ISNUMBER(B464),B464=OriginalFinancials!B464),AND(ISNUMBER(U464),U464=OriginalFinancials!U464),AND(ISNUMBER(O464),O464=OriginalFinancials!O464)),0,1)</f>
        <v>0</v>
      </c>
      <c r="AE464" s="0" t="str">
        <f aca="false">IF(V464=0,"原始0：需核实适用/报告口径","")</f>
        <v/>
      </c>
    </row>
    <row r="465" customFormat="false" ht="15" hidden="false" customHeight="false" outlineLevel="0" collapsed="false">
      <c r="A465" s="0" t="n">
        <v>465</v>
      </c>
      <c r="B465" s="0" t="n">
        <v>280957</v>
      </c>
      <c r="C465" s="0" t="n">
        <v>28837</v>
      </c>
      <c r="D465" s="0" t="n">
        <v>251772</v>
      </c>
      <c r="E465" s="0" t="n">
        <v>-0.21</v>
      </c>
      <c r="F465" s="0" t="n">
        <v>26570</v>
      </c>
      <c r="G465" s="0" t="n">
        <v>9.45696316518186</v>
      </c>
      <c r="H465" s="0" t="s">
        <v>622</v>
      </c>
      <c r="I465" s="0" t="n">
        <v>1.08329443283067</v>
      </c>
      <c r="J465" s="0" t="n">
        <v>6456</v>
      </c>
      <c r="K465" s="0" t="n">
        <v>1299</v>
      </c>
      <c r="L465" s="0" t="n">
        <v>197084</v>
      </c>
      <c r="M465" s="0" t="n">
        <v>194949</v>
      </c>
      <c r="N465" s="0" t="n">
        <v>188594</v>
      </c>
      <c r="O465" s="0" t="n">
        <v>89</v>
      </c>
      <c r="P465" s="0" t="s">
        <v>180</v>
      </c>
      <c r="Q465" s="0" t="n">
        <v>0.0644395283229486</v>
      </c>
      <c r="R465" s="0" t="n">
        <v>3.63569551050099</v>
      </c>
      <c r="S465" s="0" t="n">
        <v>0</v>
      </c>
      <c r="T465" s="0" t="n">
        <v>795</v>
      </c>
      <c r="U465" s="0" t="n">
        <v>38</v>
      </c>
      <c r="V465" s="0" t="n">
        <v>16.8987480781902</v>
      </c>
      <c r="W465" s="0" t="n">
        <v>20240331</v>
      </c>
      <c r="X465" s="0" t="n">
        <v>0.73901109576411</v>
      </c>
      <c r="Y465" s="0" t="n">
        <v>7.94</v>
      </c>
      <c r="Z465" s="0" t="s">
        <v>112</v>
      </c>
      <c r="AA465" s="0" t="n">
        <f aca="false">IF(AND(ISNUMBER(B465),B465&gt;0,ISNUMBER(U465),U465&gt;=0,ISNUMBER(O465),O465&gt;=0),1,0)</f>
        <v>1</v>
      </c>
      <c r="AB465" s="0" t="n">
        <f aca="false">IF(AA465=1,U465+O465,0)</f>
        <v>127</v>
      </c>
      <c r="AC465" s="0" t="n">
        <f aca="false">IF(AA465=1,100*AB465/B465,"")</f>
        <v>0.0452026466683514</v>
      </c>
      <c r="AD465" s="0" t="n">
        <f aca="false">IF(AND(AND(ISNUMBER(B465),B465=OriginalFinancials!B465),AND(ISNUMBER(U465),U465=OriginalFinancials!U465),AND(ISNUMBER(O465),O465=OriginalFinancials!O465)),0,1)</f>
        <v>0</v>
      </c>
      <c r="AE465" s="0" t="str">
        <f aca="false">IF(V465=0,"原始0：需核实适用/报告口径","")</f>
        <v/>
      </c>
    </row>
    <row r="466" customFormat="false" ht="15" hidden="false" customHeight="false" outlineLevel="0" collapsed="false">
      <c r="A466" s="0" t="n">
        <v>466</v>
      </c>
      <c r="B466" s="0" t="n">
        <v>178210</v>
      </c>
      <c r="C466" s="0" t="n">
        <v>29636</v>
      </c>
      <c r="D466" s="0" t="n">
        <v>137138</v>
      </c>
      <c r="E466" s="0" t="n">
        <v>0.01</v>
      </c>
      <c r="F466" s="0" t="n">
        <v>25969</v>
      </c>
      <c r="G466" s="0" t="n">
        <v>14.5721339992144</v>
      </c>
      <c r="H466" s="0" t="s">
        <v>623</v>
      </c>
      <c r="I466" s="0" t="n">
        <v>1.40696473365796</v>
      </c>
      <c r="J466" s="0" t="n">
        <v>1456</v>
      </c>
      <c r="K466" s="0" t="n">
        <v>1571</v>
      </c>
      <c r="L466" s="0" t="n">
        <v>135540</v>
      </c>
      <c r="M466" s="0" t="n">
        <v>133633</v>
      </c>
      <c r="N466" s="0" t="n">
        <v>132513</v>
      </c>
      <c r="O466" s="0" t="n">
        <v>899</v>
      </c>
      <c r="P466" s="0" t="s">
        <v>182</v>
      </c>
      <c r="Q466" s="0" t="n">
        <v>0.663272834587576</v>
      </c>
      <c r="R466" s="0" t="n">
        <v>3.5569459283869</v>
      </c>
      <c r="S466" s="0" t="n">
        <v>0</v>
      </c>
      <c r="T466" s="0" t="n">
        <v>3809</v>
      </c>
      <c r="U466" s="0" t="n">
        <v>0</v>
      </c>
      <c r="V466" s="0" t="n">
        <v>27.410238197661</v>
      </c>
      <c r="W466" s="0" t="n">
        <v>20240331</v>
      </c>
      <c r="X466" s="0" t="n">
        <v>0.311180386680808</v>
      </c>
      <c r="Y466" s="0" t="n">
        <v>2.15</v>
      </c>
      <c r="Z466" s="0" t="s">
        <v>105</v>
      </c>
      <c r="AA466" s="0" t="n">
        <f aca="false">IF(AND(ISNUMBER(B466),B466&gt;0,ISNUMBER(U466),U466&gt;=0,ISNUMBER(O466),O466&gt;=0),1,0)</f>
        <v>1</v>
      </c>
      <c r="AB466" s="0" t="n">
        <f aca="false">IF(AA466=1,U466+O466,0)</f>
        <v>899</v>
      </c>
      <c r="AC466" s="0" t="n">
        <f aca="false">IF(AA466=1,100*AB466/B466,"")</f>
        <v>0.504461029122945</v>
      </c>
      <c r="AD466" s="0" t="n">
        <f aca="false">IF(AND(AND(ISNUMBER(B466),B466=OriginalFinancials!B466),AND(ISNUMBER(U466),U466=OriginalFinancials!U466),AND(ISNUMBER(O466),O466=OriginalFinancials!O466)),0,1)</f>
        <v>0</v>
      </c>
      <c r="AE466" s="0" t="str">
        <f aca="false">IF(V466=0,"原始0：需核实适用/报告口径","")</f>
        <v/>
      </c>
    </row>
    <row r="467" customFormat="false" ht="15" hidden="false" customHeight="false" outlineLevel="0" collapsed="false">
      <c r="A467" s="0" t="n">
        <v>467</v>
      </c>
      <c r="B467" s="0" t="n">
        <v>184760</v>
      </c>
      <c r="C467" s="0" t="n">
        <v>29743</v>
      </c>
      <c r="D467" s="0" t="n">
        <v>160737</v>
      </c>
      <c r="E467" s="0" t="n">
        <v>0</v>
      </c>
      <c r="F467" s="0" t="n">
        <v>16808</v>
      </c>
      <c r="G467" s="0" t="n">
        <v>9.09720718770296</v>
      </c>
      <c r="H467" s="0" t="s">
        <v>624</v>
      </c>
      <c r="I467" s="0" t="n">
        <v>0.670601060030824</v>
      </c>
      <c r="J467" s="0" t="n">
        <v>26800</v>
      </c>
      <c r="K467" s="0" t="n">
        <v>20933</v>
      </c>
      <c r="L467" s="0" t="n">
        <v>133015</v>
      </c>
      <c r="M467" s="0" t="n">
        <v>132123</v>
      </c>
      <c r="N467" s="0" t="n">
        <v>85228</v>
      </c>
      <c r="O467" s="0" t="n">
        <v>140</v>
      </c>
      <c r="P467" s="0" t="s">
        <v>184</v>
      </c>
      <c r="Q467" s="0" t="n">
        <v>0.105251287448784</v>
      </c>
      <c r="R467" s="0" t="n">
        <v>2.19674669047229</v>
      </c>
      <c r="S467" s="0" t="n">
        <v>0</v>
      </c>
      <c r="T467" s="0" t="n">
        <v>596</v>
      </c>
      <c r="U467" s="0" t="n">
        <v>0</v>
      </c>
      <c r="V467" s="0" t="n">
        <v>18.3034236752105</v>
      </c>
      <c r="W467" s="0" t="n">
        <v>20240331</v>
      </c>
      <c r="X467" s="0" t="n">
        <v>0.300357479035316</v>
      </c>
      <c r="Y467" s="0" t="n">
        <v>3.33</v>
      </c>
      <c r="Z467" s="0" t="s">
        <v>105</v>
      </c>
      <c r="AA467" s="0" t="n">
        <f aca="false">IF(AND(ISNUMBER(B467),B467&gt;0,ISNUMBER(U467),U467&gt;=0,ISNUMBER(O467),O467&gt;=0),1,0)</f>
        <v>1</v>
      </c>
      <c r="AB467" s="0" t="n">
        <f aca="false">IF(AA467=1,U467+O467,0)</f>
        <v>140</v>
      </c>
      <c r="AC467" s="0" t="n">
        <f aca="false">IF(AA467=1,100*AB467/B467,"")</f>
        <v>0.0757739770513098</v>
      </c>
      <c r="AD467" s="0" t="n">
        <f aca="false">IF(AND(AND(ISNUMBER(B467),B467=OriginalFinancials!B467),AND(ISNUMBER(U467),U467=OriginalFinancials!U467),AND(ISNUMBER(O467),O467=OriginalFinancials!O467)),0,1)</f>
        <v>0</v>
      </c>
      <c r="AE467" s="0" t="str">
        <f aca="false">IF(V467=0,"原始0：需核实适用/报告口径","")</f>
        <v/>
      </c>
    </row>
    <row r="468" customFormat="false" ht="15" hidden="false" customHeight="false" outlineLevel="0" collapsed="false">
      <c r="A468" s="0" t="n">
        <v>468</v>
      </c>
      <c r="B468" s="0" t="n">
        <v>576540</v>
      </c>
      <c r="C468" s="0" t="n">
        <v>29744</v>
      </c>
      <c r="D468" s="0" t="n">
        <v>428893</v>
      </c>
      <c r="E468" s="0" t="n">
        <v>-0.01</v>
      </c>
      <c r="F468" s="0" t="n">
        <v>44302</v>
      </c>
      <c r="G468" s="0" t="n">
        <v>7.68411558608249</v>
      </c>
      <c r="H468" s="0" t="s">
        <v>625</v>
      </c>
      <c r="I468" s="0" t="n">
        <v>0.792385683305221</v>
      </c>
      <c r="J468" s="0" t="n">
        <v>25394</v>
      </c>
      <c r="K468" s="0" t="n">
        <v>9990</v>
      </c>
      <c r="L468" s="0" t="n">
        <v>431608</v>
      </c>
      <c r="M468" s="0" t="n">
        <v>428188</v>
      </c>
      <c r="N468" s="0" t="n">
        <v>396224</v>
      </c>
      <c r="O468" s="0" t="n">
        <v>141</v>
      </c>
      <c r="P468" s="0" t="s">
        <v>186</v>
      </c>
      <c r="Q468" s="0" t="n">
        <v>0.0326685325573205</v>
      </c>
      <c r="R468" s="0" t="n">
        <v>2.09105523042831</v>
      </c>
      <c r="S468" s="0" t="n">
        <v>0</v>
      </c>
      <c r="T468" s="0" t="n">
        <v>0</v>
      </c>
      <c r="U468" s="0" t="n">
        <v>0</v>
      </c>
      <c r="V468" s="0" t="n">
        <v>14.8696742059058</v>
      </c>
      <c r="W468" s="0" t="n">
        <v>20240331</v>
      </c>
      <c r="X468" s="0" t="n">
        <v>-0.803595619950847</v>
      </c>
      <c r="Y468" s="0" t="n">
        <v>-10.19</v>
      </c>
      <c r="Z468" s="0" t="s">
        <v>123</v>
      </c>
      <c r="AA468" s="0" t="n">
        <f aca="false">IF(AND(ISNUMBER(B468),B468&gt;0,ISNUMBER(U468),U468&gt;=0,ISNUMBER(O468),O468&gt;=0),1,0)</f>
        <v>1</v>
      </c>
      <c r="AB468" s="0" t="n">
        <f aca="false">IF(AA468=1,U468+O468,0)</f>
        <v>141</v>
      </c>
      <c r="AC468" s="0" t="n">
        <f aca="false">IF(AA468=1,100*AB468/B468,"")</f>
        <v>0.0244562389426579</v>
      </c>
      <c r="AD468" s="0" t="n">
        <f aca="false">IF(AND(AND(ISNUMBER(B468),B468=OriginalFinancials!B468),AND(ISNUMBER(U468),U468=OriginalFinancials!U468),AND(ISNUMBER(O468),O468=OriginalFinancials!O468)),0,1)</f>
        <v>0</v>
      </c>
      <c r="AE468" s="0" t="str">
        <f aca="false">IF(V468=0,"原始0：需核实适用/报告口径","")</f>
        <v/>
      </c>
    </row>
    <row r="469" customFormat="false" ht="15" hidden="false" customHeight="false" outlineLevel="0" collapsed="false">
      <c r="A469" s="0" t="n">
        <v>469</v>
      </c>
      <c r="B469" s="0" t="n">
        <v>558824</v>
      </c>
      <c r="C469" s="0" t="n">
        <v>30350</v>
      </c>
      <c r="D469" s="0" t="n">
        <v>445096</v>
      </c>
      <c r="E469" s="0" t="n">
        <v>0.04</v>
      </c>
      <c r="F469" s="0" t="n">
        <v>56764</v>
      </c>
      <c r="G469" s="0" t="n">
        <v>10.1577598671496</v>
      </c>
      <c r="H469" s="0" t="s">
        <v>626</v>
      </c>
      <c r="I469" s="0" t="n">
        <v>1.27184711105831</v>
      </c>
      <c r="J469" s="0" t="n">
        <v>16001</v>
      </c>
      <c r="K469" s="0" t="n">
        <v>1534</v>
      </c>
      <c r="L469" s="0" t="n">
        <v>404058</v>
      </c>
      <c r="M469" s="0" t="n">
        <v>398919</v>
      </c>
      <c r="N469" s="0" t="n">
        <v>385261</v>
      </c>
      <c r="O469" s="0" t="n">
        <v>1795</v>
      </c>
      <c r="P469" s="0" t="s">
        <v>188</v>
      </c>
      <c r="Q469" s="0" t="n">
        <v>0.444243153210678</v>
      </c>
      <c r="R469" s="0" t="n">
        <v>2.55278608364277</v>
      </c>
      <c r="S469" s="0" t="n">
        <v>-7</v>
      </c>
      <c r="T469" s="0" t="n">
        <v>726</v>
      </c>
      <c r="U469" s="0" t="n">
        <v>0</v>
      </c>
      <c r="V469" s="0" t="n">
        <v>20.9443498153697</v>
      </c>
      <c r="W469" s="0" t="n">
        <v>20240331</v>
      </c>
      <c r="X469" s="0" t="n">
        <v>0.456585242898488</v>
      </c>
      <c r="Y469" s="0" t="n">
        <v>4.48</v>
      </c>
      <c r="Z469" s="0" t="s">
        <v>112</v>
      </c>
      <c r="AA469" s="0" t="n">
        <f aca="false">IF(AND(ISNUMBER(B469),B469&gt;0,ISNUMBER(U469),U469&gt;=0,ISNUMBER(O469),O469&gt;=0),1,0)</f>
        <v>1</v>
      </c>
      <c r="AB469" s="0" t="n">
        <f aca="false">IF(AA469=1,U469+O469,0)</f>
        <v>1795</v>
      </c>
      <c r="AC469" s="0" t="n">
        <f aca="false">IF(AA469=1,100*AB469/B469,"")</f>
        <v>0.321210255822942</v>
      </c>
      <c r="AD469" s="0" t="n">
        <f aca="false">IF(AND(AND(ISNUMBER(B469),B469=OriginalFinancials!B469),AND(ISNUMBER(U469),U469=OriginalFinancials!U469),AND(ISNUMBER(O469),O469=OriginalFinancials!O469)),0,1)</f>
        <v>0</v>
      </c>
      <c r="AE469" s="0" t="str">
        <f aca="false">IF(V469=0,"原始0：需核实适用/报告口径","")</f>
        <v/>
      </c>
    </row>
    <row r="470" customFormat="false" ht="15" hidden="false" customHeight="false" outlineLevel="0" collapsed="false">
      <c r="A470" s="0" t="n">
        <v>470</v>
      </c>
      <c r="B470" s="0" t="n">
        <v>102792</v>
      </c>
      <c r="C470" s="0" t="n">
        <v>30878</v>
      </c>
      <c r="D470" s="0" t="n">
        <v>74987</v>
      </c>
      <c r="E470" s="0" t="n">
        <v>-0.62</v>
      </c>
      <c r="F470" s="0" t="n">
        <v>12317</v>
      </c>
      <c r="G470" s="0" t="n">
        <v>11.9824499961086</v>
      </c>
      <c r="H470" s="0" t="s">
        <v>627</v>
      </c>
      <c r="I470" s="0" t="n">
        <v>0.622482190408995</v>
      </c>
      <c r="J470" s="0" t="n">
        <v>0</v>
      </c>
      <c r="K470" s="0" t="n">
        <v>105</v>
      </c>
      <c r="L470" s="0" t="n">
        <v>87874</v>
      </c>
      <c r="M470" s="0" t="n">
        <v>87327</v>
      </c>
      <c r="N470" s="0" t="n">
        <v>87769</v>
      </c>
      <c r="O470" s="0" t="n">
        <v>836</v>
      </c>
      <c r="P470" s="0" t="s">
        <v>190</v>
      </c>
      <c r="Q470" s="0" t="n">
        <v>0.951362177663473</v>
      </c>
      <c r="R470" s="0" t="n">
        <v>0.966458498694582</v>
      </c>
      <c r="S470" s="0" t="n">
        <v>0</v>
      </c>
      <c r="T470" s="0" t="n">
        <v>1125</v>
      </c>
      <c r="U470" s="0" t="n">
        <v>0</v>
      </c>
      <c r="V470" s="0" t="n">
        <v>0</v>
      </c>
      <c r="W470" s="0" t="n">
        <v>20240331</v>
      </c>
      <c r="X470" s="0" t="n">
        <v>0.061539940863963</v>
      </c>
      <c r="Y470" s="0" t="n">
        <v>0.52</v>
      </c>
      <c r="Z470" s="0" t="s">
        <v>105</v>
      </c>
      <c r="AA470" s="0" t="n">
        <f aca="false">IF(AND(ISNUMBER(B470),B470&gt;0,ISNUMBER(U470),U470&gt;=0,ISNUMBER(O470),O470&gt;=0),1,0)</f>
        <v>1</v>
      </c>
      <c r="AB470" s="0" t="n">
        <f aca="false">IF(AA470=1,U470+O470,0)</f>
        <v>836</v>
      </c>
      <c r="AC470" s="0" t="n">
        <f aca="false">IF(AA470=1,100*AB470/B470,"")</f>
        <v>0.813292863257841</v>
      </c>
      <c r="AD470" s="0" t="n">
        <f aca="false">IF(AND(AND(ISNUMBER(B470),B470=OriginalFinancials!B470),AND(ISNUMBER(U470),U470=OriginalFinancials!U470),AND(ISNUMBER(O470),O470=OriginalFinancials!O470)),0,1)</f>
        <v>0</v>
      </c>
      <c r="AE470" s="0" t="str">
        <f aca="false">IF(V470=0,"原始0：需核实适用/报告口径","")</f>
        <v>原始0：需核实适用/报告口径</v>
      </c>
    </row>
    <row r="471" customFormat="false" ht="15" hidden="false" customHeight="false" outlineLevel="0" collapsed="false">
      <c r="A471" s="0" t="n">
        <v>471</v>
      </c>
      <c r="B471" s="0" t="n">
        <v>893621</v>
      </c>
      <c r="C471" s="0" t="n">
        <v>33418</v>
      </c>
      <c r="D471" s="0" t="n">
        <v>783873</v>
      </c>
      <c r="E471" s="0" t="n">
        <v>0.22</v>
      </c>
      <c r="F471" s="0" t="n">
        <v>68407</v>
      </c>
      <c r="G471" s="0" t="n">
        <v>7.65503496448718</v>
      </c>
      <c r="H471" s="0" t="s">
        <v>628</v>
      </c>
      <c r="I471" s="0" t="n">
        <v>0.726201172152524</v>
      </c>
      <c r="J471" s="0" t="n">
        <v>61228</v>
      </c>
      <c r="K471" s="0" t="n">
        <v>14835</v>
      </c>
      <c r="L471" s="0" t="n">
        <v>457449</v>
      </c>
      <c r="M471" s="0" t="n">
        <v>454127</v>
      </c>
      <c r="N471" s="0" t="n">
        <v>381804</v>
      </c>
      <c r="O471" s="0" t="n">
        <v>1692</v>
      </c>
      <c r="P471" s="0" t="s">
        <v>192</v>
      </c>
      <c r="Q471" s="0" t="n">
        <v>0.369877297797131</v>
      </c>
      <c r="R471" s="0" t="n">
        <v>2.16942321806463</v>
      </c>
      <c r="S471" s="0" t="n">
        <v>-5</v>
      </c>
      <c r="T471" s="0" t="n">
        <v>118</v>
      </c>
      <c r="U471" s="0" t="n">
        <v>0</v>
      </c>
      <c r="V471" s="0" t="n">
        <v>14.9143227744402</v>
      </c>
      <c r="W471" s="0" t="n">
        <v>20240331</v>
      </c>
      <c r="X471" s="0" t="n">
        <v>0.317210198101888</v>
      </c>
      <c r="Y471" s="0" t="n">
        <v>4.04</v>
      </c>
      <c r="Z471" s="0" t="s">
        <v>112</v>
      </c>
      <c r="AA471" s="0" t="n">
        <f aca="false">IF(AND(ISNUMBER(B471),B471&gt;0,ISNUMBER(U471),U471&gt;=0,ISNUMBER(O471),O471&gt;=0),1,0)</f>
        <v>1</v>
      </c>
      <c r="AB471" s="0" t="n">
        <f aca="false">IF(AA471=1,U471+O471,0)</f>
        <v>1692</v>
      </c>
      <c r="AC471" s="0" t="n">
        <f aca="false">IF(AA471=1,100*AB471/B471,"")</f>
        <v>0.18934201412008</v>
      </c>
      <c r="AD471" s="0" t="n">
        <f aca="false">IF(AND(AND(ISNUMBER(B471),B471=OriginalFinancials!B471),AND(ISNUMBER(U471),U471=OriginalFinancials!U471),AND(ISNUMBER(O471),O471=OriginalFinancials!O471)),0,1)</f>
        <v>0</v>
      </c>
      <c r="AE471" s="0" t="str">
        <f aca="false">IF(V471=0,"原始0：需核实适用/报告口径","")</f>
        <v/>
      </c>
    </row>
    <row r="472" customFormat="false" ht="15" hidden="false" customHeight="false" outlineLevel="0" collapsed="false">
      <c r="A472" s="0" t="n">
        <v>472</v>
      </c>
      <c r="B472" s="0" t="n">
        <v>79848</v>
      </c>
      <c r="C472" s="0" t="n">
        <v>35206</v>
      </c>
      <c r="D472" s="0" t="n">
        <v>500</v>
      </c>
      <c r="E472" s="0" t="n">
        <v>0</v>
      </c>
      <c r="F472" s="0" t="n">
        <v>77369</v>
      </c>
      <c r="G472" s="0" t="n">
        <v>96.8953511672177</v>
      </c>
      <c r="H472" s="0" t="s">
        <v>629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0</v>
      </c>
      <c r="P472" s="0" t="s">
        <v>252</v>
      </c>
      <c r="Q472" s="0" t="n">
        <v>0</v>
      </c>
      <c r="R472" s="0" t="n">
        <v>4.56962007745589</v>
      </c>
      <c r="S472" s="0" t="n">
        <v>0</v>
      </c>
      <c r="T472" s="0" t="n">
        <v>0</v>
      </c>
      <c r="U472" s="0" t="n">
        <v>0</v>
      </c>
      <c r="V472" s="0" t="n">
        <v>0</v>
      </c>
      <c r="W472" s="0" t="n">
        <v>20240331</v>
      </c>
      <c r="X472" s="0" t="n">
        <v>15.0318019410587</v>
      </c>
      <c r="Y472" s="0" t="n">
        <v>15.63</v>
      </c>
      <c r="Z472" s="0" t="s">
        <v>123</v>
      </c>
      <c r="AA472" s="0" t="n">
        <f aca="false">IF(AND(ISNUMBER(B472),B472&gt;0,ISNUMBER(U472),U472&gt;=0,ISNUMBER(O472),O472&gt;=0),1,0)</f>
        <v>1</v>
      </c>
      <c r="AB472" s="0" t="n">
        <f aca="false">IF(AA472=1,U472+O472,0)</f>
        <v>0</v>
      </c>
      <c r="AC472" s="0" t="n">
        <f aca="false">IF(AA472=1,100*AB472/B472,"")</f>
        <v>0</v>
      </c>
      <c r="AD472" s="0" t="n">
        <f aca="false">IF(AND(AND(ISNUMBER(B472),B472=OriginalFinancials!B472),AND(ISNUMBER(U472),U472=OriginalFinancials!U472),AND(ISNUMBER(O472),O472=OriginalFinancials!O472)),0,1)</f>
        <v>0</v>
      </c>
      <c r="AE472" s="0" t="str">
        <f aca="false">IF(V472=0,"原始0：需核实适用/报告口径","")</f>
        <v>原始0：需核实适用/报告口径</v>
      </c>
    </row>
    <row r="473" customFormat="false" ht="15" hidden="false" customHeight="false" outlineLevel="0" collapsed="false">
      <c r="A473" s="0" t="n">
        <v>473</v>
      </c>
      <c r="B473" s="0" t="n">
        <v>5784624</v>
      </c>
      <c r="C473" s="0" t="n">
        <v>4255</v>
      </c>
      <c r="D473" s="0" t="n">
        <v>4586176</v>
      </c>
      <c r="E473" s="0" t="n">
        <v>-0.08</v>
      </c>
      <c r="F473" s="0" t="n">
        <v>514258</v>
      </c>
      <c r="G473" s="0" t="n">
        <v>8.89008516370295</v>
      </c>
      <c r="H473" s="0" t="s">
        <v>630</v>
      </c>
      <c r="I473" s="0" t="n">
        <v>0.862182500985338</v>
      </c>
      <c r="J473" s="0" t="n">
        <v>330311</v>
      </c>
      <c r="K473" s="0" t="n">
        <v>17653</v>
      </c>
      <c r="L473" s="0" t="n">
        <v>4130564</v>
      </c>
      <c r="M473" s="0" t="n">
        <v>4094951</v>
      </c>
      <c r="N473" s="0" t="n">
        <v>3749893</v>
      </c>
      <c r="O473" s="0" t="n">
        <v>5658</v>
      </c>
      <c r="P473" s="0" t="s">
        <v>194</v>
      </c>
      <c r="Q473" s="0" t="n">
        <v>0.136978872618848</v>
      </c>
      <c r="R473" s="0" t="n">
        <v>2.41335932567702</v>
      </c>
      <c r="S473" s="0" t="n">
        <v>158</v>
      </c>
      <c r="T473" s="0" t="n">
        <v>2044</v>
      </c>
      <c r="U473" s="0" t="n">
        <v>0</v>
      </c>
      <c r="V473" s="0" t="n">
        <v>13.8464365654592</v>
      </c>
      <c r="W473" s="0" t="n">
        <v>20240331</v>
      </c>
      <c r="X473" s="0" t="n">
        <v>0.965155557846469</v>
      </c>
      <c r="Y473" s="0" t="n">
        <v>10.84</v>
      </c>
      <c r="Z473" s="0" t="s">
        <v>105</v>
      </c>
      <c r="AA473" s="0" t="n">
        <f aca="false">IF(AND(ISNUMBER(B473),B473&gt;0,ISNUMBER(U473),U473&gt;=0,ISNUMBER(O473),O473&gt;=0),1,0)</f>
        <v>1</v>
      </c>
      <c r="AB473" s="0" t="n">
        <f aca="false">IF(AA473=1,U473+O473,0)</f>
        <v>5658</v>
      </c>
      <c r="AC473" s="0" t="n">
        <f aca="false">IF(AA473=1,100*AB473/B473,"")</f>
        <v>0.097811024536772</v>
      </c>
      <c r="AD473" s="0" t="n">
        <f aca="false">IF(AND(AND(ISNUMBER(B473),B473=OriginalFinancials!B473),AND(ISNUMBER(U473),U473=OriginalFinancials!U473),AND(ISNUMBER(O473),O473=OriginalFinancials!O473)),0,1)</f>
        <v>0</v>
      </c>
      <c r="AE473" s="0" t="str">
        <f aca="false">IF(V473=0,"原始0：需核实适用/报告口径","")</f>
        <v/>
      </c>
    </row>
    <row r="474" customFormat="false" ht="15" hidden="false" customHeight="false" outlineLevel="0" collapsed="false">
      <c r="A474" s="0" t="n">
        <v>474</v>
      </c>
      <c r="B474" s="0" t="n">
        <v>2942447</v>
      </c>
      <c r="C474" s="0" t="n">
        <v>4256</v>
      </c>
      <c r="D474" s="0" t="n">
        <v>2549402</v>
      </c>
      <c r="E474" s="0" t="n">
        <v>-0.07</v>
      </c>
      <c r="F474" s="0" t="n">
        <v>214088</v>
      </c>
      <c r="G474" s="0" t="n">
        <v>7.27584897875816</v>
      </c>
      <c r="H474" s="0" t="s">
        <v>631</v>
      </c>
      <c r="I474" s="0" t="n">
        <v>1.11360756960565</v>
      </c>
      <c r="J474" s="0" t="n">
        <v>320658</v>
      </c>
      <c r="K474" s="0" t="n">
        <v>19035</v>
      </c>
      <c r="L474" s="0" t="n">
        <v>2173746</v>
      </c>
      <c r="M474" s="0" t="n">
        <v>2149539</v>
      </c>
      <c r="N474" s="0" t="n">
        <v>1739026</v>
      </c>
      <c r="O474" s="0" t="n">
        <v>2710</v>
      </c>
      <c r="P474" s="0" t="s">
        <v>196</v>
      </c>
      <c r="Q474" s="0" t="n">
        <v>0.126923752821167</v>
      </c>
      <c r="R474" s="0" t="n">
        <v>2.15958502147942</v>
      </c>
      <c r="S474" s="0" t="n">
        <v>-78</v>
      </c>
      <c r="T474" s="0" t="n">
        <v>1164</v>
      </c>
      <c r="U474" s="0" t="n">
        <v>49</v>
      </c>
      <c r="V474" s="0" t="n">
        <v>13.4945885990368</v>
      </c>
      <c r="W474" s="0" t="n">
        <v>20240331</v>
      </c>
      <c r="X474" s="0" t="n">
        <v>0.85553165791717</v>
      </c>
      <c r="Y474" s="0" t="n">
        <v>11.68</v>
      </c>
      <c r="Z474" s="0" t="s">
        <v>105</v>
      </c>
      <c r="AA474" s="0" t="n">
        <f aca="false">IF(AND(ISNUMBER(B474),B474&gt;0,ISNUMBER(U474),U474&gt;=0,ISNUMBER(O474),O474&gt;=0),1,0)</f>
        <v>1</v>
      </c>
      <c r="AB474" s="0" t="n">
        <f aca="false">IF(AA474=1,U474+O474,0)</f>
        <v>2759</v>
      </c>
      <c r="AC474" s="0" t="n">
        <f aca="false">IF(AA474=1,100*AB474/B474,"")</f>
        <v>0.0937654951813915</v>
      </c>
      <c r="AD474" s="0" t="n">
        <f aca="false">IF(AND(AND(ISNUMBER(B474),B474=OriginalFinancials!B474),AND(ISNUMBER(U474),U474=OriginalFinancials!U474),AND(ISNUMBER(O474),O474=OriginalFinancials!O474)),0,1)</f>
        <v>0</v>
      </c>
      <c r="AE474" s="0" t="str">
        <f aca="false">IF(V474=0,"原始0：需核实适用/报告口径","")</f>
        <v/>
      </c>
    </row>
    <row r="475" customFormat="false" ht="15" hidden="false" customHeight="false" outlineLevel="0" collapsed="false">
      <c r="A475" s="0" t="n">
        <v>475</v>
      </c>
      <c r="B475" s="0" t="n">
        <v>697280</v>
      </c>
      <c r="C475" s="0" t="n">
        <v>59086</v>
      </c>
      <c r="D475" s="0" t="n">
        <v>594743</v>
      </c>
      <c r="E475" s="0" t="n">
        <v>0.09</v>
      </c>
      <c r="F475" s="0" t="n">
        <v>90844</v>
      </c>
      <c r="G475" s="0" t="n">
        <v>13.0283386874713</v>
      </c>
      <c r="H475" s="0" t="s">
        <v>632</v>
      </c>
      <c r="I475" s="0" t="n">
        <v>1.03077642944236</v>
      </c>
      <c r="J475" s="0" t="n">
        <v>111257</v>
      </c>
      <c r="K475" s="0" t="n">
        <v>0</v>
      </c>
      <c r="L475" s="0" t="n">
        <v>585578</v>
      </c>
      <c r="M475" s="0" t="n">
        <v>579542</v>
      </c>
      <c r="N475" s="0" t="n">
        <v>474718</v>
      </c>
      <c r="O475" s="0" t="n">
        <v>4483</v>
      </c>
      <c r="P475" s="0" t="s">
        <v>198</v>
      </c>
      <c r="Q475" s="0" t="n">
        <v>0.439224151180543</v>
      </c>
      <c r="R475" s="0" t="n">
        <v>3.69176625852335</v>
      </c>
      <c r="S475" s="0" t="n">
        <v>160</v>
      </c>
      <c r="T475" s="0" t="n">
        <v>366</v>
      </c>
      <c r="U475" s="0" t="n">
        <v>0</v>
      </c>
      <c r="V475" s="0" t="n">
        <v>15.5722724532851</v>
      </c>
      <c r="W475" s="0" t="n">
        <v>20240331</v>
      </c>
      <c r="X475" s="0" t="n">
        <v>1.50861107954586</v>
      </c>
      <c r="Y475" s="0" t="n">
        <v>11.71</v>
      </c>
      <c r="Z475" s="0" t="s">
        <v>123</v>
      </c>
      <c r="AA475" s="0" t="n">
        <f aca="false">IF(AND(ISNUMBER(B475),B475&gt;0,ISNUMBER(U475),U475&gt;=0,ISNUMBER(O475),O475&gt;=0),1,0)</f>
        <v>1</v>
      </c>
      <c r="AB475" s="0" t="n">
        <f aca="false">IF(AA475=1,U475+O475,0)</f>
        <v>4483</v>
      </c>
      <c r="AC475" s="0" t="n">
        <f aca="false">IF(AA475=1,100*AB475/B475,"")</f>
        <v>0.642926801284993</v>
      </c>
      <c r="AD475" s="0" t="n">
        <f aca="false">IF(AND(AND(ISNUMBER(B475),B475=OriginalFinancials!B475),AND(ISNUMBER(U475),U475=OriginalFinancials!U475),AND(ISNUMBER(O475),O475=OriginalFinancials!O475)),0,1)</f>
        <v>0</v>
      </c>
      <c r="AE475" s="0" t="str">
        <f aca="false">IF(V475=0,"原始0：需核实适用/报告口径","")</f>
        <v/>
      </c>
    </row>
    <row r="476" customFormat="false" ht="15" hidden="false" customHeight="false" outlineLevel="0" collapsed="false">
      <c r="A476" s="0" t="n">
        <v>476</v>
      </c>
      <c r="B476" s="0" t="n">
        <v>222037</v>
      </c>
      <c r="C476" s="0" t="n">
        <v>59176</v>
      </c>
      <c r="D476" s="0" t="n">
        <v>182535</v>
      </c>
      <c r="E476" s="0" t="n">
        <v>0.05</v>
      </c>
      <c r="F476" s="0" t="n">
        <v>26809</v>
      </c>
      <c r="G476" s="0" t="n">
        <v>12.0741137738305</v>
      </c>
      <c r="H476" s="0" t="s">
        <v>633</v>
      </c>
      <c r="I476" s="0" t="n">
        <v>0.965149176954732</v>
      </c>
      <c r="J476" s="0" t="n">
        <v>23317</v>
      </c>
      <c r="K476" s="0" t="n">
        <v>93</v>
      </c>
      <c r="L476" s="0" t="n">
        <v>155520</v>
      </c>
      <c r="M476" s="0" t="n">
        <v>154019</v>
      </c>
      <c r="N476" s="0" t="n">
        <v>132126</v>
      </c>
      <c r="O476" s="0" t="n">
        <v>0</v>
      </c>
      <c r="P476" s="0" t="s">
        <v>200</v>
      </c>
      <c r="Q476" s="0" t="n">
        <v>0</v>
      </c>
      <c r="R476" s="0" t="n">
        <v>2.28395268572195</v>
      </c>
      <c r="S476" s="0" t="n">
        <v>-32</v>
      </c>
      <c r="T476" s="0" t="n">
        <v>0</v>
      </c>
      <c r="U476" s="0" t="n">
        <v>0</v>
      </c>
      <c r="V476" s="0" t="n">
        <v>18.0162937093356</v>
      </c>
      <c r="W476" s="0" t="n">
        <v>20240331</v>
      </c>
      <c r="X476" s="0" t="n">
        <v>-0.0643345396059509</v>
      </c>
      <c r="Y476" s="0" t="n">
        <v>-0.59</v>
      </c>
      <c r="Z476" s="0" t="s">
        <v>123</v>
      </c>
      <c r="AA476" s="0" t="n">
        <f aca="false">IF(AND(ISNUMBER(B476),B476&gt;0,ISNUMBER(U476),U476&gt;=0,ISNUMBER(O476),O476&gt;=0),1,0)</f>
        <v>1</v>
      </c>
      <c r="AB476" s="0" t="n">
        <f aca="false">IF(AA476=1,U476+O476,0)</f>
        <v>0</v>
      </c>
      <c r="AC476" s="0" t="n">
        <f aca="false">IF(AA476=1,100*AB476/B476,"")</f>
        <v>0</v>
      </c>
      <c r="AD476" s="0" t="n">
        <f aca="false">IF(AND(AND(ISNUMBER(B476),B476=OriginalFinancials!B476),AND(ISNUMBER(U476),U476=OriginalFinancials!U476),AND(ISNUMBER(O476),O476=OriginalFinancials!O476)),0,1)</f>
        <v>0</v>
      </c>
      <c r="AE476" s="0" t="str">
        <f aca="false">IF(V476=0,"原始0：需核实适用/报告口径","")</f>
        <v/>
      </c>
    </row>
    <row r="477" customFormat="false" ht="15" hidden="false" customHeight="false" outlineLevel="0" collapsed="false">
      <c r="A477" s="0" t="n">
        <v>477</v>
      </c>
      <c r="B477" s="0" t="n">
        <v>93964</v>
      </c>
      <c r="C477" s="0" t="n">
        <v>59289</v>
      </c>
      <c r="D477" s="0" t="n">
        <v>74106</v>
      </c>
      <c r="E477" s="0" t="n">
        <v>0.65</v>
      </c>
      <c r="F477" s="0" t="n">
        <v>18864</v>
      </c>
      <c r="G477" s="0" t="n">
        <v>20.0757737005662</v>
      </c>
      <c r="H477" s="0" t="s">
        <v>634</v>
      </c>
      <c r="I477" s="0" t="n">
        <v>1.32408159680288</v>
      </c>
      <c r="J477" s="0" t="n">
        <v>25938</v>
      </c>
      <c r="K477" s="0" t="n">
        <v>0</v>
      </c>
      <c r="L477" s="0" t="n">
        <v>45541</v>
      </c>
      <c r="M477" s="0" t="n">
        <v>44938</v>
      </c>
      <c r="N477" s="0" t="n">
        <v>18119</v>
      </c>
      <c r="O477" s="0" t="n">
        <v>327</v>
      </c>
      <c r="P477" s="0" t="s">
        <v>364</v>
      </c>
      <c r="Q477" s="0" t="n">
        <v>0.718034298763751</v>
      </c>
      <c r="R477" s="0" t="n">
        <v>4.14001571851762</v>
      </c>
      <c r="S477" s="0" t="n">
        <v>0</v>
      </c>
      <c r="T477" s="0" t="n">
        <v>0</v>
      </c>
      <c r="U477" s="0" t="n">
        <v>0</v>
      </c>
      <c r="V477" s="0" t="n">
        <v>0</v>
      </c>
      <c r="W477" s="0" t="n">
        <v>20240331</v>
      </c>
      <c r="X477" s="0" t="n">
        <v>-1.65604118871675</v>
      </c>
      <c r="Y477" s="0" t="n">
        <v>-7.37</v>
      </c>
      <c r="Z477" s="0" t="s">
        <v>123</v>
      </c>
      <c r="AA477" s="0" t="n">
        <f aca="false">IF(AND(ISNUMBER(B477),B477&gt;0,ISNUMBER(U477),U477&gt;=0,ISNUMBER(O477),O477&gt;=0),1,0)</f>
        <v>1</v>
      </c>
      <c r="AB477" s="0" t="n">
        <f aca="false">IF(AA477=1,U477+O477,0)</f>
        <v>327</v>
      </c>
      <c r="AC477" s="0" t="n">
        <f aca="false">IF(AA477=1,100*AB477/B477,"")</f>
        <v>0.3480056191733</v>
      </c>
      <c r="AD477" s="0" t="n">
        <f aca="false">IF(AND(AND(ISNUMBER(B477),B477=OriginalFinancials!B477),AND(ISNUMBER(U477),U477=OriginalFinancials!U477),AND(ISNUMBER(O477),O477=OriginalFinancials!O477)),0,1)</f>
        <v>0</v>
      </c>
      <c r="AE477" s="0" t="str">
        <f aca="false">IF(V477=0,"原始0：需核实适用/报告口径","")</f>
        <v>原始0：需核实适用/报告口径</v>
      </c>
    </row>
    <row r="478" customFormat="false" ht="15" hidden="false" customHeight="false" outlineLevel="0" collapsed="false">
      <c r="A478" s="0" t="n">
        <v>478</v>
      </c>
      <c r="B478" s="0" t="n">
        <v>169806</v>
      </c>
      <c r="C478" s="0" t="n">
        <v>59298</v>
      </c>
      <c r="D478" s="0" t="n">
        <v>142779</v>
      </c>
      <c r="E478" s="0" t="n">
        <v>0.17</v>
      </c>
      <c r="F478" s="0" t="n">
        <v>26235</v>
      </c>
      <c r="G478" s="0" t="n">
        <v>15.4499840995018</v>
      </c>
      <c r="H478" s="0" t="s">
        <v>635</v>
      </c>
      <c r="I478" s="0" t="n">
        <v>0.79995287464656</v>
      </c>
      <c r="J478" s="0" t="n">
        <v>18628</v>
      </c>
      <c r="K478" s="0" t="n">
        <v>0</v>
      </c>
      <c r="L478" s="0" t="n">
        <v>84880</v>
      </c>
      <c r="M478" s="0" t="n">
        <v>84201</v>
      </c>
      <c r="N478" s="0" t="n">
        <v>66264</v>
      </c>
      <c r="O478" s="0" t="n">
        <v>0</v>
      </c>
      <c r="P478" s="0" t="s">
        <v>310</v>
      </c>
      <c r="Q478" s="0" t="n">
        <v>0</v>
      </c>
      <c r="R478" s="0" t="n">
        <v>2.25176342919154</v>
      </c>
      <c r="S478" s="0" t="n">
        <v>0</v>
      </c>
      <c r="T478" s="0" t="n">
        <v>0</v>
      </c>
      <c r="U478" s="0" t="n">
        <v>0</v>
      </c>
      <c r="V478" s="0" t="n">
        <v>0</v>
      </c>
      <c r="W478" s="0" t="n">
        <v>20240331</v>
      </c>
      <c r="X478" s="0" t="n">
        <v>-1.2766578313839</v>
      </c>
      <c r="Y478" s="0" t="n">
        <v>-7.84</v>
      </c>
      <c r="Z478" s="0" t="s">
        <v>112</v>
      </c>
      <c r="AA478" s="0" t="n">
        <f aca="false">IF(AND(ISNUMBER(B478),B478&gt;0,ISNUMBER(U478),U478&gt;=0,ISNUMBER(O478),O478&gt;=0),1,0)</f>
        <v>1</v>
      </c>
      <c r="AB478" s="0" t="n">
        <f aca="false">IF(AA478=1,U478+O478,0)</f>
        <v>0</v>
      </c>
      <c r="AC478" s="0" t="n">
        <f aca="false">IF(AA478=1,100*AB478/B478,"")</f>
        <v>0</v>
      </c>
      <c r="AD478" s="0" t="n">
        <f aca="false">IF(AND(AND(ISNUMBER(B478),B478=OriginalFinancials!B478),AND(ISNUMBER(U478),U478=OriginalFinancials!U478),AND(ISNUMBER(O478),O478=OriginalFinancials!O478)),0,1)</f>
        <v>0</v>
      </c>
      <c r="AE478" s="0" t="str">
        <f aca="false">IF(V478=0,"原始0：需核实适用/报告口径","")</f>
        <v>原始0：需核实适用/报告口径</v>
      </c>
    </row>
    <row r="479" customFormat="false" ht="15" hidden="false" customHeight="false" outlineLevel="0" collapsed="false">
      <c r="A479" s="0" t="n">
        <v>479</v>
      </c>
      <c r="B479" s="0" t="n">
        <v>1106658</v>
      </c>
      <c r="C479" s="0" t="n">
        <v>6271</v>
      </c>
      <c r="D479" s="0" t="n">
        <v>884850</v>
      </c>
      <c r="E479" s="0" t="n">
        <v>0.11</v>
      </c>
      <c r="F479" s="0" t="n">
        <v>101645</v>
      </c>
      <c r="G479" s="0" t="n">
        <v>9.18486108626152</v>
      </c>
      <c r="H479" s="0" t="s">
        <v>636</v>
      </c>
      <c r="I479" s="0" t="n">
        <v>1.15612267720566</v>
      </c>
      <c r="J479" s="0" t="n">
        <v>129701</v>
      </c>
      <c r="K479" s="0" t="n">
        <v>7634</v>
      </c>
      <c r="L479" s="0" t="n">
        <v>867382</v>
      </c>
      <c r="M479" s="0" t="n">
        <v>857354</v>
      </c>
      <c r="N479" s="0" t="n">
        <v>668396</v>
      </c>
      <c r="O479" s="0" t="n">
        <v>6384</v>
      </c>
      <c r="P479" s="0" t="s">
        <v>202</v>
      </c>
      <c r="Q479" s="0" t="n">
        <v>0.826740697870143</v>
      </c>
      <c r="R479" s="0" t="n">
        <v>3.32582939701992</v>
      </c>
      <c r="S479" s="0" t="n">
        <v>133</v>
      </c>
      <c r="T479" s="0" t="n">
        <v>2165</v>
      </c>
      <c r="U479" s="0" t="n">
        <v>787</v>
      </c>
      <c r="V479" s="0" t="n">
        <v>14.9516406498885</v>
      </c>
      <c r="W479" s="0" t="n">
        <v>20240331</v>
      </c>
      <c r="X479" s="0" t="n">
        <v>1.1249303947051</v>
      </c>
      <c r="Y479" s="0" t="n">
        <v>12.24</v>
      </c>
      <c r="Z479" s="0" t="s">
        <v>112</v>
      </c>
      <c r="AA479" s="0" t="n">
        <f aca="false">IF(AND(ISNUMBER(B479),B479&gt;0,ISNUMBER(U479),U479&gt;=0,ISNUMBER(O479),O479&gt;=0),1,0)</f>
        <v>1</v>
      </c>
      <c r="AB479" s="0" t="n">
        <f aca="false">IF(AA479=1,U479+O479,0)</f>
        <v>7171</v>
      </c>
      <c r="AC479" s="0" t="n">
        <f aca="false">IF(AA479=1,100*AB479/B479,"")</f>
        <v>0.647987002307849</v>
      </c>
      <c r="AD479" s="0" t="n">
        <f aca="false">IF(AND(AND(ISNUMBER(B479),B479=OriginalFinancials!B479),AND(ISNUMBER(U479),U479=OriginalFinancials!U479),AND(ISNUMBER(O479),O479=OriginalFinancials!O479)),0,1)</f>
        <v>0</v>
      </c>
      <c r="AE479" s="0" t="str">
        <f aca="false">IF(V479=0,"原始0：需核实适用/报告口径","")</f>
        <v/>
      </c>
    </row>
    <row r="480" customFormat="false" ht="15" hidden="false" customHeight="false" outlineLevel="0" collapsed="false">
      <c r="A480" s="0" t="n">
        <v>480</v>
      </c>
      <c r="B480" s="0" t="n">
        <v>560771</v>
      </c>
      <c r="C480" s="0" t="n">
        <v>6275</v>
      </c>
      <c r="D480" s="0" t="n">
        <v>481992</v>
      </c>
      <c r="E480" s="0" t="n">
        <v>0.02</v>
      </c>
      <c r="F480" s="0" t="n">
        <v>30328</v>
      </c>
      <c r="G480" s="0" t="n">
        <v>5.40826825923594</v>
      </c>
      <c r="H480" s="0" t="s">
        <v>637</v>
      </c>
      <c r="I480" s="0" t="n">
        <v>0.411599680549502</v>
      </c>
      <c r="J480" s="0" t="n">
        <v>38194</v>
      </c>
      <c r="K480" s="0" t="n">
        <v>11822</v>
      </c>
      <c r="L480" s="0" t="n">
        <v>341837</v>
      </c>
      <c r="M480" s="0" t="n">
        <v>340430</v>
      </c>
      <c r="N480" s="0" t="n">
        <v>282409</v>
      </c>
      <c r="O480" s="0" t="n">
        <v>1168</v>
      </c>
      <c r="P480" s="0" t="s">
        <v>204</v>
      </c>
      <c r="Q480" s="0" t="n">
        <v>0.460453373976486</v>
      </c>
      <c r="R480" s="0" t="n">
        <v>2.73703548739257</v>
      </c>
      <c r="S480" s="0" t="n">
        <v>0</v>
      </c>
      <c r="T480" s="0" t="n">
        <v>140</v>
      </c>
      <c r="U480" s="0" t="n">
        <v>406</v>
      </c>
      <c r="V480" s="0" t="n">
        <v>14.7583990455872</v>
      </c>
      <c r="W480" s="0" t="n">
        <v>20240331</v>
      </c>
      <c r="X480" s="0" t="n">
        <v>0.470857236620922</v>
      </c>
      <c r="Y480" s="0" t="n">
        <v>8.64</v>
      </c>
      <c r="Z480" s="0" t="s">
        <v>112</v>
      </c>
      <c r="AA480" s="0" t="n">
        <f aca="false">IF(AND(ISNUMBER(B480),B480&gt;0,ISNUMBER(U480),U480&gt;=0,ISNUMBER(O480),O480&gt;=0),1,0)</f>
        <v>1</v>
      </c>
      <c r="AB480" s="0" t="n">
        <f aca="false">IF(AA480=1,U480+O480,0)</f>
        <v>1574</v>
      </c>
      <c r="AC480" s="0" t="n">
        <f aca="false">IF(AA480=1,100*AB480/B480,"")</f>
        <v>0.280684985493187</v>
      </c>
      <c r="AD480" s="0" t="n">
        <f aca="false">IF(AND(AND(ISNUMBER(B480),B480=OriginalFinancials!B480),AND(ISNUMBER(U480),U480=OriginalFinancials!U480),AND(ISNUMBER(O480),O480=OriginalFinancials!O480)),0,1)</f>
        <v>0</v>
      </c>
      <c r="AE480" s="0" t="str">
        <f aca="false">IF(V480=0,"原始0：需核实适用/报告口径","")</f>
        <v/>
      </c>
    </row>
    <row r="481" customFormat="false" ht="15" hidden="false" customHeight="false" outlineLevel="0" collapsed="false">
      <c r="A481" s="0" t="n">
        <v>481</v>
      </c>
      <c r="B481" s="0" t="n">
        <v>78008</v>
      </c>
      <c r="C481" s="0" t="n">
        <v>6280</v>
      </c>
      <c r="D481" s="0" t="n">
        <v>68177</v>
      </c>
      <c r="E481" s="0" t="n">
        <v>0.02</v>
      </c>
      <c r="F481" s="0" t="n">
        <v>9657</v>
      </c>
      <c r="G481" s="0" t="n">
        <v>12.3794995385089</v>
      </c>
      <c r="H481" s="0" t="s">
        <v>638</v>
      </c>
      <c r="I481" s="0" t="n">
        <v>1.3355716662705</v>
      </c>
      <c r="J481" s="0" t="n">
        <v>4453</v>
      </c>
      <c r="K481" s="0" t="n">
        <v>1569</v>
      </c>
      <c r="L481" s="0" t="n">
        <v>67312</v>
      </c>
      <c r="M481" s="0" t="n">
        <v>66413</v>
      </c>
      <c r="N481" s="0" t="n">
        <v>59060</v>
      </c>
      <c r="O481" s="0" t="n">
        <v>1333</v>
      </c>
      <c r="P481" s="0" t="s">
        <v>206</v>
      </c>
      <c r="Q481" s="0" t="n">
        <v>1.98033040171143</v>
      </c>
      <c r="R481" s="0" t="n">
        <v>4.7369521381701</v>
      </c>
      <c r="S481" s="0" t="n">
        <v>0</v>
      </c>
      <c r="T481" s="0" t="n">
        <v>398</v>
      </c>
      <c r="U481" s="0" t="n">
        <v>0</v>
      </c>
      <c r="V481" s="0" t="n">
        <v>0</v>
      </c>
      <c r="W481" s="0" t="n">
        <v>20240331</v>
      </c>
      <c r="X481" s="0" t="n">
        <v>1.43833520350913</v>
      </c>
      <c r="Y481" s="0" t="n">
        <v>11.85</v>
      </c>
      <c r="Z481" s="0" t="s">
        <v>112</v>
      </c>
      <c r="AA481" s="0" t="n">
        <f aca="false">IF(AND(ISNUMBER(B481),B481&gt;0,ISNUMBER(U481),U481&gt;=0,ISNUMBER(O481),O481&gt;=0),1,0)</f>
        <v>1</v>
      </c>
      <c r="AB481" s="0" t="n">
        <f aca="false">IF(AA481=1,U481+O481,0)</f>
        <v>1333</v>
      </c>
      <c r="AC481" s="0" t="n">
        <f aca="false">IF(AA481=1,100*AB481/B481,"")</f>
        <v>1.70879909752846</v>
      </c>
      <c r="AD481" s="0" t="n">
        <f aca="false">IF(AND(AND(ISNUMBER(B481),B481=OriginalFinancials!B481),AND(ISNUMBER(U481),U481=OriginalFinancials!U481),AND(ISNUMBER(O481),O481=OriginalFinancials!O481)),0,1)</f>
        <v>0</v>
      </c>
      <c r="AE481" s="0" t="str">
        <f aca="false">IF(V481=0,"原始0：需核实适用/报告口径","")</f>
        <v>原始0：需核实适用/报告口径</v>
      </c>
    </row>
    <row r="482" customFormat="false" ht="15" hidden="false" customHeight="false" outlineLevel="0" collapsed="false">
      <c r="A482" s="0" t="n">
        <v>482</v>
      </c>
      <c r="B482" s="0" t="n">
        <v>4030143</v>
      </c>
      <c r="C482" s="0" t="n">
        <v>11971</v>
      </c>
      <c r="D482" s="0" t="n">
        <v>3147483</v>
      </c>
      <c r="E482" s="0" t="n">
        <v>0.03</v>
      </c>
      <c r="F482" s="0" t="n">
        <v>493698</v>
      </c>
      <c r="G482" s="0" t="n">
        <v>12.2501360373565</v>
      </c>
      <c r="H482" s="0" t="s">
        <v>639</v>
      </c>
      <c r="I482" s="0" t="n">
        <v>0.940491389231756</v>
      </c>
      <c r="J482" s="0" t="n">
        <v>217956</v>
      </c>
      <c r="K482" s="0" t="n">
        <v>8227</v>
      </c>
      <c r="L482" s="0" t="n">
        <v>3068077</v>
      </c>
      <c r="M482" s="0" t="n">
        <v>3039222</v>
      </c>
      <c r="N482" s="0" t="n">
        <v>2699076</v>
      </c>
      <c r="O482" s="0" t="n">
        <v>6276</v>
      </c>
      <c r="P482" s="0" t="s">
        <v>104</v>
      </c>
      <c r="Q482" s="0" t="n">
        <v>0.205666285428951</v>
      </c>
      <c r="R482" s="0" t="n">
        <v>3.22079982739227</v>
      </c>
      <c r="S482" s="0" t="n">
        <v>161</v>
      </c>
      <c r="T482" s="0" t="n">
        <v>1636</v>
      </c>
      <c r="U482" s="0" t="n">
        <v>34</v>
      </c>
      <c r="V482" s="0" t="n">
        <v>14.1219990069339</v>
      </c>
      <c r="W482" s="0" t="n">
        <v>20240630</v>
      </c>
      <c r="X482" s="0" t="n">
        <v>1.18607846053742</v>
      </c>
      <c r="Y482" s="0" t="n">
        <v>9.68</v>
      </c>
      <c r="Z482" s="0" t="s">
        <v>105</v>
      </c>
      <c r="AA482" s="0" t="n">
        <f aca="false">IF(AND(ISNUMBER(B482),B482&gt;0,ISNUMBER(U482),U482&gt;=0,ISNUMBER(O482),O482&gt;=0),1,0)</f>
        <v>1</v>
      </c>
      <c r="AB482" s="0" t="n">
        <f aca="false">IF(AA482=1,U482+O482,0)</f>
        <v>6310</v>
      </c>
      <c r="AC482" s="0" t="n">
        <f aca="false">IF(AA482=1,100*AB482/B482,"")</f>
        <v>0.156570126667962</v>
      </c>
      <c r="AD482" s="0" t="n">
        <f aca="false">IF(AND(AND(ISNUMBER(B482),B482=OriginalFinancials!B482),AND(ISNUMBER(U482),U482=OriginalFinancials!U482),AND(ISNUMBER(O482),O482=OriginalFinancials!O482)),0,1)</f>
        <v>0</v>
      </c>
      <c r="AE482" s="0" t="str">
        <f aca="false">IF(V482=0,"原始0：需核实适用/报告口径","")</f>
        <v/>
      </c>
    </row>
    <row r="483" customFormat="false" ht="15" hidden="false" customHeight="false" outlineLevel="0" collapsed="false">
      <c r="A483" s="0" t="n">
        <v>483</v>
      </c>
      <c r="B483" s="0" t="n">
        <v>1036850</v>
      </c>
      <c r="C483" s="0" t="n">
        <v>12874</v>
      </c>
      <c r="D483" s="0" t="n">
        <v>862144</v>
      </c>
      <c r="E483" s="0" t="n">
        <v>0</v>
      </c>
      <c r="F483" s="0" t="n">
        <v>108474</v>
      </c>
      <c r="G483" s="0" t="n">
        <v>10.4618797318802</v>
      </c>
      <c r="H483" s="0" t="s">
        <v>640</v>
      </c>
      <c r="I483" s="0" t="n">
        <v>0.984456403258062</v>
      </c>
      <c r="J483" s="0" t="n">
        <v>156322</v>
      </c>
      <c r="K483" s="0" t="n">
        <v>5026</v>
      </c>
      <c r="L483" s="0" t="n">
        <v>815577</v>
      </c>
      <c r="M483" s="0" t="n">
        <v>807548</v>
      </c>
      <c r="N483" s="0" t="n">
        <v>639776</v>
      </c>
      <c r="O483" s="0" t="n">
        <v>1516</v>
      </c>
      <c r="P483" s="0" t="s">
        <v>107</v>
      </c>
      <c r="Q483" s="0" t="n">
        <v>0.185880670985082</v>
      </c>
      <c r="R483" s="0" t="n">
        <v>3.63376838650805</v>
      </c>
      <c r="S483" s="0" t="n">
        <v>-27</v>
      </c>
      <c r="T483" s="0" t="n">
        <v>749</v>
      </c>
      <c r="U483" s="0" t="n">
        <v>0</v>
      </c>
      <c r="V483" s="0" t="n">
        <v>15.9291126336225</v>
      </c>
      <c r="W483" s="0" t="n">
        <v>20240630</v>
      </c>
      <c r="X483" s="0" t="n">
        <v>0.873634279818951</v>
      </c>
      <c r="Y483" s="0" t="n">
        <v>8.39</v>
      </c>
      <c r="Z483" s="0" t="s">
        <v>105</v>
      </c>
      <c r="AA483" s="0" t="n">
        <f aca="false">IF(AND(ISNUMBER(B483),B483&gt;0,ISNUMBER(U483),U483&gt;=0,ISNUMBER(O483),O483&gt;=0),1,0)</f>
        <v>1</v>
      </c>
      <c r="AB483" s="0" t="n">
        <f aca="false">IF(AA483=1,U483+O483,0)</f>
        <v>1516</v>
      </c>
      <c r="AC483" s="0" t="n">
        <f aca="false">IF(AA483=1,100*AB483/B483,"")</f>
        <v>0.146212084679558</v>
      </c>
      <c r="AD483" s="0" t="n">
        <f aca="false">IF(AND(AND(ISNUMBER(B483),B483=OriginalFinancials!B483),AND(ISNUMBER(U483),U483=OriginalFinancials!U483),AND(ISNUMBER(O483),O483=OriginalFinancials!O483)),0,1)</f>
        <v>0</v>
      </c>
      <c r="AE483" s="0" t="str">
        <f aca="false">IF(V483=0,"原始0：需核实适用/报告口径","")</f>
        <v/>
      </c>
    </row>
    <row r="484" customFormat="false" ht="15" hidden="false" customHeight="false" outlineLevel="0" collapsed="false">
      <c r="A484" s="0" t="n">
        <v>484</v>
      </c>
      <c r="B484" s="0" t="n">
        <v>1848882</v>
      </c>
      <c r="C484" s="0" t="n">
        <v>13063</v>
      </c>
      <c r="D484" s="0" t="n">
        <v>1607298</v>
      </c>
      <c r="E484" s="0" t="n">
        <v>0</v>
      </c>
      <c r="F484" s="0" t="n">
        <v>147977</v>
      </c>
      <c r="G484" s="0" t="n">
        <v>8.00359352300471</v>
      </c>
      <c r="H484" s="0" t="s">
        <v>641</v>
      </c>
      <c r="I484" s="0" t="n">
        <v>1.12241046930303</v>
      </c>
      <c r="J484" s="0" t="n">
        <v>55491</v>
      </c>
      <c r="K484" s="0" t="n">
        <v>738</v>
      </c>
      <c r="L484" s="0" t="n">
        <v>1470585</v>
      </c>
      <c r="M484" s="0" t="n">
        <v>1454079</v>
      </c>
      <c r="N484" s="0" t="n">
        <v>1404637</v>
      </c>
      <c r="O484" s="0" t="n">
        <v>701</v>
      </c>
      <c r="P484" s="0" t="s">
        <v>109</v>
      </c>
      <c r="Q484" s="0" t="n">
        <v>0.0476681048698307</v>
      </c>
      <c r="R484" s="0" t="n">
        <v>2.96664932851109</v>
      </c>
      <c r="S484" s="0" t="n">
        <v>-17</v>
      </c>
      <c r="T484" s="0" t="n">
        <v>5182</v>
      </c>
      <c r="U484" s="0" t="n">
        <v>0</v>
      </c>
      <c r="V484" s="0" t="n">
        <v>0</v>
      </c>
      <c r="W484" s="0" t="n">
        <v>20240630</v>
      </c>
      <c r="X484" s="0" t="n">
        <v>0.367034339548908</v>
      </c>
      <c r="Y484" s="0" t="n">
        <v>4.6</v>
      </c>
      <c r="Z484" s="0" t="s">
        <v>105</v>
      </c>
      <c r="AA484" s="0" t="n">
        <f aca="false">IF(AND(ISNUMBER(B484),B484&gt;0,ISNUMBER(U484),U484&gt;=0,ISNUMBER(O484),O484&gt;=0),1,0)</f>
        <v>1</v>
      </c>
      <c r="AB484" s="0" t="n">
        <f aca="false">IF(AA484=1,U484+O484,0)</f>
        <v>701</v>
      </c>
      <c r="AC484" s="0" t="n">
        <f aca="false">IF(AA484=1,100*AB484/B484,"")</f>
        <v>0.0379148047306426</v>
      </c>
      <c r="AD484" s="0" t="n">
        <f aca="false">IF(AND(AND(ISNUMBER(B484),B484=OriginalFinancials!B484),AND(ISNUMBER(U484),U484=OriginalFinancials!U484),AND(ISNUMBER(O484),O484=OriginalFinancials!O484)),0,1)</f>
        <v>0</v>
      </c>
      <c r="AE484" s="0" t="str">
        <f aca="false">IF(V484=0,"原始0：需核实适用/报告口径","")</f>
        <v>原始0：需核实适用/报告口径</v>
      </c>
    </row>
    <row r="485" customFormat="false" ht="15" hidden="false" customHeight="false" outlineLevel="0" collapsed="false">
      <c r="A485" s="0" t="n">
        <v>485</v>
      </c>
      <c r="B485" s="0" t="n">
        <v>842999</v>
      </c>
      <c r="C485" s="0" t="n">
        <v>14134</v>
      </c>
      <c r="D485" s="0" t="n">
        <v>661992</v>
      </c>
      <c r="E485" s="0" t="n">
        <v>0.09</v>
      </c>
      <c r="F485" s="0" t="n">
        <v>108954</v>
      </c>
      <c r="G485" s="0" t="n">
        <v>12.9245704917799</v>
      </c>
      <c r="H485" s="0" t="s">
        <v>642</v>
      </c>
      <c r="I485" s="0" t="n">
        <v>1.17521027903694</v>
      </c>
      <c r="J485" s="0" t="n">
        <v>25715</v>
      </c>
      <c r="K485" s="0" t="n">
        <v>23101</v>
      </c>
      <c r="L485" s="0" t="n">
        <v>629164</v>
      </c>
      <c r="M485" s="0" t="n">
        <v>621770</v>
      </c>
      <c r="N485" s="0" t="n">
        <v>563428</v>
      </c>
      <c r="O485" s="0" t="n">
        <v>9888</v>
      </c>
      <c r="P485" s="0" t="s">
        <v>111</v>
      </c>
      <c r="Q485" s="0" t="n">
        <v>1.57160931013218</v>
      </c>
      <c r="R485" s="0" t="n">
        <v>3.05636859777717</v>
      </c>
      <c r="S485" s="0" t="n">
        <v>256</v>
      </c>
      <c r="T485" s="0" t="n">
        <v>4284</v>
      </c>
      <c r="U485" s="0" t="n">
        <v>0</v>
      </c>
      <c r="V485" s="0" t="n">
        <v>19.8068345450076</v>
      </c>
      <c r="W485" s="0" t="n">
        <v>20240630</v>
      </c>
      <c r="X485" s="0" t="n">
        <v>0.900954458964721</v>
      </c>
      <c r="Y485" s="0" t="n">
        <v>7.09</v>
      </c>
      <c r="Z485" s="0" t="s">
        <v>112</v>
      </c>
      <c r="AA485" s="0" t="n">
        <f aca="false">IF(AND(ISNUMBER(B485),B485&gt;0,ISNUMBER(U485),U485&gt;=0,ISNUMBER(O485),O485&gt;=0),1,0)</f>
        <v>1</v>
      </c>
      <c r="AB485" s="0" t="n">
        <f aca="false">IF(AA485=1,U485+O485,0)</f>
        <v>9888</v>
      </c>
      <c r="AC485" s="0" t="n">
        <f aca="false">IF(AA485=1,100*AB485/B485,"")</f>
        <v>1.17295512806065</v>
      </c>
      <c r="AD485" s="0" t="n">
        <f aca="false">IF(AND(AND(ISNUMBER(B485),B485=OriginalFinancials!B485),AND(ISNUMBER(U485),U485=OriginalFinancials!U485),AND(ISNUMBER(O485),O485=OriginalFinancials!O485)),0,1)</f>
        <v>0</v>
      </c>
      <c r="AE485" s="0" t="str">
        <f aca="false">IF(V485=0,"原始0：需核实适用/报告口径","")</f>
        <v/>
      </c>
    </row>
    <row r="486" customFormat="false" ht="15" hidden="false" customHeight="false" outlineLevel="0" collapsed="false">
      <c r="A486" s="0" t="n">
        <v>486</v>
      </c>
      <c r="B486" s="0" t="n">
        <v>234689</v>
      </c>
      <c r="C486" s="0" t="n">
        <v>14136</v>
      </c>
      <c r="D486" s="0" t="n">
        <v>196106</v>
      </c>
      <c r="E486" s="0" t="n">
        <v>-0.05</v>
      </c>
      <c r="F486" s="0" t="n">
        <v>18072</v>
      </c>
      <c r="G486" s="0" t="n">
        <v>7.70040351273387</v>
      </c>
      <c r="H486" s="0" t="s">
        <v>643</v>
      </c>
      <c r="I486" s="0" t="n">
        <v>1.10004431001599</v>
      </c>
      <c r="J486" s="0" t="n">
        <v>15081</v>
      </c>
      <c r="K486" s="0" t="n">
        <v>14888</v>
      </c>
      <c r="L486" s="0" t="n">
        <v>155721</v>
      </c>
      <c r="M486" s="0" t="n">
        <v>154008</v>
      </c>
      <c r="N486" s="0" t="n">
        <v>125414</v>
      </c>
      <c r="O486" s="0" t="n">
        <v>483</v>
      </c>
      <c r="P486" s="0" t="s">
        <v>114</v>
      </c>
      <c r="Q486" s="0" t="n">
        <v>0.484199305167575</v>
      </c>
      <c r="R486" s="0" t="n">
        <v>3.75543484022213</v>
      </c>
      <c r="S486" s="0" t="n">
        <v>107</v>
      </c>
      <c r="T486" s="0" t="n">
        <v>1456</v>
      </c>
      <c r="U486" s="0" t="n">
        <v>271</v>
      </c>
      <c r="V486" s="0" t="n">
        <v>17.8729116356195</v>
      </c>
      <c r="W486" s="0" t="n">
        <v>20240630</v>
      </c>
      <c r="X486" s="0" t="n">
        <v>0.61382201704967</v>
      </c>
      <c r="Y486" s="0" t="n">
        <v>8.28</v>
      </c>
      <c r="Z486" s="0" t="s">
        <v>112</v>
      </c>
      <c r="AA486" s="0" t="n">
        <f aca="false">IF(AND(ISNUMBER(B486),B486&gt;0,ISNUMBER(U486),U486&gt;=0,ISNUMBER(O486),O486&gt;=0),1,0)</f>
        <v>1</v>
      </c>
      <c r="AB486" s="0" t="n">
        <f aca="false">IF(AA486=1,U486+O486,0)</f>
        <v>754</v>
      </c>
      <c r="AC486" s="0" t="n">
        <f aca="false">IF(AA486=1,100*AB486/B486,"")</f>
        <v>0.321276242175816</v>
      </c>
      <c r="AD486" s="0" t="n">
        <f aca="false">IF(AND(AND(ISNUMBER(B486),B486=OriginalFinancials!B486),AND(ISNUMBER(U486),U486=OriginalFinancials!U486),AND(ISNUMBER(O486),O486=OriginalFinancials!O486)),0,1)</f>
        <v>0</v>
      </c>
      <c r="AE486" s="0" t="str">
        <f aca="false">IF(V486=0,"原始0：需核实适用/报告口径","")</f>
        <v/>
      </c>
    </row>
    <row r="487" customFormat="false" ht="15" hidden="false" customHeight="false" outlineLevel="0" collapsed="false">
      <c r="A487" s="0" t="n">
        <v>487</v>
      </c>
      <c r="B487" s="0" t="n">
        <v>1498757</v>
      </c>
      <c r="C487" s="0" t="n">
        <v>14140</v>
      </c>
      <c r="D487" s="0" t="n">
        <v>1198797</v>
      </c>
      <c r="E487" s="0" t="n">
        <v>-0.07</v>
      </c>
      <c r="F487" s="0" t="n">
        <v>127558</v>
      </c>
      <c r="G487" s="0" t="n">
        <v>8.5109193818611</v>
      </c>
      <c r="H487" s="0" t="s">
        <v>644</v>
      </c>
      <c r="I487" s="0" t="n">
        <v>0.795551451667741</v>
      </c>
      <c r="J487" s="0" t="n">
        <v>93355</v>
      </c>
      <c r="K487" s="0" t="n">
        <v>1569</v>
      </c>
      <c r="L487" s="0" t="n">
        <v>1076486</v>
      </c>
      <c r="M487" s="0" t="n">
        <v>1067922</v>
      </c>
      <c r="N487" s="0" t="n">
        <v>949990</v>
      </c>
      <c r="O487" s="0" t="n">
        <v>2046</v>
      </c>
      <c r="P487" s="0" t="s">
        <v>116</v>
      </c>
      <c r="Q487" s="0" t="n">
        <v>0.190062852652055</v>
      </c>
      <c r="R487" s="0" t="n">
        <v>2.37450563986306</v>
      </c>
      <c r="S487" s="0" t="n">
        <v>39</v>
      </c>
      <c r="T487" s="0" t="n">
        <v>23</v>
      </c>
      <c r="U487" s="0" t="n">
        <v>0</v>
      </c>
      <c r="V487" s="0" t="n">
        <v>0</v>
      </c>
      <c r="W487" s="0" t="n">
        <v>20240630</v>
      </c>
      <c r="X487" s="0" t="n">
        <v>0.291683814744817</v>
      </c>
      <c r="Y487" s="0" t="n">
        <v>3.46</v>
      </c>
      <c r="Z487" s="0" t="s">
        <v>112</v>
      </c>
      <c r="AA487" s="0" t="n">
        <f aca="false">IF(AND(ISNUMBER(B487),B487&gt;0,ISNUMBER(U487),U487&gt;=0,ISNUMBER(O487),O487&gt;=0),1,0)</f>
        <v>1</v>
      </c>
      <c r="AB487" s="0" t="n">
        <f aca="false">IF(AA487=1,U487+O487,0)</f>
        <v>2046</v>
      </c>
      <c r="AC487" s="0" t="n">
        <f aca="false">IF(AA487=1,100*AB487/B487,"")</f>
        <v>0.136513123875318</v>
      </c>
      <c r="AD487" s="0" t="n">
        <f aca="false">IF(AND(AND(ISNUMBER(B487),B487=OriginalFinancials!B487),AND(ISNUMBER(U487),U487=OriginalFinancials!U487),AND(ISNUMBER(O487),O487=OriginalFinancials!O487)),0,1)</f>
        <v>0</v>
      </c>
      <c r="AE487" s="0" t="str">
        <f aca="false">IF(V487=0,"原始0：需核实适用/报告口径","")</f>
        <v>原始0：需核实适用/报告口径</v>
      </c>
    </row>
    <row r="488" customFormat="false" ht="15" hidden="false" customHeight="false" outlineLevel="0" collapsed="false">
      <c r="A488" s="0" t="n">
        <v>488</v>
      </c>
      <c r="B488" s="0" t="n">
        <v>1397831</v>
      </c>
      <c r="C488" s="0" t="n">
        <v>14158</v>
      </c>
      <c r="D488" s="0" t="n">
        <v>1057053</v>
      </c>
      <c r="E488" s="0" t="n">
        <v>0.02</v>
      </c>
      <c r="F488" s="0" t="n">
        <v>80058</v>
      </c>
      <c r="G488" s="0" t="n">
        <v>5.72730179828606</v>
      </c>
      <c r="H488" s="0" t="s">
        <v>645</v>
      </c>
      <c r="I488" s="0" t="n">
        <v>0.679686513946737</v>
      </c>
      <c r="J488" s="0" t="n">
        <v>40549</v>
      </c>
      <c r="K488" s="0" t="n">
        <v>2209</v>
      </c>
      <c r="L488" s="0" t="n">
        <v>1014144</v>
      </c>
      <c r="M488" s="0" t="n">
        <v>1007251</v>
      </c>
      <c r="N488" s="0" t="n">
        <v>936491</v>
      </c>
      <c r="O488" s="0" t="n">
        <v>1771</v>
      </c>
      <c r="P488" s="0" t="s">
        <v>118</v>
      </c>
      <c r="Q488" s="0" t="n">
        <v>0.190111069039505</v>
      </c>
      <c r="R488" s="0" t="n">
        <v>2.84016956010422</v>
      </c>
      <c r="S488" s="0" t="n">
        <v>-11</v>
      </c>
      <c r="T488" s="0" t="n">
        <v>579</v>
      </c>
      <c r="U488" s="0" t="n">
        <v>157</v>
      </c>
      <c r="V488" s="0" t="n">
        <v>13.1336578060651</v>
      </c>
      <c r="W488" s="0" t="n">
        <v>20240630</v>
      </c>
      <c r="X488" s="0" t="n">
        <v>0.687930744662969</v>
      </c>
      <c r="Y488" s="0" t="n">
        <v>12.18</v>
      </c>
      <c r="Z488" s="0" t="s">
        <v>112</v>
      </c>
      <c r="AA488" s="0" t="n">
        <f aca="false">IF(AND(ISNUMBER(B488),B488&gt;0,ISNUMBER(U488),U488&gt;=0,ISNUMBER(O488),O488&gt;=0),1,0)</f>
        <v>1</v>
      </c>
      <c r="AB488" s="0" t="n">
        <f aca="false">IF(AA488=1,U488+O488,0)</f>
        <v>1928</v>
      </c>
      <c r="AC488" s="0" t="n">
        <f aca="false">IF(AA488=1,100*AB488/B488,"")</f>
        <v>0.137927975556416</v>
      </c>
      <c r="AD488" s="0" t="n">
        <f aca="false">IF(AND(AND(ISNUMBER(B488),B488=OriginalFinancials!B488),AND(ISNUMBER(U488),U488=OriginalFinancials!U488),AND(ISNUMBER(O488),O488=OriginalFinancials!O488)),0,1)</f>
        <v>0</v>
      </c>
      <c r="AE488" s="0" t="str">
        <f aca="false">IF(V488=0,"原始0：需核实适用/报告口径","")</f>
        <v/>
      </c>
    </row>
    <row r="489" customFormat="false" ht="15" hidden="false" customHeight="false" outlineLevel="0" collapsed="false">
      <c r="A489" s="0" t="n">
        <v>489</v>
      </c>
      <c r="B489" s="0" t="n">
        <v>371774</v>
      </c>
      <c r="C489" s="0" t="n">
        <v>14168</v>
      </c>
      <c r="D489" s="0" t="n">
        <v>330926</v>
      </c>
      <c r="E489" s="0" t="n">
        <v>0.07</v>
      </c>
      <c r="F489" s="0" t="n">
        <v>35832</v>
      </c>
      <c r="G489" s="0" t="n">
        <v>9.63811347754281</v>
      </c>
      <c r="H489" s="0" t="s">
        <v>646</v>
      </c>
      <c r="I489" s="0" t="n">
        <v>1.56174320288932</v>
      </c>
      <c r="J489" s="0" t="n">
        <v>12486</v>
      </c>
      <c r="K489" s="0" t="n">
        <v>10566</v>
      </c>
      <c r="L489" s="0" t="n">
        <v>262207</v>
      </c>
      <c r="M489" s="0" t="n">
        <v>258112</v>
      </c>
      <c r="N489" s="0" t="n">
        <v>222296</v>
      </c>
      <c r="O489" s="0" t="n">
        <v>1042</v>
      </c>
      <c r="P489" s="0" t="s">
        <v>120</v>
      </c>
      <c r="Q489" s="0" t="n">
        <v>0.39777732859916</v>
      </c>
      <c r="R489" s="0" t="n">
        <v>4.04893048233613</v>
      </c>
      <c r="S489" s="0" t="n">
        <v>35</v>
      </c>
      <c r="T489" s="0" t="n">
        <v>415</v>
      </c>
      <c r="U489" s="0" t="n">
        <v>1</v>
      </c>
      <c r="V489" s="0" t="n">
        <v>16.1143275437546</v>
      </c>
      <c r="W489" s="0" t="n">
        <v>20240630</v>
      </c>
      <c r="X489" s="0" t="n">
        <v>0.916620469726825</v>
      </c>
      <c r="Y489" s="0" t="n">
        <v>9.42</v>
      </c>
      <c r="Z489" s="0" t="s">
        <v>112</v>
      </c>
      <c r="AA489" s="0" t="n">
        <f aca="false">IF(AND(ISNUMBER(B489),B489&gt;0,ISNUMBER(U489),U489&gt;=0,ISNUMBER(O489),O489&gt;=0),1,0)</f>
        <v>1</v>
      </c>
      <c r="AB489" s="0" t="n">
        <f aca="false">IF(AA489=1,U489+O489,0)</f>
        <v>1043</v>
      </c>
      <c r="AC489" s="0" t="n">
        <f aca="false">IF(AA489=1,100*AB489/B489,"")</f>
        <v>0.280546783798759</v>
      </c>
      <c r="AD489" s="0" t="n">
        <f aca="false">IF(AND(AND(ISNUMBER(B489),B489=OriginalFinancials!B489),AND(ISNUMBER(U489),U489=OriginalFinancials!U489),AND(ISNUMBER(O489),O489=OriginalFinancials!O489)),0,1)</f>
        <v>0</v>
      </c>
      <c r="AE489" s="0" t="str">
        <f aca="false">IF(V489=0,"原始0：需核实适用/报告口径","")</f>
        <v/>
      </c>
    </row>
    <row r="490" customFormat="false" ht="15" hidden="false" customHeight="false" outlineLevel="0" collapsed="false">
      <c r="A490" s="0" t="n">
        <v>490</v>
      </c>
      <c r="B490" s="0" t="n">
        <v>1270696</v>
      </c>
      <c r="C490" s="0" t="n">
        <v>14240</v>
      </c>
      <c r="D490" s="0" t="n">
        <v>1022140</v>
      </c>
      <c r="E490" s="0" t="n">
        <v>0</v>
      </c>
      <c r="F490" s="0" t="n">
        <v>88523</v>
      </c>
      <c r="G490" s="0" t="n">
        <v>6.96649710080145</v>
      </c>
      <c r="H490" s="0" t="s">
        <v>647</v>
      </c>
      <c r="I490" s="0" t="n">
        <v>1.15043325284062</v>
      </c>
      <c r="J490" s="0" t="n">
        <v>30527</v>
      </c>
      <c r="K490" s="0" t="n">
        <v>14400</v>
      </c>
      <c r="L490" s="0" t="n">
        <v>930519</v>
      </c>
      <c r="M490" s="0" t="n">
        <v>919814</v>
      </c>
      <c r="N490" s="0" t="n">
        <v>787415</v>
      </c>
      <c r="O490" s="0" t="n">
        <v>3555</v>
      </c>
      <c r="P490" s="0" t="s">
        <v>122</v>
      </c>
      <c r="Q490" s="0" t="n">
        <v>0.382044858836843</v>
      </c>
      <c r="R490" s="0" t="n">
        <v>2.71037129489864</v>
      </c>
      <c r="S490" s="0" t="n">
        <v>-9</v>
      </c>
      <c r="T490" s="0" t="n">
        <v>671</v>
      </c>
      <c r="U490" s="0" t="n">
        <v>0</v>
      </c>
      <c r="V490" s="0" t="n">
        <v>16.0006617207284</v>
      </c>
      <c r="W490" s="0" t="n">
        <v>20240630</v>
      </c>
      <c r="X490" s="0" t="n">
        <v>0.413870322740833</v>
      </c>
      <c r="Y490" s="0" t="n">
        <v>5.89</v>
      </c>
      <c r="Z490" s="0" t="s">
        <v>123</v>
      </c>
      <c r="AA490" s="0" t="n">
        <f aca="false">IF(AND(ISNUMBER(B490),B490&gt;0,ISNUMBER(U490),U490&gt;=0,ISNUMBER(O490),O490&gt;=0),1,0)</f>
        <v>1</v>
      </c>
      <c r="AB490" s="0" t="n">
        <f aca="false">IF(AA490=1,U490+O490,0)</f>
        <v>3555</v>
      </c>
      <c r="AC490" s="0" t="n">
        <f aca="false">IF(AA490=1,100*AB490/B490,"")</f>
        <v>0.279767938200797</v>
      </c>
      <c r="AD490" s="0" t="n">
        <f aca="false">IF(AND(AND(ISNUMBER(B490),B490=OriginalFinancials!B490),AND(ISNUMBER(U490),U490=OriginalFinancials!U490),AND(ISNUMBER(O490),O490=OriginalFinancials!O490)),0,1)</f>
        <v>0</v>
      </c>
      <c r="AE490" s="0" t="str">
        <f aca="false">IF(V490=0,"原始0：需核实适用/报告口径","")</f>
        <v/>
      </c>
    </row>
    <row r="491" customFormat="false" ht="15" hidden="false" customHeight="false" outlineLevel="0" collapsed="false">
      <c r="A491" s="0" t="n">
        <v>491</v>
      </c>
      <c r="B491" s="0" t="n">
        <v>1071403</v>
      </c>
      <c r="C491" s="0" t="n">
        <v>17115</v>
      </c>
      <c r="D491" s="0" t="n">
        <v>787661</v>
      </c>
      <c r="E491" s="0" t="n">
        <v>0.02</v>
      </c>
      <c r="F491" s="0" t="n">
        <v>89467</v>
      </c>
      <c r="G491" s="0" t="n">
        <v>8.35045263080279</v>
      </c>
      <c r="H491" s="0" t="s">
        <v>648</v>
      </c>
      <c r="I491" s="0" t="n">
        <v>1.00108309873653</v>
      </c>
      <c r="J491" s="0" t="n">
        <v>41618</v>
      </c>
      <c r="K491" s="0" t="n">
        <v>7168</v>
      </c>
      <c r="L491" s="0" t="n">
        <v>893732</v>
      </c>
      <c r="M491" s="0" t="n">
        <v>884785</v>
      </c>
      <c r="N491" s="0" t="n">
        <v>843758</v>
      </c>
      <c r="O491" s="0" t="n">
        <v>2433</v>
      </c>
      <c r="P491" s="0" t="s">
        <v>125</v>
      </c>
      <c r="Q491" s="0" t="n">
        <v>0.272229258882976</v>
      </c>
      <c r="R491" s="0" t="n">
        <v>2.58286310414264</v>
      </c>
      <c r="S491" s="0" t="n">
        <v>47</v>
      </c>
      <c r="T491" s="0" t="n">
        <v>414</v>
      </c>
      <c r="U491" s="0" t="n">
        <v>0</v>
      </c>
      <c r="V491" s="0" t="n">
        <v>14.2345042759811</v>
      </c>
      <c r="W491" s="0" t="n">
        <v>20240630</v>
      </c>
      <c r="X491" s="0" t="n">
        <v>0.369675963044738</v>
      </c>
      <c r="Y491" s="0" t="n">
        <v>4.52</v>
      </c>
      <c r="Z491" s="0" t="s">
        <v>105</v>
      </c>
      <c r="AA491" s="0" t="n">
        <f aca="false">IF(AND(ISNUMBER(B491),B491&gt;0,ISNUMBER(U491),U491&gt;=0,ISNUMBER(O491),O491&gt;=0),1,0)</f>
        <v>1</v>
      </c>
      <c r="AB491" s="0" t="n">
        <f aca="false">IF(AA491=1,U491+O491,0)</f>
        <v>2433</v>
      </c>
      <c r="AC491" s="0" t="n">
        <f aca="false">IF(AA491=1,100*AB491/B491,"")</f>
        <v>0.227085419772019</v>
      </c>
      <c r="AD491" s="0" t="n">
        <f aca="false">IF(AND(AND(ISNUMBER(B491),B491=OriginalFinancials!B491),AND(ISNUMBER(U491),U491=OriginalFinancials!U491),AND(ISNUMBER(O491),O491=OriginalFinancials!O491)),0,1)</f>
        <v>0</v>
      </c>
      <c r="AE491" s="0" t="str">
        <f aca="false">IF(V491=0,"原始0：需核实适用/报告口径","")</f>
        <v/>
      </c>
    </row>
    <row r="492" customFormat="false" ht="15" hidden="false" customHeight="false" outlineLevel="0" collapsed="false">
      <c r="A492" s="0" t="n">
        <v>492</v>
      </c>
      <c r="B492" s="0" t="n">
        <v>1640511</v>
      </c>
      <c r="C492" s="0" t="n">
        <v>17180</v>
      </c>
      <c r="D492" s="0" t="n">
        <v>1189680</v>
      </c>
      <c r="E492" s="0" t="n">
        <v>0.09</v>
      </c>
      <c r="F492" s="0" t="n">
        <v>139135</v>
      </c>
      <c r="G492" s="0" t="n">
        <v>8.48119884596934</v>
      </c>
      <c r="H492" s="0" t="s">
        <v>649</v>
      </c>
      <c r="I492" s="0" t="n">
        <v>1.01977570413492</v>
      </c>
      <c r="J492" s="0" t="n">
        <v>42253</v>
      </c>
      <c r="K492" s="0" t="n">
        <v>177428</v>
      </c>
      <c r="L492" s="0" t="n">
        <v>1460125</v>
      </c>
      <c r="M492" s="0" t="n">
        <v>1445235</v>
      </c>
      <c r="N492" s="0" t="n">
        <v>1213990</v>
      </c>
      <c r="O492" s="0" t="n">
        <v>5092</v>
      </c>
      <c r="P492" s="0" t="s">
        <v>127</v>
      </c>
      <c r="Q492" s="0" t="n">
        <v>0.348737265645065</v>
      </c>
      <c r="R492" s="0" t="n">
        <v>2.63148893135731</v>
      </c>
      <c r="S492" s="0" t="n">
        <v>29</v>
      </c>
      <c r="T492" s="0" t="n">
        <v>3256</v>
      </c>
      <c r="U492" s="0" t="n">
        <v>0</v>
      </c>
      <c r="V492" s="0" t="n">
        <v>14.6981446942181</v>
      </c>
      <c r="W492" s="0" t="n">
        <v>20240630</v>
      </c>
      <c r="X492" s="0" t="n">
        <v>0.39737401699871</v>
      </c>
      <c r="Y492" s="0" t="n">
        <v>4.74</v>
      </c>
      <c r="Z492" s="0" t="s">
        <v>123</v>
      </c>
      <c r="AA492" s="0" t="n">
        <f aca="false">IF(AND(ISNUMBER(B492),B492&gt;0,ISNUMBER(U492),U492&gt;=0,ISNUMBER(O492),O492&gt;=0),1,0)</f>
        <v>1</v>
      </c>
      <c r="AB492" s="0" t="n">
        <f aca="false">IF(AA492=1,U492+O492,0)</f>
        <v>5092</v>
      </c>
      <c r="AC492" s="0" t="n">
        <f aca="false">IF(AA492=1,100*AB492/B492,"")</f>
        <v>0.310391091556228</v>
      </c>
      <c r="AD492" s="0" t="n">
        <f aca="false">IF(AND(AND(ISNUMBER(B492),B492=OriginalFinancials!B492),AND(ISNUMBER(U492),U492=OriginalFinancials!U492),AND(ISNUMBER(O492),O492=OriginalFinancials!O492)),0,1)</f>
        <v>0</v>
      </c>
      <c r="AE492" s="0" t="str">
        <f aca="false">IF(V492=0,"原始0：需核实适用/报告口径","")</f>
        <v/>
      </c>
    </row>
    <row r="493" customFormat="false" ht="15" hidden="false" customHeight="false" outlineLevel="0" collapsed="false">
      <c r="A493" s="0" t="n">
        <v>493</v>
      </c>
      <c r="B493" s="0" t="n">
        <v>365097</v>
      </c>
      <c r="C493" s="0" t="n">
        <v>17443</v>
      </c>
      <c r="D493" s="0" t="n">
        <v>300117</v>
      </c>
      <c r="E493" s="0" t="n">
        <v>-0.07</v>
      </c>
      <c r="F493" s="0" t="n">
        <v>38871</v>
      </c>
      <c r="G493" s="0" t="n">
        <v>10.6467596282632</v>
      </c>
      <c r="H493" s="0" t="s">
        <v>650</v>
      </c>
      <c r="I493" s="0" t="n">
        <v>0.793698275002493</v>
      </c>
      <c r="J493" s="0" t="n">
        <v>0</v>
      </c>
      <c r="K493" s="0" t="n">
        <v>675</v>
      </c>
      <c r="L493" s="0" t="n">
        <v>200580</v>
      </c>
      <c r="M493" s="0" t="n">
        <v>198988</v>
      </c>
      <c r="N493" s="0" t="n">
        <v>198905</v>
      </c>
      <c r="O493" s="0" t="n">
        <v>1042</v>
      </c>
      <c r="P493" s="0" t="s">
        <v>129</v>
      </c>
      <c r="Q493" s="0" t="n">
        <v>0.519493468940074</v>
      </c>
      <c r="R493" s="0" t="n">
        <v>1.18436879928444</v>
      </c>
      <c r="S493" s="0" t="n">
        <v>0</v>
      </c>
      <c r="T493" s="0" t="n">
        <v>375</v>
      </c>
      <c r="U493" s="0" t="n">
        <v>0</v>
      </c>
      <c r="V493" s="0" t="n">
        <v>0</v>
      </c>
      <c r="W493" s="0" t="n">
        <v>20240630</v>
      </c>
      <c r="X493" s="0" t="n">
        <v>-0.190207341097617</v>
      </c>
      <c r="Y493" s="0" t="n">
        <v>-1.71</v>
      </c>
      <c r="Z493" s="0" t="s">
        <v>123</v>
      </c>
      <c r="AA493" s="0" t="n">
        <f aca="false">IF(AND(ISNUMBER(B493),B493&gt;0,ISNUMBER(U493),U493&gt;=0,ISNUMBER(O493),O493&gt;=0),1,0)</f>
        <v>1</v>
      </c>
      <c r="AB493" s="0" t="n">
        <f aca="false">IF(AA493=1,U493+O493,0)</f>
        <v>1042</v>
      </c>
      <c r="AC493" s="0" t="n">
        <f aca="false">IF(AA493=1,100*AB493/B493,"")</f>
        <v>0.285403605069338</v>
      </c>
      <c r="AD493" s="0" t="n">
        <f aca="false">IF(AND(AND(ISNUMBER(B493),B493=OriginalFinancials!B493),AND(ISNUMBER(U493),U493=OriginalFinancials!U493),AND(ISNUMBER(O493),O493=OriginalFinancials!O493)),0,1)</f>
        <v>0</v>
      </c>
      <c r="AE493" s="0" t="str">
        <f aca="false">IF(V493=0,"原始0：需核实适用/报告口径","")</f>
        <v>原始0：需核实适用/报告口径</v>
      </c>
    </row>
    <row r="494" customFormat="false" ht="15" hidden="false" customHeight="false" outlineLevel="0" collapsed="false">
      <c r="A494" s="0" t="n">
        <v>494</v>
      </c>
      <c r="B494" s="0" t="n">
        <v>1912692</v>
      </c>
      <c r="C494" s="0" t="n">
        <v>17658</v>
      </c>
      <c r="D494" s="0" t="n">
        <v>1503955</v>
      </c>
      <c r="E494" s="0" t="n">
        <v>0.06</v>
      </c>
      <c r="F494" s="0" t="n">
        <v>211101</v>
      </c>
      <c r="G494" s="0" t="n">
        <v>11.0368527708591</v>
      </c>
      <c r="H494" s="0" t="s">
        <v>651</v>
      </c>
      <c r="I494" s="0" t="n">
        <v>0.700689302550412</v>
      </c>
      <c r="J494" s="0" t="n">
        <v>108864</v>
      </c>
      <c r="K494" s="0" t="n">
        <v>79908</v>
      </c>
      <c r="L494" s="0" t="n">
        <v>1361231</v>
      </c>
      <c r="M494" s="0" t="n">
        <v>1351693</v>
      </c>
      <c r="N494" s="0" t="n">
        <v>1158750</v>
      </c>
      <c r="O494" s="0" t="n">
        <v>10806</v>
      </c>
      <c r="P494" s="0" t="s">
        <v>131</v>
      </c>
      <c r="Q494" s="0" t="n">
        <v>0.794942225088908</v>
      </c>
      <c r="R494" s="0" t="n">
        <v>3.04141628372805</v>
      </c>
      <c r="S494" s="0" t="n">
        <v>-110</v>
      </c>
      <c r="T494" s="0" t="n">
        <v>2245</v>
      </c>
      <c r="U494" s="0" t="n">
        <v>15</v>
      </c>
      <c r="V494" s="0" t="n">
        <v>0</v>
      </c>
      <c r="W494" s="0" t="n">
        <v>20240630</v>
      </c>
      <c r="X494" s="0" t="n">
        <v>0.777361795851378</v>
      </c>
      <c r="Y494" s="0" t="n">
        <v>6.99</v>
      </c>
      <c r="Z494" s="0" t="s">
        <v>105</v>
      </c>
      <c r="AA494" s="0" t="n">
        <f aca="false">IF(AND(ISNUMBER(B494),B494&gt;0,ISNUMBER(U494),U494&gt;=0,ISNUMBER(O494),O494&gt;=0),1,0)</f>
        <v>1</v>
      </c>
      <c r="AB494" s="0" t="n">
        <f aca="false">IF(AA494=1,U494+O494,0)</f>
        <v>10821</v>
      </c>
      <c r="AC494" s="0" t="n">
        <f aca="false">IF(AA494=1,100*AB494/B494,"")</f>
        <v>0.56574712499451</v>
      </c>
      <c r="AD494" s="0" t="n">
        <f aca="false">IF(AND(AND(ISNUMBER(B494),B494=OriginalFinancials!B494),AND(ISNUMBER(U494),U494=OriginalFinancials!U494),AND(ISNUMBER(O494),O494=OriginalFinancials!O494)),0,1)</f>
        <v>0</v>
      </c>
      <c r="AE494" s="0" t="str">
        <f aca="false">IF(V494=0,"原始0：需核实适用/报告口径","")</f>
        <v>原始0：需核实适用/报告口径</v>
      </c>
    </row>
    <row r="495" customFormat="false" ht="15" hidden="false" customHeight="false" outlineLevel="0" collapsed="false">
      <c r="A495" s="0" t="n">
        <v>495</v>
      </c>
      <c r="B495" s="0" t="n">
        <v>1160635</v>
      </c>
      <c r="C495" s="0" t="n">
        <v>17741</v>
      </c>
      <c r="D495" s="0" t="n">
        <v>863648</v>
      </c>
      <c r="E495" s="0" t="n">
        <v>0.06</v>
      </c>
      <c r="F495" s="0" t="n">
        <v>141966</v>
      </c>
      <c r="G495" s="0" t="n">
        <v>12.2317524458594</v>
      </c>
      <c r="H495" s="0" t="s">
        <v>652</v>
      </c>
      <c r="I495" s="0" t="n">
        <v>0.949701746558932</v>
      </c>
      <c r="J495" s="0" t="n">
        <v>55240</v>
      </c>
      <c r="K495" s="0" t="n">
        <v>4399</v>
      </c>
      <c r="L495" s="0" t="n">
        <v>968304</v>
      </c>
      <c r="M495" s="0" t="n">
        <v>959108</v>
      </c>
      <c r="N495" s="0" t="n">
        <v>905457</v>
      </c>
      <c r="O495" s="0" t="n">
        <v>7132</v>
      </c>
      <c r="P495" s="0" t="s">
        <v>133</v>
      </c>
      <c r="Q495" s="0" t="n">
        <v>0.736545547679241</v>
      </c>
      <c r="R495" s="0" t="n">
        <v>2.99731459453249</v>
      </c>
      <c r="S495" s="0" t="n">
        <v>60</v>
      </c>
      <c r="T495" s="0" t="n">
        <v>3043</v>
      </c>
      <c r="U495" s="0" t="n">
        <v>0</v>
      </c>
      <c r="V495" s="0" t="n">
        <v>0</v>
      </c>
      <c r="W495" s="0" t="n">
        <v>20240630</v>
      </c>
      <c r="X495" s="0" t="n">
        <v>0.576787824521446</v>
      </c>
      <c r="Y495" s="0" t="n">
        <v>4.59</v>
      </c>
      <c r="Z495" s="0" t="s">
        <v>105</v>
      </c>
      <c r="AA495" s="0" t="n">
        <f aca="false">IF(AND(ISNUMBER(B495),B495&gt;0,ISNUMBER(U495),U495&gt;=0,ISNUMBER(O495),O495&gt;=0),1,0)</f>
        <v>1</v>
      </c>
      <c r="AB495" s="0" t="n">
        <f aca="false">IF(AA495=1,U495+O495,0)</f>
        <v>7132</v>
      </c>
      <c r="AC495" s="0" t="n">
        <f aca="false">IF(AA495=1,100*AB495/B495,"")</f>
        <v>0.614491205245404</v>
      </c>
      <c r="AD495" s="0" t="n">
        <f aca="false">IF(AND(AND(ISNUMBER(B495),B495=OriginalFinancials!B495),AND(ISNUMBER(U495),U495=OriginalFinancials!U495),AND(ISNUMBER(O495),O495=OriginalFinancials!O495)),0,1)</f>
        <v>0</v>
      </c>
      <c r="AE495" s="0" t="str">
        <f aca="false">IF(V495=0,"原始0：需核实适用/报告口径","")</f>
        <v>原始0：需核实适用/报告口径</v>
      </c>
    </row>
    <row r="496" customFormat="false" ht="15" hidden="false" customHeight="false" outlineLevel="0" collapsed="false">
      <c r="A496" s="0" t="n">
        <v>496</v>
      </c>
      <c r="B496" s="0" t="n">
        <v>1404406</v>
      </c>
      <c r="C496" s="0" t="n">
        <v>17743</v>
      </c>
      <c r="D496" s="0" t="n">
        <v>980636</v>
      </c>
      <c r="E496" s="0" t="n">
        <v>0</v>
      </c>
      <c r="F496" s="0" t="n">
        <v>121628</v>
      </c>
      <c r="G496" s="0" t="n">
        <v>8.66045858533786</v>
      </c>
      <c r="H496" s="0" t="s">
        <v>653</v>
      </c>
      <c r="I496" s="0" t="n">
        <v>0.418671348352252</v>
      </c>
      <c r="J496" s="0" t="n">
        <v>18094</v>
      </c>
      <c r="K496" s="0" t="n">
        <v>10298</v>
      </c>
      <c r="L496" s="0" t="n">
        <v>1119255</v>
      </c>
      <c r="M496" s="0" t="n">
        <v>1114569</v>
      </c>
      <c r="N496" s="0" t="n">
        <v>1079649</v>
      </c>
      <c r="O496" s="0" t="n">
        <v>3998</v>
      </c>
      <c r="P496" s="0" t="s">
        <v>135</v>
      </c>
      <c r="Q496" s="0" t="n">
        <v>0.35720188875636</v>
      </c>
      <c r="R496" s="0" t="n">
        <v>1.85173719140557</v>
      </c>
      <c r="S496" s="0" t="n">
        <v>-3</v>
      </c>
      <c r="T496" s="0" t="n">
        <v>1402</v>
      </c>
      <c r="U496" s="0" t="n">
        <v>0</v>
      </c>
      <c r="V496" s="0" t="n">
        <v>0</v>
      </c>
      <c r="W496" s="0" t="n">
        <v>20240630</v>
      </c>
      <c r="X496" s="0" t="n">
        <v>-0.0312997808297457</v>
      </c>
      <c r="Y496" s="0" t="n">
        <v>-0.36</v>
      </c>
      <c r="Z496" s="0" t="s">
        <v>105</v>
      </c>
      <c r="AA496" s="0" t="n">
        <f aca="false">IF(AND(ISNUMBER(B496),B496&gt;0,ISNUMBER(U496),U496&gt;=0,ISNUMBER(O496),O496&gt;=0),1,0)</f>
        <v>1</v>
      </c>
      <c r="AB496" s="0" t="n">
        <f aca="false">IF(AA496=1,U496+O496,0)</f>
        <v>3998</v>
      </c>
      <c r="AC496" s="0" t="n">
        <f aca="false">IF(AA496=1,100*AB496/B496,"")</f>
        <v>0.284675514060749</v>
      </c>
      <c r="AD496" s="0" t="n">
        <f aca="false">IF(AND(AND(ISNUMBER(B496),B496=OriginalFinancials!B496),AND(ISNUMBER(U496),U496=OriginalFinancials!U496),AND(ISNUMBER(O496),O496=OriginalFinancials!O496)),0,1)</f>
        <v>0</v>
      </c>
      <c r="AE496" s="0" t="str">
        <f aca="false">IF(V496=0,"原始0：需核实适用/报告口径","")</f>
        <v>原始0：需核实适用/报告口径</v>
      </c>
    </row>
    <row r="497" customFormat="false" ht="15" hidden="false" customHeight="false" outlineLevel="0" collapsed="false">
      <c r="A497" s="0" t="n">
        <v>497</v>
      </c>
      <c r="B497" s="0" t="n">
        <v>1653584</v>
      </c>
      <c r="C497" s="0" t="n">
        <v>17748</v>
      </c>
      <c r="D497" s="0" t="n">
        <v>1349536</v>
      </c>
      <c r="E497" s="0" t="n">
        <v>-0.08</v>
      </c>
      <c r="F497" s="0" t="n">
        <v>113727</v>
      </c>
      <c r="G497" s="0" t="n">
        <v>6.87760645966579</v>
      </c>
      <c r="H497" s="0" t="s">
        <v>654</v>
      </c>
      <c r="I497" s="0" t="n">
        <v>0.72112771899647</v>
      </c>
      <c r="J497" s="0" t="n">
        <v>171859</v>
      </c>
      <c r="K497" s="0" t="n">
        <v>3225</v>
      </c>
      <c r="L497" s="0" t="n">
        <v>1269678</v>
      </c>
      <c r="M497" s="0" t="n">
        <v>1260522</v>
      </c>
      <c r="N497" s="0" t="n">
        <v>1060225</v>
      </c>
      <c r="O497" s="0" t="n">
        <v>7932</v>
      </c>
      <c r="P497" s="0" t="s">
        <v>137</v>
      </c>
      <c r="Q497" s="0" t="n">
        <v>0.624725324058541</v>
      </c>
      <c r="R497" s="0" t="n">
        <v>2.36555254962578</v>
      </c>
      <c r="S497" s="0" t="n">
        <v>-7</v>
      </c>
      <c r="T497" s="0" t="n">
        <v>10728</v>
      </c>
      <c r="U497" s="0" t="n">
        <v>0</v>
      </c>
      <c r="V497" s="0" t="n">
        <v>0</v>
      </c>
      <c r="W497" s="0" t="n">
        <v>20240630</v>
      </c>
      <c r="X497" s="0" t="n">
        <v>0.279983250930056</v>
      </c>
      <c r="Y497" s="0" t="n">
        <v>4.09</v>
      </c>
      <c r="Z497" s="0" t="s">
        <v>105</v>
      </c>
      <c r="AA497" s="0" t="n">
        <f aca="false">IF(AND(ISNUMBER(B497),B497&gt;0,ISNUMBER(U497),U497&gt;=0,ISNUMBER(O497),O497&gt;=0),1,0)</f>
        <v>1</v>
      </c>
      <c r="AB497" s="0" t="n">
        <f aca="false">IF(AA497=1,U497+O497,0)</f>
        <v>7932</v>
      </c>
      <c r="AC497" s="0" t="n">
        <f aca="false">IF(AA497=1,100*AB497/B497,"")</f>
        <v>0.479685338029396</v>
      </c>
      <c r="AD497" s="0" t="n">
        <f aca="false">IF(AND(AND(ISNUMBER(B497),B497=OriginalFinancials!B497),AND(ISNUMBER(U497),U497=OriginalFinancials!U497),AND(ISNUMBER(O497),O497=OriginalFinancials!O497)),0,1)</f>
        <v>0</v>
      </c>
      <c r="AE497" s="0" t="str">
        <f aca="false">IF(V497=0,"原始0：需核实适用/报告口径","")</f>
        <v>原始0：需核实适用/报告口径</v>
      </c>
    </row>
    <row r="498" customFormat="false" ht="15" hidden="false" customHeight="false" outlineLevel="0" collapsed="false">
      <c r="A498" s="0" t="n">
        <v>498</v>
      </c>
      <c r="B498" s="0" t="n">
        <v>1395226</v>
      </c>
      <c r="C498" s="0" t="n">
        <v>17749</v>
      </c>
      <c r="D498" s="0" t="n">
        <v>1095901</v>
      </c>
      <c r="E498" s="0" t="n">
        <v>0.07</v>
      </c>
      <c r="F498" s="0" t="n">
        <v>177800</v>
      </c>
      <c r="G498" s="0" t="n">
        <v>12.7434551821712</v>
      </c>
      <c r="H498" s="0" t="s">
        <v>655</v>
      </c>
      <c r="I498" s="0" t="n">
        <v>1.4044106645192</v>
      </c>
      <c r="J498" s="0" t="n">
        <v>53678</v>
      </c>
      <c r="K498" s="0" t="n">
        <v>11558</v>
      </c>
      <c r="L498" s="0" t="n">
        <v>822053</v>
      </c>
      <c r="M498" s="0" t="n">
        <v>810508</v>
      </c>
      <c r="N498" s="0" t="n">
        <v>744624</v>
      </c>
      <c r="O498" s="0" t="n">
        <v>243</v>
      </c>
      <c r="P498" s="0" t="s">
        <v>139</v>
      </c>
      <c r="Q498" s="0" t="n">
        <v>0.0295601378499926</v>
      </c>
      <c r="R498" s="0" t="n">
        <v>2.4652286426857</v>
      </c>
      <c r="S498" s="0" t="n">
        <v>10</v>
      </c>
      <c r="T498" s="0" t="n">
        <v>1207</v>
      </c>
      <c r="U498" s="0" t="n">
        <v>0</v>
      </c>
      <c r="V498" s="0" t="n">
        <v>0</v>
      </c>
      <c r="W498" s="0" t="n">
        <v>20240630</v>
      </c>
      <c r="X498" s="0" t="n">
        <v>0.98007512250939</v>
      </c>
      <c r="Y498" s="0" t="n">
        <v>7.68</v>
      </c>
      <c r="Z498" s="0" t="s">
        <v>105</v>
      </c>
      <c r="AA498" s="0" t="n">
        <f aca="false">IF(AND(ISNUMBER(B498),B498&gt;0,ISNUMBER(U498),U498&gt;=0,ISNUMBER(O498),O498&gt;=0),1,0)</f>
        <v>1</v>
      </c>
      <c r="AB498" s="0" t="n">
        <f aca="false">IF(AA498=1,U498+O498,0)</f>
        <v>243</v>
      </c>
      <c r="AC498" s="0" t="n">
        <f aca="false">IF(AA498=1,100*AB498/B498,"")</f>
        <v>0.0174165332354758</v>
      </c>
      <c r="AD498" s="0" t="n">
        <f aca="false">IF(AND(AND(ISNUMBER(B498),B498=OriginalFinancials!B498),AND(ISNUMBER(U498),U498=OriginalFinancials!U498),AND(ISNUMBER(O498),O498=OriginalFinancials!O498)),0,1)</f>
        <v>0</v>
      </c>
      <c r="AE498" s="0" t="str">
        <f aca="false">IF(V498=0,"原始0：需核实适用/报告口径","")</f>
        <v>原始0：需核实适用/报告口径</v>
      </c>
    </row>
    <row r="499" customFormat="false" ht="15" hidden="false" customHeight="false" outlineLevel="0" collapsed="false">
      <c r="A499" s="0" t="n">
        <v>499</v>
      </c>
      <c r="B499" s="0" t="n">
        <v>1628666</v>
      </c>
      <c r="C499" s="0" t="n">
        <v>17751</v>
      </c>
      <c r="D499" s="0" t="n">
        <v>1314857</v>
      </c>
      <c r="E499" s="0" t="n">
        <v>0.04</v>
      </c>
      <c r="F499" s="0" t="n">
        <v>140560</v>
      </c>
      <c r="G499" s="0" t="n">
        <v>8.63037602553255</v>
      </c>
      <c r="H499" s="0" t="s">
        <v>656</v>
      </c>
      <c r="I499" s="0" t="n">
        <v>0.911993686712</v>
      </c>
      <c r="J499" s="0" t="n">
        <v>134212</v>
      </c>
      <c r="K499" s="0" t="n">
        <v>4482</v>
      </c>
      <c r="L499" s="0" t="n">
        <v>1345733</v>
      </c>
      <c r="M499" s="0" t="n">
        <v>1333460</v>
      </c>
      <c r="N499" s="0" t="n">
        <v>1148666</v>
      </c>
      <c r="O499" s="0" t="n">
        <v>4863</v>
      </c>
      <c r="P499" s="0" t="s">
        <v>141</v>
      </c>
      <c r="Q499" s="0" t="n">
        <v>0.361364401408006</v>
      </c>
      <c r="R499" s="0" t="n">
        <v>2.67176233579369</v>
      </c>
      <c r="S499" s="0" t="n">
        <v>-34</v>
      </c>
      <c r="T499" s="0" t="n">
        <v>4693</v>
      </c>
      <c r="U499" s="0" t="n">
        <v>0</v>
      </c>
      <c r="V499" s="0" t="n">
        <v>12.7562003813965</v>
      </c>
      <c r="W499" s="0" t="n">
        <v>20240630</v>
      </c>
      <c r="X499" s="0" t="n">
        <v>0.443314564249097</v>
      </c>
      <c r="Y499" s="0" t="n">
        <v>5.16</v>
      </c>
      <c r="Z499" s="0" t="s">
        <v>105</v>
      </c>
      <c r="AA499" s="0" t="n">
        <f aca="false">IF(AND(ISNUMBER(B499),B499&gt;0,ISNUMBER(U499),U499&gt;=0,ISNUMBER(O499),O499&gt;=0),1,0)</f>
        <v>1</v>
      </c>
      <c r="AB499" s="0" t="n">
        <f aca="false">IF(AA499=1,U499+O499,0)</f>
        <v>4863</v>
      </c>
      <c r="AC499" s="0" t="n">
        <f aca="false">IF(AA499=1,100*AB499/B499,"")</f>
        <v>0.298587924104758</v>
      </c>
      <c r="AD499" s="0" t="n">
        <f aca="false">IF(AND(AND(ISNUMBER(B499),B499=OriginalFinancials!B499),AND(ISNUMBER(U499),U499=OriginalFinancials!U499),AND(ISNUMBER(O499),O499=OriginalFinancials!O499)),0,1)</f>
        <v>0</v>
      </c>
      <c r="AE499" s="0" t="str">
        <f aca="false">IF(V499=0,"原始0：需核实适用/报告口径","")</f>
        <v/>
      </c>
    </row>
    <row r="500" customFormat="false" ht="15" hidden="false" customHeight="false" outlineLevel="0" collapsed="false">
      <c r="A500" s="0" t="n">
        <v>500</v>
      </c>
      <c r="B500" s="0" t="n">
        <v>1732333</v>
      </c>
      <c r="C500" s="0" t="n">
        <v>17897</v>
      </c>
      <c r="D500" s="0" t="n">
        <v>1311255</v>
      </c>
      <c r="E500" s="0" t="n">
        <v>-0.03</v>
      </c>
      <c r="F500" s="0" t="n">
        <v>211953</v>
      </c>
      <c r="G500" s="0" t="n">
        <v>12.2351187675811</v>
      </c>
      <c r="H500" s="0" t="s">
        <v>657</v>
      </c>
      <c r="I500" s="0" t="n">
        <v>0.61338829499859</v>
      </c>
      <c r="J500" s="0" t="n">
        <v>74859</v>
      </c>
      <c r="K500" s="0" t="n">
        <v>3188</v>
      </c>
      <c r="L500" s="0" t="n">
        <v>1440034</v>
      </c>
      <c r="M500" s="0" t="n">
        <v>1431201</v>
      </c>
      <c r="N500" s="0" t="n">
        <v>1352677</v>
      </c>
      <c r="O500" s="0" t="n">
        <v>4016</v>
      </c>
      <c r="P500" s="0" t="s">
        <v>143</v>
      </c>
      <c r="Q500" s="0" t="n">
        <v>0.278882304167818</v>
      </c>
      <c r="R500" s="0" t="n">
        <v>2.32674770453677</v>
      </c>
      <c r="S500" s="0" t="n">
        <v>-89</v>
      </c>
      <c r="T500" s="0" t="n">
        <v>2867</v>
      </c>
      <c r="U500" s="0" t="n">
        <v>0</v>
      </c>
      <c r="V500" s="0" t="n">
        <v>18.0579734151777</v>
      </c>
      <c r="W500" s="0" t="n">
        <v>20240630</v>
      </c>
      <c r="X500" s="0" t="n">
        <v>0.719533489276184</v>
      </c>
      <c r="Y500" s="0" t="n">
        <v>5.88</v>
      </c>
      <c r="Z500" s="0" t="s">
        <v>105</v>
      </c>
      <c r="AA500" s="0" t="n">
        <f aca="false">IF(AND(ISNUMBER(B500),B500&gt;0,ISNUMBER(U500),U500&gt;=0,ISNUMBER(O500),O500&gt;=0),1,0)</f>
        <v>1</v>
      </c>
      <c r="AB500" s="0" t="n">
        <f aca="false">IF(AA500=1,U500+O500,0)</f>
        <v>4016</v>
      </c>
      <c r="AC500" s="0" t="n">
        <f aca="false">IF(AA500=1,100*AB500/B500,"")</f>
        <v>0.231826098100077</v>
      </c>
      <c r="AD500" s="0" t="n">
        <f aca="false">IF(AND(AND(ISNUMBER(B500),B500=OriginalFinancials!B500),AND(ISNUMBER(U500),U500=OriginalFinancials!U500),AND(ISNUMBER(O500),O500=OriginalFinancials!O500)),0,1)</f>
        <v>0</v>
      </c>
      <c r="AE500" s="0" t="str">
        <f aca="false">IF(V500=0,"原始0：需核实适用/报告口径","")</f>
        <v/>
      </c>
    </row>
    <row r="501" customFormat="false" ht="15" hidden="false" customHeight="false" outlineLevel="0" collapsed="false">
      <c r="A501" s="0" t="n">
        <v>501</v>
      </c>
      <c r="B501" s="0" t="n">
        <v>810464</v>
      </c>
      <c r="C501" s="0" t="n">
        <v>17951</v>
      </c>
      <c r="D501" s="0" t="n">
        <v>665540</v>
      </c>
      <c r="E501" s="0" t="n">
        <v>0</v>
      </c>
      <c r="F501" s="0" t="n">
        <v>63303</v>
      </c>
      <c r="G501" s="0" t="n">
        <v>7.81071090140956</v>
      </c>
      <c r="H501" s="0" t="s">
        <v>658</v>
      </c>
      <c r="I501" s="0" t="n">
        <v>0.849375508526468</v>
      </c>
      <c r="J501" s="0" t="n">
        <v>28255</v>
      </c>
      <c r="K501" s="0" t="n">
        <v>1838</v>
      </c>
      <c r="L501" s="0" t="n">
        <v>596085</v>
      </c>
      <c r="M501" s="0" t="n">
        <v>591022</v>
      </c>
      <c r="N501" s="0" t="n">
        <v>552786</v>
      </c>
      <c r="O501" s="0" t="n">
        <v>62</v>
      </c>
      <c r="P501" s="0" t="s">
        <v>145</v>
      </c>
      <c r="Q501" s="0" t="n">
        <v>0.0104012011709739</v>
      </c>
      <c r="R501" s="0" t="n">
        <v>2.46499599476083</v>
      </c>
      <c r="S501" s="0" t="n">
        <v>-144</v>
      </c>
      <c r="T501" s="0" t="n">
        <v>1757</v>
      </c>
      <c r="U501" s="0" t="n">
        <v>0</v>
      </c>
      <c r="V501" s="0" t="n">
        <v>14.6203235537616</v>
      </c>
      <c r="W501" s="0" t="n">
        <v>20240630</v>
      </c>
      <c r="X501" s="0" t="n">
        <v>0.501098636386068</v>
      </c>
      <c r="Y501" s="0" t="n">
        <v>6.41</v>
      </c>
      <c r="Z501" s="0" t="s">
        <v>123</v>
      </c>
      <c r="AA501" s="0" t="n">
        <f aca="false">IF(AND(ISNUMBER(B501),B501&gt;0,ISNUMBER(U501),U501&gt;=0,ISNUMBER(O501),O501&gt;=0),1,0)</f>
        <v>1</v>
      </c>
      <c r="AB501" s="0" t="n">
        <f aca="false">IF(AA501=1,U501+O501,0)</f>
        <v>62</v>
      </c>
      <c r="AC501" s="0" t="n">
        <f aca="false">IF(AA501=1,100*AB501/B501,"")</f>
        <v>0.0076499388004896</v>
      </c>
      <c r="AD501" s="0" t="n">
        <f aca="false">IF(AND(AND(ISNUMBER(B501),B501=OriginalFinancials!B501),AND(ISNUMBER(U501),U501=OriginalFinancials!U501),AND(ISNUMBER(O501),O501=OriginalFinancials!O501)),0,1)</f>
        <v>0</v>
      </c>
      <c r="AE501" s="0" t="str">
        <f aca="false">IF(V501=0,"原始0：需核实适用/报告口径","")</f>
        <v/>
      </c>
    </row>
    <row r="502" customFormat="false" ht="15" hidden="false" customHeight="false" outlineLevel="0" collapsed="false">
      <c r="A502" s="0" t="n">
        <v>502</v>
      </c>
      <c r="B502" s="0" t="n">
        <v>1384318</v>
      </c>
      <c r="C502" s="0" t="n">
        <v>17960</v>
      </c>
      <c r="D502" s="0" t="n">
        <v>1047199</v>
      </c>
      <c r="E502" s="0" t="n">
        <v>0.14</v>
      </c>
      <c r="F502" s="0" t="n">
        <v>114741</v>
      </c>
      <c r="G502" s="0" t="n">
        <v>8.28863021357809</v>
      </c>
      <c r="H502" s="0" t="s">
        <v>659</v>
      </c>
      <c r="I502" s="0" t="n">
        <v>1.02485426540083</v>
      </c>
      <c r="J502" s="0" t="n">
        <v>105881</v>
      </c>
      <c r="K502" s="0" t="n">
        <v>233313</v>
      </c>
      <c r="L502" s="0" t="n">
        <v>1177826</v>
      </c>
      <c r="M502" s="0" t="n">
        <v>1165755</v>
      </c>
      <c r="N502" s="0" t="n">
        <v>834712</v>
      </c>
      <c r="O502" s="0" t="n">
        <v>9254</v>
      </c>
      <c r="P502" s="0" t="s">
        <v>147</v>
      </c>
      <c r="Q502" s="0" t="n">
        <v>0.785684812527487</v>
      </c>
      <c r="R502" s="0" t="n">
        <v>2.71137816235978</v>
      </c>
      <c r="S502" s="0" t="n">
        <v>250</v>
      </c>
      <c r="T502" s="0" t="n">
        <v>2898</v>
      </c>
      <c r="U502" s="0" t="n">
        <v>0</v>
      </c>
      <c r="V502" s="0" t="n">
        <v>13.2905193445561</v>
      </c>
      <c r="W502" s="0" t="n">
        <v>20240630</v>
      </c>
      <c r="X502" s="0" t="n">
        <v>0.355511881408475</v>
      </c>
      <c r="Y502" s="0" t="n">
        <v>4.27</v>
      </c>
      <c r="Z502" s="0" t="s">
        <v>123</v>
      </c>
      <c r="AA502" s="0" t="n">
        <f aca="false">IF(AND(ISNUMBER(B502),B502&gt;0,ISNUMBER(U502),U502&gt;=0,ISNUMBER(O502),O502&gt;=0),1,0)</f>
        <v>1</v>
      </c>
      <c r="AB502" s="0" t="n">
        <f aca="false">IF(AA502=1,U502+O502,0)</f>
        <v>9254</v>
      </c>
      <c r="AC502" s="0" t="n">
        <f aca="false">IF(AA502=1,100*AB502/B502,"")</f>
        <v>0.668488020816026</v>
      </c>
      <c r="AD502" s="0" t="n">
        <f aca="false">IF(AND(AND(ISNUMBER(B502),B502=OriginalFinancials!B502),AND(ISNUMBER(U502),U502=OriginalFinancials!U502),AND(ISNUMBER(O502),O502=OriginalFinancials!O502)),0,1)</f>
        <v>0</v>
      </c>
      <c r="AE502" s="0" t="str">
        <f aca="false">IF(V502=0,"原始0：需核实适用/报告口径","")</f>
        <v/>
      </c>
    </row>
    <row r="503" customFormat="false" ht="15" hidden="false" customHeight="false" outlineLevel="0" collapsed="false">
      <c r="A503" s="0" t="n">
        <v>503</v>
      </c>
      <c r="B503" s="0" t="n">
        <v>2499818</v>
      </c>
      <c r="C503" s="0" t="n">
        <v>18012</v>
      </c>
      <c r="D503" s="0" t="n">
        <v>2102355</v>
      </c>
      <c r="E503" s="0" t="n">
        <v>0.04</v>
      </c>
      <c r="F503" s="0" t="n">
        <v>274634</v>
      </c>
      <c r="G503" s="0" t="n">
        <v>10.9861597924329</v>
      </c>
      <c r="H503" s="0" t="s">
        <v>660</v>
      </c>
      <c r="I503" s="0" t="n">
        <v>1.19338755097338</v>
      </c>
      <c r="J503" s="0" t="n">
        <v>51095</v>
      </c>
      <c r="K503" s="0" t="n">
        <v>30545</v>
      </c>
      <c r="L503" s="0" t="n">
        <v>2035131</v>
      </c>
      <c r="M503" s="0" t="n">
        <v>2010844</v>
      </c>
      <c r="N503" s="0" t="n">
        <v>1928747</v>
      </c>
      <c r="O503" s="0" t="n">
        <v>990</v>
      </c>
      <c r="P503" s="0" t="s">
        <v>149</v>
      </c>
      <c r="Q503" s="0" t="n">
        <v>0.0486455171681822</v>
      </c>
      <c r="R503" s="0" t="n">
        <v>2.68205710330269</v>
      </c>
      <c r="S503" s="0" t="n">
        <v>49</v>
      </c>
      <c r="T503" s="0" t="n">
        <v>2843</v>
      </c>
      <c r="U503" s="0" t="n">
        <v>0</v>
      </c>
      <c r="V503" s="0" t="n">
        <v>14.6041845930891</v>
      </c>
      <c r="W503" s="0" t="n">
        <v>20240630</v>
      </c>
      <c r="X503" s="0" t="n">
        <v>0.658441157978623</v>
      </c>
      <c r="Y503" s="0" t="n">
        <v>6.09</v>
      </c>
      <c r="Z503" s="0" t="s">
        <v>123</v>
      </c>
      <c r="AA503" s="0" t="n">
        <f aca="false">IF(AND(ISNUMBER(B503),B503&gt;0,ISNUMBER(U503),U503&gt;=0,ISNUMBER(O503),O503&gt;=0),1,0)</f>
        <v>1</v>
      </c>
      <c r="AB503" s="0" t="n">
        <f aca="false">IF(AA503=1,U503+O503,0)</f>
        <v>990</v>
      </c>
      <c r="AC503" s="0" t="n">
        <f aca="false">IF(AA503=1,100*AB503/B503,"")</f>
        <v>0.0396028830898889</v>
      </c>
      <c r="AD503" s="0" t="n">
        <f aca="false">IF(AND(AND(ISNUMBER(B503),B503=OriginalFinancials!B503),AND(ISNUMBER(U503),U503=OriginalFinancials!U503),AND(ISNUMBER(O503),O503=OriginalFinancials!O503)),0,1)</f>
        <v>0</v>
      </c>
      <c r="AE503" s="0" t="str">
        <f aca="false">IF(V503=0,"原始0：需核实适用/报告口径","")</f>
        <v/>
      </c>
    </row>
    <row r="504" customFormat="false" ht="15" hidden="false" customHeight="false" outlineLevel="0" collapsed="false">
      <c r="A504" s="0" t="n">
        <v>504</v>
      </c>
      <c r="B504" s="0" t="n">
        <v>2913389</v>
      </c>
      <c r="C504" s="0" t="n">
        <v>18013</v>
      </c>
      <c r="D504" s="0" t="n">
        <v>2458436</v>
      </c>
      <c r="E504" s="0" t="n">
        <v>0.01</v>
      </c>
      <c r="F504" s="0" t="n">
        <v>223415</v>
      </c>
      <c r="G504" s="0" t="n">
        <v>7.66856056640565</v>
      </c>
      <c r="H504" s="0" t="s">
        <v>661</v>
      </c>
      <c r="I504" s="0" t="n">
        <v>0.706242718986724</v>
      </c>
      <c r="J504" s="0" t="n">
        <v>108697</v>
      </c>
      <c r="K504" s="0" t="n">
        <v>24275</v>
      </c>
      <c r="L504" s="0" t="n">
        <v>2408662</v>
      </c>
      <c r="M504" s="0" t="n">
        <v>2391651</v>
      </c>
      <c r="N504" s="0" t="n">
        <v>2192853</v>
      </c>
      <c r="O504" s="0" t="n">
        <v>1084</v>
      </c>
      <c r="P504" s="0" t="s">
        <v>151</v>
      </c>
      <c r="Q504" s="0" t="n">
        <v>0.0543040077852351</v>
      </c>
      <c r="R504" s="0" t="n">
        <v>2.42371924301835</v>
      </c>
      <c r="S504" s="0" t="n">
        <v>107</v>
      </c>
      <c r="T504" s="0" t="n">
        <v>5903</v>
      </c>
      <c r="U504" s="0" t="n">
        <v>224</v>
      </c>
      <c r="V504" s="0" t="n">
        <v>12.2970178752133</v>
      </c>
      <c r="W504" s="0" t="n">
        <v>20240630</v>
      </c>
      <c r="X504" s="0" t="n">
        <v>0.222779696164816</v>
      </c>
      <c r="Y504" s="0" t="n">
        <v>2.95</v>
      </c>
      <c r="Z504" s="0" t="s">
        <v>123</v>
      </c>
      <c r="AA504" s="0" t="n">
        <f aca="false">IF(AND(ISNUMBER(B504),B504&gt;0,ISNUMBER(U504),U504&gt;=0,ISNUMBER(O504),O504&gt;=0),1,0)</f>
        <v>1</v>
      </c>
      <c r="AB504" s="0" t="n">
        <f aca="false">IF(AA504=1,U504+O504,0)</f>
        <v>1308</v>
      </c>
      <c r="AC504" s="0" t="n">
        <f aca="false">IF(AA504=1,100*AB504/B504,"")</f>
        <v>0.0448961673157961</v>
      </c>
      <c r="AD504" s="0" t="n">
        <f aca="false">IF(AND(AND(ISNUMBER(B504),B504=OriginalFinancials!B504),AND(ISNUMBER(U504),U504=OriginalFinancials!U504),AND(ISNUMBER(O504),O504=OriginalFinancials!O504)),0,1)</f>
        <v>0</v>
      </c>
      <c r="AE504" s="0" t="str">
        <f aca="false">IF(V504=0,"原始0：需核实适用/报告口径","")</f>
        <v/>
      </c>
    </row>
    <row r="505" customFormat="false" ht="15" hidden="false" customHeight="false" outlineLevel="0" collapsed="false">
      <c r="A505" s="0" t="n">
        <v>505</v>
      </c>
      <c r="B505" s="0" t="n">
        <v>393662</v>
      </c>
      <c r="C505" s="0" t="n">
        <v>18028</v>
      </c>
      <c r="D505" s="0" t="n">
        <v>324859</v>
      </c>
      <c r="E505" s="0" t="n">
        <v>0.02</v>
      </c>
      <c r="F505" s="0" t="n">
        <v>40845</v>
      </c>
      <c r="G505" s="0" t="n">
        <v>10.3756522092557</v>
      </c>
      <c r="H505" s="0" t="s">
        <v>662</v>
      </c>
      <c r="I505" s="0" t="n">
        <v>0.762347437994508</v>
      </c>
      <c r="J505" s="0" t="n">
        <v>14637</v>
      </c>
      <c r="K505" s="0" t="n">
        <v>6650</v>
      </c>
      <c r="L505" s="0" t="n">
        <v>270218</v>
      </c>
      <c r="M505" s="0" t="n">
        <v>268158</v>
      </c>
      <c r="N505" s="0" t="n">
        <v>243503</v>
      </c>
      <c r="O505" s="0" t="n">
        <v>548</v>
      </c>
      <c r="P505" s="0" t="s">
        <v>153</v>
      </c>
      <c r="Q505" s="0" t="n">
        <v>0.227964088254668</v>
      </c>
      <c r="R505" s="0" t="n">
        <v>3.25736775755223</v>
      </c>
      <c r="S505" s="0" t="n">
        <v>299</v>
      </c>
      <c r="T505" s="0" t="n">
        <v>1523</v>
      </c>
      <c r="U505" s="0" t="n">
        <v>68</v>
      </c>
      <c r="V505" s="0" t="n">
        <v>0</v>
      </c>
      <c r="W505" s="0" t="n">
        <v>20240630</v>
      </c>
      <c r="X505" s="0" t="n">
        <v>0.470352502506773</v>
      </c>
      <c r="Y505" s="0" t="n">
        <v>4.56</v>
      </c>
      <c r="Z505" s="0" t="s">
        <v>123</v>
      </c>
      <c r="AA505" s="0" t="n">
        <f aca="false">IF(AND(ISNUMBER(B505),B505&gt;0,ISNUMBER(U505),U505&gt;=0,ISNUMBER(O505),O505&gt;=0),1,0)</f>
        <v>1</v>
      </c>
      <c r="AB505" s="0" t="n">
        <f aca="false">IF(AA505=1,U505+O505,0)</f>
        <v>616</v>
      </c>
      <c r="AC505" s="0" t="n">
        <f aca="false">IF(AA505=1,100*AB505/B505,"")</f>
        <v>0.156479416352099</v>
      </c>
      <c r="AD505" s="0" t="n">
        <f aca="false">IF(AND(AND(ISNUMBER(B505),B505=OriginalFinancials!B505),AND(ISNUMBER(U505),U505=OriginalFinancials!U505),AND(ISNUMBER(O505),O505=OriginalFinancials!O505)),0,1)</f>
        <v>0</v>
      </c>
      <c r="AE505" s="0" t="str">
        <f aca="false">IF(V505=0,"原始0：需核实适用/报告口径","")</f>
        <v>原始0：需核实适用/报告口径</v>
      </c>
    </row>
    <row r="506" customFormat="false" ht="15" hidden="false" customHeight="false" outlineLevel="0" collapsed="false">
      <c r="A506" s="0" t="n">
        <v>506</v>
      </c>
      <c r="B506" s="0" t="n">
        <v>764903</v>
      </c>
      <c r="C506" s="0" t="n">
        <v>18030</v>
      </c>
      <c r="D506" s="0" t="n">
        <v>682796</v>
      </c>
      <c r="E506" s="0" t="n">
        <v>0.02</v>
      </c>
      <c r="F506" s="0" t="n">
        <v>50593</v>
      </c>
      <c r="G506" s="0" t="n">
        <v>6.61430272858127</v>
      </c>
      <c r="H506" s="0" t="s">
        <v>663</v>
      </c>
      <c r="I506" s="0" t="n">
        <v>0.992613150648899</v>
      </c>
      <c r="J506" s="0" t="n">
        <v>41777</v>
      </c>
      <c r="K506" s="0" t="n">
        <v>99073</v>
      </c>
      <c r="L506" s="0" t="n">
        <v>593081</v>
      </c>
      <c r="M506" s="0" t="n">
        <v>587194</v>
      </c>
      <c r="N506" s="0" t="n">
        <v>452116</v>
      </c>
      <c r="O506" s="0" t="n">
        <v>1934</v>
      </c>
      <c r="P506" s="0" t="s">
        <v>155</v>
      </c>
      <c r="Q506" s="0" t="n">
        <v>0.326093737617627</v>
      </c>
      <c r="R506" s="0" t="n">
        <v>3.4152717577477</v>
      </c>
      <c r="S506" s="0" t="n">
        <v>79</v>
      </c>
      <c r="T506" s="0" t="n">
        <v>1233</v>
      </c>
      <c r="U506" s="0" t="n">
        <v>0</v>
      </c>
      <c r="V506" s="0" t="n">
        <v>13.4436887474241</v>
      </c>
      <c r="W506" s="0" t="n">
        <v>20240630</v>
      </c>
      <c r="X506" s="0" t="n">
        <v>0.674002311473751</v>
      </c>
      <c r="Y506" s="0" t="n">
        <v>10.19</v>
      </c>
      <c r="Z506" s="0" t="s">
        <v>123</v>
      </c>
      <c r="AA506" s="0" t="n">
        <f aca="false">IF(AND(ISNUMBER(B506),B506&gt;0,ISNUMBER(U506),U506&gt;=0,ISNUMBER(O506),O506&gt;=0),1,0)</f>
        <v>1</v>
      </c>
      <c r="AB506" s="0" t="n">
        <f aca="false">IF(AA506=1,U506+O506,0)</f>
        <v>1934</v>
      </c>
      <c r="AC506" s="0" t="n">
        <f aca="false">IF(AA506=1,100*AB506/B506,"")</f>
        <v>0.252842517286506</v>
      </c>
      <c r="AD506" s="0" t="n">
        <f aca="false">IF(AND(AND(ISNUMBER(B506),B506=OriginalFinancials!B506),AND(ISNUMBER(U506),U506=OriginalFinancials!U506),AND(ISNUMBER(O506),O506=OriginalFinancials!O506)),0,1)</f>
        <v>0</v>
      </c>
      <c r="AE506" s="0" t="str">
        <f aca="false">IF(V506=0,"原始0：需核实适用/报告口径","")</f>
        <v/>
      </c>
    </row>
    <row r="507" customFormat="false" ht="15" hidden="false" customHeight="false" outlineLevel="0" collapsed="false">
      <c r="A507" s="0" t="n">
        <v>507</v>
      </c>
      <c r="B507" s="0" t="n">
        <v>669965</v>
      </c>
      <c r="C507" s="0" t="n">
        <v>18031</v>
      </c>
      <c r="D507" s="0" t="n">
        <v>520982</v>
      </c>
      <c r="E507" s="0" t="n">
        <v>-0.05</v>
      </c>
      <c r="F507" s="0" t="n">
        <v>36939</v>
      </c>
      <c r="G507" s="0" t="n">
        <v>5.5135716044868</v>
      </c>
      <c r="H507" s="0" t="s">
        <v>664</v>
      </c>
      <c r="I507" s="0" t="n">
        <v>0.814426254463804</v>
      </c>
      <c r="J507" s="0" t="n">
        <v>24050</v>
      </c>
      <c r="K507" s="0" t="n">
        <v>9330</v>
      </c>
      <c r="L507" s="0" t="n">
        <v>472971</v>
      </c>
      <c r="M507" s="0" t="n">
        <v>469119</v>
      </c>
      <c r="N507" s="0" t="n">
        <v>433316</v>
      </c>
      <c r="O507" s="0" t="n">
        <v>900</v>
      </c>
      <c r="P507" s="0" t="s">
        <v>157</v>
      </c>
      <c r="Q507" s="0" t="n">
        <v>0.195995103293859</v>
      </c>
      <c r="R507" s="0" t="n">
        <v>2.62341205153674</v>
      </c>
      <c r="S507" s="0" t="n">
        <v>13</v>
      </c>
      <c r="T507" s="0" t="n">
        <v>286</v>
      </c>
      <c r="U507" s="0" t="n">
        <v>27</v>
      </c>
      <c r="V507" s="0" t="n">
        <v>16.5316455015501</v>
      </c>
      <c r="W507" s="0" t="n">
        <v>20240630</v>
      </c>
      <c r="X507" s="0" t="n">
        <v>0.428613561597885</v>
      </c>
      <c r="Y507" s="0" t="n">
        <v>7.82</v>
      </c>
      <c r="Z507" s="0" t="s">
        <v>123</v>
      </c>
      <c r="AA507" s="0" t="n">
        <f aca="false">IF(AND(ISNUMBER(B507),B507&gt;0,ISNUMBER(U507),U507&gt;=0,ISNUMBER(O507),O507&gt;=0),1,0)</f>
        <v>1</v>
      </c>
      <c r="AB507" s="0" t="n">
        <f aca="false">IF(AA507=1,U507+O507,0)</f>
        <v>927</v>
      </c>
      <c r="AC507" s="0" t="n">
        <f aca="false">IF(AA507=1,100*AB507/B507,"")</f>
        <v>0.13836543700044</v>
      </c>
      <c r="AD507" s="0" t="n">
        <f aca="false">IF(AND(AND(ISNUMBER(B507),B507=OriginalFinancials!B507),AND(ISNUMBER(U507),U507=OriginalFinancials!U507),AND(ISNUMBER(O507),O507=OriginalFinancials!O507)),0,1)</f>
        <v>0</v>
      </c>
      <c r="AE507" s="0" t="str">
        <f aca="false">IF(V507=0,"原始0：需核实适用/报告口径","")</f>
        <v/>
      </c>
    </row>
    <row r="508" customFormat="false" ht="15" hidden="false" customHeight="false" outlineLevel="0" collapsed="false">
      <c r="A508" s="0" t="n">
        <v>508</v>
      </c>
      <c r="B508" s="0" t="n">
        <v>528195</v>
      </c>
      <c r="C508" s="0" t="n">
        <v>18038</v>
      </c>
      <c r="D508" s="0" t="n">
        <v>406919</v>
      </c>
      <c r="E508" s="0" t="n">
        <v>0.03</v>
      </c>
      <c r="F508" s="0" t="n">
        <v>66574</v>
      </c>
      <c r="G508" s="0" t="n">
        <v>12.6040572137184</v>
      </c>
      <c r="H508" s="0" t="s">
        <v>665</v>
      </c>
      <c r="I508" s="0" t="n">
        <v>0.938844668233402</v>
      </c>
      <c r="J508" s="0" t="n">
        <v>27415</v>
      </c>
      <c r="K508" s="0" t="n">
        <v>4069</v>
      </c>
      <c r="L508" s="0" t="n">
        <v>417854</v>
      </c>
      <c r="M508" s="0" t="n">
        <v>413931</v>
      </c>
      <c r="N508" s="0" t="n">
        <v>385504</v>
      </c>
      <c r="O508" s="0" t="n">
        <v>2632</v>
      </c>
      <c r="P508" s="0" t="s">
        <v>159</v>
      </c>
      <c r="Q508" s="0" t="n">
        <v>0.629885079477521</v>
      </c>
      <c r="R508" s="0" t="n">
        <v>2.45039463696265</v>
      </c>
      <c r="S508" s="0" t="n">
        <v>-4</v>
      </c>
      <c r="T508" s="0" t="n">
        <v>1085</v>
      </c>
      <c r="U508" s="0" t="n">
        <v>0</v>
      </c>
      <c r="V508" s="0" t="n">
        <v>0</v>
      </c>
      <c r="W508" s="0" t="n">
        <v>20240630</v>
      </c>
      <c r="X508" s="0" t="n">
        <v>0.655171832852562</v>
      </c>
      <c r="Y508" s="0" t="n">
        <v>5.28</v>
      </c>
      <c r="Z508" s="0" t="s">
        <v>123</v>
      </c>
      <c r="AA508" s="0" t="n">
        <f aca="false">IF(AND(ISNUMBER(B508),B508&gt;0,ISNUMBER(U508),U508&gt;=0,ISNUMBER(O508),O508&gt;=0),1,0)</f>
        <v>1</v>
      </c>
      <c r="AB508" s="0" t="n">
        <f aca="false">IF(AA508=1,U508+O508,0)</f>
        <v>2632</v>
      </c>
      <c r="AC508" s="0" t="n">
        <f aca="false">IF(AA508=1,100*AB508/B508,"")</f>
        <v>0.49830081693314</v>
      </c>
      <c r="AD508" s="0" t="n">
        <f aca="false">IF(AND(AND(ISNUMBER(B508),B508=OriginalFinancials!B508),AND(ISNUMBER(U508),U508=OriginalFinancials!U508),AND(ISNUMBER(O508),O508=OriginalFinancials!O508)),0,1)</f>
        <v>0</v>
      </c>
      <c r="AE508" s="0" t="str">
        <f aca="false">IF(V508=0,"原始0：需核实适用/报告口径","")</f>
        <v>原始0：需核实适用/报告口径</v>
      </c>
    </row>
    <row r="509" customFormat="false" ht="15" hidden="false" customHeight="false" outlineLevel="0" collapsed="false">
      <c r="A509" s="0" t="n">
        <v>509</v>
      </c>
      <c r="B509" s="0" t="n">
        <v>7222033</v>
      </c>
      <c r="C509" s="0" t="n">
        <v>18408</v>
      </c>
      <c r="D509" s="0" t="n">
        <v>5353465</v>
      </c>
      <c r="E509" s="0" t="n">
        <v>0.01</v>
      </c>
      <c r="F509" s="0" t="n">
        <v>408904</v>
      </c>
      <c r="G509" s="0" t="n">
        <v>5.66189603398378</v>
      </c>
      <c r="H509" s="0" t="s">
        <v>666</v>
      </c>
      <c r="I509" s="0" t="n">
        <v>0.662450982699054</v>
      </c>
      <c r="J509" s="0" t="n">
        <v>370343</v>
      </c>
      <c r="K509" s="0" t="n">
        <v>36119</v>
      </c>
      <c r="L509" s="0" t="n">
        <v>4887305</v>
      </c>
      <c r="M509" s="0" t="n">
        <v>4854929</v>
      </c>
      <c r="N509" s="0" t="n">
        <v>4394120</v>
      </c>
      <c r="O509" s="0" t="n">
        <v>4032</v>
      </c>
      <c r="P509" s="0" t="s">
        <v>161</v>
      </c>
      <c r="Q509" s="0" t="n">
        <v>0.0824994552212313</v>
      </c>
      <c r="R509" s="0" t="n">
        <v>2.06214064657911</v>
      </c>
      <c r="S509" s="0" t="n">
        <v>-491</v>
      </c>
      <c r="T509" s="0" t="n">
        <v>4991</v>
      </c>
      <c r="U509" s="0" t="n">
        <v>0</v>
      </c>
      <c r="V509" s="0" t="n">
        <v>11.3956962361995</v>
      </c>
      <c r="W509" s="0" t="n">
        <v>20240630</v>
      </c>
      <c r="X509" s="0" t="n">
        <v>0.0504801142925108</v>
      </c>
      <c r="Y509" s="0" t="n">
        <v>0.9</v>
      </c>
      <c r="Z509" s="0" t="s">
        <v>105</v>
      </c>
      <c r="AA509" s="0" t="n">
        <f aca="false">IF(AND(ISNUMBER(B509),B509&gt;0,ISNUMBER(U509),U509&gt;=0,ISNUMBER(O509),O509&gt;=0),1,0)</f>
        <v>1</v>
      </c>
      <c r="AB509" s="0" t="n">
        <f aca="false">IF(AA509=1,U509+O509,0)</f>
        <v>4032</v>
      </c>
      <c r="AC509" s="0" t="n">
        <f aca="false">IF(AA509=1,100*AB509/B509,"")</f>
        <v>0.0558291550315541</v>
      </c>
      <c r="AD509" s="0" t="n">
        <f aca="false">IF(AND(AND(ISNUMBER(B509),B509=OriginalFinancials!B509),AND(ISNUMBER(U509),U509=OriginalFinancials!U509),AND(ISNUMBER(O509),O509=OriginalFinancials!O509)),0,1)</f>
        <v>0</v>
      </c>
      <c r="AE509" s="0" t="str">
        <f aca="false">IF(V509=0,"原始0：需核实适用/报告口径","")</f>
        <v/>
      </c>
    </row>
    <row r="510" customFormat="false" ht="15" hidden="false" customHeight="false" outlineLevel="0" collapsed="false">
      <c r="A510" s="0" t="n">
        <v>510</v>
      </c>
      <c r="B510" s="0" t="n">
        <v>2602801</v>
      </c>
      <c r="C510" s="0" t="n">
        <v>19531</v>
      </c>
      <c r="D510" s="0" t="n">
        <v>2007423</v>
      </c>
      <c r="E510" s="0" t="n">
        <v>0</v>
      </c>
      <c r="F510" s="0" t="n">
        <v>245672</v>
      </c>
      <c r="G510" s="0" t="n">
        <v>9.43875463395012</v>
      </c>
      <c r="H510" s="0" t="s">
        <v>667</v>
      </c>
      <c r="I510" s="0" t="n">
        <v>0.956383471621509</v>
      </c>
      <c r="J510" s="0" t="n">
        <v>263338</v>
      </c>
      <c r="K510" s="0" t="n">
        <v>10817</v>
      </c>
      <c r="L510" s="0" t="n">
        <v>2138891</v>
      </c>
      <c r="M510" s="0" t="n">
        <v>2118435</v>
      </c>
      <c r="N510" s="0" t="n">
        <v>1752265</v>
      </c>
      <c r="O510" s="0" t="n">
        <v>8076</v>
      </c>
      <c r="P510" s="0" t="s">
        <v>163</v>
      </c>
      <c r="Q510" s="0" t="n">
        <v>0.378139886511281</v>
      </c>
      <c r="R510" s="0" t="n">
        <v>2.59185271893759</v>
      </c>
      <c r="S510" s="0" t="n">
        <v>452</v>
      </c>
      <c r="T510" s="0" t="n">
        <v>3260</v>
      </c>
      <c r="U510" s="0" t="n">
        <v>12</v>
      </c>
      <c r="V510" s="0" t="n">
        <v>13.7246237828604</v>
      </c>
      <c r="W510" s="0" t="n">
        <v>20240630</v>
      </c>
      <c r="X510" s="0" t="n">
        <v>0.363488052763751</v>
      </c>
      <c r="Y510" s="0" t="n">
        <v>3.79</v>
      </c>
      <c r="Z510" s="0" t="s">
        <v>105</v>
      </c>
      <c r="AA510" s="0" t="n">
        <f aca="false">IF(AND(ISNUMBER(B510),B510&gt;0,ISNUMBER(U510),U510&gt;=0,ISNUMBER(O510),O510&gt;=0),1,0)</f>
        <v>1</v>
      </c>
      <c r="AB510" s="0" t="n">
        <f aca="false">IF(AA510=1,U510+O510,0)</f>
        <v>8088</v>
      </c>
      <c r="AC510" s="0" t="n">
        <f aca="false">IF(AA510=1,100*AB510/B510,"")</f>
        <v>0.310742158159613</v>
      </c>
      <c r="AD510" s="0" t="n">
        <f aca="false">IF(AND(AND(ISNUMBER(B510),B510=OriginalFinancials!B510),AND(ISNUMBER(U510),U510=OriginalFinancials!U510),AND(ISNUMBER(O510),O510=OriginalFinancials!O510)),0,1)</f>
        <v>0</v>
      </c>
      <c r="AE510" s="0" t="str">
        <f aca="false">IF(V510=0,"原始0：需核实适用/报告口径","")</f>
        <v/>
      </c>
    </row>
    <row r="511" customFormat="false" ht="15" hidden="false" customHeight="false" outlineLevel="0" collapsed="false">
      <c r="A511" s="0" t="n">
        <v>511</v>
      </c>
      <c r="B511" s="0" t="n">
        <v>880879</v>
      </c>
      <c r="C511" s="0" t="n">
        <v>19532</v>
      </c>
      <c r="D511" s="0" t="n">
        <v>709469</v>
      </c>
      <c r="E511" s="0" t="n">
        <v>0.01</v>
      </c>
      <c r="F511" s="0" t="n">
        <v>98709</v>
      </c>
      <c r="G511" s="0" t="n">
        <v>11.2057388131628</v>
      </c>
      <c r="H511" s="0" t="s">
        <v>668</v>
      </c>
      <c r="I511" s="0" t="n">
        <v>0.992356939958884</v>
      </c>
      <c r="J511" s="0" t="n">
        <v>49136</v>
      </c>
      <c r="K511" s="0" t="n">
        <v>51678</v>
      </c>
      <c r="L511" s="0" t="n">
        <v>596358</v>
      </c>
      <c r="M511" s="0" t="n">
        <v>590440</v>
      </c>
      <c r="N511" s="0" t="n">
        <v>490094</v>
      </c>
      <c r="O511" s="0" t="n">
        <v>1611</v>
      </c>
      <c r="P511" s="0" t="s">
        <v>165</v>
      </c>
      <c r="Q511" s="0" t="n">
        <v>0.270139748272011</v>
      </c>
      <c r="R511" s="0" t="n">
        <v>3.02981359606163</v>
      </c>
      <c r="S511" s="0" t="n">
        <v>40</v>
      </c>
      <c r="T511" s="0" t="n">
        <v>1413</v>
      </c>
      <c r="U511" s="0" t="n">
        <v>0</v>
      </c>
      <c r="V511" s="0" t="n">
        <v>21.2603406906925</v>
      </c>
      <c r="W511" s="0" t="n">
        <v>20240630</v>
      </c>
      <c r="X511" s="0" t="n">
        <v>0.858496118129066</v>
      </c>
      <c r="Y511" s="0" t="n">
        <v>7.8</v>
      </c>
      <c r="Z511" s="0" t="s">
        <v>105</v>
      </c>
      <c r="AA511" s="0" t="n">
        <f aca="false">IF(AND(ISNUMBER(B511),B511&gt;0,ISNUMBER(U511),U511&gt;=0,ISNUMBER(O511),O511&gt;=0),1,0)</f>
        <v>1</v>
      </c>
      <c r="AB511" s="0" t="n">
        <f aca="false">IF(AA511=1,U511+O511,0)</f>
        <v>1611</v>
      </c>
      <c r="AC511" s="0" t="n">
        <f aca="false">IF(AA511=1,100*AB511/B511,"")</f>
        <v>0.18288550413848</v>
      </c>
      <c r="AD511" s="0" t="n">
        <f aca="false">IF(AND(AND(ISNUMBER(B511),B511=OriginalFinancials!B511),AND(ISNUMBER(U511),U511=OriginalFinancials!U511),AND(ISNUMBER(O511),O511=OriginalFinancials!O511)),0,1)</f>
        <v>0</v>
      </c>
      <c r="AE511" s="0" t="str">
        <f aca="false">IF(V511=0,"原始0：需核实适用/报告口径","")</f>
        <v/>
      </c>
    </row>
    <row r="512" customFormat="false" ht="15" hidden="false" customHeight="false" outlineLevel="0" collapsed="false">
      <c r="A512" s="0" t="n">
        <v>512</v>
      </c>
      <c r="B512" s="0" t="n">
        <v>3132203</v>
      </c>
      <c r="C512" s="0" t="n">
        <v>19690</v>
      </c>
      <c r="D512" s="0" t="n">
        <v>2362286</v>
      </c>
      <c r="E512" s="0" t="n">
        <v>0.07</v>
      </c>
      <c r="F512" s="0" t="n">
        <v>376634</v>
      </c>
      <c r="G512" s="0" t="n">
        <v>12.024571842885</v>
      </c>
      <c r="H512" s="0" t="s">
        <v>669</v>
      </c>
      <c r="I512" s="0" t="n">
        <v>0.967311891355689</v>
      </c>
      <c r="J512" s="0" t="n">
        <v>66187</v>
      </c>
      <c r="K512" s="0" t="n">
        <v>285</v>
      </c>
      <c r="L512" s="0" t="n">
        <v>2761157</v>
      </c>
      <c r="M512" s="0" t="n">
        <v>2734448</v>
      </c>
      <c r="N512" s="0" t="n">
        <v>2127514</v>
      </c>
      <c r="O512" s="0" t="n">
        <v>28260</v>
      </c>
      <c r="P512" s="0" t="s">
        <v>167</v>
      </c>
      <c r="Q512" s="0" t="n">
        <v>1.02348399602051</v>
      </c>
      <c r="R512" s="0" t="n">
        <v>5.08970460803265</v>
      </c>
      <c r="S512" s="0" t="n">
        <v>3594</v>
      </c>
      <c r="T512" s="0" t="n">
        <v>3926</v>
      </c>
      <c r="U512" s="0" t="n">
        <v>0</v>
      </c>
      <c r="V512" s="0" t="n">
        <v>14.822901584382</v>
      </c>
      <c r="W512" s="0" t="n">
        <v>20240630</v>
      </c>
      <c r="X512" s="0" t="n">
        <v>1.9118906936064</v>
      </c>
      <c r="Y512" s="0" t="n">
        <v>16.48</v>
      </c>
      <c r="Z512" s="0" t="s">
        <v>105</v>
      </c>
      <c r="AA512" s="0" t="n">
        <f aca="false">IF(AND(ISNUMBER(B512),B512&gt;0,ISNUMBER(U512),U512&gt;=0,ISNUMBER(O512),O512&gt;=0),1,0)</f>
        <v>1</v>
      </c>
      <c r="AB512" s="0" t="n">
        <f aca="false">IF(AA512=1,U512+O512,0)</f>
        <v>28260</v>
      </c>
      <c r="AC512" s="0" t="n">
        <f aca="false">IF(AA512=1,100*AB512/B512,"")</f>
        <v>0.902240372032081</v>
      </c>
      <c r="AD512" s="0" t="n">
        <f aca="false">IF(AND(AND(ISNUMBER(B512),B512=OriginalFinancials!B512),AND(ISNUMBER(U512),U512=OriginalFinancials!U512),AND(ISNUMBER(O512),O512=OriginalFinancials!O512)),0,1)</f>
        <v>0</v>
      </c>
      <c r="AE512" s="0" t="str">
        <f aca="false">IF(V512=0,"原始0：需核实适用/报告口径","")</f>
        <v/>
      </c>
    </row>
    <row r="513" customFormat="false" ht="15" hidden="false" customHeight="false" outlineLevel="0" collapsed="false">
      <c r="A513" s="0" t="n">
        <v>513</v>
      </c>
      <c r="B513" s="0" t="n">
        <v>693631</v>
      </c>
      <c r="C513" s="0" t="n">
        <v>19836</v>
      </c>
      <c r="D513" s="0" t="n">
        <v>494603</v>
      </c>
      <c r="E513" s="0" t="n">
        <v>0</v>
      </c>
      <c r="F513" s="0" t="n">
        <v>122241</v>
      </c>
      <c r="G513" s="0" t="n">
        <v>17.6233472840747</v>
      </c>
      <c r="H513" s="0" t="s">
        <v>670</v>
      </c>
      <c r="I513" s="0" t="n">
        <v>0.765486391734188</v>
      </c>
      <c r="J513" s="0" t="n">
        <v>47016</v>
      </c>
      <c r="K513" s="0" t="n">
        <v>11688</v>
      </c>
      <c r="L513" s="0" t="n">
        <v>583028</v>
      </c>
      <c r="M513" s="0" t="n">
        <v>578565</v>
      </c>
      <c r="N513" s="0" t="n">
        <v>520353</v>
      </c>
      <c r="O513" s="0" t="n">
        <v>5114</v>
      </c>
      <c r="P513" s="0" t="s">
        <v>145</v>
      </c>
      <c r="Q513" s="0" t="n">
        <v>0.969593227083433</v>
      </c>
      <c r="R513" s="0" t="n">
        <v>3.57096502129516</v>
      </c>
      <c r="S513" s="0" t="n">
        <v>9</v>
      </c>
      <c r="T513" s="0" t="n">
        <v>2908</v>
      </c>
      <c r="U513" s="0" t="n">
        <v>539</v>
      </c>
      <c r="V513" s="0" t="n">
        <v>24.7547146632848</v>
      </c>
      <c r="W513" s="0" t="n">
        <v>20240630</v>
      </c>
      <c r="X513" s="0" t="n">
        <v>0.6592636990771</v>
      </c>
      <c r="Y513" s="0" t="n">
        <v>3.68</v>
      </c>
      <c r="Z513" s="0" t="s">
        <v>105</v>
      </c>
      <c r="AA513" s="0" t="n">
        <f aca="false">IF(AND(ISNUMBER(B513),B513&gt;0,ISNUMBER(U513),U513&gt;=0,ISNUMBER(O513),O513&gt;=0),1,0)</f>
        <v>1</v>
      </c>
      <c r="AB513" s="0" t="n">
        <f aca="false">IF(AA513=1,U513+O513,0)</f>
        <v>5653</v>
      </c>
      <c r="AC513" s="0" t="n">
        <f aca="false">IF(AA513=1,100*AB513/B513,"")</f>
        <v>0.814986642753856</v>
      </c>
      <c r="AD513" s="0" t="n">
        <f aca="false">IF(AND(AND(ISNUMBER(B513),B513=OriginalFinancials!B513),AND(ISNUMBER(U513),U513=OriginalFinancials!U513),AND(ISNUMBER(O513),O513=OriginalFinancials!O513)),0,1)</f>
        <v>0</v>
      </c>
      <c r="AE513" s="0" t="str">
        <f aca="false">IF(V513=0,"原始0：需核实适用/报告口径","")</f>
        <v/>
      </c>
    </row>
    <row r="514" customFormat="false" ht="15" hidden="false" customHeight="false" outlineLevel="0" collapsed="false">
      <c r="A514" s="0" t="n">
        <v>514</v>
      </c>
      <c r="B514" s="0" t="n">
        <v>1450962</v>
      </c>
      <c r="C514" s="0" t="n">
        <v>24540</v>
      </c>
      <c r="D514" s="0" t="n">
        <v>1167579</v>
      </c>
      <c r="E514" s="0" t="n">
        <v>0.15</v>
      </c>
      <c r="F514" s="0" t="n">
        <v>259158</v>
      </c>
      <c r="G514" s="0" t="n">
        <v>17.8611155908976</v>
      </c>
      <c r="H514" s="0" t="s">
        <v>671</v>
      </c>
      <c r="I514" s="0" t="n">
        <v>0.976943236202351</v>
      </c>
      <c r="J514" s="0" t="n">
        <v>43419</v>
      </c>
      <c r="K514" s="0" t="n">
        <v>169</v>
      </c>
      <c r="L514" s="0" t="n">
        <v>1284005</v>
      </c>
      <c r="M514" s="0" t="n">
        <v>1271461</v>
      </c>
      <c r="N514" s="0" t="n">
        <v>1244382</v>
      </c>
      <c r="O514" s="0" t="n">
        <v>30086</v>
      </c>
      <c r="P514" s="0" t="s">
        <v>170</v>
      </c>
      <c r="Q514" s="0" t="n">
        <v>2.34313729307908</v>
      </c>
      <c r="R514" s="0" t="n">
        <v>4.20518977151503</v>
      </c>
      <c r="S514" s="0" t="n">
        <v>0</v>
      </c>
      <c r="T514" s="0" t="n">
        <v>0</v>
      </c>
      <c r="U514" s="0" t="n">
        <v>0</v>
      </c>
      <c r="V514" s="0" t="n">
        <v>18.6244989044056</v>
      </c>
      <c r="W514" s="0" t="n">
        <v>20240630</v>
      </c>
      <c r="X514" s="0" t="n">
        <v>1.93262033990791</v>
      </c>
      <c r="Y514" s="0" t="n">
        <v>10.87</v>
      </c>
      <c r="Z514" s="0" t="s">
        <v>123</v>
      </c>
      <c r="AA514" s="0" t="n">
        <f aca="false">IF(AND(ISNUMBER(B514),B514&gt;0,ISNUMBER(U514),U514&gt;=0,ISNUMBER(O514),O514&gt;=0),1,0)</f>
        <v>1</v>
      </c>
      <c r="AB514" s="0" t="n">
        <f aca="false">IF(AA514=1,U514+O514,0)</f>
        <v>30086</v>
      </c>
      <c r="AC514" s="0" t="n">
        <f aca="false">IF(AA514=1,100*AB514/B514,"")</f>
        <v>2.07352087787275</v>
      </c>
      <c r="AD514" s="0" t="n">
        <f aca="false">IF(AND(AND(ISNUMBER(B514),B514=OriginalFinancials!B514),AND(ISNUMBER(U514),U514=OriginalFinancials!U514),AND(ISNUMBER(O514),O514=OriginalFinancials!O514)),0,1)</f>
        <v>0</v>
      </c>
      <c r="AE514" s="0" t="str">
        <f aca="false">IF(V514=0,"原始0：需核实适用/报告口径","")</f>
        <v/>
      </c>
    </row>
    <row r="515" customFormat="false" ht="15" hidden="false" customHeight="false" outlineLevel="0" collapsed="false">
      <c r="A515" s="0" t="n">
        <v>515</v>
      </c>
      <c r="B515" s="0" t="n">
        <v>557168</v>
      </c>
      <c r="C515" s="0" t="n">
        <v>27824</v>
      </c>
      <c r="D515" s="0" t="n">
        <v>362991</v>
      </c>
      <c r="E515" s="0" t="n">
        <v>0.05</v>
      </c>
      <c r="F515" s="0" t="n">
        <v>64563</v>
      </c>
      <c r="G515" s="0" t="n">
        <v>11.5877078367745</v>
      </c>
      <c r="H515" s="0" t="s">
        <v>672</v>
      </c>
      <c r="I515" s="0" t="n">
        <v>0.624029703292766</v>
      </c>
      <c r="J515" s="0" t="n">
        <v>18789</v>
      </c>
      <c r="K515" s="0" t="n">
        <v>43133</v>
      </c>
      <c r="L515" s="0" t="n">
        <v>460555</v>
      </c>
      <c r="M515" s="0" t="n">
        <v>457681</v>
      </c>
      <c r="N515" s="0" t="n">
        <v>398633</v>
      </c>
      <c r="O515" s="0" t="n">
        <v>1077</v>
      </c>
      <c r="P515" s="0" t="s">
        <v>172</v>
      </c>
      <c r="Q515" s="0" t="n">
        <v>0.233848291734972</v>
      </c>
      <c r="R515" s="0" t="n">
        <v>1.62444979000168</v>
      </c>
      <c r="S515" s="0" t="n">
        <v>118</v>
      </c>
      <c r="T515" s="0" t="n">
        <v>2739</v>
      </c>
      <c r="U515" s="0" t="n">
        <v>0</v>
      </c>
      <c r="V515" s="0" t="n">
        <v>20.3577838503214</v>
      </c>
      <c r="W515" s="0" t="n">
        <v>20240630</v>
      </c>
      <c r="X515" s="0" t="n">
        <v>-0.374023312411938</v>
      </c>
      <c r="Y515" s="0" t="n">
        <v>-3.15</v>
      </c>
      <c r="Z515" s="0" t="s">
        <v>123</v>
      </c>
      <c r="AA515" s="0" t="n">
        <f aca="false">IF(AND(ISNUMBER(B515),B515&gt;0,ISNUMBER(U515),U515&gt;=0,ISNUMBER(O515),O515&gt;=0),1,0)</f>
        <v>1</v>
      </c>
      <c r="AB515" s="0" t="n">
        <f aca="false">IF(AA515=1,U515+O515,0)</f>
        <v>1077</v>
      </c>
      <c r="AC515" s="0" t="n">
        <f aca="false">IF(AA515=1,100*AB515/B515,"")</f>
        <v>0.193298969072165</v>
      </c>
      <c r="AD515" s="0" t="n">
        <f aca="false">IF(AND(AND(ISNUMBER(B515),B515=OriginalFinancials!B515),AND(ISNUMBER(U515),U515=OriginalFinancials!U515),AND(ISNUMBER(O515),O515=OriginalFinancials!O515)),0,1)</f>
        <v>0</v>
      </c>
      <c r="AE515" s="0" t="str">
        <f aca="false">IF(V515=0,"原始0：需核实适用/报告口径","")</f>
        <v/>
      </c>
    </row>
    <row r="516" customFormat="false" ht="15" hidden="false" customHeight="false" outlineLevel="0" collapsed="false">
      <c r="A516" s="0" t="n">
        <v>516</v>
      </c>
      <c r="B516" s="0" t="n">
        <v>302055</v>
      </c>
      <c r="C516" s="0" t="n">
        <v>28155</v>
      </c>
      <c r="D516" s="0" t="n">
        <v>259692</v>
      </c>
      <c r="E516" s="0" t="n">
        <v>-0.01</v>
      </c>
      <c r="F516" s="0" t="n">
        <v>27301</v>
      </c>
      <c r="G516" s="0" t="n">
        <v>9.03842015526974</v>
      </c>
      <c r="H516" s="0" t="s">
        <v>673</v>
      </c>
      <c r="I516" s="0" t="n">
        <v>0.454831429544418</v>
      </c>
      <c r="J516" s="0" t="n">
        <v>11217</v>
      </c>
      <c r="K516" s="0" t="n">
        <v>6116</v>
      </c>
      <c r="L516" s="0" t="n">
        <v>173251</v>
      </c>
      <c r="M516" s="0" t="n">
        <v>172463</v>
      </c>
      <c r="N516" s="0" t="n">
        <v>155404</v>
      </c>
      <c r="O516" s="0" t="n">
        <v>0</v>
      </c>
      <c r="P516" s="0" t="s">
        <v>174</v>
      </c>
      <c r="Q516" s="0" t="n">
        <v>0</v>
      </c>
      <c r="R516" s="0" t="n">
        <v>2.34100079031654</v>
      </c>
      <c r="S516" s="0" t="n">
        <v>1</v>
      </c>
      <c r="T516" s="0" t="n">
        <v>1271</v>
      </c>
      <c r="U516" s="0" t="n">
        <v>0</v>
      </c>
      <c r="V516" s="0" t="n">
        <v>16.9262702346722</v>
      </c>
      <c r="W516" s="0" t="n">
        <v>20240630</v>
      </c>
      <c r="X516" s="0" t="n">
        <v>-0.0547019798336481</v>
      </c>
      <c r="Y516" s="0" t="n">
        <v>-0.6</v>
      </c>
      <c r="Z516" s="0" t="s">
        <v>123</v>
      </c>
      <c r="AA516" s="0" t="n">
        <f aca="false">IF(AND(ISNUMBER(B516),B516&gt;0,ISNUMBER(U516),U516&gt;=0,ISNUMBER(O516),O516&gt;=0),1,0)</f>
        <v>1</v>
      </c>
      <c r="AB516" s="0" t="n">
        <f aca="false">IF(AA516=1,U516+O516,0)</f>
        <v>0</v>
      </c>
      <c r="AC516" s="0" t="n">
        <f aca="false">IF(AA516=1,100*AB516/B516,"")</f>
        <v>0</v>
      </c>
      <c r="AD516" s="0" t="n">
        <f aca="false">IF(AND(AND(ISNUMBER(B516),B516=OriginalFinancials!B516),AND(ISNUMBER(U516),U516=OriginalFinancials!U516),AND(ISNUMBER(O516),O516=OriginalFinancials!O516)),0,1)</f>
        <v>0</v>
      </c>
      <c r="AE516" s="0" t="str">
        <f aca="false">IF(V516=0,"原始0：需核实适用/报告口径","")</f>
        <v/>
      </c>
    </row>
    <row r="517" customFormat="false" ht="15" hidden="false" customHeight="false" outlineLevel="0" collapsed="false">
      <c r="A517" s="0" t="n">
        <v>517</v>
      </c>
      <c r="B517" s="0" t="n">
        <v>102466</v>
      </c>
      <c r="C517" s="0" t="n">
        <v>28288</v>
      </c>
      <c r="D517" s="0" t="n">
        <v>74553</v>
      </c>
      <c r="E517" s="0" t="n">
        <v>-0.02</v>
      </c>
      <c r="F517" s="0" t="n">
        <v>5947</v>
      </c>
      <c r="G517" s="0" t="n">
        <v>5.80387640778404</v>
      </c>
      <c r="H517" s="0" t="s">
        <v>674</v>
      </c>
      <c r="I517" s="0" t="n">
        <v>1.05668095052591</v>
      </c>
      <c r="J517" s="0" t="n">
        <v>4600</v>
      </c>
      <c r="K517" s="0" t="n">
        <v>2714</v>
      </c>
      <c r="L517" s="0" t="n">
        <v>82144</v>
      </c>
      <c r="M517" s="0" t="n">
        <v>81276</v>
      </c>
      <c r="N517" s="0" t="n">
        <v>74830</v>
      </c>
      <c r="O517" s="0" t="n">
        <v>251</v>
      </c>
      <c r="P517" s="0" t="s">
        <v>176</v>
      </c>
      <c r="Q517" s="0" t="n">
        <v>0.305560966108298</v>
      </c>
      <c r="R517" s="0" t="n">
        <v>2.67533222086354</v>
      </c>
      <c r="S517" s="0" t="n">
        <v>0</v>
      </c>
      <c r="T517" s="0" t="n">
        <v>111</v>
      </c>
      <c r="U517" s="0" t="n">
        <v>0</v>
      </c>
      <c r="V517" s="0" t="n">
        <v>13.1640405593165</v>
      </c>
      <c r="W517" s="0" t="n">
        <v>20240630</v>
      </c>
      <c r="X517" s="0" t="n">
        <v>0.104067296851964</v>
      </c>
      <c r="Y517" s="0" t="n">
        <v>1.82</v>
      </c>
      <c r="Z517" s="0" t="s">
        <v>105</v>
      </c>
      <c r="AA517" s="0" t="n">
        <f aca="false">IF(AND(ISNUMBER(B517),B517&gt;0,ISNUMBER(U517),U517&gt;=0,ISNUMBER(O517),O517&gt;=0),1,0)</f>
        <v>1</v>
      </c>
      <c r="AB517" s="0" t="n">
        <f aca="false">IF(AA517=1,U517+O517,0)</f>
        <v>251</v>
      </c>
      <c r="AC517" s="0" t="n">
        <f aca="false">IF(AA517=1,100*AB517/B517,"")</f>
        <v>0.244959303573868</v>
      </c>
      <c r="AD517" s="0" t="n">
        <f aca="false">IF(AND(AND(ISNUMBER(B517),B517=OriginalFinancials!B517),AND(ISNUMBER(U517),U517=OriginalFinancials!U517),AND(ISNUMBER(O517),O517=OriginalFinancials!O517)),0,1)</f>
        <v>0</v>
      </c>
      <c r="AE517" s="0" t="str">
        <f aca="false">IF(V517=0,"原始0：需核实适用/报告口径","")</f>
        <v/>
      </c>
    </row>
    <row r="518" customFormat="false" ht="15" hidden="false" customHeight="false" outlineLevel="0" collapsed="false">
      <c r="A518" s="0" t="n">
        <v>518</v>
      </c>
      <c r="B518" s="0" t="n">
        <v>95722</v>
      </c>
      <c r="C518" s="0" t="n">
        <v>28369</v>
      </c>
      <c r="D518" s="0" t="n">
        <v>71038</v>
      </c>
      <c r="E518" s="0" t="n">
        <v>0.02</v>
      </c>
      <c r="F518" s="0" t="n">
        <v>9198</v>
      </c>
      <c r="G518" s="0" t="n">
        <v>9.60907628340402</v>
      </c>
      <c r="H518" s="0" t="s">
        <v>675</v>
      </c>
      <c r="I518" s="0" t="n">
        <v>0.734458443827983</v>
      </c>
      <c r="J518" s="0" t="n">
        <v>12761</v>
      </c>
      <c r="K518" s="0" t="n">
        <v>852</v>
      </c>
      <c r="L518" s="0" t="n">
        <v>81829</v>
      </c>
      <c r="M518" s="0" t="n">
        <v>81228</v>
      </c>
      <c r="N518" s="0" t="n">
        <v>68216</v>
      </c>
      <c r="O518" s="0" t="n">
        <v>141</v>
      </c>
      <c r="P518" s="0" t="s">
        <v>178</v>
      </c>
      <c r="Q518" s="0" t="n">
        <v>0.172310550049493</v>
      </c>
      <c r="R518" s="0" t="n">
        <v>2.92722951770937</v>
      </c>
      <c r="S518" s="0" t="n">
        <v>-2</v>
      </c>
      <c r="T518" s="0" t="n">
        <v>168</v>
      </c>
      <c r="U518" s="0" t="n">
        <v>0</v>
      </c>
      <c r="V518" s="0" t="n">
        <v>13.6709423889672</v>
      </c>
      <c r="W518" s="0" t="n">
        <v>20240630</v>
      </c>
      <c r="X518" s="0" t="n">
        <v>-0.320244959302203</v>
      </c>
      <c r="Y518" s="0" t="n">
        <v>-3.28</v>
      </c>
      <c r="Z518" s="0" t="s">
        <v>105</v>
      </c>
      <c r="AA518" s="0" t="n">
        <f aca="false">IF(AND(ISNUMBER(B518),B518&gt;0,ISNUMBER(U518),U518&gt;=0,ISNUMBER(O518),O518&gt;=0),1,0)</f>
        <v>1</v>
      </c>
      <c r="AB518" s="0" t="n">
        <f aca="false">IF(AA518=1,U518+O518,0)</f>
        <v>141</v>
      </c>
      <c r="AC518" s="0" t="n">
        <f aca="false">IF(AA518=1,100*AB518/B518,"")</f>
        <v>0.147301560769729</v>
      </c>
      <c r="AD518" s="0" t="n">
        <f aca="false">IF(AND(AND(ISNUMBER(B518),B518=OriginalFinancials!B518),AND(ISNUMBER(U518),U518=OriginalFinancials!U518),AND(ISNUMBER(O518),O518=OriginalFinancials!O518)),0,1)</f>
        <v>0</v>
      </c>
      <c r="AE518" s="0" t="str">
        <f aca="false">IF(V518=0,"原始0：需核实适用/报告口径","")</f>
        <v/>
      </c>
    </row>
    <row r="519" customFormat="false" ht="15" hidden="false" customHeight="false" outlineLevel="0" collapsed="false">
      <c r="A519" s="0" t="n">
        <v>519</v>
      </c>
      <c r="B519" s="0" t="n">
        <v>285118</v>
      </c>
      <c r="C519" s="0" t="n">
        <v>28837</v>
      </c>
      <c r="D519" s="0" t="n">
        <v>254557</v>
      </c>
      <c r="E519" s="0" t="n">
        <v>-0.1</v>
      </c>
      <c r="F519" s="0" t="n">
        <v>27060</v>
      </c>
      <c r="G519" s="0" t="n">
        <v>9.49080731486613</v>
      </c>
      <c r="H519" s="0" t="s">
        <v>676</v>
      </c>
      <c r="I519" s="0" t="n">
        <v>1.10493686781297</v>
      </c>
      <c r="J519" s="0" t="n">
        <v>7061</v>
      </c>
      <c r="K519" s="0" t="n">
        <v>834</v>
      </c>
      <c r="L519" s="0" t="n">
        <v>202274</v>
      </c>
      <c r="M519" s="0" t="n">
        <v>200039</v>
      </c>
      <c r="N519" s="0" t="n">
        <v>192922</v>
      </c>
      <c r="O519" s="0" t="n">
        <v>155</v>
      </c>
      <c r="P519" s="0" t="s">
        <v>180</v>
      </c>
      <c r="Q519" s="0" t="n">
        <v>0.0766287313248366</v>
      </c>
      <c r="R519" s="0" t="n">
        <v>3.68099996257625</v>
      </c>
      <c r="S519" s="0" t="n">
        <v>0</v>
      </c>
      <c r="T519" s="0" t="n">
        <v>105</v>
      </c>
      <c r="U519" s="0" t="n">
        <v>0</v>
      </c>
      <c r="V519" s="0" t="n">
        <v>16.7395381692405</v>
      </c>
      <c r="W519" s="0" t="n">
        <v>20240630</v>
      </c>
      <c r="X519" s="0" t="n">
        <v>0.716098111079786</v>
      </c>
      <c r="Y519" s="0" t="n">
        <v>7.65</v>
      </c>
      <c r="Z519" s="0" t="s">
        <v>112</v>
      </c>
      <c r="AA519" s="0" t="n">
        <f aca="false">IF(AND(ISNUMBER(B519),B519&gt;0,ISNUMBER(U519),U519&gt;=0,ISNUMBER(O519),O519&gt;=0),1,0)</f>
        <v>1</v>
      </c>
      <c r="AB519" s="0" t="n">
        <f aca="false">IF(AA519=1,U519+O519,0)</f>
        <v>155</v>
      </c>
      <c r="AC519" s="0" t="n">
        <f aca="false">IF(AA519=1,100*AB519/B519,"")</f>
        <v>0.054363456533786</v>
      </c>
      <c r="AD519" s="0" t="n">
        <f aca="false">IF(AND(AND(ISNUMBER(B519),B519=OriginalFinancials!B519),AND(ISNUMBER(U519),U519=OriginalFinancials!U519),AND(ISNUMBER(O519),O519=OriginalFinancials!O519)),0,1)</f>
        <v>0</v>
      </c>
      <c r="AE519" s="0" t="str">
        <f aca="false">IF(V519=0,"原始0：需核实适用/报告口径","")</f>
        <v/>
      </c>
    </row>
    <row r="520" customFormat="false" ht="15" hidden="false" customHeight="false" outlineLevel="0" collapsed="false">
      <c r="A520" s="0" t="n">
        <v>520</v>
      </c>
      <c r="B520" s="0" t="n">
        <v>180255</v>
      </c>
      <c r="C520" s="0" t="n">
        <v>29636</v>
      </c>
      <c r="D520" s="0" t="n">
        <v>137021</v>
      </c>
      <c r="E520" s="0" t="n">
        <v>0.02</v>
      </c>
      <c r="F520" s="0" t="n">
        <v>26121</v>
      </c>
      <c r="G520" s="0" t="n">
        <v>14.4911375551302</v>
      </c>
      <c r="H520" s="0" t="s">
        <v>677</v>
      </c>
      <c r="I520" s="0" t="n">
        <v>1.39056264748118</v>
      </c>
      <c r="J520" s="0" t="n">
        <v>1433</v>
      </c>
      <c r="K520" s="0" t="n">
        <v>1772</v>
      </c>
      <c r="L520" s="0" t="n">
        <v>138577</v>
      </c>
      <c r="M520" s="0" t="n">
        <v>136650</v>
      </c>
      <c r="N520" s="0" t="n">
        <v>135371</v>
      </c>
      <c r="O520" s="0" t="n">
        <v>2731</v>
      </c>
      <c r="P520" s="0" t="s">
        <v>182</v>
      </c>
      <c r="Q520" s="0" t="n">
        <v>1.97074550610852</v>
      </c>
      <c r="R520" s="0" t="n">
        <v>3.44418295303387</v>
      </c>
      <c r="S520" s="0" t="n">
        <v>-1</v>
      </c>
      <c r="T520" s="0" t="n">
        <v>3204</v>
      </c>
      <c r="U520" s="0" t="n">
        <v>0</v>
      </c>
      <c r="V520" s="0" t="n">
        <v>26.8583867787312</v>
      </c>
      <c r="W520" s="0" t="n">
        <v>20240630</v>
      </c>
      <c r="X520" s="0" t="n">
        <v>0.247766013645732</v>
      </c>
      <c r="Y520" s="0" t="n">
        <v>1.71</v>
      </c>
      <c r="Z520" s="0" t="s">
        <v>105</v>
      </c>
      <c r="AA520" s="0" t="n">
        <f aca="false">IF(AND(ISNUMBER(B520),B520&gt;0,ISNUMBER(U520),U520&gt;=0,ISNUMBER(O520),O520&gt;=0),1,0)</f>
        <v>1</v>
      </c>
      <c r="AB520" s="0" t="n">
        <f aca="false">IF(AA520=1,U520+O520,0)</f>
        <v>2731</v>
      </c>
      <c r="AC520" s="0" t="n">
        <f aca="false">IF(AA520=1,100*AB520/B520,"")</f>
        <v>1.51507586474716</v>
      </c>
      <c r="AD520" s="0" t="n">
        <f aca="false">IF(AND(AND(ISNUMBER(B520),B520=OriginalFinancials!B520),AND(ISNUMBER(U520),U520=OriginalFinancials!U520),AND(ISNUMBER(O520),O520=OriginalFinancials!O520)),0,1)</f>
        <v>0</v>
      </c>
      <c r="AE520" s="0" t="str">
        <f aca="false">IF(V520=0,"原始0：需核实适用/报告口径","")</f>
        <v/>
      </c>
    </row>
    <row r="521" customFormat="false" ht="15" hidden="false" customHeight="false" outlineLevel="0" collapsed="false">
      <c r="A521" s="0" t="n">
        <v>521</v>
      </c>
      <c r="B521" s="0" t="n">
        <v>189887</v>
      </c>
      <c r="C521" s="0" t="n">
        <v>29743</v>
      </c>
      <c r="D521" s="0" t="n">
        <v>166017</v>
      </c>
      <c r="E521" s="0" t="n">
        <v>-0.04</v>
      </c>
      <c r="F521" s="0" t="n">
        <v>17099</v>
      </c>
      <c r="G521" s="0" t="n">
        <v>9.00482918788543</v>
      </c>
      <c r="H521" s="0" t="s">
        <v>678</v>
      </c>
      <c r="I521" s="0" t="n">
        <v>0.649321537449937</v>
      </c>
      <c r="J521" s="0" t="n">
        <v>25921</v>
      </c>
      <c r="K521" s="0" t="n">
        <v>20978</v>
      </c>
      <c r="L521" s="0" t="n">
        <v>133832</v>
      </c>
      <c r="M521" s="0" t="n">
        <v>132963</v>
      </c>
      <c r="N521" s="0" t="n">
        <v>86883</v>
      </c>
      <c r="O521" s="0" t="n">
        <v>167</v>
      </c>
      <c r="P521" s="0" t="s">
        <v>184</v>
      </c>
      <c r="Q521" s="0" t="n">
        <v>0.124783310419033</v>
      </c>
      <c r="R521" s="0" t="n">
        <v>2.15546538885176</v>
      </c>
      <c r="S521" s="0" t="n">
        <v>-17</v>
      </c>
      <c r="T521" s="0" t="n">
        <v>907</v>
      </c>
      <c r="U521" s="0" t="n">
        <v>0</v>
      </c>
      <c r="V521" s="0" t="n">
        <v>18.342035357699</v>
      </c>
      <c r="W521" s="0" t="n">
        <v>20240630</v>
      </c>
      <c r="X521" s="0" t="n">
        <v>0.296387905667619</v>
      </c>
      <c r="Y521" s="0" t="n">
        <v>3.29</v>
      </c>
      <c r="Z521" s="0" t="s">
        <v>105</v>
      </c>
      <c r="AA521" s="0" t="n">
        <f aca="false">IF(AND(ISNUMBER(B521),B521&gt;0,ISNUMBER(U521),U521&gt;=0,ISNUMBER(O521),O521&gt;=0),1,0)</f>
        <v>1</v>
      </c>
      <c r="AB521" s="0" t="n">
        <f aca="false">IF(AA521=1,U521+O521,0)</f>
        <v>167</v>
      </c>
      <c r="AC521" s="0" t="n">
        <f aca="false">IF(AA521=1,100*AB521/B521,"")</f>
        <v>0.0879470421882488</v>
      </c>
      <c r="AD521" s="0" t="n">
        <f aca="false">IF(AND(AND(ISNUMBER(B521),B521=OriginalFinancials!B521),AND(ISNUMBER(U521),U521=OriginalFinancials!U521),AND(ISNUMBER(O521),O521=OriginalFinancials!O521)),0,1)</f>
        <v>0</v>
      </c>
      <c r="AE521" s="0" t="str">
        <f aca="false">IF(V521=0,"原始0：需核实适用/报告口径","")</f>
        <v/>
      </c>
    </row>
    <row r="522" customFormat="false" ht="15" hidden="false" customHeight="false" outlineLevel="0" collapsed="false">
      <c r="A522" s="0" t="n">
        <v>522</v>
      </c>
      <c r="B522" s="0" t="n">
        <v>602018</v>
      </c>
      <c r="C522" s="0" t="n">
        <v>29744</v>
      </c>
      <c r="D522" s="0" t="n">
        <v>471240</v>
      </c>
      <c r="E522" s="0" t="n">
        <v>-0.01</v>
      </c>
      <c r="F522" s="0" t="n">
        <v>46233</v>
      </c>
      <c r="G522" s="0" t="n">
        <v>7.67967070752037</v>
      </c>
      <c r="H522" s="0" t="s">
        <v>679</v>
      </c>
      <c r="I522" s="0" t="n">
        <v>0.793548594791231</v>
      </c>
      <c r="J522" s="0" t="n">
        <v>23531</v>
      </c>
      <c r="K522" s="0" t="n">
        <v>11348</v>
      </c>
      <c r="L522" s="0" t="n">
        <v>434882</v>
      </c>
      <c r="M522" s="0" t="n">
        <v>431431</v>
      </c>
      <c r="N522" s="0" t="n">
        <v>400003</v>
      </c>
      <c r="O522" s="0" t="n">
        <v>141</v>
      </c>
      <c r="P522" s="0" t="s">
        <v>186</v>
      </c>
      <c r="Q522" s="0" t="n">
        <v>0.0324225881963383</v>
      </c>
      <c r="R522" s="0" t="n">
        <v>2.1079483156263</v>
      </c>
      <c r="S522" s="0" t="n">
        <v>-1</v>
      </c>
      <c r="T522" s="0" t="n">
        <v>0</v>
      </c>
      <c r="U522" s="0" t="n">
        <v>0</v>
      </c>
      <c r="V522" s="0" t="n">
        <v>15.527357074635</v>
      </c>
      <c r="W522" s="0" t="n">
        <v>20240630</v>
      </c>
      <c r="X522" s="0" t="n">
        <v>0.296595325680526</v>
      </c>
      <c r="Y522" s="0" t="n">
        <v>3.8</v>
      </c>
      <c r="Z522" s="0" t="s">
        <v>123</v>
      </c>
      <c r="AA522" s="0" t="n">
        <f aca="false">IF(AND(ISNUMBER(B522),B522&gt;0,ISNUMBER(U522),U522&gt;=0,ISNUMBER(O522),O522&gt;=0),1,0)</f>
        <v>1</v>
      </c>
      <c r="AB522" s="0" t="n">
        <f aca="false">IF(AA522=1,U522+O522,0)</f>
        <v>141</v>
      </c>
      <c r="AC522" s="0" t="n">
        <f aca="false">IF(AA522=1,100*AB522/B522,"")</f>
        <v>0.0234212266078423</v>
      </c>
      <c r="AD522" s="0" t="n">
        <f aca="false">IF(AND(AND(ISNUMBER(B522),B522=OriginalFinancials!B522),AND(ISNUMBER(U522),U522=OriginalFinancials!U522),AND(ISNUMBER(O522),O522=OriginalFinancials!O522)),0,1)</f>
        <v>0</v>
      </c>
      <c r="AE522" s="0" t="str">
        <f aca="false">IF(V522=0,"原始0：需核实适用/报告口径","")</f>
        <v/>
      </c>
    </row>
    <row r="523" customFormat="false" ht="15" hidden="false" customHeight="false" outlineLevel="0" collapsed="false">
      <c r="A523" s="0" t="n">
        <v>523</v>
      </c>
      <c r="B523" s="0" t="n">
        <v>564787</v>
      </c>
      <c r="C523" s="0" t="n">
        <v>30350</v>
      </c>
      <c r="D523" s="0" t="n">
        <v>443952</v>
      </c>
      <c r="E523" s="0" t="n">
        <v>0.02</v>
      </c>
      <c r="F523" s="0" t="n">
        <v>57863</v>
      </c>
      <c r="G523" s="0" t="n">
        <v>10.24510125056</v>
      </c>
      <c r="H523" s="0" t="s">
        <v>680</v>
      </c>
      <c r="I523" s="0" t="n">
        <v>1.27341994255429</v>
      </c>
      <c r="J523" s="0" t="n">
        <v>16189</v>
      </c>
      <c r="K523" s="0" t="n">
        <v>1741</v>
      </c>
      <c r="L523" s="0" t="n">
        <v>416045</v>
      </c>
      <c r="M523" s="0" t="n">
        <v>410747</v>
      </c>
      <c r="N523" s="0" t="n">
        <v>396859</v>
      </c>
      <c r="O523" s="0" t="n">
        <v>1683</v>
      </c>
      <c r="P523" s="0" t="s">
        <v>188</v>
      </c>
      <c r="Q523" s="0" t="n">
        <v>0.40452354913531</v>
      </c>
      <c r="R523" s="0" t="n">
        <v>2.61238644826905</v>
      </c>
      <c r="S523" s="0" t="n">
        <v>-210</v>
      </c>
      <c r="T523" s="0" t="n">
        <v>1867</v>
      </c>
      <c r="U523" s="0" t="n">
        <v>0</v>
      </c>
      <c r="V523" s="0" t="n">
        <v>20.7901181982749</v>
      </c>
      <c r="W523" s="0" t="n">
        <v>20240630</v>
      </c>
      <c r="X523" s="0" t="n">
        <v>0.535675281474205</v>
      </c>
      <c r="Y523" s="0" t="n">
        <v>5.25</v>
      </c>
      <c r="Z523" s="0" t="s">
        <v>112</v>
      </c>
      <c r="AA523" s="0" t="n">
        <f aca="false">IF(AND(ISNUMBER(B523),B523&gt;0,ISNUMBER(U523),U523&gt;=0,ISNUMBER(O523),O523&gt;=0),1,0)</f>
        <v>1</v>
      </c>
      <c r="AB523" s="0" t="n">
        <f aca="false">IF(AA523=1,U523+O523,0)</f>
        <v>1683</v>
      </c>
      <c r="AC523" s="0" t="n">
        <f aca="false">IF(AA523=1,100*AB523/B523,"")</f>
        <v>0.297988445201465</v>
      </c>
      <c r="AD523" s="0" t="n">
        <f aca="false">IF(AND(AND(ISNUMBER(B523),B523=OriginalFinancials!B523),AND(ISNUMBER(U523),U523=OriginalFinancials!U523),AND(ISNUMBER(O523),O523=OriginalFinancials!O523)),0,1)</f>
        <v>0</v>
      </c>
      <c r="AE523" s="0" t="str">
        <f aca="false">IF(V523=0,"原始0：需核实适用/报告口径","")</f>
        <v/>
      </c>
    </row>
    <row r="524" customFormat="false" ht="15" hidden="false" customHeight="false" outlineLevel="0" collapsed="false">
      <c r="A524" s="0" t="n">
        <v>524</v>
      </c>
      <c r="B524" s="0" t="n">
        <v>102920</v>
      </c>
      <c r="C524" s="0" t="n">
        <v>30878</v>
      </c>
      <c r="D524" s="0" t="n">
        <v>76575</v>
      </c>
      <c r="E524" s="0" t="n">
        <v>-0.41</v>
      </c>
      <c r="F524" s="0" t="n">
        <v>12189</v>
      </c>
      <c r="G524" s="0" t="n">
        <v>11.843179168286</v>
      </c>
      <c r="H524" s="0" t="s">
        <v>681</v>
      </c>
      <c r="I524" s="0" t="n">
        <v>0.594400834883615</v>
      </c>
      <c r="J524" s="0" t="n">
        <v>0</v>
      </c>
      <c r="K524" s="0" t="n">
        <v>172</v>
      </c>
      <c r="L524" s="0" t="n">
        <v>88156</v>
      </c>
      <c r="M524" s="0" t="n">
        <v>87632</v>
      </c>
      <c r="N524" s="0" t="n">
        <v>87984</v>
      </c>
      <c r="O524" s="0" t="n">
        <v>1829</v>
      </c>
      <c r="P524" s="0" t="s">
        <v>190</v>
      </c>
      <c r="Q524" s="0" t="n">
        <v>2.07473115840102</v>
      </c>
      <c r="R524" s="0" t="n">
        <v>0.954583739989572</v>
      </c>
      <c r="S524" s="0" t="n">
        <v>0</v>
      </c>
      <c r="T524" s="0" t="n">
        <v>1197</v>
      </c>
      <c r="U524" s="0" t="n">
        <v>0</v>
      </c>
      <c r="V524" s="0" t="n">
        <v>0</v>
      </c>
      <c r="W524" s="0" t="n">
        <v>20240630</v>
      </c>
      <c r="X524" s="0" t="n">
        <v>-0.227714970329511</v>
      </c>
      <c r="Y524" s="0" t="n">
        <v>-1.92</v>
      </c>
      <c r="Z524" s="0" t="s">
        <v>105</v>
      </c>
      <c r="AA524" s="0" t="n">
        <f aca="false">IF(AND(ISNUMBER(B524),B524&gt;0,ISNUMBER(U524),U524&gt;=0,ISNUMBER(O524),O524&gt;=0),1,0)</f>
        <v>1</v>
      </c>
      <c r="AB524" s="0" t="n">
        <f aca="false">IF(AA524=1,U524+O524,0)</f>
        <v>1829</v>
      </c>
      <c r="AC524" s="0" t="n">
        <f aca="false">IF(AA524=1,100*AB524/B524,"")</f>
        <v>1.77710843373494</v>
      </c>
      <c r="AD524" s="0" t="n">
        <f aca="false">IF(AND(AND(ISNUMBER(B524),B524=OriginalFinancials!B524),AND(ISNUMBER(U524),U524=OriginalFinancials!U524),AND(ISNUMBER(O524),O524=OriginalFinancials!O524)),0,1)</f>
        <v>0</v>
      </c>
      <c r="AE524" s="0" t="str">
        <f aca="false">IF(V524=0,"原始0：需核实适用/报告口径","")</f>
        <v>原始0：需核实适用/报告口径</v>
      </c>
    </row>
    <row r="525" customFormat="false" ht="15" hidden="false" customHeight="false" outlineLevel="0" collapsed="false">
      <c r="A525" s="0" t="n">
        <v>525</v>
      </c>
      <c r="B525" s="0" t="n">
        <v>907185</v>
      </c>
      <c r="C525" s="0" t="n">
        <v>33418</v>
      </c>
      <c r="D525" s="0" t="n">
        <v>797623</v>
      </c>
      <c r="E525" s="0" t="n">
        <v>0.14</v>
      </c>
      <c r="F525" s="0" t="n">
        <v>68495</v>
      </c>
      <c r="G525" s="0" t="n">
        <v>7.55027916025948</v>
      </c>
      <c r="H525" s="0" t="s">
        <v>682</v>
      </c>
      <c r="I525" s="0" t="n">
        <v>0.687190320876959</v>
      </c>
      <c r="J525" s="0" t="n">
        <v>70095</v>
      </c>
      <c r="K525" s="0" t="n">
        <v>17201</v>
      </c>
      <c r="L525" s="0" t="n">
        <v>496078</v>
      </c>
      <c r="M525" s="0" t="n">
        <v>492669</v>
      </c>
      <c r="N525" s="0" t="n">
        <v>409365</v>
      </c>
      <c r="O525" s="0" t="n">
        <v>964</v>
      </c>
      <c r="P525" s="0" t="s">
        <v>192</v>
      </c>
      <c r="Q525" s="0" t="n">
        <v>0.194324279649571</v>
      </c>
      <c r="R525" s="0" t="n">
        <v>2.21373217341351</v>
      </c>
      <c r="S525" s="0" t="n">
        <v>-4</v>
      </c>
      <c r="T525" s="0" t="n">
        <v>641</v>
      </c>
      <c r="U525" s="0" t="n">
        <v>0</v>
      </c>
      <c r="V525" s="0" t="n">
        <v>14.3976303978601</v>
      </c>
      <c r="W525" s="0" t="n">
        <v>20240630</v>
      </c>
      <c r="X525" s="0" t="n">
        <v>0.374700273680357</v>
      </c>
      <c r="Y525" s="0" t="n">
        <v>4.84</v>
      </c>
      <c r="Z525" s="0" t="s">
        <v>112</v>
      </c>
      <c r="AA525" s="0" t="n">
        <f aca="false">IF(AND(ISNUMBER(B525),B525&gt;0,ISNUMBER(U525),U525&gt;=0,ISNUMBER(O525),O525&gt;=0),1,0)</f>
        <v>1</v>
      </c>
      <c r="AB525" s="0" t="n">
        <f aca="false">IF(AA525=1,U525+O525,0)</f>
        <v>964</v>
      </c>
      <c r="AC525" s="0" t="n">
        <f aca="false">IF(AA525=1,100*AB525/B525,"")</f>
        <v>0.106262779918098</v>
      </c>
      <c r="AD525" s="0" t="n">
        <f aca="false">IF(AND(AND(ISNUMBER(B525),B525=OriginalFinancials!B525),AND(ISNUMBER(U525),U525=OriginalFinancials!U525),AND(ISNUMBER(O525),O525=OriginalFinancials!O525)),0,1)</f>
        <v>0</v>
      </c>
      <c r="AE525" s="0" t="str">
        <f aca="false">IF(V525=0,"原始0：需核实适用/报告口径","")</f>
        <v/>
      </c>
    </row>
    <row r="526" customFormat="false" ht="15" hidden="false" customHeight="false" outlineLevel="0" collapsed="false">
      <c r="A526" s="0" t="n">
        <v>526</v>
      </c>
      <c r="B526" s="0" t="n">
        <v>84424</v>
      </c>
      <c r="C526" s="0" t="n">
        <v>35206</v>
      </c>
      <c r="D526" s="0" t="n">
        <v>500</v>
      </c>
      <c r="E526" s="0" t="n">
        <v>0</v>
      </c>
      <c r="F526" s="0" t="n">
        <v>82008</v>
      </c>
      <c r="G526" s="0" t="n">
        <v>97.1382545247797</v>
      </c>
      <c r="H526" s="0" t="s">
        <v>683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0</v>
      </c>
      <c r="O526" s="0" t="n">
        <v>0</v>
      </c>
      <c r="P526" s="0" t="s">
        <v>252</v>
      </c>
      <c r="Q526" s="0" t="n">
        <v>0</v>
      </c>
      <c r="R526" s="0" t="n">
        <v>4.69597610771469</v>
      </c>
      <c r="S526" s="0" t="n">
        <v>0</v>
      </c>
      <c r="T526" s="0" t="n">
        <v>0</v>
      </c>
      <c r="U526" s="0" t="n">
        <v>0</v>
      </c>
      <c r="V526" s="0" t="n">
        <v>0</v>
      </c>
      <c r="W526" s="0" t="n">
        <v>20240630</v>
      </c>
      <c r="X526" s="0" t="n">
        <v>18.8338919249121</v>
      </c>
      <c r="Y526" s="0" t="n">
        <v>19.52</v>
      </c>
      <c r="Z526" s="0" t="s">
        <v>123</v>
      </c>
      <c r="AA526" s="0" t="n">
        <f aca="false">IF(AND(ISNUMBER(B526),B526&gt;0,ISNUMBER(U526),U526&gt;=0,ISNUMBER(O526),O526&gt;=0),1,0)</f>
        <v>1</v>
      </c>
      <c r="AB526" s="0" t="n">
        <f aca="false">IF(AA526=1,U526+O526,0)</f>
        <v>0</v>
      </c>
      <c r="AC526" s="0" t="n">
        <f aca="false">IF(AA526=1,100*AB526/B526,"")</f>
        <v>0</v>
      </c>
      <c r="AD526" s="0" t="n">
        <f aca="false">IF(AND(AND(ISNUMBER(B526),B526=OriginalFinancials!B526),AND(ISNUMBER(U526),U526=OriginalFinancials!U526),AND(ISNUMBER(O526),O526=OriginalFinancials!O526)),0,1)</f>
        <v>0</v>
      </c>
      <c r="AE526" s="0" t="str">
        <f aca="false">IF(V526=0,"原始0：需核实适用/报告口径","")</f>
        <v>原始0：需核实适用/报告口径</v>
      </c>
    </row>
    <row r="527" customFormat="false" ht="15" hidden="false" customHeight="false" outlineLevel="0" collapsed="false">
      <c r="A527" s="0" t="n">
        <v>527</v>
      </c>
      <c r="B527" s="0" t="n">
        <v>5709625</v>
      </c>
      <c r="C527" s="0" t="n">
        <v>4255</v>
      </c>
      <c r="D527" s="0" t="n">
        <v>4547560</v>
      </c>
      <c r="E527" s="0" t="n">
        <v>-0.02</v>
      </c>
      <c r="F527" s="0" t="n">
        <v>521498</v>
      </c>
      <c r="G527" s="0" t="n">
        <v>9.13366464522627</v>
      </c>
      <c r="H527" s="0" t="s">
        <v>684</v>
      </c>
      <c r="I527" s="0" t="n">
        <v>0.852544802418673</v>
      </c>
      <c r="J527" s="0" t="n">
        <v>336171</v>
      </c>
      <c r="K527" s="0" t="n">
        <v>16595</v>
      </c>
      <c r="L527" s="0" t="n">
        <v>4153682</v>
      </c>
      <c r="M527" s="0" t="n">
        <v>4118270</v>
      </c>
      <c r="N527" s="0" t="n">
        <v>3763309</v>
      </c>
      <c r="O527" s="0" t="n">
        <v>7795</v>
      </c>
      <c r="P527" s="0" t="s">
        <v>194</v>
      </c>
      <c r="Q527" s="0" t="n">
        <v>0.187664823643216</v>
      </c>
      <c r="R527" s="0" t="n">
        <v>2.45330570465421</v>
      </c>
      <c r="S527" s="0" t="n">
        <v>547</v>
      </c>
      <c r="T527" s="0" t="n">
        <v>2245</v>
      </c>
      <c r="U527" s="0" t="n">
        <v>0</v>
      </c>
      <c r="V527" s="0" t="n">
        <v>13.8306326550339</v>
      </c>
      <c r="W527" s="0" t="n">
        <v>20240630</v>
      </c>
      <c r="X527" s="0" t="n">
        <v>0.924812905065092</v>
      </c>
      <c r="Y527" s="0" t="n">
        <v>10.3</v>
      </c>
      <c r="Z527" s="0" t="s">
        <v>105</v>
      </c>
      <c r="AA527" s="0" t="n">
        <f aca="false">IF(AND(ISNUMBER(B527),B527&gt;0,ISNUMBER(U527),U527&gt;=0,ISNUMBER(O527),O527&gt;=0),1,0)</f>
        <v>1</v>
      </c>
      <c r="AB527" s="0" t="n">
        <f aca="false">IF(AA527=1,U527+O527,0)</f>
        <v>7795</v>
      </c>
      <c r="AC527" s="0" t="n">
        <f aca="false">IF(AA527=1,100*AB527/B527,"")</f>
        <v>0.136523852267005</v>
      </c>
      <c r="AD527" s="0" t="n">
        <f aca="false">IF(AND(AND(ISNUMBER(B527),B527=OriginalFinancials!B527),AND(ISNUMBER(U527),U527=OriginalFinancials!U527),AND(ISNUMBER(O527),O527=OriginalFinancials!O527)),0,1)</f>
        <v>0</v>
      </c>
      <c r="AE527" s="0" t="str">
        <f aca="false">IF(V527=0,"原始0：需核实适用/报告口径","")</f>
        <v/>
      </c>
    </row>
    <row r="528" customFormat="false" ht="15" hidden="false" customHeight="false" outlineLevel="0" collapsed="false">
      <c r="A528" s="0" t="n">
        <v>528</v>
      </c>
      <c r="B528" s="0" t="n">
        <v>3049270</v>
      </c>
      <c r="C528" s="0" t="n">
        <v>4256</v>
      </c>
      <c r="D528" s="0" t="n">
        <v>2578790</v>
      </c>
      <c r="E528" s="0" t="n">
        <v>0</v>
      </c>
      <c r="F528" s="0" t="n">
        <v>215996</v>
      </c>
      <c r="G528" s="0" t="n">
        <v>7.08353146818747</v>
      </c>
      <c r="H528" s="0" t="s">
        <v>685</v>
      </c>
      <c r="I528" s="0" t="n">
        <v>1.09860433248653</v>
      </c>
      <c r="J528" s="0" t="n">
        <v>328850</v>
      </c>
      <c r="K528" s="0" t="n">
        <v>20514</v>
      </c>
      <c r="L528" s="0" t="n">
        <v>2247670</v>
      </c>
      <c r="M528" s="0" t="n">
        <v>2222977</v>
      </c>
      <c r="N528" s="0" t="n">
        <v>1791622</v>
      </c>
      <c r="O528" s="0" t="n">
        <v>2564</v>
      </c>
      <c r="P528" s="0" t="s">
        <v>196</v>
      </c>
      <c r="Q528" s="0" t="n">
        <v>0.117944360159632</v>
      </c>
      <c r="R528" s="0" t="n">
        <v>2.15400167285319</v>
      </c>
      <c r="S528" s="0" t="n">
        <v>-25</v>
      </c>
      <c r="T528" s="0" t="n">
        <v>2235</v>
      </c>
      <c r="U528" s="0" t="n">
        <v>87</v>
      </c>
      <c r="V528" s="0" t="n">
        <v>13.1885325111592</v>
      </c>
      <c r="W528" s="0" t="n">
        <v>20240630</v>
      </c>
      <c r="X528" s="0" t="n">
        <v>0.857312303576122</v>
      </c>
      <c r="Y528" s="0" t="n">
        <v>11.84</v>
      </c>
      <c r="Z528" s="0" t="s">
        <v>105</v>
      </c>
      <c r="AA528" s="0" t="n">
        <f aca="false">IF(AND(ISNUMBER(B528),B528&gt;0,ISNUMBER(U528),U528&gt;=0,ISNUMBER(O528),O528&gt;=0),1,0)</f>
        <v>1</v>
      </c>
      <c r="AB528" s="0" t="n">
        <f aca="false">IF(AA528=1,U528+O528,0)</f>
        <v>2651</v>
      </c>
      <c r="AC528" s="0" t="n">
        <f aca="false">IF(AA528=1,100*AB528/B528,"")</f>
        <v>0.086938841099673</v>
      </c>
      <c r="AD528" s="0" t="n">
        <f aca="false">IF(AND(AND(ISNUMBER(B528),B528=OriginalFinancials!B528),AND(ISNUMBER(U528),U528=OriginalFinancials!U528),AND(ISNUMBER(O528),O528=OriginalFinancials!O528)),0,1)</f>
        <v>0</v>
      </c>
      <c r="AE528" s="0" t="str">
        <f aca="false">IF(V528=0,"原始0：需核实适用/报告口径","")</f>
        <v/>
      </c>
    </row>
    <row r="529" customFormat="false" ht="15" hidden="false" customHeight="false" outlineLevel="0" collapsed="false">
      <c r="A529" s="0" t="n">
        <v>529</v>
      </c>
      <c r="B529" s="0" t="n">
        <v>706680</v>
      </c>
      <c r="C529" s="0" t="n">
        <v>59086</v>
      </c>
      <c r="D529" s="0" t="n">
        <v>602024</v>
      </c>
      <c r="E529" s="0" t="n">
        <v>0.13</v>
      </c>
      <c r="F529" s="0" t="n">
        <v>93282</v>
      </c>
      <c r="G529" s="0" t="n">
        <v>13.2000339616234</v>
      </c>
      <c r="H529" s="0" t="s">
        <v>686</v>
      </c>
      <c r="I529" s="0" t="n">
        <v>0.973145162782327</v>
      </c>
      <c r="J529" s="0" t="n">
        <v>119550</v>
      </c>
      <c r="K529" s="0" t="n">
        <v>0</v>
      </c>
      <c r="L529" s="0" t="n">
        <v>594567</v>
      </c>
      <c r="M529" s="0" t="n">
        <v>588781</v>
      </c>
      <c r="N529" s="0" t="n">
        <v>475386</v>
      </c>
      <c r="O529" s="0" t="n">
        <v>4045</v>
      </c>
      <c r="P529" s="0" t="s">
        <v>198</v>
      </c>
      <c r="Q529" s="0" t="n">
        <v>0.358916656995763</v>
      </c>
      <c r="R529" s="0" t="n">
        <v>3.75691693165665</v>
      </c>
      <c r="S529" s="0" t="n">
        <v>326</v>
      </c>
      <c r="T529" s="0" t="n">
        <v>4573</v>
      </c>
      <c r="U529" s="0" t="n">
        <v>0</v>
      </c>
      <c r="V529" s="0" t="n">
        <v>15.7258590273076</v>
      </c>
      <c r="W529" s="0" t="n">
        <v>20240630</v>
      </c>
      <c r="X529" s="0" t="n">
        <v>1.41567060766831</v>
      </c>
      <c r="Y529" s="0" t="n">
        <v>10.9</v>
      </c>
      <c r="Z529" s="0" t="s">
        <v>123</v>
      </c>
      <c r="AA529" s="0" t="n">
        <f aca="false">IF(AND(ISNUMBER(B529),B529&gt;0,ISNUMBER(U529),U529&gt;=0,ISNUMBER(O529),O529&gt;=0),1,0)</f>
        <v>1</v>
      </c>
      <c r="AB529" s="0" t="n">
        <f aca="false">IF(AA529=1,U529+O529,0)</f>
        <v>4045</v>
      </c>
      <c r="AC529" s="0" t="n">
        <f aca="false">IF(AA529=1,100*AB529/B529,"")</f>
        <v>0.572394860474331</v>
      </c>
      <c r="AD529" s="0" t="n">
        <f aca="false">IF(AND(AND(ISNUMBER(B529),B529=OriginalFinancials!B529),AND(ISNUMBER(U529),U529=OriginalFinancials!U529),AND(ISNUMBER(O529),O529=OriginalFinancials!O529)),0,1)</f>
        <v>0</v>
      </c>
      <c r="AE529" s="0" t="str">
        <f aca="false">IF(V529=0,"原始0：需核实适用/报告口径","")</f>
        <v/>
      </c>
    </row>
    <row r="530" customFormat="false" ht="15" hidden="false" customHeight="false" outlineLevel="0" collapsed="false">
      <c r="A530" s="0" t="n">
        <v>530</v>
      </c>
      <c r="B530" s="0" t="n">
        <v>229589</v>
      </c>
      <c r="C530" s="0" t="n">
        <v>59176</v>
      </c>
      <c r="D530" s="0" t="n">
        <v>190049</v>
      </c>
      <c r="E530" s="0" t="n">
        <v>0.09</v>
      </c>
      <c r="F530" s="0" t="n">
        <v>26811</v>
      </c>
      <c r="G530" s="0" t="n">
        <v>11.6778242860067</v>
      </c>
      <c r="H530" s="0" t="s">
        <v>687</v>
      </c>
      <c r="I530" s="0" t="n">
        <v>0.961262725230607</v>
      </c>
      <c r="J530" s="0" t="n">
        <v>21990</v>
      </c>
      <c r="K530" s="0" t="n">
        <v>1</v>
      </c>
      <c r="L530" s="0" t="n">
        <v>167384</v>
      </c>
      <c r="M530" s="0" t="n">
        <v>165775</v>
      </c>
      <c r="N530" s="0" t="n">
        <v>145359</v>
      </c>
      <c r="O530" s="0" t="n">
        <v>0</v>
      </c>
      <c r="P530" s="0" t="s">
        <v>200</v>
      </c>
      <c r="Q530" s="0" t="n">
        <v>0</v>
      </c>
      <c r="R530" s="0" t="n">
        <v>2.33544128301684</v>
      </c>
      <c r="S530" s="0" t="n">
        <v>-32</v>
      </c>
      <c r="T530" s="0" t="n">
        <v>2371</v>
      </c>
      <c r="U530" s="0" t="n">
        <v>0</v>
      </c>
      <c r="V530" s="0" t="n">
        <v>0</v>
      </c>
      <c r="W530" s="0" t="n">
        <v>20240630</v>
      </c>
      <c r="X530" s="0" t="n">
        <v>-0.0574175999443223</v>
      </c>
      <c r="Y530" s="0" t="n">
        <v>-0.52</v>
      </c>
      <c r="Z530" s="0" t="s">
        <v>123</v>
      </c>
      <c r="AA530" s="0" t="n">
        <f aca="false">IF(AND(ISNUMBER(B530),B530&gt;0,ISNUMBER(U530),U530&gt;=0,ISNUMBER(O530),O530&gt;=0),1,0)</f>
        <v>1</v>
      </c>
      <c r="AB530" s="0" t="n">
        <f aca="false">IF(AA530=1,U530+O530,0)</f>
        <v>0</v>
      </c>
      <c r="AC530" s="0" t="n">
        <f aca="false">IF(AA530=1,100*AB530/B530,"")</f>
        <v>0</v>
      </c>
      <c r="AD530" s="0" t="n">
        <f aca="false">IF(AND(AND(ISNUMBER(B530),B530=OriginalFinancials!B530),AND(ISNUMBER(U530),U530=OriginalFinancials!U530),AND(ISNUMBER(O530),O530=OriginalFinancials!O530)),0,1)</f>
        <v>0</v>
      </c>
      <c r="AE530" s="0" t="str">
        <f aca="false">IF(V530=0,"原始0：需核实适用/报告口径","")</f>
        <v>原始0：需核实适用/报告口径</v>
      </c>
    </row>
    <row r="531" customFormat="false" ht="15" hidden="false" customHeight="false" outlineLevel="0" collapsed="false">
      <c r="A531" s="0" t="n">
        <v>531</v>
      </c>
      <c r="B531" s="0" t="n">
        <v>105919</v>
      </c>
      <c r="C531" s="0" t="n">
        <v>59289</v>
      </c>
      <c r="D531" s="0" t="n">
        <v>86145</v>
      </c>
      <c r="E531" s="0" t="n">
        <v>0.29</v>
      </c>
      <c r="F531" s="0" t="n">
        <v>18695</v>
      </c>
      <c r="G531" s="0" t="n">
        <v>17.6502799308906</v>
      </c>
      <c r="H531" s="0" t="s">
        <v>688</v>
      </c>
      <c r="I531" s="0" t="n">
        <v>1.16018765451325</v>
      </c>
      <c r="J531" s="0" t="n">
        <v>29253</v>
      </c>
      <c r="K531" s="0" t="n">
        <v>0</v>
      </c>
      <c r="L531" s="0" t="n">
        <v>51371</v>
      </c>
      <c r="M531" s="0" t="n">
        <v>50775</v>
      </c>
      <c r="N531" s="0" t="n">
        <v>20661</v>
      </c>
      <c r="O531" s="0" t="n">
        <v>326</v>
      </c>
      <c r="P531" s="0" t="s">
        <v>364</v>
      </c>
      <c r="Q531" s="0" t="n">
        <v>0.634599287535769</v>
      </c>
      <c r="R531" s="0" t="n">
        <v>4.06258129250437</v>
      </c>
      <c r="S531" s="0" t="n">
        <v>0</v>
      </c>
      <c r="T531" s="0" t="n">
        <v>4505</v>
      </c>
      <c r="U531" s="0" t="n">
        <v>0</v>
      </c>
      <c r="V531" s="0" t="n">
        <v>0</v>
      </c>
      <c r="W531" s="0" t="n">
        <v>20240630</v>
      </c>
      <c r="X531" s="0" t="n">
        <v>-1.13039059096849</v>
      </c>
      <c r="Y531" s="0" t="n">
        <v>-5.49</v>
      </c>
      <c r="Z531" s="0" t="s">
        <v>123</v>
      </c>
      <c r="AA531" s="0" t="n">
        <f aca="false">IF(AND(ISNUMBER(B531),B531&gt;0,ISNUMBER(U531),U531&gt;=0,ISNUMBER(O531),O531&gt;=0),1,0)</f>
        <v>1</v>
      </c>
      <c r="AB531" s="0" t="n">
        <f aca="false">IF(AA531=1,U531+O531,0)</f>
        <v>326</v>
      </c>
      <c r="AC531" s="0" t="n">
        <f aca="false">IF(AA531=1,100*AB531/B531,"")</f>
        <v>0.307782361993599</v>
      </c>
      <c r="AD531" s="0" t="n">
        <f aca="false">IF(AND(AND(ISNUMBER(B531),B531=OriginalFinancials!B531),AND(ISNUMBER(U531),U531=OriginalFinancials!U531),AND(ISNUMBER(O531),O531=OriginalFinancials!O531)),0,1)</f>
        <v>0</v>
      </c>
      <c r="AE531" s="0" t="str">
        <f aca="false">IF(V531=0,"原始0：需核实适用/报告口径","")</f>
        <v>原始0：需核实适用/报告口径</v>
      </c>
    </row>
    <row r="532" customFormat="false" ht="15" hidden="false" customHeight="false" outlineLevel="0" collapsed="false">
      <c r="A532" s="0" t="n">
        <v>532</v>
      </c>
      <c r="B532" s="0" t="n">
        <v>218470</v>
      </c>
      <c r="C532" s="0" t="n">
        <v>59298</v>
      </c>
      <c r="D532" s="0" t="n">
        <v>191471</v>
      </c>
      <c r="E532" s="0" t="n">
        <v>0.25</v>
      </c>
      <c r="F532" s="0" t="n">
        <v>25754</v>
      </c>
      <c r="G532" s="0" t="n">
        <v>11.7883462260265</v>
      </c>
      <c r="H532" s="0" t="s">
        <v>689</v>
      </c>
      <c r="I532" s="0" t="n">
        <v>0.788515972503033</v>
      </c>
      <c r="J532" s="0" t="n">
        <v>19454</v>
      </c>
      <c r="K532" s="0" t="n">
        <v>0</v>
      </c>
      <c r="L532" s="0" t="n">
        <v>98920</v>
      </c>
      <c r="M532" s="0" t="n">
        <v>98140</v>
      </c>
      <c r="N532" s="0" t="n">
        <v>79488</v>
      </c>
      <c r="O532" s="0" t="n">
        <v>0</v>
      </c>
      <c r="P532" s="0" t="s">
        <v>310</v>
      </c>
      <c r="Q532" s="0" t="n">
        <v>0</v>
      </c>
      <c r="R532" s="0" t="n">
        <v>2.09333816771864</v>
      </c>
      <c r="S532" s="0" t="n">
        <v>0</v>
      </c>
      <c r="T532" s="0" t="n">
        <v>0</v>
      </c>
      <c r="U532" s="0" t="n">
        <v>0</v>
      </c>
      <c r="V532" s="0" t="n">
        <v>0</v>
      </c>
      <c r="W532" s="0" t="n">
        <v>20240630</v>
      </c>
      <c r="X532" s="0" t="n">
        <v>-1.24942004259719</v>
      </c>
      <c r="Y532" s="0" t="n">
        <v>-8.62</v>
      </c>
      <c r="Z532" s="0" t="s">
        <v>112</v>
      </c>
      <c r="AA532" s="0" t="n">
        <f aca="false">IF(AND(ISNUMBER(B532),B532&gt;0,ISNUMBER(U532),U532&gt;=0,ISNUMBER(O532),O532&gt;=0),1,0)</f>
        <v>1</v>
      </c>
      <c r="AB532" s="0" t="n">
        <f aca="false">IF(AA532=1,U532+O532,0)</f>
        <v>0</v>
      </c>
      <c r="AC532" s="0" t="n">
        <f aca="false">IF(AA532=1,100*AB532/B532,"")</f>
        <v>0</v>
      </c>
      <c r="AD532" s="0" t="n">
        <f aca="false">IF(AND(AND(ISNUMBER(B532),B532=OriginalFinancials!B532),AND(ISNUMBER(U532),U532=OriginalFinancials!U532),AND(ISNUMBER(O532),O532=OriginalFinancials!O532)),0,1)</f>
        <v>0</v>
      </c>
      <c r="AE532" s="0" t="str">
        <f aca="false">IF(V532=0,"原始0：需核实适用/报告口径","")</f>
        <v>原始0：需核实适用/报告口径</v>
      </c>
    </row>
    <row r="533" customFormat="false" ht="15" hidden="false" customHeight="false" outlineLevel="0" collapsed="false">
      <c r="A533" s="0" t="n">
        <v>533</v>
      </c>
      <c r="B533" s="0" t="n">
        <v>1099892</v>
      </c>
      <c r="C533" s="0" t="n">
        <v>6271</v>
      </c>
      <c r="D533" s="0" t="n">
        <v>850097</v>
      </c>
      <c r="E533" s="0" t="n">
        <v>0.12</v>
      </c>
      <c r="F533" s="0" t="n">
        <v>103229</v>
      </c>
      <c r="G533" s="0" t="n">
        <v>9.38537601873639</v>
      </c>
      <c r="H533" s="0" t="s">
        <v>690</v>
      </c>
      <c r="I533" s="0" t="n">
        <v>1.1977144234435</v>
      </c>
      <c r="J533" s="0" t="n">
        <v>129288</v>
      </c>
      <c r="K533" s="0" t="n">
        <v>7297</v>
      </c>
      <c r="L533" s="0" t="n">
        <v>862977</v>
      </c>
      <c r="M533" s="0" t="n">
        <v>852641</v>
      </c>
      <c r="N533" s="0" t="n">
        <v>686602</v>
      </c>
      <c r="O533" s="0" t="n">
        <v>5816</v>
      </c>
      <c r="P533" s="0" t="s">
        <v>202</v>
      </c>
      <c r="Q533" s="0" t="n">
        <v>0.751584341181746</v>
      </c>
      <c r="R533" s="0" t="n">
        <v>3.28546061949211</v>
      </c>
      <c r="S533" s="0" t="n">
        <v>177</v>
      </c>
      <c r="T533" s="0" t="n">
        <v>1210</v>
      </c>
      <c r="U533" s="0" t="n">
        <v>670</v>
      </c>
      <c r="V533" s="0" t="n">
        <v>14.8842709917216</v>
      </c>
      <c r="W533" s="0" t="n">
        <v>20240630</v>
      </c>
      <c r="X533" s="0" t="n">
        <v>1.11624647825961</v>
      </c>
      <c r="Y533" s="0" t="n">
        <v>12.06</v>
      </c>
      <c r="Z533" s="0" t="s">
        <v>112</v>
      </c>
      <c r="AA533" s="0" t="n">
        <f aca="false">IF(AND(ISNUMBER(B533),B533&gt;0,ISNUMBER(U533),U533&gt;=0,ISNUMBER(O533),O533&gt;=0),1,0)</f>
        <v>1</v>
      </c>
      <c r="AB533" s="0" t="n">
        <f aca="false">IF(AA533=1,U533+O533,0)</f>
        <v>6486</v>
      </c>
      <c r="AC533" s="0" t="n">
        <f aca="false">IF(AA533=1,100*AB533/B533,"")</f>
        <v>0.589694260891069</v>
      </c>
      <c r="AD533" s="0" t="n">
        <f aca="false">IF(AND(AND(ISNUMBER(B533),B533=OriginalFinancials!B533),AND(ISNUMBER(U533),U533=OriginalFinancials!U533),AND(ISNUMBER(O533),O533=OriginalFinancials!O533)),0,1)</f>
        <v>0</v>
      </c>
      <c r="AE533" s="0" t="str">
        <f aca="false">IF(V533=0,"原始0：需核实适用/报告口径","")</f>
        <v/>
      </c>
    </row>
    <row r="534" customFormat="false" ht="15" hidden="false" customHeight="false" outlineLevel="0" collapsed="false">
      <c r="A534" s="0" t="n">
        <v>534</v>
      </c>
      <c r="B534" s="0" t="n">
        <v>555322</v>
      </c>
      <c r="C534" s="0" t="n">
        <v>6275</v>
      </c>
      <c r="D534" s="0" t="n">
        <v>475950</v>
      </c>
      <c r="E534" s="0" t="n">
        <v>0.02</v>
      </c>
      <c r="F534" s="0" t="n">
        <v>30528</v>
      </c>
      <c r="G534" s="0" t="n">
        <v>5.49735108639672</v>
      </c>
      <c r="H534" s="0" t="s">
        <v>691</v>
      </c>
      <c r="I534" s="0" t="n">
        <v>0.408619415053366</v>
      </c>
      <c r="J534" s="0" t="n">
        <v>39014</v>
      </c>
      <c r="K534" s="0" t="n">
        <v>10906</v>
      </c>
      <c r="L534" s="0" t="n">
        <v>346288</v>
      </c>
      <c r="M534" s="0" t="n">
        <v>344873</v>
      </c>
      <c r="N534" s="0" t="n">
        <v>286833</v>
      </c>
      <c r="O534" s="0" t="n">
        <v>1132</v>
      </c>
      <c r="P534" s="0" t="s">
        <v>204</v>
      </c>
      <c r="Q534" s="0" t="n">
        <v>0.326895532042693</v>
      </c>
      <c r="R534" s="0" t="n">
        <v>2.76773551547238</v>
      </c>
      <c r="S534" s="0" t="n">
        <v>10</v>
      </c>
      <c r="T534" s="0" t="n">
        <v>525</v>
      </c>
      <c r="U534" s="0" t="n">
        <v>0</v>
      </c>
      <c r="V534" s="0" t="n">
        <v>14.8227959202203</v>
      </c>
      <c r="W534" s="0" t="n">
        <v>20240630</v>
      </c>
      <c r="X534" s="0" t="n">
        <v>0.484528661086993</v>
      </c>
      <c r="Y534" s="0" t="n">
        <v>8.86</v>
      </c>
      <c r="Z534" s="0" t="s">
        <v>112</v>
      </c>
      <c r="AA534" s="0" t="n">
        <f aca="false">IF(AND(ISNUMBER(B534),B534&gt;0,ISNUMBER(U534),U534&gt;=0,ISNUMBER(O534),O534&gt;=0),1,0)</f>
        <v>1</v>
      </c>
      <c r="AB534" s="0" t="n">
        <f aca="false">IF(AA534=1,U534+O534,0)</f>
        <v>1132</v>
      </c>
      <c r="AC534" s="0" t="n">
        <f aca="false">IF(AA534=1,100*AB534/B534,"")</f>
        <v>0.203845696730906</v>
      </c>
      <c r="AD534" s="0" t="n">
        <f aca="false">IF(AND(AND(ISNUMBER(B534),B534=OriginalFinancials!B534),AND(ISNUMBER(U534),U534=OriginalFinancials!U534),AND(ISNUMBER(O534),O534=OriginalFinancials!O534)),0,1)</f>
        <v>0</v>
      </c>
      <c r="AE534" s="0" t="str">
        <f aca="false">IF(V534=0,"原始0：需核实适用/报告口径","")</f>
        <v/>
      </c>
    </row>
    <row r="535" customFormat="false" ht="15" hidden="false" customHeight="false" outlineLevel="0" collapsed="false">
      <c r="A535" s="0" t="n">
        <v>535</v>
      </c>
      <c r="B535" s="0" t="n">
        <v>81265</v>
      </c>
      <c r="C535" s="0" t="n">
        <v>6280</v>
      </c>
      <c r="D535" s="0" t="n">
        <v>71124</v>
      </c>
      <c r="E535" s="0" t="n">
        <v>0.01</v>
      </c>
      <c r="F535" s="0" t="n">
        <v>9570</v>
      </c>
      <c r="G535" s="0" t="n">
        <v>11.7762874546238</v>
      </c>
      <c r="H535" s="0" t="s">
        <v>692</v>
      </c>
      <c r="I535" s="0" t="n">
        <v>1.30825599860142</v>
      </c>
      <c r="J535" s="0" t="n">
        <v>4325</v>
      </c>
      <c r="K535" s="0" t="n">
        <v>1574</v>
      </c>
      <c r="L535" s="0" t="n">
        <v>68641</v>
      </c>
      <c r="M535" s="0" t="n">
        <v>67743</v>
      </c>
      <c r="N535" s="0" t="n">
        <v>59949</v>
      </c>
      <c r="O535" s="0" t="n">
        <v>1206</v>
      </c>
      <c r="P535" s="0" t="s">
        <v>206</v>
      </c>
      <c r="Q535" s="0" t="n">
        <v>1.75696741014845</v>
      </c>
      <c r="R535" s="0" t="n">
        <v>4.66340562662571</v>
      </c>
      <c r="S535" s="0" t="n">
        <v>1</v>
      </c>
      <c r="T535" s="0" t="n">
        <v>566</v>
      </c>
      <c r="U535" s="0" t="n">
        <v>0</v>
      </c>
      <c r="V535" s="0" t="n">
        <v>0</v>
      </c>
      <c r="W535" s="0" t="n">
        <v>20240630</v>
      </c>
      <c r="X535" s="0" t="n">
        <v>1.4362928525532</v>
      </c>
      <c r="Y535" s="0" t="n">
        <v>11.96</v>
      </c>
      <c r="Z535" s="0" t="s">
        <v>112</v>
      </c>
      <c r="AA535" s="0" t="n">
        <f aca="false">IF(AND(ISNUMBER(B535),B535&gt;0,ISNUMBER(U535),U535&gt;=0,ISNUMBER(O535),O535&gt;=0),1,0)</f>
        <v>1</v>
      </c>
      <c r="AB535" s="0" t="n">
        <f aca="false">IF(AA535=1,U535+O535,0)</f>
        <v>1206</v>
      </c>
      <c r="AC535" s="0" t="n">
        <f aca="false">IF(AA535=1,100*AB535/B535,"")</f>
        <v>1.48403371685227</v>
      </c>
      <c r="AD535" s="0" t="n">
        <f aca="false">IF(AND(AND(ISNUMBER(B535),B535=OriginalFinancials!B535),AND(ISNUMBER(U535),U535=OriginalFinancials!U535),AND(ISNUMBER(O535),O535=OriginalFinancials!O535)),0,1)</f>
        <v>0</v>
      </c>
      <c r="AE535" s="0" t="str">
        <f aca="false">IF(V535=0,"原始0：需核实适用/报告口径","")</f>
        <v>原始0：需核实适用/报告口径</v>
      </c>
    </row>
    <row r="536" customFormat="false" ht="15" hidden="false" customHeight="false" outlineLevel="0" collapsed="false">
      <c r="A536" s="0" t="n">
        <v>536</v>
      </c>
      <c r="B536" s="0" t="n">
        <v>4025992</v>
      </c>
      <c r="C536" s="0" t="n">
        <v>11971</v>
      </c>
      <c r="D536" s="0" t="n">
        <v>3269616</v>
      </c>
      <c r="E536" s="0" t="n">
        <v>0.03</v>
      </c>
      <c r="F536" s="0" t="n">
        <v>513464</v>
      </c>
      <c r="G536" s="0" t="n">
        <v>12.7537262865897</v>
      </c>
      <c r="H536" s="0" t="s">
        <v>693</v>
      </c>
      <c r="I536" s="0" t="n">
        <v>0.941386120758078</v>
      </c>
      <c r="J536" s="0" t="n">
        <v>208964</v>
      </c>
      <c r="K536" s="0" t="n">
        <v>7873</v>
      </c>
      <c r="L536" s="0" t="n">
        <v>3083007</v>
      </c>
      <c r="M536" s="0" t="n">
        <v>3053984</v>
      </c>
      <c r="N536" s="0" t="n">
        <v>2726474</v>
      </c>
      <c r="O536" s="0" t="n">
        <v>7100</v>
      </c>
      <c r="P536" s="0" t="s">
        <v>104</v>
      </c>
      <c r="Q536" s="0" t="n">
        <v>0.230294644157473</v>
      </c>
      <c r="R536" s="0" t="n">
        <v>3.2481714510262</v>
      </c>
      <c r="S536" s="0" t="n">
        <v>221</v>
      </c>
      <c r="T536" s="0" t="n">
        <v>2038</v>
      </c>
      <c r="U536" s="0" t="n">
        <v>0</v>
      </c>
      <c r="V536" s="0" t="n">
        <v>14.1709737676617</v>
      </c>
      <c r="W536" s="0" t="n">
        <v>20240930</v>
      </c>
      <c r="X536" s="0" t="n">
        <v>1.25603124970666</v>
      </c>
      <c r="Y536" s="0" t="n">
        <v>10.14</v>
      </c>
      <c r="Z536" s="0" t="s">
        <v>105</v>
      </c>
      <c r="AA536" s="0" t="n">
        <f aca="false">IF(AND(ISNUMBER(B536),B536&gt;0,ISNUMBER(U536),U536&gt;=0,ISNUMBER(O536),O536&gt;=0),1,0)</f>
        <v>1</v>
      </c>
      <c r="AB536" s="0" t="n">
        <f aca="false">IF(AA536=1,U536+O536,0)</f>
        <v>7100</v>
      </c>
      <c r="AC536" s="0" t="n">
        <f aca="false">IF(AA536=1,100*AB536/B536,"")</f>
        <v>0.176354051374171</v>
      </c>
      <c r="AD536" s="0" t="n">
        <f aca="false">IF(AND(AND(ISNUMBER(B536),B536=OriginalFinancials!B536),AND(ISNUMBER(U536),U536=OriginalFinancials!U536),AND(ISNUMBER(O536),O536=OriginalFinancials!O536)),0,1)</f>
        <v>0</v>
      </c>
      <c r="AE536" s="0" t="str">
        <f aca="false">IF(V536=0,"原始0：需核实适用/报告口径","")</f>
        <v/>
      </c>
    </row>
    <row r="537" customFormat="false" ht="15" hidden="false" customHeight="false" outlineLevel="0" collapsed="false">
      <c r="A537" s="0" t="n">
        <v>537</v>
      </c>
      <c r="B537" s="0" t="n">
        <v>1048081</v>
      </c>
      <c r="C537" s="0" t="n">
        <v>12874</v>
      </c>
      <c r="D537" s="0" t="n">
        <v>886959</v>
      </c>
      <c r="E537" s="0" t="n">
        <v>-0.01</v>
      </c>
      <c r="F537" s="0" t="n">
        <v>113573</v>
      </c>
      <c r="G537" s="0" t="n">
        <v>10.8362807836417</v>
      </c>
      <c r="H537" s="0" t="s">
        <v>694</v>
      </c>
      <c r="I537" s="0" t="n">
        <v>0.962254165632872</v>
      </c>
      <c r="J537" s="0" t="n">
        <v>162708</v>
      </c>
      <c r="K537" s="0" t="n">
        <v>4774</v>
      </c>
      <c r="L537" s="0" t="n">
        <v>818183</v>
      </c>
      <c r="M537" s="0" t="n">
        <v>810310</v>
      </c>
      <c r="N537" s="0" t="n">
        <v>635002</v>
      </c>
      <c r="O537" s="0" t="n">
        <v>1535</v>
      </c>
      <c r="P537" s="0" t="s">
        <v>107</v>
      </c>
      <c r="Q537" s="0" t="n">
        <v>0.190910835351016</v>
      </c>
      <c r="R537" s="0" t="n">
        <v>3.64517832397801</v>
      </c>
      <c r="S537" s="0" t="n">
        <v>-18</v>
      </c>
      <c r="T537" s="0" t="n">
        <v>568</v>
      </c>
      <c r="U537" s="0" t="n">
        <v>27</v>
      </c>
      <c r="V537" s="0" t="n">
        <v>16.2659086030794</v>
      </c>
      <c r="W537" s="0" t="n">
        <v>20240930</v>
      </c>
      <c r="X537" s="0" t="n">
        <v>0.901173084941212</v>
      </c>
      <c r="Y537" s="0" t="n">
        <v>8.57</v>
      </c>
      <c r="Z537" s="0" t="s">
        <v>105</v>
      </c>
      <c r="AA537" s="0" t="n">
        <f aca="false">IF(AND(ISNUMBER(B537),B537&gt;0,ISNUMBER(U537),U537&gt;=0,ISNUMBER(O537),O537&gt;=0),1,0)</f>
        <v>1</v>
      </c>
      <c r="AB537" s="0" t="n">
        <f aca="false">IF(AA537=1,U537+O537,0)</f>
        <v>1562</v>
      </c>
      <c r="AC537" s="0" t="n">
        <f aca="false">IF(AA537=1,100*AB537/B537,"")</f>
        <v>0.149034282655634</v>
      </c>
      <c r="AD537" s="0" t="n">
        <f aca="false">IF(AND(AND(ISNUMBER(B537),B537=OriginalFinancials!B537),AND(ISNUMBER(U537),U537=OriginalFinancials!U537),AND(ISNUMBER(O537),O537=OriginalFinancials!O537)),0,1)</f>
        <v>0</v>
      </c>
      <c r="AE537" s="0" t="str">
        <f aca="false">IF(V537=0,"原始0：需核实适用/报告口径","")</f>
        <v/>
      </c>
    </row>
    <row r="538" customFormat="false" ht="15" hidden="false" customHeight="false" outlineLevel="0" collapsed="false">
      <c r="A538" s="0" t="n">
        <v>538</v>
      </c>
      <c r="B538" s="0" t="n">
        <v>1856523</v>
      </c>
      <c r="C538" s="0" t="n">
        <v>13063</v>
      </c>
      <c r="D538" s="0" t="n">
        <v>1649721</v>
      </c>
      <c r="E538" s="0" t="n">
        <v>0</v>
      </c>
      <c r="F538" s="0" t="n">
        <v>158562</v>
      </c>
      <c r="G538" s="0" t="n">
        <v>8.54080450390326</v>
      </c>
      <c r="H538" s="0" t="s">
        <v>695</v>
      </c>
      <c r="I538" s="0" t="n">
        <v>1.11857156495075</v>
      </c>
      <c r="J538" s="0" t="n">
        <v>54955</v>
      </c>
      <c r="K538" s="0" t="n">
        <v>756</v>
      </c>
      <c r="L538" s="0" t="n">
        <v>1476973</v>
      </c>
      <c r="M538" s="0" t="n">
        <v>1460452</v>
      </c>
      <c r="N538" s="0" t="n">
        <v>1407554</v>
      </c>
      <c r="O538" s="0" t="n">
        <v>503</v>
      </c>
      <c r="P538" s="0" t="s">
        <v>109</v>
      </c>
      <c r="Q538" s="0" t="n">
        <v>0.0340561404981675</v>
      </c>
      <c r="R538" s="0" t="n">
        <v>3.09312941385462</v>
      </c>
      <c r="S538" s="0" t="n">
        <v>-33</v>
      </c>
      <c r="T538" s="0" t="n">
        <v>5182</v>
      </c>
      <c r="U538" s="0" t="n">
        <v>0</v>
      </c>
      <c r="V538" s="0" t="n">
        <v>0</v>
      </c>
      <c r="W538" s="0" t="n">
        <v>20240930</v>
      </c>
      <c r="X538" s="0" t="n">
        <v>0.459638695982449</v>
      </c>
      <c r="Y538" s="0" t="n">
        <v>5.66</v>
      </c>
      <c r="Z538" s="0" t="s">
        <v>105</v>
      </c>
      <c r="AA538" s="0" t="n">
        <f aca="false">IF(AND(ISNUMBER(B538),B538&gt;0,ISNUMBER(U538),U538&gt;=0,ISNUMBER(O538),O538&gt;=0),1,0)</f>
        <v>1</v>
      </c>
      <c r="AB538" s="0" t="n">
        <f aca="false">IF(AA538=1,U538+O538,0)</f>
        <v>503</v>
      </c>
      <c r="AC538" s="0" t="n">
        <f aca="false">IF(AA538=1,100*AB538/B538,"")</f>
        <v>0.027093658414143</v>
      </c>
      <c r="AD538" s="0" t="n">
        <f aca="false">IF(AND(AND(ISNUMBER(B538),B538=OriginalFinancials!B538),AND(ISNUMBER(U538),U538=OriginalFinancials!U538),AND(ISNUMBER(O538),O538=OriginalFinancials!O538)),0,1)</f>
        <v>0</v>
      </c>
      <c r="AE538" s="0" t="str">
        <f aca="false">IF(V538=0,"原始0：需核实适用/报告口径","")</f>
        <v>原始0：需核实适用/报告口径</v>
      </c>
    </row>
    <row r="539" customFormat="false" ht="15" hidden="false" customHeight="false" outlineLevel="0" collapsed="false">
      <c r="A539" s="0" t="n">
        <v>539</v>
      </c>
      <c r="B539" s="0" t="n">
        <v>881237</v>
      </c>
      <c r="C539" s="0" t="n">
        <v>14134</v>
      </c>
      <c r="D539" s="0" t="n">
        <v>697247</v>
      </c>
      <c r="E539" s="0" t="n">
        <v>0.09</v>
      </c>
      <c r="F539" s="0" t="n">
        <v>113479</v>
      </c>
      <c r="G539" s="0" t="n">
        <v>12.8772396075063</v>
      </c>
      <c r="H539" s="0" t="s">
        <v>696</v>
      </c>
      <c r="I539" s="0" t="n">
        <v>1.14027999143992</v>
      </c>
      <c r="J539" s="0" t="n">
        <v>25355</v>
      </c>
      <c r="K539" s="0" t="n">
        <v>21380</v>
      </c>
      <c r="L539" s="0" t="n">
        <v>626162</v>
      </c>
      <c r="M539" s="0" t="n">
        <v>619022</v>
      </c>
      <c r="N539" s="0" t="n">
        <v>553522</v>
      </c>
      <c r="O539" s="0" t="n">
        <v>8606</v>
      </c>
      <c r="P539" s="0" t="s">
        <v>111</v>
      </c>
      <c r="Q539" s="0" t="n">
        <v>1.37440470676918</v>
      </c>
      <c r="R539" s="0" t="n">
        <v>2.99437200701751</v>
      </c>
      <c r="S539" s="0" t="n">
        <v>698</v>
      </c>
      <c r="T539" s="0" t="n">
        <v>4368</v>
      </c>
      <c r="U539" s="0" t="n">
        <v>0</v>
      </c>
      <c r="V539" s="0" t="n">
        <v>19.944591622946</v>
      </c>
      <c r="W539" s="0" t="n">
        <v>20240930</v>
      </c>
      <c r="X539" s="0" t="n">
        <v>0.952621592945186</v>
      </c>
      <c r="Y539" s="0" t="n">
        <v>7.47</v>
      </c>
      <c r="Z539" s="0" t="s">
        <v>112</v>
      </c>
      <c r="AA539" s="0" t="n">
        <f aca="false">IF(AND(ISNUMBER(B539),B539&gt;0,ISNUMBER(U539),U539&gt;=0,ISNUMBER(O539),O539&gt;=0),1,0)</f>
        <v>1</v>
      </c>
      <c r="AB539" s="0" t="n">
        <f aca="false">IF(AA539=1,U539+O539,0)</f>
        <v>8606</v>
      </c>
      <c r="AC539" s="0" t="n">
        <f aca="false">IF(AA539=1,100*AB539/B539,"")</f>
        <v>0.97658178219934</v>
      </c>
      <c r="AD539" s="0" t="n">
        <f aca="false">IF(AND(AND(ISNUMBER(B539),B539=OriginalFinancials!B539),AND(ISNUMBER(U539),U539=OriginalFinancials!U539),AND(ISNUMBER(O539),O539=OriginalFinancials!O539)),0,1)</f>
        <v>0</v>
      </c>
      <c r="AE539" s="0" t="str">
        <f aca="false">IF(V539=0,"原始0：需核实适用/报告口径","")</f>
        <v/>
      </c>
    </row>
    <row r="540" customFormat="false" ht="15" hidden="false" customHeight="false" outlineLevel="0" collapsed="false">
      <c r="A540" s="0" t="n">
        <v>540</v>
      </c>
      <c r="B540" s="0" t="n">
        <v>238286</v>
      </c>
      <c r="C540" s="0" t="n">
        <v>14136</v>
      </c>
      <c r="D540" s="0" t="n">
        <v>200050</v>
      </c>
      <c r="E540" s="0" t="n">
        <v>-0.02</v>
      </c>
      <c r="F540" s="0" t="n">
        <v>19934</v>
      </c>
      <c r="G540" s="0" t="n">
        <v>8.36557749930756</v>
      </c>
      <c r="H540" s="0" t="s">
        <v>697</v>
      </c>
      <c r="I540" s="0" t="n">
        <v>1.0047907211296</v>
      </c>
      <c r="J540" s="0" t="n">
        <v>14936</v>
      </c>
      <c r="K540" s="0" t="n">
        <v>15174</v>
      </c>
      <c r="L540" s="0" t="n">
        <v>158640</v>
      </c>
      <c r="M540" s="0" t="n">
        <v>157046</v>
      </c>
      <c r="N540" s="0" t="n">
        <v>128174</v>
      </c>
      <c r="O540" s="0" t="n">
        <v>517</v>
      </c>
      <c r="P540" s="0" t="s">
        <v>114</v>
      </c>
      <c r="Q540" s="0" t="n">
        <v>0.724911749873928</v>
      </c>
      <c r="R540" s="0" t="n">
        <v>3.7688092309468</v>
      </c>
      <c r="S540" s="0" t="n">
        <v>263</v>
      </c>
      <c r="T540" s="0" t="n">
        <v>735</v>
      </c>
      <c r="U540" s="0" t="n">
        <v>633</v>
      </c>
      <c r="V540" s="0" t="n">
        <v>18.0331440644395</v>
      </c>
      <c r="W540" s="0" t="n">
        <v>20240930</v>
      </c>
      <c r="X540" s="0" t="n">
        <v>0.549679011145021</v>
      </c>
      <c r="Y540" s="0" t="n">
        <v>7.18</v>
      </c>
      <c r="Z540" s="0" t="s">
        <v>112</v>
      </c>
      <c r="AA540" s="0" t="n">
        <f aca="false">IF(AND(ISNUMBER(B540),B540&gt;0,ISNUMBER(U540),U540&gt;=0,ISNUMBER(O540),O540&gt;=0),1,0)</f>
        <v>1</v>
      </c>
      <c r="AB540" s="0" t="n">
        <f aca="false">IF(AA540=1,U540+O540,0)</f>
        <v>1150</v>
      </c>
      <c r="AC540" s="0" t="n">
        <f aca="false">IF(AA540=1,100*AB540/B540,"")</f>
        <v>0.482613330199844</v>
      </c>
      <c r="AD540" s="0" t="n">
        <f aca="false">IF(AND(AND(ISNUMBER(B540),B540=OriginalFinancials!B540),AND(ISNUMBER(U540),U540=OriginalFinancials!U540),AND(ISNUMBER(O540),O540=OriginalFinancials!O540)),0,1)</f>
        <v>0</v>
      </c>
      <c r="AE540" s="0" t="str">
        <f aca="false">IF(V540=0,"原始0：需核实适用/报告口径","")</f>
        <v/>
      </c>
    </row>
    <row r="541" customFormat="false" ht="15" hidden="false" customHeight="false" outlineLevel="0" collapsed="false">
      <c r="A541" s="0" t="n">
        <v>541</v>
      </c>
      <c r="B541" s="0" t="n">
        <v>1527182</v>
      </c>
      <c r="C541" s="0" t="n">
        <v>14140</v>
      </c>
      <c r="D541" s="0" t="n">
        <v>1238363</v>
      </c>
      <c r="E541" s="0" t="n">
        <v>-0.04</v>
      </c>
      <c r="F541" s="0" t="n">
        <v>137226</v>
      </c>
      <c r="G541" s="0" t="n">
        <v>8.98556949990244</v>
      </c>
      <c r="H541" s="0" t="s">
        <v>698</v>
      </c>
      <c r="I541" s="0" t="n">
        <v>0.783171740270773</v>
      </c>
      <c r="J541" s="0" t="n">
        <v>88796</v>
      </c>
      <c r="K541" s="0" t="n">
        <v>1620</v>
      </c>
      <c r="L541" s="0" t="n">
        <v>1092353</v>
      </c>
      <c r="M541" s="0" t="n">
        <v>1083798</v>
      </c>
      <c r="N541" s="0" t="n">
        <v>974171</v>
      </c>
      <c r="O541" s="0" t="n">
        <v>2124</v>
      </c>
      <c r="P541" s="0" t="s">
        <v>116</v>
      </c>
      <c r="Q541" s="0" t="n">
        <v>0.194442638963778</v>
      </c>
      <c r="R541" s="0" t="n">
        <v>2.38536873804973</v>
      </c>
      <c r="S541" s="0" t="n">
        <v>48</v>
      </c>
      <c r="T541" s="0" t="n">
        <v>25</v>
      </c>
      <c r="U541" s="0" t="n">
        <v>0</v>
      </c>
      <c r="V541" s="0" t="n">
        <v>0</v>
      </c>
      <c r="W541" s="0" t="n">
        <v>20240930</v>
      </c>
      <c r="X541" s="0" t="n">
        <v>0.289026150270388</v>
      </c>
      <c r="Y541" s="0" t="n">
        <v>3.37</v>
      </c>
      <c r="Z541" s="0" t="s">
        <v>112</v>
      </c>
      <c r="AA541" s="0" t="n">
        <f aca="false">IF(AND(ISNUMBER(B541),B541&gt;0,ISNUMBER(U541),U541&gt;=0,ISNUMBER(O541),O541&gt;=0),1,0)</f>
        <v>1</v>
      </c>
      <c r="AB541" s="0" t="n">
        <f aca="false">IF(AA541=1,U541+O541,0)</f>
        <v>2124</v>
      </c>
      <c r="AC541" s="0" t="n">
        <f aca="false">IF(AA541=1,100*AB541/B541,"")</f>
        <v>0.139079690567333</v>
      </c>
      <c r="AD541" s="0" t="n">
        <f aca="false">IF(AND(AND(ISNUMBER(B541),B541=OriginalFinancials!B541),AND(ISNUMBER(U541),U541=OriginalFinancials!U541),AND(ISNUMBER(O541),O541=OriginalFinancials!O541)),0,1)</f>
        <v>0</v>
      </c>
      <c r="AE541" s="0" t="str">
        <f aca="false">IF(V541=0,"原始0：需核实适用/报告口径","")</f>
        <v>原始0：需核实适用/报告口径</v>
      </c>
    </row>
    <row r="542" customFormat="false" ht="15" hidden="false" customHeight="false" outlineLevel="0" collapsed="false">
      <c r="A542" s="0" t="n">
        <v>542</v>
      </c>
      <c r="B542" s="0" t="n">
        <v>1518788</v>
      </c>
      <c r="C542" s="0" t="n">
        <v>14158</v>
      </c>
      <c r="D542" s="0" t="n">
        <v>1176600</v>
      </c>
      <c r="E542" s="0" t="n">
        <v>0.05</v>
      </c>
      <c r="F542" s="0" t="n">
        <v>88128</v>
      </c>
      <c r="G542" s="0" t="n">
        <v>5.80252148423612</v>
      </c>
      <c r="H542" s="0" t="s">
        <v>699</v>
      </c>
      <c r="I542" s="0" t="n">
        <v>0.65305528982764</v>
      </c>
      <c r="J542" s="0" t="n">
        <v>38744</v>
      </c>
      <c r="K542" s="0" t="n">
        <v>2036</v>
      </c>
      <c r="L542" s="0" t="n">
        <v>1127929</v>
      </c>
      <c r="M542" s="0" t="n">
        <v>1120563</v>
      </c>
      <c r="N542" s="0" t="n">
        <v>979666</v>
      </c>
      <c r="O542" s="0" t="n">
        <v>1709</v>
      </c>
      <c r="P542" s="0" t="s">
        <v>118</v>
      </c>
      <c r="Q542" s="0" t="n">
        <v>0.174124435137318</v>
      </c>
      <c r="R542" s="0" t="n">
        <v>2.80849544548636</v>
      </c>
      <c r="S542" s="0" t="n">
        <v>-16</v>
      </c>
      <c r="T542" s="0" t="n">
        <v>1116</v>
      </c>
      <c r="U542" s="0" t="n">
        <v>255</v>
      </c>
      <c r="V542" s="0" t="n">
        <v>12.7326927079282</v>
      </c>
      <c r="W542" s="0" t="n">
        <v>20240930</v>
      </c>
      <c r="X542" s="0" t="n">
        <v>0.591958039788572</v>
      </c>
      <c r="Y542" s="0" t="n">
        <v>10.41</v>
      </c>
      <c r="Z542" s="0" t="s">
        <v>112</v>
      </c>
      <c r="AA542" s="0" t="n">
        <f aca="false">IF(AND(ISNUMBER(B542),B542&gt;0,ISNUMBER(U542),U542&gt;=0,ISNUMBER(O542),O542&gt;=0),1,0)</f>
        <v>1</v>
      </c>
      <c r="AB542" s="0" t="n">
        <f aca="false">IF(AA542=1,U542+O542,0)</f>
        <v>1964</v>
      </c>
      <c r="AC542" s="0" t="n">
        <f aca="false">IF(AA542=1,100*AB542/B542,"")</f>
        <v>0.129313636926286</v>
      </c>
      <c r="AD542" s="0" t="n">
        <f aca="false">IF(AND(AND(ISNUMBER(B542),B542=OriginalFinancials!B542),AND(ISNUMBER(U542),U542=OriginalFinancials!U542),AND(ISNUMBER(O542),O542=OriginalFinancials!O542)),0,1)</f>
        <v>0</v>
      </c>
      <c r="AE542" s="0" t="str">
        <f aca="false">IF(V542=0,"原始0：需核实适用/报告口径","")</f>
        <v/>
      </c>
    </row>
    <row r="543" customFormat="false" ht="15" hidden="false" customHeight="false" outlineLevel="0" collapsed="false">
      <c r="A543" s="0" t="n">
        <v>543</v>
      </c>
      <c r="B543" s="0" t="n">
        <v>371732</v>
      </c>
      <c r="C543" s="0" t="n">
        <v>14168</v>
      </c>
      <c r="D543" s="0" t="n">
        <v>328030</v>
      </c>
      <c r="E543" s="0" t="n">
        <v>0.05</v>
      </c>
      <c r="F543" s="0" t="n">
        <v>38425</v>
      </c>
      <c r="G543" s="0" t="n">
        <v>10.3367479797273</v>
      </c>
      <c r="H543" s="0" t="s">
        <v>700</v>
      </c>
      <c r="I543" s="0" t="n">
        <v>1.52776381114128</v>
      </c>
      <c r="J543" s="0" t="n">
        <v>11832</v>
      </c>
      <c r="K543" s="0" t="n">
        <v>10190</v>
      </c>
      <c r="L543" s="0" t="n">
        <v>268497</v>
      </c>
      <c r="M543" s="0" t="n">
        <v>264395</v>
      </c>
      <c r="N543" s="0" t="n">
        <v>228801</v>
      </c>
      <c r="O543" s="0" t="n">
        <v>865</v>
      </c>
      <c r="P543" s="0" t="s">
        <v>120</v>
      </c>
      <c r="Q543" s="0" t="n">
        <v>0.32290863585068</v>
      </c>
      <c r="R543" s="0" t="n">
        <v>4.10567266565625</v>
      </c>
      <c r="S543" s="0" t="n">
        <v>48</v>
      </c>
      <c r="T543" s="0" t="n">
        <v>569</v>
      </c>
      <c r="U543" s="0" t="n">
        <v>2</v>
      </c>
      <c r="V543" s="0" t="n">
        <v>16.4355401593798</v>
      </c>
      <c r="W543" s="0" t="n">
        <v>20240930</v>
      </c>
      <c r="X543" s="0" t="n">
        <v>1.07473840142319</v>
      </c>
      <c r="Y543" s="0" t="n">
        <v>10.88</v>
      </c>
      <c r="Z543" s="0" t="s">
        <v>112</v>
      </c>
      <c r="AA543" s="0" t="n">
        <f aca="false">IF(AND(ISNUMBER(B543),B543&gt;0,ISNUMBER(U543),U543&gt;=0,ISNUMBER(O543),O543&gt;=0),1,0)</f>
        <v>1</v>
      </c>
      <c r="AB543" s="0" t="n">
        <f aca="false">IF(AA543=1,U543+O543,0)</f>
        <v>867</v>
      </c>
      <c r="AC543" s="0" t="n">
        <f aca="false">IF(AA543=1,100*AB543/B543,"")</f>
        <v>0.233232543875695</v>
      </c>
      <c r="AD543" s="0" t="n">
        <f aca="false">IF(AND(AND(ISNUMBER(B543),B543=OriginalFinancials!B543),AND(ISNUMBER(U543),U543=OriginalFinancials!U543),AND(ISNUMBER(O543),O543=OriginalFinancials!O543)),0,1)</f>
        <v>0</v>
      </c>
      <c r="AE543" s="0" t="str">
        <f aca="false">IF(V543=0,"原始0：需核实适用/报告口径","")</f>
        <v/>
      </c>
    </row>
    <row r="544" customFormat="false" ht="15" hidden="false" customHeight="false" outlineLevel="0" collapsed="false">
      <c r="A544" s="0" t="n">
        <v>544</v>
      </c>
      <c r="B544" s="0" t="n">
        <v>1215556</v>
      </c>
      <c r="C544" s="0" t="n">
        <v>14240</v>
      </c>
      <c r="D544" s="0" t="n">
        <v>1013911</v>
      </c>
      <c r="E544" s="0" t="n">
        <v>0</v>
      </c>
      <c r="F544" s="0" t="n">
        <v>96896</v>
      </c>
      <c r="G544" s="0" t="n">
        <v>7.97133163753871</v>
      </c>
      <c r="H544" s="0" t="s">
        <v>701</v>
      </c>
      <c r="I544" s="0" t="n">
        <v>1.17326404027878</v>
      </c>
      <c r="J544" s="0" t="n">
        <v>28907</v>
      </c>
      <c r="K544" s="0" t="n">
        <v>13307</v>
      </c>
      <c r="L544" s="0" t="n">
        <v>912838</v>
      </c>
      <c r="M544" s="0" t="n">
        <v>902128</v>
      </c>
      <c r="N544" s="0" t="n">
        <v>772079</v>
      </c>
      <c r="O544" s="0" t="n">
        <v>3698</v>
      </c>
      <c r="P544" s="0" t="s">
        <v>122</v>
      </c>
      <c r="Q544" s="0" t="n">
        <v>0.40511021670877</v>
      </c>
      <c r="R544" s="0" t="n">
        <v>2.72606205313891</v>
      </c>
      <c r="S544" s="0" t="n">
        <v>-14</v>
      </c>
      <c r="T544" s="0" t="n">
        <v>516</v>
      </c>
      <c r="U544" s="0" t="n">
        <v>0</v>
      </c>
      <c r="V544" s="0" t="n">
        <v>16.518911598904</v>
      </c>
      <c r="W544" s="0" t="n">
        <v>20240930</v>
      </c>
      <c r="X544" s="0" t="n">
        <v>0.459382516970762</v>
      </c>
      <c r="Y544" s="0" t="n">
        <v>6.33</v>
      </c>
      <c r="Z544" s="0" t="s">
        <v>123</v>
      </c>
      <c r="AA544" s="0" t="n">
        <f aca="false">IF(AND(ISNUMBER(B544),B544&gt;0,ISNUMBER(U544),U544&gt;=0,ISNUMBER(O544),O544&gt;=0),1,0)</f>
        <v>1</v>
      </c>
      <c r="AB544" s="0" t="n">
        <f aca="false">IF(AA544=1,U544+O544,0)</f>
        <v>3698</v>
      </c>
      <c r="AC544" s="0" t="n">
        <f aca="false">IF(AA544=1,100*AB544/B544,"")</f>
        <v>0.304222923501673</v>
      </c>
      <c r="AD544" s="0" t="n">
        <f aca="false">IF(AND(AND(ISNUMBER(B544),B544=OriginalFinancials!B544),AND(ISNUMBER(U544),U544=OriginalFinancials!U544),AND(ISNUMBER(O544),O544=OriginalFinancials!O544)),0,1)</f>
        <v>0</v>
      </c>
      <c r="AE544" s="0" t="str">
        <f aca="false">IF(V544=0,"原始0：需核实适用/报告口径","")</f>
        <v/>
      </c>
    </row>
    <row r="545" customFormat="false" ht="15" hidden="false" customHeight="false" outlineLevel="0" collapsed="false">
      <c r="A545" s="0" t="n">
        <v>545</v>
      </c>
      <c r="B545" s="0" t="n">
        <v>1064825</v>
      </c>
      <c r="C545" s="0" t="n">
        <v>17115</v>
      </c>
      <c r="D545" s="0" t="n">
        <v>811295</v>
      </c>
      <c r="E545" s="0" t="n">
        <v>0.01</v>
      </c>
      <c r="F545" s="0" t="n">
        <v>93281</v>
      </c>
      <c r="G545" s="0" t="n">
        <v>8.76021881529829</v>
      </c>
      <c r="H545" s="0" t="s">
        <v>702</v>
      </c>
      <c r="I545" s="0" t="n">
        <v>1.00700683936323</v>
      </c>
      <c r="J545" s="0" t="n">
        <v>40658</v>
      </c>
      <c r="K545" s="0" t="n">
        <v>6674</v>
      </c>
      <c r="L545" s="0" t="n">
        <v>883708</v>
      </c>
      <c r="M545" s="0" t="n">
        <v>874809</v>
      </c>
      <c r="N545" s="0" t="n">
        <v>834346</v>
      </c>
      <c r="O545" s="0" t="n">
        <v>2417</v>
      </c>
      <c r="P545" s="0" t="s">
        <v>125</v>
      </c>
      <c r="Q545" s="0" t="n">
        <v>0.273506633412847</v>
      </c>
      <c r="R545" s="0" t="n">
        <v>2.59571965861029</v>
      </c>
      <c r="S545" s="0" t="n">
        <v>74</v>
      </c>
      <c r="T545" s="0" t="n">
        <v>395</v>
      </c>
      <c r="U545" s="0" t="n">
        <v>0</v>
      </c>
      <c r="V545" s="0" t="n">
        <v>14.1631497814056</v>
      </c>
      <c r="W545" s="0" t="n">
        <v>20240930</v>
      </c>
      <c r="X545" s="0" t="n">
        <v>0.320784489973106</v>
      </c>
      <c r="Y545" s="0" t="n">
        <v>3.86</v>
      </c>
      <c r="Z545" s="0" t="s">
        <v>105</v>
      </c>
      <c r="AA545" s="0" t="n">
        <f aca="false">IF(AND(ISNUMBER(B545),B545&gt;0,ISNUMBER(U545),U545&gt;=0,ISNUMBER(O545),O545&gt;=0),1,0)</f>
        <v>1</v>
      </c>
      <c r="AB545" s="0" t="n">
        <f aca="false">IF(AA545=1,U545+O545,0)</f>
        <v>2417</v>
      </c>
      <c r="AC545" s="0" t="n">
        <f aca="false">IF(AA545=1,100*AB545/B545,"")</f>
        <v>0.226985654919822</v>
      </c>
      <c r="AD545" s="0" t="n">
        <f aca="false">IF(AND(AND(ISNUMBER(B545),B545=OriginalFinancials!B545),AND(ISNUMBER(U545),U545=OriginalFinancials!U545),AND(ISNUMBER(O545),O545=OriginalFinancials!O545)),0,1)</f>
        <v>0</v>
      </c>
      <c r="AE545" s="0" t="str">
        <f aca="false">IF(V545=0,"原始0：需核实适用/报告口径","")</f>
        <v/>
      </c>
    </row>
    <row r="546" customFormat="false" ht="15" hidden="false" customHeight="false" outlineLevel="0" collapsed="false">
      <c r="A546" s="0" t="n">
        <v>546</v>
      </c>
      <c r="B546" s="0" t="n">
        <v>1621350</v>
      </c>
      <c r="C546" s="0" t="n">
        <v>17180</v>
      </c>
      <c r="D546" s="0" t="n">
        <v>1203070</v>
      </c>
      <c r="E546" s="0" t="n">
        <v>0.08</v>
      </c>
      <c r="F546" s="0" t="n">
        <v>143061</v>
      </c>
      <c r="G546" s="0" t="n">
        <v>8.82357294846887</v>
      </c>
      <c r="H546" s="0" t="s">
        <v>703</v>
      </c>
      <c r="I546" s="0" t="n">
        <v>1.03190149955549</v>
      </c>
      <c r="J546" s="0" t="n">
        <v>40098</v>
      </c>
      <c r="K546" s="0" t="n">
        <v>171858</v>
      </c>
      <c r="L546" s="0" t="n">
        <v>1443161</v>
      </c>
      <c r="M546" s="0" t="n">
        <v>1428269</v>
      </c>
      <c r="N546" s="0" t="n">
        <v>1205697</v>
      </c>
      <c r="O546" s="0" t="n">
        <v>5975</v>
      </c>
      <c r="P546" s="0" t="s">
        <v>127</v>
      </c>
      <c r="Q546" s="0" t="n">
        <v>0.414021720376313</v>
      </c>
      <c r="R546" s="0" t="n">
        <v>2.64602130327718</v>
      </c>
      <c r="S546" s="0" t="n">
        <v>172</v>
      </c>
      <c r="T546" s="0" t="n">
        <v>1130</v>
      </c>
      <c r="U546" s="0" t="n">
        <v>0</v>
      </c>
      <c r="V546" s="0" t="n">
        <v>15.09738503074</v>
      </c>
      <c r="W546" s="0" t="n">
        <v>20240930</v>
      </c>
      <c r="X546" s="0" t="n">
        <v>0.397392188864424</v>
      </c>
      <c r="Y546" s="0" t="n">
        <v>4.68</v>
      </c>
      <c r="Z546" s="0" t="s">
        <v>123</v>
      </c>
      <c r="AA546" s="0" t="n">
        <f aca="false">IF(AND(ISNUMBER(B546),B546&gt;0,ISNUMBER(U546),U546&gt;=0,ISNUMBER(O546),O546&gt;=0),1,0)</f>
        <v>1</v>
      </c>
      <c r="AB546" s="0" t="n">
        <f aca="false">IF(AA546=1,U546+O546,0)</f>
        <v>5975</v>
      </c>
      <c r="AC546" s="0" t="n">
        <f aca="false">IF(AA546=1,100*AB546/B546,"")</f>
        <v>0.368520060443458</v>
      </c>
      <c r="AD546" s="0" t="n">
        <f aca="false">IF(AND(AND(ISNUMBER(B546),B546=OriginalFinancials!B546),AND(ISNUMBER(U546),U546=OriginalFinancials!U546),AND(ISNUMBER(O546),O546=OriginalFinancials!O546)),0,1)</f>
        <v>0</v>
      </c>
      <c r="AE546" s="0" t="str">
        <f aca="false">IF(V546=0,"原始0：需核实适用/报告口径","")</f>
        <v/>
      </c>
    </row>
    <row r="547" customFormat="false" ht="15" hidden="false" customHeight="false" outlineLevel="0" collapsed="false">
      <c r="A547" s="0" t="n">
        <v>547</v>
      </c>
      <c r="B547" s="0" t="n">
        <v>366752</v>
      </c>
      <c r="C547" s="0" t="n">
        <v>17443</v>
      </c>
      <c r="D547" s="0" t="n">
        <v>299271</v>
      </c>
      <c r="E547" s="0" t="n">
        <v>-0.08</v>
      </c>
      <c r="F547" s="0" t="n">
        <v>41324</v>
      </c>
      <c r="G547" s="0" t="n">
        <v>11.2675595497775</v>
      </c>
      <c r="H547" s="0" t="s">
        <v>704</v>
      </c>
      <c r="I547" s="0" t="n">
        <v>0.765294478620948</v>
      </c>
      <c r="J547" s="0" t="n">
        <v>0</v>
      </c>
      <c r="K547" s="0" t="n">
        <v>958</v>
      </c>
      <c r="L547" s="0" t="n">
        <v>197179</v>
      </c>
      <c r="M547" s="0" t="n">
        <v>195670</v>
      </c>
      <c r="N547" s="0" t="n">
        <v>195221</v>
      </c>
      <c r="O547" s="0" t="n">
        <v>1019</v>
      </c>
      <c r="P547" s="0" t="s">
        <v>129</v>
      </c>
      <c r="Q547" s="0" t="n">
        <v>0.516789313263583</v>
      </c>
      <c r="R547" s="0" t="n">
        <v>1.1639677406299</v>
      </c>
      <c r="S547" s="0" t="n">
        <v>0</v>
      </c>
      <c r="T547" s="0" t="n">
        <v>1323</v>
      </c>
      <c r="U547" s="0" t="n">
        <v>0</v>
      </c>
      <c r="V547" s="0" t="n">
        <v>0</v>
      </c>
      <c r="W547" s="0" t="n">
        <v>20240930</v>
      </c>
      <c r="X547" s="0" t="n">
        <v>-0.182427732699306</v>
      </c>
      <c r="Y547" s="0" t="n">
        <v>-1.63</v>
      </c>
      <c r="Z547" s="0" t="s">
        <v>123</v>
      </c>
      <c r="AA547" s="0" t="n">
        <f aca="false">IF(AND(ISNUMBER(B547),B547&gt;0,ISNUMBER(U547),U547&gt;=0,ISNUMBER(O547),O547&gt;=0),1,0)</f>
        <v>1</v>
      </c>
      <c r="AB547" s="0" t="n">
        <f aca="false">IF(AA547=1,U547+O547,0)</f>
        <v>1019</v>
      </c>
      <c r="AC547" s="0" t="n">
        <f aca="false">IF(AA547=1,100*AB547/B547,"")</f>
        <v>0.277844428932903</v>
      </c>
      <c r="AD547" s="0" t="n">
        <f aca="false">IF(AND(AND(ISNUMBER(B547),B547=OriginalFinancials!B547),AND(ISNUMBER(U547),U547=OriginalFinancials!U547),AND(ISNUMBER(O547),O547=OriginalFinancials!O547)),0,1)</f>
        <v>0</v>
      </c>
      <c r="AE547" s="0" t="str">
        <f aca="false">IF(V547=0,"原始0：需核实适用/报告口径","")</f>
        <v>原始0：需核实适用/报告口径</v>
      </c>
    </row>
    <row r="548" customFormat="false" ht="15" hidden="false" customHeight="false" outlineLevel="0" collapsed="false">
      <c r="A548" s="0" t="n">
        <v>548</v>
      </c>
      <c r="B548" s="0" t="n">
        <v>1980951</v>
      </c>
      <c r="C548" s="0" t="n">
        <v>17658</v>
      </c>
      <c r="D548" s="0" t="n">
        <v>1559068</v>
      </c>
      <c r="E548" s="0" t="n">
        <v>0.03</v>
      </c>
      <c r="F548" s="0" t="n">
        <v>230579</v>
      </c>
      <c r="G548" s="0" t="n">
        <v>11.6398134027545</v>
      </c>
      <c r="H548" s="0" t="s">
        <v>705</v>
      </c>
      <c r="I548" s="0" t="n">
        <v>0.660677081283106</v>
      </c>
      <c r="J548" s="0" t="n">
        <v>108891</v>
      </c>
      <c r="K548" s="0" t="n">
        <v>80000</v>
      </c>
      <c r="L548" s="0" t="n">
        <v>1397203</v>
      </c>
      <c r="M548" s="0" t="n">
        <v>1387972</v>
      </c>
      <c r="N548" s="0" t="n">
        <v>1195334</v>
      </c>
      <c r="O548" s="0" t="n">
        <v>9425</v>
      </c>
      <c r="P548" s="0" t="s">
        <v>131</v>
      </c>
      <c r="Q548" s="0" t="n">
        <v>0.674561964152668</v>
      </c>
      <c r="R548" s="0" t="n">
        <v>3.06913574640286</v>
      </c>
      <c r="S548" s="0" t="n">
        <v>-16</v>
      </c>
      <c r="T548" s="0" t="n">
        <v>2259</v>
      </c>
      <c r="U548" s="0" t="n">
        <v>0</v>
      </c>
      <c r="V548" s="0" t="n">
        <v>0</v>
      </c>
      <c r="W548" s="0" t="n">
        <v>20240930</v>
      </c>
      <c r="X548" s="0" t="n">
        <v>0.960411822183859</v>
      </c>
      <c r="Y548" s="0" t="n">
        <v>8.53</v>
      </c>
      <c r="Z548" s="0" t="s">
        <v>105</v>
      </c>
      <c r="AA548" s="0" t="n">
        <f aca="false">IF(AND(ISNUMBER(B548),B548&gt;0,ISNUMBER(U548),U548&gt;=0,ISNUMBER(O548),O548&gt;=0),1,0)</f>
        <v>1</v>
      </c>
      <c r="AB548" s="0" t="n">
        <f aca="false">IF(AA548=1,U548+O548,0)</f>
        <v>9425</v>
      </c>
      <c r="AC548" s="0" t="n">
        <f aca="false">IF(AA548=1,100*AB548/B548,"")</f>
        <v>0.47578158167466</v>
      </c>
      <c r="AD548" s="0" t="n">
        <f aca="false">IF(AND(AND(ISNUMBER(B548),B548=OriginalFinancials!B548),AND(ISNUMBER(U548),U548=OriginalFinancials!U548),AND(ISNUMBER(O548),O548=OriginalFinancials!O548)),0,1)</f>
        <v>0</v>
      </c>
      <c r="AE548" s="0" t="str">
        <f aca="false">IF(V548=0,"原始0：需核实适用/报告口径","")</f>
        <v>原始0：需核实适用/报告口径</v>
      </c>
    </row>
    <row r="549" customFormat="false" ht="15" hidden="false" customHeight="false" outlineLevel="0" collapsed="false">
      <c r="A549" s="0" t="n">
        <v>549</v>
      </c>
      <c r="B549" s="0" t="n">
        <v>1162261</v>
      </c>
      <c r="C549" s="0" t="n">
        <v>17741</v>
      </c>
      <c r="D549" s="0" t="n">
        <v>905592</v>
      </c>
      <c r="E549" s="0" t="n">
        <v>0.05</v>
      </c>
      <c r="F549" s="0" t="n">
        <v>146197</v>
      </c>
      <c r="G549" s="0" t="n">
        <v>12.5786720882831</v>
      </c>
      <c r="H549" s="0" t="s">
        <v>706</v>
      </c>
      <c r="I549" s="0" t="n">
        <v>0.944982635715591</v>
      </c>
      <c r="J549" s="0" t="n">
        <v>49845</v>
      </c>
      <c r="K549" s="0" t="n">
        <v>3969</v>
      </c>
      <c r="L549" s="0" t="n">
        <v>984780</v>
      </c>
      <c r="M549" s="0" t="n">
        <v>975474</v>
      </c>
      <c r="N549" s="0" t="n">
        <v>925810</v>
      </c>
      <c r="O549" s="0" t="n">
        <v>2723</v>
      </c>
      <c r="P549" s="0" t="s">
        <v>133</v>
      </c>
      <c r="Q549" s="0" t="n">
        <v>0.276508458742054</v>
      </c>
      <c r="R549" s="0" t="n">
        <v>3.04519795213915</v>
      </c>
      <c r="S549" s="0" t="n">
        <v>56</v>
      </c>
      <c r="T549" s="0" t="n">
        <v>2027</v>
      </c>
      <c r="U549" s="0" t="n">
        <v>0</v>
      </c>
      <c r="V549" s="0" t="n">
        <v>0</v>
      </c>
      <c r="W549" s="0" t="n">
        <v>20240930</v>
      </c>
      <c r="X549" s="0" t="n">
        <v>0.623215257165778</v>
      </c>
      <c r="Y549" s="0" t="n">
        <v>4.96</v>
      </c>
      <c r="Z549" s="0" t="s">
        <v>105</v>
      </c>
      <c r="AA549" s="0" t="n">
        <f aca="false">IF(AND(ISNUMBER(B549),B549&gt;0,ISNUMBER(U549),U549&gt;=0,ISNUMBER(O549),O549&gt;=0),1,0)</f>
        <v>1</v>
      </c>
      <c r="AB549" s="0" t="n">
        <f aca="false">IF(AA549=1,U549+O549,0)</f>
        <v>2723</v>
      </c>
      <c r="AC549" s="0" t="n">
        <f aca="false">IF(AA549=1,100*AB549/B549,"")</f>
        <v>0.234284726064111</v>
      </c>
      <c r="AD549" s="0" t="n">
        <f aca="false">IF(AND(AND(ISNUMBER(B549),B549=OriginalFinancials!B549),AND(ISNUMBER(U549),U549=OriginalFinancials!U549),AND(ISNUMBER(O549),O549=OriginalFinancials!O549)),0,1)</f>
        <v>0</v>
      </c>
      <c r="AE549" s="0" t="str">
        <f aca="false">IF(V549=0,"原始0：需核实适用/报告口径","")</f>
        <v>原始0：需核实适用/报告口径</v>
      </c>
    </row>
    <row r="550" customFormat="false" ht="15" hidden="false" customHeight="false" outlineLevel="0" collapsed="false">
      <c r="A550" s="0" t="n">
        <v>550</v>
      </c>
      <c r="B550" s="0" t="n">
        <v>1427194</v>
      </c>
      <c r="C550" s="0" t="n">
        <v>17743</v>
      </c>
      <c r="D550" s="0" t="n">
        <v>1006052</v>
      </c>
      <c r="E550" s="0" t="n">
        <v>0</v>
      </c>
      <c r="F550" s="0" t="n">
        <v>126250</v>
      </c>
      <c r="G550" s="0" t="n">
        <v>8.84602934149107</v>
      </c>
      <c r="H550" s="0" t="s">
        <v>707</v>
      </c>
      <c r="I550" s="0" t="n">
        <v>0.419704871404992</v>
      </c>
      <c r="J550" s="0" t="n">
        <v>14864</v>
      </c>
      <c r="K550" s="0" t="n">
        <v>10164</v>
      </c>
      <c r="L550" s="0" t="n">
        <v>1138419</v>
      </c>
      <c r="M550" s="0" t="n">
        <v>1133641</v>
      </c>
      <c r="N550" s="0" t="n">
        <v>1102493</v>
      </c>
      <c r="O550" s="0" t="n">
        <v>1621</v>
      </c>
      <c r="P550" s="0" t="s">
        <v>135</v>
      </c>
      <c r="Q550" s="0" t="n">
        <v>0.142390455535264</v>
      </c>
      <c r="R550" s="0" t="n">
        <v>1.89647843215573</v>
      </c>
      <c r="S550" s="0" t="n">
        <v>-25</v>
      </c>
      <c r="T550" s="0" t="n">
        <v>779</v>
      </c>
      <c r="U550" s="0" t="n">
        <v>0</v>
      </c>
      <c r="V550" s="0" t="n">
        <v>0</v>
      </c>
      <c r="W550" s="0" t="n">
        <v>20240930</v>
      </c>
      <c r="X550" s="0" t="n">
        <v>0.0586009796050292</v>
      </c>
      <c r="Y550" s="0" t="n">
        <v>0.67</v>
      </c>
      <c r="Z550" s="0" t="s">
        <v>105</v>
      </c>
      <c r="AA550" s="0" t="n">
        <f aca="false">IF(AND(ISNUMBER(B550),B550&gt;0,ISNUMBER(U550),U550&gt;=0,ISNUMBER(O550),O550&gt;=0),1,0)</f>
        <v>1</v>
      </c>
      <c r="AB550" s="0" t="n">
        <f aca="false">IF(AA550=1,U550+O550,0)</f>
        <v>1621</v>
      </c>
      <c r="AC550" s="0" t="n">
        <f aca="false">IF(AA550=1,100*AB550/B550,"")</f>
        <v>0.113579513366788</v>
      </c>
      <c r="AD550" s="0" t="n">
        <f aca="false">IF(AND(AND(ISNUMBER(B550),B550=OriginalFinancials!B550),AND(ISNUMBER(U550),U550=OriginalFinancials!U550),AND(ISNUMBER(O550),O550=OriginalFinancials!O550)),0,1)</f>
        <v>0</v>
      </c>
      <c r="AE550" s="0" t="str">
        <f aca="false">IF(V550=0,"原始0：需核实适用/报告口径","")</f>
        <v>原始0：需核实适用/报告口径</v>
      </c>
    </row>
    <row r="551" customFormat="false" ht="15" hidden="false" customHeight="false" outlineLevel="0" collapsed="false">
      <c r="A551" s="0" t="n">
        <v>551</v>
      </c>
      <c r="B551" s="0" t="n">
        <v>1623796</v>
      </c>
      <c r="C551" s="0" t="n">
        <v>17748</v>
      </c>
      <c r="D551" s="0" t="n">
        <v>1375485</v>
      </c>
      <c r="E551" s="0" t="n">
        <v>-0.1</v>
      </c>
      <c r="F551" s="0" t="n">
        <v>122957</v>
      </c>
      <c r="G551" s="0" t="n">
        <v>7.57219502942488</v>
      </c>
      <c r="H551" s="0" t="s">
        <v>708</v>
      </c>
      <c r="I551" s="0" t="n">
        <v>0.709247032697206</v>
      </c>
      <c r="J551" s="0" t="n">
        <v>156031</v>
      </c>
      <c r="K551" s="0" t="n">
        <v>3252</v>
      </c>
      <c r="L551" s="0" t="n">
        <v>1252737</v>
      </c>
      <c r="M551" s="0" t="n">
        <v>1243852</v>
      </c>
      <c r="N551" s="0" t="n">
        <v>1057786</v>
      </c>
      <c r="O551" s="0" t="n">
        <v>5501</v>
      </c>
      <c r="P551" s="0" t="s">
        <v>137</v>
      </c>
      <c r="Q551" s="0" t="n">
        <v>0.439118506119002</v>
      </c>
      <c r="R551" s="0" t="n">
        <v>2.49460134726616</v>
      </c>
      <c r="S551" s="0" t="n">
        <v>-239</v>
      </c>
      <c r="T551" s="0" t="n">
        <v>1443</v>
      </c>
      <c r="U551" s="0" t="n">
        <v>0</v>
      </c>
      <c r="V551" s="0" t="n">
        <v>0</v>
      </c>
      <c r="W551" s="0" t="n">
        <v>20240930</v>
      </c>
      <c r="X551" s="0" t="n">
        <v>0.356747638834355</v>
      </c>
      <c r="Y551" s="0" t="n">
        <v>5.08</v>
      </c>
      <c r="Z551" s="0" t="s">
        <v>105</v>
      </c>
      <c r="AA551" s="0" t="n">
        <f aca="false">IF(AND(ISNUMBER(B551),B551&gt;0,ISNUMBER(U551),U551&gt;=0,ISNUMBER(O551),O551&gt;=0),1,0)</f>
        <v>1</v>
      </c>
      <c r="AB551" s="0" t="n">
        <f aca="false">IF(AA551=1,U551+O551,0)</f>
        <v>5501</v>
      </c>
      <c r="AC551" s="0" t="n">
        <f aca="false">IF(AA551=1,100*AB551/B551,"")</f>
        <v>0.338774082458634</v>
      </c>
      <c r="AD551" s="0" t="n">
        <f aca="false">IF(AND(AND(ISNUMBER(B551),B551=OriginalFinancials!B551),AND(ISNUMBER(U551),U551=OriginalFinancials!U551),AND(ISNUMBER(O551),O551=OriginalFinancials!O551)),0,1)</f>
        <v>0</v>
      </c>
      <c r="AE551" s="0" t="str">
        <f aca="false">IF(V551=0,"原始0：需核实适用/报告口径","")</f>
        <v>原始0：需核实适用/报告口径</v>
      </c>
    </row>
    <row r="552" customFormat="false" ht="15" hidden="false" customHeight="false" outlineLevel="0" collapsed="false">
      <c r="A552" s="0" t="n">
        <v>552</v>
      </c>
      <c r="B552" s="0" t="n">
        <v>1372601</v>
      </c>
      <c r="C552" s="0" t="n">
        <v>17749</v>
      </c>
      <c r="D552" s="0" t="n">
        <v>1059435</v>
      </c>
      <c r="E552" s="0" t="n">
        <v>0.07</v>
      </c>
      <c r="F552" s="0" t="n">
        <v>190135</v>
      </c>
      <c r="G552" s="0" t="n">
        <v>13.8521682557422</v>
      </c>
      <c r="H552" s="0" t="s">
        <v>709</v>
      </c>
      <c r="I552" s="0" t="n">
        <v>1.42870371272894</v>
      </c>
      <c r="J552" s="0" t="n">
        <v>48457</v>
      </c>
      <c r="K552" s="0" t="n">
        <v>12482</v>
      </c>
      <c r="L552" s="0" t="n">
        <v>820744</v>
      </c>
      <c r="M552" s="0" t="n">
        <v>809018</v>
      </c>
      <c r="N552" s="0" t="n">
        <v>748076</v>
      </c>
      <c r="O552" s="0" t="n">
        <v>617</v>
      </c>
      <c r="P552" s="0" t="s">
        <v>139</v>
      </c>
      <c r="Q552" s="0" t="n">
        <v>0.0756630569337089</v>
      </c>
      <c r="R552" s="0" t="n">
        <v>2.48516533343538</v>
      </c>
      <c r="S552" s="0" t="n">
        <v>6</v>
      </c>
      <c r="T552" s="0" t="n">
        <v>1026</v>
      </c>
      <c r="U552" s="0" t="n">
        <v>4</v>
      </c>
      <c r="V552" s="0" t="n">
        <v>0</v>
      </c>
      <c r="W552" s="0" t="n">
        <v>20240930</v>
      </c>
      <c r="X552" s="0" t="n">
        <v>1.09049365962965</v>
      </c>
      <c r="Y552" s="0" t="n">
        <v>8.37</v>
      </c>
      <c r="Z552" s="0" t="s">
        <v>105</v>
      </c>
      <c r="AA552" s="0" t="n">
        <f aca="false">IF(AND(ISNUMBER(B552),B552&gt;0,ISNUMBER(U552),U552&gt;=0,ISNUMBER(O552),O552&gt;=0),1,0)</f>
        <v>1</v>
      </c>
      <c r="AB552" s="0" t="n">
        <f aca="false">IF(AA552=1,U552+O552,0)</f>
        <v>621</v>
      </c>
      <c r="AC552" s="0" t="n">
        <f aca="false">IF(AA552=1,100*AB552/B552,"")</f>
        <v>0.04524257231344</v>
      </c>
      <c r="AD552" s="0" t="n">
        <f aca="false">IF(AND(AND(ISNUMBER(B552),B552=OriginalFinancials!B552),AND(ISNUMBER(U552),U552=OriginalFinancials!U552),AND(ISNUMBER(O552),O552=OriginalFinancials!O552)),0,1)</f>
        <v>0</v>
      </c>
      <c r="AE552" s="0" t="str">
        <f aca="false">IF(V552=0,"原始0：需核实适用/报告口径","")</f>
        <v>原始0：需核实适用/报告口径</v>
      </c>
    </row>
    <row r="553" customFormat="false" ht="15" hidden="false" customHeight="false" outlineLevel="0" collapsed="false">
      <c r="A553" s="0" t="n">
        <v>553</v>
      </c>
      <c r="B553" s="0" t="n">
        <v>1665363</v>
      </c>
      <c r="C553" s="0" t="n">
        <v>17751</v>
      </c>
      <c r="D553" s="0" t="n">
        <v>1312346</v>
      </c>
      <c r="E553" s="0" t="n">
        <v>0.04</v>
      </c>
      <c r="F553" s="0" t="n">
        <v>146041</v>
      </c>
      <c r="G553" s="0" t="n">
        <v>8.76931936160465</v>
      </c>
      <c r="H553" s="0" t="s">
        <v>710</v>
      </c>
      <c r="I553" s="0" t="n">
        <v>0.904466664869343</v>
      </c>
      <c r="J553" s="0" t="n">
        <v>136330</v>
      </c>
      <c r="K553" s="0" t="n">
        <v>2825</v>
      </c>
      <c r="L553" s="0" t="n">
        <v>1372411</v>
      </c>
      <c r="M553" s="0" t="n">
        <v>1359998</v>
      </c>
      <c r="N553" s="0" t="n">
        <v>1170198</v>
      </c>
      <c r="O553" s="0" t="n">
        <v>5637</v>
      </c>
      <c r="P553" s="0" t="s">
        <v>141</v>
      </c>
      <c r="Q553" s="0" t="n">
        <v>0.410737016826592</v>
      </c>
      <c r="R553" s="0" t="n">
        <v>2.66147221338077</v>
      </c>
      <c r="S553" s="0" t="n">
        <v>-41</v>
      </c>
      <c r="T553" s="0" t="n">
        <v>2877</v>
      </c>
      <c r="U553" s="0" t="n">
        <v>0</v>
      </c>
      <c r="V553" s="0" t="n">
        <v>12.6616730688762</v>
      </c>
      <c r="W553" s="0" t="n">
        <v>20240930</v>
      </c>
      <c r="X553" s="0" t="n">
        <v>0.432944118659756</v>
      </c>
      <c r="Y553" s="0" t="n">
        <v>5.01</v>
      </c>
      <c r="Z553" s="0" t="s">
        <v>105</v>
      </c>
      <c r="AA553" s="0" t="n">
        <f aca="false">IF(AND(ISNUMBER(B553),B553&gt;0,ISNUMBER(U553),U553&gt;=0,ISNUMBER(O553),O553&gt;=0),1,0)</f>
        <v>1</v>
      </c>
      <c r="AB553" s="0" t="n">
        <f aca="false">IF(AA553=1,U553+O553,0)</f>
        <v>5637</v>
      </c>
      <c r="AC553" s="0" t="n">
        <f aca="false">IF(AA553=1,100*AB553/B553,"")</f>
        <v>0.338484762781448</v>
      </c>
      <c r="AD553" s="0" t="n">
        <f aca="false">IF(AND(AND(ISNUMBER(B553),B553=OriginalFinancials!B553),AND(ISNUMBER(U553),U553=OriginalFinancials!U553),AND(ISNUMBER(O553),O553=OriginalFinancials!O553)),0,1)</f>
        <v>0</v>
      </c>
      <c r="AE553" s="0" t="str">
        <f aca="false">IF(V553=0,"原始0：需核实适用/报告口径","")</f>
        <v/>
      </c>
    </row>
    <row r="554" customFormat="false" ht="15" hidden="false" customHeight="false" outlineLevel="0" collapsed="false">
      <c r="A554" s="0" t="n">
        <v>554</v>
      </c>
      <c r="B554" s="0" t="n">
        <v>1743721</v>
      </c>
      <c r="C554" s="0" t="n">
        <v>17897</v>
      </c>
      <c r="D554" s="0" t="n">
        <v>1323557</v>
      </c>
      <c r="E554" s="0" t="n">
        <v>-0.01</v>
      </c>
      <c r="F554" s="0" t="n">
        <v>219695</v>
      </c>
      <c r="G554" s="0" t="n">
        <v>12.599205950952</v>
      </c>
      <c r="H554" s="0" t="s">
        <v>711</v>
      </c>
      <c r="I554" s="0" t="n">
        <v>0.608336306544413</v>
      </c>
      <c r="J554" s="0" t="n">
        <v>72858</v>
      </c>
      <c r="K554" s="0" t="n">
        <v>3119</v>
      </c>
      <c r="L554" s="0" t="n">
        <v>1443445</v>
      </c>
      <c r="M554" s="0" t="n">
        <v>1434664</v>
      </c>
      <c r="N554" s="0" t="n">
        <v>1355336</v>
      </c>
      <c r="O554" s="0" t="n">
        <v>4826</v>
      </c>
      <c r="P554" s="0" t="s">
        <v>143</v>
      </c>
      <c r="Q554" s="0" t="n">
        <v>0.33433902919751</v>
      </c>
      <c r="R554" s="0" t="n">
        <v>2.3623944322489</v>
      </c>
      <c r="S554" s="0" t="n">
        <v>-47</v>
      </c>
      <c r="T554" s="0" t="n">
        <v>1719</v>
      </c>
      <c r="U554" s="0" t="n">
        <v>0</v>
      </c>
      <c r="V554" s="0" t="n">
        <v>18.0101447735768</v>
      </c>
      <c r="W554" s="0" t="n">
        <v>20240930</v>
      </c>
      <c r="X554" s="0" t="n">
        <v>0.828207779242847</v>
      </c>
      <c r="Y554" s="0" t="n">
        <v>6.72</v>
      </c>
      <c r="Z554" s="0" t="s">
        <v>105</v>
      </c>
      <c r="AA554" s="0" t="n">
        <f aca="false">IF(AND(ISNUMBER(B554),B554&gt;0,ISNUMBER(U554),U554&gt;=0,ISNUMBER(O554),O554&gt;=0),1,0)</f>
        <v>1</v>
      </c>
      <c r="AB554" s="0" t="n">
        <f aca="false">IF(AA554=1,U554+O554,0)</f>
        <v>4826</v>
      </c>
      <c r="AC554" s="0" t="n">
        <f aca="false">IF(AA554=1,100*AB554/B554,"")</f>
        <v>0.276764459451942</v>
      </c>
      <c r="AD554" s="0" t="n">
        <f aca="false">IF(AND(AND(ISNUMBER(B554),B554=OriginalFinancials!B554),AND(ISNUMBER(U554),U554=OriginalFinancials!U554),AND(ISNUMBER(O554),O554=OriginalFinancials!O554)),0,1)</f>
        <v>0</v>
      </c>
      <c r="AE554" s="0" t="str">
        <f aca="false">IF(V554=0,"原始0：需核实适用/报告口径","")</f>
        <v/>
      </c>
    </row>
    <row r="555" customFormat="false" ht="15" hidden="false" customHeight="false" outlineLevel="0" collapsed="false">
      <c r="A555" s="0" t="n">
        <v>555</v>
      </c>
      <c r="B555" s="0" t="n">
        <v>819978</v>
      </c>
      <c r="C555" s="0" t="n">
        <v>17951</v>
      </c>
      <c r="D555" s="0" t="n">
        <v>688357</v>
      </c>
      <c r="E555" s="0" t="n">
        <v>0.01</v>
      </c>
      <c r="F555" s="0" t="n">
        <v>67870</v>
      </c>
      <c r="G555" s="0" t="n">
        <v>8.27705133552364</v>
      </c>
      <c r="H555" s="0" t="s">
        <v>712</v>
      </c>
      <c r="I555" s="0" t="n">
        <v>0.849789886200166</v>
      </c>
      <c r="J555" s="0" t="n">
        <v>30902</v>
      </c>
      <c r="K555" s="0" t="n">
        <v>1766</v>
      </c>
      <c r="L555" s="0" t="n">
        <v>599913</v>
      </c>
      <c r="M555" s="0" t="n">
        <v>594815</v>
      </c>
      <c r="N555" s="0" t="n">
        <v>550875</v>
      </c>
      <c r="O555" s="0" t="n">
        <v>61</v>
      </c>
      <c r="P555" s="0" t="s">
        <v>145</v>
      </c>
      <c r="Q555" s="0" t="n">
        <v>0.0101681410471184</v>
      </c>
      <c r="R555" s="0" t="n">
        <v>2.48058120647071</v>
      </c>
      <c r="S555" s="0" t="n">
        <v>-141</v>
      </c>
      <c r="T555" s="0" t="n">
        <v>540</v>
      </c>
      <c r="U555" s="0" t="n">
        <v>0</v>
      </c>
      <c r="V555" s="0" t="n">
        <v>14.5460942258817</v>
      </c>
      <c r="W555" s="0" t="n">
        <v>20240930</v>
      </c>
      <c r="X555" s="0" t="n">
        <v>0.511043995809567</v>
      </c>
      <c r="Y555" s="0" t="n">
        <v>6.44</v>
      </c>
      <c r="Z555" s="0" t="s">
        <v>123</v>
      </c>
      <c r="AA555" s="0" t="n">
        <f aca="false">IF(AND(ISNUMBER(B555),B555&gt;0,ISNUMBER(U555),U555&gt;=0,ISNUMBER(O555),O555&gt;=0),1,0)</f>
        <v>1</v>
      </c>
      <c r="AB555" s="0" t="n">
        <f aca="false">IF(AA555=1,U555+O555,0)</f>
        <v>61</v>
      </c>
      <c r="AC555" s="0" t="n">
        <f aca="false">IF(AA555=1,100*AB555/B555,"")</f>
        <v>0.00743922397917993</v>
      </c>
      <c r="AD555" s="0" t="n">
        <f aca="false">IF(AND(AND(ISNUMBER(B555),B555=OriginalFinancials!B555),AND(ISNUMBER(U555),U555=OriginalFinancials!U555),AND(ISNUMBER(O555),O555=OriginalFinancials!O555)),0,1)</f>
        <v>0</v>
      </c>
      <c r="AE555" s="0" t="str">
        <f aca="false">IF(V555=0,"原始0：需核实适用/报告口径","")</f>
        <v/>
      </c>
    </row>
    <row r="556" customFormat="false" ht="15" hidden="false" customHeight="false" outlineLevel="0" collapsed="false">
      <c r="A556" s="0" t="n">
        <v>556</v>
      </c>
      <c r="B556" s="0" t="n">
        <v>1380640</v>
      </c>
      <c r="C556" s="0" t="n">
        <v>17960</v>
      </c>
      <c r="D556" s="0" t="n">
        <v>1050589</v>
      </c>
      <c r="E556" s="0" t="n">
        <v>0.32</v>
      </c>
      <c r="F556" s="0" t="n">
        <v>117711</v>
      </c>
      <c r="G556" s="0" t="n">
        <v>8.52582860122842</v>
      </c>
      <c r="H556" s="0" t="s">
        <v>713</v>
      </c>
      <c r="I556" s="0" t="n">
        <v>1.01304715678853</v>
      </c>
      <c r="J556" s="0" t="n">
        <v>105315</v>
      </c>
      <c r="K556" s="0" t="n">
        <v>230816</v>
      </c>
      <c r="L556" s="0" t="n">
        <v>1167764</v>
      </c>
      <c r="M556" s="0" t="n">
        <v>1155934</v>
      </c>
      <c r="N556" s="0" t="n">
        <v>827763</v>
      </c>
      <c r="O556" s="0" t="n">
        <v>6798</v>
      </c>
      <c r="P556" s="0" t="s">
        <v>147</v>
      </c>
      <c r="Q556" s="0" t="n">
        <v>0.585906056360703</v>
      </c>
      <c r="R556" s="0" t="n">
        <v>2.71332263065168</v>
      </c>
      <c r="S556" s="0" t="n">
        <v>2883</v>
      </c>
      <c r="T556" s="0" t="n">
        <v>5539</v>
      </c>
      <c r="U556" s="0" t="n">
        <v>44</v>
      </c>
      <c r="V556" s="0" t="n">
        <v>13.4452092505768</v>
      </c>
      <c r="W556" s="0" t="n">
        <v>20240930</v>
      </c>
      <c r="X556" s="0" t="n">
        <v>0.211894845039827</v>
      </c>
      <c r="Y556" s="0" t="n">
        <v>2.53</v>
      </c>
      <c r="Z556" s="0" t="s">
        <v>123</v>
      </c>
      <c r="AA556" s="0" t="n">
        <f aca="false">IF(AND(ISNUMBER(B556),B556&gt;0,ISNUMBER(U556),U556&gt;=0,ISNUMBER(O556),O556&gt;=0),1,0)</f>
        <v>1</v>
      </c>
      <c r="AB556" s="0" t="n">
        <f aca="false">IF(AA556=1,U556+O556,0)</f>
        <v>6842</v>
      </c>
      <c r="AC556" s="0" t="n">
        <f aca="false">IF(AA556=1,100*AB556/B556,"")</f>
        <v>0.495567273148685</v>
      </c>
      <c r="AD556" s="0" t="n">
        <f aca="false">IF(AND(AND(ISNUMBER(B556),B556=OriginalFinancials!B556),AND(ISNUMBER(U556),U556=OriginalFinancials!U556),AND(ISNUMBER(O556),O556=OriginalFinancials!O556)),0,1)</f>
        <v>0</v>
      </c>
      <c r="AE556" s="0" t="str">
        <f aca="false">IF(V556=0,"原始0：需核实适用/报告口径","")</f>
        <v/>
      </c>
    </row>
    <row r="557" customFormat="false" ht="15" hidden="false" customHeight="false" outlineLevel="0" collapsed="false">
      <c r="A557" s="0" t="n">
        <v>557</v>
      </c>
      <c r="B557" s="0" t="n">
        <v>2583718</v>
      </c>
      <c r="C557" s="0" t="n">
        <v>18012</v>
      </c>
      <c r="D557" s="0" t="n">
        <v>2179694</v>
      </c>
      <c r="E557" s="0" t="n">
        <v>0.03</v>
      </c>
      <c r="F557" s="0" t="n">
        <v>287158</v>
      </c>
      <c r="G557" s="0" t="n">
        <v>11.1141386172949</v>
      </c>
      <c r="H557" s="0" t="s">
        <v>714</v>
      </c>
      <c r="I557" s="0" t="n">
        <v>1.16726312238675</v>
      </c>
      <c r="J557" s="0" t="n">
        <v>48301</v>
      </c>
      <c r="K557" s="0" t="n">
        <v>28594</v>
      </c>
      <c r="L557" s="0" t="n">
        <v>2078109</v>
      </c>
      <c r="M557" s="0" t="n">
        <v>2053852</v>
      </c>
      <c r="N557" s="0" t="n">
        <v>1973661</v>
      </c>
      <c r="O557" s="0" t="n">
        <v>551</v>
      </c>
      <c r="P557" s="0" t="s">
        <v>149</v>
      </c>
      <c r="Q557" s="0" t="n">
        <v>0.0265144898559218</v>
      </c>
      <c r="R557" s="0" t="n">
        <v>2.69914361948279</v>
      </c>
      <c r="S557" s="0" t="n">
        <v>81</v>
      </c>
      <c r="T557" s="0" t="n">
        <v>4359</v>
      </c>
      <c r="U557" s="0" t="n">
        <v>0</v>
      </c>
      <c r="V557" s="0" t="n">
        <v>14.420969624268</v>
      </c>
      <c r="W557" s="0" t="n">
        <v>20240930</v>
      </c>
      <c r="X557" s="0" t="n">
        <v>0.708107955416192</v>
      </c>
      <c r="Y557" s="0" t="n">
        <v>6.5</v>
      </c>
      <c r="Z557" s="0" t="s">
        <v>123</v>
      </c>
      <c r="AA557" s="0" t="n">
        <f aca="false">IF(AND(ISNUMBER(B557),B557&gt;0,ISNUMBER(U557),U557&gt;=0,ISNUMBER(O557),O557&gt;=0),1,0)</f>
        <v>1</v>
      </c>
      <c r="AB557" s="0" t="n">
        <f aca="false">IF(AA557=1,U557+O557,0)</f>
        <v>551</v>
      </c>
      <c r="AC557" s="0" t="n">
        <f aca="false">IF(AA557=1,100*AB557/B557,"")</f>
        <v>0.0213258567691985</v>
      </c>
      <c r="AD557" s="0" t="n">
        <f aca="false">IF(AND(AND(ISNUMBER(B557),B557=OriginalFinancials!B557),AND(ISNUMBER(U557),U557=OriginalFinancials!U557),AND(ISNUMBER(O557),O557=OriginalFinancials!O557)),0,1)</f>
        <v>0</v>
      </c>
      <c r="AE557" s="0" t="str">
        <f aca="false">IF(V557=0,"原始0：需核实适用/报告口径","")</f>
        <v/>
      </c>
    </row>
    <row r="558" customFormat="false" ht="15" hidden="false" customHeight="false" outlineLevel="0" collapsed="false">
      <c r="A558" s="0" t="n">
        <v>558</v>
      </c>
      <c r="B558" s="0" t="n">
        <v>2889853</v>
      </c>
      <c r="C558" s="0" t="n">
        <v>18013</v>
      </c>
      <c r="D558" s="0" t="n">
        <v>2534229</v>
      </c>
      <c r="E558" s="0" t="n">
        <v>0</v>
      </c>
      <c r="F558" s="0" t="n">
        <v>234630</v>
      </c>
      <c r="G558" s="0" t="n">
        <v>8.1190980994535</v>
      </c>
      <c r="H558" s="0" t="s">
        <v>715</v>
      </c>
      <c r="I558" s="0" t="n">
        <v>0.701417666667641</v>
      </c>
      <c r="J558" s="0" t="n">
        <v>105437</v>
      </c>
      <c r="K558" s="0" t="n">
        <v>23430</v>
      </c>
      <c r="L558" s="0" t="n">
        <v>2393581</v>
      </c>
      <c r="M558" s="0" t="n">
        <v>2376792</v>
      </c>
      <c r="N558" s="0" t="n">
        <v>2183396</v>
      </c>
      <c r="O558" s="0" t="n">
        <v>1627</v>
      </c>
      <c r="P558" s="0" t="s">
        <v>151</v>
      </c>
      <c r="Q558" s="0" t="n">
        <v>0.071065069450334</v>
      </c>
      <c r="R558" s="0" t="n">
        <v>2.452484291317</v>
      </c>
      <c r="S558" s="0" t="n">
        <v>296</v>
      </c>
      <c r="T558" s="0" t="n">
        <v>5926</v>
      </c>
      <c r="U558" s="0" t="n">
        <v>74</v>
      </c>
      <c r="V558" s="0" t="n">
        <v>12.6133265662941</v>
      </c>
      <c r="W558" s="0" t="n">
        <v>20240930</v>
      </c>
      <c r="X558" s="0" t="n">
        <v>0.25337240311984</v>
      </c>
      <c r="Y558" s="0" t="n">
        <v>3.29</v>
      </c>
      <c r="Z558" s="0" t="s">
        <v>123</v>
      </c>
      <c r="AA558" s="0" t="n">
        <f aca="false">IF(AND(ISNUMBER(B558),B558&gt;0,ISNUMBER(U558),U558&gt;=0,ISNUMBER(O558),O558&gt;=0),1,0)</f>
        <v>1</v>
      </c>
      <c r="AB558" s="0" t="n">
        <f aca="false">IF(AA558=1,U558+O558,0)</f>
        <v>1701</v>
      </c>
      <c r="AC558" s="0" t="n">
        <f aca="false">IF(AA558=1,100*AB558/B558,"")</f>
        <v>0.058861125462091</v>
      </c>
      <c r="AD558" s="0" t="n">
        <f aca="false">IF(AND(AND(ISNUMBER(B558),B558=OriginalFinancials!B558),AND(ISNUMBER(U558),U558=OriginalFinancials!U558),AND(ISNUMBER(O558),O558=OriginalFinancials!O558)),0,1)</f>
        <v>0</v>
      </c>
      <c r="AE558" s="0" t="str">
        <f aca="false">IF(V558=0,"原始0：需核实适用/报告口径","")</f>
        <v/>
      </c>
    </row>
    <row r="559" customFormat="false" ht="15" hidden="false" customHeight="false" outlineLevel="0" collapsed="false">
      <c r="A559" s="0" t="n">
        <v>559</v>
      </c>
      <c r="B559" s="0" t="n">
        <v>407460</v>
      </c>
      <c r="C559" s="0" t="n">
        <v>18028</v>
      </c>
      <c r="D559" s="0" t="n">
        <v>337570</v>
      </c>
      <c r="E559" s="0" t="n">
        <v>0.09</v>
      </c>
      <c r="F559" s="0" t="n">
        <v>43831</v>
      </c>
      <c r="G559" s="0" t="n">
        <v>10.7571295341874</v>
      </c>
      <c r="H559" s="0" t="s">
        <v>716</v>
      </c>
      <c r="I559" s="0" t="n">
        <v>0.821197853936275</v>
      </c>
      <c r="J559" s="0" t="n">
        <v>12374</v>
      </c>
      <c r="K559" s="0" t="n">
        <v>6660</v>
      </c>
      <c r="L559" s="0" t="n">
        <v>273990</v>
      </c>
      <c r="M559" s="0" t="n">
        <v>271740</v>
      </c>
      <c r="N559" s="0" t="n">
        <v>249806</v>
      </c>
      <c r="O559" s="0" t="n">
        <v>908</v>
      </c>
      <c r="P559" s="0" t="s">
        <v>153</v>
      </c>
      <c r="Q559" s="0" t="n">
        <v>0.462060659148144</v>
      </c>
      <c r="R559" s="0" t="n">
        <v>3.29966188951613</v>
      </c>
      <c r="S559" s="0" t="n">
        <v>376</v>
      </c>
      <c r="T559" s="0" t="n">
        <v>845</v>
      </c>
      <c r="U559" s="0" t="n">
        <v>358</v>
      </c>
      <c r="V559" s="0" t="n">
        <v>0</v>
      </c>
      <c r="W559" s="0" t="n">
        <v>20240930</v>
      </c>
      <c r="X559" s="0" t="n">
        <v>0.449445889497145</v>
      </c>
      <c r="Y559" s="0" t="n">
        <v>4.31</v>
      </c>
      <c r="Z559" s="0" t="s">
        <v>123</v>
      </c>
      <c r="AA559" s="0" t="n">
        <f aca="false">IF(AND(ISNUMBER(B559),B559&gt;0,ISNUMBER(U559),U559&gt;=0,ISNUMBER(O559),O559&gt;=0),1,0)</f>
        <v>1</v>
      </c>
      <c r="AB559" s="0" t="n">
        <f aca="false">IF(AA559=1,U559+O559,0)</f>
        <v>1266</v>
      </c>
      <c r="AC559" s="0" t="n">
        <f aca="false">IF(AA559=1,100*AB559/B559,"")</f>
        <v>0.310705345309969</v>
      </c>
      <c r="AD559" s="0" t="n">
        <f aca="false">IF(AND(AND(ISNUMBER(B559),B559=OriginalFinancials!B559),AND(ISNUMBER(U559),U559=OriginalFinancials!U559),AND(ISNUMBER(O559),O559=OriginalFinancials!O559)),0,1)</f>
        <v>0</v>
      </c>
      <c r="AE559" s="0" t="str">
        <f aca="false">IF(V559=0,"原始0：需核实适用/报告口径","")</f>
        <v>原始0：需核实适用/报告口径</v>
      </c>
    </row>
    <row r="560" customFormat="false" ht="15" hidden="false" customHeight="false" outlineLevel="0" collapsed="false">
      <c r="A560" s="0" t="n">
        <v>560</v>
      </c>
      <c r="B560" s="0" t="n">
        <v>794567</v>
      </c>
      <c r="C560" s="0" t="n">
        <v>18030</v>
      </c>
      <c r="D560" s="0" t="n">
        <v>707506</v>
      </c>
      <c r="E560" s="0" t="n">
        <v>0.01</v>
      </c>
      <c r="F560" s="0" t="n">
        <v>54737</v>
      </c>
      <c r="G560" s="0" t="n">
        <v>6.88890930531975</v>
      </c>
      <c r="H560" s="0" t="s">
        <v>717</v>
      </c>
      <c r="I560" s="0" t="n">
        <v>0.994435914507385</v>
      </c>
      <c r="J560" s="0" t="n">
        <v>42189</v>
      </c>
      <c r="K560" s="0" t="n">
        <v>98640</v>
      </c>
      <c r="L560" s="0" t="n">
        <v>588776</v>
      </c>
      <c r="M560" s="0" t="n">
        <v>582921</v>
      </c>
      <c r="N560" s="0" t="n">
        <v>447654</v>
      </c>
      <c r="O560" s="0" t="n">
        <v>1967</v>
      </c>
      <c r="P560" s="0" t="s">
        <v>155</v>
      </c>
      <c r="Q560" s="0" t="n">
        <v>0.33408291098822</v>
      </c>
      <c r="R560" s="0" t="n">
        <v>3.41619145057046</v>
      </c>
      <c r="S560" s="0" t="n">
        <v>111</v>
      </c>
      <c r="T560" s="0" t="n">
        <v>1330</v>
      </c>
      <c r="U560" s="0" t="n">
        <v>0</v>
      </c>
      <c r="V560" s="0" t="n">
        <v>13.6705393261032</v>
      </c>
      <c r="W560" s="0" t="n">
        <v>20240930</v>
      </c>
      <c r="X560" s="0" t="n">
        <v>0.697344762810995</v>
      </c>
      <c r="Y560" s="0" t="n">
        <v>10.43</v>
      </c>
      <c r="Z560" s="0" t="s">
        <v>123</v>
      </c>
      <c r="AA560" s="0" t="n">
        <f aca="false">IF(AND(ISNUMBER(B560),B560&gt;0,ISNUMBER(U560),U560&gt;=0,ISNUMBER(O560),O560&gt;=0),1,0)</f>
        <v>1</v>
      </c>
      <c r="AB560" s="0" t="n">
        <f aca="false">IF(AA560=1,U560+O560,0)</f>
        <v>1967</v>
      </c>
      <c r="AC560" s="0" t="n">
        <f aca="false">IF(AA560=1,100*AB560/B560,"")</f>
        <v>0.247556216152949</v>
      </c>
      <c r="AD560" s="0" t="n">
        <f aca="false">IF(AND(AND(ISNUMBER(B560),B560=OriginalFinancials!B560),AND(ISNUMBER(U560),U560=OriginalFinancials!U560),AND(ISNUMBER(O560),O560=OriginalFinancials!O560)),0,1)</f>
        <v>0</v>
      </c>
      <c r="AE560" s="0" t="str">
        <f aca="false">IF(V560=0,"原始0：需核实适用/报告口径","")</f>
        <v/>
      </c>
    </row>
    <row r="561" customFormat="false" ht="15" hidden="false" customHeight="false" outlineLevel="0" collapsed="false">
      <c r="A561" s="0" t="n">
        <v>561</v>
      </c>
      <c r="B561" s="0" t="n">
        <v>677501</v>
      </c>
      <c r="C561" s="0" t="n">
        <v>18031</v>
      </c>
      <c r="D561" s="0" t="n">
        <v>528633</v>
      </c>
      <c r="E561" s="0" t="n">
        <v>-0.03</v>
      </c>
      <c r="F561" s="0" t="n">
        <v>41575</v>
      </c>
      <c r="G561" s="0" t="n">
        <v>6.13652230771615</v>
      </c>
      <c r="H561" s="0" t="s">
        <v>718</v>
      </c>
      <c r="I561" s="0" t="n">
        <v>0.822693702506098</v>
      </c>
      <c r="J561" s="0" t="n">
        <v>22338</v>
      </c>
      <c r="K561" s="0" t="n">
        <v>8244</v>
      </c>
      <c r="L561" s="0" t="n">
        <v>468218</v>
      </c>
      <c r="M561" s="0" t="n">
        <v>464366</v>
      </c>
      <c r="N561" s="0" t="n">
        <v>431155</v>
      </c>
      <c r="O561" s="0" t="n">
        <v>973</v>
      </c>
      <c r="P561" s="0" t="s">
        <v>157</v>
      </c>
      <c r="Q561" s="0" t="n">
        <v>0.207809182901981</v>
      </c>
      <c r="R561" s="0" t="n">
        <v>2.63046277328617</v>
      </c>
      <c r="S561" s="0" t="n">
        <v>34</v>
      </c>
      <c r="T561" s="0" t="n">
        <v>243</v>
      </c>
      <c r="U561" s="0" t="n">
        <v>0</v>
      </c>
      <c r="V561" s="0" t="n">
        <v>16.7487150865234</v>
      </c>
      <c r="W561" s="0" t="n">
        <v>20240930</v>
      </c>
      <c r="X561" s="0" t="n">
        <v>0.42618981664151</v>
      </c>
      <c r="Y561" s="0" t="n">
        <v>7.55</v>
      </c>
      <c r="Z561" s="0" t="s">
        <v>123</v>
      </c>
      <c r="AA561" s="0" t="n">
        <f aca="false">IF(AND(ISNUMBER(B561),B561&gt;0,ISNUMBER(U561),U561&gt;=0,ISNUMBER(O561),O561&gt;=0),1,0)</f>
        <v>1</v>
      </c>
      <c r="AB561" s="0" t="n">
        <f aca="false">IF(AA561=1,U561+O561,0)</f>
        <v>973</v>
      </c>
      <c r="AC561" s="0" t="n">
        <f aca="false">IF(AA561=1,100*AB561/B561,"")</f>
        <v>0.14361602418299</v>
      </c>
      <c r="AD561" s="0" t="n">
        <f aca="false">IF(AND(AND(ISNUMBER(B561),B561=OriginalFinancials!B561),AND(ISNUMBER(U561),U561=OriginalFinancials!U561),AND(ISNUMBER(O561),O561=OriginalFinancials!O561)),0,1)</f>
        <v>0</v>
      </c>
      <c r="AE561" s="0" t="str">
        <f aca="false">IF(V561=0,"原始0：需核实适用/报告口径","")</f>
        <v/>
      </c>
    </row>
    <row r="562" customFormat="false" ht="15" hidden="false" customHeight="false" outlineLevel="0" collapsed="false">
      <c r="A562" s="0" t="n">
        <v>562</v>
      </c>
      <c r="B562" s="0" t="n">
        <v>578941</v>
      </c>
      <c r="C562" s="0" t="n">
        <v>18038</v>
      </c>
      <c r="D562" s="0" t="n">
        <v>436224</v>
      </c>
      <c r="E562" s="0" t="n">
        <v>0.02</v>
      </c>
      <c r="F562" s="0" t="n">
        <v>68568</v>
      </c>
      <c r="G562" s="0" t="n">
        <v>11.8436939169967</v>
      </c>
      <c r="H562" s="0" t="s">
        <v>719</v>
      </c>
      <c r="I562" s="0" t="n">
        <v>0.933914033237053</v>
      </c>
      <c r="J562" s="0" t="n">
        <v>28944</v>
      </c>
      <c r="K562" s="0" t="n">
        <v>4689</v>
      </c>
      <c r="L562" s="0" t="n">
        <v>419953</v>
      </c>
      <c r="M562" s="0" t="n">
        <v>416031</v>
      </c>
      <c r="N562" s="0" t="n">
        <v>385462</v>
      </c>
      <c r="O562" s="0" t="n">
        <v>2472</v>
      </c>
      <c r="P562" s="0" t="s">
        <v>159</v>
      </c>
      <c r="Q562" s="0" t="n">
        <v>0.588637299888321</v>
      </c>
      <c r="R562" s="0" t="n">
        <v>2.50311359932842</v>
      </c>
      <c r="S562" s="0" t="n">
        <v>-9</v>
      </c>
      <c r="T562" s="0" t="n">
        <v>765</v>
      </c>
      <c r="U562" s="0" t="n">
        <v>0</v>
      </c>
      <c r="V562" s="0" t="n">
        <v>0</v>
      </c>
      <c r="W562" s="0" t="n">
        <v>20240930</v>
      </c>
      <c r="X562" s="0" t="n">
        <v>0.480130621285366</v>
      </c>
      <c r="Y562" s="0" t="n">
        <v>3.91</v>
      </c>
      <c r="Z562" s="0" t="s">
        <v>123</v>
      </c>
      <c r="AA562" s="0" t="n">
        <f aca="false">IF(AND(ISNUMBER(B562),B562&gt;0,ISNUMBER(U562),U562&gt;=0,ISNUMBER(O562),O562&gt;=0),1,0)</f>
        <v>1</v>
      </c>
      <c r="AB562" s="0" t="n">
        <f aca="false">IF(AA562=1,U562+O562,0)</f>
        <v>2472</v>
      </c>
      <c r="AC562" s="0" t="n">
        <f aca="false">IF(AA562=1,100*AB562/B562,"")</f>
        <v>0.426986515033484</v>
      </c>
      <c r="AD562" s="0" t="n">
        <f aca="false">IF(AND(AND(ISNUMBER(B562),B562=OriginalFinancials!B562),AND(ISNUMBER(U562),U562=OriginalFinancials!U562),AND(ISNUMBER(O562),O562=OriginalFinancials!O562)),0,1)</f>
        <v>0</v>
      </c>
      <c r="AE562" s="0" t="str">
        <f aca="false">IF(V562=0,"原始0：需核实适用/报告口径","")</f>
        <v>原始0：需核实适用/报告口径</v>
      </c>
    </row>
    <row r="563" customFormat="false" ht="15" hidden="false" customHeight="false" outlineLevel="0" collapsed="false">
      <c r="A563" s="0" t="n">
        <v>563</v>
      </c>
      <c r="B563" s="0" t="n">
        <v>7218777</v>
      </c>
      <c r="C563" s="0" t="n">
        <v>18408</v>
      </c>
      <c r="D563" s="0" t="n">
        <v>5440947</v>
      </c>
      <c r="E563" s="0" t="n">
        <v>-0.02</v>
      </c>
      <c r="F563" s="0" t="n">
        <v>451617</v>
      </c>
      <c r="G563" s="0" t="n">
        <v>6.25614283416706</v>
      </c>
      <c r="H563" s="0" t="s">
        <v>720</v>
      </c>
      <c r="I563" s="0" t="n">
        <v>0.63910242784092</v>
      </c>
      <c r="J563" s="0" t="n">
        <v>361664</v>
      </c>
      <c r="K563" s="0" t="n">
        <v>37287</v>
      </c>
      <c r="L563" s="0" t="n">
        <v>4864322</v>
      </c>
      <c r="M563" s="0" t="n">
        <v>4833234</v>
      </c>
      <c r="N563" s="0" t="n">
        <v>4390169</v>
      </c>
      <c r="O563" s="0" t="n">
        <v>3776</v>
      </c>
      <c r="P563" s="0" t="s">
        <v>161</v>
      </c>
      <c r="Q563" s="0" t="n">
        <v>0.0776264400259686</v>
      </c>
      <c r="R563" s="0" t="n">
        <v>2.12612207544725</v>
      </c>
      <c r="S563" s="0" t="n">
        <v>-375</v>
      </c>
      <c r="T563" s="0" t="n">
        <v>4839</v>
      </c>
      <c r="U563" s="0" t="n">
        <v>0</v>
      </c>
      <c r="V563" s="0" t="n">
        <v>11.5300926753721</v>
      </c>
      <c r="W563" s="0" t="n">
        <v>20240930</v>
      </c>
      <c r="X563" s="0" t="n">
        <v>0.155178563405037</v>
      </c>
      <c r="Y563" s="0" t="n">
        <v>2.68</v>
      </c>
      <c r="Z563" s="0" t="s">
        <v>105</v>
      </c>
      <c r="AA563" s="0" t="n">
        <f aca="false">IF(AND(ISNUMBER(B563),B563&gt;0,ISNUMBER(U563),U563&gt;=0,ISNUMBER(O563),O563&gt;=0),1,0)</f>
        <v>1</v>
      </c>
      <c r="AB563" s="0" t="n">
        <f aca="false">IF(AA563=1,U563+O563,0)</f>
        <v>3776</v>
      </c>
      <c r="AC563" s="0" t="n">
        <f aca="false">IF(AA563=1,100*AB563/B563,"")</f>
        <v>0.0523080294626084</v>
      </c>
      <c r="AD563" s="0" t="n">
        <f aca="false">IF(AND(AND(ISNUMBER(B563),B563=OriginalFinancials!B563),AND(ISNUMBER(U563),U563=OriginalFinancials!U563),AND(ISNUMBER(O563),O563=OriginalFinancials!O563)),0,1)</f>
        <v>0</v>
      </c>
      <c r="AE563" s="0" t="str">
        <f aca="false">IF(V563=0,"原始0：需核实适用/报告口径","")</f>
        <v/>
      </c>
    </row>
    <row r="564" customFormat="false" ht="15" hidden="false" customHeight="false" outlineLevel="0" collapsed="false">
      <c r="A564" s="0" t="n">
        <v>564</v>
      </c>
      <c r="B564" s="0" t="n">
        <v>2632240</v>
      </c>
      <c r="C564" s="0" t="n">
        <v>19531</v>
      </c>
      <c r="D564" s="0" t="n">
        <v>2115575</v>
      </c>
      <c r="E564" s="0" t="n">
        <v>-0.05</v>
      </c>
      <c r="F564" s="0" t="n">
        <v>257463</v>
      </c>
      <c r="G564" s="0" t="n">
        <v>9.78113697839103</v>
      </c>
      <c r="H564" s="0" t="s">
        <v>721</v>
      </c>
      <c r="I564" s="0" t="n">
        <v>0.900086011097699</v>
      </c>
      <c r="J564" s="0" t="n">
        <v>265218</v>
      </c>
      <c r="K564" s="0" t="n">
        <v>9142</v>
      </c>
      <c r="L564" s="0" t="n">
        <v>2161349</v>
      </c>
      <c r="M564" s="0" t="n">
        <v>2141895</v>
      </c>
      <c r="N564" s="0" t="n">
        <v>1773165</v>
      </c>
      <c r="O564" s="0" t="n">
        <v>6917</v>
      </c>
      <c r="P564" s="0" t="s">
        <v>163</v>
      </c>
      <c r="Q564" s="0" t="n">
        <v>0.320401749092812</v>
      </c>
      <c r="R564" s="0" t="n">
        <v>2.67251082299445</v>
      </c>
      <c r="S564" s="0" t="n">
        <v>495</v>
      </c>
      <c r="T564" s="0" t="n">
        <v>3153</v>
      </c>
      <c r="U564" s="0" t="n">
        <v>8</v>
      </c>
      <c r="V564" s="0" t="n">
        <v>13.8153054969781</v>
      </c>
      <c r="W564" s="0" t="n">
        <v>20240930</v>
      </c>
      <c r="X564" s="0" t="n">
        <v>0.454164925004259</v>
      </c>
      <c r="Y564" s="0" t="n">
        <v>4.71</v>
      </c>
      <c r="Z564" s="0" t="s">
        <v>105</v>
      </c>
      <c r="AA564" s="0" t="n">
        <f aca="false">IF(AND(ISNUMBER(B564),B564&gt;0,ISNUMBER(U564),U564&gt;=0,ISNUMBER(O564),O564&gt;=0),1,0)</f>
        <v>1</v>
      </c>
      <c r="AB564" s="0" t="n">
        <f aca="false">IF(AA564=1,U564+O564,0)</f>
        <v>6925</v>
      </c>
      <c r="AC564" s="0" t="n">
        <f aca="false">IF(AA564=1,100*AB564/B564,"")</f>
        <v>0.263083913320974</v>
      </c>
      <c r="AD564" s="0" t="n">
        <f aca="false">IF(AND(AND(ISNUMBER(B564),B564=OriginalFinancials!B564),AND(ISNUMBER(U564),U564=OriginalFinancials!U564),AND(ISNUMBER(O564),O564=OriginalFinancials!O564)),0,1)</f>
        <v>0</v>
      </c>
      <c r="AE564" s="0" t="str">
        <f aca="false">IF(V564=0,"原始0：需核实适用/报告口径","")</f>
        <v/>
      </c>
    </row>
    <row r="565" customFormat="false" ht="15" hidden="false" customHeight="false" outlineLevel="0" collapsed="false">
      <c r="A565" s="0" t="n">
        <v>565</v>
      </c>
      <c r="B565" s="0" t="n">
        <v>870742</v>
      </c>
      <c r="C565" s="0" t="n">
        <v>19532</v>
      </c>
      <c r="D565" s="0" t="n">
        <v>721893</v>
      </c>
      <c r="E565" s="0" t="n">
        <v>0.01</v>
      </c>
      <c r="F565" s="0" t="n">
        <v>105663</v>
      </c>
      <c r="G565" s="0" t="n">
        <v>12.1348229441097</v>
      </c>
      <c r="H565" s="0" t="s">
        <v>722</v>
      </c>
      <c r="I565" s="0" t="n">
        <v>0.98232378700023</v>
      </c>
      <c r="J565" s="0" t="n">
        <v>49678</v>
      </c>
      <c r="K565" s="0" t="n">
        <v>50753</v>
      </c>
      <c r="L565" s="0" t="n">
        <v>605503</v>
      </c>
      <c r="M565" s="0" t="n">
        <v>599555</v>
      </c>
      <c r="N565" s="0" t="n">
        <v>500065</v>
      </c>
      <c r="O565" s="0" t="n">
        <v>1698</v>
      </c>
      <c r="P565" s="0" t="s">
        <v>165</v>
      </c>
      <c r="Q565" s="0" t="n">
        <v>0.280428007788566</v>
      </c>
      <c r="R565" s="0" t="n">
        <v>3.08744646214214</v>
      </c>
      <c r="S565" s="0" t="n">
        <v>57</v>
      </c>
      <c r="T565" s="0" t="n">
        <v>1374</v>
      </c>
      <c r="U565" s="0" t="n">
        <v>0</v>
      </c>
      <c r="V565" s="0" t="n">
        <v>21.3137628374641</v>
      </c>
      <c r="W565" s="0" t="n">
        <v>20240930</v>
      </c>
      <c r="X565" s="0" t="n">
        <v>0.89346683117121</v>
      </c>
      <c r="Y565" s="0" t="n">
        <v>7.91</v>
      </c>
      <c r="Z565" s="0" t="s">
        <v>105</v>
      </c>
      <c r="AA565" s="0" t="n">
        <f aca="false">IF(AND(ISNUMBER(B565),B565&gt;0,ISNUMBER(U565),U565&gt;=0,ISNUMBER(O565),O565&gt;=0),1,0)</f>
        <v>1</v>
      </c>
      <c r="AB565" s="0" t="n">
        <f aca="false">IF(AA565=1,U565+O565,0)</f>
        <v>1698</v>
      </c>
      <c r="AC565" s="0" t="n">
        <f aca="false">IF(AA565=1,100*AB565/B565,"")</f>
        <v>0.195006098247242</v>
      </c>
      <c r="AD565" s="0" t="n">
        <f aca="false">IF(AND(AND(ISNUMBER(B565),B565=OriginalFinancials!B565),AND(ISNUMBER(U565),U565=OriginalFinancials!U565),AND(ISNUMBER(O565),O565=OriginalFinancials!O565)),0,1)</f>
        <v>0</v>
      </c>
      <c r="AE565" s="0" t="str">
        <f aca="false">IF(V565=0,"原始0：需核实适用/报告口径","")</f>
        <v/>
      </c>
    </row>
    <row r="566" customFormat="false" ht="15" hidden="false" customHeight="false" outlineLevel="0" collapsed="false">
      <c r="A566" s="0" t="n">
        <v>566</v>
      </c>
      <c r="B566" s="0" t="n">
        <v>3939898</v>
      </c>
      <c r="C566" s="0" t="n">
        <v>19690</v>
      </c>
      <c r="D566" s="0" t="n">
        <v>3161567</v>
      </c>
      <c r="E566" s="0" t="n">
        <v>0.06</v>
      </c>
      <c r="F566" s="0" t="n">
        <v>392557</v>
      </c>
      <c r="G566" s="0" t="n">
        <v>9.96363357630071</v>
      </c>
      <c r="H566" s="0" t="s">
        <v>723</v>
      </c>
      <c r="I566" s="0" t="n">
        <v>1.23956073421534</v>
      </c>
      <c r="J566" s="0" t="n">
        <v>90449</v>
      </c>
      <c r="K566" s="0" t="n">
        <v>223</v>
      </c>
      <c r="L566" s="0" t="n">
        <v>3520602</v>
      </c>
      <c r="M566" s="0" t="n">
        <v>3476962</v>
      </c>
      <c r="N566" s="0" t="n">
        <v>2821610</v>
      </c>
      <c r="O566" s="0" t="n">
        <v>37172</v>
      </c>
      <c r="P566" s="0" t="s">
        <v>167</v>
      </c>
      <c r="Q566" s="0" t="n">
        <v>1.05584215426794</v>
      </c>
      <c r="R566" s="0" t="n">
        <v>4.79885538409899</v>
      </c>
      <c r="S566" s="0" t="n">
        <v>5198</v>
      </c>
      <c r="T566" s="0" t="n">
        <v>1367</v>
      </c>
      <c r="U566" s="0" t="n">
        <v>0</v>
      </c>
      <c r="V566" s="0" t="n">
        <v>12.6993196381174</v>
      </c>
      <c r="W566" s="0" t="n">
        <v>20240930</v>
      </c>
      <c r="X566" s="0" t="n">
        <v>1.88570349603423</v>
      </c>
      <c r="Y566" s="0" t="n">
        <v>16.98</v>
      </c>
      <c r="Z566" s="0" t="s">
        <v>105</v>
      </c>
      <c r="AA566" s="0" t="n">
        <f aca="false">IF(AND(ISNUMBER(B566),B566&gt;0,ISNUMBER(U566),U566&gt;=0,ISNUMBER(O566),O566&gt;=0),1,0)</f>
        <v>1</v>
      </c>
      <c r="AB566" s="0" t="n">
        <f aca="false">IF(AA566=1,U566+O566,0)</f>
        <v>37172</v>
      </c>
      <c r="AC566" s="0" t="n">
        <f aca="false">IF(AA566=1,100*AB566/B566,"")</f>
        <v>0.943476201668165</v>
      </c>
      <c r="AD566" s="0" t="n">
        <f aca="false">IF(AND(AND(ISNUMBER(B566),B566=OriginalFinancials!B566),AND(ISNUMBER(U566),U566=OriginalFinancials!U566),AND(ISNUMBER(O566),O566=OriginalFinancials!O566)),0,1)</f>
        <v>0</v>
      </c>
      <c r="AE566" s="0" t="str">
        <f aca="false">IF(V566=0,"原始0：需核实适用/报告口径","")</f>
        <v/>
      </c>
    </row>
    <row r="567" customFormat="false" ht="15" hidden="false" customHeight="false" outlineLevel="0" collapsed="false">
      <c r="A567" s="0" t="n">
        <v>567</v>
      </c>
      <c r="B567" s="0" t="n">
        <v>712547</v>
      </c>
      <c r="C567" s="0" t="n">
        <v>19836</v>
      </c>
      <c r="D567" s="0" t="n">
        <v>529260</v>
      </c>
      <c r="E567" s="0" t="n">
        <v>0.01</v>
      </c>
      <c r="F567" s="0" t="n">
        <v>125592</v>
      </c>
      <c r="G567" s="0" t="n">
        <v>17.6257846850804</v>
      </c>
      <c r="H567" s="0" t="s">
        <v>724</v>
      </c>
      <c r="I567" s="0" t="n">
        <v>0.732983949244598</v>
      </c>
      <c r="J567" s="0" t="n">
        <v>45189</v>
      </c>
      <c r="K567" s="0" t="n">
        <v>11613</v>
      </c>
      <c r="L567" s="0" t="n">
        <v>608881</v>
      </c>
      <c r="M567" s="0" t="n">
        <v>604418</v>
      </c>
      <c r="N567" s="0" t="n">
        <v>548608</v>
      </c>
      <c r="O567" s="0" t="n">
        <v>5741</v>
      </c>
      <c r="P567" s="0" t="s">
        <v>145</v>
      </c>
      <c r="Q567" s="0" t="n">
        <v>1.00101661901094</v>
      </c>
      <c r="R567" s="0" t="n">
        <v>3.61397468567174</v>
      </c>
      <c r="S567" s="0" t="n">
        <v>33</v>
      </c>
      <c r="T567" s="0" t="n">
        <v>1912</v>
      </c>
      <c r="U567" s="0" t="n">
        <v>354</v>
      </c>
      <c r="V567" s="0" t="n">
        <v>23.9355177549039</v>
      </c>
      <c r="W567" s="0" t="n">
        <v>20240930</v>
      </c>
      <c r="X567" s="0" t="n">
        <v>0.72911205784628</v>
      </c>
      <c r="Y567" s="0" t="n">
        <v>4.08</v>
      </c>
      <c r="Z567" s="0" t="s">
        <v>105</v>
      </c>
      <c r="AA567" s="0" t="n">
        <f aca="false">IF(AND(ISNUMBER(B567),B567&gt;0,ISNUMBER(U567),U567&gt;=0,ISNUMBER(O567),O567&gt;=0),1,0)</f>
        <v>1</v>
      </c>
      <c r="AB567" s="0" t="n">
        <f aca="false">IF(AA567=1,U567+O567,0)</f>
        <v>6095</v>
      </c>
      <c r="AC567" s="0" t="n">
        <f aca="false">IF(AA567=1,100*AB567/B567,"")</f>
        <v>0.855382171281333</v>
      </c>
      <c r="AD567" s="0" t="n">
        <f aca="false">IF(AND(AND(ISNUMBER(B567),B567=OriginalFinancials!B567),AND(ISNUMBER(U567),U567=OriginalFinancials!U567),AND(ISNUMBER(O567),O567=OriginalFinancials!O567)),0,1)</f>
        <v>0</v>
      </c>
      <c r="AE567" s="0" t="str">
        <f aca="false">IF(V567=0,"原始0：需核实适用/报告口径","")</f>
        <v/>
      </c>
    </row>
    <row r="568" customFormat="false" ht="15" hidden="false" customHeight="false" outlineLevel="0" collapsed="false">
      <c r="A568" s="0" t="n">
        <v>568</v>
      </c>
      <c r="B568" s="0" t="n">
        <v>1490469</v>
      </c>
      <c r="C568" s="0" t="n">
        <v>24540</v>
      </c>
      <c r="D568" s="0" t="n">
        <v>1197002</v>
      </c>
      <c r="E568" s="0" t="n">
        <v>0.05</v>
      </c>
      <c r="F568" s="0" t="n">
        <v>267573</v>
      </c>
      <c r="G568" s="0" t="n">
        <v>17.9522687154178</v>
      </c>
      <c r="H568" s="0" t="s">
        <v>725</v>
      </c>
      <c r="I568" s="0" t="n">
        <v>0.96353540769226</v>
      </c>
      <c r="J568" s="0" t="n">
        <v>45011</v>
      </c>
      <c r="K568" s="0" t="n">
        <v>65</v>
      </c>
      <c r="L568" s="0" t="n">
        <v>1298136</v>
      </c>
      <c r="M568" s="0" t="n">
        <v>1285628</v>
      </c>
      <c r="N568" s="0" t="n">
        <v>1257005</v>
      </c>
      <c r="O568" s="0" t="n">
        <v>22568</v>
      </c>
      <c r="P568" s="0" t="s">
        <v>170</v>
      </c>
      <c r="Q568" s="0" t="n">
        <v>1.738492731116</v>
      </c>
      <c r="R568" s="0" t="n">
        <v>4.3092921578505</v>
      </c>
      <c r="S568" s="0" t="n">
        <v>5</v>
      </c>
      <c r="T568" s="0" t="n">
        <v>0</v>
      </c>
      <c r="U568" s="0" t="n">
        <v>0</v>
      </c>
      <c r="V568" s="0" t="n">
        <v>19.0478995737024</v>
      </c>
      <c r="W568" s="0" t="n">
        <v>20240930</v>
      </c>
      <c r="X568" s="0" t="n">
        <v>2.09759403529842</v>
      </c>
      <c r="Y568" s="0" t="n">
        <v>11.77</v>
      </c>
      <c r="Z568" s="0" t="s">
        <v>123</v>
      </c>
      <c r="AA568" s="0" t="n">
        <f aca="false">IF(AND(ISNUMBER(B568),B568&gt;0,ISNUMBER(U568),U568&gt;=0,ISNUMBER(O568),O568&gt;=0),1,0)</f>
        <v>1</v>
      </c>
      <c r="AB568" s="0" t="n">
        <f aca="false">IF(AA568=1,U568+O568,0)</f>
        <v>22568</v>
      </c>
      <c r="AC568" s="0" t="n">
        <f aca="false">IF(AA568=1,100*AB568/B568,"")</f>
        <v>1.51415426956213</v>
      </c>
      <c r="AD568" s="0" t="n">
        <f aca="false">IF(AND(AND(ISNUMBER(B568),B568=OriginalFinancials!B568),AND(ISNUMBER(U568),U568=OriginalFinancials!U568),AND(ISNUMBER(O568),O568=OriginalFinancials!O568)),0,1)</f>
        <v>0</v>
      </c>
      <c r="AE568" s="0" t="str">
        <f aca="false">IF(V568=0,"原始0：需核实适用/报告口径","")</f>
        <v/>
      </c>
    </row>
    <row r="569" customFormat="false" ht="15" hidden="false" customHeight="false" outlineLevel="0" collapsed="false">
      <c r="A569" s="0" t="n">
        <v>569</v>
      </c>
      <c r="B569" s="0" t="n">
        <v>565595</v>
      </c>
      <c r="C569" s="0" t="n">
        <v>27824</v>
      </c>
      <c r="D569" s="0" t="n">
        <v>371884</v>
      </c>
      <c r="E569" s="0" t="n">
        <v>0.02</v>
      </c>
      <c r="F569" s="0" t="n">
        <v>63535</v>
      </c>
      <c r="G569" s="0" t="n">
        <v>11.2333029818156</v>
      </c>
      <c r="H569" s="0" t="s">
        <v>726</v>
      </c>
      <c r="I569" s="0" t="n">
        <v>0.603999171023423</v>
      </c>
      <c r="J569" s="0" t="n">
        <v>18226</v>
      </c>
      <c r="K569" s="0" t="n">
        <v>42626</v>
      </c>
      <c r="L569" s="0" t="n">
        <v>468047</v>
      </c>
      <c r="M569" s="0" t="n">
        <v>465220</v>
      </c>
      <c r="N569" s="0" t="n">
        <v>407195</v>
      </c>
      <c r="O569" s="0" t="n">
        <v>2900</v>
      </c>
      <c r="P569" s="0" t="s">
        <v>172</v>
      </c>
      <c r="Q569" s="0" t="n">
        <v>0.619595895284021</v>
      </c>
      <c r="R569" s="0" t="n">
        <v>1.60859037600862</v>
      </c>
      <c r="S569" s="0" t="n">
        <v>183</v>
      </c>
      <c r="T569" s="0" t="n">
        <v>3537</v>
      </c>
      <c r="U569" s="0" t="n">
        <v>0</v>
      </c>
      <c r="V569" s="0" t="n">
        <v>19.3955916631453</v>
      </c>
      <c r="W569" s="0" t="n">
        <v>20240930</v>
      </c>
      <c r="X569" s="0" t="n">
        <v>-0.656895429386435</v>
      </c>
      <c r="Y569" s="0" t="n">
        <v>-5.61</v>
      </c>
      <c r="Z569" s="0" t="s">
        <v>123</v>
      </c>
      <c r="AA569" s="0" t="n">
        <f aca="false">IF(AND(ISNUMBER(B569),B569&gt;0,ISNUMBER(U569),U569&gt;=0,ISNUMBER(O569),O569&gt;=0),1,0)</f>
        <v>1</v>
      </c>
      <c r="AB569" s="0" t="n">
        <f aca="false">IF(AA569=1,U569+O569,0)</f>
        <v>2900</v>
      </c>
      <c r="AC569" s="0" t="n">
        <f aca="false">IF(AA569=1,100*AB569/B569,"")</f>
        <v>0.512734377071933</v>
      </c>
      <c r="AD569" s="0" t="n">
        <f aca="false">IF(AND(AND(ISNUMBER(B569),B569=OriginalFinancials!B569),AND(ISNUMBER(U569),U569=OriginalFinancials!U569),AND(ISNUMBER(O569),O569=OriginalFinancials!O569)),0,1)</f>
        <v>0</v>
      </c>
      <c r="AE569" s="0" t="str">
        <f aca="false">IF(V569=0,"原始0：需核实适用/报告口径","")</f>
        <v/>
      </c>
    </row>
    <row r="570" customFormat="false" ht="15" hidden="false" customHeight="false" outlineLevel="0" collapsed="false">
      <c r="A570" s="0" t="n">
        <v>570</v>
      </c>
      <c r="B570" s="0" t="n">
        <v>298193</v>
      </c>
      <c r="C570" s="0" t="n">
        <v>28155</v>
      </c>
      <c r="D570" s="0" t="n">
        <v>259984</v>
      </c>
      <c r="E570" s="0" t="n">
        <v>-0.01</v>
      </c>
      <c r="F570" s="0" t="n">
        <v>27490</v>
      </c>
      <c r="G570" s="0" t="n">
        <v>9.2188616097628</v>
      </c>
      <c r="H570" s="0" t="s">
        <v>727</v>
      </c>
      <c r="I570" s="0" t="n">
        <v>0.453786351857184</v>
      </c>
      <c r="J570" s="0" t="n">
        <v>10105</v>
      </c>
      <c r="K570" s="0" t="n">
        <v>6248</v>
      </c>
      <c r="L570" s="0" t="n">
        <v>173650</v>
      </c>
      <c r="M570" s="0" t="n">
        <v>172862</v>
      </c>
      <c r="N570" s="0" t="n">
        <v>156786</v>
      </c>
      <c r="O570" s="0" t="n">
        <v>46</v>
      </c>
      <c r="P570" s="0" t="s">
        <v>174</v>
      </c>
      <c r="Q570" s="0" t="n">
        <v>0.0264900662251655</v>
      </c>
      <c r="R570" s="0" t="n">
        <v>2.42072302479044</v>
      </c>
      <c r="S570" s="0" t="n">
        <v>1</v>
      </c>
      <c r="T570" s="0" t="n">
        <v>1482</v>
      </c>
      <c r="U570" s="0" t="n">
        <v>0</v>
      </c>
      <c r="V570" s="0" t="n">
        <v>17.5684475088697</v>
      </c>
      <c r="W570" s="0" t="n">
        <v>20240930</v>
      </c>
      <c r="X570" s="0" t="n">
        <v>0</v>
      </c>
      <c r="Y570" s="0" t="n">
        <v>0</v>
      </c>
      <c r="Z570" s="0" t="s">
        <v>123</v>
      </c>
      <c r="AA570" s="0" t="n">
        <f aca="false">IF(AND(ISNUMBER(B570),B570&gt;0,ISNUMBER(U570),U570&gt;=0,ISNUMBER(O570),O570&gt;=0),1,0)</f>
        <v>1</v>
      </c>
      <c r="AB570" s="0" t="n">
        <f aca="false">IF(AA570=1,U570+O570,0)</f>
        <v>46</v>
      </c>
      <c r="AC570" s="0" t="n">
        <f aca="false">IF(AA570=1,100*AB570/B570,"")</f>
        <v>0.0154262507838883</v>
      </c>
      <c r="AD570" s="0" t="n">
        <f aca="false">IF(AND(AND(ISNUMBER(B570),B570=OriginalFinancials!B570),AND(ISNUMBER(U570),U570=OriginalFinancials!U570),AND(ISNUMBER(O570),O570=OriginalFinancials!O570)),0,1)</f>
        <v>0</v>
      </c>
      <c r="AE570" s="0" t="str">
        <f aca="false">IF(V570=0,"原始0：需核实适用/报告口径","")</f>
        <v/>
      </c>
    </row>
    <row r="571" customFormat="false" ht="15" hidden="false" customHeight="false" outlineLevel="0" collapsed="false">
      <c r="A571" s="0" t="n">
        <v>571</v>
      </c>
      <c r="B571" s="0" t="n">
        <v>102402</v>
      </c>
      <c r="C571" s="0" t="n">
        <v>28288</v>
      </c>
      <c r="D571" s="0" t="n">
        <v>74874</v>
      </c>
      <c r="E571" s="0" t="n">
        <v>-0.05</v>
      </c>
      <c r="F571" s="0" t="n">
        <v>6447</v>
      </c>
      <c r="G571" s="0" t="n">
        <v>6.29577547313529</v>
      </c>
      <c r="H571" s="0" t="s">
        <v>728</v>
      </c>
      <c r="I571" s="0" t="n">
        <v>1.03295075897816</v>
      </c>
      <c r="J571" s="0" t="n">
        <v>4248</v>
      </c>
      <c r="K571" s="0" t="n">
        <v>2557</v>
      </c>
      <c r="L571" s="0" t="n">
        <v>81030</v>
      </c>
      <c r="M571" s="0" t="n">
        <v>80193</v>
      </c>
      <c r="N571" s="0" t="n">
        <v>74225</v>
      </c>
      <c r="O571" s="0" t="n">
        <v>140</v>
      </c>
      <c r="P571" s="0" t="s">
        <v>176</v>
      </c>
      <c r="Q571" s="0" t="n">
        <v>0.172775515241269</v>
      </c>
      <c r="R571" s="0" t="n">
        <v>2.64944575444701</v>
      </c>
      <c r="S571" s="0" t="n">
        <v>0</v>
      </c>
      <c r="T571" s="0" t="n">
        <v>6</v>
      </c>
      <c r="U571" s="0" t="n">
        <v>0</v>
      </c>
      <c r="V571" s="0" t="n">
        <v>13.3806203414282</v>
      </c>
      <c r="W571" s="0" t="n">
        <v>20240930</v>
      </c>
      <c r="X571" s="0" t="n">
        <v>0.0863646888497337</v>
      </c>
      <c r="Y571" s="0" t="n">
        <v>1.47</v>
      </c>
      <c r="Z571" s="0" t="s">
        <v>105</v>
      </c>
      <c r="AA571" s="0" t="n">
        <f aca="false">IF(AND(ISNUMBER(B571),B571&gt;0,ISNUMBER(U571),U571&gt;=0,ISNUMBER(O571),O571&gt;=0),1,0)</f>
        <v>1</v>
      </c>
      <c r="AB571" s="0" t="n">
        <f aca="false">IF(AA571=1,U571+O571,0)</f>
        <v>140</v>
      </c>
      <c r="AC571" s="0" t="n">
        <f aca="false">IF(AA571=1,100*AB571/B571,"")</f>
        <v>0.136716079764067</v>
      </c>
      <c r="AD571" s="0" t="n">
        <f aca="false">IF(AND(AND(ISNUMBER(B571),B571=OriginalFinancials!B571),AND(ISNUMBER(U571),U571=OriginalFinancials!U571),AND(ISNUMBER(O571),O571=OriginalFinancials!O571)),0,1)</f>
        <v>0</v>
      </c>
      <c r="AE571" s="0" t="str">
        <f aca="false">IF(V571=0,"原始0：需核实适用/报告口径","")</f>
        <v/>
      </c>
    </row>
    <row r="572" customFormat="false" ht="15" hidden="false" customHeight="false" outlineLevel="0" collapsed="false">
      <c r="A572" s="0" t="n">
        <v>572</v>
      </c>
      <c r="B572" s="0" t="n">
        <v>94545</v>
      </c>
      <c r="C572" s="0" t="n">
        <v>28369</v>
      </c>
      <c r="D572" s="0" t="n">
        <v>75881</v>
      </c>
      <c r="E572" s="0" t="n">
        <v>0.02</v>
      </c>
      <c r="F572" s="0" t="n">
        <v>9202</v>
      </c>
      <c r="G572" s="0" t="n">
        <v>9.73293140832408</v>
      </c>
      <c r="H572" s="0" t="s">
        <v>729</v>
      </c>
      <c r="I572" s="0" t="n">
        <v>0.739091064829544</v>
      </c>
      <c r="J572" s="0" t="n">
        <v>12366</v>
      </c>
      <c r="K572" s="0" t="n">
        <v>720</v>
      </c>
      <c r="L572" s="0" t="n">
        <v>81722</v>
      </c>
      <c r="M572" s="0" t="n">
        <v>81118</v>
      </c>
      <c r="N572" s="0" t="n">
        <v>68636</v>
      </c>
      <c r="O572" s="0" t="n">
        <v>135</v>
      </c>
      <c r="P572" s="0" t="s">
        <v>178</v>
      </c>
      <c r="Q572" s="0" t="n">
        <v>0.165194194953623</v>
      </c>
      <c r="R572" s="0" t="n">
        <v>2.86311227272601</v>
      </c>
      <c r="S572" s="0" t="n">
        <v>-3</v>
      </c>
      <c r="T572" s="0" t="n">
        <v>232</v>
      </c>
      <c r="U572" s="0" t="n">
        <v>0</v>
      </c>
      <c r="V572" s="0" t="n">
        <v>13.8902686836758</v>
      </c>
      <c r="W572" s="0" t="n">
        <v>20240930</v>
      </c>
      <c r="X572" s="0" t="n">
        <v>-0.208082630553586</v>
      </c>
      <c r="Y572" s="0" t="n">
        <v>-2.13</v>
      </c>
      <c r="Z572" s="0" t="s">
        <v>105</v>
      </c>
      <c r="AA572" s="0" t="n">
        <f aca="false">IF(AND(ISNUMBER(B572),B572&gt;0,ISNUMBER(U572),U572&gt;=0,ISNUMBER(O572),O572&gt;=0),1,0)</f>
        <v>1</v>
      </c>
      <c r="AB572" s="0" t="n">
        <f aca="false">IF(AA572=1,U572+O572,0)</f>
        <v>135</v>
      </c>
      <c r="AC572" s="0" t="n">
        <f aca="false">IF(AA572=1,100*AB572/B572,"")</f>
        <v>0.14278914802475</v>
      </c>
      <c r="AD572" s="0" t="n">
        <f aca="false">IF(AND(AND(ISNUMBER(B572),B572=OriginalFinancials!B572),AND(ISNUMBER(U572),U572=OriginalFinancials!U572),AND(ISNUMBER(O572),O572=OriginalFinancials!O572)),0,1)</f>
        <v>0</v>
      </c>
      <c r="AE572" s="0" t="str">
        <f aca="false">IF(V572=0,"原始0：需核实适用/报告口径","")</f>
        <v/>
      </c>
    </row>
    <row r="573" customFormat="false" ht="15" hidden="false" customHeight="false" outlineLevel="0" collapsed="false">
      <c r="A573" s="0" t="n">
        <v>573</v>
      </c>
      <c r="B573" s="0" t="n">
        <v>283014</v>
      </c>
      <c r="C573" s="0" t="n">
        <v>28837</v>
      </c>
      <c r="D573" s="0" t="n">
        <v>251476</v>
      </c>
      <c r="E573" s="0" t="n">
        <v>-0.07</v>
      </c>
      <c r="F573" s="0" t="n">
        <v>28217</v>
      </c>
      <c r="G573" s="0" t="n">
        <v>9.97017815373091</v>
      </c>
      <c r="H573" s="0" t="s">
        <v>730</v>
      </c>
      <c r="I573" s="0" t="n">
        <v>1.12678821191078</v>
      </c>
      <c r="J573" s="0" t="n">
        <v>6862</v>
      </c>
      <c r="K573" s="0" t="n">
        <v>1628</v>
      </c>
      <c r="L573" s="0" t="n">
        <v>203765</v>
      </c>
      <c r="M573" s="0" t="n">
        <v>201469</v>
      </c>
      <c r="N573" s="0" t="n">
        <v>194609</v>
      </c>
      <c r="O573" s="0" t="n">
        <v>30</v>
      </c>
      <c r="P573" s="0" t="s">
        <v>180</v>
      </c>
      <c r="Q573" s="0" t="n">
        <v>0.0147228424901234</v>
      </c>
      <c r="R573" s="0" t="n">
        <v>3.77863202834045</v>
      </c>
      <c r="S573" s="0" t="n">
        <v>-56</v>
      </c>
      <c r="T573" s="0" t="n">
        <v>79</v>
      </c>
      <c r="U573" s="0" t="n">
        <v>0</v>
      </c>
      <c r="V573" s="0" t="n">
        <v>17.7307318906392</v>
      </c>
      <c r="W573" s="0" t="n">
        <v>20240930</v>
      </c>
      <c r="X573" s="0" t="n">
        <v>0.88534503400353</v>
      </c>
      <c r="Y573" s="0" t="n">
        <v>9.3</v>
      </c>
      <c r="Z573" s="0" t="s">
        <v>112</v>
      </c>
      <c r="AA573" s="0" t="n">
        <f aca="false">IF(AND(ISNUMBER(B573),B573&gt;0,ISNUMBER(U573),U573&gt;=0,ISNUMBER(O573),O573&gt;=0),1,0)</f>
        <v>1</v>
      </c>
      <c r="AB573" s="0" t="n">
        <f aca="false">IF(AA573=1,U573+O573,0)</f>
        <v>30</v>
      </c>
      <c r="AC573" s="0" t="n">
        <f aca="false">IF(AA573=1,100*AB573/B573,"")</f>
        <v>0.010600182323136</v>
      </c>
      <c r="AD573" s="0" t="n">
        <f aca="false">IF(AND(AND(ISNUMBER(B573),B573=OriginalFinancials!B573),AND(ISNUMBER(U573),U573=OriginalFinancials!U573),AND(ISNUMBER(O573),O573=OriginalFinancials!O573)),0,1)</f>
        <v>0</v>
      </c>
      <c r="AE573" s="0" t="str">
        <f aca="false">IF(V573=0,"原始0：需核实适用/报告口径","")</f>
        <v/>
      </c>
    </row>
    <row r="574" customFormat="false" ht="15" hidden="false" customHeight="false" outlineLevel="0" collapsed="false">
      <c r="A574" s="0" t="n">
        <v>574</v>
      </c>
      <c r="B574" s="0" t="n">
        <v>181616</v>
      </c>
      <c r="C574" s="0" t="n">
        <v>29636</v>
      </c>
      <c r="D574" s="0" t="n">
        <v>140789</v>
      </c>
      <c r="E574" s="0" t="n">
        <v>0.04</v>
      </c>
      <c r="F574" s="0" t="n">
        <v>26607</v>
      </c>
      <c r="G574" s="0" t="n">
        <v>14.6501409567439</v>
      </c>
      <c r="H574" s="0" t="s">
        <v>731</v>
      </c>
      <c r="I574" s="0" t="n">
        <v>1.40185912711191</v>
      </c>
      <c r="J574" s="0" t="n">
        <v>1634</v>
      </c>
      <c r="K574" s="0" t="n">
        <v>1790</v>
      </c>
      <c r="L574" s="0" t="n">
        <v>139743</v>
      </c>
      <c r="M574" s="0" t="n">
        <v>137784</v>
      </c>
      <c r="N574" s="0" t="n">
        <v>136319</v>
      </c>
      <c r="O574" s="0" t="n">
        <v>2870</v>
      </c>
      <c r="P574" s="0" t="s">
        <v>182</v>
      </c>
      <c r="Q574" s="0" t="n">
        <v>2.05377013517672</v>
      </c>
      <c r="R574" s="0" t="n">
        <v>3.53035431343076</v>
      </c>
      <c r="S574" s="0" t="n">
        <v>-2</v>
      </c>
      <c r="T574" s="0" t="n">
        <v>2593</v>
      </c>
      <c r="U574" s="0" t="n">
        <v>0</v>
      </c>
      <c r="V574" s="0" t="n">
        <v>27.01771126452</v>
      </c>
      <c r="W574" s="0" t="n">
        <v>20240930</v>
      </c>
      <c r="X574" s="0" t="n">
        <v>0.335911070326187</v>
      </c>
      <c r="Y574" s="0" t="n">
        <v>2.31</v>
      </c>
      <c r="Z574" s="0" t="s">
        <v>105</v>
      </c>
      <c r="AA574" s="0" t="n">
        <f aca="false">IF(AND(ISNUMBER(B574),B574&gt;0,ISNUMBER(U574),U574&gt;=0,ISNUMBER(O574),O574&gt;=0),1,0)</f>
        <v>1</v>
      </c>
      <c r="AB574" s="0" t="n">
        <f aca="false">IF(AA574=1,U574+O574,0)</f>
        <v>2870</v>
      </c>
      <c r="AC574" s="0" t="n">
        <f aca="false">IF(AA574=1,100*AB574/B574,"")</f>
        <v>1.58025724605762</v>
      </c>
      <c r="AD574" s="0" t="n">
        <f aca="false">IF(AND(AND(ISNUMBER(B574),B574=OriginalFinancials!B574),AND(ISNUMBER(U574),U574=OriginalFinancials!U574),AND(ISNUMBER(O574),O574=OriginalFinancials!O574)),0,1)</f>
        <v>0</v>
      </c>
      <c r="AE574" s="0" t="str">
        <f aca="false">IF(V574=0,"原始0：需核实适用/报告口径","")</f>
        <v/>
      </c>
    </row>
    <row r="575" customFormat="false" ht="15" hidden="false" customHeight="false" outlineLevel="0" collapsed="false">
      <c r="A575" s="0" t="n">
        <v>575</v>
      </c>
      <c r="B575" s="0" t="n">
        <v>194865</v>
      </c>
      <c r="C575" s="0" t="n">
        <v>29743</v>
      </c>
      <c r="D575" s="0" t="n">
        <v>169632</v>
      </c>
      <c r="E575" s="0" t="n">
        <v>-0.03</v>
      </c>
      <c r="F575" s="0" t="n">
        <v>18304</v>
      </c>
      <c r="G575" s="0" t="n">
        <v>9.39316963025684</v>
      </c>
      <c r="H575" s="0" t="s">
        <v>732</v>
      </c>
      <c r="I575" s="0" t="n">
        <v>0.634070006052822</v>
      </c>
      <c r="J575" s="0" t="n">
        <v>25149</v>
      </c>
      <c r="K575" s="0" t="n">
        <v>21525</v>
      </c>
      <c r="L575" s="0" t="n">
        <v>135474</v>
      </c>
      <c r="M575" s="0" t="n">
        <v>134615</v>
      </c>
      <c r="N575" s="0" t="n">
        <v>88755</v>
      </c>
      <c r="O575" s="0" t="n">
        <v>713</v>
      </c>
      <c r="P575" s="0" t="s">
        <v>184</v>
      </c>
      <c r="Q575" s="0" t="n">
        <v>0.526300249494368</v>
      </c>
      <c r="R575" s="0" t="n">
        <v>2.17302516204695</v>
      </c>
      <c r="S575" s="0" t="n">
        <v>-7</v>
      </c>
      <c r="T575" s="0" t="n">
        <v>555</v>
      </c>
      <c r="U575" s="0" t="n">
        <v>0</v>
      </c>
      <c r="V575" s="0" t="n">
        <v>18.2276559407954</v>
      </c>
      <c r="W575" s="0" t="n">
        <v>20240930</v>
      </c>
      <c r="X575" s="0" t="n">
        <v>0.307613817098071</v>
      </c>
      <c r="Y575" s="0" t="n">
        <v>3.38</v>
      </c>
      <c r="Z575" s="0" t="s">
        <v>105</v>
      </c>
      <c r="AA575" s="0" t="n">
        <f aca="false">IF(AND(ISNUMBER(B575),B575&gt;0,ISNUMBER(U575),U575&gt;=0,ISNUMBER(O575),O575&gt;=0),1,0)</f>
        <v>1</v>
      </c>
      <c r="AB575" s="0" t="n">
        <f aca="false">IF(AA575=1,U575+O575,0)</f>
        <v>713</v>
      </c>
      <c r="AC575" s="0" t="n">
        <f aca="false">IF(AA575=1,100*AB575/B575,"")</f>
        <v>0.365894337105175</v>
      </c>
      <c r="AD575" s="0" t="n">
        <f aca="false">IF(AND(AND(ISNUMBER(B575),B575=OriginalFinancials!B575),AND(ISNUMBER(U575),U575=OriginalFinancials!U575),AND(ISNUMBER(O575),O575=OriginalFinancials!O575)),0,1)</f>
        <v>0</v>
      </c>
      <c r="AE575" s="0" t="str">
        <f aca="false">IF(V575=0,"原始0：需核实适用/报告口径","")</f>
        <v/>
      </c>
    </row>
    <row r="576" customFormat="false" ht="15" hidden="false" customHeight="false" outlineLevel="0" collapsed="false">
      <c r="A576" s="0" t="n">
        <v>576</v>
      </c>
      <c r="B576" s="0" t="n">
        <v>602075</v>
      </c>
      <c r="C576" s="0" t="n">
        <v>29744</v>
      </c>
      <c r="D576" s="0" t="n">
        <v>467670</v>
      </c>
      <c r="E576" s="0" t="n">
        <v>0</v>
      </c>
      <c r="F576" s="0" t="n">
        <v>48662</v>
      </c>
      <c r="G576" s="0" t="n">
        <v>8.08238176306939</v>
      </c>
      <c r="H576" s="0" t="s">
        <v>733</v>
      </c>
      <c r="I576" s="0" t="n">
        <v>0.788717561271564</v>
      </c>
      <c r="J576" s="0" t="n">
        <v>24096</v>
      </c>
      <c r="K576" s="0" t="n">
        <v>12270</v>
      </c>
      <c r="L576" s="0" t="n">
        <v>436785</v>
      </c>
      <c r="M576" s="0" t="n">
        <v>433340</v>
      </c>
      <c r="N576" s="0" t="n">
        <v>400419</v>
      </c>
      <c r="O576" s="0" t="n">
        <v>0</v>
      </c>
      <c r="P576" s="0" t="s">
        <v>186</v>
      </c>
      <c r="Q576" s="0" t="n">
        <v>0</v>
      </c>
      <c r="R576" s="0" t="n">
        <v>2.09710586176728</v>
      </c>
      <c r="S576" s="0" t="n">
        <v>25</v>
      </c>
      <c r="T576" s="0" t="n">
        <v>0</v>
      </c>
      <c r="U576" s="0" t="n">
        <v>0</v>
      </c>
      <c r="V576" s="0" t="n">
        <v>15.6619539212435</v>
      </c>
      <c r="W576" s="0" t="n">
        <v>20240930</v>
      </c>
      <c r="X576" s="0" t="n">
        <v>0.207937144494701</v>
      </c>
      <c r="Y576" s="0" t="n">
        <v>2.64</v>
      </c>
      <c r="Z576" s="0" t="s">
        <v>123</v>
      </c>
      <c r="AA576" s="0" t="n">
        <f aca="false">IF(AND(ISNUMBER(B576),B576&gt;0,ISNUMBER(U576),U576&gt;=0,ISNUMBER(O576),O576&gt;=0),1,0)</f>
        <v>1</v>
      </c>
      <c r="AB576" s="0" t="n">
        <f aca="false">IF(AA576=1,U576+O576,0)</f>
        <v>0</v>
      </c>
      <c r="AC576" s="0" t="n">
        <f aca="false">IF(AA576=1,100*AB576/B576,"")</f>
        <v>0</v>
      </c>
      <c r="AD576" s="0" t="n">
        <f aca="false">IF(AND(AND(ISNUMBER(B576),B576=OriginalFinancials!B576),AND(ISNUMBER(U576),U576=OriginalFinancials!U576),AND(ISNUMBER(O576),O576=OriginalFinancials!O576)),0,1)</f>
        <v>0</v>
      </c>
      <c r="AE576" s="0" t="str">
        <f aca="false">IF(V576=0,"原始0：需核实适用/报告口径","")</f>
        <v/>
      </c>
    </row>
    <row r="577" customFormat="false" ht="15" hidden="false" customHeight="false" outlineLevel="0" collapsed="false">
      <c r="A577" s="0" t="n">
        <v>577</v>
      </c>
      <c r="B577" s="0" t="n">
        <v>583685</v>
      </c>
      <c r="C577" s="0" t="n">
        <v>30350</v>
      </c>
      <c r="D577" s="0" t="n">
        <v>462099</v>
      </c>
      <c r="E577" s="0" t="n">
        <v>-0.01</v>
      </c>
      <c r="F577" s="0" t="n">
        <v>60586</v>
      </c>
      <c r="G577" s="0" t="n">
        <v>10.3799138233808</v>
      </c>
      <c r="H577" s="0" t="s">
        <v>734</v>
      </c>
      <c r="I577" s="0" t="n">
        <v>1.21923445878643</v>
      </c>
      <c r="J577" s="0" t="n">
        <v>14987</v>
      </c>
      <c r="K577" s="0" t="n">
        <v>1823</v>
      </c>
      <c r="L577" s="0" t="n">
        <v>434699</v>
      </c>
      <c r="M577" s="0" t="n">
        <v>429399</v>
      </c>
      <c r="N577" s="0" t="n">
        <v>415141</v>
      </c>
      <c r="O577" s="0" t="n">
        <v>1774</v>
      </c>
      <c r="P577" s="0" t="s">
        <v>188</v>
      </c>
      <c r="Q577" s="0" t="n">
        <v>0.408098477337192</v>
      </c>
      <c r="R577" s="0" t="n">
        <v>2.61400574385989</v>
      </c>
      <c r="S577" s="0" t="n">
        <v>-211</v>
      </c>
      <c r="T577" s="0" t="n">
        <v>639</v>
      </c>
      <c r="U577" s="0" t="n">
        <v>0</v>
      </c>
      <c r="V577" s="0" t="n">
        <v>20.683350032556</v>
      </c>
      <c r="W577" s="0" t="n">
        <v>20240930</v>
      </c>
      <c r="X577" s="0" t="n">
        <v>0.62176253371026</v>
      </c>
      <c r="Y577" s="0" t="n">
        <v>6.06</v>
      </c>
      <c r="Z577" s="0" t="s">
        <v>112</v>
      </c>
      <c r="AA577" s="0" t="n">
        <f aca="false">IF(AND(ISNUMBER(B577),B577&gt;0,ISNUMBER(U577),U577&gt;=0,ISNUMBER(O577),O577&gt;=0),1,0)</f>
        <v>1</v>
      </c>
      <c r="AB577" s="0" t="n">
        <f aca="false">IF(AA577=1,U577+O577,0)</f>
        <v>1774</v>
      </c>
      <c r="AC577" s="0" t="n">
        <f aca="false">IF(AA577=1,100*AB577/B577,"")</f>
        <v>0.303931058704609</v>
      </c>
      <c r="AD577" s="0" t="n">
        <f aca="false">IF(AND(AND(ISNUMBER(B577),B577=OriginalFinancials!B577),AND(ISNUMBER(U577),U577=OriginalFinancials!U577),AND(ISNUMBER(O577),O577=OriginalFinancials!O577)),0,1)</f>
        <v>0</v>
      </c>
      <c r="AE577" s="0" t="str">
        <f aca="false">IF(V577=0,"原始0：需核实适用/报告口径","")</f>
        <v/>
      </c>
    </row>
    <row r="578" customFormat="false" ht="15" hidden="false" customHeight="false" outlineLevel="0" collapsed="false">
      <c r="A578" s="0" t="n">
        <v>578</v>
      </c>
      <c r="B578" s="0" t="n">
        <v>101059</v>
      </c>
      <c r="C578" s="0" t="n">
        <v>30878</v>
      </c>
      <c r="D578" s="0" t="n">
        <v>76246</v>
      </c>
      <c r="E578" s="0" t="n">
        <v>-0.04</v>
      </c>
      <c r="F578" s="0" t="n">
        <v>11989</v>
      </c>
      <c r="G578" s="0" t="n">
        <v>11.8633669440624</v>
      </c>
      <c r="H578" s="0" t="s">
        <v>735</v>
      </c>
      <c r="I578" s="0" t="n">
        <v>0.792990691474211</v>
      </c>
      <c r="J578" s="0" t="n">
        <v>0</v>
      </c>
      <c r="K578" s="0" t="n">
        <v>166</v>
      </c>
      <c r="L578" s="0" t="n">
        <v>87769</v>
      </c>
      <c r="M578" s="0" t="n">
        <v>87073</v>
      </c>
      <c r="N578" s="0" t="n">
        <v>87603</v>
      </c>
      <c r="O578" s="0" t="n">
        <v>1674</v>
      </c>
      <c r="P578" s="0" t="s">
        <v>190</v>
      </c>
      <c r="Q578" s="0" t="n">
        <v>1.90727933552849</v>
      </c>
      <c r="R578" s="0" t="n">
        <v>1.00204128984096</v>
      </c>
      <c r="S578" s="0" t="n">
        <v>0</v>
      </c>
      <c r="T578" s="0" t="n">
        <v>365</v>
      </c>
      <c r="U578" s="0" t="n">
        <v>0</v>
      </c>
      <c r="V578" s="0" t="n">
        <v>0</v>
      </c>
      <c r="W578" s="0" t="n">
        <v>20240930</v>
      </c>
      <c r="X578" s="0" t="n">
        <v>-0.533353658240568</v>
      </c>
      <c r="Y578" s="0" t="n">
        <v>-4.5</v>
      </c>
      <c r="Z578" s="0" t="s">
        <v>105</v>
      </c>
      <c r="AA578" s="0" t="n">
        <f aca="false">IF(AND(ISNUMBER(B578),B578&gt;0,ISNUMBER(U578),U578&gt;=0,ISNUMBER(O578),O578&gt;=0),1,0)</f>
        <v>1</v>
      </c>
      <c r="AB578" s="0" t="n">
        <f aca="false">IF(AA578=1,U578+O578,0)</f>
        <v>1674</v>
      </c>
      <c r="AC578" s="0" t="n">
        <f aca="false">IF(AA578=1,100*AB578/B578,"")</f>
        <v>1.65645810862961</v>
      </c>
      <c r="AD578" s="0" t="n">
        <f aca="false">IF(AND(AND(ISNUMBER(B578),B578=OriginalFinancials!B578),AND(ISNUMBER(U578),U578=OriginalFinancials!U578),AND(ISNUMBER(O578),O578=OriginalFinancials!O578)),0,1)</f>
        <v>0</v>
      </c>
      <c r="AE578" s="0" t="str">
        <f aca="false">IF(V578=0,"原始0：需核实适用/报告口径","")</f>
        <v>原始0：需核实适用/报告口径</v>
      </c>
    </row>
    <row r="579" customFormat="false" ht="15" hidden="false" customHeight="false" outlineLevel="0" collapsed="false">
      <c r="A579" s="0" t="n">
        <v>579</v>
      </c>
      <c r="B579" s="0" t="n">
        <v>938865</v>
      </c>
      <c r="C579" s="0" t="n">
        <v>33418</v>
      </c>
      <c r="D579" s="0" t="n">
        <v>826469</v>
      </c>
      <c r="E579" s="0" t="n">
        <v>0.12</v>
      </c>
      <c r="F579" s="0" t="n">
        <v>69813</v>
      </c>
      <c r="G579" s="0" t="n">
        <v>7.43589333929798</v>
      </c>
      <c r="H579" s="0" t="s">
        <v>736</v>
      </c>
      <c r="I579" s="0" t="n">
        <v>0.689839200380342</v>
      </c>
      <c r="J579" s="0" t="n">
        <v>72013</v>
      </c>
      <c r="K579" s="0" t="n">
        <v>16431</v>
      </c>
      <c r="L579" s="0" t="n">
        <v>532153</v>
      </c>
      <c r="M579" s="0" t="n">
        <v>528482</v>
      </c>
      <c r="N579" s="0" t="n">
        <v>442986</v>
      </c>
      <c r="O579" s="0" t="n">
        <v>1024</v>
      </c>
      <c r="P579" s="0" t="s">
        <v>192</v>
      </c>
      <c r="Q579" s="0" t="n">
        <v>0.192425862486916</v>
      </c>
      <c r="R579" s="0" t="n">
        <v>2.23329594620879</v>
      </c>
      <c r="S579" s="0" t="n">
        <v>-5</v>
      </c>
      <c r="T579" s="0" t="n">
        <v>278</v>
      </c>
      <c r="U579" s="0" t="n">
        <v>0</v>
      </c>
      <c r="V579" s="0" t="n">
        <v>13.9529252381118</v>
      </c>
      <c r="W579" s="0" t="n">
        <v>20240930</v>
      </c>
      <c r="X579" s="0" t="n">
        <v>0.395784291055647</v>
      </c>
      <c r="Y579" s="0" t="n">
        <v>5.16</v>
      </c>
      <c r="Z579" s="0" t="s">
        <v>112</v>
      </c>
      <c r="AA579" s="0" t="n">
        <f aca="false">IF(AND(ISNUMBER(B579),B579&gt;0,ISNUMBER(U579),U579&gt;=0,ISNUMBER(O579),O579&gt;=0),1,0)</f>
        <v>1</v>
      </c>
      <c r="AB579" s="0" t="n">
        <f aca="false">IF(AA579=1,U579+O579,0)</f>
        <v>1024</v>
      </c>
      <c r="AC579" s="0" t="n">
        <f aca="false">IF(AA579=1,100*AB579/B579,"")</f>
        <v>0.109067863856891</v>
      </c>
      <c r="AD579" s="0" t="n">
        <f aca="false">IF(AND(AND(ISNUMBER(B579),B579=OriginalFinancials!B579),AND(ISNUMBER(U579),U579=OriginalFinancials!U579),AND(ISNUMBER(O579),O579=OriginalFinancials!O579)),0,1)</f>
        <v>0</v>
      </c>
      <c r="AE579" s="0" t="str">
        <f aca="false">IF(V579=0,"原始0：需核实适用/报告口径","")</f>
        <v/>
      </c>
    </row>
    <row r="580" customFormat="false" ht="15" hidden="false" customHeight="false" outlineLevel="0" collapsed="false">
      <c r="A580" s="0" t="n">
        <v>580</v>
      </c>
      <c r="B580" s="0" t="n">
        <v>90470</v>
      </c>
      <c r="C580" s="0" t="n">
        <v>35206</v>
      </c>
      <c r="D580" s="0" t="n">
        <v>500</v>
      </c>
      <c r="E580" s="0" t="n">
        <v>0</v>
      </c>
      <c r="F580" s="0" t="n">
        <v>87835</v>
      </c>
      <c r="G580" s="0" t="n">
        <v>97.0874322979993</v>
      </c>
      <c r="H580" s="0" t="s">
        <v>737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  <c r="O580" s="0" t="n">
        <v>0</v>
      </c>
      <c r="P580" s="0" t="s">
        <v>252</v>
      </c>
      <c r="Q580" s="0" t="n">
        <v>0</v>
      </c>
      <c r="R580" s="0" t="n">
        <v>4.71607983660487</v>
      </c>
      <c r="S580" s="0" t="n">
        <v>0</v>
      </c>
      <c r="T580" s="0" t="n">
        <v>0</v>
      </c>
      <c r="U580" s="0" t="n">
        <v>0</v>
      </c>
      <c r="V580" s="0" t="n">
        <v>0</v>
      </c>
      <c r="W580" s="0" t="n">
        <v>20240930</v>
      </c>
      <c r="X580" s="0" t="n">
        <v>21.5285961063394</v>
      </c>
      <c r="Y580" s="0" t="n">
        <v>22.27</v>
      </c>
      <c r="Z580" s="0" t="s">
        <v>123</v>
      </c>
      <c r="AA580" s="0" t="n">
        <f aca="false">IF(AND(ISNUMBER(B580),B580&gt;0,ISNUMBER(U580),U580&gt;=0,ISNUMBER(O580),O580&gt;=0),1,0)</f>
        <v>1</v>
      </c>
      <c r="AB580" s="0" t="n">
        <f aca="false">IF(AA580=1,U580+O580,0)</f>
        <v>0</v>
      </c>
      <c r="AC580" s="0" t="n">
        <f aca="false">IF(AA580=1,100*AB580/B580,"")</f>
        <v>0</v>
      </c>
      <c r="AD580" s="0" t="n">
        <f aca="false">IF(AND(AND(ISNUMBER(B580),B580=OriginalFinancials!B580),AND(ISNUMBER(U580),U580=OriginalFinancials!U580),AND(ISNUMBER(O580),O580=OriginalFinancials!O580)),0,1)</f>
        <v>0</v>
      </c>
      <c r="AE580" s="0" t="str">
        <f aca="false">IF(V580=0,"原始0：需核实适用/报告口径","")</f>
        <v>原始0：需核实适用/报告口径</v>
      </c>
    </row>
    <row r="581" customFormat="false" ht="15" hidden="false" customHeight="false" outlineLevel="0" collapsed="false">
      <c r="A581" s="0" t="n">
        <v>581</v>
      </c>
      <c r="B581" s="0" t="n">
        <v>5730254</v>
      </c>
      <c r="C581" s="0" t="n">
        <v>4255</v>
      </c>
      <c r="D581" s="0" t="n">
        <v>4609875</v>
      </c>
      <c r="E581" s="0" t="n">
        <v>-0.01</v>
      </c>
      <c r="F581" s="0" t="n">
        <v>543598</v>
      </c>
      <c r="G581" s="0" t="n">
        <v>9.48645557422062</v>
      </c>
      <c r="H581" s="0" t="s">
        <v>738</v>
      </c>
      <c r="I581" s="0" t="n">
        <v>0.857806892926739</v>
      </c>
      <c r="J581" s="0" t="n">
        <v>319799</v>
      </c>
      <c r="K581" s="0" t="n">
        <v>16003</v>
      </c>
      <c r="L581" s="0" t="n">
        <v>4128435</v>
      </c>
      <c r="M581" s="0" t="n">
        <v>4093021</v>
      </c>
      <c r="N581" s="0" t="n">
        <v>3753732</v>
      </c>
      <c r="O581" s="0" t="n">
        <v>5350</v>
      </c>
      <c r="P581" s="0" t="s">
        <v>194</v>
      </c>
      <c r="Q581" s="0" t="n">
        <v>0.129589057354663</v>
      </c>
      <c r="R581" s="0" t="n">
        <v>2.49933669790916</v>
      </c>
      <c r="S581" s="0" t="n">
        <v>828</v>
      </c>
      <c r="T581" s="0" t="n">
        <v>1391</v>
      </c>
      <c r="U581" s="0" t="n">
        <v>0</v>
      </c>
      <c r="V581" s="0" t="n">
        <v>14.1867246818839</v>
      </c>
      <c r="W581" s="0" t="n">
        <v>20240930</v>
      </c>
      <c r="X581" s="0" t="n">
        <v>0.9337865070275</v>
      </c>
      <c r="Y581" s="0" t="n">
        <v>10.25</v>
      </c>
      <c r="Z581" s="0" t="s">
        <v>105</v>
      </c>
      <c r="AA581" s="0" t="n">
        <f aca="false">IF(AND(ISNUMBER(B581),B581&gt;0,ISNUMBER(U581),U581&gt;=0,ISNUMBER(O581),O581&gt;=0),1,0)</f>
        <v>1</v>
      </c>
      <c r="AB581" s="0" t="n">
        <f aca="false">IF(AA581=1,U581+O581,0)</f>
        <v>5350</v>
      </c>
      <c r="AC581" s="0" t="n">
        <f aca="false">IF(AA581=1,100*AB581/B581,"")</f>
        <v>0.0933640986944034</v>
      </c>
      <c r="AD581" s="0" t="n">
        <f aca="false">IF(AND(AND(ISNUMBER(B581),B581=OriginalFinancials!B581),AND(ISNUMBER(U581),U581=OriginalFinancials!U581),AND(ISNUMBER(O581),O581=OriginalFinancials!O581)),0,1)</f>
        <v>0</v>
      </c>
      <c r="AE581" s="0" t="str">
        <f aca="false">IF(V581=0,"原始0：需核实适用/报告口径","")</f>
        <v/>
      </c>
    </row>
    <row r="582" customFormat="false" ht="15" hidden="false" customHeight="false" outlineLevel="0" collapsed="false">
      <c r="A582" s="0" t="n">
        <v>582</v>
      </c>
      <c r="B582" s="0" t="n">
        <v>3107311</v>
      </c>
      <c r="C582" s="0" t="n">
        <v>4256</v>
      </c>
      <c r="D582" s="0" t="n">
        <v>2703552</v>
      </c>
      <c r="E582" s="0" t="n">
        <v>-0.03</v>
      </c>
      <c r="F582" s="0" t="n">
        <v>227931</v>
      </c>
      <c r="G582" s="0" t="n">
        <v>7.3353133947648</v>
      </c>
      <c r="H582" s="0" t="s">
        <v>739</v>
      </c>
      <c r="I582" s="0" t="n">
        <v>1.04015467744543</v>
      </c>
      <c r="J582" s="0" t="n">
        <v>366701</v>
      </c>
      <c r="K582" s="0" t="n">
        <v>19784</v>
      </c>
      <c r="L582" s="0" t="n">
        <v>2307253</v>
      </c>
      <c r="M582" s="0" t="n">
        <v>2283254</v>
      </c>
      <c r="N582" s="0" t="n">
        <v>1810714</v>
      </c>
      <c r="O582" s="0" t="n">
        <v>2497</v>
      </c>
      <c r="P582" s="0" t="s">
        <v>196</v>
      </c>
      <c r="Q582" s="0" t="n">
        <v>0.125777277134324</v>
      </c>
      <c r="R582" s="0" t="n">
        <v>2.19455333352659</v>
      </c>
      <c r="S582" s="0" t="n">
        <v>89</v>
      </c>
      <c r="T582" s="0" t="n">
        <v>2396</v>
      </c>
      <c r="U582" s="0" t="n">
        <v>405</v>
      </c>
      <c r="V582" s="0" t="n">
        <v>13.0554366502324</v>
      </c>
      <c r="W582" s="0" t="n">
        <v>20240930</v>
      </c>
      <c r="X582" s="0" t="n">
        <v>0.912442159618479</v>
      </c>
      <c r="Y582" s="0" t="n">
        <v>12.56</v>
      </c>
      <c r="Z582" s="0" t="s">
        <v>105</v>
      </c>
      <c r="AA582" s="0" t="n">
        <f aca="false">IF(AND(ISNUMBER(B582),B582&gt;0,ISNUMBER(U582),U582&gt;=0,ISNUMBER(O582),O582&gt;=0),1,0)</f>
        <v>1</v>
      </c>
      <c r="AB582" s="0" t="n">
        <f aca="false">IF(AA582=1,U582+O582,0)</f>
        <v>2902</v>
      </c>
      <c r="AC582" s="0" t="n">
        <f aca="false">IF(AA582=1,100*AB582/B582,"")</f>
        <v>0.0933926472116888</v>
      </c>
      <c r="AD582" s="0" t="n">
        <f aca="false">IF(AND(AND(ISNUMBER(B582),B582=OriginalFinancials!B582),AND(ISNUMBER(U582),U582=OriginalFinancials!U582),AND(ISNUMBER(O582),O582=OriginalFinancials!O582)),0,1)</f>
        <v>0</v>
      </c>
      <c r="AE582" s="0" t="str">
        <f aca="false">IF(V582=0,"原始0：需核实适用/报告口径","")</f>
        <v/>
      </c>
    </row>
    <row r="583" customFormat="false" ht="15" hidden="false" customHeight="false" outlineLevel="0" collapsed="false">
      <c r="A583" s="0" t="n">
        <v>583</v>
      </c>
      <c r="B583" s="0" t="n">
        <v>716744</v>
      </c>
      <c r="C583" s="0" t="n">
        <v>59086</v>
      </c>
      <c r="D583" s="0" t="n">
        <v>614764</v>
      </c>
      <c r="E583" s="0" t="n">
        <v>0.1</v>
      </c>
      <c r="F583" s="0" t="n">
        <v>96571</v>
      </c>
      <c r="G583" s="0" t="n">
        <v>13.473569363678</v>
      </c>
      <c r="H583" s="0" t="s">
        <v>740</v>
      </c>
      <c r="I583" s="0" t="n">
        <v>0.974100217486735</v>
      </c>
      <c r="J583" s="0" t="n">
        <v>125183</v>
      </c>
      <c r="K583" s="0" t="n">
        <v>0</v>
      </c>
      <c r="L583" s="0" t="n">
        <v>599117</v>
      </c>
      <c r="M583" s="0" t="n">
        <v>593281</v>
      </c>
      <c r="N583" s="0" t="n">
        <v>474334</v>
      </c>
      <c r="O583" s="0" t="n">
        <v>3521</v>
      </c>
      <c r="P583" s="0" t="s">
        <v>198</v>
      </c>
      <c r="Q583" s="0" t="n">
        <v>1.40573544065683</v>
      </c>
      <c r="R583" s="0" t="n">
        <v>3.76669432270729</v>
      </c>
      <c r="S583" s="0" t="n">
        <v>325</v>
      </c>
      <c r="T583" s="0" t="n">
        <v>2343</v>
      </c>
      <c r="U583" s="0" t="n">
        <v>6307</v>
      </c>
      <c r="V583" s="0" t="n">
        <v>16.0439870513234</v>
      </c>
      <c r="W583" s="0" t="n">
        <v>20240930</v>
      </c>
      <c r="X583" s="0" t="n">
        <v>1.44425252021969</v>
      </c>
      <c r="Y583" s="0" t="n">
        <v>11.01</v>
      </c>
      <c r="Z583" s="0" t="s">
        <v>123</v>
      </c>
      <c r="AA583" s="0" t="n">
        <f aca="false">IF(AND(ISNUMBER(B583),B583&gt;0,ISNUMBER(U583),U583&gt;=0,ISNUMBER(O583),O583&gt;=0),1,0)</f>
        <v>1</v>
      </c>
      <c r="AB583" s="0" t="n">
        <f aca="false">IF(AA583=1,U583+O583,0)</f>
        <v>9828</v>
      </c>
      <c r="AC583" s="0" t="n">
        <f aca="false">IF(AA583=1,100*AB583/B583,"")</f>
        <v>1.37120087506836</v>
      </c>
      <c r="AD583" s="0" t="n">
        <f aca="false">IF(AND(AND(ISNUMBER(B583),B583=OriginalFinancials!B583),AND(ISNUMBER(U583),U583=OriginalFinancials!U583),AND(ISNUMBER(O583),O583=OriginalFinancials!O583)),0,1)</f>
        <v>0</v>
      </c>
      <c r="AE583" s="0" t="str">
        <f aca="false">IF(V583=0,"原始0：需核实适用/报告口径","")</f>
        <v/>
      </c>
    </row>
    <row r="584" customFormat="false" ht="15" hidden="false" customHeight="false" outlineLevel="0" collapsed="false">
      <c r="A584" s="0" t="n">
        <v>584</v>
      </c>
      <c r="B584" s="0" t="n">
        <v>228046</v>
      </c>
      <c r="C584" s="0" t="n">
        <v>59176</v>
      </c>
      <c r="D584" s="0" t="n">
        <v>192544</v>
      </c>
      <c r="E584" s="0" t="n">
        <v>0.06</v>
      </c>
      <c r="F584" s="0" t="n">
        <v>27016</v>
      </c>
      <c r="G584" s="0" t="n">
        <v>11.8467326767407</v>
      </c>
      <c r="H584" s="0" t="s">
        <v>741</v>
      </c>
      <c r="I584" s="0" t="n">
        <v>0.9519076608156</v>
      </c>
      <c r="J584" s="0" t="n">
        <v>22234</v>
      </c>
      <c r="K584" s="0" t="n">
        <v>0</v>
      </c>
      <c r="L584" s="0" t="n">
        <v>169029</v>
      </c>
      <c r="M584" s="0" t="n">
        <v>167420</v>
      </c>
      <c r="N584" s="0" t="n">
        <v>146756</v>
      </c>
      <c r="O584" s="0" t="n">
        <v>0</v>
      </c>
      <c r="P584" s="0" t="s">
        <v>200</v>
      </c>
      <c r="Q584" s="0" t="n">
        <v>0</v>
      </c>
      <c r="R584" s="0" t="n">
        <v>2.448461114472</v>
      </c>
      <c r="S584" s="0" t="n">
        <v>-32</v>
      </c>
      <c r="T584" s="0" t="n">
        <v>0</v>
      </c>
      <c r="U584" s="0" t="n">
        <v>0</v>
      </c>
      <c r="V584" s="0" t="n">
        <v>0</v>
      </c>
      <c r="W584" s="0" t="n">
        <v>20240930</v>
      </c>
      <c r="X584" s="0" t="n">
        <v>0.0476526211412942</v>
      </c>
      <c r="Y584" s="0" t="n">
        <v>0.42</v>
      </c>
      <c r="Z584" s="0" t="s">
        <v>123</v>
      </c>
      <c r="AA584" s="0" t="n">
        <f aca="false">IF(AND(ISNUMBER(B584),B584&gt;0,ISNUMBER(U584),U584&gt;=0,ISNUMBER(O584),O584&gt;=0),1,0)</f>
        <v>1</v>
      </c>
      <c r="AB584" s="0" t="n">
        <f aca="false">IF(AA584=1,U584+O584,0)</f>
        <v>0</v>
      </c>
      <c r="AC584" s="0" t="n">
        <f aca="false">IF(AA584=1,100*AB584/B584,"")</f>
        <v>0</v>
      </c>
      <c r="AD584" s="0" t="n">
        <f aca="false">IF(AND(AND(ISNUMBER(B584),B584=OriginalFinancials!B584),AND(ISNUMBER(U584),U584=OriginalFinancials!U584),AND(ISNUMBER(O584),O584=OriginalFinancials!O584)),0,1)</f>
        <v>0</v>
      </c>
      <c r="AE584" s="0" t="str">
        <f aca="false">IF(V584=0,"原始0：需核实适用/报告口径","")</f>
        <v>原始0：需核实适用/报告口径</v>
      </c>
    </row>
    <row r="585" customFormat="false" ht="15" hidden="false" customHeight="false" outlineLevel="0" collapsed="false">
      <c r="A585" s="0" t="n">
        <v>585</v>
      </c>
      <c r="B585" s="0" t="n">
        <v>120497</v>
      </c>
      <c r="C585" s="0" t="n">
        <v>59289</v>
      </c>
      <c r="D585" s="0" t="n">
        <v>102833</v>
      </c>
      <c r="E585" s="0" t="n">
        <v>2.66</v>
      </c>
      <c r="F585" s="0" t="n">
        <v>16578</v>
      </c>
      <c r="G585" s="0" t="n">
        <v>13.7580188718391</v>
      </c>
      <c r="H585" s="0" t="s">
        <v>742</v>
      </c>
      <c r="I585" s="0" t="n">
        <v>3.3359733449858</v>
      </c>
      <c r="J585" s="0" t="n">
        <v>37285</v>
      </c>
      <c r="K585" s="0" t="n">
        <v>0</v>
      </c>
      <c r="L585" s="0" t="n">
        <v>73232</v>
      </c>
      <c r="M585" s="0" t="n">
        <v>70789</v>
      </c>
      <c r="N585" s="0" t="n">
        <v>31000</v>
      </c>
      <c r="O585" s="0" t="n">
        <v>4832</v>
      </c>
      <c r="P585" s="0" t="s">
        <v>364</v>
      </c>
      <c r="Q585" s="0" t="n">
        <v>6.59820843347171</v>
      </c>
      <c r="R585" s="0" t="n">
        <v>3.76116711341111</v>
      </c>
      <c r="S585" s="0" t="n">
        <v>0</v>
      </c>
      <c r="T585" s="0" t="n">
        <v>0</v>
      </c>
      <c r="U585" s="0" t="n">
        <v>0</v>
      </c>
      <c r="V585" s="0" t="n">
        <v>0</v>
      </c>
      <c r="W585" s="0" t="n">
        <v>20240930</v>
      </c>
      <c r="X585" s="0" t="n">
        <v>-3.55028579942774</v>
      </c>
      <c r="Y585" s="0" t="n">
        <v>-19.17</v>
      </c>
      <c r="Z585" s="0" t="s">
        <v>123</v>
      </c>
      <c r="AA585" s="0" t="n">
        <f aca="false">IF(AND(ISNUMBER(B585),B585&gt;0,ISNUMBER(U585),U585&gt;=0,ISNUMBER(O585),O585&gt;=0),1,0)</f>
        <v>1</v>
      </c>
      <c r="AB585" s="0" t="n">
        <f aca="false">IF(AA585=1,U585+O585,0)</f>
        <v>4832</v>
      </c>
      <c r="AC585" s="0" t="n">
        <f aca="false">IF(AA585=1,100*AB585/B585,"")</f>
        <v>4.01005834170145</v>
      </c>
      <c r="AD585" s="0" t="n">
        <f aca="false">IF(AND(AND(ISNUMBER(B585),B585=OriginalFinancials!B585),AND(ISNUMBER(U585),U585=OriginalFinancials!U585),AND(ISNUMBER(O585),O585=OriginalFinancials!O585)),0,1)</f>
        <v>0</v>
      </c>
      <c r="AE585" s="0" t="str">
        <f aca="false">IF(V585=0,"原始0：需核实适用/报告口径","")</f>
        <v>原始0：需核实适用/报告口径</v>
      </c>
    </row>
    <row r="586" customFormat="false" ht="15" hidden="false" customHeight="false" outlineLevel="0" collapsed="false">
      <c r="A586" s="0" t="n">
        <v>586</v>
      </c>
      <c r="B586" s="0" t="n">
        <v>257839</v>
      </c>
      <c r="C586" s="0" t="n">
        <v>59298</v>
      </c>
      <c r="D586" s="0" t="n">
        <v>230108</v>
      </c>
      <c r="E586" s="0" t="n">
        <v>0.2</v>
      </c>
      <c r="F586" s="0" t="n">
        <v>26808</v>
      </c>
      <c r="G586" s="0" t="n">
        <v>10.3971858407766</v>
      </c>
      <c r="H586" s="0" t="s">
        <v>743</v>
      </c>
      <c r="I586" s="0" t="n">
        <v>0.787373425923443</v>
      </c>
      <c r="J586" s="0" t="n">
        <v>23764</v>
      </c>
      <c r="K586" s="0" t="n">
        <v>0</v>
      </c>
      <c r="L586" s="0" t="n">
        <v>111891</v>
      </c>
      <c r="M586" s="0" t="n">
        <v>111010</v>
      </c>
      <c r="N586" s="0" t="n">
        <v>88153</v>
      </c>
      <c r="O586" s="0" t="n">
        <v>0</v>
      </c>
      <c r="P586" s="0" t="s">
        <v>310</v>
      </c>
      <c r="Q586" s="0" t="n">
        <v>0</v>
      </c>
      <c r="R586" s="0" t="n">
        <v>1.98479257946533</v>
      </c>
      <c r="S586" s="0" t="n">
        <v>0</v>
      </c>
      <c r="T586" s="0" t="n">
        <v>0</v>
      </c>
      <c r="U586" s="0" t="n">
        <v>0</v>
      </c>
      <c r="V586" s="0" t="n">
        <v>0</v>
      </c>
      <c r="W586" s="0" t="n">
        <v>20240930</v>
      </c>
      <c r="X586" s="0" t="n">
        <v>-1.04704613103554</v>
      </c>
      <c r="Y586" s="0" t="n">
        <v>-7.94</v>
      </c>
      <c r="Z586" s="0" t="s">
        <v>112</v>
      </c>
      <c r="AA586" s="0" t="n">
        <f aca="false">IF(AND(ISNUMBER(B586),B586&gt;0,ISNUMBER(U586),U586&gt;=0,ISNUMBER(O586),O586&gt;=0),1,0)</f>
        <v>1</v>
      </c>
      <c r="AB586" s="0" t="n">
        <f aca="false">IF(AA586=1,U586+O586,0)</f>
        <v>0</v>
      </c>
      <c r="AC586" s="0" t="n">
        <f aca="false">IF(AA586=1,100*AB586/B586,"")</f>
        <v>0</v>
      </c>
      <c r="AD586" s="0" t="n">
        <f aca="false">IF(AND(AND(ISNUMBER(B586),B586=OriginalFinancials!B586),AND(ISNUMBER(U586),U586=OriginalFinancials!U586),AND(ISNUMBER(O586),O586=OriginalFinancials!O586)),0,1)</f>
        <v>0</v>
      </c>
      <c r="AE586" s="0" t="str">
        <f aca="false">IF(V586=0,"原始0：需核实适用/报告口径","")</f>
        <v>原始0：需核实适用/报告口径</v>
      </c>
    </row>
    <row r="587" customFormat="false" ht="15" hidden="false" customHeight="false" outlineLevel="0" collapsed="false">
      <c r="A587" s="0" t="n">
        <v>587</v>
      </c>
      <c r="B587" s="0" t="n">
        <v>1176660</v>
      </c>
      <c r="C587" s="0" t="n">
        <v>6271</v>
      </c>
      <c r="D587" s="0" t="n">
        <v>930724</v>
      </c>
      <c r="E587" s="0" t="n">
        <v>0.13</v>
      </c>
      <c r="F587" s="0" t="n">
        <v>110390</v>
      </c>
      <c r="G587" s="0" t="n">
        <v>9.38163955603148</v>
      </c>
      <c r="H587" s="0" t="s">
        <v>744</v>
      </c>
      <c r="I587" s="0" t="n">
        <v>1.04450763070852</v>
      </c>
      <c r="J587" s="0" t="n">
        <v>123877</v>
      </c>
      <c r="K587" s="0" t="n">
        <v>7088</v>
      </c>
      <c r="L587" s="0" t="n">
        <v>913349</v>
      </c>
      <c r="M587" s="0" t="n">
        <v>903809</v>
      </c>
      <c r="N587" s="0" t="n">
        <v>709642</v>
      </c>
      <c r="O587" s="0" t="n">
        <v>4487</v>
      </c>
      <c r="P587" s="0" t="s">
        <v>202</v>
      </c>
      <c r="Q587" s="0" t="n">
        <v>0.586851247442106</v>
      </c>
      <c r="R587" s="0" t="n">
        <v>3.28231818568022</v>
      </c>
      <c r="S587" s="0" t="n">
        <v>1380</v>
      </c>
      <c r="T587" s="0" t="n">
        <v>141</v>
      </c>
      <c r="U587" s="0" t="n">
        <v>873</v>
      </c>
      <c r="V587" s="0" t="n">
        <v>14.7664225949049</v>
      </c>
      <c r="W587" s="0" t="n">
        <v>20240930</v>
      </c>
      <c r="X587" s="0" t="n">
        <v>1.13807452468225</v>
      </c>
      <c r="Y587" s="0" t="n">
        <v>12.25</v>
      </c>
      <c r="Z587" s="0" t="s">
        <v>112</v>
      </c>
      <c r="AA587" s="0" t="n">
        <f aca="false">IF(AND(ISNUMBER(B587),B587&gt;0,ISNUMBER(U587),U587&gt;=0,ISNUMBER(O587),O587&gt;=0),1,0)</f>
        <v>1</v>
      </c>
      <c r="AB587" s="0" t="n">
        <f aca="false">IF(AA587=1,U587+O587,0)</f>
        <v>5360</v>
      </c>
      <c r="AC587" s="0" t="n">
        <f aca="false">IF(AA587=1,100*AB587/B587,"")</f>
        <v>0.455526660207707</v>
      </c>
      <c r="AD587" s="0" t="n">
        <f aca="false">IF(AND(AND(ISNUMBER(B587),B587=OriginalFinancials!B587),AND(ISNUMBER(U587),U587=OriginalFinancials!U587),AND(ISNUMBER(O587),O587=OriginalFinancials!O587)),0,1)</f>
        <v>0</v>
      </c>
      <c r="AE587" s="0" t="str">
        <f aca="false">IF(V587=0,"原始0：需核实适用/报告口径","")</f>
        <v/>
      </c>
    </row>
    <row r="588" customFormat="false" ht="15" hidden="false" customHeight="false" outlineLevel="0" collapsed="false">
      <c r="A588" s="0" t="n">
        <v>588</v>
      </c>
      <c r="B588" s="0" t="n">
        <v>558754</v>
      </c>
      <c r="C588" s="0" t="n">
        <v>6275</v>
      </c>
      <c r="D588" s="0" t="n">
        <v>473501</v>
      </c>
      <c r="E588" s="0" t="n">
        <v>0</v>
      </c>
      <c r="F588" s="0" t="n">
        <v>36242</v>
      </c>
      <c r="G588" s="0" t="n">
        <v>6.48621754833075</v>
      </c>
      <c r="H588" s="0" t="s">
        <v>745</v>
      </c>
      <c r="I588" s="0" t="n">
        <v>0.409030988856934</v>
      </c>
      <c r="J588" s="0" t="n">
        <v>38226</v>
      </c>
      <c r="K588" s="0" t="n">
        <v>9769</v>
      </c>
      <c r="L588" s="0" t="n">
        <v>346673</v>
      </c>
      <c r="M588" s="0" t="n">
        <v>345255</v>
      </c>
      <c r="N588" s="0" t="n">
        <v>288795</v>
      </c>
      <c r="O588" s="0" t="n">
        <v>745</v>
      </c>
      <c r="P588" s="0" t="s">
        <v>204</v>
      </c>
      <c r="Q588" s="0" t="n">
        <v>0.234514946361557</v>
      </c>
      <c r="R588" s="0" t="n">
        <v>2.90157241979757</v>
      </c>
      <c r="S588" s="0" t="n">
        <v>-26</v>
      </c>
      <c r="T588" s="0" t="n">
        <v>41</v>
      </c>
      <c r="U588" s="0" t="n">
        <v>68</v>
      </c>
      <c r="V588" s="0" t="n">
        <v>15.2047103929892</v>
      </c>
      <c r="W588" s="0" t="n">
        <v>20240930</v>
      </c>
      <c r="X588" s="0" t="n">
        <v>0.610514678351193</v>
      </c>
      <c r="Y588" s="0" t="n">
        <v>10.67</v>
      </c>
      <c r="Z588" s="0" t="s">
        <v>112</v>
      </c>
      <c r="AA588" s="0" t="n">
        <f aca="false">IF(AND(ISNUMBER(B588),B588&gt;0,ISNUMBER(U588),U588&gt;=0,ISNUMBER(O588),O588&gt;=0),1,0)</f>
        <v>1</v>
      </c>
      <c r="AB588" s="0" t="n">
        <f aca="false">IF(AA588=1,U588+O588,0)</f>
        <v>813</v>
      </c>
      <c r="AC588" s="0" t="n">
        <f aca="false">IF(AA588=1,100*AB588/B588,"")</f>
        <v>0.145502314077394</v>
      </c>
      <c r="AD588" s="0" t="n">
        <f aca="false">IF(AND(AND(ISNUMBER(B588),B588=OriginalFinancials!B588),AND(ISNUMBER(U588),U588=OriginalFinancials!U588),AND(ISNUMBER(O588),O588=OriginalFinancials!O588)),0,1)</f>
        <v>0</v>
      </c>
      <c r="AE588" s="0" t="str">
        <f aca="false">IF(V588=0,"原始0：需核实适用/报告口径","")</f>
        <v/>
      </c>
    </row>
    <row r="589" customFormat="false" ht="15" hidden="false" customHeight="false" outlineLevel="0" collapsed="false">
      <c r="A589" s="0" t="n">
        <v>589</v>
      </c>
      <c r="B589" s="0" t="n">
        <v>85714</v>
      </c>
      <c r="C589" s="0" t="n">
        <v>6280</v>
      </c>
      <c r="D589" s="0" t="n">
        <v>75614</v>
      </c>
      <c r="E589" s="0" t="n">
        <v>0.09</v>
      </c>
      <c r="F589" s="0" t="n">
        <v>9836</v>
      </c>
      <c r="G589" s="0" t="n">
        <v>11.475371584572</v>
      </c>
      <c r="H589" s="0" t="s">
        <v>746</v>
      </c>
      <c r="I589" s="0" t="n">
        <v>1.32484076433121</v>
      </c>
      <c r="J589" s="0" t="n">
        <v>3992</v>
      </c>
      <c r="K589" s="0" t="n">
        <v>1471</v>
      </c>
      <c r="L589" s="0" t="n">
        <v>70650</v>
      </c>
      <c r="M589" s="0" t="n">
        <v>69714</v>
      </c>
      <c r="N589" s="0" t="n">
        <v>62411</v>
      </c>
      <c r="O589" s="0" t="n">
        <v>1121</v>
      </c>
      <c r="P589" s="0" t="s">
        <v>206</v>
      </c>
      <c r="Q589" s="0" t="n">
        <v>1.58669497523001</v>
      </c>
      <c r="R589" s="0" t="n">
        <v>4.61800872747197</v>
      </c>
      <c r="S589" s="0" t="n">
        <v>12</v>
      </c>
      <c r="T589" s="0" t="n">
        <v>644</v>
      </c>
      <c r="U589" s="0" t="n">
        <v>0</v>
      </c>
      <c r="V589" s="0" t="n">
        <v>0</v>
      </c>
      <c r="W589" s="0" t="n">
        <v>20240930</v>
      </c>
      <c r="X589" s="0" t="n">
        <v>1.37847937324559</v>
      </c>
      <c r="Y589" s="0" t="n">
        <v>11.61</v>
      </c>
      <c r="Z589" s="0" t="s">
        <v>112</v>
      </c>
      <c r="AA589" s="0" t="n">
        <f aca="false">IF(AND(ISNUMBER(B589),B589&gt;0,ISNUMBER(U589),U589&gt;=0,ISNUMBER(O589),O589&gt;=0),1,0)</f>
        <v>1</v>
      </c>
      <c r="AB589" s="0" t="n">
        <f aca="false">IF(AA589=1,U589+O589,0)</f>
        <v>1121</v>
      </c>
      <c r="AC589" s="0" t="n">
        <f aca="false">IF(AA589=1,100*AB589/B589,"")</f>
        <v>1.30783769279231</v>
      </c>
      <c r="AD589" s="0" t="n">
        <f aca="false">IF(AND(AND(ISNUMBER(B589),B589=OriginalFinancials!B589),AND(ISNUMBER(U589),U589=OriginalFinancials!U589),AND(ISNUMBER(O589),O589=OriginalFinancials!O589)),0,1)</f>
        <v>0</v>
      </c>
      <c r="AE589" s="0" t="str">
        <f aca="false">IF(V589=0,"原始0：需核实适用/报告口径","")</f>
        <v>原始0：需核实适用/报告口径</v>
      </c>
    </row>
    <row r="590" customFormat="false" ht="15" hidden="false" customHeight="false" outlineLevel="0" collapsed="false">
      <c r="A590" s="0" t="n">
        <v>590</v>
      </c>
      <c r="B590" s="0" t="n">
        <v>4077997</v>
      </c>
      <c r="C590" s="0" t="n">
        <v>11971</v>
      </c>
      <c r="D590" s="0" t="n">
        <v>3274818</v>
      </c>
      <c r="E590" s="0" t="n">
        <v>0.03</v>
      </c>
      <c r="F590" s="0" t="n">
        <v>493072</v>
      </c>
      <c r="G590" s="0" t="n">
        <v>12.0910339070872</v>
      </c>
      <c r="H590" s="0" t="s">
        <v>747</v>
      </c>
      <c r="I590" s="0" t="n">
        <v>0.912991387185341</v>
      </c>
      <c r="J590" s="0" t="n">
        <v>212814</v>
      </c>
      <c r="K590" s="0" t="n">
        <v>8070</v>
      </c>
      <c r="L590" s="0" t="n">
        <v>3148332</v>
      </c>
      <c r="M590" s="0" t="n">
        <v>3119588</v>
      </c>
      <c r="N590" s="0" t="n">
        <v>2776221</v>
      </c>
      <c r="O590" s="0" t="n">
        <v>6995</v>
      </c>
      <c r="P590" s="0" t="s">
        <v>104</v>
      </c>
      <c r="Q590" s="0" t="n">
        <v>0.222276430821146</v>
      </c>
      <c r="R590" s="0" t="n">
        <v>3.2547781259091</v>
      </c>
      <c r="S590" s="0" t="n">
        <v>353</v>
      </c>
      <c r="T590" s="0" t="n">
        <v>17336</v>
      </c>
      <c r="U590" s="0" t="n">
        <v>3</v>
      </c>
      <c r="V590" s="0" t="n">
        <v>13.4411479487113</v>
      </c>
      <c r="W590" s="0" t="n">
        <v>20241231</v>
      </c>
      <c r="X590" s="0" t="n">
        <v>1.26447906428998</v>
      </c>
      <c r="Y590" s="0" t="n">
        <v>10.26</v>
      </c>
      <c r="Z590" s="0" t="s">
        <v>105</v>
      </c>
      <c r="AA590" s="0" t="n">
        <f aca="false">IF(AND(ISNUMBER(B590),B590&gt;0,ISNUMBER(U590),U590&gt;=0,ISNUMBER(O590),O590&gt;=0),1,0)</f>
        <v>1</v>
      </c>
      <c r="AB590" s="0" t="n">
        <f aca="false">IF(AA590=1,U590+O590,0)</f>
        <v>6998</v>
      </c>
      <c r="AC590" s="0" t="n">
        <f aca="false">IF(AA590=1,100*AB590/B590,"")</f>
        <v>0.171603853558499</v>
      </c>
      <c r="AD590" s="0" t="n">
        <f aca="false">IF(AND(AND(ISNUMBER(B590),B590=OriginalFinancials!B590),AND(ISNUMBER(U590),U590=OriginalFinancials!U590),AND(ISNUMBER(O590),O590=OriginalFinancials!O590)),0,1)</f>
        <v>0</v>
      </c>
      <c r="AE590" s="0" t="str">
        <f aca="false">IF(V590=0,"原始0：需核实适用/报告口径","")</f>
        <v/>
      </c>
    </row>
    <row r="591" customFormat="false" ht="15" hidden="false" customHeight="false" outlineLevel="0" collapsed="false">
      <c r="A591" s="0" t="n">
        <v>591</v>
      </c>
      <c r="B591" s="0" t="n">
        <v>1078599</v>
      </c>
      <c r="C591" s="0" t="n">
        <v>12874</v>
      </c>
      <c r="D591" s="0" t="n">
        <v>931493</v>
      </c>
      <c r="E591" s="0" t="n">
        <v>0.05</v>
      </c>
      <c r="F591" s="0" t="n">
        <v>96293</v>
      </c>
      <c r="G591" s="0" t="n">
        <v>8.92759959910959</v>
      </c>
      <c r="H591" s="0" t="s">
        <v>748</v>
      </c>
      <c r="I591" s="0" t="n">
        <v>1.00624187634586</v>
      </c>
      <c r="J591" s="0" t="n">
        <v>163025</v>
      </c>
      <c r="K591" s="0" t="n">
        <v>4566</v>
      </c>
      <c r="L591" s="0" t="n">
        <v>824752</v>
      </c>
      <c r="M591" s="0" t="n">
        <v>816453</v>
      </c>
      <c r="N591" s="0" t="n">
        <v>640478</v>
      </c>
      <c r="O591" s="0" t="n">
        <v>1392</v>
      </c>
      <c r="P591" s="0" t="s">
        <v>107</v>
      </c>
      <c r="Q591" s="0" t="n">
        <v>0.168778008419501</v>
      </c>
      <c r="R591" s="0" t="n">
        <v>3.69486040719359</v>
      </c>
      <c r="S591" s="0" t="n">
        <v>-17</v>
      </c>
      <c r="T591" s="0" t="n">
        <v>568</v>
      </c>
      <c r="U591" s="0" t="n">
        <v>0</v>
      </c>
      <c r="V591" s="0" t="n">
        <v>14.0068083332392</v>
      </c>
      <c r="W591" s="0" t="n">
        <v>20241231</v>
      </c>
      <c r="X591" s="0" t="n">
        <v>0.860333153789986</v>
      </c>
      <c r="Y591" s="0" t="n">
        <v>8.44</v>
      </c>
      <c r="Z591" s="0" t="s">
        <v>105</v>
      </c>
      <c r="AA591" s="0" t="n">
        <f aca="false">IF(AND(ISNUMBER(B591),B591&gt;0,ISNUMBER(U591),U591&gt;=0,ISNUMBER(O591),O591&gt;=0),1,0)</f>
        <v>1</v>
      </c>
      <c r="AB591" s="0" t="n">
        <f aca="false">IF(AA591=1,U591+O591,0)</f>
        <v>1392</v>
      </c>
      <c r="AC591" s="0" t="n">
        <f aca="false">IF(AA591=1,100*AB591/B591,"")</f>
        <v>0.129056303593829</v>
      </c>
      <c r="AD591" s="0" t="n">
        <f aca="false">IF(AND(AND(ISNUMBER(B591),B591=OriginalFinancials!B591),AND(ISNUMBER(U591),U591=OriginalFinancials!U591),AND(ISNUMBER(O591),O591=OriginalFinancials!O591)),0,1)</f>
        <v>0</v>
      </c>
      <c r="AE591" s="0" t="str">
        <f aca="false">IF(V591=0,"原始0：需核实适用/报告口径","")</f>
        <v/>
      </c>
    </row>
    <row r="592" customFormat="false" ht="15" hidden="false" customHeight="false" outlineLevel="0" collapsed="false">
      <c r="A592" s="0" t="n">
        <v>592</v>
      </c>
      <c r="B592" s="0" t="n">
        <v>1867411</v>
      </c>
      <c r="C592" s="0" t="n">
        <v>13063</v>
      </c>
      <c r="D592" s="0" t="n">
        <v>1626222</v>
      </c>
      <c r="E592" s="0" t="n">
        <v>0</v>
      </c>
      <c r="F592" s="0" t="n">
        <v>153090</v>
      </c>
      <c r="G592" s="0" t="n">
        <v>8.1979810550543</v>
      </c>
      <c r="H592" s="0" t="s">
        <v>749</v>
      </c>
      <c r="I592" s="0" t="n">
        <v>1.10218094236936</v>
      </c>
      <c r="J592" s="0" t="n">
        <v>60157</v>
      </c>
      <c r="K592" s="0" t="n">
        <v>794</v>
      </c>
      <c r="L592" s="0" t="n">
        <v>1503020</v>
      </c>
      <c r="M592" s="0" t="n">
        <v>1486454</v>
      </c>
      <c r="N592" s="0" t="n">
        <v>1427918</v>
      </c>
      <c r="O592" s="0" t="n">
        <v>471</v>
      </c>
      <c r="P592" s="0" t="s">
        <v>109</v>
      </c>
      <c r="Q592" s="0" t="n">
        <v>0.0313369083578395</v>
      </c>
      <c r="R592" s="0" t="n">
        <v>3.19713072652626</v>
      </c>
      <c r="S592" s="0" t="n">
        <v>-27</v>
      </c>
      <c r="T592" s="0" t="n">
        <v>4656</v>
      </c>
      <c r="U592" s="0" t="n">
        <v>0</v>
      </c>
      <c r="V592" s="0" t="n">
        <v>0</v>
      </c>
      <c r="W592" s="0" t="n">
        <v>20241231</v>
      </c>
      <c r="X592" s="0" t="n">
        <v>0.520034133011195</v>
      </c>
      <c r="Y592" s="0" t="n">
        <v>6.39</v>
      </c>
      <c r="Z592" s="0" t="s">
        <v>105</v>
      </c>
      <c r="AA592" s="0" t="n">
        <f aca="false">IF(AND(ISNUMBER(B592),B592&gt;0,ISNUMBER(U592),U592&gt;=0,ISNUMBER(O592),O592&gt;=0),1,0)</f>
        <v>1</v>
      </c>
      <c r="AB592" s="0" t="n">
        <f aca="false">IF(AA592=1,U592+O592,0)</f>
        <v>471</v>
      </c>
      <c r="AC592" s="0" t="n">
        <f aca="false">IF(AA592=1,100*AB592/B592,"")</f>
        <v>0.0252220855505296</v>
      </c>
      <c r="AD592" s="0" t="n">
        <f aca="false">IF(AND(AND(ISNUMBER(B592),B592=OriginalFinancials!B592),AND(ISNUMBER(U592),U592=OriginalFinancials!U592),AND(ISNUMBER(O592),O592=OriginalFinancials!O592)),0,1)</f>
        <v>0</v>
      </c>
      <c r="AE592" s="0" t="str">
        <f aca="false">IF(V592=0,"原始0：需核实适用/报告口径","")</f>
        <v>原始0：需核实适用/报告口径</v>
      </c>
    </row>
    <row r="593" customFormat="false" ht="15" hidden="false" customHeight="false" outlineLevel="0" collapsed="false">
      <c r="A593" s="0" t="n">
        <v>593</v>
      </c>
      <c r="B593" s="0" t="n">
        <v>894082</v>
      </c>
      <c r="C593" s="0" t="n">
        <v>14134</v>
      </c>
      <c r="D593" s="0" t="n">
        <v>716959</v>
      </c>
      <c r="E593" s="0" t="n">
        <v>0.09</v>
      </c>
      <c r="F593" s="0" t="n">
        <v>111729</v>
      </c>
      <c r="G593" s="0" t="n">
        <v>12.4965047948622</v>
      </c>
      <c r="H593" s="0" t="s">
        <v>750</v>
      </c>
      <c r="I593" s="0" t="n">
        <v>1.07915625927728</v>
      </c>
      <c r="J593" s="0" t="n">
        <v>25357</v>
      </c>
      <c r="K593" s="0" t="n">
        <v>19431</v>
      </c>
      <c r="L593" s="0" t="n">
        <v>643373</v>
      </c>
      <c r="M593" s="0" t="n">
        <v>636430</v>
      </c>
      <c r="N593" s="0" t="n">
        <v>570625</v>
      </c>
      <c r="O593" s="0" t="n">
        <v>3603</v>
      </c>
      <c r="P593" s="0" t="s">
        <v>111</v>
      </c>
      <c r="Q593" s="0" t="n">
        <v>0.560017283908402</v>
      </c>
      <c r="R593" s="0" t="n">
        <v>3.02248641444206</v>
      </c>
      <c r="S593" s="0" t="n">
        <v>1082</v>
      </c>
      <c r="T593" s="0" t="n">
        <v>4356</v>
      </c>
      <c r="U593" s="0" t="n">
        <v>0</v>
      </c>
      <c r="V593" s="0" t="n">
        <v>20.2931917327933</v>
      </c>
      <c r="W593" s="0" t="n">
        <v>20241231</v>
      </c>
      <c r="X593" s="0" t="n">
        <v>0.807708956890982</v>
      </c>
      <c r="Y593" s="0" t="n">
        <v>6.36</v>
      </c>
      <c r="Z593" s="0" t="s">
        <v>112</v>
      </c>
      <c r="AA593" s="0" t="n">
        <f aca="false">IF(AND(ISNUMBER(B593),B593&gt;0,ISNUMBER(U593),U593&gt;=0,ISNUMBER(O593),O593&gt;=0),1,0)</f>
        <v>1</v>
      </c>
      <c r="AB593" s="0" t="n">
        <f aca="false">IF(AA593=1,U593+O593,0)</f>
        <v>3603</v>
      </c>
      <c r="AC593" s="0" t="n">
        <f aca="false">IF(AA593=1,100*AB593/B593,"")</f>
        <v>0.402983171565919</v>
      </c>
      <c r="AD593" s="0" t="n">
        <f aca="false">IF(AND(AND(ISNUMBER(B593),B593=OriginalFinancials!B593),AND(ISNUMBER(U593),U593=OriginalFinancials!U593),AND(ISNUMBER(O593),O593=OriginalFinancials!O593)),0,1)</f>
        <v>0</v>
      </c>
      <c r="AE593" s="0" t="str">
        <f aca="false">IF(V593=0,"原始0：需核实适用/报告口径","")</f>
        <v/>
      </c>
    </row>
    <row r="594" customFormat="false" ht="15" hidden="false" customHeight="false" outlineLevel="0" collapsed="false">
      <c r="A594" s="0" t="n">
        <v>594</v>
      </c>
      <c r="B594" s="0" t="n">
        <v>237708</v>
      </c>
      <c r="C594" s="0" t="n">
        <v>14136</v>
      </c>
      <c r="D594" s="0" t="n">
        <v>204666</v>
      </c>
      <c r="E594" s="0" t="n">
        <v>0.01</v>
      </c>
      <c r="F594" s="0" t="n">
        <v>18926</v>
      </c>
      <c r="G594" s="0" t="n">
        <v>7.96186918404093</v>
      </c>
      <c r="H594" s="0" t="s">
        <v>751</v>
      </c>
      <c r="I594" s="0" t="n">
        <v>1.03549452151154</v>
      </c>
      <c r="J594" s="0" t="n">
        <v>16696</v>
      </c>
      <c r="K594" s="0" t="n">
        <v>14895</v>
      </c>
      <c r="L594" s="0" t="n">
        <v>157799</v>
      </c>
      <c r="M594" s="0" t="n">
        <v>156165</v>
      </c>
      <c r="N594" s="0" t="n">
        <v>125909</v>
      </c>
      <c r="O594" s="0" t="n">
        <v>510</v>
      </c>
      <c r="P594" s="0" t="s">
        <v>114</v>
      </c>
      <c r="Q594" s="0" t="n">
        <v>0.775670314767521</v>
      </c>
      <c r="R594" s="0" t="n">
        <v>3.83592993733623</v>
      </c>
      <c r="S594" s="0" t="n">
        <v>271</v>
      </c>
      <c r="T594" s="0" t="n">
        <v>1061</v>
      </c>
      <c r="U594" s="0" t="n">
        <v>714</v>
      </c>
      <c r="V594" s="0" t="n">
        <v>18.3832074375363</v>
      </c>
      <c r="W594" s="0" t="n">
        <v>20241231</v>
      </c>
      <c r="X594" s="0" t="n">
        <v>0.592215367017237</v>
      </c>
      <c r="Y594" s="0" t="n">
        <v>7.67</v>
      </c>
      <c r="Z594" s="0" t="s">
        <v>112</v>
      </c>
      <c r="AA594" s="0" t="n">
        <f aca="false">IF(AND(ISNUMBER(B594),B594&gt;0,ISNUMBER(U594),U594&gt;=0,ISNUMBER(O594),O594&gt;=0),1,0)</f>
        <v>1</v>
      </c>
      <c r="AB594" s="0" t="n">
        <f aca="false">IF(AA594=1,U594+O594,0)</f>
        <v>1224</v>
      </c>
      <c r="AC594" s="0" t="n">
        <f aca="false">IF(AA594=1,100*AB594/B594,"")</f>
        <v>0.514917461759806</v>
      </c>
      <c r="AD594" s="0" t="n">
        <f aca="false">IF(AND(AND(ISNUMBER(B594),B594=OriginalFinancials!B594),AND(ISNUMBER(U594),U594=OriginalFinancials!U594),AND(ISNUMBER(O594),O594=OriginalFinancials!O594)),0,1)</f>
        <v>0</v>
      </c>
      <c r="AE594" s="0" t="str">
        <f aca="false">IF(V594=0,"原始0：需核实适用/报告口径","")</f>
        <v/>
      </c>
    </row>
    <row r="595" customFormat="false" ht="15" hidden="false" customHeight="false" outlineLevel="0" collapsed="false">
      <c r="A595" s="0" t="n">
        <v>595</v>
      </c>
      <c r="B595" s="0" t="n">
        <v>1558316</v>
      </c>
      <c r="C595" s="0" t="n">
        <v>14140</v>
      </c>
      <c r="D595" s="0" t="n">
        <v>1234041</v>
      </c>
      <c r="E595" s="0" t="n">
        <v>-0.03</v>
      </c>
      <c r="F595" s="0" t="n">
        <v>133315</v>
      </c>
      <c r="G595" s="0" t="n">
        <v>8.55506842001237</v>
      </c>
      <c r="H595" s="0" t="s">
        <v>752</v>
      </c>
      <c r="I595" s="0" t="n">
        <v>0.783955979254424</v>
      </c>
      <c r="J595" s="0" t="n">
        <v>95021</v>
      </c>
      <c r="K595" s="0" t="n">
        <v>1556</v>
      </c>
      <c r="L595" s="0" t="n">
        <v>1100572</v>
      </c>
      <c r="M595" s="0" t="n">
        <v>1091944</v>
      </c>
      <c r="N595" s="0" t="n">
        <v>975721</v>
      </c>
      <c r="O595" s="0" t="n">
        <v>5344</v>
      </c>
      <c r="P595" s="0" t="s">
        <v>116</v>
      </c>
      <c r="Q595" s="0" t="n">
        <v>0.485565687660598</v>
      </c>
      <c r="R595" s="0" t="n">
        <v>2.41444487121519</v>
      </c>
      <c r="S595" s="0" t="n">
        <v>50</v>
      </c>
      <c r="T595" s="0" t="n">
        <v>798</v>
      </c>
      <c r="U595" s="0" t="n">
        <v>0</v>
      </c>
      <c r="V595" s="0" t="n">
        <v>0</v>
      </c>
      <c r="W595" s="0" t="n">
        <v>20241231</v>
      </c>
      <c r="X595" s="0" t="n">
        <v>0.30821925027166</v>
      </c>
      <c r="Y595" s="0" t="n">
        <v>3.6</v>
      </c>
      <c r="Z595" s="0" t="s">
        <v>112</v>
      </c>
      <c r="AA595" s="0" t="n">
        <f aca="false">IF(AND(ISNUMBER(B595),B595&gt;0,ISNUMBER(U595),U595&gt;=0,ISNUMBER(O595),O595&gt;=0),1,0)</f>
        <v>1</v>
      </c>
      <c r="AB595" s="0" t="n">
        <f aca="false">IF(AA595=1,U595+O595,0)</f>
        <v>5344</v>
      </c>
      <c r="AC595" s="0" t="n">
        <f aca="false">IF(AA595=1,100*AB595/B595,"")</f>
        <v>0.34293429573976</v>
      </c>
      <c r="AD595" s="0" t="n">
        <f aca="false">IF(AND(AND(ISNUMBER(B595),B595=OriginalFinancials!B595),AND(ISNUMBER(U595),U595=OriginalFinancials!U595),AND(ISNUMBER(O595),O595=OriginalFinancials!O595)),0,1)</f>
        <v>0</v>
      </c>
      <c r="AE595" s="0" t="str">
        <f aca="false">IF(V595=0,"原始0：需核实适用/报告口径","")</f>
        <v>原始0：需核实适用/报告口径</v>
      </c>
    </row>
    <row r="596" customFormat="false" ht="15" hidden="false" customHeight="false" outlineLevel="0" collapsed="false">
      <c r="A596" s="0" t="n">
        <v>596</v>
      </c>
      <c r="B596" s="0" t="n">
        <v>1527590</v>
      </c>
      <c r="C596" s="0" t="n">
        <v>14158</v>
      </c>
      <c r="D596" s="0" t="n">
        <v>1171399</v>
      </c>
      <c r="E596" s="0" t="n">
        <v>0.06</v>
      </c>
      <c r="F596" s="0" t="n">
        <v>82437</v>
      </c>
      <c r="G596" s="0" t="n">
        <v>5.39653964741848</v>
      </c>
      <c r="H596" s="0" t="s">
        <v>753</v>
      </c>
      <c r="I596" s="0" t="n">
        <v>0.660303223620972</v>
      </c>
      <c r="J596" s="0" t="n">
        <v>35314</v>
      </c>
      <c r="K596" s="0" t="n">
        <v>2423</v>
      </c>
      <c r="L596" s="0" t="n">
        <v>1163102</v>
      </c>
      <c r="M596" s="0" t="n">
        <v>1155422</v>
      </c>
      <c r="N596" s="0" t="n">
        <v>1010360</v>
      </c>
      <c r="O596" s="0" t="n">
        <v>1652</v>
      </c>
      <c r="P596" s="0" t="s">
        <v>118</v>
      </c>
      <c r="Q596" s="0" t="n">
        <v>0.162754427384701</v>
      </c>
      <c r="R596" s="0" t="n">
        <v>2.86003880673193</v>
      </c>
      <c r="S596" s="0" t="n">
        <v>-23</v>
      </c>
      <c r="T596" s="0" t="n">
        <v>3122</v>
      </c>
      <c r="U596" s="0" t="n">
        <v>241</v>
      </c>
      <c r="V596" s="0" t="n">
        <v>12.508099717311</v>
      </c>
      <c r="W596" s="0" t="n">
        <v>20241231</v>
      </c>
      <c r="X596" s="0" t="n">
        <v>0.659307705761988</v>
      </c>
      <c r="Y596" s="0" t="n">
        <v>11.71</v>
      </c>
      <c r="Z596" s="0" t="s">
        <v>112</v>
      </c>
      <c r="AA596" s="0" t="n">
        <f aca="false">IF(AND(ISNUMBER(B596),B596&gt;0,ISNUMBER(U596),U596&gt;=0,ISNUMBER(O596),O596&gt;=0),1,0)</f>
        <v>1</v>
      </c>
      <c r="AB596" s="0" t="n">
        <f aca="false">IF(AA596=1,U596+O596,0)</f>
        <v>1893</v>
      </c>
      <c r="AC596" s="0" t="n">
        <f aca="false">IF(AA596=1,100*AB596/B596,"")</f>
        <v>0.123920685524257</v>
      </c>
      <c r="AD596" s="0" t="n">
        <f aca="false">IF(AND(AND(ISNUMBER(B596),B596=OriginalFinancials!B596),AND(ISNUMBER(U596),U596=OriginalFinancials!U596),AND(ISNUMBER(O596),O596=OriginalFinancials!O596)),0,1)</f>
        <v>0</v>
      </c>
      <c r="AE596" s="0" t="str">
        <f aca="false">IF(V596=0,"原始0：需核实适用/报告口径","")</f>
        <v/>
      </c>
    </row>
    <row r="597" customFormat="false" ht="15" hidden="false" customHeight="false" outlineLevel="0" collapsed="false">
      <c r="A597" s="0" t="n">
        <v>597</v>
      </c>
      <c r="B597" s="0" t="n">
        <v>369405</v>
      </c>
      <c r="C597" s="0" t="n">
        <v>14168</v>
      </c>
      <c r="D597" s="0" t="n">
        <v>325925</v>
      </c>
      <c r="E597" s="0" t="n">
        <v>0.05</v>
      </c>
      <c r="F597" s="0" t="n">
        <v>37830</v>
      </c>
      <c r="G597" s="0" t="n">
        <v>10.2407926259796</v>
      </c>
      <c r="H597" s="0" t="s">
        <v>754</v>
      </c>
      <c r="I597" s="0" t="n">
        <v>1.36984318805132</v>
      </c>
      <c r="J597" s="0" t="n">
        <v>11946</v>
      </c>
      <c r="K597" s="0" t="n">
        <v>10751</v>
      </c>
      <c r="L597" s="0" t="n">
        <v>276382</v>
      </c>
      <c r="M597" s="0" t="n">
        <v>272596</v>
      </c>
      <c r="N597" s="0" t="n">
        <v>234027</v>
      </c>
      <c r="O597" s="0" t="n">
        <v>910</v>
      </c>
      <c r="P597" s="0" t="s">
        <v>120</v>
      </c>
      <c r="Q597" s="0" t="n">
        <v>0.329254437698548</v>
      </c>
      <c r="R597" s="0" t="n">
        <v>4.15092219303544</v>
      </c>
      <c r="S597" s="0" t="n">
        <v>85</v>
      </c>
      <c r="T597" s="0" t="n">
        <v>404</v>
      </c>
      <c r="U597" s="0" t="n">
        <v>0</v>
      </c>
      <c r="V597" s="0" t="n">
        <v>16.4194761448442</v>
      </c>
      <c r="W597" s="0" t="n">
        <v>20241231</v>
      </c>
      <c r="X597" s="0" t="n">
        <v>0.985943826552391</v>
      </c>
      <c r="Y597" s="0" t="n">
        <v>9.9</v>
      </c>
      <c r="Z597" s="0" t="s">
        <v>112</v>
      </c>
      <c r="AA597" s="0" t="n">
        <f aca="false">IF(AND(ISNUMBER(B597),B597&gt;0,ISNUMBER(U597),U597&gt;=0,ISNUMBER(O597),O597&gt;=0),1,0)</f>
        <v>1</v>
      </c>
      <c r="AB597" s="0" t="n">
        <f aca="false">IF(AA597=1,U597+O597,0)</f>
        <v>910</v>
      </c>
      <c r="AC597" s="0" t="n">
        <f aca="false">IF(AA597=1,100*AB597/B597,"")</f>
        <v>0.246342090659303</v>
      </c>
      <c r="AD597" s="0" t="n">
        <f aca="false">IF(AND(AND(ISNUMBER(B597),B597=OriginalFinancials!B597),AND(ISNUMBER(U597),U597=OriginalFinancials!U597),AND(ISNUMBER(O597),O597=OriginalFinancials!O597)),0,1)</f>
        <v>0</v>
      </c>
      <c r="AE597" s="0" t="str">
        <f aca="false">IF(V597=0,"原始0：需核实适用/报告口径","")</f>
        <v/>
      </c>
    </row>
    <row r="598" customFormat="false" ht="15" hidden="false" customHeight="false" outlineLevel="0" collapsed="false">
      <c r="A598" s="0" t="n">
        <v>598</v>
      </c>
      <c r="B598" s="0" t="n">
        <v>1188010</v>
      </c>
      <c r="C598" s="0" t="n">
        <v>14240</v>
      </c>
      <c r="D598" s="0" t="n">
        <v>977466</v>
      </c>
      <c r="E598" s="0" t="n">
        <v>-0.04</v>
      </c>
      <c r="F598" s="0" t="n">
        <v>89624</v>
      </c>
      <c r="G598" s="0" t="n">
        <v>7.54404424205184</v>
      </c>
      <c r="H598" s="0" t="s">
        <v>755</v>
      </c>
      <c r="I598" s="0" t="n">
        <v>1.16849565614998</v>
      </c>
      <c r="J598" s="0" t="n">
        <v>27669</v>
      </c>
      <c r="K598" s="0" t="n">
        <v>12372</v>
      </c>
      <c r="L598" s="0" t="n">
        <v>874800</v>
      </c>
      <c r="M598" s="0" t="n">
        <v>864578</v>
      </c>
      <c r="N598" s="0" t="n">
        <v>760710</v>
      </c>
      <c r="O598" s="0" t="n">
        <v>2934</v>
      </c>
      <c r="P598" s="0" t="s">
        <v>122</v>
      </c>
      <c r="Q598" s="0" t="n">
        <v>0.335390946502058</v>
      </c>
      <c r="R598" s="0" t="n">
        <v>2.74163164808035</v>
      </c>
      <c r="S598" s="0" t="n">
        <v>-18</v>
      </c>
      <c r="T598" s="0" t="n">
        <v>2297</v>
      </c>
      <c r="U598" s="0" t="n">
        <v>0</v>
      </c>
      <c r="V598" s="0" t="n">
        <v>17.1493147404287</v>
      </c>
      <c r="W598" s="0" t="n">
        <v>20241231</v>
      </c>
      <c r="X598" s="0" t="n">
        <v>0.504315605562752</v>
      </c>
      <c r="Y598" s="0" t="n">
        <v>6.9</v>
      </c>
      <c r="Z598" s="0" t="s">
        <v>123</v>
      </c>
      <c r="AA598" s="0" t="n">
        <f aca="false">IF(AND(ISNUMBER(B598),B598&gt;0,ISNUMBER(U598),U598&gt;=0,ISNUMBER(O598),O598&gt;=0),1,0)</f>
        <v>1</v>
      </c>
      <c r="AB598" s="0" t="n">
        <f aca="false">IF(AA598=1,U598+O598,0)</f>
        <v>2934</v>
      </c>
      <c r="AC598" s="0" t="n">
        <f aca="false">IF(AA598=1,100*AB598/B598,"")</f>
        <v>0.246967618117693</v>
      </c>
      <c r="AD598" s="0" t="n">
        <f aca="false">IF(AND(AND(ISNUMBER(B598),B598=OriginalFinancials!B598),AND(ISNUMBER(U598),U598=OriginalFinancials!U598),AND(ISNUMBER(O598),O598=OriginalFinancials!O598)),0,1)</f>
        <v>0</v>
      </c>
      <c r="AE598" s="0" t="str">
        <f aca="false">IF(V598=0,"原始0：需核实适用/报告口径","")</f>
        <v/>
      </c>
    </row>
    <row r="599" customFormat="false" ht="15" hidden="false" customHeight="false" outlineLevel="0" collapsed="false">
      <c r="A599" s="0" t="n">
        <v>599</v>
      </c>
      <c r="B599" s="0" t="n">
        <v>1041970</v>
      </c>
      <c r="C599" s="0" t="n">
        <v>17115</v>
      </c>
      <c r="D599" s="0" t="n">
        <v>827656</v>
      </c>
      <c r="E599" s="0" t="n">
        <v>-0.01</v>
      </c>
      <c r="F599" s="0" t="n">
        <v>91891</v>
      </c>
      <c r="G599" s="0" t="n">
        <v>8.8189679165427</v>
      </c>
      <c r="H599" s="0" t="s">
        <v>756</v>
      </c>
      <c r="I599" s="0" t="n">
        <v>0.985833655182847</v>
      </c>
      <c r="J599" s="0" t="n">
        <v>38988</v>
      </c>
      <c r="K599" s="0" t="n">
        <v>6624</v>
      </c>
      <c r="L599" s="0" t="n">
        <v>872561</v>
      </c>
      <c r="M599" s="0" t="n">
        <v>863959</v>
      </c>
      <c r="N599" s="0" t="n">
        <v>826165</v>
      </c>
      <c r="O599" s="0" t="n">
        <v>2571</v>
      </c>
      <c r="P599" s="0" t="s">
        <v>125</v>
      </c>
      <c r="Q599" s="0" t="n">
        <v>0.294649886942002</v>
      </c>
      <c r="R599" s="0" t="n">
        <v>2.65781382019634</v>
      </c>
      <c r="S599" s="0" t="n">
        <v>128</v>
      </c>
      <c r="T599" s="0" t="n">
        <v>2572</v>
      </c>
      <c r="U599" s="0" t="n">
        <v>0</v>
      </c>
      <c r="V599" s="0" t="n">
        <v>14.8981926999983</v>
      </c>
      <c r="W599" s="0" t="n">
        <v>20241231</v>
      </c>
      <c r="X599" s="0" t="n">
        <v>0.297310003392755</v>
      </c>
      <c r="Y599" s="0" t="n">
        <v>3.53</v>
      </c>
      <c r="Z599" s="0" t="s">
        <v>105</v>
      </c>
      <c r="AA599" s="0" t="n">
        <f aca="false">IF(AND(ISNUMBER(B599),B599&gt;0,ISNUMBER(U599),U599&gt;=0,ISNUMBER(O599),O599&gt;=0),1,0)</f>
        <v>1</v>
      </c>
      <c r="AB599" s="0" t="n">
        <f aca="false">IF(AA599=1,U599+O599,0)</f>
        <v>2571</v>
      </c>
      <c r="AC599" s="0" t="n">
        <f aca="false">IF(AA599=1,100*AB599/B599,"")</f>
        <v>0.246744148104072</v>
      </c>
      <c r="AD599" s="0" t="n">
        <f aca="false">IF(AND(AND(ISNUMBER(B599),B599=OriginalFinancials!B599),AND(ISNUMBER(U599),U599=OriginalFinancials!U599),AND(ISNUMBER(O599),O599=OriginalFinancials!O599)),0,1)</f>
        <v>0</v>
      </c>
      <c r="AE599" s="0" t="str">
        <f aca="false">IF(V599=0,"原始0：需核实适用/报告口径","")</f>
        <v/>
      </c>
    </row>
    <row r="600" customFormat="false" ht="15" hidden="false" customHeight="false" outlineLevel="0" collapsed="false">
      <c r="A600" s="0" t="n">
        <v>600</v>
      </c>
      <c r="B600" s="0" t="n">
        <v>1600157</v>
      </c>
      <c r="C600" s="0" t="n">
        <v>17180</v>
      </c>
      <c r="D600" s="0" t="n">
        <v>1219406</v>
      </c>
      <c r="E600" s="0" t="n">
        <v>0</v>
      </c>
      <c r="F600" s="0" t="n">
        <v>143344</v>
      </c>
      <c r="G600" s="0" t="n">
        <v>8.95812098437841</v>
      </c>
      <c r="H600" s="0" t="s">
        <v>757</v>
      </c>
      <c r="I600" s="0" t="n">
        <v>0.980584221015157</v>
      </c>
      <c r="J600" s="0" t="n">
        <v>38804</v>
      </c>
      <c r="K600" s="0" t="n">
        <v>164696</v>
      </c>
      <c r="L600" s="0" t="n">
        <v>1419052</v>
      </c>
      <c r="M600" s="0" t="n">
        <v>1405137</v>
      </c>
      <c r="N600" s="0" t="n">
        <v>1189538</v>
      </c>
      <c r="O600" s="0" t="n">
        <v>6126</v>
      </c>
      <c r="P600" s="0" t="s">
        <v>127</v>
      </c>
      <c r="Q600" s="0" t="n">
        <v>0.431696653822411</v>
      </c>
      <c r="R600" s="0" t="n">
        <v>2.68012500903709</v>
      </c>
      <c r="S600" s="0" t="n">
        <v>157</v>
      </c>
      <c r="T600" s="0" t="n">
        <v>4396</v>
      </c>
      <c r="U600" s="0" t="n">
        <v>0</v>
      </c>
      <c r="V600" s="0" t="n">
        <v>15.5888053222663</v>
      </c>
      <c r="W600" s="0" t="n">
        <v>20241231</v>
      </c>
      <c r="X600" s="0" t="n">
        <v>0.464179137228711</v>
      </c>
      <c r="Y600" s="0" t="n">
        <v>5.41</v>
      </c>
      <c r="Z600" s="0" t="s">
        <v>123</v>
      </c>
      <c r="AA600" s="0" t="n">
        <f aca="false">IF(AND(ISNUMBER(B600),B600&gt;0,ISNUMBER(U600),U600&gt;=0,ISNUMBER(O600),O600&gt;=0),1,0)</f>
        <v>1</v>
      </c>
      <c r="AB600" s="0" t="n">
        <f aca="false">IF(AA600=1,U600+O600,0)</f>
        <v>6126</v>
      </c>
      <c r="AC600" s="0" t="n">
        <f aca="false">IF(AA600=1,100*AB600/B600,"")</f>
        <v>0.382837434076781</v>
      </c>
      <c r="AD600" s="0" t="n">
        <f aca="false">IF(AND(AND(ISNUMBER(B600),B600=OriginalFinancials!B600),AND(ISNUMBER(U600),U600=OriginalFinancials!U600),AND(ISNUMBER(O600),O600=OriginalFinancials!O600)),0,1)</f>
        <v>0</v>
      </c>
      <c r="AE600" s="0" t="str">
        <f aca="false">IF(V600=0,"原始0：需核实适用/报告口径","")</f>
        <v/>
      </c>
    </row>
    <row r="601" customFormat="false" ht="15" hidden="false" customHeight="false" outlineLevel="0" collapsed="false">
      <c r="A601" s="0" t="n">
        <v>601</v>
      </c>
      <c r="B601" s="0" t="n">
        <v>362004</v>
      </c>
      <c r="C601" s="0" t="n">
        <v>17443</v>
      </c>
      <c r="D601" s="0" t="n">
        <v>296951</v>
      </c>
      <c r="E601" s="0" t="n">
        <v>-0.06</v>
      </c>
      <c r="F601" s="0" t="n">
        <v>38929</v>
      </c>
      <c r="G601" s="0" t="n">
        <v>10.7537485773638</v>
      </c>
      <c r="H601" s="0" t="s">
        <v>758</v>
      </c>
      <c r="I601" s="0" t="n">
        <v>0.758871582176609</v>
      </c>
      <c r="J601" s="0" t="n">
        <v>0</v>
      </c>
      <c r="K601" s="0" t="n">
        <v>962</v>
      </c>
      <c r="L601" s="0" t="n">
        <v>198189</v>
      </c>
      <c r="M601" s="0" t="n">
        <v>196685</v>
      </c>
      <c r="N601" s="0" t="n">
        <v>196227</v>
      </c>
      <c r="O601" s="0" t="n">
        <v>1097</v>
      </c>
      <c r="P601" s="0" t="s">
        <v>129</v>
      </c>
      <c r="Q601" s="0" t="n">
        <v>0.553512051627487</v>
      </c>
      <c r="R601" s="0" t="n">
        <v>1.17054146452008</v>
      </c>
      <c r="S601" s="0" t="n">
        <v>0</v>
      </c>
      <c r="T601" s="0" t="n">
        <v>0</v>
      </c>
      <c r="U601" s="0" t="n">
        <v>0</v>
      </c>
      <c r="V601" s="0" t="n">
        <v>0</v>
      </c>
      <c r="W601" s="0" t="n">
        <v>20241231</v>
      </c>
      <c r="X601" s="0" t="n">
        <v>-0.226147959468918</v>
      </c>
      <c r="Y601" s="0" t="n">
        <v>-2.04</v>
      </c>
      <c r="Z601" s="0" t="s">
        <v>123</v>
      </c>
      <c r="AA601" s="0" t="n">
        <f aca="false">IF(AND(ISNUMBER(B601),B601&gt;0,ISNUMBER(U601),U601&gt;=0,ISNUMBER(O601),O601&gt;=0),1,0)</f>
        <v>1</v>
      </c>
      <c r="AB601" s="0" t="n">
        <f aca="false">IF(AA601=1,U601+O601,0)</f>
        <v>1097</v>
      </c>
      <c r="AC601" s="0" t="n">
        <f aca="false">IF(AA601=1,100*AB601/B601,"")</f>
        <v>0.303035325576513</v>
      </c>
      <c r="AD601" s="0" t="n">
        <f aca="false">IF(AND(AND(ISNUMBER(B601),B601=OriginalFinancials!B601),AND(ISNUMBER(U601),U601=OriginalFinancials!U601),AND(ISNUMBER(O601),O601=OriginalFinancials!O601)),0,1)</f>
        <v>0</v>
      </c>
      <c r="AE601" s="0" t="str">
        <f aca="false">IF(V601=0,"原始0：需核实适用/报告口径","")</f>
        <v>原始0：需核实适用/报告口径</v>
      </c>
    </row>
    <row r="602" customFormat="false" ht="15" hidden="false" customHeight="false" outlineLevel="0" collapsed="false">
      <c r="A602" s="0" t="n">
        <v>602</v>
      </c>
      <c r="B602" s="0" t="n">
        <v>1989287</v>
      </c>
      <c r="C602" s="0" t="n">
        <v>17658</v>
      </c>
      <c r="D602" s="0" t="n">
        <v>1532228</v>
      </c>
      <c r="E602" s="0" t="n">
        <v>0.04</v>
      </c>
      <c r="F602" s="0" t="n">
        <v>221439</v>
      </c>
      <c r="G602" s="0" t="n">
        <v>11.1315762883888</v>
      </c>
      <c r="H602" s="0" t="s">
        <v>759</v>
      </c>
      <c r="I602" s="0" t="n">
        <v>0.675398942386656</v>
      </c>
      <c r="J602" s="0" t="n">
        <v>113712</v>
      </c>
      <c r="K602" s="0" t="n">
        <v>78309</v>
      </c>
      <c r="L602" s="0" t="n">
        <v>1433227</v>
      </c>
      <c r="M602" s="0" t="n">
        <v>1423547</v>
      </c>
      <c r="N602" s="0" t="n">
        <v>1227698</v>
      </c>
      <c r="O602" s="0" t="n">
        <v>9730</v>
      </c>
      <c r="P602" s="0" t="s">
        <v>131</v>
      </c>
      <c r="Q602" s="0" t="n">
        <v>0.678887573287414</v>
      </c>
      <c r="R602" s="0" t="n">
        <v>3.11192825873285</v>
      </c>
      <c r="S602" s="0" t="n">
        <v>-60</v>
      </c>
      <c r="T602" s="0" t="n">
        <v>3180</v>
      </c>
      <c r="U602" s="0" t="n">
        <v>0</v>
      </c>
      <c r="V602" s="0" t="n">
        <v>0</v>
      </c>
      <c r="W602" s="0" t="n">
        <v>20241231</v>
      </c>
      <c r="X602" s="0" t="n">
        <v>0.895346445042463</v>
      </c>
      <c r="Y602" s="0" t="n">
        <v>7.97</v>
      </c>
      <c r="Z602" s="0" t="s">
        <v>105</v>
      </c>
      <c r="AA602" s="0" t="n">
        <f aca="false">IF(AND(ISNUMBER(B602),B602&gt;0,ISNUMBER(U602),U602&gt;=0,ISNUMBER(O602),O602&gt;=0),1,0)</f>
        <v>1</v>
      </c>
      <c r="AB602" s="0" t="n">
        <f aca="false">IF(AA602=1,U602+O602,0)</f>
        <v>9730</v>
      </c>
      <c r="AC602" s="0" t="n">
        <f aca="false">IF(AA602=1,100*AB602/B602,"")</f>
        <v>0.489119971125333</v>
      </c>
      <c r="AD602" s="0" t="n">
        <f aca="false">IF(AND(AND(ISNUMBER(B602),B602=OriginalFinancials!B602),AND(ISNUMBER(U602),U602=OriginalFinancials!U602),AND(ISNUMBER(O602),O602=OriginalFinancials!O602)),0,1)</f>
        <v>0</v>
      </c>
      <c r="AE602" s="0" t="str">
        <f aca="false">IF(V602=0,"原始0：需核实适用/报告口径","")</f>
        <v>原始0：需核实适用/报告口径</v>
      </c>
    </row>
    <row r="603" customFormat="false" ht="15" hidden="false" customHeight="false" outlineLevel="0" collapsed="false">
      <c r="A603" s="0" t="n">
        <v>603</v>
      </c>
      <c r="B603" s="0" t="n">
        <v>1167995</v>
      </c>
      <c r="C603" s="0" t="n">
        <v>17741</v>
      </c>
      <c r="D603" s="0" t="n">
        <v>895674</v>
      </c>
      <c r="E603" s="0" t="n">
        <v>0.03</v>
      </c>
      <c r="F603" s="0" t="n">
        <v>147350</v>
      </c>
      <c r="G603" s="0" t="n">
        <v>12.6156361970728</v>
      </c>
      <c r="H603" s="0" t="s">
        <v>760</v>
      </c>
      <c r="I603" s="0" t="n">
        <v>0.923875442979846</v>
      </c>
      <c r="J603" s="0" t="n">
        <v>50628</v>
      </c>
      <c r="K603" s="0" t="n">
        <v>3758</v>
      </c>
      <c r="L603" s="0" t="n">
        <v>992991</v>
      </c>
      <c r="M603" s="0" t="n">
        <v>983817</v>
      </c>
      <c r="N603" s="0" t="n">
        <v>934014</v>
      </c>
      <c r="O603" s="0" t="n">
        <v>3480</v>
      </c>
      <c r="P603" s="0" t="s">
        <v>133</v>
      </c>
      <c r="Q603" s="0" t="n">
        <v>0.350456348546966</v>
      </c>
      <c r="R603" s="0" t="n">
        <v>3.08264284192033</v>
      </c>
      <c r="S603" s="0" t="n">
        <v>57</v>
      </c>
      <c r="T603" s="0" t="n">
        <v>2314</v>
      </c>
      <c r="U603" s="0" t="n">
        <v>0</v>
      </c>
      <c r="V603" s="0" t="n">
        <v>0</v>
      </c>
      <c r="W603" s="0" t="n">
        <v>20241231</v>
      </c>
      <c r="X603" s="0" t="n">
        <v>0.645702012436472</v>
      </c>
      <c r="Y603" s="0" t="n">
        <v>5.13</v>
      </c>
      <c r="Z603" s="0" t="s">
        <v>105</v>
      </c>
      <c r="AA603" s="0" t="n">
        <f aca="false">IF(AND(ISNUMBER(B603),B603&gt;0,ISNUMBER(U603),U603&gt;=0,ISNUMBER(O603),O603&gt;=0),1,0)</f>
        <v>1</v>
      </c>
      <c r="AB603" s="0" t="n">
        <f aca="false">IF(AA603=1,U603+O603,0)</f>
        <v>3480</v>
      </c>
      <c r="AC603" s="0" t="n">
        <f aca="false">IF(AA603=1,100*AB603/B603,"")</f>
        <v>0.297946480935278</v>
      </c>
      <c r="AD603" s="0" t="n">
        <f aca="false">IF(AND(AND(ISNUMBER(B603),B603=OriginalFinancials!B603),AND(ISNUMBER(U603),U603=OriginalFinancials!U603),AND(ISNUMBER(O603),O603=OriginalFinancials!O603)),0,1)</f>
        <v>0</v>
      </c>
      <c r="AE603" s="0" t="str">
        <f aca="false">IF(V603=0,"原始0：需核实适用/报告口径","")</f>
        <v>原始0：需核实适用/报告口径</v>
      </c>
    </row>
    <row r="604" customFormat="false" ht="15" hidden="false" customHeight="false" outlineLevel="0" collapsed="false">
      <c r="A604" s="0" t="n">
        <v>604</v>
      </c>
      <c r="B604" s="0" t="n">
        <v>1411602</v>
      </c>
      <c r="C604" s="0" t="n">
        <v>17743</v>
      </c>
      <c r="D604" s="0" t="n">
        <v>1011066</v>
      </c>
      <c r="E604" s="0" t="n">
        <v>0</v>
      </c>
      <c r="F604" s="0" t="n">
        <v>125438</v>
      </c>
      <c r="G604" s="0" t="n">
        <v>8.88621580303797</v>
      </c>
      <c r="H604" s="0" t="s">
        <v>761</v>
      </c>
      <c r="I604" s="0" t="n">
        <v>0.420558238690126</v>
      </c>
      <c r="J604" s="0" t="n">
        <v>16652</v>
      </c>
      <c r="K604" s="0" t="n">
        <v>10324</v>
      </c>
      <c r="L604" s="0" t="n">
        <v>1136109</v>
      </c>
      <c r="M604" s="0" t="n">
        <v>1131331</v>
      </c>
      <c r="N604" s="0" t="n">
        <v>1098486</v>
      </c>
      <c r="O604" s="0" t="n">
        <v>632</v>
      </c>
      <c r="P604" s="0" t="s">
        <v>135</v>
      </c>
      <c r="Q604" s="0" t="n">
        <v>0.0556284652264879</v>
      </c>
      <c r="R604" s="0" t="n">
        <v>1.92720178816881</v>
      </c>
      <c r="S604" s="0" t="n">
        <v>-25</v>
      </c>
      <c r="T604" s="0" t="n">
        <v>5686</v>
      </c>
      <c r="U604" s="0" t="n">
        <v>0</v>
      </c>
      <c r="V604" s="0" t="n">
        <v>0</v>
      </c>
      <c r="W604" s="0" t="n">
        <v>20241231</v>
      </c>
      <c r="X604" s="0" t="n">
        <v>0.107798252400096</v>
      </c>
      <c r="Y604" s="0" t="n">
        <v>1.22</v>
      </c>
      <c r="Z604" s="0" t="s">
        <v>105</v>
      </c>
      <c r="AA604" s="0" t="n">
        <f aca="false">IF(AND(ISNUMBER(B604),B604&gt;0,ISNUMBER(U604),U604&gt;=0,ISNUMBER(O604),O604&gt;=0),1,0)</f>
        <v>1</v>
      </c>
      <c r="AB604" s="0" t="n">
        <f aca="false">IF(AA604=1,U604+O604,0)</f>
        <v>632</v>
      </c>
      <c r="AC604" s="0" t="n">
        <f aca="false">IF(AA604=1,100*AB604/B604,"")</f>
        <v>0.0447718266196846</v>
      </c>
      <c r="AD604" s="0" t="n">
        <f aca="false">IF(AND(AND(ISNUMBER(B604),B604=OriginalFinancials!B604),AND(ISNUMBER(U604),U604=OriginalFinancials!U604),AND(ISNUMBER(O604),O604=OriginalFinancials!O604)),0,1)</f>
        <v>0</v>
      </c>
      <c r="AE604" s="0" t="str">
        <f aca="false">IF(V604=0,"原始0：需核实适用/报告口径","")</f>
        <v>原始0：需核实适用/报告口径</v>
      </c>
    </row>
    <row r="605" customFormat="false" ht="15" hidden="false" customHeight="false" outlineLevel="0" collapsed="false">
      <c r="A605" s="0" t="n">
        <v>605</v>
      </c>
      <c r="B605" s="0" t="n">
        <v>1608101</v>
      </c>
      <c r="C605" s="0" t="n">
        <v>17748</v>
      </c>
      <c r="D605" s="0" t="n">
        <v>1393920</v>
      </c>
      <c r="E605" s="0" t="n">
        <v>-0.04</v>
      </c>
      <c r="F605" s="0" t="n">
        <v>116220</v>
      </c>
      <c r="G605" s="0" t="n">
        <v>7.22715799567316</v>
      </c>
      <c r="H605" s="0" t="s">
        <v>762</v>
      </c>
      <c r="I605" s="0" t="n">
        <v>0.73766092321848</v>
      </c>
      <c r="J605" s="0" t="n">
        <v>181997</v>
      </c>
      <c r="K605" s="0" t="n">
        <v>3204</v>
      </c>
      <c r="L605" s="0" t="n">
        <v>1278094</v>
      </c>
      <c r="M605" s="0" t="n">
        <v>1268666</v>
      </c>
      <c r="N605" s="0" t="n">
        <v>1056120</v>
      </c>
      <c r="O605" s="0" t="n">
        <v>6153</v>
      </c>
      <c r="P605" s="0" t="s">
        <v>137</v>
      </c>
      <c r="Q605" s="0" t="n">
        <v>0.481419989453045</v>
      </c>
      <c r="R605" s="0" t="n">
        <v>2.48246240518063</v>
      </c>
      <c r="S605" s="0" t="n">
        <v>-206</v>
      </c>
      <c r="T605" s="0" t="n">
        <v>5364</v>
      </c>
      <c r="U605" s="0" t="n">
        <v>0</v>
      </c>
      <c r="V605" s="0" t="n">
        <v>0</v>
      </c>
      <c r="W605" s="0" t="n">
        <v>20241231</v>
      </c>
      <c r="X605" s="0" t="n">
        <v>0.329721781163526</v>
      </c>
      <c r="Y605" s="0" t="n">
        <v>4.67</v>
      </c>
      <c r="Z605" s="0" t="s">
        <v>105</v>
      </c>
      <c r="AA605" s="0" t="n">
        <f aca="false">IF(AND(ISNUMBER(B605),B605&gt;0,ISNUMBER(U605),U605&gt;=0,ISNUMBER(O605),O605&gt;=0),1,0)</f>
        <v>1</v>
      </c>
      <c r="AB605" s="0" t="n">
        <f aca="false">IF(AA605=1,U605+O605,0)</f>
        <v>6153</v>
      </c>
      <c r="AC605" s="0" t="n">
        <f aca="false">IF(AA605=1,100*AB605/B605,"")</f>
        <v>0.382625220679547</v>
      </c>
      <c r="AD605" s="0" t="n">
        <f aca="false">IF(AND(AND(ISNUMBER(B605),B605=OriginalFinancials!B605),AND(ISNUMBER(U605),U605=OriginalFinancials!U605),AND(ISNUMBER(O605),O605=OriginalFinancials!O605)),0,1)</f>
        <v>0</v>
      </c>
      <c r="AE605" s="0" t="str">
        <f aca="false">IF(V605=0,"原始0：需核实适用/报告口径","")</f>
        <v>原始0：需核实适用/报告口径</v>
      </c>
    </row>
    <row r="606" customFormat="false" ht="15" hidden="false" customHeight="false" outlineLevel="0" collapsed="false">
      <c r="A606" s="0" t="n">
        <v>606</v>
      </c>
      <c r="B606" s="0" t="n">
        <v>1400586</v>
      </c>
      <c r="C606" s="0" t="n">
        <v>17749</v>
      </c>
      <c r="D606" s="0" t="n">
        <v>1098984</v>
      </c>
      <c r="E606" s="0" t="n">
        <v>0.05</v>
      </c>
      <c r="F606" s="0" t="n">
        <v>189574</v>
      </c>
      <c r="G606" s="0" t="n">
        <v>13.5353344957039</v>
      </c>
      <c r="H606" s="0" t="s">
        <v>763</v>
      </c>
      <c r="I606" s="0" t="n">
        <v>1.42744468047014</v>
      </c>
      <c r="J606" s="0" t="n">
        <v>49964</v>
      </c>
      <c r="K606" s="0" t="n">
        <v>11169</v>
      </c>
      <c r="L606" s="0" t="n">
        <v>826652</v>
      </c>
      <c r="M606" s="0" t="n">
        <v>814852</v>
      </c>
      <c r="N606" s="0" t="n">
        <v>755022</v>
      </c>
      <c r="O606" s="0" t="n">
        <v>610</v>
      </c>
      <c r="P606" s="0" t="s">
        <v>139</v>
      </c>
      <c r="Q606" s="0" t="n">
        <v>0.0737916317870155</v>
      </c>
      <c r="R606" s="0" t="n">
        <v>2.51176582834264</v>
      </c>
      <c r="S606" s="0" t="n">
        <v>4</v>
      </c>
      <c r="T606" s="0" t="n">
        <v>895</v>
      </c>
      <c r="U606" s="0" t="n">
        <v>0</v>
      </c>
      <c r="V606" s="0" t="n">
        <v>0</v>
      </c>
      <c r="W606" s="0" t="n">
        <v>20241231</v>
      </c>
      <c r="X606" s="0" t="n">
        <v>1.14589123831468</v>
      </c>
      <c r="Y606" s="0" t="n">
        <v>8.72</v>
      </c>
      <c r="Z606" s="0" t="s">
        <v>105</v>
      </c>
      <c r="AA606" s="0" t="n">
        <f aca="false">IF(AND(ISNUMBER(B606),B606&gt;0,ISNUMBER(U606),U606&gt;=0,ISNUMBER(O606),O606&gt;=0),1,0)</f>
        <v>1</v>
      </c>
      <c r="AB606" s="0" t="n">
        <f aca="false">IF(AA606=1,U606+O606,0)</f>
        <v>610</v>
      </c>
      <c r="AC606" s="0" t="n">
        <f aca="false">IF(AA606=1,100*AB606/B606,"")</f>
        <v>0.0435531984469358</v>
      </c>
      <c r="AD606" s="0" t="n">
        <f aca="false">IF(AND(AND(ISNUMBER(B606),B606=OriginalFinancials!B606),AND(ISNUMBER(U606),U606=OriginalFinancials!U606),AND(ISNUMBER(O606),O606=OriginalFinancials!O606)),0,1)</f>
        <v>0</v>
      </c>
      <c r="AE606" s="0" t="str">
        <f aca="false">IF(V606=0,"原始0：需核实适用/报告口径","")</f>
        <v>原始0：需核实适用/报告口径</v>
      </c>
    </row>
    <row r="607" customFormat="false" ht="15" hidden="false" customHeight="false" outlineLevel="0" collapsed="false">
      <c r="A607" s="0" t="n">
        <v>607</v>
      </c>
      <c r="B607" s="0" t="n">
        <v>1661812</v>
      </c>
      <c r="C607" s="0" t="n">
        <v>17751</v>
      </c>
      <c r="D607" s="0" t="n">
        <v>1317297</v>
      </c>
      <c r="E607" s="0" t="n">
        <v>0.05</v>
      </c>
      <c r="F607" s="0" t="n">
        <v>146032</v>
      </c>
      <c r="G607" s="0" t="n">
        <v>8.78751627741285</v>
      </c>
      <c r="H607" s="0" t="s">
        <v>764</v>
      </c>
      <c r="I607" s="0" t="n">
        <v>0.946267178497854</v>
      </c>
      <c r="J607" s="0" t="n">
        <v>137238</v>
      </c>
      <c r="K607" s="0" t="n">
        <v>4607</v>
      </c>
      <c r="L607" s="0" t="n">
        <v>1375193</v>
      </c>
      <c r="M607" s="0" t="n">
        <v>1362180</v>
      </c>
      <c r="N607" s="0" t="n">
        <v>1175847</v>
      </c>
      <c r="O607" s="0" t="n">
        <v>2670</v>
      </c>
      <c r="P607" s="0" t="s">
        <v>141</v>
      </c>
      <c r="Q607" s="0" t="n">
        <v>0.194154565940926</v>
      </c>
      <c r="R607" s="0" t="n">
        <v>2.720130697408</v>
      </c>
      <c r="S607" s="0" t="n">
        <v>-229</v>
      </c>
      <c r="T607" s="0" t="n">
        <v>7110</v>
      </c>
      <c r="U607" s="0" t="n">
        <v>0</v>
      </c>
      <c r="V607" s="0" t="n">
        <v>12.6009441821716</v>
      </c>
      <c r="W607" s="0" t="n">
        <v>20241231</v>
      </c>
      <c r="X607" s="0" t="n">
        <v>0.422514537152252</v>
      </c>
      <c r="Y607" s="0" t="n">
        <v>4.88</v>
      </c>
      <c r="Z607" s="0" t="s">
        <v>105</v>
      </c>
      <c r="AA607" s="0" t="n">
        <f aca="false">IF(AND(ISNUMBER(B607),B607&gt;0,ISNUMBER(U607),U607&gt;=0,ISNUMBER(O607),O607&gt;=0),1,0)</f>
        <v>1</v>
      </c>
      <c r="AB607" s="0" t="n">
        <f aca="false">IF(AA607=1,U607+O607,0)</f>
        <v>2670</v>
      </c>
      <c r="AC607" s="0" t="n">
        <f aca="false">IF(AA607=1,100*AB607/B607,"")</f>
        <v>0.160667993732143</v>
      </c>
      <c r="AD607" s="0" t="n">
        <f aca="false">IF(AND(AND(ISNUMBER(B607),B607=OriginalFinancials!B607),AND(ISNUMBER(U607),U607=OriginalFinancials!U607),AND(ISNUMBER(O607),O607=OriginalFinancials!O607)),0,1)</f>
        <v>0</v>
      </c>
      <c r="AE607" s="0" t="str">
        <f aca="false">IF(V607=0,"原始0：需核实适用/报告口径","")</f>
        <v/>
      </c>
    </row>
    <row r="608" customFormat="false" ht="15" hidden="false" customHeight="false" outlineLevel="0" collapsed="false">
      <c r="A608" s="0" t="n">
        <v>608</v>
      </c>
      <c r="B608" s="0" t="n">
        <v>1764971</v>
      </c>
      <c r="C608" s="0" t="n">
        <v>17897</v>
      </c>
      <c r="D608" s="0" t="n">
        <v>1348133</v>
      </c>
      <c r="E608" s="0" t="n">
        <v>0</v>
      </c>
      <c r="F608" s="0" t="n">
        <v>215583</v>
      </c>
      <c r="G608" s="0" t="n">
        <v>12.2145349696964</v>
      </c>
      <c r="H608" s="0" t="s">
        <v>765</v>
      </c>
      <c r="I608" s="0" t="n">
        <v>0.610464206022139</v>
      </c>
      <c r="J608" s="0" t="n">
        <v>82767</v>
      </c>
      <c r="K608" s="0" t="n">
        <v>3225</v>
      </c>
      <c r="L608" s="0" t="n">
        <v>1469046</v>
      </c>
      <c r="M608" s="0" t="n">
        <v>1460078</v>
      </c>
      <c r="N608" s="0" t="n">
        <v>1368497</v>
      </c>
      <c r="O608" s="0" t="n">
        <v>4603</v>
      </c>
      <c r="P608" s="0" t="s">
        <v>143</v>
      </c>
      <c r="Q608" s="0" t="n">
        <v>0.313332598162345</v>
      </c>
      <c r="R608" s="0" t="n">
        <v>2.4190357229694</v>
      </c>
      <c r="S608" s="0" t="n">
        <v>-47</v>
      </c>
      <c r="T608" s="0" t="n">
        <v>2581</v>
      </c>
      <c r="U608" s="0" t="n">
        <v>0</v>
      </c>
      <c r="V608" s="0" t="n">
        <v>17.6014618454454</v>
      </c>
      <c r="W608" s="0" t="n">
        <v>20241231</v>
      </c>
      <c r="X608" s="0" t="n">
        <v>0.605050213976671</v>
      </c>
      <c r="Y608" s="0" t="n">
        <v>4.92</v>
      </c>
      <c r="Z608" s="0" t="s">
        <v>105</v>
      </c>
      <c r="AA608" s="0" t="n">
        <f aca="false">IF(AND(ISNUMBER(B608),B608&gt;0,ISNUMBER(U608),U608&gt;=0,ISNUMBER(O608),O608&gt;=0),1,0)</f>
        <v>1</v>
      </c>
      <c r="AB608" s="0" t="n">
        <f aca="false">IF(AA608=1,U608+O608,0)</f>
        <v>4603</v>
      </c>
      <c r="AC608" s="0" t="n">
        <f aca="false">IF(AA608=1,100*AB608/B608,"")</f>
        <v>0.260797486190991</v>
      </c>
      <c r="AD608" s="0" t="n">
        <f aca="false">IF(AND(AND(ISNUMBER(B608),B608=OriginalFinancials!B608),AND(ISNUMBER(U608),U608=OriginalFinancials!U608),AND(ISNUMBER(O608),O608=OriginalFinancials!O608)),0,1)</f>
        <v>0</v>
      </c>
      <c r="AE608" s="0" t="str">
        <f aca="false">IF(V608=0,"原始0：需核实适用/报告口径","")</f>
        <v/>
      </c>
    </row>
    <row r="609" customFormat="false" ht="15" hidden="false" customHeight="false" outlineLevel="0" collapsed="false">
      <c r="A609" s="0" t="n">
        <v>609</v>
      </c>
      <c r="B609" s="0" t="n">
        <v>821983</v>
      </c>
      <c r="C609" s="0" t="n">
        <v>17951</v>
      </c>
      <c r="D609" s="0" t="n">
        <v>701106</v>
      </c>
      <c r="E609" s="0" t="n">
        <v>0.05</v>
      </c>
      <c r="F609" s="0" t="n">
        <v>65761</v>
      </c>
      <c r="G609" s="0" t="n">
        <v>8.00028711056068</v>
      </c>
      <c r="H609" s="0" t="s">
        <v>766</v>
      </c>
      <c r="I609" s="0" t="n">
        <v>0.843453644040226</v>
      </c>
      <c r="J609" s="0" t="n">
        <v>30638</v>
      </c>
      <c r="K609" s="0" t="n">
        <v>1633</v>
      </c>
      <c r="L609" s="0" t="n">
        <v>617817</v>
      </c>
      <c r="M609" s="0" t="n">
        <v>612606</v>
      </c>
      <c r="N609" s="0" t="n">
        <v>567751</v>
      </c>
      <c r="O609" s="0" t="n">
        <v>60</v>
      </c>
      <c r="P609" s="0" t="s">
        <v>145</v>
      </c>
      <c r="Q609" s="0" t="n">
        <v>0.0097116136331632</v>
      </c>
      <c r="R609" s="0" t="n">
        <v>2.52070855980255</v>
      </c>
      <c r="S609" s="0" t="n">
        <v>-145</v>
      </c>
      <c r="T609" s="0" t="n">
        <v>75</v>
      </c>
      <c r="U609" s="0" t="n">
        <v>0</v>
      </c>
      <c r="V609" s="0" t="n">
        <v>14.1464151450054</v>
      </c>
      <c r="W609" s="0" t="n">
        <v>20241231</v>
      </c>
      <c r="X609" s="0" t="n">
        <v>0.486473579798404</v>
      </c>
      <c r="Y609" s="0" t="n">
        <v>6.12</v>
      </c>
      <c r="Z609" s="0" t="s">
        <v>123</v>
      </c>
      <c r="AA609" s="0" t="n">
        <f aca="false">IF(AND(ISNUMBER(B609),B609&gt;0,ISNUMBER(U609),U609&gt;=0,ISNUMBER(O609),O609&gt;=0),1,0)</f>
        <v>1</v>
      </c>
      <c r="AB609" s="0" t="n">
        <f aca="false">IF(AA609=1,U609+O609,0)</f>
        <v>60</v>
      </c>
      <c r="AC609" s="0" t="n">
        <f aca="false">IF(AA609=1,100*AB609/B609,"")</f>
        <v>0.00729942103425497</v>
      </c>
      <c r="AD609" s="0" t="n">
        <f aca="false">IF(AND(AND(ISNUMBER(B609),B609=OriginalFinancials!B609),AND(ISNUMBER(U609),U609=OriginalFinancials!U609),AND(ISNUMBER(O609),O609=OriginalFinancials!O609)),0,1)</f>
        <v>0</v>
      </c>
      <c r="AE609" s="0" t="str">
        <f aca="false">IF(V609=0,"原始0：需核实适用/报告口径","")</f>
        <v/>
      </c>
    </row>
    <row r="610" customFormat="false" ht="15" hidden="false" customHeight="false" outlineLevel="0" collapsed="false">
      <c r="A610" s="0" t="n">
        <v>610</v>
      </c>
      <c r="B610" s="0" t="n">
        <v>1353925</v>
      </c>
      <c r="C610" s="0" t="n">
        <v>17960</v>
      </c>
      <c r="D610" s="0" t="n">
        <v>1120519</v>
      </c>
      <c r="E610" s="0" t="n">
        <v>0.31</v>
      </c>
      <c r="F610" s="0" t="n">
        <v>115328</v>
      </c>
      <c r="G610" s="0" t="n">
        <v>8.51804937496538</v>
      </c>
      <c r="H610" s="0" t="s">
        <v>767</v>
      </c>
      <c r="I610" s="0" t="n">
        <v>1.06783990571441</v>
      </c>
      <c r="J610" s="0" t="n">
        <v>100058</v>
      </c>
      <c r="K610" s="0" t="n">
        <v>223027</v>
      </c>
      <c r="L610" s="0" t="n">
        <v>1150547</v>
      </c>
      <c r="M610" s="0" t="n">
        <v>1138261</v>
      </c>
      <c r="N610" s="0" t="n">
        <v>823641</v>
      </c>
      <c r="O610" s="0" t="n">
        <v>7247</v>
      </c>
      <c r="P610" s="0" t="s">
        <v>147</v>
      </c>
      <c r="Q610" s="0" t="n">
        <v>0.629874311957704</v>
      </c>
      <c r="R610" s="0" t="n">
        <v>2.75862196308081</v>
      </c>
      <c r="S610" s="0" t="n">
        <v>3353</v>
      </c>
      <c r="T610" s="0" t="n">
        <v>7584</v>
      </c>
      <c r="U610" s="0" t="n">
        <v>0</v>
      </c>
      <c r="V610" s="0" t="n">
        <v>13.6907933076507</v>
      </c>
      <c r="W610" s="0" t="n">
        <v>20241231</v>
      </c>
      <c r="X610" s="0" t="n">
        <v>0.226999833475026</v>
      </c>
      <c r="Y610" s="0" t="n">
        <v>2.7</v>
      </c>
      <c r="Z610" s="0" t="s">
        <v>123</v>
      </c>
      <c r="AA610" s="0" t="n">
        <f aca="false">IF(AND(ISNUMBER(B610),B610&gt;0,ISNUMBER(U610),U610&gt;=0,ISNUMBER(O610),O610&gt;=0),1,0)</f>
        <v>1</v>
      </c>
      <c r="AB610" s="0" t="n">
        <f aca="false">IF(AA610=1,U610+O610,0)</f>
        <v>7247</v>
      </c>
      <c r="AC610" s="0" t="n">
        <f aca="false">IF(AA610=1,100*AB610/B610,"")</f>
        <v>0.535258599996307</v>
      </c>
      <c r="AD610" s="0" t="n">
        <f aca="false">IF(AND(AND(ISNUMBER(B610),B610=OriginalFinancials!B610),AND(ISNUMBER(U610),U610=OriginalFinancials!U610),AND(ISNUMBER(O610),O610=OriginalFinancials!O610)),0,1)</f>
        <v>0</v>
      </c>
      <c r="AE610" s="0" t="str">
        <f aca="false">IF(V610=0,"原始0：需核实适用/报告口径","")</f>
        <v/>
      </c>
    </row>
    <row r="611" customFormat="false" ht="15" hidden="false" customHeight="false" outlineLevel="0" collapsed="false">
      <c r="A611" s="0" t="n">
        <v>611</v>
      </c>
      <c r="B611" s="0" t="n">
        <v>2624175</v>
      </c>
      <c r="C611" s="0" t="n">
        <v>18012</v>
      </c>
      <c r="D611" s="0" t="n">
        <v>2255597</v>
      </c>
      <c r="E611" s="0" t="n">
        <v>0.04</v>
      </c>
      <c r="F611" s="0" t="n">
        <v>284572</v>
      </c>
      <c r="G611" s="0" t="n">
        <v>10.8442462869283</v>
      </c>
      <c r="H611" s="0" t="s">
        <v>768</v>
      </c>
      <c r="I611" s="0" t="n">
        <v>1.17516586292422</v>
      </c>
      <c r="J611" s="0" t="n">
        <v>49333</v>
      </c>
      <c r="K611" s="0" t="n">
        <v>27667</v>
      </c>
      <c r="L611" s="0" t="n">
        <v>2093747</v>
      </c>
      <c r="M611" s="0" t="n">
        <v>2069142</v>
      </c>
      <c r="N611" s="0" t="n">
        <v>1993083</v>
      </c>
      <c r="O611" s="0" t="n">
        <v>1092</v>
      </c>
      <c r="P611" s="0" t="s">
        <v>149</v>
      </c>
      <c r="Q611" s="0" t="n">
        <v>0.0521552986105771</v>
      </c>
      <c r="R611" s="0" t="n">
        <v>2.72584646895489</v>
      </c>
      <c r="S611" s="0" t="n">
        <v>111</v>
      </c>
      <c r="T611" s="0" t="n">
        <v>1990</v>
      </c>
      <c r="U611" s="0" t="n">
        <v>0</v>
      </c>
      <c r="V611" s="0" t="n">
        <v>14.0447992781927</v>
      </c>
      <c r="W611" s="0" t="n">
        <v>20241231</v>
      </c>
      <c r="X611" s="0" t="n">
        <v>0.664292610658148</v>
      </c>
      <c r="Y611" s="0" t="n">
        <v>6.1</v>
      </c>
      <c r="Z611" s="0" t="s">
        <v>123</v>
      </c>
      <c r="AA611" s="0" t="n">
        <f aca="false">IF(AND(ISNUMBER(B611),B611&gt;0,ISNUMBER(U611),U611&gt;=0,ISNUMBER(O611),O611&gt;=0),1,0)</f>
        <v>1</v>
      </c>
      <c r="AB611" s="0" t="n">
        <f aca="false">IF(AA611=1,U611+O611,0)</f>
        <v>1092</v>
      </c>
      <c r="AC611" s="0" t="n">
        <f aca="false">IF(AA611=1,100*AB611/B611,"")</f>
        <v>0.0416130783960673</v>
      </c>
      <c r="AD611" s="0" t="n">
        <f aca="false">IF(AND(AND(ISNUMBER(B611),B611=OriginalFinancials!B611),AND(ISNUMBER(U611),U611=OriginalFinancials!U611),AND(ISNUMBER(O611),O611=OriginalFinancials!O611)),0,1)</f>
        <v>0</v>
      </c>
      <c r="AE611" s="0" t="str">
        <f aca="false">IF(V611=0,"原始0：需核实适用/报告口径","")</f>
        <v/>
      </c>
    </row>
    <row r="612" customFormat="false" ht="15" hidden="false" customHeight="false" outlineLevel="0" collapsed="false">
      <c r="A612" s="0" t="n">
        <v>612</v>
      </c>
      <c r="B612" s="0" t="n">
        <v>2917813</v>
      </c>
      <c r="C612" s="0" t="n">
        <v>18013</v>
      </c>
      <c r="D612" s="0" t="n">
        <v>2614357</v>
      </c>
      <c r="E612" s="0" t="n">
        <v>0.04</v>
      </c>
      <c r="F612" s="0" t="n">
        <v>228244</v>
      </c>
      <c r="G612" s="0" t="n">
        <v>7.82243413131685</v>
      </c>
      <c r="H612" s="0" t="s">
        <v>769</v>
      </c>
      <c r="I612" s="0" t="n">
        <v>0.723355329550691</v>
      </c>
      <c r="J612" s="0" t="n">
        <v>116248</v>
      </c>
      <c r="K612" s="0" t="n">
        <v>23931</v>
      </c>
      <c r="L612" s="0" t="n">
        <v>2432691</v>
      </c>
      <c r="M612" s="0" t="n">
        <v>2415094</v>
      </c>
      <c r="N612" s="0" t="n">
        <v>2216800</v>
      </c>
      <c r="O612" s="0" t="n">
        <v>2327</v>
      </c>
      <c r="P612" s="0" t="s">
        <v>151</v>
      </c>
      <c r="Q612" s="0" t="n">
        <v>0.100917050295331</v>
      </c>
      <c r="R612" s="0" t="n">
        <v>2.50092550283017</v>
      </c>
      <c r="S612" s="0" t="n">
        <v>460</v>
      </c>
      <c r="T612" s="0" t="n">
        <v>5516</v>
      </c>
      <c r="U612" s="0" t="n">
        <v>128</v>
      </c>
      <c r="V612" s="0" t="n">
        <v>12.4949322507426</v>
      </c>
      <c r="W612" s="0" t="n">
        <v>20241231</v>
      </c>
      <c r="X612" s="0" t="n">
        <v>0.223627200302554</v>
      </c>
      <c r="Y612" s="0" t="n">
        <v>2.9</v>
      </c>
      <c r="Z612" s="0" t="s">
        <v>123</v>
      </c>
      <c r="AA612" s="0" t="n">
        <f aca="false">IF(AND(ISNUMBER(B612),B612&gt;0,ISNUMBER(U612),U612&gt;=0,ISNUMBER(O612),O612&gt;=0),1,0)</f>
        <v>1</v>
      </c>
      <c r="AB612" s="0" t="n">
        <f aca="false">IF(AA612=1,U612+O612,0)</f>
        <v>2455</v>
      </c>
      <c r="AC612" s="0" t="n">
        <f aca="false">IF(AA612=1,100*AB612/B612,"")</f>
        <v>0.0841383597920771</v>
      </c>
      <c r="AD612" s="0" t="n">
        <f aca="false">IF(AND(AND(ISNUMBER(B612),B612=OriginalFinancials!B612),AND(ISNUMBER(U612),U612=OriginalFinancials!U612),AND(ISNUMBER(O612),O612=OriginalFinancials!O612)),0,1)</f>
        <v>0</v>
      </c>
      <c r="AE612" s="0" t="str">
        <f aca="false">IF(V612=0,"原始0：需核实适用/报告口径","")</f>
        <v/>
      </c>
    </row>
    <row r="613" customFormat="false" ht="15" hidden="false" customHeight="false" outlineLevel="0" collapsed="false">
      <c r="A613" s="0" t="n">
        <v>613</v>
      </c>
      <c r="B613" s="0" t="n">
        <v>402051</v>
      </c>
      <c r="C613" s="0" t="n">
        <v>18028</v>
      </c>
      <c r="D613" s="0" t="n">
        <v>341523</v>
      </c>
      <c r="E613" s="0" t="n">
        <v>0.1</v>
      </c>
      <c r="F613" s="0" t="n">
        <v>42186</v>
      </c>
      <c r="G613" s="0" t="n">
        <v>10.4926986874799</v>
      </c>
      <c r="H613" s="0" t="s">
        <v>770</v>
      </c>
      <c r="I613" s="0" t="n">
        <v>0.821394186891336</v>
      </c>
      <c r="J613" s="0" t="n">
        <v>13467</v>
      </c>
      <c r="K613" s="0" t="n">
        <v>5649</v>
      </c>
      <c r="L613" s="0" t="n">
        <v>279403</v>
      </c>
      <c r="M613" s="0" t="n">
        <v>277108</v>
      </c>
      <c r="N613" s="0" t="n">
        <v>254756</v>
      </c>
      <c r="O613" s="0" t="n">
        <v>888</v>
      </c>
      <c r="P613" s="0" t="s">
        <v>153</v>
      </c>
      <c r="Q613" s="0" t="n">
        <v>0.383317287215957</v>
      </c>
      <c r="R613" s="0" t="n">
        <v>3.28972183764193</v>
      </c>
      <c r="S613" s="0" t="n">
        <v>452</v>
      </c>
      <c r="T613" s="0" t="n">
        <v>2095</v>
      </c>
      <c r="U613" s="0" t="n">
        <v>183</v>
      </c>
      <c r="V613" s="0" t="n">
        <v>0</v>
      </c>
      <c r="W613" s="0" t="n">
        <v>20241231</v>
      </c>
      <c r="X613" s="0" t="n">
        <v>0.42743103911897</v>
      </c>
      <c r="Y613" s="0" t="n">
        <v>4.1</v>
      </c>
      <c r="Z613" s="0" t="s">
        <v>123</v>
      </c>
      <c r="AA613" s="0" t="n">
        <f aca="false">IF(AND(ISNUMBER(B613),B613&gt;0,ISNUMBER(U613),U613&gt;=0,ISNUMBER(O613),O613&gt;=0),1,0)</f>
        <v>1</v>
      </c>
      <c r="AB613" s="0" t="n">
        <f aca="false">IF(AA613=1,U613+O613,0)</f>
        <v>1071</v>
      </c>
      <c r="AC613" s="0" t="n">
        <f aca="false">IF(AA613=1,100*AB613/B613,"")</f>
        <v>0.26638411544804</v>
      </c>
      <c r="AD613" s="0" t="n">
        <f aca="false">IF(AND(AND(ISNUMBER(B613),B613=OriginalFinancials!B613),AND(ISNUMBER(U613),U613=OriginalFinancials!U613),AND(ISNUMBER(O613),O613=OriginalFinancials!O613)),0,1)</f>
        <v>0</v>
      </c>
      <c r="AE613" s="0" t="str">
        <f aca="false">IF(V613=0,"原始0：需核实适用/报告口径","")</f>
        <v>原始0：需核实适用/报告口径</v>
      </c>
    </row>
    <row r="614" customFormat="false" ht="15" hidden="false" customHeight="false" outlineLevel="0" collapsed="false">
      <c r="A614" s="0" t="n">
        <v>614</v>
      </c>
      <c r="B614" s="0" t="n">
        <v>777879</v>
      </c>
      <c r="C614" s="0" t="n">
        <v>18030</v>
      </c>
      <c r="D614" s="0" t="n">
        <v>716969</v>
      </c>
      <c r="E614" s="0" t="n">
        <v>0.01</v>
      </c>
      <c r="F614" s="0" t="n">
        <v>53665</v>
      </c>
      <c r="G614" s="0" t="n">
        <v>6.89888787330677</v>
      </c>
      <c r="H614" s="0" t="s">
        <v>771</v>
      </c>
      <c r="I614" s="0" t="n">
        <v>0.986853239640664</v>
      </c>
      <c r="J614" s="0" t="n">
        <v>39526</v>
      </c>
      <c r="K614" s="0" t="n">
        <v>96186</v>
      </c>
      <c r="L614" s="0" t="n">
        <v>590868</v>
      </c>
      <c r="M614" s="0" t="n">
        <v>585037</v>
      </c>
      <c r="N614" s="0" t="n">
        <v>455091</v>
      </c>
      <c r="O614" s="0" t="n">
        <v>2023</v>
      </c>
      <c r="P614" s="0" t="s">
        <v>155</v>
      </c>
      <c r="Q614" s="0" t="n">
        <v>0.34237765456921</v>
      </c>
      <c r="R614" s="0" t="n">
        <v>3.45390929733845</v>
      </c>
      <c r="S614" s="0" t="n">
        <v>140</v>
      </c>
      <c r="T614" s="0" t="n">
        <v>1966</v>
      </c>
      <c r="U614" s="0" t="n">
        <v>0</v>
      </c>
      <c r="V614" s="0" t="n">
        <v>13.9987096172383</v>
      </c>
      <c r="W614" s="0" t="n">
        <v>20241231</v>
      </c>
      <c r="X614" s="0" t="n">
        <v>0.707871330531473</v>
      </c>
      <c r="Y614" s="0" t="n">
        <v>10.52</v>
      </c>
      <c r="Z614" s="0" t="s">
        <v>123</v>
      </c>
      <c r="AA614" s="0" t="n">
        <f aca="false">IF(AND(ISNUMBER(B614),B614&gt;0,ISNUMBER(U614),U614&gt;=0,ISNUMBER(O614),O614&gt;=0),1,0)</f>
        <v>1</v>
      </c>
      <c r="AB614" s="0" t="n">
        <f aca="false">IF(AA614=1,U614+O614,0)</f>
        <v>2023</v>
      </c>
      <c r="AC614" s="0" t="n">
        <f aca="false">IF(AA614=1,100*AB614/B614,"")</f>
        <v>0.26006615424764</v>
      </c>
      <c r="AD614" s="0" t="n">
        <f aca="false">IF(AND(AND(ISNUMBER(B614),B614=OriginalFinancials!B614),AND(ISNUMBER(U614),U614=OriginalFinancials!U614),AND(ISNUMBER(O614),O614=OriginalFinancials!O614)),0,1)</f>
        <v>0</v>
      </c>
      <c r="AE614" s="0" t="str">
        <f aca="false">IF(V614=0,"原始0：需核实适用/报告口径","")</f>
        <v/>
      </c>
    </row>
    <row r="615" customFormat="false" ht="15" hidden="false" customHeight="false" outlineLevel="0" collapsed="false">
      <c r="A615" s="0" t="n">
        <v>615</v>
      </c>
      <c r="B615" s="0" t="n">
        <v>675378</v>
      </c>
      <c r="C615" s="0" t="n">
        <v>18031</v>
      </c>
      <c r="D615" s="0" t="n">
        <v>530034</v>
      </c>
      <c r="E615" s="0" t="n">
        <v>-0.03</v>
      </c>
      <c r="F615" s="0" t="n">
        <v>38022</v>
      </c>
      <c r="G615" s="0" t="n">
        <v>5.6297362365964</v>
      </c>
      <c r="H615" s="0" t="s">
        <v>772</v>
      </c>
      <c r="I615" s="0" t="n">
        <v>0.80094023418796</v>
      </c>
      <c r="J615" s="0" t="n">
        <v>21100</v>
      </c>
      <c r="K615" s="0" t="n">
        <v>8372</v>
      </c>
      <c r="L615" s="0" t="n">
        <v>459460</v>
      </c>
      <c r="M615" s="0" t="n">
        <v>455780</v>
      </c>
      <c r="N615" s="0" t="n">
        <v>420845</v>
      </c>
      <c r="O615" s="0" t="n">
        <v>884</v>
      </c>
      <c r="P615" s="0" t="s">
        <v>157</v>
      </c>
      <c r="Q615" s="0" t="n">
        <v>0.192399773647325</v>
      </c>
      <c r="R615" s="0" t="n">
        <v>2.64504242347564</v>
      </c>
      <c r="S615" s="0" t="n">
        <v>132</v>
      </c>
      <c r="T615" s="0" t="n">
        <v>1775</v>
      </c>
      <c r="U615" s="0" t="n">
        <v>0</v>
      </c>
      <c r="V615" s="0" t="n">
        <v>17.0941348626103</v>
      </c>
      <c r="W615" s="0" t="n">
        <v>20241231</v>
      </c>
      <c r="X615" s="0" t="n">
        <v>0.427144160043588</v>
      </c>
      <c r="Y615" s="0" t="n">
        <v>7.57</v>
      </c>
      <c r="Z615" s="0" t="s">
        <v>123</v>
      </c>
      <c r="AA615" s="0" t="n">
        <f aca="false">IF(AND(ISNUMBER(B615),B615&gt;0,ISNUMBER(U615),U615&gt;=0,ISNUMBER(O615),O615&gt;=0),1,0)</f>
        <v>1</v>
      </c>
      <c r="AB615" s="0" t="n">
        <f aca="false">IF(AA615=1,U615+O615,0)</f>
        <v>884</v>
      </c>
      <c r="AC615" s="0" t="n">
        <f aca="false">IF(AA615=1,100*AB615/B615,"")</f>
        <v>0.130889664750703</v>
      </c>
      <c r="AD615" s="0" t="n">
        <f aca="false">IF(AND(AND(ISNUMBER(B615),B615=OriginalFinancials!B615),AND(ISNUMBER(U615),U615=OriginalFinancials!U615),AND(ISNUMBER(O615),O615=OriginalFinancials!O615)),0,1)</f>
        <v>0</v>
      </c>
      <c r="AE615" s="0" t="str">
        <f aca="false">IF(V615=0,"原始0：需核实适用/报告口径","")</f>
        <v/>
      </c>
    </row>
    <row r="616" customFormat="false" ht="15" hidden="false" customHeight="false" outlineLevel="0" collapsed="false">
      <c r="A616" s="0" t="n">
        <v>616</v>
      </c>
      <c r="B616" s="0" t="n">
        <v>559057</v>
      </c>
      <c r="C616" s="0" t="n">
        <v>18038</v>
      </c>
      <c r="D616" s="0" t="n">
        <v>417615</v>
      </c>
      <c r="E616" s="0" t="n">
        <v>0.02</v>
      </c>
      <c r="F616" s="0" t="n">
        <v>67734</v>
      </c>
      <c r="G616" s="0" t="n">
        <v>12.1157592159655</v>
      </c>
      <c r="H616" s="0" t="s">
        <v>773</v>
      </c>
      <c r="I616" s="0" t="n">
        <v>0.906067262413767</v>
      </c>
      <c r="J616" s="0" t="n">
        <v>27975</v>
      </c>
      <c r="K616" s="0" t="n">
        <v>4139</v>
      </c>
      <c r="L616" s="0" t="n">
        <v>433853</v>
      </c>
      <c r="M616" s="0" t="n">
        <v>429922</v>
      </c>
      <c r="N616" s="0" t="n">
        <v>399538</v>
      </c>
      <c r="O616" s="0" t="n">
        <v>2689</v>
      </c>
      <c r="P616" s="0" t="s">
        <v>159</v>
      </c>
      <c r="Q616" s="0" t="n">
        <v>0.619795184083088</v>
      </c>
      <c r="R616" s="0" t="n">
        <v>2.56009626632644</v>
      </c>
      <c r="S616" s="0" t="n">
        <v>-13</v>
      </c>
      <c r="T616" s="0" t="n">
        <v>2946</v>
      </c>
      <c r="U616" s="0" t="n">
        <v>0</v>
      </c>
      <c r="V616" s="0" t="n">
        <v>0</v>
      </c>
      <c r="W616" s="0" t="n">
        <v>20241231</v>
      </c>
      <c r="X616" s="0" t="n">
        <v>0.458106180656936</v>
      </c>
      <c r="Y616" s="0" t="n">
        <v>3.74</v>
      </c>
      <c r="Z616" s="0" t="s">
        <v>123</v>
      </c>
      <c r="AA616" s="0" t="n">
        <f aca="false">IF(AND(ISNUMBER(B616),B616&gt;0,ISNUMBER(U616),U616&gt;=0,ISNUMBER(O616),O616&gt;=0),1,0)</f>
        <v>1</v>
      </c>
      <c r="AB616" s="0" t="n">
        <f aca="false">IF(AA616=1,U616+O616,0)</f>
        <v>2689</v>
      </c>
      <c r="AC616" s="0" t="n">
        <f aca="false">IF(AA616=1,100*AB616/B616,"")</f>
        <v>0.480988521742863</v>
      </c>
      <c r="AD616" s="0" t="n">
        <f aca="false">IF(AND(AND(ISNUMBER(B616),B616=OriginalFinancials!B616),AND(ISNUMBER(U616),U616=OriginalFinancials!U616),AND(ISNUMBER(O616),O616=OriginalFinancials!O616)),0,1)</f>
        <v>0</v>
      </c>
      <c r="AE616" s="0" t="str">
        <f aca="false">IF(V616=0,"原始0：需核实适用/报告口径","")</f>
        <v>原始0：需核实适用/报告口径</v>
      </c>
    </row>
    <row r="617" customFormat="false" ht="15" hidden="false" customHeight="false" outlineLevel="0" collapsed="false">
      <c r="A617" s="0" t="n">
        <v>617</v>
      </c>
      <c r="B617" s="0" t="n">
        <v>7237664</v>
      </c>
      <c r="C617" s="0" t="n">
        <v>18408</v>
      </c>
      <c r="D617" s="0" t="n">
        <v>5962875</v>
      </c>
      <c r="E617" s="0" t="n">
        <v>-0.01</v>
      </c>
      <c r="F617" s="0" t="n">
        <v>430159</v>
      </c>
      <c r="G617" s="0" t="n">
        <v>5.94334028216839</v>
      </c>
      <c r="H617" s="0" t="s">
        <v>774</v>
      </c>
      <c r="I617" s="0" t="n">
        <v>0.63747058283806</v>
      </c>
      <c r="J617" s="0" t="n">
        <v>371808</v>
      </c>
      <c r="K617" s="0" t="n">
        <v>61663</v>
      </c>
      <c r="L617" s="0" t="n">
        <v>4937169</v>
      </c>
      <c r="M617" s="0" t="n">
        <v>4905696</v>
      </c>
      <c r="N617" s="0" t="n">
        <v>4424778</v>
      </c>
      <c r="O617" s="0" t="n">
        <v>6486</v>
      </c>
      <c r="P617" s="0" t="s">
        <v>161</v>
      </c>
      <c r="Q617" s="0" t="n">
        <v>0.131370832150976</v>
      </c>
      <c r="R617" s="0" t="n">
        <v>2.17113867598282</v>
      </c>
      <c r="S617" s="0" t="n">
        <v>-193</v>
      </c>
      <c r="T617" s="0" t="n">
        <v>11654</v>
      </c>
      <c r="U617" s="0" t="n">
        <v>0</v>
      </c>
      <c r="V617" s="0" t="n">
        <v>11.1220330462601</v>
      </c>
      <c r="W617" s="0" t="n">
        <v>20241231</v>
      </c>
      <c r="X617" s="0" t="n">
        <v>0.170575806214819</v>
      </c>
      <c r="Y617" s="0" t="n">
        <v>2.93</v>
      </c>
      <c r="Z617" s="0" t="s">
        <v>105</v>
      </c>
      <c r="AA617" s="0" t="n">
        <f aca="false">IF(AND(ISNUMBER(B617),B617&gt;0,ISNUMBER(U617),U617&gt;=0,ISNUMBER(O617),O617&gt;=0),1,0)</f>
        <v>1</v>
      </c>
      <c r="AB617" s="0" t="n">
        <f aca="false">IF(AA617=1,U617+O617,0)</f>
        <v>6486</v>
      </c>
      <c r="AC617" s="0" t="n">
        <f aca="false">IF(AA617=1,100*AB617/B617,"")</f>
        <v>0.0896145496668538</v>
      </c>
      <c r="AD617" s="0" t="n">
        <f aca="false">IF(AND(AND(ISNUMBER(B617),B617=OriginalFinancials!B617),AND(ISNUMBER(U617),U617=OriginalFinancials!U617),AND(ISNUMBER(O617),O617=OriginalFinancials!O617)),0,1)</f>
        <v>0</v>
      </c>
      <c r="AE617" s="0" t="str">
        <f aca="false">IF(V617=0,"原始0：需核实适用/报告口径","")</f>
        <v/>
      </c>
    </row>
    <row r="618" customFormat="false" ht="15" hidden="false" customHeight="false" outlineLevel="0" collapsed="false">
      <c r="A618" s="0" t="n">
        <v>618</v>
      </c>
      <c r="B618" s="0" t="n">
        <v>2607826</v>
      </c>
      <c r="C618" s="0" t="n">
        <v>19531</v>
      </c>
      <c r="D618" s="0" t="n">
        <v>2305045</v>
      </c>
      <c r="E618" s="0" t="n">
        <v>-0.04</v>
      </c>
      <c r="F618" s="0" t="n">
        <v>258848</v>
      </c>
      <c r="G618" s="0" t="n">
        <v>9.9258156027281</v>
      </c>
      <c r="H618" s="0" t="s">
        <v>775</v>
      </c>
      <c r="I618" s="0" t="n">
        <v>0.885741811085966</v>
      </c>
      <c r="J618" s="0" t="n">
        <v>255345</v>
      </c>
      <c r="K618" s="0" t="n">
        <v>8027</v>
      </c>
      <c r="L618" s="0" t="n">
        <v>2155933</v>
      </c>
      <c r="M618" s="0" t="n">
        <v>2136837</v>
      </c>
      <c r="N618" s="0" t="n">
        <v>1794381</v>
      </c>
      <c r="O618" s="0" t="n">
        <v>6433</v>
      </c>
      <c r="P618" s="0" t="s">
        <v>163</v>
      </c>
      <c r="Q618" s="0" t="n">
        <v>0.300565926677684</v>
      </c>
      <c r="R618" s="0" t="n">
        <v>2.78753272638901</v>
      </c>
      <c r="S618" s="0" t="n">
        <v>853</v>
      </c>
      <c r="T618" s="0" t="n">
        <v>11164</v>
      </c>
      <c r="U618" s="0" t="n">
        <v>47</v>
      </c>
      <c r="V618" s="0" t="n">
        <v>14.1069486209343</v>
      </c>
      <c r="W618" s="0" t="n">
        <v>20241231</v>
      </c>
      <c r="X618" s="0" t="n">
        <v>0.568341059055615</v>
      </c>
      <c r="Y618" s="0" t="n">
        <v>5.86</v>
      </c>
      <c r="Z618" s="0" t="s">
        <v>105</v>
      </c>
      <c r="AA618" s="0" t="n">
        <f aca="false">IF(AND(ISNUMBER(B618),B618&gt;0,ISNUMBER(U618),U618&gt;=0,ISNUMBER(O618),O618&gt;=0),1,0)</f>
        <v>1</v>
      </c>
      <c r="AB618" s="0" t="n">
        <f aca="false">IF(AA618=1,U618+O618,0)</f>
        <v>6480</v>
      </c>
      <c r="AC618" s="0" t="n">
        <f aca="false">IF(AA618=1,100*AB618/B618,"")</f>
        <v>0.248482835894726</v>
      </c>
      <c r="AD618" s="0" t="n">
        <f aca="false">IF(AND(AND(ISNUMBER(B618),B618=OriginalFinancials!B618),AND(ISNUMBER(U618),U618=OriginalFinancials!U618),AND(ISNUMBER(O618),O618=OriginalFinancials!O618)),0,1)</f>
        <v>0</v>
      </c>
      <c r="AE618" s="0" t="str">
        <f aca="false">IF(V618=0,"原始0：需核实适用/报告口径","")</f>
        <v/>
      </c>
    </row>
    <row r="619" customFormat="false" ht="15" hidden="false" customHeight="false" outlineLevel="0" collapsed="false">
      <c r="A619" s="0" t="n">
        <v>619</v>
      </c>
      <c r="B619" s="0" t="n">
        <v>841355</v>
      </c>
      <c r="C619" s="0" t="n">
        <v>19532</v>
      </c>
      <c r="D619" s="0" t="n">
        <v>726139</v>
      </c>
      <c r="E619" s="0" t="n">
        <v>0.04</v>
      </c>
      <c r="F619" s="0" t="n">
        <v>102611</v>
      </c>
      <c r="G619" s="0" t="n">
        <v>12.1959220543053</v>
      </c>
      <c r="H619" s="0" t="s">
        <v>776</v>
      </c>
      <c r="I619" s="0" t="n">
        <v>0.98818566230057</v>
      </c>
      <c r="J619" s="0" t="n">
        <v>51731</v>
      </c>
      <c r="K619" s="0" t="n">
        <v>51267</v>
      </c>
      <c r="L619" s="0" t="n">
        <v>610614</v>
      </c>
      <c r="M619" s="0" t="n">
        <v>604580</v>
      </c>
      <c r="N619" s="0" t="n">
        <v>502892</v>
      </c>
      <c r="O619" s="0" t="n">
        <v>1747</v>
      </c>
      <c r="P619" s="0" t="s">
        <v>165</v>
      </c>
      <c r="Q619" s="0" t="n">
        <v>0.286105461060506</v>
      </c>
      <c r="R619" s="0" t="n">
        <v>3.19260167511545</v>
      </c>
      <c r="S619" s="0" t="n">
        <v>95</v>
      </c>
      <c r="T619" s="0" t="n">
        <v>1403</v>
      </c>
      <c r="U619" s="0" t="n">
        <v>0</v>
      </c>
      <c r="V619" s="0" t="n">
        <v>21.4383093615106</v>
      </c>
      <c r="W619" s="0" t="n">
        <v>20241231</v>
      </c>
      <c r="X619" s="0" t="n">
        <v>0.860939251412119</v>
      </c>
      <c r="Y619" s="0" t="n">
        <v>7.51</v>
      </c>
      <c r="Z619" s="0" t="s">
        <v>105</v>
      </c>
      <c r="AA619" s="0" t="n">
        <f aca="false">IF(AND(ISNUMBER(B619),B619&gt;0,ISNUMBER(U619),U619&gt;=0,ISNUMBER(O619),O619&gt;=0),1,0)</f>
        <v>1</v>
      </c>
      <c r="AB619" s="0" t="n">
        <f aca="false">IF(AA619=1,U619+O619,0)</f>
        <v>1747</v>
      </c>
      <c r="AC619" s="0" t="n">
        <f aca="false">IF(AA619=1,100*AB619/B619,"")</f>
        <v>0.207641245372049</v>
      </c>
      <c r="AD619" s="0" t="n">
        <f aca="false">IF(AND(AND(ISNUMBER(B619),B619=OriginalFinancials!B619),AND(ISNUMBER(U619),U619=OriginalFinancials!U619),AND(ISNUMBER(O619),O619=OriginalFinancials!O619)),0,1)</f>
        <v>0</v>
      </c>
      <c r="AE619" s="0" t="str">
        <f aca="false">IF(V619=0,"原始0：需核实适用/报告口径","")</f>
        <v/>
      </c>
    </row>
    <row r="620" customFormat="false" ht="15" hidden="false" customHeight="false" outlineLevel="0" collapsed="false">
      <c r="A620" s="0" t="n">
        <v>620</v>
      </c>
      <c r="B620" s="0" t="n">
        <v>4083054</v>
      </c>
      <c r="C620" s="0" t="n">
        <v>19690</v>
      </c>
      <c r="D620" s="0" t="n">
        <v>3178140</v>
      </c>
      <c r="E620" s="0" t="n">
        <v>0.1</v>
      </c>
      <c r="F620" s="0" t="n">
        <v>444101</v>
      </c>
      <c r="G620" s="0" t="n">
        <v>10.8766869113169</v>
      </c>
      <c r="H620" s="0" t="s">
        <v>777</v>
      </c>
      <c r="I620" s="0" t="n">
        <v>1.23476980270379</v>
      </c>
      <c r="J620" s="0" t="n">
        <v>125867</v>
      </c>
      <c r="K620" s="0" t="n">
        <v>200</v>
      </c>
      <c r="L620" s="0" t="n">
        <v>3626020</v>
      </c>
      <c r="M620" s="0" t="n">
        <v>3581247</v>
      </c>
      <c r="N620" s="0" t="n">
        <v>2812366</v>
      </c>
      <c r="O620" s="0" t="n">
        <v>30066</v>
      </c>
      <c r="P620" s="0" t="s">
        <v>167</v>
      </c>
      <c r="Q620" s="0" t="n">
        <v>0.829173584260429</v>
      </c>
      <c r="R620" s="0" t="n">
        <v>4.88319431994812</v>
      </c>
      <c r="S620" s="0" t="n">
        <v>6066</v>
      </c>
      <c r="T620" s="0" t="n">
        <v>3018</v>
      </c>
      <c r="U620" s="0" t="n">
        <v>0</v>
      </c>
      <c r="V620" s="0" t="n">
        <v>13.9124837251983</v>
      </c>
      <c r="W620" s="0" t="n">
        <v>20241231</v>
      </c>
      <c r="X620" s="0" t="n">
        <v>2.00155957794462</v>
      </c>
      <c r="Y620" s="0" t="n">
        <v>18.11</v>
      </c>
      <c r="Z620" s="0" t="s">
        <v>105</v>
      </c>
      <c r="AA620" s="0" t="n">
        <f aca="false">IF(AND(ISNUMBER(B620),B620&gt;0,ISNUMBER(U620),U620&gt;=0,ISNUMBER(O620),O620&gt;=0),1,0)</f>
        <v>1</v>
      </c>
      <c r="AB620" s="0" t="n">
        <f aca="false">IF(AA620=1,U620+O620,0)</f>
        <v>30066</v>
      </c>
      <c r="AC620" s="0" t="n">
        <f aca="false">IF(AA620=1,100*AB620/B620,"")</f>
        <v>0.736360577156217</v>
      </c>
      <c r="AD620" s="0" t="n">
        <f aca="false">IF(AND(AND(ISNUMBER(B620),B620=OriginalFinancials!B620),AND(ISNUMBER(U620),U620=OriginalFinancials!U620),AND(ISNUMBER(O620),O620=OriginalFinancials!O620)),0,1)</f>
        <v>0</v>
      </c>
      <c r="AE620" s="0" t="str">
        <f aca="false">IF(V620=0,"原始0：需核实适用/报告口径","")</f>
        <v/>
      </c>
    </row>
    <row r="621" customFormat="false" ht="15" hidden="false" customHeight="false" outlineLevel="0" collapsed="false">
      <c r="A621" s="0" t="n">
        <v>621</v>
      </c>
      <c r="B621" s="0" t="n">
        <v>725956</v>
      </c>
      <c r="C621" s="0" t="n">
        <v>19836</v>
      </c>
      <c r="D621" s="0" t="n">
        <v>546072</v>
      </c>
      <c r="E621" s="0" t="n">
        <v>0.06</v>
      </c>
      <c r="F621" s="0" t="n">
        <v>126418</v>
      </c>
      <c r="G621" s="0" t="n">
        <v>17.4140030525266</v>
      </c>
      <c r="H621" s="0" t="s">
        <v>778</v>
      </c>
      <c r="I621" s="0" t="n">
        <v>0.718361434147519</v>
      </c>
      <c r="J621" s="0" t="n">
        <v>41567</v>
      </c>
      <c r="K621" s="0" t="n">
        <v>10758</v>
      </c>
      <c r="L621" s="0" t="n">
        <v>621275</v>
      </c>
      <c r="M621" s="0" t="n">
        <v>616812</v>
      </c>
      <c r="N621" s="0" t="n">
        <v>565995</v>
      </c>
      <c r="O621" s="0" t="n">
        <v>5575</v>
      </c>
      <c r="P621" s="0" t="s">
        <v>145</v>
      </c>
      <c r="Q621" s="0" t="n">
        <v>0.915858516759889</v>
      </c>
      <c r="R621" s="0" t="n">
        <v>3.66814462063966</v>
      </c>
      <c r="S621" s="0" t="n">
        <v>393</v>
      </c>
      <c r="T621" s="0" t="n">
        <v>5473</v>
      </c>
      <c r="U621" s="0" t="n">
        <v>115</v>
      </c>
      <c r="V621" s="0" t="n">
        <v>23.4027315459259</v>
      </c>
      <c r="W621" s="0" t="n">
        <v>20241231</v>
      </c>
      <c r="X621" s="0" t="n">
        <v>0.635783162051918</v>
      </c>
      <c r="Y621" s="0" t="n">
        <v>3.58</v>
      </c>
      <c r="Z621" s="0" t="s">
        <v>105</v>
      </c>
      <c r="AA621" s="0" t="n">
        <f aca="false">IF(AND(ISNUMBER(B621),B621&gt;0,ISNUMBER(U621),U621&gt;=0,ISNUMBER(O621),O621&gt;=0),1,0)</f>
        <v>1</v>
      </c>
      <c r="AB621" s="0" t="n">
        <f aca="false">IF(AA621=1,U621+O621,0)</f>
        <v>5690</v>
      </c>
      <c r="AC621" s="0" t="n">
        <f aca="false">IF(AA621=1,100*AB621/B621,"")</f>
        <v>0.78379405914408</v>
      </c>
      <c r="AD621" s="0" t="n">
        <f aca="false">IF(AND(AND(ISNUMBER(B621),B621=OriginalFinancials!B621),AND(ISNUMBER(U621),U621=OriginalFinancials!U621),AND(ISNUMBER(O621),O621=OriginalFinancials!O621)),0,1)</f>
        <v>0</v>
      </c>
      <c r="AE621" s="0" t="str">
        <f aca="false">IF(V621=0,"原始0：需核实适用/报告口径","")</f>
        <v/>
      </c>
    </row>
    <row r="622" customFormat="false" ht="15" hidden="false" customHeight="false" outlineLevel="0" collapsed="false">
      <c r="A622" s="0" t="n">
        <v>622</v>
      </c>
      <c r="B622" s="0" t="n">
        <v>1527088</v>
      </c>
      <c r="C622" s="0" t="n">
        <v>24540</v>
      </c>
      <c r="D622" s="0" t="n">
        <v>1227168</v>
      </c>
      <c r="E622" s="0" t="n">
        <v>0.08</v>
      </c>
      <c r="F622" s="0" t="n">
        <v>276022</v>
      </c>
      <c r="G622" s="0" t="n">
        <v>18.0750552685896</v>
      </c>
      <c r="H622" s="0" t="s">
        <v>779</v>
      </c>
      <c r="I622" s="0" t="n">
        <v>0.968015462583363</v>
      </c>
      <c r="J622" s="0" t="n">
        <v>43779</v>
      </c>
      <c r="K622" s="0" t="n">
        <v>170</v>
      </c>
      <c r="L622" s="0" t="n">
        <v>1371569</v>
      </c>
      <c r="M622" s="0" t="n">
        <v>1358292</v>
      </c>
      <c r="N622" s="0" t="n">
        <v>1331608</v>
      </c>
      <c r="O622" s="0" t="n">
        <v>28862</v>
      </c>
      <c r="P622" s="0" t="s">
        <v>170</v>
      </c>
      <c r="Q622" s="0" t="n">
        <v>2.10430536123228</v>
      </c>
      <c r="R622" s="0" t="n">
        <v>4.31804434798762</v>
      </c>
      <c r="S622" s="0" t="n">
        <v>5</v>
      </c>
      <c r="T622" s="0" t="n">
        <v>0</v>
      </c>
      <c r="U622" s="0" t="n">
        <v>0</v>
      </c>
      <c r="V622" s="0" t="n">
        <v>18.6892666157372</v>
      </c>
      <c r="W622" s="0" t="n">
        <v>20241231</v>
      </c>
      <c r="X622" s="0" t="n">
        <v>2.16766070982136</v>
      </c>
      <c r="Y622" s="0" t="n">
        <v>12.13</v>
      </c>
      <c r="Z622" s="0" t="s">
        <v>123</v>
      </c>
      <c r="AA622" s="0" t="n">
        <f aca="false">IF(AND(ISNUMBER(B622),B622&gt;0,ISNUMBER(U622),U622&gt;=0,ISNUMBER(O622),O622&gt;=0),1,0)</f>
        <v>1</v>
      </c>
      <c r="AB622" s="0" t="n">
        <f aca="false">IF(AA622=1,U622+O622,0)</f>
        <v>28862</v>
      </c>
      <c r="AC622" s="0" t="n">
        <f aca="false">IF(AA622=1,100*AB622/B622,"")</f>
        <v>1.89000240981528</v>
      </c>
      <c r="AD622" s="0" t="n">
        <f aca="false">IF(AND(AND(ISNUMBER(B622),B622=OriginalFinancials!B622),AND(ISNUMBER(U622),U622=OriginalFinancials!U622),AND(ISNUMBER(O622),O622=OriginalFinancials!O622)),0,1)</f>
        <v>0</v>
      </c>
      <c r="AE622" s="0" t="str">
        <f aca="false">IF(V622=0,"原始0：需核实适用/报告口径","")</f>
        <v/>
      </c>
    </row>
    <row r="623" customFormat="false" ht="15" hidden="false" customHeight="false" outlineLevel="0" collapsed="false">
      <c r="A623" s="0" t="n">
        <v>623</v>
      </c>
      <c r="B623" s="0" t="n">
        <v>567213</v>
      </c>
      <c r="C623" s="0" t="n">
        <v>27824</v>
      </c>
      <c r="D623" s="0" t="n">
        <v>364594</v>
      </c>
      <c r="E623" s="0" t="n">
        <v>0.02</v>
      </c>
      <c r="F623" s="0" t="n">
        <v>62425</v>
      </c>
      <c r="G623" s="0" t="n">
        <v>11.0055658103746</v>
      </c>
      <c r="H623" s="0" t="s">
        <v>780</v>
      </c>
      <c r="I623" s="0" t="n">
        <v>0.584193663971302</v>
      </c>
      <c r="J623" s="0" t="n">
        <v>18705</v>
      </c>
      <c r="K623" s="0" t="n">
        <v>39701</v>
      </c>
      <c r="L623" s="0" t="n">
        <v>477239</v>
      </c>
      <c r="M623" s="0" t="n">
        <v>474451</v>
      </c>
      <c r="N623" s="0" t="n">
        <v>418833</v>
      </c>
      <c r="O623" s="0" t="n">
        <v>1549</v>
      </c>
      <c r="P623" s="0" t="s">
        <v>172</v>
      </c>
      <c r="Q623" s="0" t="n">
        <v>0.324575317608159</v>
      </c>
      <c r="R623" s="0" t="n">
        <v>1.66620323995382</v>
      </c>
      <c r="S623" s="0" t="n">
        <v>239</v>
      </c>
      <c r="T623" s="0" t="n">
        <v>1070</v>
      </c>
      <c r="U623" s="0" t="n">
        <v>0</v>
      </c>
      <c r="V623" s="0" t="n">
        <v>19.034594199942</v>
      </c>
      <c r="W623" s="0" t="n">
        <v>20241231</v>
      </c>
      <c r="X623" s="0" t="n">
        <v>-0.525560567879556</v>
      </c>
      <c r="Y623" s="0" t="n">
        <v>-4.55</v>
      </c>
      <c r="Z623" s="0" t="s">
        <v>123</v>
      </c>
      <c r="AA623" s="0" t="n">
        <f aca="false">IF(AND(ISNUMBER(B623),B623&gt;0,ISNUMBER(U623),U623&gt;=0,ISNUMBER(O623),O623&gt;=0),1,0)</f>
        <v>1</v>
      </c>
      <c r="AB623" s="0" t="n">
        <f aca="false">IF(AA623=1,U623+O623,0)</f>
        <v>1549</v>
      </c>
      <c r="AC623" s="0" t="n">
        <f aca="false">IF(AA623=1,100*AB623/B623,"")</f>
        <v>0.273089650625074</v>
      </c>
      <c r="AD623" s="0" t="n">
        <f aca="false">IF(AND(AND(ISNUMBER(B623),B623=OriginalFinancials!B623),AND(ISNUMBER(U623),U623=OriginalFinancials!U623),AND(ISNUMBER(O623),O623=OriginalFinancials!O623)),0,1)</f>
        <v>0</v>
      </c>
      <c r="AE623" s="0" t="str">
        <f aca="false">IF(V623=0,"原始0：需核实适用/报告口径","")</f>
        <v/>
      </c>
    </row>
    <row r="624" customFormat="false" ht="15" hidden="false" customHeight="false" outlineLevel="0" collapsed="false">
      <c r="A624" s="0" t="n">
        <v>624</v>
      </c>
      <c r="B624" s="0" t="n">
        <v>295833</v>
      </c>
      <c r="C624" s="0" t="n">
        <v>28155</v>
      </c>
      <c r="D624" s="0" t="n">
        <v>257082</v>
      </c>
      <c r="E624" s="0" t="n">
        <v>-0.01</v>
      </c>
      <c r="F624" s="0" t="n">
        <v>27363</v>
      </c>
      <c r="G624" s="0" t="n">
        <v>9.24947521067629</v>
      </c>
      <c r="H624" s="0" t="s">
        <v>781</v>
      </c>
      <c r="I624" s="0" t="n">
        <v>0.450821547896929</v>
      </c>
      <c r="J624" s="0" t="n">
        <v>9970</v>
      </c>
      <c r="K624" s="0" t="n">
        <v>6380</v>
      </c>
      <c r="L624" s="0" t="n">
        <v>174792</v>
      </c>
      <c r="M624" s="0" t="n">
        <v>174004</v>
      </c>
      <c r="N624" s="0" t="n">
        <v>157930</v>
      </c>
      <c r="O624" s="0" t="n">
        <v>0</v>
      </c>
      <c r="P624" s="0" t="s">
        <v>174</v>
      </c>
      <c r="Q624" s="0" t="n">
        <v>0</v>
      </c>
      <c r="R624" s="0" t="n">
        <v>2.46130120647392</v>
      </c>
      <c r="S624" s="0" t="n">
        <v>1</v>
      </c>
      <c r="T624" s="0" t="n">
        <v>1275</v>
      </c>
      <c r="U624" s="0" t="n">
        <v>0</v>
      </c>
      <c r="V624" s="0" t="n">
        <v>17.6109436246782</v>
      </c>
      <c r="W624" s="0" t="n">
        <v>20241231</v>
      </c>
      <c r="X624" s="0" t="n">
        <v>-0.0231009511565541</v>
      </c>
      <c r="Y624" s="0" t="n">
        <v>-0.25</v>
      </c>
      <c r="Z624" s="0" t="s">
        <v>123</v>
      </c>
      <c r="AA624" s="0" t="n">
        <f aca="false">IF(AND(ISNUMBER(B624),B624&gt;0,ISNUMBER(U624),U624&gt;=0,ISNUMBER(O624),O624&gt;=0),1,0)</f>
        <v>1</v>
      </c>
      <c r="AB624" s="0" t="n">
        <f aca="false">IF(AA624=1,U624+O624,0)</f>
        <v>0</v>
      </c>
      <c r="AC624" s="0" t="n">
        <f aca="false">IF(AA624=1,100*AB624/B624,"")</f>
        <v>0</v>
      </c>
      <c r="AD624" s="0" t="n">
        <f aca="false">IF(AND(AND(ISNUMBER(B624),B624=OriginalFinancials!B624),AND(ISNUMBER(U624),U624=OriginalFinancials!U624),AND(ISNUMBER(O624),O624=OriginalFinancials!O624)),0,1)</f>
        <v>0</v>
      </c>
      <c r="AE624" s="0" t="str">
        <f aca="false">IF(V624=0,"原始0：需核实适用/报告口径","")</f>
        <v/>
      </c>
    </row>
    <row r="625" customFormat="false" ht="15" hidden="false" customHeight="false" outlineLevel="0" collapsed="false">
      <c r="A625" s="0" t="n">
        <v>625</v>
      </c>
      <c r="B625" s="0" t="n">
        <v>102307</v>
      </c>
      <c r="C625" s="0" t="n">
        <v>28288</v>
      </c>
      <c r="D625" s="0" t="n">
        <v>74614</v>
      </c>
      <c r="E625" s="0" t="n">
        <v>-0.07</v>
      </c>
      <c r="F625" s="0" t="n">
        <v>5875</v>
      </c>
      <c r="G625" s="0" t="n">
        <v>5.74252006216583</v>
      </c>
      <c r="H625" s="0" t="s">
        <v>782</v>
      </c>
      <c r="I625" s="0" t="n">
        <v>0.968060031747559</v>
      </c>
      <c r="J625" s="0" t="n">
        <v>4448</v>
      </c>
      <c r="K625" s="0" t="n">
        <v>3568</v>
      </c>
      <c r="L625" s="0" t="n">
        <v>83156</v>
      </c>
      <c r="M625" s="0" t="n">
        <v>82351</v>
      </c>
      <c r="N625" s="0" t="n">
        <v>75140</v>
      </c>
      <c r="O625" s="0" t="n">
        <v>137</v>
      </c>
      <c r="P625" s="0" t="s">
        <v>176</v>
      </c>
      <c r="Q625" s="0" t="n">
        <v>0.164750589253932</v>
      </c>
      <c r="R625" s="0" t="n">
        <v>2.59413030837813</v>
      </c>
      <c r="S625" s="0" t="n">
        <v>0</v>
      </c>
      <c r="T625" s="0" t="n">
        <v>493</v>
      </c>
      <c r="U625" s="0" t="n">
        <v>0</v>
      </c>
      <c r="V625" s="0" t="n">
        <v>13.0257542310522</v>
      </c>
      <c r="W625" s="0" t="n">
        <v>20241231</v>
      </c>
      <c r="X625" s="0" t="n">
        <v>0.0310049879274328</v>
      </c>
      <c r="Y625" s="0" t="n">
        <v>0.53</v>
      </c>
      <c r="Z625" s="0" t="s">
        <v>105</v>
      </c>
      <c r="AA625" s="0" t="n">
        <f aca="false">IF(AND(ISNUMBER(B625),B625&gt;0,ISNUMBER(U625),U625&gt;=0,ISNUMBER(O625),O625&gt;=0),1,0)</f>
        <v>1</v>
      </c>
      <c r="AB625" s="0" t="n">
        <f aca="false">IF(AA625=1,U625+O625,0)</f>
        <v>137</v>
      </c>
      <c r="AC625" s="0" t="n">
        <f aca="false">IF(AA625=1,100*AB625/B625,"")</f>
        <v>0.133910680598591</v>
      </c>
      <c r="AD625" s="0" t="n">
        <f aca="false">IF(AND(AND(ISNUMBER(B625),B625=OriginalFinancials!B625),AND(ISNUMBER(U625),U625=OriginalFinancials!U625),AND(ISNUMBER(O625),O625=OriginalFinancials!O625)),0,1)</f>
        <v>0</v>
      </c>
      <c r="AE625" s="0" t="str">
        <f aca="false">IF(V625=0,"原始0：需核实适用/报告口径","")</f>
        <v/>
      </c>
    </row>
    <row r="626" customFormat="false" ht="15" hidden="false" customHeight="false" outlineLevel="0" collapsed="false">
      <c r="A626" s="0" t="n">
        <v>626</v>
      </c>
      <c r="B626" s="0" t="n">
        <v>93759</v>
      </c>
      <c r="C626" s="0" t="n">
        <v>28369</v>
      </c>
      <c r="D626" s="0" t="n">
        <v>74708</v>
      </c>
      <c r="E626" s="0" t="n">
        <v>0.04</v>
      </c>
      <c r="F626" s="0" t="n">
        <v>9043</v>
      </c>
      <c r="G626" s="0" t="n">
        <v>9.64494075235444</v>
      </c>
      <c r="H626" s="0" t="s">
        <v>783</v>
      </c>
      <c r="I626" s="0" t="n">
        <v>0.769315849627017</v>
      </c>
      <c r="J626" s="0" t="n">
        <v>12423</v>
      </c>
      <c r="K626" s="0" t="n">
        <v>628</v>
      </c>
      <c r="L626" s="0" t="n">
        <v>81371</v>
      </c>
      <c r="M626" s="0" t="n">
        <v>80745</v>
      </c>
      <c r="N626" s="0" t="n">
        <v>68320</v>
      </c>
      <c r="O626" s="0" t="n">
        <v>208</v>
      </c>
      <c r="P626" s="0" t="s">
        <v>178</v>
      </c>
      <c r="Q626" s="0" t="n">
        <v>0.255619323837731</v>
      </c>
      <c r="R626" s="0" t="n">
        <v>2.91091148746691</v>
      </c>
      <c r="S626" s="0" t="n">
        <v>-4</v>
      </c>
      <c r="T626" s="0" t="n">
        <v>150</v>
      </c>
      <c r="U626" s="0" t="n">
        <v>0</v>
      </c>
      <c r="V626" s="0" t="n">
        <v>13.8247801806983</v>
      </c>
      <c r="W626" s="0" t="n">
        <v>20241231</v>
      </c>
      <c r="X626" s="0" t="n">
        <v>-0.324465319202005</v>
      </c>
      <c r="Y626" s="0" t="n">
        <v>-3.33</v>
      </c>
      <c r="Z626" s="0" t="s">
        <v>105</v>
      </c>
      <c r="AA626" s="0" t="n">
        <f aca="false">IF(AND(ISNUMBER(B626),B626&gt;0,ISNUMBER(U626),U626&gt;=0,ISNUMBER(O626),O626&gt;=0),1,0)</f>
        <v>1</v>
      </c>
      <c r="AB626" s="0" t="n">
        <f aca="false">IF(AA626=1,U626+O626,0)</f>
        <v>208</v>
      </c>
      <c r="AC626" s="0" t="n">
        <f aca="false">IF(AA626=1,100*AB626/B626,"")</f>
        <v>0.221845369511194</v>
      </c>
      <c r="AD626" s="0" t="n">
        <f aca="false">IF(AND(AND(ISNUMBER(B626),B626=OriginalFinancials!B626),AND(ISNUMBER(U626),U626=OriginalFinancials!U626),AND(ISNUMBER(O626),O626=OriginalFinancials!O626)),0,1)</f>
        <v>0</v>
      </c>
      <c r="AE626" s="0" t="str">
        <f aca="false">IF(V626=0,"原始0：需核实适用/报告口径","")</f>
        <v/>
      </c>
    </row>
    <row r="627" customFormat="false" ht="15" hidden="false" customHeight="false" outlineLevel="0" collapsed="false">
      <c r="A627" s="0" t="n">
        <v>627</v>
      </c>
      <c r="B627" s="0" t="n">
        <v>287826</v>
      </c>
      <c r="C627" s="0" t="n">
        <v>28837</v>
      </c>
      <c r="D627" s="0" t="n">
        <v>255992</v>
      </c>
      <c r="E627" s="0" t="n">
        <v>-0.07</v>
      </c>
      <c r="F627" s="0" t="n">
        <v>28739</v>
      </c>
      <c r="G627" s="0" t="n">
        <v>9.98485195916978</v>
      </c>
      <c r="H627" s="0" t="s">
        <v>784</v>
      </c>
      <c r="I627" s="0" t="n">
        <v>1.08825616548882</v>
      </c>
      <c r="J627" s="0" t="n">
        <v>7327</v>
      </c>
      <c r="K627" s="0" t="n">
        <v>776</v>
      </c>
      <c r="L627" s="0" t="n">
        <v>205742</v>
      </c>
      <c r="M627" s="0" t="n">
        <v>203503</v>
      </c>
      <c r="N627" s="0" t="n">
        <v>197027</v>
      </c>
      <c r="O627" s="0" t="n">
        <v>0</v>
      </c>
      <c r="P627" s="0" t="s">
        <v>180</v>
      </c>
      <c r="Q627" s="0" t="n">
        <v>0</v>
      </c>
      <c r="R627" s="0" t="n">
        <v>3.81936249099964</v>
      </c>
      <c r="S627" s="0" t="n">
        <v>-56</v>
      </c>
      <c r="T627" s="0" t="n">
        <v>688</v>
      </c>
      <c r="U627" s="0" t="n">
        <v>0</v>
      </c>
      <c r="V627" s="0" t="n">
        <v>17.8530996972904</v>
      </c>
      <c r="W627" s="0" t="n">
        <v>20241231</v>
      </c>
      <c r="X627" s="0" t="n">
        <v>0.89725198998678</v>
      </c>
      <c r="Y627" s="0" t="n">
        <v>9.33</v>
      </c>
      <c r="Z627" s="0" t="s">
        <v>112</v>
      </c>
      <c r="AA627" s="0" t="n">
        <f aca="false">IF(AND(ISNUMBER(B627),B627&gt;0,ISNUMBER(U627),U627&gt;=0,ISNUMBER(O627),O627&gt;=0),1,0)</f>
        <v>1</v>
      </c>
      <c r="AB627" s="0" t="n">
        <f aca="false">IF(AA627=1,U627+O627,0)</f>
        <v>0</v>
      </c>
      <c r="AC627" s="0" t="n">
        <f aca="false">IF(AA627=1,100*AB627/B627,"")</f>
        <v>0</v>
      </c>
      <c r="AD627" s="0" t="n">
        <f aca="false">IF(AND(AND(ISNUMBER(B627),B627=OriginalFinancials!B627),AND(ISNUMBER(U627),U627=OriginalFinancials!U627),AND(ISNUMBER(O627),O627=OriginalFinancials!O627)),0,1)</f>
        <v>0</v>
      </c>
      <c r="AE627" s="0" t="str">
        <f aca="false">IF(V627=0,"原始0：需核实适用/报告口径","")</f>
        <v/>
      </c>
    </row>
    <row r="628" customFormat="false" ht="15" hidden="false" customHeight="false" outlineLevel="0" collapsed="false">
      <c r="A628" s="0" t="n">
        <v>628</v>
      </c>
      <c r="B628" s="0" t="n">
        <v>182860</v>
      </c>
      <c r="C628" s="0" t="n">
        <v>29636</v>
      </c>
      <c r="D628" s="0" t="n">
        <v>141498</v>
      </c>
      <c r="E628" s="0" t="n">
        <v>0.04</v>
      </c>
      <c r="F628" s="0" t="n">
        <v>27319</v>
      </c>
      <c r="G628" s="0" t="n">
        <v>14.9398446899267</v>
      </c>
      <c r="H628" s="0" t="s">
        <v>785</v>
      </c>
      <c r="I628" s="0" t="n">
        <v>1.37296897564515</v>
      </c>
      <c r="J628" s="0" t="n">
        <v>1557</v>
      </c>
      <c r="K628" s="0" t="n">
        <v>1947</v>
      </c>
      <c r="L628" s="0" t="n">
        <v>143339</v>
      </c>
      <c r="M628" s="0" t="n">
        <v>141371</v>
      </c>
      <c r="N628" s="0" t="n">
        <v>139835</v>
      </c>
      <c r="O628" s="0" t="n">
        <v>2868</v>
      </c>
      <c r="P628" s="0" t="s">
        <v>182</v>
      </c>
      <c r="Q628" s="0" t="n">
        <v>2.00085112914141</v>
      </c>
      <c r="R628" s="0" t="n">
        <v>3.5143306118266</v>
      </c>
      <c r="S628" s="0" t="n">
        <v>1</v>
      </c>
      <c r="T628" s="0" t="n">
        <v>4173</v>
      </c>
      <c r="U628" s="0" t="n">
        <v>0</v>
      </c>
      <c r="V628" s="0" t="n">
        <v>26.7512284310365</v>
      </c>
      <c r="W628" s="0" t="n">
        <v>20241231</v>
      </c>
      <c r="X628" s="0" t="n">
        <v>0.375798155374246</v>
      </c>
      <c r="Y628" s="0" t="n">
        <v>2.57</v>
      </c>
      <c r="Z628" s="0" t="s">
        <v>105</v>
      </c>
      <c r="AA628" s="0" t="n">
        <f aca="false">IF(AND(ISNUMBER(B628),B628&gt;0,ISNUMBER(U628),U628&gt;=0,ISNUMBER(O628),O628&gt;=0),1,0)</f>
        <v>1</v>
      </c>
      <c r="AB628" s="0" t="n">
        <f aca="false">IF(AA628=1,U628+O628,0)</f>
        <v>2868</v>
      </c>
      <c r="AC628" s="0" t="n">
        <f aca="false">IF(AA628=1,100*AB628/B628,"")</f>
        <v>1.56841299354698</v>
      </c>
      <c r="AD628" s="0" t="n">
        <f aca="false">IF(AND(AND(ISNUMBER(B628),B628=OriginalFinancials!B628),AND(ISNUMBER(U628),U628=OriginalFinancials!U628),AND(ISNUMBER(O628),O628=OriginalFinancials!O628)),0,1)</f>
        <v>0</v>
      </c>
      <c r="AE628" s="0" t="str">
        <f aca="false">IF(V628=0,"原始0：需核实适用/报告口径","")</f>
        <v/>
      </c>
    </row>
    <row r="629" customFormat="false" ht="15" hidden="false" customHeight="false" outlineLevel="0" collapsed="false">
      <c r="A629" s="0" t="n">
        <v>629</v>
      </c>
      <c r="B629" s="0" t="n">
        <v>202964</v>
      </c>
      <c r="C629" s="0" t="n">
        <v>29743</v>
      </c>
      <c r="D629" s="0" t="n">
        <v>178152</v>
      </c>
      <c r="E629" s="0" t="n">
        <v>-0.02</v>
      </c>
      <c r="F629" s="0" t="n">
        <v>18066</v>
      </c>
      <c r="G629" s="0" t="n">
        <v>8.90108590686033</v>
      </c>
      <c r="H629" s="0" t="s">
        <v>786</v>
      </c>
      <c r="I629" s="0" t="n">
        <v>0.639881503425292</v>
      </c>
      <c r="J629" s="0" t="n">
        <v>25569</v>
      </c>
      <c r="K629" s="0" t="n">
        <v>21278</v>
      </c>
      <c r="L629" s="0" t="n">
        <v>135025</v>
      </c>
      <c r="M629" s="0" t="n">
        <v>134161</v>
      </c>
      <c r="N629" s="0" t="n">
        <v>88138</v>
      </c>
      <c r="O629" s="0" t="n">
        <v>647</v>
      </c>
      <c r="P629" s="0" t="s">
        <v>184</v>
      </c>
      <c r="Q629" s="0" t="n">
        <v>0.479170523977041</v>
      </c>
      <c r="R629" s="0" t="n">
        <v>2.2949156982309</v>
      </c>
      <c r="S629" s="0" t="n">
        <v>-7</v>
      </c>
      <c r="T629" s="0" t="n">
        <v>1156</v>
      </c>
      <c r="U629" s="0" t="n">
        <v>0</v>
      </c>
      <c r="V629" s="0" t="n">
        <v>18.4150066221586</v>
      </c>
      <c r="W629" s="0" t="n">
        <v>20241231</v>
      </c>
      <c r="X629" s="0" t="n">
        <v>0.362792198666465</v>
      </c>
      <c r="Y629" s="0" t="n">
        <v>4</v>
      </c>
      <c r="Z629" s="0" t="s">
        <v>105</v>
      </c>
      <c r="AA629" s="0" t="n">
        <f aca="false">IF(AND(ISNUMBER(B629),B629&gt;0,ISNUMBER(U629),U629&gt;=0,ISNUMBER(O629),O629&gt;=0),1,0)</f>
        <v>1</v>
      </c>
      <c r="AB629" s="0" t="n">
        <f aca="false">IF(AA629=1,U629+O629,0)</f>
        <v>647</v>
      </c>
      <c r="AC629" s="0" t="n">
        <f aca="false">IF(AA629=1,100*AB629/B629,"")</f>
        <v>0.318775743481603</v>
      </c>
      <c r="AD629" s="0" t="n">
        <f aca="false">IF(AND(AND(ISNUMBER(B629),B629=OriginalFinancials!B629),AND(ISNUMBER(U629),U629=OriginalFinancials!U629),AND(ISNUMBER(O629),O629=OriginalFinancials!O629)),0,1)</f>
        <v>0</v>
      </c>
      <c r="AE629" s="0" t="str">
        <f aca="false">IF(V629=0,"原始0：需核实适用/报告口径","")</f>
        <v/>
      </c>
    </row>
    <row r="630" customFormat="false" ht="15" hidden="false" customHeight="false" outlineLevel="0" collapsed="false">
      <c r="A630" s="0" t="n">
        <v>630</v>
      </c>
      <c r="B630" s="0" t="n">
        <v>581057</v>
      </c>
      <c r="C630" s="0" t="n">
        <v>29744</v>
      </c>
      <c r="D630" s="0" t="n">
        <v>472402</v>
      </c>
      <c r="E630" s="0" t="n">
        <v>-0.01</v>
      </c>
      <c r="F630" s="0" t="n">
        <v>44991</v>
      </c>
      <c r="G630" s="0" t="n">
        <v>7.74295809189116</v>
      </c>
      <c r="H630" s="0" t="s">
        <v>787</v>
      </c>
      <c r="I630" s="0" t="n">
        <v>0.796474128299507</v>
      </c>
      <c r="J630" s="0" t="n">
        <v>23711</v>
      </c>
      <c r="K630" s="0" t="n">
        <v>12409</v>
      </c>
      <c r="L630" s="0" t="n">
        <v>437679</v>
      </c>
      <c r="M630" s="0" t="n">
        <v>434193</v>
      </c>
      <c r="N630" s="0" t="n">
        <v>401559</v>
      </c>
      <c r="O630" s="0" t="n">
        <v>0</v>
      </c>
      <c r="P630" s="0" t="s">
        <v>186</v>
      </c>
      <c r="Q630" s="0" t="n">
        <v>0</v>
      </c>
      <c r="R630" s="0" t="n">
        <v>2.10953348286959</v>
      </c>
      <c r="S630" s="0" t="n">
        <v>24</v>
      </c>
      <c r="T630" s="0" t="n">
        <v>0</v>
      </c>
      <c r="U630" s="0" t="n">
        <v>0</v>
      </c>
      <c r="V630" s="0" t="n">
        <v>15.5504255593346</v>
      </c>
      <c r="W630" s="0" t="n">
        <v>20241231</v>
      </c>
      <c r="X630" s="0" t="n">
        <v>-0.0833620014517603</v>
      </c>
      <c r="Y630" s="0" t="n">
        <v>-1.06</v>
      </c>
      <c r="Z630" s="0" t="s">
        <v>123</v>
      </c>
      <c r="AA630" s="0" t="n">
        <f aca="false">IF(AND(ISNUMBER(B630),B630&gt;0,ISNUMBER(U630),U630&gt;=0,ISNUMBER(O630),O630&gt;=0),1,0)</f>
        <v>1</v>
      </c>
      <c r="AB630" s="0" t="n">
        <f aca="false">IF(AA630=1,U630+O630,0)</f>
        <v>0</v>
      </c>
      <c r="AC630" s="0" t="n">
        <f aca="false">IF(AA630=1,100*AB630/B630,"")</f>
        <v>0</v>
      </c>
      <c r="AD630" s="0" t="n">
        <f aca="false">IF(AND(AND(ISNUMBER(B630),B630=OriginalFinancials!B630),AND(ISNUMBER(U630),U630=OriginalFinancials!U630),AND(ISNUMBER(O630),O630=OriginalFinancials!O630)),0,1)</f>
        <v>0</v>
      </c>
      <c r="AE630" s="0" t="str">
        <f aca="false">IF(V630=0,"原始0：需核实适用/报告口径","")</f>
        <v/>
      </c>
    </row>
    <row r="631" customFormat="false" ht="15" hidden="false" customHeight="false" outlineLevel="0" collapsed="false">
      <c r="A631" s="0" t="n">
        <v>631</v>
      </c>
      <c r="B631" s="0" t="n">
        <v>593799</v>
      </c>
      <c r="C631" s="0" t="n">
        <v>30350</v>
      </c>
      <c r="D631" s="0" t="n">
        <v>466175</v>
      </c>
      <c r="E631" s="0" t="n">
        <v>0</v>
      </c>
      <c r="F631" s="0" t="n">
        <v>60826</v>
      </c>
      <c r="G631" s="0" t="n">
        <v>10.2435335862809</v>
      </c>
      <c r="H631" s="0" t="s">
        <v>788</v>
      </c>
      <c r="I631" s="0" t="n">
        <v>1.16042376502295</v>
      </c>
      <c r="J631" s="0" t="n">
        <v>15211</v>
      </c>
      <c r="K631" s="0" t="n">
        <v>1706</v>
      </c>
      <c r="L631" s="0" t="n">
        <v>456385</v>
      </c>
      <c r="M631" s="0" t="n">
        <v>451089</v>
      </c>
      <c r="N631" s="0" t="n">
        <v>438311</v>
      </c>
      <c r="O631" s="0" t="n">
        <v>1585</v>
      </c>
      <c r="P631" s="0" t="s">
        <v>188</v>
      </c>
      <c r="Q631" s="0" t="n">
        <v>0.347294499161892</v>
      </c>
      <c r="R631" s="0" t="n">
        <v>2.64702965497799</v>
      </c>
      <c r="S631" s="0" t="n">
        <v>-208</v>
      </c>
      <c r="T631" s="0" t="n">
        <v>5535</v>
      </c>
      <c r="U631" s="0" t="n">
        <v>0</v>
      </c>
      <c r="V631" s="0" t="n">
        <v>20.2115949468161</v>
      </c>
      <c r="W631" s="0" t="n">
        <v>20241231</v>
      </c>
      <c r="X631" s="0" t="n">
        <v>0.659977862877419</v>
      </c>
      <c r="Y631" s="0" t="n">
        <v>6.44</v>
      </c>
      <c r="Z631" s="0" t="s">
        <v>112</v>
      </c>
      <c r="AA631" s="0" t="n">
        <f aca="false">IF(AND(ISNUMBER(B631),B631&gt;0,ISNUMBER(U631),U631&gt;=0,ISNUMBER(O631),O631&gt;=0),1,0)</f>
        <v>1</v>
      </c>
      <c r="AB631" s="0" t="n">
        <f aca="false">IF(AA631=1,U631+O631,0)</f>
        <v>1585</v>
      </c>
      <c r="AC631" s="0" t="n">
        <f aca="false">IF(AA631=1,100*AB631/B631,"")</f>
        <v>0.266925340056147</v>
      </c>
      <c r="AD631" s="0" t="n">
        <f aca="false">IF(AND(AND(ISNUMBER(B631),B631=OriginalFinancials!B631),AND(ISNUMBER(U631),U631=OriginalFinancials!U631),AND(ISNUMBER(O631),O631=OriginalFinancials!O631)),0,1)</f>
        <v>0</v>
      </c>
      <c r="AE631" s="0" t="str">
        <f aca="false">IF(V631=0,"原始0：需核实适用/报告口径","")</f>
        <v/>
      </c>
    </row>
    <row r="632" customFormat="false" ht="15" hidden="false" customHeight="false" outlineLevel="0" collapsed="false">
      <c r="A632" s="0" t="n">
        <v>632</v>
      </c>
      <c r="B632" s="0" t="n">
        <v>99802</v>
      </c>
      <c r="C632" s="0" t="n">
        <v>30878</v>
      </c>
      <c r="D632" s="0" t="n">
        <v>75762</v>
      </c>
      <c r="E632" s="0" t="n">
        <v>0</v>
      </c>
      <c r="F632" s="0" t="n">
        <v>11821</v>
      </c>
      <c r="G632" s="0" t="n">
        <v>11.8444520149897</v>
      </c>
      <c r="H632" s="0" t="s">
        <v>789</v>
      </c>
      <c r="I632" s="0" t="n">
        <v>0.822815703228506</v>
      </c>
      <c r="J632" s="0" t="n">
        <v>0</v>
      </c>
      <c r="K632" s="0" t="n">
        <v>168</v>
      </c>
      <c r="L632" s="0" t="n">
        <v>86046</v>
      </c>
      <c r="M632" s="0" t="n">
        <v>85338</v>
      </c>
      <c r="N632" s="0" t="n">
        <v>85877</v>
      </c>
      <c r="O632" s="0" t="n">
        <v>1428</v>
      </c>
      <c r="P632" s="0" t="s">
        <v>190</v>
      </c>
      <c r="Q632" s="0" t="n">
        <v>1.65957743532529</v>
      </c>
      <c r="R632" s="0" t="n">
        <v>1.05272775262421</v>
      </c>
      <c r="S632" s="0" t="n">
        <v>0</v>
      </c>
      <c r="T632" s="0" t="n">
        <v>720</v>
      </c>
      <c r="U632" s="0" t="n">
        <v>0</v>
      </c>
      <c r="V632" s="0" t="n">
        <v>0</v>
      </c>
      <c r="W632" s="0" t="n">
        <v>20241231</v>
      </c>
      <c r="X632" s="0" t="n">
        <v>-0.519758644406928</v>
      </c>
      <c r="Y632" s="0" t="n">
        <v>-4.39</v>
      </c>
      <c r="Z632" s="0" t="s">
        <v>105</v>
      </c>
      <c r="AA632" s="0" t="n">
        <f aca="false">IF(AND(ISNUMBER(B632),B632&gt;0,ISNUMBER(U632),U632&gt;=0,ISNUMBER(O632),O632&gt;=0),1,0)</f>
        <v>1</v>
      </c>
      <c r="AB632" s="0" t="n">
        <f aca="false">IF(AA632=1,U632+O632,0)</f>
        <v>1428</v>
      </c>
      <c r="AC632" s="0" t="n">
        <f aca="false">IF(AA632=1,100*AB632/B632,"")</f>
        <v>1.43083304943789</v>
      </c>
      <c r="AD632" s="0" t="n">
        <f aca="false">IF(AND(AND(ISNUMBER(B632),B632=OriginalFinancials!B632),AND(ISNUMBER(U632),U632=OriginalFinancials!U632),AND(ISNUMBER(O632),O632=OriginalFinancials!O632)),0,1)</f>
        <v>0</v>
      </c>
      <c r="AE632" s="0" t="str">
        <f aca="false">IF(V632=0,"原始0：需核实适用/报告口径","")</f>
        <v>原始0：需核实适用/报告口径</v>
      </c>
    </row>
    <row r="633" customFormat="false" ht="15" hidden="false" customHeight="false" outlineLevel="0" collapsed="false">
      <c r="A633" s="0" t="n">
        <v>633</v>
      </c>
      <c r="B633" s="0" t="n">
        <v>950082</v>
      </c>
      <c r="C633" s="0" t="n">
        <v>33418</v>
      </c>
      <c r="D633" s="0" t="n">
        <v>811387</v>
      </c>
      <c r="E633" s="0" t="n">
        <v>0.07</v>
      </c>
      <c r="F633" s="0" t="n">
        <v>69717</v>
      </c>
      <c r="G633" s="0" t="n">
        <v>7.33799819384011</v>
      </c>
      <c r="H633" s="0" t="s">
        <v>790</v>
      </c>
      <c r="I633" s="0" t="n">
        <v>0.648410884471085</v>
      </c>
      <c r="J633" s="0" t="n">
        <v>72559</v>
      </c>
      <c r="K633" s="0" t="n">
        <v>17090</v>
      </c>
      <c r="L633" s="0" t="n">
        <v>579725</v>
      </c>
      <c r="M633" s="0" t="n">
        <v>575966</v>
      </c>
      <c r="N633" s="0" t="n">
        <v>490295</v>
      </c>
      <c r="O633" s="0" t="n">
        <v>1277</v>
      </c>
      <c r="P633" s="0" t="s">
        <v>192</v>
      </c>
      <c r="Q633" s="0" t="n">
        <v>0.22027685540558</v>
      </c>
      <c r="R633" s="0" t="n">
        <v>2.29282626037658</v>
      </c>
      <c r="S633" s="0" t="n">
        <v>-53</v>
      </c>
      <c r="T633" s="0" t="n">
        <v>451</v>
      </c>
      <c r="U633" s="0" t="n">
        <v>0</v>
      </c>
      <c r="V633" s="0" t="n">
        <v>12.7244669976746</v>
      </c>
      <c r="W633" s="0" t="n">
        <v>20241231</v>
      </c>
      <c r="X633" s="0" t="n">
        <v>0.466342669650027</v>
      </c>
      <c r="Y633" s="0" t="n">
        <v>6.14</v>
      </c>
      <c r="Z633" s="0" t="s">
        <v>112</v>
      </c>
      <c r="AA633" s="0" t="n">
        <f aca="false">IF(AND(ISNUMBER(B633),B633&gt;0,ISNUMBER(U633),U633&gt;=0,ISNUMBER(O633),O633&gt;=0),1,0)</f>
        <v>1</v>
      </c>
      <c r="AB633" s="0" t="n">
        <f aca="false">IF(AA633=1,U633+O633,0)</f>
        <v>1277</v>
      </c>
      <c r="AC633" s="0" t="n">
        <f aca="false">IF(AA633=1,100*AB633/B633,"")</f>
        <v>0.134409450973705</v>
      </c>
      <c r="AD633" s="0" t="n">
        <f aca="false">IF(AND(AND(ISNUMBER(B633),B633=OriginalFinancials!B633),AND(ISNUMBER(U633),U633=OriginalFinancials!U633),AND(ISNUMBER(O633),O633=OriginalFinancials!O633)),0,1)</f>
        <v>0</v>
      </c>
      <c r="AE633" s="0" t="str">
        <f aca="false">IF(V633=0,"原始0：需核实适用/报告口径","")</f>
        <v/>
      </c>
    </row>
    <row r="634" customFormat="false" ht="15" hidden="false" customHeight="false" outlineLevel="0" collapsed="false">
      <c r="A634" s="0" t="n">
        <v>634</v>
      </c>
      <c r="B634" s="0" t="n">
        <v>63348</v>
      </c>
      <c r="C634" s="0" t="n">
        <v>35206</v>
      </c>
      <c r="D634" s="0" t="n">
        <v>500</v>
      </c>
      <c r="E634" s="0" t="n">
        <v>0</v>
      </c>
      <c r="F634" s="0" t="n">
        <v>60476</v>
      </c>
      <c r="G634" s="0" t="n">
        <v>95.466313064343</v>
      </c>
      <c r="H634" s="0" t="s">
        <v>791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  <c r="O634" s="0" t="n">
        <v>0</v>
      </c>
      <c r="P634" s="0" t="s">
        <v>252</v>
      </c>
      <c r="Q634" s="0" t="n">
        <v>0</v>
      </c>
      <c r="R634" s="0" t="n">
        <v>5.07496249787789</v>
      </c>
      <c r="S634" s="0" t="n">
        <v>0</v>
      </c>
      <c r="T634" s="0" t="n">
        <v>0</v>
      </c>
      <c r="U634" s="0" t="n">
        <v>0</v>
      </c>
      <c r="V634" s="0" t="n">
        <v>0</v>
      </c>
      <c r="W634" s="0" t="n">
        <v>20241231</v>
      </c>
      <c r="X634" s="0" t="n">
        <v>20.2893757542401</v>
      </c>
      <c r="Y634" s="0" t="n">
        <v>21.03</v>
      </c>
      <c r="Z634" s="0" t="s">
        <v>123</v>
      </c>
      <c r="AA634" s="0" t="n">
        <f aca="false">IF(AND(ISNUMBER(B634),B634&gt;0,ISNUMBER(U634),U634&gt;=0,ISNUMBER(O634),O634&gt;=0),1,0)</f>
        <v>1</v>
      </c>
      <c r="AB634" s="0" t="n">
        <f aca="false">IF(AA634=1,U634+O634,0)</f>
        <v>0</v>
      </c>
      <c r="AC634" s="0" t="n">
        <f aca="false">IF(AA634=1,100*AB634/B634,"")</f>
        <v>0</v>
      </c>
      <c r="AD634" s="0" t="n">
        <f aca="false">IF(AND(AND(ISNUMBER(B634),B634=OriginalFinancials!B634),AND(ISNUMBER(U634),U634=OriginalFinancials!U634),AND(ISNUMBER(O634),O634=OriginalFinancials!O634)),0,1)</f>
        <v>0</v>
      </c>
      <c r="AE634" s="0" t="str">
        <f aca="false">IF(V634=0,"原始0：需核实适用/报告口径","")</f>
        <v>原始0：需核实适用/报告口径</v>
      </c>
    </row>
    <row r="635" customFormat="false" ht="15" hidden="false" customHeight="false" outlineLevel="0" collapsed="false">
      <c r="A635" s="0" t="n">
        <v>635</v>
      </c>
      <c r="B635" s="0" t="n">
        <v>5790238</v>
      </c>
      <c r="C635" s="0" t="n">
        <v>4255</v>
      </c>
      <c r="D635" s="0" t="n">
        <v>4671726</v>
      </c>
      <c r="E635" s="0" t="n">
        <v>0.01</v>
      </c>
      <c r="F635" s="0" t="n">
        <v>539279</v>
      </c>
      <c r="G635" s="0" t="n">
        <v>9.31358952775344</v>
      </c>
      <c r="H635" s="0" t="s">
        <v>792</v>
      </c>
      <c r="I635" s="0" t="n">
        <v>0.865858777386467</v>
      </c>
      <c r="J635" s="0" t="n">
        <v>317650</v>
      </c>
      <c r="K635" s="0" t="n">
        <v>15066</v>
      </c>
      <c r="L635" s="0" t="n">
        <v>4126308</v>
      </c>
      <c r="M635" s="0" t="n">
        <v>4090580</v>
      </c>
      <c r="N635" s="0" t="n">
        <v>3755741</v>
      </c>
      <c r="O635" s="0" t="n">
        <v>4829</v>
      </c>
      <c r="P635" s="0" t="s">
        <v>194</v>
      </c>
      <c r="Q635" s="0" t="n">
        <v>0.117029557657838</v>
      </c>
      <c r="R635" s="0" t="n">
        <v>2.55088080553464</v>
      </c>
      <c r="S635" s="0" t="n">
        <v>1260</v>
      </c>
      <c r="T635" s="0" t="n">
        <v>2261</v>
      </c>
      <c r="U635" s="0" t="n">
        <v>0</v>
      </c>
      <c r="V635" s="0" t="n">
        <v>14.3631579775332</v>
      </c>
      <c r="W635" s="0" t="n">
        <v>20241231</v>
      </c>
      <c r="X635" s="0" t="n">
        <v>0.966146562932645</v>
      </c>
      <c r="Y635" s="0" t="n">
        <v>10.56</v>
      </c>
      <c r="Z635" s="0" t="s">
        <v>105</v>
      </c>
      <c r="AA635" s="0" t="n">
        <f aca="false">IF(AND(ISNUMBER(B635),B635&gt;0,ISNUMBER(U635),U635&gt;=0,ISNUMBER(O635),O635&gt;=0),1,0)</f>
        <v>1</v>
      </c>
      <c r="AB635" s="0" t="n">
        <f aca="false">IF(AA635=1,U635+O635,0)</f>
        <v>4829</v>
      </c>
      <c r="AC635" s="0" t="n">
        <f aca="false">IF(AA635=1,100*AB635/B635,"")</f>
        <v>0.0833989898169989</v>
      </c>
      <c r="AD635" s="0" t="n">
        <f aca="false">IF(AND(AND(ISNUMBER(B635),B635=OriginalFinancials!B635),AND(ISNUMBER(U635),U635=OriginalFinancials!U635),AND(ISNUMBER(O635),O635=OriginalFinancials!O635)),0,1)</f>
        <v>0</v>
      </c>
      <c r="AE635" s="0" t="str">
        <f aca="false">IF(V635=0,"原始0：需核实适用/报告口径","")</f>
        <v/>
      </c>
    </row>
    <row r="636" customFormat="false" ht="15" hidden="false" customHeight="false" outlineLevel="0" collapsed="false">
      <c r="A636" s="0" t="n">
        <v>636</v>
      </c>
      <c r="B636" s="0" t="n">
        <v>3121442</v>
      </c>
      <c r="C636" s="0" t="n">
        <v>4256</v>
      </c>
      <c r="D636" s="0" t="n">
        <v>2726323</v>
      </c>
      <c r="E636" s="0" t="n">
        <v>0.02</v>
      </c>
      <c r="F636" s="0" t="n">
        <v>223532</v>
      </c>
      <c r="G636" s="0" t="n">
        <v>7.1611774301749</v>
      </c>
      <c r="H636" s="0" t="s">
        <v>793</v>
      </c>
      <c r="I636" s="0" t="n">
        <v>1.06243645714969</v>
      </c>
      <c r="J636" s="0" t="n">
        <v>364018</v>
      </c>
      <c r="K636" s="0" t="n">
        <v>20790</v>
      </c>
      <c r="L636" s="0" t="n">
        <v>2340940</v>
      </c>
      <c r="M636" s="0" t="n">
        <v>2316069</v>
      </c>
      <c r="N636" s="0" t="n">
        <v>1846128</v>
      </c>
      <c r="O636" s="0" t="n">
        <v>4248</v>
      </c>
      <c r="P636" s="0" t="s">
        <v>196</v>
      </c>
      <c r="Q636" s="0" t="n">
        <v>0.225037805326065</v>
      </c>
      <c r="R636" s="0" t="n">
        <v>2.24895844222402</v>
      </c>
      <c r="S636" s="0" t="n">
        <v>463</v>
      </c>
      <c r="T636" s="0" t="n">
        <v>6975</v>
      </c>
      <c r="U636" s="0" t="n">
        <v>1020</v>
      </c>
      <c r="V636" s="0" t="n">
        <v>13.1573411623733</v>
      </c>
      <c r="W636" s="0" t="n">
        <v>20241231</v>
      </c>
      <c r="X636" s="0" t="n">
        <v>0.926763449403844</v>
      </c>
      <c r="Y636" s="0" t="n">
        <v>12.79</v>
      </c>
      <c r="Z636" s="0" t="s">
        <v>105</v>
      </c>
      <c r="AA636" s="0" t="n">
        <f aca="false">IF(AND(ISNUMBER(B636),B636&gt;0,ISNUMBER(U636),U636&gt;=0,ISNUMBER(O636),O636&gt;=0),1,0)</f>
        <v>1</v>
      </c>
      <c r="AB636" s="0" t="n">
        <f aca="false">IF(AA636=1,U636+O636,0)</f>
        <v>5268</v>
      </c>
      <c r="AC636" s="0" t="n">
        <f aca="false">IF(AA636=1,100*AB636/B636,"")</f>
        <v>0.168768152667902</v>
      </c>
      <c r="AD636" s="0" t="n">
        <f aca="false">IF(AND(AND(ISNUMBER(B636),B636=OriginalFinancials!B636),AND(ISNUMBER(U636),U636=OriginalFinancials!U636),AND(ISNUMBER(O636),O636=OriginalFinancials!O636)),0,1)</f>
        <v>0</v>
      </c>
      <c r="AE636" s="0" t="str">
        <f aca="false">IF(V636=0,"原始0：需核实适用/报告口径","")</f>
        <v/>
      </c>
    </row>
    <row r="637" customFormat="false" ht="15" hidden="false" customHeight="false" outlineLevel="0" collapsed="false">
      <c r="A637" s="0" t="n">
        <v>637</v>
      </c>
      <c r="B637" s="0" t="n">
        <v>708844</v>
      </c>
      <c r="C637" s="0" t="n">
        <v>59086</v>
      </c>
      <c r="D637" s="0" t="n">
        <v>603651</v>
      </c>
      <c r="E637" s="0" t="n">
        <v>0.09</v>
      </c>
      <c r="F637" s="0" t="n">
        <v>99876</v>
      </c>
      <c r="G637" s="0" t="n">
        <v>14.0899831274582</v>
      </c>
      <c r="H637" s="0" t="s">
        <v>794</v>
      </c>
      <c r="I637" s="0" t="n">
        <v>0.978515067496173</v>
      </c>
      <c r="J637" s="0" t="n">
        <v>122091</v>
      </c>
      <c r="K637" s="0" t="n">
        <v>0</v>
      </c>
      <c r="L637" s="0" t="n">
        <v>599071</v>
      </c>
      <c r="M637" s="0" t="n">
        <v>593209</v>
      </c>
      <c r="N637" s="0" t="n">
        <v>477361</v>
      </c>
      <c r="O637" s="0" t="n">
        <v>4078</v>
      </c>
      <c r="P637" s="0" t="s">
        <v>198</v>
      </c>
      <c r="Q637" s="0" t="n">
        <v>0.540670471446623</v>
      </c>
      <c r="R637" s="0" t="n">
        <v>3.84189620368562</v>
      </c>
      <c r="S637" s="0" t="n">
        <v>405</v>
      </c>
      <c r="T637" s="0" t="n">
        <v>513</v>
      </c>
      <c r="U637" s="0" t="n">
        <v>486</v>
      </c>
      <c r="V637" s="0" t="n">
        <v>16.4547485172918</v>
      </c>
      <c r="W637" s="0" t="n">
        <v>20241231</v>
      </c>
      <c r="X637" s="0" t="n">
        <v>1.51475323091527</v>
      </c>
      <c r="Y637" s="0" t="n">
        <v>11.38</v>
      </c>
      <c r="Z637" s="0" t="s">
        <v>123</v>
      </c>
      <c r="AA637" s="0" t="n">
        <f aca="false">IF(AND(ISNUMBER(B637),B637&gt;0,ISNUMBER(U637),U637&gt;=0,ISNUMBER(O637),O637&gt;=0),1,0)</f>
        <v>1</v>
      </c>
      <c r="AB637" s="0" t="n">
        <f aca="false">IF(AA637=1,U637+O637,0)</f>
        <v>4564</v>
      </c>
      <c r="AC637" s="0" t="n">
        <f aca="false">IF(AA637=1,100*AB637/B637,"")</f>
        <v>0.643865222813482</v>
      </c>
      <c r="AD637" s="0" t="n">
        <f aca="false">IF(AND(AND(ISNUMBER(B637),B637=OriginalFinancials!B637),AND(ISNUMBER(U637),U637=OriginalFinancials!U637),AND(ISNUMBER(O637),O637=OriginalFinancials!O637)),0,1)</f>
        <v>0</v>
      </c>
      <c r="AE637" s="0" t="str">
        <f aca="false">IF(V637=0,"原始0：需核实适用/报告口径","")</f>
        <v/>
      </c>
    </row>
    <row r="638" customFormat="false" ht="15" hidden="false" customHeight="false" outlineLevel="0" collapsed="false">
      <c r="A638" s="0" t="n">
        <v>638</v>
      </c>
      <c r="B638" s="0" t="n">
        <v>237381</v>
      </c>
      <c r="C638" s="0" t="n">
        <v>59176</v>
      </c>
      <c r="D638" s="0" t="n">
        <v>196927</v>
      </c>
      <c r="E638" s="0" t="n">
        <v>0.09</v>
      </c>
      <c r="F638" s="0" t="n">
        <v>27230</v>
      </c>
      <c r="G638" s="0" t="n">
        <v>11.4710107380119</v>
      </c>
      <c r="H638" s="0" t="s">
        <v>795</v>
      </c>
      <c r="I638" s="0" t="n">
        <v>0.938302204124989</v>
      </c>
      <c r="J638" s="0" t="n">
        <v>24140</v>
      </c>
      <c r="K638" s="0" t="n">
        <v>0</v>
      </c>
      <c r="L638" s="0" t="n">
        <v>180752</v>
      </c>
      <c r="M638" s="0" t="n">
        <v>179056</v>
      </c>
      <c r="N638" s="0" t="n">
        <v>156611</v>
      </c>
      <c r="O638" s="0" t="n">
        <v>0</v>
      </c>
      <c r="P638" s="0" t="s">
        <v>200</v>
      </c>
      <c r="Q638" s="0" t="n">
        <v>0</v>
      </c>
      <c r="R638" s="0" t="n">
        <v>2.52736720420682</v>
      </c>
      <c r="S638" s="0" t="n">
        <v>-32</v>
      </c>
      <c r="T638" s="0" t="n">
        <v>0</v>
      </c>
      <c r="U638" s="0" t="n">
        <v>0</v>
      </c>
      <c r="V638" s="0" t="n">
        <v>0</v>
      </c>
      <c r="W638" s="0" t="n">
        <v>20241231</v>
      </c>
      <c r="X638" s="0" t="n">
        <v>0.113409014371779</v>
      </c>
      <c r="Y638" s="0" t="n">
        <v>1</v>
      </c>
      <c r="Z638" s="0" t="s">
        <v>123</v>
      </c>
      <c r="AA638" s="0" t="n">
        <f aca="false">IF(AND(ISNUMBER(B638),B638&gt;0,ISNUMBER(U638),U638&gt;=0,ISNUMBER(O638),O638&gt;=0),1,0)</f>
        <v>1</v>
      </c>
      <c r="AB638" s="0" t="n">
        <f aca="false">IF(AA638=1,U638+O638,0)</f>
        <v>0</v>
      </c>
      <c r="AC638" s="0" t="n">
        <f aca="false">IF(AA638=1,100*AB638/B638,"")</f>
        <v>0</v>
      </c>
      <c r="AD638" s="0" t="n">
        <f aca="false">IF(AND(AND(ISNUMBER(B638),B638=OriginalFinancials!B638),AND(ISNUMBER(U638),U638=OriginalFinancials!U638),AND(ISNUMBER(O638),O638=OriginalFinancials!O638)),0,1)</f>
        <v>0</v>
      </c>
      <c r="AE638" s="0" t="str">
        <f aca="false">IF(V638=0,"原始0：需核实适用/报告口径","")</f>
        <v>原始0：需核实适用/报告口径</v>
      </c>
    </row>
    <row r="639" customFormat="false" ht="15" hidden="false" customHeight="false" outlineLevel="0" collapsed="false">
      <c r="A639" s="0" t="n">
        <v>639</v>
      </c>
      <c r="B639" s="0" t="n">
        <v>123766</v>
      </c>
      <c r="C639" s="0" t="n">
        <v>59289</v>
      </c>
      <c r="D639" s="0" t="n">
        <v>107030</v>
      </c>
      <c r="E639" s="0" t="n">
        <v>2.56</v>
      </c>
      <c r="F639" s="0" t="n">
        <v>15858</v>
      </c>
      <c r="G639" s="0" t="n">
        <v>12.8128888386148</v>
      </c>
      <c r="H639" s="0" t="s">
        <v>796</v>
      </c>
      <c r="I639" s="0" t="n">
        <v>0.666906366346165</v>
      </c>
      <c r="J639" s="0" t="n">
        <v>38749</v>
      </c>
      <c r="K639" s="0" t="n">
        <v>0</v>
      </c>
      <c r="L639" s="0" t="n">
        <v>86219</v>
      </c>
      <c r="M639" s="0" t="n">
        <v>85644</v>
      </c>
      <c r="N639" s="0" t="n">
        <v>35426</v>
      </c>
      <c r="O639" s="0" t="n">
        <v>2234</v>
      </c>
      <c r="P639" s="0" t="s">
        <v>364</v>
      </c>
      <c r="Q639" s="0" t="n">
        <v>2.59107621289971</v>
      </c>
      <c r="R639" s="0" t="n">
        <v>3.81997554271963</v>
      </c>
      <c r="S639" s="0" t="n">
        <v>2553</v>
      </c>
      <c r="T639" s="0" t="n">
        <v>2590</v>
      </c>
      <c r="U639" s="0" t="n">
        <v>0</v>
      </c>
      <c r="V639" s="0" t="n">
        <v>0</v>
      </c>
      <c r="W639" s="0" t="n">
        <v>20241231</v>
      </c>
      <c r="X639" s="0" t="n">
        <v>-3.22755669629028</v>
      </c>
      <c r="Y639" s="0" t="n">
        <v>-18.8</v>
      </c>
      <c r="Z639" s="0" t="s">
        <v>123</v>
      </c>
      <c r="AA639" s="0" t="n">
        <f aca="false">IF(AND(ISNUMBER(B639),B639&gt;0,ISNUMBER(U639),U639&gt;=0,ISNUMBER(O639),O639&gt;=0),1,0)</f>
        <v>1</v>
      </c>
      <c r="AB639" s="0" t="n">
        <f aca="false">IF(AA639=1,U639+O639,0)</f>
        <v>2234</v>
      </c>
      <c r="AC639" s="0" t="n">
        <f aca="false">IF(AA639=1,100*AB639/B639,"")</f>
        <v>1.80501914903932</v>
      </c>
      <c r="AD639" s="0" t="n">
        <f aca="false">IF(AND(AND(ISNUMBER(B639),B639=OriginalFinancials!B639),AND(ISNUMBER(U639),U639=OriginalFinancials!U639),AND(ISNUMBER(O639),O639=OriginalFinancials!O639)),0,1)</f>
        <v>0</v>
      </c>
      <c r="AE639" s="0" t="str">
        <f aca="false">IF(V639=0,"原始0：需核实适用/报告口径","")</f>
        <v>原始0：需核实适用/报告口径</v>
      </c>
    </row>
    <row r="640" customFormat="false" ht="15" hidden="false" customHeight="false" outlineLevel="0" collapsed="false">
      <c r="A640" s="0" t="n">
        <v>640</v>
      </c>
      <c r="B640" s="0" t="n">
        <v>261157</v>
      </c>
      <c r="C640" s="0" t="n">
        <v>59298</v>
      </c>
      <c r="D640" s="0" t="n">
        <v>236473</v>
      </c>
      <c r="E640" s="0" t="n">
        <v>0.27</v>
      </c>
      <c r="F640" s="0" t="n">
        <v>23720</v>
      </c>
      <c r="G640" s="0" t="n">
        <v>9.08265909012586</v>
      </c>
      <c r="H640" s="0" t="s">
        <v>797</v>
      </c>
      <c r="I640" s="0" t="n">
        <v>0.800296567665402</v>
      </c>
      <c r="J640" s="0" t="n">
        <v>31832</v>
      </c>
      <c r="K640" s="0" t="n">
        <v>0</v>
      </c>
      <c r="L640" s="0" t="n">
        <v>137574</v>
      </c>
      <c r="M640" s="0" t="n">
        <v>136473</v>
      </c>
      <c r="N640" s="0" t="n">
        <v>105764</v>
      </c>
      <c r="O640" s="0" t="n">
        <v>0</v>
      </c>
      <c r="P640" s="0" t="s">
        <v>310</v>
      </c>
      <c r="Q640" s="0" t="n">
        <v>0</v>
      </c>
      <c r="R640" s="0" t="n">
        <v>2.05742766499991</v>
      </c>
      <c r="S640" s="0" t="n">
        <v>0</v>
      </c>
      <c r="T640" s="0" t="n">
        <v>0</v>
      </c>
      <c r="U640" s="0" t="n">
        <v>0</v>
      </c>
      <c r="V640" s="0" t="n">
        <v>17.5772477993456</v>
      </c>
      <c r="W640" s="0" t="n">
        <v>20241231</v>
      </c>
      <c r="X640" s="0" t="n">
        <v>-0.940503539781518</v>
      </c>
      <c r="Y640" s="0" t="n">
        <v>-7.72</v>
      </c>
      <c r="Z640" s="0" t="s">
        <v>112</v>
      </c>
      <c r="AA640" s="0" t="n">
        <f aca="false">IF(AND(ISNUMBER(B640),B640&gt;0,ISNUMBER(U640),U640&gt;=0,ISNUMBER(O640),O640&gt;=0),1,0)</f>
        <v>1</v>
      </c>
      <c r="AB640" s="0" t="n">
        <f aca="false">IF(AA640=1,U640+O640,0)</f>
        <v>0</v>
      </c>
      <c r="AC640" s="0" t="n">
        <f aca="false">IF(AA640=1,100*AB640/B640,"")</f>
        <v>0</v>
      </c>
      <c r="AD640" s="0" t="n">
        <f aca="false">IF(AND(AND(ISNUMBER(B640),B640=OriginalFinancials!B640),AND(ISNUMBER(U640),U640=OriginalFinancials!U640),AND(ISNUMBER(O640),O640=OriginalFinancials!O640)),0,1)</f>
        <v>0</v>
      </c>
      <c r="AE640" s="0" t="str">
        <f aca="false">IF(V640=0,"原始0：需核实适用/报告口径","")</f>
        <v/>
      </c>
    </row>
    <row r="641" customFormat="false" ht="15" hidden="false" customHeight="false" outlineLevel="0" collapsed="false">
      <c r="A641" s="0" t="n">
        <v>641</v>
      </c>
      <c r="B641" s="0" t="n">
        <v>1248213</v>
      </c>
      <c r="C641" s="0" t="n">
        <v>6271</v>
      </c>
      <c r="D641" s="0" t="n">
        <v>1002714</v>
      </c>
      <c r="E641" s="0" t="n">
        <v>0.1</v>
      </c>
      <c r="F641" s="0" t="n">
        <v>110120</v>
      </c>
      <c r="G641" s="0" t="n">
        <v>8.8222122346106</v>
      </c>
      <c r="H641" s="0" t="s">
        <v>798</v>
      </c>
      <c r="I641" s="0" t="n">
        <v>1.05644154733687</v>
      </c>
      <c r="J641" s="0" t="n">
        <v>124383</v>
      </c>
      <c r="K641" s="0" t="n">
        <v>6728</v>
      </c>
      <c r="L641" s="0" t="n">
        <v>928589</v>
      </c>
      <c r="M641" s="0" t="n">
        <v>918779</v>
      </c>
      <c r="N641" s="0" t="n">
        <v>726591</v>
      </c>
      <c r="O641" s="0" t="n">
        <v>8338</v>
      </c>
      <c r="P641" s="0" t="s">
        <v>202</v>
      </c>
      <c r="Q641" s="0" t="n">
        <v>0.984719827609416</v>
      </c>
      <c r="R641" s="0" t="n">
        <v>3.30963366885195</v>
      </c>
      <c r="S641" s="0" t="n">
        <v>1268</v>
      </c>
      <c r="T641" s="0" t="n">
        <v>3522</v>
      </c>
      <c r="U641" s="0" t="n">
        <v>806</v>
      </c>
      <c r="V641" s="0" t="n">
        <v>14.7627252333487</v>
      </c>
      <c r="W641" s="0" t="n">
        <v>20241231</v>
      </c>
      <c r="X641" s="0" t="n">
        <v>1.22232640966748</v>
      </c>
      <c r="Y641" s="0" t="n">
        <v>13.31</v>
      </c>
      <c r="Z641" s="0" t="s">
        <v>112</v>
      </c>
      <c r="AA641" s="0" t="n">
        <f aca="false">IF(AND(ISNUMBER(B641),B641&gt;0,ISNUMBER(U641),U641&gt;=0,ISNUMBER(O641),O641&gt;=0),1,0)</f>
        <v>1</v>
      </c>
      <c r="AB641" s="0" t="n">
        <f aca="false">IF(AA641=1,U641+O641,0)</f>
        <v>9144</v>
      </c>
      <c r="AC641" s="0" t="n">
        <f aca="false">IF(AA641=1,100*AB641/B641,"")</f>
        <v>0.732567278180887</v>
      </c>
      <c r="AD641" s="0" t="n">
        <f aca="false">IF(AND(AND(ISNUMBER(B641),B641=OriginalFinancials!B641),AND(ISNUMBER(U641),U641=OriginalFinancials!U641),AND(ISNUMBER(O641),O641=OriginalFinancials!O641)),0,1)</f>
        <v>0</v>
      </c>
      <c r="AE641" s="0" t="str">
        <f aca="false">IF(V641=0,"原始0：需核实适用/报告口径","")</f>
        <v/>
      </c>
    </row>
    <row r="642" customFormat="false" ht="15" hidden="false" customHeight="false" outlineLevel="0" collapsed="false">
      <c r="A642" s="0" t="n">
        <v>642</v>
      </c>
      <c r="B642" s="0" t="n">
        <v>547799</v>
      </c>
      <c r="C642" s="0" t="n">
        <v>6275</v>
      </c>
      <c r="D642" s="0" t="n">
        <v>491990</v>
      </c>
      <c r="E642" s="0" t="n">
        <v>-0.01</v>
      </c>
      <c r="F642" s="0" t="n">
        <v>33538</v>
      </c>
      <c r="G642" s="0" t="n">
        <v>6.12231858765715</v>
      </c>
      <c r="H642" s="0" t="s">
        <v>799</v>
      </c>
      <c r="I642" s="0" t="n">
        <v>0.387001341604651</v>
      </c>
      <c r="J642" s="0" t="n">
        <v>34535</v>
      </c>
      <c r="K642" s="0" t="n">
        <v>8857</v>
      </c>
      <c r="L642" s="0" t="n">
        <v>348836</v>
      </c>
      <c r="M642" s="0" t="n">
        <v>347486</v>
      </c>
      <c r="N642" s="0" t="n">
        <v>295604</v>
      </c>
      <c r="O642" s="0" t="n">
        <v>694</v>
      </c>
      <c r="P642" s="0" t="s">
        <v>204</v>
      </c>
      <c r="Q642" s="0" t="n">
        <v>0.2376474905113</v>
      </c>
      <c r="R642" s="0" t="n">
        <v>2.93570449521976</v>
      </c>
      <c r="S642" s="0" t="n">
        <v>-22</v>
      </c>
      <c r="T642" s="0" t="n">
        <v>113</v>
      </c>
      <c r="U642" s="0" t="n">
        <v>135</v>
      </c>
      <c r="V642" s="0" t="n">
        <v>15.4276600675766</v>
      </c>
      <c r="W642" s="0" t="n">
        <v>20241231</v>
      </c>
      <c r="X642" s="0" t="n">
        <v>0.621758716658391</v>
      </c>
      <c r="Y642" s="0" t="n">
        <v>10.72</v>
      </c>
      <c r="Z642" s="0" t="s">
        <v>112</v>
      </c>
      <c r="AA642" s="0" t="n">
        <f aca="false">IF(AND(ISNUMBER(B642),B642&gt;0,ISNUMBER(U642),U642&gt;=0,ISNUMBER(O642),O642&gt;=0),1,0)</f>
        <v>1</v>
      </c>
      <c r="AB642" s="0" t="n">
        <f aca="false">IF(AA642=1,U642+O642,0)</f>
        <v>829</v>
      </c>
      <c r="AC642" s="0" t="n">
        <f aca="false">IF(AA642=1,100*AB642/B642,"")</f>
        <v>0.151332879395545</v>
      </c>
      <c r="AD642" s="0" t="n">
        <f aca="false">IF(AND(AND(ISNUMBER(B642),B642=OriginalFinancials!B642),AND(ISNUMBER(U642),U642=OriginalFinancials!U642),AND(ISNUMBER(O642),O642=OriginalFinancials!O642)),0,1)</f>
        <v>0</v>
      </c>
      <c r="AE642" s="0" t="str">
        <f aca="false">IF(V642=0,"原始0：需核实适用/报告口径","")</f>
        <v/>
      </c>
    </row>
    <row r="643" customFormat="false" ht="15" hidden="false" customHeight="false" outlineLevel="0" collapsed="false">
      <c r="A643" s="0" t="n">
        <v>643</v>
      </c>
      <c r="B643" s="0" t="n">
        <v>87669</v>
      </c>
      <c r="C643" s="0" t="n">
        <v>6280</v>
      </c>
      <c r="D643" s="0" t="n">
        <v>77381</v>
      </c>
      <c r="E643" s="0" t="n">
        <v>0.08</v>
      </c>
      <c r="F643" s="0" t="n">
        <v>9723</v>
      </c>
      <c r="G643" s="0" t="n">
        <v>11.0905793381925</v>
      </c>
      <c r="H643" s="0" t="s">
        <v>800</v>
      </c>
      <c r="I643" s="0" t="n">
        <v>1.28697222849402</v>
      </c>
      <c r="J643" s="0" t="n">
        <v>3883</v>
      </c>
      <c r="K643" s="0" t="n">
        <v>1432</v>
      </c>
      <c r="L643" s="0" t="n">
        <v>70864</v>
      </c>
      <c r="M643" s="0" t="n">
        <v>69952</v>
      </c>
      <c r="N643" s="0" t="n">
        <v>63247</v>
      </c>
      <c r="O643" s="0" t="n">
        <v>1616</v>
      </c>
      <c r="P643" s="0" t="s">
        <v>206</v>
      </c>
      <c r="Q643" s="0" t="n">
        <v>2.2804244750508</v>
      </c>
      <c r="R643" s="0" t="n">
        <v>4.60084938757925</v>
      </c>
      <c r="S643" s="0" t="n">
        <v>48</v>
      </c>
      <c r="T643" s="0" t="n">
        <v>911</v>
      </c>
      <c r="U643" s="0" t="n">
        <v>0</v>
      </c>
      <c r="V643" s="0" t="n">
        <v>0</v>
      </c>
      <c r="W643" s="0" t="n">
        <v>20241231</v>
      </c>
      <c r="X643" s="0" t="n">
        <v>1.33537142523864</v>
      </c>
      <c r="Y643" s="0" t="n">
        <v>11.41</v>
      </c>
      <c r="Z643" s="0" t="s">
        <v>112</v>
      </c>
      <c r="AA643" s="0" t="n">
        <f aca="false">IF(AND(ISNUMBER(B643),B643&gt;0,ISNUMBER(U643),U643&gt;=0,ISNUMBER(O643),O643&gt;=0),1,0)</f>
        <v>1</v>
      </c>
      <c r="AB643" s="0" t="n">
        <f aca="false">IF(AA643=1,U643+O643,0)</f>
        <v>1616</v>
      </c>
      <c r="AC643" s="0" t="n">
        <f aca="false">IF(AA643=1,100*AB643/B643,"")</f>
        <v>1.84329694646911</v>
      </c>
      <c r="AD643" s="0" t="n">
        <f aca="false">IF(AND(AND(ISNUMBER(B643),B643=OriginalFinancials!B643),AND(ISNUMBER(U643),U643=OriginalFinancials!U643),AND(ISNUMBER(O643),O643=OriginalFinancials!O643)),0,1)</f>
        <v>0</v>
      </c>
      <c r="AE643" s="0" t="str">
        <f aca="false">IF(V643=0,"原始0：需核实适用/报告口径","")</f>
        <v>原始0：需核实适用/报告口径</v>
      </c>
    </row>
    <row r="644" customFormat="false" ht="15" hidden="false" customHeight="false" outlineLevel="0" collapsed="false">
      <c r="A644" s="0" t="n">
        <v>644</v>
      </c>
      <c r="B644" s="0" t="n">
        <v>4058800</v>
      </c>
      <c r="C644" s="0" t="n">
        <v>11971</v>
      </c>
      <c r="D644" s="0" t="n">
        <v>3305747</v>
      </c>
      <c r="E644" s="0" t="n">
        <v>0.06</v>
      </c>
      <c r="F644" s="0" t="n">
        <v>500720</v>
      </c>
      <c r="G644" s="0" t="n">
        <v>12.3366512269636</v>
      </c>
      <c r="H644" s="0" t="s">
        <v>801</v>
      </c>
      <c r="I644" s="0" t="n">
        <v>0.915427125743101</v>
      </c>
      <c r="J644" s="0" t="n">
        <v>208556</v>
      </c>
      <c r="K644" s="0" t="n">
        <v>7696</v>
      </c>
      <c r="L644" s="0" t="n">
        <v>3125754</v>
      </c>
      <c r="M644" s="0" t="n">
        <v>3097140</v>
      </c>
      <c r="N644" s="0" t="n">
        <v>2780638</v>
      </c>
      <c r="O644" s="0" t="n">
        <v>8085</v>
      </c>
      <c r="P644" s="0" t="s">
        <v>104</v>
      </c>
      <c r="Q644" s="0" t="n">
        <v>0.258721575658225</v>
      </c>
      <c r="R644" s="0" t="n">
        <v>3.24242457260534</v>
      </c>
      <c r="S644" s="0" t="n">
        <v>74</v>
      </c>
      <c r="T644" s="0" t="n">
        <v>12615</v>
      </c>
      <c r="U644" s="0" t="n">
        <v>2</v>
      </c>
      <c r="V644" s="0" t="n">
        <v>13.6146361419019</v>
      </c>
      <c r="W644" s="0" t="n">
        <v>20250331</v>
      </c>
      <c r="X644" s="0" t="n">
        <v>1.15455749971395</v>
      </c>
      <c r="Y644" s="0" t="n">
        <v>9.45</v>
      </c>
      <c r="Z644" s="0" t="s">
        <v>105</v>
      </c>
      <c r="AA644" s="0" t="n">
        <f aca="false">IF(AND(ISNUMBER(B644),B644&gt;0,ISNUMBER(U644),U644&gt;=0,ISNUMBER(O644),O644&gt;=0),1,0)</f>
        <v>1</v>
      </c>
      <c r="AB644" s="0" t="n">
        <f aca="false">IF(AA644=1,U644+O644,0)</f>
        <v>8087</v>
      </c>
      <c r="AC644" s="0" t="n">
        <f aca="false">IF(AA644=1,100*AB644/B644,"")</f>
        <v>0.199246082585986</v>
      </c>
      <c r="AD644" s="0" t="n">
        <f aca="false">IF(AND(AND(ISNUMBER(B644),B644=OriginalFinancials!B644),AND(ISNUMBER(U644),U644=OriginalFinancials!U644),AND(ISNUMBER(O644),O644=OriginalFinancials!O644)),0,1)</f>
        <v>0</v>
      </c>
      <c r="AE644" s="0" t="str">
        <f aca="false">IF(V644=0,"原始0：需核实适用/报告口径","")</f>
        <v/>
      </c>
    </row>
    <row r="645" customFormat="false" ht="15" hidden="false" customHeight="false" outlineLevel="0" collapsed="false">
      <c r="A645" s="0" t="n">
        <v>645</v>
      </c>
      <c r="B645" s="0" t="n">
        <v>1079094</v>
      </c>
      <c r="C645" s="0" t="n">
        <v>12874</v>
      </c>
      <c r="D645" s="0" t="n">
        <v>929947</v>
      </c>
      <c r="E645" s="0" t="n">
        <v>-0.01</v>
      </c>
      <c r="F645" s="0" t="n">
        <v>99521</v>
      </c>
      <c r="G645" s="0" t="n">
        <v>9.22264418113714</v>
      </c>
      <c r="H645" s="0" t="s">
        <v>802</v>
      </c>
      <c r="I645" s="0" t="n">
        <v>0.998844467154037</v>
      </c>
      <c r="J645" s="0" t="n">
        <v>165192</v>
      </c>
      <c r="K645" s="0" t="n">
        <v>4366</v>
      </c>
      <c r="L645" s="0" t="n">
        <v>853286</v>
      </c>
      <c r="M645" s="0" t="n">
        <v>844763</v>
      </c>
      <c r="N645" s="0" t="n">
        <v>668513</v>
      </c>
      <c r="O645" s="0" t="n">
        <v>1396</v>
      </c>
      <c r="P645" s="0" t="s">
        <v>107</v>
      </c>
      <c r="Q645" s="0" t="n">
        <v>0.164891958850843</v>
      </c>
      <c r="R645" s="0" t="n">
        <v>3.76276007753566</v>
      </c>
      <c r="S645" s="0" t="n">
        <v>-2</v>
      </c>
      <c r="T645" s="0" t="n">
        <v>6414</v>
      </c>
      <c r="U645" s="0" t="n">
        <v>11</v>
      </c>
      <c r="V645" s="0" t="n">
        <v>15.5622111834708</v>
      </c>
      <c r="W645" s="0" t="n">
        <v>20250331</v>
      </c>
      <c r="X645" s="0" t="n">
        <v>0.913939100696902</v>
      </c>
      <c r="Y645" s="0" t="n">
        <v>10.07</v>
      </c>
      <c r="Z645" s="0" t="s">
        <v>105</v>
      </c>
      <c r="AA645" s="0" t="n">
        <f aca="false">IF(AND(ISNUMBER(B645),B645&gt;0,ISNUMBER(U645),U645&gt;=0,ISNUMBER(O645),O645&gt;=0),1,0)</f>
        <v>1</v>
      </c>
      <c r="AB645" s="0" t="n">
        <f aca="false">IF(AA645=1,U645+O645,0)</f>
        <v>1407</v>
      </c>
      <c r="AC645" s="0" t="n">
        <f aca="false">IF(AA645=1,100*AB645/B645,"")</f>
        <v>0.130387158115975</v>
      </c>
      <c r="AD645" s="0" t="n">
        <f aca="false">IF(AND(AND(ISNUMBER(B645),B645=OriginalFinancials!B645),AND(ISNUMBER(U645),U645=OriginalFinancials!U645),AND(ISNUMBER(O645),O645=OriginalFinancials!O645)),0,1)</f>
        <v>0</v>
      </c>
      <c r="AE645" s="0" t="str">
        <f aca="false">IF(V645=0,"原始0：需核实适用/报告口径","")</f>
        <v/>
      </c>
    </row>
    <row r="646" customFormat="false" ht="15" hidden="false" customHeight="false" outlineLevel="0" collapsed="false">
      <c r="A646" s="0" t="n">
        <v>646</v>
      </c>
      <c r="B646" s="0" t="n">
        <v>1900245</v>
      </c>
      <c r="C646" s="0" t="n">
        <v>13063</v>
      </c>
      <c r="D646" s="0" t="n">
        <v>1610029</v>
      </c>
      <c r="E646" s="0" t="n">
        <v>0.06</v>
      </c>
      <c r="F646" s="0" t="n">
        <v>160439</v>
      </c>
      <c r="G646" s="0" t="n">
        <v>8.44306918318427</v>
      </c>
      <c r="H646" s="0" t="s">
        <v>803</v>
      </c>
      <c r="I646" s="0" t="n">
        <v>1.09940535759926</v>
      </c>
      <c r="J646" s="0" t="n">
        <v>66985</v>
      </c>
      <c r="K646" s="0" t="n">
        <v>833</v>
      </c>
      <c r="L646" s="0" t="n">
        <v>1529827</v>
      </c>
      <c r="M646" s="0" t="n">
        <v>1513008</v>
      </c>
      <c r="N646" s="0" t="n">
        <v>1448578</v>
      </c>
      <c r="O646" s="0" t="n">
        <v>1033</v>
      </c>
      <c r="P646" s="0" t="s">
        <v>109</v>
      </c>
      <c r="Q646" s="0" t="n">
        <v>0.0675239749331133</v>
      </c>
      <c r="R646" s="0" t="n">
        <v>3.3623212139201</v>
      </c>
      <c r="S646" s="0" t="n">
        <v>46</v>
      </c>
      <c r="T646" s="0" t="n">
        <v>6776</v>
      </c>
      <c r="U646" s="0" t="n">
        <v>0</v>
      </c>
      <c r="V646" s="0" t="n">
        <v>0</v>
      </c>
      <c r="W646" s="0" t="n">
        <v>20250331</v>
      </c>
      <c r="X646" s="0" t="n">
        <v>0.573300747201974</v>
      </c>
      <c r="Y646" s="0" t="n">
        <v>6.89</v>
      </c>
      <c r="Z646" s="0" t="s">
        <v>105</v>
      </c>
      <c r="AA646" s="0" t="n">
        <f aca="false">IF(AND(ISNUMBER(B646),B646&gt;0,ISNUMBER(U646),U646&gt;=0,ISNUMBER(O646),O646&gt;=0),1,0)</f>
        <v>1</v>
      </c>
      <c r="AB646" s="0" t="n">
        <f aca="false">IF(AA646=1,U646+O646,0)</f>
        <v>1033</v>
      </c>
      <c r="AC646" s="0" t="n">
        <f aca="false">IF(AA646=1,100*AB646/B646,"")</f>
        <v>0.0543614112917019</v>
      </c>
      <c r="AD646" s="0" t="n">
        <f aca="false">IF(AND(AND(ISNUMBER(B646),B646=OriginalFinancials!B646),AND(ISNUMBER(U646),U646=OriginalFinancials!U646),AND(ISNUMBER(O646),O646=OriginalFinancials!O646)),0,1)</f>
        <v>0</v>
      </c>
      <c r="AE646" s="0" t="str">
        <f aca="false">IF(V646=0,"原始0：需核实适用/报告口径","")</f>
        <v>原始0：需核实适用/报告口径</v>
      </c>
    </row>
    <row r="647" customFormat="false" ht="15" hidden="false" customHeight="false" outlineLevel="0" collapsed="false">
      <c r="A647" s="0" t="n">
        <v>647</v>
      </c>
      <c r="B647" s="0" t="n">
        <v>879312</v>
      </c>
      <c r="C647" s="0" t="n">
        <v>14134</v>
      </c>
      <c r="D647" s="0" t="n">
        <v>701672</v>
      </c>
      <c r="E647" s="0" t="n">
        <v>0.08</v>
      </c>
      <c r="F647" s="0" t="n">
        <v>113111</v>
      </c>
      <c r="G647" s="0" t="n">
        <v>12.8635797077715</v>
      </c>
      <c r="H647" s="0" t="s">
        <v>804</v>
      </c>
      <c r="I647" s="0" t="n">
        <v>1.11974522292994</v>
      </c>
      <c r="J647" s="0" t="n">
        <v>25662</v>
      </c>
      <c r="K647" s="0" t="n">
        <v>17648</v>
      </c>
      <c r="L647" s="0" t="n">
        <v>628000</v>
      </c>
      <c r="M647" s="0" t="n">
        <v>620968</v>
      </c>
      <c r="N647" s="0" t="n">
        <v>556523</v>
      </c>
      <c r="O647" s="0" t="n">
        <v>2972</v>
      </c>
      <c r="P647" s="0" t="s">
        <v>111</v>
      </c>
      <c r="Q647" s="0" t="n">
        <v>0.473248407643312</v>
      </c>
      <c r="R647" s="0" t="n">
        <v>3.08550914447303</v>
      </c>
      <c r="S647" s="0" t="n">
        <v>99</v>
      </c>
      <c r="T647" s="0" t="n">
        <v>4065</v>
      </c>
      <c r="U647" s="0" t="n">
        <v>0</v>
      </c>
      <c r="V647" s="0" t="n">
        <v>20.4880433281027</v>
      </c>
      <c r="W647" s="0" t="n">
        <v>20250331</v>
      </c>
      <c r="X647" s="0" t="n">
        <v>0.0433067891286425</v>
      </c>
      <c r="Y647" s="0" t="n">
        <v>0.34</v>
      </c>
      <c r="Z647" s="0" t="s">
        <v>112</v>
      </c>
      <c r="AA647" s="0" t="n">
        <f aca="false">IF(AND(ISNUMBER(B647),B647&gt;0,ISNUMBER(U647),U647&gt;=0,ISNUMBER(O647),O647&gt;=0),1,0)</f>
        <v>1</v>
      </c>
      <c r="AB647" s="0" t="n">
        <f aca="false">IF(AA647=1,U647+O647,0)</f>
        <v>2972</v>
      </c>
      <c r="AC647" s="0" t="n">
        <f aca="false">IF(AA647=1,100*AB647/B647,"")</f>
        <v>0.337991520643412</v>
      </c>
      <c r="AD647" s="0" t="n">
        <f aca="false">IF(AND(AND(ISNUMBER(B647),B647=OriginalFinancials!B647),AND(ISNUMBER(U647),U647=OriginalFinancials!U647),AND(ISNUMBER(O647),O647=OriginalFinancials!O647)),0,1)</f>
        <v>0</v>
      </c>
      <c r="AE647" s="0" t="str">
        <f aca="false">IF(V647=0,"原始0：需核实适用/报告口径","")</f>
        <v/>
      </c>
    </row>
    <row r="648" customFormat="false" ht="15" hidden="false" customHeight="false" outlineLevel="0" collapsed="false">
      <c r="A648" s="0" t="n">
        <v>648</v>
      </c>
      <c r="B648" s="0" t="n">
        <v>238304</v>
      </c>
      <c r="C648" s="0" t="n">
        <v>14136</v>
      </c>
      <c r="D648" s="0" t="n">
        <v>203853</v>
      </c>
      <c r="E648" s="0" t="n">
        <v>0.01</v>
      </c>
      <c r="F648" s="0" t="n">
        <v>20010</v>
      </c>
      <c r="G648" s="0" t="n">
        <v>8.39683765274607</v>
      </c>
      <c r="H648" s="0" t="s">
        <v>805</v>
      </c>
      <c r="I648" s="0" t="n">
        <v>1.01580700919362</v>
      </c>
      <c r="J648" s="0" t="n">
        <v>15533</v>
      </c>
      <c r="K648" s="0" t="n">
        <v>14735</v>
      </c>
      <c r="L648" s="0" t="n">
        <v>159676</v>
      </c>
      <c r="M648" s="0" t="n">
        <v>158054</v>
      </c>
      <c r="N648" s="0" t="n">
        <v>129094</v>
      </c>
      <c r="O648" s="0" t="n">
        <v>519</v>
      </c>
      <c r="P648" s="0" t="s">
        <v>114</v>
      </c>
      <c r="Q648" s="0" t="n">
        <v>0.611237756456825</v>
      </c>
      <c r="R648" s="0" t="n">
        <v>4.02615024053287</v>
      </c>
      <c r="S648" s="0" t="n">
        <v>19</v>
      </c>
      <c r="T648" s="0" t="n">
        <v>923</v>
      </c>
      <c r="U648" s="0" t="n">
        <v>457</v>
      </c>
      <c r="V648" s="0" t="n">
        <v>18.5712691001976</v>
      </c>
      <c r="W648" s="0" t="n">
        <v>20250331</v>
      </c>
      <c r="X648" s="0" t="n">
        <v>0.650403771333496</v>
      </c>
      <c r="Y648" s="0" t="n">
        <v>7.95</v>
      </c>
      <c r="Z648" s="0" t="s">
        <v>112</v>
      </c>
      <c r="AA648" s="0" t="n">
        <f aca="false">IF(AND(ISNUMBER(B648),B648&gt;0,ISNUMBER(U648),U648&gt;=0,ISNUMBER(O648),O648&gt;=0),1,0)</f>
        <v>1</v>
      </c>
      <c r="AB648" s="0" t="n">
        <f aca="false">IF(AA648=1,U648+O648,0)</f>
        <v>976</v>
      </c>
      <c r="AC648" s="0" t="n">
        <f aca="false">IF(AA648=1,100*AB648/B648,"")</f>
        <v>0.409560897005506</v>
      </c>
      <c r="AD648" s="0" t="n">
        <f aca="false">IF(AND(AND(ISNUMBER(B648),B648=OriginalFinancials!B648),AND(ISNUMBER(U648),U648=OriginalFinancials!U648),AND(ISNUMBER(O648),O648=OriginalFinancials!O648)),0,1)</f>
        <v>0</v>
      </c>
      <c r="AE648" s="0" t="str">
        <f aca="false">IF(V648=0,"原始0：需核实适用/报告口径","")</f>
        <v/>
      </c>
    </row>
    <row r="649" customFormat="false" ht="15" hidden="false" customHeight="false" outlineLevel="0" collapsed="false">
      <c r="A649" s="0" t="n">
        <v>649</v>
      </c>
      <c r="B649" s="0" t="n">
        <v>1555515</v>
      </c>
      <c r="C649" s="0" t="n">
        <v>14140</v>
      </c>
      <c r="D649" s="0" t="n">
        <v>1282177</v>
      </c>
      <c r="E649" s="0" t="n">
        <v>0.06</v>
      </c>
      <c r="F649" s="0" t="n">
        <v>138738</v>
      </c>
      <c r="G649" s="0" t="n">
        <v>8.9191039623533</v>
      </c>
      <c r="H649" s="0" t="s">
        <v>806</v>
      </c>
      <c r="I649" s="0" t="n">
        <v>0.802824689432648</v>
      </c>
      <c r="J649" s="0" t="n">
        <v>92164</v>
      </c>
      <c r="K649" s="0" t="n">
        <v>1649</v>
      </c>
      <c r="L649" s="0" t="n">
        <v>1097749</v>
      </c>
      <c r="M649" s="0" t="n">
        <v>1088936</v>
      </c>
      <c r="N649" s="0" t="n">
        <v>973336</v>
      </c>
      <c r="O649" s="0" t="n">
        <v>6970</v>
      </c>
      <c r="P649" s="0" t="s">
        <v>116</v>
      </c>
      <c r="Q649" s="0" t="n">
        <v>0.634935672908834</v>
      </c>
      <c r="R649" s="0" t="n">
        <v>2.54652856281624</v>
      </c>
      <c r="S649" s="0" t="n">
        <v>5</v>
      </c>
      <c r="T649" s="0" t="n">
        <v>643</v>
      </c>
      <c r="U649" s="0" t="n">
        <v>0</v>
      </c>
      <c r="V649" s="0" t="n">
        <v>0</v>
      </c>
      <c r="W649" s="0" t="n">
        <v>20250331</v>
      </c>
      <c r="X649" s="0" t="n">
        <v>0.225060383816591</v>
      </c>
      <c r="Y649" s="0" t="n">
        <v>2.58</v>
      </c>
      <c r="Z649" s="0" t="s">
        <v>112</v>
      </c>
      <c r="AA649" s="0" t="n">
        <f aca="false">IF(AND(ISNUMBER(B649),B649&gt;0,ISNUMBER(U649),U649&gt;=0,ISNUMBER(O649),O649&gt;=0),1,0)</f>
        <v>1</v>
      </c>
      <c r="AB649" s="0" t="n">
        <f aca="false">IF(AA649=1,U649+O649,0)</f>
        <v>6970</v>
      </c>
      <c r="AC649" s="0" t="n">
        <f aca="false">IF(AA649=1,100*AB649/B649,"")</f>
        <v>0.448083110738244</v>
      </c>
      <c r="AD649" s="0" t="n">
        <f aca="false">IF(AND(AND(ISNUMBER(B649),B649=OriginalFinancials!B649),AND(ISNUMBER(U649),U649=OriginalFinancials!U649),AND(ISNUMBER(O649),O649=OriginalFinancials!O649)),0,1)</f>
        <v>0</v>
      </c>
      <c r="AE649" s="0" t="str">
        <f aca="false">IF(V649=0,"原始0：需核实适用/报告口径","")</f>
        <v>原始0：需核实适用/报告口径</v>
      </c>
    </row>
    <row r="650" customFormat="false" ht="15" hidden="false" customHeight="false" outlineLevel="0" collapsed="false">
      <c r="A650" s="0" t="n">
        <v>650</v>
      </c>
      <c r="B650" s="0" t="n">
        <v>1524011</v>
      </c>
      <c r="C650" s="0" t="n">
        <v>14158</v>
      </c>
      <c r="D650" s="0" t="n">
        <v>1185295</v>
      </c>
      <c r="E650" s="0" t="n">
        <v>0.06</v>
      </c>
      <c r="F650" s="0" t="n">
        <v>85660</v>
      </c>
      <c r="G650" s="0" t="n">
        <v>5.62069433882039</v>
      </c>
      <c r="H650" s="0" t="s">
        <v>807</v>
      </c>
      <c r="I650" s="0" t="n">
        <v>0.694720467098861</v>
      </c>
      <c r="J650" s="0" t="n">
        <v>34450</v>
      </c>
      <c r="K650" s="0" t="n">
        <v>2738</v>
      </c>
      <c r="L650" s="0" t="n">
        <v>1167376</v>
      </c>
      <c r="M650" s="0" t="n">
        <v>1159266</v>
      </c>
      <c r="N650" s="0" t="n">
        <v>1013094</v>
      </c>
      <c r="O650" s="0" t="n">
        <v>14964</v>
      </c>
      <c r="P650" s="0" t="s">
        <v>118</v>
      </c>
      <c r="Q650" s="0" t="n">
        <v>1.28399076218802</v>
      </c>
      <c r="R650" s="0" t="n">
        <v>2.93127630720553</v>
      </c>
      <c r="S650" s="0" t="n">
        <v>-1</v>
      </c>
      <c r="T650" s="0" t="n">
        <v>2204</v>
      </c>
      <c r="U650" s="0" t="n">
        <v>25</v>
      </c>
      <c r="V650" s="0" t="n">
        <v>12.5706891302142</v>
      </c>
      <c r="W650" s="0" t="n">
        <v>20250331</v>
      </c>
      <c r="X650" s="0" t="n">
        <v>0.711495375706064</v>
      </c>
      <c r="Y650" s="0" t="n">
        <v>12.92</v>
      </c>
      <c r="Z650" s="0" t="s">
        <v>112</v>
      </c>
      <c r="AA650" s="0" t="n">
        <f aca="false">IF(AND(ISNUMBER(B650),B650&gt;0,ISNUMBER(U650),U650&gt;=0,ISNUMBER(O650),O650&gt;=0),1,0)</f>
        <v>1</v>
      </c>
      <c r="AB650" s="0" t="n">
        <f aca="false">IF(AA650=1,U650+O650,0)</f>
        <v>14989</v>
      </c>
      <c r="AC650" s="0" t="n">
        <f aca="false">IF(AA650=1,100*AB650/B650,"")</f>
        <v>0.983523084807131</v>
      </c>
      <c r="AD650" s="0" t="n">
        <f aca="false">IF(AND(AND(ISNUMBER(B650),B650=OriginalFinancials!B650),AND(ISNUMBER(U650),U650=OriginalFinancials!U650),AND(ISNUMBER(O650),O650=OriginalFinancials!O650)),0,1)</f>
        <v>0</v>
      </c>
      <c r="AE650" s="0" t="str">
        <f aca="false">IF(V650=0,"原始0：需核实适用/报告口径","")</f>
        <v/>
      </c>
    </row>
    <row r="651" customFormat="false" ht="15" hidden="false" customHeight="false" outlineLevel="0" collapsed="false">
      <c r="A651" s="0" t="n">
        <v>651</v>
      </c>
      <c r="B651" s="0" t="n">
        <v>374654</v>
      </c>
      <c r="C651" s="0" t="n">
        <v>14168</v>
      </c>
      <c r="D651" s="0" t="n">
        <v>330872</v>
      </c>
      <c r="E651" s="0" t="n">
        <v>0.09</v>
      </c>
      <c r="F651" s="0" t="n">
        <v>38318</v>
      </c>
      <c r="G651" s="0" t="n">
        <v>10.2275699712268</v>
      </c>
      <c r="H651" s="0" t="s">
        <v>808</v>
      </c>
      <c r="I651" s="0" t="n">
        <v>1.32641925395326</v>
      </c>
      <c r="J651" s="0" t="n">
        <v>12139</v>
      </c>
      <c r="K651" s="0" t="n">
        <v>10316</v>
      </c>
      <c r="L651" s="0" t="n">
        <v>273066</v>
      </c>
      <c r="M651" s="0" t="n">
        <v>269444</v>
      </c>
      <c r="N651" s="0" t="n">
        <v>233845</v>
      </c>
      <c r="O651" s="0" t="n">
        <v>890</v>
      </c>
      <c r="P651" s="0" t="s">
        <v>120</v>
      </c>
      <c r="Q651" s="0" t="n">
        <v>0.32592853009895</v>
      </c>
      <c r="R651" s="0" t="n">
        <v>4.15331323479868</v>
      </c>
      <c r="S651" s="0" t="n">
        <v>9</v>
      </c>
      <c r="T651" s="0" t="n">
        <v>367</v>
      </c>
      <c r="U651" s="0" t="n">
        <v>0</v>
      </c>
      <c r="V651" s="0" t="n">
        <v>16.7121276852126</v>
      </c>
      <c r="W651" s="0" t="n">
        <v>20250331</v>
      </c>
      <c r="X651" s="0" t="n">
        <v>0.938635242635329</v>
      </c>
      <c r="Y651" s="0" t="n">
        <v>9.17</v>
      </c>
      <c r="Z651" s="0" t="s">
        <v>112</v>
      </c>
      <c r="AA651" s="0" t="n">
        <f aca="false">IF(AND(ISNUMBER(B651),B651&gt;0,ISNUMBER(U651),U651&gt;=0,ISNUMBER(O651),O651&gt;=0),1,0)</f>
        <v>1</v>
      </c>
      <c r="AB651" s="0" t="n">
        <f aca="false">IF(AA651=1,U651+O651,0)</f>
        <v>890</v>
      </c>
      <c r="AC651" s="0" t="n">
        <f aca="false">IF(AA651=1,100*AB651/B651,"")</f>
        <v>0.237552515120618</v>
      </c>
      <c r="AD651" s="0" t="n">
        <f aca="false">IF(AND(AND(ISNUMBER(B651),B651=OriginalFinancials!B651),AND(ISNUMBER(U651),U651=OriginalFinancials!U651),AND(ISNUMBER(O651),O651=OriginalFinancials!O651)),0,1)</f>
        <v>0</v>
      </c>
      <c r="AE651" s="0" t="str">
        <f aca="false">IF(V651=0,"原始0：需核实适用/报告口径","")</f>
        <v/>
      </c>
    </row>
    <row r="652" customFormat="false" ht="15" hidden="false" customHeight="false" outlineLevel="0" collapsed="false">
      <c r="A652" s="0" t="n">
        <v>652</v>
      </c>
      <c r="B652" s="0" t="n">
        <v>1063675</v>
      </c>
      <c r="C652" s="0" t="n">
        <v>17115</v>
      </c>
      <c r="D652" s="0" t="n">
        <v>802777</v>
      </c>
      <c r="E652" s="0" t="n">
        <v>0.05</v>
      </c>
      <c r="F652" s="0" t="n">
        <v>95052</v>
      </c>
      <c r="G652" s="0" t="n">
        <v>8.93618821538534</v>
      </c>
      <c r="H652" s="0" t="s">
        <v>809</v>
      </c>
      <c r="I652" s="0" t="n">
        <v>0.940314386332216</v>
      </c>
      <c r="J652" s="0" t="n">
        <v>38646</v>
      </c>
      <c r="K652" s="0" t="n">
        <v>6322</v>
      </c>
      <c r="L652" s="0" t="n">
        <v>878855</v>
      </c>
      <c r="M652" s="0" t="n">
        <v>870591</v>
      </c>
      <c r="N652" s="0" t="n">
        <v>833023</v>
      </c>
      <c r="O652" s="0" t="n">
        <v>2554</v>
      </c>
      <c r="P652" s="0" t="s">
        <v>125</v>
      </c>
      <c r="Q652" s="0" t="n">
        <v>0.290605389967628</v>
      </c>
      <c r="R652" s="0" t="n">
        <v>2.91572855437526</v>
      </c>
      <c r="S652" s="0" t="n">
        <v>413</v>
      </c>
      <c r="T652" s="0" t="n">
        <v>381</v>
      </c>
      <c r="U652" s="0" t="n">
        <v>0</v>
      </c>
      <c r="V652" s="0" t="n">
        <v>14.7757448270835</v>
      </c>
      <c r="W652" s="0" t="n">
        <v>20250331</v>
      </c>
      <c r="X652" s="0" t="n">
        <v>0.546340907417917</v>
      </c>
      <c r="Y652" s="0" t="n">
        <v>6.15</v>
      </c>
      <c r="Z652" s="0" t="s">
        <v>105</v>
      </c>
      <c r="AA652" s="0" t="n">
        <f aca="false">IF(AND(ISNUMBER(B652),B652&gt;0,ISNUMBER(U652),U652&gt;=0,ISNUMBER(O652),O652&gt;=0),1,0)</f>
        <v>1</v>
      </c>
      <c r="AB652" s="0" t="n">
        <f aca="false">IF(AA652=1,U652+O652,0)</f>
        <v>2554</v>
      </c>
      <c r="AC652" s="0" t="n">
        <f aca="false">IF(AA652=1,100*AB652/B652,"")</f>
        <v>0.240110936141208</v>
      </c>
      <c r="AD652" s="0" t="n">
        <f aca="false">IF(AND(AND(ISNUMBER(B652),B652=OriginalFinancials!B652),AND(ISNUMBER(U652),U652=OriginalFinancials!U652),AND(ISNUMBER(O652),O652=OriginalFinancials!O652)),0,1)</f>
        <v>0</v>
      </c>
      <c r="AE652" s="0" t="str">
        <f aca="false">IF(V652=0,"原始0：需核实适用/报告口径","")</f>
        <v/>
      </c>
    </row>
    <row r="653" customFormat="false" ht="15" hidden="false" customHeight="false" outlineLevel="0" collapsed="false">
      <c r="A653" s="0" t="n">
        <v>653</v>
      </c>
      <c r="B653" s="0" t="n">
        <v>1590319</v>
      </c>
      <c r="C653" s="0" t="n">
        <v>17180</v>
      </c>
      <c r="D653" s="0" t="n">
        <v>1298331</v>
      </c>
      <c r="E653" s="0" t="n">
        <v>0.01</v>
      </c>
      <c r="F653" s="0" t="n">
        <v>145819</v>
      </c>
      <c r="G653" s="0" t="n">
        <v>9.16916668919883</v>
      </c>
      <c r="H653" s="0" t="s">
        <v>810</v>
      </c>
      <c r="I653" s="0" t="n">
        <v>0.991709630969796</v>
      </c>
      <c r="J653" s="0" t="n">
        <v>39933</v>
      </c>
      <c r="K653" s="0" t="n">
        <v>158298</v>
      </c>
      <c r="L653" s="0" t="n">
        <v>1397284</v>
      </c>
      <c r="M653" s="0" t="n">
        <v>1383427</v>
      </c>
      <c r="N653" s="0" t="n">
        <v>1173253</v>
      </c>
      <c r="O653" s="0" t="n">
        <v>5853</v>
      </c>
      <c r="P653" s="0" t="s">
        <v>127</v>
      </c>
      <c r="Q653" s="0" t="n">
        <v>0.420315411899084</v>
      </c>
      <c r="R653" s="0" t="n">
        <v>2.76765129492949</v>
      </c>
      <c r="S653" s="0" t="n">
        <v>66</v>
      </c>
      <c r="T653" s="0" t="n">
        <v>9150</v>
      </c>
      <c r="U653" s="0" t="n">
        <v>20</v>
      </c>
      <c r="V653" s="0" t="n">
        <v>15.9873302996545</v>
      </c>
      <c r="W653" s="0" t="n">
        <v>20250331</v>
      </c>
      <c r="X653" s="0" t="n">
        <v>0.303152256904612</v>
      </c>
      <c r="Y653" s="0" t="n">
        <v>3.34</v>
      </c>
      <c r="Z653" s="0" t="s">
        <v>123</v>
      </c>
      <c r="AA653" s="0" t="n">
        <f aca="false">IF(AND(ISNUMBER(B653),B653&gt;0,ISNUMBER(U653),U653&gt;=0,ISNUMBER(O653),O653&gt;=0),1,0)</f>
        <v>1</v>
      </c>
      <c r="AB653" s="0" t="n">
        <f aca="false">IF(AA653=1,U653+O653,0)</f>
        <v>5873</v>
      </c>
      <c r="AC653" s="0" t="n">
        <f aca="false">IF(AA653=1,100*AB653/B653,"")</f>
        <v>0.369296977524635</v>
      </c>
      <c r="AD653" s="0" t="n">
        <f aca="false">IF(AND(AND(ISNUMBER(B653),B653=OriginalFinancials!B653),AND(ISNUMBER(U653),U653=OriginalFinancials!U653),AND(ISNUMBER(O653),O653=OriginalFinancials!O653)),0,1)</f>
        <v>0</v>
      </c>
      <c r="AE653" s="0" t="str">
        <f aca="false">IF(V653=0,"原始0：需核实适用/报告口径","")</f>
        <v/>
      </c>
    </row>
    <row r="654" customFormat="false" ht="15" hidden="false" customHeight="false" outlineLevel="0" collapsed="false">
      <c r="A654" s="0" t="n">
        <v>654</v>
      </c>
      <c r="B654" s="0" t="n">
        <v>363289</v>
      </c>
      <c r="C654" s="0" t="n">
        <v>17443</v>
      </c>
      <c r="D654" s="0" t="n">
        <v>297631</v>
      </c>
      <c r="E654" s="0" t="n">
        <v>0.07</v>
      </c>
      <c r="F654" s="0" t="n">
        <v>39494</v>
      </c>
      <c r="G654" s="0" t="n">
        <v>10.8712347469921</v>
      </c>
      <c r="H654" s="0" t="s">
        <v>811</v>
      </c>
      <c r="I654" s="0" t="n">
        <v>0.792927130298985</v>
      </c>
      <c r="J654" s="0" t="n">
        <v>0</v>
      </c>
      <c r="K654" s="0" t="n">
        <v>871</v>
      </c>
      <c r="L654" s="0" t="n">
        <v>198505</v>
      </c>
      <c r="M654" s="0" t="n">
        <v>196931</v>
      </c>
      <c r="N654" s="0" t="n">
        <v>196634</v>
      </c>
      <c r="O654" s="0" t="n">
        <v>931</v>
      </c>
      <c r="P654" s="0" t="s">
        <v>129</v>
      </c>
      <c r="Q654" s="0" t="n">
        <v>0.469005818493237</v>
      </c>
      <c r="R654" s="0" t="n">
        <v>1.22253760700585</v>
      </c>
      <c r="S654" s="0" t="n">
        <v>0</v>
      </c>
      <c r="T654" s="0" t="n">
        <v>1910</v>
      </c>
      <c r="U654" s="0" t="n">
        <v>0</v>
      </c>
      <c r="V654" s="0" t="n">
        <v>0</v>
      </c>
      <c r="W654" s="0" t="n">
        <v>20250331</v>
      </c>
      <c r="X654" s="0" t="n">
        <v>-0.539368227736928</v>
      </c>
      <c r="Y654" s="0" t="n">
        <v>-4.99</v>
      </c>
      <c r="Z654" s="0" t="s">
        <v>123</v>
      </c>
      <c r="AA654" s="0" t="n">
        <f aca="false">IF(AND(ISNUMBER(B654),B654&gt;0,ISNUMBER(U654),U654&gt;=0,ISNUMBER(O654),O654&gt;=0),1,0)</f>
        <v>1</v>
      </c>
      <c r="AB654" s="0" t="n">
        <f aca="false">IF(AA654=1,U654+O654,0)</f>
        <v>931</v>
      </c>
      <c r="AC654" s="0" t="n">
        <f aca="false">IF(AA654=1,100*AB654/B654,"")</f>
        <v>0.256269801728101</v>
      </c>
      <c r="AD654" s="0" t="n">
        <f aca="false">IF(AND(AND(ISNUMBER(B654),B654=OriginalFinancials!B654),AND(ISNUMBER(U654),U654=OriginalFinancials!U654),AND(ISNUMBER(O654),O654=OriginalFinancials!O654)),0,1)</f>
        <v>0</v>
      </c>
      <c r="AE654" s="0" t="str">
        <f aca="false">IF(V654=0,"原始0：需核实适用/报告口径","")</f>
        <v>原始0：需核实适用/报告口径</v>
      </c>
    </row>
    <row r="655" customFormat="false" ht="15" hidden="false" customHeight="false" outlineLevel="0" collapsed="false">
      <c r="A655" s="0" t="n">
        <v>655</v>
      </c>
      <c r="B655" s="0" t="n">
        <v>2028519</v>
      </c>
      <c r="C655" s="0" t="n">
        <v>17658</v>
      </c>
      <c r="D655" s="0" t="n">
        <v>1589312</v>
      </c>
      <c r="E655" s="0" t="n">
        <v>0.12</v>
      </c>
      <c r="F655" s="0" t="n">
        <v>229958</v>
      </c>
      <c r="G655" s="0" t="n">
        <v>11.3362507326774</v>
      </c>
      <c r="H655" s="0" t="s">
        <v>812</v>
      </c>
      <c r="I655" s="0" t="n">
        <v>0.69409197735874</v>
      </c>
      <c r="J655" s="0" t="n">
        <v>107150</v>
      </c>
      <c r="K655" s="0" t="n">
        <v>79935</v>
      </c>
      <c r="L655" s="0" t="n">
        <v>1450096</v>
      </c>
      <c r="M655" s="0" t="n">
        <v>1440031</v>
      </c>
      <c r="N655" s="0" t="n">
        <v>1246975</v>
      </c>
      <c r="O655" s="0" t="n">
        <v>10604</v>
      </c>
      <c r="P655" s="0" t="s">
        <v>131</v>
      </c>
      <c r="Q655" s="0" t="n">
        <v>0.734227251161302</v>
      </c>
      <c r="R655" s="0" t="n">
        <v>3.17195294561779</v>
      </c>
      <c r="S655" s="0" t="n">
        <v>102</v>
      </c>
      <c r="T655" s="0" t="n">
        <v>8257</v>
      </c>
      <c r="U655" s="0" t="n">
        <v>43</v>
      </c>
      <c r="V655" s="0" t="n">
        <v>0</v>
      </c>
      <c r="W655" s="0" t="n">
        <v>20250331</v>
      </c>
      <c r="X655" s="0" t="n">
        <v>0.336900288366337</v>
      </c>
      <c r="Y655" s="0" t="n">
        <v>3</v>
      </c>
      <c r="Z655" s="0" t="s">
        <v>105</v>
      </c>
      <c r="AA655" s="0" t="n">
        <f aca="false">IF(AND(ISNUMBER(B655),B655&gt;0,ISNUMBER(U655),U655&gt;=0,ISNUMBER(O655),O655&gt;=0),1,0)</f>
        <v>1</v>
      </c>
      <c r="AB655" s="0" t="n">
        <f aca="false">IF(AA655=1,U655+O655,0)</f>
        <v>10647</v>
      </c>
      <c r="AC655" s="0" t="n">
        <f aca="false">IF(AA655=1,100*AB655/B655,"")</f>
        <v>0.524865677866463</v>
      </c>
      <c r="AD655" s="0" t="n">
        <f aca="false">IF(AND(AND(ISNUMBER(B655),B655=OriginalFinancials!B655),AND(ISNUMBER(U655),U655=OriginalFinancials!U655),AND(ISNUMBER(O655),O655=OriginalFinancials!O655)),0,1)</f>
        <v>0</v>
      </c>
      <c r="AE655" s="0" t="str">
        <f aca="false">IF(V655=0,"原始0：需核实适用/报告口径","")</f>
        <v>原始0：需核实适用/报告口径</v>
      </c>
    </row>
    <row r="656" customFormat="false" ht="15" hidden="false" customHeight="false" outlineLevel="0" collapsed="false">
      <c r="A656" s="0" t="n">
        <v>656</v>
      </c>
      <c r="B656" s="0" t="n">
        <v>2702374</v>
      </c>
      <c r="C656" s="0" t="n">
        <v>17741</v>
      </c>
      <c r="D656" s="0" t="n">
        <v>2270619</v>
      </c>
      <c r="E656" s="0" t="n">
        <v>-0.16</v>
      </c>
      <c r="F656" s="0" t="n">
        <v>244064</v>
      </c>
      <c r="G656" s="0" t="n">
        <v>9.03146640694441</v>
      </c>
      <c r="H656" s="0" t="s">
        <v>813</v>
      </c>
      <c r="I656" s="0" t="n">
        <v>0.716526325737971</v>
      </c>
      <c r="J656" s="0" t="n">
        <v>226181</v>
      </c>
      <c r="K656" s="0" t="n">
        <v>6255</v>
      </c>
      <c r="L656" s="0" t="n">
        <v>2221970</v>
      </c>
      <c r="M656" s="0" t="n">
        <v>2206049</v>
      </c>
      <c r="N656" s="0" t="n">
        <v>1950768</v>
      </c>
      <c r="O656" s="0" t="n">
        <v>9808</v>
      </c>
      <c r="P656" s="0" t="s">
        <v>133</v>
      </c>
      <c r="Q656" s="0" t="n">
        <v>0.441410100046355</v>
      </c>
      <c r="R656" s="0" t="n">
        <v>4.89910008789424</v>
      </c>
      <c r="S656" s="0" t="n">
        <v>32</v>
      </c>
      <c r="T656" s="0" t="n">
        <v>5724</v>
      </c>
      <c r="U656" s="0" t="n">
        <v>0</v>
      </c>
      <c r="V656" s="0" t="n">
        <v>0</v>
      </c>
      <c r="W656" s="0" t="n">
        <v>20250331</v>
      </c>
      <c r="X656" s="0" t="n">
        <v>0.637665297546565</v>
      </c>
      <c r="Y656" s="0" t="n">
        <v>6.31</v>
      </c>
      <c r="Z656" s="0" t="s">
        <v>105</v>
      </c>
      <c r="AA656" s="0" t="n">
        <f aca="false">IF(AND(ISNUMBER(B656),B656&gt;0,ISNUMBER(U656),U656&gt;=0,ISNUMBER(O656),O656&gt;=0),1,0)</f>
        <v>1</v>
      </c>
      <c r="AB656" s="0" t="n">
        <f aca="false">IF(AA656=1,U656+O656,0)</f>
        <v>9808</v>
      </c>
      <c r="AC656" s="0" t="n">
        <f aca="false">IF(AA656=1,100*AB656/B656,"")</f>
        <v>0.362940140779922</v>
      </c>
      <c r="AD656" s="0" t="n">
        <f aca="false">IF(AND(AND(ISNUMBER(B656),B656=OriginalFinancials!B656),AND(ISNUMBER(U656),U656=OriginalFinancials!U656),AND(ISNUMBER(O656),O656=OriginalFinancials!O656)),0,1)</f>
        <v>0</v>
      </c>
      <c r="AE656" s="0" t="str">
        <f aca="false">IF(V656=0,"原始0：需核实适用/报告口径","")</f>
        <v>原始0：需核实适用/报告口径</v>
      </c>
    </row>
    <row r="657" customFormat="false" ht="15" hidden="false" customHeight="false" outlineLevel="0" collapsed="false">
      <c r="A657" s="0" t="n">
        <v>657</v>
      </c>
      <c r="B657" s="0" t="n">
        <v>1421036</v>
      </c>
      <c r="C657" s="0" t="n">
        <v>17743</v>
      </c>
      <c r="D657" s="0" t="n">
        <v>1011028</v>
      </c>
      <c r="E657" s="0" t="n">
        <v>0</v>
      </c>
      <c r="F657" s="0" t="n">
        <v>126472</v>
      </c>
      <c r="G657" s="0" t="n">
        <v>8.89998564427643</v>
      </c>
      <c r="H657" s="0" t="s">
        <v>814</v>
      </c>
      <c r="I657" s="0" t="n">
        <v>0.421513602591541</v>
      </c>
      <c r="J657" s="0" t="n">
        <v>16286</v>
      </c>
      <c r="K657" s="0" t="n">
        <v>10447</v>
      </c>
      <c r="L657" s="0" t="n">
        <v>1133534</v>
      </c>
      <c r="M657" s="0" t="n">
        <v>1128756</v>
      </c>
      <c r="N657" s="0" t="n">
        <v>1096181</v>
      </c>
      <c r="O657" s="0" t="n">
        <v>757</v>
      </c>
      <c r="P657" s="0" t="s">
        <v>135</v>
      </c>
      <c r="Q657" s="0" t="n">
        <v>0.0667822932527829</v>
      </c>
      <c r="R657" s="0" t="n">
        <v>2.04173672753816</v>
      </c>
      <c r="S657" s="0" t="n">
        <v>0</v>
      </c>
      <c r="T657" s="0" t="n">
        <v>6382</v>
      </c>
      <c r="U657" s="0" t="n">
        <v>0</v>
      </c>
      <c r="V657" s="0" t="n">
        <v>0</v>
      </c>
      <c r="W657" s="0" t="n">
        <v>20250331</v>
      </c>
      <c r="X657" s="0" t="n">
        <v>-0.0132738457932146</v>
      </c>
      <c r="Y657" s="0" t="n">
        <v>-0.15</v>
      </c>
      <c r="Z657" s="0" t="s">
        <v>105</v>
      </c>
      <c r="AA657" s="0" t="n">
        <f aca="false">IF(AND(ISNUMBER(B657),B657&gt;0,ISNUMBER(U657),U657&gt;=0,ISNUMBER(O657),O657&gt;=0),1,0)</f>
        <v>1</v>
      </c>
      <c r="AB657" s="0" t="n">
        <f aca="false">IF(AA657=1,U657+O657,0)</f>
        <v>757</v>
      </c>
      <c r="AC657" s="0" t="n">
        <f aca="false">IF(AA657=1,100*AB657/B657,"")</f>
        <v>0.0532709938382983</v>
      </c>
      <c r="AD657" s="0" t="n">
        <f aca="false">IF(AND(AND(ISNUMBER(B657),B657=OriginalFinancials!B657),AND(ISNUMBER(U657),U657=OriginalFinancials!U657),AND(ISNUMBER(O657),O657=OriginalFinancials!O657)),0,1)</f>
        <v>0</v>
      </c>
      <c r="AE657" s="0" t="str">
        <f aca="false">IF(V657=0,"原始0：需核实适用/报告口径","")</f>
        <v>原始0：需核实适用/报告口径</v>
      </c>
    </row>
    <row r="658" customFormat="false" ht="15" hidden="false" customHeight="false" outlineLevel="0" collapsed="false">
      <c r="A658" s="0" t="n">
        <v>658</v>
      </c>
      <c r="B658" s="0" t="n">
        <v>1415126</v>
      </c>
      <c r="C658" s="0" t="n">
        <v>17749</v>
      </c>
      <c r="D658" s="0" t="n">
        <v>1106043</v>
      </c>
      <c r="E658" s="0" t="n">
        <v>0.07</v>
      </c>
      <c r="F658" s="0" t="n">
        <v>197514</v>
      </c>
      <c r="G658" s="0" t="n">
        <v>13.9573437276963</v>
      </c>
      <c r="H658" s="0" t="s">
        <v>815</v>
      </c>
      <c r="I658" s="0" t="n">
        <v>1.43729503426445</v>
      </c>
      <c r="J658" s="0" t="n">
        <v>55321</v>
      </c>
      <c r="K658" s="0" t="n">
        <v>11040</v>
      </c>
      <c r="L658" s="0" t="n">
        <v>833371</v>
      </c>
      <c r="M658" s="0" t="n">
        <v>821393</v>
      </c>
      <c r="N658" s="0" t="n">
        <v>756331</v>
      </c>
      <c r="O658" s="0" t="n">
        <v>953</v>
      </c>
      <c r="P658" s="0" t="s">
        <v>139</v>
      </c>
      <c r="Q658" s="0" t="n">
        <v>0.125154343023695</v>
      </c>
      <c r="R658" s="0" t="n">
        <v>2.66400103962503</v>
      </c>
      <c r="S658" s="0" t="n">
        <v>1</v>
      </c>
      <c r="T658" s="0" t="n">
        <v>750</v>
      </c>
      <c r="U658" s="0" t="n">
        <v>90</v>
      </c>
      <c r="V658" s="0" t="n">
        <v>0</v>
      </c>
      <c r="W658" s="0" t="n">
        <v>20250331</v>
      </c>
      <c r="X658" s="0" t="n">
        <v>0.443227148231069</v>
      </c>
      <c r="Y658" s="0" t="n">
        <v>3.22</v>
      </c>
      <c r="Z658" s="0" t="s">
        <v>105</v>
      </c>
      <c r="AA658" s="0" t="n">
        <f aca="false">IF(AND(ISNUMBER(B658),B658&gt;0,ISNUMBER(U658),U658&gt;=0,ISNUMBER(O658),O658&gt;=0),1,0)</f>
        <v>1</v>
      </c>
      <c r="AB658" s="0" t="n">
        <f aca="false">IF(AA658=1,U658+O658,0)</f>
        <v>1043</v>
      </c>
      <c r="AC658" s="0" t="n">
        <f aca="false">IF(AA658=1,100*AB658/B658,"")</f>
        <v>0.0737036843362358</v>
      </c>
      <c r="AD658" s="0" t="n">
        <f aca="false">IF(AND(AND(ISNUMBER(B658),B658=OriginalFinancials!B658),AND(ISNUMBER(U658),U658=OriginalFinancials!U658),AND(ISNUMBER(O658),O658=OriginalFinancials!O658)),0,1)</f>
        <v>0</v>
      </c>
      <c r="AE658" s="0" t="str">
        <f aca="false">IF(V658=0,"原始0：需核实适用/报告口径","")</f>
        <v>原始0：需核实适用/报告口径</v>
      </c>
    </row>
    <row r="659" customFormat="false" ht="15" hidden="false" customHeight="false" outlineLevel="0" collapsed="false">
      <c r="A659" s="0" t="n">
        <v>659</v>
      </c>
      <c r="B659" s="0" t="n">
        <v>1694530</v>
      </c>
      <c r="C659" s="0" t="n">
        <v>17751</v>
      </c>
      <c r="D659" s="0" t="n">
        <v>1333884</v>
      </c>
      <c r="E659" s="0" t="n">
        <v>0.05</v>
      </c>
      <c r="F659" s="0" t="n">
        <v>150042</v>
      </c>
      <c r="G659" s="0" t="n">
        <v>8.85449062571923</v>
      </c>
      <c r="H659" s="0" t="s">
        <v>816</v>
      </c>
      <c r="I659" s="0" t="n">
        <v>0.938322884290286</v>
      </c>
      <c r="J659" s="0" t="n">
        <v>138929</v>
      </c>
      <c r="K659" s="0" t="n">
        <v>2198</v>
      </c>
      <c r="L659" s="0" t="n">
        <v>1410815</v>
      </c>
      <c r="M659" s="0" t="n">
        <v>1397577</v>
      </c>
      <c r="N659" s="0" t="n">
        <v>1197971</v>
      </c>
      <c r="O659" s="0" t="n">
        <v>2675</v>
      </c>
      <c r="P659" s="0" t="s">
        <v>141</v>
      </c>
      <c r="Q659" s="0" t="n">
        <v>0.189606716685037</v>
      </c>
      <c r="R659" s="0" t="n">
        <v>2.79025458624727</v>
      </c>
      <c r="S659" s="0" t="n">
        <v>-25</v>
      </c>
      <c r="T659" s="0" t="n">
        <v>7685</v>
      </c>
      <c r="U659" s="0" t="n">
        <v>0</v>
      </c>
      <c r="V659" s="0" t="n">
        <v>12.3894136970979</v>
      </c>
      <c r="W659" s="0" t="n">
        <v>20250331</v>
      </c>
      <c r="X659" s="0" t="n">
        <v>0.361584129388483</v>
      </c>
      <c r="Y659" s="0" t="n">
        <v>4.1</v>
      </c>
      <c r="Z659" s="0" t="s">
        <v>105</v>
      </c>
      <c r="AA659" s="0" t="n">
        <f aca="false">IF(AND(ISNUMBER(B659),B659&gt;0,ISNUMBER(U659),U659&gt;=0,ISNUMBER(O659),O659&gt;=0),1,0)</f>
        <v>1</v>
      </c>
      <c r="AB659" s="0" t="n">
        <f aca="false">IF(AA659=1,U659+O659,0)</f>
        <v>2675</v>
      </c>
      <c r="AC659" s="0" t="n">
        <f aca="false">IF(AA659=1,100*AB659/B659,"")</f>
        <v>0.157860881778428</v>
      </c>
      <c r="AD659" s="0" t="n">
        <f aca="false">IF(AND(AND(ISNUMBER(B659),B659=OriginalFinancials!B659),AND(ISNUMBER(U659),U659=OriginalFinancials!U659),AND(ISNUMBER(O659),O659=OriginalFinancials!O659)),0,1)</f>
        <v>0</v>
      </c>
      <c r="AE659" s="0" t="str">
        <f aca="false">IF(V659=0,"原始0：需核实适用/报告口径","")</f>
        <v/>
      </c>
    </row>
    <row r="660" customFormat="false" ht="15" hidden="false" customHeight="false" outlineLevel="0" collapsed="false">
      <c r="A660" s="0" t="n">
        <v>660</v>
      </c>
      <c r="B660" s="0" t="n">
        <v>1759715</v>
      </c>
      <c r="C660" s="0" t="n">
        <v>17897</v>
      </c>
      <c r="D660" s="0" t="n">
        <v>1345096</v>
      </c>
      <c r="E660" s="0" t="n">
        <v>0.04</v>
      </c>
      <c r="F660" s="0" t="n">
        <v>219109</v>
      </c>
      <c r="G660" s="0" t="n">
        <v>12.4513912764283</v>
      </c>
      <c r="H660" s="0" t="s">
        <v>817</v>
      </c>
      <c r="I660" s="0" t="n">
        <v>0.616327371558233</v>
      </c>
      <c r="J660" s="0" t="n">
        <v>82917</v>
      </c>
      <c r="K660" s="0" t="n">
        <v>3414</v>
      </c>
      <c r="L660" s="0" t="n">
        <v>1470647</v>
      </c>
      <c r="M660" s="0" t="n">
        <v>1461583</v>
      </c>
      <c r="N660" s="0" t="n">
        <v>1370211</v>
      </c>
      <c r="O660" s="0" t="n">
        <v>4816</v>
      </c>
      <c r="P660" s="0" t="s">
        <v>143</v>
      </c>
      <c r="Q660" s="0" t="n">
        <v>0.328834859759004</v>
      </c>
      <c r="R660" s="0" t="n">
        <v>2.67229101981083</v>
      </c>
      <c r="S660" s="0" t="n">
        <v>43</v>
      </c>
      <c r="T660" s="0" t="n">
        <v>8545</v>
      </c>
      <c r="U660" s="0" t="n">
        <v>20</v>
      </c>
      <c r="V660" s="0" t="n">
        <v>17.5946551181685</v>
      </c>
      <c r="W660" s="0" t="n">
        <v>20250331</v>
      </c>
      <c r="X660" s="0" t="n">
        <v>0.437372293588705</v>
      </c>
      <c r="Y660" s="0" t="n">
        <v>3.55</v>
      </c>
      <c r="Z660" s="0" t="s">
        <v>105</v>
      </c>
      <c r="AA660" s="0" t="n">
        <f aca="false">IF(AND(ISNUMBER(B660),B660&gt;0,ISNUMBER(U660),U660&gt;=0,ISNUMBER(O660),O660&gt;=0),1,0)</f>
        <v>1</v>
      </c>
      <c r="AB660" s="0" t="n">
        <f aca="false">IF(AA660=1,U660+O660,0)</f>
        <v>4836</v>
      </c>
      <c r="AC660" s="0" t="n">
        <f aca="false">IF(AA660=1,100*AB660/B660,"")</f>
        <v>0.274817228926275</v>
      </c>
      <c r="AD660" s="0" t="n">
        <f aca="false">IF(AND(AND(ISNUMBER(B660),B660=OriginalFinancials!B660),AND(ISNUMBER(U660),U660=OriginalFinancials!U660),AND(ISNUMBER(O660),O660=OriginalFinancials!O660)),0,1)</f>
        <v>0</v>
      </c>
      <c r="AE660" s="0" t="str">
        <f aca="false">IF(V660=0,"原始0：需核实适用/报告口径","")</f>
        <v/>
      </c>
    </row>
    <row r="661" customFormat="false" ht="15" hidden="false" customHeight="false" outlineLevel="0" collapsed="false">
      <c r="A661" s="0" t="n">
        <v>661</v>
      </c>
      <c r="B661" s="0" t="n">
        <v>856737</v>
      </c>
      <c r="C661" s="0" t="n">
        <v>17951</v>
      </c>
      <c r="D661" s="0" t="n">
        <v>714191</v>
      </c>
      <c r="E661" s="0" t="n">
        <v>0.09</v>
      </c>
      <c r="F661" s="0" t="n">
        <v>68926</v>
      </c>
      <c r="G661" s="0" t="n">
        <v>8.04517605752991</v>
      </c>
      <c r="H661" s="0" t="s">
        <v>818</v>
      </c>
      <c r="I661" s="0" t="n">
        <v>0.834978241485219</v>
      </c>
      <c r="J661" s="0" t="n">
        <v>35790</v>
      </c>
      <c r="K661" s="0" t="n">
        <v>1548</v>
      </c>
      <c r="L661" s="0" t="n">
        <v>656065</v>
      </c>
      <c r="M661" s="0" t="n">
        <v>650587</v>
      </c>
      <c r="N661" s="0" t="n">
        <v>602633</v>
      </c>
      <c r="O661" s="0" t="n">
        <v>152</v>
      </c>
      <c r="P661" s="0" t="s">
        <v>145</v>
      </c>
      <c r="Q661" s="0" t="n">
        <v>0.0231684360543543</v>
      </c>
      <c r="R661" s="0" t="n">
        <v>2.69304314129075</v>
      </c>
      <c r="S661" s="0" t="n">
        <v>2</v>
      </c>
      <c r="T661" s="0" t="n">
        <v>25</v>
      </c>
      <c r="U661" s="0" t="n">
        <v>0</v>
      </c>
      <c r="V661" s="0" t="n">
        <v>13.5230158316307</v>
      </c>
      <c r="W661" s="0" t="n">
        <v>20250331</v>
      </c>
      <c r="X661" s="0" t="n">
        <v>0.569958063286313</v>
      </c>
      <c r="Y661" s="0" t="n">
        <v>7.1</v>
      </c>
      <c r="Z661" s="0" t="s">
        <v>123</v>
      </c>
      <c r="AA661" s="0" t="n">
        <f aca="false">IF(AND(ISNUMBER(B661),B661&gt;0,ISNUMBER(U661),U661&gt;=0,ISNUMBER(O661),O661&gt;=0),1,0)</f>
        <v>1</v>
      </c>
      <c r="AB661" s="0" t="n">
        <f aca="false">IF(AA661=1,U661+O661,0)</f>
        <v>152</v>
      </c>
      <c r="AC661" s="0" t="n">
        <f aca="false">IF(AA661=1,100*AB661/B661,"")</f>
        <v>0.0177417340444034</v>
      </c>
      <c r="AD661" s="0" t="n">
        <f aca="false">IF(AND(AND(ISNUMBER(B661),B661=OriginalFinancials!B661),AND(ISNUMBER(U661),U661=OriginalFinancials!U661),AND(ISNUMBER(O661),O661=OriginalFinancials!O661)),0,1)</f>
        <v>0</v>
      </c>
      <c r="AE661" s="0" t="str">
        <f aca="false">IF(V661=0,"原始0：需核实适用/报告口径","")</f>
        <v/>
      </c>
    </row>
    <row r="662" customFormat="false" ht="15" hidden="false" customHeight="false" outlineLevel="0" collapsed="false">
      <c r="A662" s="0" t="n">
        <v>662</v>
      </c>
      <c r="B662" s="0" t="n">
        <v>1354203</v>
      </c>
      <c r="C662" s="0" t="n">
        <v>17960</v>
      </c>
      <c r="D662" s="0" t="n">
        <v>1112041</v>
      </c>
      <c r="E662" s="0" t="n">
        <v>0.19</v>
      </c>
      <c r="F662" s="0" t="n">
        <v>118120</v>
      </c>
      <c r="G662" s="0" t="n">
        <v>8.72247366162975</v>
      </c>
      <c r="H662" s="0" t="s">
        <v>819</v>
      </c>
      <c r="I662" s="0" t="n">
        <v>1.09436816889407</v>
      </c>
      <c r="J662" s="0" t="n">
        <v>115321</v>
      </c>
      <c r="K662" s="0" t="n">
        <v>219320</v>
      </c>
      <c r="L662" s="0" t="n">
        <v>1150070</v>
      </c>
      <c r="M662" s="0" t="n">
        <v>1137484</v>
      </c>
      <c r="N662" s="0" t="n">
        <v>811642</v>
      </c>
      <c r="O662" s="0" t="n">
        <v>7626</v>
      </c>
      <c r="P662" s="0" t="s">
        <v>147</v>
      </c>
      <c r="Q662" s="0" t="n">
        <v>0.663090072778179</v>
      </c>
      <c r="R662" s="0" t="n">
        <v>2.93424816317374</v>
      </c>
      <c r="S662" s="0" t="n">
        <v>202</v>
      </c>
      <c r="T662" s="0" t="n">
        <v>4491</v>
      </c>
      <c r="U662" s="0" t="n">
        <v>0</v>
      </c>
      <c r="V662" s="0" t="n">
        <v>13.7521204502019</v>
      </c>
      <c r="W662" s="0" t="n">
        <v>20250331</v>
      </c>
      <c r="X662" s="0" t="n">
        <v>0.293339162698366</v>
      </c>
      <c r="Y662" s="0" t="n">
        <v>3.4</v>
      </c>
      <c r="Z662" s="0" t="s">
        <v>123</v>
      </c>
      <c r="AA662" s="0" t="n">
        <f aca="false">IF(AND(ISNUMBER(B662),B662&gt;0,ISNUMBER(U662),U662&gt;=0,ISNUMBER(O662),O662&gt;=0),1,0)</f>
        <v>1</v>
      </c>
      <c r="AB662" s="0" t="n">
        <f aca="false">IF(AA662=1,U662+O662,0)</f>
        <v>7626</v>
      </c>
      <c r="AC662" s="0" t="n">
        <f aca="false">IF(AA662=1,100*AB662/B662,"")</f>
        <v>0.563135659867834</v>
      </c>
      <c r="AD662" s="0" t="n">
        <f aca="false">IF(AND(AND(ISNUMBER(B662),B662=OriginalFinancials!B662),AND(ISNUMBER(U662),U662=OriginalFinancials!U662),AND(ISNUMBER(O662),O662=OriginalFinancials!O662)),0,1)</f>
        <v>0</v>
      </c>
      <c r="AE662" s="0" t="str">
        <f aca="false">IF(V662=0,"原始0：需核实适用/报告口径","")</f>
        <v/>
      </c>
    </row>
    <row r="663" customFormat="false" ht="15" hidden="false" customHeight="false" outlineLevel="0" collapsed="false">
      <c r="A663" s="0" t="n">
        <v>663</v>
      </c>
      <c r="B663" s="0" t="n">
        <v>2654603</v>
      </c>
      <c r="C663" s="0" t="n">
        <v>18012</v>
      </c>
      <c r="D663" s="0" t="n">
        <v>2299127</v>
      </c>
      <c r="E663" s="0" t="n">
        <v>0.04</v>
      </c>
      <c r="F663" s="0" t="n">
        <v>293951</v>
      </c>
      <c r="G663" s="0" t="n">
        <v>11.0732565283773</v>
      </c>
      <c r="H663" s="0" t="s">
        <v>820</v>
      </c>
      <c r="I663" s="0" t="n">
        <v>1.1708873142952</v>
      </c>
      <c r="J663" s="0" t="n">
        <v>49493</v>
      </c>
      <c r="K663" s="0" t="n">
        <v>26074</v>
      </c>
      <c r="L663" s="0" t="n">
        <v>2121041</v>
      </c>
      <c r="M663" s="0" t="n">
        <v>2096206</v>
      </c>
      <c r="N663" s="0" t="n">
        <v>2023412</v>
      </c>
      <c r="O663" s="0" t="n">
        <v>1089</v>
      </c>
      <c r="P663" s="0" t="s">
        <v>149</v>
      </c>
      <c r="Q663" s="0" t="n">
        <v>0.0513427133186015</v>
      </c>
      <c r="R663" s="0" t="n">
        <v>2.79975953134989</v>
      </c>
      <c r="S663" s="0" t="n">
        <v>19</v>
      </c>
      <c r="T663" s="0" t="n">
        <v>3239</v>
      </c>
      <c r="U663" s="0" t="n">
        <v>0</v>
      </c>
      <c r="V663" s="0" t="n">
        <v>14.0643760616757</v>
      </c>
      <c r="W663" s="0" t="n">
        <v>20250331</v>
      </c>
      <c r="X663" s="0" t="n">
        <v>0.745930213394085</v>
      </c>
      <c r="Y663" s="0" t="n">
        <v>6.81</v>
      </c>
      <c r="Z663" s="0" t="s">
        <v>123</v>
      </c>
      <c r="AA663" s="0" t="n">
        <f aca="false">IF(AND(ISNUMBER(B663),B663&gt;0,ISNUMBER(U663),U663&gt;=0,ISNUMBER(O663),O663&gt;=0),1,0)</f>
        <v>1</v>
      </c>
      <c r="AB663" s="0" t="n">
        <f aca="false">IF(AA663=1,U663+O663,0)</f>
        <v>1089</v>
      </c>
      <c r="AC663" s="0" t="n">
        <f aca="false">IF(AA663=1,100*AB663/B663,"")</f>
        <v>0.0410230833009682</v>
      </c>
      <c r="AD663" s="0" t="n">
        <f aca="false">IF(AND(AND(ISNUMBER(B663),B663=OriginalFinancials!B663),AND(ISNUMBER(U663),U663=OriginalFinancials!U663),AND(ISNUMBER(O663),O663=OriginalFinancials!O663)),0,1)</f>
        <v>0</v>
      </c>
      <c r="AE663" s="0" t="str">
        <f aca="false">IF(V663=0,"原始0：需核实适用/报告口径","")</f>
        <v/>
      </c>
    </row>
    <row r="664" customFormat="false" ht="15" hidden="false" customHeight="false" outlineLevel="0" collapsed="false">
      <c r="A664" s="0" t="n">
        <v>664</v>
      </c>
      <c r="B664" s="0" t="n">
        <v>2886966</v>
      </c>
      <c r="C664" s="0" t="n">
        <v>18013</v>
      </c>
      <c r="D664" s="0" t="n">
        <v>2567945</v>
      </c>
      <c r="E664" s="0" t="n">
        <v>0.06</v>
      </c>
      <c r="F664" s="0" t="n">
        <v>233883</v>
      </c>
      <c r="G664" s="0" t="n">
        <v>8.10134237812292</v>
      </c>
      <c r="H664" s="0" t="s">
        <v>821</v>
      </c>
      <c r="I664" s="0" t="n">
        <v>0.747940799834841</v>
      </c>
      <c r="J664" s="0" t="n">
        <v>115671</v>
      </c>
      <c r="K664" s="0" t="n">
        <v>21720</v>
      </c>
      <c r="L664" s="0" t="n">
        <v>2412223</v>
      </c>
      <c r="M664" s="0" t="n">
        <v>2394181</v>
      </c>
      <c r="N664" s="0" t="n">
        <v>2202612</v>
      </c>
      <c r="O664" s="0" t="n">
        <v>2219</v>
      </c>
      <c r="P664" s="0" t="s">
        <v>151</v>
      </c>
      <c r="Q664" s="0" t="n">
        <v>0.0941455246882232</v>
      </c>
      <c r="R664" s="0" t="n">
        <v>2.79406900216728</v>
      </c>
      <c r="S664" s="0" t="n">
        <v>-199</v>
      </c>
      <c r="T664" s="0" t="n">
        <v>5622</v>
      </c>
      <c r="U664" s="0" t="n">
        <v>52</v>
      </c>
      <c r="V664" s="0" t="n">
        <v>12.6945670847727</v>
      </c>
      <c r="W664" s="0" t="n">
        <v>20250331</v>
      </c>
      <c r="X664" s="0" t="n">
        <v>0.352950560219433</v>
      </c>
      <c r="Y664" s="0" t="n">
        <v>4.43</v>
      </c>
      <c r="Z664" s="0" t="s">
        <v>123</v>
      </c>
      <c r="AA664" s="0" t="n">
        <f aca="false">IF(AND(ISNUMBER(B664),B664&gt;0,ISNUMBER(U664),U664&gt;=0,ISNUMBER(O664),O664&gt;=0),1,0)</f>
        <v>1</v>
      </c>
      <c r="AB664" s="0" t="n">
        <f aca="false">IF(AA664=1,U664+O664,0)</f>
        <v>2271</v>
      </c>
      <c r="AC664" s="0" t="n">
        <f aca="false">IF(AA664=1,100*AB664/B664,"")</f>
        <v>0.0786638983625024</v>
      </c>
      <c r="AD664" s="0" t="n">
        <f aca="false">IF(AND(AND(ISNUMBER(B664),B664=OriginalFinancials!B664),AND(ISNUMBER(U664),U664=OriginalFinancials!U664),AND(ISNUMBER(O664),O664=OriginalFinancials!O664)),0,1)</f>
        <v>0</v>
      </c>
      <c r="AE664" s="0" t="str">
        <f aca="false">IF(V664=0,"原始0：需核实适用/报告口径","")</f>
        <v/>
      </c>
    </row>
    <row r="665" customFormat="false" ht="15" hidden="false" customHeight="false" outlineLevel="0" collapsed="false">
      <c r="A665" s="0" t="n">
        <v>665</v>
      </c>
      <c r="B665" s="0" t="n">
        <v>400477</v>
      </c>
      <c r="C665" s="0" t="n">
        <v>18028</v>
      </c>
      <c r="D665" s="0" t="n">
        <v>340672</v>
      </c>
      <c r="E665" s="0" t="n">
        <v>0.09</v>
      </c>
      <c r="F665" s="0" t="n">
        <v>43552</v>
      </c>
      <c r="G665" s="0" t="n">
        <v>10.8750315249066</v>
      </c>
      <c r="H665" s="0" t="s">
        <v>822</v>
      </c>
      <c r="I665" s="0" t="n">
        <v>0.836251540415813</v>
      </c>
      <c r="J665" s="0" t="n">
        <v>12296</v>
      </c>
      <c r="K665" s="0" t="n">
        <v>5085</v>
      </c>
      <c r="L665" s="0" t="n">
        <v>276711</v>
      </c>
      <c r="M665" s="0" t="n">
        <v>274397</v>
      </c>
      <c r="N665" s="0" t="n">
        <v>254230</v>
      </c>
      <c r="O665" s="0" t="n">
        <v>1021</v>
      </c>
      <c r="P665" s="0" t="s">
        <v>153</v>
      </c>
      <c r="Q665" s="0" t="n">
        <v>0.391383067532552</v>
      </c>
      <c r="R665" s="0" t="n">
        <v>3.46717489851514</v>
      </c>
      <c r="S665" s="0" t="n">
        <v>70</v>
      </c>
      <c r="T665" s="0" t="n">
        <v>1383</v>
      </c>
      <c r="U665" s="0" t="n">
        <v>62</v>
      </c>
      <c r="V665" s="0" t="n">
        <v>0</v>
      </c>
      <c r="W665" s="0" t="n">
        <v>20250331</v>
      </c>
      <c r="X665" s="0" t="n">
        <v>0.536305275329957</v>
      </c>
      <c r="Y665" s="0" t="n">
        <v>5.02</v>
      </c>
      <c r="Z665" s="0" t="s">
        <v>123</v>
      </c>
      <c r="AA665" s="0" t="n">
        <f aca="false">IF(AND(ISNUMBER(B665),B665&gt;0,ISNUMBER(U665),U665&gt;=0,ISNUMBER(O665),O665&gt;=0),1,0)</f>
        <v>1</v>
      </c>
      <c r="AB665" s="0" t="n">
        <f aca="false">IF(AA665=1,U665+O665,0)</f>
        <v>1083</v>
      </c>
      <c r="AC665" s="0" t="n">
        <f aca="false">IF(AA665=1,100*AB665/B665,"")</f>
        <v>0.270427515188138</v>
      </c>
      <c r="AD665" s="0" t="n">
        <f aca="false">IF(AND(AND(ISNUMBER(B665),B665=OriginalFinancials!B665),AND(ISNUMBER(U665),U665=OriginalFinancials!U665),AND(ISNUMBER(O665),O665=OriginalFinancials!O665)),0,1)</f>
        <v>0</v>
      </c>
      <c r="AE665" s="0" t="str">
        <f aca="false">IF(V665=0,"原始0：需核实适用/报告口径","")</f>
        <v>原始0：需核实适用/报告口径</v>
      </c>
    </row>
    <row r="666" customFormat="false" ht="15" hidden="false" customHeight="false" outlineLevel="0" collapsed="false">
      <c r="A666" s="0" t="n">
        <v>666</v>
      </c>
      <c r="B666" s="0" t="n">
        <v>800795</v>
      </c>
      <c r="C666" s="0" t="n">
        <v>18030</v>
      </c>
      <c r="D666" s="0" t="n">
        <v>736585</v>
      </c>
      <c r="E666" s="0" t="n">
        <v>0.08</v>
      </c>
      <c r="F666" s="0" t="n">
        <v>56520</v>
      </c>
      <c r="G666" s="0" t="n">
        <v>7.057986126287</v>
      </c>
      <c r="H666" s="0" t="s">
        <v>823</v>
      </c>
      <c r="I666" s="0" t="n">
        <v>0.997540703133033</v>
      </c>
      <c r="J666" s="0" t="n">
        <v>40723</v>
      </c>
      <c r="K666" s="0" t="n">
        <v>95064</v>
      </c>
      <c r="L666" s="0" t="n">
        <v>593259</v>
      </c>
      <c r="M666" s="0" t="n">
        <v>587341</v>
      </c>
      <c r="N666" s="0" t="n">
        <v>457374</v>
      </c>
      <c r="O666" s="0" t="n">
        <v>1821</v>
      </c>
      <c r="P666" s="0" t="s">
        <v>155</v>
      </c>
      <c r="Q666" s="0" t="n">
        <v>0.306948567151952</v>
      </c>
      <c r="R666" s="0" t="n">
        <v>3.62784293997723</v>
      </c>
      <c r="S666" s="0" t="n">
        <v>78</v>
      </c>
      <c r="T666" s="0" t="n">
        <v>2217</v>
      </c>
      <c r="U666" s="0" t="n">
        <v>0</v>
      </c>
      <c r="V666" s="0" t="n">
        <v>14.1683492306621</v>
      </c>
      <c r="W666" s="0" t="n">
        <v>20250331</v>
      </c>
      <c r="X666" s="0" t="n">
        <v>0.646111863500634</v>
      </c>
      <c r="Y666" s="0" t="n">
        <v>9.26</v>
      </c>
      <c r="Z666" s="0" t="s">
        <v>123</v>
      </c>
      <c r="AA666" s="0" t="n">
        <f aca="false">IF(AND(ISNUMBER(B666),B666&gt;0,ISNUMBER(U666),U666&gt;=0,ISNUMBER(O666),O666&gt;=0),1,0)</f>
        <v>1</v>
      </c>
      <c r="AB666" s="0" t="n">
        <f aca="false">IF(AA666=1,U666+O666,0)</f>
        <v>1821</v>
      </c>
      <c r="AC666" s="0" t="n">
        <f aca="false">IF(AA666=1,100*AB666/B666,"")</f>
        <v>0.227399022221667</v>
      </c>
      <c r="AD666" s="0" t="n">
        <f aca="false">IF(AND(AND(ISNUMBER(B666),B666=OriginalFinancials!B666),AND(ISNUMBER(U666),U666=OriginalFinancials!U666),AND(ISNUMBER(O666),O666=OriginalFinancials!O666)),0,1)</f>
        <v>0</v>
      </c>
      <c r="AE666" s="0" t="str">
        <f aca="false">IF(V666=0,"原始0：需核实适用/报告口径","")</f>
        <v/>
      </c>
    </row>
    <row r="667" customFormat="false" ht="15" hidden="false" customHeight="false" outlineLevel="0" collapsed="false">
      <c r="A667" s="0" t="n">
        <v>667</v>
      </c>
      <c r="B667" s="0" t="n">
        <v>669787</v>
      </c>
      <c r="C667" s="0" t="n">
        <v>18031</v>
      </c>
      <c r="D667" s="0" t="n">
        <v>527059</v>
      </c>
      <c r="E667" s="0" t="n">
        <v>0.03</v>
      </c>
      <c r="F667" s="0" t="n">
        <v>40246</v>
      </c>
      <c r="G667" s="0" t="n">
        <v>6.00877592428638</v>
      </c>
      <c r="H667" s="0" t="s">
        <v>824</v>
      </c>
      <c r="I667" s="0" t="n">
        <v>0.823234239090649</v>
      </c>
      <c r="J667" s="0" t="n">
        <v>22344</v>
      </c>
      <c r="K667" s="0" t="n">
        <v>7590</v>
      </c>
      <c r="L667" s="0" t="n">
        <v>450783</v>
      </c>
      <c r="M667" s="0" t="n">
        <v>447072</v>
      </c>
      <c r="N667" s="0" t="n">
        <v>414125</v>
      </c>
      <c r="O667" s="0" t="n">
        <v>848</v>
      </c>
      <c r="P667" s="0" t="s">
        <v>157</v>
      </c>
      <c r="Q667" s="0" t="n">
        <v>0.188117120654506</v>
      </c>
      <c r="R667" s="0" t="n">
        <v>2.71912769520121</v>
      </c>
      <c r="S667" s="0" t="n">
        <v>10</v>
      </c>
      <c r="T667" s="0" t="n">
        <v>1454</v>
      </c>
      <c r="U667" s="0" t="n">
        <v>0</v>
      </c>
      <c r="V667" s="0" t="n">
        <v>17.3844145899069</v>
      </c>
      <c r="W667" s="0" t="n">
        <v>20250331</v>
      </c>
      <c r="X667" s="0" t="n">
        <v>0.300334903153145</v>
      </c>
      <c r="Y667" s="0" t="n">
        <v>5.16</v>
      </c>
      <c r="Z667" s="0" t="s">
        <v>123</v>
      </c>
      <c r="AA667" s="0" t="n">
        <f aca="false">IF(AND(ISNUMBER(B667),B667&gt;0,ISNUMBER(U667),U667&gt;=0,ISNUMBER(O667),O667&gt;=0),1,0)</f>
        <v>1</v>
      </c>
      <c r="AB667" s="0" t="n">
        <f aca="false">IF(AA667=1,U667+O667,0)</f>
        <v>848</v>
      </c>
      <c r="AC667" s="0" t="n">
        <f aca="false">IF(AA667=1,100*AB667/B667,"")</f>
        <v>0.126607413998779</v>
      </c>
      <c r="AD667" s="0" t="n">
        <f aca="false">IF(AND(AND(ISNUMBER(B667),B667=OriginalFinancials!B667),AND(ISNUMBER(U667),U667=OriginalFinancials!U667),AND(ISNUMBER(O667),O667=OriginalFinancials!O667)),0,1)</f>
        <v>0</v>
      </c>
      <c r="AE667" s="0" t="str">
        <f aca="false">IF(V667=0,"原始0：需核实适用/报告口径","")</f>
        <v/>
      </c>
    </row>
    <row r="668" customFormat="false" ht="15" hidden="false" customHeight="false" outlineLevel="0" collapsed="false">
      <c r="A668" s="0" t="n">
        <v>668</v>
      </c>
      <c r="B668" s="0" t="n">
        <v>575681</v>
      </c>
      <c r="C668" s="0" t="n">
        <v>18038</v>
      </c>
      <c r="D668" s="0" t="n">
        <v>443411</v>
      </c>
      <c r="E668" s="0" t="n">
        <v>0</v>
      </c>
      <c r="F668" s="0" t="n">
        <v>68850</v>
      </c>
      <c r="G668" s="0" t="n">
        <v>11.9597485412928</v>
      </c>
      <c r="H668" s="0" t="s">
        <v>825</v>
      </c>
      <c r="I668" s="0" t="n">
        <v>0.893071166402403</v>
      </c>
      <c r="J668" s="0" t="n">
        <v>31307</v>
      </c>
      <c r="K668" s="0" t="n">
        <v>4078</v>
      </c>
      <c r="L668" s="0" t="n">
        <v>454723</v>
      </c>
      <c r="M668" s="0" t="n">
        <v>450662</v>
      </c>
      <c r="N668" s="0" t="n">
        <v>417170</v>
      </c>
      <c r="O668" s="0" t="n">
        <v>2863</v>
      </c>
      <c r="P668" s="0" t="s">
        <v>159</v>
      </c>
      <c r="Q668" s="0" t="n">
        <v>0.629614072743186</v>
      </c>
      <c r="R668" s="0" t="n">
        <v>2.82748541050406</v>
      </c>
      <c r="S668" s="0" t="n">
        <v>-51</v>
      </c>
      <c r="T668" s="0" t="n">
        <v>2982</v>
      </c>
      <c r="U668" s="0" t="n">
        <v>0</v>
      </c>
      <c r="V668" s="0" t="n">
        <v>0</v>
      </c>
      <c r="W668" s="0" t="n">
        <v>20250331</v>
      </c>
      <c r="X668" s="0" t="n">
        <v>0.242522943622228</v>
      </c>
      <c r="Y668" s="0" t="n">
        <v>2.01</v>
      </c>
      <c r="Z668" s="0" t="s">
        <v>123</v>
      </c>
      <c r="AA668" s="0" t="n">
        <f aca="false">IF(AND(ISNUMBER(B668),B668&gt;0,ISNUMBER(U668),U668&gt;=0,ISNUMBER(O668),O668&gt;=0),1,0)</f>
        <v>1</v>
      </c>
      <c r="AB668" s="0" t="n">
        <f aca="false">IF(AA668=1,U668+O668,0)</f>
        <v>2863</v>
      </c>
      <c r="AC668" s="0" t="n">
        <f aca="false">IF(AA668=1,100*AB668/B668,"")</f>
        <v>0.497324038834007</v>
      </c>
      <c r="AD668" s="0" t="n">
        <f aca="false">IF(AND(AND(ISNUMBER(B668),B668=OriginalFinancials!B668),AND(ISNUMBER(U668),U668=OriginalFinancials!U668),AND(ISNUMBER(O668),O668=OriginalFinancials!O668)),0,1)</f>
        <v>0</v>
      </c>
      <c r="AE668" s="0" t="str">
        <f aca="false">IF(V668=0,"原始0：需核实适用/报告口径","")</f>
        <v>原始0：需核实适用/报告口径</v>
      </c>
    </row>
    <row r="669" customFormat="false" ht="15" hidden="false" customHeight="false" outlineLevel="0" collapsed="false">
      <c r="A669" s="0" t="n">
        <v>669</v>
      </c>
      <c r="B669" s="0" t="n">
        <v>7235355</v>
      </c>
      <c r="C669" s="0" t="n">
        <v>18408</v>
      </c>
      <c r="D669" s="0" t="n">
        <v>6181793</v>
      </c>
      <c r="E669" s="0" t="n">
        <v>0.1</v>
      </c>
      <c r="F669" s="0" t="n">
        <v>455151</v>
      </c>
      <c r="G669" s="0" t="n">
        <v>6.29065194451413</v>
      </c>
      <c r="H669" s="0" t="s">
        <v>826</v>
      </c>
      <c r="I669" s="0" t="n">
        <v>0.663960992969789</v>
      </c>
      <c r="J669" s="0" t="n">
        <v>395278</v>
      </c>
      <c r="K669" s="0" t="n">
        <v>58940</v>
      </c>
      <c r="L669" s="0" t="n">
        <v>4976949</v>
      </c>
      <c r="M669" s="0" t="n">
        <v>4943904</v>
      </c>
      <c r="N669" s="0" t="n">
        <v>4459056</v>
      </c>
      <c r="O669" s="0" t="n">
        <v>8109</v>
      </c>
      <c r="P669" s="0" t="s">
        <v>161</v>
      </c>
      <c r="Q669" s="0" t="n">
        <v>0.162931145165442</v>
      </c>
      <c r="R669" s="0" t="n">
        <v>2.37111335634403</v>
      </c>
      <c r="S669" s="0" t="n">
        <v>158</v>
      </c>
      <c r="T669" s="0" t="n">
        <v>10783</v>
      </c>
      <c r="U669" s="0" t="n">
        <v>0</v>
      </c>
      <c r="V669" s="0" t="n">
        <v>11.3560231469601</v>
      </c>
      <c r="W669" s="0" t="n">
        <v>20250331</v>
      </c>
      <c r="X669" s="0" t="n">
        <v>0.125198481394932</v>
      </c>
      <c r="Y669" s="0" t="n">
        <v>2.05</v>
      </c>
      <c r="Z669" s="0" t="s">
        <v>105</v>
      </c>
      <c r="AA669" s="0" t="n">
        <f aca="false">IF(AND(ISNUMBER(B669),B669&gt;0,ISNUMBER(U669),U669&gt;=0,ISNUMBER(O669),O669&gt;=0),1,0)</f>
        <v>1</v>
      </c>
      <c r="AB669" s="0" t="n">
        <f aca="false">IF(AA669=1,U669+O669,0)</f>
        <v>8109</v>
      </c>
      <c r="AC669" s="0" t="n">
        <f aca="false">IF(AA669=1,100*AB669/B669,"")</f>
        <v>0.11207466668878</v>
      </c>
      <c r="AD669" s="0" t="n">
        <f aca="false">IF(AND(AND(ISNUMBER(B669),B669=OriginalFinancials!B669),AND(ISNUMBER(U669),U669=OriginalFinancials!U669),AND(ISNUMBER(O669),O669=OriginalFinancials!O669)),0,1)</f>
        <v>0</v>
      </c>
      <c r="AE669" s="0" t="str">
        <f aca="false">IF(V669=0,"原始0：需核实适用/报告口径","")</f>
        <v/>
      </c>
    </row>
    <row r="670" customFormat="false" ht="15" hidden="false" customHeight="false" outlineLevel="0" collapsed="false">
      <c r="A670" s="0" t="n">
        <v>670</v>
      </c>
      <c r="B670" s="0" t="n">
        <v>2567242</v>
      </c>
      <c r="C670" s="0" t="n">
        <v>19531</v>
      </c>
      <c r="D670" s="0" t="n">
        <v>2162803</v>
      </c>
      <c r="E670" s="0" t="n">
        <v>0</v>
      </c>
      <c r="F670" s="0" t="n">
        <v>266786</v>
      </c>
      <c r="G670" s="0" t="n">
        <v>10.3919303283446</v>
      </c>
      <c r="H670" s="0" t="s">
        <v>827</v>
      </c>
      <c r="I670" s="0" t="n">
        <v>0.886728489537274</v>
      </c>
      <c r="J670" s="0" t="n">
        <v>257734</v>
      </c>
      <c r="K670" s="0" t="n">
        <v>6994</v>
      </c>
      <c r="L670" s="0" t="n">
        <v>2179021</v>
      </c>
      <c r="M670" s="0" t="n">
        <v>2159699</v>
      </c>
      <c r="N670" s="0" t="n">
        <v>1814549</v>
      </c>
      <c r="O670" s="0" t="n">
        <v>7253</v>
      </c>
      <c r="P670" s="0" t="s">
        <v>163</v>
      </c>
      <c r="Q670" s="0" t="n">
        <v>0.334966941576056</v>
      </c>
      <c r="R670" s="0" t="n">
        <v>3.12555213929317</v>
      </c>
      <c r="S670" s="0" t="n">
        <v>-334</v>
      </c>
      <c r="T670" s="0" t="n">
        <v>22725</v>
      </c>
      <c r="U670" s="0" t="n">
        <v>46</v>
      </c>
      <c r="V670" s="0" t="n">
        <v>14.927898270842</v>
      </c>
      <c r="W670" s="0" t="n">
        <v>20250331</v>
      </c>
      <c r="X670" s="0" t="n">
        <v>0.636590668953529</v>
      </c>
      <c r="Y670" s="0" t="n">
        <v>6.27</v>
      </c>
      <c r="Z670" s="0" t="s">
        <v>105</v>
      </c>
      <c r="AA670" s="0" t="n">
        <f aca="false">IF(AND(ISNUMBER(B670),B670&gt;0,ISNUMBER(U670),U670&gt;=0,ISNUMBER(O670),O670&gt;=0),1,0)</f>
        <v>1</v>
      </c>
      <c r="AB670" s="0" t="n">
        <f aca="false">IF(AA670=1,U670+O670,0)</f>
        <v>7299</v>
      </c>
      <c r="AC670" s="0" t="n">
        <f aca="false">IF(AA670=1,100*AB670/B670,"")</f>
        <v>0.284312892980093</v>
      </c>
      <c r="AD670" s="0" t="n">
        <f aca="false">IF(AND(AND(ISNUMBER(B670),B670=OriginalFinancials!B670),AND(ISNUMBER(U670),U670=OriginalFinancials!U670),AND(ISNUMBER(O670),O670=OriginalFinancials!O670)),0,1)</f>
        <v>0</v>
      </c>
      <c r="AE670" s="0" t="str">
        <f aca="false">IF(V670=0,"原始0：需核实适用/报告口径","")</f>
        <v/>
      </c>
    </row>
    <row r="671" customFormat="false" ht="15" hidden="false" customHeight="false" outlineLevel="0" collapsed="false">
      <c r="A671" s="0" t="n">
        <v>671</v>
      </c>
      <c r="B671" s="0" t="n">
        <v>842808</v>
      </c>
      <c r="C671" s="0" t="n">
        <v>19532</v>
      </c>
      <c r="D671" s="0" t="n">
        <v>725198</v>
      </c>
      <c r="E671" s="0" t="n">
        <v>0.08</v>
      </c>
      <c r="F671" s="0" t="n">
        <v>106845</v>
      </c>
      <c r="G671" s="0" t="n">
        <v>12.6772645727141</v>
      </c>
      <c r="H671" s="0" t="s">
        <v>828</v>
      </c>
      <c r="I671" s="0" t="n">
        <v>0.987447833323952</v>
      </c>
      <c r="J671" s="0" t="n">
        <v>52325</v>
      </c>
      <c r="K671" s="0" t="n">
        <v>50922</v>
      </c>
      <c r="L671" s="0" t="n">
        <v>621805</v>
      </c>
      <c r="M671" s="0" t="n">
        <v>615665</v>
      </c>
      <c r="N671" s="0" t="n">
        <v>513632</v>
      </c>
      <c r="O671" s="0" t="n">
        <v>1797</v>
      </c>
      <c r="P671" s="0" t="s">
        <v>165</v>
      </c>
      <c r="Q671" s="0" t="n">
        <v>0.288997354476082</v>
      </c>
      <c r="R671" s="0" t="n">
        <v>3.55241458743948</v>
      </c>
      <c r="S671" s="0" t="n">
        <v>17</v>
      </c>
      <c r="T671" s="0" t="n">
        <v>1058</v>
      </c>
      <c r="U671" s="0" t="n">
        <v>0</v>
      </c>
      <c r="V671" s="0" t="n">
        <v>21.4450676887142</v>
      </c>
      <c r="W671" s="0" t="n">
        <v>20250331</v>
      </c>
      <c r="X671" s="0" t="n">
        <v>0.760021446855203</v>
      </c>
      <c r="Y671" s="0" t="n">
        <v>6.11</v>
      </c>
      <c r="Z671" s="0" t="s">
        <v>105</v>
      </c>
      <c r="AA671" s="0" t="n">
        <f aca="false">IF(AND(ISNUMBER(B671),B671&gt;0,ISNUMBER(U671),U671&gt;=0,ISNUMBER(O671),O671&gt;=0),1,0)</f>
        <v>1</v>
      </c>
      <c r="AB671" s="0" t="n">
        <f aca="false">IF(AA671=1,U671+O671,0)</f>
        <v>1797</v>
      </c>
      <c r="AC671" s="0" t="n">
        <f aca="false">IF(AA671=1,100*AB671/B671,"")</f>
        <v>0.213215821397044</v>
      </c>
      <c r="AD671" s="0" t="n">
        <f aca="false">IF(AND(AND(ISNUMBER(B671),B671=OriginalFinancials!B671),AND(ISNUMBER(U671),U671=OriginalFinancials!U671),AND(ISNUMBER(O671),O671=OriginalFinancials!O671)),0,1)</f>
        <v>0</v>
      </c>
      <c r="AE671" s="0" t="str">
        <f aca="false">IF(V671=0,"原始0：需核实适用/报告口径","")</f>
        <v/>
      </c>
    </row>
    <row r="672" customFormat="false" ht="15" hidden="false" customHeight="false" outlineLevel="0" collapsed="false">
      <c r="A672" s="0" t="n">
        <v>672</v>
      </c>
      <c r="B672" s="0" t="n">
        <v>4228502</v>
      </c>
      <c r="C672" s="0" t="n">
        <v>19690</v>
      </c>
      <c r="D672" s="0" t="n">
        <v>3328164</v>
      </c>
      <c r="E672" s="0" t="n">
        <v>0.29</v>
      </c>
      <c r="F672" s="0" t="n">
        <v>467516</v>
      </c>
      <c r="G672" s="0" t="n">
        <v>11.0563031541667</v>
      </c>
      <c r="H672" s="0" t="s">
        <v>829</v>
      </c>
      <c r="I672" s="0" t="n">
        <v>1.21090647231404</v>
      </c>
      <c r="J672" s="0" t="n">
        <v>172540</v>
      </c>
      <c r="K672" s="0" t="n">
        <v>172</v>
      </c>
      <c r="L672" s="0" t="n">
        <v>3800789</v>
      </c>
      <c r="M672" s="0" t="n">
        <v>3754765</v>
      </c>
      <c r="N672" s="0" t="n">
        <v>2887276</v>
      </c>
      <c r="O672" s="0" t="n">
        <v>32232</v>
      </c>
      <c r="P672" s="0" t="s">
        <v>167</v>
      </c>
      <c r="Q672" s="0" t="n">
        <v>0.848034447584436</v>
      </c>
      <c r="R672" s="0" t="n">
        <v>4.54258494208518</v>
      </c>
      <c r="S672" s="0" t="n">
        <v>2081</v>
      </c>
      <c r="T672" s="0" t="n">
        <v>4376</v>
      </c>
      <c r="U672" s="0" t="n">
        <v>0</v>
      </c>
      <c r="V672" s="0" t="n">
        <v>13.9816970798047</v>
      </c>
      <c r="W672" s="0" t="n">
        <v>20250331</v>
      </c>
      <c r="X672" s="0" t="n">
        <v>1.79807487310439</v>
      </c>
      <c r="Y672" s="0" t="n">
        <v>16.39</v>
      </c>
      <c r="Z672" s="0" t="s">
        <v>105</v>
      </c>
      <c r="AA672" s="0" t="n">
        <f aca="false">IF(AND(ISNUMBER(B672),B672&gt;0,ISNUMBER(U672),U672&gt;=0,ISNUMBER(O672),O672&gt;=0),1,0)</f>
        <v>1</v>
      </c>
      <c r="AB672" s="0" t="n">
        <f aca="false">IF(AA672=1,U672+O672,0)</f>
        <v>32232</v>
      </c>
      <c r="AC672" s="0" t="n">
        <f aca="false">IF(AA672=1,100*AB672/B672,"")</f>
        <v>0.76225575865874</v>
      </c>
      <c r="AD672" s="0" t="n">
        <f aca="false">IF(AND(AND(ISNUMBER(B672),B672=OriginalFinancials!B672),AND(ISNUMBER(U672),U672=OriginalFinancials!U672),AND(ISNUMBER(O672),O672=OriginalFinancials!O672)),0,1)</f>
        <v>0</v>
      </c>
      <c r="AE672" s="0" t="str">
        <f aca="false">IF(V672=0,"原始0：需核实适用/报告口径","")</f>
        <v/>
      </c>
    </row>
    <row r="673" customFormat="false" ht="15" hidden="false" customHeight="false" outlineLevel="0" collapsed="false">
      <c r="A673" s="0" t="n">
        <v>673</v>
      </c>
      <c r="B673" s="0" t="n">
        <v>733639</v>
      </c>
      <c r="C673" s="0" t="n">
        <v>19836</v>
      </c>
      <c r="D673" s="0" t="n">
        <v>586835</v>
      </c>
      <c r="E673" s="0" t="n">
        <v>0.02</v>
      </c>
      <c r="F673" s="0" t="n">
        <v>128641</v>
      </c>
      <c r="G673" s="0" t="n">
        <v>17.5346457862791</v>
      </c>
      <c r="H673" s="0" t="s">
        <v>830</v>
      </c>
      <c r="I673" s="0" t="n">
        <v>0.711385839548462</v>
      </c>
      <c r="J673" s="0" t="n">
        <v>42016</v>
      </c>
      <c r="K673" s="0" t="n">
        <v>10284</v>
      </c>
      <c r="L673" s="0" t="n">
        <v>627367</v>
      </c>
      <c r="M673" s="0" t="n">
        <v>622904</v>
      </c>
      <c r="N673" s="0" t="n">
        <v>573366</v>
      </c>
      <c r="O673" s="0" t="n">
        <v>6387</v>
      </c>
      <c r="P673" s="0" t="s">
        <v>145</v>
      </c>
      <c r="Q673" s="0" t="n">
        <v>1.04898727539064</v>
      </c>
      <c r="R673" s="0" t="n">
        <v>3.88739749739618</v>
      </c>
      <c r="S673" s="0" t="n">
        <v>34</v>
      </c>
      <c r="T673" s="0" t="n">
        <v>7070</v>
      </c>
      <c r="U673" s="0" t="n">
        <v>194</v>
      </c>
      <c r="V673" s="0" t="n">
        <v>23.6061274143527</v>
      </c>
      <c r="W673" s="0" t="n">
        <v>20250331</v>
      </c>
      <c r="X673" s="0" t="n">
        <v>0.75637419969238</v>
      </c>
      <c r="Y673" s="0" t="n">
        <v>4.33</v>
      </c>
      <c r="Z673" s="0" t="s">
        <v>105</v>
      </c>
      <c r="AA673" s="0" t="n">
        <f aca="false">IF(AND(ISNUMBER(B673),B673&gt;0,ISNUMBER(U673),U673&gt;=0,ISNUMBER(O673),O673&gt;=0),1,0)</f>
        <v>1</v>
      </c>
      <c r="AB673" s="0" t="n">
        <f aca="false">IF(AA673=1,U673+O673,0)</f>
        <v>6581</v>
      </c>
      <c r="AC673" s="0" t="n">
        <f aca="false">IF(AA673=1,100*AB673/B673,"")</f>
        <v>0.89703519033203</v>
      </c>
      <c r="AD673" s="0" t="n">
        <f aca="false">IF(AND(AND(ISNUMBER(B673),B673=OriginalFinancials!B673),AND(ISNUMBER(U673),U673=OriginalFinancials!U673),AND(ISNUMBER(O673),O673=OriginalFinancials!O673)),0,1)</f>
        <v>0</v>
      </c>
      <c r="AE673" s="0" t="str">
        <f aca="false">IF(V673=0,"原始0：需核实适用/报告口径","")</f>
        <v/>
      </c>
    </row>
    <row r="674" customFormat="false" ht="15" hidden="false" customHeight="false" outlineLevel="0" collapsed="false">
      <c r="A674" s="0" t="n">
        <v>674</v>
      </c>
      <c r="B674" s="0" t="n">
        <v>1688107</v>
      </c>
      <c r="C674" s="0" t="n">
        <v>24540</v>
      </c>
      <c r="D674" s="0" t="n">
        <v>1385459</v>
      </c>
      <c r="E674" s="0" t="n">
        <v>0.15</v>
      </c>
      <c r="F674" s="0" t="n">
        <v>273377</v>
      </c>
      <c r="G674" s="0" t="n">
        <v>16.194293371214</v>
      </c>
      <c r="H674" s="0" t="s">
        <v>831</v>
      </c>
      <c r="I674" s="0" t="n">
        <v>0.995144118535278</v>
      </c>
      <c r="J674" s="0" t="n">
        <v>42943</v>
      </c>
      <c r="K674" s="0" t="n">
        <v>38</v>
      </c>
      <c r="L674" s="0" t="n">
        <v>1460291</v>
      </c>
      <c r="M674" s="0" t="n">
        <v>1445759</v>
      </c>
      <c r="N674" s="0" t="n">
        <v>1421528</v>
      </c>
      <c r="O674" s="0" t="n">
        <v>11794</v>
      </c>
      <c r="P674" s="0" t="s">
        <v>170</v>
      </c>
      <c r="Q674" s="0" t="n">
        <v>0.807647242912543</v>
      </c>
      <c r="R674" s="0" t="n">
        <v>4.21829211286827</v>
      </c>
      <c r="S674" s="0" t="n">
        <v>0</v>
      </c>
      <c r="T674" s="0" t="n">
        <v>0</v>
      </c>
      <c r="U674" s="0" t="n">
        <v>0</v>
      </c>
      <c r="V674" s="0" t="n">
        <v>0</v>
      </c>
      <c r="W674" s="0" t="n">
        <v>20250331</v>
      </c>
      <c r="X674" s="0" t="n">
        <v>1.94700476953964</v>
      </c>
      <c r="Y674" s="0" t="n">
        <v>11.39</v>
      </c>
      <c r="Z674" s="0" t="s">
        <v>123</v>
      </c>
      <c r="AA674" s="0" t="n">
        <f aca="false">IF(AND(ISNUMBER(B674),B674&gt;0,ISNUMBER(U674),U674&gt;=0,ISNUMBER(O674),O674&gt;=0),1,0)</f>
        <v>1</v>
      </c>
      <c r="AB674" s="0" t="n">
        <f aca="false">IF(AA674=1,U674+O674,0)</f>
        <v>11794</v>
      </c>
      <c r="AC674" s="0" t="n">
        <f aca="false">IF(AA674=1,100*AB674/B674,"")</f>
        <v>0.698652395849315</v>
      </c>
      <c r="AD674" s="0" t="n">
        <f aca="false">IF(AND(AND(ISNUMBER(B674),B674=OriginalFinancials!B674),AND(ISNUMBER(U674),U674=OriginalFinancials!U674),AND(ISNUMBER(O674),O674=OriginalFinancials!O674)),0,1)</f>
        <v>0</v>
      </c>
      <c r="AE674" s="0" t="str">
        <f aca="false">IF(V674=0,"原始0：需核实适用/报告口径","")</f>
        <v>原始0：需核实适用/报告口径</v>
      </c>
    </row>
    <row r="675" customFormat="false" ht="15" hidden="false" customHeight="false" outlineLevel="0" collapsed="false">
      <c r="A675" s="0" t="n">
        <v>675</v>
      </c>
      <c r="B675" s="0" t="n">
        <v>575397</v>
      </c>
      <c r="C675" s="0" t="n">
        <v>27824</v>
      </c>
      <c r="D675" s="0" t="n">
        <v>382749</v>
      </c>
      <c r="E675" s="0" t="n">
        <v>0.09</v>
      </c>
      <c r="F675" s="0" t="n">
        <v>62093</v>
      </c>
      <c r="G675" s="0" t="n">
        <v>10.7913318978027</v>
      </c>
      <c r="H675" s="0" t="s">
        <v>832</v>
      </c>
      <c r="I675" s="0" t="n">
        <v>0.611981395427468</v>
      </c>
      <c r="J675" s="0" t="n">
        <v>17729</v>
      </c>
      <c r="K675" s="0" t="n">
        <v>35270</v>
      </c>
      <c r="L675" s="0" t="n">
        <v>473217</v>
      </c>
      <c r="M675" s="0" t="n">
        <v>470321</v>
      </c>
      <c r="N675" s="0" t="n">
        <v>420218</v>
      </c>
      <c r="O675" s="0" t="n">
        <v>2067</v>
      </c>
      <c r="P675" s="0" t="s">
        <v>172</v>
      </c>
      <c r="Q675" s="0" t="n">
        <v>0.436797494595503</v>
      </c>
      <c r="R675" s="0" t="n">
        <v>1.82604182072874</v>
      </c>
      <c r="S675" s="0" t="n">
        <v>44</v>
      </c>
      <c r="T675" s="0" t="n">
        <v>844</v>
      </c>
      <c r="U675" s="0" t="n">
        <v>0</v>
      </c>
      <c r="V675" s="0" t="n">
        <v>18.7325769420946</v>
      </c>
      <c r="W675" s="0" t="n">
        <v>20250331</v>
      </c>
      <c r="X675" s="0" t="n">
        <v>-0.633637024006441</v>
      </c>
      <c r="Y675" s="0" t="n">
        <v>-5.81</v>
      </c>
      <c r="Z675" s="0" t="s">
        <v>123</v>
      </c>
      <c r="AA675" s="0" t="n">
        <f aca="false">IF(AND(ISNUMBER(B675),B675&gt;0,ISNUMBER(U675),U675&gt;=0,ISNUMBER(O675),O675&gt;=0),1,0)</f>
        <v>1</v>
      </c>
      <c r="AB675" s="0" t="n">
        <f aca="false">IF(AA675=1,U675+O675,0)</f>
        <v>2067</v>
      </c>
      <c r="AC675" s="0" t="n">
        <f aca="false">IF(AA675=1,100*AB675/B675,"")</f>
        <v>0.359230235819791</v>
      </c>
      <c r="AD675" s="0" t="n">
        <f aca="false">IF(AND(AND(ISNUMBER(B675),B675=OriginalFinancials!B675),AND(ISNUMBER(U675),U675=OriginalFinancials!U675),AND(ISNUMBER(O675),O675=OriginalFinancials!O675)),0,1)</f>
        <v>0</v>
      </c>
      <c r="AE675" s="0" t="str">
        <f aca="false">IF(V675=0,"原始0：需核实适用/报告口径","")</f>
        <v/>
      </c>
    </row>
    <row r="676" customFormat="false" ht="15" hidden="false" customHeight="false" outlineLevel="0" collapsed="false">
      <c r="A676" s="0" t="n">
        <v>676</v>
      </c>
      <c r="B676" s="0" t="n">
        <v>299190</v>
      </c>
      <c r="C676" s="0" t="n">
        <v>28155</v>
      </c>
      <c r="D676" s="0" t="n">
        <v>270079</v>
      </c>
      <c r="E676" s="0" t="n">
        <v>0</v>
      </c>
      <c r="F676" s="0" t="n">
        <v>27411</v>
      </c>
      <c r="G676" s="0" t="n">
        <v>9.16173668906046</v>
      </c>
      <c r="H676" s="0" t="s">
        <v>833</v>
      </c>
      <c r="I676" s="0" t="n">
        <v>0.447460321967008</v>
      </c>
      <c r="J676" s="0" t="n">
        <v>9840</v>
      </c>
      <c r="K676" s="0" t="n">
        <v>6251</v>
      </c>
      <c r="L676" s="0" t="n">
        <v>176105</v>
      </c>
      <c r="M676" s="0" t="n">
        <v>175317</v>
      </c>
      <c r="N676" s="0" t="n">
        <v>159503</v>
      </c>
      <c r="O676" s="0" t="n">
        <v>304</v>
      </c>
      <c r="P676" s="0" t="s">
        <v>174</v>
      </c>
      <c r="Q676" s="0" t="n">
        <v>0.172624286647171</v>
      </c>
      <c r="R676" s="0" t="n">
        <v>2.61875903430567</v>
      </c>
      <c r="S676" s="0" t="n">
        <v>0</v>
      </c>
      <c r="T676" s="0" t="n">
        <v>1504</v>
      </c>
      <c r="U676" s="0" t="n">
        <v>0</v>
      </c>
      <c r="V676" s="0" t="n">
        <v>17.476407488759</v>
      </c>
      <c r="W676" s="0" t="n">
        <v>20250331</v>
      </c>
      <c r="X676" s="0" t="n">
        <v>-0.103525409942137</v>
      </c>
      <c r="Y676" s="0" t="n">
        <v>-1.12</v>
      </c>
      <c r="Z676" s="0" t="s">
        <v>123</v>
      </c>
      <c r="AA676" s="0" t="n">
        <f aca="false">IF(AND(ISNUMBER(B676),B676&gt;0,ISNUMBER(U676),U676&gt;=0,ISNUMBER(O676),O676&gt;=0),1,0)</f>
        <v>1</v>
      </c>
      <c r="AB676" s="0" t="n">
        <f aca="false">IF(AA676=1,U676+O676,0)</f>
        <v>304</v>
      </c>
      <c r="AC676" s="0" t="n">
        <f aca="false">IF(AA676=1,100*AB676/B676,"")</f>
        <v>0.101607674053277</v>
      </c>
      <c r="AD676" s="0" t="n">
        <f aca="false">IF(AND(AND(ISNUMBER(B676),B676=OriginalFinancials!B676),AND(ISNUMBER(U676),U676=OriginalFinancials!U676),AND(ISNUMBER(O676),O676=OriginalFinancials!O676)),0,1)</f>
        <v>0</v>
      </c>
      <c r="AE676" s="0" t="str">
        <f aca="false">IF(V676=0,"原始0：需核实适用/报告口径","")</f>
        <v/>
      </c>
    </row>
    <row r="677" customFormat="false" ht="15" hidden="false" customHeight="false" outlineLevel="0" collapsed="false">
      <c r="A677" s="0" t="n">
        <v>677</v>
      </c>
      <c r="B677" s="0" t="n">
        <v>101149</v>
      </c>
      <c r="C677" s="0" t="n">
        <v>28288</v>
      </c>
      <c r="D677" s="0" t="n">
        <v>72293</v>
      </c>
      <c r="E677" s="0" t="n">
        <v>0</v>
      </c>
      <c r="F677" s="0" t="n">
        <v>6164</v>
      </c>
      <c r="G677" s="0" t="n">
        <v>6.09398016787116</v>
      </c>
      <c r="H677" s="0" t="s">
        <v>834</v>
      </c>
      <c r="I677" s="0" t="n">
        <v>0.985046866204939</v>
      </c>
      <c r="J677" s="0" t="n">
        <v>4355</v>
      </c>
      <c r="K677" s="0" t="n">
        <v>3475</v>
      </c>
      <c r="L677" s="0" t="n">
        <v>81722</v>
      </c>
      <c r="M677" s="0" t="n">
        <v>80917</v>
      </c>
      <c r="N677" s="0" t="n">
        <v>73892</v>
      </c>
      <c r="O677" s="0" t="n">
        <v>1</v>
      </c>
      <c r="P677" s="0" t="s">
        <v>176</v>
      </c>
      <c r="Q677" s="0" t="n">
        <v>0.0012236607033601</v>
      </c>
      <c r="R677" s="0" t="n">
        <v>2.70885511462336</v>
      </c>
      <c r="S677" s="0" t="n">
        <v>0</v>
      </c>
      <c r="T677" s="0" t="n">
        <v>668</v>
      </c>
      <c r="U677" s="0" t="n">
        <v>0</v>
      </c>
      <c r="V677" s="0" t="n">
        <v>13.3963087197846</v>
      </c>
      <c r="W677" s="0" t="n">
        <v>20250331</v>
      </c>
      <c r="X677" s="0" t="n">
        <v>0.216262975778547</v>
      </c>
      <c r="Y677" s="0" t="n">
        <v>3.65</v>
      </c>
      <c r="Z677" s="0" t="s">
        <v>105</v>
      </c>
      <c r="AA677" s="0" t="n">
        <f aca="false">IF(AND(ISNUMBER(B677),B677&gt;0,ISNUMBER(U677),U677&gt;=0,ISNUMBER(O677),O677&gt;=0),1,0)</f>
        <v>1</v>
      </c>
      <c r="AB677" s="0" t="n">
        <f aca="false">IF(AA677=1,U677+O677,0)</f>
        <v>1</v>
      </c>
      <c r="AC677" s="0" t="n">
        <f aca="false">IF(AA677=1,100*AB677/B677,"")</f>
        <v>0.00098864052042037</v>
      </c>
      <c r="AD677" s="0" t="n">
        <f aca="false">IF(AND(AND(ISNUMBER(B677),B677=OriginalFinancials!B677),AND(ISNUMBER(U677),U677=OriginalFinancials!U677),AND(ISNUMBER(O677),O677=OriginalFinancials!O677)),0,1)</f>
        <v>0</v>
      </c>
      <c r="AE677" s="0" t="str">
        <f aca="false">IF(V677=0,"原始0：需核实适用/报告口径","")</f>
        <v/>
      </c>
    </row>
    <row r="678" customFormat="false" ht="15" hidden="false" customHeight="false" outlineLevel="0" collapsed="false">
      <c r="A678" s="0" t="n">
        <v>678</v>
      </c>
      <c r="B678" s="0" t="n">
        <v>93473</v>
      </c>
      <c r="C678" s="0" t="n">
        <v>28369</v>
      </c>
      <c r="D678" s="0" t="n">
        <v>72638</v>
      </c>
      <c r="E678" s="0" t="n">
        <v>0.01</v>
      </c>
      <c r="F678" s="0" t="n">
        <v>9063</v>
      </c>
      <c r="G678" s="0" t="n">
        <v>9.69584799888738</v>
      </c>
      <c r="H678" s="0" t="s">
        <v>835</v>
      </c>
      <c r="I678" s="0" t="n">
        <v>0.778960643940799</v>
      </c>
      <c r="J678" s="0" t="n">
        <v>13089</v>
      </c>
      <c r="K678" s="0" t="n">
        <v>657</v>
      </c>
      <c r="L678" s="0" t="n">
        <v>80877</v>
      </c>
      <c r="M678" s="0" t="n">
        <v>80247</v>
      </c>
      <c r="N678" s="0" t="n">
        <v>67131</v>
      </c>
      <c r="O678" s="0" t="n">
        <v>88</v>
      </c>
      <c r="P678" s="0" t="s">
        <v>178</v>
      </c>
      <c r="Q678" s="0" t="n">
        <v>0.108807201058397</v>
      </c>
      <c r="R678" s="0" t="n">
        <v>3.50547869888538</v>
      </c>
      <c r="S678" s="0" t="n">
        <v>-1</v>
      </c>
      <c r="T678" s="0" t="n">
        <v>299</v>
      </c>
      <c r="U678" s="0" t="n">
        <v>0</v>
      </c>
      <c r="V678" s="0" t="n">
        <v>14.0023818248443</v>
      </c>
      <c r="W678" s="0" t="n">
        <v>20250331</v>
      </c>
      <c r="X678" s="0" t="n">
        <v>0.0854554776961203</v>
      </c>
      <c r="Y678" s="0" t="n">
        <v>0.88</v>
      </c>
      <c r="Z678" s="0" t="s">
        <v>105</v>
      </c>
      <c r="AA678" s="0" t="n">
        <f aca="false">IF(AND(ISNUMBER(B678),B678&gt;0,ISNUMBER(U678),U678&gt;=0,ISNUMBER(O678),O678&gt;=0),1,0)</f>
        <v>1</v>
      </c>
      <c r="AB678" s="0" t="n">
        <f aca="false">IF(AA678=1,U678+O678,0)</f>
        <v>88</v>
      </c>
      <c r="AC678" s="0" t="n">
        <f aca="false">IF(AA678=1,100*AB678/B678,"")</f>
        <v>0.0941448332673606</v>
      </c>
      <c r="AD678" s="0" t="n">
        <f aca="false">IF(AND(AND(ISNUMBER(B678),B678=OriginalFinancials!B678),AND(ISNUMBER(U678),U678=OriginalFinancials!U678),AND(ISNUMBER(O678),O678=OriginalFinancials!O678)),0,1)</f>
        <v>0</v>
      </c>
      <c r="AE678" s="0" t="str">
        <f aca="false">IF(V678=0,"原始0：需核实适用/报告口径","")</f>
        <v/>
      </c>
    </row>
    <row r="679" customFormat="false" ht="15" hidden="false" customHeight="false" outlineLevel="0" collapsed="false">
      <c r="A679" s="0" t="n">
        <v>679</v>
      </c>
      <c r="B679" s="0" t="n">
        <v>289565</v>
      </c>
      <c r="C679" s="0" t="n">
        <v>28837</v>
      </c>
      <c r="D679" s="0" t="n">
        <v>257144</v>
      </c>
      <c r="E679" s="0" t="n">
        <v>0.05</v>
      </c>
      <c r="F679" s="0" t="n">
        <v>29273</v>
      </c>
      <c r="G679" s="0" t="n">
        <v>10.1093018838603</v>
      </c>
      <c r="H679" s="0" t="s">
        <v>836</v>
      </c>
      <c r="I679" s="0" t="n">
        <v>1.08062035249973</v>
      </c>
      <c r="J679" s="0" t="n">
        <v>7281</v>
      </c>
      <c r="K679" s="0" t="n">
        <v>1412</v>
      </c>
      <c r="L679" s="0" t="n">
        <v>204142</v>
      </c>
      <c r="M679" s="0" t="n">
        <v>201936</v>
      </c>
      <c r="N679" s="0" t="n">
        <v>195050</v>
      </c>
      <c r="O679" s="0" t="n">
        <v>0</v>
      </c>
      <c r="P679" s="0" t="s">
        <v>180</v>
      </c>
      <c r="Q679" s="0" t="n">
        <v>0</v>
      </c>
      <c r="R679" s="0" t="n">
        <v>3.95504030292047</v>
      </c>
      <c r="S679" s="0" t="n">
        <v>0</v>
      </c>
      <c r="T679" s="0" t="n">
        <v>1378</v>
      </c>
      <c r="U679" s="0" t="n">
        <v>0</v>
      </c>
      <c r="V679" s="0" t="n">
        <v>18.1761660582706</v>
      </c>
      <c r="W679" s="0" t="n">
        <v>20250331</v>
      </c>
      <c r="X679" s="0" t="n">
        <v>0.698313621099047</v>
      </c>
      <c r="Y679" s="0" t="n">
        <v>6.95</v>
      </c>
      <c r="Z679" s="0" t="s">
        <v>112</v>
      </c>
      <c r="AA679" s="0" t="n">
        <f aca="false">IF(AND(ISNUMBER(B679),B679&gt;0,ISNUMBER(U679),U679&gt;=0,ISNUMBER(O679),O679&gt;=0),1,0)</f>
        <v>1</v>
      </c>
      <c r="AB679" s="0" t="n">
        <f aca="false">IF(AA679=1,U679+O679,0)</f>
        <v>0</v>
      </c>
      <c r="AC679" s="0" t="n">
        <f aca="false">IF(AA679=1,100*AB679/B679,"")</f>
        <v>0</v>
      </c>
      <c r="AD679" s="0" t="n">
        <f aca="false">IF(AND(AND(ISNUMBER(B679),B679=OriginalFinancials!B679),AND(ISNUMBER(U679),U679=OriginalFinancials!U679),AND(ISNUMBER(O679),O679=OriginalFinancials!O679)),0,1)</f>
        <v>0</v>
      </c>
      <c r="AE679" s="0" t="str">
        <f aca="false">IF(V679=0,"原始0：需核实适用/报告口径","")</f>
        <v/>
      </c>
    </row>
    <row r="680" customFormat="false" ht="15" hidden="false" customHeight="false" outlineLevel="0" collapsed="false">
      <c r="A680" s="0" t="n">
        <v>680</v>
      </c>
      <c r="B680" s="0" t="n">
        <v>186509</v>
      </c>
      <c r="C680" s="0" t="n">
        <v>29636</v>
      </c>
      <c r="D680" s="0" t="n">
        <v>143798</v>
      </c>
      <c r="E680" s="0" t="n">
        <v>0</v>
      </c>
      <c r="F680" s="0" t="n">
        <v>27465</v>
      </c>
      <c r="G680" s="0" t="n">
        <v>14.7258309250492</v>
      </c>
      <c r="H680" s="0" t="s">
        <v>837</v>
      </c>
      <c r="I680" s="0" t="n">
        <v>1.35480926166699</v>
      </c>
      <c r="J680" s="0" t="n">
        <v>1641</v>
      </c>
      <c r="K680" s="0" t="n">
        <v>1725</v>
      </c>
      <c r="L680" s="0" t="n">
        <v>144596</v>
      </c>
      <c r="M680" s="0" t="n">
        <v>142637</v>
      </c>
      <c r="N680" s="0" t="n">
        <v>141230</v>
      </c>
      <c r="O680" s="0" t="n">
        <v>3216</v>
      </c>
      <c r="P680" s="0" t="s">
        <v>182</v>
      </c>
      <c r="Q680" s="0" t="n">
        <v>2.2241279150184</v>
      </c>
      <c r="R680" s="0" t="n">
        <v>3.42549547345241</v>
      </c>
      <c r="S680" s="0" t="n">
        <v>10</v>
      </c>
      <c r="T680" s="0" t="n">
        <v>3952</v>
      </c>
      <c r="U680" s="0" t="n">
        <v>0</v>
      </c>
      <c r="V680" s="0" t="n">
        <v>27.1409419276435</v>
      </c>
      <c r="W680" s="0" t="n">
        <v>20250331</v>
      </c>
      <c r="X680" s="0" t="n">
        <v>0.138614772761114</v>
      </c>
      <c r="Y680" s="0" t="n">
        <v>0.93</v>
      </c>
      <c r="Z680" s="0" t="s">
        <v>105</v>
      </c>
      <c r="AA680" s="0" t="n">
        <f aca="false">IF(AND(ISNUMBER(B680),B680&gt;0,ISNUMBER(U680),U680&gt;=0,ISNUMBER(O680),O680&gt;=0),1,0)</f>
        <v>1</v>
      </c>
      <c r="AB680" s="0" t="n">
        <f aca="false">IF(AA680=1,U680+O680,0)</f>
        <v>3216</v>
      </c>
      <c r="AC680" s="0" t="n">
        <f aca="false">IF(AA680=1,100*AB680/B680,"")</f>
        <v>1.72431357199921</v>
      </c>
      <c r="AD680" s="0" t="n">
        <f aca="false">IF(AND(AND(ISNUMBER(B680),B680=OriginalFinancials!B680),AND(ISNUMBER(U680),U680=OriginalFinancials!U680),AND(ISNUMBER(O680),O680=OriginalFinancials!O680)),0,1)</f>
        <v>0</v>
      </c>
      <c r="AE680" s="0" t="str">
        <f aca="false">IF(V680=0,"原始0：需核实适用/报告口径","")</f>
        <v/>
      </c>
    </row>
    <row r="681" customFormat="false" ht="15" hidden="false" customHeight="false" outlineLevel="0" collapsed="false">
      <c r="A681" s="0" t="n">
        <v>681</v>
      </c>
      <c r="B681" s="0" t="n">
        <v>199014</v>
      </c>
      <c r="C681" s="0" t="n">
        <v>29743</v>
      </c>
      <c r="D681" s="0" t="n">
        <v>176536</v>
      </c>
      <c r="E681" s="0" t="n">
        <v>0</v>
      </c>
      <c r="F681" s="0" t="n">
        <v>18836</v>
      </c>
      <c r="G681" s="0" t="n">
        <v>9.46466077763374</v>
      </c>
      <c r="H681" s="0" t="s">
        <v>838</v>
      </c>
      <c r="I681" s="0" t="n">
        <v>0.60737654411549</v>
      </c>
      <c r="J681" s="0" t="n">
        <v>26500</v>
      </c>
      <c r="K681" s="0" t="n">
        <v>21890</v>
      </c>
      <c r="L681" s="0" t="n">
        <v>136324</v>
      </c>
      <c r="M681" s="0" t="n">
        <v>135496</v>
      </c>
      <c r="N681" s="0" t="n">
        <v>87895</v>
      </c>
      <c r="O681" s="0" t="n">
        <v>448</v>
      </c>
      <c r="P681" s="0" t="s">
        <v>184</v>
      </c>
      <c r="Q681" s="0" t="n">
        <v>0.328628854787125</v>
      </c>
      <c r="R681" s="0" t="n">
        <v>2.66721502501885</v>
      </c>
      <c r="S681" s="0" t="n">
        <v>36</v>
      </c>
      <c r="T681" s="0" t="n">
        <v>816</v>
      </c>
      <c r="U681" s="0" t="n">
        <v>0</v>
      </c>
      <c r="V681" s="0" t="n">
        <v>18.4080928760645</v>
      </c>
      <c r="W681" s="0" t="n">
        <v>20250331</v>
      </c>
      <c r="X681" s="0" t="n">
        <v>0.608988551612277</v>
      </c>
      <c r="Y681" s="0" t="n">
        <v>6.63</v>
      </c>
      <c r="Z681" s="0" t="s">
        <v>105</v>
      </c>
      <c r="AA681" s="0" t="n">
        <f aca="false">IF(AND(ISNUMBER(B681),B681&gt;0,ISNUMBER(U681),U681&gt;=0,ISNUMBER(O681),O681&gt;=0),1,0)</f>
        <v>1</v>
      </c>
      <c r="AB681" s="0" t="n">
        <f aca="false">IF(AA681=1,U681+O681,0)</f>
        <v>448</v>
      </c>
      <c r="AC681" s="0" t="n">
        <f aca="false">IF(AA681=1,100*AB681/B681,"")</f>
        <v>0.225109791270966</v>
      </c>
      <c r="AD681" s="0" t="n">
        <f aca="false">IF(AND(AND(ISNUMBER(B681),B681=OriginalFinancials!B681),AND(ISNUMBER(U681),U681=OriginalFinancials!U681),AND(ISNUMBER(O681),O681=OriginalFinancials!O681)),0,1)</f>
        <v>0</v>
      </c>
      <c r="AE681" s="0" t="str">
        <f aca="false">IF(V681=0,"原始0：需核实适用/报告口径","")</f>
        <v/>
      </c>
    </row>
    <row r="682" customFormat="false" ht="15" hidden="false" customHeight="false" outlineLevel="0" collapsed="false">
      <c r="A682" s="0" t="n">
        <v>682</v>
      </c>
      <c r="B682" s="0" t="n">
        <v>592720</v>
      </c>
      <c r="C682" s="0" t="n">
        <v>29744</v>
      </c>
      <c r="D682" s="0" t="n">
        <v>473305</v>
      </c>
      <c r="E682" s="0" t="n">
        <v>0</v>
      </c>
      <c r="F682" s="0" t="n">
        <v>44713</v>
      </c>
      <c r="G682" s="0" t="n">
        <v>7.54369685517614</v>
      </c>
      <c r="H682" s="0" t="s">
        <v>839</v>
      </c>
      <c r="I682" s="0" t="n">
        <v>0.784585800268593</v>
      </c>
      <c r="J682" s="0" t="n">
        <v>24565</v>
      </c>
      <c r="K682" s="0" t="n">
        <v>12485</v>
      </c>
      <c r="L682" s="0" t="n">
        <v>448262</v>
      </c>
      <c r="M682" s="0" t="n">
        <v>444745</v>
      </c>
      <c r="N682" s="0" t="n">
        <v>411212</v>
      </c>
      <c r="O682" s="0" t="n">
        <v>0</v>
      </c>
      <c r="P682" s="0" t="s">
        <v>186</v>
      </c>
      <c r="Q682" s="0" t="n">
        <v>0</v>
      </c>
      <c r="R682" s="0" t="n">
        <v>2.2587388531661</v>
      </c>
      <c r="S682" s="0" t="n">
        <v>-1</v>
      </c>
      <c r="T682" s="0" t="n">
        <v>0</v>
      </c>
      <c r="U682" s="0" t="n">
        <v>0</v>
      </c>
      <c r="V682" s="0" t="n">
        <v>15.1642690433057</v>
      </c>
      <c r="W682" s="0" t="n">
        <v>20250331</v>
      </c>
      <c r="X682" s="0" t="n">
        <v>-0.408254719593245</v>
      </c>
      <c r="Y682" s="0" t="n">
        <v>-5.34</v>
      </c>
      <c r="Z682" s="0" t="s">
        <v>123</v>
      </c>
      <c r="AA682" s="0" t="n">
        <f aca="false">IF(AND(ISNUMBER(B682),B682&gt;0,ISNUMBER(U682),U682&gt;=0,ISNUMBER(O682),O682&gt;=0),1,0)</f>
        <v>1</v>
      </c>
      <c r="AB682" s="0" t="n">
        <f aca="false">IF(AA682=1,U682+O682,0)</f>
        <v>0</v>
      </c>
      <c r="AC682" s="0" t="n">
        <f aca="false">IF(AA682=1,100*AB682/B682,"")</f>
        <v>0</v>
      </c>
      <c r="AD682" s="0" t="n">
        <f aca="false">IF(AND(AND(ISNUMBER(B682),B682=OriginalFinancials!B682),AND(ISNUMBER(U682),U682=OriginalFinancials!U682),AND(ISNUMBER(O682),O682=OriginalFinancials!O682)),0,1)</f>
        <v>0</v>
      </c>
      <c r="AE682" s="0" t="str">
        <f aca="false">IF(V682=0,"原始0：需核实适用/报告口径","")</f>
        <v/>
      </c>
    </row>
    <row r="683" customFormat="false" ht="15" hidden="false" customHeight="false" outlineLevel="0" collapsed="false">
      <c r="A683" s="0" t="n">
        <v>683</v>
      </c>
      <c r="B683" s="0" t="n">
        <v>609028</v>
      </c>
      <c r="C683" s="0" t="n">
        <v>30350</v>
      </c>
      <c r="D683" s="0" t="n">
        <v>474831</v>
      </c>
      <c r="E683" s="0" t="n">
        <v>0.03</v>
      </c>
      <c r="F683" s="0" t="n">
        <v>62866</v>
      </c>
      <c r="G683" s="0" t="n">
        <v>10.3223497113433</v>
      </c>
      <c r="H683" s="0" t="s">
        <v>840</v>
      </c>
      <c r="I683" s="0" t="n">
        <v>1.14220297988449</v>
      </c>
      <c r="J683" s="0" t="n">
        <v>15504</v>
      </c>
      <c r="K683" s="0" t="n">
        <v>1535</v>
      </c>
      <c r="L683" s="0" t="n">
        <v>464716</v>
      </c>
      <c r="M683" s="0" t="n">
        <v>459408</v>
      </c>
      <c r="N683" s="0" t="n">
        <v>446528</v>
      </c>
      <c r="O683" s="0" t="n">
        <v>1587</v>
      </c>
      <c r="P683" s="0" t="s">
        <v>188</v>
      </c>
      <c r="Q683" s="0" t="n">
        <v>0.341498893948132</v>
      </c>
      <c r="R683" s="0" t="n">
        <v>2.7130241139161</v>
      </c>
      <c r="S683" s="0" t="n">
        <v>40</v>
      </c>
      <c r="T683" s="0" t="n">
        <v>4067</v>
      </c>
      <c r="U683" s="0" t="n">
        <v>0</v>
      </c>
      <c r="V683" s="0" t="n">
        <v>20.1862311012096</v>
      </c>
      <c r="W683" s="0" t="n">
        <v>20250331</v>
      </c>
      <c r="X683" s="0" t="n">
        <v>0.776836569182434</v>
      </c>
      <c r="Y683" s="0" t="n">
        <v>7.55</v>
      </c>
      <c r="Z683" s="0" t="s">
        <v>112</v>
      </c>
      <c r="AA683" s="0" t="n">
        <f aca="false">IF(AND(ISNUMBER(B683),B683&gt;0,ISNUMBER(U683),U683&gt;=0,ISNUMBER(O683),O683&gt;=0),1,0)</f>
        <v>1</v>
      </c>
      <c r="AB683" s="0" t="n">
        <f aca="false">IF(AA683=1,U683+O683,0)</f>
        <v>1587</v>
      </c>
      <c r="AC683" s="0" t="n">
        <f aca="false">IF(AA683=1,100*AB683/B683,"")</f>
        <v>0.260579152354243</v>
      </c>
      <c r="AD683" s="0" t="n">
        <f aca="false">IF(AND(AND(ISNUMBER(B683),B683=OriginalFinancials!B683),AND(ISNUMBER(U683),U683=OriginalFinancials!U683),AND(ISNUMBER(O683),O683=OriginalFinancials!O683)),0,1)</f>
        <v>0</v>
      </c>
      <c r="AE683" s="0" t="str">
        <f aca="false">IF(V683=0,"原始0：需核实适用/报告口径","")</f>
        <v/>
      </c>
    </row>
    <row r="684" customFormat="false" ht="15" hidden="false" customHeight="false" outlineLevel="0" collapsed="false">
      <c r="A684" s="0" t="n">
        <v>684</v>
      </c>
      <c r="B684" s="0" t="n">
        <v>98994</v>
      </c>
      <c r="C684" s="0" t="n">
        <v>30878</v>
      </c>
      <c r="D684" s="0" t="n">
        <v>72918</v>
      </c>
      <c r="E684" s="0" t="n">
        <v>-0.09</v>
      </c>
      <c r="F684" s="0" t="n">
        <v>11849</v>
      </c>
      <c r="G684" s="0" t="n">
        <v>11.9694122876134</v>
      </c>
      <c r="H684" s="0" t="s">
        <v>841</v>
      </c>
      <c r="I684" s="0" t="n">
        <v>0.81486843026921</v>
      </c>
      <c r="J684" s="0" t="n">
        <v>0</v>
      </c>
      <c r="K684" s="0" t="n">
        <v>153</v>
      </c>
      <c r="L684" s="0" t="n">
        <v>85658</v>
      </c>
      <c r="M684" s="0" t="n">
        <v>84960</v>
      </c>
      <c r="N684" s="0" t="n">
        <v>85506</v>
      </c>
      <c r="O684" s="0" t="n">
        <v>1420</v>
      </c>
      <c r="P684" s="0" t="s">
        <v>190</v>
      </c>
      <c r="Q684" s="0" t="n">
        <v>1.65775525928693</v>
      </c>
      <c r="R684" s="0" t="n">
        <v>1.43458371454712</v>
      </c>
      <c r="S684" s="0" t="n">
        <v>0</v>
      </c>
      <c r="T684" s="0" t="n">
        <v>405</v>
      </c>
      <c r="U684" s="0" t="n">
        <v>0</v>
      </c>
      <c r="V684" s="0" t="n">
        <v>0</v>
      </c>
      <c r="W684" s="0" t="n">
        <v>20250331</v>
      </c>
      <c r="X684" s="0" t="n">
        <v>-0.0684118392724199</v>
      </c>
      <c r="Y684" s="0" t="n">
        <v>-0.57</v>
      </c>
      <c r="Z684" s="0" t="s">
        <v>105</v>
      </c>
      <c r="AA684" s="0" t="n">
        <f aca="false">IF(AND(ISNUMBER(B684),B684&gt;0,ISNUMBER(U684),U684&gt;=0,ISNUMBER(O684),O684&gt;=0),1,0)</f>
        <v>1</v>
      </c>
      <c r="AB684" s="0" t="n">
        <f aca="false">IF(AA684=1,U684+O684,0)</f>
        <v>1420</v>
      </c>
      <c r="AC684" s="0" t="n">
        <f aca="false">IF(AA684=1,100*AB684/B684,"")</f>
        <v>1.43443036951734</v>
      </c>
      <c r="AD684" s="0" t="n">
        <f aca="false">IF(AND(AND(ISNUMBER(B684),B684=OriginalFinancials!B684),AND(ISNUMBER(U684),U684=OriginalFinancials!U684),AND(ISNUMBER(O684),O684=OriginalFinancials!O684)),0,1)</f>
        <v>0</v>
      </c>
      <c r="AE684" s="0" t="str">
        <f aca="false">IF(V684=0,"原始0：需核实适用/报告口径","")</f>
        <v>原始0：需核实适用/报告口径</v>
      </c>
    </row>
    <row r="685" customFormat="false" ht="15" hidden="false" customHeight="false" outlineLevel="0" collapsed="false">
      <c r="A685" s="0" t="n">
        <v>685</v>
      </c>
      <c r="B685" s="0" t="n">
        <v>974770</v>
      </c>
      <c r="C685" s="0" t="n">
        <v>33418</v>
      </c>
      <c r="D685" s="0" t="n">
        <v>799352</v>
      </c>
      <c r="E685" s="0" t="n">
        <v>0.2</v>
      </c>
      <c r="F685" s="0" t="n">
        <v>70425</v>
      </c>
      <c r="G685" s="0" t="n">
        <v>7.22478123044411</v>
      </c>
      <c r="H685" s="0" t="s">
        <v>842</v>
      </c>
      <c r="I685" s="0" t="n">
        <v>0.686259368910824</v>
      </c>
      <c r="J685" s="0" t="n">
        <v>78920</v>
      </c>
      <c r="K685" s="0" t="n">
        <v>18037</v>
      </c>
      <c r="L685" s="0" t="n">
        <v>608662</v>
      </c>
      <c r="M685" s="0" t="n">
        <v>604485</v>
      </c>
      <c r="N685" s="0" t="n">
        <v>511573</v>
      </c>
      <c r="O685" s="0" t="n">
        <v>1231</v>
      </c>
      <c r="P685" s="0" t="s">
        <v>192</v>
      </c>
      <c r="Q685" s="0" t="n">
        <v>0.202246895649802</v>
      </c>
      <c r="R685" s="0" t="n">
        <v>2.57488790792594</v>
      </c>
      <c r="S685" s="0" t="n">
        <v>18</v>
      </c>
      <c r="T685" s="0" t="n">
        <v>526</v>
      </c>
      <c r="U685" s="0" t="n">
        <v>0</v>
      </c>
      <c r="V685" s="0" t="n">
        <v>12.4516242523748</v>
      </c>
      <c r="W685" s="0" t="n">
        <v>20250331</v>
      </c>
      <c r="X685" s="0" t="n">
        <v>0.599734421139911</v>
      </c>
      <c r="Y685" s="0" t="n">
        <v>8.24</v>
      </c>
      <c r="Z685" s="0" t="s">
        <v>112</v>
      </c>
      <c r="AA685" s="0" t="n">
        <f aca="false">IF(AND(ISNUMBER(B685),B685&gt;0,ISNUMBER(U685),U685&gt;=0,ISNUMBER(O685),O685&gt;=0),1,0)</f>
        <v>1</v>
      </c>
      <c r="AB685" s="0" t="n">
        <f aca="false">IF(AA685=1,U685+O685,0)</f>
        <v>1231</v>
      </c>
      <c r="AC685" s="0" t="n">
        <f aca="false">IF(AA685=1,100*AB685/B685,"")</f>
        <v>0.126286200847379</v>
      </c>
      <c r="AD685" s="0" t="n">
        <f aca="false">IF(AND(AND(ISNUMBER(B685),B685=OriginalFinancials!B685),AND(ISNUMBER(U685),U685=OriginalFinancials!U685),AND(ISNUMBER(O685),O685=OriginalFinancials!O685)),0,1)</f>
        <v>0</v>
      </c>
      <c r="AE685" s="0" t="str">
        <f aca="false">IF(V685=0,"原始0：需核实适用/报告口径","")</f>
        <v/>
      </c>
    </row>
    <row r="686" customFormat="false" ht="15" hidden="false" customHeight="false" outlineLevel="0" collapsed="false">
      <c r="A686" s="0" t="n">
        <v>686</v>
      </c>
      <c r="B686" s="0" t="n">
        <v>67144</v>
      </c>
      <c r="C686" s="0" t="n">
        <v>35206</v>
      </c>
      <c r="D686" s="0" t="n">
        <v>500</v>
      </c>
      <c r="E686" s="0" t="n">
        <v>0</v>
      </c>
      <c r="F686" s="0" t="n">
        <v>65181</v>
      </c>
      <c r="G686" s="0" t="n">
        <v>97.0764327415704</v>
      </c>
      <c r="H686" s="0" t="s">
        <v>843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0</v>
      </c>
      <c r="P686" s="0" t="s">
        <v>252</v>
      </c>
      <c r="Q686" s="0" t="n">
        <v>0</v>
      </c>
      <c r="R686" s="0" t="n">
        <v>4.23196683239003</v>
      </c>
      <c r="S686" s="0" t="n">
        <v>0</v>
      </c>
      <c r="T686" s="0" t="n">
        <v>0</v>
      </c>
      <c r="U686" s="0" t="n">
        <v>0</v>
      </c>
      <c r="V686" s="0" t="n">
        <v>0</v>
      </c>
      <c r="W686" s="0" t="n">
        <v>20250331</v>
      </c>
      <c r="X686" s="0" t="n">
        <v>28.844680133648</v>
      </c>
      <c r="Y686" s="0" t="n">
        <v>29.95</v>
      </c>
      <c r="Z686" s="0" t="s">
        <v>123</v>
      </c>
      <c r="AA686" s="0" t="n">
        <f aca="false">IF(AND(ISNUMBER(B686),B686&gt;0,ISNUMBER(U686),U686&gt;=0,ISNUMBER(O686),O686&gt;=0),1,0)</f>
        <v>1</v>
      </c>
      <c r="AB686" s="0" t="n">
        <f aca="false">IF(AA686=1,U686+O686,0)</f>
        <v>0</v>
      </c>
      <c r="AC686" s="0" t="n">
        <f aca="false">IF(AA686=1,100*AB686/B686,"")</f>
        <v>0</v>
      </c>
      <c r="AD686" s="0" t="n">
        <f aca="false">IF(AND(AND(ISNUMBER(B686),B686=OriginalFinancials!B686),AND(ISNUMBER(U686),U686=OriginalFinancials!U686),AND(ISNUMBER(O686),O686=OriginalFinancials!O686)),0,1)</f>
        <v>0</v>
      </c>
      <c r="AE686" s="0" t="str">
        <f aca="false">IF(V686=0,"原始0：需核实适用/报告口径","")</f>
        <v>原始0：需核实适用/报告口径</v>
      </c>
    </row>
    <row r="687" customFormat="false" ht="15" hidden="false" customHeight="false" outlineLevel="0" collapsed="false">
      <c r="A687" s="0" t="n">
        <v>687</v>
      </c>
      <c r="B687" s="0" t="n">
        <v>6948167</v>
      </c>
      <c r="C687" s="0" t="n">
        <v>4255</v>
      </c>
      <c r="D687" s="0" t="n">
        <v>5632856</v>
      </c>
      <c r="E687" s="0" t="n">
        <v>0.59</v>
      </c>
      <c r="F687" s="0" t="n">
        <v>671520</v>
      </c>
      <c r="G687" s="0" t="n">
        <v>9.66470725300644</v>
      </c>
      <c r="H687" s="0" t="s">
        <v>844</v>
      </c>
      <c r="I687" s="0" t="n">
        <v>0.954281378513096</v>
      </c>
      <c r="J687" s="0" t="n">
        <v>341292</v>
      </c>
      <c r="K687" s="0" t="n">
        <v>24145</v>
      </c>
      <c r="L687" s="0" t="n">
        <v>4896145</v>
      </c>
      <c r="M687" s="0" t="n">
        <v>4849422</v>
      </c>
      <c r="N687" s="0" t="n">
        <v>4419349</v>
      </c>
      <c r="O687" s="0" t="n">
        <v>7251</v>
      </c>
      <c r="P687" s="0" t="s">
        <v>194</v>
      </c>
      <c r="Q687" s="0" t="n">
        <v>0.148096104179921</v>
      </c>
      <c r="R687" s="0" t="n">
        <v>3.41551381015868</v>
      </c>
      <c r="S687" s="0" t="n">
        <v>949</v>
      </c>
      <c r="T687" s="0" t="n">
        <v>3341</v>
      </c>
      <c r="U687" s="0" t="n">
        <v>0</v>
      </c>
      <c r="V687" s="0" t="n">
        <v>12.5535092500628</v>
      </c>
      <c r="W687" s="0" t="n">
        <v>20250331</v>
      </c>
      <c r="X687" s="0" t="n">
        <v>0.525277693714401</v>
      </c>
      <c r="Y687" s="0" t="n">
        <v>5.53</v>
      </c>
      <c r="Z687" s="0" t="s">
        <v>105</v>
      </c>
      <c r="AA687" s="0" t="n">
        <f aca="false">IF(AND(ISNUMBER(B687),B687&gt;0,ISNUMBER(U687),U687&gt;=0,ISNUMBER(O687),O687&gt;=0),1,0)</f>
        <v>1</v>
      </c>
      <c r="AB687" s="0" t="n">
        <f aca="false">IF(AA687=1,U687+O687,0)</f>
        <v>7251</v>
      </c>
      <c r="AC687" s="0" t="n">
        <f aca="false">IF(AA687=1,100*AB687/B687,"")</f>
        <v>0.104358458856847</v>
      </c>
      <c r="AD687" s="0" t="n">
        <f aca="false">IF(AND(AND(ISNUMBER(B687),B687=OriginalFinancials!B687),AND(ISNUMBER(U687),U687=OriginalFinancials!U687),AND(ISNUMBER(O687),O687=OriginalFinancials!O687)),0,1)</f>
        <v>0</v>
      </c>
      <c r="AE687" s="0" t="str">
        <f aca="false">IF(V687=0,"原始0：需核实适用/报告口径","")</f>
        <v/>
      </c>
    </row>
    <row r="688" customFormat="false" ht="15" hidden="false" customHeight="false" outlineLevel="0" collapsed="false">
      <c r="A688" s="0" t="n">
        <v>688</v>
      </c>
      <c r="B688" s="0" t="n">
        <v>3151780</v>
      </c>
      <c r="C688" s="0" t="n">
        <v>4256</v>
      </c>
      <c r="D688" s="0" t="n">
        <v>2712084</v>
      </c>
      <c r="E688" s="0" t="n">
        <v>0.05</v>
      </c>
      <c r="F688" s="0" t="n">
        <v>230970</v>
      </c>
      <c r="G688" s="0" t="n">
        <v>7.32823991522251</v>
      </c>
      <c r="H688" s="0" t="s">
        <v>845</v>
      </c>
      <c r="I688" s="0" t="n">
        <v>1.05381532845184</v>
      </c>
      <c r="J688" s="0" t="n">
        <v>377866</v>
      </c>
      <c r="K688" s="0" t="n">
        <v>21844</v>
      </c>
      <c r="L688" s="0" t="n">
        <v>2383150</v>
      </c>
      <c r="M688" s="0" t="n">
        <v>2358036</v>
      </c>
      <c r="N688" s="0" t="n">
        <v>1883405</v>
      </c>
      <c r="O688" s="0" t="n">
        <v>6053</v>
      </c>
      <c r="P688" s="0" t="s">
        <v>196</v>
      </c>
      <c r="Q688" s="0" t="n">
        <v>0.283154648259656</v>
      </c>
      <c r="R688" s="0" t="n">
        <v>2.40579582940435</v>
      </c>
      <c r="S688" s="0" t="n">
        <v>153</v>
      </c>
      <c r="T688" s="0" t="n">
        <v>2649</v>
      </c>
      <c r="U688" s="0" t="n">
        <v>695</v>
      </c>
      <c r="V688" s="0" t="n">
        <v>13.0723838563465</v>
      </c>
      <c r="W688" s="0" t="n">
        <v>20250331</v>
      </c>
      <c r="X688" s="0" t="n">
        <v>0.949049786537126</v>
      </c>
      <c r="Y688" s="0" t="n">
        <v>13.1</v>
      </c>
      <c r="Z688" s="0" t="s">
        <v>105</v>
      </c>
      <c r="AA688" s="0" t="n">
        <f aca="false">IF(AND(ISNUMBER(B688),B688&gt;0,ISNUMBER(U688),U688&gt;=0,ISNUMBER(O688),O688&gt;=0),1,0)</f>
        <v>1</v>
      </c>
      <c r="AB688" s="0" t="n">
        <f aca="false">IF(AA688=1,U688+O688,0)</f>
        <v>6748</v>
      </c>
      <c r="AC688" s="0" t="n">
        <f aca="false">IF(AA688=1,100*AB688/B688,"")</f>
        <v>0.214101238030573</v>
      </c>
      <c r="AD688" s="0" t="n">
        <f aca="false">IF(AND(AND(ISNUMBER(B688),B688=OriginalFinancials!B688),AND(ISNUMBER(U688),U688=OriginalFinancials!U688),AND(ISNUMBER(O688),O688=OriginalFinancials!O688)),0,1)</f>
        <v>0</v>
      </c>
      <c r="AE688" s="0" t="str">
        <f aca="false">IF(V688=0,"原始0：需核实适用/报告口径","")</f>
        <v/>
      </c>
    </row>
    <row r="689" customFormat="false" ht="15" hidden="false" customHeight="false" outlineLevel="0" collapsed="false">
      <c r="A689" s="0" t="n">
        <v>689</v>
      </c>
      <c r="B689" s="0" t="n">
        <v>699078</v>
      </c>
      <c r="C689" s="0" t="n">
        <v>59086</v>
      </c>
      <c r="D689" s="0" t="n">
        <v>590147</v>
      </c>
      <c r="E689" s="0" t="n">
        <v>0.05</v>
      </c>
      <c r="F689" s="0" t="n">
        <v>102573</v>
      </c>
      <c r="G689" s="0" t="n">
        <v>14.6726116399028</v>
      </c>
      <c r="H689" s="0" t="s">
        <v>846</v>
      </c>
      <c r="I689" s="0" t="n">
        <v>0.972940254224674</v>
      </c>
      <c r="J689" s="0" t="n">
        <v>122650</v>
      </c>
      <c r="K689" s="0" t="n">
        <v>0</v>
      </c>
      <c r="L689" s="0" t="n">
        <v>604662</v>
      </c>
      <c r="M689" s="0" t="n">
        <v>598779</v>
      </c>
      <c r="N689" s="0" t="n">
        <v>482306</v>
      </c>
      <c r="O689" s="0" t="n">
        <v>4011</v>
      </c>
      <c r="P689" s="0" t="s">
        <v>198</v>
      </c>
      <c r="Q689" s="0" t="n">
        <v>0.604139171967149</v>
      </c>
      <c r="R689" s="0" t="n">
        <v>3.7878842642324</v>
      </c>
      <c r="S689" s="0" t="n">
        <v>-1</v>
      </c>
      <c r="T689" s="0" t="n">
        <v>5858</v>
      </c>
      <c r="U689" s="0" t="n">
        <v>100</v>
      </c>
      <c r="V689" s="0" t="n">
        <v>16.87937276982</v>
      </c>
      <c r="W689" s="0" t="n">
        <v>20250331</v>
      </c>
      <c r="X689" s="0" t="n">
        <v>1.37223510961545</v>
      </c>
      <c r="Y689" s="0" t="n">
        <v>9.54</v>
      </c>
      <c r="Z689" s="0" t="s">
        <v>123</v>
      </c>
      <c r="AA689" s="0" t="n">
        <f aca="false">IF(AND(ISNUMBER(B689),B689&gt;0,ISNUMBER(U689),U689&gt;=0,ISNUMBER(O689),O689&gt;=0),1,0)</f>
        <v>1</v>
      </c>
      <c r="AB689" s="0" t="n">
        <f aca="false">IF(AA689=1,U689+O689,0)</f>
        <v>4111</v>
      </c>
      <c r="AC689" s="0" t="n">
        <f aca="false">IF(AA689=1,100*AB689/B689,"")</f>
        <v>0.588060273674754</v>
      </c>
      <c r="AD689" s="0" t="n">
        <f aca="false">IF(AND(AND(ISNUMBER(B689),B689=OriginalFinancials!B689),AND(ISNUMBER(U689),U689=OriginalFinancials!U689),AND(ISNUMBER(O689),O689=OriginalFinancials!O689)),0,1)</f>
        <v>0</v>
      </c>
      <c r="AE689" s="0" t="str">
        <f aca="false">IF(V689=0,"原始0：需核实适用/报告口径","")</f>
        <v/>
      </c>
    </row>
    <row r="690" customFormat="false" ht="15" hidden="false" customHeight="false" outlineLevel="0" collapsed="false">
      <c r="A690" s="0" t="n">
        <v>690</v>
      </c>
      <c r="B690" s="0" t="n">
        <v>253661</v>
      </c>
      <c r="C690" s="0" t="n">
        <v>59176</v>
      </c>
      <c r="D690" s="0" t="n">
        <v>203852</v>
      </c>
      <c r="E690" s="0" t="n">
        <v>0.16</v>
      </c>
      <c r="F690" s="0" t="n">
        <v>27423</v>
      </c>
      <c r="G690" s="0" t="n">
        <v>10.8108853942861</v>
      </c>
      <c r="H690" s="0" t="s">
        <v>847</v>
      </c>
      <c r="I690" s="0" t="n">
        <v>0.933574010954625</v>
      </c>
      <c r="J690" s="0" t="n">
        <v>25658</v>
      </c>
      <c r="K690" s="0" t="n">
        <v>0</v>
      </c>
      <c r="L690" s="0" t="n">
        <v>193343</v>
      </c>
      <c r="M690" s="0" t="n">
        <v>191538</v>
      </c>
      <c r="N690" s="0" t="n">
        <v>166487</v>
      </c>
      <c r="O690" s="0" t="n">
        <v>0</v>
      </c>
      <c r="P690" s="0" t="s">
        <v>200</v>
      </c>
      <c r="Q690" s="0" t="n">
        <v>0</v>
      </c>
      <c r="R690" s="0" t="n">
        <v>2.8022107639942</v>
      </c>
      <c r="S690" s="0" t="n">
        <v>0</v>
      </c>
      <c r="T690" s="0" t="n">
        <v>0</v>
      </c>
      <c r="U690" s="0" t="n">
        <v>0</v>
      </c>
      <c r="V690" s="0" t="n">
        <v>0</v>
      </c>
      <c r="W690" s="0" t="n">
        <v>20250331</v>
      </c>
      <c r="X690" s="0" t="n">
        <v>0.197131813571955</v>
      </c>
      <c r="Y690" s="0" t="n">
        <v>1.77</v>
      </c>
      <c r="Z690" s="0" t="s">
        <v>123</v>
      </c>
      <c r="AA690" s="0" t="n">
        <f aca="false">IF(AND(ISNUMBER(B690),B690&gt;0,ISNUMBER(U690),U690&gt;=0,ISNUMBER(O690),O690&gt;=0),1,0)</f>
        <v>1</v>
      </c>
      <c r="AB690" s="0" t="n">
        <f aca="false">IF(AA690=1,U690+O690,0)</f>
        <v>0</v>
      </c>
      <c r="AC690" s="0" t="n">
        <f aca="false">IF(AA690=1,100*AB690/B690,"")</f>
        <v>0</v>
      </c>
      <c r="AD690" s="0" t="n">
        <f aca="false">IF(AND(AND(ISNUMBER(B690),B690=OriginalFinancials!B690),AND(ISNUMBER(U690),U690=OriginalFinancials!U690),AND(ISNUMBER(O690),O690=OriginalFinancials!O690)),0,1)</f>
        <v>0</v>
      </c>
      <c r="AE690" s="0" t="str">
        <f aca="false">IF(V690=0,"原始0：需核实适用/报告口径","")</f>
        <v>原始0：需核实适用/报告口径</v>
      </c>
    </row>
    <row r="691" customFormat="false" ht="15" hidden="false" customHeight="false" outlineLevel="0" collapsed="false">
      <c r="A691" s="0" t="n">
        <v>691</v>
      </c>
      <c r="B691" s="0" t="n">
        <v>130262</v>
      </c>
      <c r="C691" s="0" t="n">
        <v>59289</v>
      </c>
      <c r="D691" s="0" t="n">
        <v>113554</v>
      </c>
      <c r="E691" s="0" t="n">
        <v>0.36</v>
      </c>
      <c r="F691" s="0" t="n">
        <v>15654</v>
      </c>
      <c r="G691" s="0" t="n">
        <v>12.0173189418249</v>
      </c>
      <c r="H691" s="0" t="s">
        <v>848</v>
      </c>
      <c r="I691" s="0" t="n">
        <v>0.671058428186503</v>
      </c>
      <c r="J691" s="0" t="n">
        <v>47651</v>
      </c>
      <c r="K691" s="0" t="n">
        <v>0</v>
      </c>
      <c r="L691" s="0" t="n">
        <v>97607</v>
      </c>
      <c r="M691" s="0" t="n">
        <v>96952</v>
      </c>
      <c r="N691" s="0" t="n">
        <v>38027</v>
      </c>
      <c r="O691" s="0" t="n">
        <v>4568</v>
      </c>
      <c r="P691" s="0" t="s">
        <v>364</v>
      </c>
      <c r="Q691" s="0" t="n">
        <v>4.6799922136732</v>
      </c>
      <c r="R691" s="0" t="n">
        <v>3.91613321903266</v>
      </c>
      <c r="S691" s="0" t="n">
        <v>33</v>
      </c>
      <c r="T691" s="0" t="n">
        <v>174</v>
      </c>
      <c r="U691" s="0" t="n">
        <v>0</v>
      </c>
      <c r="V691" s="0" t="n">
        <v>0</v>
      </c>
      <c r="W691" s="0" t="n">
        <v>20250331</v>
      </c>
      <c r="X691" s="0" t="n">
        <v>-0.642448863904766</v>
      </c>
      <c r="Y691" s="0" t="n">
        <v>-5.18</v>
      </c>
      <c r="Z691" s="0" t="s">
        <v>123</v>
      </c>
      <c r="AA691" s="0" t="n">
        <f aca="false">IF(AND(ISNUMBER(B691),B691&gt;0,ISNUMBER(U691),U691&gt;=0,ISNUMBER(O691),O691&gt;=0),1,0)</f>
        <v>1</v>
      </c>
      <c r="AB691" s="0" t="n">
        <f aca="false">IF(AA691=1,U691+O691,0)</f>
        <v>4568</v>
      </c>
      <c r="AC691" s="0" t="n">
        <f aca="false">IF(AA691=1,100*AB691/B691,"")</f>
        <v>3.50677864611322</v>
      </c>
      <c r="AD691" s="0" t="n">
        <f aca="false">IF(AND(AND(ISNUMBER(B691),B691=OriginalFinancials!B691),AND(ISNUMBER(U691),U691=OriginalFinancials!U691),AND(ISNUMBER(O691),O691=OriginalFinancials!O691)),0,1)</f>
        <v>0</v>
      </c>
      <c r="AE691" s="0" t="str">
        <f aca="false">IF(V691=0,"原始0：需核实适用/报告口径","")</f>
        <v>原始0：需核实适用/报告口径</v>
      </c>
    </row>
    <row r="692" customFormat="false" ht="15" hidden="false" customHeight="false" outlineLevel="0" collapsed="false">
      <c r="A692" s="0" t="n">
        <v>692</v>
      </c>
      <c r="B692" s="0" t="n">
        <v>273586</v>
      </c>
      <c r="C692" s="0" t="n">
        <v>59298</v>
      </c>
      <c r="D692" s="0" t="n">
        <v>247768</v>
      </c>
      <c r="E692" s="0" t="n">
        <v>0.08</v>
      </c>
      <c r="F692" s="0" t="n">
        <v>24927</v>
      </c>
      <c r="G692" s="0" t="n">
        <v>9.11121183101475</v>
      </c>
      <c r="H692" s="0" t="s">
        <v>849</v>
      </c>
      <c r="I692" s="0" t="n">
        <v>0.817408285674432</v>
      </c>
      <c r="J692" s="0" t="n">
        <v>34338</v>
      </c>
      <c r="K692" s="0" t="n">
        <v>0</v>
      </c>
      <c r="L692" s="0" t="n">
        <v>143380</v>
      </c>
      <c r="M692" s="0" t="n">
        <v>142208</v>
      </c>
      <c r="N692" s="0" t="n">
        <v>109081</v>
      </c>
      <c r="O692" s="0" t="n">
        <v>0</v>
      </c>
      <c r="P692" s="0" t="s">
        <v>310</v>
      </c>
      <c r="Q692" s="0" t="n">
        <v>0</v>
      </c>
      <c r="R692" s="0" t="n">
        <v>2.31554886483537</v>
      </c>
      <c r="S692" s="0" t="n">
        <v>0</v>
      </c>
      <c r="T692" s="0" t="n">
        <v>0</v>
      </c>
      <c r="U692" s="0" t="n">
        <v>0</v>
      </c>
      <c r="V692" s="0" t="n">
        <v>17.8288066289366</v>
      </c>
      <c r="W692" s="0" t="n">
        <v>20250331</v>
      </c>
      <c r="X692" s="0" t="n">
        <v>0.0209446406965589</v>
      </c>
      <c r="Y692" s="0" t="n">
        <v>0.23</v>
      </c>
      <c r="Z692" s="0" t="s">
        <v>112</v>
      </c>
      <c r="AA692" s="0" t="n">
        <f aca="false">IF(AND(ISNUMBER(B692),B692&gt;0,ISNUMBER(U692),U692&gt;=0,ISNUMBER(O692),O692&gt;=0),1,0)</f>
        <v>1</v>
      </c>
      <c r="AB692" s="0" t="n">
        <f aca="false">IF(AA692=1,U692+O692,0)</f>
        <v>0</v>
      </c>
      <c r="AC692" s="0" t="n">
        <f aca="false">IF(AA692=1,100*AB692/B692,"")</f>
        <v>0</v>
      </c>
      <c r="AD692" s="0" t="n">
        <f aca="false">IF(AND(AND(ISNUMBER(B692),B692=OriginalFinancials!B692),AND(ISNUMBER(U692),U692=OriginalFinancials!U692),AND(ISNUMBER(O692),O692=OriginalFinancials!O692)),0,1)</f>
        <v>0</v>
      </c>
      <c r="AE692" s="0" t="str">
        <f aca="false">IF(V692=0,"原始0：需核实适用/报告口径","")</f>
        <v/>
      </c>
    </row>
    <row r="693" customFormat="false" ht="15" hidden="false" customHeight="false" outlineLevel="0" collapsed="false">
      <c r="A693" s="0" t="n">
        <v>693</v>
      </c>
      <c r="B693" s="0" t="n">
        <v>1187395</v>
      </c>
      <c r="C693" s="0" t="n">
        <v>6271</v>
      </c>
      <c r="D693" s="0" t="n">
        <v>980794</v>
      </c>
      <c r="E693" s="0" t="n">
        <v>0.11</v>
      </c>
      <c r="F693" s="0" t="n">
        <v>115170</v>
      </c>
      <c r="G693" s="0" t="n">
        <v>9.69938394552782</v>
      </c>
      <c r="H693" s="0" t="s">
        <v>850</v>
      </c>
      <c r="I693" s="0" t="n">
        <v>1.08067916872467</v>
      </c>
      <c r="J693" s="0" t="n">
        <v>120099</v>
      </c>
      <c r="K693" s="0" t="n">
        <v>6417</v>
      </c>
      <c r="L693" s="0" t="n">
        <v>941445</v>
      </c>
      <c r="M693" s="0" t="n">
        <v>931271</v>
      </c>
      <c r="N693" s="0" t="n">
        <v>739251</v>
      </c>
      <c r="O693" s="0" t="n">
        <v>8907</v>
      </c>
      <c r="P693" s="0" t="s">
        <v>202</v>
      </c>
      <c r="Q693" s="0" t="n">
        <v>0.998571345113098</v>
      </c>
      <c r="R693" s="0" t="n">
        <v>3.37324130573203</v>
      </c>
      <c r="S693" s="0" t="n">
        <v>56</v>
      </c>
      <c r="T693" s="0" t="n">
        <v>2556</v>
      </c>
      <c r="U693" s="0" t="n">
        <v>494</v>
      </c>
      <c r="V693" s="0" t="n">
        <v>14.9379069100864</v>
      </c>
      <c r="W693" s="0" t="n">
        <v>20250331</v>
      </c>
      <c r="X693" s="0" t="n">
        <v>1.25143290710164</v>
      </c>
      <c r="Y693" s="0" t="n">
        <v>13.53</v>
      </c>
      <c r="Z693" s="0" t="s">
        <v>112</v>
      </c>
      <c r="AA693" s="0" t="n">
        <f aca="false">IF(AND(ISNUMBER(B693),B693&gt;0,ISNUMBER(U693),U693&gt;=0,ISNUMBER(O693),O693&gt;=0),1,0)</f>
        <v>1</v>
      </c>
      <c r="AB693" s="0" t="n">
        <f aca="false">IF(AA693=1,U693+O693,0)</f>
        <v>9401</v>
      </c>
      <c r="AC693" s="0" t="n">
        <f aca="false">IF(AA693=1,100*AB693/B693,"")</f>
        <v>0.791733163774481</v>
      </c>
      <c r="AD693" s="0" t="n">
        <f aca="false">IF(AND(AND(ISNUMBER(B693),B693=OriginalFinancials!B693),AND(ISNUMBER(U693),U693=OriginalFinancials!U693),AND(ISNUMBER(O693),O693=OriginalFinancials!O693)),0,1)</f>
        <v>0</v>
      </c>
      <c r="AE693" s="0" t="str">
        <f aca="false">IF(V693=0,"原始0：需核实适用/报告口径","")</f>
        <v/>
      </c>
    </row>
    <row r="694" customFormat="false" ht="15" hidden="false" customHeight="false" outlineLevel="0" collapsed="false">
      <c r="A694" s="0" t="n">
        <v>694</v>
      </c>
      <c r="B694" s="0" t="n">
        <v>547001</v>
      </c>
      <c r="C694" s="0" t="n">
        <v>6275</v>
      </c>
      <c r="D694" s="0" t="n">
        <v>502984</v>
      </c>
      <c r="E694" s="0" t="n">
        <v>0</v>
      </c>
      <c r="F694" s="0" t="n">
        <v>36237</v>
      </c>
      <c r="G694" s="0" t="n">
        <v>6.62466796221579</v>
      </c>
      <c r="H694" s="0" t="s">
        <v>851</v>
      </c>
      <c r="I694" s="0" t="n">
        <v>0.384334083836457</v>
      </c>
      <c r="J694" s="0" t="n">
        <v>33302</v>
      </c>
      <c r="K694" s="0" t="n">
        <v>7846</v>
      </c>
      <c r="L694" s="0" t="n">
        <v>348655</v>
      </c>
      <c r="M694" s="0" t="n">
        <v>347315</v>
      </c>
      <c r="N694" s="0" t="n">
        <v>298585</v>
      </c>
      <c r="O694" s="0" t="n">
        <v>660</v>
      </c>
      <c r="P694" s="0" t="s">
        <v>204</v>
      </c>
      <c r="Q694" s="0" t="n">
        <v>0.286242847514018</v>
      </c>
      <c r="R694" s="0" t="n">
        <v>3.20221630836216</v>
      </c>
      <c r="S694" s="0" t="n">
        <v>8</v>
      </c>
      <c r="T694" s="0" t="n">
        <v>744</v>
      </c>
      <c r="U694" s="0" t="n">
        <v>338</v>
      </c>
      <c r="V694" s="0" t="n">
        <v>15.7328932381291</v>
      </c>
      <c r="W694" s="0" t="n">
        <v>20250331</v>
      </c>
      <c r="X694" s="0" t="n">
        <v>0.743149433686518</v>
      </c>
      <c r="Y694" s="0" t="n">
        <v>11.66</v>
      </c>
      <c r="Z694" s="0" t="s">
        <v>112</v>
      </c>
      <c r="AA694" s="0" t="n">
        <f aca="false">IF(AND(ISNUMBER(B694),B694&gt;0,ISNUMBER(U694),U694&gt;=0,ISNUMBER(O694),O694&gt;=0),1,0)</f>
        <v>1</v>
      </c>
      <c r="AB694" s="0" t="n">
        <f aca="false">IF(AA694=1,U694+O694,0)</f>
        <v>998</v>
      </c>
      <c r="AC694" s="0" t="n">
        <f aca="false">IF(AA694=1,100*AB694/B694,"")</f>
        <v>0.182449392231458</v>
      </c>
      <c r="AD694" s="0" t="n">
        <f aca="false">IF(AND(AND(ISNUMBER(B694),B694=OriginalFinancials!B694),AND(ISNUMBER(U694),U694=OriginalFinancials!U694),AND(ISNUMBER(O694),O694=OriginalFinancials!O694)),0,1)</f>
        <v>0</v>
      </c>
      <c r="AE694" s="0" t="str">
        <f aca="false">IF(V694=0,"原始0：需核实适用/报告口径","")</f>
        <v/>
      </c>
    </row>
    <row r="695" customFormat="false" ht="15" hidden="false" customHeight="false" outlineLevel="0" collapsed="false">
      <c r="A695" s="0" t="n">
        <v>695</v>
      </c>
      <c r="B695" s="0" t="n">
        <v>88000</v>
      </c>
      <c r="C695" s="0" t="n">
        <v>6280</v>
      </c>
      <c r="D695" s="0" t="n">
        <v>77788</v>
      </c>
      <c r="E695" s="0" t="n">
        <v>0.06</v>
      </c>
      <c r="F695" s="0" t="n">
        <v>10007</v>
      </c>
      <c r="G695" s="0" t="n">
        <v>11.3715909090909</v>
      </c>
      <c r="H695" s="0" t="s">
        <v>852</v>
      </c>
      <c r="I695" s="0" t="n">
        <v>1.29125820980854</v>
      </c>
      <c r="J695" s="0" t="n">
        <v>3679</v>
      </c>
      <c r="K695" s="0" t="n">
        <v>1399</v>
      </c>
      <c r="L695" s="0" t="n">
        <v>71713</v>
      </c>
      <c r="M695" s="0" t="n">
        <v>70787</v>
      </c>
      <c r="N695" s="0" t="n">
        <v>64224</v>
      </c>
      <c r="O695" s="0" t="n">
        <v>1420</v>
      </c>
      <c r="P695" s="0" t="s">
        <v>206</v>
      </c>
      <c r="Q695" s="0" t="n">
        <v>1.98011518134787</v>
      </c>
      <c r="R695" s="0" t="n">
        <v>4.42972145901846</v>
      </c>
      <c r="S695" s="0" t="n">
        <v>-1</v>
      </c>
      <c r="T695" s="0" t="n">
        <v>493</v>
      </c>
      <c r="U695" s="0" t="n">
        <v>0</v>
      </c>
      <c r="V695" s="0" t="n">
        <v>0</v>
      </c>
      <c r="W695" s="0" t="n">
        <v>20250331</v>
      </c>
      <c r="X695" s="0" t="n">
        <v>1.28878743546101</v>
      </c>
      <c r="Y695" s="0" t="n">
        <v>11.47</v>
      </c>
      <c r="Z695" s="0" t="s">
        <v>112</v>
      </c>
      <c r="AA695" s="0" t="n">
        <f aca="false">IF(AND(ISNUMBER(B695),B695&gt;0,ISNUMBER(U695),U695&gt;=0,ISNUMBER(O695),O695&gt;=0),1,0)</f>
        <v>1</v>
      </c>
      <c r="AB695" s="0" t="n">
        <f aca="false">IF(AA695=1,U695+O695,0)</f>
        <v>1420</v>
      </c>
      <c r="AC695" s="0" t="n">
        <f aca="false">IF(AA695=1,100*AB695/B695,"")</f>
        <v>1.61363636363636</v>
      </c>
      <c r="AD695" s="0" t="n">
        <f aca="false">IF(AND(AND(ISNUMBER(B695),B695=OriginalFinancials!B695),AND(ISNUMBER(U695),U695=OriginalFinancials!U695),AND(ISNUMBER(O695),O695=OriginalFinancials!O695)),0,1)</f>
        <v>0</v>
      </c>
      <c r="AE695" s="0" t="str">
        <f aca="false">IF(V695=0,"原始0：需核实适用/报告口径","")</f>
        <v>原始0：需核实适用/报告口径</v>
      </c>
    </row>
    <row r="696" customFormat="false" ht="15" hidden="false" customHeight="false" outlineLevel="0" collapsed="false">
      <c r="A696" s="0" t="n">
        <v>696</v>
      </c>
      <c r="B696" s="0" t="n">
        <v>4106441</v>
      </c>
      <c r="C696" s="0" t="n">
        <v>11971</v>
      </c>
      <c r="D696" s="0" t="n">
        <v>3299177</v>
      </c>
      <c r="E696" s="0" t="n">
        <v>0.06</v>
      </c>
      <c r="F696" s="0" t="n">
        <v>503270</v>
      </c>
      <c r="G696" s="0" t="n">
        <v>12.2556247611983</v>
      </c>
      <c r="H696" s="0" t="s">
        <v>853</v>
      </c>
      <c r="I696" s="0" t="n">
        <v>0.915388155000868</v>
      </c>
      <c r="J696" s="0" t="n">
        <v>220343</v>
      </c>
      <c r="K696" s="0" t="n">
        <v>8096</v>
      </c>
      <c r="L696" s="0" t="n">
        <v>3155492</v>
      </c>
      <c r="M696" s="0" t="n">
        <v>3126607</v>
      </c>
      <c r="N696" s="0" t="n">
        <v>2795776</v>
      </c>
      <c r="O696" s="0" t="n">
        <v>9732</v>
      </c>
      <c r="P696" s="0" t="s">
        <v>104</v>
      </c>
      <c r="Q696" s="0" t="n">
        <v>0.322010006680416</v>
      </c>
      <c r="R696" s="0" t="n">
        <v>3.28061409824441</v>
      </c>
      <c r="S696" s="0" t="n">
        <v>330</v>
      </c>
      <c r="T696" s="0" t="n">
        <v>2331</v>
      </c>
      <c r="U696" s="0" t="n">
        <v>429</v>
      </c>
      <c r="V696" s="0" t="n">
        <v>13.7235807513042</v>
      </c>
      <c r="W696" s="0" t="n">
        <v>20250630</v>
      </c>
      <c r="X696" s="0" t="n">
        <v>0.959403059876807</v>
      </c>
      <c r="Y696" s="0" t="n">
        <v>7.85</v>
      </c>
      <c r="Z696" s="0" t="s">
        <v>105</v>
      </c>
      <c r="AA696" s="0" t="n">
        <f aca="false">IF(AND(ISNUMBER(B696),B696&gt;0,ISNUMBER(U696),U696&gt;=0,ISNUMBER(O696),O696&gt;=0),1,0)</f>
        <v>1</v>
      </c>
      <c r="AB696" s="0" t="n">
        <f aca="false">IF(AA696=1,U696+O696,0)</f>
        <v>10161</v>
      </c>
      <c r="AC696" s="0" t="n">
        <f aca="false">IF(AA696=1,100*AB696/B696,"")</f>
        <v>0.24744054523126</v>
      </c>
      <c r="AD696" s="0" t="n">
        <f aca="false">IF(AND(AND(ISNUMBER(B696),B696=OriginalFinancials!B696),AND(ISNUMBER(U696),U696=OriginalFinancials!U696),AND(ISNUMBER(O696),O696=OriginalFinancials!O696)),0,1)</f>
        <v>0</v>
      </c>
      <c r="AE696" s="0" t="str">
        <f aca="false">IF(V696=0,"原始0：需核实适用/报告口径","")</f>
        <v/>
      </c>
    </row>
    <row r="697" customFormat="false" ht="15" hidden="false" customHeight="false" outlineLevel="0" collapsed="false">
      <c r="A697" s="0" t="n">
        <v>697</v>
      </c>
      <c r="B697" s="0" t="n">
        <v>1085692</v>
      </c>
      <c r="C697" s="0" t="n">
        <v>12874</v>
      </c>
      <c r="D697" s="0" t="n">
        <v>934861</v>
      </c>
      <c r="E697" s="0" t="n">
        <v>-0.03</v>
      </c>
      <c r="F697" s="0" t="n">
        <v>100553</v>
      </c>
      <c r="G697" s="0" t="n">
        <v>9.26165063388143</v>
      </c>
      <c r="H697" s="0" t="s">
        <v>854</v>
      </c>
      <c r="I697" s="0" t="n">
        <v>0.981049807144055</v>
      </c>
      <c r="J697" s="0" t="n">
        <v>156764</v>
      </c>
      <c r="K697" s="0" t="n">
        <v>4179</v>
      </c>
      <c r="L697" s="0" t="n">
        <v>846746</v>
      </c>
      <c r="M697" s="0" t="n">
        <v>838439</v>
      </c>
      <c r="N697" s="0" t="n">
        <v>669261</v>
      </c>
      <c r="O697" s="0" t="n">
        <v>1392</v>
      </c>
      <c r="P697" s="0" t="s">
        <v>107</v>
      </c>
      <c r="Q697" s="0" t="n">
        <v>0.16439404496744</v>
      </c>
      <c r="R697" s="0" t="n">
        <v>3.8021088052053</v>
      </c>
      <c r="S697" s="0" t="n">
        <v>18</v>
      </c>
      <c r="T697" s="0" t="n">
        <v>2891</v>
      </c>
      <c r="U697" s="0" t="n">
        <v>0</v>
      </c>
      <c r="V697" s="0" t="n">
        <v>14.3096445878642</v>
      </c>
      <c r="W697" s="0" t="n">
        <v>20250630</v>
      </c>
      <c r="X697" s="0" t="n">
        <v>0.938648973217796</v>
      </c>
      <c r="Y697" s="0" t="n">
        <v>10.27</v>
      </c>
      <c r="Z697" s="0" t="s">
        <v>105</v>
      </c>
      <c r="AA697" s="0" t="n">
        <f aca="false">IF(AND(ISNUMBER(B697),B697&gt;0,ISNUMBER(U697),U697&gt;=0,ISNUMBER(O697),O697&gt;=0),1,0)</f>
        <v>1</v>
      </c>
      <c r="AB697" s="0" t="n">
        <f aca="false">IF(AA697=1,U697+O697,0)</f>
        <v>1392</v>
      </c>
      <c r="AC697" s="0" t="n">
        <f aca="false">IF(AA697=1,100*AB697/B697,"")</f>
        <v>0.12821315805956</v>
      </c>
      <c r="AD697" s="0" t="n">
        <f aca="false">IF(AND(AND(ISNUMBER(B697),B697=OriginalFinancials!B697),AND(ISNUMBER(U697),U697=OriginalFinancials!U697),AND(ISNUMBER(O697),O697=OriginalFinancials!O697)),0,1)</f>
        <v>0</v>
      </c>
      <c r="AE697" s="0" t="str">
        <f aca="false">IF(V697=0,"原始0：需核实适用/报告口径","")</f>
        <v/>
      </c>
    </row>
    <row r="698" customFormat="false" ht="15" hidden="false" customHeight="false" outlineLevel="0" collapsed="false">
      <c r="A698" s="0" t="n">
        <v>698</v>
      </c>
      <c r="B698" s="0" t="n">
        <v>1933479</v>
      </c>
      <c r="C698" s="0" t="n">
        <v>13063</v>
      </c>
      <c r="D698" s="0" t="n">
        <v>1642187</v>
      </c>
      <c r="E698" s="0" t="n">
        <v>0.04</v>
      </c>
      <c r="F698" s="0" t="n">
        <v>165281</v>
      </c>
      <c r="G698" s="0" t="n">
        <v>8.548373165677</v>
      </c>
      <c r="H698" s="0" t="s">
        <v>855</v>
      </c>
      <c r="I698" s="0" t="n">
        <v>1.08356869656229</v>
      </c>
      <c r="J698" s="0" t="n">
        <v>74647</v>
      </c>
      <c r="K698" s="0" t="n">
        <v>870</v>
      </c>
      <c r="L698" s="0" t="n">
        <v>1559292</v>
      </c>
      <c r="M698" s="0" t="n">
        <v>1542396</v>
      </c>
      <c r="N698" s="0" t="n">
        <v>1474935</v>
      </c>
      <c r="O698" s="0" t="n">
        <v>2263</v>
      </c>
      <c r="P698" s="0" t="s">
        <v>109</v>
      </c>
      <c r="Q698" s="0" t="n">
        <v>0.156866064855075</v>
      </c>
      <c r="R698" s="0" t="n">
        <v>3.40567672960564</v>
      </c>
      <c r="S698" s="0" t="n">
        <v>45</v>
      </c>
      <c r="T698" s="0" t="n">
        <v>10952</v>
      </c>
      <c r="U698" s="0" t="n">
        <v>183</v>
      </c>
      <c r="V698" s="0" t="n">
        <v>0</v>
      </c>
      <c r="W698" s="0" t="n">
        <v>20250630</v>
      </c>
      <c r="X698" s="0" t="n">
        <v>0.621034232657182</v>
      </c>
      <c r="Y698" s="0" t="n">
        <v>7.39</v>
      </c>
      <c r="Z698" s="0" t="s">
        <v>105</v>
      </c>
      <c r="AA698" s="0" t="n">
        <f aca="false">IF(AND(ISNUMBER(B698),B698&gt;0,ISNUMBER(U698),U698&gt;=0,ISNUMBER(O698),O698&gt;=0),1,0)</f>
        <v>1</v>
      </c>
      <c r="AB698" s="0" t="n">
        <f aca="false">IF(AA698=1,U698+O698,0)</f>
        <v>2446</v>
      </c>
      <c r="AC698" s="0" t="n">
        <f aca="false">IF(AA698=1,100*AB698/B698,"")</f>
        <v>0.126507709677736</v>
      </c>
      <c r="AD698" s="0" t="n">
        <f aca="false">IF(AND(AND(ISNUMBER(B698),B698=OriginalFinancials!B698),AND(ISNUMBER(U698),U698=OriginalFinancials!U698),AND(ISNUMBER(O698),O698=OriginalFinancials!O698)),0,1)</f>
        <v>0</v>
      </c>
      <c r="AE698" s="0" t="str">
        <f aca="false">IF(V698=0,"原始0：需核实适用/报告口径","")</f>
        <v>原始0：需核实适用/报告口径</v>
      </c>
    </row>
    <row r="699" customFormat="false" ht="15" hidden="false" customHeight="false" outlineLevel="0" collapsed="false">
      <c r="A699" s="0" t="n">
        <v>699</v>
      </c>
      <c r="B699" s="0" t="n">
        <v>882477</v>
      </c>
      <c r="C699" s="0" t="n">
        <v>14134</v>
      </c>
      <c r="D699" s="0" t="n">
        <v>701612</v>
      </c>
      <c r="E699" s="0" t="n">
        <v>0.08</v>
      </c>
      <c r="F699" s="0" t="n">
        <v>116115</v>
      </c>
      <c r="G699" s="0" t="n">
        <v>13.1578500062891</v>
      </c>
      <c r="H699" s="0" t="s">
        <v>856</v>
      </c>
      <c r="I699" s="0" t="n">
        <v>1.12165429046153</v>
      </c>
      <c r="J699" s="0" t="n">
        <v>27002</v>
      </c>
      <c r="K699" s="0" t="n">
        <v>21129</v>
      </c>
      <c r="L699" s="0" t="n">
        <v>634955</v>
      </c>
      <c r="M699" s="0" t="n">
        <v>627833</v>
      </c>
      <c r="N699" s="0" t="n">
        <v>566443</v>
      </c>
      <c r="O699" s="0" t="n">
        <v>2713</v>
      </c>
      <c r="P699" s="0" t="s">
        <v>111</v>
      </c>
      <c r="Q699" s="0" t="n">
        <v>0.42727437377452</v>
      </c>
      <c r="R699" s="0" t="n">
        <v>3.10929848158763</v>
      </c>
      <c r="S699" s="0" t="n">
        <v>196</v>
      </c>
      <c r="T699" s="0" t="n">
        <v>5310</v>
      </c>
      <c r="U699" s="0" t="n">
        <v>0</v>
      </c>
      <c r="V699" s="0" t="n">
        <v>20.6017342528864</v>
      </c>
      <c r="W699" s="0" t="n">
        <v>20250630</v>
      </c>
      <c r="X699" s="0" t="n">
        <v>0.610195299395189</v>
      </c>
      <c r="Y699" s="0" t="n">
        <v>4.75</v>
      </c>
      <c r="Z699" s="0" t="s">
        <v>112</v>
      </c>
      <c r="AA699" s="0" t="n">
        <f aca="false">IF(AND(ISNUMBER(B699),B699&gt;0,ISNUMBER(U699),U699&gt;=0,ISNUMBER(O699),O699&gt;=0),1,0)</f>
        <v>1</v>
      </c>
      <c r="AB699" s="0" t="n">
        <f aca="false">IF(AA699=1,U699+O699,0)</f>
        <v>2713</v>
      </c>
      <c r="AC699" s="0" t="n">
        <f aca="false">IF(AA699=1,100*AB699/B699,"")</f>
        <v>0.307430108660056</v>
      </c>
      <c r="AD699" s="0" t="n">
        <f aca="false">IF(AND(AND(ISNUMBER(B699),B699=OriginalFinancials!B699),AND(ISNUMBER(U699),U699=OriginalFinancials!U699),AND(ISNUMBER(O699),O699=OriginalFinancials!O699)),0,1)</f>
        <v>0</v>
      </c>
      <c r="AE699" s="0" t="str">
        <f aca="false">IF(V699=0,"原始0：需核实适用/报告口径","")</f>
        <v/>
      </c>
    </row>
    <row r="700" customFormat="false" ht="15" hidden="false" customHeight="false" outlineLevel="0" collapsed="false">
      <c r="A700" s="0" t="n">
        <v>700</v>
      </c>
      <c r="B700" s="0" t="n">
        <v>247991</v>
      </c>
      <c r="C700" s="0" t="n">
        <v>14136</v>
      </c>
      <c r="D700" s="0" t="n">
        <v>212734</v>
      </c>
      <c r="E700" s="0" t="n">
        <v>0.1</v>
      </c>
      <c r="F700" s="0" t="n">
        <v>20696</v>
      </c>
      <c r="G700" s="0" t="n">
        <v>8.34546414990867</v>
      </c>
      <c r="H700" s="0" t="s">
        <v>857</v>
      </c>
      <c r="I700" s="0" t="n">
        <v>1.03143773976404</v>
      </c>
      <c r="J700" s="0" t="n">
        <v>16458</v>
      </c>
      <c r="K700" s="0" t="n">
        <v>15166</v>
      </c>
      <c r="L700" s="0" t="n">
        <v>165788</v>
      </c>
      <c r="M700" s="0" t="n">
        <v>164078</v>
      </c>
      <c r="N700" s="0" t="n">
        <v>133756</v>
      </c>
      <c r="O700" s="0" t="n">
        <v>543</v>
      </c>
      <c r="P700" s="0" t="s">
        <v>114</v>
      </c>
      <c r="Q700" s="0" t="n">
        <v>0.64962482206191</v>
      </c>
      <c r="R700" s="0" t="n">
        <v>3.86995285179615</v>
      </c>
      <c r="S700" s="0" t="n">
        <v>33</v>
      </c>
      <c r="T700" s="0" t="n">
        <v>1414</v>
      </c>
      <c r="U700" s="0" t="n">
        <v>534</v>
      </c>
      <c r="V700" s="0" t="n">
        <v>17.6574017718266</v>
      </c>
      <c r="W700" s="0" t="n">
        <v>20250630</v>
      </c>
      <c r="X700" s="0" t="n">
        <v>0.601654965518099</v>
      </c>
      <c r="Y700" s="0" t="n">
        <v>7.3</v>
      </c>
      <c r="Z700" s="0" t="s">
        <v>112</v>
      </c>
      <c r="AA700" s="0" t="n">
        <f aca="false">IF(AND(ISNUMBER(B700),B700&gt;0,ISNUMBER(U700),U700&gt;=0,ISNUMBER(O700),O700&gt;=0),1,0)</f>
        <v>1</v>
      </c>
      <c r="AB700" s="0" t="n">
        <f aca="false">IF(AA700=1,U700+O700,0)</f>
        <v>1077</v>
      </c>
      <c r="AC700" s="0" t="n">
        <f aca="false">IF(AA700=1,100*AB700/B700,"")</f>
        <v>0.434289954070914</v>
      </c>
      <c r="AD700" s="0" t="n">
        <f aca="false">IF(AND(AND(ISNUMBER(B700),B700=OriginalFinancials!B700),AND(ISNUMBER(U700),U700=OriginalFinancials!U700),AND(ISNUMBER(O700),O700=OriginalFinancials!O700)),0,1)</f>
        <v>0</v>
      </c>
      <c r="AE700" s="0" t="str">
        <f aca="false">IF(V700=0,"原始0：需核实适用/报告口径","")</f>
        <v/>
      </c>
    </row>
    <row r="701" customFormat="false" ht="15" hidden="false" customHeight="false" outlineLevel="0" collapsed="false">
      <c r="A701" s="0" t="n">
        <v>701</v>
      </c>
      <c r="B701" s="0" t="n">
        <v>1560737</v>
      </c>
      <c r="C701" s="0" t="n">
        <v>14140</v>
      </c>
      <c r="D701" s="0" t="n">
        <v>1280949</v>
      </c>
      <c r="E701" s="0" t="n">
        <v>0.06</v>
      </c>
      <c r="F701" s="0" t="n">
        <v>142689</v>
      </c>
      <c r="G701" s="0" t="n">
        <v>9.14241156581794</v>
      </c>
      <c r="H701" s="0" t="s">
        <v>858</v>
      </c>
      <c r="I701" s="0" t="n">
        <v>0.808035108356332</v>
      </c>
      <c r="J701" s="0" t="n">
        <v>95042</v>
      </c>
      <c r="K701" s="0" t="n">
        <v>1711</v>
      </c>
      <c r="L701" s="0" t="n">
        <v>1105150</v>
      </c>
      <c r="M701" s="0" t="n">
        <v>1096220</v>
      </c>
      <c r="N701" s="0" t="n">
        <v>976988</v>
      </c>
      <c r="O701" s="0" t="n">
        <v>7436</v>
      </c>
      <c r="P701" s="0" t="s">
        <v>116</v>
      </c>
      <c r="Q701" s="0" t="n">
        <v>0.672849839388318</v>
      </c>
      <c r="R701" s="0" t="n">
        <v>2.58054568551282</v>
      </c>
      <c r="S701" s="0" t="n">
        <v>28</v>
      </c>
      <c r="T701" s="0" t="n">
        <v>4583</v>
      </c>
      <c r="U701" s="0" t="n">
        <v>0</v>
      </c>
      <c r="V701" s="0" t="n">
        <v>0</v>
      </c>
      <c r="W701" s="0" t="n">
        <v>20250630</v>
      </c>
      <c r="X701" s="0" t="n">
        <v>0.319216663443552</v>
      </c>
      <c r="Y701" s="0" t="n">
        <v>3.6</v>
      </c>
      <c r="Z701" s="0" t="s">
        <v>112</v>
      </c>
      <c r="AA701" s="0" t="n">
        <f aca="false">IF(AND(ISNUMBER(B701),B701&gt;0,ISNUMBER(U701),U701&gt;=0,ISNUMBER(O701),O701&gt;=0),1,0)</f>
        <v>1</v>
      </c>
      <c r="AB701" s="0" t="n">
        <f aca="false">IF(AA701=1,U701+O701,0)</f>
        <v>7436</v>
      </c>
      <c r="AC701" s="0" t="n">
        <f aca="false">IF(AA701=1,100*AB701/B701,"")</f>
        <v>0.476441578561923</v>
      </c>
      <c r="AD701" s="0" t="n">
        <f aca="false">IF(AND(AND(ISNUMBER(B701),B701=OriginalFinancials!B701),AND(ISNUMBER(U701),U701=OriginalFinancials!U701),AND(ISNUMBER(O701),O701=OriginalFinancials!O701)),0,1)</f>
        <v>0</v>
      </c>
      <c r="AE701" s="0" t="str">
        <f aca="false">IF(V701=0,"原始0：需核实适用/报告口径","")</f>
        <v>原始0：需核实适用/报告口径</v>
      </c>
    </row>
    <row r="702" customFormat="false" ht="15" hidden="false" customHeight="false" outlineLevel="0" collapsed="false">
      <c r="A702" s="0" t="n">
        <v>702</v>
      </c>
      <c r="B702" s="0" t="n">
        <v>1479452</v>
      </c>
      <c r="C702" s="0" t="n">
        <v>14158</v>
      </c>
      <c r="D702" s="0" t="n">
        <v>1107517</v>
      </c>
      <c r="E702" s="0" t="n">
        <v>0.06</v>
      </c>
      <c r="F702" s="0" t="n">
        <v>86521</v>
      </c>
      <c r="G702" s="0" t="n">
        <v>5.84817892030292</v>
      </c>
      <c r="H702" s="0" t="s">
        <v>859</v>
      </c>
      <c r="I702" s="0" t="n">
        <v>0.745748774142349</v>
      </c>
      <c r="J702" s="0" t="n">
        <v>34247</v>
      </c>
      <c r="K702" s="0" t="n">
        <v>2362</v>
      </c>
      <c r="L702" s="0" t="n">
        <v>1113914</v>
      </c>
      <c r="M702" s="0" t="n">
        <v>1105607</v>
      </c>
      <c r="N702" s="0" t="n">
        <v>1031319</v>
      </c>
      <c r="O702" s="0" t="n">
        <v>15189</v>
      </c>
      <c r="P702" s="0" t="s">
        <v>118</v>
      </c>
      <c r="Q702" s="0" t="n">
        <v>1.3700339523518</v>
      </c>
      <c r="R702" s="0" t="n">
        <v>2.99867350712437</v>
      </c>
      <c r="S702" s="0" t="n">
        <v>-6</v>
      </c>
      <c r="T702" s="0" t="n">
        <v>1302</v>
      </c>
      <c r="U702" s="0" t="n">
        <v>72</v>
      </c>
      <c r="V702" s="0" t="n">
        <v>12.6234332403009</v>
      </c>
      <c r="W702" s="0" t="n">
        <v>20250630</v>
      </c>
      <c r="X702" s="0" t="n">
        <v>0.704869265488618</v>
      </c>
      <c r="Y702" s="0" t="n">
        <v>12.54</v>
      </c>
      <c r="Z702" s="0" t="s">
        <v>112</v>
      </c>
      <c r="AA702" s="0" t="n">
        <f aca="false">IF(AND(ISNUMBER(B702),B702&gt;0,ISNUMBER(U702),U702&gt;=0,ISNUMBER(O702),O702&gt;=0),1,0)</f>
        <v>1</v>
      </c>
      <c r="AB702" s="0" t="n">
        <f aca="false">IF(AA702=1,U702+O702,0)</f>
        <v>15261</v>
      </c>
      <c r="AC702" s="0" t="n">
        <f aca="false">IF(AA702=1,100*AB702/B702,"")</f>
        <v>1.03153059376039</v>
      </c>
      <c r="AD702" s="0" t="n">
        <f aca="false">IF(AND(AND(ISNUMBER(B702),B702=OriginalFinancials!B702),AND(ISNUMBER(U702),U702=OriginalFinancials!U702),AND(ISNUMBER(O702),O702=OriginalFinancials!O702)),0,1)</f>
        <v>0</v>
      </c>
      <c r="AE702" s="0" t="str">
        <f aca="false">IF(V702=0,"原始0：需核实适用/报告口径","")</f>
        <v/>
      </c>
    </row>
    <row r="703" customFormat="false" ht="15" hidden="false" customHeight="false" outlineLevel="0" collapsed="false">
      <c r="A703" s="0" t="n">
        <v>703</v>
      </c>
      <c r="B703" s="0" t="n">
        <v>376849</v>
      </c>
      <c r="C703" s="0" t="n">
        <v>14168</v>
      </c>
      <c r="D703" s="0" t="n">
        <v>332557</v>
      </c>
      <c r="E703" s="0" t="n">
        <v>0.08</v>
      </c>
      <c r="F703" s="0" t="n">
        <v>38788</v>
      </c>
      <c r="G703" s="0" t="n">
        <v>10.292716711468</v>
      </c>
      <c r="H703" s="0" t="s">
        <v>860</v>
      </c>
      <c r="I703" s="0" t="n">
        <v>1.27299474703176</v>
      </c>
      <c r="J703" s="0" t="n">
        <v>11385</v>
      </c>
      <c r="K703" s="0" t="n">
        <v>10856</v>
      </c>
      <c r="L703" s="0" t="n">
        <v>288218</v>
      </c>
      <c r="M703" s="0" t="n">
        <v>284549</v>
      </c>
      <c r="N703" s="0" t="n">
        <v>247587</v>
      </c>
      <c r="O703" s="0" t="n">
        <v>1012</v>
      </c>
      <c r="P703" s="0" t="s">
        <v>120</v>
      </c>
      <c r="Q703" s="0" t="n">
        <v>0.351123108202819</v>
      </c>
      <c r="R703" s="0" t="n">
        <v>4.22224321701265</v>
      </c>
      <c r="S703" s="0" t="n">
        <v>32</v>
      </c>
      <c r="T703" s="0" t="n">
        <v>93</v>
      </c>
      <c r="U703" s="0" t="n">
        <v>0</v>
      </c>
      <c r="V703" s="0" t="n">
        <v>16.584016716042</v>
      </c>
      <c r="W703" s="0" t="n">
        <v>20250630</v>
      </c>
      <c r="X703" s="0" t="n">
        <v>0.966716269310238</v>
      </c>
      <c r="Y703" s="0" t="n">
        <v>9.43</v>
      </c>
      <c r="Z703" s="0" t="s">
        <v>112</v>
      </c>
      <c r="AA703" s="0" t="n">
        <f aca="false">IF(AND(ISNUMBER(B703),B703&gt;0,ISNUMBER(U703),U703&gt;=0,ISNUMBER(O703),O703&gt;=0),1,0)</f>
        <v>1</v>
      </c>
      <c r="AB703" s="0" t="n">
        <f aca="false">IF(AA703=1,U703+O703,0)</f>
        <v>1012</v>
      </c>
      <c r="AC703" s="0" t="n">
        <f aca="false">IF(AA703=1,100*AB703/B703,"")</f>
        <v>0.268542572754605</v>
      </c>
      <c r="AD703" s="0" t="n">
        <f aca="false">IF(AND(AND(ISNUMBER(B703),B703=OriginalFinancials!B703),AND(ISNUMBER(U703),U703=OriginalFinancials!U703),AND(ISNUMBER(O703),O703=OriginalFinancials!O703)),0,1)</f>
        <v>0</v>
      </c>
      <c r="AE703" s="0" t="str">
        <f aca="false">IF(V703=0,"原始0：需核实适用/报告口径","")</f>
        <v/>
      </c>
    </row>
    <row r="704" customFormat="false" ht="15" hidden="false" customHeight="false" outlineLevel="0" collapsed="false">
      <c r="A704" s="0" t="n">
        <v>704</v>
      </c>
      <c r="B704" s="0" t="n">
        <v>1078591</v>
      </c>
      <c r="C704" s="0" t="n">
        <v>17115</v>
      </c>
      <c r="D704" s="0" t="n">
        <v>819065</v>
      </c>
      <c r="E704" s="0" t="n">
        <v>0.05</v>
      </c>
      <c r="F704" s="0" t="n">
        <v>97021</v>
      </c>
      <c r="G704" s="0" t="n">
        <v>8.99516127985492</v>
      </c>
      <c r="H704" s="0" t="s">
        <v>861</v>
      </c>
      <c r="I704" s="0" t="n">
        <v>0.948136739166134</v>
      </c>
      <c r="J704" s="0" t="n">
        <v>38793</v>
      </c>
      <c r="K704" s="0" t="n">
        <v>6038</v>
      </c>
      <c r="L704" s="0" t="n">
        <v>882995</v>
      </c>
      <c r="M704" s="0" t="n">
        <v>874623</v>
      </c>
      <c r="N704" s="0" t="n">
        <v>837308</v>
      </c>
      <c r="O704" s="0" t="n">
        <v>2491</v>
      </c>
      <c r="P704" s="0" t="s">
        <v>125</v>
      </c>
      <c r="Q704" s="0" t="n">
        <v>0.291507879433066</v>
      </c>
      <c r="R704" s="0" t="n">
        <v>2.96659137731555</v>
      </c>
      <c r="S704" s="0" t="n">
        <v>438</v>
      </c>
      <c r="T704" s="0" t="n">
        <v>1134</v>
      </c>
      <c r="U704" s="0" t="n">
        <v>83</v>
      </c>
      <c r="V704" s="0" t="n">
        <v>14.8169206277007</v>
      </c>
      <c r="W704" s="0" t="n">
        <v>20250630</v>
      </c>
      <c r="X704" s="0" t="n">
        <v>0.71338933420764</v>
      </c>
      <c r="Y704" s="0" t="n">
        <v>8</v>
      </c>
      <c r="Z704" s="0" t="s">
        <v>105</v>
      </c>
      <c r="AA704" s="0" t="n">
        <f aca="false">IF(AND(ISNUMBER(B704),B704&gt;0,ISNUMBER(U704),U704&gt;=0,ISNUMBER(O704),O704&gt;=0),1,0)</f>
        <v>1</v>
      </c>
      <c r="AB704" s="0" t="n">
        <f aca="false">IF(AA704=1,U704+O704,0)</f>
        <v>2574</v>
      </c>
      <c r="AC704" s="0" t="n">
        <f aca="false">IF(AA704=1,100*AB704/B704,"")</f>
        <v>0.238644676248921</v>
      </c>
      <c r="AD704" s="0" t="n">
        <f aca="false">IF(AND(AND(ISNUMBER(B704),B704=OriginalFinancials!B704),AND(ISNUMBER(U704),U704=OriginalFinancials!U704),AND(ISNUMBER(O704),O704=OriginalFinancials!O704)),0,1)</f>
        <v>0</v>
      </c>
      <c r="AE704" s="0" t="str">
        <f aca="false">IF(V704=0,"原始0：需核实适用/报告口径","")</f>
        <v/>
      </c>
    </row>
    <row r="705" customFormat="false" ht="15" hidden="false" customHeight="false" outlineLevel="0" collapsed="false">
      <c r="A705" s="0" t="n">
        <v>705</v>
      </c>
      <c r="B705" s="0" t="n">
        <v>1609518</v>
      </c>
      <c r="C705" s="0" t="n">
        <v>17180</v>
      </c>
      <c r="D705" s="0" t="n">
        <v>1323945</v>
      </c>
      <c r="E705" s="0" t="n">
        <v>0</v>
      </c>
      <c r="F705" s="0" t="n">
        <v>147515</v>
      </c>
      <c r="G705" s="0" t="n">
        <v>9.16516621746386</v>
      </c>
      <c r="H705" s="0" t="s">
        <v>862</v>
      </c>
      <c r="I705" s="0" t="n">
        <v>0.988406664070127</v>
      </c>
      <c r="J705" s="0" t="n">
        <v>41482</v>
      </c>
      <c r="K705" s="0" t="n">
        <v>155925</v>
      </c>
      <c r="L705" s="0" t="n">
        <v>1394163</v>
      </c>
      <c r="M705" s="0" t="n">
        <v>1380383</v>
      </c>
      <c r="N705" s="0" t="n">
        <v>1170848</v>
      </c>
      <c r="O705" s="0" t="n">
        <v>5006</v>
      </c>
      <c r="P705" s="0" t="s">
        <v>127</v>
      </c>
      <c r="Q705" s="0" t="n">
        <v>0.359785763931477</v>
      </c>
      <c r="R705" s="0" t="n">
        <v>2.82301178340663</v>
      </c>
      <c r="S705" s="0" t="n">
        <v>157</v>
      </c>
      <c r="T705" s="0" t="n">
        <v>3969</v>
      </c>
      <c r="U705" s="0" t="n">
        <v>10</v>
      </c>
      <c r="V705" s="0" t="n">
        <v>16.1170926443665</v>
      </c>
      <c r="W705" s="0" t="n">
        <v>20250630</v>
      </c>
      <c r="X705" s="0" t="n">
        <v>0.322125402656753</v>
      </c>
      <c r="Y705" s="0" t="n">
        <v>3.54</v>
      </c>
      <c r="Z705" s="0" t="s">
        <v>123</v>
      </c>
      <c r="AA705" s="0" t="n">
        <f aca="false">IF(AND(ISNUMBER(B705),B705&gt;0,ISNUMBER(U705),U705&gt;=0,ISNUMBER(O705),O705&gt;=0),1,0)</f>
        <v>1</v>
      </c>
      <c r="AB705" s="0" t="n">
        <f aca="false">IF(AA705=1,U705+O705,0)</f>
        <v>5016</v>
      </c>
      <c r="AC705" s="0" t="n">
        <f aca="false">IF(AA705=1,100*AB705/B705,"")</f>
        <v>0.31164609529064</v>
      </c>
      <c r="AD705" s="0" t="n">
        <f aca="false">IF(AND(AND(ISNUMBER(B705),B705=OriginalFinancials!B705),AND(ISNUMBER(U705),U705=OriginalFinancials!U705),AND(ISNUMBER(O705),O705=OriginalFinancials!O705)),0,1)</f>
        <v>0</v>
      </c>
      <c r="AE705" s="0" t="str">
        <f aca="false">IF(V705=0,"原始0：需核实适用/报告口径","")</f>
        <v/>
      </c>
    </row>
    <row r="706" customFormat="false" ht="15" hidden="false" customHeight="false" outlineLevel="0" collapsed="false">
      <c r="A706" s="0" t="n">
        <v>706</v>
      </c>
      <c r="B706" s="0" t="n">
        <v>366584</v>
      </c>
      <c r="C706" s="0" t="n">
        <v>17443</v>
      </c>
      <c r="D706" s="0" t="n">
        <v>285374</v>
      </c>
      <c r="E706" s="0" t="n">
        <v>-0.03</v>
      </c>
      <c r="F706" s="0" t="n">
        <v>40125</v>
      </c>
      <c r="G706" s="0" t="n">
        <v>10.9456495646291</v>
      </c>
      <c r="H706" s="0" t="s">
        <v>863</v>
      </c>
      <c r="I706" s="0" t="n">
        <v>0.712995812564275</v>
      </c>
      <c r="J706" s="0" t="n">
        <v>0</v>
      </c>
      <c r="K706" s="0" t="n">
        <v>799</v>
      </c>
      <c r="L706" s="0" t="n">
        <v>203227</v>
      </c>
      <c r="M706" s="0" t="n">
        <v>201778</v>
      </c>
      <c r="N706" s="0" t="n">
        <v>201428</v>
      </c>
      <c r="O706" s="0" t="n">
        <v>22</v>
      </c>
      <c r="P706" s="0" t="s">
        <v>129</v>
      </c>
      <c r="Q706" s="0" t="n">
        <v>0.0108253332480428</v>
      </c>
      <c r="R706" s="0" t="n">
        <v>1.29920976724489</v>
      </c>
      <c r="S706" s="0" t="n">
        <v>0</v>
      </c>
      <c r="T706" s="0" t="n">
        <v>769</v>
      </c>
      <c r="U706" s="0" t="n">
        <v>0</v>
      </c>
      <c r="V706" s="0" t="n">
        <v>0</v>
      </c>
      <c r="W706" s="0" t="n">
        <v>20250630</v>
      </c>
      <c r="X706" s="0" t="n">
        <v>-0.301132819905539</v>
      </c>
      <c r="Y706" s="0" t="n">
        <v>-2.77</v>
      </c>
      <c r="Z706" s="0" t="s">
        <v>123</v>
      </c>
      <c r="AA706" s="0" t="n">
        <f aca="false">IF(AND(ISNUMBER(B706),B706&gt;0,ISNUMBER(U706),U706&gt;=0,ISNUMBER(O706),O706&gt;=0),1,0)</f>
        <v>1</v>
      </c>
      <c r="AB706" s="0" t="n">
        <f aca="false">IF(AA706=1,U706+O706,0)</f>
        <v>22</v>
      </c>
      <c r="AC706" s="0" t="n">
        <f aca="false">IF(AA706=1,100*AB706/B706,"")</f>
        <v>0.00600135303232001</v>
      </c>
      <c r="AD706" s="0" t="n">
        <f aca="false">IF(AND(AND(ISNUMBER(B706),B706=OriginalFinancials!B706),AND(ISNUMBER(U706),U706=OriginalFinancials!U706),AND(ISNUMBER(O706),O706=OriginalFinancials!O706)),0,1)</f>
        <v>0</v>
      </c>
      <c r="AE706" s="0" t="str">
        <f aca="false">IF(V706=0,"原始0：需核实适用/报告口径","")</f>
        <v>原始0：需核实适用/报告口径</v>
      </c>
    </row>
    <row r="707" customFormat="false" ht="15" hidden="false" customHeight="false" outlineLevel="0" collapsed="false">
      <c r="A707" s="0" t="n">
        <v>707</v>
      </c>
      <c r="B707" s="0" t="n">
        <v>2059300</v>
      </c>
      <c r="C707" s="0" t="n">
        <v>17658</v>
      </c>
      <c r="D707" s="0" t="n">
        <v>1592193</v>
      </c>
      <c r="E707" s="0" t="n">
        <v>0.07</v>
      </c>
      <c r="F707" s="0" t="n">
        <v>238741</v>
      </c>
      <c r="G707" s="0" t="n">
        <v>11.593308405769</v>
      </c>
      <c r="H707" s="0" t="s">
        <v>864</v>
      </c>
      <c r="I707" s="0" t="n">
        <v>0.68458180287466</v>
      </c>
      <c r="J707" s="0" t="n">
        <v>107836</v>
      </c>
      <c r="K707" s="0" t="n">
        <v>85638</v>
      </c>
      <c r="L707" s="0" t="n">
        <v>1472870</v>
      </c>
      <c r="M707" s="0" t="n">
        <v>1462787</v>
      </c>
      <c r="N707" s="0" t="n">
        <v>1263229</v>
      </c>
      <c r="O707" s="0" t="n">
        <v>10168</v>
      </c>
      <c r="P707" s="0" t="s">
        <v>131</v>
      </c>
      <c r="Q707" s="0" t="n">
        <v>0.690352848520236</v>
      </c>
      <c r="R707" s="0" t="n">
        <v>3.24068034825347</v>
      </c>
      <c r="S707" s="0" t="n">
        <v>146</v>
      </c>
      <c r="T707" s="0" t="n">
        <v>2622</v>
      </c>
      <c r="U707" s="0" t="n">
        <v>0</v>
      </c>
      <c r="V707" s="0" t="n">
        <v>0</v>
      </c>
      <c r="W707" s="0" t="n">
        <v>20250630</v>
      </c>
      <c r="X707" s="0" t="n">
        <v>0.859257679559975</v>
      </c>
      <c r="Y707" s="0" t="n">
        <v>7.57</v>
      </c>
      <c r="Z707" s="0" t="s">
        <v>105</v>
      </c>
      <c r="AA707" s="0" t="n">
        <f aca="false">IF(AND(ISNUMBER(B707),B707&gt;0,ISNUMBER(U707),U707&gt;=0,ISNUMBER(O707),O707&gt;=0),1,0)</f>
        <v>1</v>
      </c>
      <c r="AB707" s="0" t="n">
        <f aca="false">IF(AA707=1,U707+O707,0)</f>
        <v>10168</v>
      </c>
      <c r="AC707" s="0" t="n">
        <f aca="false">IF(AA707=1,100*AB707/B707,"")</f>
        <v>0.493760015539261</v>
      </c>
      <c r="AD707" s="0" t="n">
        <f aca="false">IF(AND(AND(ISNUMBER(B707),B707=OriginalFinancials!B707),AND(ISNUMBER(U707),U707=OriginalFinancials!U707),AND(ISNUMBER(O707),O707=OriginalFinancials!O707)),0,1)</f>
        <v>0</v>
      </c>
      <c r="AE707" s="0" t="str">
        <f aca="false">IF(V707=0,"原始0：需核实适用/报告口径","")</f>
        <v>原始0：需核实适用/报告口径</v>
      </c>
    </row>
    <row r="708" customFormat="false" ht="15" hidden="false" customHeight="false" outlineLevel="0" collapsed="false">
      <c r="A708" s="0" t="n">
        <v>708</v>
      </c>
      <c r="B708" s="0" t="n">
        <v>2758302</v>
      </c>
      <c r="C708" s="0" t="n">
        <v>17741</v>
      </c>
      <c r="D708" s="0" t="n">
        <v>2253432</v>
      </c>
      <c r="E708" s="0" t="n">
        <v>-0.05</v>
      </c>
      <c r="F708" s="0" t="n">
        <v>250972</v>
      </c>
      <c r="G708" s="0" t="n">
        <v>9.09878613726851</v>
      </c>
      <c r="H708" s="0" t="s">
        <v>865</v>
      </c>
      <c r="I708" s="0" t="n">
        <v>0.702982604583482</v>
      </c>
      <c r="J708" s="0" t="n">
        <v>210200</v>
      </c>
      <c r="K708" s="0" t="n">
        <v>6792</v>
      </c>
      <c r="L708" s="0" t="n">
        <v>2277439</v>
      </c>
      <c r="M708" s="0" t="n">
        <v>2261429</v>
      </c>
      <c r="N708" s="0" t="n">
        <v>2016043</v>
      </c>
      <c r="O708" s="0" t="n">
        <v>14212</v>
      </c>
      <c r="P708" s="0" t="s">
        <v>133</v>
      </c>
      <c r="Q708" s="0" t="n">
        <v>0.624034277098091</v>
      </c>
      <c r="R708" s="0" t="n">
        <v>4.42459457596169</v>
      </c>
      <c r="S708" s="0" t="n">
        <v>-16</v>
      </c>
      <c r="T708" s="0" t="n">
        <v>5485</v>
      </c>
      <c r="U708" s="0" t="n">
        <v>0</v>
      </c>
      <c r="V708" s="0" t="n">
        <v>0</v>
      </c>
      <c r="W708" s="0" t="n">
        <v>20250630</v>
      </c>
      <c r="X708" s="0" t="n">
        <v>0.805862894688845</v>
      </c>
      <c r="Y708" s="0" t="n">
        <v>8.32</v>
      </c>
      <c r="Z708" s="0" t="s">
        <v>105</v>
      </c>
      <c r="AA708" s="0" t="n">
        <f aca="false">IF(AND(ISNUMBER(B708),B708&gt;0,ISNUMBER(U708),U708&gt;=0,ISNUMBER(O708),O708&gt;=0),1,0)</f>
        <v>1</v>
      </c>
      <c r="AB708" s="0" t="n">
        <f aca="false">IF(AA708=1,U708+O708,0)</f>
        <v>14212</v>
      </c>
      <c r="AC708" s="0" t="n">
        <f aca="false">IF(AA708=1,100*AB708/B708,"")</f>
        <v>0.515244523623592</v>
      </c>
      <c r="AD708" s="0" t="n">
        <f aca="false">IF(AND(AND(ISNUMBER(B708),B708=OriginalFinancials!B708),AND(ISNUMBER(U708),U708=OriginalFinancials!U708),AND(ISNUMBER(O708),O708=OriginalFinancials!O708)),0,1)</f>
        <v>0</v>
      </c>
      <c r="AE708" s="0" t="str">
        <f aca="false">IF(V708=0,"原始0：需核实适用/报告口径","")</f>
        <v>原始0：需核实适用/报告口径</v>
      </c>
    </row>
    <row r="709" customFormat="false" ht="15" hidden="false" customHeight="false" outlineLevel="0" collapsed="false">
      <c r="A709" s="0" t="n">
        <v>709</v>
      </c>
      <c r="B709" s="0" t="n">
        <v>1439697</v>
      </c>
      <c r="C709" s="0" t="n">
        <v>17743</v>
      </c>
      <c r="D709" s="0" t="n">
        <v>1017963</v>
      </c>
      <c r="E709" s="0" t="n">
        <v>0.03</v>
      </c>
      <c r="F709" s="0" t="n">
        <v>126615</v>
      </c>
      <c r="G709" s="0" t="n">
        <v>8.79455885509243</v>
      </c>
      <c r="H709" s="0" t="s">
        <v>866</v>
      </c>
      <c r="I709" s="0" t="n">
        <v>0.417193864286333</v>
      </c>
      <c r="J709" s="0" t="n">
        <v>22427</v>
      </c>
      <c r="K709" s="0" t="n">
        <v>10475</v>
      </c>
      <c r="L709" s="0" t="n">
        <v>1153900</v>
      </c>
      <c r="M709" s="0" t="n">
        <v>1149086</v>
      </c>
      <c r="N709" s="0" t="n">
        <v>1110982</v>
      </c>
      <c r="O709" s="0" t="n">
        <v>407</v>
      </c>
      <c r="P709" s="0" t="s">
        <v>135</v>
      </c>
      <c r="Q709" s="0" t="n">
        <v>0.0352716873212583</v>
      </c>
      <c r="R709" s="0" t="n">
        <v>2.0701108760452</v>
      </c>
      <c r="S709" s="0" t="n">
        <v>94</v>
      </c>
      <c r="T709" s="0" t="n">
        <v>1517</v>
      </c>
      <c r="U709" s="0" t="n">
        <v>0</v>
      </c>
      <c r="V709" s="0" t="n">
        <v>0</v>
      </c>
      <c r="W709" s="0" t="n">
        <v>20250630</v>
      </c>
      <c r="X709" s="0" t="n">
        <v>0.0674104441716298</v>
      </c>
      <c r="Y709" s="0" t="n">
        <v>0.76</v>
      </c>
      <c r="Z709" s="0" t="s">
        <v>105</v>
      </c>
      <c r="AA709" s="0" t="n">
        <f aca="false">IF(AND(ISNUMBER(B709),B709&gt;0,ISNUMBER(U709),U709&gt;=0,ISNUMBER(O709),O709&gt;=0),1,0)</f>
        <v>1</v>
      </c>
      <c r="AB709" s="0" t="n">
        <f aca="false">IF(AA709=1,U709+O709,0)</f>
        <v>407</v>
      </c>
      <c r="AC709" s="0" t="n">
        <f aca="false">IF(AA709=1,100*AB709/B709,"")</f>
        <v>0.0282698373338279</v>
      </c>
      <c r="AD709" s="0" t="n">
        <f aca="false">IF(AND(AND(ISNUMBER(B709),B709=OriginalFinancials!B709),AND(ISNUMBER(U709),U709=OriginalFinancials!U709),AND(ISNUMBER(O709),O709=OriginalFinancials!O709)),0,1)</f>
        <v>0</v>
      </c>
      <c r="AE709" s="0" t="str">
        <f aca="false">IF(V709=0,"原始0：需核实适用/报告口径","")</f>
        <v>原始0：需核实适用/报告口径</v>
      </c>
    </row>
    <row r="710" customFormat="false" ht="15" hidden="false" customHeight="false" outlineLevel="0" collapsed="false">
      <c r="A710" s="0" t="n">
        <v>710</v>
      </c>
      <c r="B710" s="0" t="n">
        <v>1447972</v>
      </c>
      <c r="C710" s="0" t="n">
        <v>17749</v>
      </c>
      <c r="D710" s="0" t="n">
        <v>1125192</v>
      </c>
      <c r="E710" s="0" t="n">
        <v>0.07</v>
      </c>
      <c r="F710" s="0" t="n">
        <v>203598</v>
      </c>
      <c r="G710" s="0" t="n">
        <v>14.0609072551127</v>
      </c>
      <c r="H710" s="0" t="s">
        <v>867</v>
      </c>
      <c r="I710" s="0" t="n">
        <v>1.4555969476298</v>
      </c>
      <c r="J710" s="0" t="n">
        <v>57319</v>
      </c>
      <c r="K710" s="0" t="n">
        <v>10778</v>
      </c>
      <c r="L710" s="0" t="n">
        <v>837251</v>
      </c>
      <c r="M710" s="0" t="n">
        <v>825064</v>
      </c>
      <c r="N710" s="0" t="n">
        <v>759223</v>
      </c>
      <c r="O710" s="0" t="n">
        <v>1306</v>
      </c>
      <c r="P710" s="0" t="s">
        <v>139</v>
      </c>
      <c r="Q710" s="0" t="n">
        <v>0.163869616160506</v>
      </c>
      <c r="R710" s="0" t="n">
        <v>2.6965287741223</v>
      </c>
      <c r="S710" s="0" t="n">
        <v>-18</v>
      </c>
      <c r="T710" s="0" t="n">
        <v>2108</v>
      </c>
      <c r="U710" s="0" t="n">
        <v>66</v>
      </c>
      <c r="V710" s="0" t="n">
        <v>0</v>
      </c>
      <c r="W710" s="0" t="n">
        <v>20250630</v>
      </c>
      <c r="X710" s="0" t="n">
        <v>0.885431471938352</v>
      </c>
      <c r="Y710" s="0" t="n">
        <v>6.39</v>
      </c>
      <c r="Z710" s="0" t="s">
        <v>105</v>
      </c>
      <c r="AA710" s="0" t="n">
        <f aca="false">IF(AND(ISNUMBER(B710),B710&gt;0,ISNUMBER(U710),U710&gt;=0,ISNUMBER(O710),O710&gt;=0),1,0)</f>
        <v>1</v>
      </c>
      <c r="AB710" s="0" t="n">
        <f aca="false">IF(AA710=1,U710+O710,0)</f>
        <v>1372</v>
      </c>
      <c r="AC710" s="0" t="n">
        <f aca="false">IF(AA710=1,100*AB710/B710,"")</f>
        <v>0.0947532134599288</v>
      </c>
      <c r="AD710" s="0" t="n">
        <f aca="false">IF(AND(AND(ISNUMBER(B710),B710=OriginalFinancials!B710),AND(ISNUMBER(U710),U710=OriginalFinancials!U710),AND(ISNUMBER(O710),O710=OriginalFinancials!O710)),0,1)</f>
        <v>0</v>
      </c>
      <c r="AE710" s="0" t="str">
        <f aca="false">IF(V710=0,"原始0：需核实适用/报告口径","")</f>
        <v>原始0：需核实适用/报告口径</v>
      </c>
    </row>
    <row r="711" customFormat="false" ht="15" hidden="false" customHeight="false" outlineLevel="0" collapsed="false">
      <c r="A711" s="0" t="n">
        <v>711</v>
      </c>
      <c r="B711" s="0" t="n">
        <v>1763462</v>
      </c>
      <c r="C711" s="0" t="n">
        <v>17751</v>
      </c>
      <c r="D711" s="0" t="n">
        <v>1373195</v>
      </c>
      <c r="E711" s="0" t="n">
        <v>0.07</v>
      </c>
      <c r="F711" s="0" t="n">
        <v>175467</v>
      </c>
      <c r="G711" s="0" t="n">
        <v>9.95014352449897</v>
      </c>
      <c r="H711" s="0" t="s">
        <v>868</v>
      </c>
      <c r="I711" s="0" t="n">
        <v>0.936055538700409</v>
      </c>
      <c r="J711" s="0" t="n">
        <v>149887</v>
      </c>
      <c r="K711" s="0" t="n">
        <v>2254</v>
      </c>
      <c r="L711" s="0" t="n">
        <v>1456858</v>
      </c>
      <c r="M711" s="0" t="n">
        <v>1443221</v>
      </c>
      <c r="N711" s="0" t="n">
        <v>1232944</v>
      </c>
      <c r="O711" s="0" t="n">
        <v>2425</v>
      </c>
      <c r="P711" s="0" t="s">
        <v>141</v>
      </c>
      <c r="Q711" s="0" t="n">
        <v>0.166454108773813</v>
      </c>
      <c r="R711" s="0" t="n">
        <v>2.8715752461615</v>
      </c>
      <c r="S711" s="0" t="n">
        <v>-45</v>
      </c>
      <c r="T711" s="0" t="n">
        <v>6455</v>
      </c>
      <c r="U711" s="0" t="n">
        <v>0</v>
      </c>
      <c r="V711" s="0" t="n">
        <v>13.9221615094596</v>
      </c>
      <c r="W711" s="0" t="n">
        <v>20250630</v>
      </c>
      <c r="X711" s="0" t="n">
        <v>0.456345594479789</v>
      </c>
      <c r="Y711" s="0" t="n">
        <v>4.95</v>
      </c>
      <c r="Z711" s="0" t="s">
        <v>105</v>
      </c>
      <c r="AA711" s="0" t="n">
        <f aca="false">IF(AND(ISNUMBER(B711),B711&gt;0,ISNUMBER(U711),U711&gt;=0,ISNUMBER(O711),O711&gt;=0),1,0)</f>
        <v>1</v>
      </c>
      <c r="AB711" s="0" t="n">
        <f aca="false">IF(AA711=1,U711+O711,0)</f>
        <v>2425</v>
      </c>
      <c r="AC711" s="0" t="n">
        <f aca="false">IF(AA711=1,100*AB711/B711,"")</f>
        <v>0.137513595416289</v>
      </c>
      <c r="AD711" s="0" t="n">
        <f aca="false">IF(AND(AND(ISNUMBER(B711),B711=OriginalFinancials!B711),AND(ISNUMBER(U711),U711=OriginalFinancials!U711),AND(ISNUMBER(O711),O711=OriginalFinancials!O711)),0,1)</f>
        <v>0</v>
      </c>
      <c r="AE711" s="0" t="str">
        <f aca="false">IF(V711=0,"原始0：需核实适用/报告口径","")</f>
        <v/>
      </c>
    </row>
    <row r="712" customFormat="false" ht="15" hidden="false" customHeight="false" outlineLevel="0" collapsed="false">
      <c r="A712" s="0" t="n">
        <v>712</v>
      </c>
      <c r="B712" s="0" t="n">
        <v>1790373</v>
      </c>
      <c r="C712" s="0" t="n">
        <v>17897</v>
      </c>
      <c r="D712" s="0" t="n">
        <v>1352989</v>
      </c>
      <c r="E712" s="0" t="n">
        <v>0.03</v>
      </c>
      <c r="F712" s="0" t="n">
        <v>226000</v>
      </c>
      <c r="G712" s="0" t="n">
        <v>12.6230679305374</v>
      </c>
      <c r="H712" s="0" t="s">
        <v>869</v>
      </c>
      <c r="I712" s="0" t="n">
        <v>0.61435777620828</v>
      </c>
      <c r="J712" s="0" t="n">
        <v>82889</v>
      </c>
      <c r="K712" s="0" t="n">
        <v>2700</v>
      </c>
      <c r="L712" s="0" t="n">
        <v>1493755</v>
      </c>
      <c r="M712" s="0" t="n">
        <v>1484578</v>
      </c>
      <c r="N712" s="0" t="n">
        <v>1393686</v>
      </c>
      <c r="O712" s="0" t="n">
        <v>5391</v>
      </c>
      <c r="P712" s="0" t="s">
        <v>143</v>
      </c>
      <c r="Q712" s="0" t="n">
        <v>0.360902557648343</v>
      </c>
      <c r="R712" s="0" t="n">
        <v>2.75154108647398</v>
      </c>
      <c r="S712" s="0" t="n">
        <v>6</v>
      </c>
      <c r="T712" s="0" t="n">
        <v>8456</v>
      </c>
      <c r="U712" s="0" t="n">
        <v>0</v>
      </c>
      <c r="V712" s="0" t="n">
        <v>17.6818933802263</v>
      </c>
      <c r="W712" s="0" t="n">
        <v>20250630</v>
      </c>
      <c r="X712" s="0" t="n">
        <v>0.973987306631968</v>
      </c>
      <c r="Y712" s="0" t="n">
        <v>7.84</v>
      </c>
      <c r="Z712" s="0" t="s">
        <v>105</v>
      </c>
      <c r="AA712" s="0" t="n">
        <f aca="false">IF(AND(ISNUMBER(B712),B712&gt;0,ISNUMBER(U712),U712&gt;=0,ISNUMBER(O712),O712&gt;=0),1,0)</f>
        <v>1</v>
      </c>
      <c r="AB712" s="0" t="n">
        <f aca="false">IF(AA712=1,U712+O712,0)</f>
        <v>5391</v>
      </c>
      <c r="AC712" s="0" t="n">
        <f aca="false">IF(AA712=1,100*AB712/B712,"")</f>
        <v>0.301110438997907</v>
      </c>
      <c r="AD712" s="0" t="n">
        <f aca="false">IF(AND(AND(ISNUMBER(B712),B712=OriginalFinancials!B712),AND(ISNUMBER(U712),U712=OriginalFinancials!U712),AND(ISNUMBER(O712),O712=OriginalFinancials!O712)),0,1)</f>
        <v>0</v>
      </c>
      <c r="AE712" s="0" t="str">
        <f aca="false">IF(V712=0,"原始0：需核实适用/报告口径","")</f>
        <v/>
      </c>
    </row>
    <row r="713" customFormat="false" ht="15" hidden="false" customHeight="false" outlineLevel="0" collapsed="false">
      <c r="A713" s="0" t="n">
        <v>713</v>
      </c>
      <c r="B713" s="0" t="n">
        <v>905293</v>
      </c>
      <c r="C713" s="0" t="n">
        <v>17951</v>
      </c>
      <c r="D713" s="0" t="n">
        <v>747263</v>
      </c>
      <c r="E713" s="0" t="n">
        <v>0.1</v>
      </c>
      <c r="F713" s="0" t="n">
        <v>70680</v>
      </c>
      <c r="G713" s="0" t="n">
        <v>7.80741704619388</v>
      </c>
      <c r="H713" s="0" t="s">
        <v>870</v>
      </c>
      <c r="I713" s="0" t="n">
        <v>0.828192817914186</v>
      </c>
      <c r="J713" s="0" t="n">
        <v>39465</v>
      </c>
      <c r="K713" s="0" t="n">
        <v>1480</v>
      </c>
      <c r="L713" s="0" t="n">
        <v>694645</v>
      </c>
      <c r="M713" s="0" t="n">
        <v>688892</v>
      </c>
      <c r="N713" s="0" t="n">
        <v>636895</v>
      </c>
      <c r="O713" s="0" t="n">
        <v>150</v>
      </c>
      <c r="P713" s="0" t="s">
        <v>145</v>
      </c>
      <c r="Q713" s="0" t="n">
        <v>0.0215937637210373</v>
      </c>
      <c r="R713" s="0" t="n">
        <v>2.79825775230603</v>
      </c>
      <c r="S713" s="0" t="n">
        <v>-2</v>
      </c>
      <c r="T713" s="0" t="n">
        <v>1481</v>
      </c>
      <c r="U713" s="0" t="n">
        <v>0</v>
      </c>
      <c r="V713" s="0" t="n">
        <v>13.0942608216289</v>
      </c>
      <c r="W713" s="0" t="n">
        <v>20250630</v>
      </c>
      <c r="X713" s="0" t="n">
        <v>0.647365164184546</v>
      </c>
      <c r="Y713" s="0" t="n">
        <v>8.15</v>
      </c>
      <c r="Z713" s="0" t="s">
        <v>123</v>
      </c>
      <c r="AA713" s="0" t="n">
        <f aca="false">IF(AND(ISNUMBER(B713),B713&gt;0,ISNUMBER(U713),U713&gt;=0,ISNUMBER(O713),O713&gt;=0),1,0)</f>
        <v>1</v>
      </c>
      <c r="AB713" s="0" t="n">
        <f aca="false">IF(AA713=1,U713+O713,0)</f>
        <v>150</v>
      </c>
      <c r="AC713" s="0" t="n">
        <f aca="false">IF(AA713=1,100*AB713/B713,"")</f>
        <v>0.0165692212355558</v>
      </c>
      <c r="AD713" s="0" t="n">
        <f aca="false">IF(AND(AND(ISNUMBER(B713),B713=OriginalFinancials!B713),AND(ISNUMBER(U713),U713=OriginalFinancials!U713),AND(ISNUMBER(O713),O713=OriginalFinancials!O713)),0,1)</f>
        <v>0</v>
      </c>
      <c r="AE713" s="0" t="str">
        <f aca="false">IF(V713=0,"原始0：需核实适用/报告口径","")</f>
        <v/>
      </c>
    </row>
    <row r="714" customFormat="false" ht="15" hidden="false" customHeight="false" outlineLevel="0" collapsed="false">
      <c r="A714" s="0" t="n">
        <v>714</v>
      </c>
      <c r="B714" s="0" t="n">
        <v>1351508</v>
      </c>
      <c r="C714" s="0" t="n">
        <v>17960</v>
      </c>
      <c r="D714" s="0" t="n">
        <v>1099933</v>
      </c>
      <c r="E714" s="0" t="n">
        <v>0.16</v>
      </c>
      <c r="F714" s="0" t="n">
        <v>119316</v>
      </c>
      <c r="G714" s="0" t="n">
        <v>8.82836061643734</v>
      </c>
      <c r="H714" s="0" t="s">
        <v>871</v>
      </c>
      <c r="I714" s="0" t="n">
        <v>1.1168697299263</v>
      </c>
      <c r="J714" s="0" t="n">
        <v>119286</v>
      </c>
      <c r="K714" s="0" t="n">
        <v>216067</v>
      </c>
      <c r="L714" s="0" t="n">
        <v>1146687</v>
      </c>
      <c r="M714" s="0" t="n">
        <v>1133880</v>
      </c>
      <c r="N714" s="0" t="n">
        <v>807602</v>
      </c>
      <c r="O714" s="0" t="n">
        <v>7677</v>
      </c>
      <c r="P714" s="0" t="s">
        <v>147</v>
      </c>
      <c r="Q714" s="0" t="n">
        <v>0.669493942113236</v>
      </c>
      <c r="R714" s="0" t="n">
        <v>2.95418789912176</v>
      </c>
      <c r="S714" s="0" t="n">
        <v>430</v>
      </c>
      <c r="T714" s="0" t="n">
        <v>5189</v>
      </c>
      <c r="U714" s="0" t="n">
        <v>0</v>
      </c>
      <c r="V714" s="0" t="n">
        <v>13.7977129571644</v>
      </c>
      <c r="W714" s="0" t="n">
        <v>20250630</v>
      </c>
      <c r="X714" s="0" t="n">
        <v>0.262782180471353</v>
      </c>
      <c r="Y714" s="0" t="n">
        <v>3.02</v>
      </c>
      <c r="Z714" s="0" t="s">
        <v>123</v>
      </c>
      <c r="AA714" s="0" t="n">
        <f aca="false">IF(AND(ISNUMBER(B714),B714&gt;0,ISNUMBER(U714),U714&gt;=0,ISNUMBER(O714),O714&gt;=0),1,0)</f>
        <v>1</v>
      </c>
      <c r="AB714" s="0" t="n">
        <f aca="false">IF(AA714=1,U714+O714,0)</f>
        <v>7677</v>
      </c>
      <c r="AC714" s="0" t="n">
        <f aca="false">IF(AA714=1,100*AB714/B714,"")</f>
        <v>0.568032153712742</v>
      </c>
      <c r="AD714" s="0" t="n">
        <f aca="false">IF(AND(AND(ISNUMBER(B714),B714=OriginalFinancials!B714),AND(ISNUMBER(U714),U714=OriginalFinancials!U714),AND(ISNUMBER(O714),O714=OriginalFinancials!O714)),0,1)</f>
        <v>0</v>
      </c>
      <c r="AE714" s="0" t="str">
        <f aca="false">IF(V714=0,"原始0：需核实适用/报告口径","")</f>
        <v/>
      </c>
    </row>
    <row r="715" customFormat="false" ht="15" hidden="false" customHeight="false" outlineLevel="0" collapsed="false">
      <c r="A715" s="0" t="n">
        <v>715</v>
      </c>
      <c r="B715" s="0" t="n">
        <v>2642289</v>
      </c>
      <c r="C715" s="0" t="n">
        <v>18012</v>
      </c>
      <c r="D715" s="0" t="n">
        <v>2262357</v>
      </c>
      <c r="E715" s="0" t="n">
        <v>0.05</v>
      </c>
      <c r="F715" s="0" t="n">
        <v>301653</v>
      </c>
      <c r="G715" s="0" t="n">
        <v>11.4163515043207</v>
      </c>
      <c r="H715" s="0" t="s">
        <v>872</v>
      </c>
      <c r="I715" s="0" t="n">
        <v>1.16762325854947</v>
      </c>
      <c r="J715" s="0" t="n">
        <v>52326</v>
      </c>
      <c r="K715" s="0" t="n">
        <v>25170</v>
      </c>
      <c r="L715" s="0" t="n">
        <v>2150865</v>
      </c>
      <c r="M715" s="0" t="n">
        <v>2125751</v>
      </c>
      <c r="N715" s="0" t="n">
        <v>2050812</v>
      </c>
      <c r="O715" s="0" t="n">
        <v>1020</v>
      </c>
      <c r="P715" s="0" t="s">
        <v>149</v>
      </c>
      <c r="Q715" s="0" t="n">
        <v>0.047422781067152</v>
      </c>
      <c r="R715" s="0" t="n">
        <v>2.89560003912315</v>
      </c>
      <c r="S715" s="0" t="n">
        <v>115</v>
      </c>
      <c r="T715" s="0" t="n">
        <v>4968</v>
      </c>
      <c r="U715" s="0" t="n">
        <v>0</v>
      </c>
      <c r="V715" s="0" t="n">
        <v>13.9483203193009</v>
      </c>
      <c r="W715" s="0" t="n">
        <v>20250630</v>
      </c>
      <c r="X715" s="0" t="n">
        <v>0.790802552231915</v>
      </c>
      <c r="Y715" s="0" t="n">
        <v>7.12</v>
      </c>
      <c r="Z715" s="0" t="s">
        <v>123</v>
      </c>
      <c r="AA715" s="0" t="n">
        <f aca="false">IF(AND(ISNUMBER(B715),B715&gt;0,ISNUMBER(U715),U715&gt;=0,ISNUMBER(O715),O715&gt;=0),1,0)</f>
        <v>1</v>
      </c>
      <c r="AB715" s="0" t="n">
        <f aca="false">IF(AA715=1,U715+O715,0)</f>
        <v>1020</v>
      </c>
      <c r="AC715" s="0" t="n">
        <f aca="false">IF(AA715=1,100*AB715/B715,"")</f>
        <v>0.0386028931733054</v>
      </c>
      <c r="AD715" s="0" t="n">
        <f aca="false">IF(AND(AND(ISNUMBER(B715),B715=OriginalFinancials!B715),AND(ISNUMBER(U715),U715=OriginalFinancials!U715),AND(ISNUMBER(O715),O715=OriginalFinancials!O715)),0,1)</f>
        <v>0</v>
      </c>
      <c r="AE715" s="0" t="str">
        <f aca="false">IF(V715=0,"原始0：需核实适用/报告口径","")</f>
        <v/>
      </c>
    </row>
    <row r="716" customFormat="false" ht="15" hidden="false" customHeight="false" outlineLevel="0" collapsed="false">
      <c r="A716" s="0" t="n">
        <v>716</v>
      </c>
      <c r="B716" s="0" t="n">
        <v>2896306</v>
      </c>
      <c r="C716" s="0" t="n">
        <v>18013</v>
      </c>
      <c r="D716" s="0" t="n">
        <v>2573471</v>
      </c>
      <c r="E716" s="0" t="n">
        <v>0.04</v>
      </c>
      <c r="F716" s="0" t="n">
        <v>235044</v>
      </c>
      <c r="G716" s="0" t="n">
        <v>8.11530273389621</v>
      </c>
      <c r="H716" s="0" t="s">
        <v>873</v>
      </c>
      <c r="I716" s="0" t="n">
        <v>0.727725328052091</v>
      </c>
      <c r="J716" s="0" t="n">
        <v>112059</v>
      </c>
      <c r="K716" s="0" t="n">
        <v>20548</v>
      </c>
      <c r="L716" s="0" t="n">
        <v>2423167</v>
      </c>
      <c r="M716" s="0" t="n">
        <v>2405533</v>
      </c>
      <c r="N716" s="0" t="n">
        <v>2224117</v>
      </c>
      <c r="O716" s="0" t="n">
        <v>1401</v>
      </c>
      <c r="P716" s="0" t="s">
        <v>151</v>
      </c>
      <c r="Q716" s="0" t="n">
        <v>0.0641309492907422</v>
      </c>
      <c r="R716" s="0" t="n">
        <v>2.8369626762913</v>
      </c>
      <c r="S716" s="0" t="n">
        <v>-48</v>
      </c>
      <c r="T716" s="0" t="n">
        <v>4609</v>
      </c>
      <c r="U716" s="0" t="n">
        <v>153</v>
      </c>
      <c r="V716" s="0" t="n">
        <v>12.6358689440193</v>
      </c>
      <c r="W716" s="0" t="n">
        <v>20250630</v>
      </c>
      <c r="X716" s="0" t="n">
        <v>0.336164972529288</v>
      </c>
      <c r="Y716" s="0" t="n">
        <v>4.2</v>
      </c>
      <c r="Z716" s="0" t="s">
        <v>123</v>
      </c>
      <c r="AA716" s="0" t="n">
        <f aca="false">IF(AND(ISNUMBER(B716),B716&gt;0,ISNUMBER(U716),U716&gt;=0,ISNUMBER(O716),O716&gt;=0),1,0)</f>
        <v>1</v>
      </c>
      <c r="AB716" s="0" t="n">
        <f aca="false">IF(AA716=1,U716+O716,0)</f>
        <v>1554</v>
      </c>
      <c r="AC716" s="0" t="n">
        <f aca="false">IF(AA716=1,100*AB716/B716,"")</f>
        <v>0.0536545516944688</v>
      </c>
      <c r="AD716" s="0" t="n">
        <f aca="false">IF(AND(AND(ISNUMBER(B716),B716=OriginalFinancials!B716),AND(ISNUMBER(U716),U716=OriginalFinancials!U716),AND(ISNUMBER(O716),O716=OriginalFinancials!O716)),0,1)</f>
        <v>0</v>
      </c>
      <c r="AE716" s="0" t="str">
        <f aca="false">IF(V716=0,"原始0：需核实适用/报告口径","")</f>
        <v/>
      </c>
    </row>
    <row r="717" customFormat="false" ht="15" hidden="false" customHeight="false" outlineLevel="0" collapsed="false">
      <c r="A717" s="0" t="n">
        <v>717</v>
      </c>
      <c r="B717" s="0" t="n">
        <v>404550</v>
      </c>
      <c r="C717" s="0" t="n">
        <v>18028</v>
      </c>
      <c r="D717" s="0" t="n">
        <v>343782</v>
      </c>
      <c r="E717" s="0" t="n">
        <v>0.17</v>
      </c>
      <c r="F717" s="0" t="n">
        <v>44056</v>
      </c>
      <c r="G717" s="0" t="n">
        <v>10.8901248300581</v>
      </c>
      <c r="H717" s="0" t="s">
        <v>874</v>
      </c>
      <c r="I717" s="0" t="n">
        <v>0.87127378075453</v>
      </c>
      <c r="J717" s="0" t="n">
        <v>13239</v>
      </c>
      <c r="K717" s="0" t="n">
        <v>4410</v>
      </c>
      <c r="L717" s="0" t="n">
        <v>278902</v>
      </c>
      <c r="M717" s="0" t="n">
        <v>276472</v>
      </c>
      <c r="N717" s="0" t="n">
        <v>256176</v>
      </c>
      <c r="O717" s="0" t="n">
        <v>1323</v>
      </c>
      <c r="P717" s="0" t="s">
        <v>153</v>
      </c>
      <c r="Q717" s="0" t="n">
        <v>0.497665846784892</v>
      </c>
      <c r="R717" s="0" t="n">
        <v>3.48454058231308</v>
      </c>
      <c r="S717" s="0" t="n">
        <v>214</v>
      </c>
      <c r="T717" s="0" t="n">
        <v>1104</v>
      </c>
      <c r="U717" s="0" t="n">
        <v>65</v>
      </c>
      <c r="V717" s="0" t="n">
        <v>0</v>
      </c>
      <c r="W717" s="0" t="n">
        <v>20250630</v>
      </c>
      <c r="X717" s="0" t="n">
        <v>0.514962579054543</v>
      </c>
      <c r="Y717" s="0" t="n">
        <v>4.79</v>
      </c>
      <c r="Z717" s="0" t="s">
        <v>123</v>
      </c>
      <c r="AA717" s="0" t="n">
        <f aca="false">IF(AND(ISNUMBER(B717),B717&gt;0,ISNUMBER(U717),U717&gt;=0,ISNUMBER(O717),O717&gt;=0),1,0)</f>
        <v>1</v>
      </c>
      <c r="AB717" s="0" t="n">
        <f aca="false">IF(AA717=1,U717+O717,0)</f>
        <v>1388</v>
      </c>
      <c r="AC717" s="0" t="n">
        <f aca="false">IF(AA717=1,100*AB717/B717,"")</f>
        <v>0.343097268570016</v>
      </c>
      <c r="AD717" s="0" t="n">
        <f aca="false">IF(AND(AND(ISNUMBER(B717),B717=OriginalFinancials!B717),AND(ISNUMBER(U717),U717=OriginalFinancials!U717),AND(ISNUMBER(O717),O717=OriginalFinancials!O717)),0,1)</f>
        <v>0</v>
      </c>
      <c r="AE717" s="0" t="str">
        <f aca="false">IF(V717=0,"原始0：需核实适用/报告口径","")</f>
        <v>原始0：需核实适用/报告口径</v>
      </c>
    </row>
    <row r="718" customFormat="false" ht="15" hidden="false" customHeight="false" outlineLevel="0" collapsed="false">
      <c r="A718" s="0" t="n">
        <v>718</v>
      </c>
      <c r="B718" s="0" t="n">
        <v>805858</v>
      </c>
      <c r="C718" s="0" t="n">
        <v>18030</v>
      </c>
      <c r="D718" s="0" t="n">
        <v>738321</v>
      </c>
      <c r="E718" s="0" t="n">
        <v>0.07</v>
      </c>
      <c r="F718" s="0" t="n">
        <v>58470</v>
      </c>
      <c r="G718" s="0" t="n">
        <v>7.25562071729759</v>
      </c>
      <c r="H718" s="0" t="s">
        <v>875</v>
      </c>
      <c r="I718" s="0" t="n">
        <v>0.999144113076789</v>
      </c>
      <c r="J718" s="0" t="n">
        <v>41693</v>
      </c>
      <c r="K718" s="0" t="n">
        <v>96046</v>
      </c>
      <c r="L718" s="0" t="n">
        <v>601715</v>
      </c>
      <c r="M718" s="0" t="n">
        <v>595703</v>
      </c>
      <c r="N718" s="0" t="n">
        <v>463695</v>
      </c>
      <c r="O718" s="0" t="n">
        <v>1404</v>
      </c>
      <c r="P718" s="0" t="s">
        <v>155</v>
      </c>
      <c r="Q718" s="0" t="n">
        <v>0.233333056347274</v>
      </c>
      <c r="R718" s="0" t="n">
        <v>3.70938416602505</v>
      </c>
      <c r="S718" s="0" t="n">
        <v>94</v>
      </c>
      <c r="T718" s="0" t="n">
        <v>1148</v>
      </c>
      <c r="U718" s="0" t="n">
        <v>0</v>
      </c>
      <c r="V718" s="0" t="n">
        <v>14.1416681477336</v>
      </c>
      <c r="W718" s="0" t="n">
        <v>20250630</v>
      </c>
      <c r="X718" s="0" t="n">
        <v>0.71837995883469</v>
      </c>
      <c r="Y718" s="0" t="n">
        <v>10.16</v>
      </c>
      <c r="Z718" s="0" t="s">
        <v>123</v>
      </c>
      <c r="AA718" s="0" t="n">
        <f aca="false">IF(AND(ISNUMBER(B718),B718&gt;0,ISNUMBER(U718),U718&gt;=0,ISNUMBER(O718),O718&gt;=0),1,0)</f>
        <v>1</v>
      </c>
      <c r="AB718" s="0" t="n">
        <f aca="false">IF(AA718=1,U718+O718,0)</f>
        <v>1404</v>
      </c>
      <c r="AC718" s="0" t="n">
        <f aca="false">IF(AA718=1,100*AB718/B718,"")</f>
        <v>0.174224242980773</v>
      </c>
      <c r="AD718" s="0" t="n">
        <f aca="false">IF(AND(AND(ISNUMBER(B718),B718=OriginalFinancials!B718),AND(ISNUMBER(U718),U718=OriginalFinancials!U718),AND(ISNUMBER(O718),O718=OriginalFinancials!O718)),0,1)</f>
        <v>0</v>
      </c>
      <c r="AE718" s="0" t="str">
        <f aca="false">IF(V718=0,"原始0：需核实适用/报告口径","")</f>
        <v/>
      </c>
    </row>
    <row r="719" customFormat="false" ht="15" hidden="false" customHeight="false" outlineLevel="0" collapsed="false">
      <c r="A719" s="0" t="n">
        <v>719</v>
      </c>
      <c r="B719" s="0" t="n">
        <v>669249</v>
      </c>
      <c r="C719" s="0" t="n">
        <v>18031</v>
      </c>
      <c r="D719" s="0" t="n">
        <v>526372</v>
      </c>
      <c r="E719" s="0" t="n">
        <v>0.08</v>
      </c>
      <c r="F719" s="0" t="n">
        <v>40753</v>
      </c>
      <c r="G719" s="0" t="n">
        <v>6.08936285298895</v>
      </c>
      <c r="H719" s="0" t="s">
        <v>876</v>
      </c>
      <c r="I719" s="0" t="n">
        <v>0.830782491463428</v>
      </c>
      <c r="J719" s="0" t="n">
        <v>22546</v>
      </c>
      <c r="K719" s="0" t="n">
        <v>7202</v>
      </c>
      <c r="L719" s="0" t="n">
        <v>452465</v>
      </c>
      <c r="M719" s="0" t="n">
        <v>448706</v>
      </c>
      <c r="N719" s="0" t="n">
        <v>416232</v>
      </c>
      <c r="O719" s="0" t="n">
        <v>562</v>
      </c>
      <c r="P719" s="0" t="s">
        <v>157</v>
      </c>
      <c r="Q719" s="0" t="n">
        <v>0.125092548594919</v>
      </c>
      <c r="R719" s="0" t="n">
        <v>2.76573202974124</v>
      </c>
      <c r="S719" s="0" t="n">
        <v>172</v>
      </c>
      <c r="T719" s="0" t="n">
        <v>654</v>
      </c>
      <c r="U719" s="0" t="n">
        <v>4</v>
      </c>
      <c r="V719" s="0" t="n">
        <v>16.9548375809498</v>
      </c>
      <c r="W719" s="0" t="n">
        <v>20250630</v>
      </c>
      <c r="X719" s="0" t="n">
        <v>0.193008984250507</v>
      </c>
      <c r="Y719" s="0" t="n">
        <v>3.27</v>
      </c>
      <c r="Z719" s="0" t="s">
        <v>123</v>
      </c>
      <c r="AA719" s="0" t="n">
        <f aca="false">IF(AND(ISNUMBER(B719),B719&gt;0,ISNUMBER(U719),U719&gt;=0,ISNUMBER(O719),O719&gt;=0),1,0)</f>
        <v>1</v>
      </c>
      <c r="AB719" s="0" t="n">
        <f aca="false">IF(AA719=1,U719+O719,0)</f>
        <v>566</v>
      </c>
      <c r="AC719" s="0" t="n">
        <f aca="false">IF(AA719=1,100*AB719/B719,"")</f>
        <v>0.0845724087746116</v>
      </c>
      <c r="AD719" s="0" t="n">
        <f aca="false">IF(AND(AND(ISNUMBER(B719),B719=OriginalFinancials!B719),AND(ISNUMBER(U719),U719=OriginalFinancials!U719),AND(ISNUMBER(O719),O719=OriginalFinancials!O719)),0,1)</f>
        <v>0</v>
      </c>
      <c r="AE719" s="0" t="str">
        <f aca="false">IF(V719=0,"原始0：需核实适用/报告口径","")</f>
        <v/>
      </c>
    </row>
    <row r="720" customFormat="false" ht="15" hidden="false" customHeight="false" outlineLevel="0" collapsed="false">
      <c r="A720" s="0" t="n">
        <v>720</v>
      </c>
      <c r="B720" s="0" t="n">
        <v>597834</v>
      </c>
      <c r="C720" s="0" t="n">
        <v>18038</v>
      </c>
      <c r="D720" s="0" t="n">
        <v>447963</v>
      </c>
      <c r="E720" s="0" t="n">
        <v>0</v>
      </c>
      <c r="F720" s="0" t="n">
        <v>69475</v>
      </c>
      <c r="G720" s="0" t="n">
        <v>11.621118905917</v>
      </c>
      <c r="H720" s="0" t="s">
        <v>877</v>
      </c>
      <c r="I720" s="0" t="n">
        <v>0.859485747933614</v>
      </c>
      <c r="J720" s="0" t="n">
        <v>30598</v>
      </c>
      <c r="K720" s="0" t="n">
        <v>4861</v>
      </c>
      <c r="L720" s="0" t="n">
        <v>458530</v>
      </c>
      <c r="M720" s="0" t="n">
        <v>454589</v>
      </c>
      <c r="N720" s="0" t="n">
        <v>420497</v>
      </c>
      <c r="O720" s="0" t="n">
        <v>2194</v>
      </c>
      <c r="P720" s="0" t="s">
        <v>159</v>
      </c>
      <c r="Q720" s="0" t="n">
        <v>0.478485595271847</v>
      </c>
      <c r="R720" s="0" t="n">
        <v>2.89442109724558</v>
      </c>
      <c r="S720" s="0" t="n">
        <v>-54</v>
      </c>
      <c r="T720" s="0" t="n">
        <v>950</v>
      </c>
      <c r="U720" s="0" t="n">
        <v>0</v>
      </c>
      <c r="V720" s="0" t="n">
        <v>0</v>
      </c>
      <c r="W720" s="0" t="n">
        <v>20250630</v>
      </c>
      <c r="X720" s="0" t="n">
        <v>0.425956323893033</v>
      </c>
      <c r="Y720" s="0" t="n">
        <v>3.58</v>
      </c>
      <c r="Z720" s="0" t="s">
        <v>123</v>
      </c>
      <c r="AA720" s="0" t="n">
        <f aca="false">IF(AND(ISNUMBER(B720),B720&gt;0,ISNUMBER(U720),U720&gt;=0,ISNUMBER(O720),O720&gt;=0),1,0)</f>
        <v>1</v>
      </c>
      <c r="AB720" s="0" t="n">
        <f aca="false">IF(AA720=1,U720+O720,0)</f>
        <v>2194</v>
      </c>
      <c r="AC720" s="0" t="n">
        <f aca="false">IF(AA720=1,100*AB720/B720,"")</f>
        <v>0.366991506003339</v>
      </c>
      <c r="AD720" s="0" t="n">
        <f aca="false">IF(AND(AND(ISNUMBER(B720),B720=OriginalFinancials!B720),AND(ISNUMBER(U720),U720=OriginalFinancials!U720),AND(ISNUMBER(O720),O720=OriginalFinancials!O720)),0,1)</f>
        <v>0</v>
      </c>
      <c r="AE720" s="0" t="str">
        <f aca="false">IF(V720=0,"原始0：需核实适用/报告口径","")</f>
        <v>原始0：需核实适用/报告口径</v>
      </c>
    </row>
    <row r="721" customFormat="false" ht="15" hidden="false" customHeight="false" outlineLevel="0" collapsed="false">
      <c r="A721" s="0" t="n">
        <v>721</v>
      </c>
      <c r="B721" s="0" t="n">
        <v>7335916</v>
      </c>
      <c r="C721" s="0" t="n">
        <v>18408</v>
      </c>
      <c r="D721" s="0" t="n">
        <v>5915806</v>
      </c>
      <c r="E721" s="0" t="n">
        <v>0.2</v>
      </c>
      <c r="F721" s="0" t="n">
        <v>467639</v>
      </c>
      <c r="G721" s="0" t="n">
        <v>6.37465041857077</v>
      </c>
      <c r="H721" s="0" t="s">
        <v>878</v>
      </c>
      <c r="I721" s="0" t="n">
        <v>0.745832720319238</v>
      </c>
      <c r="J721" s="0" t="n">
        <v>368953</v>
      </c>
      <c r="K721" s="0" t="n">
        <v>57245</v>
      </c>
      <c r="L721" s="0" t="n">
        <v>5070574</v>
      </c>
      <c r="M721" s="0" t="n">
        <v>5032756</v>
      </c>
      <c r="N721" s="0" t="n">
        <v>4566132</v>
      </c>
      <c r="O721" s="0" t="n">
        <v>33535</v>
      </c>
      <c r="P721" s="0" t="s">
        <v>161</v>
      </c>
      <c r="Q721" s="0" t="n">
        <v>0.661364965780994</v>
      </c>
      <c r="R721" s="0" t="n">
        <v>2.4185246455811</v>
      </c>
      <c r="S721" s="0" t="n">
        <v>458</v>
      </c>
      <c r="T721" s="0" t="n">
        <v>11898</v>
      </c>
      <c r="U721" s="0" t="n">
        <v>0</v>
      </c>
      <c r="V721" s="0" t="n">
        <v>11.148900251832</v>
      </c>
      <c r="W721" s="0" t="n">
        <v>20250630</v>
      </c>
      <c r="X721" s="0" t="n">
        <v>0.106277541750663</v>
      </c>
      <c r="Y721" s="0" t="n">
        <v>1.71</v>
      </c>
      <c r="Z721" s="0" t="s">
        <v>105</v>
      </c>
      <c r="AA721" s="0" t="n">
        <f aca="false">IF(AND(ISNUMBER(B721),B721&gt;0,ISNUMBER(U721),U721&gt;=0,ISNUMBER(O721),O721&gt;=0),1,0)</f>
        <v>1</v>
      </c>
      <c r="AB721" s="0" t="n">
        <f aca="false">IF(AA721=1,U721+O721,0)</f>
        <v>33535</v>
      </c>
      <c r="AC721" s="0" t="n">
        <f aca="false">IF(AA721=1,100*AB721/B721,"")</f>
        <v>0.457134460100143</v>
      </c>
      <c r="AD721" s="0" t="n">
        <f aca="false">IF(AND(AND(ISNUMBER(B721),B721=OriginalFinancials!B721),AND(ISNUMBER(U721),U721=OriginalFinancials!U721),AND(ISNUMBER(O721),O721=OriginalFinancials!O721)),0,1)</f>
        <v>0</v>
      </c>
      <c r="AE721" s="0" t="str">
        <f aca="false">IF(V721=0,"原始0：需核实适用/报告口径","")</f>
        <v/>
      </c>
    </row>
    <row r="722" customFormat="false" ht="15" hidden="false" customHeight="false" outlineLevel="0" collapsed="false">
      <c r="A722" s="0" t="n">
        <v>722</v>
      </c>
      <c r="B722" s="0" t="n">
        <v>2611219</v>
      </c>
      <c r="C722" s="0" t="n">
        <v>19531</v>
      </c>
      <c r="D722" s="0" t="n">
        <v>2294497</v>
      </c>
      <c r="E722" s="0" t="n">
        <v>0</v>
      </c>
      <c r="F722" s="0" t="n">
        <v>275708</v>
      </c>
      <c r="G722" s="0" t="n">
        <v>10.558593515136</v>
      </c>
      <c r="H722" s="0" t="s">
        <v>879</v>
      </c>
      <c r="I722" s="0" t="n">
        <v>0.875275991991493</v>
      </c>
      <c r="J722" s="0" t="n">
        <v>266423</v>
      </c>
      <c r="K722" s="0" t="n">
        <v>6284</v>
      </c>
      <c r="L722" s="0" t="n">
        <v>2215644</v>
      </c>
      <c r="M722" s="0" t="n">
        <v>2196251</v>
      </c>
      <c r="N722" s="0" t="n">
        <v>1826881</v>
      </c>
      <c r="O722" s="0" t="n">
        <v>9735</v>
      </c>
      <c r="P722" s="0" t="s">
        <v>163</v>
      </c>
      <c r="Q722" s="0" t="n">
        <v>0.439601307791324</v>
      </c>
      <c r="R722" s="0" t="n">
        <v>3.21090869460597</v>
      </c>
      <c r="S722" s="0" t="n">
        <v>-418</v>
      </c>
      <c r="T722" s="0" t="n">
        <v>29206</v>
      </c>
      <c r="U722" s="0" t="n">
        <v>5</v>
      </c>
      <c r="V722" s="0" t="n">
        <v>14.1532975883845</v>
      </c>
      <c r="W722" s="0" t="n">
        <v>20250630</v>
      </c>
      <c r="X722" s="0" t="n">
        <v>0.844947020319184</v>
      </c>
      <c r="Y722" s="0" t="n">
        <v>8.21</v>
      </c>
      <c r="Z722" s="0" t="s">
        <v>105</v>
      </c>
      <c r="AA722" s="0" t="n">
        <f aca="false">IF(AND(ISNUMBER(B722),B722&gt;0,ISNUMBER(U722),U722&gt;=0,ISNUMBER(O722),O722&gt;=0),1,0)</f>
        <v>1</v>
      </c>
      <c r="AB722" s="0" t="n">
        <f aca="false">IF(AA722=1,U722+O722,0)</f>
        <v>9740</v>
      </c>
      <c r="AC722" s="0" t="n">
        <f aca="false">IF(AA722=1,100*AB722/B722,"")</f>
        <v>0.373005864310883</v>
      </c>
      <c r="AD722" s="0" t="n">
        <f aca="false">IF(AND(AND(ISNUMBER(B722),B722=OriginalFinancials!B722),AND(ISNUMBER(U722),U722=OriginalFinancials!U722),AND(ISNUMBER(O722),O722=OriginalFinancials!O722)),0,1)</f>
        <v>0</v>
      </c>
      <c r="AE722" s="0" t="str">
        <f aca="false">IF(V722=0,"原始0：需核实适用/报告口径","")</f>
        <v/>
      </c>
    </row>
    <row r="723" customFormat="false" ht="15" hidden="false" customHeight="false" outlineLevel="0" collapsed="false">
      <c r="A723" s="0" t="n">
        <v>723</v>
      </c>
      <c r="B723" s="0" t="n">
        <v>843145</v>
      </c>
      <c r="C723" s="0" t="n">
        <v>19532</v>
      </c>
      <c r="D723" s="0" t="n">
        <v>706708</v>
      </c>
      <c r="E723" s="0" t="n">
        <v>-0.01</v>
      </c>
      <c r="F723" s="0" t="n">
        <v>110106</v>
      </c>
      <c r="G723" s="0" t="n">
        <v>13.0589637606817</v>
      </c>
      <c r="H723" s="0" t="s">
        <v>880</v>
      </c>
      <c r="I723" s="0" t="n">
        <v>0.987745863885026</v>
      </c>
      <c r="J723" s="0" t="n">
        <v>52195</v>
      </c>
      <c r="K723" s="0" t="n">
        <v>49375</v>
      </c>
      <c r="L723" s="0" t="n">
        <v>617669</v>
      </c>
      <c r="M723" s="0" t="n">
        <v>611568</v>
      </c>
      <c r="N723" s="0" t="n">
        <v>511357</v>
      </c>
      <c r="O723" s="0" t="n">
        <v>1705</v>
      </c>
      <c r="P723" s="0" t="s">
        <v>165</v>
      </c>
      <c r="Q723" s="0" t="n">
        <v>0.306636726142966</v>
      </c>
      <c r="R723" s="0" t="n">
        <v>3.61555610853524</v>
      </c>
      <c r="S723" s="0" t="n">
        <v>46</v>
      </c>
      <c r="T723" s="0" t="n">
        <v>817</v>
      </c>
      <c r="U723" s="0" t="n">
        <v>189</v>
      </c>
      <c r="V723" s="0" t="n">
        <v>21.8705548239072</v>
      </c>
      <c r="W723" s="0" t="n">
        <v>20250630</v>
      </c>
      <c r="X723" s="0" t="n">
        <v>0.98381360720577</v>
      </c>
      <c r="Y723" s="0" t="n">
        <v>7.78</v>
      </c>
      <c r="Z723" s="0" t="s">
        <v>105</v>
      </c>
      <c r="AA723" s="0" t="n">
        <f aca="false">IF(AND(ISNUMBER(B723),B723&gt;0,ISNUMBER(U723),U723&gt;=0,ISNUMBER(O723),O723&gt;=0),1,0)</f>
        <v>1</v>
      </c>
      <c r="AB723" s="0" t="n">
        <f aca="false">IF(AA723=1,U723+O723,0)</f>
        <v>1894</v>
      </c>
      <c r="AC723" s="0" t="n">
        <f aca="false">IF(AA723=1,100*AB723/B723,"")</f>
        <v>0.224635145793428</v>
      </c>
      <c r="AD723" s="0" t="n">
        <f aca="false">IF(AND(AND(ISNUMBER(B723),B723=OriginalFinancials!B723),AND(ISNUMBER(U723),U723=OriginalFinancials!U723),AND(ISNUMBER(O723),O723=OriginalFinancials!O723)),0,1)</f>
        <v>0</v>
      </c>
      <c r="AE723" s="0" t="str">
        <f aca="false">IF(V723=0,"原始0：需核实适用/报告口径","")</f>
        <v/>
      </c>
    </row>
    <row r="724" customFormat="false" ht="15" hidden="false" customHeight="false" outlineLevel="0" collapsed="false">
      <c r="A724" s="0" t="n">
        <v>724</v>
      </c>
      <c r="B724" s="0" t="n">
        <v>4279069</v>
      </c>
      <c r="C724" s="0" t="n">
        <v>19690</v>
      </c>
      <c r="D724" s="0" t="n">
        <v>3405883</v>
      </c>
      <c r="E724" s="0" t="n">
        <v>0.3</v>
      </c>
      <c r="F724" s="0" t="n">
        <v>494286</v>
      </c>
      <c r="G724" s="0" t="n">
        <v>11.5512509847352</v>
      </c>
      <c r="H724" s="0" t="s">
        <v>881</v>
      </c>
      <c r="I724" s="0" t="n">
        <v>1.26459141402322</v>
      </c>
      <c r="J724" s="0" t="n">
        <v>157469</v>
      </c>
      <c r="K724" s="0" t="n">
        <v>145</v>
      </c>
      <c r="L724" s="0" t="n">
        <v>3790157</v>
      </c>
      <c r="M724" s="0" t="n">
        <v>3742227</v>
      </c>
      <c r="N724" s="0" t="n">
        <v>2852951</v>
      </c>
      <c r="O724" s="0" t="n">
        <v>35011</v>
      </c>
      <c r="P724" s="0" t="s">
        <v>167</v>
      </c>
      <c r="Q724" s="0" t="n">
        <v>0.923734821539055</v>
      </c>
      <c r="R724" s="0" t="n">
        <v>4.88660948292711</v>
      </c>
      <c r="S724" s="0" t="n">
        <v>2575</v>
      </c>
      <c r="T724" s="0" t="n">
        <v>1334</v>
      </c>
      <c r="U724" s="0" t="n">
        <v>0</v>
      </c>
      <c r="V724" s="0" t="n">
        <v>14.6965811023661</v>
      </c>
      <c r="W724" s="0" t="n">
        <v>20250630</v>
      </c>
      <c r="X724" s="0" t="n">
        <v>2.09184214445272</v>
      </c>
      <c r="Y724" s="0" t="n">
        <v>18.73</v>
      </c>
      <c r="Z724" s="0" t="s">
        <v>105</v>
      </c>
      <c r="AA724" s="0" t="n">
        <f aca="false">IF(AND(ISNUMBER(B724),B724&gt;0,ISNUMBER(U724),U724&gt;=0,ISNUMBER(O724),O724&gt;=0),1,0)</f>
        <v>1</v>
      </c>
      <c r="AB724" s="0" t="n">
        <f aca="false">IF(AA724=1,U724+O724,0)</f>
        <v>35011</v>
      </c>
      <c r="AC724" s="0" t="n">
        <f aca="false">IF(AA724=1,100*AB724/B724,"")</f>
        <v>0.818191994567042</v>
      </c>
      <c r="AD724" s="0" t="n">
        <f aca="false">IF(AND(AND(ISNUMBER(B724),B724=OriginalFinancials!B724),AND(ISNUMBER(U724),U724=OriginalFinancials!U724),AND(ISNUMBER(O724),O724=OriginalFinancials!O724)),0,1)</f>
        <v>0</v>
      </c>
      <c r="AE724" s="0" t="str">
        <f aca="false">IF(V724=0,"原始0：需核实适用/报告口径","")</f>
        <v/>
      </c>
    </row>
    <row r="725" customFormat="false" ht="15" hidden="false" customHeight="false" outlineLevel="0" collapsed="false">
      <c r="A725" s="0" t="n">
        <v>725</v>
      </c>
      <c r="B725" s="0" t="n">
        <v>755186</v>
      </c>
      <c r="C725" s="0" t="n">
        <v>19836</v>
      </c>
      <c r="D725" s="0" t="n">
        <v>587526</v>
      </c>
      <c r="E725" s="0" t="n">
        <v>0.03</v>
      </c>
      <c r="F725" s="0" t="n">
        <v>130465</v>
      </c>
      <c r="G725" s="0" t="n">
        <v>17.2758764066071</v>
      </c>
      <c r="H725" s="0" t="s">
        <v>882</v>
      </c>
      <c r="I725" s="0" t="n">
        <v>0.705583093370815</v>
      </c>
      <c r="J725" s="0" t="n">
        <v>43608</v>
      </c>
      <c r="K725" s="0" t="n">
        <v>10432</v>
      </c>
      <c r="L725" s="0" t="n">
        <v>643156</v>
      </c>
      <c r="M725" s="0" t="n">
        <v>638618</v>
      </c>
      <c r="N725" s="0" t="n">
        <v>587491</v>
      </c>
      <c r="O725" s="0" t="n">
        <v>8281</v>
      </c>
      <c r="P725" s="0" t="s">
        <v>145</v>
      </c>
      <c r="Q725" s="0" t="n">
        <v>1.30948012612803</v>
      </c>
      <c r="R725" s="0" t="n">
        <v>3.96457803239998</v>
      </c>
      <c r="S725" s="0" t="n">
        <v>31</v>
      </c>
      <c r="T725" s="0" t="n">
        <v>5102</v>
      </c>
      <c r="U725" s="0" t="n">
        <v>141</v>
      </c>
      <c r="V725" s="0" t="n">
        <v>23.0548516374529</v>
      </c>
      <c r="W725" s="0" t="n">
        <v>20250630</v>
      </c>
      <c r="X725" s="0" t="n">
        <v>0.839541245838753</v>
      </c>
      <c r="Y725" s="0" t="n">
        <v>4.82</v>
      </c>
      <c r="Z725" s="0" t="s">
        <v>105</v>
      </c>
      <c r="AA725" s="0" t="n">
        <f aca="false">IF(AND(ISNUMBER(B725),B725&gt;0,ISNUMBER(U725),U725&gt;=0,ISNUMBER(O725),O725&gt;=0),1,0)</f>
        <v>1</v>
      </c>
      <c r="AB725" s="0" t="n">
        <f aca="false">IF(AA725=1,U725+O725,0)</f>
        <v>8422</v>
      </c>
      <c r="AC725" s="0" t="n">
        <f aca="false">IF(AA725=1,100*AB725/B725,"")</f>
        <v>1.11522194532208</v>
      </c>
      <c r="AD725" s="0" t="n">
        <f aca="false">IF(AND(AND(ISNUMBER(B725),B725=OriginalFinancials!B725),AND(ISNUMBER(U725),U725=OriginalFinancials!U725),AND(ISNUMBER(O725),O725=OriginalFinancials!O725)),0,1)</f>
        <v>0</v>
      </c>
      <c r="AE725" s="0" t="str">
        <f aca="false">IF(V725=0,"原始0：需核实适用/报告口径","")</f>
        <v/>
      </c>
    </row>
    <row r="726" customFormat="false" ht="15" hidden="false" customHeight="false" outlineLevel="0" collapsed="false">
      <c r="A726" s="0" t="n">
        <v>726</v>
      </c>
      <c r="B726" s="0" t="n">
        <v>1748522</v>
      </c>
      <c r="C726" s="0" t="n">
        <v>24540</v>
      </c>
      <c r="D726" s="0" t="n">
        <v>1440031</v>
      </c>
      <c r="E726" s="0" t="n">
        <v>0.14</v>
      </c>
      <c r="F726" s="0" t="n">
        <v>282051</v>
      </c>
      <c r="G726" s="0" t="n">
        <v>16.1308236327596</v>
      </c>
      <c r="H726" s="0" t="s">
        <v>883</v>
      </c>
      <c r="I726" s="0" t="n">
        <v>1.00402889341922</v>
      </c>
      <c r="J726" s="0" t="n">
        <v>47445</v>
      </c>
      <c r="K726" s="0" t="n">
        <v>126</v>
      </c>
      <c r="L726" s="0" t="n">
        <v>1549557</v>
      </c>
      <c r="M726" s="0" t="n">
        <v>1533999</v>
      </c>
      <c r="N726" s="0" t="n">
        <v>1506054</v>
      </c>
      <c r="O726" s="0" t="n">
        <v>11424</v>
      </c>
      <c r="P726" s="0" t="s">
        <v>170</v>
      </c>
      <c r="Q726" s="0" t="n">
        <v>0.737242966860851</v>
      </c>
      <c r="R726" s="0" t="n">
        <v>4.28649738721819</v>
      </c>
      <c r="S726" s="0" t="n">
        <v>0</v>
      </c>
      <c r="T726" s="0" t="n">
        <v>0</v>
      </c>
      <c r="U726" s="0" t="n">
        <v>0</v>
      </c>
      <c r="V726" s="0" t="n">
        <v>0</v>
      </c>
      <c r="W726" s="0" t="n">
        <v>20250630</v>
      </c>
      <c r="X726" s="0" t="n">
        <v>2.05176886595267</v>
      </c>
      <c r="Y726" s="0" t="n">
        <v>12.25</v>
      </c>
      <c r="Z726" s="0" t="s">
        <v>123</v>
      </c>
      <c r="AA726" s="0" t="n">
        <f aca="false">IF(AND(ISNUMBER(B726),B726&gt;0,ISNUMBER(U726),U726&gt;=0,ISNUMBER(O726),O726&gt;=0),1,0)</f>
        <v>1</v>
      </c>
      <c r="AB726" s="0" t="n">
        <f aca="false">IF(AA726=1,U726+O726,0)</f>
        <v>11424</v>
      </c>
      <c r="AC726" s="0" t="n">
        <f aca="false">IF(AA726=1,100*AB726/B726,"")</f>
        <v>0.653351802264999</v>
      </c>
      <c r="AD726" s="0" t="n">
        <f aca="false">IF(AND(AND(ISNUMBER(B726),B726=OriginalFinancials!B726),AND(ISNUMBER(U726),U726=OriginalFinancials!U726),AND(ISNUMBER(O726),O726=OriginalFinancials!O726)),0,1)</f>
        <v>0</v>
      </c>
      <c r="AE726" s="0" t="str">
        <f aca="false">IF(V726=0,"原始0：需核实适用/报告口径","")</f>
        <v>原始0：需核实适用/报告口径</v>
      </c>
    </row>
    <row r="727" customFormat="false" ht="15" hidden="false" customHeight="false" outlineLevel="0" collapsed="false">
      <c r="A727" s="0" t="n">
        <v>727</v>
      </c>
      <c r="B727" s="0" t="n">
        <v>571650</v>
      </c>
      <c r="C727" s="0" t="n">
        <v>27824</v>
      </c>
      <c r="D727" s="0" t="n">
        <v>388196</v>
      </c>
      <c r="E727" s="0" t="n">
        <v>0.06</v>
      </c>
      <c r="F727" s="0" t="n">
        <v>62136</v>
      </c>
      <c r="G727" s="0" t="n">
        <v>10.8695880346366</v>
      </c>
      <c r="H727" s="0" t="s">
        <v>884</v>
      </c>
      <c r="I727" s="0" t="n">
        <v>0.62787688522156</v>
      </c>
      <c r="J727" s="0" t="n">
        <v>18433</v>
      </c>
      <c r="K727" s="0" t="n">
        <v>31632</v>
      </c>
      <c r="L727" s="0" t="n">
        <v>471430</v>
      </c>
      <c r="M727" s="0" t="n">
        <v>468470</v>
      </c>
      <c r="N727" s="0" t="n">
        <v>421364</v>
      </c>
      <c r="O727" s="0" t="n">
        <v>2044</v>
      </c>
      <c r="P727" s="0" t="s">
        <v>172</v>
      </c>
      <c r="Q727" s="0" t="n">
        <v>0.433574443713807</v>
      </c>
      <c r="R727" s="0" t="n">
        <v>1.91505644013124</v>
      </c>
      <c r="S727" s="0" t="n">
        <v>42</v>
      </c>
      <c r="T727" s="0" t="n">
        <v>1687</v>
      </c>
      <c r="U727" s="0" t="n">
        <v>0</v>
      </c>
      <c r="V727" s="0" t="n">
        <v>18.9590144003458</v>
      </c>
      <c r="W727" s="0" t="n">
        <v>20250630</v>
      </c>
      <c r="X727" s="0" t="n">
        <v>-0.305904588568829</v>
      </c>
      <c r="Y727" s="0" t="n">
        <v>-2.81</v>
      </c>
      <c r="Z727" s="0" t="s">
        <v>123</v>
      </c>
      <c r="AA727" s="0" t="n">
        <f aca="false">IF(AND(ISNUMBER(B727),B727&gt;0,ISNUMBER(U727),U727&gt;=0,ISNUMBER(O727),O727&gt;=0),1,0)</f>
        <v>1</v>
      </c>
      <c r="AB727" s="0" t="n">
        <f aca="false">IF(AA727=1,U727+O727,0)</f>
        <v>2044</v>
      </c>
      <c r="AC727" s="0" t="n">
        <f aca="false">IF(AA727=1,100*AB727/B727,"")</f>
        <v>0.357561444940086</v>
      </c>
      <c r="AD727" s="0" t="n">
        <f aca="false">IF(AND(AND(ISNUMBER(B727),B727=OriginalFinancials!B727),AND(ISNUMBER(U727),U727=OriginalFinancials!U727),AND(ISNUMBER(O727),O727=OriginalFinancials!O727)),0,1)</f>
        <v>0</v>
      </c>
      <c r="AE727" s="0" t="str">
        <f aca="false">IF(V727=0,"原始0：需核实适用/报告口径","")</f>
        <v/>
      </c>
    </row>
    <row r="728" customFormat="false" ht="15" hidden="false" customHeight="false" outlineLevel="0" collapsed="false">
      <c r="A728" s="0" t="n">
        <v>728</v>
      </c>
      <c r="B728" s="0" t="n">
        <v>317001</v>
      </c>
      <c r="C728" s="0" t="n">
        <v>28155</v>
      </c>
      <c r="D728" s="0" t="n">
        <v>287929</v>
      </c>
      <c r="E728" s="0" t="n">
        <v>0</v>
      </c>
      <c r="F728" s="0" t="n">
        <v>27470</v>
      </c>
      <c r="G728" s="0" t="n">
        <v>8.6655878057167</v>
      </c>
      <c r="H728" s="0" t="s">
        <v>885</v>
      </c>
      <c r="I728" s="0" t="n">
        <v>0.423656163754722</v>
      </c>
      <c r="J728" s="0" t="n">
        <v>8456</v>
      </c>
      <c r="K728" s="0" t="n">
        <v>6285</v>
      </c>
      <c r="L728" s="0" t="n">
        <v>180807</v>
      </c>
      <c r="M728" s="0" t="n">
        <v>180041</v>
      </c>
      <c r="N728" s="0" t="n">
        <v>165552</v>
      </c>
      <c r="O728" s="0" t="n">
        <v>0</v>
      </c>
      <c r="P728" s="0" t="s">
        <v>174</v>
      </c>
      <c r="Q728" s="0" t="n">
        <v>0</v>
      </c>
      <c r="R728" s="0" t="n">
        <v>2.66189945807321</v>
      </c>
      <c r="S728" s="0" t="n">
        <v>22</v>
      </c>
      <c r="T728" s="0" t="n">
        <v>1753</v>
      </c>
      <c r="U728" s="0" t="n">
        <v>0</v>
      </c>
      <c r="V728" s="0" t="n">
        <v>17.1811647071487</v>
      </c>
      <c r="W728" s="0" t="n">
        <v>20250630</v>
      </c>
      <c r="X728" s="0" t="n">
        <v>-0.0309202389410805</v>
      </c>
      <c r="Y728" s="0" t="n">
        <v>-0.34</v>
      </c>
      <c r="Z728" s="0" t="s">
        <v>123</v>
      </c>
      <c r="AA728" s="0" t="n">
        <f aca="false">IF(AND(ISNUMBER(B728),B728&gt;0,ISNUMBER(U728),U728&gt;=0,ISNUMBER(O728),O728&gt;=0),1,0)</f>
        <v>1</v>
      </c>
      <c r="AB728" s="0" t="n">
        <f aca="false">IF(AA728=1,U728+O728,0)</f>
        <v>0</v>
      </c>
      <c r="AC728" s="0" t="n">
        <f aca="false">IF(AA728=1,100*AB728/B728,"")</f>
        <v>0</v>
      </c>
      <c r="AD728" s="0" t="n">
        <f aca="false">IF(AND(AND(ISNUMBER(B728),B728=OriginalFinancials!B728),AND(ISNUMBER(U728),U728=OriginalFinancials!U728),AND(ISNUMBER(O728),O728=OriginalFinancials!O728)),0,1)</f>
        <v>0</v>
      </c>
      <c r="AE728" s="0" t="str">
        <f aca="false">IF(V728=0,"原始0：需核实适用/报告口径","")</f>
        <v/>
      </c>
    </row>
    <row r="729" customFormat="false" ht="15" hidden="false" customHeight="false" outlineLevel="0" collapsed="false">
      <c r="A729" s="0" t="n">
        <v>729</v>
      </c>
      <c r="B729" s="0" t="n">
        <v>102731</v>
      </c>
      <c r="C729" s="0" t="n">
        <v>28288</v>
      </c>
      <c r="D729" s="0" t="n">
        <v>76453</v>
      </c>
      <c r="E729" s="0" t="n">
        <v>0</v>
      </c>
      <c r="F729" s="0" t="n">
        <v>6269</v>
      </c>
      <c r="G729" s="0" t="n">
        <v>6.1023449591652</v>
      </c>
      <c r="H729" s="0" t="s">
        <v>886</v>
      </c>
      <c r="I729" s="0" t="n">
        <v>0.96923674122956</v>
      </c>
      <c r="J729" s="0" t="n">
        <v>4189</v>
      </c>
      <c r="K729" s="0" t="n">
        <v>3375</v>
      </c>
      <c r="L729" s="0" t="n">
        <v>82436</v>
      </c>
      <c r="M729" s="0" t="n">
        <v>81637</v>
      </c>
      <c r="N729" s="0" t="n">
        <v>74872</v>
      </c>
      <c r="O729" s="0" t="n">
        <v>99</v>
      </c>
      <c r="P729" s="0" t="s">
        <v>176</v>
      </c>
      <c r="Q729" s="0" t="n">
        <v>0.120093163181134</v>
      </c>
      <c r="R729" s="0" t="n">
        <v>2.73418663286535</v>
      </c>
      <c r="S729" s="0" t="n">
        <v>1</v>
      </c>
      <c r="T729" s="0" t="n">
        <v>160</v>
      </c>
      <c r="U729" s="0" t="n">
        <v>0</v>
      </c>
      <c r="V729" s="0" t="n">
        <v>13.1832466884013</v>
      </c>
      <c r="W729" s="0" t="n">
        <v>20250630</v>
      </c>
      <c r="X729" s="0" t="n">
        <v>0.2469079353467</v>
      </c>
      <c r="Y729" s="0" t="n">
        <v>4.13</v>
      </c>
      <c r="Z729" s="0" t="s">
        <v>105</v>
      </c>
      <c r="AA729" s="0" t="n">
        <f aca="false">IF(AND(ISNUMBER(B729),B729&gt;0,ISNUMBER(U729),U729&gt;=0,ISNUMBER(O729),O729&gt;=0),1,0)</f>
        <v>1</v>
      </c>
      <c r="AB729" s="0" t="n">
        <f aca="false">IF(AA729=1,U729+O729,0)</f>
        <v>99</v>
      </c>
      <c r="AC729" s="0" t="n">
        <f aca="false">IF(AA729=1,100*AB729/B729,"")</f>
        <v>0.0963681848711684</v>
      </c>
      <c r="AD729" s="0" t="n">
        <f aca="false">IF(AND(AND(ISNUMBER(B729),B729=OriginalFinancials!B729),AND(ISNUMBER(U729),U729=OriginalFinancials!U729),AND(ISNUMBER(O729),O729=OriginalFinancials!O729)),0,1)</f>
        <v>0</v>
      </c>
      <c r="AE729" s="0" t="str">
        <f aca="false">IF(V729=0,"原始0：需核实适用/报告口径","")</f>
        <v/>
      </c>
    </row>
    <row r="730" customFormat="false" ht="15" hidden="false" customHeight="false" outlineLevel="0" collapsed="false">
      <c r="A730" s="0" t="n">
        <v>730</v>
      </c>
      <c r="B730" s="0" t="n">
        <v>93177</v>
      </c>
      <c r="C730" s="0" t="n">
        <v>28369</v>
      </c>
      <c r="D730" s="0" t="n">
        <v>73160</v>
      </c>
      <c r="E730" s="0" t="n">
        <v>-0.1</v>
      </c>
      <c r="F730" s="0" t="n">
        <v>9091</v>
      </c>
      <c r="G730" s="0" t="n">
        <v>9.75669961471179</v>
      </c>
      <c r="H730" s="0" t="s">
        <v>887</v>
      </c>
      <c r="I730" s="0" t="n">
        <v>0.788828882888289</v>
      </c>
      <c r="J730" s="0" t="n">
        <v>12550</v>
      </c>
      <c r="K730" s="0" t="n">
        <v>678</v>
      </c>
      <c r="L730" s="0" t="n">
        <v>79992</v>
      </c>
      <c r="M730" s="0" t="n">
        <v>79361</v>
      </c>
      <c r="N730" s="0" t="n">
        <v>66764</v>
      </c>
      <c r="O730" s="0" t="n">
        <v>86</v>
      </c>
      <c r="P730" s="0" t="s">
        <v>178</v>
      </c>
      <c r="Q730" s="0" t="n">
        <v>0.107510751075108</v>
      </c>
      <c r="R730" s="0" t="n">
        <v>3.43158918975128</v>
      </c>
      <c r="S730" s="0" t="n">
        <v>-59</v>
      </c>
      <c r="T730" s="0" t="n">
        <v>180</v>
      </c>
      <c r="U730" s="0" t="n">
        <v>0</v>
      </c>
      <c r="V730" s="0" t="n">
        <v>14.1380843593321</v>
      </c>
      <c r="W730" s="0" t="n">
        <v>20250630</v>
      </c>
      <c r="X730" s="0" t="n">
        <v>0.102707117103945</v>
      </c>
      <c r="Y730" s="0" t="n">
        <v>1.06</v>
      </c>
      <c r="Z730" s="0" t="s">
        <v>105</v>
      </c>
      <c r="AA730" s="0" t="n">
        <f aca="false">IF(AND(ISNUMBER(B730),B730&gt;0,ISNUMBER(U730),U730&gt;=0,ISNUMBER(O730),O730&gt;=0),1,0)</f>
        <v>1</v>
      </c>
      <c r="AB730" s="0" t="n">
        <f aca="false">IF(AA730=1,U730+O730,0)</f>
        <v>86</v>
      </c>
      <c r="AC730" s="0" t="n">
        <f aca="false">IF(AA730=1,100*AB730/B730,"")</f>
        <v>0.0922974553806197</v>
      </c>
      <c r="AD730" s="0" t="n">
        <f aca="false">IF(AND(AND(ISNUMBER(B730),B730=OriginalFinancials!B730),AND(ISNUMBER(U730),U730=OriginalFinancials!U730),AND(ISNUMBER(O730),O730=OriginalFinancials!O730)),0,1)</f>
        <v>0</v>
      </c>
      <c r="AE730" s="0" t="str">
        <f aca="false">IF(V730=0,"原始0：需核实适用/报告口径","")</f>
        <v/>
      </c>
    </row>
    <row r="731" customFormat="false" ht="15" hidden="false" customHeight="false" outlineLevel="0" collapsed="false">
      <c r="A731" s="0" t="n">
        <v>731</v>
      </c>
      <c r="B731" s="0" t="n">
        <v>279103</v>
      </c>
      <c r="C731" s="0" t="n">
        <v>28837</v>
      </c>
      <c r="D731" s="0" t="n">
        <v>248250</v>
      </c>
      <c r="E731" s="0" t="n">
        <v>-0.05</v>
      </c>
      <c r="F731" s="0" t="n">
        <v>28295</v>
      </c>
      <c r="G731" s="0" t="n">
        <v>10.1378344195512</v>
      </c>
      <c r="H731" s="0" t="s">
        <v>888</v>
      </c>
      <c r="I731" s="0" t="n">
        <v>1.03979663645895</v>
      </c>
      <c r="J731" s="0" t="n">
        <v>7567</v>
      </c>
      <c r="K731" s="0" t="n">
        <v>1028</v>
      </c>
      <c r="L731" s="0" t="n">
        <v>208887</v>
      </c>
      <c r="M731" s="0" t="n">
        <v>206715</v>
      </c>
      <c r="N731" s="0" t="n">
        <v>199905</v>
      </c>
      <c r="O731" s="0" t="n">
        <v>253</v>
      </c>
      <c r="P731" s="0" t="s">
        <v>180</v>
      </c>
      <c r="Q731" s="0" t="n">
        <v>0.155107785549125</v>
      </c>
      <c r="R731" s="0" t="n">
        <v>4.00864887356595</v>
      </c>
      <c r="S731" s="0" t="n">
        <v>-2</v>
      </c>
      <c r="T731" s="0" t="n">
        <v>1246</v>
      </c>
      <c r="U731" s="0" t="n">
        <v>71</v>
      </c>
      <c r="V731" s="0" t="n">
        <v>17.9895121488231</v>
      </c>
      <c r="W731" s="0" t="n">
        <v>20250630</v>
      </c>
      <c r="X731" s="0" t="n">
        <v>-0.326447120470196</v>
      </c>
      <c r="Y731" s="0" t="n">
        <v>-3.24</v>
      </c>
      <c r="Z731" s="0" t="s">
        <v>112</v>
      </c>
      <c r="AA731" s="0" t="n">
        <f aca="false">IF(AND(ISNUMBER(B731),B731&gt;0,ISNUMBER(U731),U731&gt;=0,ISNUMBER(O731),O731&gt;=0),1,0)</f>
        <v>1</v>
      </c>
      <c r="AB731" s="0" t="n">
        <f aca="false">IF(AA731=1,U731+O731,0)</f>
        <v>324</v>
      </c>
      <c r="AC731" s="0" t="n">
        <f aca="false">IF(AA731=1,100*AB731/B731,"")</f>
        <v>0.1160861760712</v>
      </c>
      <c r="AD731" s="0" t="n">
        <f aca="false">IF(AND(AND(ISNUMBER(B731),B731=OriginalFinancials!B731),AND(ISNUMBER(U731),U731=OriginalFinancials!U731),AND(ISNUMBER(O731),O731=OriginalFinancials!O731)),0,1)</f>
        <v>0</v>
      </c>
      <c r="AE731" s="0" t="str">
        <f aca="false">IF(V731=0,"原始0：需核实适用/报告口径","")</f>
        <v/>
      </c>
    </row>
    <row r="732" customFormat="false" ht="15" hidden="false" customHeight="false" outlineLevel="0" collapsed="false">
      <c r="A732" s="0" t="n">
        <v>732</v>
      </c>
      <c r="B732" s="0" t="n">
        <v>185573</v>
      </c>
      <c r="C732" s="0" t="n">
        <v>29636</v>
      </c>
      <c r="D732" s="0" t="n">
        <v>139676</v>
      </c>
      <c r="E732" s="0" t="n">
        <v>0</v>
      </c>
      <c r="F732" s="0" t="n">
        <v>27646</v>
      </c>
      <c r="G732" s="0" t="n">
        <v>14.897641359465</v>
      </c>
      <c r="H732" s="0" t="s">
        <v>889</v>
      </c>
      <c r="I732" s="0" t="n">
        <v>1.32524707996406</v>
      </c>
      <c r="J732" s="0" t="n">
        <v>1667</v>
      </c>
      <c r="K732" s="0" t="n">
        <v>1619</v>
      </c>
      <c r="L732" s="0" t="n">
        <v>146916</v>
      </c>
      <c r="M732" s="0" t="n">
        <v>144969</v>
      </c>
      <c r="N732" s="0" t="n">
        <v>143630</v>
      </c>
      <c r="O732" s="0" t="n">
        <v>3102</v>
      </c>
      <c r="P732" s="0" t="s">
        <v>182</v>
      </c>
      <c r="Q732" s="0" t="n">
        <v>2.11141060197664</v>
      </c>
      <c r="R732" s="0" t="n">
        <v>3.50724516740479</v>
      </c>
      <c r="S732" s="0" t="n">
        <v>23</v>
      </c>
      <c r="T732" s="0" t="n">
        <v>4225</v>
      </c>
      <c r="U732" s="0" t="n">
        <v>0</v>
      </c>
      <c r="V732" s="0" t="n">
        <v>27.1672138701688</v>
      </c>
      <c r="W732" s="0" t="n">
        <v>20250630</v>
      </c>
      <c r="X732" s="0" t="n">
        <v>0.234619113348782</v>
      </c>
      <c r="Y732" s="0" t="n">
        <v>1.58</v>
      </c>
      <c r="Z732" s="0" t="s">
        <v>105</v>
      </c>
      <c r="AA732" s="0" t="n">
        <f aca="false">IF(AND(ISNUMBER(B732),B732&gt;0,ISNUMBER(U732),U732&gt;=0,ISNUMBER(O732),O732&gt;=0),1,0)</f>
        <v>1</v>
      </c>
      <c r="AB732" s="0" t="n">
        <f aca="false">IF(AA732=1,U732+O732,0)</f>
        <v>3102</v>
      </c>
      <c r="AC732" s="0" t="n">
        <f aca="false">IF(AA732=1,100*AB732/B732,"")</f>
        <v>1.67157937846562</v>
      </c>
      <c r="AD732" s="0" t="n">
        <f aca="false">IF(AND(AND(ISNUMBER(B732),B732=OriginalFinancials!B732),AND(ISNUMBER(U732),U732=OriginalFinancials!U732),AND(ISNUMBER(O732),O732=OriginalFinancials!O732)),0,1)</f>
        <v>0</v>
      </c>
      <c r="AE732" s="0" t="str">
        <f aca="false">IF(V732=0,"原始0：需核实适用/报告口径","")</f>
        <v/>
      </c>
    </row>
    <row r="733" customFormat="false" ht="15" hidden="false" customHeight="false" outlineLevel="0" collapsed="false">
      <c r="A733" s="0" t="n">
        <v>733</v>
      </c>
      <c r="B733" s="0" t="n">
        <v>200783</v>
      </c>
      <c r="C733" s="0" t="n">
        <v>29743</v>
      </c>
      <c r="D733" s="0" t="n">
        <v>176912</v>
      </c>
      <c r="E733" s="0" t="n">
        <v>0.05</v>
      </c>
      <c r="F733" s="0" t="n">
        <v>19214</v>
      </c>
      <c r="G733" s="0" t="n">
        <v>9.56953526942022</v>
      </c>
      <c r="H733" s="0" t="s">
        <v>890</v>
      </c>
      <c r="I733" s="0" t="n">
        <v>0.62705753252861</v>
      </c>
      <c r="J733" s="0" t="n">
        <v>26522</v>
      </c>
      <c r="K733" s="0" t="n">
        <v>23119</v>
      </c>
      <c r="L733" s="0" t="n">
        <v>140338</v>
      </c>
      <c r="M733" s="0" t="n">
        <v>139458</v>
      </c>
      <c r="N733" s="0" t="n">
        <v>89612</v>
      </c>
      <c r="O733" s="0" t="n">
        <v>662</v>
      </c>
      <c r="P733" s="0" t="s">
        <v>184</v>
      </c>
      <c r="Q733" s="0" t="n">
        <v>0.471718280152204</v>
      </c>
      <c r="R733" s="0" t="n">
        <v>2.75663046959155</v>
      </c>
      <c r="S733" s="0" t="n">
        <v>36</v>
      </c>
      <c r="T733" s="0" t="n">
        <v>763</v>
      </c>
      <c r="U733" s="0" t="n">
        <v>0</v>
      </c>
      <c r="V733" s="0" t="n">
        <v>18.1286751690254</v>
      </c>
      <c r="W733" s="0" t="n">
        <v>20250630</v>
      </c>
      <c r="X733" s="0" t="n">
        <v>0.538521901715605</v>
      </c>
      <c r="Y733" s="0" t="n">
        <v>5.78</v>
      </c>
      <c r="Z733" s="0" t="s">
        <v>105</v>
      </c>
      <c r="AA733" s="0" t="n">
        <f aca="false">IF(AND(ISNUMBER(B733),B733&gt;0,ISNUMBER(U733),U733&gt;=0,ISNUMBER(O733),O733&gt;=0),1,0)</f>
        <v>1</v>
      </c>
      <c r="AB733" s="0" t="n">
        <f aca="false">IF(AA733=1,U733+O733,0)</f>
        <v>662</v>
      </c>
      <c r="AC733" s="0" t="n">
        <f aca="false">IF(AA733=1,100*AB733/B733,"")</f>
        <v>0.329709188526917</v>
      </c>
      <c r="AD733" s="0" t="n">
        <f aca="false">IF(AND(AND(ISNUMBER(B733),B733=OriginalFinancials!B733),AND(ISNUMBER(U733),U733=OriginalFinancials!U733),AND(ISNUMBER(O733),O733=OriginalFinancials!O733)),0,1)</f>
        <v>0</v>
      </c>
      <c r="AE733" s="0" t="str">
        <f aca="false">IF(V733=0,"原始0：需核实适用/报告口径","")</f>
        <v/>
      </c>
    </row>
    <row r="734" customFormat="false" ht="15" hidden="false" customHeight="false" outlineLevel="0" collapsed="false">
      <c r="A734" s="0" t="n">
        <v>734</v>
      </c>
      <c r="B734" s="0" t="n">
        <v>605109</v>
      </c>
      <c r="C734" s="0" t="n">
        <v>29744</v>
      </c>
      <c r="D734" s="0" t="n">
        <v>489906</v>
      </c>
      <c r="E734" s="0" t="n">
        <v>0.02</v>
      </c>
      <c r="F734" s="0" t="n">
        <v>44554</v>
      </c>
      <c r="G734" s="0" t="n">
        <v>7.36297096886677</v>
      </c>
      <c r="H734" s="0" t="s">
        <v>891</v>
      </c>
      <c r="I734" s="0" t="n">
        <v>0.799810792556325</v>
      </c>
      <c r="J734" s="0" t="n">
        <v>24902</v>
      </c>
      <c r="K734" s="0" t="n">
        <v>12774</v>
      </c>
      <c r="L734" s="0" t="n">
        <v>439729</v>
      </c>
      <c r="M734" s="0" t="n">
        <v>436212</v>
      </c>
      <c r="N734" s="0" t="n">
        <v>402053</v>
      </c>
      <c r="O734" s="0" t="n">
        <v>14</v>
      </c>
      <c r="P734" s="0" t="s">
        <v>186</v>
      </c>
      <c r="Q734" s="0" t="n">
        <v>0.0031837791003095</v>
      </c>
      <c r="R734" s="0" t="n">
        <v>2.32561114451281</v>
      </c>
      <c r="S734" s="0" t="n">
        <v>-1</v>
      </c>
      <c r="T734" s="0" t="n">
        <v>200</v>
      </c>
      <c r="U734" s="0" t="n">
        <v>0</v>
      </c>
      <c r="V734" s="0" t="n">
        <v>15.2305620070175</v>
      </c>
      <c r="W734" s="0" t="n">
        <v>20250630</v>
      </c>
      <c r="X734" s="0" t="n">
        <v>-0.385522175114088</v>
      </c>
      <c r="Y734" s="0" t="n">
        <v>-5.11</v>
      </c>
      <c r="Z734" s="0" t="s">
        <v>123</v>
      </c>
      <c r="AA734" s="0" t="n">
        <f aca="false">IF(AND(ISNUMBER(B734),B734&gt;0,ISNUMBER(U734),U734&gt;=0,ISNUMBER(O734),O734&gt;=0),1,0)</f>
        <v>1</v>
      </c>
      <c r="AB734" s="0" t="n">
        <f aca="false">IF(AA734=1,U734+O734,0)</f>
        <v>14</v>
      </c>
      <c r="AC734" s="0" t="n">
        <f aca="false">IF(AA734=1,100*AB734/B734,"")</f>
        <v>0.00231363275046314</v>
      </c>
      <c r="AD734" s="0" t="n">
        <f aca="false">IF(AND(AND(ISNUMBER(B734),B734=OriginalFinancials!B734),AND(ISNUMBER(U734),U734=OriginalFinancials!U734),AND(ISNUMBER(O734),O734=OriginalFinancials!O734)),0,1)</f>
        <v>0</v>
      </c>
      <c r="AE734" s="0" t="str">
        <f aca="false">IF(V734=0,"原始0：需核实适用/报告口径","")</f>
        <v/>
      </c>
    </row>
    <row r="735" customFormat="false" ht="15" hidden="false" customHeight="false" outlineLevel="0" collapsed="false">
      <c r="A735" s="0" t="n">
        <v>735</v>
      </c>
      <c r="B735" s="0" t="n">
        <v>621434</v>
      </c>
      <c r="C735" s="0" t="n">
        <v>30350</v>
      </c>
      <c r="D735" s="0" t="n">
        <v>477487</v>
      </c>
      <c r="E735" s="0" t="n">
        <v>0.03</v>
      </c>
      <c r="F735" s="0" t="n">
        <v>64425</v>
      </c>
      <c r="G735" s="0" t="n">
        <v>10.367150815694</v>
      </c>
      <c r="H735" s="0" t="s">
        <v>892</v>
      </c>
      <c r="I735" s="0" t="n">
        <v>1.10904919853296</v>
      </c>
      <c r="J735" s="0" t="n">
        <v>15301</v>
      </c>
      <c r="K735" s="0" t="n">
        <v>1564</v>
      </c>
      <c r="L735" s="0" t="n">
        <v>479059</v>
      </c>
      <c r="M735" s="0" t="n">
        <v>473746</v>
      </c>
      <c r="N735" s="0" t="n">
        <v>461052</v>
      </c>
      <c r="O735" s="0" t="n">
        <v>1787</v>
      </c>
      <c r="P735" s="0" t="s">
        <v>188</v>
      </c>
      <c r="Q735" s="0" t="n">
        <v>0.37302294706915</v>
      </c>
      <c r="R735" s="0" t="n">
        <v>2.7562664518235</v>
      </c>
      <c r="S735" s="0" t="n">
        <v>35</v>
      </c>
      <c r="T735" s="0" t="n">
        <v>1554</v>
      </c>
      <c r="U735" s="0" t="n">
        <v>0</v>
      </c>
      <c r="V735" s="0" t="n">
        <v>20.0140311414907</v>
      </c>
      <c r="W735" s="0" t="n">
        <v>20250630</v>
      </c>
      <c r="X735" s="0" t="n">
        <v>0.75252389871844</v>
      </c>
      <c r="Y735" s="0" t="n">
        <v>7.3</v>
      </c>
      <c r="Z735" s="0" t="s">
        <v>112</v>
      </c>
      <c r="AA735" s="0" t="n">
        <f aca="false">IF(AND(ISNUMBER(B735),B735&gt;0,ISNUMBER(U735),U735&gt;=0,ISNUMBER(O735),O735&gt;=0),1,0)</f>
        <v>1</v>
      </c>
      <c r="AB735" s="0" t="n">
        <f aca="false">IF(AA735=1,U735+O735,0)</f>
        <v>1787</v>
      </c>
      <c r="AC735" s="0" t="n">
        <f aca="false">IF(AA735=1,100*AB735/B735,"")</f>
        <v>0.287560706366243</v>
      </c>
      <c r="AD735" s="0" t="n">
        <f aca="false">IF(AND(AND(ISNUMBER(B735),B735=OriginalFinancials!B735),AND(ISNUMBER(U735),U735=OriginalFinancials!U735),AND(ISNUMBER(O735),O735=OriginalFinancials!O735)),0,1)</f>
        <v>0</v>
      </c>
      <c r="AE735" s="0" t="str">
        <f aca="false">IF(V735=0,"原始0：需核实适用/报告口径","")</f>
        <v/>
      </c>
    </row>
    <row r="736" customFormat="false" ht="15" hidden="false" customHeight="false" outlineLevel="0" collapsed="false">
      <c r="A736" s="0" t="n">
        <v>736</v>
      </c>
      <c r="B736" s="0" t="n">
        <v>98909</v>
      </c>
      <c r="C736" s="0" t="n">
        <v>30878</v>
      </c>
      <c r="D736" s="0" t="n">
        <v>72725</v>
      </c>
      <c r="E736" s="0" t="n">
        <v>-0.11</v>
      </c>
      <c r="F736" s="0" t="n">
        <v>11891</v>
      </c>
      <c r="G736" s="0" t="n">
        <v>12.0221617850752</v>
      </c>
      <c r="H736" s="0" t="s">
        <v>893</v>
      </c>
      <c r="I736" s="0" t="n">
        <v>0.788042214886792</v>
      </c>
      <c r="J736" s="0" t="n">
        <v>0</v>
      </c>
      <c r="K736" s="0" t="n">
        <v>176</v>
      </c>
      <c r="L736" s="0" t="n">
        <v>86036</v>
      </c>
      <c r="M736" s="0" t="n">
        <v>85358</v>
      </c>
      <c r="N736" s="0" t="n">
        <v>85860</v>
      </c>
      <c r="O736" s="0" t="n">
        <v>1353</v>
      </c>
      <c r="P736" s="0" t="s">
        <v>190</v>
      </c>
      <c r="Q736" s="0" t="n">
        <v>1.57259751731833</v>
      </c>
      <c r="R736" s="0" t="n">
        <v>1.49226620464168</v>
      </c>
      <c r="S736" s="0" t="n">
        <v>0</v>
      </c>
      <c r="T736" s="0" t="n">
        <v>771</v>
      </c>
      <c r="U736" s="0" t="n">
        <v>0</v>
      </c>
      <c r="V736" s="0" t="n">
        <v>0</v>
      </c>
      <c r="W736" s="0" t="n">
        <v>20250630</v>
      </c>
      <c r="X736" s="0" t="n">
        <v>0.0020154179472968</v>
      </c>
      <c r="Y736" s="0" t="n">
        <v>0.02</v>
      </c>
      <c r="Z736" s="0" t="s">
        <v>105</v>
      </c>
      <c r="AA736" s="0" t="n">
        <f aca="false">IF(AND(ISNUMBER(B736),B736&gt;0,ISNUMBER(U736),U736&gt;=0,ISNUMBER(O736),O736&gt;=0),1,0)</f>
        <v>1</v>
      </c>
      <c r="AB736" s="0" t="n">
        <f aca="false">IF(AA736=1,U736+O736,0)</f>
        <v>1353</v>
      </c>
      <c r="AC736" s="0" t="n">
        <f aca="false">IF(AA736=1,100*AB736/B736,"")</f>
        <v>1.36792405140078</v>
      </c>
      <c r="AD736" s="0" t="n">
        <f aca="false">IF(AND(AND(ISNUMBER(B736),B736=OriginalFinancials!B736),AND(ISNUMBER(U736),U736=OriginalFinancials!U736),AND(ISNUMBER(O736),O736=OriginalFinancials!O736)),0,1)</f>
        <v>0</v>
      </c>
      <c r="AE736" s="0" t="str">
        <f aca="false">IF(V736=0,"原始0：需核实适用/报告口径","")</f>
        <v>原始0：需核实适用/报告口径</v>
      </c>
    </row>
    <row r="737" customFormat="false" ht="15" hidden="false" customHeight="false" outlineLevel="0" collapsed="false">
      <c r="A737" s="0" t="n">
        <v>737</v>
      </c>
      <c r="B737" s="0" t="n">
        <v>993609</v>
      </c>
      <c r="C737" s="0" t="n">
        <v>33418</v>
      </c>
      <c r="D737" s="0" t="n">
        <v>817518</v>
      </c>
      <c r="E737" s="0" t="n">
        <v>0.14</v>
      </c>
      <c r="F737" s="0" t="n">
        <v>69945</v>
      </c>
      <c r="G737" s="0" t="n">
        <v>7.03948937660589</v>
      </c>
      <c r="H737" s="0" t="s">
        <v>894</v>
      </c>
      <c r="I737" s="0" t="n">
        <v>0.702306329496071</v>
      </c>
      <c r="J737" s="0" t="n">
        <v>83984</v>
      </c>
      <c r="K737" s="0" t="n">
        <v>17087</v>
      </c>
      <c r="L737" s="0" t="n">
        <v>629355</v>
      </c>
      <c r="M737" s="0" t="n">
        <v>624935</v>
      </c>
      <c r="N737" s="0" t="n">
        <v>528008</v>
      </c>
      <c r="O737" s="0" t="n">
        <v>1191</v>
      </c>
      <c r="P737" s="0" t="s">
        <v>192</v>
      </c>
      <c r="Q737" s="0" t="n">
        <v>0.189241366160593</v>
      </c>
      <c r="R737" s="0" t="n">
        <v>2.58498658033812</v>
      </c>
      <c r="S737" s="0" t="n">
        <v>-3</v>
      </c>
      <c r="T737" s="0" t="n">
        <v>580</v>
      </c>
      <c r="U737" s="0" t="n">
        <v>0</v>
      </c>
      <c r="V737" s="0" t="n">
        <v>12.4261039075517</v>
      </c>
      <c r="W737" s="0" t="n">
        <v>20250630</v>
      </c>
      <c r="X737" s="0" t="n">
        <v>0.618819302365185</v>
      </c>
      <c r="Y737" s="0" t="n">
        <v>8.6</v>
      </c>
      <c r="Z737" s="0" t="s">
        <v>112</v>
      </c>
      <c r="AA737" s="0" t="n">
        <f aca="false">IF(AND(ISNUMBER(B737),B737&gt;0,ISNUMBER(U737),U737&gt;=0,ISNUMBER(O737),O737&gt;=0),1,0)</f>
        <v>1</v>
      </c>
      <c r="AB737" s="0" t="n">
        <f aca="false">IF(AA737=1,U737+O737,0)</f>
        <v>1191</v>
      </c>
      <c r="AC737" s="0" t="n">
        <f aca="false">IF(AA737=1,100*AB737/B737,"")</f>
        <v>0.119866064015121</v>
      </c>
      <c r="AD737" s="0" t="n">
        <f aca="false">IF(AND(AND(ISNUMBER(B737),B737=OriginalFinancials!B737),AND(ISNUMBER(U737),U737=OriginalFinancials!U737),AND(ISNUMBER(O737),O737=OriginalFinancials!O737)),0,1)</f>
        <v>0</v>
      </c>
      <c r="AE737" s="0" t="str">
        <f aca="false">IF(V737=0,"原始0：需核实适用/报告口径","")</f>
        <v/>
      </c>
    </row>
    <row r="738" customFormat="false" ht="15" hidden="false" customHeight="false" outlineLevel="0" collapsed="false">
      <c r="A738" s="0" t="n">
        <v>738</v>
      </c>
      <c r="B738" s="0" t="n">
        <v>72604</v>
      </c>
      <c r="C738" s="0" t="n">
        <v>35206</v>
      </c>
      <c r="D738" s="0" t="n">
        <v>500</v>
      </c>
      <c r="E738" s="0" t="n">
        <v>0</v>
      </c>
      <c r="F738" s="0" t="n">
        <v>70119</v>
      </c>
      <c r="G738" s="0" t="n">
        <v>96.57732356344</v>
      </c>
      <c r="H738" s="0" t="s">
        <v>895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  <c r="O738" s="0" t="n">
        <v>0</v>
      </c>
      <c r="P738" s="0" t="s">
        <v>252</v>
      </c>
      <c r="Q738" s="0" t="n">
        <v>0</v>
      </c>
      <c r="R738" s="0" t="n">
        <v>4.14720593593693</v>
      </c>
      <c r="S738" s="0" t="n">
        <v>0</v>
      </c>
      <c r="T738" s="0" t="n">
        <v>0</v>
      </c>
      <c r="U738" s="0" t="n">
        <v>0</v>
      </c>
      <c r="V738" s="0" t="n">
        <v>0</v>
      </c>
      <c r="W738" s="0" t="n">
        <v>20250630</v>
      </c>
      <c r="X738" s="0" t="n">
        <v>28.4880056721944</v>
      </c>
      <c r="Y738" s="0" t="n">
        <v>29.55</v>
      </c>
      <c r="Z738" s="0" t="s">
        <v>123</v>
      </c>
      <c r="AA738" s="0" t="n">
        <f aca="false">IF(AND(ISNUMBER(B738),B738&gt;0,ISNUMBER(U738),U738&gt;=0,ISNUMBER(O738),O738&gt;=0),1,0)</f>
        <v>1</v>
      </c>
      <c r="AB738" s="0" t="n">
        <f aca="false">IF(AA738=1,U738+O738,0)</f>
        <v>0</v>
      </c>
      <c r="AC738" s="0" t="n">
        <f aca="false">IF(AA738=1,100*AB738/B738,"")</f>
        <v>0</v>
      </c>
      <c r="AD738" s="0" t="n">
        <f aca="false">IF(AND(AND(ISNUMBER(B738),B738=OriginalFinancials!B738),AND(ISNUMBER(U738),U738=OriginalFinancials!U738),AND(ISNUMBER(O738),O738=OriginalFinancials!O738)),0,1)</f>
        <v>0</v>
      </c>
      <c r="AE738" s="0" t="str">
        <f aca="false">IF(V738=0,"原始0：需核实适用/报告口径","")</f>
        <v>原始0：需核实适用/报告口径</v>
      </c>
    </row>
    <row r="739" customFormat="false" ht="15" hidden="false" customHeight="false" outlineLevel="0" collapsed="false">
      <c r="A739" s="0" t="n">
        <v>739</v>
      </c>
      <c r="B739" s="0" t="n">
        <v>6902692</v>
      </c>
      <c r="C739" s="0" t="n">
        <v>4255</v>
      </c>
      <c r="D739" s="0" t="n">
        <v>5545916</v>
      </c>
      <c r="E739" s="0" t="n">
        <v>0.5</v>
      </c>
      <c r="F739" s="0" t="n">
        <v>687541</v>
      </c>
      <c r="G739" s="0" t="n">
        <v>9.96047628954037</v>
      </c>
      <c r="H739" s="0" t="s">
        <v>896</v>
      </c>
      <c r="I739" s="0" t="n">
        <v>1.07030046411581</v>
      </c>
      <c r="J739" s="0" t="n">
        <v>341829</v>
      </c>
      <c r="K739" s="0" t="n">
        <v>23213</v>
      </c>
      <c r="L739" s="0" t="n">
        <v>4953936</v>
      </c>
      <c r="M739" s="0" t="n">
        <v>4900914</v>
      </c>
      <c r="N739" s="0" t="n">
        <v>4456325</v>
      </c>
      <c r="O739" s="0" t="n">
        <v>18177</v>
      </c>
      <c r="P739" s="0" t="s">
        <v>194</v>
      </c>
      <c r="Q739" s="0" t="n">
        <v>0.366920363928803</v>
      </c>
      <c r="R739" s="0" t="n">
        <v>3.34318547116714</v>
      </c>
      <c r="S739" s="0" t="n">
        <v>1246</v>
      </c>
      <c r="T739" s="0" t="n">
        <v>4114</v>
      </c>
      <c r="U739" s="0" t="n">
        <v>0</v>
      </c>
      <c r="V739" s="0" t="n">
        <v>12.8539272598033</v>
      </c>
      <c r="W739" s="0" t="n">
        <v>20250630</v>
      </c>
      <c r="X739" s="0" t="n">
        <v>0.719073888795519</v>
      </c>
      <c r="Y739" s="0" t="n">
        <v>7.44</v>
      </c>
      <c r="Z739" s="0" t="s">
        <v>105</v>
      </c>
      <c r="AA739" s="0" t="n">
        <f aca="false">IF(AND(ISNUMBER(B739),B739&gt;0,ISNUMBER(U739),U739&gt;=0,ISNUMBER(O739),O739&gt;=0),1,0)</f>
        <v>1</v>
      </c>
      <c r="AB739" s="0" t="n">
        <f aca="false">IF(AA739=1,U739+O739,0)</f>
        <v>18177</v>
      </c>
      <c r="AC739" s="0" t="n">
        <f aca="false">IF(AA739=1,100*AB739/B739,"")</f>
        <v>0.263332044947102</v>
      </c>
      <c r="AD739" s="0" t="n">
        <f aca="false">IF(AND(AND(ISNUMBER(B739),B739=OriginalFinancials!B739),AND(ISNUMBER(U739),U739=OriginalFinancials!U739),AND(ISNUMBER(O739),O739=OriginalFinancials!O739)),0,1)</f>
        <v>0</v>
      </c>
      <c r="AE739" s="0" t="str">
        <f aca="false">IF(V739=0,"原始0：需核实适用/报告口径","")</f>
        <v/>
      </c>
    </row>
    <row r="740" customFormat="false" ht="15" hidden="false" customHeight="false" outlineLevel="0" collapsed="false">
      <c r="A740" s="0" t="n">
        <v>740</v>
      </c>
      <c r="B740" s="0" t="n">
        <v>3164056</v>
      </c>
      <c r="C740" s="0" t="n">
        <v>4256</v>
      </c>
      <c r="D740" s="0" t="n">
        <v>2706351</v>
      </c>
      <c r="E740" s="0" t="n">
        <v>0.06</v>
      </c>
      <c r="F740" s="0" t="n">
        <v>236733</v>
      </c>
      <c r="G740" s="0" t="n">
        <v>7.48194722217306</v>
      </c>
      <c r="H740" s="0" t="s">
        <v>897</v>
      </c>
      <c r="I740" s="0" t="n">
        <v>1.03713147037582</v>
      </c>
      <c r="J740" s="0" t="n">
        <v>379671</v>
      </c>
      <c r="K740" s="0" t="n">
        <v>20559</v>
      </c>
      <c r="L740" s="0" t="n">
        <v>2394007</v>
      </c>
      <c r="M740" s="0" t="n">
        <v>2369178</v>
      </c>
      <c r="N740" s="0" t="n">
        <v>1881786</v>
      </c>
      <c r="O740" s="0" t="n">
        <v>6039</v>
      </c>
      <c r="P740" s="0" t="s">
        <v>196</v>
      </c>
      <c r="Q740" s="0" t="n">
        <v>0.271344235835568</v>
      </c>
      <c r="R740" s="0" t="n">
        <v>2.44163706624033</v>
      </c>
      <c r="S740" s="0" t="n">
        <v>786</v>
      </c>
      <c r="T740" s="0" t="n">
        <v>3028</v>
      </c>
      <c r="U740" s="0" t="n">
        <v>457</v>
      </c>
      <c r="V740" s="0" t="n">
        <v>13.2562418882408</v>
      </c>
      <c r="W740" s="0" t="n">
        <v>20250630</v>
      </c>
      <c r="X740" s="0" t="n">
        <v>1.00147521350966</v>
      </c>
      <c r="Y740" s="0" t="n">
        <v>13.67</v>
      </c>
      <c r="Z740" s="0" t="s">
        <v>105</v>
      </c>
      <c r="AA740" s="0" t="n">
        <f aca="false">IF(AND(ISNUMBER(B740),B740&gt;0,ISNUMBER(U740),U740&gt;=0,ISNUMBER(O740),O740&gt;=0),1,0)</f>
        <v>1</v>
      </c>
      <c r="AB740" s="0" t="n">
        <f aca="false">IF(AA740=1,U740+O740,0)</f>
        <v>6496</v>
      </c>
      <c r="AC740" s="0" t="n">
        <f aca="false">IF(AA740=1,100*AB740/B740,"")</f>
        <v>0.205306100776977</v>
      </c>
      <c r="AD740" s="0" t="n">
        <f aca="false">IF(AND(AND(ISNUMBER(B740),B740=OriginalFinancials!B740),AND(ISNUMBER(U740),U740=OriginalFinancials!U740),AND(ISNUMBER(O740),O740=OriginalFinancials!O740)),0,1)</f>
        <v>0</v>
      </c>
      <c r="AE740" s="0" t="str">
        <f aca="false">IF(V740=0,"原始0：需核实适用/报告口径","")</f>
        <v/>
      </c>
    </row>
    <row r="741" customFormat="false" ht="15" hidden="false" customHeight="false" outlineLevel="0" collapsed="false">
      <c r="A741" s="0" t="n">
        <v>741</v>
      </c>
      <c r="B741" s="0" t="n">
        <v>724753</v>
      </c>
      <c r="C741" s="0" t="n">
        <v>59086</v>
      </c>
      <c r="D741" s="0" t="n">
        <v>612986</v>
      </c>
      <c r="E741" s="0" t="n">
        <v>0.08</v>
      </c>
      <c r="F741" s="0" t="n">
        <v>105815</v>
      </c>
      <c r="G741" s="0" t="n">
        <v>14.6001465326808</v>
      </c>
      <c r="H741" s="0" t="s">
        <v>898</v>
      </c>
      <c r="I741" s="0" t="n">
        <v>0.973020644383891</v>
      </c>
      <c r="J741" s="0" t="n">
        <v>124137</v>
      </c>
      <c r="K741" s="0" t="n">
        <v>0</v>
      </c>
      <c r="L741" s="0" t="n">
        <v>619103</v>
      </c>
      <c r="M741" s="0" t="n">
        <v>613079</v>
      </c>
      <c r="N741" s="0" t="n">
        <v>495338</v>
      </c>
      <c r="O741" s="0" t="n">
        <v>5998</v>
      </c>
      <c r="P741" s="0" t="s">
        <v>198</v>
      </c>
      <c r="Q741" s="0" t="n">
        <v>2.22903135665632</v>
      </c>
      <c r="R741" s="0" t="n">
        <v>3.90746208360731</v>
      </c>
      <c r="S741" s="0" t="n">
        <v>-2</v>
      </c>
      <c r="T741" s="0" t="n">
        <v>2944</v>
      </c>
      <c r="U741" s="0" t="n">
        <v>7830</v>
      </c>
      <c r="V741" s="0" t="n">
        <v>16.7805900658004</v>
      </c>
      <c r="W741" s="0" t="n">
        <v>20250630</v>
      </c>
      <c r="X741" s="0" t="n">
        <v>1.55691795515022</v>
      </c>
      <c r="Y741" s="0" t="n">
        <v>10.77</v>
      </c>
      <c r="Z741" s="0" t="s">
        <v>123</v>
      </c>
      <c r="AA741" s="0" t="n">
        <f aca="false">IF(AND(ISNUMBER(B741),B741&gt;0,ISNUMBER(U741),U741&gt;=0,ISNUMBER(O741),O741&gt;=0),1,0)</f>
        <v>1</v>
      </c>
      <c r="AB741" s="0" t="n">
        <f aca="false">IF(AA741=1,U741+O741,0)</f>
        <v>13828</v>
      </c>
      <c r="AC741" s="0" t="n">
        <f aca="false">IF(AA741=1,100*AB741/B741,"")</f>
        <v>1.90796036718717</v>
      </c>
      <c r="AD741" s="0" t="n">
        <f aca="false">IF(AND(AND(ISNUMBER(B741),B741=OriginalFinancials!B741),AND(ISNUMBER(U741),U741=OriginalFinancials!U741),AND(ISNUMBER(O741),O741=OriginalFinancials!O741)),0,1)</f>
        <v>0</v>
      </c>
      <c r="AE741" s="0" t="str">
        <f aca="false">IF(V741=0,"原始0：需核实适用/报告口径","")</f>
        <v/>
      </c>
    </row>
    <row r="742" customFormat="false" ht="15" hidden="false" customHeight="false" outlineLevel="0" collapsed="false">
      <c r="A742" s="0" t="n">
        <v>742</v>
      </c>
      <c r="B742" s="0" t="n">
        <v>279006</v>
      </c>
      <c r="C742" s="0" t="n">
        <v>59176</v>
      </c>
      <c r="D742" s="0" t="n">
        <v>229104</v>
      </c>
      <c r="E742" s="0" t="n">
        <v>0.27</v>
      </c>
      <c r="F742" s="0" t="n">
        <v>28607</v>
      </c>
      <c r="G742" s="0" t="n">
        <v>10.2531845193293</v>
      </c>
      <c r="H742" s="0" t="s">
        <v>899</v>
      </c>
      <c r="I742" s="0" t="n">
        <v>0.947267955141971</v>
      </c>
      <c r="J742" s="0" t="n">
        <v>28021</v>
      </c>
      <c r="K742" s="0" t="n">
        <v>0</v>
      </c>
      <c r="L742" s="0" t="n">
        <v>209550</v>
      </c>
      <c r="M742" s="0" t="n">
        <v>207565</v>
      </c>
      <c r="N742" s="0" t="n">
        <v>180172</v>
      </c>
      <c r="O742" s="0" t="n">
        <v>0</v>
      </c>
      <c r="P742" s="0" t="s">
        <v>200</v>
      </c>
      <c r="Q742" s="0" t="n">
        <v>0</v>
      </c>
      <c r="R742" s="0" t="n">
        <v>2.74321019851507</v>
      </c>
      <c r="S742" s="0" t="n">
        <v>0</v>
      </c>
      <c r="T742" s="0" t="n">
        <v>0</v>
      </c>
      <c r="U742" s="0" t="n">
        <v>0</v>
      </c>
      <c r="V742" s="0" t="n">
        <v>0</v>
      </c>
      <c r="W742" s="0" t="n">
        <v>20250630</v>
      </c>
      <c r="X742" s="0" t="n">
        <v>0.168301196808511</v>
      </c>
      <c r="Y742" s="0" t="n">
        <v>1.56</v>
      </c>
      <c r="Z742" s="0" t="s">
        <v>123</v>
      </c>
      <c r="AA742" s="0" t="n">
        <f aca="false">IF(AND(ISNUMBER(B742),B742&gt;0,ISNUMBER(U742),U742&gt;=0,ISNUMBER(O742),O742&gt;=0),1,0)</f>
        <v>1</v>
      </c>
      <c r="AB742" s="0" t="n">
        <f aca="false">IF(AA742=1,U742+O742,0)</f>
        <v>0</v>
      </c>
      <c r="AC742" s="0" t="n">
        <f aca="false">IF(AA742=1,100*AB742/B742,"")</f>
        <v>0</v>
      </c>
      <c r="AD742" s="0" t="n">
        <f aca="false">IF(AND(AND(ISNUMBER(B742),B742=OriginalFinancials!B742),AND(ISNUMBER(U742),U742=OriginalFinancials!U742),AND(ISNUMBER(O742),O742=OriginalFinancials!O742)),0,1)</f>
        <v>0</v>
      </c>
      <c r="AE742" s="0" t="str">
        <f aca="false">IF(V742=0,"原始0：需核实适用/报告口径","")</f>
        <v>原始0：需核实适用/报告口径</v>
      </c>
    </row>
    <row r="743" customFormat="false" ht="15" hidden="false" customHeight="false" outlineLevel="0" collapsed="false">
      <c r="A743" s="0" t="n">
        <v>743</v>
      </c>
      <c r="B743" s="0" t="n">
        <v>145991</v>
      </c>
      <c r="C743" s="0" t="n">
        <v>59289</v>
      </c>
      <c r="D743" s="0" t="n">
        <v>129078</v>
      </c>
      <c r="E743" s="0" t="n">
        <v>0.07</v>
      </c>
      <c r="F743" s="0" t="n">
        <v>15698</v>
      </c>
      <c r="G743" s="0" t="n">
        <v>10.7527176332788</v>
      </c>
      <c r="H743" s="0" t="s">
        <v>900</v>
      </c>
      <c r="I743" s="0" t="n">
        <v>0.679823735452525</v>
      </c>
      <c r="J743" s="0" t="n">
        <v>52242</v>
      </c>
      <c r="K743" s="0" t="n">
        <v>0</v>
      </c>
      <c r="L743" s="0" t="n">
        <v>106204</v>
      </c>
      <c r="M743" s="0" t="n">
        <v>105482</v>
      </c>
      <c r="N743" s="0" t="n">
        <v>38420</v>
      </c>
      <c r="O743" s="0" t="n">
        <v>2835</v>
      </c>
      <c r="P743" s="0" t="s">
        <v>364</v>
      </c>
      <c r="Q743" s="0" t="n">
        <v>2.66939098339046</v>
      </c>
      <c r="R743" s="0" t="n">
        <v>3.99218654620925</v>
      </c>
      <c r="S743" s="0" t="n">
        <v>-98</v>
      </c>
      <c r="T743" s="0" t="n">
        <v>3478</v>
      </c>
      <c r="U743" s="0" t="n">
        <v>0</v>
      </c>
      <c r="V743" s="0" t="n">
        <v>0</v>
      </c>
      <c r="W743" s="0" t="n">
        <v>20250630</v>
      </c>
      <c r="X743" s="0" t="n">
        <v>-0.239988600541474</v>
      </c>
      <c r="Y743" s="0" t="n">
        <v>-2.03</v>
      </c>
      <c r="Z743" s="0" t="s">
        <v>123</v>
      </c>
      <c r="AA743" s="0" t="n">
        <f aca="false">IF(AND(ISNUMBER(B743),B743&gt;0,ISNUMBER(U743),U743&gt;=0,ISNUMBER(O743),O743&gt;=0),1,0)</f>
        <v>1</v>
      </c>
      <c r="AB743" s="0" t="n">
        <f aca="false">IF(AA743=1,U743+O743,0)</f>
        <v>2835</v>
      </c>
      <c r="AC743" s="0" t="n">
        <f aca="false">IF(AA743=1,100*AB743/B743,"")</f>
        <v>1.94190052811475</v>
      </c>
      <c r="AD743" s="0" t="n">
        <f aca="false">IF(AND(AND(ISNUMBER(B743),B743=OriginalFinancials!B743),AND(ISNUMBER(U743),U743=OriginalFinancials!U743),AND(ISNUMBER(O743),O743=OriginalFinancials!O743)),0,1)</f>
        <v>0</v>
      </c>
      <c r="AE743" s="0" t="str">
        <f aca="false">IF(V743=0,"原始0：需核实适用/报告口径","")</f>
        <v>原始0：需核实适用/报告口径</v>
      </c>
    </row>
    <row r="744" customFormat="false" ht="15" hidden="false" customHeight="false" outlineLevel="0" collapsed="false">
      <c r="A744" s="0" t="n">
        <v>744</v>
      </c>
      <c r="B744" s="0" t="n">
        <v>269483</v>
      </c>
      <c r="C744" s="0" t="n">
        <v>59298</v>
      </c>
      <c r="D744" s="0" t="n">
        <v>242655</v>
      </c>
      <c r="E744" s="0" t="n">
        <v>0.14</v>
      </c>
      <c r="F744" s="0" t="n">
        <v>25838</v>
      </c>
      <c r="G744" s="0" t="n">
        <v>9.58798885272912</v>
      </c>
      <c r="H744" s="0" t="s">
        <v>901</v>
      </c>
      <c r="I744" s="0" t="n">
        <v>0.855121746710942</v>
      </c>
      <c r="J744" s="0" t="n">
        <v>35490</v>
      </c>
      <c r="K744" s="0" t="n">
        <v>0</v>
      </c>
      <c r="L744" s="0" t="n">
        <v>150271</v>
      </c>
      <c r="M744" s="0" t="n">
        <v>148986</v>
      </c>
      <c r="N744" s="0" t="n">
        <v>114258</v>
      </c>
      <c r="O744" s="0" t="n">
        <v>0</v>
      </c>
      <c r="P744" s="0" t="s">
        <v>310</v>
      </c>
      <c r="Q744" s="0" t="n">
        <v>0</v>
      </c>
      <c r="R744" s="0" t="n">
        <v>2.35397816467432</v>
      </c>
      <c r="S744" s="0" t="n">
        <v>0</v>
      </c>
      <c r="T744" s="0" t="n">
        <v>0</v>
      </c>
      <c r="U744" s="0" t="n">
        <v>0</v>
      </c>
      <c r="V744" s="0" t="n">
        <v>16.8779498144312</v>
      </c>
      <c r="W744" s="0" t="n">
        <v>20250630</v>
      </c>
      <c r="X744" s="0" t="n">
        <v>0.0611768333776823</v>
      </c>
      <c r="Y744" s="0" t="n">
        <v>0.66</v>
      </c>
      <c r="Z744" s="0" t="s">
        <v>112</v>
      </c>
      <c r="AA744" s="0" t="n">
        <f aca="false">IF(AND(ISNUMBER(B744),B744&gt;0,ISNUMBER(U744),U744&gt;=0,ISNUMBER(O744),O744&gt;=0),1,0)</f>
        <v>1</v>
      </c>
      <c r="AB744" s="0" t="n">
        <f aca="false">IF(AA744=1,U744+O744,0)</f>
        <v>0</v>
      </c>
      <c r="AC744" s="0" t="n">
        <f aca="false">IF(AA744=1,100*AB744/B744,"")</f>
        <v>0</v>
      </c>
      <c r="AD744" s="0" t="n">
        <f aca="false">IF(AND(AND(ISNUMBER(B744),B744=OriginalFinancials!B744),AND(ISNUMBER(U744),U744=OriginalFinancials!U744),AND(ISNUMBER(O744),O744=OriginalFinancials!O744)),0,1)</f>
        <v>0</v>
      </c>
      <c r="AE744" s="0" t="str">
        <f aca="false">IF(V744=0,"原始0：需核实适用/报告口径","")</f>
        <v/>
      </c>
    </row>
    <row r="745" customFormat="false" ht="15" hidden="false" customHeight="false" outlineLevel="0" collapsed="false">
      <c r="A745" s="0" t="n">
        <v>745</v>
      </c>
      <c r="B745" s="0" t="n">
        <v>1166044</v>
      </c>
      <c r="C745" s="0" t="n">
        <v>6271</v>
      </c>
      <c r="D745" s="0" t="n">
        <v>934460</v>
      </c>
      <c r="E745" s="0" t="n">
        <v>0.12</v>
      </c>
      <c r="F745" s="0" t="n">
        <v>118181</v>
      </c>
      <c r="G745" s="0" t="n">
        <v>10.1352093059953</v>
      </c>
      <c r="H745" s="0" t="s">
        <v>902</v>
      </c>
      <c r="I745" s="0" t="n">
        <v>1.11838088130534</v>
      </c>
      <c r="J745" s="0" t="n">
        <v>126312</v>
      </c>
      <c r="K745" s="0" t="n">
        <v>10804</v>
      </c>
      <c r="L745" s="0" t="n">
        <v>943328</v>
      </c>
      <c r="M745" s="0" t="n">
        <v>932778</v>
      </c>
      <c r="N745" s="0" t="n">
        <v>758237</v>
      </c>
      <c r="O745" s="0" t="n">
        <v>8674</v>
      </c>
      <c r="P745" s="0" t="s">
        <v>202</v>
      </c>
      <c r="Q745" s="0" t="n">
        <v>0.97855676922555</v>
      </c>
      <c r="R745" s="0" t="n">
        <v>3.50631044981212</v>
      </c>
      <c r="S745" s="0" t="n">
        <v>74</v>
      </c>
      <c r="T745" s="0" t="n">
        <v>759</v>
      </c>
      <c r="U745" s="0" t="n">
        <v>557</v>
      </c>
      <c r="V745" s="0" t="n">
        <v>14.8461580612902</v>
      </c>
      <c r="W745" s="0" t="n">
        <v>20250630</v>
      </c>
      <c r="X745" s="0" t="n">
        <v>1.3603757386888</v>
      </c>
      <c r="Y745" s="0" t="n">
        <v>14.26</v>
      </c>
      <c r="Z745" s="0" t="s">
        <v>112</v>
      </c>
      <c r="AA745" s="0" t="n">
        <f aca="false">IF(AND(ISNUMBER(B745),B745&gt;0,ISNUMBER(U745),U745&gt;=0,ISNUMBER(O745),O745&gt;=0),1,0)</f>
        <v>1</v>
      </c>
      <c r="AB745" s="0" t="n">
        <f aca="false">IF(AA745=1,U745+O745,0)</f>
        <v>9231</v>
      </c>
      <c r="AC745" s="0" t="n">
        <f aca="false">IF(AA745=1,100*AB745/B745,"")</f>
        <v>0.791651086922963</v>
      </c>
      <c r="AD745" s="0" t="n">
        <f aca="false">IF(AND(AND(ISNUMBER(B745),B745=OriginalFinancials!B745),AND(ISNUMBER(U745),U745=OriginalFinancials!U745),AND(ISNUMBER(O745),O745=OriginalFinancials!O745)),0,1)</f>
        <v>0</v>
      </c>
      <c r="AE745" s="0" t="str">
        <f aca="false">IF(V745=0,"原始0：需核实适用/报告口径","")</f>
        <v/>
      </c>
    </row>
    <row r="746" customFormat="false" ht="15" hidden="false" customHeight="false" outlineLevel="0" collapsed="false">
      <c r="A746" s="0" t="n">
        <v>746</v>
      </c>
      <c r="B746" s="0" t="n">
        <v>552605</v>
      </c>
      <c r="C746" s="0" t="n">
        <v>6275</v>
      </c>
      <c r="D746" s="0" t="n">
        <v>506456</v>
      </c>
      <c r="E746" s="0" t="n">
        <v>-0.01</v>
      </c>
      <c r="F746" s="0" t="n">
        <v>38291</v>
      </c>
      <c r="G746" s="0" t="n">
        <v>6.92918087965183</v>
      </c>
      <c r="H746" s="0" t="s">
        <v>903</v>
      </c>
      <c r="I746" s="0" t="n">
        <v>0.378470384620886</v>
      </c>
      <c r="J746" s="0" t="n">
        <v>32839</v>
      </c>
      <c r="K746" s="0" t="n">
        <v>7076</v>
      </c>
      <c r="L746" s="0" t="n">
        <v>349565</v>
      </c>
      <c r="M746" s="0" t="n">
        <v>348242</v>
      </c>
      <c r="N746" s="0" t="n">
        <v>299164</v>
      </c>
      <c r="O746" s="0" t="n">
        <v>652</v>
      </c>
      <c r="P746" s="0" t="s">
        <v>204</v>
      </c>
      <c r="Q746" s="0" t="n">
        <v>0.186517528928811</v>
      </c>
      <c r="R746" s="0" t="n">
        <v>3.25032492027984</v>
      </c>
      <c r="S746" s="0" t="n">
        <v>8</v>
      </c>
      <c r="T746" s="0" t="n">
        <v>488</v>
      </c>
      <c r="U746" s="0" t="n">
        <v>0</v>
      </c>
      <c r="V746" s="0" t="n">
        <v>15.9807175065868</v>
      </c>
      <c r="W746" s="0" t="n">
        <v>20250630</v>
      </c>
      <c r="X746" s="0" t="n">
        <v>0.80927276534914</v>
      </c>
      <c r="Y746" s="0" t="n">
        <v>12.34</v>
      </c>
      <c r="Z746" s="0" t="s">
        <v>112</v>
      </c>
      <c r="AA746" s="0" t="n">
        <f aca="false">IF(AND(ISNUMBER(B746),B746&gt;0,ISNUMBER(U746),U746&gt;=0,ISNUMBER(O746),O746&gt;=0),1,0)</f>
        <v>1</v>
      </c>
      <c r="AB746" s="0" t="n">
        <f aca="false">IF(AA746=1,U746+O746,0)</f>
        <v>652</v>
      </c>
      <c r="AC746" s="0" t="n">
        <f aca="false">IF(AA746=1,100*AB746/B746,"")</f>
        <v>0.117986626975869</v>
      </c>
      <c r="AD746" s="0" t="n">
        <f aca="false">IF(AND(AND(ISNUMBER(B746),B746=OriginalFinancials!B746),AND(ISNUMBER(U746),U746=OriginalFinancials!U746),AND(ISNUMBER(O746),O746=OriginalFinancials!O746)),0,1)</f>
        <v>0</v>
      </c>
      <c r="AE746" s="0" t="str">
        <f aca="false">IF(V746=0,"原始0：需核实适用/报告口径","")</f>
        <v/>
      </c>
    </row>
    <row r="747" customFormat="false" ht="15" hidden="false" customHeight="false" outlineLevel="0" collapsed="false">
      <c r="A747" s="0" t="n">
        <v>747</v>
      </c>
      <c r="B747" s="0" t="n">
        <v>87770</v>
      </c>
      <c r="C747" s="0" t="n">
        <v>6280</v>
      </c>
      <c r="D747" s="0" t="n">
        <v>77256</v>
      </c>
      <c r="E747" s="0" t="n">
        <v>0.09</v>
      </c>
      <c r="F747" s="0" t="n">
        <v>9949</v>
      </c>
      <c r="G747" s="0" t="n">
        <v>11.3353081918651</v>
      </c>
      <c r="H747" s="0" t="s">
        <v>904</v>
      </c>
      <c r="I747" s="0" t="n">
        <v>1.29958960328317</v>
      </c>
      <c r="J747" s="0" t="n">
        <v>3899</v>
      </c>
      <c r="K747" s="0" t="n">
        <v>1311</v>
      </c>
      <c r="L747" s="0" t="n">
        <v>73100</v>
      </c>
      <c r="M747" s="0" t="n">
        <v>72150</v>
      </c>
      <c r="N747" s="0" t="n">
        <v>64947</v>
      </c>
      <c r="O747" s="0" t="n">
        <v>1455</v>
      </c>
      <c r="P747" s="0" t="s">
        <v>206</v>
      </c>
      <c r="Q747" s="0" t="n">
        <v>1.99042407660739</v>
      </c>
      <c r="R747" s="0" t="n">
        <v>4.53943407585792</v>
      </c>
      <c r="S747" s="0" t="n">
        <v>0</v>
      </c>
      <c r="T747" s="0" t="n">
        <v>592</v>
      </c>
      <c r="U747" s="0" t="n">
        <v>0</v>
      </c>
      <c r="V747" s="0" t="n">
        <v>0</v>
      </c>
      <c r="W747" s="0" t="n">
        <v>20250630</v>
      </c>
      <c r="X747" s="0" t="n">
        <v>1.36654026169246</v>
      </c>
      <c r="Y747" s="0" t="n">
        <v>12.13</v>
      </c>
      <c r="Z747" s="0" t="s">
        <v>112</v>
      </c>
      <c r="AA747" s="0" t="n">
        <f aca="false">IF(AND(ISNUMBER(B747),B747&gt;0,ISNUMBER(U747),U747&gt;=0,ISNUMBER(O747),O747&gt;=0),1,0)</f>
        <v>1</v>
      </c>
      <c r="AB747" s="0" t="n">
        <f aca="false">IF(AA747=1,U747+O747,0)</f>
        <v>1455</v>
      </c>
      <c r="AC747" s="0" t="n">
        <f aca="false">IF(AA747=1,100*AB747/B747,"")</f>
        <v>1.65774182522502</v>
      </c>
      <c r="AD747" s="0" t="n">
        <f aca="false">IF(AND(AND(ISNUMBER(B747),B747=OriginalFinancials!B747),AND(ISNUMBER(U747),U747=OriginalFinancials!U747),AND(ISNUMBER(O747),O747=OriginalFinancials!O747)),0,1)</f>
        <v>0</v>
      </c>
      <c r="AE747" s="0" t="str">
        <f aca="false">IF(V747=0,"原始0：需核实适用/报告口径","")</f>
        <v>原始0：需核实适用/报告口径</v>
      </c>
    </row>
  </sheetData>
  <autoFilter ref="A1:AE7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7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2" min="1" style="0" width="19"/>
  </cols>
  <sheetData>
    <row r="1" customFormat="false" ht="15" hidden="false" customHeight="false" outlineLevel="0" collapsed="false">
      <c r="A1" s="7" t="s">
        <v>79</v>
      </c>
      <c r="B1" s="7" t="s">
        <v>80</v>
      </c>
      <c r="C1" s="7" t="s">
        <v>26</v>
      </c>
      <c r="D1" s="7" t="s">
        <v>81</v>
      </c>
      <c r="E1" s="7" t="s">
        <v>82</v>
      </c>
      <c r="F1" s="7" t="s">
        <v>83</v>
      </c>
      <c r="G1" s="7" t="s">
        <v>84</v>
      </c>
      <c r="H1" s="7" t="s">
        <v>85</v>
      </c>
      <c r="I1" s="7" t="s">
        <v>86</v>
      </c>
      <c r="J1" s="7" t="s">
        <v>87</v>
      </c>
      <c r="K1" s="7" t="s">
        <v>88</v>
      </c>
      <c r="L1" s="7" t="s">
        <v>89</v>
      </c>
      <c r="M1" s="7" t="s">
        <v>90</v>
      </c>
      <c r="N1" s="7" t="s">
        <v>91</v>
      </c>
      <c r="O1" s="7" t="s">
        <v>92</v>
      </c>
      <c r="P1" s="7" t="s">
        <v>93</v>
      </c>
      <c r="Q1" s="7" t="s">
        <v>94</v>
      </c>
      <c r="R1" s="7" t="s">
        <v>95</v>
      </c>
      <c r="S1" s="7" t="s">
        <v>96</v>
      </c>
      <c r="T1" s="7" t="s">
        <v>97</v>
      </c>
      <c r="U1" s="7" t="s">
        <v>98</v>
      </c>
      <c r="V1" s="7" t="s">
        <v>99</v>
      </c>
      <c r="W1" s="7" t="s">
        <v>78</v>
      </c>
      <c r="X1" s="7" t="s">
        <v>100</v>
      </c>
      <c r="Y1" s="7" t="s">
        <v>101</v>
      </c>
      <c r="Z1" s="7" t="s">
        <v>102</v>
      </c>
      <c r="AA1" s="7" t="s">
        <v>905</v>
      </c>
      <c r="AB1" s="7" t="s">
        <v>906</v>
      </c>
      <c r="AC1" s="7" t="s">
        <v>907</v>
      </c>
      <c r="AD1" s="7" t="s">
        <v>910</v>
      </c>
      <c r="AE1" s="7" t="s">
        <v>911</v>
      </c>
      <c r="AF1" s="7" t="s">
        <v>909</v>
      </c>
    </row>
    <row r="2" customFormat="false" ht="15" hidden="false" customHeight="false" outlineLevel="0" collapsed="false">
      <c r="A2" s="0" t="n">
        <f aca="false">IF(ISBLANK(RawFinancials!A2),"",RawFinancials!A2)</f>
        <v>2</v>
      </c>
      <c r="B2" s="0" t="n">
        <f aca="false">IF(ISBLANK(RawFinancials!B2),"",RawFinancials!B2)</f>
        <v>3688993</v>
      </c>
      <c r="C2" s="0" t="n">
        <f aca="false">IF(ISBLANK(RawFinancials!C2),"",RawFinancials!C2)</f>
        <v>11971</v>
      </c>
      <c r="D2" s="0" t="n">
        <f aca="false">IF(ISBLANK(RawFinancials!D2),"",RawFinancials!D2)</f>
        <v>3055632</v>
      </c>
      <c r="E2" s="0" t="n">
        <f aca="false">IF(ISBLANK(RawFinancials!E2),"",RawFinancials!E2)</f>
        <v>0.08</v>
      </c>
      <c r="F2" s="0" t="n">
        <f aca="false">IF(ISBLANK(RawFinancials!F2),"",RawFinancials!F2)</f>
        <v>461681</v>
      </c>
      <c r="G2" s="0" t="n">
        <f aca="false">IF(ISBLANK(RawFinancials!G2),"",RawFinancials!G2)</f>
        <v>12.5150955829951</v>
      </c>
      <c r="H2" s="0" t="str">
        <f aca="false">IF(ISBLANK(RawFinancials!H2),"",RawFinancials!H2)</f>
        <v>11971_20220331</v>
      </c>
      <c r="I2" s="0" t="n">
        <f aca="false">IF(ISBLANK(RawFinancials!I2),"",RawFinancials!I2)</f>
        <v>0.872655514437764</v>
      </c>
      <c r="J2" s="0" t="n">
        <f aca="false">IF(ISBLANK(RawFinancials!J2),"",RawFinancials!J2)</f>
        <v>201303</v>
      </c>
      <c r="K2" s="0" t="n">
        <f aca="false">IF(ISBLANK(RawFinancials!K2),"",RawFinancials!K2)</f>
        <v>7873</v>
      </c>
      <c r="L2" s="0" t="n">
        <f aca="false">IF(ISBLANK(RawFinancials!L2),"",RawFinancials!L2)</f>
        <v>2657406</v>
      </c>
      <c r="M2" s="0" t="n">
        <f aca="false">IF(ISBLANK(RawFinancials!M2),"",RawFinancials!M2)</f>
        <v>2634216</v>
      </c>
      <c r="N2" s="0" t="n">
        <f aca="false">IF(ISBLANK(RawFinancials!N2),"",RawFinancials!N2)</f>
        <v>2317079</v>
      </c>
      <c r="O2" s="0" t="n">
        <f aca="false">IF(ISBLANK(RawFinancials!O2),"",RawFinancials!O2)</f>
        <v>9213</v>
      </c>
      <c r="P2" s="0" t="str">
        <f aca="false">IF(ISBLANK(RawFinancials!P2),"",RawFinancials!P2)</f>
        <v>BAR HARBOR BANK &amp; TRUST</v>
      </c>
      <c r="Q2" s="0" t="n">
        <f aca="false">IF(ISBLANK(RawFinancials!Q2),"",RawFinancials!Q2)</f>
        <v>0.378414137696686</v>
      </c>
      <c r="R2" s="0" t="n">
        <f aca="false">IF(ISBLANK(RawFinancials!R2),"",RawFinancials!R2)</f>
        <v>3.00674213850075</v>
      </c>
      <c r="S2" s="0" t="n">
        <f aca="false">IF(ISBLANK(RawFinancials!S2),"",RawFinancials!S2)</f>
        <v>-95</v>
      </c>
      <c r="T2" s="0" t="n">
        <f aca="false">IF(ISBLANK(RawFinancials!T2),"",RawFinancials!T2)</f>
        <v>4642</v>
      </c>
      <c r="U2" s="0" t="n">
        <f aca="false">IF(ISBLANK(RawFinancials!U2),"",RawFinancials!U2)</f>
        <v>843</v>
      </c>
      <c r="V2" s="0" t="n">
        <f aca="false">IF(ISBLANK(RawFinancials!V2),"",RawFinancials!V2)</f>
        <v>13.6789606326397</v>
      </c>
      <c r="W2" s="0" t="n">
        <f aca="false">IF(ISBLANK(RawFinancials!W2),"",RawFinancials!W2)</f>
        <v>20220331</v>
      </c>
      <c r="X2" s="0" t="n">
        <f aca="false">IF(ISBLANK(RawFinancials!X2),"",RawFinancials!X2)</f>
        <v>1.11623429129291</v>
      </c>
      <c r="Y2" s="0" t="n">
        <f aca="false">IF(ISBLANK(RawFinancials!Y2),"",RawFinancials!Y2)</f>
        <v>8.77</v>
      </c>
      <c r="Z2" s="0" t="str">
        <f aca="false">IF(ISBLANK(RawFinancials!Z2),"",RawFinancials!Z2)</f>
        <v>ME</v>
      </c>
      <c r="AA2" s="0" t="n">
        <f aca="false">RawFinancials!AA2</f>
        <v>1</v>
      </c>
      <c r="AB2" s="0" t="n">
        <f aca="false">RawFinancials!AB2</f>
        <v>10056</v>
      </c>
      <c r="AC2" s="0" t="n">
        <f aca="false">RawFinancials!AC2</f>
        <v>0.272594716227437</v>
      </c>
      <c r="AD2" s="0" t="n">
        <f aca="false">IF(L2&gt;0,100*N2/L2,"")</f>
        <v>87.193262903749</v>
      </c>
      <c r="AE2" s="0" t="n">
        <f aca="false">IF(B2&gt;0,100*F2/B2,"")</f>
        <v>12.5150955829951</v>
      </c>
      <c r="AF2" s="0" t="str">
        <f aca="false">RawFinancials!AE2</f>
        <v/>
      </c>
    </row>
    <row r="3" customFormat="false" ht="15" hidden="false" customHeight="false" outlineLevel="0" collapsed="false">
      <c r="A3" s="0" t="n">
        <f aca="false">IF(ISBLANK(RawFinancials!A3),"",RawFinancials!A3)</f>
        <v>3</v>
      </c>
      <c r="B3" s="0" t="n">
        <f aca="false">IF(ISBLANK(RawFinancials!B3),"",RawFinancials!B3)</f>
        <v>964163</v>
      </c>
      <c r="C3" s="0" t="n">
        <f aca="false">IF(ISBLANK(RawFinancials!C3),"",RawFinancials!C3)</f>
        <v>12874</v>
      </c>
      <c r="D3" s="0" t="n">
        <f aca="false">IF(ISBLANK(RawFinancials!D3),"",RawFinancials!D3)</f>
        <v>854194</v>
      </c>
      <c r="E3" s="0" t="n">
        <f aca="false">IF(ISBLANK(RawFinancials!E3),"",RawFinancials!E3)</f>
        <v>0</v>
      </c>
      <c r="F3" s="0" t="n">
        <f aca="false">IF(ISBLANK(RawFinancials!F3),"",RawFinancials!F3)</f>
        <v>97916</v>
      </c>
      <c r="G3" s="0" t="n">
        <f aca="false">IF(ISBLANK(RawFinancials!G3),"",RawFinancials!G3)</f>
        <v>10.1555442388891</v>
      </c>
      <c r="H3" s="0" t="str">
        <f aca="false">IF(ISBLANK(RawFinancials!H3),"",RawFinancials!H3)</f>
        <v>12874_20220331</v>
      </c>
      <c r="I3" s="0" t="n">
        <f aca="false">IF(ISBLANK(RawFinancials!I3),"",RawFinancials!I3)</f>
        <v>1.0653480801085</v>
      </c>
      <c r="J3" s="0" t="n">
        <f aca="false">IF(ISBLANK(RawFinancials!J3),"",RawFinancials!J3)</f>
        <v>138143</v>
      </c>
      <c r="K3" s="0" t="n">
        <f aca="false">IF(ISBLANK(RawFinancials!K3),"",RawFinancials!K3)</f>
        <v>5249</v>
      </c>
      <c r="L3" s="0" t="n">
        <f aca="false">IF(ISBLANK(RawFinancials!L3),"",RawFinancials!L3)</f>
        <v>732906</v>
      </c>
      <c r="M3" s="0" t="n">
        <f aca="false">IF(ISBLANK(RawFinancials!M3),"",RawFinancials!M3)</f>
        <v>725098</v>
      </c>
      <c r="N3" s="0" t="n">
        <f aca="false">IF(ISBLANK(RawFinancials!N3),"",RawFinancials!N3)</f>
        <v>577596</v>
      </c>
      <c r="O3" s="0" t="n">
        <f aca="false">IF(ISBLANK(RawFinancials!O3),"",RawFinancials!O3)</f>
        <v>1069</v>
      </c>
      <c r="P3" s="0" t="str">
        <f aca="false">IF(ISBLANK(RawFinancials!P3),"",RawFinancials!P3)</f>
        <v>KATAHDIN TRUST COMPANY</v>
      </c>
      <c r="Q3" s="0" t="n">
        <f aca="false">IF(ISBLANK(RawFinancials!Q3),"",RawFinancials!Q3)</f>
        <v>0.145857722545592</v>
      </c>
      <c r="R3" s="0" t="n">
        <f aca="false">IF(ISBLANK(RawFinancials!R3),"",RawFinancials!R3)</f>
        <v>3.40195044114991</v>
      </c>
      <c r="S3" s="0" t="n">
        <f aca="false">IF(ISBLANK(RawFinancials!S3),"",RawFinancials!S3)</f>
        <v>-5</v>
      </c>
      <c r="T3" s="0" t="n">
        <f aca="false">IF(ISBLANK(RawFinancials!T3),"",RawFinancials!T3)</f>
        <v>374</v>
      </c>
      <c r="U3" s="0" t="n">
        <f aca="false">IF(ISBLANK(RawFinancials!U3),"",RawFinancials!U3)</f>
        <v>0</v>
      </c>
      <c r="V3" s="0" t="n">
        <f aca="false">IF(ISBLANK(RawFinancials!V3),"",RawFinancials!V3)</f>
        <v>15.6016028760784</v>
      </c>
      <c r="W3" s="0" t="n">
        <f aca="false">IF(ISBLANK(RawFinancials!W3),"",RawFinancials!W3)</f>
        <v>20220331</v>
      </c>
      <c r="X3" s="0" t="n">
        <f aca="false">IF(ISBLANK(RawFinancials!X3),"",RawFinancials!X3)</f>
        <v>0.831497320164808</v>
      </c>
      <c r="Y3" s="0" t="n">
        <f aca="false">IF(ISBLANK(RawFinancials!Y3),"",RawFinancials!Y3)</f>
        <v>7.95</v>
      </c>
      <c r="Z3" s="0" t="str">
        <f aca="false">IF(ISBLANK(RawFinancials!Z3),"",RawFinancials!Z3)</f>
        <v>ME</v>
      </c>
      <c r="AA3" s="0" t="n">
        <f aca="false">RawFinancials!AA3</f>
        <v>1</v>
      </c>
      <c r="AB3" s="0" t="n">
        <f aca="false">RawFinancials!AB3</f>
        <v>1069</v>
      </c>
      <c r="AC3" s="0" t="n">
        <f aca="false">RawFinancials!AC3</f>
        <v>0.11087336892206</v>
      </c>
      <c r="AD3" s="0" t="n">
        <f aca="false">IF(L3&gt;0,100*N3/L3,"")</f>
        <v>78.8090150715099</v>
      </c>
      <c r="AE3" s="0" t="n">
        <f aca="false">IF(B3&gt;0,100*F3/B3,"")</f>
        <v>10.1555442388891</v>
      </c>
      <c r="AF3" s="0" t="str">
        <f aca="false">RawFinancials!AE3</f>
        <v/>
      </c>
    </row>
    <row r="4" customFormat="false" ht="15" hidden="false" customHeight="false" outlineLevel="0" collapsed="false">
      <c r="A4" s="0" t="n">
        <f aca="false">IF(ISBLANK(RawFinancials!A4),"",RawFinancials!A4)</f>
        <v>4</v>
      </c>
      <c r="B4" s="0" t="n">
        <f aca="false">IF(ISBLANK(RawFinancials!B4),"",RawFinancials!B4)</f>
        <v>1784835</v>
      </c>
      <c r="C4" s="0" t="n">
        <f aca="false">IF(ISBLANK(RawFinancials!C4),"",RawFinancials!C4)</f>
        <v>13063</v>
      </c>
      <c r="D4" s="0" t="n">
        <f aca="false">IF(ISBLANK(RawFinancials!D4),"",RawFinancials!D4)</f>
        <v>1619076</v>
      </c>
      <c r="E4" s="0" t="n">
        <f aca="false">IF(ISBLANK(RawFinancials!E4),"",RawFinancials!E4)</f>
        <v>0</v>
      </c>
      <c r="F4" s="0" t="n">
        <f aca="false">IF(ISBLANK(RawFinancials!F4),"",RawFinancials!F4)</f>
        <v>148181</v>
      </c>
      <c r="G4" s="0" t="n">
        <f aca="false">IF(ISBLANK(RawFinancials!G4),"",RawFinancials!G4)</f>
        <v>8.30222401510504</v>
      </c>
      <c r="H4" s="0" t="str">
        <f aca="false">IF(ISBLANK(RawFinancials!H4),"",RawFinancials!H4)</f>
        <v>13063_20220331</v>
      </c>
      <c r="I4" s="0" t="n">
        <f aca="false">IF(ISBLANK(RawFinancials!I4),"",RawFinancials!I4)</f>
        <v>1.21800997066346</v>
      </c>
      <c r="J4" s="0" t="n">
        <f aca="false">IF(ISBLANK(RawFinancials!J4),"",RawFinancials!J4)</f>
        <v>55361</v>
      </c>
      <c r="K4" s="0" t="n">
        <f aca="false">IF(ISBLANK(RawFinancials!K4),"",RawFinancials!K4)</f>
        <v>837</v>
      </c>
      <c r="L4" s="0" t="n">
        <f aca="false">IF(ISBLANK(RawFinancials!L4),"",RawFinancials!L4)</f>
        <v>1223389</v>
      </c>
      <c r="M4" s="0" t="n">
        <f aca="false">IF(ISBLANK(RawFinancials!M4),"",RawFinancials!M4)</f>
        <v>1208488</v>
      </c>
      <c r="N4" s="0" t="n">
        <f aca="false">IF(ISBLANK(RawFinancials!N4),"",RawFinancials!N4)</f>
        <v>1160807</v>
      </c>
      <c r="O4" s="0" t="n">
        <f aca="false">IF(ISBLANK(RawFinancials!O4),"",RawFinancials!O4)</f>
        <v>408</v>
      </c>
      <c r="P4" s="0" t="str">
        <f aca="false">IF(ISBLANK(RawFinancials!P4),"",RawFinancials!P4)</f>
        <v>KENNEBUNK SAVINGS BANK</v>
      </c>
      <c r="Q4" s="0" t="n">
        <f aca="false">IF(ISBLANK(RawFinancials!Q4),"",RawFinancials!Q4)</f>
        <v>0.131111200117052</v>
      </c>
      <c r="R4" s="0" t="n">
        <f aca="false">IF(ISBLANK(RawFinancials!R4),"",RawFinancials!R4)</f>
        <v>3.27111477410285</v>
      </c>
      <c r="S4" s="0" t="n">
        <f aca="false">IF(ISBLANK(RawFinancials!S4),"",RawFinancials!S4)</f>
        <v>-5</v>
      </c>
      <c r="T4" s="0" t="n">
        <f aca="false">IF(ISBLANK(RawFinancials!T4),"",RawFinancials!T4)</f>
        <v>3</v>
      </c>
      <c r="U4" s="0" t="n">
        <f aca="false">IF(ISBLANK(RawFinancials!U4),"",RawFinancials!U4)</f>
        <v>1196</v>
      </c>
      <c r="V4" s="0" t="n">
        <f aca="false">IF(ISBLANK(RawFinancials!V4),"",RawFinancials!V4)</f>
        <v>0</v>
      </c>
      <c r="W4" s="0" t="n">
        <f aca="false">IF(ISBLANK(RawFinancials!W4),"",RawFinancials!W4)</f>
        <v>20220331</v>
      </c>
      <c r="X4" s="0" t="n">
        <f aca="false">IF(ISBLANK(RawFinancials!X4),"",RawFinancials!X4)</f>
        <v>0.482373134010048</v>
      </c>
      <c r="Y4" s="0" t="n">
        <f aca="false">IF(ISBLANK(RawFinancials!Y4),"",RawFinancials!Y4)</f>
        <v>5.56</v>
      </c>
      <c r="Z4" s="0" t="str">
        <f aca="false">IF(ISBLANK(RawFinancials!Z4),"",RawFinancials!Z4)</f>
        <v>ME</v>
      </c>
      <c r="AA4" s="0" t="n">
        <f aca="false">RawFinancials!AA4</f>
        <v>1</v>
      </c>
      <c r="AB4" s="0" t="n">
        <f aca="false">RawFinancials!AB4</f>
        <v>1604</v>
      </c>
      <c r="AC4" s="0" t="n">
        <f aca="false">RawFinancials!AC4</f>
        <v>0.0898682511268549</v>
      </c>
      <c r="AD4" s="0" t="n">
        <f aca="false">IF(L4&gt;0,100*N4/L4,"")</f>
        <v>94.8845379515428</v>
      </c>
      <c r="AE4" s="0" t="n">
        <f aca="false">IF(B4&gt;0,100*F4/B4,"")</f>
        <v>8.30222401510504</v>
      </c>
      <c r="AF4" s="0" t="str">
        <f aca="false">RawFinancials!AE4</f>
        <v>原始0：需核实适用/报告口径</v>
      </c>
    </row>
    <row r="5" customFormat="false" ht="15" hidden="false" customHeight="false" outlineLevel="0" collapsed="false">
      <c r="A5" s="0" t="n">
        <f aca="false">IF(ISBLANK(RawFinancials!A5),"",RawFinancials!A5)</f>
        <v>5</v>
      </c>
      <c r="B5" s="0" t="n">
        <f aca="false">IF(ISBLANK(RawFinancials!B5),"",RawFinancials!B5)</f>
        <v>869402</v>
      </c>
      <c r="C5" s="0" t="n">
        <f aca="false">IF(ISBLANK(RawFinancials!C5),"",RawFinancials!C5)</f>
        <v>14134</v>
      </c>
      <c r="D5" s="0" t="n">
        <f aca="false">IF(ISBLANK(RawFinancials!D5),"",RawFinancials!D5)</f>
        <v>737795</v>
      </c>
      <c r="E5" s="0" t="n">
        <f aca="false">IF(ISBLANK(RawFinancials!E5),"",RawFinancials!E5)</f>
        <v>0.1</v>
      </c>
      <c r="F5" s="0" t="n">
        <f aca="false">IF(ISBLANK(RawFinancials!F5),"",RawFinancials!F5)</f>
        <v>101808</v>
      </c>
      <c r="G5" s="0" t="n">
        <f aca="false">IF(ISBLANK(RawFinancials!G5),"",RawFinancials!G5)</f>
        <v>11.7101179891466</v>
      </c>
      <c r="H5" s="0" t="str">
        <f aca="false">IF(ISBLANK(RawFinancials!H5),"",RawFinancials!H5)</f>
        <v>14134_20220331</v>
      </c>
      <c r="I5" s="0" t="n">
        <f aca="false">IF(ISBLANK(RawFinancials!I5),"",RawFinancials!I5)</f>
        <v>1.40143664862472</v>
      </c>
      <c r="J5" s="0" t="n">
        <f aca="false">IF(ISBLANK(RawFinancials!J5),"",RawFinancials!J5)</f>
        <v>27870</v>
      </c>
      <c r="K5" s="0" t="n">
        <f aca="false">IF(ISBLANK(RawFinancials!K5),"",RawFinancials!K5)</f>
        <v>26813</v>
      </c>
      <c r="L5" s="0" t="n">
        <f aca="false">IF(ISBLANK(RawFinancials!L5),"",RawFinancials!L5)</f>
        <v>596388</v>
      </c>
      <c r="M5" s="0" t="n">
        <f aca="false">IF(ISBLANK(RawFinancials!M5),"",RawFinancials!M5)</f>
        <v>588030</v>
      </c>
      <c r="N5" s="0" t="n">
        <f aca="false">IF(ISBLANK(RawFinancials!N5),"",RawFinancials!N5)</f>
        <v>516229</v>
      </c>
      <c r="O5" s="0" t="n">
        <f aca="false">IF(ISBLANK(RawFinancials!O5),"",RawFinancials!O5)</f>
        <v>8014</v>
      </c>
      <c r="P5" s="0" t="str">
        <f aca="false">IF(ISBLANK(RawFinancials!P5),"",RawFinancials!P5)</f>
        <v>PASSUMPSIC SAVINGS BANK</v>
      </c>
      <c r="Q5" s="0" t="n">
        <f aca="false">IF(ISBLANK(RawFinancials!Q5),"",RawFinancials!Q5)</f>
        <v>1.34375607825778</v>
      </c>
      <c r="R5" s="0" t="n">
        <f aca="false">IF(ISBLANK(RawFinancials!R5),"",RawFinancials!R5)</f>
        <v>2.7424379773478</v>
      </c>
      <c r="S5" s="0" t="n">
        <f aca="false">IF(ISBLANK(RawFinancials!S5),"",RawFinancials!S5)</f>
        <v>19</v>
      </c>
      <c r="T5" s="0" t="n">
        <f aca="false">IF(ISBLANK(RawFinancials!T5),"",RawFinancials!T5)</f>
        <v>4990</v>
      </c>
      <c r="U5" s="0" t="n">
        <f aca="false">IF(ISBLANK(RawFinancials!U5),"",RawFinancials!U5)</f>
        <v>0</v>
      </c>
      <c r="V5" s="0" t="n">
        <f aca="false">IF(ISBLANK(RawFinancials!V5),"",RawFinancials!V5)</f>
        <v>17.5709830780352</v>
      </c>
      <c r="W5" s="0" t="n">
        <f aca="false">IF(ISBLANK(RawFinancials!W5),"",RawFinancials!W5)</f>
        <v>20220331</v>
      </c>
      <c r="X5" s="0" t="n">
        <f aca="false">IF(ISBLANK(RawFinancials!X5),"",RawFinancials!X5)</f>
        <v>-0.387293393035349</v>
      </c>
      <c r="Y5" s="0" t="n">
        <f aca="false">IF(ISBLANK(RawFinancials!Y5),"",RawFinancials!Y5)</f>
        <v>-3.23</v>
      </c>
      <c r="Z5" s="0" t="str">
        <f aca="false">IF(ISBLANK(RawFinancials!Z5),"",RawFinancials!Z5)</f>
        <v>VT</v>
      </c>
      <c r="AA5" s="0" t="n">
        <f aca="false">RawFinancials!AA5</f>
        <v>1</v>
      </c>
      <c r="AB5" s="0" t="n">
        <f aca="false">RawFinancials!AB5</f>
        <v>8014</v>
      </c>
      <c r="AC5" s="0" t="n">
        <f aca="false">RawFinancials!AC5</f>
        <v>0.921783018672605</v>
      </c>
      <c r="AD5" s="0" t="n">
        <f aca="false">IF(L5&gt;0,100*N5/L5,"")</f>
        <v>86.5592533719659</v>
      </c>
      <c r="AE5" s="0" t="n">
        <f aca="false">IF(B5&gt;0,100*F5/B5,"")</f>
        <v>11.7101179891466</v>
      </c>
      <c r="AF5" s="0" t="str">
        <f aca="false">RawFinancials!AE5</f>
        <v/>
      </c>
    </row>
    <row r="6" customFormat="false" ht="15" hidden="false" customHeight="false" outlineLevel="0" collapsed="false">
      <c r="A6" s="0" t="n">
        <f aca="false">IF(ISBLANK(RawFinancials!A6),"",RawFinancials!A6)</f>
        <v>6</v>
      </c>
      <c r="B6" s="0" t="n">
        <f aca="false">IF(ISBLANK(RawFinancials!B6),"",RawFinancials!B6)</f>
        <v>222692</v>
      </c>
      <c r="C6" s="0" t="n">
        <f aca="false">IF(ISBLANK(RawFinancials!C6),"",RawFinancials!C6)</f>
        <v>14136</v>
      </c>
      <c r="D6" s="0" t="n">
        <f aca="false">IF(ISBLANK(RawFinancials!D6),"",RawFinancials!D6)</f>
        <v>199279</v>
      </c>
      <c r="E6" s="0" t="n">
        <f aca="false">IF(ISBLANK(RawFinancials!E6),"",RawFinancials!E6)</f>
        <v>0.08</v>
      </c>
      <c r="F6" s="0" t="n">
        <f aca="false">IF(ISBLANK(RawFinancials!F6),"",RawFinancials!F6)</f>
        <v>18834</v>
      </c>
      <c r="G6" s="0" t="n">
        <f aca="false">IF(ISBLANK(RawFinancials!G6),"",RawFinancials!G6)</f>
        <v>8.45742101198067</v>
      </c>
      <c r="H6" s="0" t="str">
        <f aca="false">IF(ISBLANK(RawFinancials!H6),"",RawFinancials!H6)</f>
        <v>14136_20220331</v>
      </c>
      <c r="I6" s="0" t="n">
        <f aca="false">IF(ISBLANK(RawFinancials!I6),"",RawFinancials!I6)</f>
        <v>1.15017450639032</v>
      </c>
      <c r="J6" s="0" t="n">
        <f aca="false">IF(ISBLANK(RawFinancials!J6),"",RawFinancials!J6)</f>
        <v>12518</v>
      </c>
      <c r="K6" s="0" t="n">
        <f aca="false">IF(ISBLANK(RawFinancials!K6),"",RawFinancials!K6)</f>
        <v>11422</v>
      </c>
      <c r="L6" s="0" t="n">
        <f aca="false">IF(ISBLANK(RawFinancials!L6),"",RawFinancials!L6)</f>
        <v>121199</v>
      </c>
      <c r="M6" s="0" t="n">
        <f aca="false">IF(ISBLANK(RawFinancials!M6),"",RawFinancials!M6)</f>
        <v>119805</v>
      </c>
      <c r="N6" s="0" t="n">
        <f aca="false">IF(ISBLANK(RawFinancials!N6),"",RawFinancials!N6)</f>
        <v>96809</v>
      </c>
      <c r="O6" s="0" t="n">
        <f aca="false">IF(ISBLANK(RawFinancials!O6),"",RawFinancials!O6)</f>
        <v>174</v>
      </c>
      <c r="P6" s="0" t="str">
        <f aca="false">IF(ISBLANK(RawFinancials!P6),"",RawFinancials!P6)</f>
        <v>WELLS RIVER SAVINGS BANK</v>
      </c>
      <c r="Q6" s="0" t="n">
        <f aca="false">IF(ISBLANK(RawFinancials!Q6),"",RawFinancials!Q6)</f>
        <v>0.670797613841698</v>
      </c>
      <c r="R6" s="0" t="n">
        <f aca="false">IF(ISBLANK(RawFinancials!R6),"",RawFinancials!R6)</f>
        <v>3.42236997582913</v>
      </c>
      <c r="S6" s="0" t="n">
        <f aca="false">IF(ISBLANK(RawFinancials!S6),"",RawFinancials!S6)</f>
        <v>7</v>
      </c>
      <c r="T6" s="0" t="n">
        <f aca="false">IF(ISBLANK(RawFinancials!T6),"",RawFinancials!T6)</f>
        <v>803</v>
      </c>
      <c r="U6" s="0" t="n">
        <f aca="false">IF(ISBLANK(RawFinancials!U6),"",RawFinancials!U6)</f>
        <v>639</v>
      </c>
      <c r="V6" s="0" t="n">
        <f aca="false">IF(ISBLANK(RawFinancials!V6),"",RawFinancials!V6)</f>
        <v>17.2762204998947</v>
      </c>
      <c r="W6" s="0" t="n">
        <f aca="false">IF(ISBLANK(RawFinancials!W6),"",RawFinancials!W6)</f>
        <v>20220331</v>
      </c>
      <c r="X6" s="0" t="n">
        <f aca="false">IF(ISBLANK(RawFinancials!X6),"",RawFinancials!X6)</f>
        <v>0.199549216522136</v>
      </c>
      <c r="Y6" s="0" t="n">
        <f aca="false">IF(ISBLANK(RawFinancials!Y6),"",RawFinancials!Y6)</f>
        <v>2.14</v>
      </c>
      <c r="Z6" s="0" t="str">
        <f aca="false">IF(ISBLANK(RawFinancials!Z6),"",RawFinancials!Z6)</f>
        <v>VT</v>
      </c>
      <c r="AA6" s="0" t="n">
        <f aca="false">RawFinancials!AA6</f>
        <v>1</v>
      </c>
      <c r="AB6" s="0" t="n">
        <f aca="false">RawFinancials!AB6</f>
        <v>813</v>
      </c>
      <c r="AC6" s="0" t="n">
        <f aca="false">RawFinancials!AC6</f>
        <v>0.365078224633126</v>
      </c>
      <c r="AD6" s="0" t="n">
        <f aca="false">IF(L6&gt;0,100*N6/L6,"")</f>
        <v>79.8760715847491</v>
      </c>
      <c r="AE6" s="0" t="n">
        <f aca="false">IF(B6&gt;0,100*F6/B6,"")</f>
        <v>8.45742101198067</v>
      </c>
      <c r="AF6" s="0" t="str">
        <f aca="false">RawFinancials!AE6</f>
        <v/>
      </c>
    </row>
    <row r="7" customFormat="false" ht="15" hidden="false" customHeight="false" outlineLevel="0" collapsed="false">
      <c r="A7" s="0" t="n">
        <f aca="false">IF(ISBLANK(RawFinancials!A7),"",RawFinancials!A7)</f>
        <v>7</v>
      </c>
      <c r="B7" s="0" t="n">
        <f aca="false">IF(ISBLANK(RawFinancials!B7),"",RawFinancials!B7)</f>
        <v>1414510</v>
      </c>
      <c r="C7" s="0" t="n">
        <f aca="false">IF(ISBLANK(RawFinancials!C7),"",RawFinancials!C7)</f>
        <v>14140</v>
      </c>
      <c r="D7" s="0" t="n">
        <f aca="false">IF(ISBLANK(RawFinancials!D7),"",RawFinancials!D7)</f>
        <v>1199427</v>
      </c>
      <c r="E7" s="0" t="n">
        <f aca="false">IF(ISBLANK(RawFinancials!E7),"",RawFinancials!E7)</f>
        <v>0</v>
      </c>
      <c r="F7" s="0" t="n">
        <f aca="false">IF(ISBLANK(RawFinancials!F7),"",RawFinancials!F7)</f>
        <v>123854</v>
      </c>
      <c r="G7" s="0" t="n">
        <f aca="false">IF(ISBLANK(RawFinancials!G7),"",RawFinancials!G7)</f>
        <v>8.75596496313211</v>
      </c>
      <c r="H7" s="0" t="str">
        <f aca="false">IF(ISBLANK(RawFinancials!H7),"",RawFinancials!H7)</f>
        <v>14140_20220331</v>
      </c>
      <c r="I7" s="0" t="n">
        <f aca="false">IF(ISBLANK(RawFinancials!I7),"",RawFinancials!I7)</f>
        <v>1.10777383498962</v>
      </c>
      <c r="J7" s="0" t="n">
        <f aca="false">IF(ISBLANK(RawFinancials!J7),"",RawFinancials!J7)</f>
        <v>82518</v>
      </c>
      <c r="K7" s="0" t="n">
        <f aca="false">IF(ISBLANK(RawFinancials!K7),"",RawFinancials!K7)</f>
        <v>1318</v>
      </c>
      <c r="L7" s="0" t="n">
        <f aca="false">IF(ISBLANK(RawFinancials!L7),"",RawFinancials!L7)</f>
        <v>957867</v>
      </c>
      <c r="M7" s="0" t="n">
        <f aca="false">IF(ISBLANK(RawFinancials!M7),"",RawFinancials!M7)</f>
        <v>947256</v>
      </c>
      <c r="N7" s="0" t="n">
        <f aca="false">IF(ISBLANK(RawFinancials!N7),"",RawFinancials!N7)</f>
        <v>866005</v>
      </c>
      <c r="O7" s="0" t="n">
        <f aca="false">IF(ISBLANK(RawFinancials!O7),"",RawFinancials!O7)</f>
        <v>5589</v>
      </c>
      <c r="P7" s="0" t="str">
        <f aca="false">IF(ISBLANK(RawFinancials!P7),"",RawFinancials!P7)</f>
        <v>NORTHFIELD SAVINGS BANK</v>
      </c>
      <c r="Q7" s="0" t="n">
        <f aca="false">IF(ISBLANK(RawFinancials!Q7),"",RawFinancials!Q7)</f>
        <v>0.58348392835331</v>
      </c>
      <c r="R7" s="0" t="n">
        <f aca="false">IF(ISBLANK(RawFinancials!R7),"",RawFinancials!R7)</f>
        <v>2.96981313360941</v>
      </c>
      <c r="S7" s="0" t="n">
        <f aca="false">IF(ISBLANK(RawFinancials!S7),"",RawFinancials!S7)</f>
        <v>9</v>
      </c>
      <c r="T7" s="0" t="n">
        <f aca="false">IF(ISBLANK(RawFinancials!T7),"",RawFinancials!T7)</f>
        <v>785</v>
      </c>
      <c r="U7" s="0" t="n">
        <f aca="false">IF(ISBLANK(RawFinancials!U7),"",RawFinancials!U7)</f>
        <v>0</v>
      </c>
      <c r="V7" s="0" t="n">
        <f aca="false">IF(ISBLANK(RawFinancials!V7),"",RawFinancials!V7)</f>
        <v>0</v>
      </c>
      <c r="W7" s="0" t="n">
        <f aca="false">IF(ISBLANK(RawFinancials!W7),"",RawFinancials!W7)</f>
        <v>20220331</v>
      </c>
      <c r="X7" s="0" t="n">
        <f aca="false">IF(ISBLANK(RawFinancials!X7),"",RawFinancials!X7)</f>
        <v>0.662126324527825</v>
      </c>
      <c r="Y7" s="0" t="n">
        <f aca="false">IF(ISBLANK(RawFinancials!Y7),"",RawFinancials!Y7)</f>
        <v>7.07</v>
      </c>
      <c r="Z7" s="0" t="str">
        <f aca="false">IF(ISBLANK(RawFinancials!Z7),"",RawFinancials!Z7)</f>
        <v>VT</v>
      </c>
      <c r="AA7" s="0" t="n">
        <f aca="false">RawFinancials!AA7</f>
        <v>1</v>
      </c>
      <c r="AB7" s="0" t="n">
        <f aca="false">RawFinancials!AB7</f>
        <v>5589</v>
      </c>
      <c r="AC7" s="0" t="n">
        <f aca="false">RawFinancials!AC7</f>
        <v>0.395119157870923</v>
      </c>
      <c r="AD7" s="0" t="n">
        <f aca="false">IF(L7&gt;0,100*N7/L7,"")</f>
        <v>90.4097332928267</v>
      </c>
      <c r="AE7" s="0" t="n">
        <f aca="false">IF(B7&gt;0,100*F7/B7,"")</f>
        <v>8.75596496313211</v>
      </c>
      <c r="AF7" s="0" t="str">
        <f aca="false">RawFinancials!AE7</f>
        <v>原始0：需核实适用/报告口径</v>
      </c>
    </row>
    <row r="8" customFormat="false" ht="15" hidden="false" customHeight="false" outlineLevel="0" collapsed="false">
      <c r="A8" s="0" t="n">
        <f aca="false">IF(ISBLANK(RawFinancials!A8),"",RawFinancials!A8)</f>
        <v>8</v>
      </c>
      <c r="B8" s="0" t="n">
        <f aca="false">IF(ISBLANK(RawFinancials!B8),"",RawFinancials!B8)</f>
        <v>1232701</v>
      </c>
      <c r="C8" s="0" t="n">
        <f aca="false">IF(ISBLANK(RawFinancials!C8),"",RawFinancials!C8)</f>
        <v>14158</v>
      </c>
      <c r="D8" s="0" t="n">
        <f aca="false">IF(ISBLANK(RawFinancials!D8),"",RawFinancials!D8)</f>
        <v>1137254</v>
      </c>
      <c r="E8" s="0" t="n">
        <f aca="false">IF(ISBLANK(RawFinancials!E8),"",RawFinancials!E8)</f>
        <v>0</v>
      </c>
      <c r="F8" s="0" t="n">
        <f aca="false">IF(ISBLANK(RawFinancials!F8),"",RawFinancials!F8)</f>
        <v>85105</v>
      </c>
      <c r="G8" s="0" t="n">
        <f aca="false">IF(ISBLANK(RawFinancials!G8),"",RawFinancials!G8)</f>
        <v>6.90394507670554</v>
      </c>
      <c r="H8" s="0" t="str">
        <f aca="false">IF(ISBLANK(RawFinancials!H8),"",RawFinancials!H8)</f>
        <v>14158_20220331</v>
      </c>
      <c r="I8" s="0" t="n">
        <f aca="false">IF(ISBLANK(RawFinancials!I8),"",RawFinancials!I8)</f>
        <v>1.00317342649432</v>
      </c>
      <c r="J8" s="0" t="n">
        <f aca="false">IF(ISBLANK(RawFinancials!J8),"",RawFinancials!J8)</f>
        <v>44549</v>
      </c>
      <c r="K8" s="0" t="n">
        <f aca="false">IF(ISBLANK(RawFinancials!K8),"",RawFinancials!K8)</f>
        <v>2157</v>
      </c>
      <c r="L8" s="0" t="n">
        <f aca="false">IF(ISBLANK(RawFinancials!L8),"",RawFinancials!L8)</f>
        <v>830963</v>
      </c>
      <c r="M8" s="0" t="n">
        <f aca="false">IF(ISBLANK(RawFinancials!M8),"",RawFinancials!M8)</f>
        <v>822627</v>
      </c>
      <c r="N8" s="0" t="n">
        <f aca="false">IF(ISBLANK(RawFinancials!N8),"",RawFinancials!N8)</f>
        <v>698008</v>
      </c>
      <c r="O8" s="0" t="n">
        <f aca="false">IF(ISBLANK(RawFinancials!O8),"",RawFinancials!O8)</f>
        <v>4405</v>
      </c>
      <c r="P8" s="0" t="str">
        <f aca="false">IF(ISBLANK(RawFinancials!P8),"",RawFinancials!P8)</f>
        <v>UNION BANK</v>
      </c>
      <c r="Q8" s="0" t="n">
        <f aca="false">IF(ISBLANK(RawFinancials!Q8),"",RawFinancials!Q8)</f>
        <v>0.557666225812702</v>
      </c>
      <c r="R8" s="0" t="n">
        <f aca="false">IF(ISBLANK(RawFinancials!R8),"",RawFinancials!R8)</f>
        <v>3.18537352046747</v>
      </c>
      <c r="S8" s="0" t="n">
        <f aca="false">IF(ISBLANK(RawFinancials!S8),"",RawFinancials!S8)</f>
        <v>0</v>
      </c>
      <c r="T8" s="0" t="n">
        <f aca="false">IF(ISBLANK(RawFinancials!T8),"",RawFinancials!T8)</f>
        <v>1620</v>
      </c>
      <c r="U8" s="0" t="n">
        <f aca="false">IF(ISBLANK(RawFinancials!U8),"",RawFinancials!U8)</f>
        <v>229</v>
      </c>
      <c r="V8" s="0" t="n">
        <f aca="false">IF(ISBLANK(RawFinancials!V8),"",RawFinancials!V8)</f>
        <v>14.788125615083</v>
      </c>
      <c r="W8" s="0" t="n">
        <f aca="false">IF(ISBLANK(RawFinancials!W8),"",RawFinancials!W8)</f>
        <v>20220331</v>
      </c>
      <c r="X8" s="0" t="n">
        <f aca="false">IF(ISBLANK(RawFinancials!X8),"",RawFinancials!X8)</f>
        <v>0.88329131873326</v>
      </c>
      <c r="Y8" s="0" t="n">
        <f aca="false">IF(ISBLANK(RawFinancials!Y8),"",RawFinancials!Y8)</f>
        <v>11.64</v>
      </c>
      <c r="Z8" s="0" t="str">
        <f aca="false">IF(ISBLANK(RawFinancials!Z8),"",RawFinancials!Z8)</f>
        <v>VT</v>
      </c>
      <c r="AA8" s="0" t="n">
        <f aca="false">RawFinancials!AA8</f>
        <v>1</v>
      </c>
      <c r="AB8" s="0" t="n">
        <f aca="false">RawFinancials!AB8</f>
        <v>4634</v>
      </c>
      <c r="AC8" s="0" t="n">
        <f aca="false">RawFinancials!AC8</f>
        <v>0.375922466194154</v>
      </c>
      <c r="AD8" s="0" t="n">
        <f aca="false">IF(L8&gt;0,100*N8/L8,"")</f>
        <v>83.9998892850825</v>
      </c>
      <c r="AE8" s="0" t="n">
        <f aca="false">IF(B8&gt;0,100*F8/B8,"")</f>
        <v>6.90394507670554</v>
      </c>
      <c r="AF8" s="0" t="str">
        <f aca="false">RawFinancials!AE8</f>
        <v/>
      </c>
    </row>
    <row r="9" customFormat="false" ht="15" hidden="false" customHeight="false" outlineLevel="0" collapsed="false">
      <c r="A9" s="0" t="n">
        <f aca="false">IF(ISBLANK(RawFinancials!A9),"",RawFinancials!A9)</f>
        <v>9</v>
      </c>
      <c r="B9" s="0" t="n">
        <f aca="false">IF(ISBLANK(RawFinancials!B9),"",RawFinancials!B9)</f>
        <v>384095</v>
      </c>
      <c r="C9" s="0" t="n">
        <f aca="false">IF(ISBLANK(RawFinancials!C9),"",RawFinancials!C9)</f>
        <v>14168</v>
      </c>
      <c r="D9" s="0" t="n">
        <f aca="false">IF(ISBLANK(RawFinancials!D9),"",RawFinancials!D9)</f>
        <v>345364</v>
      </c>
      <c r="E9" s="0" t="n">
        <f aca="false">IF(ISBLANK(RawFinancials!E9),"",RawFinancials!E9)</f>
        <v>0</v>
      </c>
      <c r="F9" s="0" t="n">
        <f aca="false">IF(ISBLANK(RawFinancials!F9),"",RawFinancials!F9)</f>
        <v>34244</v>
      </c>
      <c r="G9" s="0" t="n">
        <f aca="false">IF(ISBLANK(RawFinancials!G9),"",RawFinancials!G9)</f>
        <v>8.91550267511944</v>
      </c>
      <c r="H9" s="0" t="str">
        <f aca="false">IF(ISBLANK(RawFinancials!H9),"",RawFinancials!H9)</f>
        <v>14168_20220331</v>
      </c>
      <c r="I9" s="0" t="n">
        <f aca="false">IF(ISBLANK(RawFinancials!I9),"",RawFinancials!I9)</f>
        <v>1.5327875284455</v>
      </c>
      <c r="J9" s="0" t="n">
        <f aca="false">IF(ISBLANK(RawFinancials!J9),"",RawFinancials!J9)</f>
        <v>9537</v>
      </c>
      <c r="K9" s="0" t="n">
        <f aca="false">IF(ISBLANK(RawFinancials!K9),"",RawFinancials!K9)</f>
        <v>8111</v>
      </c>
      <c r="L9" s="0" t="n">
        <f aca="false">IF(ISBLANK(RawFinancials!L9),"",RawFinancials!L9)</f>
        <v>191155</v>
      </c>
      <c r="M9" s="0" t="n">
        <f aca="false">IF(ISBLANK(RawFinancials!M9),"",RawFinancials!M9)</f>
        <v>188225</v>
      </c>
      <c r="N9" s="0" t="n">
        <f aca="false">IF(ISBLANK(RawFinancials!N9),"",RawFinancials!N9)</f>
        <v>161619</v>
      </c>
      <c r="O9" s="0" t="n">
        <f aca="false">IF(ISBLANK(RawFinancials!O9),"",RawFinancials!O9)</f>
        <v>1188</v>
      </c>
      <c r="P9" s="0" t="str">
        <f aca="false">IF(ISBLANK(RawFinancials!P9),"",RawFinancials!P9)</f>
        <v>PEOPLES TRUST COMPANY OF ST. ALBANS</v>
      </c>
      <c r="Q9" s="0" t="n">
        <f aca="false">IF(ISBLANK(RawFinancials!Q9),"",RawFinancials!Q9)</f>
        <v>0.621485182181999</v>
      </c>
      <c r="R9" s="0" t="n">
        <f aca="false">IF(ISBLANK(RawFinancials!R9),"",RawFinancials!R9)</f>
        <v>2.41845908043839</v>
      </c>
      <c r="S9" s="0" t="n">
        <f aca="false">IF(ISBLANK(RawFinancials!S9),"",RawFinancials!S9)</f>
        <v>34</v>
      </c>
      <c r="T9" s="0" t="n">
        <f aca="false">IF(ISBLANK(RawFinancials!T9),"",RawFinancials!T9)</f>
        <v>187</v>
      </c>
      <c r="U9" s="0" t="n">
        <f aca="false">IF(ISBLANK(RawFinancials!U9),"",RawFinancials!U9)</f>
        <v>0</v>
      </c>
      <c r="V9" s="0" t="n">
        <f aca="false">IF(ISBLANK(RawFinancials!V9),"",RawFinancials!V9)</f>
        <v>19.8246428808378</v>
      </c>
      <c r="W9" s="0" t="n">
        <f aca="false">IF(ISBLANK(RawFinancials!W9),"",RawFinancials!W9)</f>
        <v>20220331</v>
      </c>
      <c r="X9" s="0" t="n">
        <f aca="false">IF(ISBLANK(RawFinancials!X9),"",RawFinancials!X9)</f>
        <v>0.135788316459894</v>
      </c>
      <c r="Y9" s="0" t="n">
        <f aca="false">IF(ISBLANK(RawFinancials!Y9),"",RawFinancials!Y9)</f>
        <v>1.45</v>
      </c>
      <c r="Z9" s="0" t="str">
        <f aca="false">IF(ISBLANK(RawFinancials!Z9),"",RawFinancials!Z9)</f>
        <v>VT</v>
      </c>
      <c r="AA9" s="0" t="n">
        <f aca="false">RawFinancials!AA9</f>
        <v>1</v>
      </c>
      <c r="AB9" s="0" t="n">
        <f aca="false">RawFinancials!AB9</f>
        <v>1188</v>
      </c>
      <c r="AC9" s="0" t="n">
        <f aca="false">RawFinancials!AC9</f>
        <v>0.309298480844583</v>
      </c>
      <c r="AD9" s="0" t="n">
        <f aca="false">IF(L9&gt;0,100*N9/L9,"")</f>
        <v>84.548664696189</v>
      </c>
      <c r="AE9" s="0" t="n">
        <f aca="false">IF(B9&gt;0,100*F9/B9,"")</f>
        <v>8.91550267511944</v>
      </c>
      <c r="AF9" s="0" t="str">
        <f aca="false">RawFinancials!AE9</f>
        <v/>
      </c>
    </row>
    <row r="10" customFormat="false" ht="15" hidden="false" customHeight="false" outlineLevel="0" collapsed="false">
      <c r="A10" s="0" t="n">
        <f aca="false">IF(ISBLANK(RawFinancials!A10),"",RawFinancials!A10)</f>
        <v>10</v>
      </c>
      <c r="B10" s="0" t="n">
        <f aca="false">IF(ISBLANK(RawFinancials!B10),"",RawFinancials!B10)</f>
        <v>1221074</v>
      </c>
      <c r="C10" s="0" t="n">
        <f aca="false">IF(ISBLANK(RawFinancials!C10),"",RawFinancials!C10)</f>
        <v>14240</v>
      </c>
      <c r="D10" s="0" t="n">
        <f aca="false">IF(ISBLANK(RawFinancials!D10),"",RawFinancials!D10)</f>
        <v>1020645</v>
      </c>
      <c r="E10" s="0" t="n">
        <f aca="false">IF(ISBLANK(RawFinancials!E10),"",RawFinancials!E10)</f>
        <v>0</v>
      </c>
      <c r="F10" s="0" t="n">
        <f aca="false">IF(ISBLANK(RawFinancials!F10),"",RawFinancials!F10)</f>
        <v>102113</v>
      </c>
      <c r="G10" s="0" t="n">
        <f aca="false">IF(ISBLANK(RawFinancials!G10),"",RawFinancials!G10)</f>
        <v>8.36255624147267</v>
      </c>
      <c r="H10" s="0" t="str">
        <f aca="false">IF(ISBLANK(RawFinancials!H10),"",RawFinancials!H10)</f>
        <v>14240_20220331</v>
      </c>
      <c r="I10" s="0" t="n">
        <f aca="false">IF(ISBLANK(RawFinancials!I10),"",RawFinancials!I10)</f>
        <v>1.14833812312804</v>
      </c>
      <c r="J10" s="0" t="n">
        <f aca="false">IF(ISBLANK(RawFinancials!J10),"",RawFinancials!J10)</f>
        <v>29648</v>
      </c>
      <c r="K10" s="0" t="n">
        <f aca="false">IF(ISBLANK(RawFinancials!K10),"",RawFinancials!K10)</f>
        <v>17990</v>
      </c>
      <c r="L10" s="0" t="n">
        <f aca="false">IF(ISBLANK(RawFinancials!L10),"",RawFinancials!L10)</f>
        <v>824670</v>
      </c>
      <c r="M10" s="0" t="n">
        <f aca="false">IF(ISBLANK(RawFinancials!M10),"",RawFinancials!M10)</f>
        <v>815200</v>
      </c>
      <c r="N10" s="0" t="n">
        <f aca="false">IF(ISBLANK(RawFinancials!N10),"",RawFinancials!N10)</f>
        <v>705835</v>
      </c>
      <c r="O10" s="0" t="n">
        <f aca="false">IF(ISBLANK(RawFinancials!O10),"",RawFinancials!O10)</f>
        <v>2204</v>
      </c>
      <c r="P10" s="0" t="str">
        <f aca="false">IF(ISBLANK(RawFinancials!P10),"",RawFinancials!P10)</f>
        <v>NORTHWAY BANK</v>
      </c>
      <c r="Q10" s="0" t="n">
        <f aca="false">IF(ISBLANK(RawFinancials!Q10),"",RawFinancials!Q10)</f>
        <v>0.267258418518923</v>
      </c>
      <c r="R10" s="0" t="n">
        <f aca="false">IF(ISBLANK(RawFinancials!R10),"",RawFinancials!R10)</f>
        <v>2.81942072615102</v>
      </c>
      <c r="S10" s="0" t="n">
        <f aca="false">IF(ISBLANK(RawFinancials!S10),"",RawFinancials!S10)</f>
        <v>-4</v>
      </c>
      <c r="T10" s="0" t="n">
        <f aca="false">IF(ISBLANK(RawFinancials!T10),"",RawFinancials!T10)</f>
        <v>1936</v>
      </c>
      <c r="U10" s="0" t="n">
        <f aca="false">IF(ISBLANK(RawFinancials!U10),"",RawFinancials!U10)</f>
        <v>0</v>
      </c>
      <c r="V10" s="0" t="n">
        <f aca="false">IF(ISBLANK(RawFinancials!V10),"",RawFinancials!V10)</f>
        <v>15.1069923364339</v>
      </c>
      <c r="W10" s="0" t="n">
        <f aca="false">IF(ISBLANK(RawFinancials!W10),"",RawFinancials!W10)</f>
        <v>20220331</v>
      </c>
      <c r="X10" s="0" t="n">
        <f aca="false">IF(ISBLANK(RawFinancials!X10),"",RawFinancials!X10)</f>
        <v>0.0698118813327899</v>
      </c>
      <c r="Y10" s="0" t="n">
        <f aca="false">IF(ISBLANK(RawFinancials!Y10),"",RawFinancials!Y10)</f>
        <v>0.79</v>
      </c>
      <c r="Z10" s="0" t="str">
        <f aca="false">IF(ISBLANK(RawFinancials!Z10),"",RawFinancials!Z10)</f>
        <v>NH</v>
      </c>
      <c r="AA10" s="0" t="n">
        <f aca="false">RawFinancials!AA10</f>
        <v>1</v>
      </c>
      <c r="AB10" s="0" t="n">
        <f aca="false">RawFinancials!AB10</f>
        <v>2204</v>
      </c>
      <c r="AC10" s="0" t="n">
        <f aca="false">RawFinancials!AC10</f>
        <v>0.180496841305277</v>
      </c>
      <c r="AD10" s="0" t="n">
        <f aca="false">IF(L10&gt;0,100*N10/L10,"")</f>
        <v>85.5899935731869</v>
      </c>
      <c r="AE10" s="0" t="n">
        <f aca="false">IF(B10&gt;0,100*F10/B10,"")</f>
        <v>8.36255624147267</v>
      </c>
      <c r="AF10" s="0" t="str">
        <f aca="false">RawFinancials!AE10</f>
        <v/>
      </c>
    </row>
    <row r="11" customFormat="false" ht="15" hidden="false" customHeight="false" outlineLevel="0" collapsed="false">
      <c r="A11" s="0" t="n">
        <f aca="false">IF(ISBLANK(RawFinancials!A11),"",RawFinancials!A11)</f>
        <v>11</v>
      </c>
      <c r="B11" s="0" t="n">
        <f aca="false">IF(ISBLANK(RawFinancials!B11),"",RawFinancials!B11)</f>
        <v>836644</v>
      </c>
      <c r="C11" s="0" t="n">
        <f aca="false">IF(ISBLANK(RawFinancials!C11),"",RawFinancials!C11)</f>
        <v>17115</v>
      </c>
      <c r="D11" s="0" t="n">
        <f aca="false">IF(ISBLANK(RawFinancials!D11),"",RawFinancials!D11)</f>
        <v>738943</v>
      </c>
      <c r="E11" s="0" t="n">
        <f aca="false">IF(ISBLANK(RawFinancials!E11),"",RawFinancials!E11)</f>
        <v>-0.08</v>
      </c>
      <c r="F11" s="0" t="n">
        <f aca="false">IF(ISBLANK(RawFinancials!F11),"",RawFinancials!F11)</f>
        <v>83239</v>
      </c>
      <c r="G11" s="0" t="n">
        <f aca="false">IF(ISBLANK(RawFinancials!G11),"",RawFinancials!G11)</f>
        <v>9.94915400098489</v>
      </c>
      <c r="H11" s="0" t="str">
        <f aca="false">IF(ISBLANK(RawFinancials!H11),"",RawFinancials!H11)</f>
        <v>17115_20220331</v>
      </c>
      <c r="I11" s="0" t="n">
        <f aca="false">IF(ISBLANK(RawFinancials!I11),"",RawFinancials!I11)</f>
        <v>1.16713202666947</v>
      </c>
      <c r="J11" s="0" t="n">
        <f aca="false">IF(ISBLANK(RawFinancials!J11),"",RawFinancials!J11)</f>
        <v>43003</v>
      </c>
      <c r="K11" s="0" t="n">
        <f aca="false">IF(ISBLANK(RawFinancials!K11),"",RawFinancials!K11)</f>
        <v>3606</v>
      </c>
      <c r="L11" s="0" t="n">
        <f aca="false">IF(ISBLANK(RawFinancials!L11),"",RawFinancials!L11)</f>
        <v>656481</v>
      </c>
      <c r="M11" s="0" t="n">
        <f aca="false">IF(ISBLANK(RawFinancials!M11),"",RawFinancials!M11)</f>
        <v>648819</v>
      </c>
      <c r="N11" s="0" t="n">
        <f aca="false">IF(ISBLANK(RawFinancials!N11),"",RawFinancials!N11)</f>
        <v>608827</v>
      </c>
      <c r="O11" s="0" t="n">
        <f aca="false">IF(ISBLANK(RawFinancials!O11),"",RawFinancials!O11)</f>
        <v>164</v>
      </c>
      <c r="P11" s="0" t="str">
        <f aca="false">IF(ISBLANK(RawFinancials!P11),"",RawFinancials!P11)</f>
        <v>PARTNERS BANK OF NEW ENGLAND</v>
      </c>
      <c r="Q11" s="0" t="n">
        <f aca="false">IF(ISBLANK(RawFinancials!Q11),"",RawFinancials!Q11)</f>
        <v>0.0249816826381875</v>
      </c>
      <c r="R11" s="0" t="n">
        <f aca="false">IF(ISBLANK(RawFinancials!R11),"",RawFinancials!R11)</f>
        <v>3.51263617241704</v>
      </c>
      <c r="S11" s="0" t="n">
        <f aca="false">IF(ISBLANK(RawFinancials!S11),"",RawFinancials!S11)</f>
        <v>240</v>
      </c>
      <c r="T11" s="0" t="n">
        <f aca="false">IF(ISBLANK(RawFinancials!T11),"",RawFinancials!T11)</f>
        <v>62</v>
      </c>
      <c r="U11" s="0" t="n">
        <f aca="false">IF(ISBLANK(RawFinancials!U11),"",RawFinancials!U11)</f>
        <v>0</v>
      </c>
      <c r="V11" s="0" t="n">
        <f aca="false">IF(ISBLANK(RawFinancials!V11),"",RawFinancials!V11)</f>
        <v>15.6064687872223</v>
      </c>
      <c r="W11" s="0" t="n">
        <f aca="false">IF(ISBLANK(RawFinancials!W11),"",RawFinancials!W11)</f>
        <v>20220331</v>
      </c>
      <c r="X11" s="0" t="n">
        <f aca="false">IF(ISBLANK(RawFinancials!X11),"",RawFinancials!X11)</f>
        <v>1.11496929665211</v>
      </c>
      <c r="Y11" s="0" t="n">
        <f aca="false">IF(ISBLANK(RawFinancials!Y11),"",RawFinancials!Y11)</f>
        <v>11.05</v>
      </c>
      <c r="Z11" s="0" t="str">
        <f aca="false">IF(ISBLANK(RawFinancials!Z11),"",RawFinancials!Z11)</f>
        <v>ME</v>
      </c>
      <c r="AA11" s="0" t="n">
        <f aca="false">RawFinancials!AA11</f>
        <v>1</v>
      </c>
      <c r="AB11" s="0" t="n">
        <f aca="false">RawFinancials!AB11</f>
        <v>164</v>
      </c>
      <c r="AC11" s="0" t="n">
        <f aca="false">RawFinancials!AC11</f>
        <v>0.019602124679075</v>
      </c>
      <c r="AD11" s="0" t="n">
        <f aca="false">IF(L11&gt;0,100*N11/L11,"")</f>
        <v>92.7409932656086</v>
      </c>
      <c r="AE11" s="0" t="n">
        <f aca="false">IF(B11&gt;0,100*F11/B11,"")</f>
        <v>9.94915400098489</v>
      </c>
      <c r="AF11" s="0" t="str">
        <f aca="false">RawFinancials!AE11</f>
        <v/>
      </c>
    </row>
    <row r="12" customFormat="false" ht="15" hidden="false" customHeight="false" outlineLevel="0" collapsed="false">
      <c r="A12" s="0" t="n">
        <f aca="false">IF(ISBLANK(RawFinancials!A12),"",RawFinancials!A12)</f>
        <v>12</v>
      </c>
      <c r="B12" s="0" t="n">
        <f aca="false">IF(ISBLANK(RawFinancials!B12),"",RawFinancials!B12)</f>
        <v>1291920</v>
      </c>
      <c r="C12" s="0" t="n">
        <f aca="false">IF(ISBLANK(RawFinancials!C12),"",RawFinancials!C12)</f>
        <v>17180</v>
      </c>
      <c r="D12" s="0" t="n">
        <f aca="false">IF(ISBLANK(RawFinancials!D12),"",RawFinancials!D12)</f>
        <v>1121172</v>
      </c>
      <c r="E12" s="0" t="n">
        <f aca="false">IF(ISBLANK(RawFinancials!E12),"",RawFinancials!E12)</f>
        <v>0.06</v>
      </c>
      <c r="F12" s="0" t="n">
        <f aca="false">IF(ISBLANK(RawFinancials!F12),"",RawFinancials!F12)</f>
        <v>126979</v>
      </c>
      <c r="G12" s="0" t="n">
        <f aca="false">IF(ISBLANK(RawFinancials!G12),"",RawFinancials!G12)</f>
        <v>9.82870456375008</v>
      </c>
      <c r="H12" s="0" t="str">
        <f aca="false">IF(ISBLANK(RawFinancials!H12),"",RawFinancials!H12)</f>
        <v>17180_20220331</v>
      </c>
      <c r="I12" s="0" t="n">
        <f aca="false">IF(ISBLANK(RawFinancials!I12),"",RawFinancials!I12)</f>
        <v>0.986162060581776</v>
      </c>
      <c r="J12" s="0" t="n">
        <f aca="false">IF(ISBLANK(RawFinancials!J12),"",RawFinancials!J12)</f>
        <v>44797</v>
      </c>
      <c r="K12" s="0" t="n">
        <f aca="false">IF(ISBLANK(RawFinancials!K12),"",RawFinancials!K12)</f>
        <v>141431</v>
      </c>
      <c r="L12" s="0" t="n">
        <f aca="false">IF(ISBLANK(RawFinancials!L12),"",RawFinancials!L12)</f>
        <v>1143017</v>
      </c>
      <c r="M12" s="0" t="n">
        <f aca="false">IF(ISBLANK(RawFinancials!M12),"",RawFinancials!M12)</f>
        <v>1131745</v>
      </c>
      <c r="N12" s="0" t="n">
        <f aca="false">IF(ISBLANK(RawFinancials!N12),"",RawFinancials!N12)</f>
        <v>937482</v>
      </c>
      <c r="O12" s="0" t="n">
        <f aca="false">IF(ISBLANK(RawFinancials!O12),"",RawFinancials!O12)</f>
        <v>5753</v>
      </c>
      <c r="P12" s="0" t="str">
        <f aca="false">IF(ISBLANK(RawFinancials!P12),"",RawFinancials!P12)</f>
        <v>MEREDITH VILLAGE SAVINGS BANK</v>
      </c>
      <c r="Q12" s="0" t="n">
        <f aca="false">IF(ISBLANK(RawFinancials!Q12),"",RawFinancials!Q12)</f>
        <v>0.503317098520844</v>
      </c>
      <c r="R12" s="0" t="n">
        <f aca="false">IF(ISBLANK(RawFinancials!R12),"",RawFinancials!R12)</f>
        <v>3.56999315523965</v>
      </c>
      <c r="S12" s="0" t="n">
        <f aca="false">IF(ISBLANK(RawFinancials!S12),"",RawFinancials!S12)</f>
        <v>36</v>
      </c>
      <c r="T12" s="0" t="n">
        <f aca="false">IF(ISBLANK(RawFinancials!T12),"",RawFinancials!T12)</f>
        <v>1540</v>
      </c>
      <c r="U12" s="0" t="n">
        <f aca="false">IF(ISBLANK(RawFinancials!U12),"",RawFinancials!U12)</f>
        <v>0</v>
      </c>
      <c r="V12" s="0" t="n">
        <f aca="false">IF(ISBLANK(RawFinancials!V12),"",RawFinancials!V12)</f>
        <v>16.0569431386633</v>
      </c>
      <c r="W12" s="0" t="n">
        <f aca="false">IF(ISBLANK(RawFinancials!W12),"",RawFinancials!W12)</f>
        <v>20220331</v>
      </c>
      <c r="X12" s="0" t="n">
        <f aca="false">IF(ISBLANK(RawFinancials!X12),"",RawFinancials!X12)</f>
        <v>0.802789289525275</v>
      </c>
      <c r="Y12" s="0" t="n">
        <f aca="false">IF(ISBLANK(RawFinancials!Y12),"",RawFinancials!Y12)</f>
        <v>8.11</v>
      </c>
      <c r="Z12" s="0" t="str">
        <f aca="false">IF(ISBLANK(RawFinancials!Z12),"",RawFinancials!Z12)</f>
        <v>NH</v>
      </c>
      <c r="AA12" s="0" t="n">
        <f aca="false">RawFinancials!AA12</f>
        <v>1</v>
      </c>
      <c r="AB12" s="0" t="n">
        <f aca="false">RawFinancials!AB12</f>
        <v>5753</v>
      </c>
      <c r="AC12" s="0" t="n">
        <f aca="false">RawFinancials!AC12</f>
        <v>0.445306210910892</v>
      </c>
      <c r="AD12" s="0" t="n">
        <f aca="false">IF(L12&gt;0,100*N12/L12,"")</f>
        <v>82.0182027038968</v>
      </c>
      <c r="AE12" s="0" t="n">
        <f aca="false">IF(B12&gt;0,100*F12/B12,"")</f>
        <v>9.82870456375008</v>
      </c>
      <c r="AF12" s="0" t="str">
        <f aca="false">RawFinancials!AE12</f>
        <v/>
      </c>
    </row>
    <row r="13" customFormat="false" ht="15" hidden="false" customHeight="false" outlineLevel="0" collapsed="false">
      <c r="A13" s="0" t="n">
        <f aca="false">IF(ISBLANK(RawFinancials!A13),"",RawFinancials!A13)</f>
        <v>13</v>
      </c>
      <c r="B13" s="0" t="n">
        <f aca="false">IF(ISBLANK(RawFinancials!B13),"",RawFinancials!B13)</f>
        <v>352255</v>
      </c>
      <c r="C13" s="0" t="n">
        <f aca="false">IF(ISBLANK(RawFinancials!C13),"",RawFinancials!C13)</f>
        <v>17443</v>
      </c>
      <c r="D13" s="0" t="n">
        <f aca="false">IF(ISBLANK(RawFinancials!D13),"",RawFinancials!D13)</f>
        <v>302135</v>
      </c>
      <c r="E13" s="0" t="n">
        <f aca="false">IF(ISBLANK(RawFinancials!E13),"",RawFinancials!E13)</f>
        <v>0.06</v>
      </c>
      <c r="F13" s="0" t="n">
        <f aca="false">IF(ISBLANK(RawFinancials!F13),"",RawFinancials!F13)</f>
        <v>42822</v>
      </c>
      <c r="G13" s="0" t="n">
        <f aca="false">IF(ISBLANK(RawFinancials!G13),"",RawFinancials!G13)</f>
        <v>12.1565343288243</v>
      </c>
      <c r="H13" s="0" t="str">
        <f aca="false">IF(ISBLANK(RawFinancials!H13),"",RawFinancials!H13)</f>
        <v>17443_20220331</v>
      </c>
      <c r="I13" s="0" t="n">
        <f aca="false">IF(ISBLANK(RawFinancials!I13),"",RawFinancials!I13)</f>
        <v>0.858419069393285</v>
      </c>
      <c r="J13" s="0" t="n">
        <f aca="false">IF(ISBLANK(RawFinancials!J13),"",RawFinancials!J13)</f>
        <v>0</v>
      </c>
      <c r="K13" s="0" t="n">
        <f aca="false">IF(ISBLANK(RawFinancials!K13),"",RawFinancials!K13)</f>
        <v>1909</v>
      </c>
      <c r="L13" s="0" t="n">
        <f aca="false">IF(ISBLANK(RawFinancials!L13),"",RawFinancials!L13)</f>
        <v>188952</v>
      </c>
      <c r="M13" s="0" t="n">
        <f aca="false">IF(ISBLANK(RawFinancials!M13),"",RawFinancials!M13)</f>
        <v>187330</v>
      </c>
      <c r="N13" s="0" t="n">
        <f aca="false">IF(ISBLANK(RawFinancials!N13),"",RawFinancials!N13)</f>
        <v>186037</v>
      </c>
      <c r="O13" s="0" t="n">
        <f aca="false">IF(ISBLANK(RawFinancials!O13),"",RawFinancials!O13)</f>
        <v>842</v>
      </c>
      <c r="P13" s="0" t="str">
        <f aca="false">IF(ISBLANK(RawFinancials!P13),"",RawFinancials!P13)</f>
        <v>PISCATAQUA SAVINGS BANK</v>
      </c>
      <c r="Q13" s="0" t="n">
        <f aca="false">IF(ISBLANK(RawFinancials!Q13),"",RawFinancials!Q13)</f>
        <v>0.445615817773826</v>
      </c>
      <c r="R13" s="0" t="n">
        <f aca="false">IF(ISBLANK(RawFinancials!R13),"",RawFinancials!R13)</f>
        <v>2.01221792023435</v>
      </c>
      <c r="S13" s="0" t="n">
        <f aca="false">IF(ISBLANK(RawFinancials!S13),"",RawFinancials!S13)</f>
        <v>0</v>
      </c>
      <c r="T13" s="0" t="n">
        <f aca="false">IF(ISBLANK(RawFinancials!T13),"",RawFinancials!T13)</f>
        <v>2524</v>
      </c>
      <c r="U13" s="0" t="n">
        <f aca="false">IF(ISBLANK(RawFinancials!U13),"",RawFinancials!U13)</f>
        <v>0</v>
      </c>
      <c r="V13" s="0" t="n">
        <f aca="false">IF(ISBLANK(RawFinancials!V13),"",RawFinancials!V13)</f>
        <v>0</v>
      </c>
      <c r="W13" s="0" t="n">
        <f aca="false">IF(ISBLANK(RawFinancials!W13),"",RawFinancials!W13)</f>
        <v>20220331</v>
      </c>
      <c r="X13" s="0" t="n">
        <f aca="false">IF(ISBLANK(RawFinancials!X13),"",RawFinancials!X13)</f>
        <v>0.619253411177981</v>
      </c>
      <c r="Y13" s="0" t="n">
        <f aca="false">IF(ISBLANK(RawFinancials!Y13),"",RawFinancials!Y13)</f>
        <v>4.79</v>
      </c>
      <c r="Z13" s="0" t="str">
        <f aca="false">IF(ISBLANK(RawFinancials!Z13),"",RawFinancials!Z13)</f>
        <v>NH</v>
      </c>
      <c r="AA13" s="0" t="n">
        <f aca="false">RawFinancials!AA13</f>
        <v>1</v>
      </c>
      <c r="AB13" s="0" t="n">
        <f aca="false">RawFinancials!AB13</f>
        <v>842</v>
      </c>
      <c r="AC13" s="0" t="n">
        <f aca="false">RawFinancials!AC13</f>
        <v>0.239031383514783</v>
      </c>
      <c r="AD13" s="0" t="n">
        <f aca="false">IF(L13&gt;0,100*N13/L13,"")</f>
        <v>98.4572801558068</v>
      </c>
      <c r="AE13" s="0" t="n">
        <f aca="false">IF(B13&gt;0,100*F13/B13,"")</f>
        <v>12.1565343288243</v>
      </c>
      <c r="AF13" s="0" t="str">
        <f aca="false">RawFinancials!AE13</f>
        <v>原始0：需核实适用/报告口径</v>
      </c>
    </row>
    <row r="14" customFormat="false" ht="15" hidden="false" customHeight="false" outlineLevel="0" collapsed="false">
      <c r="A14" s="0" t="n">
        <f aca="false">IF(ISBLANK(RawFinancials!A14),"",RawFinancials!A14)</f>
        <v>14</v>
      </c>
      <c r="B14" s="0" t="n">
        <f aca="false">IF(ISBLANK(RawFinancials!B14),"",RawFinancials!B14)</f>
        <v>1753308</v>
      </c>
      <c r="C14" s="0" t="n">
        <f aca="false">IF(ISBLANK(RawFinancials!C14),"",RawFinancials!C14)</f>
        <v>17658</v>
      </c>
      <c r="D14" s="0" t="n">
        <f aca="false">IF(ISBLANK(RawFinancials!D14),"",RawFinancials!D14)</f>
        <v>1508978</v>
      </c>
      <c r="E14" s="0" t="n">
        <f aca="false">IF(ISBLANK(RawFinancials!E14),"",RawFinancials!E14)</f>
        <v>0.02</v>
      </c>
      <c r="F14" s="0" t="n">
        <f aca="false">IF(ISBLANK(RawFinancials!F14),"",RawFinancials!F14)</f>
        <v>215496</v>
      </c>
      <c r="G14" s="0" t="n">
        <f aca="false">IF(ISBLANK(RawFinancials!G14),"",RawFinancials!G14)</f>
        <v>12.2908239738825</v>
      </c>
      <c r="H14" s="0" t="str">
        <f aca="false">IF(ISBLANK(RawFinancials!H14),"",RawFinancials!H14)</f>
        <v>17658_20220331</v>
      </c>
      <c r="I14" s="0" t="n">
        <f aca="false">IF(ISBLANK(RawFinancials!I14),"",RawFinancials!I14)</f>
        <v>0.856276105128734</v>
      </c>
      <c r="J14" s="0" t="n">
        <f aca="false">IF(ISBLANK(RawFinancials!J14),"",RawFinancials!J14)</f>
        <v>77695</v>
      </c>
      <c r="K14" s="0" t="n">
        <f aca="false">IF(ISBLANK(RawFinancials!K14),"",RawFinancials!K14)</f>
        <v>58315</v>
      </c>
      <c r="L14" s="0" t="n">
        <f aca="false">IF(ISBLANK(RawFinancials!L14),"",RawFinancials!L14)</f>
        <v>1075938</v>
      </c>
      <c r="M14" s="0" t="n">
        <f aca="false">IF(ISBLANK(RawFinancials!M14),"",RawFinancials!M14)</f>
        <v>1066725</v>
      </c>
      <c r="N14" s="0" t="n">
        <f aca="false">IF(ISBLANK(RawFinancials!N14),"",RawFinancials!N14)</f>
        <v>932001</v>
      </c>
      <c r="O14" s="0" t="n">
        <f aca="false">IF(ISBLANK(RawFinancials!O14),"",RawFinancials!O14)</f>
        <v>1019</v>
      </c>
      <c r="P14" s="0" t="str">
        <f aca="false">IF(ISBLANK(RawFinancials!P14),"",RawFinancials!P14)</f>
        <v>NORWAY SAVINGS BANK</v>
      </c>
      <c r="Q14" s="0" t="n">
        <f aca="false">IF(ISBLANK(RawFinancials!Q14),"",RawFinancials!Q14)</f>
        <v>0.108835267459649</v>
      </c>
      <c r="R14" s="0" t="n">
        <f aca="false">IF(ISBLANK(RawFinancials!R14),"",RawFinancials!R14)</f>
        <v>3.35985107999514</v>
      </c>
      <c r="S14" s="0" t="n">
        <f aca="false">IF(ISBLANK(RawFinancials!S14),"",RawFinancials!S14)</f>
        <v>2</v>
      </c>
      <c r="T14" s="0" t="n">
        <f aca="false">IF(ISBLANK(RawFinancials!T14),"",RawFinancials!T14)</f>
        <v>1175</v>
      </c>
      <c r="U14" s="0" t="n">
        <f aca="false">IF(ISBLANK(RawFinancials!U14),"",RawFinancials!U14)</f>
        <v>152</v>
      </c>
      <c r="V14" s="0" t="n">
        <f aca="false">IF(ISBLANK(RawFinancials!V14),"",RawFinancials!V14)</f>
        <v>0</v>
      </c>
      <c r="W14" s="0" t="n">
        <f aca="false">IF(ISBLANK(RawFinancials!W14),"",RawFinancials!W14)</f>
        <v>20220331</v>
      </c>
      <c r="X14" s="0" t="n">
        <f aca="false">IF(ISBLANK(RawFinancials!X14),"",RawFinancials!X14)</f>
        <v>0.857754399438039</v>
      </c>
      <c r="Y14" s="0" t="n">
        <f aca="false">IF(ISBLANK(RawFinancials!Y14),"",RawFinancials!Y14)</f>
        <v>6.72</v>
      </c>
      <c r="Z14" s="0" t="str">
        <f aca="false">IF(ISBLANK(RawFinancials!Z14),"",RawFinancials!Z14)</f>
        <v>ME</v>
      </c>
      <c r="AA14" s="0" t="n">
        <f aca="false">RawFinancials!AA14</f>
        <v>1</v>
      </c>
      <c r="AB14" s="0" t="n">
        <f aca="false">RawFinancials!AB14</f>
        <v>1171</v>
      </c>
      <c r="AC14" s="0" t="n">
        <f aca="false">RawFinancials!AC14</f>
        <v>0.0667880372416027</v>
      </c>
      <c r="AD14" s="0" t="n">
        <f aca="false">IF(L14&gt;0,100*N14/L14,"")</f>
        <v>86.6221845496674</v>
      </c>
      <c r="AE14" s="0" t="n">
        <f aca="false">IF(B14&gt;0,100*F14/B14,"")</f>
        <v>12.2908239738825</v>
      </c>
      <c r="AF14" s="0" t="str">
        <f aca="false">RawFinancials!AE14</f>
        <v>原始0：需核实适用/报告口径</v>
      </c>
    </row>
    <row r="15" customFormat="false" ht="15" hidden="false" customHeight="false" outlineLevel="0" collapsed="false">
      <c r="A15" s="0" t="n">
        <f aca="false">IF(ISBLANK(RawFinancials!A15),"",RawFinancials!A15)</f>
        <v>15</v>
      </c>
      <c r="B15" s="0" t="n">
        <f aca="false">IF(ISBLANK(RawFinancials!B15),"",RawFinancials!B15)</f>
        <v>1002149</v>
      </c>
      <c r="C15" s="0" t="n">
        <f aca="false">IF(ISBLANK(RawFinancials!C15),"",RawFinancials!C15)</f>
        <v>17741</v>
      </c>
      <c r="D15" s="0" t="n">
        <f aca="false">IF(ISBLANK(RawFinancials!D15),"",RawFinancials!D15)</f>
        <v>846927</v>
      </c>
      <c r="E15" s="0" t="n">
        <f aca="false">IF(ISBLANK(RawFinancials!E15),"",RawFinancials!E15)</f>
        <v>0.03</v>
      </c>
      <c r="F15" s="0" t="n">
        <f aca="false">IF(ISBLANK(RawFinancials!F15),"",RawFinancials!F15)</f>
        <v>129919</v>
      </c>
      <c r="G15" s="0" t="n">
        <f aca="false">IF(ISBLANK(RawFinancials!G15),"",RawFinancials!G15)</f>
        <v>12.9640402774438</v>
      </c>
      <c r="H15" s="0" t="str">
        <f aca="false">IF(ISBLANK(RawFinancials!H15),"",RawFinancials!H15)</f>
        <v>17741_20220331</v>
      </c>
      <c r="I15" s="0" t="n">
        <f aca="false">IF(ISBLANK(RawFinancials!I15),"",RawFinancials!I15)</f>
        <v>0.97167922787773</v>
      </c>
      <c r="J15" s="0" t="n">
        <f aca="false">IF(ISBLANK(RawFinancials!J15),"",RawFinancials!J15)</f>
        <v>42174</v>
      </c>
      <c r="K15" s="0" t="n">
        <f aca="false">IF(ISBLANK(RawFinancials!K15),"",RawFinancials!K15)</f>
        <v>3486</v>
      </c>
      <c r="L15" s="0" t="n">
        <f aca="false">IF(ISBLANK(RawFinancials!L15),"",RawFinancials!L15)</f>
        <v>796765</v>
      </c>
      <c r="M15" s="0" t="n">
        <f aca="false">IF(ISBLANK(RawFinancials!M15),"",RawFinancials!M15)</f>
        <v>789023</v>
      </c>
      <c r="N15" s="0" t="n">
        <f aca="false">IF(ISBLANK(RawFinancials!N15),"",RawFinancials!N15)</f>
        <v>747285</v>
      </c>
      <c r="O15" s="0" t="n">
        <f aca="false">IF(ISBLANK(RawFinancials!O15),"",RawFinancials!O15)</f>
        <v>1717</v>
      </c>
      <c r="P15" s="0" t="str">
        <f aca="false">IF(ISBLANK(RawFinancials!P15),"",RawFinancials!P15)</f>
        <v>MAINE COMMUNITY BANK</v>
      </c>
      <c r="Q15" s="0" t="n">
        <f aca="false">IF(ISBLANK(RawFinancials!Q15),"",RawFinancials!Q15)</f>
        <v>0.215496413622586</v>
      </c>
      <c r="R15" s="0" t="n">
        <f aca="false">IF(ISBLANK(RawFinancials!R15),"",RawFinancials!R15)</f>
        <v>3.25666940503881</v>
      </c>
      <c r="S15" s="0" t="n">
        <f aca="false">IF(ISBLANK(RawFinancials!S15),"",RawFinancials!S15)</f>
        <v>4</v>
      </c>
      <c r="T15" s="0" t="n">
        <f aca="false">IF(ISBLANK(RawFinancials!T15),"",RawFinancials!T15)</f>
        <v>1992</v>
      </c>
      <c r="U15" s="0" t="n">
        <f aca="false">IF(ISBLANK(RawFinancials!U15),"",RawFinancials!U15)</f>
        <v>0</v>
      </c>
      <c r="V15" s="0" t="n">
        <f aca="false">IF(ISBLANK(RawFinancials!V15),"",RawFinancials!V15)</f>
        <v>0</v>
      </c>
      <c r="W15" s="0" t="n">
        <f aca="false">IF(ISBLANK(RawFinancials!W15),"",RawFinancials!W15)</f>
        <v>20220331</v>
      </c>
      <c r="X15" s="0" t="n">
        <f aca="false">IF(ISBLANK(RawFinancials!X15),"",RawFinancials!X15)</f>
        <v>0.582462366574648</v>
      </c>
      <c r="Y15" s="0" t="n">
        <f aca="false">IF(ISBLANK(RawFinancials!Y15),"",RawFinancials!Y15)</f>
        <v>4.49</v>
      </c>
      <c r="Z15" s="0" t="str">
        <f aca="false">IF(ISBLANK(RawFinancials!Z15),"",RawFinancials!Z15)</f>
        <v>ME</v>
      </c>
      <c r="AA15" s="0" t="n">
        <f aca="false">RawFinancials!AA15</f>
        <v>1</v>
      </c>
      <c r="AB15" s="0" t="n">
        <f aca="false">RawFinancials!AB15</f>
        <v>1717</v>
      </c>
      <c r="AC15" s="0" t="n">
        <f aca="false">RawFinancials!AC15</f>
        <v>0.171331807944727</v>
      </c>
      <c r="AD15" s="0" t="n">
        <f aca="false">IF(L15&gt;0,100*N15/L15,"")</f>
        <v>93.7898878590299</v>
      </c>
      <c r="AE15" s="0" t="n">
        <f aca="false">IF(B15&gt;0,100*F15/B15,"")</f>
        <v>12.9640402774438</v>
      </c>
      <c r="AF15" s="0" t="str">
        <f aca="false">RawFinancials!AE15</f>
        <v>原始0：需核实适用/报告口径</v>
      </c>
    </row>
    <row r="16" customFormat="false" ht="15" hidden="false" customHeight="false" outlineLevel="0" collapsed="false">
      <c r="A16" s="0" t="n">
        <f aca="false">IF(ISBLANK(RawFinancials!A16),"",RawFinancials!A16)</f>
        <v>16</v>
      </c>
      <c r="B16" s="0" t="n">
        <f aca="false">IF(ISBLANK(RawFinancials!B16),"",RawFinancials!B16)</f>
        <v>1158500</v>
      </c>
      <c r="C16" s="0" t="n">
        <f aca="false">IF(ISBLANK(RawFinancials!C16),"",RawFinancials!C16)</f>
        <v>17743</v>
      </c>
      <c r="D16" s="0" t="n">
        <f aca="false">IF(ISBLANK(RawFinancials!D16),"",RawFinancials!D16)</f>
        <v>899083</v>
      </c>
      <c r="E16" s="0" t="n">
        <f aca="false">IF(ISBLANK(RawFinancials!E16),"",RawFinancials!E16)</f>
        <v>0</v>
      </c>
      <c r="F16" s="0" t="n">
        <f aca="false">IF(ISBLANK(RawFinancials!F16),"",RawFinancials!F16)</f>
        <v>126783</v>
      </c>
      <c r="G16" s="0" t="n">
        <f aca="false">IF(ISBLANK(RawFinancials!G16),"",RawFinancials!G16)</f>
        <v>10.9437203280104</v>
      </c>
      <c r="H16" s="0" t="str">
        <f aca="false">IF(ISBLANK(RawFinancials!H16),"",RawFinancials!H16)</f>
        <v>17743_20220331</v>
      </c>
      <c r="I16" s="0" t="n">
        <f aca="false">IF(ISBLANK(RawFinancials!I16),"",RawFinancials!I16)</f>
        <v>0.54432543188198</v>
      </c>
      <c r="J16" s="0" t="n">
        <f aca="false">IF(ISBLANK(RawFinancials!J16),"",RawFinancials!J16)</f>
        <v>25760</v>
      </c>
      <c r="K16" s="0" t="n">
        <f aca="false">IF(ISBLANK(RawFinancials!K16),"",RawFinancials!K16)</f>
        <v>5293</v>
      </c>
      <c r="L16" s="0" t="n">
        <f aca="false">IF(ISBLANK(RawFinancials!L16),"",RawFinancials!L16)</f>
        <v>918017</v>
      </c>
      <c r="M16" s="0" t="n">
        <f aca="false">IF(ISBLANK(RawFinancials!M16),"",RawFinancials!M16)</f>
        <v>913020</v>
      </c>
      <c r="N16" s="0" t="n">
        <f aca="false">IF(ISBLANK(RawFinancials!N16),"",RawFinancials!N16)</f>
        <v>873409</v>
      </c>
      <c r="O16" s="0" t="n">
        <f aca="false">IF(ISBLANK(RawFinancials!O16),"",RawFinancials!O16)</f>
        <v>3568</v>
      </c>
      <c r="P16" s="0" t="str">
        <f aca="false">IF(ISBLANK(RawFinancials!P16),"",RawFinancials!P16)</f>
        <v>SACO &amp; BIDDEFORD SAVINGS INSTITUTION</v>
      </c>
      <c r="Q16" s="0" t="n">
        <f aca="false">IF(ISBLANK(RawFinancials!Q16),"",RawFinancials!Q16)</f>
        <v>0.392476392049385</v>
      </c>
      <c r="R16" s="0" t="n">
        <f aca="false">IF(ISBLANK(RawFinancials!R16),"",RawFinancials!R16)</f>
        <v>2.74686473547167</v>
      </c>
      <c r="S16" s="0" t="n">
        <f aca="false">IF(ISBLANK(RawFinancials!S16),"",RawFinancials!S16)</f>
        <v>-7</v>
      </c>
      <c r="T16" s="0" t="n">
        <f aca="false">IF(ISBLANK(RawFinancials!T16),"",RawFinancials!T16)</f>
        <v>1605</v>
      </c>
      <c r="U16" s="0" t="n">
        <f aca="false">IF(ISBLANK(RawFinancials!U16),"",RawFinancials!U16)</f>
        <v>35</v>
      </c>
      <c r="V16" s="0" t="n">
        <f aca="false">IF(ISBLANK(RawFinancials!V16),"",RawFinancials!V16)</f>
        <v>0</v>
      </c>
      <c r="W16" s="0" t="n">
        <f aca="false">IF(ISBLANK(RawFinancials!W16),"",RawFinancials!W16)</f>
        <v>20220331</v>
      </c>
      <c r="X16" s="0" t="n">
        <f aca="false">IF(ISBLANK(RawFinancials!X16),"",RawFinancials!X16)</f>
        <v>0.398424271744013</v>
      </c>
      <c r="Y16" s="0" t="n">
        <f aca="false">IF(ISBLANK(RawFinancials!Y16),"",RawFinancials!Y16)</f>
        <v>3.56</v>
      </c>
      <c r="Z16" s="0" t="str">
        <f aca="false">IF(ISBLANK(RawFinancials!Z16),"",RawFinancials!Z16)</f>
        <v>ME</v>
      </c>
      <c r="AA16" s="0" t="n">
        <f aca="false">RawFinancials!AA16</f>
        <v>1</v>
      </c>
      <c r="AB16" s="0" t="n">
        <f aca="false">RawFinancials!AB16</f>
        <v>3603</v>
      </c>
      <c r="AC16" s="0" t="n">
        <f aca="false">RawFinancials!AC16</f>
        <v>0.311005610703496</v>
      </c>
      <c r="AD16" s="0" t="n">
        <f aca="false">IF(L16&gt;0,100*N16/L16,"")</f>
        <v>95.1408307253569</v>
      </c>
      <c r="AE16" s="0" t="n">
        <f aca="false">IF(B16&gt;0,100*F16/B16,"")</f>
        <v>10.9437203280104</v>
      </c>
      <c r="AF16" s="0" t="str">
        <f aca="false">RawFinancials!AE16</f>
        <v>原始0：需核实适用/报告口径</v>
      </c>
    </row>
    <row r="17" customFormat="false" ht="15" hidden="false" customHeight="false" outlineLevel="0" collapsed="false">
      <c r="A17" s="0" t="n">
        <f aca="false">IF(ISBLANK(RawFinancials!A17),"",RawFinancials!A17)</f>
        <v>17</v>
      </c>
      <c r="B17" s="0" t="n">
        <f aca="false">IF(ISBLANK(RawFinancials!B17),"",RawFinancials!B17)</f>
        <v>1547967</v>
      </c>
      <c r="C17" s="0" t="n">
        <f aca="false">IF(ISBLANK(RawFinancials!C17),"",RawFinancials!C17)</f>
        <v>17748</v>
      </c>
      <c r="D17" s="0" t="n">
        <f aca="false">IF(ISBLANK(RawFinancials!D17),"",RawFinancials!D17)</f>
        <v>1360876</v>
      </c>
      <c r="E17" s="0" t="n">
        <f aca="false">IF(ISBLANK(RawFinancials!E17),"",RawFinancials!E17)</f>
        <v>-0.06</v>
      </c>
      <c r="F17" s="0" t="n">
        <f aca="false">IF(ISBLANK(RawFinancials!F17),"",RawFinancials!F17)</f>
        <v>122781</v>
      </c>
      <c r="G17" s="0" t="n">
        <f aca="false">IF(ISBLANK(RawFinancials!G17),"",RawFinancials!G17)</f>
        <v>7.93175823515618</v>
      </c>
      <c r="H17" s="0" t="str">
        <f aca="false">IF(ISBLANK(RawFinancials!H17),"",RawFinancials!H17)</f>
        <v>17748_20220331</v>
      </c>
      <c r="I17" s="0" t="n">
        <f aca="false">IF(ISBLANK(RawFinancials!I17),"",RawFinancials!I17)</f>
        <v>0.813721881642695</v>
      </c>
      <c r="J17" s="0" t="n">
        <f aca="false">IF(ISBLANK(RawFinancials!J17),"",RawFinancials!J17)</f>
        <v>144260</v>
      </c>
      <c r="K17" s="0" t="n">
        <f aca="false">IF(ISBLANK(RawFinancials!K17),"",RawFinancials!K17)</f>
        <v>2958</v>
      </c>
      <c r="L17" s="0" t="n">
        <f aca="false">IF(ISBLANK(RawFinancials!L17),"",RawFinancials!L17)</f>
        <v>1135646</v>
      </c>
      <c r="M17" s="0" t="n">
        <f aca="false">IF(ISBLANK(RawFinancials!M17),"",RawFinancials!M17)</f>
        <v>1126405</v>
      </c>
      <c r="N17" s="0" t="n">
        <f aca="false">IF(ISBLANK(RawFinancials!N17),"",RawFinancials!N17)</f>
        <v>958834</v>
      </c>
      <c r="O17" s="0" t="n">
        <f aca="false">IF(ISBLANK(RawFinancials!O17),"",RawFinancials!O17)</f>
        <v>7767</v>
      </c>
      <c r="P17" s="0" t="str">
        <f aca="false">IF(ISBLANK(RawFinancials!P17),"",RawFinancials!P17)</f>
        <v>GORHAM SAVINGS BANK</v>
      </c>
      <c r="Q17" s="0" t="n">
        <f aca="false">IF(ISBLANK(RawFinancials!Q17),"",RawFinancials!Q17)</f>
        <v>0.683927914156348</v>
      </c>
      <c r="R17" s="0" t="n">
        <f aca="false">IF(ISBLANK(RawFinancials!R17),"",RawFinancials!R17)</f>
        <v>3.15264453148257</v>
      </c>
      <c r="S17" s="0" t="n">
        <f aca="false">IF(ISBLANK(RawFinancials!S17),"",RawFinancials!S17)</f>
        <v>47</v>
      </c>
      <c r="T17" s="0" t="n">
        <f aca="false">IF(ISBLANK(RawFinancials!T17),"",RawFinancials!T17)</f>
        <v>2878</v>
      </c>
      <c r="U17" s="0" t="n">
        <f aca="false">IF(ISBLANK(RawFinancials!U17),"",RawFinancials!U17)</f>
        <v>0</v>
      </c>
      <c r="V17" s="0" t="n">
        <f aca="false">IF(ISBLANK(RawFinancials!V17),"",RawFinancials!V17)</f>
        <v>0</v>
      </c>
      <c r="W17" s="0" t="n">
        <f aca="false">IF(ISBLANK(RawFinancials!W17),"",RawFinancials!W17)</f>
        <v>20220331</v>
      </c>
      <c r="X17" s="0" t="n">
        <f aca="false">IF(ISBLANK(RawFinancials!X17),"",RawFinancials!X17)</f>
        <v>-0.306198776629676</v>
      </c>
      <c r="Y17" s="0" t="n">
        <f aca="false">IF(ISBLANK(RawFinancials!Y17),"",RawFinancials!Y17)</f>
        <v>-3.64</v>
      </c>
      <c r="Z17" s="0" t="str">
        <f aca="false">IF(ISBLANK(RawFinancials!Z17),"",RawFinancials!Z17)</f>
        <v>ME</v>
      </c>
      <c r="AA17" s="0" t="n">
        <f aca="false">RawFinancials!AA17</f>
        <v>1</v>
      </c>
      <c r="AB17" s="0" t="n">
        <f aca="false">RawFinancials!AB17</f>
        <v>7767</v>
      </c>
      <c r="AC17" s="0" t="n">
        <f aca="false">RawFinancials!AC17</f>
        <v>0.501754882371523</v>
      </c>
      <c r="AD17" s="0" t="n">
        <f aca="false">IF(L17&gt;0,100*N17/L17,"")</f>
        <v>84.4307116830421</v>
      </c>
      <c r="AE17" s="0" t="n">
        <f aca="false">IF(B17&gt;0,100*F17/B17,"")</f>
        <v>7.93175823515618</v>
      </c>
      <c r="AF17" s="0" t="str">
        <f aca="false">RawFinancials!AE17</f>
        <v>原始0：需核实适用/报告口径</v>
      </c>
    </row>
    <row r="18" customFormat="false" ht="15" hidden="false" customHeight="false" outlineLevel="0" collapsed="false">
      <c r="A18" s="0" t="n">
        <f aca="false">IF(ISBLANK(RawFinancials!A18),"",RawFinancials!A18)</f>
        <v>18</v>
      </c>
      <c r="B18" s="0" t="n">
        <f aca="false">IF(ISBLANK(RawFinancials!B18),"",RawFinancials!B18)</f>
        <v>1206621</v>
      </c>
      <c r="C18" s="0" t="n">
        <f aca="false">IF(ISBLANK(RawFinancials!C18),"",RawFinancials!C18)</f>
        <v>17749</v>
      </c>
      <c r="D18" s="0" t="n">
        <f aca="false">IF(ISBLANK(RawFinancials!D18),"",RawFinancials!D18)</f>
        <v>984705</v>
      </c>
      <c r="E18" s="0" t="n">
        <f aca="false">IF(ISBLANK(RawFinancials!E18),"",RawFinancials!E18)</f>
        <v>0.05</v>
      </c>
      <c r="F18" s="0" t="n">
        <f aca="false">IF(ISBLANK(RawFinancials!F18),"",RawFinancials!F18)</f>
        <v>164326</v>
      </c>
      <c r="G18" s="0" t="n">
        <f aca="false">IF(ISBLANK(RawFinancials!G18),"",RawFinancials!G18)</f>
        <v>13.6186921991247</v>
      </c>
      <c r="H18" s="0" t="str">
        <f aca="false">IF(ISBLANK(RawFinancials!H18),"",RawFinancials!H18)</f>
        <v>17749_20220331</v>
      </c>
      <c r="I18" s="0" t="n">
        <f aca="false">IF(ISBLANK(RawFinancials!I18),"",RawFinancials!I18)</f>
        <v>1.44447114662501</v>
      </c>
      <c r="J18" s="0" t="n">
        <f aca="false">IF(ISBLANK(RawFinancials!J18),"",RawFinancials!J18)</f>
        <v>50144</v>
      </c>
      <c r="K18" s="0" t="n">
        <f aca="false">IF(ISBLANK(RawFinancials!K18),"",RawFinancials!K18)</f>
        <v>10017</v>
      </c>
      <c r="L18" s="0" t="n">
        <f aca="false">IF(ISBLANK(RawFinancials!L18),"",RawFinancials!L18)</f>
        <v>665780</v>
      </c>
      <c r="M18" s="0" t="n">
        <f aca="false">IF(ISBLANK(RawFinancials!M18),"",RawFinancials!M18)</f>
        <v>656163</v>
      </c>
      <c r="N18" s="0" t="n">
        <f aca="false">IF(ISBLANK(RawFinancials!N18),"",RawFinancials!N18)</f>
        <v>595069</v>
      </c>
      <c r="O18" s="0" t="n">
        <f aca="false">IF(ISBLANK(RawFinancials!O18),"",RawFinancials!O18)</f>
        <v>225</v>
      </c>
      <c r="P18" s="0" t="str">
        <f aca="false">IF(ISBLANK(RawFinancials!P18),"",RawFinancials!P18)</f>
        <v>BATH SAVINGS INSTITUTION</v>
      </c>
      <c r="Q18" s="0" t="n">
        <f aca="false">IF(ISBLANK(RawFinancials!Q18),"",RawFinancials!Q18)</f>
        <v>0.0378503409534681</v>
      </c>
      <c r="R18" s="0" t="n">
        <f aca="false">IF(ISBLANK(RawFinancials!R18),"",RawFinancials!R18)</f>
        <v>2.79847262658</v>
      </c>
      <c r="S18" s="0" t="n">
        <f aca="false">IF(ISBLANK(RawFinancials!S18),"",RawFinancials!S18)</f>
        <v>1</v>
      </c>
      <c r="T18" s="0" t="n">
        <f aca="false">IF(ISBLANK(RawFinancials!T18),"",RawFinancials!T18)</f>
        <v>305</v>
      </c>
      <c r="U18" s="0" t="n">
        <f aca="false">IF(ISBLANK(RawFinancials!U18),"",RawFinancials!U18)</f>
        <v>27</v>
      </c>
      <c r="V18" s="0" t="n">
        <f aca="false">IF(ISBLANK(RawFinancials!V18),"",RawFinancials!V18)</f>
        <v>0</v>
      </c>
      <c r="W18" s="0" t="n">
        <f aca="false">IF(ISBLANK(RawFinancials!W18),"",RawFinancials!W18)</f>
        <v>20220331</v>
      </c>
      <c r="X18" s="0" t="n">
        <f aca="false">IF(ISBLANK(RawFinancials!X18),"",RawFinancials!X18)</f>
        <v>0.178286406605462</v>
      </c>
      <c r="Y18" s="0" t="n">
        <f aca="false">IF(ISBLANK(RawFinancials!Y18),"",RawFinancials!Y18)</f>
        <v>1.25</v>
      </c>
      <c r="Z18" s="0" t="str">
        <f aca="false">IF(ISBLANK(RawFinancials!Z18),"",RawFinancials!Z18)</f>
        <v>ME</v>
      </c>
      <c r="AA18" s="0" t="n">
        <f aca="false">RawFinancials!AA18</f>
        <v>1</v>
      </c>
      <c r="AB18" s="0" t="n">
        <f aca="false">RawFinancials!AB18</f>
        <v>252</v>
      </c>
      <c r="AC18" s="0" t="n">
        <f aca="false">RawFinancials!AC18</f>
        <v>0.0208847682909547</v>
      </c>
      <c r="AD18" s="0" t="n">
        <f aca="false">IF(L18&gt;0,100*N18/L18,"")</f>
        <v>89.37922436841</v>
      </c>
      <c r="AE18" s="0" t="n">
        <f aca="false">IF(B18&gt;0,100*F18/B18,"")</f>
        <v>13.6186921991247</v>
      </c>
      <c r="AF18" s="0" t="str">
        <f aca="false">RawFinancials!AE18</f>
        <v>原始0：需核实适用/报告口径</v>
      </c>
    </row>
    <row r="19" customFormat="false" ht="15" hidden="false" customHeight="false" outlineLevel="0" collapsed="false">
      <c r="A19" s="0" t="n">
        <f aca="false">IF(ISBLANK(RawFinancials!A19),"",RawFinancials!A19)</f>
        <v>19</v>
      </c>
      <c r="B19" s="0" t="n">
        <f aca="false">IF(ISBLANK(RawFinancials!B19),"",RawFinancials!B19)</f>
        <v>1361626</v>
      </c>
      <c r="C19" s="0" t="n">
        <f aca="false">IF(ISBLANK(RawFinancials!C19),"",RawFinancials!C19)</f>
        <v>17751</v>
      </c>
      <c r="D19" s="0" t="n">
        <f aca="false">IF(ISBLANK(RawFinancials!D19),"",RawFinancials!D19)</f>
        <v>1200633</v>
      </c>
      <c r="E19" s="0" t="n">
        <f aca="false">IF(ISBLANK(RawFinancials!E19),"",RawFinancials!E19)</f>
        <v>0.07</v>
      </c>
      <c r="F19" s="0" t="n">
        <f aca="false">IF(ISBLANK(RawFinancials!F19),"",RawFinancials!F19)</f>
        <v>129404</v>
      </c>
      <c r="G19" s="0" t="n">
        <f aca="false">IF(ISBLANK(RawFinancials!G19),"",RawFinancials!G19)</f>
        <v>9.50363756273749</v>
      </c>
      <c r="H19" s="0" t="str">
        <f aca="false">IF(ISBLANK(RawFinancials!H19),"",RawFinancials!H19)</f>
        <v>17751_20220331</v>
      </c>
      <c r="I19" s="0" t="n">
        <f aca="false">IF(ISBLANK(RawFinancials!I19),"",RawFinancials!I19)</f>
        <v>1.08433723794644</v>
      </c>
      <c r="J19" s="0" t="n">
        <f aca="false">IF(ISBLANK(RawFinancials!J19),"",RawFinancials!J19)</f>
        <v>117124</v>
      </c>
      <c r="K19" s="0" t="n">
        <f aca="false">IF(ISBLANK(RawFinancials!K19),"",RawFinancials!K19)</f>
        <v>1660</v>
      </c>
      <c r="L19" s="0" t="n">
        <f aca="false">IF(ISBLANK(RawFinancials!L19),"",RawFinancials!L19)</f>
        <v>1081029</v>
      </c>
      <c r="M19" s="0" t="n">
        <f aca="false">IF(ISBLANK(RawFinancials!M19),"",RawFinancials!M19)</f>
        <v>1069307</v>
      </c>
      <c r="N19" s="0" t="n">
        <f aca="false">IF(ISBLANK(RawFinancials!N19),"",RawFinancials!N19)</f>
        <v>913702</v>
      </c>
      <c r="O19" s="0" t="n">
        <f aca="false">IF(ISBLANK(RawFinancials!O19),"",RawFinancials!O19)</f>
        <v>2344</v>
      </c>
      <c r="P19" s="0" t="str">
        <f aca="false">IF(ISBLANK(RawFinancials!P19),"",RawFinancials!P19)</f>
        <v>ANDROSCOGGIN SAVINGS BANK</v>
      </c>
      <c r="Q19" s="0" t="n">
        <f aca="false">IF(ISBLANK(RawFinancials!Q19),"",RawFinancials!Q19)</f>
        <v>0.216830445806727</v>
      </c>
      <c r="R19" s="0" t="n">
        <f aca="false">IF(ISBLANK(RawFinancials!R19),"",RawFinancials!R19)</f>
        <v>2.98263106712459</v>
      </c>
      <c r="S19" s="0" t="n">
        <f aca="false">IF(ISBLANK(RawFinancials!S19),"",RawFinancials!S19)</f>
        <v>2</v>
      </c>
      <c r="T19" s="0" t="n">
        <f aca="false">IF(ISBLANK(RawFinancials!T19),"",RawFinancials!T19)</f>
        <v>1342</v>
      </c>
      <c r="U19" s="0" t="n">
        <f aca="false">IF(ISBLANK(RawFinancials!U19),"",RawFinancials!U19)</f>
        <v>0</v>
      </c>
      <c r="V19" s="0" t="n">
        <f aca="false">IF(ISBLANK(RawFinancials!V19),"",RawFinancials!V19)</f>
        <v>13.7738528053916</v>
      </c>
      <c r="W19" s="0" t="n">
        <f aca="false">IF(ISBLANK(RawFinancials!W19),"",RawFinancials!W19)</f>
        <v>20220331</v>
      </c>
      <c r="X19" s="0" t="n">
        <f aca="false">IF(ISBLANK(RawFinancials!X19),"",RawFinancials!X19)</f>
        <v>0.508705684917139</v>
      </c>
      <c r="Y19" s="0" t="n">
        <f aca="false">IF(ISBLANK(RawFinancials!Y19),"",RawFinancials!Y19)</f>
        <v>5.27</v>
      </c>
      <c r="Z19" s="0" t="str">
        <f aca="false">IF(ISBLANK(RawFinancials!Z19),"",RawFinancials!Z19)</f>
        <v>ME</v>
      </c>
      <c r="AA19" s="0" t="n">
        <f aca="false">RawFinancials!AA19</f>
        <v>1</v>
      </c>
      <c r="AB19" s="0" t="n">
        <f aca="false">RawFinancials!AB19</f>
        <v>2344</v>
      </c>
      <c r="AC19" s="0" t="n">
        <f aca="false">RawFinancials!AC19</f>
        <v>0.172147124100157</v>
      </c>
      <c r="AD19" s="0" t="n">
        <f aca="false">IF(L19&gt;0,100*N19/L19,"")</f>
        <v>84.5215068235912</v>
      </c>
      <c r="AE19" s="0" t="n">
        <f aca="false">IF(B19&gt;0,100*F19/B19,"")</f>
        <v>9.50363756273749</v>
      </c>
      <c r="AF19" s="0" t="str">
        <f aca="false">RawFinancials!AE19</f>
        <v/>
      </c>
    </row>
    <row r="20" customFormat="false" ht="15" hidden="false" customHeight="false" outlineLevel="0" collapsed="false">
      <c r="A20" s="0" t="n">
        <f aca="false">IF(ISBLANK(RawFinancials!A20),"",RawFinancials!A20)</f>
        <v>20</v>
      </c>
      <c r="B20" s="0" t="n">
        <f aca="false">IF(ISBLANK(RawFinancials!B20),"",RawFinancials!B20)</f>
        <v>1471217</v>
      </c>
      <c r="C20" s="0" t="n">
        <f aca="false">IF(ISBLANK(RawFinancials!C20),"",RawFinancials!C20)</f>
        <v>17897</v>
      </c>
      <c r="D20" s="0" t="n">
        <f aca="false">IF(ISBLANK(RawFinancials!D20),"",RawFinancials!D20)</f>
        <v>1215413</v>
      </c>
      <c r="E20" s="0" t="n">
        <f aca="false">IF(ISBLANK(RawFinancials!E20),"",RawFinancials!E20)</f>
        <v>0.04</v>
      </c>
      <c r="F20" s="0" t="n">
        <f aca="false">IF(ISBLANK(RawFinancials!F20),"",RawFinancials!F20)</f>
        <v>198845</v>
      </c>
      <c r="G20" s="0" t="n">
        <f aca="false">IF(ISBLANK(RawFinancials!G20),"",RawFinancials!G20)</f>
        <v>13.515681235331</v>
      </c>
      <c r="H20" s="0" t="str">
        <f aca="false">IF(ISBLANK(RawFinancials!H20),"",RawFinancials!H20)</f>
        <v>17897_20220331</v>
      </c>
      <c r="I20" s="0" t="n">
        <f aca="false">IF(ISBLANK(RawFinancials!I20),"",RawFinancials!I20)</f>
        <v>0.624670190614532</v>
      </c>
      <c r="J20" s="0" t="n">
        <f aca="false">IF(ISBLANK(RawFinancials!J20),"",RawFinancials!J20)</f>
        <v>58243</v>
      </c>
      <c r="K20" s="0" t="n">
        <f aca="false">IF(ISBLANK(RawFinancials!K20),"",RawFinancials!K20)</f>
        <v>2749</v>
      </c>
      <c r="L20" s="0" t="n">
        <f aca="false">IF(ISBLANK(RawFinancials!L20),"",RawFinancials!L20)</f>
        <v>1226087</v>
      </c>
      <c r="M20" s="0" t="n">
        <f aca="false">IF(ISBLANK(RawFinancials!M20),"",RawFinancials!M20)</f>
        <v>1218428</v>
      </c>
      <c r="N20" s="0" t="n">
        <f aca="false">IF(ISBLANK(RawFinancials!N20),"",RawFinancials!N20)</f>
        <v>1160300</v>
      </c>
      <c r="O20" s="0" t="n">
        <f aca="false">IF(ISBLANK(RawFinancials!O20),"",RawFinancials!O20)</f>
        <v>3293</v>
      </c>
      <c r="P20" s="0" t="str">
        <f aca="false">IF(ISBLANK(RawFinancials!P20),"",RawFinancials!P20)</f>
        <v>KENNEBEC SAVINGS BANK</v>
      </c>
      <c r="Q20" s="0" t="n">
        <f aca="false">IF(ISBLANK(RawFinancials!Q20),"",RawFinancials!Q20)</f>
        <v>0.268578004660354</v>
      </c>
      <c r="R20" s="0" t="n">
        <f aca="false">IF(ISBLANK(RawFinancials!R20),"",RawFinancials!R20)</f>
        <v>3.238078097909</v>
      </c>
      <c r="S20" s="0" t="n">
        <f aca="false">IF(ISBLANK(RawFinancials!S20),"",RawFinancials!S20)</f>
        <v>12</v>
      </c>
      <c r="T20" s="0" t="n">
        <f aca="false">IF(ISBLANK(RawFinancials!T20),"",RawFinancials!T20)</f>
        <v>1421</v>
      </c>
      <c r="U20" s="0" t="n">
        <f aca="false">IF(ISBLANK(RawFinancials!U20),"",RawFinancials!U20)</f>
        <v>0</v>
      </c>
      <c r="V20" s="0" t="n">
        <f aca="false">IF(ISBLANK(RawFinancials!V20),"",RawFinancials!V20)</f>
        <v>0</v>
      </c>
      <c r="W20" s="0" t="n">
        <f aca="false">IF(ISBLANK(RawFinancials!W20),"",RawFinancials!W20)</f>
        <v>20220331</v>
      </c>
      <c r="X20" s="0" t="n">
        <f aca="false">IF(ISBLANK(RawFinancials!X20),"",RawFinancials!X20)</f>
        <v>-0.20422436033401</v>
      </c>
      <c r="Y20" s="0" t="n">
        <f aca="false">IF(ISBLANK(RawFinancials!Y20),"",RawFinancials!Y20)</f>
        <v>-1.48</v>
      </c>
      <c r="Z20" s="0" t="str">
        <f aca="false">IF(ISBLANK(RawFinancials!Z20),"",RawFinancials!Z20)</f>
        <v>ME</v>
      </c>
      <c r="AA20" s="0" t="n">
        <f aca="false">RawFinancials!AA20</f>
        <v>1</v>
      </c>
      <c r="AB20" s="0" t="n">
        <f aca="false">RawFinancials!AB20</f>
        <v>3293</v>
      </c>
      <c r="AC20" s="0" t="n">
        <f aca="false">RawFinancials!AC20</f>
        <v>0.223828299972064</v>
      </c>
      <c r="AD20" s="0" t="n">
        <f aca="false">IF(L20&gt;0,100*N20/L20,"")</f>
        <v>94.634393807291</v>
      </c>
      <c r="AE20" s="0" t="n">
        <f aca="false">IF(B20&gt;0,100*F20/B20,"")</f>
        <v>13.515681235331</v>
      </c>
      <c r="AF20" s="0" t="str">
        <f aca="false">RawFinancials!AE20</f>
        <v>原始0：需核实适用/报告口径</v>
      </c>
    </row>
    <row r="21" customFormat="false" ht="15" hidden="false" customHeight="false" outlineLevel="0" collapsed="false">
      <c r="A21" s="0" t="n">
        <f aca="false">IF(ISBLANK(RawFinancials!A21),"",RawFinancials!A21)</f>
        <v>21</v>
      </c>
      <c r="B21" s="0" t="n">
        <f aca="false">IF(ISBLANK(RawFinancials!B21),"",RawFinancials!B21)</f>
        <v>702702</v>
      </c>
      <c r="C21" s="0" t="n">
        <f aca="false">IF(ISBLANK(RawFinancials!C21),"",RawFinancials!C21)</f>
        <v>17951</v>
      </c>
      <c r="D21" s="0" t="n">
        <f aca="false">IF(ISBLANK(RawFinancials!D21),"",RawFinancials!D21)</f>
        <v>626605</v>
      </c>
      <c r="E21" s="0" t="n">
        <f aca="false">IF(ISBLANK(RawFinancials!E21),"",RawFinancials!E21)</f>
        <v>0.05</v>
      </c>
      <c r="F21" s="0" t="n">
        <f aca="false">IF(ISBLANK(RawFinancials!F21),"",RawFinancials!F21)</f>
        <v>57001</v>
      </c>
      <c r="G21" s="0" t="n">
        <f aca="false">IF(ISBLANK(RawFinancials!G21),"",RawFinancials!G21)</f>
        <v>8.11168888091965</v>
      </c>
      <c r="H21" s="0" t="str">
        <f aca="false">IF(ISBLANK(RawFinancials!H21),"",RawFinancials!H21)</f>
        <v>17951_20220331</v>
      </c>
      <c r="I21" s="0" t="n">
        <f aca="false">IF(ISBLANK(RawFinancials!I21),"",RawFinancials!I21)</f>
        <v>0.8551346529476</v>
      </c>
      <c r="J21" s="0" t="n">
        <f aca="false">IF(ISBLANK(RawFinancials!J21),"",RawFinancials!J21)</f>
        <v>24011</v>
      </c>
      <c r="K21" s="0" t="n">
        <f aca="false">IF(ISBLANK(RawFinancials!K21),"",RawFinancials!K21)</f>
        <v>1618</v>
      </c>
      <c r="L21" s="0" t="n">
        <f aca="false">IF(ISBLANK(RawFinancials!L21),"",RawFinancials!L21)</f>
        <v>455133</v>
      </c>
      <c r="M21" s="0" t="n">
        <f aca="false">IF(ISBLANK(RawFinancials!M21),"",RawFinancials!M21)</f>
        <v>451241</v>
      </c>
      <c r="N21" s="0" t="n">
        <f aca="false">IF(ISBLANK(RawFinancials!N21),"",RawFinancials!N21)</f>
        <v>417998</v>
      </c>
      <c r="O21" s="0" t="n">
        <f aca="false">IF(ISBLANK(RawFinancials!O21),"",RawFinancials!O21)</f>
        <v>1046</v>
      </c>
      <c r="P21" s="0" t="str">
        <f aca="false">IF(ISBLANK(RawFinancials!P21),"",RawFinancials!P21)</f>
        <v>FRANKLIN SAVINGS BANK</v>
      </c>
      <c r="Q21" s="0" t="n">
        <f aca="false">IF(ISBLANK(RawFinancials!Q21),"",RawFinancials!Q21)</f>
        <v>0.229822930879545</v>
      </c>
      <c r="R21" s="0" t="n">
        <f aca="false">IF(ISBLANK(RawFinancials!R21),"",RawFinancials!R21)</f>
        <v>3.153855534702</v>
      </c>
      <c r="S21" s="0" t="n">
        <f aca="false">IF(ISBLANK(RawFinancials!S21),"",RawFinancials!S21)</f>
        <v>-3</v>
      </c>
      <c r="T21" s="0" t="n">
        <f aca="false">IF(ISBLANK(RawFinancials!T21),"",RawFinancials!T21)</f>
        <v>57</v>
      </c>
      <c r="U21" s="0" t="n">
        <f aca="false">IF(ISBLANK(RawFinancials!U21),"",RawFinancials!U21)</f>
        <v>0</v>
      </c>
      <c r="V21" s="0" t="n">
        <f aca="false">IF(ISBLANK(RawFinancials!V21),"",RawFinancials!V21)</f>
        <v>15.5380723051999</v>
      </c>
      <c r="W21" s="0" t="n">
        <f aca="false">IF(ISBLANK(RawFinancials!W21),"",RawFinancials!W21)</f>
        <v>20220331</v>
      </c>
      <c r="X21" s="0" t="n">
        <f aca="false">IF(ISBLANK(RawFinancials!X21),"",RawFinancials!X21)</f>
        <v>0.914855176699387</v>
      </c>
      <c r="Y21" s="0" t="n">
        <f aca="false">IF(ISBLANK(RawFinancials!Y21),"",RawFinancials!Y21)</f>
        <v>10.65</v>
      </c>
      <c r="Z21" s="0" t="str">
        <f aca="false">IF(ISBLANK(RawFinancials!Z21),"",RawFinancials!Z21)</f>
        <v>NH</v>
      </c>
      <c r="AA21" s="0" t="n">
        <f aca="false">RawFinancials!AA21</f>
        <v>1</v>
      </c>
      <c r="AB21" s="0" t="n">
        <f aca="false">RawFinancials!AB21</f>
        <v>1046</v>
      </c>
      <c r="AC21" s="0" t="n">
        <f aca="false">RawFinancials!AC21</f>
        <v>0.148853995007841</v>
      </c>
      <c r="AD21" s="0" t="n">
        <f aca="false">IF(L21&gt;0,100*N21/L21,"")</f>
        <v>91.8408465217859</v>
      </c>
      <c r="AE21" s="0" t="n">
        <f aca="false">IF(B21&gt;0,100*F21/B21,"")</f>
        <v>8.11168888091965</v>
      </c>
      <c r="AF21" s="0" t="str">
        <f aca="false">RawFinancials!AE21</f>
        <v/>
      </c>
    </row>
    <row r="22" customFormat="false" ht="15" hidden="false" customHeight="false" outlineLevel="0" collapsed="false">
      <c r="A22" s="0" t="n">
        <f aca="false">IF(ISBLANK(RawFinancials!A22),"",RawFinancials!A22)</f>
        <v>22</v>
      </c>
      <c r="B22" s="0" t="n">
        <f aca="false">IF(ISBLANK(RawFinancials!B22),"",RawFinancials!B22)</f>
        <v>1150436</v>
      </c>
      <c r="C22" s="0" t="n">
        <f aca="false">IF(ISBLANK(RawFinancials!C22),"",RawFinancials!C22)</f>
        <v>17960</v>
      </c>
      <c r="D22" s="0" t="n">
        <f aca="false">IF(ISBLANK(RawFinancials!D22),"",RawFinancials!D22)</f>
        <v>962644</v>
      </c>
      <c r="E22" s="0" t="n">
        <f aca="false">IF(ISBLANK(RawFinancials!E22),"",RawFinancials!E22)</f>
        <v>0.07</v>
      </c>
      <c r="F22" s="0" t="n">
        <f aca="false">IF(ISBLANK(RawFinancials!F22),"",RawFinancials!F22)</f>
        <v>107341</v>
      </c>
      <c r="G22" s="0" t="n">
        <f aca="false">IF(ISBLANK(RawFinancials!G22),"",RawFinancials!G22)</f>
        <v>9.33046253768137</v>
      </c>
      <c r="H22" s="0" t="str">
        <f aca="false">IF(ISBLANK(RawFinancials!H22),"",RawFinancials!H22)</f>
        <v>17960_20220331</v>
      </c>
      <c r="I22" s="0" t="n">
        <f aca="false">IF(ISBLANK(RawFinancials!I22),"",RawFinancials!I22)</f>
        <v>1.01419619556841</v>
      </c>
      <c r="J22" s="0" t="n">
        <f aca="false">IF(ISBLANK(RawFinancials!J22),"",RawFinancials!J22)</f>
        <v>96589</v>
      </c>
      <c r="K22" s="0" t="n">
        <f aca="false">IF(ISBLANK(RawFinancials!K22),"",RawFinancials!K22)</f>
        <v>142477</v>
      </c>
      <c r="L22" s="0" t="n">
        <f aca="false">IF(ISBLANK(RawFinancials!L22),"",RawFinancials!L22)</f>
        <v>940745</v>
      </c>
      <c r="M22" s="0" t="n">
        <f aca="false">IF(ISBLANK(RawFinancials!M22),"",RawFinancials!M22)</f>
        <v>931204</v>
      </c>
      <c r="N22" s="0" t="n">
        <f aca="false">IF(ISBLANK(RawFinancials!N22),"",RawFinancials!N22)</f>
        <v>701328</v>
      </c>
      <c r="O22" s="0" t="n">
        <f aca="false">IF(ISBLANK(RawFinancials!O22),"",RawFinancials!O22)</f>
        <v>462</v>
      </c>
      <c r="P22" s="0" t="str">
        <f aca="false">IF(ISBLANK(RawFinancials!P22),"",RawFinancials!P22)</f>
        <v>MERRIMACK COUNTY SAVINGS BANK</v>
      </c>
      <c r="Q22" s="0" t="n">
        <f aca="false">IF(ISBLANK(RawFinancials!Q22),"",RawFinancials!Q22)</f>
        <v>0.0491100138719844</v>
      </c>
      <c r="R22" s="0" t="n">
        <f aca="false">IF(ISBLANK(RawFinancials!R22),"",RawFinancials!R22)</f>
        <v>3.59463940740848</v>
      </c>
      <c r="S22" s="0" t="n">
        <f aca="false">IF(ISBLANK(RawFinancials!S22),"",RawFinancials!S22)</f>
        <v>7</v>
      </c>
      <c r="T22" s="0" t="n">
        <f aca="false">IF(ISBLANK(RawFinancials!T22),"",RawFinancials!T22)</f>
        <v>1292</v>
      </c>
      <c r="U22" s="0" t="n">
        <f aca="false">IF(ISBLANK(RawFinancials!U22),"",RawFinancials!U22)</f>
        <v>0</v>
      </c>
      <c r="V22" s="0" t="n">
        <f aca="false">IF(ISBLANK(RawFinancials!V22),"",RawFinancials!V22)</f>
        <v>14.4388795444508</v>
      </c>
      <c r="W22" s="0" t="n">
        <f aca="false">IF(ISBLANK(RawFinancials!W22),"",RawFinancials!W22)</f>
        <v>20220331</v>
      </c>
      <c r="X22" s="0" t="n">
        <f aca="false">IF(ISBLANK(RawFinancials!X22),"",RawFinancials!X22)</f>
        <v>0.833049601017634</v>
      </c>
      <c r="Y22" s="0" t="n">
        <f aca="false">IF(ISBLANK(RawFinancials!Y22),"",RawFinancials!Y22)</f>
        <v>8.77</v>
      </c>
      <c r="Z22" s="0" t="str">
        <f aca="false">IF(ISBLANK(RawFinancials!Z22),"",RawFinancials!Z22)</f>
        <v>NH</v>
      </c>
      <c r="AA22" s="0" t="n">
        <f aca="false">RawFinancials!AA22</f>
        <v>1</v>
      </c>
      <c r="AB22" s="0" t="n">
        <f aca="false">RawFinancials!AB22</f>
        <v>462</v>
      </c>
      <c r="AC22" s="0" t="n">
        <f aca="false">RawFinancials!AC22</f>
        <v>0.0401586876627644</v>
      </c>
      <c r="AD22" s="0" t="n">
        <f aca="false">IF(L22&gt;0,100*N22/L22,"")</f>
        <v>74.5502766424483</v>
      </c>
      <c r="AE22" s="0" t="n">
        <f aca="false">IF(B22&gt;0,100*F22/B22,"")</f>
        <v>9.33046253768137</v>
      </c>
      <c r="AF22" s="0" t="str">
        <f aca="false">RawFinancials!AE22</f>
        <v/>
      </c>
    </row>
    <row r="23" customFormat="false" ht="15" hidden="false" customHeight="false" outlineLevel="0" collapsed="false">
      <c r="A23" s="0" t="n">
        <f aca="false">IF(ISBLANK(RawFinancials!A23),"",RawFinancials!A23)</f>
        <v>23</v>
      </c>
      <c r="B23" s="0" t="n">
        <f aca="false">IF(ISBLANK(RawFinancials!B23),"",RawFinancials!B23)</f>
        <v>2361388</v>
      </c>
      <c r="C23" s="0" t="n">
        <f aca="false">IF(ISBLANK(RawFinancials!C23),"",RawFinancials!C23)</f>
        <v>18012</v>
      </c>
      <c r="D23" s="0" t="n">
        <f aca="false">IF(ISBLANK(RawFinancials!D23),"",RawFinancials!D23)</f>
        <v>1985720</v>
      </c>
      <c r="E23" s="0" t="n">
        <f aca="false">IF(ISBLANK(RawFinancials!E23),"",RawFinancials!E23)</f>
        <v>0.04</v>
      </c>
      <c r="F23" s="0" t="n">
        <f aca="false">IF(ISBLANK(RawFinancials!F23),"",RawFinancials!F23)</f>
        <v>235718</v>
      </c>
      <c r="G23" s="0" t="n">
        <f aca="false">IF(ISBLANK(RawFinancials!G23),"",RawFinancials!G23)</f>
        <v>9.98217997211809</v>
      </c>
      <c r="H23" s="0" t="str">
        <f aca="false">IF(ISBLANK(RawFinancials!H23),"",RawFinancials!H23)</f>
        <v>18012_20220331</v>
      </c>
      <c r="I23" s="0" t="n">
        <f aca="false">IF(ISBLANK(RawFinancials!I23),"",RawFinancials!I23)</f>
        <v>1.23592456852314</v>
      </c>
      <c r="J23" s="0" t="n">
        <f aca="false">IF(ISBLANK(RawFinancials!J23),"",RawFinancials!J23)</f>
        <v>56828</v>
      </c>
      <c r="K23" s="0" t="n">
        <f aca="false">IF(ISBLANK(RawFinancials!K23),"",RawFinancials!K23)</f>
        <v>37005</v>
      </c>
      <c r="L23" s="0" t="n">
        <f aca="false">IF(ISBLANK(RawFinancials!L23),"",RawFinancials!L23)</f>
        <v>1846391</v>
      </c>
      <c r="M23" s="0" t="n">
        <f aca="false">IF(ISBLANK(RawFinancials!M23),"",RawFinancials!M23)</f>
        <v>1823571</v>
      </c>
      <c r="N23" s="0" t="n">
        <f aca="false">IF(ISBLANK(RawFinancials!N23),"",RawFinancials!N23)</f>
        <v>1710167</v>
      </c>
      <c r="O23" s="0" t="n">
        <f aca="false">IF(ISBLANK(RawFinancials!O23),"",RawFinancials!O23)</f>
        <v>1611</v>
      </c>
      <c r="P23" s="0" t="str">
        <f aca="false">IF(ISBLANK(RawFinancials!P23),"",RawFinancials!P23)</f>
        <v>BANK OF NEW HAMPSHIRE</v>
      </c>
      <c r="Q23" s="0" t="n">
        <f aca="false">IF(ISBLANK(RawFinancials!Q23),"",RawFinancials!Q23)</f>
        <v>0.0872512918444684</v>
      </c>
      <c r="R23" s="0" t="n">
        <f aca="false">IF(ISBLANK(RawFinancials!R23),"",RawFinancials!R23)</f>
        <v>3.49821090392703</v>
      </c>
      <c r="S23" s="0" t="n">
        <f aca="false">IF(ISBLANK(RawFinancials!S23),"",RawFinancials!S23)</f>
        <v>30</v>
      </c>
      <c r="T23" s="0" t="n">
        <f aca="false">IF(ISBLANK(RawFinancials!T23),"",RawFinancials!T23)</f>
        <v>1160</v>
      </c>
      <c r="U23" s="0" t="n">
        <f aca="false">IF(ISBLANK(RawFinancials!U23),"",RawFinancials!U23)</f>
        <v>0</v>
      </c>
      <c r="V23" s="0" t="n">
        <f aca="false">IF(ISBLANK(RawFinancials!V23),"",RawFinancials!V23)</f>
        <v>12.5879724374004</v>
      </c>
      <c r="W23" s="0" t="n">
        <f aca="false">IF(ISBLANK(RawFinancials!W23),"",RawFinancials!W23)</f>
        <v>20220331</v>
      </c>
      <c r="X23" s="0" t="n">
        <f aca="false">IF(ISBLANK(RawFinancials!X23),"",RawFinancials!X23)</f>
        <v>1.38990310237064</v>
      </c>
      <c r="Y23" s="0" t="n">
        <f aca="false">IF(ISBLANK(RawFinancials!Y23),"",RawFinancials!Y23)</f>
        <v>13.47</v>
      </c>
      <c r="Z23" s="0" t="str">
        <f aca="false">IF(ISBLANK(RawFinancials!Z23),"",RawFinancials!Z23)</f>
        <v>NH</v>
      </c>
      <c r="AA23" s="0" t="n">
        <f aca="false">RawFinancials!AA23</f>
        <v>1</v>
      </c>
      <c r="AB23" s="0" t="n">
        <f aca="false">RawFinancials!AB23</f>
        <v>1611</v>
      </c>
      <c r="AC23" s="0" t="n">
        <f aca="false">RawFinancials!AC23</f>
        <v>0.0682225877322998</v>
      </c>
      <c r="AD23" s="0" t="n">
        <f aca="false">IF(L23&gt;0,100*N23/L23,"")</f>
        <v>92.6221477466041</v>
      </c>
      <c r="AE23" s="0" t="n">
        <f aca="false">IF(B23&gt;0,100*F23/B23,"")</f>
        <v>9.98217997211809</v>
      </c>
      <c r="AF23" s="0" t="str">
        <f aca="false">RawFinancials!AE23</f>
        <v/>
      </c>
    </row>
    <row r="24" customFormat="false" ht="15" hidden="false" customHeight="false" outlineLevel="0" collapsed="false">
      <c r="A24" s="0" t="n">
        <f aca="false">IF(ISBLANK(RawFinancials!A24),"",RawFinancials!A24)</f>
        <v>24</v>
      </c>
      <c r="B24" s="0" t="n">
        <f aca="false">IF(ISBLANK(RawFinancials!B24),"",RawFinancials!B24)</f>
        <v>2600482</v>
      </c>
      <c r="C24" s="0" t="n">
        <f aca="false">IF(ISBLANK(RawFinancials!C24),"",RawFinancials!C24)</f>
        <v>18013</v>
      </c>
      <c r="D24" s="0" t="n">
        <f aca="false">IF(ISBLANK(RawFinancials!D24),"",RawFinancials!D24)</f>
        <v>2300252</v>
      </c>
      <c r="E24" s="0" t="n">
        <f aca="false">IF(ISBLANK(RawFinancials!E24),"",RawFinancials!E24)</f>
        <v>0</v>
      </c>
      <c r="F24" s="0" t="n">
        <f aca="false">IF(ISBLANK(RawFinancials!F24),"",RawFinancials!F24)</f>
        <v>212897</v>
      </c>
      <c r="G24" s="0" t="n">
        <f aca="false">IF(ISBLANK(RawFinancials!G24),"",RawFinancials!G24)</f>
        <v>8.18682844180425</v>
      </c>
      <c r="H24" s="0" t="str">
        <f aca="false">IF(ISBLANK(RawFinancials!H24),"",RawFinancials!H24)</f>
        <v>18013_20220331</v>
      </c>
      <c r="I24" s="0" t="n">
        <f aca="false">IF(ISBLANK(RawFinancials!I24),"",RawFinancials!I24)</f>
        <v>0.956594529690328</v>
      </c>
      <c r="J24" s="0" t="n">
        <f aca="false">IF(ISBLANK(RawFinancials!J24),"",RawFinancials!J24)</f>
        <v>115058</v>
      </c>
      <c r="K24" s="0" t="n">
        <f aca="false">IF(ISBLANK(RawFinancials!K24),"",RawFinancials!K24)</f>
        <v>10633</v>
      </c>
      <c r="L24" s="0" t="n">
        <f aca="false">IF(ISBLANK(RawFinancials!L24),"",RawFinancials!L24)</f>
        <v>1930494</v>
      </c>
      <c r="M24" s="0" t="n">
        <f aca="false">IF(ISBLANK(RawFinancials!M24),"",RawFinancials!M24)</f>
        <v>1912027</v>
      </c>
      <c r="N24" s="0" t="n">
        <f aca="false">IF(ISBLANK(RawFinancials!N24),"",RawFinancials!N24)</f>
        <v>1765339</v>
      </c>
      <c r="O24" s="0" t="n">
        <f aca="false">IF(ISBLANK(RawFinancials!O24),"",RawFinancials!O24)</f>
        <v>1382</v>
      </c>
      <c r="P24" s="0" t="str">
        <f aca="false">IF(ISBLANK(RawFinancials!P24),"",RawFinancials!P24)</f>
        <v>MASCOMA BANK</v>
      </c>
      <c r="Q24" s="0" t="n">
        <f aca="false">IF(ISBLANK(RawFinancials!Q24),"",RawFinancials!Q24)</f>
        <v>0.0824659387700764</v>
      </c>
      <c r="R24" s="0" t="n">
        <f aca="false">IF(ISBLANK(RawFinancials!R24),"",RawFinancials!R24)</f>
        <v>3.00297177382644</v>
      </c>
      <c r="S24" s="0" t="n">
        <f aca="false">IF(ISBLANK(RawFinancials!S24),"",RawFinancials!S24)</f>
        <v>-26</v>
      </c>
      <c r="T24" s="0" t="n">
        <f aca="false">IF(ISBLANK(RawFinancials!T24),"",RawFinancials!T24)</f>
        <v>2301</v>
      </c>
      <c r="U24" s="0" t="n">
        <f aca="false">IF(ISBLANK(RawFinancials!U24),"",RawFinancials!U24)</f>
        <v>210</v>
      </c>
      <c r="V24" s="0" t="n">
        <f aca="false">IF(ISBLANK(RawFinancials!V24),"",RawFinancials!V24)</f>
        <v>14.3274834905896</v>
      </c>
      <c r="W24" s="0" t="n">
        <f aca="false">IF(ISBLANK(RawFinancials!W24),"",RawFinancials!W24)</f>
        <v>20220331</v>
      </c>
      <c r="X24" s="0" t="n">
        <f aca="false">IF(ISBLANK(RawFinancials!X24),"",RawFinancials!X24)</f>
        <v>0.731150038080731</v>
      </c>
      <c r="Y24" s="0" t="n">
        <f aca="false">IF(ISBLANK(RawFinancials!Y24),"",RawFinancials!Y24)</f>
        <v>8.73</v>
      </c>
      <c r="Z24" s="0" t="str">
        <f aca="false">IF(ISBLANK(RawFinancials!Z24),"",RawFinancials!Z24)</f>
        <v>NH</v>
      </c>
      <c r="AA24" s="0" t="n">
        <f aca="false">RawFinancials!AA24</f>
        <v>1</v>
      </c>
      <c r="AB24" s="0" t="n">
        <f aca="false">RawFinancials!AB24</f>
        <v>1592</v>
      </c>
      <c r="AC24" s="0" t="n">
        <f aca="false">RawFinancials!AC24</f>
        <v>0.0612194200921214</v>
      </c>
      <c r="AD24" s="0" t="n">
        <f aca="false">IF(L24&gt;0,100*N24/L24,"")</f>
        <v>91.4449358557965</v>
      </c>
      <c r="AE24" s="0" t="n">
        <f aca="false">IF(B24&gt;0,100*F24/B24,"")</f>
        <v>8.18682844180425</v>
      </c>
      <c r="AF24" s="0" t="str">
        <f aca="false">RawFinancials!AE24</f>
        <v/>
      </c>
    </row>
    <row r="25" customFormat="false" ht="15" hidden="false" customHeight="false" outlineLevel="0" collapsed="false">
      <c r="A25" s="0" t="n">
        <f aca="false">IF(ISBLANK(RawFinancials!A25),"",RawFinancials!A25)</f>
        <v>25</v>
      </c>
      <c r="B25" s="0" t="n">
        <f aca="false">IF(ISBLANK(RawFinancials!B25),"",RawFinancials!B25)</f>
        <v>376087</v>
      </c>
      <c r="C25" s="0" t="n">
        <f aca="false">IF(ISBLANK(RawFinancials!C25),"",RawFinancials!C25)</f>
        <v>18028</v>
      </c>
      <c r="D25" s="0" t="n">
        <f aca="false">IF(ISBLANK(RawFinancials!D25),"",RawFinancials!D25)</f>
        <v>329792</v>
      </c>
      <c r="E25" s="0" t="n">
        <f aca="false">IF(ISBLANK(RawFinancials!E25),"",RawFinancials!E25)</f>
        <v>-0.11</v>
      </c>
      <c r="F25" s="0" t="n">
        <f aca="false">IF(ISBLANK(RawFinancials!F25),"",RawFinancials!F25)</f>
        <v>41683</v>
      </c>
      <c r="G25" s="0" t="n">
        <f aca="false">IF(ISBLANK(RawFinancials!G25),"",RawFinancials!G25)</f>
        <v>11.0833397591515</v>
      </c>
      <c r="H25" s="0" t="str">
        <f aca="false">IF(ISBLANK(RawFinancials!H25),"",RawFinancials!H25)</f>
        <v>18028_20220331</v>
      </c>
      <c r="I25" s="0" t="n">
        <f aca="false">IF(ISBLANK(RawFinancials!I25),"",RawFinancials!I25)</f>
        <v>0.928775126335954</v>
      </c>
      <c r="J25" s="0" t="n">
        <f aca="false">IF(ISBLANK(RawFinancials!J25),"",RawFinancials!J25)</f>
        <v>15550</v>
      </c>
      <c r="K25" s="0" t="n">
        <f aca="false">IF(ISBLANK(RawFinancials!K25),"",RawFinancials!K25)</f>
        <v>5989</v>
      </c>
      <c r="L25" s="0" t="n">
        <f aca="false">IF(ISBLANK(RawFinancials!L25),"",RawFinancials!L25)</f>
        <v>230734</v>
      </c>
      <c r="M25" s="0" t="n">
        <f aca="false">IF(ISBLANK(RawFinancials!M25),"",RawFinancials!M25)</f>
        <v>228591</v>
      </c>
      <c r="N25" s="0" t="n">
        <f aca="false">IF(ISBLANK(RawFinancials!N25),"",RawFinancials!N25)</f>
        <v>205024</v>
      </c>
      <c r="O25" s="0" t="n">
        <f aca="false">IF(ISBLANK(RawFinancials!O25),"",RawFinancials!O25)</f>
        <v>1080</v>
      </c>
      <c r="P25" s="0" t="str">
        <f aca="false">IF(ISBLANK(RawFinancials!P25),"",RawFinancials!P25)</f>
        <v>SUGAR RIVER BANK</v>
      </c>
      <c r="Q25" s="0" t="n">
        <f aca="false">IF(ISBLANK(RawFinancials!Q25),"",RawFinancials!Q25)</f>
        <v>0.488007835862942</v>
      </c>
      <c r="R25" s="0" t="n">
        <f aca="false">IF(ISBLANK(RawFinancials!R25),"",RawFinancials!R25)</f>
        <v>3.14258644110362</v>
      </c>
      <c r="S25" s="0" t="n">
        <f aca="false">IF(ISBLANK(RawFinancials!S25),"",RawFinancials!S25)</f>
        <v>22</v>
      </c>
      <c r="T25" s="0" t="n">
        <f aca="false">IF(ISBLANK(RawFinancials!T25),"",RawFinancials!T25)</f>
        <v>1113</v>
      </c>
      <c r="U25" s="0" t="n">
        <f aca="false">IF(ISBLANK(RawFinancials!U25),"",RawFinancials!U25)</f>
        <v>46</v>
      </c>
      <c r="V25" s="0" t="n">
        <f aca="false">IF(ISBLANK(RawFinancials!V25),"",RawFinancials!V25)</f>
        <v>0</v>
      </c>
      <c r="W25" s="0" t="n">
        <f aca="false">IF(ISBLANK(RawFinancials!W25),"",RawFinancials!W25)</f>
        <v>20220331</v>
      </c>
      <c r="X25" s="0" t="n">
        <f aca="false">IF(ISBLANK(RawFinancials!X25),"",RawFinancials!X25)</f>
        <v>0.799467731204258</v>
      </c>
      <c r="Y25" s="0" t="n">
        <f aca="false">IF(ISBLANK(RawFinancials!Y25),"",RawFinancials!Y25)</f>
        <v>6.76</v>
      </c>
      <c r="Z25" s="0" t="str">
        <f aca="false">IF(ISBLANK(RawFinancials!Z25),"",RawFinancials!Z25)</f>
        <v>NH</v>
      </c>
      <c r="AA25" s="0" t="n">
        <f aca="false">RawFinancials!AA25</f>
        <v>1</v>
      </c>
      <c r="AB25" s="0" t="n">
        <f aca="false">RawFinancials!AB25</f>
        <v>1126</v>
      </c>
      <c r="AC25" s="0" t="n">
        <f aca="false">RawFinancials!AC25</f>
        <v>0.299398809318057</v>
      </c>
      <c r="AD25" s="0" t="n">
        <f aca="false">IF(L25&gt;0,100*N25/L25,"")</f>
        <v>88.8572988809625</v>
      </c>
      <c r="AE25" s="0" t="n">
        <f aca="false">IF(B25&gt;0,100*F25/B25,"")</f>
        <v>11.0833397591515</v>
      </c>
      <c r="AF25" s="0" t="str">
        <f aca="false">RawFinancials!AE25</f>
        <v>原始0：需核实适用/报告口径</v>
      </c>
    </row>
    <row r="26" customFormat="false" ht="15" hidden="false" customHeight="false" outlineLevel="0" collapsed="false">
      <c r="A26" s="0" t="n">
        <f aca="false">IF(ISBLANK(RawFinancials!A26),"",RawFinancials!A26)</f>
        <v>26</v>
      </c>
      <c r="B26" s="0" t="n">
        <f aca="false">IF(ISBLANK(RawFinancials!B26),"",RawFinancials!B26)</f>
        <v>675480</v>
      </c>
      <c r="C26" s="0" t="n">
        <f aca="false">IF(ISBLANK(RawFinancials!C26),"",RawFinancials!C26)</f>
        <v>18030</v>
      </c>
      <c r="D26" s="0" t="n">
        <f aca="false">IF(ISBLANK(RawFinancials!D26),"",RawFinancials!D26)</f>
        <v>625612</v>
      </c>
      <c r="E26" s="0" t="n">
        <f aca="false">IF(ISBLANK(RawFinancials!E26),"",RawFinancials!E26)</f>
        <v>0.1</v>
      </c>
      <c r="F26" s="0" t="n">
        <f aca="false">IF(ISBLANK(RawFinancials!F26),"",RawFinancials!F26)</f>
        <v>47946</v>
      </c>
      <c r="G26" s="0" t="n">
        <f aca="false">IF(ISBLANK(RawFinancials!G26),"",RawFinancials!G26)</f>
        <v>7.09806359921833</v>
      </c>
      <c r="H26" s="0" t="str">
        <f aca="false">IF(ISBLANK(RawFinancials!H26),"",RawFinancials!H26)</f>
        <v>18030_20220331</v>
      </c>
      <c r="I26" s="0" t="n">
        <f aca="false">IF(ISBLANK(RawFinancials!I26),"",RawFinancials!I26)</f>
        <v>0.94156178548623</v>
      </c>
      <c r="J26" s="0" t="n">
        <f aca="false">IF(ISBLANK(RawFinancials!J26),"",RawFinancials!J26)</f>
        <v>24798</v>
      </c>
      <c r="K26" s="0" t="n">
        <f aca="false">IF(ISBLANK(RawFinancials!K26),"",RawFinancials!K26)</f>
        <v>77370</v>
      </c>
      <c r="L26" s="0" t="n">
        <f aca="false">IF(ISBLANK(RawFinancials!L26),"",RawFinancials!L26)</f>
        <v>485470</v>
      </c>
      <c r="M26" s="0" t="n">
        <f aca="false">IF(ISBLANK(RawFinancials!M26),"",RawFinancials!M26)</f>
        <v>480899</v>
      </c>
      <c r="N26" s="0" t="n">
        <f aca="false">IF(ISBLANK(RawFinancials!N26),"",RawFinancials!N26)</f>
        <v>383166</v>
      </c>
      <c r="O26" s="0" t="n">
        <f aca="false">IF(ISBLANK(RawFinancials!O26),"",RawFinancials!O26)</f>
        <v>602</v>
      </c>
      <c r="P26" s="0" t="str">
        <f aca="false">IF(ISBLANK(RawFinancials!P26),"",RawFinancials!P26)</f>
        <v>SAVINGS BANK OF WALPOLE</v>
      </c>
      <c r="Q26" s="0" t="n">
        <f aca="false">IF(ISBLANK(RawFinancials!Q26),"",RawFinancials!Q26)</f>
        <v>0.148721857169341</v>
      </c>
      <c r="R26" s="0" t="n">
        <f aca="false">IF(ISBLANK(RawFinancials!R26),"",RawFinancials!R26)</f>
        <v>2.94757262359294</v>
      </c>
      <c r="S26" s="0" t="n">
        <f aca="false">IF(ISBLANK(RawFinancials!S26),"",RawFinancials!S26)</f>
        <v>-1</v>
      </c>
      <c r="T26" s="0" t="n">
        <f aca="false">IF(ISBLANK(RawFinancials!T26),"",RawFinancials!T26)</f>
        <v>184</v>
      </c>
      <c r="U26" s="0" t="n">
        <f aca="false">IF(ISBLANK(RawFinancials!U26),"",RawFinancials!U26)</f>
        <v>120</v>
      </c>
      <c r="V26" s="0" t="n">
        <f aca="false">IF(ISBLANK(RawFinancials!V26),"",RawFinancials!V26)</f>
        <v>14.5080691206684</v>
      </c>
      <c r="W26" s="0" t="n">
        <f aca="false">IF(ISBLANK(RawFinancials!W26),"",RawFinancials!W26)</f>
        <v>20220331</v>
      </c>
      <c r="X26" s="0" t="n">
        <f aca="false">IF(ISBLANK(RawFinancials!X26),"",RawFinancials!X26)</f>
        <v>0.354625753802855</v>
      </c>
      <c r="Y26" s="0" t="n">
        <f aca="false">IF(ISBLANK(RawFinancials!Y26),"",RawFinancials!Y26)</f>
        <v>4.73</v>
      </c>
      <c r="Z26" s="0" t="str">
        <f aca="false">IF(ISBLANK(RawFinancials!Z26),"",RawFinancials!Z26)</f>
        <v>NH</v>
      </c>
      <c r="AA26" s="0" t="n">
        <f aca="false">RawFinancials!AA26</f>
        <v>1</v>
      </c>
      <c r="AB26" s="0" t="n">
        <f aca="false">RawFinancials!AB26</f>
        <v>722</v>
      </c>
      <c r="AC26" s="0" t="n">
        <f aca="false">RawFinancials!AC26</f>
        <v>0.106886954462012</v>
      </c>
      <c r="AD26" s="0" t="n">
        <f aca="false">IF(L26&gt;0,100*N26/L26,"")</f>
        <v>78.9268131913403</v>
      </c>
      <c r="AE26" s="0" t="n">
        <f aca="false">IF(B26&gt;0,100*F26/B26,"")</f>
        <v>7.09806359921833</v>
      </c>
      <c r="AF26" s="0" t="str">
        <f aca="false">RawFinancials!AE26</f>
        <v/>
      </c>
    </row>
    <row r="27" customFormat="false" ht="15" hidden="false" customHeight="false" outlineLevel="0" collapsed="false">
      <c r="A27" s="0" t="n">
        <f aca="false">IF(ISBLANK(RawFinancials!A27),"",RawFinancials!A27)</f>
        <v>27</v>
      </c>
      <c r="B27" s="0" t="n">
        <f aca="false">IF(ISBLANK(RawFinancials!B27),"",RawFinancials!B27)</f>
        <v>618579</v>
      </c>
      <c r="C27" s="0" t="n">
        <f aca="false">IF(ISBLANK(RawFinancials!C27),"",RawFinancials!C27)</f>
        <v>18031</v>
      </c>
      <c r="D27" s="0" t="n">
        <f aca="false">IF(ISBLANK(RawFinancials!D27),"",RawFinancials!D27)</f>
        <v>539167</v>
      </c>
      <c r="E27" s="0" t="n">
        <f aca="false">IF(ISBLANK(RawFinancials!E27),"",RawFinancials!E27)</f>
        <v>0</v>
      </c>
      <c r="F27" s="0" t="n">
        <f aca="false">IF(ISBLANK(RawFinancials!F27),"",RawFinancials!F27)</f>
        <v>45852</v>
      </c>
      <c r="G27" s="0" t="n">
        <f aca="false">IF(ISBLANK(RawFinancials!G27),"",RawFinancials!G27)</f>
        <v>7.41247278035627</v>
      </c>
      <c r="H27" s="0" t="str">
        <f aca="false">IF(ISBLANK(RawFinancials!H27),"",RawFinancials!H27)</f>
        <v>18031_20220331</v>
      </c>
      <c r="I27" s="0" t="n">
        <f aca="false">IF(ISBLANK(RawFinancials!I27),"",RawFinancials!I27)</f>
        <v>1.21031300615778</v>
      </c>
      <c r="J27" s="0" t="n">
        <f aca="false">IF(ISBLANK(RawFinancials!J27),"",RawFinancials!J27)</f>
        <v>32100</v>
      </c>
      <c r="K27" s="0" t="n">
        <f aca="false">IF(ISBLANK(RawFinancials!K27),"",RawFinancials!K27)</f>
        <v>8415</v>
      </c>
      <c r="L27" s="0" t="n">
        <f aca="false">IF(ISBLANK(RawFinancials!L27),"",RawFinancials!L27)</f>
        <v>414273</v>
      </c>
      <c r="M27" s="0" t="n">
        <f aca="false">IF(ISBLANK(RawFinancials!M27),"",RawFinancials!M27)</f>
        <v>409259</v>
      </c>
      <c r="N27" s="0" t="n">
        <f aca="false">IF(ISBLANK(RawFinancials!N27),"",RawFinancials!N27)</f>
        <v>368428</v>
      </c>
      <c r="O27" s="0" t="n">
        <f aca="false">IF(ISBLANK(RawFinancials!O27),"",RawFinancials!O27)</f>
        <v>602</v>
      </c>
      <c r="P27" s="0" t="str">
        <f aca="false">IF(ISBLANK(RawFinancials!P27),"",RawFinancials!P27)</f>
        <v>WOODSVILLE GUARANTY SAVINGS BANK</v>
      </c>
      <c r="Q27" s="0" t="n">
        <f aca="false">IF(ISBLANK(RawFinancials!Q27),"",RawFinancials!Q27)</f>
        <v>0.145314804488827</v>
      </c>
      <c r="R27" s="0" t="n">
        <f aca="false">IF(ISBLANK(RawFinancials!R27),"",RawFinancials!R27)</f>
        <v>2.83494716689371</v>
      </c>
      <c r="S27" s="0" t="n">
        <f aca="false">IF(ISBLANK(RawFinancials!S27),"",RawFinancials!S27)</f>
        <v>19</v>
      </c>
      <c r="T27" s="0" t="n">
        <f aca="false">IF(ISBLANK(RawFinancials!T27),"",RawFinancials!T27)</f>
        <v>1504</v>
      </c>
      <c r="U27" s="0" t="n">
        <f aca="false">IF(ISBLANK(RawFinancials!U27),"",RawFinancials!U27)</f>
        <v>0</v>
      </c>
      <c r="V27" s="0" t="n">
        <f aca="false">IF(ISBLANK(RawFinancials!V27),"",RawFinancials!V27)</f>
        <v>0</v>
      </c>
      <c r="W27" s="0" t="n">
        <f aca="false">IF(ISBLANK(RawFinancials!W27),"",RawFinancials!W27)</f>
        <v>20220331</v>
      </c>
      <c r="X27" s="0" t="n">
        <f aca="false">IF(ISBLANK(RawFinancials!X27),"",RawFinancials!X27)</f>
        <v>0.474826734203215</v>
      </c>
      <c r="Y27" s="0" t="n">
        <f aca="false">IF(ISBLANK(RawFinancials!Y27),"",RawFinancials!Y27)</f>
        <v>5.98</v>
      </c>
      <c r="Z27" s="0" t="str">
        <f aca="false">IF(ISBLANK(RawFinancials!Z27),"",RawFinancials!Z27)</f>
        <v>NH</v>
      </c>
      <c r="AA27" s="0" t="n">
        <f aca="false">RawFinancials!AA27</f>
        <v>1</v>
      </c>
      <c r="AB27" s="0" t="n">
        <f aca="false">RawFinancials!AB27</f>
        <v>602</v>
      </c>
      <c r="AC27" s="0" t="n">
        <f aca="false">RawFinancials!AC27</f>
        <v>0.0973198249536438</v>
      </c>
      <c r="AD27" s="0" t="n">
        <f aca="false">IF(L27&gt;0,100*N27/L27,"")</f>
        <v>88.9336258940361</v>
      </c>
      <c r="AE27" s="0" t="n">
        <f aca="false">IF(B27&gt;0,100*F27/B27,"")</f>
        <v>7.41247278035627</v>
      </c>
      <c r="AF27" s="0" t="str">
        <f aca="false">RawFinancials!AE27</f>
        <v>原始0：需核实适用/报告口径</v>
      </c>
    </row>
    <row r="28" customFormat="false" ht="15" hidden="false" customHeight="false" outlineLevel="0" collapsed="false">
      <c r="A28" s="0" t="n">
        <f aca="false">IF(ISBLANK(RawFinancials!A28),"",RawFinancials!A28)</f>
        <v>28</v>
      </c>
      <c r="B28" s="0" t="n">
        <f aca="false">IF(ISBLANK(RawFinancials!B28),"",RawFinancials!B28)</f>
        <v>483496</v>
      </c>
      <c r="C28" s="0" t="n">
        <f aca="false">IF(ISBLANK(RawFinancials!C28),"",RawFinancials!C28)</f>
        <v>18038</v>
      </c>
      <c r="D28" s="0" t="n">
        <f aca="false">IF(ISBLANK(RawFinancials!D28),"",RawFinancials!D28)</f>
        <v>404536</v>
      </c>
      <c r="E28" s="0" t="n">
        <f aca="false">IF(ISBLANK(RawFinancials!E28),"",RawFinancials!E28)</f>
        <v>0.04</v>
      </c>
      <c r="F28" s="0" t="n">
        <f aca="false">IF(ISBLANK(RawFinancials!F28),"",RawFinancials!F28)</f>
        <v>69131</v>
      </c>
      <c r="G28" s="0" t="n">
        <f aca="false">IF(ISBLANK(RawFinancials!G28),"",RawFinancials!G28)</f>
        <v>14.2981534490461</v>
      </c>
      <c r="H28" s="0" t="str">
        <f aca="false">IF(ISBLANK(RawFinancials!H28),"",RawFinancials!H28)</f>
        <v>18038_20220331</v>
      </c>
      <c r="I28" s="0" t="n">
        <f aca="false">IF(ISBLANK(RawFinancials!I28),"",RawFinancials!I28)</f>
        <v>1.24057032046899</v>
      </c>
      <c r="J28" s="0" t="n">
        <f aca="false">IF(ISBLANK(RawFinancials!J28),"",RawFinancials!J28)</f>
        <v>17613</v>
      </c>
      <c r="K28" s="0" t="n">
        <f aca="false">IF(ISBLANK(RawFinancials!K28),"",RawFinancials!K28)</f>
        <v>3264</v>
      </c>
      <c r="L28" s="0" t="n">
        <f aca="false">IF(ISBLANK(RawFinancials!L28),"",RawFinancials!L28)</f>
        <v>356852</v>
      </c>
      <c r="M28" s="0" t="n">
        <f aca="false">IF(ISBLANK(RawFinancials!M28),"",RawFinancials!M28)</f>
        <v>352425</v>
      </c>
      <c r="N28" s="0" t="n">
        <f aca="false">IF(ISBLANK(RawFinancials!N28),"",RawFinancials!N28)</f>
        <v>335633</v>
      </c>
      <c r="O28" s="0" t="n">
        <f aca="false">IF(ISBLANK(RawFinancials!O28),"",RawFinancials!O28)</f>
        <v>2487</v>
      </c>
      <c r="P28" s="0" t="str">
        <f aca="false">IF(ISBLANK(RawFinancials!P28),"",RawFinancials!P28)</f>
        <v>CLAREMONT SAVINGS BANK</v>
      </c>
      <c r="Q28" s="0" t="n">
        <f aca="false">IF(ISBLANK(RawFinancials!Q28),"",RawFinancials!Q28)</f>
        <v>0.696927577819376</v>
      </c>
      <c r="R28" s="0" t="n">
        <f aca="false">IF(ISBLANK(RawFinancials!R28),"",RawFinancials!R28)</f>
        <v>3.13809529560168</v>
      </c>
      <c r="S28" s="0" t="n">
        <f aca="false">IF(ISBLANK(RawFinancials!S28),"",RawFinancials!S28)</f>
        <v>-82</v>
      </c>
      <c r="T28" s="0" t="n">
        <f aca="false">IF(ISBLANK(RawFinancials!T28),"",RawFinancials!T28)</f>
        <v>1771</v>
      </c>
      <c r="U28" s="0" t="n">
        <f aca="false">IF(ISBLANK(RawFinancials!U28),"",RawFinancials!U28)</f>
        <v>0</v>
      </c>
      <c r="V28" s="0" t="n">
        <f aca="false">IF(ISBLANK(RawFinancials!V28),"",RawFinancials!V28)</f>
        <v>0</v>
      </c>
      <c r="W28" s="0" t="n">
        <f aca="false">IF(ISBLANK(RawFinancials!W28),"",RawFinancials!W28)</f>
        <v>20220331</v>
      </c>
      <c r="X28" s="0" t="n">
        <f aca="false">IF(ISBLANK(RawFinancials!X28),"",RawFinancials!X28)</f>
        <v>-0.708233314868386</v>
      </c>
      <c r="Y28" s="0" t="n">
        <f aca="false">IF(ISBLANK(RawFinancials!Y28),"",RawFinancials!Y28)</f>
        <v>-4.87</v>
      </c>
      <c r="Z28" s="0" t="str">
        <f aca="false">IF(ISBLANK(RawFinancials!Z28),"",RawFinancials!Z28)</f>
        <v>NH</v>
      </c>
      <c r="AA28" s="0" t="n">
        <f aca="false">RawFinancials!AA28</f>
        <v>1</v>
      </c>
      <c r="AB28" s="0" t="n">
        <f aca="false">RawFinancials!AB28</f>
        <v>2487</v>
      </c>
      <c r="AC28" s="0" t="n">
        <f aca="false">RawFinancials!AC28</f>
        <v>0.514378609130169</v>
      </c>
      <c r="AD28" s="0" t="n">
        <f aca="false">IF(L28&gt;0,100*N28/L28,"")</f>
        <v>94.0538374452154</v>
      </c>
      <c r="AE28" s="0" t="n">
        <f aca="false">IF(B28&gt;0,100*F28/B28,"")</f>
        <v>14.2981534490461</v>
      </c>
      <c r="AF28" s="0" t="str">
        <f aca="false">RawFinancials!AE28</f>
        <v>原始0：需核实适用/报告口径</v>
      </c>
    </row>
    <row r="29" customFormat="false" ht="15" hidden="false" customHeight="false" outlineLevel="0" collapsed="false">
      <c r="A29" s="0" t="n">
        <f aca="false">IF(ISBLANK(RawFinancials!A29),"",RawFinancials!A29)</f>
        <v>29</v>
      </c>
      <c r="B29" s="0" t="n">
        <f aca="false">IF(ISBLANK(RawFinancials!B29),"",RawFinancials!B29)</f>
        <v>6919263</v>
      </c>
      <c r="C29" s="0" t="n">
        <f aca="false">IF(ISBLANK(RawFinancials!C29),"",RawFinancials!C29)</f>
        <v>18408</v>
      </c>
      <c r="D29" s="0" t="n">
        <f aca="false">IF(ISBLANK(RawFinancials!D29),"",RawFinancials!D29)</f>
        <v>5759296</v>
      </c>
      <c r="E29" s="0" t="n">
        <f aca="false">IF(ISBLANK(RawFinancials!E29),"",RawFinancials!E29)</f>
        <v>0</v>
      </c>
      <c r="F29" s="0" t="n">
        <f aca="false">IF(ISBLANK(RawFinancials!F29),"",RawFinancials!F29)</f>
        <v>446779</v>
      </c>
      <c r="G29" s="0" t="n">
        <f aca="false">IF(ISBLANK(RawFinancials!G29),"",RawFinancials!G29)</f>
        <v>6.45703162316565</v>
      </c>
      <c r="H29" s="0" t="str">
        <f aca="false">IF(ISBLANK(RawFinancials!H29),"",RawFinancials!H29)</f>
        <v>18408_20220331</v>
      </c>
      <c r="I29" s="0" t="n">
        <f aca="false">IF(ISBLANK(RawFinancials!I29),"",RawFinancials!I29)</f>
        <v>1.24362798121471</v>
      </c>
      <c r="J29" s="0" t="n">
        <f aca="false">IF(ISBLANK(RawFinancials!J29),"",RawFinancials!J29)</f>
        <v>286708</v>
      </c>
      <c r="K29" s="0" t="n">
        <f aca="false">IF(ISBLANK(RawFinancials!K29),"",RawFinancials!K29)</f>
        <v>28127</v>
      </c>
      <c r="L29" s="0" t="n">
        <f aca="false">IF(ISBLANK(RawFinancials!L29),"",RawFinancials!L29)</f>
        <v>3977154</v>
      </c>
      <c r="M29" s="0" t="n">
        <f aca="false">IF(ISBLANK(RawFinancials!M29),"",RawFinancials!M29)</f>
        <v>3927693</v>
      </c>
      <c r="N29" s="0" t="n">
        <f aca="false">IF(ISBLANK(RawFinancials!N29),"",RawFinancials!N29)</f>
        <v>3596517</v>
      </c>
      <c r="O29" s="0" t="n">
        <f aca="false">IF(ISBLANK(RawFinancials!O29),"",RawFinancials!O29)</f>
        <v>4978</v>
      </c>
      <c r="P29" s="0" t="str">
        <f aca="false">IF(ISBLANK(RawFinancials!P29),"",RawFinancials!P29)</f>
        <v>BANGOR SAVINGS BANK</v>
      </c>
      <c r="Q29" s="0" t="n">
        <f aca="false">IF(ISBLANK(RawFinancials!Q29),"",RawFinancials!Q29)</f>
        <v>0.125164879207594</v>
      </c>
      <c r="R29" s="0" t="n">
        <f aca="false">IF(ISBLANK(RawFinancials!R29),"",RawFinancials!R29)</f>
        <v>2.73721410817608</v>
      </c>
      <c r="S29" s="0" t="n">
        <f aca="false">IF(ISBLANK(RawFinancials!S29),"",RawFinancials!S29)</f>
        <v>182</v>
      </c>
      <c r="T29" s="0" t="n">
        <f aca="false">IF(ISBLANK(RawFinancials!T29),"",RawFinancials!T29)</f>
        <v>3765</v>
      </c>
      <c r="U29" s="0" t="n">
        <f aca="false">IF(ISBLANK(RawFinancials!U29),"",RawFinancials!U29)</f>
        <v>0</v>
      </c>
      <c r="V29" s="0" t="n">
        <f aca="false">IF(ISBLANK(RawFinancials!V29),"",RawFinancials!V29)</f>
        <v>13.1233075612294</v>
      </c>
      <c r="W29" s="0" t="n">
        <f aca="false">IF(ISBLANK(RawFinancials!W29),"",RawFinancials!W29)</f>
        <v>20220331</v>
      </c>
      <c r="X29" s="0" t="n">
        <f aca="false">IF(ISBLANK(RawFinancials!X29),"",RawFinancials!X29)</f>
        <v>0.599350000296493</v>
      </c>
      <c r="Y29" s="0" t="n">
        <f aca="false">IF(ISBLANK(RawFinancials!Y29),"",RawFinancials!Y29)</f>
        <v>8.39</v>
      </c>
      <c r="Z29" s="0" t="str">
        <f aca="false">IF(ISBLANK(RawFinancials!Z29),"",RawFinancials!Z29)</f>
        <v>ME</v>
      </c>
      <c r="AA29" s="0" t="n">
        <f aca="false">RawFinancials!AA29</f>
        <v>1</v>
      </c>
      <c r="AB29" s="0" t="n">
        <f aca="false">RawFinancials!AB29</f>
        <v>4978</v>
      </c>
      <c r="AC29" s="0" t="n">
        <f aca="false">RawFinancials!AC29</f>
        <v>0.0719440784372555</v>
      </c>
      <c r="AD29" s="0" t="n">
        <f aca="false">IF(L29&gt;0,100*N29/L29,"")</f>
        <v>90.4294125900078</v>
      </c>
      <c r="AE29" s="0" t="n">
        <f aca="false">IF(B29&gt;0,100*F29/B29,"")</f>
        <v>6.45703162316565</v>
      </c>
      <c r="AF29" s="0" t="str">
        <f aca="false">RawFinancials!AE29</f>
        <v/>
      </c>
    </row>
    <row r="30" customFormat="false" ht="15" hidden="false" customHeight="false" outlineLevel="0" collapsed="false">
      <c r="A30" s="0" t="n">
        <f aca="false">IF(ISBLANK(RawFinancials!A30),"",RawFinancials!A30)</f>
        <v>30</v>
      </c>
      <c r="B30" s="0" t="n">
        <f aca="false">IF(ISBLANK(RawFinancials!B30),"",RawFinancials!B30)</f>
        <v>2173098</v>
      </c>
      <c r="C30" s="0" t="n">
        <f aca="false">IF(ISBLANK(RawFinancials!C30),"",RawFinancials!C30)</f>
        <v>19531</v>
      </c>
      <c r="D30" s="0" t="n">
        <f aca="false">IF(ISBLANK(RawFinancials!D30),"",RawFinancials!D30)</f>
        <v>1922538</v>
      </c>
      <c r="E30" s="0" t="n">
        <f aca="false">IF(ISBLANK(RawFinancials!E30),"",RawFinancials!E30)</f>
        <v>0.01</v>
      </c>
      <c r="F30" s="0" t="n">
        <f aca="false">IF(ISBLANK(RawFinancials!F30),"",RawFinancials!F30)</f>
        <v>230604</v>
      </c>
      <c r="G30" s="0" t="n">
        <f aca="false">IF(ISBLANK(RawFinancials!G30),"",RawFinancials!G30)</f>
        <v>10.6117625620198</v>
      </c>
      <c r="H30" s="0" t="str">
        <f aca="false">IF(ISBLANK(RawFinancials!H30),"",RawFinancials!H30)</f>
        <v>19531_20220331</v>
      </c>
      <c r="I30" s="0" t="n">
        <f aca="false">IF(ISBLANK(RawFinancials!I30),"",RawFinancials!I30)</f>
        <v>1.44082257605153</v>
      </c>
      <c r="J30" s="0" t="n">
        <f aca="false">IF(ISBLANK(RawFinancials!J30),"",RawFinancials!J30)</f>
        <v>204310</v>
      </c>
      <c r="K30" s="0" t="n">
        <f aca="false">IF(ISBLANK(RawFinancials!K30),"",RawFinancials!K30)</f>
        <v>12774</v>
      </c>
      <c r="L30" s="0" t="n">
        <f aca="false">IF(ISBLANK(RawFinancials!L30),"",RawFinancials!L30)</f>
        <v>1643228</v>
      </c>
      <c r="M30" s="0" t="n">
        <f aca="false">IF(ISBLANK(RawFinancials!M30),"",RawFinancials!M30)</f>
        <v>1619552</v>
      </c>
      <c r="N30" s="0" t="n">
        <f aca="false">IF(ISBLANK(RawFinancials!N30),"",RawFinancials!N30)</f>
        <v>1345130</v>
      </c>
      <c r="O30" s="0" t="n">
        <f aca="false">IF(ISBLANK(RawFinancials!O30),"",RawFinancials!O30)</f>
        <v>5998</v>
      </c>
      <c r="P30" s="0" t="str">
        <f aca="false">IF(ISBLANK(RawFinancials!P30),"",RawFinancials!P30)</f>
        <v>MACHIAS SAVINGS BANK</v>
      </c>
      <c r="Q30" s="0" t="n">
        <f aca="false">IF(ISBLANK(RawFinancials!Q30),"",RawFinancials!Q30)</f>
        <v>0.39045099036774</v>
      </c>
      <c r="R30" s="0" t="n">
        <f aca="false">IF(ISBLANK(RawFinancials!R30),"",RawFinancials!R30)</f>
        <v>3.51954450569667</v>
      </c>
      <c r="S30" s="0" t="n">
        <f aca="false">IF(ISBLANK(RawFinancials!S30),"",RawFinancials!S30)</f>
        <v>24</v>
      </c>
      <c r="T30" s="0" t="n">
        <f aca="false">IF(ISBLANK(RawFinancials!T30),"",RawFinancials!T30)</f>
        <v>2467</v>
      </c>
      <c r="U30" s="0" t="n">
        <f aca="false">IF(ISBLANK(RawFinancials!U30),"",RawFinancials!U30)</f>
        <v>418</v>
      </c>
      <c r="V30" s="0" t="n">
        <f aca="false">IF(ISBLANK(RawFinancials!V30),"",RawFinancials!V30)</f>
        <v>15.6563181861576</v>
      </c>
      <c r="W30" s="0" t="n">
        <f aca="false">IF(ISBLANK(RawFinancials!W30),"",RawFinancials!W30)</f>
        <v>20220331</v>
      </c>
      <c r="X30" s="0" t="n">
        <f aca="false">IF(ISBLANK(RawFinancials!X30),"",RawFinancials!X30)</f>
        <v>0.72578440299364</v>
      </c>
      <c r="Y30" s="0" t="n">
        <f aca="false">IF(ISBLANK(RawFinancials!Y30),"",RawFinancials!Y30)</f>
        <v>6.95</v>
      </c>
      <c r="Z30" s="0" t="str">
        <f aca="false">IF(ISBLANK(RawFinancials!Z30),"",RawFinancials!Z30)</f>
        <v>ME</v>
      </c>
      <c r="AA30" s="0" t="n">
        <f aca="false">RawFinancials!AA30</f>
        <v>1</v>
      </c>
      <c r="AB30" s="0" t="n">
        <f aca="false">RawFinancials!AB30</f>
        <v>6416</v>
      </c>
      <c r="AC30" s="0" t="n">
        <f aca="false">RawFinancials!AC30</f>
        <v>0.295246693890473</v>
      </c>
      <c r="AD30" s="0" t="n">
        <f aca="false">IF(L30&gt;0,100*N30/L30,"")</f>
        <v>81.8589994815084</v>
      </c>
      <c r="AE30" s="0" t="n">
        <f aca="false">IF(B30&gt;0,100*F30/B30,"")</f>
        <v>10.6117625620198</v>
      </c>
      <c r="AF30" s="0" t="str">
        <f aca="false">RawFinancials!AE30</f>
        <v/>
      </c>
    </row>
    <row r="31" customFormat="false" ht="15" hidden="false" customHeight="false" outlineLevel="0" collapsed="false">
      <c r="A31" s="0" t="n">
        <f aca="false">IF(ISBLANK(RawFinancials!A31),"",RawFinancials!A31)</f>
        <v>31</v>
      </c>
      <c r="B31" s="0" t="n">
        <f aca="false">IF(ISBLANK(RawFinancials!B31),"",RawFinancials!B31)</f>
        <v>770032</v>
      </c>
      <c r="C31" s="0" t="n">
        <f aca="false">IF(ISBLANK(RawFinancials!C31),"",RawFinancials!C31)</f>
        <v>19532</v>
      </c>
      <c r="D31" s="0" t="n">
        <f aca="false">IF(ISBLANK(RawFinancials!D31),"",RawFinancials!D31)</f>
        <v>660375</v>
      </c>
      <c r="E31" s="0" t="n">
        <f aca="false">IF(ISBLANK(RawFinancials!E31),"",RawFinancials!E31)</f>
        <v>0.02</v>
      </c>
      <c r="F31" s="0" t="n">
        <f aca="false">IF(ISBLANK(RawFinancials!F31),"",RawFinancials!F31)</f>
        <v>96137</v>
      </c>
      <c r="G31" s="0" t="n">
        <f aca="false">IF(ISBLANK(RawFinancials!G31),"",RawFinancials!G31)</f>
        <v>12.4848058262514</v>
      </c>
      <c r="H31" s="0" t="str">
        <f aca="false">IF(ISBLANK(RawFinancials!H31),"",RawFinancials!H31)</f>
        <v>19532_20220331</v>
      </c>
      <c r="I31" s="0" t="n">
        <f aca="false">IF(ISBLANK(RawFinancials!I31),"",RawFinancials!I31)</f>
        <v>1.17988205176373</v>
      </c>
      <c r="J31" s="0" t="n">
        <f aca="false">IF(ISBLANK(RawFinancials!J31),"",RawFinancials!J31)</f>
        <v>20391</v>
      </c>
      <c r="K31" s="0" t="n">
        <f aca="false">IF(ISBLANK(RawFinancials!K31),"",RawFinancials!K31)</f>
        <v>38849</v>
      </c>
      <c r="L31" s="0" t="n">
        <f aca="false">IF(ISBLANK(RawFinancials!L31),"",RawFinancials!L31)</f>
        <v>500389</v>
      </c>
      <c r="M31" s="0" t="n">
        <f aca="false">IF(ISBLANK(RawFinancials!M31),"",RawFinancials!M31)</f>
        <v>494485</v>
      </c>
      <c r="N31" s="0" t="n">
        <f aca="false">IF(ISBLANK(RawFinancials!N31),"",RawFinancials!N31)</f>
        <v>433748</v>
      </c>
      <c r="O31" s="0" t="n">
        <f aca="false">IF(ISBLANK(RawFinancials!O31),"",RawFinancials!O31)</f>
        <v>2804</v>
      </c>
      <c r="P31" s="0" t="str">
        <f aca="false">IF(ISBLANK(RawFinancials!P31),"",RawFinancials!P31)</f>
        <v>SKOWHEGAN SAVINGS BANK</v>
      </c>
      <c r="Q31" s="0" t="n">
        <f aca="false">IF(ISBLANK(RawFinancials!Q31),"",RawFinancials!Q31)</f>
        <v>0.560364036779386</v>
      </c>
      <c r="R31" s="0" t="n">
        <f aca="false">IF(ISBLANK(RawFinancials!R31),"",RawFinancials!R31)</f>
        <v>3.10418099510352</v>
      </c>
      <c r="S31" s="0" t="n">
        <f aca="false">IF(ISBLANK(RawFinancials!S31),"",RawFinancials!S31)</f>
        <v>2</v>
      </c>
      <c r="T31" s="0" t="n">
        <f aca="false">IF(ISBLANK(RawFinancials!T31),"",RawFinancials!T31)</f>
        <v>615</v>
      </c>
      <c r="U31" s="0" t="n">
        <f aca="false">IF(ISBLANK(RawFinancials!U31),"",RawFinancials!U31)</f>
        <v>0</v>
      </c>
      <c r="V31" s="0" t="n">
        <f aca="false">IF(ISBLANK(RawFinancials!V31),"",RawFinancials!V31)</f>
        <v>21.7967561638214</v>
      </c>
      <c r="W31" s="0" t="n">
        <f aca="false">IF(ISBLANK(RawFinancials!W31),"",RawFinancials!W31)</f>
        <v>20220331</v>
      </c>
      <c r="X31" s="0" t="n">
        <f aca="false">IF(ISBLANK(RawFinancials!X31),"",RawFinancials!X31)</f>
        <v>0.746105488016068</v>
      </c>
      <c r="Y31" s="0" t="n">
        <f aca="false">IF(ISBLANK(RawFinancials!Y31),"",RawFinancials!Y31)</f>
        <v>5.79</v>
      </c>
      <c r="Z31" s="0" t="str">
        <f aca="false">IF(ISBLANK(RawFinancials!Z31),"",RawFinancials!Z31)</f>
        <v>ME</v>
      </c>
      <c r="AA31" s="0" t="n">
        <f aca="false">RawFinancials!AA31</f>
        <v>1</v>
      </c>
      <c r="AB31" s="0" t="n">
        <f aca="false">RawFinancials!AB31</f>
        <v>2804</v>
      </c>
      <c r="AC31" s="0" t="n">
        <f aca="false">RawFinancials!AC31</f>
        <v>0.364140711035385</v>
      </c>
      <c r="AD31" s="0" t="n">
        <f aca="false">IF(L31&gt;0,100*N31/L31,"")</f>
        <v>86.6821612785253</v>
      </c>
      <c r="AE31" s="0" t="n">
        <f aca="false">IF(B31&gt;0,100*F31/B31,"")</f>
        <v>12.4848058262514</v>
      </c>
      <c r="AF31" s="0" t="str">
        <f aca="false">RawFinancials!AE31</f>
        <v/>
      </c>
    </row>
    <row r="32" customFormat="false" ht="15" hidden="false" customHeight="false" outlineLevel="0" collapsed="false">
      <c r="A32" s="0" t="n">
        <f aca="false">IF(ISBLANK(RawFinancials!A32),"",RawFinancials!A32)</f>
        <v>32</v>
      </c>
      <c r="B32" s="0" t="n">
        <f aca="false">IF(ISBLANK(RawFinancials!B32),"",RawFinancials!B32)</f>
        <v>1566116</v>
      </c>
      <c r="C32" s="0" t="n">
        <f aca="false">IF(ISBLANK(RawFinancials!C32),"",RawFinancials!C32)</f>
        <v>19690</v>
      </c>
      <c r="D32" s="0" t="n">
        <f aca="false">IF(ISBLANK(RawFinancials!D32),"",RawFinancials!D32)</f>
        <v>1284535</v>
      </c>
      <c r="E32" s="0" t="n">
        <f aca="false">IF(ISBLANK(RawFinancials!E32),"",RawFinancials!E32)</f>
        <v>-0.08</v>
      </c>
      <c r="F32" s="0" t="n">
        <f aca="false">IF(ISBLANK(RawFinancials!F32),"",RawFinancials!F32)</f>
        <v>247469</v>
      </c>
      <c r="G32" s="0" t="n">
        <f aca="false">IF(ISBLANK(RawFinancials!G32),"",RawFinancials!G32)</f>
        <v>15.8014476577725</v>
      </c>
      <c r="H32" s="0" t="str">
        <f aca="false">IF(ISBLANK(RawFinancials!H32),"",RawFinancials!H32)</f>
        <v>19690_20220331</v>
      </c>
      <c r="I32" s="0" t="n">
        <f aca="false">IF(ISBLANK(RawFinancials!I32),"",RawFinancials!I32)</f>
        <v>0.471953421378289</v>
      </c>
      <c r="J32" s="0" t="n">
        <f aca="false">IF(ISBLANK(RawFinancials!J32),"",RawFinancials!J32)</f>
        <v>25804</v>
      </c>
      <c r="K32" s="0" t="n">
        <f aca="false">IF(ISBLANK(RawFinancials!K32),"",RawFinancials!K32)</f>
        <v>777</v>
      </c>
      <c r="L32" s="0" t="n">
        <f aca="false">IF(ISBLANK(RawFinancials!L32),"",RawFinancials!L32)</f>
        <v>1232325</v>
      </c>
      <c r="M32" s="0" t="n">
        <f aca="false">IF(ISBLANK(RawFinancials!M32),"",RawFinancials!M32)</f>
        <v>1226509</v>
      </c>
      <c r="N32" s="0" t="n">
        <f aca="false">IF(ISBLANK(RawFinancials!N32),"",RawFinancials!N32)</f>
        <v>894476</v>
      </c>
      <c r="O32" s="0" t="n">
        <f aca="false">IF(ISBLANK(RawFinancials!O32),"",RawFinancials!O32)</f>
        <v>17912</v>
      </c>
      <c r="P32" s="0" t="str">
        <f aca="false">IF(ISBLANK(RawFinancials!P32),"",RawFinancials!P32)</f>
        <v>NORTHEAST BANK</v>
      </c>
      <c r="Q32" s="0" t="n">
        <f aca="false">IF(ISBLANK(RawFinancials!Q32),"",RawFinancials!Q32)</f>
        <v>1.45351266914166</v>
      </c>
      <c r="R32" s="0" t="n">
        <f aca="false">IF(ISBLANK(RawFinancials!R32),"",RawFinancials!R32)</f>
        <v>5.76381679552061</v>
      </c>
      <c r="S32" s="0" t="n">
        <f aca="false">IF(ISBLANK(RawFinancials!S32),"",RawFinancials!S32)</f>
        <v>-63</v>
      </c>
      <c r="T32" s="0" t="n">
        <f aca="false">IF(ISBLANK(RawFinancials!T32),"",RawFinancials!T32)</f>
        <v>6729</v>
      </c>
      <c r="U32" s="0" t="n">
        <f aca="false">IF(ISBLANK(RawFinancials!U32),"",RawFinancials!U32)</f>
        <v>0</v>
      </c>
      <c r="V32" s="0" t="n">
        <f aca="false">IF(ISBLANK(RawFinancials!V32),"",RawFinancials!V32)</f>
        <v>20.6019537877708</v>
      </c>
      <c r="W32" s="0" t="n">
        <f aca="false">IF(ISBLANK(RawFinancials!W32),"",RawFinancials!W32)</f>
        <v>20220331</v>
      </c>
      <c r="X32" s="0" t="n">
        <f aca="false">IF(ISBLANK(RawFinancials!X32),"",RawFinancials!X32)</f>
        <v>2.79887682741086</v>
      </c>
      <c r="Y32" s="0" t="n">
        <f aca="false">IF(ISBLANK(RawFinancials!Y32),"",RawFinancials!Y32)</f>
        <v>17.4</v>
      </c>
      <c r="Z32" s="0" t="str">
        <f aca="false">IF(ISBLANK(RawFinancials!Z32),"",RawFinancials!Z32)</f>
        <v>ME</v>
      </c>
      <c r="AA32" s="0" t="n">
        <f aca="false">RawFinancials!AA32</f>
        <v>1</v>
      </c>
      <c r="AB32" s="0" t="n">
        <f aca="false">RawFinancials!AB32</f>
        <v>17912</v>
      </c>
      <c r="AC32" s="0" t="n">
        <f aca="false">RawFinancials!AC32</f>
        <v>1.14372115475482</v>
      </c>
      <c r="AD32" s="0" t="n">
        <f aca="false">IF(L32&gt;0,100*N32/L32,"")</f>
        <v>72.5844237518512</v>
      </c>
      <c r="AE32" s="0" t="n">
        <f aca="false">IF(B32&gt;0,100*F32/B32,"")</f>
        <v>15.8014476577725</v>
      </c>
      <c r="AF32" s="0" t="str">
        <f aca="false">RawFinancials!AE32</f>
        <v/>
      </c>
    </row>
    <row r="33" customFormat="false" ht="15" hidden="false" customHeight="false" outlineLevel="0" collapsed="false">
      <c r="A33" s="0" t="n">
        <f aca="false">IF(ISBLANK(RawFinancials!A33),"",RawFinancials!A33)</f>
        <v>33</v>
      </c>
      <c r="B33" s="0" t="n">
        <f aca="false">IF(ISBLANK(RawFinancials!B33),"",RawFinancials!B33)</f>
        <v>568589</v>
      </c>
      <c r="C33" s="0" t="n">
        <f aca="false">IF(ISBLANK(RawFinancials!C33),"",RawFinancials!C33)</f>
        <v>19836</v>
      </c>
      <c r="D33" s="0" t="n">
        <f aca="false">IF(ISBLANK(RawFinancials!D33),"",RawFinancials!D33)</f>
        <v>449964</v>
      </c>
      <c r="E33" s="0" t="n">
        <f aca="false">IF(ISBLANK(RawFinancials!E33),"",RawFinancials!E33)</f>
        <v>0</v>
      </c>
      <c r="F33" s="0" t="n">
        <f aca="false">IF(ISBLANK(RawFinancials!F33),"",RawFinancials!F33)</f>
        <v>112557</v>
      </c>
      <c r="G33" s="0" t="n">
        <f aca="false">IF(ISBLANK(RawFinancials!G33),"",RawFinancials!G33)</f>
        <v>19.7958455052771</v>
      </c>
      <c r="H33" s="0" t="str">
        <f aca="false">IF(ISBLANK(RawFinancials!H33),"",RawFinancials!H33)</f>
        <v>19836_20220331</v>
      </c>
      <c r="I33" s="0" t="n">
        <f aca="false">IF(ISBLANK(RawFinancials!I33),"",RawFinancials!I33)</f>
        <v>0.911628167907884</v>
      </c>
      <c r="J33" s="0" t="n">
        <f aca="false">IF(ISBLANK(RawFinancials!J33),"",RawFinancials!J33)</f>
        <v>44135</v>
      </c>
      <c r="K33" s="0" t="n">
        <f aca="false">IF(ISBLANK(RawFinancials!K33),"",RawFinancials!K33)</f>
        <v>11311</v>
      </c>
      <c r="L33" s="0" t="n">
        <f aca="false">IF(ISBLANK(RawFinancials!L33),"",RawFinancials!L33)</f>
        <v>427806</v>
      </c>
      <c r="M33" s="0" t="n">
        <f aca="false">IF(ISBLANK(RawFinancials!M33),"",RawFinancials!M33)</f>
        <v>423906</v>
      </c>
      <c r="N33" s="0" t="n">
        <f aca="false">IF(ISBLANK(RawFinancials!N33),"",RawFinancials!N33)</f>
        <v>366535</v>
      </c>
      <c r="O33" s="0" t="n">
        <f aca="false">IF(ISBLANK(RawFinancials!O33),"",RawFinancials!O33)</f>
        <v>1696</v>
      </c>
      <c r="P33" s="0" t="str">
        <f aca="false">IF(ISBLANK(RawFinancials!P33),"",RawFinancials!P33)</f>
        <v>FRANKLIN SAVINGS BANK</v>
      </c>
      <c r="Q33" s="0" t="n">
        <f aca="false">IF(ISBLANK(RawFinancials!Q33),"",RawFinancials!Q33)</f>
        <v>0.417712701551638</v>
      </c>
      <c r="R33" s="0" t="n">
        <f aca="false">IF(ISBLANK(RawFinancials!R33),"",RawFinancials!R33)</f>
        <v>3.87429732399215</v>
      </c>
      <c r="S33" s="0" t="n">
        <f aca="false">IF(ISBLANK(RawFinancials!S33),"",RawFinancials!S33)</f>
        <v>2</v>
      </c>
      <c r="T33" s="0" t="n">
        <f aca="false">IF(ISBLANK(RawFinancials!T33),"",RawFinancials!T33)</f>
        <v>3713</v>
      </c>
      <c r="U33" s="0" t="n">
        <f aca="false">IF(ISBLANK(RawFinancials!U33),"",RawFinancials!U33)</f>
        <v>91</v>
      </c>
      <c r="V33" s="0" t="n">
        <f aca="false">IF(ISBLANK(RawFinancials!V33),"",RawFinancials!V33)</f>
        <v>31.7038496016565</v>
      </c>
      <c r="W33" s="0" t="n">
        <f aca="false">IF(ISBLANK(RawFinancials!W33),"",RawFinancials!W33)</f>
        <v>20220331</v>
      </c>
      <c r="X33" s="0" t="n">
        <f aca="false">IF(ISBLANK(RawFinancials!X33),"",RawFinancials!X33)</f>
        <v>0.707485161136119</v>
      </c>
      <c r="Y33" s="0" t="n">
        <f aca="false">IF(ISBLANK(RawFinancials!Y33),"",RawFinancials!Y33)</f>
        <v>3.52</v>
      </c>
      <c r="Z33" s="0" t="str">
        <f aca="false">IF(ISBLANK(RawFinancials!Z33),"",RawFinancials!Z33)</f>
        <v>ME</v>
      </c>
      <c r="AA33" s="0" t="n">
        <f aca="false">RawFinancials!AA33</f>
        <v>1</v>
      </c>
      <c r="AB33" s="0" t="n">
        <f aca="false">RawFinancials!AB33</f>
        <v>1787</v>
      </c>
      <c r="AC33" s="0" t="n">
        <f aca="false">RawFinancials!AC33</f>
        <v>0.314286769529484</v>
      </c>
      <c r="AD33" s="0" t="n">
        <f aca="false">IF(L33&gt;0,100*N33/L33,"")</f>
        <v>85.6778539805426</v>
      </c>
      <c r="AE33" s="0" t="n">
        <f aca="false">IF(B33&gt;0,100*F33/B33,"")</f>
        <v>19.7958455052771</v>
      </c>
      <c r="AF33" s="0" t="str">
        <f aca="false">RawFinancials!AE33</f>
        <v/>
      </c>
    </row>
    <row r="34" customFormat="false" ht="15" hidden="false" customHeight="false" outlineLevel="0" collapsed="false">
      <c r="A34" s="0" t="n">
        <f aca="false">IF(ISBLANK(RawFinancials!A34),"",RawFinancials!A34)</f>
        <v>34</v>
      </c>
      <c r="B34" s="0" t="n">
        <f aca="false">IF(ISBLANK(RawFinancials!B34),"",RawFinancials!B34)</f>
        <v>1244446</v>
      </c>
      <c r="C34" s="0" t="n">
        <f aca="false">IF(ISBLANK(RawFinancials!C34),"",RawFinancials!C34)</f>
        <v>24540</v>
      </c>
      <c r="D34" s="0" t="n">
        <f aca="false">IF(ISBLANK(RawFinancials!D34),"",RawFinancials!D34)</f>
        <v>1040872</v>
      </c>
      <c r="E34" s="0" t="n">
        <f aca="false">IF(ISBLANK(RawFinancials!E34),"",RawFinancials!E34)</f>
        <v>-0.21</v>
      </c>
      <c r="F34" s="0" t="n">
        <f aca="false">IF(ISBLANK(RawFinancials!F34),"",RawFinancials!F34)</f>
        <v>192853</v>
      </c>
      <c r="G34" s="0" t="n">
        <f aca="false">IF(ISBLANK(RawFinancials!G34),"",RawFinancials!G34)</f>
        <v>15.4970967000577</v>
      </c>
      <c r="H34" s="0" t="str">
        <f aca="false">IF(ISBLANK(RawFinancials!H34),"",RawFinancials!H34)</f>
        <v>24540_20220331</v>
      </c>
      <c r="I34" s="0" t="n">
        <f aca="false">IF(ISBLANK(RawFinancials!I34),"",RawFinancials!I34)</f>
        <v>1.17514522780929</v>
      </c>
      <c r="J34" s="0" t="n">
        <f aca="false">IF(ISBLANK(RawFinancials!J34),"",RawFinancials!J34)</f>
        <v>46308</v>
      </c>
      <c r="K34" s="0" t="n">
        <f aca="false">IF(ISBLANK(RawFinancials!K34),"",RawFinancials!K34)</f>
        <v>17</v>
      </c>
      <c r="L34" s="0" t="n">
        <f aca="false">IF(ISBLANK(RawFinancials!L34),"",RawFinancials!L34)</f>
        <v>1020810</v>
      </c>
      <c r="M34" s="0" t="n">
        <f aca="false">IF(ISBLANK(RawFinancials!M34),"",RawFinancials!M34)</f>
        <v>1008814</v>
      </c>
      <c r="N34" s="0" t="n">
        <f aca="false">IF(ISBLANK(RawFinancials!N34),"",RawFinancials!N34)</f>
        <v>977701</v>
      </c>
      <c r="O34" s="0" t="n">
        <f aca="false">IF(ISBLANK(RawFinancials!O34),"",RawFinancials!O34)</f>
        <v>815</v>
      </c>
      <c r="P34" s="0" t="str">
        <f aca="false">IF(ISBLANK(RawFinancials!P34),"",RawFinancials!P34)</f>
        <v>BANK OF NEW ENGLAND</v>
      </c>
      <c r="Q34" s="0" t="n">
        <f aca="false">IF(ISBLANK(RawFinancials!Q34),"",RawFinancials!Q34)</f>
        <v>0.0798385595752392</v>
      </c>
      <c r="R34" s="0" t="n">
        <f aca="false">IF(ISBLANK(RawFinancials!R34),"",RawFinancials!R34)</f>
        <v>4.18655281953746</v>
      </c>
      <c r="S34" s="0" t="n">
        <f aca="false">IF(ISBLANK(RawFinancials!S34),"",RawFinancials!S34)</f>
        <v>0</v>
      </c>
      <c r="T34" s="0" t="n">
        <f aca="false">IF(ISBLANK(RawFinancials!T34),"",RawFinancials!T34)</f>
        <v>0</v>
      </c>
      <c r="U34" s="0" t="n">
        <f aca="false">IF(ISBLANK(RawFinancials!U34),"",RawFinancials!U34)</f>
        <v>0</v>
      </c>
      <c r="V34" s="0" t="n">
        <f aca="false">IF(ISBLANK(RawFinancials!V34),"",RawFinancials!V34)</f>
        <v>0</v>
      </c>
      <c r="W34" s="0" t="n">
        <f aca="false">IF(ISBLANK(RawFinancials!W34),"",RawFinancials!W34)</f>
        <v>20220331</v>
      </c>
      <c r="X34" s="0" t="n">
        <f aca="false">IF(ISBLANK(RawFinancials!X34),"",RawFinancials!X34)</f>
        <v>2.22850033777255</v>
      </c>
      <c r="Y34" s="0" t="n">
        <f aca="false">IF(ISBLANK(RawFinancials!Y34),"",RawFinancials!Y34)</f>
        <v>14.73</v>
      </c>
      <c r="Z34" s="0" t="str">
        <f aca="false">IF(ISBLANK(RawFinancials!Z34),"",RawFinancials!Z34)</f>
        <v>NH</v>
      </c>
      <c r="AA34" s="0" t="n">
        <f aca="false">RawFinancials!AA34</f>
        <v>1</v>
      </c>
      <c r="AB34" s="0" t="n">
        <f aca="false">RawFinancials!AB34</f>
        <v>815</v>
      </c>
      <c r="AC34" s="0" t="n">
        <f aca="false">RawFinancials!AC34</f>
        <v>0.0654909895648345</v>
      </c>
      <c r="AD34" s="0" t="n">
        <f aca="false">IF(L34&gt;0,100*N34/L34,"")</f>
        <v>95.7769810248724</v>
      </c>
      <c r="AE34" s="0" t="n">
        <f aca="false">IF(B34&gt;0,100*F34/B34,"")</f>
        <v>15.4970967000577</v>
      </c>
      <c r="AF34" s="0" t="str">
        <f aca="false">RawFinancials!AE34</f>
        <v>原始0：需核实适用/报告口径</v>
      </c>
    </row>
    <row r="35" customFormat="false" ht="15" hidden="false" customHeight="false" outlineLevel="0" collapsed="false">
      <c r="A35" s="0" t="n">
        <f aca="false">IF(ISBLANK(RawFinancials!A35),"",RawFinancials!A35)</f>
        <v>35</v>
      </c>
      <c r="B35" s="0" t="n">
        <f aca="false">IF(ISBLANK(RawFinancials!B35),"",RawFinancials!B35)</f>
        <v>458925</v>
      </c>
      <c r="C35" s="0" t="n">
        <f aca="false">IF(ISBLANK(RawFinancials!C35),"",RawFinancials!C35)</f>
        <v>27824</v>
      </c>
      <c r="D35" s="0" t="n">
        <f aca="false">IF(ISBLANK(RawFinancials!D35),"",RawFinancials!D35)</f>
        <v>369032</v>
      </c>
      <c r="E35" s="0" t="n">
        <f aca="false">IF(ISBLANK(RawFinancials!E35),"",RawFinancials!E35)</f>
        <v>0</v>
      </c>
      <c r="F35" s="0" t="n">
        <f aca="false">IF(ISBLANK(RawFinancials!F35),"",RawFinancials!F35)</f>
        <v>69307</v>
      </c>
      <c r="G35" s="0" t="n">
        <f aca="false">IF(ISBLANK(RawFinancials!G35),"",RawFinancials!G35)</f>
        <v>15.1020319224274</v>
      </c>
      <c r="H35" s="0" t="str">
        <f aca="false">IF(ISBLANK(RawFinancials!H35),"",RawFinancials!H35)</f>
        <v>27824_20220331</v>
      </c>
      <c r="I35" s="0" t="n">
        <f aca="false">IF(ISBLANK(RawFinancials!I35),"",RawFinancials!I35)</f>
        <v>0.843147163510129</v>
      </c>
      <c r="J35" s="0" t="n">
        <f aca="false">IF(ISBLANK(RawFinancials!J35),"",RawFinancials!J35)</f>
        <v>22180</v>
      </c>
      <c r="K35" s="0" t="n">
        <f aca="false">IF(ISBLANK(RawFinancials!K35),"",RawFinancials!K35)</f>
        <v>20605</v>
      </c>
      <c r="L35" s="0" t="n">
        <f aca="false">IF(ISBLANK(RawFinancials!L35),"",RawFinancials!L35)</f>
        <v>364112</v>
      </c>
      <c r="M35" s="0" t="n">
        <f aca="false">IF(ISBLANK(RawFinancials!M35),"",RawFinancials!M35)</f>
        <v>361042</v>
      </c>
      <c r="N35" s="0" t="n">
        <f aca="false">IF(ISBLANK(RawFinancials!N35),"",RawFinancials!N35)</f>
        <v>321326</v>
      </c>
      <c r="O35" s="0" t="n">
        <f aca="false">IF(ISBLANK(RawFinancials!O35),"",RawFinancials!O35)</f>
        <v>916</v>
      </c>
      <c r="P35" s="0" t="str">
        <f aca="false">IF(ISBLANK(RawFinancials!P35),"",RawFinancials!P35)</f>
        <v>SALEM CO-OPERATIVE BANK</v>
      </c>
      <c r="Q35" s="0" t="n">
        <f aca="false">IF(ISBLANK(RawFinancials!Q35),"",RawFinancials!Q35)</f>
        <v>0.251570945203673</v>
      </c>
      <c r="R35" s="0" t="n">
        <f aca="false">IF(ISBLANK(RawFinancials!R35),"",RawFinancials!R35)</f>
        <v>2.87084618829471</v>
      </c>
      <c r="S35" s="0" t="n">
        <f aca="false">IF(ISBLANK(RawFinancials!S35),"",RawFinancials!S35)</f>
        <v>0</v>
      </c>
      <c r="T35" s="0" t="n">
        <f aca="false">IF(ISBLANK(RawFinancials!T35),"",RawFinancials!T35)</f>
        <v>408</v>
      </c>
      <c r="U35" s="0" t="n">
        <f aca="false">IF(ISBLANK(RawFinancials!U35),"",RawFinancials!U35)</f>
        <v>0</v>
      </c>
      <c r="V35" s="0" t="n">
        <f aca="false">IF(ISBLANK(RawFinancials!V35),"",RawFinancials!V35)</f>
        <v>25.9429561741573</v>
      </c>
      <c r="W35" s="0" t="n">
        <f aca="false">IF(ISBLANK(RawFinancials!W35),"",RawFinancials!W35)</f>
        <v>20220331</v>
      </c>
      <c r="X35" s="0" t="n">
        <f aca="false">IF(ISBLANK(RawFinancials!X35),"",RawFinancials!X35)</f>
        <v>0.26632984641793</v>
      </c>
      <c r="Y35" s="0" t="n">
        <f aca="false">IF(ISBLANK(RawFinancials!Y35),"",RawFinancials!Y35)</f>
        <v>1.72</v>
      </c>
      <c r="Z35" s="0" t="str">
        <f aca="false">IF(ISBLANK(RawFinancials!Z35),"",RawFinancials!Z35)</f>
        <v>NH</v>
      </c>
      <c r="AA35" s="0" t="n">
        <f aca="false">RawFinancials!AA35</f>
        <v>1</v>
      </c>
      <c r="AB35" s="0" t="n">
        <f aca="false">RawFinancials!AB35</f>
        <v>916</v>
      </c>
      <c r="AC35" s="0" t="n">
        <f aca="false">RawFinancials!AC35</f>
        <v>0.199596884022444</v>
      </c>
      <c r="AD35" s="0" t="n">
        <f aca="false">IF(L35&gt;0,100*N35/L35,"")</f>
        <v>88.2492200202136</v>
      </c>
      <c r="AE35" s="0" t="n">
        <f aca="false">IF(B35&gt;0,100*F35/B35,"")</f>
        <v>15.1020319224274</v>
      </c>
      <c r="AF35" s="0" t="str">
        <f aca="false">RawFinancials!AE35</f>
        <v/>
      </c>
    </row>
    <row r="36" customFormat="false" ht="15" hidden="false" customHeight="false" outlineLevel="0" collapsed="false">
      <c r="A36" s="0" t="n">
        <f aca="false">IF(ISBLANK(RawFinancials!A36),"",RawFinancials!A36)</f>
        <v>36</v>
      </c>
      <c r="B36" s="0" t="n">
        <f aca="false">IF(ISBLANK(RawFinancials!B36),"",RawFinancials!B36)</f>
        <v>281830</v>
      </c>
      <c r="C36" s="0" t="n">
        <f aca="false">IF(ISBLANK(RawFinancials!C36),"",RawFinancials!C36)</f>
        <v>28155</v>
      </c>
      <c r="D36" s="0" t="n">
        <f aca="false">IF(ISBLANK(RawFinancials!D36),"",RawFinancials!D36)</f>
        <v>253420</v>
      </c>
      <c r="E36" s="0" t="n">
        <f aca="false">IF(ISBLANK(RawFinancials!E36),"",RawFinancials!E36)</f>
        <v>0.07</v>
      </c>
      <c r="F36" s="0" t="n">
        <f aca="false">IF(ISBLANK(RawFinancials!F36),"",RawFinancials!F36)</f>
        <v>27480</v>
      </c>
      <c r="G36" s="0" t="n">
        <f aca="false">IF(ISBLANK(RawFinancials!G36),"",RawFinancials!G36)</f>
        <v>9.7505588475322</v>
      </c>
      <c r="H36" s="0" t="str">
        <f aca="false">IF(ISBLANK(RawFinancials!H36),"",RawFinancials!H36)</f>
        <v>28155_20220331</v>
      </c>
      <c r="I36" s="0" t="n">
        <f aca="false">IF(ISBLANK(RawFinancials!I36),"",RawFinancials!I36)</f>
        <v>0.589006569427366</v>
      </c>
      <c r="J36" s="0" t="n">
        <f aca="false">IF(ISBLANK(RawFinancials!J36),"",RawFinancials!J36)</f>
        <v>5388</v>
      </c>
      <c r="K36" s="0" t="n">
        <f aca="false">IF(ISBLANK(RawFinancials!K36),"",RawFinancials!K36)</f>
        <v>3851</v>
      </c>
      <c r="L36" s="0" t="n">
        <f aca="false">IF(ISBLANK(RawFinancials!L36),"",RawFinancials!L36)</f>
        <v>147197</v>
      </c>
      <c r="M36" s="0" t="n">
        <f aca="false">IF(ISBLANK(RawFinancials!M36),"",RawFinancials!M36)</f>
        <v>146330</v>
      </c>
      <c r="N36" s="0" t="n">
        <f aca="false">IF(ISBLANK(RawFinancials!N36),"",RawFinancials!N36)</f>
        <v>137297</v>
      </c>
      <c r="O36" s="0" t="n">
        <f aca="false">IF(ISBLANK(RawFinancials!O36),"",RawFinancials!O36)</f>
        <v>206</v>
      </c>
      <c r="P36" s="0" t="str">
        <f aca="false">IF(ISBLANK(RawFinancials!P36),"",RawFinancials!P36)</f>
        <v>PROFILE BANK</v>
      </c>
      <c r="Q36" s="0" t="n">
        <f aca="false">IF(ISBLANK(RawFinancials!Q36),"",RawFinancials!Q36)</f>
        <v>0.13994850438528</v>
      </c>
      <c r="R36" s="0" t="n">
        <f aca="false">IF(ISBLANK(RawFinancials!R36),"",RawFinancials!R36)</f>
        <v>2.67920386996115</v>
      </c>
      <c r="S36" s="0" t="n">
        <f aca="false">IF(ISBLANK(RawFinancials!S36),"",RawFinancials!S36)</f>
        <v>0</v>
      </c>
      <c r="T36" s="0" t="n">
        <f aca="false">IF(ISBLANK(RawFinancials!T36),"",RawFinancials!T36)</f>
        <v>357</v>
      </c>
      <c r="U36" s="0" t="n">
        <f aca="false">IF(ISBLANK(RawFinancials!U36),"",RawFinancials!U36)</f>
        <v>0</v>
      </c>
      <c r="V36" s="0" t="n">
        <f aca="false">IF(ISBLANK(RawFinancials!V36),"",RawFinancials!V36)</f>
        <v>19.3787051455993</v>
      </c>
      <c r="W36" s="0" t="n">
        <f aca="false">IF(ISBLANK(RawFinancials!W36),"",RawFinancials!W36)</f>
        <v>20220331</v>
      </c>
      <c r="X36" s="0" t="n">
        <f aca="false">IF(ISBLANK(RawFinancials!X36),"",RawFinancials!X36)</f>
        <v>0.225168568578782</v>
      </c>
      <c r="Y36" s="0" t="n">
        <f aca="false">IF(ISBLANK(RawFinancials!Y36),"",RawFinancials!Y36)</f>
        <v>2.32</v>
      </c>
      <c r="Z36" s="0" t="str">
        <f aca="false">IF(ISBLANK(RawFinancials!Z36),"",RawFinancials!Z36)</f>
        <v>NH</v>
      </c>
      <c r="AA36" s="0" t="n">
        <f aca="false">RawFinancials!AA36</f>
        <v>1</v>
      </c>
      <c r="AB36" s="0" t="n">
        <f aca="false">RawFinancials!AB36</f>
        <v>206</v>
      </c>
      <c r="AC36" s="0" t="n">
        <f aca="false">RawFinancials!AC36</f>
        <v>0.0730937089734947</v>
      </c>
      <c r="AD36" s="0" t="n">
        <f aca="false">IF(L36&gt;0,100*N36/L36,"")</f>
        <v>93.2743194494453</v>
      </c>
      <c r="AE36" s="0" t="n">
        <f aca="false">IF(B36&gt;0,100*F36/B36,"")</f>
        <v>9.7505588475322</v>
      </c>
      <c r="AF36" s="0" t="str">
        <f aca="false">RawFinancials!AE36</f>
        <v/>
      </c>
    </row>
    <row r="37" customFormat="false" ht="15" hidden="false" customHeight="false" outlineLevel="0" collapsed="false">
      <c r="A37" s="0" t="n">
        <f aca="false">IF(ISBLANK(RawFinancials!A37),"",RawFinancials!A37)</f>
        <v>37</v>
      </c>
      <c r="B37" s="0" t="n">
        <f aca="false">IF(ISBLANK(RawFinancials!B37),"",RawFinancials!B37)</f>
        <v>92044</v>
      </c>
      <c r="C37" s="0" t="n">
        <f aca="false">IF(ISBLANK(RawFinancials!C37),"",RawFinancials!C37)</f>
        <v>28288</v>
      </c>
      <c r="D37" s="0" t="n">
        <f aca="false">IF(ISBLANK(RawFinancials!D37),"",RawFinancials!D37)</f>
        <v>76920</v>
      </c>
      <c r="E37" s="0" t="n">
        <f aca="false">IF(ISBLANK(RawFinancials!E37),"",RawFinancials!E37)</f>
        <v>0</v>
      </c>
      <c r="F37" s="0" t="n">
        <f aca="false">IF(ISBLANK(RawFinancials!F37),"",RawFinancials!F37)</f>
        <v>7147</v>
      </c>
      <c r="G37" s="0" t="n">
        <f aca="false">IF(ISBLANK(RawFinancials!G37),"",RawFinancials!G37)</f>
        <v>7.76476467776281</v>
      </c>
      <c r="H37" s="0" t="str">
        <f aca="false">IF(ISBLANK(RawFinancials!H37),"",RawFinancials!H37)</f>
        <v>28288_20220331</v>
      </c>
      <c r="I37" s="0" t="n">
        <f aca="false">IF(ISBLANK(RawFinancials!I37),"",RawFinancials!I37)</f>
        <v>1.1641615089891</v>
      </c>
      <c r="J37" s="0" t="n">
        <f aca="false">IF(ISBLANK(RawFinancials!J37),"",RawFinancials!J37)</f>
        <v>3708</v>
      </c>
      <c r="K37" s="0" t="n">
        <f aca="false">IF(ISBLANK(RawFinancials!K37),"",RawFinancials!K37)</f>
        <v>587</v>
      </c>
      <c r="L37" s="0" t="n">
        <f aca="false">IF(ISBLANK(RawFinancials!L37),"",RawFinancials!L37)</f>
        <v>74646</v>
      </c>
      <c r="M37" s="0" t="n">
        <f aca="false">IF(ISBLANK(RawFinancials!M37),"",RawFinancials!M37)</f>
        <v>73777</v>
      </c>
      <c r="N37" s="0" t="n">
        <f aca="false">IF(ISBLANK(RawFinancials!N37),"",RawFinancials!N37)</f>
        <v>70352</v>
      </c>
      <c r="O37" s="0" t="n">
        <f aca="false">IF(ISBLANK(RawFinancials!O37),"",RawFinancials!O37)</f>
        <v>606</v>
      </c>
      <c r="P37" s="0" t="str">
        <f aca="false">IF(ISBLANK(RawFinancials!P37),"",RawFinancials!P37)</f>
        <v>AUBURN SAVINGS BANK, FSB</v>
      </c>
      <c r="Q37" s="0" t="n">
        <f aca="false">IF(ISBLANK(RawFinancials!Q37),"",RawFinancials!Q37)</f>
        <v>0.811831846314605</v>
      </c>
      <c r="R37" s="0" t="n">
        <f aca="false">IF(ISBLANK(RawFinancials!R37),"",RawFinancials!R37)</f>
        <v>3.43394488632164</v>
      </c>
      <c r="S37" s="0" t="n">
        <f aca="false">IF(ISBLANK(RawFinancials!S37),"",RawFinancials!S37)</f>
        <v>-2</v>
      </c>
      <c r="T37" s="0" t="n">
        <f aca="false">IF(ISBLANK(RawFinancials!T37),"",RawFinancials!T37)</f>
        <v>345</v>
      </c>
      <c r="U37" s="0" t="n">
        <f aca="false">IF(ISBLANK(RawFinancials!U37),"",RawFinancials!U37)</f>
        <v>0</v>
      </c>
      <c r="V37" s="0" t="n">
        <f aca="false">IF(ISBLANK(RawFinancials!V37),"",RawFinancials!V37)</f>
        <v>14.4674296503636</v>
      </c>
      <c r="W37" s="0" t="n">
        <f aca="false">IF(ISBLANK(RawFinancials!W37),"",RawFinancials!W37)</f>
        <v>20220331</v>
      </c>
      <c r="X37" s="0" t="n">
        <f aca="false">IF(ISBLANK(RawFinancials!X37),"",RawFinancials!X37)</f>
        <v>0.0043253764429185</v>
      </c>
      <c r="Y37" s="0" t="n">
        <f aca="false">IF(ISBLANK(RawFinancials!Y37),"",RawFinancials!Y37)</f>
        <v>0.05</v>
      </c>
      <c r="Z37" s="0" t="str">
        <f aca="false">IF(ISBLANK(RawFinancials!Z37),"",RawFinancials!Z37)</f>
        <v>ME</v>
      </c>
      <c r="AA37" s="0" t="n">
        <f aca="false">RawFinancials!AA37</f>
        <v>1</v>
      </c>
      <c r="AB37" s="0" t="n">
        <f aca="false">RawFinancials!AB37</f>
        <v>606</v>
      </c>
      <c r="AC37" s="0" t="n">
        <f aca="false">RawFinancials!AC37</f>
        <v>0.658380774412238</v>
      </c>
      <c r="AD37" s="0" t="n">
        <f aca="false">IF(L37&gt;0,100*N37/L37,"")</f>
        <v>94.2475149371701</v>
      </c>
      <c r="AE37" s="0" t="n">
        <f aca="false">IF(B37&gt;0,100*F37/B37,"")</f>
        <v>7.76476467776281</v>
      </c>
      <c r="AF37" s="0" t="str">
        <f aca="false">RawFinancials!AE37</f>
        <v/>
      </c>
    </row>
    <row r="38" customFormat="false" ht="15" hidden="false" customHeight="false" outlineLevel="0" collapsed="false">
      <c r="A38" s="0" t="n">
        <f aca="false">IF(ISBLANK(RawFinancials!A38),"",RawFinancials!A38)</f>
        <v>38</v>
      </c>
      <c r="B38" s="0" t="n">
        <f aca="false">IF(ISBLANK(RawFinancials!B38),"",RawFinancials!B38)</f>
        <v>85281</v>
      </c>
      <c r="C38" s="0" t="n">
        <f aca="false">IF(ISBLANK(RawFinancials!C38),"",RawFinancials!C38)</f>
        <v>28369</v>
      </c>
      <c r="D38" s="0" t="n">
        <f aca="false">IF(ISBLANK(RawFinancials!D38),"",RawFinancials!D38)</f>
        <v>75519</v>
      </c>
      <c r="E38" s="0" t="n">
        <f aca="false">IF(ISBLANK(RawFinancials!E38),"",RawFinancials!E38)</f>
        <v>0.07</v>
      </c>
      <c r="F38" s="0" t="n">
        <f aca="false">IF(ISBLANK(RawFinancials!F38),"",RawFinancials!F38)</f>
        <v>9337</v>
      </c>
      <c r="G38" s="0" t="n">
        <f aca="false">IF(ISBLANK(RawFinancials!G38),"",RawFinancials!G38)</f>
        <v>10.948511391752</v>
      </c>
      <c r="H38" s="0" t="str">
        <f aca="false">IF(ISBLANK(RawFinancials!H38),"",RawFinancials!H38)</f>
        <v>28369_20220331</v>
      </c>
      <c r="I38" s="0" t="n">
        <f aca="false">IF(ISBLANK(RawFinancials!I38),"",RawFinancials!I38)</f>
        <v>0.77640395109484</v>
      </c>
      <c r="J38" s="0" t="n">
        <f aca="false">IF(ISBLANK(RawFinancials!J38),"",RawFinancials!J38)</f>
        <v>9635</v>
      </c>
      <c r="K38" s="0" t="n">
        <f aca="false">IF(ISBLANK(RawFinancials!K38),"",RawFinancials!K38)</f>
        <v>948</v>
      </c>
      <c r="L38" s="0" t="n">
        <f aca="false">IF(ISBLANK(RawFinancials!L38),"",RawFinancials!L38)</f>
        <v>72385</v>
      </c>
      <c r="M38" s="0" t="n">
        <f aca="false">IF(ISBLANK(RawFinancials!M38),"",RawFinancials!M38)</f>
        <v>71823</v>
      </c>
      <c r="N38" s="0" t="n">
        <f aca="false">IF(ISBLANK(RawFinancials!N38),"",RawFinancials!N38)</f>
        <v>61802</v>
      </c>
      <c r="O38" s="0" t="n">
        <f aca="false">IF(ISBLANK(RawFinancials!O38),"",RawFinancials!O38)</f>
        <v>440</v>
      </c>
      <c r="P38" s="0" t="str">
        <f aca="false">IF(ISBLANK(RawFinancials!P38),"",RawFinancials!P38)</f>
        <v>ROCKLAND SAVINGS BANK, FSB</v>
      </c>
      <c r="Q38" s="0" t="n">
        <f aca="false">IF(ISBLANK(RawFinancials!Q38),"",RawFinancials!Q38)</f>
        <v>0.607860744629412</v>
      </c>
      <c r="R38" s="0" t="n">
        <f aca="false">IF(ISBLANK(RawFinancials!R38),"",RawFinancials!R38)</f>
        <v>3.62481223374129</v>
      </c>
      <c r="S38" s="0" t="n">
        <f aca="false">IF(ISBLANK(RawFinancials!S38),"",RawFinancials!S38)</f>
        <v>-3</v>
      </c>
      <c r="T38" s="0" t="n">
        <f aca="false">IF(ISBLANK(RawFinancials!T38),"",RawFinancials!T38)</f>
        <v>13</v>
      </c>
      <c r="U38" s="0" t="n">
        <f aca="false">IF(ISBLANK(RawFinancials!U38),"",RawFinancials!U38)</f>
        <v>0</v>
      </c>
      <c r="V38" s="0" t="n">
        <f aca="false">IF(ISBLANK(RawFinancials!V38),"",RawFinancials!V38)</f>
        <v>0</v>
      </c>
      <c r="W38" s="0" t="n">
        <f aca="false">IF(ISBLANK(RawFinancials!W38),"",RawFinancials!W38)</f>
        <v>20220331</v>
      </c>
      <c r="X38" s="0" t="n">
        <f aca="false">IF(ISBLANK(RawFinancials!X38),"",RawFinancials!X38)</f>
        <v>-0.0793086154815082</v>
      </c>
      <c r="Y38" s="0" t="n">
        <f aca="false">IF(ISBLANK(RawFinancials!Y38),"",RawFinancials!Y38)</f>
        <v>-0.73</v>
      </c>
      <c r="Z38" s="0" t="str">
        <f aca="false">IF(ISBLANK(RawFinancials!Z38),"",RawFinancials!Z38)</f>
        <v>ME</v>
      </c>
      <c r="AA38" s="0" t="n">
        <f aca="false">RawFinancials!AA38</f>
        <v>1</v>
      </c>
      <c r="AB38" s="0" t="n">
        <f aca="false">RawFinancials!AB38</f>
        <v>440</v>
      </c>
      <c r="AC38" s="0" t="n">
        <f aca="false">RawFinancials!AC38</f>
        <v>0.515941417197266</v>
      </c>
      <c r="AD38" s="0" t="n">
        <f aca="false">IF(L38&gt;0,100*N38/L38,"")</f>
        <v>85.3795675899703</v>
      </c>
      <c r="AE38" s="0" t="n">
        <f aca="false">IF(B38&gt;0,100*F38/B38,"")</f>
        <v>10.948511391752</v>
      </c>
      <c r="AF38" s="0" t="str">
        <f aca="false">RawFinancials!AE38</f>
        <v>原始0：需核实适用/报告口径</v>
      </c>
    </row>
    <row r="39" customFormat="false" ht="15" hidden="false" customHeight="false" outlineLevel="0" collapsed="false">
      <c r="A39" s="0" t="n">
        <f aca="false">IF(ISBLANK(RawFinancials!A39),"",RawFinancials!A39)</f>
        <v>39</v>
      </c>
      <c r="B39" s="0" t="n">
        <f aca="false">IF(ISBLANK(RawFinancials!B39),"",RawFinancials!B39)</f>
        <v>300452</v>
      </c>
      <c r="C39" s="0" t="n">
        <f aca="false">IF(ISBLANK(RawFinancials!C39),"",RawFinancials!C39)</f>
        <v>28837</v>
      </c>
      <c r="D39" s="0" t="n">
        <f aca="false">IF(ISBLANK(RawFinancials!D39),"",RawFinancials!D39)</f>
        <v>273714</v>
      </c>
      <c r="E39" s="0" t="n">
        <f aca="false">IF(ISBLANK(RawFinancials!E39),"",RawFinancials!E39)</f>
        <v>0.05</v>
      </c>
      <c r="F39" s="0" t="n">
        <f aca="false">IF(ISBLANK(RawFinancials!F39),"",RawFinancials!F39)</f>
        <v>22104</v>
      </c>
      <c r="G39" s="0" t="n">
        <f aca="false">IF(ISBLANK(RawFinancials!G39),"",RawFinancials!G39)</f>
        <v>7.35691558052534</v>
      </c>
      <c r="H39" s="0" t="str">
        <f aca="false">IF(ISBLANK(RawFinancials!H39),"",RawFinancials!H39)</f>
        <v>28837_20220331</v>
      </c>
      <c r="I39" s="0" t="n">
        <f aca="false">IF(ISBLANK(RawFinancials!I39),"",RawFinancials!I39)</f>
        <v>1.17131389945078</v>
      </c>
      <c r="J39" s="0" t="n">
        <f aca="false">IF(ISBLANK(RawFinancials!J39),"",RawFinancials!J39)</f>
        <v>6477</v>
      </c>
      <c r="K39" s="0" t="n">
        <f aca="false">IF(ISBLANK(RawFinancials!K39),"",RawFinancials!K39)</f>
        <v>887</v>
      </c>
      <c r="L39" s="0" t="n">
        <f aca="false">IF(ISBLANK(RawFinancials!L39),"",RawFinancials!L39)</f>
        <v>189360</v>
      </c>
      <c r="M39" s="0" t="n">
        <f aca="false">IF(ISBLANK(RawFinancials!M39),"",RawFinancials!M39)</f>
        <v>187142</v>
      </c>
      <c r="N39" s="0" t="n">
        <f aca="false">IF(ISBLANK(RawFinancials!N39),"",RawFinancials!N39)</f>
        <v>180942</v>
      </c>
      <c r="O39" s="0" t="n">
        <f aca="false">IF(ISBLANK(RawFinancials!O39),"",RawFinancials!O39)</f>
        <v>71</v>
      </c>
      <c r="P39" s="0" t="str">
        <f aca="false">IF(ISBLANK(RawFinancials!P39),"",RawFinancials!P39)</f>
        <v>THE BRATTLEBORO SAVINGS AND LOAN ASSOCIATION</v>
      </c>
      <c r="Q39" s="0" t="n">
        <f aca="false">IF(ISBLANK(RawFinancials!Q39),"",RawFinancials!Q39)</f>
        <v>0.0374947190536544</v>
      </c>
      <c r="R39" s="0" t="n">
        <f aca="false">IF(ISBLANK(RawFinancials!R39),"",RawFinancials!R39)</f>
        <v>2.37407853799366</v>
      </c>
      <c r="S39" s="0" t="n">
        <f aca="false">IF(ISBLANK(RawFinancials!S39),"",RawFinancials!S39)</f>
        <v>128</v>
      </c>
      <c r="T39" s="0" t="n">
        <f aca="false">IF(ISBLANK(RawFinancials!T39),"",RawFinancials!T39)</f>
        <v>507</v>
      </c>
      <c r="U39" s="0" t="n">
        <f aca="false">IF(ISBLANK(RawFinancials!U39),"",RawFinancials!U39)</f>
        <v>0</v>
      </c>
      <c r="V39" s="0" t="n">
        <f aca="false">IF(ISBLANK(RawFinancials!V39),"",RawFinancials!V39)</f>
        <v>14.5340591975845</v>
      </c>
      <c r="W39" s="0" t="n">
        <f aca="false">IF(ISBLANK(RawFinancials!W39),"",RawFinancials!W39)</f>
        <v>20220331</v>
      </c>
      <c r="X39" s="0" t="n">
        <f aca="false">IF(ISBLANK(RawFinancials!X39),"",RawFinancials!X39)</f>
        <v>0.308720697205283</v>
      </c>
      <c r="Y39" s="0" t="n">
        <f aca="false">IF(ISBLANK(RawFinancials!Y39),"",RawFinancials!Y39)</f>
        <v>4.24</v>
      </c>
      <c r="Z39" s="0" t="str">
        <f aca="false">IF(ISBLANK(RawFinancials!Z39),"",RawFinancials!Z39)</f>
        <v>VT</v>
      </c>
      <c r="AA39" s="0" t="n">
        <f aca="false">RawFinancials!AA39</f>
        <v>1</v>
      </c>
      <c r="AB39" s="0" t="n">
        <f aca="false">RawFinancials!AB39</f>
        <v>71</v>
      </c>
      <c r="AC39" s="0" t="n">
        <f aca="false">RawFinancials!AC39</f>
        <v>0.0236310625324511</v>
      </c>
      <c r="AD39" s="0" t="n">
        <f aca="false">IF(L39&gt;0,100*N39/L39,"")</f>
        <v>95.5544993662864</v>
      </c>
      <c r="AE39" s="0" t="n">
        <f aca="false">IF(B39&gt;0,100*F39/B39,"")</f>
        <v>7.35691558052534</v>
      </c>
      <c r="AF39" s="0" t="str">
        <f aca="false">RawFinancials!AE39</f>
        <v/>
      </c>
    </row>
    <row r="40" customFormat="false" ht="15" hidden="false" customHeight="false" outlineLevel="0" collapsed="false">
      <c r="A40" s="0" t="n">
        <f aca="false">IF(ISBLANK(RawFinancials!A40),"",RawFinancials!A40)</f>
        <v>40</v>
      </c>
      <c r="B40" s="0" t="n">
        <f aca="false">IF(ISBLANK(RawFinancials!B40),"",RawFinancials!B40)</f>
        <v>179872</v>
      </c>
      <c r="C40" s="0" t="n">
        <f aca="false">IF(ISBLANK(RawFinancials!C40),"",RawFinancials!C40)</f>
        <v>29636</v>
      </c>
      <c r="D40" s="0" t="n">
        <f aca="false">IF(ISBLANK(RawFinancials!D40),"",RawFinancials!D40)</f>
        <v>154524</v>
      </c>
      <c r="E40" s="0" t="n">
        <f aca="false">IF(ISBLANK(RawFinancials!E40),"",RawFinancials!E40)</f>
        <v>0.03</v>
      </c>
      <c r="F40" s="0" t="n">
        <f aca="false">IF(ISBLANK(RawFinancials!F40),"",RawFinancials!F40)</f>
        <v>24006</v>
      </c>
      <c r="G40" s="0" t="n">
        <f aca="false">IF(ISBLANK(RawFinancials!G40),"",RawFinancials!G40)</f>
        <v>13.3461572673901</v>
      </c>
      <c r="H40" s="0" t="str">
        <f aca="false">IF(ISBLANK(RawFinancials!H40),"",RawFinancials!H40)</f>
        <v>29636_20220331</v>
      </c>
      <c r="I40" s="0" t="n">
        <f aca="false">IF(ISBLANK(RawFinancials!I40),"",RawFinancials!I40)</f>
        <v>1.53637970395464</v>
      </c>
      <c r="J40" s="0" t="n">
        <f aca="false">IF(ISBLANK(RawFinancials!J40),"",RawFinancials!J40)</f>
        <v>1323</v>
      </c>
      <c r="K40" s="0" t="n">
        <f aca="false">IF(ISBLANK(RawFinancials!K40),"",RawFinancials!K40)</f>
        <v>2075</v>
      </c>
      <c r="L40" s="0" t="n">
        <f aca="false">IF(ISBLANK(RawFinancials!L40),"",RawFinancials!L40)</f>
        <v>108632</v>
      </c>
      <c r="M40" s="0" t="n">
        <f aca="false">IF(ISBLANK(RawFinancials!M40),"",RawFinancials!M40)</f>
        <v>106963</v>
      </c>
      <c r="N40" s="0" t="n">
        <f aca="false">IF(ISBLANK(RawFinancials!N40),"",RawFinancials!N40)</f>
        <v>105234</v>
      </c>
      <c r="O40" s="0" t="n">
        <f aca="false">IF(ISBLANK(RawFinancials!O40),"",RawFinancials!O40)</f>
        <v>1233</v>
      </c>
      <c r="P40" s="0" t="str">
        <f aca="false">IF(ISBLANK(RawFinancials!P40),"",RawFinancials!P40)</f>
        <v>FIRST FEDERAL SAVINGS AND LOAN ASSOCIATION OF BATH</v>
      </c>
      <c r="Q40" s="0" t="n">
        <f aca="false">IF(ISBLANK(RawFinancials!Q40),"",RawFinancials!Q40)</f>
        <v>1.13502467044701</v>
      </c>
      <c r="R40" s="0" t="n">
        <f aca="false">IF(ISBLANK(RawFinancials!R40),"",RawFinancials!R40)</f>
        <v>2.99433190856718</v>
      </c>
      <c r="S40" s="0" t="n">
        <f aca="false">IF(ISBLANK(RawFinancials!S40),"",RawFinancials!S40)</f>
        <v>-2</v>
      </c>
      <c r="T40" s="0" t="n">
        <f aca="false">IF(ISBLANK(RawFinancials!T40),"",RawFinancials!T40)</f>
        <v>2145</v>
      </c>
      <c r="U40" s="0" t="n">
        <f aca="false">IF(ISBLANK(RawFinancials!U40),"",RawFinancials!U40)</f>
        <v>0</v>
      </c>
      <c r="V40" s="0" t="n">
        <f aca="false">IF(ISBLANK(RawFinancials!V40),"",RawFinancials!V40)</f>
        <v>31.9768238739019</v>
      </c>
      <c r="W40" s="0" t="n">
        <f aca="false">IF(ISBLANK(RawFinancials!W40),"",RawFinancials!W40)</f>
        <v>20220331</v>
      </c>
      <c r="X40" s="0" t="n">
        <f aca="false">IF(ISBLANK(RawFinancials!X40),"",RawFinancials!X40)</f>
        <v>0.0400102248352356</v>
      </c>
      <c r="Y40" s="0" t="n">
        <f aca="false">IF(ISBLANK(RawFinancials!Y40),"",RawFinancials!Y40)</f>
        <v>0.3</v>
      </c>
      <c r="Z40" s="0" t="str">
        <f aca="false">IF(ISBLANK(RawFinancials!Z40),"",RawFinancials!Z40)</f>
        <v>ME</v>
      </c>
      <c r="AA40" s="0" t="n">
        <f aca="false">RawFinancials!AA40</f>
        <v>1</v>
      </c>
      <c r="AB40" s="0" t="n">
        <f aca="false">RawFinancials!AB40</f>
        <v>1233</v>
      </c>
      <c r="AC40" s="0" t="n">
        <f aca="false">RawFinancials!AC40</f>
        <v>0.685487457747732</v>
      </c>
      <c r="AD40" s="0" t="n">
        <f aca="false">IF(L40&gt;0,100*N40/L40,"")</f>
        <v>96.87200824803</v>
      </c>
      <c r="AE40" s="0" t="n">
        <f aca="false">IF(B40&gt;0,100*F40/B40,"")</f>
        <v>13.3461572673901</v>
      </c>
      <c r="AF40" s="0" t="str">
        <f aca="false">RawFinancials!AE40</f>
        <v/>
      </c>
    </row>
    <row r="41" customFormat="false" ht="15" hidden="false" customHeight="false" outlineLevel="0" collapsed="false">
      <c r="A41" s="0" t="n">
        <f aca="false">IF(ISBLANK(RawFinancials!A41),"",RawFinancials!A41)</f>
        <v>41</v>
      </c>
      <c r="B41" s="0" t="n">
        <f aca="false">IF(ISBLANK(RawFinancials!B41),"",RawFinancials!B41)</f>
        <v>172820</v>
      </c>
      <c r="C41" s="0" t="n">
        <f aca="false">IF(ISBLANK(RawFinancials!C41),"",RawFinancials!C41)</f>
        <v>29743</v>
      </c>
      <c r="D41" s="0" t="n">
        <f aca="false">IF(ISBLANK(RawFinancials!D41),"",RawFinancials!D41)</f>
        <v>154916</v>
      </c>
      <c r="E41" s="0" t="n">
        <f aca="false">IF(ISBLANK(RawFinancials!E41),"",RawFinancials!E41)</f>
        <v>0</v>
      </c>
      <c r="F41" s="0" t="n">
        <f aca="false">IF(ISBLANK(RawFinancials!F41),"",RawFinancials!F41)</f>
        <v>15360</v>
      </c>
      <c r="G41" s="0" t="n">
        <f aca="false">IF(ISBLANK(RawFinancials!G41),"",RawFinancials!G41)</f>
        <v>8.88786020136558</v>
      </c>
      <c r="H41" s="0" t="str">
        <f aca="false">IF(ISBLANK(RawFinancials!H41),"",RawFinancials!H41)</f>
        <v>29743_20220331</v>
      </c>
      <c r="I41" s="0" t="n">
        <f aca="false">IF(ISBLANK(RawFinancials!I41),"",RawFinancials!I41)</f>
        <v>0.442822093232003</v>
      </c>
      <c r="J41" s="0" t="n">
        <f aca="false">IF(ISBLANK(RawFinancials!J41),"",RawFinancials!J41)</f>
        <v>22643</v>
      </c>
      <c r="K41" s="0" t="n">
        <f aca="false">IF(ISBLANK(RawFinancials!K41),"",RawFinancials!K41)</f>
        <v>17066</v>
      </c>
      <c r="L41" s="0" t="n">
        <f aca="false">IF(ISBLANK(RawFinancials!L41),"",RawFinancials!L41)</f>
        <v>116977</v>
      </c>
      <c r="M41" s="0" t="n">
        <f aca="false">IF(ISBLANK(RawFinancials!M41),"",RawFinancials!M41)</f>
        <v>116459</v>
      </c>
      <c r="N41" s="0" t="n">
        <f aca="false">IF(ISBLANK(RawFinancials!N41),"",RawFinancials!N41)</f>
        <v>77243</v>
      </c>
      <c r="O41" s="0" t="n">
        <f aca="false">IF(ISBLANK(RawFinancials!O41),"",RawFinancials!O41)</f>
        <v>442</v>
      </c>
      <c r="P41" s="0" t="str">
        <f aca="false">IF(ISBLANK(RawFinancials!P41),"",RawFinancials!P41)</f>
        <v>AROOSTOOK COUNTY FEDERAL SAVINGS AND LOAN ASSOCIATION</v>
      </c>
      <c r="Q41" s="0" t="n">
        <f aca="false">IF(ISBLANK(RawFinancials!Q41),"",RawFinancials!Q41)</f>
        <v>0.377852056387153</v>
      </c>
      <c r="R41" s="0" t="n">
        <f aca="false">IF(ISBLANK(RawFinancials!R41),"",RawFinancials!R41)</f>
        <v>2.48846786023577</v>
      </c>
      <c r="S41" s="0" t="n">
        <f aca="false">IF(ISBLANK(RawFinancials!S41),"",RawFinancials!S41)</f>
        <v>12</v>
      </c>
      <c r="T41" s="0" t="n">
        <f aca="false">IF(ISBLANK(RawFinancials!T41),"",RawFinancials!T41)</f>
        <v>646</v>
      </c>
      <c r="U41" s="0" t="n">
        <f aca="false">IF(ISBLANK(RawFinancials!U41),"",RawFinancials!U41)</f>
        <v>0</v>
      </c>
      <c r="V41" s="0" t="n">
        <f aca="false">IF(ISBLANK(RawFinancials!V41),"",RawFinancials!V41)</f>
        <v>17.2715138879417</v>
      </c>
      <c r="W41" s="0" t="n">
        <f aca="false">IF(ISBLANK(RawFinancials!W41),"",RawFinancials!W41)</f>
        <v>20220331</v>
      </c>
      <c r="X41" s="0" t="n">
        <f aca="false">IF(ISBLANK(RawFinancials!X41),"",RawFinancials!X41)</f>
        <v>0.608807104275382</v>
      </c>
      <c r="Y41" s="0" t="n">
        <f aca="false">IF(ISBLANK(RawFinancials!Y41),"",RawFinancials!Y41)</f>
        <v>6.58</v>
      </c>
      <c r="Z41" s="0" t="str">
        <f aca="false">IF(ISBLANK(RawFinancials!Z41),"",RawFinancials!Z41)</f>
        <v>ME</v>
      </c>
      <c r="AA41" s="0" t="n">
        <f aca="false">RawFinancials!AA41</f>
        <v>1</v>
      </c>
      <c r="AB41" s="0" t="n">
        <f aca="false">RawFinancials!AB41</f>
        <v>442</v>
      </c>
      <c r="AC41" s="0" t="n">
        <f aca="false">RawFinancials!AC41</f>
        <v>0.255757435482004</v>
      </c>
      <c r="AD41" s="0" t="n">
        <f aca="false">IF(L41&gt;0,100*N41/L41,"")</f>
        <v>66.0326388948255</v>
      </c>
      <c r="AE41" s="0" t="n">
        <f aca="false">IF(B41&gt;0,100*F41/B41,"")</f>
        <v>8.88786020136558</v>
      </c>
      <c r="AF41" s="0" t="str">
        <f aca="false">RawFinancials!AE41</f>
        <v/>
      </c>
    </row>
    <row r="42" customFormat="false" ht="15" hidden="false" customHeight="false" outlineLevel="0" collapsed="false">
      <c r="A42" s="0" t="n">
        <f aca="false">IF(ISBLANK(RawFinancials!A42),"",RawFinancials!A42)</f>
        <v>42</v>
      </c>
      <c r="B42" s="0" t="n">
        <f aca="false">IF(ISBLANK(RawFinancials!B42),"",RawFinancials!B42)</f>
        <v>499707</v>
      </c>
      <c r="C42" s="0" t="n">
        <f aca="false">IF(ISBLANK(RawFinancials!C42),"",RawFinancials!C42)</f>
        <v>29744</v>
      </c>
      <c r="D42" s="0" t="n">
        <f aca="false">IF(ISBLANK(RawFinancials!D42),"",RawFinancials!D42)</f>
        <v>400905</v>
      </c>
      <c r="E42" s="0" t="n">
        <f aca="false">IF(ISBLANK(RawFinancials!E42),"",RawFinancials!E42)</f>
        <v>0.05</v>
      </c>
      <c r="F42" s="0" t="n">
        <f aca="false">IF(ISBLANK(RawFinancials!F42),"",RawFinancials!F42)</f>
        <v>46362</v>
      </c>
      <c r="G42" s="0" t="n">
        <f aca="false">IF(ISBLANK(RawFinancials!G42),"",RawFinancials!G42)</f>
        <v>9.27783681237205</v>
      </c>
      <c r="H42" s="0" t="str">
        <f aca="false">IF(ISBLANK(RawFinancials!H42),"",RawFinancials!H42)</f>
        <v>29744_20220331</v>
      </c>
      <c r="I42" s="0" t="n">
        <f aca="false">IF(ISBLANK(RawFinancials!I42),"",RawFinancials!I42)</f>
        <v>0.959795075054815</v>
      </c>
      <c r="J42" s="0" t="n">
        <f aca="false">IF(ISBLANK(RawFinancials!J42),"",RawFinancials!J42)</f>
        <v>28459</v>
      </c>
      <c r="K42" s="0" t="n">
        <f aca="false">IF(ISBLANK(RawFinancials!K42),"",RawFinancials!K42)</f>
        <v>5712</v>
      </c>
      <c r="L42" s="0" t="n">
        <f aca="false">IF(ISBLANK(RawFinancials!L42),"",RawFinancials!L42)</f>
        <v>379456</v>
      </c>
      <c r="M42" s="0" t="n">
        <f aca="false">IF(ISBLANK(RawFinancials!M42),"",RawFinancials!M42)</f>
        <v>375814</v>
      </c>
      <c r="N42" s="0" t="n">
        <f aca="false">IF(ISBLANK(RawFinancials!N42),"",RawFinancials!N42)</f>
        <v>345285</v>
      </c>
      <c r="O42" s="0" t="n">
        <f aca="false">IF(ISBLANK(RawFinancials!O42),"",RawFinancials!O42)</f>
        <v>795</v>
      </c>
      <c r="P42" s="0" t="str">
        <f aca="false">IF(ISBLANK(RawFinancials!P42),"",RawFinancials!P42)</f>
        <v>FIRST SEACOAST BANK</v>
      </c>
      <c r="Q42" s="0" t="n">
        <f aca="false">IF(ISBLANK(RawFinancials!Q42),"",RawFinancials!Q42)</f>
        <v>0.209510457075392</v>
      </c>
      <c r="R42" s="0" t="n">
        <f aca="false">IF(ISBLANK(RawFinancials!R42),"",RawFinancials!R42)</f>
        <v>3.18765437827873</v>
      </c>
      <c r="S42" s="0" t="n">
        <f aca="false">IF(ISBLANK(RawFinancials!S42),"",RawFinancials!S42)</f>
        <v>8</v>
      </c>
      <c r="T42" s="0" t="n">
        <f aca="false">IF(ISBLANK(RawFinancials!T42),"",RawFinancials!T42)</f>
        <v>138</v>
      </c>
      <c r="U42" s="0" t="n">
        <f aca="false">IF(ISBLANK(RawFinancials!U42),"",RawFinancials!U42)</f>
        <v>0</v>
      </c>
      <c r="V42" s="0" t="n">
        <f aca="false">IF(ISBLANK(RawFinancials!V42),"",RawFinancials!V42)</f>
        <v>17.2969821518877</v>
      </c>
      <c r="W42" s="0" t="n">
        <f aca="false">IF(ISBLANK(RawFinancials!W42),"",RawFinancials!W42)</f>
        <v>20220331</v>
      </c>
      <c r="X42" s="0" t="n">
        <f aca="false">IF(ISBLANK(RawFinancials!X42),"",RawFinancials!X42)</f>
        <v>0.319298839198795</v>
      </c>
      <c r="Y42" s="0" t="n">
        <f aca="false">IF(ISBLANK(RawFinancials!Y42),"",RawFinancials!Y42)</f>
        <v>3.25</v>
      </c>
      <c r="Z42" s="0" t="str">
        <f aca="false">IF(ISBLANK(RawFinancials!Z42),"",RawFinancials!Z42)</f>
        <v>NH</v>
      </c>
      <c r="AA42" s="0" t="n">
        <f aca="false">RawFinancials!AA42</f>
        <v>1</v>
      </c>
      <c r="AB42" s="0" t="n">
        <f aca="false">RawFinancials!AB42</f>
        <v>795</v>
      </c>
      <c r="AC42" s="0" t="n">
        <f aca="false">RawFinancials!AC42</f>
        <v>0.159093228631978</v>
      </c>
      <c r="AD42" s="0" t="n">
        <f aca="false">IF(L42&gt;0,100*N42/L42,"")</f>
        <v>90.994739838084</v>
      </c>
      <c r="AE42" s="0" t="n">
        <f aca="false">IF(B42&gt;0,100*F42/B42,"")</f>
        <v>9.27783681237205</v>
      </c>
      <c r="AF42" s="0" t="str">
        <f aca="false">RawFinancials!AE42</f>
        <v/>
      </c>
    </row>
    <row r="43" customFormat="false" ht="15" hidden="false" customHeight="false" outlineLevel="0" collapsed="false">
      <c r="A43" s="0" t="n">
        <f aca="false">IF(ISBLANK(RawFinancials!A43),"",RawFinancials!A43)</f>
        <v>43</v>
      </c>
      <c r="B43" s="0" t="n">
        <f aca="false">IF(ISBLANK(RawFinancials!B43),"",RawFinancials!B43)</f>
        <v>558084</v>
      </c>
      <c r="C43" s="0" t="n">
        <f aca="false">IF(ISBLANK(RawFinancials!C43),"",RawFinancials!C43)</f>
        <v>30350</v>
      </c>
      <c r="D43" s="0" t="n">
        <f aca="false">IF(ISBLANK(RawFinancials!D43),"",RawFinancials!D43)</f>
        <v>471489</v>
      </c>
      <c r="E43" s="0" t="n">
        <f aca="false">IF(ISBLANK(RawFinancials!E43),"",RawFinancials!E43)</f>
        <v>0</v>
      </c>
      <c r="F43" s="0" t="n">
        <f aca="false">IF(ISBLANK(RawFinancials!F43),"",RawFinancials!F43)</f>
        <v>51735</v>
      </c>
      <c r="G43" s="0" t="n">
        <f aca="false">IF(ISBLANK(RawFinancials!G43),"",RawFinancials!G43)</f>
        <v>9.27010987593266</v>
      </c>
      <c r="H43" s="0" t="str">
        <f aca="false">IF(ISBLANK(RawFinancials!H43),"",RawFinancials!H43)</f>
        <v>30350_20220331</v>
      </c>
      <c r="I43" s="0" t="n">
        <f aca="false">IF(ISBLANK(RawFinancials!I43),"",RawFinancials!I43)</f>
        <v>1.44320981611108</v>
      </c>
      <c r="J43" s="0" t="n">
        <f aca="false">IF(ISBLANK(RawFinancials!J43),"",RawFinancials!J43)</f>
        <v>11781</v>
      </c>
      <c r="K43" s="0" t="n">
        <f aca="false">IF(ISBLANK(RawFinancials!K43),"",RawFinancials!K43)</f>
        <v>796</v>
      </c>
      <c r="L43" s="0" t="n">
        <f aca="false">IF(ISBLANK(RawFinancials!L43),"",RawFinancials!L43)</f>
        <v>367722</v>
      </c>
      <c r="M43" s="0" t="n">
        <f aca="false">IF(ISBLANK(RawFinancials!M43),"",RawFinancials!M43)</f>
        <v>362415</v>
      </c>
      <c r="N43" s="0" t="n">
        <f aca="false">IF(ISBLANK(RawFinancials!N43),"",RawFinancials!N43)</f>
        <v>353740</v>
      </c>
      <c r="O43" s="0" t="n">
        <f aca="false">IF(ISBLANK(RawFinancials!O43),"",RawFinancials!O43)</f>
        <v>2750</v>
      </c>
      <c r="P43" s="0" t="str">
        <f aca="false">IF(ISBLANK(RawFinancials!P43),"",RawFinancials!P43)</f>
        <v>THE BANK OF BENNINGTON</v>
      </c>
      <c r="Q43" s="0" t="n">
        <f aca="false">IF(ISBLANK(RawFinancials!Q43),"",RawFinancials!Q43)</f>
        <v>0.747847558753624</v>
      </c>
      <c r="R43" s="0" t="n">
        <f aca="false">IF(ISBLANK(RawFinancials!R43),"",RawFinancials!R43)</f>
        <v>2.64878933304511</v>
      </c>
      <c r="S43" s="0" t="n">
        <f aca="false">IF(ISBLANK(RawFinancials!S43),"",RawFinancials!S43)</f>
        <v>-4</v>
      </c>
      <c r="T43" s="0" t="n">
        <f aca="false">IF(ISBLANK(RawFinancials!T43),"",RawFinancials!T43)</f>
        <v>1525</v>
      </c>
      <c r="U43" s="0" t="n">
        <f aca="false">IF(ISBLANK(RawFinancials!U43),"",RawFinancials!U43)</f>
        <v>0</v>
      </c>
      <c r="V43" s="0" t="n">
        <f aca="false">IF(ISBLANK(RawFinancials!V43),"",RawFinancials!V43)</f>
        <v>21.5752243865437</v>
      </c>
      <c r="W43" s="0" t="n">
        <f aca="false">IF(ISBLANK(RawFinancials!W43),"",RawFinancials!W43)</f>
        <v>20220331</v>
      </c>
      <c r="X43" s="0" t="n">
        <f aca="false">IF(ISBLANK(RawFinancials!X43),"",RawFinancials!X43)</f>
        <v>0.631458667705776</v>
      </c>
      <c r="Y43" s="0" t="n">
        <f aca="false">IF(ISBLANK(RawFinancials!Y43),"",RawFinancials!Y43)</f>
        <v>6.56</v>
      </c>
      <c r="Z43" s="0" t="str">
        <f aca="false">IF(ISBLANK(RawFinancials!Z43),"",RawFinancials!Z43)</f>
        <v>VT</v>
      </c>
      <c r="AA43" s="0" t="n">
        <f aca="false">RawFinancials!AA43</f>
        <v>1</v>
      </c>
      <c r="AB43" s="0" t="n">
        <f aca="false">RawFinancials!AB43</f>
        <v>2750</v>
      </c>
      <c r="AC43" s="0" t="n">
        <f aca="false">RawFinancials!AC43</f>
        <v>0.492757362690921</v>
      </c>
      <c r="AD43" s="0" t="n">
        <f aca="false">IF(L43&gt;0,100*N43/L43,"")</f>
        <v>96.1976710667298</v>
      </c>
      <c r="AE43" s="0" t="n">
        <f aca="false">IF(B43&gt;0,100*F43/B43,"")</f>
        <v>9.27010987593266</v>
      </c>
      <c r="AF43" s="0" t="str">
        <f aca="false">RawFinancials!AE43</f>
        <v/>
      </c>
    </row>
    <row r="44" customFormat="false" ht="15" hidden="false" customHeight="false" outlineLevel="0" collapsed="false">
      <c r="A44" s="0" t="n">
        <f aca="false">IF(ISBLANK(RawFinancials!A44),"",RawFinancials!A44)</f>
        <v>44</v>
      </c>
      <c r="B44" s="0" t="n">
        <f aca="false">IF(ISBLANK(RawFinancials!B44),"",RawFinancials!B44)</f>
        <v>100633</v>
      </c>
      <c r="C44" s="0" t="n">
        <f aca="false">IF(ISBLANK(RawFinancials!C44),"",RawFinancials!C44)</f>
        <v>30878</v>
      </c>
      <c r="D44" s="0" t="n">
        <f aca="false">IF(ISBLANK(RawFinancials!D44),"",RawFinancials!D44)</f>
        <v>78705</v>
      </c>
      <c r="E44" s="0" t="n">
        <f aca="false">IF(ISBLANK(RawFinancials!E44),"",RawFinancials!E44)</f>
        <v>0</v>
      </c>
      <c r="F44" s="0" t="n">
        <f aca="false">IF(ISBLANK(RawFinancials!F44),"",RawFinancials!F44)</f>
        <v>12369</v>
      </c>
      <c r="G44" s="0" t="n">
        <f aca="false">IF(ISBLANK(RawFinancials!G44),"",RawFinancials!G44)</f>
        <v>12.2911967247324</v>
      </c>
      <c r="H44" s="0" t="str">
        <f aca="false">IF(ISBLANK(RawFinancials!H44),"",RawFinancials!H44)</f>
        <v>30878_20220331</v>
      </c>
      <c r="I44" s="0" t="n">
        <f aca="false">IF(ISBLANK(RawFinancials!I44),"",RawFinancials!I44)</f>
        <v>1.1397293687206</v>
      </c>
      <c r="J44" s="0" t="n">
        <f aca="false">IF(ISBLANK(RawFinancials!J44),"",RawFinancials!J44)</f>
        <v>0</v>
      </c>
      <c r="K44" s="0" t="n">
        <f aca="false">IF(ISBLANK(RawFinancials!K44),"",RawFinancials!K44)</f>
        <v>122</v>
      </c>
      <c r="L44" s="0" t="n">
        <f aca="false">IF(ISBLANK(RawFinancials!L44),"",RawFinancials!L44)</f>
        <v>68876</v>
      </c>
      <c r="M44" s="0" t="n">
        <f aca="false">IF(ISBLANK(RawFinancials!M44),"",RawFinancials!M44)</f>
        <v>68091</v>
      </c>
      <c r="N44" s="0" t="n">
        <f aca="false">IF(ISBLANK(RawFinancials!N44),"",RawFinancials!N44)</f>
        <v>68753</v>
      </c>
      <c r="O44" s="0" t="n">
        <f aca="false">IF(ISBLANK(RawFinancials!O44),"",RawFinancials!O44)</f>
        <v>539</v>
      </c>
      <c r="P44" s="0" t="str">
        <f aca="false">IF(ISBLANK(RawFinancials!P44),"",RawFinancials!P44)</f>
        <v>BAR HARBOR SAVINGS AND LOAN ASSOCIATION</v>
      </c>
      <c r="Q44" s="0" t="n">
        <f aca="false">IF(ISBLANK(RawFinancials!Q44),"",RawFinancials!Q44)</f>
        <v>0.78256577036994</v>
      </c>
      <c r="R44" s="0" t="n">
        <f aca="false">IF(ISBLANK(RawFinancials!R44),"",RawFinancials!R44)</f>
        <v>1.98516265592569</v>
      </c>
      <c r="S44" s="0" t="n">
        <f aca="false">IF(ISBLANK(RawFinancials!S44),"",RawFinancials!S44)</f>
        <v>0</v>
      </c>
      <c r="T44" s="0" t="n">
        <f aca="false">IF(ISBLANK(RawFinancials!T44),"",RawFinancials!T44)</f>
        <v>375</v>
      </c>
      <c r="U44" s="0" t="n">
        <f aca="false">IF(ISBLANK(RawFinancials!U44),"",RawFinancials!U44)</f>
        <v>0</v>
      </c>
      <c r="V44" s="0" t="n">
        <f aca="false">IF(ISBLANK(RawFinancials!V44),"",RawFinancials!V44)</f>
        <v>0</v>
      </c>
      <c r="W44" s="0" t="n">
        <f aca="false">IF(ISBLANK(RawFinancials!W44),"",RawFinancials!W44)</f>
        <v>20220331</v>
      </c>
      <c r="X44" s="0" t="n">
        <f aca="false">IF(ISBLANK(RawFinancials!X44),"",RawFinancials!X44)</f>
        <v>0.175102599179207</v>
      </c>
      <c r="Y44" s="0" t="n">
        <f aca="false">IF(ISBLANK(RawFinancials!Y44),"",RawFinancials!Y44)</f>
        <v>1.41</v>
      </c>
      <c r="Z44" s="0" t="str">
        <f aca="false">IF(ISBLANK(RawFinancials!Z44),"",RawFinancials!Z44)</f>
        <v>ME</v>
      </c>
      <c r="AA44" s="0" t="n">
        <f aca="false">RawFinancials!AA44</f>
        <v>1</v>
      </c>
      <c r="AB44" s="0" t="n">
        <f aca="false">RawFinancials!AB44</f>
        <v>539</v>
      </c>
      <c r="AC44" s="0" t="n">
        <f aca="false">RawFinancials!AC44</f>
        <v>0.535609591287152</v>
      </c>
      <c r="AD44" s="0" t="n">
        <f aca="false">IF(L44&gt;0,100*N44/L44,"")</f>
        <v>99.8214182008247</v>
      </c>
      <c r="AE44" s="0" t="n">
        <f aca="false">IF(B44&gt;0,100*F44/B44,"")</f>
        <v>12.2911967247324</v>
      </c>
      <c r="AF44" s="0" t="str">
        <f aca="false">RawFinancials!AE44</f>
        <v>原始0：需核实适用/报告口径</v>
      </c>
    </row>
    <row r="45" customFormat="false" ht="15" hidden="false" customHeight="false" outlineLevel="0" collapsed="false">
      <c r="A45" s="0" t="n">
        <f aca="false">IF(ISBLANK(RawFinancials!A45),"",RawFinancials!A45)</f>
        <v>45</v>
      </c>
      <c r="B45" s="0" t="n">
        <f aca="false">IF(ISBLANK(RawFinancials!B45),"",RawFinancials!B45)</f>
        <v>757509</v>
      </c>
      <c r="C45" s="0" t="n">
        <f aca="false">IF(ISBLANK(RawFinancials!C45),"",RawFinancials!C45)</f>
        <v>33418</v>
      </c>
      <c r="D45" s="0" t="n">
        <f aca="false">IF(ISBLANK(RawFinancials!D45),"",RawFinancials!D45)</f>
        <v>686918</v>
      </c>
      <c r="E45" s="0" t="n">
        <f aca="false">IF(ISBLANK(RawFinancials!E45),"",RawFinancials!E45)</f>
        <v>0</v>
      </c>
      <c r="F45" s="0" t="n">
        <f aca="false">IF(ISBLANK(RawFinancials!F45),"",RawFinancials!F45)</f>
        <v>49895</v>
      </c>
      <c r="G45" s="0" t="n">
        <f aca="false">IF(ISBLANK(RawFinancials!G45),"",RawFinancials!G45)</f>
        <v>6.58672042180357</v>
      </c>
      <c r="H45" s="0" t="str">
        <f aca="false">IF(ISBLANK(RawFinancials!H45),"",RawFinancials!H45)</f>
        <v>33418_20220331</v>
      </c>
      <c r="I45" s="0" t="n">
        <f aca="false">IF(ISBLANK(RawFinancials!I45),"",RawFinancials!I45)</f>
        <v>2.08213194264526</v>
      </c>
      <c r="J45" s="0" t="n">
        <f aca="false">IF(ISBLANK(RawFinancials!J45),"",RawFinancials!J45)</f>
        <v>41526</v>
      </c>
      <c r="K45" s="0" t="n">
        <f aca="false">IF(ISBLANK(RawFinancials!K45),"",RawFinancials!K45)</f>
        <v>14294</v>
      </c>
      <c r="L45" s="0" t="n">
        <f aca="false">IF(ISBLANK(RawFinancials!L45),"",RawFinancials!L45)</f>
        <v>358959</v>
      </c>
      <c r="M45" s="0" t="n">
        <f aca="false">IF(ISBLANK(RawFinancials!M45),"",RawFinancials!M45)</f>
        <v>351485</v>
      </c>
      <c r="N45" s="0" t="n">
        <f aca="false">IF(ISBLANK(RawFinancials!N45),"",RawFinancials!N45)</f>
        <v>303204</v>
      </c>
      <c r="O45" s="0" t="n">
        <f aca="false">IF(ISBLANK(RawFinancials!O45),"",RawFinancials!O45)</f>
        <v>1659</v>
      </c>
      <c r="P45" s="0" t="str">
        <f aca="false">IF(ISBLANK(RawFinancials!P45),"",RawFinancials!P45)</f>
        <v>LEDYARD NATIONAL BANK</v>
      </c>
      <c r="Q45" s="0" t="n">
        <f aca="false">IF(ISBLANK(RawFinancials!Q45),"",RawFinancials!Q45)</f>
        <v>0.462169774263913</v>
      </c>
      <c r="R45" s="0" t="n">
        <f aca="false">IF(ISBLANK(RawFinancials!R45),"",RawFinancials!R45)</f>
        <v>2.64547208066041</v>
      </c>
      <c r="S45" s="0" t="n">
        <f aca="false">IF(ISBLANK(RawFinancials!S45),"",RawFinancials!S45)</f>
        <v>-5</v>
      </c>
      <c r="T45" s="0" t="n">
        <f aca="false">IF(ISBLANK(RawFinancials!T45),"",RawFinancials!T45)</f>
        <v>308</v>
      </c>
      <c r="U45" s="0" t="n">
        <f aca="false">IF(ISBLANK(RawFinancials!U45),"",RawFinancials!U45)</f>
        <v>0</v>
      </c>
      <c r="V45" s="0" t="n">
        <f aca="false">IF(ISBLANK(RawFinancials!V45),"",RawFinancials!V45)</f>
        <v>15.1005735502168</v>
      </c>
      <c r="W45" s="0" t="n">
        <f aca="false">IF(ISBLANK(RawFinancials!W45),"",RawFinancials!W45)</f>
        <v>20220331</v>
      </c>
      <c r="X45" s="0" t="n">
        <f aca="false">IF(ISBLANK(RawFinancials!X45),"",RawFinancials!X45)</f>
        <v>1.08763023716891</v>
      </c>
      <c r="Y45" s="0" t="n">
        <f aca="false">IF(ISBLANK(RawFinancials!Y45),"",RawFinancials!Y45)</f>
        <v>13.83</v>
      </c>
      <c r="Z45" s="0" t="str">
        <f aca="false">IF(ISBLANK(RawFinancials!Z45),"",RawFinancials!Z45)</f>
        <v>VT</v>
      </c>
      <c r="AA45" s="0" t="n">
        <f aca="false">RawFinancials!AA45</f>
        <v>1</v>
      </c>
      <c r="AB45" s="0" t="n">
        <f aca="false">RawFinancials!AB45</f>
        <v>1659</v>
      </c>
      <c r="AC45" s="0" t="n">
        <f aca="false">RawFinancials!AC45</f>
        <v>0.219007298923181</v>
      </c>
      <c r="AD45" s="0" t="n">
        <f aca="false">IF(L45&gt;0,100*N45/L45,"")</f>
        <v>84.4675854345482</v>
      </c>
      <c r="AE45" s="0" t="n">
        <f aca="false">IF(B45&gt;0,100*F45/B45,"")</f>
        <v>6.58672042180357</v>
      </c>
      <c r="AF45" s="0" t="str">
        <f aca="false">RawFinancials!AE45</f>
        <v/>
      </c>
    </row>
    <row r="46" customFormat="false" ht="15" hidden="false" customHeight="false" outlineLevel="0" collapsed="false">
      <c r="A46" s="0" t="n">
        <f aca="false">IF(ISBLANK(RawFinancials!A46),"",RawFinancials!A46)</f>
        <v>46</v>
      </c>
      <c r="B46" s="0" t="n">
        <f aca="false">IF(ISBLANK(RawFinancials!B46),"",RawFinancials!B46)</f>
        <v>5406954</v>
      </c>
      <c r="C46" s="0" t="n">
        <f aca="false">IF(ISBLANK(RawFinancials!C46),"",RawFinancials!C46)</f>
        <v>4255</v>
      </c>
      <c r="D46" s="0" t="n">
        <f aca="false">IF(ISBLANK(RawFinancials!D46),"",RawFinancials!D46)</f>
        <v>4617834</v>
      </c>
      <c r="E46" s="0" t="n">
        <f aca="false">IF(ISBLANK(RawFinancials!E46),"",RawFinancials!E46)</f>
        <v>-0.08</v>
      </c>
      <c r="F46" s="0" t="n">
        <f aca="false">IF(ISBLANK(RawFinancials!F46),"",RawFinancials!F46)</f>
        <v>494704</v>
      </c>
      <c r="G46" s="0" t="n">
        <f aca="false">IF(ISBLANK(RawFinancials!G46),"",RawFinancials!G46)</f>
        <v>9.14940278759538</v>
      </c>
      <c r="H46" s="0" t="str">
        <f aca="false">IF(ISBLANK(RawFinancials!H46),"",RawFinancials!H46)</f>
        <v>4255_20220331</v>
      </c>
      <c r="I46" s="0" t="n">
        <f aca="false">IF(ISBLANK(RawFinancials!I46),"",RawFinancials!I46)</f>
        <v>0.897223689981397</v>
      </c>
      <c r="J46" s="0" t="n">
        <f aca="false">IF(ISBLANK(RawFinancials!J46),"",RawFinancials!J46)</f>
        <v>332872</v>
      </c>
      <c r="K46" s="0" t="n">
        <f aca="false">IF(ISBLANK(RawFinancials!K46),"",RawFinancials!K46)</f>
        <v>18973</v>
      </c>
      <c r="L46" s="0" t="n">
        <f aca="false">IF(ISBLANK(RawFinancials!L46),"",RawFinancials!L46)</f>
        <v>3540923</v>
      </c>
      <c r="M46" s="0" t="n">
        <f aca="false">IF(ISBLANK(RawFinancials!M46),"",RawFinancials!M46)</f>
        <v>3509153</v>
      </c>
      <c r="N46" s="0" t="n">
        <f aca="false">IF(ISBLANK(RawFinancials!N46),"",RawFinancials!N46)</f>
        <v>3145490</v>
      </c>
      <c r="O46" s="0" t="n">
        <f aca="false">IF(ISBLANK(RawFinancials!O46),"",RawFinancials!O46)</f>
        <v>4452</v>
      </c>
      <c r="P46" s="0" t="str">
        <f aca="false">IF(ISBLANK(RawFinancials!P46),"",RawFinancials!P46)</f>
        <v>THE CAMDEN NATIONAL BANK</v>
      </c>
      <c r="Q46" s="0" t="n">
        <f aca="false">IF(ISBLANK(RawFinancials!Q46),"",RawFinancials!Q46)</f>
        <v>0.125729929738659</v>
      </c>
      <c r="R46" s="0" t="n">
        <f aca="false">IF(ISBLANK(RawFinancials!R46),"",RawFinancials!R46)</f>
        <v>2.92744682140836</v>
      </c>
      <c r="S46" s="0" t="n">
        <f aca="false">IF(ISBLANK(RawFinancials!S46),"",RawFinancials!S46)</f>
        <v>250</v>
      </c>
      <c r="T46" s="0" t="n">
        <f aca="false">IF(ISBLANK(RawFinancials!T46),"",RawFinancials!T46)</f>
        <v>1301</v>
      </c>
      <c r="U46" s="0" t="n">
        <f aca="false">IF(ISBLANK(RawFinancials!U46),"",RawFinancials!U46)</f>
        <v>0</v>
      </c>
      <c r="V46" s="0" t="n">
        <f aca="false">IF(ISBLANK(RawFinancials!V46),"",RawFinancials!V46)</f>
        <v>13.5561410868159</v>
      </c>
      <c r="W46" s="0" t="n">
        <f aca="false">IF(ISBLANK(RawFinancials!W46),"",RawFinancials!W46)</f>
        <v>20220331</v>
      </c>
      <c r="X46" s="0" t="n">
        <f aca="false">IF(ISBLANK(RawFinancials!X46),"",RawFinancials!X46)</f>
        <v>1.27683285497104</v>
      </c>
      <c r="Y46" s="0" t="n">
        <f aca="false">IF(ISBLANK(RawFinancials!Y46),"",RawFinancials!Y46)</f>
        <v>13.21</v>
      </c>
      <c r="Z46" s="0" t="str">
        <f aca="false">IF(ISBLANK(RawFinancials!Z46),"",RawFinancials!Z46)</f>
        <v>ME</v>
      </c>
      <c r="AA46" s="0" t="n">
        <f aca="false">RawFinancials!AA46</f>
        <v>1</v>
      </c>
      <c r="AB46" s="0" t="n">
        <f aca="false">RawFinancials!AB46</f>
        <v>4452</v>
      </c>
      <c r="AC46" s="0" t="n">
        <f aca="false">RawFinancials!AC46</f>
        <v>0.0823384108686702</v>
      </c>
      <c r="AD46" s="0" t="n">
        <f aca="false">IF(L46&gt;0,100*N46/L46,"")</f>
        <v>88.832488026427</v>
      </c>
      <c r="AE46" s="0" t="n">
        <f aca="false">IF(B46&gt;0,100*F46/B46,"")</f>
        <v>9.14940278759538</v>
      </c>
      <c r="AF46" s="0" t="str">
        <f aca="false">RawFinancials!AE46</f>
        <v/>
      </c>
    </row>
    <row r="47" customFormat="false" ht="15" hidden="false" customHeight="false" outlineLevel="0" collapsed="false">
      <c r="A47" s="0" t="n">
        <f aca="false">IF(ISBLANK(RawFinancials!A47),"",RawFinancials!A47)</f>
        <v>47</v>
      </c>
      <c r="B47" s="0" t="n">
        <f aca="false">IF(ISBLANK(RawFinancials!B47),"",RawFinancials!B47)</f>
        <v>2514032</v>
      </c>
      <c r="C47" s="0" t="n">
        <f aca="false">IF(ISBLANK(RawFinancials!C47),"",RawFinancials!C47)</f>
        <v>4256</v>
      </c>
      <c r="D47" s="0" t="n">
        <f aca="false">IF(ISBLANK(RawFinancials!D47),"",RawFinancials!D47)</f>
        <v>2159436</v>
      </c>
      <c r="E47" s="0" t="n">
        <f aca="false">IF(ISBLANK(RawFinancials!E47),"",RawFinancials!E47)</f>
        <v>0.07</v>
      </c>
      <c r="F47" s="0" t="n">
        <f aca="false">IF(ISBLANK(RawFinancials!F47),"",RawFinancials!F47)</f>
        <v>204756</v>
      </c>
      <c r="G47" s="0" t="n">
        <f aca="false">IF(ISBLANK(RawFinancials!G47),"",RawFinancials!G47)</f>
        <v>8.14452640220968</v>
      </c>
      <c r="H47" s="0" t="str">
        <f aca="false">IF(ISBLANK(RawFinancials!H47),"",RawFinancials!H47)</f>
        <v>4256_20220331</v>
      </c>
      <c r="I47" s="0" t="n">
        <f aca="false">IF(ISBLANK(RawFinancials!I47),"",RawFinancials!I47)</f>
        <v>0.923204126135706</v>
      </c>
      <c r="J47" s="0" t="n">
        <f aca="false">IF(ISBLANK(RawFinancials!J47),"",RawFinancials!J47)</f>
        <v>226654</v>
      </c>
      <c r="K47" s="0" t="n">
        <f aca="false">IF(ISBLANK(RawFinancials!K47),"",RawFinancials!K47)</f>
        <v>22077</v>
      </c>
      <c r="L47" s="0" t="n">
        <f aca="false">IF(ISBLANK(RawFinancials!L47),"",RawFinancials!L47)</f>
        <v>1707748</v>
      </c>
      <c r="M47" s="0" t="n">
        <f aca="false">IF(ISBLANK(RawFinancials!M47),"",RawFinancials!M47)</f>
        <v>1691982</v>
      </c>
      <c r="N47" s="0" t="n">
        <f aca="false">IF(ISBLANK(RawFinancials!N47),"",RawFinancials!N47)</f>
        <v>1367138</v>
      </c>
      <c r="O47" s="0" t="n">
        <f aca="false">IF(ISBLANK(RawFinancials!O47),"",RawFinancials!O47)</f>
        <v>5049</v>
      </c>
      <c r="P47" s="0" t="str">
        <f aca="false">IF(ISBLANK(RawFinancials!P47),"",RawFinancials!P47)</f>
        <v>FIRST NATIONAL BANK</v>
      </c>
      <c r="Q47" s="0" t="n">
        <f aca="false">IF(ISBLANK(RawFinancials!Q47),"",RawFinancials!Q47)</f>
        <v>0.298346126009224</v>
      </c>
      <c r="R47" s="0" t="n">
        <f aca="false">IF(ISBLANK(RawFinancials!R47),"",RawFinancials!R47)</f>
        <v>3.15768402829308</v>
      </c>
      <c r="S47" s="0" t="n">
        <f aca="false">IF(ISBLANK(RawFinancials!S47),"",RawFinancials!S47)</f>
        <v>205</v>
      </c>
      <c r="T47" s="0" t="n">
        <f aca="false">IF(ISBLANK(RawFinancials!T47),"",RawFinancials!T47)</f>
        <v>892</v>
      </c>
      <c r="U47" s="0" t="n">
        <f aca="false">IF(ISBLANK(RawFinancials!U47),"",RawFinancials!U47)</f>
        <v>46</v>
      </c>
      <c r="V47" s="0" t="n">
        <f aca="false">IF(ISBLANK(RawFinancials!V47),"",RawFinancials!V47)</f>
        <v>14.0050565438216</v>
      </c>
      <c r="W47" s="0" t="n">
        <f aca="false">IF(ISBLANK(RawFinancials!W47),"",RawFinancials!W47)</f>
        <v>20220331</v>
      </c>
      <c r="X47" s="0" t="n">
        <f aca="false">IF(ISBLANK(RawFinancials!X47),"",RawFinancials!X47)</f>
        <v>1.58060734186442</v>
      </c>
      <c r="Y47" s="0" t="n">
        <f aca="false">IF(ISBLANK(RawFinancials!Y47),"",RawFinancials!Y47)</f>
        <v>18.79</v>
      </c>
      <c r="Z47" s="0" t="str">
        <f aca="false">IF(ISBLANK(RawFinancials!Z47),"",RawFinancials!Z47)</f>
        <v>ME</v>
      </c>
      <c r="AA47" s="0" t="n">
        <f aca="false">RawFinancials!AA47</f>
        <v>1</v>
      </c>
      <c r="AB47" s="0" t="n">
        <f aca="false">RawFinancials!AB47</f>
        <v>5095</v>
      </c>
      <c r="AC47" s="0" t="n">
        <f aca="false">RawFinancials!AC47</f>
        <v>0.202662495942772</v>
      </c>
      <c r="AD47" s="0" t="n">
        <f aca="false">IF(L47&gt;0,100*N47/L47,"")</f>
        <v>80.0550198272813</v>
      </c>
      <c r="AE47" s="0" t="n">
        <f aca="false">IF(B47&gt;0,100*F47/B47,"")</f>
        <v>8.14452640220968</v>
      </c>
      <c r="AF47" s="0" t="str">
        <f aca="false">RawFinancials!AE47</f>
        <v/>
      </c>
    </row>
    <row r="48" customFormat="false" ht="15" hidden="false" customHeight="false" outlineLevel="0" collapsed="false">
      <c r="A48" s="0" t="n">
        <f aca="false">IF(ISBLANK(RawFinancials!A48),"",RawFinancials!A48)</f>
        <v>48</v>
      </c>
      <c r="B48" s="0" t="n">
        <f aca="false">IF(ISBLANK(RawFinancials!B48),"",RawFinancials!B48)</f>
        <v>702304</v>
      </c>
      <c r="C48" s="0" t="n">
        <f aca="false">IF(ISBLANK(RawFinancials!C48),"",RawFinancials!C48)</f>
        <v>59086</v>
      </c>
      <c r="D48" s="0" t="n">
        <f aca="false">IF(ISBLANK(RawFinancials!D48),"",RawFinancials!D48)</f>
        <v>631646</v>
      </c>
      <c r="E48" s="0" t="n">
        <f aca="false">IF(ISBLANK(RawFinancials!E48),"",RawFinancials!E48)</f>
        <v>0.15</v>
      </c>
      <c r="F48" s="0" t="n">
        <f aca="false">IF(ISBLANK(RawFinancials!F48),"",RawFinancials!F48)</f>
        <v>66816</v>
      </c>
      <c r="G48" s="0" t="n">
        <f aca="false">IF(ISBLANK(RawFinancials!G48),"",RawFinancials!G48)</f>
        <v>9.51382876930788</v>
      </c>
      <c r="H48" s="0" t="str">
        <f aca="false">IF(ISBLANK(RawFinancials!H48),"",RawFinancials!H48)</f>
        <v>59086_20220331</v>
      </c>
      <c r="I48" s="0" t="n">
        <f aca="false">IF(ISBLANK(RawFinancials!I48),"",RawFinancials!I48)</f>
        <v>1.1506354816876</v>
      </c>
      <c r="J48" s="0" t="n">
        <f aca="false">IF(ISBLANK(RawFinancials!J48),"",RawFinancials!J48)</f>
        <v>115306</v>
      </c>
      <c r="K48" s="0" t="n">
        <f aca="false">IF(ISBLANK(RawFinancials!K48),"",RawFinancials!K48)</f>
        <v>0</v>
      </c>
      <c r="L48" s="0" t="n">
        <f aca="false">IF(ISBLANK(RawFinancials!L48),"",RawFinancials!L48)</f>
        <v>518583</v>
      </c>
      <c r="M48" s="0" t="n">
        <f aca="false">IF(ISBLANK(RawFinancials!M48),"",RawFinancials!M48)</f>
        <v>512616</v>
      </c>
      <c r="N48" s="0" t="n">
        <f aca="false">IF(ISBLANK(RawFinancials!N48),"",RawFinancials!N48)</f>
        <v>404171</v>
      </c>
      <c r="O48" s="0" t="n">
        <f aca="false">IF(ISBLANK(RawFinancials!O48),"",RawFinancials!O48)</f>
        <v>2111</v>
      </c>
      <c r="P48" s="0" t="str">
        <f aca="false">IF(ISBLANK(RawFinancials!P48),"",RawFinancials!P48)</f>
        <v>PRIMARY BANK</v>
      </c>
      <c r="Q48" s="0" t="n">
        <f aca="false">IF(ISBLANK(RawFinancials!Q48),"",RawFinancials!Q48)</f>
        <v>0.0657561084725106</v>
      </c>
      <c r="R48" s="0" t="n">
        <f aca="false">IF(ISBLANK(RawFinancials!R48),"",RawFinancials!R48)</f>
        <v>3.2247228753779</v>
      </c>
      <c r="S48" s="0" t="n">
        <f aca="false">IF(ISBLANK(RawFinancials!S48),"",RawFinancials!S48)</f>
        <v>0</v>
      </c>
      <c r="T48" s="0" t="n">
        <f aca="false">IF(ISBLANK(RawFinancials!T48),"",RawFinancials!T48)</f>
        <v>0</v>
      </c>
      <c r="U48" s="0" t="n">
        <f aca="false">IF(ISBLANK(RawFinancials!U48),"",RawFinancials!U48)</f>
        <v>341</v>
      </c>
      <c r="V48" s="0" t="n">
        <f aca="false">IF(ISBLANK(RawFinancials!V48),"",RawFinancials!V48)</f>
        <v>13.608114424605</v>
      </c>
      <c r="W48" s="0" t="n">
        <f aca="false">IF(ISBLANK(RawFinancials!W48),"",RawFinancials!W48)</f>
        <v>20220331</v>
      </c>
      <c r="X48" s="0" t="n">
        <f aca="false">IF(ISBLANK(RawFinancials!X48),"",RawFinancials!X48)</f>
        <v>1.1291386821763</v>
      </c>
      <c r="Y48" s="0" t="n">
        <f aca="false">IF(ISBLANK(RawFinancials!Y48),"",RawFinancials!Y48)</f>
        <v>11.87</v>
      </c>
      <c r="Z48" s="0" t="str">
        <f aca="false">IF(ISBLANK(RawFinancials!Z48),"",RawFinancials!Z48)</f>
        <v>NH</v>
      </c>
      <c r="AA48" s="0" t="n">
        <f aca="false">RawFinancials!AA48</f>
        <v>1</v>
      </c>
      <c r="AB48" s="0" t="n">
        <f aca="false">RawFinancials!AB48</f>
        <v>2452</v>
      </c>
      <c r="AC48" s="0" t="n">
        <f aca="false">RawFinancials!AC48</f>
        <v>0.349136556249146</v>
      </c>
      <c r="AD48" s="0" t="n">
        <f aca="false">IF(L48&gt;0,100*N48/L48,"")</f>
        <v>77.9375721919153</v>
      </c>
      <c r="AE48" s="0" t="n">
        <f aca="false">IF(B48&gt;0,100*F48/B48,"")</f>
        <v>9.51382876930788</v>
      </c>
      <c r="AF48" s="0" t="str">
        <f aca="false">RawFinancials!AE48</f>
        <v/>
      </c>
    </row>
    <row r="49" customFormat="false" ht="15" hidden="false" customHeight="false" outlineLevel="0" collapsed="false">
      <c r="A49" s="0" t="n">
        <f aca="false">IF(ISBLANK(RawFinancials!A49),"",RawFinancials!A49)</f>
        <v>49</v>
      </c>
      <c r="B49" s="0" t="n">
        <f aca="false">IF(ISBLANK(RawFinancials!B49),"",RawFinancials!B49)</f>
        <v>146747</v>
      </c>
      <c r="C49" s="0" t="n">
        <f aca="false">IF(ISBLANK(RawFinancials!C49),"",RawFinancials!C49)</f>
        <v>59176</v>
      </c>
      <c r="D49" s="0" t="n">
        <f aca="false">IF(ISBLANK(RawFinancials!D49),"",RawFinancials!D49)</f>
        <v>124821</v>
      </c>
      <c r="E49" s="0" t="n">
        <f aca="false">IF(ISBLANK(RawFinancials!E49),"",RawFinancials!E49)</f>
        <v>0.31</v>
      </c>
      <c r="F49" s="0" t="n">
        <f aca="false">IF(ISBLANK(RawFinancials!F49),"",RawFinancials!F49)</f>
        <v>21476</v>
      </c>
      <c r="G49" s="0" t="n">
        <f aca="false">IF(ISBLANK(RawFinancials!G49),"",RawFinancials!G49)</f>
        <v>14.6347114421419</v>
      </c>
      <c r="H49" s="0" t="str">
        <f aca="false">IF(ISBLANK(RawFinancials!H49),"",RawFinancials!H49)</f>
        <v>59176_20220331</v>
      </c>
      <c r="I49" s="0" t="n">
        <f aca="false">IF(ISBLANK(RawFinancials!I49),"",RawFinancials!I49)</f>
        <v>0.849385173075556</v>
      </c>
      <c r="J49" s="0" t="n">
        <f aca="false">IF(ISBLANK(RawFinancials!J49),"",RawFinancials!J49)</f>
        <v>14832</v>
      </c>
      <c r="K49" s="0" t="n">
        <f aca="false">IF(ISBLANK(RawFinancials!K49),"",RawFinancials!K49)</f>
        <v>14</v>
      </c>
      <c r="L49" s="0" t="n">
        <f aca="false">IF(ISBLANK(RawFinancials!L49),"",RawFinancials!L49)</f>
        <v>112552</v>
      </c>
      <c r="M49" s="0" t="n">
        <f aca="false">IF(ISBLANK(RawFinancials!M49),"",RawFinancials!M49)</f>
        <v>111596</v>
      </c>
      <c r="N49" s="0" t="n">
        <f aca="false">IF(ISBLANK(RawFinancials!N49),"",RawFinancials!N49)</f>
        <v>97793</v>
      </c>
      <c r="O49" s="0" t="n">
        <f aca="false">IF(ISBLANK(RawFinancials!O49),"",RawFinancials!O49)</f>
        <v>42</v>
      </c>
      <c r="P49" s="0" t="str">
        <f aca="false">IF(ISBLANK(RawFinancials!P49),"",RawFinancials!P49)</f>
        <v>THE MILLYARD BANK</v>
      </c>
      <c r="Q49" s="0" t="n">
        <f aca="false">IF(ISBLANK(RawFinancials!Q49),"",RawFinancials!Q49)</f>
        <v>0.0373160850095955</v>
      </c>
      <c r="R49" s="0" t="n">
        <f aca="false">IF(ISBLANK(RawFinancials!R49),"",RawFinancials!R49)</f>
        <v>2.98511873974789</v>
      </c>
      <c r="S49" s="0" t="n">
        <f aca="false">IF(ISBLANK(RawFinancials!S49),"",RawFinancials!S49)</f>
        <v>0</v>
      </c>
      <c r="T49" s="0" t="n">
        <f aca="false">IF(ISBLANK(RawFinancials!T49),"",RawFinancials!T49)</f>
        <v>0</v>
      </c>
      <c r="U49" s="0" t="n">
        <f aca="false">IF(ISBLANK(RawFinancials!U49),"",RawFinancials!U49)</f>
        <v>0</v>
      </c>
      <c r="V49" s="0" t="n">
        <f aca="false">IF(ISBLANK(RawFinancials!V49),"",RawFinancials!V49)</f>
        <v>19.8448295690792</v>
      </c>
      <c r="W49" s="0" t="n">
        <f aca="false">IF(ISBLANK(RawFinancials!W49),"",RawFinancials!W49)</f>
        <v>20220331</v>
      </c>
      <c r="X49" s="0" t="n">
        <f aca="false">IF(ISBLANK(RawFinancials!X49),"",RawFinancials!X49)</f>
        <v>0.031957931740763</v>
      </c>
      <c r="Y49" s="0" t="n">
        <f aca="false">IF(ISBLANK(RawFinancials!Y49),"",RawFinancials!Y49)</f>
        <v>0.23</v>
      </c>
      <c r="Z49" s="0" t="str">
        <f aca="false">IF(ISBLANK(RawFinancials!Z49),"",RawFinancials!Z49)</f>
        <v>NH</v>
      </c>
      <c r="AA49" s="0" t="n">
        <f aca="false">RawFinancials!AA49</f>
        <v>1</v>
      </c>
      <c r="AB49" s="0" t="n">
        <f aca="false">RawFinancials!AB49</f>
        <v>42</v>
      </c>
      <c r="AC49" s="0" t="n">
        <f aca="false">RawFinancials!AC49</f>
        <v>0.0286206873053623</v>
      </c>
      <c r="AD49" s="0" t="n">
        <f aca="false">IF(L49&gt;0,100*N49/L49,"")</f>
        <v>86.8869500319852</v>
      </c>
      <c r="AE49" s="0" t="n">
        <f aca="false">IF(B49&gt;0,100*F49/B49,"")</f>
        <v>14.6347114421419</v>
      </c>
      <c r="AF49" s="0" t="str">
        <f aca="false">RawFinancials!AE49</f>
        <v/>
      </c>
    </row>
    <row r="50" customFormat="false" ht="15" hidden="false" customHeight="false" outlineLevel="0" collapsed="false">
      <c r="A50" s="0" t="n">
        <f aca="false">IF(ISBLANK(RawFinancials!A50),"",RawFinancials!A50)</f>
        <v>50</v>
      </c>
      <c r="B50" s="0" t="n">
        <f aca="false">IF(ISBLANK(RawFinancials!B50),"",RawFinancials!B50)</f>
        <v>1004765</v>
      </c>
      <c r="C50" s="0" t="n">
        <f aca="false">IF(ISBLANK(RawFinancials!C50),"",RawFinancials!C50)</f>
        <v>6271</v>
      </c>
      <c r="D50" s="0" t="n">
        <f aca="false">IF(ISBLANK(RawFinancials!D50),"",RawFinancials!D50)</f>
        <v>878431</v>
      </c>
      <c r="E50" s="0" t="n">
        <f aca="false">IF(ISBLANK(RawFinancials!E50),"",RawFinancials!E50)</f>
        <v>0.34</v>
      </c>
      <c r="F50" s="0" t="n">
        <f aca="false">IF(ISBLANK(RawFinancials!F50),"",RawFinancials!F50)</f>
        <v>89733</v>
      </c>
      <c r="G50" s="0" t="n">
        <f aca="false">IF(ISBLANK(RawFinancials!G50),"",RawFinancials!G50)</f>
        <v>8.93074500007464</v>
      </c>
      <c r="H50" s="0" t="str">
        <f aca="false">IF(ISBLANK(RawFinancials!H50),"",RawFinancials!H50)</f>
        <v>6271_20220331</v>
      </c>
      <c r="I50" s="0" t="n">
        <f aca="false">IF(ISBLANK(RawFinancials!I50),"",RawFinancials!I50)</f>
        <v>1.13244155892614</v>
      </c>
      <c r="J50" s="0" t="n">
        <f aca="false">IF(ISBLANK(RawFinancials!J50),"",RawFinancials!J50)</f>
        <v>116404</v>
      </c>
      <c r="K50" s="0" t="n">
        <f aca="false">IF(ISBLANK(RawFinancials!K50),"",RawFinancials!K50)</f>
        <v>3056</v>
      </c>
      <c r="L50" s="0" t="n">
        <f aca="false">IF(ISBLANK(RawFinancials!L50),"",RawFinancials!L50)</f>
        <v>696813</v>
      </c>
      <c r="M50" s="0" t="n">
        <f aca="false">IF(ISBLANK(RawFinancials!M50),"",RawFinancials!M50)</f>
        <v>688922</v>
      </c>
      <c r="N50" s="0" t="n">
        <f aca="false">IF(ISBLANK(RawFinancials!N50),"",RawFinancials!N50)</f>
        <v>523731</v>
      </c>
      <c r="O50" s="0" t="n">
        <f aca="false">IF(ISBLANK(RawFinancials!O50),"",RawFinancials!O50)</f>
        <v>5415</v>
      </c>
      <c r="P50" s="0" t="str">
        <f aca="false">IF(ISBLANK(RawFinancials!P50),"",RawFinancials!P50)</f>
        <v>COMMUNITY NATIONAL BANK</v>
      </c>
      <c r="Q50" s="0" t="n">
        <f aca="false">IF(ISBLANK(RawFinancials!Q50),"",RawFinancials!Q50)</f>
        <v>0.870965380955866</v>
      </c>
      <c r="R50" s="0" t="n">
        <f aca="false">IF(ISBLANK(RawFinancials!R50),"",RawFinancials!R50)</f>
        <v>3.22402305761983</v>
      </c>
      <c r="S50" s="0" t="n">
        <f aca="false">IF(ISBLANK(RawFinancials!S50),"",RawFinancials!S50)</f>
        <v>682</v>
      </c>
      <c r="T50" s="0" t="n">
        <f aca="false">IF(ISBLANK(RawFinancials!T50),"",RawFinancials!T50)</f>
        <v>2673</v>
      </c>
      <c r="U50" s="0" t="n">
        <f aca="false">IF(ISBLANK(RawFinancials!U50),"",RawFinancials!U50)</f>
        <v>654</v>
      </c>
      <c r="V50" s="0" t="n">
        <f aca="false">IF(ISBLANK(RawFinancials!V50),"",RawFinancials!V50)</f>
        <v>15.2204500210179</v>
      </c>
      <c r="W50" s="0" t="n">
        <f aca="false">IF(ISBLANK(RawFinancials!W50),"",RawFinancials!W50)</f>
        <v>20220331</v>
      </c>
      <c r="X50" s="0" t="n">
        <f aca="false">IF(ISBLANK(RawFinancials!X50),"",RawFinancials!X50)</f>
        <v>1.00825483937611</v>
      </c>
      <c r="Y50" s="0" t="n">
        <f aca="false">IF(ISBLANK(RawFinancials!Y50),"",RawFinancials!Y50)</f>
        <v>10.92</v>
      </c>
      <c r="Z50" s="0" t="str">
        <f aca="false">IF(ISBLANK(RawFinancials!Z50),"",RawFinancials!Z50)</f>
        <v>VT</v>
      </c>
      <c r="AA50" s="0" t="n">
        <f aca="false">RawFinancials!AA50</f>
        <v>1</v>
      </c>
      <c r="AB50" s="0" t="n">
        <f aca="false">RawFinancials!AB50</f>
        <v>6069</v>
      </c>
      <c r="AC50" s="0" t="n">
        <f aca="false">RawFinancials!AC50</f>
        <v>0.60402183595169</v>
      </c>
      <c r="AD50" s="0" t="n">
        <f aca="false">IF(L50&gt;0,100*N50/L50,"")</f>
        <v>75.1609111770303</v>
      </c>
      <c r="AE50" s="0" t="n">
        <f aca="false">IF(B50&gt;0,100*F50/B50,"")</f>
        <v>8.93074500007464</v>
      </c>
      <c r="AF50" s="0" t="str">
        <f aca="false">RawFinancials!AE50</f>
        <v/>
      </c>
    </row>
    <row r="51" customFormat="false" ht="15" hidden="false" customHeight="false" outlineLevel="0" collapsed="false">
      <c r="A51" s="0" t="n">
        <f aca="false">IF(ISBLANK(RawFinancials!A51),"",RawFinancials!A51)</f>
        <v>51</v>
      </c>
      <c r="B51" s="0" t="n">
        <f aca="false">IF(ISBLANK(RawFinancials!B51),"",RawFinancials!B51)</f>
        <v>531651</v>
      </c>
      <c r="C51" s="0" t="n">
        <f aca="false">IF(ISBLANK(RawFinancials!C51),"",RawFinancials!C51)</f>
        <v>6275</v>
      </c>
      <c r="D51" s="0" t="n">
        <f aca="false">IF(ISBLANK(RawFinancials!D51),"",RawFinancials!D51)</f>
        <v>472420</v>
      </c>
      <c r="E51" s="0" t="n">
        <f aca="false">IF(ISBLANK(RawFinancials!E51),"",RawFinancials!E51)</f>
        <v>0</v>
      </c>
      <c r="F51" s="0" t="n">
        <f aca="false">IF(ISBLANK(RawFinancials!F51),"",RawFinancials!F51)</f>
        <v>32835</v>
      </c>
      <c r="G51" s="0" t="n">
        <f aca="false">IF(ISBLANK(RawFinancials!G51),"",RawFinancials!G51)</f>
        <v>6.17604405897854</v>
      </c>
      <c r="H51" s="0" t="str">
        <f aca="false">IF(ISBLANK(RawFinancials!H51),"",RawFinancials!H51)</f>
        <v>6275_20220331</v>
      </c>
      <c r="I51" s="0" t="n">
        <f aca="false">IF(ISBLANK(RawFinancials!I51),"",RawFinancials!I51)</f>
        <v>1.09890496565702</v>
      </c>
      <c r="J51" s="0" t="n">
        <f aca="false">IF(ISBLANK(RawFinancials!J51),"",RawFinancials!J51)</f>
        <v>24050</v>
      </c>
      <c r="K51" s="0" t="n">
        <f aca="false">IF(ISBLANK(RawFinancials!K51),"",RawFinancials!K51)</f>
        <v>12501</v>
      </c>
      <c r="L51" s="0" t="n">
        <f aca="false">IF(ISBLANK(RawFinancials!L51),"",RawFinancials!L51)</f>
        <v>284192</v>
      </c>
      <c r="M51" s="0" t="n">
        <f aca="false">IF(ISBLANK(RawFinancials!M51),"",RawFinancials!M51)</f>
        <v>281069</v>
      </c>
      <c r="N51" s="0" t="n">
        <f aca="false">IF(ISBLANK(RawFinancials!N51),"",RawFinancials!N51)</f>
        <v>237696</v>
      </c>
      <c r="O51" s="0" t="n">
        <f aca="false">IF(ISBLANK(RawFinancials!O51),"",RawFinancials!O51)</f>
        <v>1559</v>
      </c>
      <c r="P51" s="0" t="str">
        <f aca="false">IF(ISBLANK(RawFinancials!P51),"",RawFinancials!P51)</f>
        <v>THE NATIONAL BANK OF MIDDLEBURY</v>
      </c>
      <c r="Q51" s="0" t="n">
        <f aca="false">IF(ISBLANK(RawFinancials!Q51),"",RawFinancials!Q51)</f>
        <v>0.633726494764103</v>
      </c>
      <c r="R51" s="0" t="n">
        <f aca="false">IF(ISBLANK(RawFinancials!R51),"",RawFinancials!R51)</f>
        <v>2.5345588039533</v>
      </c>
      <c r="S51" s="0" t="n">
        <f aca="false">IF(ISBLANK(RawFinancials!S51),"",RawFinancials!S51)</f>
        <v>-3</v>
      </c>
      <c r="T51" s="0" t="n">
        <f aca="false">IF(ISBLANK(RawFinancials!T51),"",RawFinancials!T51)</f>
        <v>381</v>
      </c>
      <c r="U51" s="0" t="n">
        <f aca="false">IF(ISBLANK(RawFinancials!U51),"",RawFinancials!U51)</f>
        <v>242</v>
      </c>
      <c r="V51" s="0" t="n">
        <f aca="false">IF(ISBLANK(RawFinancials!V51),"",RawFinancials!V51)</f>
        <v>16.2466459160674</v>
      </c>
      <c r="W51" s="0" t="n">
        <f aca="false">IF(ISBLANK(RawFinancials!W51),"",RawFinancials!W51)</f>
        <v>20220331</v>
      </c>
      <c r="X51" s="0" t="n">
        <f aca="false">IF(ISBLANK(RawFinancials!X51),"",RawFinancials!X51)</f>
        <v>0.470223643178008</v>
      </c>
      <c r="Y51" s="0" t="n">
        <f aca="false">IF(ISBLANK(RawFinancials!Y51),"",RawFinancials!Y51)</f>
        <v>6.87</v>
      </c>
      <c r="Z51" s="0" t="str">
        <f aca="false">IF(ISBLANK(RawFinancials!Z51),"",RawFinancials!Z51)</f>
        <v>VT</v>
      </c>
      <c r="AA51" s="0" t="n">
        <f aca="false">RawFinancials!AA51</f>
        <v>1</v>
      </c>
      <c r="AB51" s="0" t="n">
        <f aca="false">RawFinancials!AB51</f>
        <v>1801</v>
      </c>
      <c r="AC51" s="0" t="n">
        <f aca="false">RawFinancials!AC51</f>
        <v>0.338756063658302</v>
      </c>
      <c r="AD51" s="0" t="n">
        <f aca="false">IF(L51&gt;0,100*N51/L51,"")</f>
        <v>83.6392298164621</v>
      </c>
      <c r="AE51" s="0" t="n">
        <f aca="false">IF(B51&gt;0,100*F51/B51,"")</f>
        <v>6.17604405897854</v>
      </c>
      <c r="AF51" s="0" t="str">
        <f aca="false">RawFinancials!AE51</f>
        <v/>
      </c>
    </row>
    <row r="52" customFormat="false" ht="15" hidden="false" customHeight="false" outlineLevel="0" collapsed="false">
      <c r="A52" s="0" t="n">
        <f aca="false">IF(ISBLANK(RawFinancials!A52),"",RawFinancials!A52)</f>
        <v>52</v>
      </c>
      <c r="B52" s="0" t="n">
        <f aca="false">IF(ISBLANK(RawFinancials!B52),"",RawFinancials!B52)</f>
        <v>83998</v>
      </c>
      <c r="C52" s="0" t="n">
        <f aca="false">IF(ISBLANK(RawFinancials!C52),"",RawFinancials!C52)</f>
        <v>6280</v>
      </c>
      <c r="D52" s="0" t="n">
        <f aca="false">IF(ISBLANK(RawFinancials!D52),"",RawFinancials!D52)</f>
        <v>75709</v>
      </c>
      <c r="E52" s="0" t="n">
        <f aca="false">IF(ISBLANK(RawFinancials!E52),"",RawFinancials!E52)</f>
        <v>0.05</v>
      </c>
      <c r="F52" s="0" t="n">
        <f aca="false">IF(ISBLANK(RawFinancials!F52),"",RawFinancials!F52)</f>
        <v>8131</v>
      </c>
      <c r="G52" s="0" t="n">
        <f aca="false">IF(ISBLANK(RawFinancials!G52),"",RawFinancials!G52)</f>
        <v>9.67999238077097</v>
      </c>
      <c r="H52" s="0" t="str">
        <f aca="false">IF(ISBLANK(RawFinancials!H52),"",RawFinancials!H52)</f>
        <v>6280_20220331</v>
      </c>
      <c r="I52" s="0" t="n">
        <f aca="false">IF(ISBLANK(RawFinancials!I52),"",RawFinancials!I52)</f>
        <v>1.33483980308288</v>
      </c>
      <c r="J52" s="0" t="n">
        <f aca="false">IF(ISBLANK(RawFinancials!J52),"",RawFinancials!J52)</f>
        <v>2686</v>
      </c>
      <c r="K52" s="0" t="n">
        <f aca="false">IF(ISBLANK(RawFinancials!K52),"",RawFinancials!K52)</f>
        <v>1876</v>
      </c>
      <c r="L52" s="0" t="n">
        <f aca="false">IF(ISBLANK(RawFinancials!L52),"",RawFinancials!L52)</f>
        <v>61955</v>
      </c>
      <c r="M52" s="0" t="n">
        <f aca="false">IF(ISBLANK(RawFinancials!M52),"",RawFinancials!M52)</f>
        <v>61128</v>
      </c>
      <c r="N52" s="0" t="n">
        <f aca="false">IF(ISBLANK(RawFinancials!N52),"",RawFinancials!N52)</f>
        <v>53939</v>
      </c>
      <c r="O52" s="0" t="n">
        <f aca="false">IF(ISBLANK(RawFinancials!O52),"",RawFinancials!O52)</f>
        <v>836</v>
      </c>
      <c r="P52" s="0" t="str">
        <f aca="false">IF(ISBLANK(RawFinancials!P52),"",RawFinancials!P52)</f>
        <v>THE FIRST NATIONAL BANK OF ORWELL</v>
      </c>
      <c r="Q52" s="0" t="n">
        <f aca="false">IF(ISBLANK(RawFinancials!Q52),"",RawFinancials!Q52)</f>
        <v>1.34936647566782</v>
      </c>
      <c r="R52" s="0" t="n">
        <f aca="false">IF(ISBLANK(RawFinancials!R52),"",RawFinancials!R52)</f>
        <v>3.84047633815047</v>
      </c>
      <c r="S52" s="0" t="n">
        <f aca="false">IF(ISBLANK(RawFinancials!S52),"",RawFinancials!S52)</f>
        <v>-1</v>
      </c>
      <c r="T52" s="0" t="n">
        <f aca="false">IF(ISBLANK(RawFinancials!T52),"",RawFinancials!T52)</f>
        <v>644</v>
      </c>
      <c r="U52" s="0" t="n">
        <f aca="false">IF(ISBLANK(RawFinancials!U52),"",RawFinancials!U52)</f>
        <v>0</v>
      </c>
      <c r="V52" s="0" t="n">
        <f aca="false">IF(ISBLANK(RawFinancials!V52),"",RawFinancials!V52)</f>
        <v>0</v>
      </c>
      <c r="W52" s="0" t="n">
        <f aca="false">IF(ISBLANK(RawFinancials!W52),"",RawFinancials!W52)</f>
        <v>20220331</v>
      </c>
      <c r="X52" s="0" t="n">
        <f aca="false">IF(ISBLANK(RawFinancials!X52),"",RawFinancials!X52)</f>
        <v>1.18573807471095</v>
      </c>
      <c r="Y52" s="0" t="n">
        <f aca="false">IF(ISBLANK(RawFinancials!Y52),"",RawFinancials!Y52)</f>
        <v>12.54</v>
      </c>
      <c r="Z52" s="0" t="str">
        <f aca="false">IF(ISBLANK(RawFinancials!Z52),"",RawFinancials!Z52)</f>
        <v>VT</v>
      </c>
      <c r="AA52" s="0" t="n">
        <f aca="false">RawFinancials!AA52</f>
        <v>1</v>
      </c>
      <c r="AB52" s="0" t="n">
        <f aca="false">RawFinancials!AB52</f>
        <v>836</v>
      </c>
      <c r="AC52" s="0" t="n">
        <f aca="false">RawFinancials!AC52</f>
        <v>0.995261791947427</v>
      </c>
      <c r="AD52" s="0" t="n">
        <f aca="false">IF(L52&gt;0,100*N52/L52,"")</f>
        <v>87.0615769510128</v>
      </c>
      <c r="AE52" s="0" t="n">
        <f aca="false">IF(B52&gt;0,100*F52/B52,"")</f>
        <v>9.67999238077097</v>
      </c>
      <c r="AF52" s="0" t="str">
        <f aca="false">RawFinancials!AE52</f>
        <v>原始0：需核实适用/报告口径</v>
      </c>
    </row>
    <row r="53" customFormat="false" ht="15" hidden="false" customHeight="false" outlineLevel="0" collapsed="false">
      <c r="A53" s="0" t="n">
        <f aca="false">IF(ISBLANK(RawFinancials!A53),"",RawFinancials!A53)</f>
        <v>53</v>
      </c>
      <c r="B53" s="0" t="n">
        <f aca="false">IF(ISBLANK(RawFinancials!B53),"",RawFinancials!B53)</f>
        <v>3712836</v>
      </c>
      <c r="C53" s="0" t="n">
        <f aca="false">IF(ISBLANK(RawFinancials!C53),"",RawFinancials!C53)</f>
        <v>11971</v>
      </c>
      <c r="D53" s="0" t="n">
        <f aca="false">IF(ISBLANK(RawFinancials!D53),"",RawFinancials!D53)</f>
        <v>3085621</v>
      </c>
      <c r="E53" s="0" t="n">
        <f aca="false">IF(ISBLANK(RawFinancials!E53),"",RawFinancials!E53)</f>
        <v>0.07</v>
      </c>
      <c r="F53" s="0" t="n">
        <f aca="false">IF(ISBLANK(RawFinancials!F53),"",RawFinancials!F53)</f>
        <v>448597</v>
      </c>
      <c r="G53" s="0" t="n">
        <f aca="false">IF(ISBLANK(RawFinancials!G53),"",RawFinancials!G53)</f>
        <v>12.0823273637726</v>
      </c>
      <c r="H53" s="0" t="str">
        <f aca="false">IF(ISBLANK(RawFinancials!H53),"",RawFinancials!H53)</f>
        <v>11971_20220630</v>
      </c>
      <c r="I53" s="0" t="n">
        <f aca="false">IF(ISBLANK(RawFinancials!I53),"",RawFinancials!I53)</f>
        <v>0.869924084878752</v>
      </c>
      <c r="J53" s="0" t="n">
        <f aca="false">IF(ISBLANK(RawFinancials!J53),"",RawFinancials!J53)</f>
        <v>204215</v>
      </c>
      <c r="K53" s="0" t="n">
        <f aca="false">IF(ISBLANK(RawFinancials!K53),"",RawFinancials!K53)</f>
        <v>8150</v>
      </c>
      <c r="L53" s="0" t="n">
        <f aca="false">IF(ISBLANK(RawFinancials!L53),"",RawFinancials!L53)</f>
        <v>2730813</v>
      </c>
      <c r="M53" s="0" t="n">
        <f aca="false">IF(ISBLANK(RawFinancials!M53),"",RawFinancials!M53)</f>
        <v>2707057</v>
      </c>
      <c r="N53" s="0" t="n">
        <f aca="false">IF(ISBLANK(RawFinancials!N53),"",RawFinancials!N53)</f>
        <v>2376853</v>
      </c>
      <c r="O53" s="0" t="n">
        <f aca="false">IF(ISBLANK(RawFinancials!O53),"",RawFinancials!O53)</f>
        <v>7878</v>
      </c>
      <c r="P53" s="0" t="str">
        <f aca="false">IF(ISBLANK(RawFinancials!P53),"",RawFinancials!P53)</f>
        <v>BAR HARBOR BANK &amp; TRUST</v>
      </c>
      <c r="Q53" s="0" t="n">
        <f aca="false">IF(ISBLANK(RawFinancials!Q53),"",RawFinancials!Q53)</f>
        <v>0.314814672407082</v>
      </c>
      <c r="R53" s="0" t="n">
        <f aca="false">IF(ISBLANK(RawFinancials!R53),"",RawFinancials!R53)</f>
        <v>3.14301219513661</v>
      </c>
      <c r="S53" s="0" t="n">
        <f aca="false">IF(ISBLANK(RawFinancials!S53),"",RawFinancials!S53)</f>
        <v>-127</v>
      </c>
      <c r="T53" s="0" t="n">
        <f aca="false">IF(ISBLANK(RawFinancials!T53),"",RawFinancials!T53)</f>
        <v>1169</v>
      </c>
      <c r="U53" s="0" t="n">
        <f aca="false">IF(ISBLANK(RawFinancials!U53),"",RawFinancials!U53)</f>
        <v>719</v>
      </c>
      <c r="V53" s="0" t="n">
        <f aca="false">IF(ISBLANK(RawFinancials!V53),"",RawFinancials!V53)</f>
        <v>13.5693025113801</v>
      </c>
      <c r="W53" s="0" t="n">
        <f aca="false">IF(ISBLANK(RawFinancials!W53),"",RawFinancials!W53)</f>
        <v>20220630</v>
      </c>
      <c r="X53" s="0" t="n">
        <f aca="false">IF(ISBLANK(RawFinancials!X53),"",RawFinancials!X53)</f>
        <v>1.16360424384539</v>
      </c>
      <c r="Y53" s="0" t="n">
        <f aca="false">IF(ISBLANK(RawFinancials!Y53),"",RawFinancials!Y53)</f>
        <v>9.3</v>
      </c>
      <c r="Z53" s="0" t="str">
        <f aca="false">IF(ISBLANK(RawFinancials!Z53),"",RawFinancials!Z53)</f>
        <v>ME</v>
      </c>
      <c r="AA53" s="0" t="n">
        <f aca="false">RawFinancials!AA53</f>
        <v>1</v>
      </c>
      <c r="AB53" s="0" t="n">
        <f aca="false">RawFinancials!AB53</f>
        <v>8597</v>
      </c>
      <c r="AC53" s="0" t="n">
        <f aca="false">RawFinancials!AC53</f>
        <v>0.231548067299498</v>
      </c>
      <c r="AD53" s="0" t="n">
        <f aca="false">IF(L53&gt;0,100*N53/L53,"")</f>
        <v>87.0382922594846</v>
      </c>
      <c r="AE53" s="0" t="n">
        <f aca="false">IF(B53&gt;0,100*F53/B53,"")</f>
        <v>12.0823273637726</v>
      </c>
      <c r="AF53" s="0" t="str">
        <f aca="false">RawFinancials!AE53</f>
        <v/>
      </c>
    </row>
    <row r="54" customFormat="false" ht="15" hidden="false" customHeight="false" outlineLevel="0" collapsed="false">
      <c r="A54" s="0" t="n">
        <f aca="false">IF(ISBLANK(RawFinancials!A54),"",RawFinancials!A54)</f>
        <v>54</v>
      </c>
      <c r="B54" s="0" t="n">
        <f aca="false">IF(ISBLANK(RawFinancials!B54),"",RawFinancials!B54)</f>
        <v>964224</v>
      </c>
      <c r="C54" s="0" t="n">
        <f aca="false">IF(ISBLANK(RawFinancials!C54),"",RawFinancials!C54)</f>
        <v>12874</v>
      </c>
      <c r="D54" s="0" t="n">
        <f aca="false">IF(ISBLANK(RawFinancials!D54),"",RawFinancials!D54)</f>
        <v>854371</v>
      </c>
      <c r="E54" s="0" t="n">
        <f aca="false">IF(ISBLANK(RawFinancials!E54),"",RawFinancials!E54)</f>
        <v>0</v>
      </c>
      <c r="F54" s="0" t="n">
        <f aca="false">IF(ISBLANK(RawFinancials!F54),"",RawFinancials!F54)</f>
        <v>94455</v>
      </c>
      <c r="G54" s="0" t="n">
        <f aca="false">IF(ISBLANK(RawFinancials!G54),"",RawFinancials!G54)</f>
        <v>9.79596027479092</v>
      </c>
      <c r="H54" s="0" t="str">
        <f aca="false">IF(ISBLANK(RawFinancials!H54),"",RawFinancials!H54)</f>
        <v>12874_20220630</v>
      </c>
      <c r="I54" s="0" t="n">
        <f aca="false">IF(ISBLANK(RawFinancials!I54),"",RawFinancials!I54)</f>
        <v>1.05823329055455</v>
      </c>
      <c r="J54" s="0" t="n">
        <f aca="false">IF(ISBLANK(RawFinancials!J54),"",RawFinancials!J54)</f>
        <v>135529</v>
      </c>
      <c r="K54" s="0" t="n">
        <f aca="false">IF(ISBLANK(RawFinancials!K54),"",RawFinancials!K54)</f>
        <v>5199</v>
      </c>
      <c r="L54" s="0" t="n">
        <f aca="false">IF(ISBLANK(RawFinancials!L54),"",RawFinancials!L54)</f>
        <v>738684</v>
      </c>
      <c r="M54" s="0" t="n">
        <f aca="false">IF(ISBLANK(RawFinancials!M54),"",RawFinancials!M54)</f>
        <v>730867</v>
      </c>
      <c r="N54" s="0" t="n">
        <f aca="false">IF(ISBLANK(RawFinancials!N54),"",RawFinancials!N54)</f>
        <v>583137</v>
      </c>
      <c r="O54" s="0" t="n">
        <f aca="false">IF(ISBLANK(RawFinancials!O54),"",RawFinancials!O54)</f>
        <v>891</v>
      </c>
      <c r="P54" s="0" t="str">
        <f aca="false">IF(ISBLANK(RawFinancials!P54),"",RawFinancials!P54)</f>
        <v>KATAHDIN TRUST COMPANY</v>
      </c>
      <c r="Q54" s="0" t="n">
        <f aca="false">IF(ISBLANK(RawFinancials!Q54),"",RawFinancials!Q54)</f>
        <v>0.126305700407752</v>
      </c>
      <c r="R54" s="0" t="n">
        <f aca="false">IF(ISBLANK(RawFinancials!R54),"",RawFinancials!R54)</f>
        <v>3.50029411107719</v>
      </c>
      <c r="S54" s="0" t="n">
        <f aca="false">IF(ISBLANK(RawFinancials!S54),"",RawFinancials!S54)</f>
        <v>-13</v>
      </c>
      <c r="T54" s="0" t="n">
        <f aca="false">IF(ISBLANK(RawFinancials!T54),"",RawFinancials!T54)</f>
        <v>242</v>
      </c>
      <c r="U54" s="0" t="n">
        <f aca="false">IF(ISBLANK(RawFinancials!U54),"",RawFinancials!U54)</f>
        <v>42</v>
      </c>
      <c r="V54" s="0" t="n">
        <f aca="false">IF(ISBLANK(RawFinancials!V54),"",RawFinancials!V54)</f>
        <v>15.2920846966426</v>
      </c>
      <c r="W54" s="0" t="n">
        <f aca="false">IF(ISBLANK(RawFinancials!W54),"",RawFinancials!W54)</f>
        <v>20220630</v>
      </c>
      <c r="X54" s="0" t="n">
        <f aca="false">IF(ISBLANK(RawFinancials!X54),"",RawFinancials!X54)</f>
        <v>0.905775942828036</v>
      </c>
      <c r="Y54" s="0" t="n">
        <f aca="false">IF(ISBLANK(RawFinancials!Y54),"",RawFinancials!Y54)</f>
        <v>8.85</v>
      </c>
      <c r="Z54" s="0" t="str">
        <f aca="false">IF(ISBLANK(RawFinancials!Z54),"",RawFinancials!Z54)</f>
        <v>ME</v>
      </c>
      <c r="AA54" s="0" t="n">
        <f aca="false">RawFinancials!AA54</f>
        <v>1</v>
      </c>
      <c r="AB54" s="0" t="n">
        <f aca="false">RawFinancials!AB54</f>
        <v>933</v>
      </c>
      <c r="AC54" s="0" t="n">
        <f aca="false">RawFinancials!AC54</f>
        <v>0.0967617483074472</v>
      </c>
      <c r="AD54" s="0" t="n">
        <f aca="false">IF(L54&gt;0,100*N54/L54,"")</f>
        <v>78.9426872654613</v>
      </c>
      <c r="AE54" s="0" t="n">
        <f aca="false">IF(B54&gt;0,100*F54/B54,"")</f>
        <v>9.79596027479092</v>
      </c>
      <c r="AF54" s="0" t="str">
        <f aca="false">RawFinancials!AE54</f>
        <v/>
      </c>
    </row>
    <row r="55" customFormat="false" ht="15" hidden="false" customHeight="false" outlineLevel="0" collapsed="false">
      <c r="A55" s="0" t="n">
        <f aca="false">IF(ISBLANK(RawFinancials!A55),"",RawFinancials!A55)</f>
        <v>55</v>
      </c>
      <c r="B55" s="0" t="n">
        <f aca="false">IF(ISBLANK(RawFinancials!B55),"",RawFinancials!B55)</f>
        <v>1796670</v>
      </c>
      <c r="C55" s="0" t="n">
        <f aca="false">IF(ISBLANK(RawFinancials!C55),"",RawFinancials!C55)</f>
        <v>13063</v>
      </c>
      <c r="D55" s="0" t="n">
        <f aca="false">IF(ISBLANK(RawFinancials!D55),"",RawFinancials!D55)</f>
        <v>1641103</v>
      </c>
      <c r="E55" s="0" t="n">
        <f aca="false">IF(ISBLANK(RawFinancials!E55),"",RawFinancials!E55)</f>
        <v>0</v>
      </c>
      <c r="F55" s="0" t="n">
        <f aca="false">IF(ISBLANK(RawFinancials!F55),"",RawFinancials!F55)</f>
        <v>138141</v>
      </c>
      <c r="G55" s="0" t="n">
        <f aca="false">IF(ISBLANK(RawFinancials!G55),"",RawFinancials!G55)</f>
        <v>7.68872413965837</v>
      </c>
      <c r="H55" s="0" t="str">
        <f aca="false">IF(ISBLANK(RawFinancials!H55),"",RawFinancials!H55)</f>
        <v>13063_20220630</v>
      </c>
      <c r="I55" s="0" t="n">
        <f aca="false">IF(ISBLANK(RawFinancials!I55),"",RawFinancials!I55)</f>
        <v>1.17960076755983</v>
      </c>
      <c r="J55" s="0" t="n">
        <f aca="false">IF(ISBLANK(RawFinancials!J55),"",RawFinancials!J55)</f>
        <v>51462</v>
      </c>
      <c r="K55" s="0" t="n">
        <f aca="false">IF(ISBLANK(RawFinancials!K55),"",RawFinancials!K55)</f>
        <v>893</v>
      </c>
      <c r="L55" s="0" t="n">
        <f aca="false">IF(ISBLANK(RawFinancials!L55),"",RawFinancials!L55)</f>
        <v>1263224</v>
      </c>
      <c r="M55" s="0" t="n">
        <f aca="false">IF(ISBLANK(RawFinancials!M55),"",RawFinancials!M55)</f>
        <v>1248323</v>
      </c>
      <c r="N55" s="0" t="n">
        <f aca="false">IF(ISBLANK(RawFinancials!N55),"",RawFinancials!N55)</f>
        <v>1203684</v>
      </c>
      <c r="O55" s="0" t="n">
        <f aca="false">IF(ISBLANK(RawFinancials!O55),"",RawFinancials!O55)</f>
        <v>499</v>
      </c>
      <c r="P55" s="0" t="str">
        <f aca="false">IF(ISBLANK(RawFinancials!P55),"",RawFinancials!P55)</f>
        <v>KENNEBUNK SAVINGS BANK</v>
      </c>
      <c r="Q55" s="0" t="n">
        <f aca="false">IF(ISBLANK(RawFinancials!Q55),"",RawFinancials!Q55)</f>
        <v>0.11605225993173</v>
      </c>
      <c r="R55" s="0" t="n">
        <f aca="false">IF(ISBLANK(RawFinancials!R55),"",RawFinancials!R55)</f>
        <v>3.34802863649218</v>
      </c>
      <c r="S55" s="0" t="n">
        <f aca="false">IF(ISBLANK(RawFinancials!S55),"",RawFinancials!S55)</f>
        <v>-5</v>
      </c>
      <c r="T55" s="0" t="n">
        <f aca="false">IF(ISBLANK(RawFinancials!T55),"",RawFinancials!T55)</f>
        <v>1</v>
      </c>
      <c r="U55" s="0" t="n">
        <f aca="false">IF(ISBLANK(RawFinancials!U55),"",RawFinancials!U55)</f>
        <v>967</v>
      </c>
      <c r="V55" s="0" t="n">
        <f aca="false">IF(ISBLANK(RawFinancials!V55),"",RawFinancials!V55)</f>
        <v>0</v>
      </c>
      <c r="W55" s="0" t="n">
        <f aca="false">IF(ISBLANK(RawFinancials!W55),"",RawFinancials!W55)</f>
        <v>20220630</v>
      </c>
      <c r="X55" s="0" t="n">
        <f aca="false">IF(ISBLANK(RawFinancials!X55),"",RawFinancials!X55)</f>
        <v>0.589885287137242</v>
      </c>
      <c r="Y55" s="0" t="n">
        <f aca="false">IF(ISBLANK(RawFinancials!Y55),"",RawFinancials!Y55)</f>
        <v>7.06</v>
      </c>
      <c r="Z55" s="0" t="str">
        <f aca="false">IF(ISBLANK(RawFinancials!Z55),"",RawFinancials!Z55)</f>
        <v>ME</v>
      </c>
      <c r="AA55" s="0" t="n">
        <f aca="false">RawFinancials!AA55</f>
        <v>1</v>
      </c>
      <c r="AB55" s="0" t="n">
        <f aca="false">RawFinancials!AB55</f>
        <v>1466</v>
      </c>
      <c r="AC55" s="0" t="n">
        <f aca="false">RawFinancials!AC55</f>
        <v>0.0815953959269092</v>
      </c>
      <c r="AD55" s="0" t="n">
        <f aca="false">IF(L55&gt;0,100*N55/L55,"")</f>
        <v>95.2866633312857</v>
      </c>
      <c r="AE55" s="0" t="n">
        <f aca="false">IF(B55&gt;0,100*F55/B55,"")</f>
        <v>7.68872413965837</v>
      </c>
      <c r="AF55" s="0" t="str">
        <f aca="false">RawFinancials!AE55</f>
        <v>原始0：需核实适用/报告口径</v>
      </c>
    </row>
    <row r="56" customFormat="false" ht="15" hidden="false" customHeight="false" outlineLevel="0" collapsed="false">
      <c r="A56" s="0" t="n">
        <f aca="false">IF(ISBLANK(RawFinancials!A56),"",RawFinancials!A56)</f>
        <v>56</v>
      </c>
      <c r="B56" s="0" t="n">
        <f aca="false">IF(ISBLANK(RawFinancials!B56),"",RawFinancials!B56)</f>
        <v>842061</v>
      </c>
      <c r="C56" s="0" t="n">
        <f aca="false">IF(ISBLANK(RawFinancials!C56),"",RawFinancials!C56)</f>
        <v>14134</v>
      </c>
      <c r="D56" s="0" t="n">
        <f aca="false">IF(ISBLANK(RawFinancials!D56),"",RawFinancials!D56)</f>
        <v>714430</v>
      </c>
      <c r="E56" s="0" t="n">
        <f aca="false">IF(ISBLANK(RawFinancials!E56),"",RawFinancials!E56)</f>
        <v>0.1</v>
      </c>
      <c r="F56" s="0" t="n">
        <f aca="false">IF(ISBLANK(RawFinancials!F56),"",RawFinancials!F56)</f>
        <v>95205</v>
      </c>
      <c r="G56" s="0" t="n">
        <f aca="false">IF(ISBLANK(RawFinancials!G56),"",RawFinancials!G56)</f>
        <v>11.3061880315084</v>
      </c>
      <c r="H56" s="0" t="str">
        <f aca="false">IF(ISBLANK(RawFinancials!H56),"",RawFinancials!H56)</f>
        <v>14134_20220630</v>
      </c>
      <c r="I56" s="0" t="n">
        <f aca="false">IF(ISBLANK(RawFinancials!I56),"",RawFinancials!I56)</f>
        <v>1.34312286170701</v>
      </c>
      <c r="J56" s="0" t="n">
        <f aca="false">IF(ISBLANK(RawFinancials!J56),"",RawFinancials!J56)</f>
        <v>33956</v>
      </c>
      <c r="K56" s="0" t="n">
        <f aca="false">IF(ISBLANK(RawFinancials!K56),"",RawFinancials!K56)</f>
        <v>24559</v>
      </c>
      <c r="L56" s="0" t="n">
        <f aca="false">IF(ISBLANK(RawFinancials!L56),"",RawFinancials!L56)</f>
        <v>618484</v>
      </c>
      <c r="M56" s="0" t="n">
        <f aca="false">IF(ISBLANK(RawFinancials!M56),"",RawFinancials!M56)</f>
        <v>610177</v>
      </c>
      <c r="N56" s="0" t="n">
        <f aca="false">IF(ISBLANK(RawFinancials!N56),"",RawFinancials!N56)</f>
        <v>541392</v>
      </c>
      <c r="O56" s="0" t="n">
        <f aca="false">IF(ISBLANK(RawFinancials!O56),"",RawFinancials!O56)</f>
        <v>8858</v>
      </c>
      <c r="P56" s="0" t="str">
        <f aca="false">IF(ISBLANK(RawFinancials!P56),"",RawFinancials!P56)</f>
        <v>PASSUMPSIC SAVINGS BANK</v>
      </c>
      <c r="Q56" s="0" t="n">
        <f aca="false">IF(ISBLANK(RawFinancials!Q56),"",RawFinancials!Q56)</f>
        <v>1.43221166594447</v>
      </c>
      <c r="R56" s="0" t="n">
        <f aca="false">IF(ISBLANK(RawFinancials!R56),"",RawFinancials!R56)</f>
        <v>2.90948799338998</v>
      </c>
      <c r="S56" s="0" t="n">
        <f aca="false">IF(ISBLANK(RawFinancials!S56),"",RawFinancials!S56)</f>
        <v>295</v>
      </c>
      <c r="T56" s="0" t="n">
        <f aca="false">IF(ISBLANK(RawFinancials!T56),"",RawFinancials!T56)</f>
        <v>3228</v>
      </c>
      <c r="U56" s="0" t="n">
        <f aca="false">IF(ISBLANK(RawFinancials!U56),"",RawFinancials!U56)</f>
        <v>0</v>
      </c>
      <c r="V56" s="0" t="n">
        <f aca="false">IF(ISBLANK(RawFinancials!V56),"",RawFinancials!V56)</f>
        <v>17.3850644480774</v>
      </c>
      <c r="W56" s="0" t="n">
        <f aca="false">IF(ISBLANK(RawFinancials!W56),"",RawFinancials!W56)</f>
        <v>20220630</v>
      </c>
      <c r="X56" s="0" t="n">
        <f aca="false">IF(ISBLANK(RawFinancials!X56),"",RawFinancials!X56)</f>
        <v>-0.908691372525263</v>
      </c>
      <c r="Y56" s="0" t="n">
        <f aca="false">IF(ISBLANK(RawFinancials!Y56),"",RawFinancials!Y56)</f>
        <v>-7.73</v>
      </c>
      <c r="Z56" s="0" t="str">
        <f aca="false">IF(ISBLANK(RawFinancials!Z56),"",RawFinancials!Z56)</f>
        <v>VT</v>
      </c>
      <c r="AA56" s="0" t="n">
        <f aca="false">RawFinancials!AA56</f>
        <v>1</v>
      </c>
      <c r="AB56" s="0" t="n">
        <f aca="false">RawFinancials!AB56</f>
        <v>8858</v>
      </c>
      <c r="AC56" s="0" t="n">
        <f aca="false">RawFinancials!AC56</f>
        <v>1.05194279274304</v>
      </c>
      <c r="AD56" s="0" t="n">
        <f aca="false">IF(L56&gt;0,100*N56/L56,"")</f>
        <v>87.5353283189218</v>
      </c>
      <c r="AE56" s="0" t="n">
        <f aca="false">IF(B56&gt;0,100*F56/B56,"")</f>
        <v>11.3061880315084</v>
      </c>
      <c r="AF56" s="0" t="str">
        <f aca="false">RawFinancials!AE56</f>
        <v/>
      </c>
    </row>
    <row r="57" customFormat="false" ht="15" hidden="false" customHeight="false" outlineLevel="0" collapsed="false">
      <c r="A57" s="0" t="n">
        <f aca="false">IF(ISBLANK(RawFinancials!A57),"",RawFinancials!A57)</f>
        <v>57</v>
      </c>
      <c r="B57" s="0" t="n">
        <f aca="false">IF(ISBLANK(RawFinancials!B57),"",RawFinancials!B57)</f>
        <v>222750</v>
      </c>
      <c r="C57" s="0" t="n">
        <f aca="false">IF(ISBLANK(RawFinancials!C57),"",RawFinancials!C57)</f>
        <v>14136</v>
      </c>
      <c r="D57" s="0" t="n">
        <f aca="false">IF(ISBLANK(RawFinancials!D57),"",RawFinancials!D57)</f>
        <v>202215</v>
      </c>
      <c r="E57" s="0" t="n">
        <f aca="false">IF(ISBLANK(RawFinancials!E57),"",RawFinancials!E57)</f>
        <v>0.04</v>
      </c>
      <c r="F57" s="0" t="n">
        <f aca="false">IF(ISBLANK(RawFinancials!F57),"",RawFinancials!F57)</f>
        <v>16002</v>
      </c>
      <c r="G57" s="0" t="n">
        <f aca="false">IF(ISBLANK(RawFinancials!G57),"",RawFinancials!G57)</f>
        <v>7.18383838383838</v>
      </c>
      <c r="H57" s="0" t="str">
        <f aca="false">IF(ISBLANK(RawFinancials!H57),"",RawFinancials!H57)</f>
        <v>14136_20220630</v>
      </c>
      <c r="I57" s="0" t="n">
        <f aca="false">IF(ISBLANK(RawFinancials!I57),"",RawFinancials!I57)</f>
        <v>1.07631107561318</v>
      </c>
      <c r="J57" s="0" t="n">
        <f aca="false">IF(ISBLANK(RawFinancials!J57),"",RawFinancials!J57)</f>
        <v>13764</v>
      </c>
      <c r="K57" s="0" t="n">
        <f aca="false">IF(ISBLANK(RawFinancials!K57),"",RawFinancials!K57)</f>
        <v>12183</v>
      </c>
      <c r="L57" s="0" t="n">
        <f aca="false">IF(ISBLANK(RawFinancials!L57),"",RawFinancials!L57)</f>
        <v>128959</v>
      </c>
      <c r="M57" s="0" t="n">
        <f aca="false">IF(ISBLANK(RawFinancials!M57),"",RawFinancials!M57)</f>
        <v>127571</v>
      </c>
      <c r="N57" s="0" t="n">
        <f aca="false">IF(ISBLANK(RawFinancials!N57),"",RawFinancials!N57)</f>
        <v>102631</v>
      </c>
      <c r="O57" s="0" t="n">
        <f aca="false">IF(ISBLANK(RawFinancials!O57),"",RawFinancials!O57)</f>
        <v>126</v>
      </c>
      <c r="P57" s="0" t="str">
        <f aca="false">IF(ISBLANK(RawFinancials!P57),"",RawFinancials!P57)</f>
        <v>WELLS RIVER SAVINGS BANK</v>
      </c>
      <c r="Q57" s="0" t="n">
        <f aca="false">IF(ISBLANK(RawFinancials!Q57),"",RawFinancials!Q57)</f>
        <v>0.653696135981203</v>
      </c>
      <c r="R57" s="0" t="n">
        <f aca="false">IF(ISBLANK(RawFinancials!R57),"",RawFinancials!R57)</f>
        <v>3.47918730744697</v>
      </c>
      <c r="S57" s="0" t="n">
        <f aca="false">IF(ISBLANK(RawFinancials!S57),"",RawFinancials!S57)</f>
        <v>13</v>
      </c>
      <c r="T57" s="0" t="n">
        <f aca="false">IF(ISBLANK(RawFinancials!T57),"",RawFinancials!T57)</f>
        <v>887</v>
      </c>
      <c r="U57" s="0" t="n">
        <f aca="false">IF(ISBLANK(RawFinancials!U57),"",RawFinancials!U57)</f>
        <v>717</v>
      </c>
      <c r="V57" s="0" t="n">
        <f aca="false">IF(ISBLANK(RawFinancials!V57),"",RawFinancials!V57)</f>
        <v>16.7839694709842</v>
      </c>
      <c r="W57" s="0" t="n">
        <f aca="false">IF(ISBLANK(RawFinancials!W57),"",RawFinancials!W57)</f>
        <v>20220630</v>
      </c>
      <c r="X57" s="0" t="n">
        <f aca="false">IF(ISBLANK(RawFinancials!X57),"",RawFinancials!X57)</f>
        <v>0.311791935041849</v>
      </c>
      <c r="Y57" s="0" t="n">
        <f aca="false">IF(ISBLANK(RawFinancials!Y57),"",RawFinancials!Y57)</f>
        <v>3.62</v>
      </c>
      <c r="Z57" s="0" t="str">
        <f aca="false">IF(ISBLANK(RawFinancials!Z57),"",RawFinancials!Z57)</f>
        <v>VT</v>
      </c>
      <c r="AA57" s="0" t="n">
        <f aca="false">RawFinancials!AA57</f>
        <v>1</v>
      </c>
      <c r="AB57" s="0" t="n">
        <f aca="false">RawFinancials!AB57</f>
        <v>843</v>
      </c>
      <c r="AC57" s="0" t="n">
        <f aca="false">RawFinancials!AC57</f>
        <v>0.378451178451178</v>
      </c>
      <c r="AD57" s="0" t="n">
        <f aca="false">IF(L57&gt;0,100*N57/L57,"")</f>
        <v>79.5842089346226</v>
      </c>
      <c r="AE57" s="0" t="n">
        <f aca="false">IF(B57&gt;0,100*F57/B57,"")</f>
        <v>7.18383838383838</v>
      </c>
      <c r="AF57" s="0" t="str">
        <f aca="false">RawFinancials!AE57</f>
        <v/>
      </c>
    </row>
    <row r="58" customFormat="false" ht="15" hidden="false" customHeight="false" outlineLevel="0" collapsed="false">
      <c r="A58" s="0" t="n">
        <f aca="false">IF(ISBLANK(RawFinancials!A58),"",RawFinancials!A58)</f>
        <v>58</v>
      </c>
      <c r="B58" s="0" t="n">
        <f aca="false">IF(ISBLANK(RawFinancials!B58),"",RawFinancials!B58)</f>
        <v>1436600</v>
      </c>
      <c r="C58" s="0" t="n">
        <f aca="false">IF(ISBLANK(RawFinancials!C58),"",RawFinancials!C58)</f>
        <v>14140</v>
      </c>
      <c r="D58" s="0" t="n">
        <f aca="false">IF(ISBLANK(RawFinancials!D58),"",RawFinancials!D58)</f>
        <v>1234672</v>
      </c>
      <c r="E58" s="0" t="n">
        <f aca="false">IF(ISBLANK(RawFinancials!E58),"",RawFinancials!E58)</f>
        <v>0</v>
      </c>
      <c r="F58" s="0" t="n">
        <f aca="false">IF(ISBLANK(RawFinancials!F58),"",RawFinancials!F58)</f>
        <v>117324</v>
      </c>
      <c r="G58" s="0" t="n">
        <f aca="false">IF(ISBLANK(RawFinancials!G58),"",RawFinancials!G58)</f>
        <v>8.16678268133092</v>
      </c>
      <c r="H58" s="0" t="str">
        <f aca="false">IF(ISBLANK(RawFinancials!H58),"",RawFinancials!H58)</f>
        <v>14140_20220630</v>
      </c>
      <c r="I58" s="0" t="n">
        <f aca="false">IF(ISBLANK(RawFinancials!I58),"",RawFinancials!I58)</f>
        <v>1.09678501398675</v>
      </c>
      <c r="J58" s="0" t="n">
        <f aca="false">IF(ISBLANK(RawFinancials!J58),"",RawFinancials!J58)</f>
        <v>88677</v>
      </c>
      <c r="K58" s="0" t="n">
        <f aca="false">IF(ISBLANK(RawFinancials!K58),"",RawFinancials!K58)</f>
        <v>1269</v>
      </c>
      <c r="L58" s="0" t="n">
        <f aca="false">IF(ISBLANK(RawFinancials!L58),"",RawFinancials!L58)</f>
        <v>965914</v>
      </c>
      <c r="M58" s="0" t="n">
        <f aca="false">IF(ISBLANK(RawFinancials!M58),"",RawFinancials!M58)</f>
        <v>955320</v>
      </c>
      <c r="N58" s="0" t="n">
        <f aca="false">IF(ISBLANK(RawFinancials!N58),"",RawFinancials!N58)</f>
        <v>868077</v>
      </c>
      <c r="O58" s="0" t="n">
        <f aca="false">IF(ISBLANK(RawFinancials!O58),"",RawFinancials!O58)</f>
        <v>2695</v>
      </c>
      <c r="P58" s="0" t="str">
        <f aca="false">IF(ISBLANK(RawFinancials!P58),"",RawFinancials!P58)</f>
        <v>NORTHFIELD SAVINGS BANK</v>
      </c>
      <c r="Q58" s="0" t="n">
        <f aca="false">IF(ISBLANK(RawFinancials!Q58),"",RawFinancials!Q58)</f>
        <v>0.279010346676826</v>
      </c>
      <c r="R58" s="0" t="n">
        <f aca="false">IF(ISBLANK(RawFinancials!R58),"",RawFinancials!R58)</f>
        <v>3.03639975122093</v>
      </c>
      <c r="S58" s="0" t="n">
        <f aca="false">IF(ISBLANK(RawFinancials!S58),"",RawFinancials!S58)</f>
        <v>26</v>
      </c>
      <c r="T58" s="0" t="n">
        <f aca="false">IF(ISBLANK(RawFinancials!T58),"",RawFinancials!T58)</f>
        <v>499</v>
      </c>
      <c r="U58" s="0" t="n">
        <f aca="false">IF(ISBLANK(RawFinancials!U58),"",RawFinancials!U58)</f>
        <v>0</v>
      </c>
      <c r="V58" s="0" t="n">
        <f aca="false">IF(ISBLANK(RawFinancials!V58),"",RawFinancials!V58)</f>
        <v>0</v>
      </c>
      <c r="W58" s="0" t="n">
        <f aca="false">IF(ISBLANK(RawFinancials!W58),"",RawFinancials!W58)</f>
        <v>20220630</v>
      </c>
      <c r="X58" s="0" t="n">
        <f aca="false">IF(ISBLANK(RawFinancials!X58),"",RawFinancials!X58)</f>
        <v>0.707644826064353</v>
      </c>
      <c r="Y58" s="0" t="n">
        <f aca="false">IF(ISBLANK(RawFinancials!Y58),"",RawFinancials!Y58)</f>
        <v>7.9</v>
      </c>
      <c r="Z58" s="0" t="str">
        <f aca="false">IF(ISBLANK(RawFinancials!Z58),"",RawFinancials!Z58)</f>
        <v>VT</v>
      </c>
      <c r="AA58" s="0" t="n">
        <f aca="false">RawFinancials!AA58</f>
        <v>1</v>
      </c>
      <c r="AB58" s="0" t="n">
        <f aca="false">RawFinancials!AB58</f>
        <v>2695</v>
      </c>
      <c r="AC58" s="0" t="n">
        <f aca="false">RawFinancials!AC58</f>
        <v>0.187595712098009</v>
      </c>
      <c r="AD58" s="0" t="n">
        <f aca="false">IF(L58&gt;0,100*N58/L58,"")</f>
        <v>89.8710444201037</v>
      </c>
      <c r="AE58" s="0" t="n">
        <f aca="false">IF(B58&gt;0,100*F58/B58,"")</f>
        <v>8.16678268133092</v>
      </c>
      <c r="AF58" s="0" t="str">
        <f aca="false">RawFinancials!AE58</f>
        <v>原始0：需核实适用/报告口径</v>
      </c>
    </row>
    <row r="59" customFormat="false" ht="15" hidden="false" customHeight="false" outlineLevel="0" collapsed="false">
      <c r="A59" s="0" t="n">
        <f aca="false">IF(ISBLANK(RawFinancials!A59),"",RawFinancials!A59)</f>
        <v>59</v>
      </c>
      <c r="B59" s="0" t="n">
        <f aca="false">IF(ISBLANK(RawFinancials!B59),"",RawFinancials!B59)</f>
        <v>1191062</v>
      </c>
      <c r="C59" s="0" t="n">
        <f aca="false">IF(ISBLANK(RawFinancials!C59),"",RawFinancials!C59)</f>
        <v>14158</v>
      </c>
      <c r="D59" s="0" t="n">
        <f aca="false">IF(ISBLANK(RawFinancials!D59),"",RawFinancials!D59)</f>
        <v>1105727</v>
      </c>
      <c r="E59" s="0" t="n">
        <f aca="false">IF(ISBLANK(RawFinancials!E59),"",RawFinancials!E59)</f>
        <v>0</v>
      </c>
      <c r="F59" s="0" t="n">
        <f aca="false">IF(ISBLANK(RawFinancials!F59),"",RawFinancials!F59)</f>
        <v>75600</v>
      </c>
      <c r="G59" s="0" t="n">
        <f aca="false">IF(ISBLANK(RawFinancials!G59),"",RawFinancials!G59)</f>
        <v>6.34727663211487</v>
      </c>
      <c r="H59" s="0" t="str">
        <f aca="false">IF(ISBLANK(RawFinancials!H59),"",RawFinancials!H59)</f>
        <v>14158_20220630</v>
      </c>
      <c r="I59" s="0" t="n">
        <f aca="false">IF(ISBLANK(RawFinancials!I59),"",RawFinancials!I59)</f>
        <v>1.01340760128608</v>
      </c>
      <c r="J59" s="0" t="n">
        <f aca="false">IF(ISBLANK(RawFinancials!J59),"",RawFinancials!J59)</f>
        <v>44278</v>
      </c>
      <c r="K59" s="0" t="n">
        <f aca="false">IF(ISBLANK(RawFinancials!K59),"",RawFinancials!K59)</f>
        <v>2085</v>
      </c>
      <c r="L59" s="0" t="n">
        <f aca="false">IF(ISBLANK(RawFinancials!L59),"",RawFinancials!L59)</f>
        <v>822966</v>
      </c>
      <c r="M59" s="0" t="n">
        <f aca="false">IF(ISBLANK(RawFinancials!M59),"",RawFinancials!M59)</f>
        <v>814626</v>
      </c>
      <c r="N59" s="0" t="n">
        <f aca="false">IF(ISBLANK(RawFinancials!N59),"",RawFinancials!N59)</f>
        <v>751338</v>
      </c>
      <c r="O59" s="0" t="n">
        <f aca="false">IF(ISBLANK(RawFinancials!O59),"",RawFinancials!O59)</f>
        <v>1416</v>
      </c>
      <c r="P59" s="0" t="str">
        <f aca="false">IF(ISBLANK(RawFinancials!P59),"",RawFinancials!P59)</f>
        <v>UNION BANK</v>
      </c>
      <c r="Q59" s="0" t="n">
        <f aca="false">IF(ISBLANK(RawFinancials!Q59),"",RawFinancials!Q59)</f>
        <v>0.185305346757946</v>
      </c>
      <c r="R59" s="0" t="n">
        <f aca="false">IF(ISBLANK(RawFinancials!R59),"",RawFinancials!R59)</f>
        <v>3.35441193767321</v>
      </c>
      <c r="S59" s="0" t="n">
        <f aca="false">IF(ISBLANK(RawFinancials!S59),"",RawFinancials!S59)</f>
        <v>-4</v>
      </c>
      <c r="T59" s="0" t="n">
        <f aca="false">IF(ISBLANK(RawFinancials!T59),"",RawFinancials!T59)</f>
        <v>849</v>
      </c>
      <c r="U59" s="0" t="n">
        <f aca="false">IF(ISBLANK(RawFinancials!U59),"",RawFinancials!U59)</f>
        <v>109</v>
      </c>
      <c r="V59" s="0" t="n">
        <f aca="false">IF(ISBLANK(RawFinancials!V59),"",RawFinancials!V59)</f>
        <v>14.280952720623</v>
      </c>
      <c r="W59" s="0" t="n">
        <f aca="false">IF(ISBLANK(RawFinancials!W59),"",RawFinancials!W59)</f>
        <v>20220630</v>
      </c>
      <c r="X59" s="0" t="n">
        <f aca="false">IF(ISBLANK(RawFinancials!X59),"",RawFinancials!X59)</f>
        <v>0.965573503917802</v>
      </c>
      <c r="Y59" s="0" t="n">
        <f aca="false">IF(ISBLANK(RawFinancials!Y59),"",RawFinancials!Y59)</f>
        <v>13.45</v>
      </c>
      <c r="Z59" s="0" t="str">
        <f aca="false">IF(ISBLANK(RawFinancials!Z59),"",RawFinancials!Z59)</f>
        <v>VT</v>
      </c>
      <c r="AA59" s="0" t="n">
        <f aca="false">RawFinancials!AA59</f>
        <v>1</v>
      </c>
      <c r="AB59" s="0" t="n">
        <f aca="false">RawFinancials!AB59</f>
        <v>1525</v>
      </c>
      <c r="AC59" s="0" t="n">
        <f aca="false">RawFinancials!AC59</f>
        <v>0.128036995555227</v>
      </c>
      <c r="AD59" s="0" t="n">
        <f aca="false">IF(L59&gt;0,100*N59/L59,"")</f>
        <v>91.2963597524078</v>
      </c>
      <c r="AE59" s="0" t="n">
        <f aca="false">IF(B59&gt;0,100*F59/B59,"")</f>
        <v>6.34727663211487</v>
      </c>
      <c r="AF59" s="0" t="str">
        <f aca="false">RawFinancials!AE59</f>
        <v/>
      </c>
    </row>
    <row r="60" customFormat="false" ht="15" hidden="false" customHeight="false" outlineLevel="0" collapsed="false">
      <c r="A60" s="0" t="n">
        <f aca="false">IF(ISBLANK(RawFinancials!A60),"",RawFinancials!A60)</f>
        <v>60</v>
      </c>
      <c r="B60" s="0" t="n">
        <f aca="false">IF(ISBLANK(RawFinancials!B60),"",RawFinancials!B60)</f>
        <v>366581</v>
      </c>
      <c r="C60" s="0" t="n">
        <f aca="false">IF(ISBLANK(RawFinancials!C60),"",RawFinancials!C60)</f>
        <v>14168</v>
      </c>
      <c r="D60" s="0" t="n">
        <f aca="false">IF(ISBLANK(RawFinancials!D60),"",RawFinancials!D60)</f>
        <v>329789</v>
      </c>
      <c r="E60" s="0" t="n">
        <f aca="false">IF(ISBLANK(RawFinancials!E60),"",RawFinancials!E60)</f>
        <v>0</v>
      </c>
      <c r="F60" s="0" t="n">
        <f aca="false">IF(ISBLANK(RawFinancials!F60),"",RawFinancials!F60)</f>
        <v>32327</v>
      </c>
      <c r="G60" s="0" t="n">
        <f aca="false">IF(ISBLANK(RawFinancials!G60),"",RawFinancials!G60)</f>
        <v>8.81851487120173</v>
      </c>
      <c r="H60" s="0" t="str">
        <f aca="false">IF(ISBLANK(RawFinancials!H60),"",RawFinancials!H60)</f>
        <v>14168_20220630</v>
      </c>
      <c r="I60" s="0" t="n">
        <f aca="false">IF(ISBLANK(RawFinancials!I60),"",RawFinancials!I60)</f>
        <v>1.44746407480805</v>
      </c>
      <c r="J60" s="0" t="n">
        <f aca="false">IF(ISBLANK(RawFinancials!J60),"",RawFinancials!J60)</f>
        <v>11194</v>
      </c>
      <c r="K60" s="0" t="n">
        <f aca="false">IF(ISBLANK(RawFinancials!K60),"",RawFinancials!K60)</f>
        <v>8894</v>
      </c>
      <c r="L60" s="0" t="n">
        <f aca="false">IF(ISBLANK(RawFinancials!L60),"",RawFinancials!L60)</f>
        <v>200834</v>
      </c>
      <c r="M60" s="0" t="n">
        <f aca="false">IF(ISBLANK(RawFinancials!M60),"",RawFinancials!M60)</f>
        <v>197927</v>
      </c>
      <c r="N60" s="0" t="n">
        <f aca="false">IF(ISBLANK(RawFinancials!N60),"",RawFinancials!N60)</f>
        <v>167425</v>
      </c>
      <c r="O60" s="0" t="n">
        <f aca="false">IF(ISBLANK(RawFinancials!O60),"",RawFinancials!O60)</f>
        <v>1103</v>
      </c>
      <c r="P60" s="0" t="str">
        <f aca="false">IF(ISBLANK(RawFinancials!P60),"",RawFinancials!P60)</f>
        <v>PEOPLES TRUST COMPANY OF ST. ALBANS</v>
      </c>
      <c r="Q60" s="0" t="n">
        <f aca="false">IF(ISBLANK(RawFinancials!Q60),"",RawFinancials!Q60)</f>
        <v>0.549209795154207</v>
      </c>
      <c r="R60" s="0" t="n">
        <f aca="false">IF(ISBLANK(RawFinancials!R60),"",RawFinancials!R60)</f>
        <v>2.67035333231683</v>
      </c>
      <c r="S60" s="0" t="n">
        <f aca="false">IF(ISBLANK(RawFinancials!S60),"",RawFinancials!S60)</f>
        <v>57</v>
      </c>
      <c r="T60" s="0" t="n">
        <f aca="false">IF(ISBLANK(RawFinancials!T60),"",RawFinancials!T60)</f>
        <v>467</v>
      </c>
      <c r="U60" s="0" t="n">
        <f aca="false">IF(ISBLANK(RawFinancials!U60),"",RawFinancials!U60)</f>
        <v>0</v>
      </c>
      <c r="V60" s="0" t="n">
        <f aca="false">IF(ISBLANK(RawFinancials!V60),"",RawFinancials!V60)</f>
        <v>18.6461441659596</v>
      </c>
      <c r="W60" s="0" t="n">
        <f aca="false">IF(ISBLANK(RawFinancials!W60),"",RawFinancials!W60)</f>
        <v>20220630</v>
      </c>
      <c r="X60" s="0" t="n">
        <f aca="false">IF(ISBLANK(RawFinancials!X60),"",RawFinancials!X60)</f>
        <v>0.313118388950259</v>
      </c>
      <c r="Y60" s="0" t="n">
        <f aca="false">IF(ISBLANK(RawFinancials!Y60),"",RawFinancials!Y60)</f>
        <v>3.41</v>
      </c>
      <c r="Z60" s="0" t="str">
        <f aca="false">IF(ISBLANK(RawFinancials!Z60),"",RawFinancials!Z60)</f>
        <v>VT</v>
      </c>
      <c r="AA60" s="0" t="n">
        <f aca="false">RawFinancials!AA60</f>
        <v>1</v>
      </c>
      <c r="AB60" s="0" t="n">
        <f aca="false">RawFinancials!AB60</f>
        <v>1103</v>
      </c>
      <c r="AC60" s="0" t="n">
        <f aca="false">RawFinancials!AC60</f>
        <v>0.300888480308581</v>
      </c>
      <c r="AD60" s="0" t="n">
        <f aca="false">IF(L60&gt;0,100*N60/L60,"")</f>
        <v>83.3648684983618</v>
      </c>
      <c r="AE60" s="0" t="n">
        <f aca="false">IF(B60&gt;0,100*F60/B60,"")</f>
        <v>8.81851487120173</v>
      </c>
      <c r="AF60" s="0" t="str">
        <f aca="false">RawFinancials!AE60</f>
        <v/>
      </c>
    </row>
    <row r="61" customFormat="false" ht="15" hidden="false" customHeight="false" outlineLevel="0" collapsed="false">
      <c r="A61" s="0" t="n">
        <f aca="false">IF(ISBLANK(RawFinancials!A61),"",RawFinancials!A61)</f>
        <v>61</v>
      </c>
      <c r="B61" s="0" t="n">
        <f aca="false">IF(ISBLANK(RawFinancials!B61),"",RawFinancials!B61)</f>
        <v>1238699</v>
      </c>
      <c r="C61" s="0" t="n">
        <f aca="false">IF(ISBLANK(RawFinancials!C61),"",RawFinancials!C61)</f>
        <v>14240</v>
      </c>
      <c r="D61" s="0" t="n">
        <f aca="false">IF(ISBLANK(RawFinancials!D61),"",RawFinancials!D61)</f>
        <v>1039863</v>
      </c>
      <c r="E61" s="0" t="n">
        <f aca="false">IF(ISBLANK(RawFinancials!E61),"",RawFinancials!E61)</f>
        <v>0.05</v>
      </c>
      <c r="F61" s="0" t="n">
        <f aca="false">IF(ISBLANK(RawFinancials!F61),"",RawFinancials!F61)</f>
        <v>89585</v>
      </c>
      <c r="G61" s="0" t="n">
        <f aca="false">IF(ISBLANK(RawFinancials!G61),"",RawFinancials!G61)</f>
        <v>7.23218473575905</v>
      </c>
      <c r="H61" s="0" t="str">
        <f aca="false">IF(ISBLANK(RawFinancials!H61),"",RawFinancials!H61)</f>
        <v>14240_20220630</v>
      </c>
      <c r="I61" s="0" t="n">
        <f aca="false">IF(ISBLANK(RawFinancials!I61),"",RawFinancials!I61)</f>
        <v>1.13937295135095</v>
      </c>
      <c r="J61" s="0" t="n">
        <f aca="false">IF(ISBLANK(RawFinancials!J61),"",RawFinancials!J61)</f>
        <v>24677</v>
      </c>
      <c r="K61" s="0" t="n">
        <f aca="false">IF(ISBLANK(RawFinancials!K61),"",RawFinancials!K61)</f>
        <v>17572</v>
      </c>
      <c r="L61" s="0" t="n">
        <f aca="false">IF(ISBLANK(RawFinancials!L61),"",RawFinancials!L61)</f>
        <v>863984</v>
      </c>
      <c r="M61" s="0" t="n">
        <f aca="false">IF(ISBLANK(RawFinancials!M61),"",RawFinancials!M61)</f>
        <v>854140</v>
      </c>
      <c r="N61" s="0" t="n">
        <f aca="false">IF(ISBLANK(RawFinancials!N61),"",RawFinancials!N61)</f>
        <v>739584</v>
      </c>
      <c r="O61" s="0" t="n">
        <f aca="false">IF(ISBLANK(RawFinancials!O61),"",RawFinancials!O61)</f>
        <v>1924</v>
      </c>
      <c r="P61" s="0" t="str">
        <f aca="false">IF(ISBLANK(RawFinancials!P61),"",RawFinancials!P61)</f>
        <v>NORTHWAY BANK</v>
      </c>
      <c r="Q61" s="0" t="n">
        <f aca="false">IF(ISBLANK(RawFinancials!Q61),"",RawFinancials!Q61)</f>
        <v>0.222689309061279</v>
      </c>
      <c r="R61" s="0" t="n">
        <f aca="false">IF(ISBLANK(RawFinancials!R61),"",RawFinancials!R61)</f>
        <v>2.91049898615787</v>
      </c>
      <c r="S61" s="0" t="n">
        <f aca="false">IF(ISBLANK(RawFinancials!S61),"",RawFinancials!S61)</f>
        <v>-78</v>
      </c>
      <c r="T61" s="0" t="n">
        <f aca="false">IF(ISBLANK(RawFinancials!T61),"",RawFinancials!T61)</f>
        <v>733</v>
      </c>
      <c r="U61" s="0" t="n">
        <f aca="false">IF(ISBLANK(RawFinancials!U61),"",RawFinancials!U61)</f>
        <v>0</v>
      </c>
      <c r="V61" s="0" t="n">
        <f aca="false">IF(ISBLANK(RawFinancials!V61),"",RawFinancials!V61)</f>
        <v>14.5547297139032</v>
      </c>
      <c r="W61" s="0" t="n">
        <f aca="false">IF(ISBLANK(RawFinancials!W61),"",RawFinancials!W61)</f>
        <v>20220630</v>
      </c>
      <c r="X61" s="0" t="n">
        <f aca="false">IF(ISBLANK(RawFinancials!X61),"",RawFinancials!X61)</f>
        <v>-0.0461854716711551</v>
      </c>
      <c r="Y61" s="0" t="n">
        <f aca="false">IF(ISBLANK(RawFinancials!Y61),"",RawFinancials!Y61)</f>
        <v>-0.55</v>
      </c>
      <c r="Z61" s="0" t="str">
        <f aca="false">IF(ISBLANK(RawFinancials!Z61),"",RawFinancials!Z61)</f>
        <v>NH</v>
      </c>
      <c r="AA61" s="0" t="n">
        <f aca="false">RawFinancials!AA61</f>
        <v>1</v>
      </c>
      <c r="AB61" s="0" t="n">
        <f aca="false">RawFinancials!AB61</f>
        <v>1924</v>
      </c>
      <c r="AC61" s="0" t="n">
        <f aca="false">RawFinancials!AC61</f>
        <v>0.15532425552939</v>
      </c>
      <c r="AD61" s="0" t="n">
        <f aca="false">IF(L61&gt;0,100*N61/L61,"")</f>
        <v>85.601585214541</v>
      </c>
      <c r="AE61" s="0" t="n">
        <f aca="false">IF(B61&gt;0,100*F61/B61,"")</f>
        <v>7.23218473575905</v>
      </c>
      <c r="AF61" s="0" t="str">
        <f aca="false">RawFinancials!AE61</f>
        <v/>
      </c>
    </row>
    <row r="62" customFormat="false" ht="15" hidden="false" customHeight="false" outlineLevel="0" collapsed="false">
      <c r="A62" s="0" t="n">
        <f aca="false">IF(ISBLANK(RawFinancials!A62),"",RawFinancials!A62)</f>
        <v>62</v>
      </c>
      <c r="B62" s="0" t="n">
        <f aca="false">IF(ISBLANK(RawFinancials!B62),"",RawFinancials!B62)</f>
        <v>914201</v>
      </c>
      <c r="C62" s="0" t="n">
        <f aca="false">IF(ISBLANK(RawFinancials!C62),"",RawFinancials!C62)</f>
        <v>17115</v>
      </c>
      <c r="D62" s="0" t="n">
        <f aca="false">IF(ISBLANK(RawFinancials!D62),"",RawFinancials!D62)</f>
        <v>774623</v>
      </c>
      <c r="E62" s="0" t="n">
        <f aca="false">IF(ISBLANK(RawFinancials!E62),"",RawFinancials!E62)</f>
        <v>-0.07</v>
      </c>
      <c r="F62" s="0" t="n">
        <f aca="false">IF(ISBLANK(RawFinancials!F62),"",RawFinancials!F62)</f>
        <v>77851</v>
      </c>
      <c r="G62" s="0" t="n">
        <f aca="false">IF(ISBLANK(RawFinancials!G62),"",RawFinancials!G62)</f>
        <v>8.51574216173467</v>
      </c>
      <c r="H62" s="0" t="str">
        <f aca="false">IF(ISBLANK(RawFinancials!H62),"",RawFinancials!H62)</f>
        <v>17115_20220630</v>
      </c>
      <c r="I62" s="0" t="n">
        <f aca="false">IF(ISBLANK(RawFinancials!I62),"",RawFinancials!I62)</f>
        <v>1.02881523503668</v>
      </c>
      <c r="J62" s="0" t="n">
        <f aca="false">IF(ISBLANK(RawFinancials!J62),"",RawFinancials!J62)</f>
        <v>45258</v>
      </c>
      <c r="K62" s="0" t="n">
        <f aca="false">IF(ISBLANK(RawFinancials!K62),"",RawFinancials!K62)</f>
        <v>3773</v>
      </c>
      <c r="L62" s="0" t="n">
        <f aca="false">IF(ISBLANK(RawFinancials!L62),"",RawFinancials!L62)</f>
        <v>737353</v>
      </c>
      <c r="M62" s="0" t="n">
        <f aca="false">IF(ISBLANK(RawFinancials!M62),"",RawFinancials!M62)</f>
        <v>729767</v>
      </c>
      <c r="N62" s="0" t="n">
        <f aca="false">IF(ISBLANK(RawFinancials!N62),"",RawFinancials!N62)</f>
        <v>687325</v>
      </c>
      <c r="O62" s="0" t="n">
        <f aca="false">IF(ISBLANK(RawFinancials!O62),"",RawFinancials!O62)</f>
        <v>157</v>
      </c>
      <c r="P62" s="0" t="str">
        <f aca="false">IF(ISBLANK(RawFinancials!P62),"",RawFinancials!P62)</f>
        <v>PARTNERS BANK OF NEW ENGLAND</v>
      </c>
      <c r="Q62" s="0" t="n">
        <f aca="false">IF(ISBLANK(RawFinancials!Q62),"",RawFinancials!Q62)</f>
        <v>0.0212923796336354</v>
      </c>
      <c r="R62" s="0" t="n">
        <f aca="false">IF(ISBLANK(RawFinancials!R62),"",RawFinancials!R62)</f>
        <v>3.53120065215428</v>
      </c>
      <c r="S62" s="0" t="n">
        <f aca="false">IF(ISBLANK(RawFinancials!S62),"",RawFinancials!S62)</f>
        <v>196</v>
      </c>
      <c r="T62" s="0" t="n">
        <f aca="false">IF(ISBLANK(RawFinancials!T62),"",RawFinancials!T62)</f>
        <v>394</v>
      </c>
      <c r="U62" s="0" t="n">
        <f aca="false">IF(ISBLANK(RawFinancials!U62),"",RawFinancials!U62)</f>
        <v>0</v>
      </c>
      <c r="V62" s="0" t="n">
        <f aca="false">IF(ISBLANK(RawFinancials!V62),"",RawFinancials!V62)</f>
        <v>14.6817189734327</v>
      </c>
      <c r="W62" s="0" t="n">
        <f aca="false">IF(ISBLANK(RawFinancials!W62),"",RawFinancials!W62)</f>
        <v>20220630</v>
      </c>
      <c r="X62" s="0" t="n">
        <f aca="false">IF(ISBLANK(RawFinancials!X62),"",RawFinancials!X62)</f>
        <v>0.413239234898123</v>
      </c>
      <c r="Y62" s="0" t="n">
        <f aca="false">IF(ISBLANK(RawFinancials!Y62),"",RawFinancials!Y62)</f>
        <v>4.33</v>
      </c>
      <c r="Z62" s="0" t="str">
        <f aca="false">IF(ISBLANK(RawFinancials!Z62),"",RawFinancials!Z62)</f>
        <v>ME</v>
      </c>
      <c r="AA62" s="0" t="n">
        <f aca="false">RawFinancials!AA62</f>
        <v>1</v>
      </c>
      <c r="AB62" s="0" t="n">
        <f aca="false">RawFinancials!AB62</f>
        <v>157</v>
      </c>
      <c r="AC62" s="0" t="n">
        <f aca="false">RawFinancials!AC62</f>
        <v>0.0171734662289803</v>
      </c>
      <c r="AD62" s="0" t="n">
        <f aca="false">IF(L62&gt;0,100*N62/L62,"")</f>
        <v>93.2151900107547</v>
      </c>
      <c r="AE62" s="0" t="n">
        <f aca="false">IF(B62&gt;0,100*F62/B62,"")</f>
        <v>8.51574216173467</v>
      </c>
      <c r="AF62" s="0" t="str">
        <f aca="false">RawFinancials!AE62</f>
        <v/>
      </c>
    </row>
    <row r="63" customFormat="false" ht="15" hidden="false" customHeight="false" outlineLevel="0" collapsed="false">
      <c r="A63" s="0" t="n">
        <f aca="false">IF(ISBLANK(RawFinancials!A63),"",RawFinancials!A63)</f>
        <v>63</v>
      </c>
      <c r="B63" s="0" t="n">
        <f aca="false">IF(ISBLANK(RawFinancials!B63),"",RawFinancials!B63)</f>
        <v>1369843</v>
      </c>
      <c r="C63" s="0" t="n">
        <f aca="false">IF(ISBLANK(RawFinancials!C63),"",RawFinancials!C63)</f>
        <v>17180</v>
      </c>
      <c r="D63" s="0" t="n">
        <f aca="false">IF(ISBLANK(RawFinancials!D63),"",RawFinancials!D63)</f>
        <v>1167333</v>
      </c>
      <c r="E63" s="0" t="n">
        <f aca="false">IF(ISBLANK(RawFinancials!E63),"",RawFinancials!E63)</f>
        <v>0.03</v>
      </c>
      <c r="F63" s="0" t="n">
        <f aca="false">IF(ISBLANK(RawFinancials!F63),"",RawFinancials!F63)</f>
        <v>125334</v>
      </c>
      <c r="G63" s="0" t="n">
        <f aca="false">IF(ISBLANK(RawFinancials!G63),"",RawFinancials!G63)</f>
        <v>9.149515674424</v>
      </c>
      <c r="H63" s="0" t="str">
        <f aca="false">IF(ISBLANK(RawFinancials!H63),"",RawFinancials!H63)</f>
        <v>17180_20220630</v>
      </c>
      <c r="I63" s="0" t="n">
        <f aca="false">IF(ISBLANK(RawFinancials!I63),"",RawFinancials!I63)</f>
        <v>0.920188809657924</v>
      </c>
      <c r="J63" s="0" t="n">
        <f aca="false">IF(ISBLANK(RawFinancials!J63),"",RawFinancials!J63)</f>
        <v>44037</v>
      </c>
      <c r="K63" s="0" t="n">
        <f aca="false">IF(ISBLANK(RawFinancials!K63),"",RawFinancials!K63)</f>
        <v>170718</v>
      </c>
      <c r="L63" s="0" t="n">
        <f aca="false">IF(ISBLANK(RawFinancials!L63),"",RawFinancials!L63)</f>
        <v>1219641</v>
      </c>
      <c r="M63" s="0" t="n">
        <f aca="false">IF(ISBLANK(RawFinancials!M63),"",RawFinancials!M63)</f>
        <v>1208418</v>
      </c>
      <c r="N63" s="0" t="n">
        <f aca="false">IF(ISBLANK(RawFinancials!N63),"",RawFinancials!N63)</f>
        <v>984334</v>
      </c>
      <c r="O63" s="0" t="n">
        <f aca="false">IF(ISBLANK(RawFinancials!O63),"",RawFinancials!O63)</f>
        <v>5496</v>
      </c>
      <c r="P63" s="0" t="str">
        <f aca="false">IF(ISBLANK(RawFinancials!P63),"",RawFinancials!P63)</f>
        <v>MEREDITH VILLAGE SAVINGS BANK</v>
      </c>
      <c r="Q63" s="0" t="n">
        <f aca="false">IF(ISBLANK(RawFinancials!Q63),"",RawFinancials!Q63)</f>
        <v>0.450624405050339</v>
      </c>
      <c r="R63" s="0" t="n">
        <f aca="false">IF(ISBLANK(RawFinancials!R63),"",RawFinancials!R63)</f>
        <v>3.58021996580859</v>
      </c>
      <c r="S63" s="0" t="n">
        <f aca="false">IF(ISBLANK(RawFinancials!S63),"",RawFinancials!S63)</f>
        <v>88</v>
      </c>
      <c r="T63" s="0" t="n">
        <f aca="false">IF(ISBLANK(RawFinancials!T63),"",RawFinancials!T63)</f>
        <v>692</v>
      </c>
      <c r="U63" s="0" t="n">
        <f aca="false">IF(ISBLANK(RawFinancials!U63),"",RawFinancials!U63)</f>
        <v>0</v>
      </c>
      <c r="V63" s="0" t="n">
        <f aca="false">IF(ISBLANK(RawFinancials!V63),"",RawFinancials!V63)</f>
        <v>14.7385258242796</v>
      </c>
      <c r="W63" s="0" t="n">
        <f aca="false">IF(ISBLANK(RawFinancials!W63),"",RawFinancials!W63)</f>
        <v>20220630</v>
      </c>
      <c r="X63" s="0" t="n">
        <f aca="false">IF(ISBLANK(RawFinancials!X63),"",RawFinancials!X63)</f>
        <v>0.751509742960674</v>
      </c>
      <c r="Y63" s="0" t="n">
        <f aca="false">IF(ISBLANK(RawFinancials!Y63),"",RawFinancials!Y63)</f>
        <v>7.8</v>
      </c>
      <c r="Z63" s="0" t="str">
        <f aca="false">IF(ISBLANK(RawFinancials!Z63),"",RawFinancials!Z63)</f>
        <v>NH</v>
      </c>
      <c r="AA63" s="0" t="n">
        <f aca="false">RawFinancials!AA63</f>
        <v>1</v>
      </c>
      <c r="AB63" s="0" t="n">
        <f aca="false">RawFinancials!AB63</f>
        <v>5496</v>
      </c>
      <c r="AC63" s="0" t="n">
        <f aca="false">RawFinancials!AC63</f>
        <v>0.40121386173452</v>
      </c>
      <c r="AD63" s="0" t="n">
        <f aca="false">IF(L63&gt;0,100*N63/L63,"")</f>
        <v>80.7068637410517</v>
      </c>
      <c r="AE63" s="0" t="n">
        <f aca="false">IF(B63&gt;0,100*F63/B63,"")</f>
        <v>9.149515674424</v>
      </c>
      <c r="AF63" s="0" t="str">
        <f aca="false">RawFinancials!AE63</f>
        <v/>
      </c>
    </row>
    <row r="64" customFormat="false" ht="15" hidden="false" customHeight="false" outlineLevel="0" collapsed="false">
      <c r="A64" s="0" t="n">
        <f aca="false">IF(ISBLANK(RawFinancials!A64),"",RawFinancials!A64)</f>
        <v>64</v>
      </c>
      <c r="B64" s="0" t="n">
        <f aca="false">IF(ISBLANK(RawFinancials!B64),"",RawFinancials!B64)</f>
        <v>353376</v>
      </c>
      <c r="C64" s="0" t="n">
        <f aca="false">IF(ISBLANK(RawFinancials!C64),"",RawFinancials!C64)</f>
        <v>17443</v>
      </c>
      <c r="D64" s="0" t="n">
        <f aca="false">IF(ISBLANK(RawFinancials!D64),"",RawFinancials!D64)</f>
        <v>298828</v>
      </c>
      <c r="E64" s="0" t="n">
        <f aca="false">IF(ISBLANK(RawFinancials!E64),"",RawFinancials!E64)</f>
        <v>0.03</v>
      </c>
      <c r="F64" s="0" t="n">
        <f aca="false">IF(ISBLANK(RawFinancials!F64),"",RawFinancials!F64)</f>
        <v>40397</v>
      </c>
      <c r="G64" s="0" t="n">
        <f aca="false">IF(ISBLANK(RawFinancials!G64),"",RawFinancials!G64)</f>
        <v>11.4317327718917</v>
      </c>
      <c r="H64" s="0" t="str">
        <f aca="false">IF(ISBLANK(RawFinancials!H64),"",RawFinancials!H64)</f>
        <v>17443_20220630</v>
      </c>
      <c r="I64" s="0" t="n">
        <f aca="false">IF(ISBLANK(RawFinancials!I64),"",RawFinancials!I64)</f>
        <v>0.851501677279814</v>
      </c>
      <c r="J64" s="0" t="n">
        <f aca="false">IF(ISBLANK(RawFinancials!J64),"",RawFinancials!J64)</f>
        <v>0</v>
      </c>
      <c r="K64" s="0" t="n">
        <f aca="false">IF(ISBLANK(RawFinancials!K64),"",RawFinancials!K64)</f>
        <v>1410</v>
      </c>
      <c r="L64" s="0" t="n">
        <f aca="false">IF(ISBLANK(RawFinancials!L64),"",RawFinancials!L64)</f>
        <v>190487</v>
      </c>
      <c r="M64" s="0" t="n">
        <f aca="false">IF(ISBLANK(RawFinancials!M64),"",RawFinancials!M64)</f>
        <v>188865</v>
      </c>
      <c r="N64" s="0" t="n">
        <f aca="false">IF(ISBLANK(RawFinancials!N64),"",RawFinancials!N64)</f>
        <v>188077</v>
      </c>
      <c r="O64" s="0" t="n">
        <f aca="false">IF(ISBLANK(RawFinancials!O64),"",RawFinancials!O64)</f>
        <v>178</v>
      </c>
      <c r="P64" s="0" t="str">
        <f aca="false">IF(ISBLANK(RawFinancials!P64),"",RawFinancials!P64)</f>
        <v>PISCATAQUA SAVINGS BANK</v>
      </c>
      <c r="Q64" s="0" t="n">
        <f aca="false">IF(ISBLANK(RawFinancials!Q64),"",RawFinancials!Q64)</f>
        <v>0.0934446970134444</v>
      </c>
      <c r="R64" s="0" t="n">
        <f aca="false">IF(ISBLANK(RawFinancials!R64),"",RawFinancials!R64)</f>
        <v>2.07853120419656</v>
      </c>
      <c r="S64" s="0" t="n">
        <f aca="false">IF(ISBLANK(RawFinancials!S64),"",RawFinancials!S64)</f>
        <v>0</v>
      </c>
      <c r="T64" s="0" t="n">
        <f aca="false">IF(ISBLANK(RawFinancials!T64),"",RawFinancials!T64)</f>
        <v>141</v>
      </c>
      <c r="U64" s="0" t="n">
        <f aca="false">IF(ISBLANK(RawFinancials!U64),"",RawFinancials!U64)</f>
        <v>0</v>
      </c>
      <c r="V64" s="0" t="n">
        <f aca="false">IF(ISBLANK(RawFinancials!V64),"",RawFinancials!V64)</f>
        <v>0</v>
      </c>
      <c r="W64" s="0" t="n">
        <f aca="false">IF(ISBLANK(RawFinancials!W64),"",RawFinancials!W64)</f>
        <v>20220630</v>
      </c>
      <c r="X64" s="0" t="n">
        <f aca="false">IF(ISBLANK(RawFinancials!X64),"",RawFinancials!X64)</f>
        <v>0.604229033746087</v>
      </c>
      <c r="Y64" s="0" t="n">
        <f aca="false">IF(ISBLANK(RawFinancials!Y64),"",RawFinancials!Y64)</f>
        <v>4.86</v>
      </c>
      <c r="Z64" s="0" t="str">
        <f aca="false">IF(ISBLANK(RawFinancials!Z64),"",RawFinancials!Z64)</f>
        <v>NH</v>
      </c>
      <c r="AA64" s="0" t="n">
        <f aca="false">RawFinancials!AA64</f>
        <v>1</v>
      </c>
      <c r="AB64" s="0" t="n">
        <f aca="false">RawFinancials!AB64</f>
        <v>178</v>
      </c>
      <c r="AC64" s="0" t="n">
        <f aca="false">RawFinancials!AC64</f>
        <v>0.0503712759213982</v>
      </c>
      <c r="AD64" s="0" t="n">
        <f aca="false">IF(L64&gt;0,100*N64/L64,"")</f>
        <v>98.7348217988629</v>
      </c>
      <c r="AE64" s="0" t="n">
        <f aca="false">IF(B64&gt;0,100*F64/B64,"")</f>
        <v>11.4317327718917</v>
      </c>
      <c r="AF64" s="0" t="str">
        <f aca="false">RawFinancials!AE64</f>
        <v>原始0：需核实适用/报告口径</v>
      </c>
    </row>
    <row r="65" customFormat="false" ht="15" hidden="false" customHeight="false" outlineLevel="0" collapsed="false">
      <c r="A65" s="0" t="n">
        <f aca="false">IF(ISBLANK(RawFinancials!A65),"",RawFinancials!A65)</f>
        <v>65</v>
      </c>
      <c r="B65" s="0" t="n">
        <f aca="false">IF(ISBLANK(RawFinancials!B65),"",RawFinancials!B65)</f>
        <v>1739201</v>
      </c>
      <c r="C65" s="0" t="n">
        <f aca="false">IF(ISBLANK(RawFinancials!C65),"",RawFinancials!C65)</f>
        <v>17658</v>
      </c>
      <c r="D65" s="0" t="n">
        <f aca="false">IF(ISBLANK(RawFinancials!D65),"",RawFinancials!D65)</f>
        <v>1514378</v>
      </c>
      <c r="E65" s="0" t="n">
        <f aca="false">IF(ISBLANK(RawFinancials!E65),"",RawFinancials!E65)</f>
        <v>0.02</v>
      </c>
      <c r="F65" s="0" t="n">
        <f aca="false">IF(ISBLANK(RawFinancials!F65),"",RawFinancials!F65)</f>
        <v>193833</v>
      </c>
      <c r="G65" s="0" t="n">
        <f aca="false">IF(ISBLANK(RawFinancials!G65),"",RawFinancials!G65)</f>
        <v>11.1449452938447</v>
      </c>
      <c r="H65" s="0" t="str">
        <f aca="false">IF(ISBLANK(RawFinancials!H65),"",RawFinancials!H65)</f>
        <v>17658_20220630</v>
      </c>
      <c r="I65" s="0" t="n">
        <f aca="false">IF(ISBLANK(RawFinancials!I65),"",RawFinancials!I65)</f>
        <v>0.812179359635229</v>
      </c>
      <c r="J65" s="0" t="n">
        <f aca="false">IF(ISBLANK(RawFinancials!J65),"",RawFinancials!J65)</f>
        <v>78762</v>
      </c>
      <c r="K65" s="0" t="n">
        <f aca="false">IF(ISBLANK(RawFinancials!K65),"",RawFinancials!K65)</f>
        <v>60843</v>
      </c>
      <c r="L65" s="0" t="n">
        <f aca="false">IF(ISBLANK(RawFinancials!L65),"",RawFinancials!L65)</f>
        <v>1140881</v>
      </c>
      <c r="M65" s="0" t="n">
        <f aca="false">IF(ISBLANK(RawFinancials!M65),"",RawFinancials!M65)</f>
        <v>1131615</v>
      </c>
      <c r="N65" s="0" t="n">
        <f aca="false">IF(ISBLANK(RawFinancials!N65),"",RawFinancials!N65)</f>
        <v>992175</v>
      </c>
      <c r="O65" s="0" t="n">
        <f aca="false">IF(ISBLANK(RawFinancials!O65),"",RawFinancials!O65)</f>
        <v>519</v>
      </c>
      <c r="P65" s="0" t="str">
        <f aca="false">IF(ISBLANK(RawFinancials!P65),"",RawFinancials!P65)</f>
        <v>NORWAY SAVINGS BANK</v>
      </c>
      <c r="Q65" s="0" t="n">
        <f aca="false">IF(ISBLANK(RawFinancials!Q65),"",RawFinancials!Q65)</f>
        <v>0.0454911599018653</v>
      </c>
      <c r="R65" s="0" t="n">
        <f aca="false">IF(ISBLANK(RawFinancials!R65),"",RawFinancials!R65)</f>
        <v>3.44171180472076</v>
      </c>
      <c r="S65" s="0" t="n">
        <f aca="false">IF(ISBLANK(RawFinancials!S65),"",RawFinancials!S65)</f>
        <v>24</v>
      </c>
      <c r="T65" s="0" t="n">
        <f aca="false">IF(ISBLANK(RawFinancials!T65),"",RawFinancials!T65)</f>
        <v>3501</v>
      </c>
      <c r="U65" s="0" t="n">
        <f aca="false">IF(ISBLANK(RawFinancials!U65),"",RawFinancials!U65)</f>
        <v>0</v>
      </c>
      <c r="V65" s="0" t="n">
        <f aca="false">IF(ISBLANK(RawFinancials!V65),"",RawFinancials!V65)</f>
        <v>0</v>
      </c>
      <c r="W65" s="0" t="n">
        <f aca="false">IF(ISBLANK(RawFinancials!W65),"",RawFinancials!W65)</f>
        <v>20220630</v>
      </c>
      <c r="X65" s="0" t="n">
        <f aca="false">IF(ISBLANK(RawFinancials!X65),"",RawFinancials!X65)</f>
        <v>-0.126062833693635</v>
      </c>
      <c r="Y65" s="0" t="n">
        <f aca="false">IF(ISBLANK(RawFinancials!Y65),"",RawFinancials!Y65)</f>
        <v>-1.03</v>
      </c>
      <c r="Z65" s="0" t="str">
        <f aca="false">IF(ISBLANK(RawFinancials!Z65),"",RawFinancials!Z65)</f>
        <v>ME</v>
      </c>
      <c r="AA65" s="0" t="n">
        <f aca="false">RawFinancials!AA65</f>
        <v>1</v>
      </c>
      <c r="AB65" s="0" t="n">
        <f aca="false">RawFinancials!AB65</f>
        <v>519</v>
      </c>
      <c r="AC65" s="0" t="n">
        <f aca="false">RawFinancials!AC65</f>
        <v>0.0298412891896911</v>
      </c>
      <c r="AD65" s="0" t="n">
        <f aca="false">IF(L65&gt;0,100*N65/L65,"")</f>
        <v>86.9656870436093</v>
      </c>
      <c r="AE65" s="0" t="n">
        <f aca="false">IF(B65&gt;0,100*F65/B65,"")</f>
        <v>11.1449452938447</v>
      </c>
      <c r="AF65" s="0" t="str">
        <f aca="false">RawFinancials!AE65</f>
        <v>原始0：需核实适用/报告口径</v>
      </c>
    </row>
    <row r="66" customFormat="false" ht="15" hidden="false" customHeight="false" outlineLevel="0" collapsed="false">
      <c r="A66" s="0" t="n">
        <f aca="false">IF(ISBLANK(RawFinancials!A66),"",RawFinancials!A66)</f>
        <v>66</v>
      </c>
      <c r="B66" s="0" t="n">
        <f aca="false">IF(ISBLANK(RawFinancials!B66),"",RawFinancials!B66)</f>
        <v>999824</v>
      </c>
      <c r="C66" s="0" t="n">
        <f aca="false">IF(ISBLANK(RawFinancials!C66),"",RawFinancials!C66)</f>
        <v>17741</v>
      </c>
      <c r="D66" s="0" t="n">
        <f aca="false">IF(ISBLANK(RawFinancials!D66),"",RawFinancials!D66)</f>
        <v>843050</v>
      </c>
      <c r="E66" s="0" t="n">
        <f aca="false">IF(ISBLANK(RawFinancials!E66),"",RawFinancials!E66)</f>
        <v>0.02</v>
      </c>
      <c r="F66" s="0" t="n">
        <f aca="false">IF(ISBLANK(RawFinancials!F66),"",RawFinancials!F66)</f>
        <v>128637</v>
      </c>
      <c r="G66" s="0" t="n">
        <f aca="false">IF(ISBLANK(RawFinancials!G66),"",RawFinancials!G66)</f>
        <v>12.8659644097361</v>
      </c>
      <c r="H66" s="0" t="str">
        <f aca="false">IF(ISBLANK(RawFinancials!H66),"",RawFinancials!H66)</f>
        <v>17741_20220630</v>
      </c>
      <c r="I66" s="0" t="n">
        <f aca="false">IF(ISBLANK(RawFinancials!I66),"",RawFinancials!I66)</f>
        <v>0.971910632242122</v>
      </c>
      <c r="J66" s="0" t="n">
        <f aca="false">IF(ISBLANK(RawFinancials!J66),"",RawFinancials!J66)</f>
        <v>42508</v>
      </c>
      <c r="K66" s="0" t="n">
        <f aca="false">IF(ISBLANK(RawFinancials!K66),"",RawFinancials!K66)</f>
        <v>3332</v>
      </c>
      <c r="L66" s="0" t="n">
        <f aca="false">IF(ISBLANK(RawFinancials!L66),"",RawFinancials!L66)</f>
        <v>799662</v>
      </c>
      <c r="M66" s="0" t="n">
        <f aca="false">IF(ISBLANK(RawFinancials!M66),"",RawFinancials!M66)</f>
        <v>791890</v>
      </c>
      <c r="N66" s="0" t="n">
        <f aca="false">IF(ISBLANK(RawFinancials!N66),"",RawFinancials!N66)</f>
        <v>750035</v>
      </c>
      <c r="O66" s="0" t="n">
        <f aca="false">IF(ISBLANK(RawFinancials!O66),"",RawFinancials!O66)</f>
        <v>1947</v>
      </c>
      <c r="P66" s="0" t="str">
        <f aca="false">IF(ISBLANK(RawFinancials!P66),"",RawFinancials!P66)</f>
        <v>MAINE COMMUNITY BANK</v>
      </c>
      <c r="Q66" s="0" t="n">
        <f aca="false">IF(ISBLANK(RawFinancials!Q66),"",RawFinancials!Q66)</f>
        <v>0.243477869399821</v>
      </c>
      <c r="R66" s="0" t="n">
        <f aca="false">IF(ISBLANK(RawFinancials!R66),"",RawFinancials!R66)</f>
        <v>3.35845923911318</v>
      </c>
      <c r="S66" s="0" t="n">
        <f aca="false">IF(ISBLANK(RawFinancials!S66),"",RawFinancials!S66)</f>
        <v>-1</v>
      </c>
      <c r="T66" s="0" t="n">
        <f aca="false">IF(ISBLANK(RawFinancials!T66),"",RawFinancials!T66)</f>
        <v>1852</v>
      </c>
      <c r="U66" s="0" t="n">
        <f aca="false">IF(ISBLANK(RawFinancials!U66),"",RawFinancials!U66)</f>
        <v>0</v>
      </c>
      <c r="V66" s="0" t="n">
        <f aca="false">IF(ISBLANK(RawFinancials!V66),"",RawFinancials!V66)</f>
        <v>0</v>
      </c>
      <c r="W66" s="0" t="n">
        <f aca="false">IF(ISBLANK(RawFinancials!W66),"",RawFinancials!W66)</f>
        <v>20220630</v>
      </c>
      <c r="X66" s="0" t="n">
        <f aca="false">IF(ISBLANK(RawFinancials!X66),"",RawFinancials!X66)</f>
        <v>0.558922565605422</v>
      </c>
      <c r="Y66" s="0" t="n">
        <f aca="false">IF(ISBLANK(RawFinancials!Y66),"",RawFinancials!Y66)</f>
        <v>4.32</v>
      </c>
      <c r="Z66" s="0" t="str">
        <f aca="false">IF(ISBLANK(RawFinancials!Z66),"",RawFinancials!Z66)</f>
        <v>ME</v>
      </c>
      <c r="AA66" s="0" t="n">
        <f aca="false">RawFinancials!AA66</f>
        <v>1</v>
      </c>
      <c r="AB66" s="0" t="n">
        <f aca="false">RawFinancials!AB66</f>
        <v>1947</v>
      </c>
      <c r="AC66" s="0" t="n">
        <f aca="false">RawFinancials!AC66</f>
        <v>0.194734273232089</v>
      </c>
      <c r="AD66" s="0" t="n">
        <f aca="false">IF(L66&gt;0,100*N66/L66,"")</f>
        <v>93.7940029662532</v>
      </c>
      <c r="AE66" s="0" t="n">
        <f aca="false">IF(B66&gt;0,100*F66/B66,"")</f>
        <v>12.8659644097361</v>
      </c>
      <c r="AF66" s="0" t="str">
        <f aca="false">RawFinancials!AE66</f>
        <v>原始0：需核实适用/报告口径</v>
      </c>
    </row>
    <row r="67" customFormat="false" ht="15" hidden="false" customHeight="false" outlineLevel="0" collapsed="false">
      <c r="A67" s="0" t="n">
        <f aca="false">IF(ISBLANK(RawFinancials!A67),"",RawFinancials!A67)</f>
        <v>67</v>
      </c>
      <c r="B67" s="0" t="n">
        <f aca="false">IF(ISBLANK(RawFinancials!B67),"",RawFinancials!B67)</f>
        <v>1226782</v>
      </c>
      <c r="C67" s="0" t="n">
        <f aca="false">IF(ISBLANK(RawFinancials!C67),"",RawFinancials!C67)</f>
        <v>17743</v>
      </c>
      <c r="D67" s="0" t="n">
        <f aca="false">IF(ISBLANK(RawFinancials!D67),"",RawFinancials!D67)</f>
        <v>933270</v>
      </c>
      <c r="E67" s="0" t="n">
        <f aca="false">IF(ISBLANK(RawFinancials!E67),"",RawFinancials!E67)</f>
        <v>-0.01</v>
      </c>
      <c r="F67" s="0" t="n">
        <f aca="false">IF(ISBLANK(RawFinancials!F67),"",RawFinancials!F67)</f>
        <v>121930</v>
      </c>
      <c r="G67" s="0" t="n">
        <f aca="false">IF(ISBLANK(RawFinancials!G67),"",RawFinancials!G67)</f>
        <v>9.93901116905856</v>
      </c>
      <c r="H67" s="0" t="str">
        <f aca="false">IF(ISBLANK(RawFinancials!H67),"",RawFinancials!H67)</f>
        <v>17743_20220630</v>
      </c>
      <c r="I67" s="0" t="n">
        <f aca="false">IF(ISBLANK(RawFinancials!I67),"",RawFinancials!I67)</f>
        <v>0.520460697415211</v>
      </c>
      <c r="J67" s="0" t="n">
        <f aca="false">IF(ISBLANK(RawFinancials!J67),"",RawFinancials!J67)</f>
        <v>10654</v>
      </c>
      <c r="K67" s="0" t="n">
        <f aca="false">IF(ISBLANK(RawFinancials!K67),"",RawFinancials!K67)</f>
        <v>5546</v>
      </c>
      <c r="L67" s="0" t="n">
        <f aca="false">IF(ISBLANK(RawFinancials!L67),"",RawFinancials!L67)</f>
        <v>942050</v>
      </c>
      <c r="M67" s="0" t="n">
        <f aca="false">IF(ISBLANK(RawFinancials!M67),"",RawFinancials!M67)</f>
        <v>937147</v>
      </c>
      <c r="N67" s="0" t="n">
        <f aca="false">IF(ISBLANK(RawFinancials!N67),"",RawFinancials!N67)</f>
        <v>912536</v>
      </c>
      <c r="O67" s="0" t="n">
        <f aca="false">IF(ISBLANK(RawFinancials!O67),"",RawFinancials!O67)</f>
        <v>2944</v>
      </c>
      <c r="P67" s="0" t="str">
        <f aca="false">IF(ISBLANK(RawFinancials!P67),"",RawFinancials!P67)</f>
        <v>SACO &amp; BIDDEFORD SAVINGS INSTITUTION</v>
      </c>
      <c r="Q67" s="0" t="n">
        <f aca="false">IF(ISBLANK(RawFinancials!Q67),"",RawFinancials!Q67)</f>
        <v>0.316225253436654</v>
      </c>
      <c r="R67" s="0" t="n">
        <f aca="false">IF(ISBLANK(RawFinancials!R67),"",RawFinancials!R67)</f>
        <v>2.80121730682431</v>
      </c>
      <c r="S67" s="0" t="n">
        <f aca="false">IF(ISBLANK(RawFinancials!S67),"",RawFinancials!S67)</f>
        <v>13</v>
      </c>
      <c r="T67" s="0" t="n">
        <f aca="false">IF(ISBLANK(RawFinancials!T67),"",RawFinancials!T67)</f>
        <v>735</v>
      </c>
      <c r="U67" s="0" t="n">
        <f aca="false">IF(ISBLANK(RawFinancials!U67),"",RawFinancials!U67)</f>
        <v>35</v>
      </c>
      <c r="V67" s="0" t="n">
        <f aca="false">IF(ISBLANK(RawFinancials!V67),"",RawFinancials!V67)</f>
        <v>0</v>
      </c>
      <c r="W67" s="0" t="n">
        <f aca="false">IF(ISBLANK(RawFinancials!W67),"",RawFinancials!W67)</f>
        <v>20220630</v>
      </c>
      <c r="X67" s="0" t="n">
        <f aca="false">IF(ISBLANK(RawFinancials!X67),"",RawFinancials!X67)</f>
        <v>0.302379907744483</v>
      </c>
      <c r="Y67" s="0" t="n">
        <f aca="false">IF(ISBLANK(RawFinancials!Y67),"",RawFinancials!Y67)</f>
        <v>2.81</v>
      </c>
      <c r="Z67" s="0" t="str">
        <f aca="false">IF(ISBLANK(RawFinancials!Z67),"",RawFinancials!Z67)</f>
        <v>ME</v>
      </c>
      <c r="AA67" s="0" t="n">
        <f aca="false">RawFinancials!AA67</f>
        <v>1</v>
      </c>
      <c r="AB67" s="0" t="n">
        <f aca="false">RawFinancials!AB67</f>
        <v>2979</v>
      </c>
      <c r="AC67" s="0" t="n">
        <f aca="false">RawFinancials!AC67</f>
        <v>0.242830429530267</v>
      </c>
      <c r="AD67" s="0" t="n">
        <f aca="false">IF(L67&gt;0,100*N67/L67,"")</f>
        <v>96.8670452736054</v>
      </c>
      <c r="AE67" s="0" t="n">
        <f aca="false">IF(B67&gt;0,100*F67/B67,"")</f>
        <v>9.93901116905856</v>
      </c>
      <c r="AF67" s="0" t="str">
        <f aca="false">RawFinancials!AE67</f>
        <v>原始0：需核实适用/报告口径</v>
      </c>
    </row>
    <row r="68" customFormat="false" ht="15" hidden="false" customHeight="false" outlineLevel="0" collapsed="false">
      <c r="A68" s="0" t="n">
        <f aca="false">IF(ISBLANK(RawFinancials!A68),"",RawFinancials!A68)</f>
        <v>68</v>
      </c>
      <c r="B68" s="0" t="n">
        <f aca="false">IF(ISBLANK(RawFinancials!B68),"",RawFinancials!B68)</f>
        <v>1555791</v>
      </c>
      <c r="C68" s="0" t="n">
        <f aca="false">IF(ISBLANK(RawFinancials!C68),"",RawFinancials!C68)</f>
        <v>17748</v>
      </c>
      <c r="D68" s="0" t="n">
        <f aca="false">IF(ISBLANK(RawFinancials!D68),"",RawFinancials!D68)</f>
        <v>1381456</v>
      </c>
      <c r="E68" s="0" t="n">
        <f aca="false">IF(ISBLANK(RawFinancials!E68),"",RawFinancials!E68)</f>
        <v>0.04</v>
      </c>
      <c r="F68" s="0" t="n">
        <f aca="false">IF(ISBLANK(RawFinancials!F68),"",RawFinancials!F68)</f>
        <v>113025</v>
      </c>
      <c r="G68" s="0" t="n">
        <f aca="false">IF(ISBLANK(RawFinancials!G68),"",RawFinancials!G68)</f>
        <v>7.26479327878873</v>
      </c>
      <c r="H68" s="0" t="str">
        <f aca="false">IF(ISBLANK(RawFinancials!H68),"",RawFinancials!H68)</f>
        <v>17748_20220630</v>
      </c>
      <c r="I68" s="0" t="n">
        <f aca="false">IF(ISBLANK(RawFinancials!I68),"",RawFinancials!I68)</f>
        <v>0.831653764100478</v>
      </c>
      <c r="J68" s="0" t="n">
        <f aca="false">IF(ISBLANK(RawFinancials!J68),"",RawFinancials!J68)</f>
        <v>151034</v>
      </c>
      <c r="K68" s="0" t="n">
        <f aca="false">IF(ISBLANK(RawFinancials!K68),"",RawFinancials!K68)</f>
        <v>2941</v>
      </c>
      <c r="L68" s="0" t="n">
        <f aca="false">IF(ISBLANK(RawFinancials!L68),"",RawFinancials!L68)</f>
        <v>1170439</v>
      </c>
      <c r="M68" s="0" t="n">
        <f aca="false">IF(ISBLANK(RawFinancials!M68),"",RawFinancials!M68)</f>
        <v>1160705</v>
      </c>
      <c r="N68" s="0" t="n">
        <f aca="false">IF(ISBLANK(RawFinancials!N68),"",RawFinancials!N68)</f>
        <v>984164</v>
      </c>
      <c r="O68" s="0" t="n">
        <f aca="false">IF(ISBLANK(RawFinancials!O68),"",RawFinancials!O68)</f>
        <v>7622</v>
      </c>
      <c r="P68" s="0" t="str">
        <f aca="false">IF(ISBLANK(RawFinancials!P68),"",RawFinancials!P68)</f>
        <v>GORHAM SAVINGS BANK</v>
      </c>
      <c r="Q68" s="0" t="n">
        <f aca="false">IF(ISBLANK(RawFinancials!Q68),"",RawFinancials!Q68)</f>
        <v>0.651208649062446</v>
      </c>
      <c r="R68" s="0" t="n">
        <f aca="false">IF(ISBLANK(RawFinancials!R68),"",RawFinancials!R68)</f>
        <v>3.13610096670494</v>
      </c>
      <c r="S68" s="0" t="n">
        <f aca="false">IF(ISBLANK(RawFinancials!S68),"",RawFinancials!S68)</f>
        <v>100</v>
      </c>
      <c r="T68" s="0" t="n">
        <f aca="false">IF(ISBLANK(RawFinancials!T68),"",RawFinancials!T68)</f>
        <v>1109</v>
      </c>
      <c r="U68" s="0" t="n">
        <f aca="false">IF(ISBLANK(RawFinancials!U68),"",RawFinancials!U68)</f>
        <v>0</v>
      </c>
      <c r="V68" s="0" t="n">
        <f aca="false">IF(ISBLANK(RawFinancials!V68),"",RawFinancials!V68)</f>
        <v>0</v>
      </c>
      <c r="W68" s="0" t="n">
        <f aca="false">IF(ISBLANK(RawFinancials!W68),"",RawFinancials!W68)</f>
        <v>20220630</v>
      </c>
      <c r="X68" s="0" t="n">
        <f aca="false">IF(ISBLANK(RawFinancials!X68),"",RawFinancials!X68)</f>
        <v>0.205556396548565</v>
      </c>
      <c r="Y68" s="0" t="n">
        <f aca="false">IF(ISBLANK(RawFinancials!Y68),"",RawFinancials!Y68)</f>
        <v>2.56</v>
      </c>
      <c r="Z68" s="0" t="str">
        <f aca="false">IF(ISBLANK(RawFinancials!Z68),"",RawFinancials!Z68)</f>
        <v>ME</v>
      </c>
      <c r="AA68" s="0" t="n">
        <f aca="false">RawFinancials!AA68</f>
        <v>1</v>
      </c>
      <c r="AB68" s="0" t="n">
        <f aca="false">RawFinancials!AB68</f>
        <v>7622</v>
      </c>
      <c r="AC68" s="0" t="n">
        <f aca="false">RawFinancials!AC68</f>
        <v>0.489911562671336</v>
      </c>
      <c r="AD68" s="0" t="n">
        <f aca="false">IF(L68&gt;0,100*N68/L68,"")</f>
        <v>84.0850313429405</v>
      </c>
      <c r="AE68" s="0" t="n">
        <f aca="false">IF(B68&gt;0,100*F68/B68,"")</f>
        <v>7.26479327878873</v>
      </c>
      <c r="AF68" s="0" t="str">
        <f aca="false">RawFinancials!AE68</f>
        <v>原始0：需核实适用/报告口径</v>
      </c>
    </row>
    <row r="69" customFormat="false" ht="15" hidden="false" customHeight="false" outlineLevel="0" collapsed="false">
      <c r="A69" s="0" t="n">
        <f aca="false">IF(ISBLANK(RawFinancials!A69),"",RawFinancials!A69)</f>
        <v>69</v>
      </c>
      <c r="B69" s="0" t="n">
        <f aca="false">IF(ISBLANK(RawFinancials!B69),"",RawFinancials!B69)</f>
        <v>1233246</v>
      </c>
      <c r="C69" s="0" t="n">
        <f aca="false">IF(ISBLANK(RawFinancials!C69),"",RawFinancials!C69)</f>
        <v>17749</v>
      </c>
      <c r="D69" s="0" t="n">
        <f aca="false">IF(ISBLANK(RawFinancials!D69),"",RawFinancials!D69)</f>
        <v>1026366</v>
      </c>
      <c r="E69" s="0" t="n">
        <f aca="false">IF(ISBLANK(RawFinancials!E69),"",RawFinancials!E69)</f>
        <v>0.05</v>
      </c>
      <c r="F69" s="0" t="n">
        <f aca="false">IF(ISBLANK(RawFinancials!F69),"",RawFinancials!F69)</f>
        <v>152379</v>
      </c>
      <c r="G69" s="0" t="n">
        <f aca="false">IF(ISBLANK(RawFinancials!G69),"",RawFinancials!G69)</f>
        <v>12.355928987404</v>
      </c>
      <c r="H69" s="0" t="str">
        <f aca="false">IF(ISBLANK(RawFinancials!H69),"",RawFinancials!H69)</f>
        <v>17749_20220630</v>
      </c>
      <c r="I69" s="0" t="n">
        <f aca="false">IF(ISBLANK(RawFinancials!I69),"",RawFinancials!I69)</f>
        <v>1.41113989450366</v>
      </c>
      <c r="J69" s="0" t="n">
        <f aca="false">IF(ISBLANK(RawFinancials!J69),"",RawFinancials!J69)</f>
        <v>51726</v>
      </c>
      <c r="K69" s="0" t="n">
        <f aca="false">IF(ISBLANK(RawFinancials!K69),"",RawFinancials!K69)</f>
        <v>10530</v>
      </c>
      <c r="L69" s="0" t="n">
        <f aca="false">IF(ISBLANK(RawFinancials!L69),"",RawFinancials!L69)</f>
        <v>692915</v>
      </c>
      <c r="M69" s="0" t="n">
        <f aca="false">IF(ISBLANK(RawFinancials!M69),"",RawFinancials!M69)</f>
        <v>683137</v>
      </c>
      <c r="N69" s="0" t="n">
        <f aca="false">IF(ISBLANK(RawFinancials!N69),"",RawFinancials!N69)</f>
        <v>619470</v>
      </c>
      <c r="O69" s="0" t="n">
        <f aca="false">IF(ISBLANK(RawFinancials!O69),"",RawFinancials!O69)</f>
        <v>248</v>
      </c>
      <c r="P69" s="0" t="str">
        <f aca="false">IF(ISBLANK(RawFinancials!P69),"",RawFinancials!P69)</f>
        <v>BATH SAVINGS INSTITUTION</v>
      </c>
      <c r="Q69" s="0" t="n">
        <f aca="false">IF(ISBLANK(RawFinancials!Q69),"",RawFinancials!Q69)</f>
        <v>0.0399760432376265</v>
      </c>
      <c r="R69" s="0" t="n">
        <f aca="false">IF(ISBLANK(RawFinancials!R69),"",RawFinancials!R69)</f>
        <v>2.83196913733009</v>
      </c>
      <c r="S69" s="0" t="n">
        <f aca="false">IF(ISBLANK(RawFinancials!S69),"",RawFinancials!S69)</f>
        <v>8</v>
      </c>
      <c r="T69" s="0" t="n">
        <f aca="false">IF(ISBLANK(RawFinancials!T69),"",RawFinancials!T69)</f>
        <v>253</v>
      </c>
      <c r="U69" s="0" t="n">
        <f aca="false">IF(ISBLANK(RawFinancials!U69),"",RawFinancials!U69)</f>
        <v>29</v>
      </c>
      <c r="V69" s="0" t="n">
        <f aca="false">IF(ISBLANK(RawFinancials!V69),"",RawFinancials!V69)</f>
        <v>0</v>
      </c>
      <c r="W69" s="0" t="n">
        <f aca="false">IF(ISBLANK(RawFinancials!W69),"",RawFinancials!W69)</f>
        <v>20220630</v>
      </c>
      <c r="X69" s="0" t="n">
        <f aca="false">IF(ISBLANK(RawFinancials!X69),"",RawFinancials!X69)</f>
        <v>-0.156467358353032</v>
      </c>
      <c r="Y69" s="0" t="n">
        <f aca="false">IF(ISBLANK(RawFinancials!Y69),"",RawFinancials!Y69)</f>
        <v>-1.15</v>
      </c>
      <c r="Z69" s="0" t="str">
        <f aca="false">IF(ISBLANK(RawFinancials!Z69),"",RawFinancials!Z69)</f>
        <v>ME</v>
      </c>
      <c r="AA69" s="0" t="n">
        <f aca="false">RawFinancials!AA69</f>
        <v>1</v>
      </c>
      <c r="AB69" s="0" t="n">
        <f aca="false">RawFinancials!AB69</f>
        <v>277</v>
      </c>
      <c r="AC69" s="0" t="n">
        <f aca="false">RawFinancials!AC69</f>
        <v>0.0224610499446177</v>
      </c>
      <c r="AD69" s="0" t="n">
        <f aca="false">IF(L69&gt;0,100*N69/L69,"")</f>
        <v>89.4005758282041</v>
      </c>
      <c r="AE69" s="0" t="n">
        <f aca="false">IF(B69&gt;0,100*F69/B69,"")</f>
        <v>12.355928987404</v>
      </c>
      <c r="AF69" s="0" t="str">
        <f aca="false">RawFinancials!AE69</f>
        <v>原始0：需核实适用/报告口径</v>
      </c>
    </row>
    <row r="70" customFormat="false" ht="15" hidden="false" customHeight="false" outlineLevel="0" collapsed="false">
      <c r="A70" s="0" t="n">
        <f aca="false">IF(ISBLANK(RawFinancials!A70),"",RawFinancials!A70)</f>
        <v>70</v>
      </c>
      <c r="B70" s="0" t="n">
        <f aca="false">IF(ISBLANK(RawFinancials!B70),"",RawFinancials!B70)</f>
        <v>1424885</v>
      </c>
      <c r="C70" s="0" t="n">
        <f aca="false">IF(ISBLANK(RawFinancials!C70),"",RawFinancials!C70)</f>
        <v>17751</v>
      </c>
      <c r="D70" s="0" t="n">
        <f aca="false">IF(ISBLANK(RawFinancials!D70),"",RawFinancials!D70)</f>
        <v>1261975</v>
      </c>
      <c r="E70" s="0" t="n">
        <f aca="false">IF(ISBLANK(RawFinancials!E70),"",RawFinancials!E70)</f>
        <v>0.04</v>
      </c>
      <c r="F70" s="0" t="n">
        <f aca="false">IF(ISBLANK(RawFinancials!F70),"",RawFinancials!F70)</f>
        <v>126112</v>
      </c>
      <c r="G70" s="0" t="n">
        <f aca="false">IF(ISBLANK(RawFinancials!G70),"",RawFinancials!G70)</f>
        <v>8.85067917761784</v>
      </c>
      <c r="H70" s="0" t="str">
        <f aca="false">IF(ISBLANK(RawFinancials!H70),"",RawFinancials!H70)</f>
        <v>17751_20220630</v>
      </c>
      <c r="I70" s="0" t="n">
        <f aca="false">IF(ISBLANK(RawFinancials!I70),"",RawFinancials!I70)</f>
        <v>1.05858830143249</v>
      </c>
      <c r="J70" s="0" t="n">
        <f aca="false">IF(ISBLANK(RawFinancials!J70),"",RawFinancials!J70)</f>
        <v>116943</v>
      </c>
      <c r="K70" s="0" t="n">
        <f aca="false">IF(ISBLANK(RawFinancials!K70),"",RawFinancials!K70)</f>
        <v>3247</v>
      </c>
      <c r="L70" s="0" t="n">
        <f aca="false">IF(ISBLANK(RawFinancials!L70),"",RawFinancials!L70)</f>
        <v>1131318</v>
      </c>
      <c r="M70" s="0" t="n">
        <f aca="false">IF(ISBLANK(RawFinancials!M70),"",RawFinancials!M70)</f>
        <v>1119342</v>
      </c>
      <c r="N70" s="0" t="n">
        <f aca="false">IF(ISBLANK(RawFinancials!N70),"",RawFinancials!N70)</f>
        <v>964858</v>
      </c>
      <c r="O70" s="0" t="n">
        <f aca="false">IF(ISBLANK(RawFinancials!O70),"",RawFinancials!O70)</f>
        <v>1523</v>
      </c>
      <c r="P70" s="0" t="str">
        <f aca="false">IF(ISBLANK(RawFinancials!P70),"",RawFinancials!P70)</f>
        <v>ANDROSCOGGIN SAVINGS BANK</v>
      </c>
      <c r="Q70" s="0" t="n">
        <f aca="false">IF(ISBLANK(RawFinancials!Q70),"",RawFinancials!Q70)</f>
        <v>0.134621742074289</v>
      </c>
      <c r="R70" s="0" t="n">
        <f aca="false">IF(ISBLANK(RawFinancials!R70),"",RawFinancials!R70)</f>
        <v>3.02145916647337</v>
      </c>
      <c r="S70" s="0" t="n">
        <f aca="false">IF(ISBLANK(RawFinancials!S70),"",RawFinancials!S70)</f>
        <v>-244</v>
      </c>
      <c r="T70" s="0" t="n">
        <f aca="false">IF(ISBLANK(RawFinancials!T70),"",RawFinancials!T70)</f>
        <v>2004</v>
      </c>
      <c r="U70" s="0" t="n">
        <f aca="false">IF(ISBLANK(RawFinancials!U70),"",RawFinancials!U70)</f>
        <v>0</v>
      </c>
      <c r="V70" s="0" t="n">
        <f aca="false">IF(ISBLANK(RawFinancials!V70),"",RawFinancials!V70)</f>
        <v>13.4571511662563</v>
      </c>
      <c r="W70" s="0" t="n">
        <f aca="false">IF(ISBLANK(RawFinancials!W70),"",RawFinancials!W70)</f>
        <v>20220630</v>
      </c>
      <c r="X70" s="0" t="n">
        <f aca="false">IF(ISBLANK(RawFinancials!X70),"",RawFinancials!X70)</f>
        <v>0.566526729353532</v>
      </c>
      <c r="Y70" s="0" t="n">
        <f aca="false">IF(ISBLANK(RawFinancials!Y70),"",RawFinancials!Y70)</f>
        <v>6.04</v>
      </c>
      <c r="Z70" s="0" t="str">
        <f aca="false">IF(ISBLANK(RawFinancials!Z70),"",RawFinancials!Z70)</f>
        <v>ME</v>
      </c>
      <c r="AA70" s="0" t="n">
        <f aca="false">RawFinancials!AA70</f>
        <v>1</v>
      </c>
      <c r="AB70" s="0" t="n">
        <f aca="false">RawFinancials!AB70</f>
        <v>1523</v>
      </c>
      <c r="AC70" s="0" t="n">
        <f aca="false">RawFinancials!AC70</f>
        <v>0.106885818855557</v>
      </c>
      <c r="AD70" s="0" t="n">
        <f aca="false">IF(L70&gt;0,100*N70/L70,"")</f>
        <v>85.2861883219395</v>
      </c>
      <c r="AE70" s="0" t="n">
        <f aca="false">IF(B70&gt;0,100*F70/B70,"")</f>
        <v>8.85067917761784</v>
      </c>
      <c r="AF70" s="0" t="str">
        <f aca="false">RawFinancials!AE70</f>
        <v/>
      </c>
    </row>
    <row r="71" customFormat="false" ht="15" hidden="false" customHeight="false" outlineLevel="0" collapsed="false">
      <c r="A71" s="0" t="n">
        <f aca="false">IF(ISBLANK(RawFinancials!A71),"",RawFinancials!A71)</f>
        <v>71</v>
      </c>
      <c r="B71" s="0" t="n">
        <f aca="false">IF(ISBLANK(RawFinancials!B71),"",RawFinancials!B71)</f>
        <v>1531749</v>
      </c>
      <c r="C71" s="0" t="n">
        <f aca="false">IF(ISBLANK(RawFinancials!C71),"",RawFinancials!C71)</f>
        <v>17897</v>
      </c>
      <c r="D71" s="0" t="n">
        <f aca="false">IF(ISBLANK(RawFinancials!D71),"",RawFinancials!D71)</f>
        <v>1250686</v>
      </c>
      <c r="E71" s="0" t="n">
        <f aca="false">IF(ISBLANK(RawFinancials!E71),"",RawFinancials!E71)</f>
        <v>0.06</v>
      </c>
      <c r="F71" s="0" t="n">
        <f aca="false">IF(ISBLANK(RawFinancials!F71),"",RawFinancials!F71)</f>
        <v>191374</v>
      </c>
      <c r="G71" s="0" t="n">
        <f aca="false">IF(ISBLANK(RawFinancials!G71),"",RawFinancials!G71)</f>
        <v>12.4938224212975</v>
      </c>
      <c r="H71" s="0" t="str">
        <f aca="false">IF(ISBLANK(RawFinancials!H71),"",RawFinancials!H71)</f>
        <v>17897_20220630</v>
      </c>
      <c r="I71" s="0" t="n">
        <f aca="false">IF(ISBLANK(RawFinancials!I71),"",RawFinancials!I71)</f>
        <v>0.621134006540635</v>
      </c>
      <c r="J71" s="0" t="n">
        <f aca="false">IF(ISBLANK(RawFinancials!J71),"",RawFinancials!J71)</f>
        <v>59285</v>
      </c>
      <c r="K71" s="0" t="n">
        <f aca="false">IF(ISBLANK(RawFinancials!K71),"",RawFinancials!K71)</f>
        <v>2829</v>
      </c>
      <c r="L71" s="0" t="n">
        <f aca="false">IF(ISBLANK(RawFinancials!L71),"",RawFinancials!L71)</f>
        <v>1281527</v>
      </c>
      <c r="M71" s="0" t="n">
        <f aca="false">IF(ISBLANK(RawFinancials!M71),"",RawFinancials!M71)</f>
        <v>1273567</v>
      </c>
      <c r="N71" s="0" t="n">
        <f aca="false">IF(ISBLANK(RawFinancials!N71),"",RawFinancials!N71)</f>
        <v>1214666</v>
      </c>
      <c r="O71" s="0" t="n">
        <f aca="false">IF(ISBLANK(RawFinancials!O71),"",RawFinancials!O71)</f>
        <v>3935</v>
      </c>
      <c r="P71" s="0" t="str">
        <f aca="false">IF(ISBLANK(RawFinancials!P71),"",RawFinancials!P71)</f>
        <v>KENNEBEC SAVINGS BANK</v>
      </c>
      <c r="Q71" s="0" t="n">
        <f aca="false">IF(ISBLANK(RawFinancials!Q71),"",RawFinancials!Q71)</f>
        <v>0.307055567303693</v>
      </c>
      <c r="R71" s="0" t="n">
        <f aca="false">IF(ISBLANK(RawFinancials!R71),"",RawFinancials!R71)</f>
        <v>3.21931626860747</v>
      </c>
      <c r="S71" s="0" t="n">
        <f aca="false">IF(ISBLANK(RawFinancials!S71),"",RawFinancials!S71)</f>
        <v>11</v>
      </c>
      <c r="T71" s="0" t="n">
        <f aca="false">IF(ISBLANK(RawFinancials!T71),"",RawFinancials!T71)</f>
        <v>1718</v>
      </c>
      <c r="U71" s="0" t="n">
        <f aca="false">IF(ISBLANK(RawFinancials!U71),"",RawFinancials!U71)</f>
        <v>0</v>
      </c>
      <c r="V71" s="0" t="n">
        <f aca="false">IF(ISBLANK(RawFinancials!V71),"",RawFinancials!V71)</f>
        <v>0</v>
      </c>
      <c r="W71" s="0" t="n">
        <f aca="false">IF(ISBLANK(RawFinancials!W71),"",RawFinancials!W71)</f>
        <v>20220630</v>
      </c>
      <c r="X71" s="0" t="n">
        <f aca="false">IF(ISBLANK(RawFinancials!X71),"",RawFinancials!X71)</f>
        <v>-0.605378566093227</v>
      </c>
      <c r="Y71" s="0" t="n">
        <f aca="false">IF(ISBLANK(RawFinancials!Y71),"",RawFinancials!Y71)</f>
        <v>-4.54</v>
      </c>
      <c r="Z71" s="0" t="str">
        <f aca="false">IF(ISBLANK(RawFinancials!Z71),"",RawFinancials!Z71)</f>
        <v>ME</v>
      </c>
      <c r="AA71" s="0" t="n">
        <f aca="false">RawFinancials!AA71</f>
        <v>1</v>
      </c>
      <c r="AB71" s="0" t="n">
        <f aca="false">RawFinancials!AB71</f>
        <v>3935</v>
      </c>
      <c r="AC71" s="0" t="n">
        <f aca="false">RawFinancials!AC71</f>
        <v>0.256895875238045</v>
      </c>
      <c r="AD71" s="0" t="n">
        <f aca="false">IF(L71&gt;0,100*N71/L71,"")</f>
        <v>94.7827084407898</v>
      </c>
      <c r="AE71" s="0" t="n">
        <f aca="false">IF(B71&gt;0,100*F71/B71,"")</f>
        <v>12.4938224212975</v>
      </c>
      <c r="AF71" s="0" t="str">
        <f aca="false">RawFinancials!AE71</f>
        <v>原始0：需核实适用/报告口径</v>
      </c>
    </row>
    <row r="72" customFormat="false" ht="15" hidden="false" customHeight="false" outlineLevel="0" collapsed="false">
      <c r="A72" s="0" t="n">
        <f aca="false">IF(ISBLANK(RawFinancials!A72),"",RawFinancials!A72)</f>
        <v>72</v>
      </c>
      <c r="B72" s="0" t="n">
        <f aca="false">IF(ISBLANK(RawFinancials!B72),"",RawFinancials!B72)</f>
        <v>724308</v>
      </c>
      <c r="C72" s="0" t="n">
        <f aca="false">IF(ISBLANK(RawFinancials!C72),"",RawFinancials!C72)</f>
        <v>17951</v>
      </c>
      <c r="D72" s="0" t="n">
        <f aca="false">IF(ISBLANK(RawFinancials!D72),"",RawFinancials!D72)</f>
        <v>640946</v>
      </c>
      <c r="E72" s="0" t="n">
        <f aca="false">IF(ISBLANK(RawFinancials!E72),"",RawFinancials!E72)</f>
        <v>0.05</v>
      </c>
      <c r="F72" s="0" t="n">
        <f aca="false">IF(ISBLANK(RawFinancials!F72),"",RawFinancials!F72)</f>
        <v>53765</v>
      </c>
      <c r="G72" s="0" t="n">
        <f aca="false">IF(ISBLANK(RawFinancials!G72),"",RawFinancials!G72)</f>
        <v>7.42294714403265</v>
      </c>
      <c r="H72" s="0" t="str">
        <f aca="false">IF(ISBLANK(RawFinancials!H72),"",RawFinancials!H72)</f>
        <v>17951_20220630</v>
      </c>
      <c r="I72" s="0" t="n">
        <f aca="false">IF(ISBLANK(RawFinancials!I72),"",RawFinancials!I72)</f>
        <v>0.814495190979788</v>
      </c>
      <c r="J72" s="0" t="n">
        <f aca="false">IF(ISBLANK(RawFinancials!J72),"",RawFinancials!J72)</f>
        <v>24396</v>
      </c>
      <c r="K72" s="0" t="n">
        <f aca="false">IF(ISBLANK(RawFinancials!K72),"",RawFinancials!K72)</f>
        <v>1572</v>
      </c>
      <c r="L72" s="0" t="n">
        <f aca="false">IF(ISBLANK(RawFinancials!L72),"",RawFinancials!L72)</f>
        <v>488769</v>
      </c>
      <c r="M72" s="0" t="n">
        <f aca="false">IF(ISBLANK(RawFinancials!M72),"",RawFinancials!M72)</f>
        <v>484788</v>
      </c>
      <c r="N72" s="0" t="n">
        <f aca="false">IF(ISBLANK(RawFinancials!N72),"",RawFinancials!N72)</f>
        <v>448742</v>
      </c>
      <c r="O72" s="0" t="n">
        <f aca="false">IF(ISBLANK(RawFinancials!O72),"",RawFinancials!O72)</f>
        <v>782</v>
      </c>
      <c r="P72" s="0" t="str">
        <f aca="false">IF(ISBLANK(RawFinancials!P72),"",RawFinancials!P72)</f>
        <v>FRANKLIN SAVINGS BANK</v>
      </c>
      <c r="Q72" s="0" t="n">
        <f aca="false">IF(ISBLANK(RawFinancials!Q72),"",RawFinancials!Q72)</f>
        <v>0.15999378029294</v>
      </c>
      <c r="R72" s="0" t="n">
        <f aca="false">IF(ISBLANK(RawFinancials!R72),"",RawFinancials!R72)</f>
        <v>3.18151383220779</v>
      </c>
      <c r="S72" s="0" t="n">
        <f aca="false">IF(ISBLANK(RawFinancials!S72),"",RawFinancials!S72)</f>
        <v>-2</v>
      </c>
      <c r="T72" s="0" t="n">
        <f aca="false">IF(ISBLANK(RawFinancials!T72),"",RawFinancials!T72)</f>
        <v>31</v>
      </c>
      <c r="U72" s="0" t="n">
        <f aca="false">IF(ISBLANK(RawFinancials!U72),"",RawFinancials!U72)</f>
        <v>0</v>
      </c>
      <c r="V72" s="0" t="n">
        <f aca="false">IF(ISBLANK(RawFinancials!V72),"",RawFinancials!V72)</f>
        <v>15.0065477421255</v>
      </c>
      <c r="W72" s="0" t="n">
        <f aca="false">IF(ISBLANK(RawFinancials!W72),"",RawFinancials!W72)</f>
        <v>20220630</v>
      </c>
      <c r="X72" s="0" t="n">
        <f aca="false">IF(ISBLANK(RawFinancials!X72),"",RawFinancials!X72)</f>
        <v>0.944250983121892</v>
      </c>
      <c r="Y72" s="0" t="n">
        <f aca="false">IF(ISBLANK(RawFinancials!Y72),"",RawFinancials!Y72)</f>
        <v>11.53</v>
      </c>
      <c r="Z72" s="0" t="str">
        <f aca="false">IF(ISBLANK(RawFinancials!Z72),"",RawFinancials!Z72)</f>
        <v>NH</v>
      </c>
      <c r="AA72" s="0" t="n">
        <f aca="false">RawFinancials!AA72</f>
        <v>1</v>
      </c>
      <c r="AB72" s="0" t="n">
        <f aca="false">RawFinancials!AB72</f>
        <v>782</v>
      </c>
      <c r="AC72" s="0" t="n">
        <f aca="false">RawFinancials!AC72</f>
        <v>0.107965119810909</v>
      </c>
      <c r="AD72" s="0" t="n">
        <f aca="false">IF(L72&gt;0,100*N72/L72,"")</f>
        <v>91.810650839149</v>
      </c>
      <c r="AE72" s="0" t="n">
        <f aca="false">IF(B72&gt;0,100*F72/B72,"")</f>
        <v>7.42294714403265</v>
      </c>
      <c r="AF72" s="0" t="str">
        <f aca="false">RawFinancials!AE72</f>
        <v/>
      </c>
    </row>
    <row r="73" customFormat="false" ht="15" hidden="false" customHeight="false" outlineLevel="0" collapsed="false">
      <c r="A73" s="0" t="n">
        <f aca="false">IF(ISBLANK(RawFinancials!A73),"",RawFinancials!A73)</f>
        <v>73</v>
      </c>
      <c r="B73" s="0" t="n">
        <f aca="false">IF(ISBLANK(RawFinancials!B73),"",RawFinancials!B73)</f>
        <v>1230052</v>
      </c>
      <c r="C73" s="0" t="n">
        <f aca="false">IF(ISBLANK(RawFinancials!C73),"",RawFinancials!C73)</f>
        <v>17960</v>
      </c>
      <c r="D73" s="0" t="n">
        <f aca="false">IF(ISBLANK(RawFinancials!D73),"",RawFinancials!D73)</f>
        <v>1013410</v>
      </c>
      <c r="E73" s="0" t="n">
        <f aca="false">IF(ISBLANK(RawFinancials!E73),"",RawFinancials!E73)</f>
        <v>0.11</v>
      </c>
      <c r="F73" s="0" t="n">
        <f aca="false">IF(ISBLANK(RawFinancials!F73),"",RawFinancials!F73)</f>
        <v>104397</v>
      </c>
      <c r="G73" s="0" t="n">
        <f aca="false">IF(ISBLANK(RawFinancials!G73),"",RawFinancials!G73)</f>
        <v>8.48720216706286</v>
      </c>
      <c r="H73" s="0" t="str">
        <f aca="false">IF(ISBLANK(RawFinancials!H73),"",RawFinancials!H73)</f>
        <v>17960_20220630</v>
      </c>
      <c r="I73" s="0" t="n">
        <f aca="false">IF(ISBLANK(RawFinancials!I73),"",RawFinancials!I73)</f>
        <v>0.987079029641062</v>
      </c>
      <c r="J73" s="0" t="n">
        <f aca="false">IF(ISBLANK(RawFinancials!J73),"",RawFinancials!J73)</f>
        <v>101427</v>
      </c>
      <c r="K73" s="0" t="n">
        <f aca="false">IF(ISBLANK(RawFinancials!K73),"",RawFinancials!K73)</f>
        <v>165699</v>
      </c>
      <c r="L73" s="0" t="n">
        <f aca="false">IF(ISBLANK(RawFinancials!L73),"",RawFinancials!L73)</f>
        <v>1010760</v>
      </c>
      <c r="M73" s="0" t="n">
        <f aca="false">IF(ISBLANK(RawFinancials!M73),"",RawFinancials!M73)</f>
        <v>1000783</v>
      </c>
      <c r="N73" s="0" t="n">
        <f aca="false">IF(ISBLANK(RawFinancials!N73),"",RawFinancials!N73)</f>
        <v>739326</v>
      </c>
      <c r="O73" s="0" t="n">
        <f aca="false">IF(ISBLANK(RawFinancials!O73),"",RawFinancials!O73)</f>
        <v>789</v>
      </c>
      <c r="P73" s="0" t="str">
        <f aca="false">IF(ISBLANK(RawFinancials!P73),"",RawFinancials!P73)</f>
        <v>MERRIMACK COUNTY SAVINGS BANK</v>
      </c>
      <c r="Q73" s="0" t="n">
        <f aca="false">IF(ISBLANK(RawFinancials!Q73),"",RawFinancials!Q73)</f>
        <v>0.0811270726977719</v>
      </c>
      <c r="R73" s="0" t="n">
        <f aca="false">IF(ISBLANK(RawFinancials!R73),"",RawFinancials!R73)</f>
        <v>3.61237032710627</v>
      </c>
      <c r="S73" s="0" t="n">
        <f aca="false">IF(ISBLANK(RawFinancials!S73),"",RawFinancials!S73)</f>
        <v>8</v>
      </c>
      <c r="T73" s="0" t="n">
        <f aca="false">IF(ISBLANK(RawFinancials!T73),"",RawFinancials!T73)</f>
        <v>818</v>
      </c>
      <c r="U73" s="0" t="n">
        <f aca="false">IF(ISBLANK(RawFinancials!U73),"",RawFinancials!U73)</f>
        <v>31</v>
      </c>
      <c r="V73" s="0" t="n">
        <f aca="false">IF(ISBLANK(RawFinancials!V73),"",RawFinancials!V73)</f>
        <v>13.5305719072218</v>
      </c>
      <c r="W73" s="0" t="n">
        <f aca="false">IF(ISBLANK(RawFinancials!W73),"",RawFinancials!W73)</f>
        <v>20220630</v>
      </c>
      <c r="X73" s="0" t="n">
        <f aca="false">IF(ISBLANK(RawFinancials!X73),"",RawFinancials!X73)</f>
        <v>0.790703185834716</v>
      </c>
      <c r="Y73" s="0" t="n">
        <f aca="false">IF(ISBLANK(RawFinancials!Y73),"",RawFinancials!Y73)</f>
        <v>8.65</v>
      </c>
      <c r="Z73" s="0" t="str">
        <f aca="false">IF(ISBLANK(RawFinancials!Z73),"",RawFinancials!Z73)</f>
        <v>NH</v>
      </c>
      <c r="AA73" s="0" t="n">
        <f aca="false">RawFinancials!AA73</f>
        <v>1</v>
      </c>
      <c r="AB73" s="0" t="n">
        <f aca="false">RawFinancials!AB73</f>
        <v>820</v>
      </c>
      <c r="AC73" s="0" t="n">
        <f aca="false">RawFinancials!AC73</f>
        <v>0.0666638483576304</v>
      </c>
      <c r="AD73" s="0" t="n">
        <f aca="false">IF(L73&gt;0,100*N73/L73,"")</f>
        <v>73.1455538406743</v>
      </c>
      <c r="AE73" s="0" t="n">
        <f aca="false">IF(B73&gt;0,100*F73/B73,"")</f>
        <v>8.48720216706286</v>
      </c>
      <c r="AF73" s="0" t="str">
        <f aca="false">RawFinancials!AE73</f>
        <v/>
      </c>
    </row>
    <row r="74" customFormat="false" ht="15" hidden="false" customHeight="false" outlineLevel="0" collapsed="false">
      <c r="A74" s="0" t="n">
        <f aca="false">IF(ISBLANK(RawFinancials!A74),"",RawFinancials!A74)</f>
        <v>74</v>
      </c>
      <c r="B74" s="0" t="n">
        <f aca="false">IF(ISBLANK(RawFinancials!B74),"",RawFinancials!B74)</f>
        <v>2374786</v>
      </c>
      <c r="C74" s="0" t="n">
        <f aca="false">IF(ISBLANK(RawFinancials!C74),"",RawFinancials!C74)</f>
        <v>18012</v>
      </c>
      <c r="D74" s="0" t="n">
        <f aca="false">IF(ISBLANK(RawFinancials!D74),"",RawFinancials!D74)</f>
        <v>2014310</v>
      </c>
      <c r="E74" s="0" t="n">
        <f aca="false">IF(ISBLANK(RawFinancials!E74),"",RawFinancials!E74)</f>
        <v>0.02</v>
      </c>
      <c r="F74" s="0" t="n">
        <f aca="false">IF(ISBLANK(RawFinancials!F74),"",RawFinancials!F74)</f>
        <v>231360</v>
      </c>
      <c r="G74" s="0" t="n">
        <f aca="false">IF(ISBLANK(RawFinancials!G74),"",RawFinancials!G74)</f>
        <v>9.74235152135814</v>
      </c>
      <c r="H74" s="0" t="str">
        <f aca="false">IF(ISBLANK(RawFinancials!H74),"",RawFinancials!H74)</f>
        <v>18012_20220630</v>
      </c>
      <c r="I74" s="0" t="n">
        <f aca="false">IF(ISBLANK(RawFinancials!I74),"",RawFinancials!I74)</f>
        <v>1.20610773336602</v>
      </c>
      <c r="J74" s="0" t="n">
        <f aca="false">IF(ISBLANK(RawFinancials!J74),"",RawFinancials!J74)</f>
        <v>53604</v>
      </c>
      <c r="K74" s="0" t="n">
        <f aca="false">IF(ISBLANK(RawFinancials!K74),"",RawFinancials!K74)</f>
        <v>35736</v>
      </c>
      <c r="L74" s="0" t="n">
        <f aca="false">IF(ISBLANK(RawFinancials!L74),"",RawFinancials!L74)</f>
        <v>1892617</v>
      </c>
      <c r="M74" s="0" t="n">
        <f aca="false">IF(ISBLANK(RawFinancials!M74),"",RawFinancials!M74)</f>
        <v>1869790</v>
      </c>
      <c r="N74" s="0" t="n">
        <f aca="false">IF(ISBLANK(RawFinancials!N74),"",RawFinancials!N74)</f>
        <v>1772602</v>
      </c>
      <c r="O74" s="0" t="n">
        <f aca="false">IF(ISBLANK(RawFinancials!O74),"",RawFinancials!O74)</f>
        <v>1132</v>
      </c>
      <c r="P74" s="0" t="str">
        <f aca="false">IF(ISBLANK(RawFinancials!P74),"",RawFinancials!P74)</f>
        <v>BANK OF NEW HAMPSHIRE</v>
      </c>
      <c r="Q74" s="0" t="n">
        <f aca="false">IF(ISBLANK(RawFinancials!Q74),"",RawFinancials!Q74)</f>
        <v>0.0598113617282313</v>
      </c>
      <c r="R74" s="0" t="n">
        <f aca="false">IF(ISBLANK(RawFinancials!R74),"",RawFinancials!R74)</f>
        <v>3.55342846169754</v>
      </c>
      <c r="S74" s="0" t="n">
        <f aca="false">IF(ISBLANK(RawFinancials!S74),"",RawFinancials!S74)</f>
        <v>22</v>
      </c>
      <c r="T74" s="0" t="n">
        <f aca="false">IF(ISBLANK(RawFinancials!T74),"",RawFinancials!T74)</f>
        <v>2539</v>
      </c>
      <c r="U74" s="0" t="n">
        <f aca="false">IF(ISBLANK(RawFinancials!U74),"",RawFinancials!U74)</f>
        <v>0</v>
      </c>
      <c r="V74" s="0" t="n">
        <f aca="false">IF(ISBLANK(RawFinancials!V74),"",RawFinancials!V74)</f>
        <v>12.6942760049431</v>
      </c>
      <c r="W74" s="0" t="n">
        <f aca="false">IF(ISBLANK(RawFinancials!W74),"",RawFinancials!W74)</f>
        <v>20220630</v>
      </c>
      <c r="X74" s="0" t="n">
        <f aca="false">IF(ISBLANK(RawFinancials!X74),"",RawFinancials!X74)</f>
        <v>1.27634753581963</v>
      </c>
      <c r="Y74" s="0" t="n">
        <f aca="false">IF(ISBLANK(RawFinancials!Y74),"",RawFinancials!Y74)</f>
        <v>12.6</v>
      </c>
      <c r="Z74" s="0" t="str">
        <f aca="false">IF(ISBLANK(RawFinancials!Z74),"",RawFinancials!Z74)</f>
        <v>NH</v>
      </c>
      <c r="AA74" s="0" t="n">
        <f aca="false">RawFinancials!AA74</f>
        <v>1</v>
      </c>
      <c r="AB74" s="0" t="n">
        <f aca="false">RawFinancials!AB74</f>
        <v>1132</v>
      </c>
      <c r="AC74" s="0" t="n">
        <f aca="false">RawFinancials!AC74</f>
        <v>0.047667452983132</v>
      </c>
      <c r="AD74" s="0" t="n">
        <f aca="false">IF(L74&gt;0,100*N74/L74,"")</f>
        <v>93.6587804082918</v>
      </c>
      <c r="AE74" s="0" t="n">
        <f aca="false">IF(B74&gt;0,100*F74/B74,"")</f>
        <v>9.74235152135813</v>
      </c>
      <c r="AF74" s="0" t="str">
        <f aca="false">RawFinancials!AE74</f>
        <v/>
      </c>
    </row>
    <row r="75" customFormat="false" ht="15" hidden="false" customHeight="false" outlineLevel="0" collapsed="false">
      <c r="A75" s="0" t="n">
        <f aca="false">IF(ISBLANK(RawFinancials!A75),"",RawFinancials!A75)</f>
        <v>75</v>
      </c>
      <c r="B75" s="0" t="n">
        <f aca="false">IF(ISBLANK(RawFinancials!B75),"",RawFinancials!B75)</f>
        <v>2601325</v>
      </c>
      <c r="C75" s="0" t="n">
        <f aca="false">IF(ISBLANK(RawFinancials!C75),"",RawFinancials!C75)</f>
        <v>18013</v>
      </c>
      <c r="D75" s="0" t="n">
        <f aca="false">IF(ISBLANK(RawFinancials!D75),"",RawFinancials!D75)</f>
        <v>2273331</v>
      </c>
      <c r="E75" s="0" t="n">
        <f aca="false">IF(ISBLANK(RawFinancials!E75),"",RawFinancials!E75)</f>
        <v>0.01</v>
      </c>
      <c r="F75" s="0" t="n">
        <f aca="false">IF(ISBLANK(RawFinancials!F75),"",RawFinancials!F75)</f>
        <v>196477</v>
      </c>
      <c r="G75" s="0" t="n">
        <f aca="false">IF(ISBLANK(RawFinancials!G75),"",RawFinancials!G75)</f>
        <v>7.55295858841168</v>
      </c>
      <c r="H75" s="0" t="str">
        <f aca="false">IF(ISBLANK(RawFinancials!H75),"",RawFinancials!H75)</f>
        <v>18013_20220630</v>
      </c>
      <c r="I75" s="0" t="n">
        <f aca="false">IF(ISBLANK(RawFinancials!I75),"",RawFinancials!I75)</f>
        <v>0.922548522337314</v>
      </c>
      <c r="J75" s="0" t="n">
        <f aca="false">IF(ISBLANK(RawFinancials!J75),"",RawFinancials!J75)</f>
        <v>113370</v>
      </c>
      <c r="K75" s="0" t="n">
        <f aca="false">IF(ISBLANK(RawFinancials!K75),"",RawFinancials!K75)</f>
        <v>12266</v>
      </c>
      <c r="L75" s="0" t="n">
        <f aca="false">IF(ISBLANK(RawFinancials!L75),"",RawFinancials!L75)</f>
        <v>2018864</v>
      </c>
      <c r="M75" s="0" t="n">
        <f aca="false">IF(ISBLANK(RawFinancials!M75),"",RawFinancials!M75)</f>
        <v>2000239</v>
      </c>
      <c r="N75" s="0" t="n">
        <f aca="false">IF(ISBLANK(RawFinancials!N75),"",RawFinancials!N75)</f>
        <v>1844412</v>
      </c>
      <c r="O75" s="0" t="n">
        <f aca="false">IF(ISBLANK(RawFinancials!O75),"",RawFinancials!O75)</f>
        <v>1506</v>
      </c>
      <c r="P75" s="0" t="str">
        <f aca="false">IF(ISBLANK(RawFinancials!P75),"",RawFinancials!P75)</f>
        <v>MASCOMA BANK</v>
      </c>
      <c r="Q75" s="0" t="n">
        <f aca="false">IF(ISBLANK(RawFinancials!Q75),"",RawFinancials!Q75)</f>
        <v>0.113281528622037</v>
      </c>
      <c r="R75" s="0" t="n">
        <f aca="false">IF(ISBLANK(RawFinancials!R75),"",RawFinancials!R75)</f>
        <v>3.10393830317986</v>
      </c>
      <c r="S75" s="0" t="n">
        <f aca="false">IF(ISBLANK(RawFinancials!S75),"",RawFinancials!S75)</f>
        <v>-43</v>
      </c>
      <c r="T75" s="0" t="n">
        <f aca="false">IF(ISBLANK(RawFinancials!T75),"",RawFinancials!T75)</f>
        <v>3104</v>
      </c>
      <c r="U75" s="0" t="n">
        <f aca="false">IF(ISBLANK(RawFinancials!U75),"",RawFinancials!U75)</f>
        <v>781</v>
      </c>
      <c r="V75" s="0" t="n">
        <f aca="false">IF(ISBLANK(RawFinancials!V75),"",RawFinancials!V75)</f>
        <v>13.7038054450497</v>
      </c>
      <c r="W75" s="0" t="n">
        <f aca="false">IF(ISBLANK(RawFinancials!W75),"",RawFinancials!W75)</f>
        <v>20220630</v>
      </c>
      <c r="X75" s="0" t="n">
        <f aca="false">IF(ISBLANK(RawFinancials!X75),"",RawFinancials!X75)</f>
        <v>0.734825584062721</v>
      </c>
      <c r="Y75" s="0" t="n">
        <f aca="false">IF(ISBLANK(RawFinancials!Y75),"",RawFinancials!Y75)</f>
        <v>9.07</v>
      </c>
      <c r="Z75" s="0" t="str">
        <f aca="false">IF(ISBLANK(RawFinancials!Z75),"",RawFinancials!Z75)</f>
        <v>NH</v>
      </c>
      <c r="AA75" s="0" t="n">
        <f aca="false">RawFinancials!AA75</f>
        <v>1</v>
      </c>
      <c r="AB75" s="0" t="n">
        <f aca="false">RawFinancials!AB75</f>
        <v>2287</v>
      </c>
      <c r="AC75" s="0" t="n">
        <f aca="false">RawFinancials!AC75</f>
        <v>0.0879167347409493</v>
      </c>
      <c r="AD75" s="0" t="n">
        <f aca="false">IF(L75&gt;0,100*N75/L75,"")</f>
        <v>91.3589028285214</v>
      </c>
      <c r="AE75" s="0" t="n">
        <f aca="false">IF(B75&gt;0,100*F75/B75,"")</f>
        <v>7.55295858841168</v>
      </c>
      <c r="AF75" s="0" t="str">
        <f aca="false">RawFinancials!AE75</f>
        <v/>
      </c>
    </row>
    <row r="76" customFormat="false" ht="15" hidden="false" customHeight="false" outlineLevel="0" collapsed="false">
      <c r="A76" s="0" t="n">
        <f aca="false">IF(ISBLANK(RawFinancials!A76),"",RawFinancials!A76)</f>
        <v>76</v>
      </c>
      <c r="B76" s="0" t="n">
        <f aca="false">IF(ISBLANK(RawFinancials!B76),"",RawFinancials!B76)</f>
        <v>377551</v>
      </c>
      <c r="C76" s="0" t="n">
        <f aca="false">IF(ISBLANK(RawFinancials!C76),"",RawFinancials!C76)</f>
        <v>18028</v>
      </c>
      <c r="D76" s="0" t="n">
        <f aca="false">IF(ISBLANK(RawFinancials!D76),"",RawFinancials!D76)</f>
        <v>335244</v>
      </c>
      <c r="E76" s="0" t="n">
        <f aca="false">IF(ISBLANK(RawFinancials!E76),"",RawFinancials!E76)</f>
        <v>-0.02</v>
      </c>
      <c r="F76" s="0" t="n">
        <f aca="false">IF(ISBLANK(RawFinancials!F76),"",RawFinancials!F76)</f>
        <v>38122</v>
      </c>
      <c r="G76" s="0" t="n">
        <f aca="false">IF(ISBLANK(RawFinancials!G76),"",RawFinancials!G76)</f>
        <v>10.0971789241718</v>
      </c>
      <c r="H76" s="0" t="str">
        <f aca="false">IF(ISBLANK(RawFinancials!H76),"",RawFinancials!H76)</f>
        <v>18028_20220630</v>
      </c>
      <c r="I76" s="0" t="n">
        <f aca="false">IF(ISBLANK(RawFinancials!I76),"",RawFinancials!I76)</f>
        <v>0.901574950432083</v>
      </c>
      <c r="J76" s="0" t="n">
        <f aca="false">IF(ISBLANK(RawFinancials!J76),"",RawFinancials!J76)</f>
        <v>16916</v>
      </c>
      <c r="K76" s="0" t="n">
        <f aca="false">IF(ISBLANK(RawFinancials!K76),"",RawFinancials!K76)</f>
        <v>6431</v>
      </c>
      <c r="L76" s="0" t="n">
        <f aca="false">IF(ISBLANK(RawFinancials!L76),"",RawFinancials!L76)</f>
        <v>240579</v>
      </c>
      <c r="M76" s="0" t="n">
        <f aca="false">IF(ISBLANK(RawFinancials!M76),"",RawFinancials!M76)</f>
        <v>238410</v>
      </c>
      <c r="N76" s="0" t="n">
        <f aca="false">IF(ISBLANK(RawFinancials!N76),"",RawFinancials!N76)</f>
        <v>210223</v>
      </c>
      <c r="O76" s="0" t="n">
        <f aca="false">IF(ISBLANK(RawFinancials!O76),"",RawFinancials!O76)</f>
        <v>1077</v>
      </c>
      <c r="P76" s="0" t="str">
        <f aca="false">IF(ISBLANK(RawFinancials!P76),"",RawFinancials!P76)</f>
        <v>SUGAR RIVER BANK</v>
      </c>
      <c r="Q76" s="0" t="n">
        <f aca="false">IF(ISBLANK(RawFinancials!Q76),"",RawFinancials!Q76)</f>
        <v>0.458061593073377</v>
      </c>
      <c r="R76" s="0" t="n">
        <f aca="false">IF(ISBLANK(RawFinancials!R76),"",RawFinancials!R76)</f>
        <v>3.21951052319902</v>
      </c>
      <c r="S76" s="0" t="n">
        <f aca="false">IF(ISBLANK(RawFinancials!S76),"",RawFinancials!S76)</f>
        <v>61</v>
      </c>
      <c r="T76" s="0" t="n">
        <f aca="false">IF(ISBLANK(RawFinancials!T76),"",RawFinancials!T76)</f>
        <v>879</v>
      </c>
      <c r="U76" s="0" t="n">
        <f aca="false">IF(ISBLANK(RawFinancials!U76),"",RawFinancials!U76)</f>
        <v>25</v>
      </c>
      <c r="V76" s="0" t="n">
        <f aca="false">IF(ISBLANK(RawFinancials!V76),"",RawFinancials!V76)</f>
        <v>0</v>
      </c>
      <c r="W76" s="0" t="n">
        <f aca="false">IF(ISBLANK(RawFinancials!W76),"",RawFinancials!W76)</f>
        <v>20220630</v>
      </c>
      <c r="X76" s="0" t="n">
        <f aca="false">IF(ISBLANK(RawFinancials!X76),"",RawFinancials!X76)</f>
        <v>0.703599748815598</v>
      </c>
      <c r="Y76" s="0" t="n">
        <f aca="false">IF(ISBLANK(RawFinancials!Y76),"",RawFinancials!Y76)</f>
        <v>6.26</v>
      </c>
      <c r="Z76" s="0" t="str">
        <f aca="false">IF(ISBLANK(RawFinancials!Z76),"",RawFinancials!Z76)</f>
        <v>NH</v>
      </c>
      <c r="AA76" s="0" t="n">
        <f aca="false">RawFinancials!AA76</f>
        <v>1</v>
      </c>
      <c r="AB76" s="0" t="n">
        <f aca="false">RawFinancials!AB76</f>
        <v>1102</v>
      </c>
      <c r="AC76" s="0" t="n">
        <f aca="false">RawFinancials!AC76</f>
        <v>0.291881096858438</v>
      </c>
      <c r="AD76" s="0" t="n">
        <f aca="false">IF(L76&gt;0,100*N76/L76,"")</f>
        <v>87.3821073327265</v>
      </c>
      <c r="AE76" s="0" t="n">
        <f aca="false">IF(B76&gt;0,100*F76/B76,"")</f>
        <v>10.0971789241718</v>
      </c>
      <c r="AF76" s="0" t="str">
        <f aca="false">RawFinancials!AE76</f>
        <v>原始0：需核实适用/报告口径</v>
      </c>
    </row>
    <row r="77" customFormat="false" ht="15" hidden="false" customHeight="false" outlineLevel="0" collapsed="false">
      <c r="A77" s="0" t="n">
        <f aca="false">IF(ISBLANK(RawFinancials!A77),"",RawFinancials!A77)</f>
        <v>77</v>
      </c>
      <c r="B77" s="0" t="n">
        <f aca="false">IF(ISBLANK(RawFinancials!B77),"",RawFinancials!B77)</f>
        <v>687772</v>
      </c>
      <c r="C77" s="0" t="n">
        <f aca="false">IF(ISBLANK(RawFinancials!C77),"",RawFinancials!C77)</f>
        <v>18030</v>
      </c>
      <c r="D77" s="0" t="n">
        <f aca="false">IF(ISBLANK(RawFinancials!D77),"",RawFinancials!D77)</f>
        <v>640669</v>
      </c>
      <c r="E77" s="0" t="n">
        <f aca="false">IF(ISBLANK(RawFinancials!E77),"",RawFinancials!E77)</f>
        <v>0.1</v>
      </c>
      <c r="F77" s="0" t="n">
        <f aca="false">IF(ISBLANK(RawFinancials!F77),"",RawFinancials!F77)</f>
        <v>44729</v>
      </c>
      <c r="G77" s="0" t="n">
        <f aca="false">IF(ISBLANK(RawFinancials!G77),"",RawFinancials!G77)</f>
        <v>6.50346335704274</v>
      </c>
      <c r="H77" s="0" t="str">
        <f aca="false">IF(ISBLANK(RawFinancials!H77),"",RawFinancials!H77)</f>
        <v>18030_20220630</v>
      </c>
      <c r="I77" s="0" t="n">
        <f aca="false">IF(ISBLANK(RawFinancials!I77),"",RawFinancials!I77)</f>
        <v>0.927777864587402</v>
      </c>
      <c r="J77" s="0" t="n">
        <f aca="false">IF(ISBLANK(RawFinancials!J77),"",RawFinancials!J77)</f>
        <v>28037</v>
      </c>
      <c r="K77" s="0" t="n">
        <f aca="false">IF(ISBLANK(RawFinancials!K77),"",RawFinancials!K77)</f>
        <v>84156</v>
      </c>
      <c r="L77" s="0" t="n">
        <f aca="false">IF(ISBLANK(RawFinancials!L77),"",RawFinancials!L77)</f>
        <v>511976</v>
      </c>
      <c r="M77" s="0" t="n">
        <f aca="false">IF(ISBLANK(RawFinancials!M77),"",RawFinancials!M77)</f>
        <v>507226</v>
      </c>
      <c r="N77" s="0" t="n">
        <f aca="false">IF(ISBLANK(RawFinancials!N77),"",RawFinancials!N77)</f>
        <v>399387</v>
      </c>
      <c r="O77" s="0" t="n">
        <f aca="false">IF(ISBLANK(RawFinancials!O77),"",RawFinancials!O77)</f>
        <v>564</v>
      </c>
      <c r="P77" s="0" t="str">
        <f aca="false">IF(ISBLANK(RawFinancials!P77),"",RawFinancials!P77)</f>
        <v>SAVINGS BANK OF WALPOLE</v>
      </c>
      <c r="Q77" s="0" t="n">
        <f aca="false">IF(ISBLANK(RawFinancials!Q77),"",RawFinancials!Q77)</f>
        <v>0.110161413816273</v>
      </c>
      <c r="R77" s="0" t="n">
        <f aca="false">IF(ISBLANK(RawFinancials!R77),"",RawFinancials!R77)</f>
        <v>3.01893171061528</v>
      </c>
      <c r="S77" s="0" t="n">
        <f aca="false">IF(ISBLANK(RawFinancials!S77),"",RawFinancials!S77)</f>
        <v>-30</v>
      </c>
      <c r="T77" s="0" t="n">
        <f aca="false">IF(ISBLANK(RawFinancials!T77),"",RawFinancials!T77)</f>
        <v>123</v>
      </c>
      <c r="U77" s="0" t="n">
        <f aca="false">IF(ISBLANK(RawFinancials!U77),"",RawFinancials!U77)</f>
        <v>0</v>
      </c>
      <c r="V77" s="0" t="n">
        <f aca="false">IF(ISBLANK(RawFinancials!V77),"",RawFinancials!V77)</f>
        <v>13.6627788194807</v>
      </c>
      <c r="W77" s="0" t="n">
        <f aca="false">IF(ISBLANK(RawFinancials!W77),"",RawFinancials!W77)</f>
        <v>20220630</v>
      </c>
      <c r="X77" s="0" t="n">
        <f aca="false">IF(ISBLANK(RawFinancials!X77),"",RawFinancials!X77)</f>
        <v>0.378784896628824</v>
      </c>
      <c r="Y77" s="0" t="n">
        <f aca="false">IF(ISBLANK(RawFinancials!Y77),"",RawFinancials!Y77)</f>
        <v>5.29</v>
      </c>
      <c r="Z77" s="0" t="str">
        <f aca="false">IF(ISBLANK(RawFinancials!Z77),"",RawFinancials!Z77)</f>
        <v>NH</v>
      </c>
      <c r="AA77" s="0" t="n">
        <f aca="false">RawFinancials!AA77</f>
        <v>1</v>
      </c>
      <c r="AB77" s="0" t="n">
        <f aca="false">RawFinancials!AB77</f>
        <v>564</v>
      </c>
      <c r="AC77" s="0" t="n">
        <f aca="false">RawFinancials!AC77</f>
        <v>0.082003919903689</v>
      </c>
      <c r="AD77" s="0" t="n">
        <f aca="false">IF(L77&gt;0,100*N77/L77,"")</f>
        <v>78.0089301060987</v>
      </c>
      <c r="AE77" s="0" t="n">
        <f aca="false">IF(B77&gt;0,100*F77/B77,"")</f>
        <v>6.50346335704274</v>
      </c>
      <c r="AF77" s="0" t="str">
        <f aca="false">RawFinancials!AE77</f>
        <v/>
      </c>
    </row>
    <row r="78" customFormat="false" ht="15" hidden="false" customHeight="false" outlineLevel="0" collapsed="false">
      <c r="A78" s="0" t="n">
        <f aca="false">IF(ISBLANK(RawFinancials!A78),"",RawFinancials!A78)</f>
        <v>78</v>
      </c>
      <c r="B78" s="0" t="n">
        <f aca="false">IF(ISBLANK(RawFinancials!B78),"",RawFinancials!B78)</f>
        <v>627001</v>
      </c>
      <c r="C78" s="0" t="n">
        <f aca="false">IF(ISBLANK(RawFinancials!C78),"",RawFinancials!C78)</f>
        <v>18031</v>
      </c>
      <c r="D78" s="0" t="n">
        <f aca="false">IF(ISBLANK(RawFinancials!D78),"",RawFinancials!D78)</f>
        <v>558118</v>
      </c>
      <c r="E78" s="0" t="n">
        <f aca="false">IF(ISBLANK(RawFinancials!E78),"",RawFinancials!E78)</f>
        <v>0</v>
      </c>
      <c r="F78" s="0" t="n">
        <f aca="false">IF(ISBLANK(RawFinancials!F78),"",RawFinancials!F78)</f>
        <v>39966</v>
      </c>
      <c r="G78" s="0" t="n">
        <f aca="false">IF(ISBLANK(RawFinancials!G78),"",RawFinancials!G78)</f>
        <v>6.37415251331338</v>
      </c>
      <c r="H78" s="0" t="str">
        <f aca="false">IF(ISBLANK(RawFinancials!H78),"",RawFinancials!H78)</f>
        <v>18031_20220630</v>
      </c>
      <c r="I78" s="0" t="n">
        <f aca="false">IF(ISBLANK(RawFinancials!I78),"",RawFinancials!I78)</f>
        <v>1.1769329562282</v>
      </c>
      <c r="J78" s="0" t="n">
        <f aca="false">IF(ISBLANK(RawFinancials!J78),"",RawFinancials!J78)</f>
        <v>30545</v>
      </c>
      <c r="K78" s="0" t="n">
        <f aca="false">IF(ISBLANK(RawFinancials!K78),"",RawFinancials!K78)</f>
        <v>8127</v>
      </c>
      <c r="L78" s="0" t="n">
        <f aca="false">IF(ISBLANK(RawFinancials!L78),"",RawFinancials!L78)</f>
        <v>427467</v>
      </c>
      <c r="M78" s="0" t="n">
        <f aca="false">IF(ISBLANK(RawFinancials!M78),"",RawFinancials!M78)</f>
        <v>422436</v>
      </c>
      <c r="N78" s="0" t="n">
        <f aca="false">IF(ISBLANK(RawFinancials!N78),"",RawFinancials!N78)</f>
        <v>382501</v>
      </c>
      <c r="O78" s="0" t="n">
        <f aca="false">IF(ISBLANK(RawFinancials!O78),"",RawFinancials!O78)</f>
        <v>527</v>
      </c>
      <c r="P78" s="0" t="str">
        <f aca="false">IF(ISBLANK(RawFinancials!P78),"",RawFinancials!P78)</f>
        <v>WOODSVILLE GUARANTY SAVINGS BANK</v>
      </c>
      <c r="Q78" s="0" t="n">
        <f aca="false">IF(ISBLANK(RawFinancials!Q78),"",RawFinancials!Q78)</f>
        <v>0.123284370489418</v>
      </c>
      <c r="R78" s="0" t="n">
        <f aca="false">IF(ISBLANK(RawFinancials!R78),"",RawFinancials!R78)</f>
        <v>2.91034514485245</v>
      </c>
      <c r="S78" s="0" t="n">
        <f aca="false">IF(ISBLANK(RawFinancials!S78),"",RawFinancials!S78)</f>
        <v>3</v>
      </c>
      <c r="T78" s="0" t="n">
        <f aca="false">IF(ISBLANK(RawFinancials!T78),"",RawFinancials!T78)</f>
        <v>1081</v>
      </c>
      <c r="U78" s="0" t="n">
        <f aca="false">IF(ISBLANK(RawFinancials!U78),"",RawFinancials!U78)</f>
        <v>0</v>
      </c>
      <c r="V78" s="0" t="n">
        <f aca="false">IF(ISBLANK(RawFinancials!V78),"",RawFinancials!V78)</f>
        <v>0</v>
      </c>
      <c r="W78" s="0" t="n">
        <f aca="false">IF(ISBLANK(RawFinancials!W78),"",RawFinancials!W78)</f>
        <v>20220630</v>
      </c>
      <c r="X78" s="0" t="n">
        <f aca="false">IF(ISBLANK(RawFinancials!X78),"",RawFinancials!X78)</f>
        <v>0.460576991796965</v>
      </c>
      <c r="Y78" s="0" t="n">
        <f aca="false">IF(ISBLANK(RawFinancials!Y78),"",RawFinancials!Y78)</f>
        <v>6.21</v>
      </c>
      <c r="Z78" s="0" t="str">
        <f aca="false">IF(ISBLANK(RawFinancials!Z78),"",RawFinancials!Z78)</f>
        <v>NH</v>
      </c>
      <c r="AA78" s="0" t="n">
        <f aca="false">RawFinancials!AA78</f>
        <v>1</v>
      </c>
      <c r="AB78" s="0" t="n">
        <f aca="false">RawFinancials!AB78</f>
        <v>527</v>
      </c>
      <c r="AC78" s="0" t="n">
        <f aca="false">RawFinancials!AC78</f>
        <v>0.0840509026301393</v>
      </c>
      <c r="AD78" s="0" t="n">
        <f aca="false">IF(L78&gt;0,100*N78/L78,"")</f>
        <v>89.4808254204418</v>
      </c>
      <c r="AE78" s="0" t="n">
        <f aca="false">IF(B78&gt;0,100*F78/B78,"")</f>
        <v>6.37415251331338</v>
      </c>
      <c r="AF78" s="0" t="str">
        <f aca="false">RawFinancials!AE78</f>
        <v>原始0：需核实适用/报告口径</v>
      </c>
    </row>
    <row r="79" customFormat="false" ht="15" hidden="false" customHeight="false" outlineLevel="0" collapsed="false">
      <c r="A79" s="0" t="n">
        <f aca="false">IF(ISBLANK(RawFinancials!A79),"",RawFinancials!A79)</f>
        <v>79</v>
      </c>
      <c r="B79" s="0" t="n">
        <f aca="false">IF(ISBLANK(RawFinancials!B79),"",RawFinancials!B79)</f>
        <v>488764</v>
      </c>
      <c r="C79" s="0" t="n">
        <f aca="false">IF(ISBLANK(RawFinancials!C79),"",RawFinancials!C79)</f>
        <v>18038</v>
      </c>
      <c r="D79" s="0" t="n">
        <f aca="false">IF(ISBLANK(RawFinancials!D79),"",RawFinancials!D79)</f>
        <v>401670</v>
      </c>
      <c r="E79" s="0" t="n">
        <f aca="false">IF(ISBLANK(RawFinancials!E79),"",RawFinancials!E79)</f>
        <v>-0.13</v>
      </c>
      <c r="F79" s="0" t="n">
        <f aca="false">IF(ISBLANK(RawFinancials!F79),"",RawFinancials!F79)</f>
        <v>64314</v>
      </c>
      <c r="G79" s="0" t="n">
        <f aca="false">IF(ISBLANK(RawFinancials!G79),"",RawFinancials!G79)</f>
        <v>13.1584977617009</v>
      </c>
      <c r="H79" s="0" t="str">
        <f aca="false">IF(ISBLANK(RawFinancials!H79),"",RawFinancials!H79)</f>
        <v>18038_20220630</v>
      </c>
      <c r="I79" s="0" t="n">
        <f aca="false">IF(ISBLANK(RawFinancials!I79),"",RawFinancials!I79)</f>
        <v>1.10668473722398</v>
      </c>
      <c r="J79" s="0" t="n">
        <f aca="false">IF(ISBLANK(RawFinancials!J79),"",RawFinancials!J79)</f>
        <v>17550</v>
      </c>
      <c r="K79" s="0" t="n">
        <f aca="false">IF(ISBLANK(RawFinancials!K79),"",RawFinancials!K79)</f>
        <v>3145</v>
      </c>
      <c r="L79" s="0" t="n">
        <f aca="false">IF(ISBLANK(RawFinancials!L79),"",RawFinancials!L79)</f>
        <v>365235</v>
      </c>
      <c r="M79" s="0" t="n">
        <f aca="false">IF(ISBLANK(RawFinancials!M79),"",RawFinancials!M79)</f>
        <v>361193</v>
      </c>
      <c r="N79" s="0" t="n">
        <f aca="false">IF(ISBLANK(RawFinancials!N79),"",RawFinancials!N79)</f>
        <v>344078</v>
      </c>
      <c r="O79" s="0" t="n">
        <f aca="false">IF(ISBLANK(RawFinancials!O79),"",RawFinancials!O79)</f>
        <v>2488</v>
      </c>
      <c r="P79" s="0" t="str">
        <f aca="false">IF(ISBLANK(RawFinancials!P79),"",RawFinancials!P79)</f>
        <v>CLAREMONT SAVINGS BANK</v>
      </c>
      <c r="Q79" s="0" t="n">
        <f aca="false">IF(ISBLANK(RawFinancials!Q79),"",RawFinancials!Q79)</f>
        <v>0.681205251413474</v>
      </c>
      <c r="R79" s="0" t="n">
        <f aca="false">IF(ISBLANK(RawFinancials!R79),"",RawFinancials!R79)</f>
        <v>3.160436023118</v>
      </c>
      <c r="S79" s="0" t="n">
        <f aca="false">IF(ISBLANK(RawFinancials!S79),"",RawFinancials!S79)</f>
        <v>-72</v>
      </c>
      <c r="T79" s="0" t="n">
        <f aca="false">IF(ISBLANK(RawFinancials!T79),"",RawFinancials!T79)</f>
        <v>680</v>
      </c>
      <c r="U79" s="0" t="n">
        <f aca="false">IF(ISBLANK(RawFinancials!U79),"",RawFinancials!U79)</f>
        <v>0</v>
      </c>
      <c r="V79" s="0" t="n">
        <f aca="false">IF(ISBLANK(RawFinancials!V79),"",RawFinancials!V79)</f>
        <v>0</v>
      </c>
      <c r="W79" s="0" t="n">
        <f aca="false">IF(ISBLANK(RawFinancials!W79),"",RawFinancials!W79)</f>
        <v>20220630</v>
      </c>
      <c r="X79" s="0" t="n">
        <f aca="false">IF(ISBLANK(RawFinancials!X79),"",RawFinancials!X79)</f>
        <v>-1.25076524476901</v>
      </c>
      <c r="Y79" s="0" t="n">
        <f aca="false">IF(ISBLANK(RawFinancials!Y79),"",RawFinancials!Y79)</f>
        <v>-8.88</v>
      </c>
      <c r="Z79" s="0" t="str">
        <f aca="false">IF(ISBLANK(RawFinancials!Z79),"",RawFinancials!Z79)</f>
        <v>NH</v>
      </c>
      <c r="AA79" s="0" t="n">
        <f aca="false">RawFinancials!AA79</f>
        <v>1</v>
      </c>
      <c r="AB79" s="0" t="n">
        <f aca="false">RawFinancials!AB79</f>
        <v>2488</v>
      </c>
      <c r="AC79" s="0" t="n">
        <f aca="false">RawFinancials!AC79</f>
        <v>0.509039127267966</v>
      </c>
      <c r="AD79" s="0" t="n">
        <f aca="false">IF(L79&gt;0,100*N79/L79,"")</f>
        <v>94.2072911960792</v>
      </c>
      <c r="AE79" s="0" t="n">
        <f aca="false">IF(B79&gt;0,100*F79/B79,"")</f>
        <v>13.1584977617009</v>
      </c>
      <c r="AF79" s="0" t="str">
        <f aca="false">RawFinancials!AE79</f>
        <v>原始0：需核实适用/报告口径</v>
      </c>
    </row>
    <row r="80" customFormat="false" ht="15" hidden="false" customHeight="false" outlineLevel="0" collapsed="false">
      <c r="A80" s="0" t="n">
        <f aca="false">IF(ISBLANK(RawFinancials!A80),"",RawFinancials!A80)</f>
        <v>80</v>
      </c>
      <c r="B80" s="0" t="n">
        <f aca="false">IF(ISBLANK(RawFinancials!B80),"",RawFinancials!B80)</f>
        <v>7044628</v>
      </c>
      <c r="C80" s="0" t="n">
        <f aca="false">IF(ISBLANK(RawFinancials!C80),"",RawFinancials!C80)</f>
        <v>18408</v>
      </c>
      <c r="D80" s="0" t="n">
        <f aca="false">IF(ISBLANK(RawFinancials!D80),"",RawFinancials!D80)</f>
        <v>5698679</v>
      </c>
      <c r="E80" s="0" t="n">
        <f aca="false">IF(ISBLANK(RawFinancials!E80),"",RawFinancials!E80)</f>
        <v>-0.14</v>
      </c>
      <c r="F80" s="0" t="n">
        <f aca="false">IF(ISBLANK(RawFinancials!F80),"",RawFinancials!F80)</f>
        <v>400181</v>
      </c>
      <c r="G80" s="0" t="n">
        <f aca="false">IF(ISBLANK(RawFinancials!G80),"",RawFinancials!G80)</f>
        <v>5.68065481953057</v>
      </c>
      <c r="H80" s="0" t="str">
        <f aca="false">IF(ISBLANK(RawFinancials!H80),"",RawFinancials!H80)</f>
        <v>18408_20220630</v>
      </c>
      <c r="I80" s="0" t="n">
        <f aca="false">IF(ISBLANK(RawFinancials!I80),"",RawFinancials!I80)</f>
        <v>1.05044143336233</v>
      </c>
      <c r="J80" s="0" t="n">
        <f aca="false">IF(ISBLANK(RawFinancials!J80),"",RawFinancials!J80)</f>
        <v>300704</v>
      </c>
      <c r="K80" s="0" t="n">
        <f aca="false">IF(ISBLANK(RawFinancials!K80),"",RawFinancials!K80)</f>
        <v>28143</v>
      </c>
      <c r="L80" s="0" t="n">
        <f aca="false">IF(ISBLANK(RawFinancials!L80),"",RawFinancials!L80)</f>
        <v>4218417</v>
      </c>
      <c r="M80" s="0" t="n">
        <f aca="false">IF(ISBLANK(RawFinancials!M80),"",RawFinancials!M80)</f>
        <v>4174105</v>
      </c>
      <c r="N80" s="0" t="n">
        <f aca="false">IF(ISBLANK(RawFinancials!N80),"",RawFinancials!N80)</f>
        <v>3811693</v>
      </c>
      <c r="O80" s="0" t="n">
        <f aca="false">IF(ISBLANK(RawFinancials!O80),"",RawFinancials!O80)</f>
        <v>3286</v>
      </c>
      <c r="P80" s="0" t="str">
        <f aca="false">IF(ISBLANK(RawFinancials!P80),"",RawFinancials!P80)</f>
        <v>BANGOR SAVINGS BANK</v>
      </c>
      <c r="Q80" s="0" t="n">
        <f aca="false">IF(ISBLANK(RawFinancials!Q80),"",RawFinancials!Q80)</f>
        <v>0.0778965190022702</v>
      </c>
      <c r="R80" s="0" t="n">
        <f aca="false">IF(ISBLANK(RawFinancials!R80),"",RawFinancials!R80)</f>
        <v>2.71187008580479</v>
      </c>
      <c r="S80" s="0" t="n">
        <f aca="false">IF(ISBLANK(RawFinancials!S80),"",RawFinancials!S80)</f>
        <v>330</v>
      </c>
      <c r="T80" s="0" t="n">
        <f aca="false">IF(ISBLANK(RawFinancials!T80),"",RawFinancials!T80)</f>
        <v>2128</v>
      </c>
      <c r="U80" s="0" t="n">
        <f aca="false">IF(ISBLANK(RawFinancials!U80),"",RawFinancials!U80)</f>
        <v>0</v>
      </c>
      <c r="V80" s="0" t="n">
        <f aca="false">IF(ISBLANK(RawFinancials!V80),"",RawFinancials!V80)</f>
        <v>12.6356673275024</v>
      </c>
      <c r="W80" s="0" t="n">
        <f aca="false">IF(ISBLANK(RawFinancials!W80),"",RawFinancials!W80)</f>
        <v>20220630</v>
      </c>
      <c r="X80" s="0" t="n">
        <f aca="false">IF(ISBLANK(RawFinancials!X80),"",RawFinancials!X80)</f>
        <v>0.683736868525769</v>
      </c>
      <c r="Y80" s="0" t="n">
        <f aca="false">IF(ISBLANK(RawFinancials!Y80),"",RawFinancials!Y80)</f>
        <v>10.28</v>
      </c>
      <c r="Z80" s="0" t="str">
        <f aca="false">IF(ISBLANK(RawFinancials!Z80),"",RawFinancials!Z80)</f>
        <v>ME</v>
      </c>
      <c r="AA80" s="0" t="n">
        <f aca="false">RawFinancials!AA80</f>
        <v>1</v>
      </c>
      <c r="AB80" s="0" t="n">
        <f aca="false">RawFinancials!AB80</f>
        <v>3286</v>
      </c>
      <c r="AC80" s="0" t="n">
        <f aca="false">RawFinancials!AC80</f>
        <v>0.0466454722662432</v>
      </c>
      <c r="AD80" s="0" t="n">
        <f aca="false">IF(L80&gt;0,100*N80/L80,"")</f>
        <v>90.3583737691177</v>
      </c>
      <c r="AE80" s="0" t="n">
        <f aca="false">IF(B80&gt;0,100*F80/B80,"")</f>
        <v>5.68065481953057</v>
      </c>
      <c r="AF80" s="0" t="str">
        <f aca="false">RawFinancials!AE80</f>
        <v/>
      </c>
    </row>
    <row r="81" customFormat="false" ht="15" hidden="false" customHeight="false" outlineLevel="0" collapsed="false">
      <c r="A81" s="0" t="n">
        <f aca="false">IF(ISBLANK(RawFinancials!A81),"",RawFinancials!A81)</f>
        <v>81</v>
      </c>
      <c r="B81" s="0" t="n">
        <f aca="false">IF(ISBLANK(RawFinancials!B81),"",RawFinancials!B81)</f>
        <v>2272024</v>
      </c>
      <c r="C81" s="0" t="n">
        <f aca="false">IF(ISBLANK(RawFinancials!C81),"",RawFinancials!C81)</f>
        <v>19531</v>
      </c>
      <c r="D81" s="0" t="n">
        <f aca="false">IF(ISBLANK(RawFinancials!D81),"",RawFinancials!D81)</f>
        <v>1925714</v>
      </c>
      <c r="E81" s="0" t="n">
        <f aca="false">IF(ISBLANK(RawFinancials!E81),"",RawFinancials!E81)</f>
        <v>0</v>
      </c>
      <c r="F81" s="0" t="n">
        <f aca="false">IF(ISBLANK(RawFinancials!F81),"",RawFinancials!F81)</f>
        <v>222030</v>
      </c>
      <c r="G81" s="0" t="n">
        <f aca="false">IF(ISBLANK(RawFinancials!G81),"",RawFinancials!G81)</f>
        <v>9.77234395411316</v>
      </c>
      <c r="H81" s="0" t="str">
        <f aca="false">IF(ISBLANK(RawFinancials!H81),"",RawFinancials!H81)</f>
        <v>19531_20220630</v>
      </c>
      <c r="I81" s="0" t="n">
        <f aca="false">IF(ISBLANK(RawFinancials!I81),"",RawFinancials!I81)</f>
        <v>1.33786598786406</v>
      </c>
      <c r="J81" s="0" t="n">
        <f aca="false">IF(ISBLANK(RawFinancials!J81),"",RawFinancials!J81)</f>
        <v>242350</v>
      </c>
      <c r="K81" s="0" t="n">
        <f aca="false">IF(ISBLANK(RawFinancials!K81),"",RawFinancials!K81)</f>
        <v>12873</v>
      </c>
      <c r="L81" s="0" t="n">
        <f aca="false">IF(ISBLANK(RawFinancials!L81),"",RawFinancials!L81)</f>
        <v>1764676</v>
      </c>
      <c r="M81" s="0" t="n">
        <f aca="false">IF(ISBLANK(RawFinancials!M81),"",RawFinancials!M81)</f>
        <v>1741067</v>
      </c>
      <c r="N81" s="0" t="n">
        <f aca="false">IF(ISBLANK(RawFinancials!N81),"",RawFinancials!N81)</f>
        <v>1421672</v>
      </c>
      <c r="O81" s="0" t="n">
        <f aca="false">IF(ISBLANK(RawFinancials!O81),"",RawFinancials!O81)</f>
        <v>5750</v>
      </c>
      <c r="P81" s="0" t="str">
        <f aca="false">IF(ISBLANK(RawFinancials!P81),"",RawFinancials!P81)</f>
        <v>MACHIAS SAVINGS BANK</v>
      </c>
      <c r="Q81" s="0" t="n">
        <f aca="false">IF(ISBLANK(RawFinancials!Q81),"",RawFinancials!Q81)</f>
        <v>0.325838850871208</v>
      </c>
      <c r="R81" s="0" t="n">
        <f aca="false">IF(ISBLANK(RawFinancials!R81),"",RawFinancials!R81)</f>
        <v>3.53092726803068</v>
      </c>
      <c r="S81" s="0" t="n">
        <f aca="false">IF(ISBLANK(RawFinancials!S81),"",RawFinancials!S81)</f>
        <v>33</v>
      </c>
      <c r="T81" s="0" t="n">
        <f aca="false">IF(ISBLANK(RawFinancials!T81),"",RawFinancials!T81)</f>
        <v>3231</v>
      </c>
      <c r="U81" s="0" t="n">
        <f aca="false">IF(ISBLANK(RawFinancials!U81),"",RawFinancials!U81)</f>
        <v>0</v>
      </c>
      <c r="V81" s="0" t="n">
        <f aca="false">IF(ISBLANK(RawFinancials!V81),"",RawFinancials!V81)</f>
        <v>14.6873232617526</v>
      </c>
      <c r="W81" s="0" t="n">
        <f aca="false">IF(ISBLANK(RawFinancials!W81),"",RawFinancials!W81)</f>
        <v>20220630</v>
      </c>
      <c r="X81" s="0" t="n">
        <f aca="false">IF(ISBLANK(RawFinancials!X81),"",RawFinancials!X81)</f>
        <v>0.393415877845515</v>
      </c>
      <c r="Y81" s="0" t="n">
        <f aca="false">IF(ISBLANK(RawFinancials!Y81),"",RawFinancials!Y81)</f>
        <v>3.85</v>
      </c>
      <c r="Z81" s="0" t="str">
        <f aca="false">IF(ISBLANK(RawFinancials!Z81),"",RawFinancials!Z81)</f>
        <v>ME</v>
      </c>
      <c r="AA81" s="0" t="n">
        <f aca="false">RawFinancials!AA81</f>
        <v>1</v>
      </c>
      <c r="AB81" s="0" t="n">
        <f aca="false">RawFinancials!AB81</f>
        <v>5750</v>
      </c>
      <c r="AC81" s="0" t="n">
        <f aca="false">RawFinancials!AC81</f>
        <v>0.253078312553036</v>
      </c>
      <c r="AD81" s="0" t="n">
        <f aca="false">IF(L81&gt;0,100*N81/L81,"")</f>
        <v>80.5627775296995</v>
      </c>
      <c r="AE81" s="0" t="n">
        <f aca="false">IF(B81&gt;0,100*F81/B81,"")</f>
        <v>9.77234395411316</v>
      </c>
      <c r="AF81" s="0" t="str">
        <f aca="false">RawFinancials!AE81</f>
        <v/>
      </c>
    </row>
    <row r="82" customFormat="false" ht="15" hidden="false" customHeight="false" outlineLevel="0" collapsed="false">
      <c r="A82" s="0" t="n">
        <f aca="false">IF(ISBLANK(RawFinancials!A82),"",RawFinancials!A82)</f>
        <v>82</v>
      </c>
      <c r="B82" s="0" t="n">
        <f aca="false">IF(ISBLANK(RawFinancials!B82),"",RawFinancials!B82)</f>
        <v>754376</v>
      </c>
      <c r="C82" s="0" t="n">
        <f aca="false">IF(ISBLANK(RawFinancials!C82),"",RawFinancials!C82)</f>
        <v>19532</v>
      </c>
      <c r="D82" s="0" t="n">
        <f aca="false">IF(ISBLANK(RawFinancials!D82),"",RawFinancials!D82)</f>
        <v>650205</v>
      </c>
      <c r="E82" s="0" t="n">
        <f aca="false">IF(ISBLANK(RawFinancials!E82),"",RawFinancials!E82)</f>
        <v>0.01</v>
      </c>
      <c r="F82" s="0" t="n">
        <f aca="false">IF(ISBLANK(RawFinancials!F82),"",RawFinancials!F82)</f>
        <v>89980</v>
      </c>
      <c r="G82" s="0" t="n">
        <f aca="false">IF(ISBLANK(RawFinancials!G82),"",RawFinancials!G82)</f>
        <v>11.9277389524587</v>
      </c>
      <c r="H82" s="0" t="str">
        <f aca="false">IF(ISBLANK(RawFinancials!H82),"",RawFinancials!H82)</f>
        <v>19532_20220630</v>
      </c>
      <c r="I82" s="0" t="n">
        <f aca="false">IF(ISBLANK(RawFinancials!I82),"",RawFinancials!I82)</f>
        <v>1.14735483370052</v>
      </c>
      <c r="J82" s="0" t="n">
        <f aca="false">IF(ISBLANK(RawFinancials!J82),"",RawFinancials!J82)</f>
        <v>22566</v>
      </c>
      <c r="K82" s="0" t="n">
        <f aca="false">IF(ISBLANK(RawFinancials!K82),"",RawFinancials!K82)</f>
        <v>41806</v>
      </c>
      <c r="L82" s="0" t="n">
        <f aca="false">IF(ISBLANK(RawFinancials!L82),"",RawFinancials!L82)</f>
        <v>515185</v>
      </c>
      <c r="M82" s="0" t="n">
        <f aca="false">IF(ISBLANK(RawFinancials!M82),"",RawFinancials!M82)</f>
        <v>509274</v>
      </c>
      <c r="N82" s="0" t="n">
        <f aca="false">IF(ISBLANK(RawFinancials!N82),"",RawFinancials!N82)</f>
        <v>443130</v>
      </c>
      <c r="O82" s="0" t="n">
        <f aca="false">IF(ISBLANK(RawFinancials!O82),"",RawFinancials!O82)</f>
        <v>597</v>
      </c>
      <c r="P82" s="0" t="str">
        <f aca="false">IF(ISBLANK(RawFinancials!P82),"",RawFinancials!P82)</f>
        <v>SKOWHEGAN SAVINGS BANK</v>
      </c>
      <c r="Q82" s="0" t="n">
        <f aca="false">IF(ISBLANK(RawFinancials!Q82),"",RawFinancials!Q82)</f>
        <v>0.152178343701777</v>
      </c>
      <c r="R82" s="0" t="n">
        <f aca="false">IF(ISBLANK(RawFinancials!R82),"",RawFinancials!R82)</f>
        <v>3.21438214693699</v>
      </c>
      <c r="S82" s="0" t="n">
        <f aca="false">IF(ISBLANK(RawFinancials!S82),"",RawFinancials!S82)</f>
        <v>-4</v>
      </c>
      <c r="T82" s="0" t="n">
        <f aca="false">IF(ISBLANK(RawFinancials!T82),"",RawFinancials!T82)</f>
        <v>596</v>
      </c>
      <c r="U82" s="0" t="n">
        <f aca="false">IF(ISBLANK(RawFinancials!U82),"",RawFinancials!U82)</f>
        <v>187</v>
      </c>
      <c r="V82" s="0" t="n">
        <f aca="false">IF(ISBLANK(RawFinancials!V82),"",RawFinancials!V82)</f>
        <v>21.3539763438792</v>
      </c>
      <c r="W82" s="0" t="n">
        <f aca="false">IF(ISBLANK(RawFinancials!W82),"",RawFinancials!W82)</f>
        <v>20220630</v>
      </c>
      <c r="X82" s="0" t="n">
        <f aca="false">IF(ISBLANK(RawFinancials!X82),"",RawFinancials!X82)</f>
        <v>0.477693119700524</v>
      </c>
      <c r="Y82" s="0" t="n">
        <f aca="false">IF(ISBLANK(RawFinancials!Y82),"",RawFinancials!Y82)</f>
        <v>3.8</v>
      </c>
      <c r="Z82" s="0" t="str">
        <f aca="false">IF(ISBLANK(RawFinancials!Z82),"",RawFinancials!Z82)</f>
        <v>ME</v>
      </c>
      <c r="AA82" s="0" t="n">
        <f aca="false">RawFinancials!AA82</f>
        <v>1</v>
      </c>
      <c r="AB82" s="0" t="n">
        <f aca="false">RawFinancials!AB82</f>
        <v>784</v>
      </c>
      <c r="AC82" s="0" t="n">
        <f aca="false">RawFinancials!AC82</f>
        <v>0.103926954197907</v>
      </c>
      <c r="AD82" s="0" t="n">
        <f aca="false">IF(L82&gt;0,100*N82/L82,"")</f>
        <v>86.0137620466434</v>
      </c>
      <c r="AE82" s="0" t="n">
        <f aca="false">IF(B82&gt;0,100*F82/B82,"")</f>
        <v>11.9277389524587</v>
      </c>
      <c r="AF82" s="0" t="str">
        <f aca="false">RawFinancials!AE82</f>
        <v/>
      </c>
    </row>
    <row r="83" customFormat="false" ht="15" hidden="false" customHeight="false" outlineLevel="0" collapsed="false">
      <c r="A83" s="0" t="n">
        <f aca="false">IF(ISBLANK(RawFinancials!A83),"",RawFinancials!A83)</f>
        <v>83</v>
      </c>
      <c r="B83" s="0" t="n">
        <f aca="false">IF(ISBLANK(RawFinancials!B83),"",RawFinancials!B83)</f>
        <v>1582759</v>
      </c>
      <c r="C83" s="0" t="n">
        <f aca="false">IF(ISBLANK(RawFinancials!C83),"",RawFinancials!C83)</f>
        <v>19690</v>
      </c>
      <c r="D83" s="0" t="n">
        <f aca="false">IF(ISBLANK(RawFinancials!D83),"",RawFinancials!D83)</f>
        <v>1302616</v>
      </c>
      <c r="E83" s="0" t="n">
        <f aca="false">IF(ISBLANK(RawFinancials!E83),"",RawFinancials!E83)</f>
        <v>-0.15</v>
      </c>
      <c r="F83" s="0" t="n">
        <f aca="false">IF(ISBLANK(RawFinancials!F83),"",RawFinancials!F83)</f>
        <v>248321</v>
      </c>
      <c r="G83" s="0" t="n">
        <f aca="false">IF(ISBLANK(RawFinancials!G83),"",RawFinancials!G83)</f>
        <v>15.6891226017353</v>
      </c>
      <c r="H83" s="0" t="str">
        <f aca="false">IF(ISBLANK(RawFinancials!H83),"",RawFinancials!H83)</f>
        <v>19690_20220630</v>
      </c>
      <c r="I83" s="0" t="n">
        <f aca="false">IF(ISBLANK(RawFinancials!I83),"",RawFinancials!I83)</f>
        <v>0.385326922457938</v>
      </c>
      <c r="J83" s="0" t="n">
        <f aca="false">IF(ISBLANK(RawFinancials!J83),"",RawFinancials!J83)</f>
        <v>24614</v>
      </c>
      <c r="K83" s="0" t="n">
        <f aca="false">IF(ISBLANK(RawFinancials!K83),"",RawFinancials!K83)</f>
        <v>719</v>
      </c>
      <c r="L83" s="0" t="n">
        <f aca="false">IF(ISBLANK(RawFinancials!L83),"",RawFinancials!L83)</f>
        <v>1304866</v>
      </c>
      <c r="M83" s="0" t="n">
        <f aca="false">IF(ISBLANK(RawFinancials!M83),"",RawFinancials!M83)</f>
        <v>1299838</v>
      </c>
      <c r="N83" s="0" t="n">
        <f aca="false">IF(ISBLANK(RawFinancials!N83),"",RawFinancials!N83)</f>
        <v>951396</v>
      </c>
      <c r="O83" s="0" t="n">
        <f aca="false">IF(ISBLANK(RawFinancials!O83),"",RawFinancials!O83)</f>
        <v>12946</v>
      </c>
      <c r="P83" s="0" t="str">
        <f aca="false">IF(ISBLANK(RawFinancials!P83),"",RawFinancials!P83)</f>
        <v>NORTHEAST BANK</v>
      </c>
      <c r="Q83" s="0" t="n">
        <f aca="false">IF(ISBLANK(RawFinancials!Q83),"",RawFinancials!Q83)</f>
        <v>0.992132525485375</v>
      </c>
      <c r="R83" s="0" t="n">
        <f aca="false">IF(ISBLANK(RawFinancials!R83),"",RawFinancials!R83)</f>
        <v>6.0280785575674</v>
      </c>
      <c r="S83" s="0" t="n">
        <f aca="false">IF(ISBLANK(RawFinancials!S83),"",RawFinancials!S83)</f>
        <v>-155</v>
      </c>
      <c r="T83" s="0" t="n">
        <f aca="false">IF(ISBLANK(RawFinancials!T83),"",RawFinancials!T83)</f>
        <v>590</v>
      </c>
      <c r="U83" s="0" t="n">
        <f aca="false">IF(ISBLANK(RawFinancials!U83),"",RawFinancials!U83)</f>
        <v>0</v>
      </c>
      <c r="V83" s="0" t="n">
        <f aca="false">IF(ISBLANK(RawFinancials!V83),"",RawFinancials!V83)</f>
        <v>19.4670764547208</v>
      </c>
      <c r="W83" s="0" t="n">
        <f aca="false">IF(ISBLANK(RawFinancials!W83),"",RawFinancials!W83)</f>
        <v>20220630</v>
      </c>
      <c r="X83" s="0" t="n">
        <f aca="false">IF(ISBLANK(RawFinancials!X83),"",RawFinancials!X83)</f>
        <v>2.71865093743965</v>
      </c>
      <c r="Y83" s="0" t="n">
        <f aca="false">IF(ISBLANK(RawFinancials!Y83),"",RawFinancials!Y83)</f>
        <v>17.05</v>
      </c>
      <c r="Z83" s="0" t="str">
        <f aca="false">IF(ISBLANK(RawFinancials!Z83),"",RawFinancials!Z83)</f>
        <v>ME</v>
      </c>
      <c r="AA83" s="0" t="n">
        <f aca="false">RawFinancials!AA83</f>
        <v>1</v>
      </c>
      <c r="AB83" s="0" t="n">
        <f aca="false">RawFinancials!AB83</f>
        <v>12946</v>
      </c>
      <c r="AC83" s="0" t="n">
        <f aca="false">RawFinancials!AC83</f>
        <v>0.817938801801159</v>
      </c>
      <c r="AD83" s="0" t="n">
        <f aca="false">IF(L83&gt;0,100*N83/L83,"")</f>
        <v>72.9113947332523</v>
      </c>
      <c r="AE83" s="0" t="n">
        <f aca="false">IF(B83&gt;0,100*F83/B83,"")</f>
        <v>15.6891226017353</v>
      </c>
      <c r="AF83" s="0" t="str">
        <f aca="false">RawFinancials!AE83</f>
        <v/>
      </c>
    </row>
    <row r="84" customFormat="false" ht="15" hidden="false" customHeight="false" outlineLevel="0" collapsed="false">
      <c r="A84" s="0" t="n">
        <f aca="false">IF(ISBLANK(RawFinancials!A84),"",RawFinancials!A84)</f>
        <v>84</v>
      </c>
      <c r="B84" s="0" t="n">
        <f aca="false">IF(ISBLANK(RawFinancials!B84),"",RawFinancials!B84)</f>
        <v>565870</v>
      </c>
      <c r="C84" s="0" t="n">
        <f aca="false">IF(ISBLANK(RawFinancials!C84),"",RawFinancials!C84)</f>
        <v>19836</v>
      </c>
      <c r="D84" s="0" t="n">
        <f aca="false">IF(ISBLANK(RawFinancials!D84),"",RawFinancials!D84)</f>
        <v>441969</v>
      </c>
      <c r="E84" s="0" t="n">
        <f aca="false">IF(ISBLANK(RawFinancials!E84),"",RawFinancials!E84)</f>
        <v>-0.01</v>
      </c>
      <c r="F84" s="0" t="n">
        <f aca="false">IF(ISBLANK(RawFinancials!F84),"",RawFinancials!F84)</f>
        <v>116691</v>
      </c>
      <c r="G84" s="0" t="n">
        <f aca="false">IF(ISBLANK(RawFinancials!G84),"",RawFinancials!G84)</f>
        <v>20.6215208440101</v>
      </c>
      <c r="H84" s="0" t="str">
        <f aca="false">IF(ISBLANK(RawFinancials!H84),"",RawFinancials!H84)</f>
        <v>19836_20220630</v>
      </c>
      <c r="I84" s="0" t="n">
        <f aca="false">IF(ISBLANK(RawFinancials!I84),"",RawFinancials!I84)</f>
        <v>0.864915692897268</v>
      </c>
      <c r="J84" s="0" t="n">
        <f aca="false">IF(ISBLANK(RawFinancials!J84),"",RawFinancials!J84)</f>
        <v>49522</v>
      </c>
      <c r="K84" s="0" t="n">
        <f aca="false">IF(ISBLANK(RawFinancials!K84),"",RawFinancials!K84)</f>
        <v>11852</v>
      </c>
      <c r="L84" s="0" t="n">
        <f aca="false">IF(ISBLANK(RawFinancials!L84),"",RawFinancials!L84)</f>
        <v>450911</v>
      </c>
      <c r="M84" s="0" t="n">
        <f aca="false">IF(ISBLANK(RawFinancials!M84),"",RawFinancials!M84)</f>
        <v>447011</v>
      </c>
      <c r="N84" s="0" t="n">
        <f aca="false">IF(ISBLANK(RawFinancials!N84),"",RawFinancials!N84)</f>
        <v>383579</v>
      </c>
      <c r="O84" s="0" t="n">
        <f aca="false">IF(ISBLANK(RawFinancials!O84),"",RawFinancials!O84)</f>
        <v>1685</v>
      </c>
      <c r="P84" s="0" t="str">
        <f aca="false">IF(ISBLANK(RawFinancials!P84),"",RawFinancials!P84)</f>
        <v>FRANKLIN SAVINGS BANK</v>
      </c>
      <c r="Q84" s="0" t="n">
        <f aca="false">IF(ISBLANK(RawFinancials!Q84),"",RawFinancials!Q84)</f>
        <v>0.373687933982538</v>
      </c>
      <c r="R84" s="0" t="n">
        <f aca="false">IF(ISBLANK(RawFinancials!R84),"",RawFinancials!R84)</f>
        <v>3.96827042134604</v>
      </c>
      <c r="S84" s="0" t="n">
        <f aca="false">IF(ISBLANK(RawFinancials!S84),"",RawFinancials!S84)</f>
        <v>-18</v>
      </c>
      <c r="T84" s="0" t="n">
        <f aca="false">IF(ISBLANK(RawFinancials!T84),"",RawFinancials!T84)</f>
        <v>1378</v>
      </c>
      <c r="U84" s="0" t="n">
        <f aca="false">IF(ISBLANK(RawFinancials!U84),"",RawFinancials!U84)</f>
        <v>0</v>
      </c>
      <c r="V84" s="0" t="n">
        <f aca="false">IF(ISBLANK(RawFinancials!V84),"",RawFinancials!V84)</f>
        <v>29.3004506448167</v>
      </c>
      <c r="W84" s="0" t="n">
        <f aca="false">IF(ISBLANK(RawFinancials!W84),"",RawFinancials!W84)</f>
        <v>20220630</v>
      </c>
      <c r="X84" s="0" t="n">
        <f aca="false">IF(ISBLANK(RawFinancials!X84),"",RawFinancials!X84)</f>
        <v>0.859566913692381</v>
      </c>
      <c r="Y84" s="0" t="n">
        <f aca="false">IF(ISBLANK(RawFinancials!Y84),"",RawFinancials!Y84)</f>
        <v>4.24</v>
      </c>
      <c r="Z84" s="0" t="str">
        <f aca="false">IF(ISBLANK(RawFinancials!Z84),"",RawFinancials!Z84)</f>
        <v>ME</v>
      </c>
      <c r="AA84" s="0" t="n">
        <f aca="false">RawFinancials!AA84</f>
        <v>1</v>
      </c>
      <c r="AB84" s="0" t="n">
        <f aca="false">RawFinancials!AB84</f>
        <v>1685</v>
      </c>
      <c r="AC84" s="0" t="n">
        <f aca="false">RawFinancials!AC84</f>
        <v>0.297771572976125</v>
      </c>
      <c r="AD84" s="0" t="n">
        <f aca="false">IF(L84&gt;0,100*N84/L84,"")</f>
        <v>85.0675632220105</v>
      </c>
      <c r="AE84" s="0" t="n">
        <f aca="false">IF(B84&gt;0,100*F84/B84,"")</f>
        <v>20.6215208440101</v>
      </c>
      <c r="AF84" s="0" t="str">
        <f aca="false">RawFinancials!AE84</f>
        <v/>
      </c>
    </row>
    <row r="85" customFormat="false" ht="15" hidden="false" customHeight="false" outlineLevel="0" collapsed="false">
      <c r="A85" s="0" t="n">
        <f aca="false">IF(ISBLANK(RawFinancials!A85),"",RawFinancials!A85)</f>
        <v>85</v>
      </c>
      <c r="B85" s="0" t="n">
        <f aca="false">IF(ISBLANK(RawFinancials!B85),"",RawFinancials!B85)</f>
        <v>1234978</v>
      </c>
      <c r="C85" s="0" t="n">
        <f aca="false">IF(ISBLANK(RawFinancials!C85),"",RawFinancials!C85)</f>
        <v>24540</v>
      </c>
      <c r="D85" s="0" t="n">
        <f aca="false">IF(ISBLANK(RawFinancials!D85),"",RawFinancials!D85)</f>
        <v>1010154</v>
      </c>
      <c r="E85" s="0" t="n">
        <f aca="false">IF(ISBLANK(RawFinancials!E85),"",RawFinancials!E85)</f>
        <v>0</v>
      </c>
      <c r="F85" s="0" t="n">
        <f aca="false">IF(ISBLANK(RawFinancials!F85),"",RawFinancials!F85)</f>
        <v>198951</v>
      </c>
      <c r="G85" s="0" t="n">
        <f aca="false">IF(ISBLANK(RawFinancials!G85),"",RawFinancials!G85)</f>
        <v>16.1096796866017</v>
      </c>
      <c r="H85" s="0" t="str">
        <f aca="false">IF(ISBLANK(RawFinancials!H85),"",RawFinancials!H85)</f>
        <v>24540_20220630</v>
      </c>
      <c r="I85" s="0" t="n">
        <f aca="false">IF(ISBLANK(RawFinancials!I85),"",RawFinancials!I85)</f>
        <v>1.21608037306189</v>
      </c>
      <c r="J85" s="0" t="n">
        <f aca="false">IF(ISBLANK(RawFinancials!J85),"",RawFinancials!J85)</f>
        <v>42956</v>
      </c>
      <c r="K85" s="0" t="n">
        <f aca="false">IF(ISBLANK(RawFinancials!K85),"",RawFinancials!K85)</f>
        <v>114</v>
      </c>
      <c r="L85" s="0" t="n">
        <f aca="false">IF(ISBLANK(RawFinancials!L85),"",RawFinancials!L85)</f>
        <v>1041543</v>
      </c>
      <c r="M85" s="0" t="n">
        <f aca="false">IF(ISBLANK(RawFinancials!M85),"",RawFinancials!M85)</f>
        <v>1028877</v>
      </c>
      <c r="N85" s="0" t="n">
        <f aca="false">IF(ISBLANK(RawFinancials!N85),"",RawFinancials!N85)</f>
        <v>1001399</v>
      </c>
      <c r="O85" s="0" t="n">
        <f aca="false">IF(ISBLANK(RawFinancials!O85),"",RawFinancials!O85)</f>
        <v>782</v>
      </c>
      <c r="P85" s="0" t="str">
        <f aca="false">IF(ISBLANK(RawFinancials!P85),"",RawFinancials!P85)</f>
        <v>BANK OF NEW ENGLAND</v>
      </c>
      <c r="Q85" s="0" t="n">
        <f aca="false">IF(ISBLANK(RawFinancials!Q85),"",RawFinancials!Q85)</f>
        <v>0.0750809136060633</v>
      </c>
      <c r="R85" s="0" t="n">
        <f aca="false">IF(ISBLANK(RawFinancials!R85),"",RawFinancials!R85)</f>
        <v>4.29022601129675</v>
      </c>
      <c r="S85" s="0" t="n">
        <f aca="false">IF(ISBLANK(RawFinancials!S85),"",RawFinancials!S85)</f>
        <v>-15</v>
      </c>
      <c r="T85" s="0" t="n">
        <f aca="false">IF(ISBLANK(RawFinancials!T85),"",RawFinancials!T85)</f>
        <v>0</v>
      </c>
      <c r="U85" s="0" t="n">
        <f aca="false">IF(ISBLANK(RawFinancials!U85),"",RawFinancials!U85)</f>
        <v>0</v>
      </c>
      <c r="V85" s="0" t="n">
        <f aca="false">IF(ISBLANK(RawFinancials!V85),"",RawFinancials!V85)</f>
        <v>0</v>
      </c>
      <c r="W85" s="0" t="n">
        <f aca="false">IF(ISBLANK(RawFinancials!W85),"",RawFinancials!W85)</f>
        <v>20220630</v>
      </c>
      <c r="X85" s="0" t="n">
        <f aca="false">IF(ISBLANK(RawFinancials!X85),"",RawFinancials!X85)</f>
        <v>2.15476323542861</v>
      </c>
      <c r="Y85" s="0" t="n">
        <f aca="false">IF(ISBLANK(RawFinancials!Y85),"",RawFinancials!Y85)</f>
        <v>13.94</v>
      </c>
      <c r="Z85" s="0" t="str">
        <f aca="false">IF(ISBLANK(RawFinancials!Z85),"",RawFinancials!Z85)</f>
        <v>NH</v>
      </c>
      <c r="AA85" s="0" t="n">
        <f aca="false">RawFinancials!AA85</f>
        <v>1</v>
      </c>
      <c r="AB85" s="0" t="n">
        <f aca="false">RawFinancials!AB85</f>
        <v>782</v>
      </c>
      <c r="AC85" s="0" t="n">
        <f aca="false">RawFinancials!AC85</f>
        <v>0.0633209660415003</v>
      </c>
      <c r="AD85" s="0" t="n">
        <f aca="false">IF(L85&gt;0,100*N85/L85,"")</f>
        <v>96.1457184196908</v>
      </c>
      <c r="AE85" s="0" t="n">
        <f aca="false">IF(B85&gt;0,100*F85/B85,"")</f>
        <v>16.1096796866017</v>
      </c>
      <c r="AF85" s="0" t="str">
        <f aca="false">RawFinancials!AE85</f>
        <v>原始0：需核实适用/报告口径</v>
      </c>
    </row>
    <row r="86" customFormat="false" ht="15" hidden="false" customHeight="false" outlineLevel="0" collapsed="false">
      <c r="A86" s="0" t="n">
        <f aca="false">IF(ISBLANK(RawFinancials!A86),"",RawFinancials!A86)</f>
        <v>86</v>
      </c>
      <c r="B86" s="0" t="n">
        <f aca="false">IF(ISBLANK(RawFinancials!B86),"",RawFinancials!B86)</f>
        <v>469898</v>
      </c>
      <c r="C86" s="0" t="n">
        <f aca="false">IF(ISBLANK(RawFinancials!C86),"",RawFinancials!C86)</f>
        <v>27824</v>
      </c>
      <c r="D86" s="0" t="n">
        <f aca="false">IF(ISBLANK(RawFinancials!D86),"",RawFinancials!D86)</f>
        <v>371733</v>
      </c>
      <c r="E86" s="0" t="n">
        <f aca="false">IF(ISBLANK(RawFinancials!E86),"",RawFinancials!E86)</f>
        <v>0</v>
      </c>
      <c r="F86" s="0" t="n">
        <f aca="false">IF(ISBLANK(RawFinancials!F86),"",RawFinancials!F86)</f>
        <v>67598</v>
      </c>
      <c r="G86" s="0" t="n">
        <f aca="false">IF(ISBLANK(RawFinancials!G86),"",RawFinancials!G86)</f>
        <v>14.3856751890836</v>
      </c>
      <c r="H86" s="0" t="str">
        <f aca="false">IF(ISBLANK(RawFinancials!H86),"",RawFinancials!H86)</f>
        <v>27824_20220630</v>
      </c>
      <c r="I86" s="0" t="n">
        <f aca="false">IF(ISBLANK(RawFinancials!I86),"",RawFinancials!I86)</f>
        <v>0.808028699494916</v>
      </c>
      <c r="J86" s="0" t="n">
        <f aca="false">IF(ISBLANK(RawFinancials!J86),"",RawFinancials!J86)</f>
        <v>22410</v>
      </c>
      <c r="K86" s="0" t="n">
        <f aca="false">IF(ISBLANK(RawFinancials!K86),"",RawFinancials!K86)</f>
        <v>28849</v>
      </c>
      <c r="L86" s="0" t="n">
        <f aca="false">IF(ISBLANK(RawFinancials!L86),"",RawFinancials!L86)</f>
        <v>379937</v>
      </c>
      <c r="M86" s="0" t="n">
        <f aca="false">IF(ISBLANK(RawFinancials!M86),"",RawFinancials!M86)</f>
        <v>376867</v>
      </c>
      <c r="N86" s="0" t="n">
        <f aca="false">IF(ISBLANK(RawFinancials!N86),"",RawFinancials!N86)</f>
        <v>328679</v>
      </c>
      <c r="O86" s="0" t="n">
        <f aca="false">IF(ISBLANK(RawFinancials!O86),"",RawFinancials!O86)</f>
        <v>861</v>
      </c>
      <c r="P86" s="0" t="str">
        <f aca="false">IF(ISBLANK(RawFinancials!P86),"",RawFinancials!P86)</f>
        <v>SALEM CO-OPERATIVE BANK</v>
      </c>
      <c r="Q86" s="0" t="n">
        <f aca="false">IF(ISBLANK(RawFinancials!Q86),"",RawFinancials!Q86)</f>
        <v>0.226616518001669</v>
      </c>
      <c r="R86" s="0" t="n">
        <f aca="false">IF(ISBLANK(RawFinancials!R86),"",RawFinancials!R86)</f>
        <v>2.9356123296964</v>
      </c>
      <c r="S86" s="0" t="n">
        <f aca="false">IF(ISBLANK(RawFinancials!S86),"",RawFinancials!S86)</f>
        <v>0</v>
      </c>
      <c r="T86" s="0" t="n">
        <f aca="false">IF(ISBLANK(RawFinancials!T86),"",RawFinancials!T86)</f>
        <v>848</v>
      </c>
      <c r="U86" s="0" t="n">
        <f aca="false">IF(ISBLANK(RawFinancials!U86),"",RawFinancials!U86)</f>
        <v>0</v>
      </c>
      <c r="V86" s="0" t="n">
        <f aca="false">IF(ISBLANK(RawFinancials!V86),"",RawFinancials!V86)</f>
        <v>24.6578547583975</v>
      </c>
      <c r="W86" s="0" t="n">
        <f aca="false">IF(ISBLANK(RawFinancials!W86),"",RawFinancials!W86)</f>
        <v>20220630</v>
      </c>
      <c r="X86" s="0" t="n">
        <f aca="false">IF(ISBLANK(RawFinancials!X86),"",RawFinancials!X86)</f>
        <v>0.382958283601642</v>
      </c>
      <c r="Y86" s="0" t="n">
        <f aca="false">IF(ISBLANK(RawFinancials!Y86),"",RawFinancials!Y86)</f>
        <v>2.53</v>
      </c>
      <c r="Z86" s="0" t="str">
        <f aca="false">IF(ISBLANK(RawFinancials!Z86),"",RawFinancials!Z86)</f>
        <v>NH</v>
      </c>
      <c r="AA86" s="0" t="n">
        <f aca="false">RawFinancials!AA86</f>
        <v>1</v>
      </c>
      <c r="AB86" s="0" t="n">
        <f aca="false">RawFinancials!AB86</f>
        <v>861</v>
      </c>
      <c r="AC86" s="0" t="n">
        <f aca="false">RawFinancials!AC86</f>
        <v>0.183231254442453</v>
      </c>
      <c r="AD86" s="0" t="n">
        <f aca="false">IF(L86&gt;0,100*N86/L86,"")</f>
        <v>86.5088159352735</v>
      </c>
      <c r="AE86" s="0" t="n">
        <f aca="false">IF(B86&gt;0,100*F86/B86,"")</f>
        <v>14.3856751890836</v>
      </c>
      <c r="AF86" s="0" t="str">
        <f aca="false">RawFinancials!AE86</f>
        <v/>
      </c>
    </row>
    <row r="87" customFormat="false" ht="15" hidden="false" customHeight="false" outlineLevel="0" collapsed="false">
      <c r="A87" s="0" t="n">
        <f aca="false">IF(ISBLANK(RawFinancials!A87),"",RawFinancials!A87)</f>
        <v>87</v>
      </c>
      <c r="B87" s="0" t="n">
        <f aca="false">IF(ISBLANK(RawFinancials!B87),"",RawFinancials!B87)</f>
        <v>299676</v>
      </c>
      <c r="C87" s="0" t="n">
        <f aca="false">IF(ISBLANK(RawFinancials!C87),"",RawFinancials!C87)</f>
        <v>28155</v>
      </c>
      <c r="D87" s="0" t="n">
        <f aca="false">IF(ISBLANK(RawFinancials!D87),"",RawFinancials!D87)</f>
        <v>271184</v>
      </c>
      <c r="E87" s="0" t="n">
        <f aca="false">IF(ISBLANK(RawFinancials!E87),"",RawFinancials!E87)</f>
        <v>0.03</v>
      </c>
      <c r="F87" s="0" t="n">
        <f aca="false">IF(ISBLANK(RawFinancials!F87),"",RawFinancials!F87)</f>
        <v>27573</v>
      </c>
      <c r="G87" s="0" t="n">
        <f aca="false">IF(ISBLANK(RawFinancials!G87),"",RawFinancials!G87)</f>
        <v>9.20093701197293</v>
      </c>
      <c r="H87" s="0" t="str">
        <f aca="false">IF(ISBLANK(RawFinancials!H87),"",RawFinancials!H87)</f>
        <v>28155_20220630</v>
      </c>
      <c r="I87" s="0" t="n">
        <f aca="false">IF(ISBLANK(RawFinancials!I87),"",RawFinancials!I87)</f>
        <v>0.576876852816281</v>
      </c>
      <c r="J87" s="0" t="n">
        <f aca="false">IF(ISBLANK(RawFinancials!J87),"",RawFinancials!J87)</f>
        <v>5461</v>
      </c>
      <c r="K87" s="0" t="n">
        <f aca="false">IF(ISBLANK(RawFinancials!K87),"",RawFinancials!K87)</f>
        <v>4201</v>
      </c>
      <c r="L87" s="0" t="n">
        <f aca="false">IF(ISBLANK(RawFinancials!L87),"",RawFinancials!L87)</f>
        <v>149772</v>
      </c>
      <c r="M87" s="0" t="n">
        <f aca="false">IF(ISBLANK(RawFinancials!M87),"",RawFinancials!M87)</f>
        <v>148908</v>
      </c>
      <c r="N87" s="0" t="n">
        <f aca="false">IF(ISBLANK(RawFinancials!N87),"",RawFinancials!N87)</f>
        <v>139442</v>
      </c>
      <c r="O87" s="0" t="n">
        <f aca="false">IF(ISBLANK(RawFinancials!O87),"",RawFinancials!O87)</f>
        <v>12</v>
      </c>
      <c r="P87" s="0" t="str">
        <f aca="false">IF(ISBLANK(RawFinancials!P87),"",RawFinancials!P87)</f>
        <v>PROFILE BANK</v>
      </c>
      <c r="Q87" s="0" t="n">
        <f aca="false">IF(ISBLANK(RawFinancials!Q87),"",RawFinancials!Q87)</f>
        <v>0.0080121785113372</v>
      </c>
      <c r="R87" s="0" t="n">
        <f aca="false">IF(ISBLANK(RawFinancials!R87),"",RawFinancials!R87)</f>
        <v>2.68514754596641</v>
      </c>
      <c r="S87" s="0" t="n">
        <f aca="false">IF(ISBLANK(RawFinancials!S87),"",RawFinancials!S87)</f>
        <v>5</v>
      </c>
      <c r="T87" s="0" t="n">
        <f aca="false">IF(ISBLANK(RawFinancials!T87),"",RawFinancials!T87)</f>
        <v>958</v>
      </c>
      <c r="U87" s="0" t="n">
        <f aca="false">IF(ISBLANK(RawFinancials!U87),"",RawFinancials!U87)</f>
        <v>0</v>
      </c>
      <c r="V87" s="0" t="n">
        <f aca="false">IF(ISBLANK(RawFinancials!V87),"",RawFinancials!V87)</f>
        <v>19.0224932090442</v>
      </c>
      <c r="W87" s="0" t="n">
        <f aca="false">IF(ISBLANK(RawFinancials!W87),"",RawFinancials!W87)</f>
        <v>20220630</v>
      </c>
      <c r="X87" s="0" t="n">
        <f aca="false">IF(ISBLANK(RawFinancials!X87),"",RawFinancials!X87)</f>
        <v>0.25641055176648</v>
      </c>
      <c r="Y87" s="0" t="n">
        <f aca="false">IF(ISBLANK(RawFinancials!Y87),"",RawFinancials!Y87)</f>
        <v>2.69</v>
      </c>
      <c r="Z87" s="0" t="str">
        <f aca="false">IF(ISBLANK(RawFinancials!Z87),"",RawFinancials!Z87)</f>
        <v>NH</v>
      </c>
      <c r="AA87" s="0" t="n">
        <f aca="false">RawFinancials!AA87</f>
        <v>1</v>
      </c>
      <c r="AB87" s="0" t="n">
        <f aca="false">RawFinancials!AB87</f>
        <v>12</v>
      </c>
      <c r="AC87" s="0" t="n">
        <f aca="false">RawFinancials!AC87</f>
        <v>0.0040043246706443</v>
      </c>
      <c r="AD87" s="0" t="n">
        <f aca="false">IF(L87&gt;0,100*N87/L87,"")</f>
        <v>93.1028496648239</v>
      </c>
      <c r="AE87" s="0" t="n">
        <f aca="false">IF(B87&gt;0,100*F87/B87,"")</f>
        <v>9.20093701197293</v>
      </c>
      <c r="AF87" s="0" t="str">
        <f aca="false">RawFinancials!AE87</f>
        <v/>
      </c>
    </row>
    <row r="88" customFormat="false" ht="15" hidden="false" customHeight="false" outlineLevel="0" collapsed="false">
      <c r="A88" s="0" t="n">
        <f aca="false">IF(ISBLANK(RawFinancials!A88),"",RawFinancials!A88)</f>
        <v>88</v>
      </c>
      <c r="B88" s="0" t="n">
        <f aca="false">IF(ISBLANK(RawFinancials!B88),"",RawFinancials!B88)</f>
        <v>98212</v>
      </c>
      <c r="C88" s="0" t="n">
        <f aca="false">IF(ISBLANK(RawFinancials!C88),"",RawFinancials!C88)</f>
        <v>28288</v>
      </c>
      <c r="D88" s="0" t="n">
        <f aca="false">IF(ISBLANK(RawFinancials!D88),"",RawFinancials!D88)</f>
        <v>80509</v>
      </c>
      <c r="E88" s="0" t="n">
        <f aca="false">IF(ISBLANK(RawFinancials!E88),"",RawFinancials!E88)</f>
        <v>0.08</v>
      </c>
      <c r="F88" s="0" t="n">
        <f aca="false">IF(ISBLANK(RawFinancials!F88),"",RawFinancials!F88)</f>
        <v>6561</v>
      </c>
      <c r="G88" s="0" t="n">
        <f aca="false">IF(ISBLANK(RawFinancials!G88),"",RawFinancials!G88)</f>
        <v>6.6804463812976</v>
      </c>
      <c r="H88" s="0" t="str">
        <f aca="false">IF(ISBLANK(RawFinancials!H88),"",RawFinancials!H88)</f>
        <v>28288_20220630</v>
      </c>
      <c r="I88" s="0" t="n">
        <f aca="false">IF(ISBLANK(RawFinancials!I88),"",RawFinancials!I88)</f>
        <v>1.11489946458898</v>
      </c>
      <c r="J88" s="0" t="n">
        <f aca="false">IF(ISBLANK(RawFinancials!J88),"",RawFinancials!J88)</f>
        <v>3133</v>
      </c>
      <c r="K88" s="0" t="n">
        <f aca="false">IF(ISBLANK(RawFinancials!K88),"",RawFinancials!K88)</f>
        <v>518</v>
      </c>
      <c r="L88" s="0" t="n">
        <f aca="false">IF(ISBLANK(RawFinancials!L88),"",RawFinancials!L88)</f>
        <v>77137</v>
      </c>
      <c r="M88" s="0" t="n">
        <f aca="false">IF(ISBLANK(RawFinancials!M88),"",RawFinancials!M88)</f>
        <v>76277</v>
      </c>
      <c r="N88" s="0" t="n">
        <f aca="false">IF(ISBLANK(RawFinancials!N88),"",RawFinancials!N88)</f>
        <v>73486</v>
      </c>
      <c r="O88" s="0" t="n">
        <f aca="false">IF(ISBLANK(RawFinancials!O88),"",RawFinancials!O88)</f>
        <v>408</v>
      </c>
      <c r="P88" s="0" t="str">
        <f aca="false">IF(ISBLANK(RawFinancials!P88),"",RawFinancials!P88)</f>
        <v>AUBURN SAVINGS BANK, FSB</v>
      </c>
      <c r="Q88" s="0" t="n">
        <f aca="false">IF(ISBLANK(RawFinancials!Q88),"",RawFinancials!Q88)</f>
        <v>0.528929048316631</v>
      </c>
      <c r="R88" s="0" t="n">
        <f aca="false">IF(ISBLANK(RawFinancials!R88),"",RawFinancials!R88)</f>
        <v>3.52150607534091</v>
      </c>
      <c r="S88" s="0" t="n">
        <f aca="false">IF(ISBLANK(RawFinancials!S88),"",RawFinancials!S88)</f>
        <v>47</v>
      </c>
      <c r="T88" s="0" t="n">
        <f aca="false">IF(ISBLANK(RawFinancials!T88),"",RawFinancials!T88)</f>
        <v>38</v>
      </c>
      <c r="U88" s="0" t="n">
        <f aca="false">IF(ISBLANK(RawFinancials!U88),"",RawFinancials!U88)</f>
        <v>0</v>
      </c>
      <c r="V88" s="0" t="n">
        <f aca="false">IF(ISBLANK(RawFinancials!V88),"",RawFinancials!V88)</f>
        <v>13.4365080570448</v>
      </c>
      <c r="W88" s="0" t="n">
        <f aca="false">IF(ISBLANK(RawFinancials!W88),"",RawFinancials!W88)</f>
        <v>20220630</v>
      </c>
      <c r="X88" s="0" t="n">
        <f aca="false">IF(ISBLANK(RawFinancials!X88),"",RawFinancials!X88)</f>
        <v>0.0974689847333905</v>
      </c>
      <c r="Y88" s="0" t="n">
        <f aca="false">IF(ISBLANK(RawFinancials!Y88),"",RawFinancials!Y88)</f>
        <v>1.28</v>
      </c>
      <c r="Z88" s="0" t="str">
        <f aca="false">IF(ISBLANK(RawFinancials!Z88),"",RawFinancials!Z88)</f>
        <v>ME</v>
      </c>
      <c r="AA88" s="0" t="n">
        <f aca="false">RawFinancials!AA88</f>
        <v>1</v>
      </c>
      <c r="AB88" s="0" t="n">
        <f aca="false">RawFinancials!AB88</f>
        <v>408</v>
      </c>
      <c r="AC88" s="0" t="n">
        <f aca="false">RawFinancials!AC88</f>
        <v>0.415427849957235</v>
      </c>
      <c r="AD88" s="0" t="n">
        <f aca="false">IF(L88&gt;0,100*N88/L88,"")</f>
        <v>95.2668628544019</v>
      </c>
      <c r="AE88" s="0" t="n">
        <f aca="false">IF(B88&gt;0,100*F88/B88,"")</f>
        <v>6.6804463812976</v>
      </c>
      <c r="AF88" s="0" t="str">
        <f aca="false">RawFinancials!AE88</f>
        <v/>
      </c>
    </row>
    <row r="89" customFormat="false" ht="15" hidden="false" customHeight="false" outlineLevel="0" collapsed="false">
      <c r="A89" s="0" t="n">
        <f aca="false">IF(ISBLANK(RawFinancials!A89),"",RawFinancials!A89)</f>
        <v>89</v>
      </c>
      <c r="B89" s="0" t="n">
        <f aca="false">IF(ISBLANK(RawFinancials!B89),"",RawFinancials!B89)</f>
        <v>87270</v>
      </c>
      <c r="C89" s="0" t="n">
        <f aca="false">IF(ISBLANK(RawFinancials!C89),"",RawFinancials!C89)</f>
        <v>28369</v>
      </c>
      <c r="D89" s="0" t="n">
        <f aca="false">IF(ISBLANK(RawFinancials!D89),"",RawFinancials!D89)</f>
        <v>75522</v>
      </c>
      <c r="E89" s="0" t="n">
        <f aca="false">IF(ISBLANK(RawFinancials!E89),"",RawFinancials!E89)</f>
        <v>0.07</v>
      </c>
      <c r="F89" s="0" t="n">
        <f aca="false">IF(ISBLANK(RawFinancials!F89),"",RawFinancials!F89)</f>
        <v>9341</v>
      </c>
      <c r="G89" s="0" t="n">
        <f aca="false">IF(ISBLANK(RawFinancials!G89),"",RawFinancials!G89)</f>
        <v>10.7035636530308</v>
      </c>
      <c r="H89" s="0" t="str">
        <f aca="false">IF(ISBLANK(RawFinancials!H89),"",RawFinancials!H89)</f>
        <v>28369_20220630</v>
      </c>
      <c r="I89" s="0" t="n">
        <f aca="false">IF(ISBLANK(RawFinancials!I89),"",RawFinancials!I89)</f>
        <v>0.788787750590226</v>
      </c>
      <c r="J89" s="0" t="n">
        <f aca="false">IF(ISBLANK(RawFinancials!J89),"",RawFinancials!J89)</f>
        <v>10612</v>
      </c>
      <c r="K89" s="0" t="n">
        <f aca="false">IF(ISBLANK(RawFinancials!K89),"",RawFinancials!K89)</f>
        <v>917</v>
      </c>
      <c r="L89" s="0" t="n">
        <f aca="false">IF(ISBLANK(RawFinancials!L89),"",RawFinancials!L89)</f>
        <v>73277</v>
      </c>
      <c r="M89" s="0" t="n">
        <f aca="false">IF(ISBLANK(RawFinancials!M89),"",RawFinancials!M89)</f>
        <v>72699</v>
      </c>
      <c r="N89" s="0" t="n">
        <f aca="false">IF(ISBLANK(RawFinancials!N89),"",RawFinancials!N89)</f>
        <v>61748</v>
      </c>
      <c r="O89" s="0" t="n">
        <f aca="false">IF(ISBLANK(RawFinancials!O89),"",RawFinancials!O89)</f>
        <v>372</v>
      </c>
      <c r="P89" s="0" t="str">
        <f aca="false">IF(ISBLANK(RawFinancials!P89),"",RawFinancials!P89)</f>
        <v>ROCKLAND SAVINGS BANK, FSB</v>
      </c>
      <c r="Q89" s="0" t="n">
        <f aca="false">IF(ISBLANK(RawFinancials!Q89),"",RawFinancials!Q89)</f>
        <v>0.507662704532118</v>
      </c>
      <c r="R89" s="0" t="n">
        <f aca="false">IF(ISBLANK(RawFinancials!R89),"",RawFinancials!R89)</f>
        <v>3.60618763943027</v>
      </c>
      <c r="S89" s="0" t="n">
        <f aca="false">IF(ISBLANK(RawFinancials!S89),"",RawFinancials!S89)</f>
        <v>-4</v>
      </c>
      <c r="T89" s="0" t="n">
        <f aca="false">IF(ISBLANK(RawFinancials!T89),"",RawFinancials!T89)</f>
        <v>89</v>
      </c>
      <c r="U89" s="0" t="n">
        <f aca="false">IF(ISBLANK(RawFinancials!U89),"",RawFinancials!U89)</f>
        <v>0</v>
      </c>
      <c r="V89" s="0" t="n">
        <f aca="false">IF(ISBLANK(RawFinancials!V89),"",RawFinancials!V89)</f>
        <v>0</v>
      </c>
      <c r="W89" s="0" t="n">
        <f aca="false">IF(ISBLANK(RawFinancials!W89),"",RawFinancials!W89)</f>
        <v>20220630</v>
      </c>
      <c r="X89" s="0" t="n">
        <f aca="false">IF(ISBLANK(RawFinancials!X89),"",RawFinancials!X89)</f>
        <v>-0.030144694533762</v>
      </c>
      <c r="Y89" s="0" t="n">
        <f aca="false">IF(ISBLANK(RawFinancials!Y89),"",RawFinancials!Y89)</f>
        <v>-0.28</v>
      </c>
      <c r="Z89" s="0" t="str">
        <f aca="false">IF(ISBLANK(RawFinancials!Z89),"",RawFinancials!Z89)</f>
        <v>ME</v>
      </c>
      <c r="AA89" s="0" t="n">
        <f aca="false">RawFinancials!AA89</f>
        <v>1</v>
      </c>
      <c r="AB89" s="0" t="n">
        <f aca="false">RawFinancials!AB89</f>
        <v>372</v>
      </c>
      <c r="AC89" s="0" t="n">
        <f aca="false">RawFinancials!AC89</f>
        <v>0.426263320728773</v>
      </c>
      <c r="AD89" s="0" t="n">
        <f aca="false">IF(L89&gt;0,100*N89/L89,"")</f>
        <v>84.2665502135732</v>
      </c>
      <c r="AE89" s="0" t="n">
        <f aca="false">IF(B89&gt;0,100*F89/B89,"")</f>
        <v>10.7035636530308</v>
      </c>
      <c r="AF89" s="0" t="str">
        <f aca="false">RawFinancials!AE89</f>
        <v>原始0：需核实适用/报告口径</v>
      </c>
    </row>
    <row r="90" customFormat="false" ht="15" hidden="false" customHeight="false" outlineLevel="0" collapsed="false">
      <c r="A90" s="0" t="n">
        <f aca="false">IF(ISBLANK(RawFinancials!A90),"",RawFinancials!A90)</f>
        <v>90</v>
      </c>
      <c r="B90" s="0" t="n">
        <f aca="false">IF(ISBLANK(RawFinancials!B90),"",RawFinancials!B90)</f>
        <v>290878</v>
      </c>
      <c r="C90" s="0" t="n">
        <f aca="false">IF(ISBLANK(RawFinancials!C90),"",RawFinancials!C90)</f>
        <v>28837</v>
      </c>
      <c r="D90" s="0" t="n">
        <f aca="false">IF(ISBLANK(RawFinancials!D90),"",RawFinancials!D90)</f>
        <v>266261</v>
      </c>
      <c r="E90" s="0" t="n">
        <f aca="false">IF(ISBLANK(RawFinancials!E90),"",RawFinancials!E90)</f>
        <v>0.06</v>
      </c>
      <c r="F90" s="0" t="n">
        <f aca="false">IF(ISBLANK(RawFinancials!F90),"",RawFinancials!F90)</f>
        <v>22419</v>
      </c>
      <c r="G90" s="0" t="n">
        <f aca="false">IF(ISBLANK(RawFinancials!G90),"",RawFinancials!G90)</f>
        <v>7.7073549735628</v>
      </c>
      <c r="H90" s="0" t="str">
        <f aca="false">IF(ISBLANK(RawFinancials!H90),"",RawFinancials!H90)</f>
        <v>28837_20220630</v>
      </c>
      <c r="I90" s="0" t="n">
        <f aca="false">IF(ISBLANK(RawFinancials!I90),"",RawFinancials!I90)</f>
        <v>1.2038357355272</v>
      </c>
      <c r="J90" s="0" t="n">
        <f aca="false">IF(ISBLANK(RawFinancials!J90),"",RawFinancials!J90)</f>
        <v>6574</v>
      </c>
      <c r="K90" s="0" t="n">
        <f aca="false">IF(ISBLANK(RawFinancials!K90),"",RawFinancials!K90)</f>
        <v>1145</v>
      </c>
      <c r="L90" s="0" t="n">
        <f aca="false">IF(ISBLANK(RawFinancials!L90),"",RawFinancials!L90)</f>
        <v>188647</v>
      </c>
      <c r="M90" s="0" t="n">
        <f aca="false">IF(ISBLANK(RawFinancials!M90),"",RawFinancials!M90)</f>
        <v>186376</v>
      </c>
      <c r="N90" s="0" t="n">
        <f aca="false">IF(ISBLANK(RawFinancials!N90),"",RawFinancials!N90)</f>
        <v>179830</v>
      </c>
      <c r="O90" s="0" t="n">
        <f aca="false">IF(ISBLANK(RawFinancials!O90),"",RawFinancials!O90)</f>
        <v>0</v>
      </c>
      <c r="P90" s="0" t="str">
        <f aca="false">IF(ISBLANK(RawFinancials!P90),"",RawFinancials!P90)</f>
        <v>THE BRATTLEBORO SAVINGS AND LOAN ASSOCIATION</v>
      </c>
      <c r="Q90" s="0" t="n">
        <f aca="false">IF(ISBLANK(RawFinancials!Q90),"",RawFinancials!Q90)</f>
        <v>0</v>
      </c>
      <c r="R90" s="0" t="n">
        <f aca="false">IF(ISBLANK(RawFinancials!R90),"",RawFinancials!R90)</f>
        <v>2.60354973570456</v>
      </c>
      <c r="S90" s="0" t="n">
        <f aca="false">IF(ISBLANK(RawFinancials!S90),"",RawFinancials!S90)</f>
        <v>135</v>
      </c>
      <c r="T90" s="0" t="n">
        <f aca="false">IF(ISBLANK(RawFinancials!T90),"",RawFinancials!T90)</f>
        <v>65</v>
      </c>
      <c r="U90" s="0" t="n">
        <f aca="false">IF(ISBLANK(RawFinancials!U90),"",RawFinancials!U90)</f>
        <v>0</v>
      </c>
      <c r="V90" s="0" t="n">
        <f aca="false">IF(ISBLANK(RawFinancials!V90),"",RawFinancials!V90)</f>
        <v>14.7624530597825</v>
      </c>
      <c r="W90" s="0" t="n">
        <f aca="false">IF(ISBLANK(RawFinancials!W90),"",RawFinancials!W90)</f>
        <v>20220630</v>
      </c>
      <c r="X90" s="0" t="n">
        <f aca="false">IF(ISBLANK(RawFinancials!X90),"",RawFinancials!X90)</f>
        <v>0.368184561732949</v>
      </c>
      <c r="Y90" s="0" t="n">
        <f aca="false">IF(ISBLANK(RawFinancials!Y90),"",RawFinancials!Y90)</f>
        <v>4.96</v>
      </c>
      <c r="Z90" s="0" t="str">
        <f aca="false">IF(ISBLANK(RawFinancials!Z90),"",RawFinancials!Z90)</f>
        <v>VT</v>
      </c>
      <c r="AA90" s="0" t="n">
        <f aca="false">RawFinancials!AA90</f>
        <v>1</v>
      </c>
      <c r="AB90" s="0" t="n">
        <f aca="false">RawFinancials!AB90</f>
        <v>0</v>
      </c>
      <c r="AC90" s="0" t="n">
        <f aca="false">RawFinancials!AC90</f>
        <v>0</v>
      </c>
      <c r="AD90" s="0" t="n">
        <f aca="false">IF(L90&gt;0,100*N90/L90,"")</f>
        <v>95.326191246084</v>
      </c>
      <c r="AE90" s="0" t="n">
        <f aca="false">IF(B90&gt;0,100*F90/B90,"")</f>
        <v>7.7073549735628</v>
      </c>
      <c r="AF90" s="0" t="str">
        <f aca="false">RawFinancials!AE90</f>
        <v/>
      </c>
    </row>
    <row r="91" customFormat="false" ht="15" hidden="false" customHeight="false" outlineLevel="0" collapsed="false">
      <c r="A91" s="0" t="n">
        <f aca="false">IF(ISBLANK(RawFinancials!A91),"",RawFinancials!A91)</f>
        <v>91</v>
      </c>
      <c r="B91" s="0" t="n">
        <f aca="false">IF(ISBLANK(RawFinancials!B91),"",RawFinancials!B91)</f>
        <v>182713</v>
      </c>
      <c r="C91" s="0" t="n">
        <f aca="false">IF(ISBLANK(RawFinancials!C91),"",RawFinancials!C91)</f>
        <v>29636</v>
      </c>
      <c r="D91" s="0" t="n">
        <f aca="false">IF(ISBLANK(RawFinancials!D91),"",RawFinancials!D91)</f>
        <v>157371</v>
      </c>
      <c r="E91" s="0" t="n">
        <f aca="false">IF(ISBLANK(RawFinancials!E91),"",RawFinancials!E91)</f>
        <v>0.03</v>
      </c>
      <c r="F91" s="0" t="n">
        <f aca="false">IF(ISBLANK(RawFinancials!F91),"",RawFinancials!F91)</f>
        <v>23979</v>
      </c>
      <c r="G91" s="0" t="n">
        <f aca="false">IF(ISBLANK(RawFinancials!G91),"",RawFinancials!G91)</f>
        <v>13.1238609184897</v>
      </c>
      <c r="H91" s="0" t="str">
        <f aca="false">IF(ISBLANK(RawFinancials!H91),"",RawFinancials!H91)</f>
        <v>29636_20220630</v>
      </c>
      <c r="I91" s="0" t="n">
        <f aca="false">IF(ISBLANK(RawFinancials!I91),"",RawFinancials!I91)</f>
        <v>1.51005510627639</v>
      </c>
      <c r="J91" s="0" t="n">
        <f aca="false">IF(ISBLANK(RawFinancials!J91),"",RawFinancials!J91)</f>
        <v>1377</v>
      </c>
      <c r="K91" s="0" t="n">
        <f aca="false">IF(ISBLANK(RawFinancials!K91),"",RawFinancials!K91)</f>
        <v>2115</v>
      </c>
      <c r="L91" s="0" t="n">
        <f aca="false">IF(ISBLANK(RawFinancials!L91),"",RawFinancials!L91)</f>
        <v>111784</v>
      </c>
      <c r="M91" s="0" t="n">
        <f aca="false">IF(ISBLANK(RawFinancials!M91),"",RawFinancials!M91)</f>
        <v>110096</v>
      </c>
      <c r="N91" s="0" t="n">
        <f aca="false">IF(ISBLANK(RawFinancials!N91),"",RawFinancials!N91)</f>
        <v>108292</v>
      </c>
      <c r="O91" s="0" t="n">
        <f aca="false">IF(ISBLANK(RawFinancials!O91),"",RawFinancials!O91)</f>
        <v>2116</v>
      </c>
      <c r="P91" s="0" t="str">
        <f aca="false">IF(ISBLANK(RawFinancials!P91),"",RawFinancials!P91)</f>
        <v>FIRST FEDERAL SAVINGS AND LOAN ASSOCIATION OF BATH</v>
      </c>
      <c r="Q91" s="0" t="n">
        <f aca="false">IF(ISBLANK(RawFinancials!Q91),"",RawFinancials!Q91)</f>
        <v>1.89293637729908</v>
      </c>
      <c r="R91" s="0" t="n">
        <f aca="false">IF(ISBLANK(RawFinancials!R91),"",RawFinancials!R91)</f>
        <v>3.03270209827388</v>
      </c>
      <c r="S91" s="0" t="n">
        <f aca="false">IF(ISBLANK(RawFinancials!S91),"",RawFinancials!S91)</f>
        <v>-3</v>
      </c>
      <c r="T91" s="0" t="n">
        <f aca="false">IF(ISBLANK(RawFinancials!T91),"",RawFinancials!T91)</f>
        <v>1771</v>
      </c>
      <c r="U91" s="0" t="n">
        <f aca="false">IF(ISBLANK(RawFinancials!U91),"",RawFinancials!U91)</f>
        <v>0</v>
      </c>
      <c r="V91" s="0" t="n">
        <f aca="false">IF(ISBLANK(RawFinancials!V91),"",RawFinancials!V91)</f>
        <v>30.849232534787</v>
      </c>
      <c r="W91" s="0" t="n">
        <f aca="false">IF(ISBLANK(RawFinancials!W91),"",RawFinancials!W91)</f>
        <v>20220630</v>
      </c>
      <c r="X91" s="0" t="n">
        <f aca="false">IF(ISBLANK(RawFinancials!X91),"",RawFinancials!X91)</f>
        <v>0.132689298792343</v>
      </c>
      <c r="Y91" s="0" t="n">
        <f aca="false">IF(ISBLANK(RawFinancials!Y91),"",RawFinancials!Y91)</f>
        <v>0.99</v>
      </c>
      <c r="Z91" s="0" t="str">
        <f aca="false">IF(ISBLANK(RawFinancials!Z91),"",RawFinancials!Z91)</f>
        <v>ME</v>
      </c>
      <c r="AA91" s="0" t="n">
        <f aca="false">RawFinancials!AA91</f>
        <v>1</v>
      </c>
      <c r="AB91" s="0" t="n">
        <f aca="false">RawFinancials!AB91</f>
        <v>2116</v>
      </c>
      <c r="AC91" s="0" t="n">
        <f aca="false">RawFinancials!AC91</f>
        <v>1.1581004088379</v>
      </c>
      <c r="AD91" s="0" t="n">
        <f aca="false">IF(L91&gt;0,100*N91/L91,"")</f>
        <v>96.8761182280112</v>
      </c>
      <c r="AE91" s="0" t="n">
        <f aca="false">IF(B91&gt;0,100*F91/B91,"")</f>
        <v>13.1238609184897</v>
      </c>
      <c r="AF91" s="0" t="str">
        <f aca="false">RawFinancials!AE91</f>
        <v/>
      </c>
    </row>
    <row r="92" customFormat="false" ht="15" hidden="false" customHeight="false" outlineLevel="0" collapsed="false">
      <c r="A92" s="0" t="n">
        <f aca="false">IF(ISBLANK(RawFinancials!A92),"",RawFinancials!A92)</f>
        <v>92</v>
      </c>
      <c r="B92" s="0" t="n">
        <f aca="false">IF(ISBLANK(RawFinancials!B92),"",RawFinancials!B92)</f>
        <v>176966</v>
      </c>
      <c r="C92" s="0" t="n">
        <f aca="false">IF(ISBLANK(RawFinancials!C92),"",RawFinancials!C92)</f>
        <v>29743</v>
      </c>
      <c r="D92" s="0" t="n">
        <f aca="false">IF(ISBLANK(RawFinancials!D92),"",RawFinancials!D92)</f>
        <v>160168</v>
      </c>
      <c r="E92" s="0" t="n">
        <f aca="false">IF(ISBLANK(RawFinancials!E92),"",RawFinancials!E92)</f>
        <v>0</v>
      </c>
      <c r="F92" s="0" t="n">
        <f aca="false">IF(ISBLANK(RawFinancials!F92),"",RawFinancials!F92)</f>
        <v>14544</v>
      </c>
      <c r="G92" s="0" t="n">
        <f aca="false">IF(ISBLANK(RawFinancials!G92),"",RawFinancials!G92)</f>
        <v>8.21852785280788</v>
      </c>
      <c r="H92" s="0" t="str">
        <f aca="false">IF(ISBLANK(RawFinancials!H92),"",RawFinancials!H92)</f>
        <v>29743_20220630</v>
      </c>
      <c r="I92" s="0" t="n">
        <f aca="false">IF(ISBLANK(RawFinancials!I92),"",RawFinancials!I92)</f>
        <v>0.363489499192245</v>
      </c>
      <c r="J92" s="0" t="n">
        <f aca="false">IF(ISBLANK(RawFinancials!J92),"",RawFinancials!J92)</f>
        <v>21981</v>
      </c>
      <c r="K92" s="0" t="n">
        <f aca="false">IF(ISBLANK(RawFinancials!K92),"",RawFinancials!K92)</f>
        <v>18389</v>
      </c>
      <c r="L92" s="0" t="n">
        <f aca="false">IF(ISBLANK(RawFinancials!L92),"",RawFinancials!L92)</f>
        <v>118848</v>
      </c>
      <c r="M92" s="0" t="n">
        <f aca="false">IF(ISBLANK(RawFinancials!M92),"",RawFinancials!M92)</f>
        <v>118416</v>
      </c>
      <c r="N92" s="0" t="n">
        <f aca="false">IF(ISBLANK(RawFinancials!N92),"",RawFinancials!N92)</f>
        <v>78376</v>
      </c>
      <c r="O92" s="0" t="n">
        <f aca="false">IF(ISBLANK(RawFinancials!O92),"",RawFinancials!O92)</f>
        <v>467</v>
      </c>
      <c r="P92" s="0" t="str">
        <f aca="false">IF(ISBLANK(RawFinancials!P92),"",RawFinancials!P92)</f>
        <v>AROOSTOOK COUNTY FEDERAL SAVINGS AND LOAN ASSOCIATION</v>
      </c>
      <c r="Q92" s="0" t="n">
        <f aca="false">IF(ISBLANK(RawFinancials!Q92),"",RawFinancials!Q92)</f>
        <v>0.392938879913839</v>
      </c>
      <c r="R92" s="0" t="n">
        <f aca="false">IF(ISBLANK(RawFinancials!R92),"",RawFinancials!R92)</f>
        <v>2.56107379395051</v>
      </c>
      <c r="S92" s="0" t="n">
        <f aca="false">IF(ISBLANK(RawFinancials!S92),"",RawFinancials!S92)</f>
        <v>98</v>
      </c>
      <c r="T92" s="0" t="n">
        <f aca="false">IF(ISBLANK(RawFinancials!T92),"",RawFinancials!T92)</f>
        <v>84</v>
      </c>
      <c r="U92" s="0" t="n">
        <f aca="false">IF(ISBLANK(RawFinancials!U92),"",RawFinancials!U92)</f>
        <v>0</v>
      </c>
      <c r="V92" s="0" t="n">
        <f aca="false">IF(ISBLANK(RawFinancials!V92),"",RawFinancials!V92)</f>
        <v>17.6123658591362</v>
      </c>
      <c r="W92" s="0" t="n">
        <f aca="false">IF(ISBLANK(RawFinancials!W92),"",RawFinancials!W92)</f>
        <v>20220630</v>
      </c>
      <c r="X92" s="0" t="n">
        <f aca="false">IF(ISBLANK(RawFinancials!X92),"",RawFinancials!X92)</f>
        <v>0.753273491838587</v>
      </c>
      <c r="Y92" s="0" t="n">
        <f aca="false">IF(ISBLANK(RawFinancials!Y92),"",RawFinancials!Y92)</f>
        <v>8.46</v>
      </c>
      <c r="Z92" s="0" t="str">
        <f aca="false">IF(ISBLANK(RawFinancials!Z92),"",RawFinancials!Z92)</f>
        <v>ME</v>
      </c>
      <c r="AA92" s="0" t="n">
        <f aca="false">RawFinancials!AA92</f>
        <v>1</v>
      </c>
      <c r="AB92" s="0" t="n">
        <f aca="false">RawFinancials!AB92</f>
        <v>467</v>
      </c>
      <c r="AC92" s="0" t="n">
        <f aca="false">RawFinancials!AC92</f>
        <v>0.263892499124126</v>
      </c>
      <c r="AD92" s="0" t="n">
        <f aca="false">IF(L92&gt;0,100*N92/L92,"")</f>
        <v>65.9464189553043</v>
      </c>
      <c r="AE92" s="0" t="n">
        <f aca="false">IF(B92&gt;0,100*F92/B92,"")</f>
        <v>8.21852785280788</v>
      </c>
      <c r="AF92" s="0" t="str">
        <f aca="false">RawFinancials!AE92</f>
        <v/>
      </c>
    </row>
    <row r="93" customFormat="false" ht="15" hidden="false" customHeight="false" outlineLevel="0" collapsed="false">
      <c r="A93" s="0" t="n">
        <f aca="false">IF(ISBLANK(RawFinancials!A93),"",RawFinancials!A93)</f>
        <v>93</v>
      </c>
      <c r="B93" s="0" t="n">
        <f aca="false">IF(ISBLANK(RawFinancials!B93),"",RawFinancials!B93)</f>
        <v>510338</v>
      </c>
      <c r="C93" s="0" t="n">
        <f aca="false">IF(ISBLANK(RawFinancials!C93),"",RawFinancials!C93)</f>
        <v>29744</v>
      </c>
      <c r="D93" s="0" t="n">
        <f aca="false">IF(ISBLANK(RawFinancials!D93),"",RawFinancials!D93)</f>
        <v>400169</v>
      </c>
      <c r="E93" s="0" t="n">
        <f aca="false">IF(ISBLANK(RawFinancials!E93),"",RawFinancials!E93)</f>
        <v>0.02</v>
      </c>
      <c r="F93" s="0" t="n">
        <f aca="false">IF(ISBLANK(RawFinancials!F93),"",RawFinancials!F93)</f>
        <v>42675</v>
      </c>
      <c r="G93" s="0" t="n">
        <f aca="false">IF(ISBLANK(RawFinancials!G93),"",RawFinancials!G93)</f>
        <v>8.36210511464951</v>
      </c>
      <c r="H93" s="0" t="str">
        <f aca="false">IF(ISBLANK(RawFinancials!H93),"",RawFinancials!H93)</f>
        <v>29744_20220630</v>
      </c>
      <c r="I93" s="0" t="n">
        <f aca="false">IF(ISBLANK(RawFinancials!I93),"",RawFinancials!I93)</f>
        <v>0.947368147314057</v>
      </c>
      <c r="J93" s="0" t="n">
        <f aca="false">IF(ISBLANK(RawFinancials!J93),"",RawFinancials!J93)</f>
        <v>24641</v>
      </c>
      <c r="K93" s="0" t="n">
        <f aca="false">IF(ISBLANK(RawFinancials!K93),"",RawFinancials!K93)</f>
        <v>7166</v>
      </c>
      <c r="L93" s="0" t="n">
        <f aca="false">IF(ISBLANK(RawFinancials!L93),"",RawFinancials!L93)</f>
        <v>384539</v>
      </c>
      <c r="M93" s="0" t="n">
        <f aca="false">IF(ISBLANK(RawFinancials!M93),"",RawFinancials!M93)</f>
        <v>380896</v>
      </c>
      <c r="N93" s="0" t="n">
        <f aca="false">IF(ISBLANK(RawFinancials!N93),"",RawFinancials!N93)</f>
        <v>352732</v>
      </c>
      <c r="O93" s="0" t="n">
        <f aca="false">IF(ISBLANK(RawFinancials!O93),"",RawFinancials!O93)</f>
        <v>602</v>
      </c>
      <c r="P93" s="0" t="str">
        <f aca="false">IF(ISBLANK(RawFinancials!P93),"",RawFinancials!P93)</f>
        <v>FIRST SEACOAST BANK</v>
      </c>
      <c r="Q93" s="0" t="n">
        <f aca="false">IF(ISBLANK(RawFinancials!Q93),"",RawFinancials!Q93)</f>
        <v>0.156551091046682</v>
      </c>
      <c r="R93" s="0" t="n">
        <f aca="false">IF(ISBLANK(RawFinancials!R93),"",RawFinancials!R93)</f>
        <v>3.18052641179198</v>
      </c>
      <c r="S93" s="0" t="n">
        <f aca="false">IF(ISBLANK(RawFinancials!S93),"",RawFinancials!S93)</f>
        <v>7</v>
      </c>
      <c r="T93" s="0" t="n">
        <f aca="false">IF(ISBLANK(RawFinancials!T93),"",RawFinancials!T93)</f>
        <v>10</v>
      </c>
      <c r="U93" s="0" t="n">
        <f aca="false">IF(ISBLANK(RawFinancials!U93),"",RawFinancials!U93)</f>
        <v>0</v>
      </c>
      <c r="V93" s="0" t="n">
        <f aca="false">IF(ISBLANK(RawFinancials!V93),"",RawFinancials!V93)</f>
        <v>16.7010073613681</v>
      </c>
      <c r="W93" s="0" t="n">
        <f aca="false">IF(ISBLANK(RawFinancials!W93),"",RawFinancials!W93)</f>
        <v>20220630</v>
      </c>
      <c r="X93" s="0" t="n">
        <f aca="false">IF(ISBLANK(RawFinancials!X93),"",RawFinancials!X93)</f>
        <v>0.255625872703925</v>
      </c>
      <c r="Y93" s="0" t="n">
        <f aca="false">IF(ISBLANK(RawFinancials!Y93),"",RawFinancials!Y93)</f>
        <v>2.74</v>
      </c>
      <c r="Z93" s="0" t="str">
        <f aca="false">IF(ISBLANK(RawFinancials!Z93),"",RawFinancials!Z93)</f>
        <v>NH</v>
      </c>
      <c r="AA93" s="0" t="n">
        <f aca="false">RawFinancials!AA93</f>
        <v>1</v>
      </c>
      <c r="AB93" s="0" t="n">
        <f aca="false">RawFinancials!AB93</f>
        <v>602</v>
      </c>
      <c r="AC93" s="0" t="n">
        <f aca="false">RawFinancials!AC93</f>
        <v>0.117961037586854</v>
      </c>
      <c r="AD93" s="0" t="n">
        <f aca="false">IF(L93&gt;0,100*N93/L93,"")</f>
        <v>91.7285372875053</v>
      </c>
      <c r="AE93" s="0" t="n">
        <f aca="false">IF(B93&gt;0,100*F93/B93,"")</f>
        <v>8.36210511464951</v>
      </c>
      <c r="AF93" s="0" t="str">
        <f aca="false">RawFinancials!AE93</f>
        <v/>
      </c>
    </row>
    <row r="94" customFormat="false" ht="15" hidden="false" customHeight="false" outlineLevel="0" collapsed="false">
      <c r="A94" s="0" t="n">
        <f aca="false">IF(ISBLANK(RawFinancials!A94),"",RawFinancials!A94)</f>
        <v>94</v>
      </c>
      <c r="B94" s="0" t="n">
        <f aca="false">IF(ISBLANK(RawFinancials!B94),"",RawFinancials!B94)</f>
        <v>543454</v>
      </c>
      <c r="C94" s="0" t="n">
        <f aca="false">IF(ISBLANK(RawFinancials!C94),"",RawFinancials!C94)</f>
        <v>30350</v>
      </c>
      <c r="D94" s="0" t="n">
        <f aca="false">IF(ISBLANK(RawFinancials!D94),"",RawFinancials!D94)</f>
        <v>468153</v>
      </c>
      <c r="E94" s="0" t="n">
        <f aca="false">IF(ISBLANK(RawFinancials!E94),"",RawFinancials!E94)</f>
        <v>0</v>
      </c>
      <c r="F94" s="0" t="n">
        <f aca="false">IF(ISBLANK(RawFinancials!F94),"",RawFinancials!F94)</f>
        <v>50997</v>
      </c>
      <c r="G94" s="0" t="n">
        <f aca="false">IF(ISBLANK(RawFinancials!G94),"",RawFinancials!G94)</f>
        <v>9.38386689581823</v>
      </c>
      <c r="H94" s="0" t="str">
        <f aca="false">IF(ISBLANK(RawFinancials!H94),"",RawFinancials!H94)</f>
        <v>30350_20220630</v>
      </c>
      <c r="I94" s="0" t="n">
        <f aca="false">IF(ISBLANK(RawFinancials!I94),"",RawFinancials!I94)</f>
        <v>1.3722224019148</v>
      </c>
      <c r="J94" s="0" t="n">
        <f aca="false">IF(ISBLANK(RawFinancials!J94),"",RawFinancials!J94)</f>
        <v>10553</v>
      </c>
      <c r="K94" s="0" t="n">
        <f aca="false">IF(ISBLANK(RawFinancials!K94),"",RawFinancials!K94)</f>
        <v>876</v>
      </c>
      <c r="L94" s="0" t="n">
        <f aca="false">IF(ISBLANK(RawFinancials!L94),"",RawFinancials!L94)</f>
        <v>371004</v>
      </c>
      <c r="M94" s="0" t="n">
        <f aca="false">IF(ISBLANK(RawFinancials!M94),"",RawFinancials!M94)</f>
        <v>365913</v>
      </c>
      <c r="N94" s="0" t="n">
        <f aca="false">IF(ISBLANK(RawFinancials!N94),"",RawFinancials!N94)</f>
        <v>358181</v>
      </c>
      <c r="O94" s="0" t="n">
        <f aca="false">IF(ISBLANK(RawFinancials!O94),"",RawFinancials!O94)</f>
        <v>2718</v>
      </c>
      <c r="P94" s="0" t="str">
        <f aca="false">IF(ISBLANK(RawFinancials!P94),"",RawFinancials!P94)</f>
        <v>THE BANK OF BENNINGTON</v>
      </c>
      <c r="Q94" s="0" t="n">
        <f aca="false">IF(ISBLANK(RawFinancials!Q94),"",RawFinancials!Q94)</f>
        <v>0.732606656532005</v>
      </c>
      <c r="R94" s="0" t="n">
        <f aca="false">IF(ISBLANK(RawFinancials!R94),"",RawFinancials!R94)</f>
        <v>2.72249357426288</v>
      </c>
      <c r="S94" s="0" t="n">
        <f aca="false">IF(ISBLANK(RawFinancials!S94),"",RawFinancials!S94)</f>
        <v>213</v>
      </c>
      <c r="T94" s="0" t="n">
        <f aca="false">IF(ISBLANK(RawFinancials!T94),"",RawFinancials!T94)</f>
        <v>662</v>
      </c>
      <c r="U94" s="0" t="n">
        <f aca="false">IF(ISBLANK(RawFinancials!U94),"",RawFinancials!U94)</f>
        <v>0</v>
      </c>
      <c r="V94" s="0" t="n">
        <f aca="false">IF(ISBLANK(RawFinancials!V94),"",RawFinancials!V94)</f>
        <v>21.2363870447464</v>
      </c>
      <c r="W94" s="0" t="n">
        <f aca="false">IF(ISBLANK(RawFinancials!W94),"",RawFinancials!W94)</f>
        <v>20220630</v>
      </c>
      <c r="X94" s="0" t="n">
        <f aca="false">IF(ISBLANK(RawFinancials!X94),"",RawFinancials!X94)</f>
        <v>0.502798290193913</v>
      </c>
      <c r="Y94" s="0" t="n">
        <f aca="false">IF(ISBLANK(RawFinancials!Y94),"",RawFinancials!Y94)</f>
        <v>5.27</v>
      </c>
      <c r="Z94" s="0" t="str">
        <f aca="false">IF(ISBLANK(RawFinancials!Z94),"",RawFinancials!Z94)</f>
        <v>VT</v>
      </c>
      <c r="AA94" s="0" t="n">
        <f aca="false">RawFinancials!AA94</f>
        <v>1</v>
      </c>
      <c r="AB94" s="0" t="n">
        <f aca="false">RawFinancials!AB94</f>
        <v>2718</v>
      </c>
      <c r="AC94" s="0" t="n">
        <f aca="false">RawFinancials!AC94</f>
        <v>0.500134325996312</v>
      </c>
      <c r="AD94" s="0" t="n">
        <f aca="false">IF(L94&gt;0,100*N94/L94,"")</f>
        <v>96.5437030328514</v>
      </c>
      <c r="AE94" s="0" t="n">
        <f aca="false">IF(B94&gt;0,100*F94/B94,"")</f>
        <v>9.38386689581823</v>
      </c>
      <c r="AF94" s="0" t="str">
        <f aca="false">RawFinancials!AE94</f>
        <v/>
      </c>
    </row>
    <row r="95" customFormat="false" ht="15" hidden="false" customHeight="false" outlineLevel="0" collapsed="false">
      <c r="A95" s="0" t="n">
        <f aca="false">IF(ISBLANK(RawFinancials!A95),"",RawFinancials!A95)</f>
        <v>95</v>
      </c>
      <c r="B95" s="0" t="n">
        <f aca="false">IF(ISBLANK(RawFinancials!B95),"",RawFinancials!B95)</f>
        <v>100800</v>
      </c>
      <c r="C95" s="0" t="n">
        <f aca="false">IF(ISBLANK(RawFinancials!C95),"",RawFinancials!C95)</f>
        <v>30878</v>
      </c>
      <c r="D95" s="0" t="n">
        <f aca="false">IF(ISBLANK(RawFinancials!D95),"",RawFinancials!D95)</f>
        <v>78524</v>
      </c>
      <c r="E95" s="0" t="n">
        <f aca="false">IF(ISBLANK(RawFinancials!E95),"",RawFinancials!E95)</f>
        <v>0.04</v>
      </c>
      <c r="F95" s="0" t="n">
        <f aca="false">IF(ISBLANK(RawFinancials!F95),"",RawFinancials!F95)</f>
        <v>12406</v>
      </c>
      <c r="G95" s="0" t="n">
        <f aca="false">IF(ISBLANK(RawFinancials!G95),"",RawFinancials!G95)</f>
        <v>12.3075396825397</v>
      </c>
      <c r="H95" s="0" t="str">
        <f aca="false">IF(ISBLANK(RawFinancials!H95),"",RawFinancials!H95)</f>
        <v>30878_20220630</v>
      </c>
      <c r="I95" s="0" t="n">
        <f aca="false">IF(ISBLANK(RawFinancials!I95),"",RawFinancials!I95)</f>
        <v>1.10804851157663</v>
      </c>
      <c r="J95" s="0" t="n">
        <f aca="false">IF(ISBLANK(RawFinancials!J95),"",RawFinancials!J95)</f>
        <v>0</v>
      </c>
      <c r="K95" s="0" t="n">
        <f aca="false">IF(ISBLANK(RawFinancials!K95),"",RawFinancials!K95)</f>
        <v>92</v>
      </c>
      <c r="L95" s="0" t="n">
        <f aca="false">IF(ISBLANK(RawFinancials!L95),"",RawFinancials!L95)</f>
        <v>72560</v>
      </c>
      <c r="M95" s="0" t="n">
        <f aca="false">IF(ISBLANK(RawFinancials!M95),"",RawFinancials!M95)</f>
        <v>71756</v>
      </c>
      <c r="N95" s="0" t="n">
        <f aca="false">IF(ISBLANK(RawFinancials!N95),"",RawFinancials!N95)</f>
        <v>72468</v>
      </c>
      <c r="O95" s="0" t="n">
        <f aca="false">IF(ISBLANK(RawFinancials!O95),"",RawFinancials!O95)</f>
        <v>466</v>
      </c>
      <c r="P95" s="0" t="str">
        <f aca="false">IF(ISBLANK(RawFinancials!P95),"",RawFinancials!P95)</f>
        <v>BAR HARBOR SAVINGS AND LOAN ASSOCIATION</v>
      </c>
      <c r="Q95" s="0" t="n">
        <f aca="false">IF(ISBLANK(RawFinancials!Q95),"",RawFinancials!Q95)</f>
        <v>0.642227122381477</v>
      </c>
      <c r="R95" s="0" t="n">
        <f aca="false">IF(ISBLANK(RawFinancials!R95),"",RawFinancials!R95)</f>
        <v>2.04745215081734</v>
      </c>
      <c r="S95" s="0" t="n">
        <f aca="false">IF(ISBLANK(RawFinancials!S95),"",RawFinancials!S95)</f>
        <v>0</v>
      </c>
      <c r="T95" s="0" t="n">
        <f aca="false">IF(ISBLANK(RawFinancials!T95),"",RawFinancials!T95)</f>
        <v>361</v>
      </c>
      <c r="U95" s="0" t="n">
        <f aca="false">IF(ISBLANK(RawFinancials!U95),"",RawFinancials!U95)</f>
        <v>0</v>
      </c>
      <c r="V95" s="0" t="n">
        <f aca="false">IF(ISBLANK(RawFinancials!V95),"",RawFinancials!V95)</f>
        <v>0</v>
      </c>
      <c r="W95" s="0" t="n">
        <f aca="false">IF(ISBLANK(RawFinancials!W95),"",RawFinancials!W95)</f>
        <v>20220630</v>
      </c>
      <c r="X95" s="0" t="n">
        <f aca="false">IF(ISBLANK(RawFinancials!X95),"",RawFinancials!X95)</f>
        <v>0.310113476352191</v>
      </c>
      <c r="Y95" s="0" t="n">
        <f aca="false">IF(ISBLANK(RawFinancials!Y95),"",RawFinancials!Y95)</f>
        <v>2.51</v>
      </c>
      <c r="Z95" s="0" t="str">
        <f aca="false">IF(ISBLANK(RawFinancials!Z95),"",RawFinancials!Z95)</f>
        <v>ME</v>
      </c>
      <c r="AA95" s="0" t="n">
        <f aca="false">RawFinancials!AA95</f>
        <v>1</v>
      </c>
      <c r="AB95" s="0" t="n">
        <f aca="false">RawFinancials!AB95</f>
        <v>466</v>
      </c>
      <c r="AC95" s="0" t="n">
        <f aca="false">RawFinancials!AC95</f>
        <v>0.462301587301587</v>
      </c>
      <c r="AD95" s="0" t="n">
        <f aca="false">IF(L95&gt;0,100*N95/L95,"")</f>
        <v>99.8732083792723</v>
      </c>
      <c r="AE95" s="0" t="n">
        <f aca="false">IF(B95&gt;0,100*F95/B95,"")</f>
        <v>12.3075396825397</v>
      </c>
      <c r="AF95" s="0" t="str">
        <f aca="false">RawFinancials!AE95</f>
        <v>原始0：需核实适用/报告口径</v>
      </c>
    </row>
    <row r="96" customFormat="false" ht="15" hidden="false" customHeight="false" outlineLevel="0" collapsed="false">
      <c r="A96" s="0" t="n">
        <f aca="false">IF(ISBLANK(RawFinancials!A96),"",RawFinancials!A96)</f>
        <v>96</v>
      </c>
      <c r="B96" s="0" t="n">
        <f aca="false">IF(ISBLANK(RawFinancials!B96),"",RawFinancials!B96)</f>
        <v>732318</v>
      </c>
      <c r="C96" s="0" t="n">
        <f aca="false">IF(ISBLANK(RawFinancials!C96),"",RawFinancials!C96)</f>
        <v>33418</v>
      </c>
      <c r="D96" s="0" t="n">
        <f aca="false">IF(ISBLANK(RawFinancials!D96),"",RawFinancials!D96)</f>
        <v>570903</v>
      </c>
      <c r="E96" s="0" t="n">
        <f aca="false">IF(ISBLANK(RawFinancials!E96),"",RawFinancials!E96)</f>
        <v>0</v>
      </c>
      <c r="F96" s="0" t="n">
        <f aca="false">IF(ISBLANK(RawFinancials!F96),"",RawFinancials!F96)</f>
        <v>59389</v>
      </c>
      <c r="G96" s="0" t="n">
        <f aca="false">IF(ISBLANK(RawFinancials!G96),"",RawFinancials!G96)</f>
        <v>8.10972828743797</v>
      </c>
      <c r="H96" s="0" t="str">
        <f aca="false">IF(ISBLANK(RawFinancials!H96),"",RawFinancials!H96)</f>
        <v>33418_20220630</v>
      </c>
      <c r="I96" s="0" t="n">
        <f aca="false">IF(ISBLANK(RawFinancials!I96),"",RawFinancials!I96)</f>
        <v>2.10322893249722</v>
      </c>
      <c r="J96" s="0" t="n">
        <f aca="false">IF(ISBLANK(RawFinancials!J96),"",RawFinancials!J96)</f>
        <v>40513</v>
      </c>
      <c r="K96" s="0" t="n">
        <f aca="false">IF(ISBLANK(RawFinancials!K96),"",RawFinancials!K96)</f>
        <v>13342</v>
      </c>
      <c r="L96" s="0" t="n">
        <f aca="false">IF(ISBLANK(RawFinancials!L96),"",RawFinancials!L96)</f>
        <v>354978</v>
      </c>
      <c r="M96" s="0" t="n">
        <f aca="false">IF(ISBLANK(RawFinancials!M96),"",RawFinancials!M96)</f>
        <v>347512</v>
      </c>
      <c r="N96" s="0" t="n">
        <f aca="false">IF(ISBLANK(RawFinancials!N96),"",RawFinancials!N96)</f>
        <v>301150</v>
      </c>
      <c r="O96" s="0" t="n">
        <f aca="false">IF(ISBLANK(RawFinancials!O96),"",RawFinancials!O96)</f>
        <v>2652</v>
      </c>
      <c r="P96" s="0" t="str">
        <f aca="false">IF(ISBLANK(RawFinancials!P96),"",RawFinancials!P96)</f>
        <v>LEDYARD NATIONAL BANK</v>
      </c>
      <c r="Q96" s="0" t="n">
        <f aca="false">IF(ISBLANK(RawFinancials!Q96),"",RawFinancials!Q96)</f>
        <v>0.747088551966601</v>
      </c>
      <c r="R96" s="0" t="n">
        <f aca="false">IF(ISBLANK(RawFinancials!R96),"",RawFinancials!R96)</f>
        <v>2.71692040204904</v>
      </c>
      <c r="S96" s="0" t="n">
        <f aca="false">IF(ISBLANK(RawFinancials!S96),"",RawFinancials!S96)</f>
        <v>2</v>
      </c>
      <c r="T96" s="0" t="n">
        <f aca="false">IF(ISBLANK(RawFinancials!T96),"",RawFinancials!T96)</f>
        <v>497</v>
      </c>
      <c r="U96" s="0" t="n">
        <f aca="false">IF(ISBLANK(RawFinancials!U96),"",RawFinancials!U96)</f>
        <v>0</v>
      </c>
      <c r="V96" s="0" t="n">
        <f aca="false">IF(ISBLANK(RawFinancials!V96),"",RawFinancials!V96)</f>
        <v>18.6076360363737</v>
      </c>
      <c r="W96" s="0" t="n">
        <f aca="false">IF(ISBLANK(RawFinancials!W96),"",RawFinancials!W96)</f>
        <v>20220630</v>
      </c>
      <c r="X96" s="0" t="n">
        <f aca="false">IF(ISBLANK(RawFinancials!X96),"",RawFinancials!X96)</f>
        <v>1.16569230469518</v>
      </c>
      <c r="Y96" s="0" t="n">
        <f aca="false">IF(ISBLANK(RawFinancials!Y96),"",RawFinancials!Y96)</f>
        <v>14.67</v>
      </c>
      <c r="Z96" s="0" t="str">
        <f aca="false">IF(ISBLANK(RawFinancials!Z96),"",RawFinancials!Z96)</f>
        <v>VT</v>
      </c>
      <c r="AA96" s="0" t="n">
        <f aca="false">RawFinancials!AA96</f>
        <v>1</v>
      </c>
      <c r="AB96" s="0" t="n">
        <f aca="false">RawFinancials!AB96</f>
        <v>2652</v>
      </c>
      <c r="AC96" s="0" t="n">
        <f aca="false">RawFinancials!AC96</f>
        <v>0.362137759825649</v>
      </c>
      <c r="AD96" s="0" t="n">
        <f aca="false">IF(L96&gt;0,100*N96/L96,"")</f>
        <v>84.8362433728287</v>
      </c>
      <c r="AE96" s="0" t="n">
        <f aca="false">IF(B96&gt;0,100*F96/B96,"")</f>
        <v>8.10972828743797</v>
      </c>
      <c r="AF96" s="0" t="str">
        <f aca="false">RawFinancials!AE96</f>
        <v/>
      </c>
    </row>
    <row r="97" customFormat="false" ht="15" hidden="false" customHeight="false" outlineLevel="0" collapsed="false">
      <c r="A97" s="0" t="n">
        <f aca="false">IF(ISBLANK(RawFinancials!A97),"",RawFinancials!A97)</f>
        <v>97</v>
      </c>
      <c r="B97" s="0" t="n">
        <f aca="false">IF(ISBLANK(RawFinancials!B97),"",RawFinancials!B97)</f>
        <v>62457</v>
      </c>
      <c r="C97" s="0" t="n">
        <f aca="false">IF(ISBLANK(RawFinancials!C97),"",RawFinancials!C97)</f>
        <v>35206</v>
      </c>
      <c r="D97" s="0" t="n">
        <f aca="false">IF(ISBLANK(RawFinancials!D97),"",RawFinancials!D97)</f>
        <v>500</v>
      </c>
      <c r="E97" s="0" t="n">
        <f aca="false">IF(ISBLANK(RawFinancials!E97),"",RawFinancials!E97)</f>
        <v>0</v>
      </c>
      <c r="F97" s="0" t="n">
        <f aca="false">IF(ISBLANK(RawFinancials!F97),"",RawFinancials!F97)</f>
        <v>57487</v>
      </c>
      <c r="G97" s="0" t="n">
        <f aca="false">IF(ISBLANK(RawFinancials!G97),"",RawFinancials!G97)</f>
        <v>92.0425252573771</v>
      </c>
      <c r="H97" s="0" t="str">
        <f aca="false">IF(ISBLANK(RawFinancials!H97),"",RawFinancials!H97)</f>
        <v>35206_20220630</v>
      </c>
      <c r="I97" s="0" t="n">
        <f aca="false">IF(ISBLANK(RawFinancials!I97),"",RawFinancials!I97)</f>
        <v>0</v>
      </c>
      <c r="J97" s="0" t="n">
        <f aca="false">IF(ISBLANK(RawFinancials!J97),"",RawFinancials!J97)</f>
        <v>0</v>
      </c>
      <c r="K97" s="0" t="n">
        <f aca="false">IF(ISBLANK(RawFinancials!K97),"",RawFinancials!K97)</f>
        <v>0</v>
      </c>
      <c r="L97" s="0" t="n">
        <f aca="false">IF(ISBLANK(RawFinancials!L97),"",RawFinancials!L97)</f>
        <v>0</v>
      </c>
      <c r="M97" s="0" t="n">
        <f aca="false">IF(ISBLANK(RawFinancials!M97),"",RawFinancials!M97)</f>
        <v>0</v>
      </c>
      <c r="N97" s="0" t="n">
        <f aca="false">IF(ISBLANK(RawFinancials!N97),"",RawFinancials!N97)</f>
        <v>0</v>
      </c>
      <c r="O97" s="0" t="n">
        <f aca="false">IF(ISBLANK(RawFinancials!O97),"",RawFinancials!O97)</f>
        <v>0</v>
      </c>
      <c r="P97" s="0" t="str">
        <f aca="false">IF(ISBLANK(RawFinancials!P97),"",RawFinancials!P97)</f>
        <v>FIDELITY PERSONAL TRUST COMPANY, FSB</v>
      </c>
      <c r="Q97" s="0" t="n">
        <f aca="false">IF(ISBLANK(RawFinancials!Q97),"",RawFinancials!Q97)</f>
        <v>0</v>
      </c>
      <c r="R97" s="0" t="n">
        <f aca="false">IF(ISBLANK(RawFinancials!R97),"",RawFinancials!R97)</f>
        <v>3.17266832579952</v>
      </c>
      <c r="S97" s="0" t="n">
        <f aca="false">IF(ISBLANK(RawFinancials!S97),"",RawFinancials!S97)</f>
        <v>0</v>
      </c>
      <c r="T97" s="0" t="n">
        <f aca="false">IF(ISBLANK(RawFinancials!T97),"",RawFinancials!T97)</f>
        <v>0</v>
      </c>
      <c r="U97" s="0" t="n">
        <f aca="false">IF(ISBLANK(RawFinancials!U97),"",RawFinancials!U97)</f>
        <v>0</v>
      </c>
      <c r="V97" s="0" t="n">
        <f aca="false">IF(ISBLANK(RawFinancials!V97),"",RawFinancials!V97)</f>
        <v>0</v>
      </c>
      <c r="W97" s="0" t="n">
        <f aca="false">IF(ISBLANK(RawFinancials!W97),"",RawFinancials!W97)</f>
        <v>20220630</v>
      </c>
      <c r="X97" s="0" t="n">
        <f aca="false">IF(ISBLANK(RawFinancials!X97),"",RawFinancials!X97)</f>
        <v>2.27731467928075</v>
      </c>
      <c r="Y97" s="0" t="n">
        <f aca="false">IF(ISBLANK(RawFinancials!Y97),"",RawFinancials!Y97)</f>
        <v>2.59</v>
      </c>
      <c r="Z97" s="0" t="str">
        <f aca="false">IF(ISBLANK(RawFinancials!Z97),"",RawFinancials!Z97)</f>
        <v>NH</v>
      </c>
      <c r="AA97" s="0" t="n">
        <f aca="false">RawFinancials!AA97</f>
        <v>1</v>
      </c>
      <c r="AB97" s="0" t="n">
        <f aca="false">RawFinancials!AB97</f>
        <v>0</v>
      </c>
      <c r="AC97" s="0" t="n">
        <f aca="false">RawFinancials!AC97</f>
        <v>0</v>
      </c>
      <c r="AD97" s="0" t="str">
        <f aca="false">IF(L97&gt;0,100*N97/L97,"")</f>
        <v/>
      </c>
      <c r="AE97" s="0" t="n">
        <f aca="false">IF(B97&gt;0,100*F97/B97,"")</f>
        <v>92.0425252573771</v>
      </c>
      <c r="AF97" s="0" t="str">
        <f aca="false">RawFinancials!AE97</f>
        <v>原始0：需核实适用/报告口径</v>
      </c>
    </row>
    <row r="98" customFormat="false" ht="15" hidden="false" customHeight="false" outlineLevel="0" collapsed="false">
      <c r="A98" s="0" t="n">
        <f aca="false">IF(ISBLANK(RawFinancials!A98),"",RawFinancials!A98)</f>
        <v>98</v>
      </c>
      <c r="B98" s="0" t="n">
        <f aca="false">IF(ISBLANK(RawFinancials!B98),"",RawFinancials!B98)</f>
        <v>5454674</v>
      </c>
      <c r="C98" s="0" t="n">
        <f aca="false">IF(ISBLANK(RawFinancials!C98),"",RawFinancials!C98)</f>
        <v>4255</v>
      </c>
      <c r="D98" s="0" t="n">
        <f aca="false">IF(ISBLANK(RawFinancials!D98),"",RawFinancials!D98)</f>
        <v>4564900</v>
      </c>
      <c r="E98" s="0" t="n">
        <f aca="false">IF(ISBLANK(RawFinancials!E98),"",RawFinancials!E98)</f>
        <v>0.05</v>
      </c>
      <c r="F98" s="0" t="n">
        <f aca="false">IF(ISBLANK(RawFinancials!F98),"",RawFinancials!F98)</f>
        <v>460996</v>
      </c>
      <c r="G98" s="0" t="n">
        <f aca="false">IF(ISBLANK(RawFinancials!G98),"",RawFinancials!G98)</f>
        <v>8.45139416214425</v>
      </c>
      <c r="H98" s="0" t="str">
        <f aca="false">IF(ISBLANK(RawFinancials!H98),"",RawFinancials!H98)</f>
        <v>4255_20220630</v>
      </c>
      <c r="I98" s="0" t="n">
        <f aca="false">IF(ISBLANK(RawFinancials!I98),"",RawFinancials!I98)</f>
        <v>0.918668933382016</v>
      </c>
      <c r="J98" s="0" t="n">
        <f aca="false">IF(ISBLANK(RawFinancials!J98),"",RawFinancials!J98)</f>
        <v>338478</v>
      </c>
      <c r="K98" s="0" t="n">
        <f aca="false">IF(ISBLANK(RawFinancials!K98),"",RawFinancials!K98)</f>
        <v>19646</v>
      </c>
      <c r="L98" s="0" t="n">
        <f aca="false">IF(ISBLANK(RawFinancials!L98),"",RawFinancials!L98)</f>
        <v>3727567</v>
      </c>
      <c r="M98" s="0" t="n">
        <f aca="false">IF(ISBLANK(RawFinancials!M98),"",RawFinancials!M98)</f>
        <v>3693323</v>
      </c>
      <c r="N98" s="0" t="n">
        <f aca="false">IF(ISBLANK(RawFinancials!N98),"",RawFinancials!N98)</f>
        <v>3314850</v>
      </c>
      <c r="O98" s="0" t="n">
        <f aca="false">IF(ISBLANK(RawFinancials!O98),"",RawFinancials!O98)</f>
        <v>3505</v>
      </c>
      <c r="P98" s="0" t="str">
        <f aca="false">IF(ISBLANK(RawFinancials!P98),"",RawFinancials!P98)</f>
        <v>THE CAMDEN NATIONAL BANK</v>
      </c>
      <c r="Q98" s="0" t="n">
        <f aca="false">IF(ISBLANK(RawFinancials!Q98),"",RawFinancials!Q98)</f>
        <v>0.0940291616488717</v>
      </c>
      <c r="R98" s="0" t="n">
        <f aca="false">IF(ISBLANK(RawFinancials!R98),"",RawFinancials!R98)</f>
        <v>2.93442239804111</v>
      </c>
      <c r="S98" s="0" t="n">
        <f aca="false">IF(ISBLANK(RawFinancials!S98),"",RawFinancials!S98)</f>
        <v>287</v>
      </c>
      <c r="T98" s="0" t="n">
        <f aca="false">IF(ISBLANK(RawFinancials!T98),"",RawFinancials!T98)</f>
        <v>2175</v>
      </c>
      <c r="U98" s="0" t="n">
        <f aca="false">IF(ISBLANK(RawFinancials!U98),"",RawFinancials!U98)</f>
        <v>0</v>
      </c>
      <c r="V98" s="0" t="n">
        <f aca="false">IF(ISBLANK(RawFinancials!V98),"",RawFinancials!V98)</f>
        <v>13.2979281956506</v>
      </c>
      <c r="W98" s="0" t="n">
        <f aca="false">IF(ISBLANK(RawFinancials!W98),"",RawFinancials!W98)</f>
        <v>20220630</v>
      </c>
      <c r="X98" s="0" t="n">
        <f aca="false">IF(ISBLANK(RawFinancials!X98),"",RawFinancials!X98)</f>
        <v>1.21491549982209</v>
      </c>
      <c r="Y98" s="0" t="n">
        <f aca="false">IF(ISBLANK(RawFinancials!Y98),"",RawFinancials!Y98)</f>
        <v>13.12</v>
      </c>
      <c r="Z98" s="0" t="str">
        <f aca="false">IF(ISBLANK(RawFinancials!Z98),"",RawFinancials!Z98)</f>
        <v>ME</v>
      </c>
      <c r="AA98" s="0" t="n">
        <f aca="false">RawFinancials!AA98</f>
        <v>1</v>
      </c>
      <c r="AB98" s="0" t="n">
        <f aca="false">RawFinancials!AB98</f>
        <v>3505</v>
      </c>
      <c r="AC98" s="0" t="n">
        <f aca="false">RawFinancials!AC98</f>
        <v>0.0642568190142986</v>
      </c>
      <c r="AD98" s="0" t="n">
        <f aca="false">IF(L98&gt;0,100*N98/L98,"")</f>
        <v>88.927979027607</v>
      </c>
      <c r="AE98" s="0" t="n">
        <f aca="false">IF(B98&gt;0,100*F98/B98,"")</f>
        <v>8.45139416214425</v>
      </c>
      <c r="AF98" s="0" t="str">
        <f aca="false">RawFinancials!AE98</f>
        <v/>
      </c>
    </row>
    <row r="99" customFormat="false" ht="15" hidden="false" customHeight="false" outlineLevel="0" collapsed="false">
      <c r="A99" s="0" t="n">
        <f aca="false">IF(ISBLANK(RawFinancials!A99),"",RawFinancials!A99)</f>
        <v>99</v>
      </c>
      <c r="B99" s="0" t="n">
        <f aca="false">IF(ISBLANK(RawFinancials!B99),"",RawFinancials!B99)</f>
        <v>2595799</v>
      </c>
      <c r="C99" s="0" t="n">
        <f aca="false">IF(ISBLANK(RawFinancials!C99),"",RawFinancials!C99)</f>
        <v>4256</v>
      </c>
      <c r="D99" s="0" t="n">
        <f aca="false">IF(ISBLANK(RawFinancials!D99),"",RawFinancials!D99)</f>
        <v>2252978</v>
      </c>
      <c r="E99" s="0" t="n">
        <f aca="false">IF(ISBLANK(RawFinancials!E99),"",RawFinancials!E99)</f>
        <v>0.07</v>
      </c>
      <c r="F99" s="0" t="n">
        <f aca="false">IF(ISBLANK(RawFinancials!F99),"",RawFinancials!F99)</f>
        <v>198923</v>
      </c>
      <c r="G99" s="0" t="n">
        <f aca="false">IF(ISBLANK(RawFinancials!G99),"",RawFinancials!G99)</f>
        <v>7.66326668590288</v>
      </c>
      <c r="H99" s="0" t="str">
        <f aca="false">IF(ISBLANK(RawFinancials!H99),"",RawFinancials!H99)</f>
        <v>4256_20220630</v>
      </c>
      <c r="I99" s="0" t="n">
        <f aca="false">IF(ISBLANK(RawFinancials!I99),"",RawFinancials!I99)</f>
        <v>0.9055674427236</v>
      </c>
      <c r="J99" s="0" t="n">
        <f aca="false">IF(ISBLANK(RawFinancials!J99),"",RawFinancials!J99)</f>
        <v>229669</v>
      </c>
      <c r="K99" s="0" t="n">
        <f aca="false">IF(ISBLANK(RawFinancials!K99),"",RawFinancials!K99)</f>
        <v>21356</v>
      </c>
      <c r="L99" s="0" t="n">
        <f aca="false">IF(ISBLANK(RawFinancials!L99),"",RawFinancials!L99)</f>
        <v>1789044</v>
      </c>
      <c r="M99" s="0" t="n">
        <f aca="false">IF(ISBLANK(RawFinancials!M99),"",RawFinancials!M99)</f>
        <v>1772843</v>
      </c>
      <c r="N99" s="0" t="n">
        <f aca="false">IF(ISBLANK(RawFinancials!N99),"",RawFinancials!N99)</f>
        <v>1445139</v>
      </c>
      <c r="O99" s="0" t="n">
        <f aca="false">IF(ISBLANK(RawFinancials!O99),"",RawFinancials!O99)</f>
        <v>4812</v>
      </c>
      <c r="P99" s="0" t="str">
        <f aca="false">IF(ISBLANK(RawFinancials!P99),"",RawFinancials!P99)</f>
        <v>FIRST NATIONAL BANK</v>
      </c>
      <c r="Q99" s="0" t="n">
        <f aca="false">IF(ISBLANK(RawFinancials!Q99),"",RawFinancials!Q99)</f>
        <v>0.273218545770814</v>
      </c>
      <c r="R99" s="0" t="n">
        <f aca="false">IF(ISBLANK(RawFinancials!R99),"",RawFinancials!R99)</f>
        <v>3.13072504237486</v>
      </c>
      <c r="S99" s="0" t="n">
        <f aca="false">IF(ISBLANK(RawFinancials!S99),"",RawFinancials!S99)</f>
        <v>220</v>
      </c>
      <c r="T99" s="0" t="n">
        <f aca="false">IF(ISBLANK(RawFinancials!T99),"",RawFinancials!T99)</f>
        <v>997</v>
      </c>
      <c r="U99" s="0" t="n">
        <f aca="false">IF(ISBLANK(RawFinancials!U99),"",RawFinancials!U99)</f>
        <v>76</v>
      </c>
      <c r="V99" s="0" t="n">
        <f aca="false">IF(ISBLANK(RawFinancials!V99),"",RawFinancials!V99)</f>
        <v>13.5641154228502</v>
      </c>
      <c r="W99" s="0" t="n">
        <f aca="false">IF(ISBLANK(RawFinancials!W99),"",RawFinancials!W99)</f>
        <v>20220630</v>
      </c>
      <c r="X99" s="0" t="n">
        <f aca="false">IF(ISBLANK(RawFinancials!X99),"",RawFinancials!X99)</f>
        <v>1.58945046854303</v>
      </c>
      <c r="Y99" s="0" t="n">
        <f aca="false">IF(ISBLANK(RawFinancials!Y99),"",RawFinancials!Y99)</f>
        <v>19.49</v>
      </c>
      <c r="Z99" s="0" t="str">
        <f aca="false">IF(ISBLANK(RawFinancials!Z99),"",RawFinancials!Z99)</f>
        <v>ME</v>
      </c>
      <c r="AA99" s="0" t="n">
        <f aca="false">RawFinancials!AA99</f>
        <v>1</v>
      </c>
      <c r="AB99" s="0" t="n">
        <f aca="false">RawFinancials!AB99</f>
        <v>4888</v>
      </c>
      <c r="AC99" s="0" t="n">
        <f aca="false">RawFinancials!AC99</f>
        <v>0.188304256223228</v>
      </c>
      <c r="AD99" s="0" t="n">
        <f aca="false">IF(L99&gt;0,100*N99/L99,"")</f>
        <v>80.7771636695352</v>
      </c>
      <c r="AE99" s="0" t="n">
        <f aca="false">IF(B99&gt;0,100*F99/B99,"")</f>
        <v>7.66326668590288</v>
      </c>
      <c r="AF99" s="0" t="str">
        <f aca="false">RawFinancials!AE99</f>
        <v/>
      </c>
    </row>
    <row r="100" customFormat="false" ht="15" hidden="false" customHeight="false" outlineLevel="0" collapsed="false">
      <c r="A100" s="0" t="n">
        <f aca="false">IF(ISBLANK(RawFinancials!A100),"",RawFinancials!A100)</f>
        <v>100</v>
      </c>
      <c r="B100" s="0" t="n">
        <f aca="false">IF(ISBLANK(RawFinancials!B100),"",RawFinancials!B100)</f>
        <v>670113</v>
      </c>
      <c r="C100" s="0" t="n">
        <f aca="false">IF(ISBLANK(RawFinancials!C100),"",RawFinancials!C100)</f>
        <v>59086</v>
      </c>
      <c r="D100" s="0" t="n">
        <f aca="false">IF(ISBLANK(RawFinancials!D100),"",RawFinancials!D100)</f>
        <v>597579</v>
      </c>
      <c r="E100" s="0" t="n">
        <f aca="false">IF(ISBLANK(RawFinancials!E100),"",RawFinancials!E100)</f>
        <v>0.16</v>
      </c>
      <c r="F100" s="0" t="n">
        <f aca="false">IF(ISBLANK(RawFinancials!F100),"",RawFinancials!F100)</f>
        <v>69673</v>
      </c>
      <c r="G100" s="0" t="n">
        <f aca="false">IF(ISBLANK(RawFinancials!G100),"",RawFinancials!G100)</f>
        <v>10.3972016659877</v>
      </c>
      <c r="H100" s="0" t="str">
        <f aca="false">IF(ISBLANK(RawFinancials!H100),"",RawFinancials!H100)</f>
        <v>59086_20220630</v>
      </c>
      <c r="I100" s="0" t="n">
        <f aca="false">IF(ISBLANK(RawFinancials!I100),"",RawFinancials!I100)</f>
        <v>1.16814424400154</v>
      </c>
      <c r="J100" s="0" t="n">
        <f aca="false">IF(ISBLANK(RawFinancials!J100),"",RawFinancials!J100)</f>
        <v>114300</v>
      </c>
      <c r="K100" s="0" t="n">
        <f aca="false">IF(ISBLANK(RawFinancials!K100),"",RawFinancials!K100)</f>
        <v>0</v>
      </c>
      <c r="L100" s="0" t="n">
        <f aca="false">IF(ISBLANK(RawFinancials!L100),"",RawFinancials!L100)</f>
        <v>534095</v>
      </c>
      <c r="M100" s="0" t="n">
        <f aca="false">IF(ISBLANK(RawFinancials!M100),"",RawFinancials!M100)</f>
        <v>527856</v>
      </c>
      <c r="N100" s="0" t="n">
        <f aca="false">IF(ISBLANK(RawFinancials!N100),"",RawFinancials!N100)</f>
        <v>420476</v>
      </c>
      <c r="O100" s="0" t="n">
        <f aca="false">IF(ISBLANK(RawFinancials!O100),"",RawFinancials!O100)</f>
        <v>2111</v>
      </c>
      <c r="P100" s="0" t="str">
        <f aca="false">IF(ISBLANK(RawFinancials!P100),"",RawFinancials!P100)</f>
        <v>PRIMARY BANK</v>
      </c>
      <c r="Q100" s="0" t="n">
        <f aca="false">IF(ISBLANK(RawFinancials!Q100),"",RawFinancials!Q100)</f>
        <v>0.0638463194749997</v>
      </c>
      <c r="R100" s="0" t="n">
        <f aca="false">IF(ISBLANK(RawFinancials!R100),"",RawFinancials!R100)</f>
        <v>3.41245944030732</v>
      </c>
      <c r="S100" s="0" t="n">
        <f aca="false">IF(ISBLANK(RawFinancials!S100),"",RawFinancials!S100)</f>
        <v>0</v>
      </c>
      <c r="T100" s="0" t="n">
        <f aca="false">IF(ISBLANK(RawFinancials!T100),"",RawFinancials!T100)</f>
        <v>0</v>
      </c>
      <c r="U100" s="0" t="n">
        <f aca="false">IF(ISBLANK(RawFinancials!U100),"",RawFinancials!U100)</f>
        <v>341</v>
      </c>
      <c r="V100" s="0" t="n">
        <f aca="false">IF(ISBLANK(RawFinancials!V100),"",RawFinancials!V100)</f>
        <v>13.6305606679535</v>
      </c>
      <c r="W100" s="0" t="n">
        <f aca="false">IF(ISBLANK(RawFinancials!W100),"",RawFinancials!W100)</f>
        <v>20220630</v>
      </c>
      <c r="X100" s="0" t="n">
        <f aca="false">IF(ISBLANK(RawFinancials!X100),"",RawFinancials!X100)</f>
        <v>1.26067262302423</v>
      </c>
      <c r="Y100" s="0" t="n">
        <f aca="false">IF(ISBLANK(RawFinancials!Y100),"",RawFinancials!Y100)</f>
        <v>12.86</v>
      </c>
      <c r="Z100" s="0" t="str">
        <f aca="false">IF(ISBLANK(RawFinancials!Z100),"",RawFinancials!Z100)</f>
        <v>NH</v>
      </c>
      <c r="AA100" s="0" t="n">
        <f aca="false">RawFinancials!AA100</f>
        <v>1</v>
      </c>
      <c r="AB100" s="0" t="n">
        <f aca="false">RawFinancials!AB100</f>
        <v>2452</v>
      </c>
      <c r="AC100" s="0" t="n">
        <f aca="false">RawFinancials!AC100</f>
        <v>0.365908436338349</v>
      </c>
      <c r="AD100" s="0" t="n">
        <f aca="false">IF(L100&gt;0,100*N100/L100,"")</f>
        <v>78.7268182626686</v>
      </c>
      <c r="AE100" s="0" t="n">
        <f aca="false">IF(B100&gt;0,100*F100/B100,"")</f>
        <v>10.3972016659877</v>
      </c>
      <c r="AF100" s="0" t="str">
        <f aca="false">RawFinancials!AE100</f>
        <v/>
      </c>
    </row>
    <row r="101" customFormat="false" ht="15" hidden="false" customHeight="false" outlineLevel="0" collapsed="false">
      <c r="A101" s="0" t="n">
        <f aca="false">IF(ISBLANK(RawFinancials!A101),"",RawFinancials!A101)</f>
        <v>101</v>
      </c>
      <c r="B101" s="0" t="n">
        <f aca="false">IF(ISBLANK(RawFinancials!B101),"",RawFinancials!B101)</f>
        <v>167702</v>
      </c>
      <c r="C101" s="0" t="n">
        <f aca="false">IF(ISBLANK(RawFinancials!C101),"",RawFinancials!C101)</f>
        <v>59176</v>
      </c>
      <c r="D101" s="0" t="n">
        <f aca="false">IF(ISBLANK(RawFinancials!D101),"",RawFinancials!D101)</f>
        <v>142565</v>
      </c>
      <c r="E101" s="0" t="n">
        <f aca="false">IF(ISBLANK(RawFinancials!E101),"",RawFinancials!E101)</f>
        <v>0.32</v>
      </c>
      <c r="F101" s="0" t="n">
        <f aca="false">IF(ISBLANK(RawFinancials!F101),"",RawFinancials!F101)</f>
        <v>21565</v>
      </c>
      <c r="G101" s="0" t="n">
        <f aca="false">IF(ISBLANK(RawFinancials!G101),"",RawFinancials!G101)</f>
        <v>12.8591191518288</v>
      </c>
      <c r="H101" s="0" t="str">
        <f aca="false">IF(ISBLANK(RawFinancials!H101),"",RawFinancials!H101)</f>
        <v>59176_20220630</v>
      </c>
      <c r="I101" s="0" t="n">
        <f aca="false">IF(ISBLANK(RawFinancials!I101),"",RawFinancials!I101)</f>
        <v>0.87191531803996</v>
      </c>
      <c r="J101" s="0" t="n">
        <f aca="false">IF(ISBLANK(RawFinancials!J101),"",RawFinancials!J101)</f>
        <v>18121</v>
      </c>
      <c r="K101" s="0" t="n">
        <f aca="false">IF(ISBLANK(RawFinancials!K101),"",RawFinancials!K101)</f>
        <v>13</v>
      </c>
      <c r="L101" s="0" t="n">
        <f aca="false">IF(ISBLANK(RawFinancials!L101),"",RawFinancials!L101)</f>
        <v>124324</v>
      </c>
      <c r="M101" s="0" t="n">
        <f aca="false">IF(ISBLANK(RawFinancials!M101),"",RawFinancials!M101)</f>
        <v>123240</v>
      </c>
      <c r="N101" s="0" t="n">
        <f aca="false">IF(ISBLANK(RawFinancials!N101),"",RawFinancials!N101)</f>
        <v>106199</v>
      </c>
      <c r="O101" s="0" t="n">
        <f aca="false">IF(ISBLANK(RawFinancials!O101),"",RawFinancials!O101)</f>
        <v>39</v>
      </c>
      <c r="P101" s="0" t="str">
        <f aca="false">IF(ISBLANK(RawFinancials!P101),"",RawFinancials!P101)</f>
        <v>THE MILLYARD BANK</v>
      </c>
      <c r="Q101" s="0" t="n">
        <f aca="false">IF(ISBLANK(RawFinancials!Q101),"",RawFinancials!Q101)</f>
        <v>0.0313696470512531</v>
      </c>
      <c r="R101" s="0" t="n">
        <f aca="false">IF(ISBLANK(RawFinancials!R101),"",RawFinancials!R101)</f>
        <v>3.10754446567691</v>
      </c>
      <c r="S101" s="0" t="n">
        <f aca="false">IF(ISBLANK(RawFinancials!S101),"",RawFinancials!S101)</f>
        <v>0</v>
      </c>
      <c r="T101" s="0" t="n">
        <f aca="false">IF(ISBLANK(RawFinancials!T101),"",RawFinancials!T101)</f>
        <v>0</v>
      </c>
      <c r="U101" s="0" t="n">
        <f aca="false">IF(ISBLANK(RawFinancials!U101),"",RawFinancials!U101)</f>
        <v>0</v>
      </c>
      <c r="V101" s="0" t="n">
        <f aca="false">IF(ISBLANK(RawFinancials!V101),"",RawFinancials!V101)</f>
        <v>18.8872412922766</v>
      </c>
      <c r="W101" s="0" t="n">
        <f aca="false">IF(ISBLANK(RawFinancials!W101),"",RawFinancials!W101)</f>
        <v>20220630</v>
      </c>
      <c r="X101" s="0" t="n">
        <f aca="false">IF(ISBLANK(RawFinancials!X101),"",RawFinancials!X101)</f>
        <v>0.166567358214614</v>
      </c>
      <c r="Y101" s="0" t="n">
        <f aca="false">IF(ISBLANK(RawFinancials!Y101),"",RawFinancials!Y101)</f>
        <v>1.23</v>
      </c>
      <c r="Z101" s="0" t="str">
        <f aca="false">IF(ISBLANK(RawFinancials!Z101),"",RawFinancials!Z101)</f>
        <v>NH</v>
      </c>
      <c r="AA101" s="0" t="n">
        <f aca="false">RawFinancials!AA101</f>
        <v>1</v>
      </c>
      <c r="AB101" s="0" t="n">
        <f aca="false">RawFinancials!AB101</f>
        <v>39</v>
      </c>
      <c r="AC101" s="0" t="n">
        <f aca="false">RawFinancials!AC101</f>
        <v>0.0232555366065998</v>
      </c>
      <c r="AD101" s="0" t="n">
        <f aca="false">IF(L101&gt;0,100*N101/L101,"")</f>
        <v>85.4211576204112</v>
      </c>
      <c r="AE101" s="0" t="n">
        <f aca="false">IF(B101&gt;0,100*F101/B101,"")</f>
        <v>12.8591191518288</v>
      </c>
      <c r="AF101" s="0" t="str">
        <f aca="false">RawFinancials!AE101</f>
        <v/>
      </c>
    </row>
    <row r="102" customFormat="false" ht="15" hidden="false" customHeight="false" outlineLevel="0" collapsed="false">
      <c r="A102" s="0" t="n">
        <f aca="false">IF(ISBLANK(RawFinancials!A102),"",RawFinancials!A102)</f>
        <v>102</v>
      </c>
      <c r="B102" s="0" t="n">
        <f aca="false">IF(ISBLANK(RawFinancials!B102),"",RawFinancials!B102)</f>
        <v>998962</v>
      </c>
      <c r="C102" s="0" t="n">
        <f aca="false">IF(ISBLANK(RawFinancials!C102),"",RawFinancials!C102)</f>
        <v>6271</v>
      </c>
      <c r="D102" s="0" t="n">
        <f aca="false">IF(ISBLANK(RawFinancials!D102),"",RawFinancials!D102)</f>
        <v>873100</v>
      </c>
      <c r="E102" s="0" t="n">
        <f aca="false">IF(ISBLANK(RawFinancials!E102),"",RawFinancials!E102)</f>
        <v>0.24</v>
      </c>
      <c r="F102" s="0" t="n">
        <f aca="false">IF(ISBLANK(RawFinancials!F102),"",RawFinancials!F102)</f>
        <v>86133</v>
      </c>
      <c r="G102" s="0" t="n">
        <f aca="false">IF(ISBLANK(RawFinancials!G102),"",RawFinancials!G102)</f>
        <v>8.62224989539142</v>
      </c>
      <c r="H102" s="0" t="str">
        <f aca="false">IF(ISBLANK(RawFinancials!H102),"",RawFinancials!H102)</f>
        <v>6271_20220630</v>
      </c>
      <c r="I102" s="0" t="n">
        <f aca="false">IF(ISBLANK(RawFinancials!I102),"",RawFinancials!I102)</f>
        <v>1.16920114292856</v>
      </c>
      <c r="J102" s="0" t="n">
        <f aca="false">IF(ISBLANK(RawFinancials!J102),"",RawFinancials!J102)</f>
        <v>120847</v>
      </c>
      <c r="K102" s="0" t="n">
        <f aca="false">IF(ISBLANK(RawFinancials!K102),"",RawFinancials!K102)</f>
        <v>3287</v>
      </c>
      <c r="L102" s="0" t="n">
        <f aca="false">IF(ISBLANK(RawFinancials!L102),"",RawFinancials!L102)</f>
        <v>704156</v>
      </c>
      <c r="M102" s="0" t="n">
        <f aca="false">IF(ISBLANK(RawFinancials!M102),"",RawFinancials!M102)</f>
        <v>695923</v>
      </c>
      <c r="N102" s="0" t="n">
        <f aca="false">IF(ISBLANK(RawFinancials!N102),"",RawFinancials!N102)</f>
        <v>539059</v>
      </c>
      <c r="O102" s="0" t="n">
        <f aca="false">IF(ISBLANK(RawFinancials!O102),"",RawFinancials!O102)</f>
        <v>4860</v>
      </c>
      <c r="P102" s="0" t="str">
        <f aca="false">IF(ISBLANK(RawFinancials!P102),"",RawFinancials!P102)</f>
        <v>COMMUNITY NATIONAL BANK</v>
      </c>
      <c r="Q102" s="0" t="n">
        <f aca="false">IF(ISBLANK(RawFinancials!Q102),"",RawFinancials!Q102)</f>
        <v>0.726543550008805</v>
      </c>
      <c r="R102" s="0" t="n">
        <f aca="false">IF(ISBLANK(RawFinancials!R102),"",RawFinancials!R102)</f>
        <v>3.30121090928702</v>
      </c>
      <c r="S102" s="0" t="n">
        <f aca="false">IF(ISBLANK(RawFinancials!S102),"",RawFinancials!S102)</f>
        <v>678</v>
      </c>
      <c r="T102" s="0" t="n">
        <f aca="false">IF(ISBLANK(RawFinancials!T102),"",RawFinancials!T102)</f>
        <v>1806</v>
      </c>
      <c r="U102" s="0" t="n">
        <f aca="false">IF(ISBLANK(RawFinancials!U102),"",RawFinancials!U102)</f>
        <v>256</v>
      </c>
      <c r="V102" s="0" t="n">
        <f aca="false">IF(ISBLANK(RawFinancials!V102),"",RawFinancials!V102)</f>
        <v>15.083968855691</v>
      </c>
      <c r="W102" s="0" t="n">
        <f aca="false">IF(ISBLANK(RawFinancials!W102),"",RawFinancials!W102)</f>
        <v>20220630</v>
      </c>
      <c r="X102" s="0" t="n">
        <f aca="false">IF(ISBLANK(RawFinancials!X102),"",RawFinancials!X102)</f>
        <v>1.1474856564293</v>
      </c>
      <c r="Y102" s="0" t="n">
        <f aca="false">IF(ISBLANK(RawFinancials!Y102),"",RawFinancials!Y102)</f>
        <v>12.71</v>
      </c>
      <c r="Z102" s="0" t="str">
        <f aca="false">IF(ISBLANK(RawFinancials!Z102),"",RawFinancials!Z102)</f>
        <v>VT</v>
      </c>
      <c r="AA102" s="0" t="n">
        <f aca="false">RawFinancials!AA102</f>
        <v>1</v>
      </c>
      <c r="AB102" s="0" t="n">
        <f aca="false">RawFinancials!AB102</f>
        <v>5116</v>
      </c>
      <c r="AC102" s="0" t="n">
        <f aca="false">RawFinancials!AC102</f>
        <v>0.512131592593112</v>
      </c>
      <c r="AD102" s="0" t="n">
        <f aca="false">IF(L102&gt;0,100*N102/L102,"")</f>
        <v>76.5539170297491</v>
      </c>
      <c r="AE102" s="0" t="n">
        <f aca="false">IF(B102&gt;0,100*F102/B102,"")</f>
        <v>8.62224989539142</v>
      </c>
      <c r="AF102" s="0" t="str">
        <f aca="false">RawFinancials!AE102</f>
        <v/>
      </c>
    </row>
    <row r="103" customFormat="false" ht="15" hidden="false" customHeight="false" outlineLevel="0" collapsed="false">
      <c r="A103" s="0" t="n">
        <f aca="false">IF(ISBLANK(RawFinancials!A103),"",RawFinancials!A103)</f>
        <v>103</v>
      </c>
      <c r="B103" s="0" t="n">
        <f aca="false">IF(ISBLANK(RawFinancials!B103),"",RawFinancials!B103)</f>
        <v>532831</v>
      </c>
      <c r="C103" s="0" t="n">
        <f aca="false">IF(ISBLANK(RawFinancials!C103),"",RawFinancials!C103)</f>
        <v>6275</v>
      </c>
      <c r="D103" s="0" t="n">
        <f aca="false">IF(ISBLANK(RawFinancials!D103),"",RawFinancials!D103)</f>
        <v>476559</v>
      </c>
      <c r="E103" s="0" t="n">
        <f aca="false">IF(ISBLANK(RawFinancials!E103),"",RawFinancials!E103)</f>
        <v>-0.11</v>
      </c>
      <c r="F103" s="0" t="n">
        <f aca="false">IF(ISBLANK(RawFinancials!F103),"",RawFinancials!F103)</f>
        <v>27657</v>
      </c>
      <c r="G103" s="0" t="n">
        <f aca="false">IF(ISBLANK(RawFinancials!G103),"",RawFinancials!G103)</f>
        <v>5.19057637412238</v>
      </c>
      <c r="H103" s="0" t="str">
        <f aca="false">IF(ISBLANK(RawFinancials!H103),"",RawFinancials!H103)</f>
        <v>6275_20220630</v>
      </c>
      <c r="I103" s="0" t="n">
        <f aca="false">IF(ISBLANK(RawFinancials!I103),"",RawFinancials!I103)</f>
        <v>0.966814379179047</v>
      </c>
      <c r="J103" s="0" t="n">
        <f aca="false">IF(ISBLANK(RawFinancials!J103),"",RawFinancials!J103)</f>
        <v>24306</v>
      </c>
      <c r="K103" s="0" t="n">
        <f aca="false">IF(ISBLANK(RawFinancials!K103),"",RawFinancials!K103)</f>
        <v>12786</v>
      </c>
      <c r="L103" s="0" t="n">
        <f aca="false">IF(ISBLANK(RawFinancials!L103),"",RawFinancials!L103)</f>
        <v>291783</v>
      </c>
      <c r="M103" s="0" t="n">
        <f aca="false">IF(ISBLANK(RawFinancials!M103),"",RawFinancials!M103)</f>
        <v>288962</v>
      </c>
      <c r="N103" s="0" t="n">
        <f aca="false">IF(ISBLANK(RawFinancials!N103),"",RawFinancials!N103)</f>
        <v>243597</v>
      </c>
      <c r="O103" s="0" t="n">
        <f aca="false">IF(ISBLANK(RawFinancials!O103),"",RawFinancials!O103)</f>
        <v>1592</v>
      </c>
      <c r="P103" s="0" t="str">
        <f aca="false">IF(ISBLANK(RawFinancials!P103),"",RawFinancials!P103)</f>
        <v>THE NATIONAL BANK OF MIDDLEBURY</v>
      </c>
      <c r="Q103" s="0" t="n">
        <f aca="false">IF(ISBLANK(RawFinancials!Q103),"",RawFinancials!Q103)</f>
        <v>0.545610950603702</v>
      </c>
      <c r="R103" s="0" t="n">
        <f aca="false">IF(ISBLANK(RawFinancials!R103),"",RawFinancials!R103)</f>
        <v>2.63578513235654</v>
      </c>
      <c r="S103" s="0" t="n">
        <f aca="false">IF(ISBLANK(RawFinancials!S103),"",RawFinancials!S103)</f>
        <v>-1</v>
      </c>
      <c r="T103" s="0" t="n">
        <f aca="false">IF(ISBLANK(RawFinancials!T103),"",RawFinancials!T103)</f>
        <v>126</v>
      </c>
      <c r="U103" s="0" t="n">
        <f aca="false">IF(ISBLANK(RawFinancials!U103),"",RawFinancials!U103)</f>
        <v>0</v>
      </c>
      <c r="V103" s="0" t="n">
        <f aca="false">IF(ISBLANK(RawFinancials!V103),"",RawFinancials!V103)</f>
        <v>16.2688855607059</v>
      </c>
      <c r="W103" s="0" t="n">
        <f aca="false">IF(ISBLANK(RawFinancials!W103),"",RawFinancials!W103)</f>
        <v>20220630</v>
      </c>
      <c r="X103" s="0" t="n">
        <f aca="false">IF(ISBLANK(RawFinancials!X103),"",RawFinancials!X103)</f>
        <v>0.557908413754798</v>
      </c>
      <c r="Y103" s="0" t="n">
        <f aca="false">IF(ISBLANK(RawFinancials!Y103),"",RawFinancials!Y103)</f>
        <v>8.86</v>
      </c>
      <c r="Z103" s="0" t="str">
        <f aca="false">IF(ISBLANK(RawFinancials!Z103),"",RawFinancials!Z103)</f>
        <v>VT</v>
      </c>
      <c r="AA103" s="0" t="n">
        <f aca="false">RawFinancials!AA103</f>
        <v>1</v>
      </c>
      <c r="AB103" s="0" t="n">
        <f aca="false">RawFinancials!AB103</f>
        <v>1592</v>
      </c>
      <c r="AC103" s="0" t="n">
        <f aca="false">RawFinancials!AC103</f>
        <v>0.298781414745013</v>
      </c>
      <c r="AD103" s="0" t="n">
        <f aca="false">IF(L103&gt;0,100*N103/L103,"")</f>
        <v>83.48567257174</v>
      </c>
      <c r="AE103" s="0" t="n">
        <f aca="false">IF(B103&gt;0,100*F103/B103,"")</f>
        <v>5.19057637412238</v>
      </c>
      <c r="AF103" s="0" t="str">
        <f aca="false">RawFinancials!AE103</f>
        <v/>
      </c>
    </row>
    <row r="104" customFormat="false" ht="15" hidden="false" customHeight="false" outlineLevel="0" collapsed="false">
      <c r="A104" s="0" t="n">
        <f aca="false">IF(ISBLANK(RawFinancials!A104),"",RawFinancials!A104)</f>
        <v>104</v>
      </c>
      <c r="B104" s="0" t="n">
        <f aca="false">IF(ISBLANK(RawFinancials!B104),"",RawFinancials!B104)</f>
        <v>86239</v>
      </c>
      <c r="C104" s="0" t="n">
        <f aca="false">IF(ISBLANK(RawFinancials!C104),"",RawFinancials!C104)</f>
        <v>6280</v>
      </c>
      <c r="D104" s="0" t="n">
        <f aca="false">IF(ISBLANK(RawFinancials!D104),"",RawFinancials!D104)</f>
        <v>77591</v>
      </c>
      <c r="E104" s="0" t="n">
        <f aca="false">IF(ISBLANK(RawFinancials!E104),"",RawFinancials!E104)</f>
        <v>0.03</v>
      </c>
      <c r="F104" s="0" t="n">
        <f aca="false">IF(ISBLANK(RawFinancials!F104),"",RawFinancials!F104)</f>
        <v>8210</v>
      </c>
      <c r="G104" s="0" t="n">
        <f aca="false">IF(ISBLANK(RawFinancials!G104),"",RawFinancials!G104)</f>
        <v>9.52005473161794</v>
      </c>
      <c r="H104" s="0" t="str">
        <f aca="false">IF(ISBLANK(RawFinancials!H104),"",RawFinancials!H104)</f>
        <v>6280_20220630</v>
      </c>
      <c r="I104" s="0" t="n">
        <f aca="false">IF(ISBLANK(RawFinancials!I104),"",RawFinancials!I104)</f>
        <v>1.33097288162871</v>
      </c>
      <c r="J104" s="0" t="n">
        <f aca="false">IF(ISBLANK(RawFinancials!J104),"",RawFinancials!J104)</f>
        <v>3382</v>
      </c>
      <c r="K104" s="0" t="n">
        <f aca="false">IF(ISBLANK(RawFinancials!K104),"",RawFinancials!K104)</f>
        <v>2008</v>
      </c>
      <c r="L104" s="0" t="n">
        <f aca="false">IF(ISBLANK(RawFinancials!L104),"",RawFinancials!L104)</f>
        <v>62135</v>
      </c>
      <c r="M104" s="0" t="n">
        <f aca="false">IF(ISBLANK(RawFinancials!M104),"",RawFinancials!M104)</f>
        <v>61308</v>
      </c>
      <c r="N104" s="0" t="n">
        <f aca="false">IF(ISBLANK(RawFinancials!N104),"",RawFinancials!N104)</f>
        <v>53194</v>
      </c>
      <c r="O104" s="0" t="n">
        <f aca="false">IF(ISBLANK(RawFinancials!O104),"",RawFinancials!O104)</f>
        <v>755</v>
      </c>
      <c r="P104" s="0" t="str">
        <f aca="false">IF(ISBLANK(RawFinancials!P104),"",RawFinancials!P104)</f>
        <v>THE FIRST NATIONAL BANK OF ORWELL</v>
      </c>
      <c r="Q104" s="0" t="n">
        <f aca="false">IF(ISBLANK(RawFinancials!Q104),"",RawFinancials!Q104)</f>
        <v>1.21509616158365</v>
      </c>
      <c r="R104" s="0" t="n">
        <f aca="false">IF(ISBLANK(RawFinancials!R104),"",RawFinancials!R104)</f>
        <v>3.96841017566304</v>
      </c>
      <c r="S104" s="0" t="n">
        <f aca="false">IF(ISBLANK(RawFinancials!S104),"",RawFinancials!S104)</f>
        <v>-2</v>
      </c>
      <c r="T104" s="0" t="n">
        <f aca="false">IF(ISBLANK(RawFinancials!T104),"",RawFinancials!T104)</f>
        <v>120</v>
      </c>
      <c r="U104" s="0" t="n">
        <f aca="false">IF(ISBLANK(RawFinancials!U104),"",RawFinancials!U104)</f>
        <v>0</v>
      </c>
      <c r="V104" s="0" t="n">
        <f aca="false">IF(ISBLANK(RawFinancials!V104),"",RawFinancials!V104)</f>
        <v>0</v>
      </c>
      <c r="W104" s="0" t="n">
        <f aca="false">IF(ISBLANK(RawFinancials!W104),"",RawFinancials!W104)</f>
        <v>20220630</v>
      </c>
      <c r="X104" s="0" t="n">
        <f aca="false">IF(ISBLANK(RawFinancials!X104),"",RawFinancials!X104)</f>
        <v>1.36158225247961</v>
      </c>
      <c r="Y104" s="0" t="n">
        <f aca="false">IF(ISBLANK(RawFinancials!Y104),"",RawFinancials!Y104)</f>
        <v>14.37</v>
      </c>
      <c r="Z104" s="0" t="str">
        <f aca="false">IF(ISBLANK(RawFinancials!Z104),"",RawFinancials!Z104)</f>
        <v>VT</v>
      </c>
      <c r="AA104" s="0" t="n">
        <f aca="false">RawFinancials!AA104</f>
        <v>1</v>
      </c>
      <c r="AB104" s="0" t="n">
        <f aca="false">RawFinancials!AB104</f>
        <v>755</v>
      </c>
      <c r="AC104" s="0" t="n">
        <f aca="false">RawFinancials!AC104</f>
        <v>0.875473973492272</v>
      </c>
      <c r="AD104" s="0" t="n">
        <f aca="false">IF(L104&gt;0,100*N104/L104,"")</f>
        <v>85.6103645288485</v>
      </c>
      <c r="AE104" s="0" t="n">
        <f aca="false">IF(B104&gt;0,100*F104/B104,"")</f>
        <v>9.52005473161795</v>
      </c>
      <c r="AF104" s="0" t="str">
        <f aca="false">RawFinancials!AE104</f>
        <v>原始0：需核实适用/报告口径</v>
      </c>
    </row>
    <row r="105" customFormat="false" ht="15" hidden="false" customHeight="false" outlineLevel="0" collapsed="false">
      <c r="A105" s="0" t="n">
        <f aca="false">IF(ISBLANK(RawFinancials!A105),"",RawFinancials!A105)</f>
        <v>105</v>
      </c>
      <c r="B105" s="0" t="n">
        <f aca="false">IF(ISBLANK(RawFinancials!B105),"",RawFinancials!B105)</f>
        <v>3837295</v>
      </c>
      <c r="C105" s="0" t="n">
        <f aca="false">IF(ISBLANK(RawFinancials!C105),"",RawFinancials!C105)</f>
        <v>11971</v>
      </c>
      <c r="D105" s="0" t="n">
        <f aca="false">IF(ISBLANK(RawFinancials!D105),"",RawFinancials!D105)</f>
        <v>3143267</v>
      </c>
      <c r="E105" s="0" t="n">
        <f aca="false">IF(ISBLANK(RawFinancials!E105),"",RawFinancials!E105)</f>
        <v>0.09</v>
      </c>
      <c r="F105" s="0" t="n">
        <f aca="false">IF(ISBLANK(RawFinancials!F105),"",RawFinancials!F105)</f>
        <v>434474</v>
      </c>
      <c r="G105" s="0" t="n">
        <f aca="false">IF(ISBLANK(RawFinancials!G105),"",RawFinancials!G105)</f>
        <v>11.3224028905779</v>
      </c>
      <c r="H105" s="0" t="str">
        <f aca="false">IF(ISBLANK(RawFinancials!H105),"",RawFinancials!H105)</f>
        <v>11971_20220930</v>
      </c>
      <c r="I105" s="0" t="n">
        <f aca="false">IF(ISBLANK(RawFinancials!I105),"",RawFinancials!I105)</f>
        <v>0.877410177509148</v>
      </c>
      <c r="J105" s="0" t="n">
        <f aca="false">IF(ISBLANK(RawFinancials!J105),"",RawFinancials!J105)</f>
        <v>216709</v>
      </c>
      <c r="K105" s="0" t="n">
        <f aca="false">IF(ISBLANK(RawFinancials!K105),"",RawFinancials!K105)</f>
        <v>8133</v>
      </c>
      <c r="L105" s="0" t="n">
        <f aca="false">IF(ISBLANK(RawFinancials!L105),"",RawFinancials!L105)</f>
        <v>2851346</v>
      </c>
      <c r="M105" s="0" t="n">
        <f aca="false">IF(ISBLANK(RawFinancials!M105),"",RawFinancials!M105)</f>
        <v>2826328</v>
      </c>
      <c r="N105" s="0" t="n">
        <f aca="false">IF(ISBLANK(RawFinancials!N105),"",RawFinancials!N105)</f>
        <v>2481945</v>
      </c>
      <c r="O105" s="0" t="n">
        <f aca="false">IF(ISBLANK(RawFinancials!O105),"",RawFinancials!O105)</f>
        <v>7772</v>
      </c>
      <c r="P105" s="0" t="str">
        <f aca="false">IF(ISBLANK(RawFinancials!P105),"",RawFinancials!P105)</f>
        <v>BAR HARBOR BANK &amp; TRUST</v>
      </c>
      <c r="Q105" s="0" t="n">
        <f aca="false">IF(ISBLANK(RawFinancials!Q105),"",RawFinancials!Q105)</f>
        <v>0.281621381621171</v>
      </c>
      <c r="R105" s="0" t="n">
        <f aca="false">IF(ISBLANK(RawFinancials!R105),"",RawFinancials!R105)</f>
        <v>3.30384258983793</v>
      </c>
      <c r="S105" s="0" t="n">
        <f aca="false">IF(ISBLANK(RawFinancials!S105),"",RawFinancials!S105)</f>
        <v>-83</v>
      </c>
      <c r="T105" s="0" t="n">
        <f aca="false">IF(ISBLANK(RawFinancials!T105),"",RawFinancials!T105)</f>
        <v>1064</v>
      </c>
      <c r="U105" s="0" t="n">
        <f aca="false">IF(ISBLANK(RawFinancials!U105),"",RawFinancials!U105)</f>
        <v>258</v>
      </c>
      <c r="V105" s="0" t="n">
        <f aca="false">IF(ISBLANK(RawFinancials!V105),"",RawFinancials!V105)</f>
        <v>13.2170291052592</v>
      </c>
      <c r="W105" s="0" t="n">
        <f aca="false">IF(ISBLANK(RawFinancials!W105),"",RawFinancials!W105)</f>
        <v>20220930</v>
      </c>
      <c r="X105" s="0" t="n">
        <f aca="false">IF(ISBLANK(RawFinancials!X105),"",RawFinancials!X105)</f>
        <v>1.23205511199835</v>
      </c>
      <c r="Y105" s="0" t="n">
        <f aca="false">IF(ISBLANK(RawFinancials!Y105),"",RawFinancials!Y105)</f>
        <v>10.09</v>
      </c>
      <c r="Z105" s="0" t="str">
        <f aca="false">IF(ISBLANK(RawFinancials!Z105),"",RawFinancials!Z105)</f>
        <v>ME</v>
      </c>
      <c r="AA105" s="0" t="n">
        <f aca="false">RawFinancials!AA105</f>
        <v>1</v>
      </c>
      <c r="AB105" s="0" t="n">
        <f aca="false">RawFinancials!AB105</f>
        <v>8030</v>
      </c>
      <c r="AC105" s="0" t="n">
        <f aca="false">RawFinancials!AC105</f>
        <v>0.20926199314882</v>
      </c>
      <c r="AD105" s="0" t="n">
        <f aca="false">IF(L105&gt;0,100*N105/L105,"")</f>
        <v>87.0446799511529</v>
      </c>
      <c r="AE105" s="0" t="n">
        <f aca="false">IF(B105&gt;0,100*F105/B105,"")</f>
        <v>11.3224028905779</v>
      </c>
      <c r="AF105" s="0" t="str">
        <f aca="false">RawFinancials!AE105</f>
        <v/>
      </c>
    </row>
    <row r="106" customFormat="false" ht="15" hidden="false" customHeight="false" outlineLevel="0" collapsed="false">
      <c r="A106" s="0" t="n">
        <f aca="false">IF(ISBLANK(RawFinancials!A106),"",RawFinancials!A106)</f>
        <v>106</v>
      </c>
      <c r="B106" s="0" t="n">
        <f aca="false">IF(ISBLANK(RawFinancials!B106),"",RawFinancials!B106)</f>
        <v>965147</v>
      </c>
      <c r="C106" s="0" t="n">
        <f aca="false">IF(ISBLANK(RawFinancials!C106),"",RawFinancials!C106)</f>
        <v>12874</v>
      </c>
      <c r="D106" s="0" t="n">
        <f aca="false">IF(ISBLANK(RawFinancials!D106),"",RawFinancials!D106)</f>
        <v>851082</v>
      </c>
      <c r="E106" s="0" t="n">
        <f aca="false">IF(ISBLANK(RawFinancials!E106),"",RawFinancials!E106)</f>
        <v>0</v>
      </c>
      <c r="F106" s="0" t="n">
        <f aca="false">IF(ISBLANK(RawFinancials!F106),"",RawFinancials!F106)</f>
        <v>93663</v>
      </c>
      <c r="G106" s="0" t="n">
        <f aca="false">IF(ISBLANK(RawFinancials!G106),"",RawFinancials!G106)</f>
        <v>9.70453205573866</v>
      </c>
      <c r="H106" s="0" t="str">
        <f aca="false">IF(ISBLANK(RawFinancials!H106),"",RawFinancials!H106)</f>
        <v>12874_20220930</v>
      </c>
      <c r="I106" s="0" t="n">
        <f aca="false">IF(ISBLANK(RawFinancials!I106),"",RawFinancials!I106)</f>
        <v>1.07354570976552</v>
      </c>
      <c r="J106" s="0" t="n">
        <f aca="false">IF(ISBLANK(RawFinancials!J106),"",RawFinancials!J106)</f>
        <v>125703</v>
      </c>
      <c r="K106" s="0" t="n">
        <f aca="false">IF(ISBLANK(RawFinancials!K106),"",RawFinancials!K106)</f>
        <v>5372</v>
      </c>
      <c r="L106" s="0" t="n">
        <f aca="false">IF(ISBLANK(RawFinancials!L106),"",RawFinancials!L106)</f>
        <v>734482</v>
      </c>
      <c r="M106" s="0" t="n">
        <f aca="false">IF(ISBLANK(RawFinancials!M106),"",RawFinancials!M106)</f>
        <v>726597</v>
      </c>
      <c r="N106" s="0" t="n">
        <f aca="false">IF(ISBLANK(RawFinancials!N106),"",RawFinancials!N106)</f>
        <v>586996</v>
      </c>
      <c r="O106" s="0" t="n">
        <f aca="false">IF(ISBLANK(RawFinancials!O106),"",RawFinancials!O106)</f>
        <v>577</v>
      </c>
      <c r="P106" s="0" t="str">
        <f aca="false">IF(ISBLANK(RawFinancials!P106),"",RawFinancials!P106)</f>
        <v>KATAHDIN TRUST COMPANY</v>
      </c>
      <c r="Q106" s="0" t="n">
        <f aca="false">IF(ISBLANK(RawFinancials!Q106),"",RawFinancials!Q106)</f>
        <v>0.0841409319765494</v>
      </c>
      <c r="R106" s="0" t="n">
        <f aca="false">IF(ISBLANK(RawFinancials!R106),"",RawFinancials!R106)</f>
        <v>3.647985444362</v>
      </c>
      <c r="S106" s="0" t="n">
        <f aca="false">IF(ISBLANK(RawFinancials!S106),"",RawFinancials!S106)</f>
        <v>-82</v>
      </c>
      <c r="T106" s="0" t="n">
        <f aca="false">IF(ISBLANK(RawFinancials!T106),"",RawFinancials!T106)</f>
        <v>774</v>
      </c>
      <c r="U106" s="0" t="n">
        <f aca="false">IF(ISBLANK(RawFinancials!U106),"",RawFinancials!U106)</f>
        <v>41</v>
      </c>
      <c r="V106" s="0" t="n">
        <f aca="false">IF(ISBLANK(RawFinancials!V106),"",RawFinancials!V106)</f>
        <v>15.4817930258654</v>
      </c>
      <c r="W106" s="0" t="n">
        <f aca="false">IF(ISBLANK(RawFinancials!W106),"",RawFinancials!W106)</f>
        <v>20220930</v>
      </c>
      <c r="X106" s="0" t="n">
        <f aca="false">IF(ISBLANK(RawFinancials!X106),"",RawFinancials!X106)</f>
        <v>0.995017130979604</v>
      </c>
      <c r="Y106" s="0" t="n">
        <f aca="false">IF(ISBLANK(RawFinancials!Y106),"",RawFinancials!Y106)</f>
        <v>9.85</v>
      </c>
      <c r="Z106" s="0" t="str">
        <f aca="false">IF(ISBLANK(RawFinancials!Z106),"",RawFinancials!Z106)</f>
        <v>ME</v>
      </c>
      <c r="AA106" s="0" t="n">
        <f aca="false">RawFinancials!AA106</f>
        <v>1</v>
      </c>
      <c r="AB106" s="0" t="n">
        <f aca="false">RawFinancials!AB106</f>
        <v>618</v>
      </c>
      <c r="AC106" s="0" t="n">
        <f aca="false">RawFinancials!AC106</f>
        <v>0.064031696725991</v>
      </c>
      <c r="AD106" s="0" t="n">
        <f aca="false">IF(L106&gt;0,100*N106/L106,"")</f>
        <v>79.9197257386839</v>
      </c>
      <c r="AE106" s="0" t="n">
        <f aca="false">IF(B106&gt;0,100*F106/B106,"")</f>
        <v>9.70453205573866</v>
      </c>
      <c r="AF106" s="0" t="str">
        <f aca="false">RawFinancials!AE106</f>
        <v/>
      </c>
    </row>
    <row r="107" customFormat="false" ht="15" hidden="false" customHeight="false" outlineLevel="0" collapsed="false">
      <c r="A107" s="0" t="n">
        <f aca="false">IF(ISBLANK(RawFinancials!A107),"",RawFinancials!A107)</f>
        <v>107</v>
      </c>
      <c r="B107" s="0" t="n">
        <f aca="false">IF(ISBLANK(RawFinancials!B107),"",RawFinancials!B107)</f>
        <v>1877331</v>
      </c>
      <c r="C107" s="0" t="n">
        <f aca="false">IF(ISBLANK(RawFinancials!C107),"",RawFinancials!C107)</f>
        <v>13063</v>
      </c>
      <c r="D107" s="0" t="n">
        <f aca="false">IF(ISBLANK(RawFinancials!D107),"",RawFinancials!D107)</f>
        <v>1697083</v>
      </c>
      <c r="E107" s="0" t="n">
        <f aca="false">IF(ISBLANK(RawFinancials!E107),"",RawFinancials!E107)</f>
        <v>-0.11</v>
      </c>
      <c r="F107" s="0" t="n">
        <f aca="false">IF(ISBLANK(RawFinancials!F107),"",RawFinancials!F107)</f>
        <v>131833</v>
      </c>
      <c r="G107" s="0" t="n">
        <f aca="false">IF(ISBLANK(RawFinancials!G107),"",RawFinancials!G107)</f>
        <v>7.02236313148827</v>
      </c>
      <c r="H107" s="0" t="str">
        <f aca="false">IF(ISBLANK(RawFinancials!H107),"",RawFinancials!H107)</f>
        <v>13063_20220930</v>
      </c>
      <c r="I107" s="0" t="n">
        <f aca="false">IF(ISBLANK(RawFinancials!I107),"",RawFinancials!I107)</f>
        <v>1.04521315964769</v>
      </c>
      <c r="J107" s="0" t="n">
        <f aca="false">IF(ISBLANK(RawFinancials!J107),"",RawFinancials!J107)</f>
        <v>41370</v>
      </c>
      <c r="K107" s="0" t="n">
        <f aca="false">IF(ISBLANK(RawFinancials!K107),"",RawFinancials!K107)</f>
        <v>860</v>
      </c>
      <c r="L107" s="0" t="n">
        <f aca="false">IF(ISBLANK(RawFinancials!L107),"",RawFinancials!L107)</f>
        <v>1297056</v>
      </c>
      <c r="M107" s="0" t="n">
        <f aca="false">IF(ISBLANK(RawFinancials!M107),"",RawFinancials!M107)</f>
        <v>1283499</v>
      </c>
      <c r="N107" s="0" t="n">
        <f aca="false">IF(ISBLANK(RawFinancials!N107),"",RawFinancials!N107)</f>
        <v>1247709</v>
      </c>
      <c r="O107" s="0" t="n">
        <f aca="false">IF(ISBLANK(RawFinancials!O107),"",RawFinancials!O107)</f>
        <v>354</v>
      </c>
      <c r="P107" s="0" t="str">
        <f aca="false">IF(ISBLANK(RawFinancials!P107),"",RawFinancials!P107)</f>
        <v>KENNEBUNK SAVINGS BANK</v>
      </c>
      <c r="Q107" s="0" t="n">
        <f aca="false">IF(ISBLANK(RawFinancials!Q107),"",RawFinancials!Q107)</f>
        <v>0.1020002220413</v>
      </c>
      <c r="R107" s="0" t="n">
        <f aca="false">IF(ISBLANK(RawFinancials!R107),"",RawFinancials!R107)</f>
        <v>3.4335478478502</v>
      </c>
      <c r="S107" s="0" t="n">
        <f aca="false">IF(ISBLANK(RawFinancials!S107),"",RawFinancials!S107)</f>
        <v>-161</v>
      </c>
      <c r="T107" s="0" t="n">
        <f aca="false">IF(ISBLANK(RawFinancials!T107),"",RawFinancials!T107)</f>
        <v>61</v>
      </c>
      <c r="U107" s="0" t="n">
        <f aca="false">IF(ISBLANK(RawFinancials!U107),"",RawFinancials!U107)</f>
        <v>969</v>
      </c>
      <c r="V107" s="0" t="n">
        <f aca="false">IF(ISBLANK(RawFinancials!V107),"",RawFinancials!V107)</f>
        <v>0</v>
      </c>
      <c r="W107" s="0" t="n">
        <f aca="false">IF(ISBLANK(RawFinancials!W107),"",RawFinancials!W107)</f>
        <v>20220930</v>
      </c>
      <c r="X107" s="0" t="n">
        <f aca="false">IF(ISBLANK(RawFinancials!X107),"",RawFinancials!X107)</f>
        <v>0.78572349668144</v>
      </c>
      <c r="Y107" s="0" t="n">
        <f aca="false">IF(ISBLANK(RawFinancials!Y107),"",RawFinancials!Y107)</f>
        <v>9.81</v>
      </c>
      <c r="Z107" s="0" t="str">
        <f aca="false">IF(ISBLANK(RawFinancials!Z107),"",RawFinancials!Z107)</f>
        <v>ME</v>
      </c>
      <c r="AA107" s="0" t="n">
        <f aca="false">RawFinancials!AA107</f>
        <v>1</v>
      </c>
      <c r="AB107" s="0" t="n">
        <f aca="false">RawFinancials!AB107</f>
        <v>1323</v>
      </c>
      <c r="AC107" s="0" t="n">
        <f aca="false">RawFinancials!AC107</f>
        <v>0.0704723887263354</v>
      </c>
      <c r="AD107" s="0" t="n">
        <f aca="false">IF(L107&gt;0,100*N107/L107,"")</f>
        <v>96.1954611057657</v>
      </c>
      <c r="AE107" s="0" t="n">
        <f aca="false">IF(B107&gt;0,100*F107/B107,"")</f>
        <v>7.02236313148827</v>
      </c>
      <c r="AF107" s="0" t="str">
        <f aca="false">RawFinancials!AE107</f>
        <v>原始0：需核实适用/报告口径</v>
      </c>
    </row>
    <row r="108" customFormat="false" ht="15" hidden="false" customHeight="false" outlineLevel="0" collapsed="false">
      <c r="A108" s="0" t="n">
        <f aca="false">IF(ISBLANK(RawFinancials!A108),"",RawFinancials!A108)</f>
        <v>108</v>
      </c>
      <c r="B108" s="0" t="n">
        <f aca="false">IF(ISBLANK(RawFinancials!B108),"",RawFinancials!B108)</f>
        <v>838498</v>
      </c>
      <c r="C108" s="0" t="n">
        <f aca="false">IF(ISBLANK(RawFinancials!C108),"",RawFinancials!C108)</f>
        <v>14134</v>
      </c>
      <c r="D108" s="0" t="n">
        <f aca="false">IF(ISBLANK(RawFinancials!D108),"",RawFinancials!D108)</f>
        <v>723891</v>
      </c>
      <c r="E108" s="0" t="n">
        <f aca="false">IF(ISBLANK(RawFinancials!E108),"",RawFinancials!E108)</f>
        <v>0.1</v>
      </c>
      <c r="F108" s="0" t="n">
        <f aca="false">IF(ISBLANK(RawFinancials!F108),"",RawFinancials!F108)</f>
        <v>91539</v>
      </c>
      <c r="G108" s="0" t="n">
        <f aca="false">IF(ISBLANK(RawFinancials!G108),"",RawFinancials!G108)</f>
        <v>10.917020672679</v>
      </c>
      <c r="H108" s="0" t="str">
        <f aca="false">IF(ISBLANK(RawFinancials!H108),"",RawFinancials!H108)</f>
        <v>14134_20220930</v>
      </c>
      <c r="I108" s="0" t="n">
        <f aca="false">IF(ISBLANK(RawFinancials!I108),"",RawFinancials!I108)</f>
        <v>1.35533782932157</v>
      </c>
      <c r="J108" s="0" t="n">
        <f aca="false">IF(ISBLANK(RawFinancials!J108),"",RawFinancials!J108)</f>
        <v>29795</v>
      </c>
      <c r="K108" s="0" t="n">
        <f aca="false">IF(ISBLANK(RawFinancials!K108),"",RawFinancials!K108)</f>
        <v>22934</v>
      </c>
      <c r="L108" s="0" t="n">
        <f aca="false">IF(ISBLANK(RawFinancials!L108),"",RawFinancials!L108)</f>
        <v>626781</v>
      </c>
      <c r="M108" s="0" t="n">
        <f aca="false">IF(ISBLANK(RawFinancials!M108),"",RawFinancials!M108)</f>
        <v>618286</v>
      </c>
      <c r="N108" s="0" t="n">
        <f aca="false">IF(ISBLANK(RawFinancials!N108),"",RawFinancials!N108)</f>
        <v>548807</v>
      </c>
      <c r="O108" s="0" t="n">
        <f aca="false">IF(ISBLANK(RawFinancials!O108),"",RawFinancials!O108)</f>
        <v>6193</v>
      </c>
      <c r="P108" s="0" t="str">
        <f aca="false">IF(ISBLANK(RawFinancials!P108),"",RawFinancials!P108)</f>
        <v>PASSUMPSIC SAVINGS BANK</v>
      </c>
      <c r="Q108" s="0" t="n">
        <f aca="false">IF(ISBLANK(RawFinancials!Q108),"",RawFinancials!Q108)</f>
        <v>0.988064411652555</v>
      </c>
      <c r="R108" s="0" t="n">
        <f aca="false">IF(ISBLANK(RawFinancials!R108),"",RawFinancials!R108)</f>
        <v>3.06728844867761</v>
      </c>
      <c r="S108" s="0" t="n">
        <f aca="false">IF(ISBLANK(RawFinancials!S108),"",RawFinancials!S108)</f>
        <v>332</v>
      </c>
      <c r="T108" s="0" t="n">
        <f aca="false">IF(ISBLANK(RawFinancials!T108),"",RawFinancials!T108)</f>
        <v>11227</v>
      </c>
      <c r="U108" s="0" t="n">
        <f aca="false">IF(ISBLANK(RawFinancials!U108),"",RawFinancials!U108)</f>
        <v>0</v>
      </c>
      <c r="V108" s="0" t="n">
        <f aca="false">IF(ISBLANK(RawFinancials!V108),"",RawFinancials!V108)</f>
        <v>17.3760103737375</v>
      </c>
      <c r="W108" s="0" t="n">
        <f aca="false">IF(ISBLANK(RawFinancials!W108),"",RawFinancials!W108)</f>
        <v>20220930</v>
      </c>
      <c r="X108" s="0" t="n">
        <f aca="false">IF(ISBLANK(RawFinancials!X108),"",RawFinancials!X108)</f>
        <v>-0.560663297121952</v>
      </c>
      <c r="Y108" s="0" t="n">
        <f aca="false">IF(ISBLANK(RawFinancials!Y108),"",RawFinancials!Y108)</f>
        <v>-4.85</v>
      </c>
      <c r="Z108" s="0" t="str">
        <f aca="false">IF(ISBLANK(RawFinancials!Z108),"",RawFinancials!Z108)</f>
        <v>VT</v>
      </c>
      <c r="AA108" s="0" t="n">
        <f aca="false">RawFinancials!AA108</f>
        <v>1</v>
      </c>
      <c r="AB108" s="0" t="n">
        <f aca="false">RawFinancials!AB108</f>
        <v>6193</v>
      </c>
      <c r="AC108" s="0" t="n">
        <f aca="false">RawFinancials!AC108</f>
        <v>0.738582560721671</v>
      </c>
      <c r="AD108" s="0" t="n">
        <f aca="false">IF(L108&gt;0,100*N108/L108,"")</f>
        <v>87.5596101349594</v>
      </c>
      <c r="AE108" s="0" t="n">
        <f aca="false">IF(B108&gt;0,100*F108/B108,"")</f>
        <v>10.917020672679</v>
      </c>
      <c r="AF108" s="0" t="str">
        <f aca="false">RawFinancials!AE108</f>
        <v/>
      </c>
    </row>
    <row r="109" customFormat="false" ht="15" hidden="false" customHeight="false" outlineLevel="0" collapsed="false">
      <c r="A109" s="0" t="n">
        <f aca="false">IF(ISBLANK(RawFinancials!A109),"",RawFinancials!A109)</f>
        <v>109</v>
      </c>
      <c r="B109" s="0" t="n">
        <f aca="false">IF(ISBLANK(RawFinancials!B109),"",RawFinancials!B109)</f>
        <v>225735</v>
      </c>
      <c r="C109" s="0" t="n">
        <f aca="false">IF(ISBLANK(RawFinancials!C109),"",RawFinancials!C109)</f>
        <v>14136</v>
      </c>
      <c r="D109" s="0" t="n">
        <f aca="false">IF(ISBLANK(RawFinancials!D109),"",RawFinancials!D109)</f>
        <v>207393</v>
      </c>
      <c r="E109" s="0" t="n">
        <f aca="false">IF(ISBLANK(RawFinancials!E109),"",RawFinancials!E109)</f>
        <v>0.03</v>
      </c>
      <c r="F109" s="0" t="n">
        <f aca="false">IF(ISBLANK(RawFinancials!F109),"",RawFinancials!F109)</f>
        <v>14034</v>
      </c>
      <c r="G109" s="0" t="n">
        <f aca="false">IF(ISBLANK(RawFinancials!G109),"",RawFinancials!G109)</f>
        <v>6.21702438700246</v>
      </c>
      <c r="H109" s="0" t="str">
        <f aca="false">IF(ISBLANK(RawFinancials!H109),"",RawFinancials!H109)</f>
        <v>14136_20220930</v>
      </c>
      <c r="I109" s="0" t="n">
        <f aca="false">IF(ISBLANK(RawFinancials!I109),"",RawFinancials!I109)</f>
        <v>0.991153651479554</v>
      </c>
      <c r="J109" s="0" t="n">
        <f aca="false">IF(ISBLANK(RawFinancials!J109),"",RawFinancials!J109)</f>
        <v>12989</v>
      </c>
      <c r="K109" s="0" t="n">
        <f aca="false">IF(ISBLANK(RawFinancials!K109),"",RawFinancials!K109)</f>
        <v>12223</v>
      </c>
      <c r="L109" s="0" t="n">
        <f aca="false">IF(ISBLANK(RawFinancials!L109),"",RawFinancials!L109)</f>
        <v>132371</v>
      </c>
      <c r="M109" s="0" t="n">
        <f aca="false">IF(ISBLANK(RawFinancials!M109),"",RawFinancials!M109)</f>
        <v>131059</v>
      </c>
      <c r="N109" s="0" t="n">
        <f aca="false">IF(ISBLANK(RawFinancials!N109),"",RawFinancials!N109)</f>
        <v>106837</v>
      </c>
      <c r="O109" s="0" t="n">
        <f aca="false">IF(ISBLANK(RawFinancials!O109),"",RawFinancials!O109)</f>
        <v>110</v>
      </c>
      <c r="P109" s="0" t="str">
        <f aca="false">IF(ISBLANK(RawFinancials!P109),"",RawFinancials!P109)</f>
        <v>WELLS RIVER SAVINGS BANK</v>
      </c>
      <c r="Q109" s="0" t="n">
        <f aca="false">IF(ISBLANK(RawFinancials!Q109),"",RawFinancials!Q109)</f>
        <v>0.618715579696459</v>
      </c>
      <c r="R109" s="0" t="n">
        <f aca="false">IF(ISBLANK(RawFinancials!R109),"",RawFinancials!R109)</f>
        <v>3.58575597517997</v>
      </c>
      <c r="S109" s="0" t="n">
        <f aca="false">IF(ISBLANK(RawFinancials!S109),"",RawFinancials!S109)</f>
        <v>89</v>
      </c>
      <c r="T109" s="0" t="n">
        <f aca="false">IF(ISBLANK(RawFinancials!T109),"",RawFinancials!T109)</f>
        <v>458</v>
      </c>
      <c r="U109" s="0" t="n">
        <f aca="false">IF(ISBLANK(RawFinancials!U109),"",RawFinancials!U109)</f>
        <v>709</v>
      </c>
      <c r="V109" s="0" t="n">
        <f aca="false">IF(ISBLANK(RawFinancials!V109),"",RawFinancials!V109)</f>
        <v>17.115209519978</v>
      </c>
      <c r="W109" s="0" t="n">
        <f aca="false">IF(ISBLANK(RawFinancials!W109),"",RawFinancials!W109)</f>
        <v>20220930</v>
      </c>
      <c r="X109" s="0" t="n">
        <f aca="false">IF(ISBLANK(RawFinancials!X109),"",RawFinancials!X109)</f>
        <v>0.393354896764142</v>
      </c>
      <c r="Y109" s="0" t="n">
        <f aca="false">IF(ISBLANK(RawFinancials!Y109),"",RawFinancials!Y109)</f>
        <v>4.91</v>
      </c>
      <c r="Z109" s="0" t="str">
        <f aca="false">IF(ISBLANK(RawFinancials!Z109),"",RawFinancials!Z109)</f>
        <v>VT</v>
      </c>
      <c r="AA109" s="0" t="n">
        <f aca="false">RawFinancials!AA109</f>
        <v>1</v>
      </c>
      <c r="AB109" s="0" t="n">
        <f aca="false">RawFinancials!AB109</f>
        <v>819</v>
      </c>
      <c r="AC109" s="0" t="n">
        <f aca="false">RawFinancials!AC109</f>
        <v>0.36281480497043</v>
      </c>
      <c r="AD109" s="0" t="n">
        <f aca="false">IF(L109&gt;0,100*N109/L109,"")</f>
        <v>80.7102764200618</v>
      </c>
      <c r="AE109" s="0" t="n">
        <f aca="false">IF(B109&gt;0,100*F109/B109,"")</f>
        <v>6.21702438700246</v>
      </c>
      <c r="AF109" s="0" t="str">
        <f aca="false">RawFinancials!AE109</f>
        <v/>
      </c>
    </row>
    <row r="110" customFormat="false" ht="15" hidden="false" customHeight="false" outlineLevel="0" collapsed="false">
      <c r="A110" s="0" t="n">
        <f aca="false">IF(ISBLANK(RawFinancials!A110),"",RawFinancials!A110)</f>
        <v>110</v>
      </c>
      <c r="B110" s="0" t="n">
        <f aca="false">IF(ISBLANK(RawFinancials!B110),"",RawFinancials!B110)</f>
        <v>1443158</v>
      </c>
      <c r="C110" s="0" t="n">
        <f aca="false">IF(ISBLANK(RawFinancials!C110),"",RawFinancials!C110)</f>
        <v>14140</v>
      </c>
      <c r="D110" s="0" t="n">
        <f aca="false">IF(ISBLANK(RawFinancials!D110),"",RawFinancials!D110)</f>
        <v>1246266</v>
      </c>
      <c r="E110" s="0" t="n">
        <f aca="false">IF(ISBLANK(RawFinancials!E110),"",RawFinancials!E110)</f>
        <v>0</v>
      </c>
      <c r="F110" s="0" t="n">
        <f aca="false">IF(ISBLANK(RawFinancials!F110),"",RawFinancials!F110)</f>
        <v>107668</v>
      </c>
      <c r="G110" s="0" t="n">
        <f aca="false">IF(ISBLANK(RawFinancials!G110),"",RawFinancials!G110)</f>
        <v>7.46058297151109</v>
      </c>
      <c r="H110" s="0" t="str">
        <f aca="false">IF(ISBLANK(RawFinancials!H110),"",RawFinancials!H110)</f>
        <v>14140_20220930</v>
      </c>
      <c r="I110" s="0" t="n">
        <f aca="false">IF(ISBLANK(RawFinancials!I110),"",RawFinancials!I110)</f>
        <v>1.100515560594</v>
      </c>
      <c r="J110" s="0" t="n">
        <f aca="false">IF(ISBLANK(RawFinancials!J110),"",RawFinancials!J110)</f>
        <v>82112</v>
      </c>
      <c r="K110" s="0" t="n">
        <f aca="false">IF(ISBLANK(RawFinancials!K110),"",RawFinancials!K110)</f>
        <v>1215</v>
      </c>
      <c r="L110" s="0" t="n">
        <f aca="false">IF(ISBLANK(RawFinancials!L110),"",RawFinancials!L110)</f>
        <v>959732</v>
      </c>
      <c r="M110" s="0" t="n">
        <f aca="false">IF(ISBLANK(RawFinancials!M110),"",RawFinancials!M110)</f>
        <v>949170</v>
      </c>
      <c r="N110" s="0" t="n">
        <f aca="false">IF(ISBLANK(RawFinancials!N110),"",RawFinancials!N110)</f>
        <v>868686</v>
      </c>
      <c r="O110" s="0" t="n">
        <f aca="false">IF(ISBLANK(RawFinancials!O110),"",RawFinancials!O110)</f>
        <v>2457</v>
      </c>
      <c r="P110" s="0" t="str">
        <f aca="false">IF(ISBLANK(RawFinancials!P110),"",RawFinancials!P110)</f>
        <v>NORTHFIELD SAVINGS BANK</v>
      </c>
      <c r="Q110" s="0" t="n">
        <f aca="false">IF(ISBLANK(RawFinancials!Q110),"",RawFinancials!Q110)</f>
        <v>0.25600896917056</v>
      </c>
      <c r="R110" s="0" t="n">
        <f aca="false">IF(ISBLANK(RawFinancials!R110),"",RawFinancials!R110)</f>
        <v>3.07660660567704</v>
      </c>
      <c r="S110" s="0" t="n">
        <f aca="false">IF(ISBLANK(RawFinancials!S110),"",RawFinancials!S110)</f>
        <v>58</v>
      </c>
      <c r="T110" s="0" t="n">
        <f aca="false">IF(ISBLANK(RawFinancials!T110),"",RawFinancials!T110)</f>
        <v>187</v>
      </c>
      <c r="U110" s="0" t="n">
        <f aca="false">IF(ISBLANK(RawFinancials!U110),"",RawFinancials!U110)</f>
        <v>0</v>
      </c>
      <c r="V110" s="0" t="n">
        <f aca="false">IF(ISBLANK(RawFinancials!V110),"",RawFinancials!V110)</f>
        <v>0</v>
      </c>
      <c r="W110" s="0" t="n">
        <f aca="false">IF(ISBLANK(RawFinancials!W110),"",RawFinancials!W110)</f>
        <v>20220930</v>
      </c>
      <c r="X110" s="0" t="n">
        <f aca="false">IF(ISBLANK(RawFinancials!X110),"",RawFinancials!X110)</f>
        <v>0.69874825034993</v>
      </c>
      <c r="Y110" s="0" t="n">
        <f aca="false">IF(ISBLANK(RawFinancials!Y110),"",RawFinancials!Y110)</f>
        <v>8.14</v>
      </c>
      <c r="Z110" s="0" t="str">
        <f aca="false">IF(ISBLANK(RawFinancials!Z110),"",RawFinancials!Z110)</f>
        <v>VT</v>
      </c>
      <c r="AA110" s="0" t="n">
        <f aca="false">RawFinancials!AA110</f>
        <v>1</v>
      </c>
      <c r="AB110" s="0" t="n">
        <f aca="false">RawFinancials!AB110</f>
        <v>2457</v>
      </c>
      <c r="AC110" s="0" t="n">
        <f aca="false">RawFinancials!AC110</f>
        <v>0.170251628719794</v>
      </c>
      <c r="AD110" s="0" t="n">
        <f aca="false">IF(L110&gt;0,100*N110/L110,"")</f>
        <v>90.5133933223025</v>
      </c>
      <c r="AE110" s="0" t="n">
        <f aca="false">IF(B110&gt;0,100*F110/B110,"")</f>
        <v>7.46058297151109</v>
      </c>
      <c r="AF110" s="0" t="str">
        <f aca="false">RawFinancials!AE110</f>
        <v>原始0：需核实适用/报告口径</v>
      </c>
    </row>
    <row r="111" customFormat="false" ht="15" hidden="false" customHeight="false" outlineLevel="0" collapsed="false">
      <c r="A111" s="0" t="n">
        <f aca="false">IF(ISBLANK(RawFinancials!A111),"",RawFinancials!A111)</f>
        <v>111</v>
      </c>
      <c r="B111" s="0" t="n">
        <f aca="false">IF(ISBLANK(RawFinancials!B111),"",RawFinancials!B111)</f>
        <v>1299582</v>
      </c>
      <c r="C111" s="0" t="n">
        <f aca="false">IF(ISBLANK(RawFinancials!C111),"",RawFinancials!C111)</f>
        <v>14158</v>
      </c>
      <c r="D111" s="0" t="n">
        <f aca="false">IF(ISBLANK(RawFinancials!D111),"",RawFinancials!D111)</f>
        <v>1199225</v>
      </c>
      <c r="E111" s="0" t="n">
        <f aca="false">IF(ISBLANK(RawFinancials!E111),"",RawFinancials!E111)</f>
        <v>0</v>
      </c>
      <c r="F111" s="0" t="n">
        <f aca="false">IF(ISBLANK(RawFinancials!F111),"",RawFinancials!F111)</f>
        <v>65471</v>
      </c>
      <c r="G111" s="0" t="n">
        <f aca="false">IF(ISBLANK(RawFinancials!G111),"",RawFinancials!G111)</f>
        <v>5.03785063197243</v>
      </c>
      <c r="H111" s="0" t="str">
        <f aca="false">IF(ISBLANK(RawFinancials!H111),"",RawFinancials!H111)</f>
        <v>14158_20220930</v>
      </c>
      <c r="I111" s="0" t="n">
        <f aca="false">IF(ISBLANK(RawFinancials!I111),"",RawFinancials!I111)</f>
        <v>0.884885330956663</v>
      </c>
      <c r="J111" s="0" t="n">
        <f aca="false">IF(ISBLANK(RawFinancials!J111),"",RawFinancials!J111)</f>
        <v>41999</v>
      </c>
      <c r="K111" s="0" t="n">
        <f aca="false">IF(ISBLANK(RawFinancials!K111),"",RawFinancials!K111)</f>
        <v>2028</v>
      </c>
      <c r="L111" s="0" t="n">
        <f aca="false">IF(ISBLANK(RawFinancials!L111),"",RawFinancials!L111)</f>
        <v>942495</v>
      </c>
      <c r="M111" s="0" t="n">
        <f aca="false">IF(ISBLANK(RawFinancials!M111),"",RawFinancials!M111)</f>
        <v>934155</v>
      </c>
      <c r="N111" s="0" t="n">
        <f aca="false">IF(ISBLANK(RawFinancials!N111),"",RawFinancials!N111)</f>
        <v>802531</v>
      </c>
      <c r="O111" s="0" t="n">
        <f aca="false">IF(ISBLANK(RawFinancials!O111),"",RawFinancials!O111)</f>
        <v>1381</v>
      </c>
      <c r="P111" s="0" t="str">
        <f aca="false">IF(ISBLANK(RawFinancials!P111),"",RawFinancials!P111)</f>
        <v>UNION BANK</v>
      </c>
      <c r="Q111" s="0" t="n">
        <f aca="false">IF(ISBLANK(RawFinancials!Q111),"",RawFinancials!Q111)</f>
        <v>0.179205194722518</v>
      </c>
      <c r="R111" s="0" t="n">
        <f aca="false">IF(ISBLANK(RawFinancials!R111),"",RawFinancials!R111)</f>
        <v>3.42554545153671</v>
      </c>
      <c r="S111" s="0" t="n">
        <f aca="false">IF(ISBLANK(RawFinancials!S111),"",RawFinancials!S111)</f>
        <v>-4</v>
      </c>
      <c r="T111" s="0" t="n">
        <f aca="false">IF(ISBLANK(RawFinancials!T111),"",RawFinancials!T111)</f>
        <v>3371</v>
      </c>
      <c r="U111" s="0" t="n">
        <f aca="false">IF(ISBLANK(RawFinancials!U111),"",RawFinancials!U111)</f>
        <v>308</v>
      </c>
      <c r="V111" s="0" t="n">
        <f aca="false">IF(ISBLANK(RawFinancials!V111),"",RawFinancials!V111)</f>
        <v>13.6509765861944</v>
      </c>
      <c r="W111" s="0" t="n">
        <f aca="false">IF(ISBLANK(RawFinancials!W111),"",RawFinancials!W111)</f>
        <v>20220930</v>
      </c>
      <c r="X111" s="0" t="n">
        <f aca="false">IF(ISBLANK(RawFinancials!X111),"",RawFinancials!X111)</f>
        <v>1.06363308286789</v>
      </c>
      <c r="Y111" s="0" t="n">
        <f aca="false">IF(ISBLANK(RawFinancials!Y111),"",RawFinancials!Y111)</f>
        <v>16.08</v>
      </c>
      <c r="Z111" s="0" t="str">
        <f aca="false">IF(ISBLANK(RawFinancials!Z111),"",RawFinancials!Z111)</f>
        <v>VT</v>
      </c>
      <c r="AA111" s="0" t="n">
        <f aca="false">RawFinancials!AA111</f>
        <v>1</v>
      </c>
      <c r="AB111" s="0" t="n">
        <f aca="false">RawFinancials!AB111</f>
        <v>1689</v>
      </c>
      <c r="AC111" s="0" t="n">
        <f aca="false">RawFinancials!AC111</f>
        <v>0.129964865626024</v>
      </c>
      <c r="AD111" s="0" t="n">
        <f aca="false">IF(L111&gt;0,100*N111/L111,"")</f>
        <v>85.149629441005</v>
      </c>
      <c r="AE111" s="0" t="n">
        <f aca="false">IF(B111&gt;0,100*F111/B111,"")</f>
        <v>5.03785063197243</v>
      </c>
      <c r="AF111" s="0" t="str">
        <f aca="false">RawFinancials!AE111</f>
        <v/>
      </c>
    </row>
    <row r="112" customFormat="false" ht="15" hidden="false" customHeight="false" outlineLevel="0" collapsed="false">
      <c r="A112" s="0" t="n">
        <f aca="false">IF(ISBLANK(RawFinancials!A112),"",RawFinancials!A112)</f>
        <v>112</v>
      </c>
      <c r="B112" s="0" t="n">
        <f aca="false">IF(ISBLANK(RawFinancials!B112),"",RawFinancials!B112)</f>
        <v>365479</v>
      </c>
      <c r="C112" s="0" t="n">
        <f aca="false">IF(ISBLANK(RawFinancials!C112),"",RawFinancials!C112)</f>
        <v>14168</v>
      </c>
      <c r="D112" s="0" t="n">
        <f aca="false">IF(ISBLANK(RawFinancials!D112),"",RawFinancials!D112)</f>
        <v>330944</v>
      </c>
      <c r="E112" s="0" t="n">
        <f aca="false">IF(ISBLANK(RawFinancials!E112),"",RawFinancials!E112)</f>
        <v>0</v>
      </c>
      <c r="F112" s="0" t="n">
        <f aca="false">IF(ISBLANK(RawFinancials!F112),"",RawFinancials!F112)</f>
        <v>29862</v>
      </c>
      <c r="G112" s="0" t="n">
        <f aca="false">IF(ISBLANK(RawFinancials!G112),"",RawFinancials!G112)</f>
        <v>8.17064728753225</v>
      </c>
      <c r="H112" s="0" t="str">
        <f aca="false">IF(ISBLANK(RawFinancials!H112),"",RawFinancials!H112)</f>
        <v>14168_20220930</v>
      </c>
      <c r="I112" s="0" t="n">
        <f aca="false">IF(ISBLANK(RawFinancials!I112),"",RawFinancials!I112)</f>
        <v>1.4693416219271</v>
      </c>
      <c r="J112" s="0" t="n">
        <f aca="false">IF(ISBLANK(RawFinancials!J112),"",RawFinancials!J112)</f>
        <v>10617</v>
      </c>
      <c r="K112" s="0" t="n">
        <f aca="false">IF(ISBLANK(RawFinancials!K112),"",RawFinancials!K112)</f>
        <v>8545</v>
      </c>
      <c r="L112" s="0" t="n">
        <f aca="false">IF(ISBLANK(RawFinancials!L112),"",RawFinancials!L112)</f>
        <v>198184</v>
      </c>
      <c r="M112" s="0" t="n">
        <f aca="false">IF(ISBLANK(RawFinancials!M112),"",RawFinancials!M112)</f>
        <v>195272</v>
      </c>
      <c r="N112" s="0" t="n">
        <f aca="false">IF(ISBLANK(RawFinancials!N112),"",RawFinancials!N112)</f>
        <v>164935</v>
      </c>
      <c r="O112" s="0" t="n">
        <f aca="false">IF(ISBLANK(RawFinancials!O112),"",RawFinancials!O112)</f>
        <v>1286</v>
      </c>
      <c r="P112" s="0" t="str">
        <f aca="false">IF(ISBLANK(RawFinancials!P112),"",RawFinancials!P112)</f>
        <v>PEOPLES TRUST COMPANY OF ST. ALBANS</v>
      </c>
      <c r="Q112" s="0" t="n">
        <f aca="false">IF(ISBLANK(RawFinancials!Q112),"",RawFinancials!Q112)</f>
        <v>0.648891938804344</v>
      </c>
      <c r="R112" s="0" t="n">
        <f aca="false">IF(ISBLANK(RawFinancials!R112),"",RawFinancials!R112)</f>
        <v>2.87830679115721</v>
      </c>
      <c r="S112" s="0" t="n">
        <f aca="false">IF(ISBLANK(RawFinancials!S112),"",RawFinancials!S112)</f>
        <v>52</v>
      </c>
      <c r="T112" s="0" t="n">
        <f aca="false">IF(ISBLANK(RawFinancials!T112),"",RawFinancials!T112)</f>
        <v>282</v>
      </c>
      <c r="U112" s="0" t="n">
        <f aca="false">IF(ISBLANK(RawFinancials!U112),"",RawFinancials!U112)</f>
        <v>0</v>
      </c>
      <c r="V112" s="0" t="n">
        <f aca="false">IF(ISBLANK(RawFinancials!V112),"",RawFinancials!V112)</f>
        <v>18.8524471995963</v>
      </c>
      <c r="W112" s="0" t="n">
        <f aca="false">IF(ISBLANK(RawFinancials!W112),"",RawFinancials!W112)</f>
        <v>20220930</v>
      </c>
      <c r="X112" s="0" t="n">
        <f aca="false">IF(ISBLANK(RawFinancials!X112),"",RawFinancials!X112)</f>
        <v>0.453583932259783</v>
      </c>
      <c r="Y112" s="0" t="n">
        <f aca="false">IF(ISBLANK(RawFinancials!Y112),"",RawFinancials!Y112)</f>
        <v>5.07</v>
      </c>
      <c r="Z112" s="0" t="str">
        <f aca="false">IF(ISBLANK(RawFinancials!Z112),"",RawFinancials!Z112)</f>
        <v>VT</v>
      </c>
      <c r="AA112" s="0" t="n">
        <f aca="false">RawFinancials!AA112</f>
        <v>1</v>
      </c>
      <c r="AB112" s="0" t="n">
        <f aca="false">RawFinancials!AB112</f>
        <v>1286</v>
      </c>
      <c r="AC112" s="0" t="n">
        <f aca="false">RawFinancials!AC112</f>
        <v>0.351867001934448</v>
      </c>
      <c r="AD112" s="0" t="n">
        <f aca="false">IF(L112&gt;0,100*N112/L112,"")</f>
        <v>83.2231663504622</v>
      </c>
      <c r="AE112" s="0" t="n">
        <f aca="false">IF(B112&gt;0,100*F112/B112,"")</f>
        <v>8.17064728753225</v>
      </c>
      <c r="AF112" s="0" t="str">
        <f aca="false">RawFinancials!AE112</f>
        <v/>
      </c>
    </row>
    <row r="113" customFormat="false" ht="15" hidden="false" customHeight="false" outlineLevel="0" collapsed="false">
      <c r="A113" s="0" t="n">
        <f aca="false">IF(ISBLANK(RawFinancials!A113),"",RawFinancials!A113)</f>
        <v>113</v>
      </c>
      <c r="B113" s="0" t="n">
        <f aca="false">IF(ISBLANK(RawFinancials!B113),"",RawFinancials!B113)</f>
        <v>1313807</v>
      </c>
      <c r="C113" s="0" t="n">
        <f aca="false">IF(ISBLANK(RawFinancials!C113),"",RawFinancials!C113)</f>
        <v>14240</v>
      </c>
      <c r="D113" s="0" t="n">
        <f aca="false">IF(ISBLANK(RawFinancials!D113),"",RawFinancials!D113)</f>
        <v>1060386</v>
      </c>
      <c r="E113" s="0" t="n">
        <f aca="false">IF(ISBLANK(RawFinancials!E113),"",RawFinancials!E113)</f>
        <v>0.11</v>
      </c>
      <c r="F113" s="0" t="n">
        <f aca="false">IF(ISBLANK(RawFinancials!F113),"",RawFinancials!F113)</f>
        <v>76133</v>
      </c>
      <c r="G113" s="0" t="n">
        <f aca="false">IF(ISBLANK(RawFinancials!G113),"",RawFinancials!G113)</f>
        <v>5.79483896797627</v>
      </c>
      <c r="H113" s="0" t="str">
        <f aca="false">IF(ISBLANK(RawFinancials!H113),"",RawFinancials!H113)</f>
        <v>14240_20220930</v>
      </c>
      <c r="I113" s="0" t="n">
        <f aca="false">IF(ISBLANK(RawFinancials!I113),"",RawFinancials!I113)</f>
        <v>1.13918376014294</v>
      </c>
      <c r="J113" s="0" t="n">
        <f aca="false">IF(ISBLANK(RawFinancials!J113),"",RawFinancials!J113)</f>
        <v>23213</v>
      </c>
      <c r="K113" s="0" t="n">
        <f aca="false">IF(ISBLANK(RawFinancials!K113),"",RawFinancials!K113)</f>
        <v>16892</v>
      </c>
      <c r="L113" s="0" t="n">
        <f aca="false">IF(ISBLANK(RawFinancials!L113),"",RawFinancials!L113)</f>
        <v>932422</v>
      </c>
      <c r="M113" s="0" t="n">
        <f aca="false">IF(ISBLANK(RawFinancials!M113),"",RawFinancials!M113)</f>
        <v>921800</v>
      </c>
      <c r="N113" s="0" t="n">
        <f aca="false">IF(ISBLANK(RawFinancials!N113),"",RawFinancials!N113)</f>
        <v>792363</v>
      </c>
      <c r="O113" s="0" t="n">
        <f aca="false">IF(ISBLANK(RawFinancials!O113),"",RawFinancials!O113)</f>
        <v>1987</v>
      </c>
      <c r="P113" s="0" t="str">
        <f aca="false">IF(ISBLANK(RawFinancials!P113),"",RawFinancials!P113)</f>
        <v>NORTHWAY BANK</v>
      </c>
      <c r="Q113" s="0" t="n">
        <f aca="false">IF(ISBLANK(RawFinancials!Q113),"",RawFinancials!Q113)</f>
        <v>0.213100934984374</v>
      </c>
      <c r="R113" s="0" t="n">
        <f aca="false">IF(ISBLANK(RawFinancials!R113),"",RawFinancials!R113)</f>
        <v>2.96943412272245</v>
      </c>
      <c r="S113" s="0" t="n">
        <f aca="false">IF(ISBLANK(RawFinancials!S113),"",RawFinancials!S113)</f>
        <v>-106</v>
      </c>
      <c r="T113" s="0" t="n">
        <f aca="false">IF(ISBLANK(RawFinancials!T113),"",RawFinancials!T113)</f>
        <v>321</v>
      </c>
      <c r="U113" s="0" t="n">
        <f aca="false">IF(ISBLANK(RawFinancials!U113),"",RawFinancials!U113)</f>
        <v>0</v>
      </c>
      <c r="V113" s="0" t="n">
        <f aca="false">IF(ISBLANK(RawFinancials!V113),"",RawFinancials!V113)</f>
        <v>13.811186570616</v>
      </c>
      <c r="W113" s="0" t="n">
        <f aca="false">IF(ISBLANK(RawFinancials!W113),"",RawFinancials!W113)</f>
        <v>20220930</v>
      </c>
      <c r="X113" s="0" t="n">
        <f aca="false">IF(ISBLANK(RawFinancials!X113),"",RawFinancials!X113)</f>
        <v>0.005741174219091</v>
      </c>
      <c r="Y113" s="0" t="n">
        <f aca="false">IF(ISBLANK(RawFinancials!Y113),"",RawFinancials!Y113)</f>
        <v>0.07</v>
      </c>
      <c r="Z113" s="0" t="str">
        <f aca="false">IF(ISBLANK(RawFinancials!Z113),"",RawFinancials!Z113)</f>
        <v>NH</v>
      </c>
      <c r="AA113" s="0" t="n">
        <f aca="false">RawFinancials!AA113</f>
        <v>1</v>
      </c>
      <c r="AB113" s="0" t="n">
        <f aca="false">RawFinancials!AB113</f>
        <v>1987</v>
      </c>
      <c r="AC113" s="0" t="n">
        <f aca="false">RawFinancials!AC113</f>
        <v>0.151239870087463</v>
      </c>
      <c r="AD113" s="0" t="n">
        <f aca="false">IF(L113&gt;0,100*N113/L113,"")</f>
        <v>84.9790116492318</v>
      </c>
      <c r="AE113" s="0" t="n">
        <f aca="false">IF(B113&gt;0,100*F113/B113,"")</f>
        <v>5.79483896797627</v>
      </c>
      <c r="AF113" s="0" t="str">
        <f aca="false">RawFinancials!AE113</f>
        <v/>
      </c>
    </row>
    <row r="114" customFormat="false" ht="15" hidden="false" customHeight="false" outlineLevel="0" collapsed="false">
      <c r="A114" s="0" t="n">
        <f aca="false">IF(ISBLANK(RawFinancials!A114),"",RawFinancials!A114)</f>
        <v>114</v>
      </c>
      <c r="B114" s="0" t="n">
        <f aca="false">IF(ISBLANK(RawFinancials!B114),"",RawFinancials!B114)</f>
        <v>978552</v>
      </c>
      <c r="C114" s="0" t="n">
        <f aca="false">IF(ISBLANK(RawFinancials!C114),"",RawFinancials!C114)</f>
        <v>17115</v>
      </c>
      <c r="D114" s="0" t="n">
        <f aca="false">IF(ISBLANK(RawFinancials!D114),"",RawFinancials!D114)</f>
        <v>820800</v>
      </c>
      <c r="E114" s="0" t="n">
        <f aca="false">IF(ISBLANK(RawFinancials!E114),"",RawFinancials!E114)</f>
        <v>-0.04</v>
      </c>
      <c r="F114" s="0" t="n">
        <f aca="false">IF(ISBLANK(RawFinancials!F114),"",RawFinancials!F114)</f>
        <v>74649</v>
      </c>
      <c r="G114" s="0" t="n">
        <f aca="false">IF(ISBLANK(RawFinancials!G114),"",RawFinancials!G114)</f>
        <v>7.62851642018002</v>
      </c>
      <c r="H114" s="0" t="str">
        <f aca="false">IF(ISBLANK(RawFinancials!H114),"",RawFinancials!H114)</f>
        <v>17115_20220930</v>
      </c>
      <c r="I114" s="0" t="n">
        <f aca="false">IF(ISBLANK(RawFinancials!I114),"",RawFinancials!I114)</f>
        <v>0.945751081497688</v>
      </c>
      <c r="J114" s="0" t="n">
        <f aca="false">IF(ISBLANK(RawFinancials!J114),"",RawFinancials!J114)</f>
        <v>42975</v>
      </c>
      <c r="K114" s="0" t="n">
        <f aca="false">IF(ISBLANK(RawFinancials!K114),"",RawFinancials!K114)</f>
        <v>4081</v>
      </c>
      <c r="L114" s="0" t="n">
        <f aca="false">IF(ISBLANK(RawFinancials!L114),"",RawFinancials!L114)</f>
        <v>804440</v>
      </c>
      <c r="M114" s="0" t="n">
        <f aca="false">IF(ISBLANK(RawFinancials!M114),"",RawFinancials!M114)</f>
        <v>796832</v>
      </c>
      <c r="N114" s="0" t="n">
        <f aca="false">IF(ISBLANK(RawFinancials!N114),"",RawFinancials!N114)</f>
        <v>756417</v>
      </c>
      <c r="O114" s="0" t="n">
        <f aca="false">IF(ISBLANK(RawFinancials!O114),"",RawFinancials!O114)</f>
        <v>150</v>
      </c>
      <c r="P114" s="0" t="str">
        <f aca="false">IF(ISBLANK(RawFinancials!P114),"",RawFinancials!P114)</f>
        <v>PARTNERS BANK OF NEW ENGLAND</v>
      </c>
      <c r="Q114" s="0" t="n">
        <f aca="false">IF(ISBLANK(RawFinancials!Q114),"",RawFinancials!Q114)</f>
        <v>0.0186465118591815</v>
      </c>
      <c r="R114" s="0" t="n">
        <f aca="false">IF(ISBLANK(RawFinancials!R114),"",RawFinancials!R114)</f>
        <v>3.55176061857441</v>
      </c>
      <c r="S114" s="0" t="n">
        <f aca="false">IF(ISBLANK(RawFinancials!S114),"",RawFinancials!S114)</f>
        <v>213</v>
      </c>
      <c r="T114" s="0" t="n">
        <f aca="false">IF(ISBLANK(RawFinancials!T114),"",RawFinancials!T114)</f>
        <v>519</v>
      </c>
      <c r="U114" s="0" t="n">
        <f aca="false">IF(ISBLANK(RawFinancials!U114),"",RawFinancials!U114)</f>
        <v>0</v>
      </c>
      <c r="V114" s="0" t="n">
        <f aca="false">IF(ISBLANK(RawFinancials!V114),"",RawFinancials!V114)</f>
        <v>13.9033302635097</v>
      </c>
      <c r="W114" s="0" t="n">
        <f aca="false">IF(ISBLANK(RawFinancials!W114),"",RawFinancials!W114)</f>
        <v>20220930</v>
      </c>
      <c r="X114" s="0" t="n">
        <f aca="false">IF(ISBLANK(RawFinancials!X114),"",RawFinancials!X114)</f>
        <v>0.298933215145743</v>
      </c>
      <c r="Y114" s="0" t="n">
        <f aca="false">IF(ISBLANK(RawFinancials!Y114),"",RawFinancials!Y114)</f>
        <v>3.32</v>
      </c>
      <c r="Z114" s="0" t="str">
        <f aca="false">IF(ISBLANK(RawFinancials!Z114),"",RawFinancials!Z114)</f>
        <v>ME</v>
      </c>
      <c r="AA114" s="0" t="n">
        <f aca="false">RawFinancials!AA114</f>
        <v>1</v>
      </c>
      <c r="AB114" s="0" t="n">
        <f aca="false">RawFinancials!AB114</f>
        <v>150</v>
      </c>
      <c r="AC114" s="0" t="n">
        <f aca="false">RawFinancials!AC114</f>
        <v>0.0153287714909376</v>
      </c>
      <c r="AD114" s="0" t="n">
        <f aca="false">IF(L114&gt;0,100*N114/L114,"")</f>
        <v>94.0302570732435</v>
      </c>
      <c r="AE114" s="0" t="n">
        <f aca="false">IF(B114&gt;0,100*F114/B114,"")</f>
        <v>7.62851642018002</v>
      </c>
      <c r="AF114" s="0" t="str">
        <f aca="false">RawFinancials!AE114</f>
        <v/>
      </c>
    </row>
    <row r="115" customFormat="false" ht="15" hidden="false" customHeight="false" outlineLevel="0" collapsed="false">
      <c r="A115" s="0" t="n">
        <f aca="false">IF(ISBLANK(RawFinancials!A115),"",RawFinancials!A115)</f>
        <v>115</v>
      </c>
      <c r="B115" s="0" t="n">
        <f aca="false">IF(ISBLANK(RawFinancials!B115),"",RawFinancials!B115)</f>
        <v>1483609</v>
      </c>
      <c r="C115" s="0" t="n">
        <f aca="false">IF(ISBLANK(RawFinancials!C115),"",RawFinancials!C115)</f>
        <v>17180</v>
      </c>
      <c r="D115" s="0" t="n">
        <f aca="false">IF(ISBLANK(RawFinancials!D115),"",RawFinancials!D115)</f>
        <v>1205127</v>
      </c>
      <c r="E115" s="0" t="n">
        <f aca="false">IF(ISBLANK(RawFinancials!E115),"",RawFinancials!E115)</f>
        <v>0.08</v>
      </c>
      <c r="F115" s="0" t="n">
        <f aca="false">IF(ISBLANK(RawFinancials!F115),"",RawFinancials!F115)</f>
        <v>123922</v>
      </c>
      <c r="G115" s="0" t="n">
        <f aca="false">IF(ISBLANK(RawFinancials!G115),"",RawFinancials!G115)</f>
        <v>8.35273983913551</v>
      </c>
      <c r="H115" s="0" t="str">
        <f aca="false">IF(ISBLANK(RawFinancials!H115),"",RawFinancials!H115)</f>
        <v>17180_20220930</v>
      </c>
      <c r="I115" s="0" t="n">
        <f aca="false">IF(ISBLANK(RawFinancials!I115),"",RawFinancials!I115)</f>
        <v>0.895305032457631</v>
      </c>
      <c r="J115" s="0" t="n">
        <f aca="false">IF(ISBLANK(RawFinancials!J115),"",RawFinancials!J115)</f>
        <v>48894</v>
      </c>
      <c r="K115" s="0" t="n">
        <f aca="false">IF(ISBLANK(RawFinancials!K115),"",RawFinancials!K115)</f>
        <v>194686</v>
      </c>
      <c r="L115" s="0" t="n">
        <f aca="false">IF(ISBLANK(RawFinancials!L115),"",RawFinancials!L115)</f>
        <v>1328039</v>
      </c>
      <c r="M115" s="0" t="n">
        <f aca="false">IF(ISBLANK(RawFinancials!M115),"",RawFinancials!M115)</f>
        <v>1316149</v>
      </c>
      <c r="N115" s="0" t="n">
        <f aca="false">IF(ISBLANK(RawFinancials!N115),"",RawFinancials!N115)</f>
        <v>1064900</v>
      </c>
      <c r="O115" s="0" t="n">
        <f aca="false">IF(ISBLANK(RawFinancials!O115),"",RawFinancials!O115)</f>
        <v>3999</v>
      </c>
      <c r="P115" s="0" t="str">
        <f aca="false">IF(ISBLANK(RawFinancials!P115),"",RawFinancials!P115)</f>
        <v>MEREDITH VILLAGE SAVINGS BANK</v>
      </c>
      <c r="Q115" s="0" t="n">
        <f aca="false">IF(ISBLANK(RawFinancials!Q115),"",RawFinancials!Q115)</f>
        <v>0.326496435722144</v>
      </c>
      <c r="R115" s="0" t="n">
        <f aca="false">IF(ISBLANK(RawFinancials!R115),"",RawFinancials!R115)</f>
        <v>3.58156355724326</v>
      </c>
      <c r="S115" s="0" t="n">
        <f aca="false">IF(ISBLANK(RawFinancials!S115),"",RawFinancials!S115)</f>
        <v>88</v>
      </c>
      <c r="T115" s="0" t="n">
        <f aca="false">IF(ISBLANK(RawFinancials!T115),"",RawFinancials!T115)</f>
        <v>1536</v>
      </c>
      <c r="U115" s="0" t="n">
        <f aca="false">IF(ISBLANK(RawFinancials!U115),"",RawFinancials!U115)</f>
        <v>337</v>
      </c>
      <c r="V115" s="0" t="n">
        <f aca="false">IF(ISBLANK(RawFinancials!V115),"",RawFinancials!V115)</f>
        <v>13.9724383504197</v>
      </c>
      <c r="W115" s="0" t="n">
        <f aca="false">IF(ISBLANK(RawFinancials!W115),"",RawFinancials!W115)</f>
        <v>20220930</v>
      </c>
      <c r="X115" s="0" t="n">
        <f aca="false">IF(ISBLANK(RawFinancials!X115),"",RawFinancials!X115)</f>
        <v>0.744248263217769</v>
      </c>
      <c r="Y115" s="0" t="n">
        <f aca="false">IF(ISBLANK(RawFinancials!Y115),"",RawFinancials!Y115)</f>
        <v>8.01</v>
      </c>
      <c r="Z115" s="0" t="str">
        <f aca="false">IF(ISBLANK(RawFinancials!Z115),"",RawFinancials!Z115)</f>
        <v>NH</v>
      </c>
      <c r="AA115" s="0" t="n">
        <f aca="false">RawFinancials!AA115</f>
        <v>1</v>
      </c>
      <c r="AB115" s="0" t="n">
        <f aca="false">RawFinancials!AB115</f>
        <v>4336</v>
      </c>
      <c r="AC115" s="0" t="n">
        <f aca="false">RawFinancials!AC115</f>
        <v>0.292260292300734</v>
      </c>
      <c r="AD115" s="0" t="n">
        <f aca="false">IF(L115&gt;0,100*N115/L115,"")</f>
        <v>80.1858981550994</v>
      </c>
      <c r="AE115" s="0" t="n">
        <f aca="false">IF(B115&gt;0,100*F115/B115,"")</f>
        <v>8.35273983913551</v>
      </c>
      <c r="AF115" s="0" t="str">
        <f aca="false">RawFinancials!AE115</f>
        <v/>
      </c>
    </row>
    <row r="116" customFormat="false" ht="15" hidden="false" customHeight="false" outlineLevel="0" collapsed="false">
      <c r="A116" s="0" t="n">
        <f aca="false">IF(ISBLANK(RawFinancials!A116),"",RawFinancials!A116)</f>
        <v>116</v>
      </c>
      <c r="B116" s="0" t="n">
        <f aca="false">IF(ISBLANK(RawFinancials!B116),"",RawFinancials!B116)</f>
        <v>357184</v>
      </c>
      <c r="C116" s="0" t="n">
        <f aca="false">IF(ISBLANK(RawFinancials!C116),"",RawFinancials!C116)</f>
        <v>17443</v>
      </c>
      <c r="D116" s="0" t="n">
        <f aca="false">IF(ISBLANK(RawFinancials!D116),"",RawFinancials!D116)</f>
        <v>318685</v>
      </c>
      <c r="E116" s="0" t="n">
        <f aca="false">IF(ISBLANK(RawFinancials!E116),"",RawFinancials!E116)</f>
        <v>0.06</v>
      </c>
      <c r="F116" s="0" t="n">
        <f aca="false">IF(ISBLANK(RawFinancials!F116),"",RawFinancials!F116)</f>
        <v>37316</v>
      </c>
      <c r="G116" s="0" t="n">
        <f aca="false">IF(ISBLANK(RawFinancials!G116),"",RawFinancials!G116)</f>
        <v>10.4472764737502</v>
      </c>
      <c r="H116" s="0" t="str">
        <f aca="false">IF(ISBLANK(RawFinancials!H116),"",RawFinancials!H116)</f>
        <v>17443_20220930</v>
      </c>
      <c r="I116" s="0" t="n">
        <f aca="false">IF(ISBLANK(RawFinancials!I116),"",RawFinancials!I116)</f>
        <v>0.853155237590357</v>
      </c>
      <c r="J116" s="0" t="n">
        <f aca="false">IF(ISBLANK(RawFinancials!J116),"",RawFinancials!J116)</f>
        <v>0</v>
      </c>
      <c r="K116" s="0" t="n">
        <f aca="false">IF(ISBLANK(RawFinancials!K116),"",RawFinancials!K116)</f>
        <v>954</v>
      </c>
      <c r="L116" s="0" t="n">
        <f aca="false">IF(ISBLANK(RawFinancials!L116),"",RawFinancials!L116)</f>
        <v>201839</v>
      </c>
      <c r="M116" s="0" t="n">
        <f aca="false">IF(ISBLANK(RawFinancials!M116),"",RawFinancials!M116)</f>
        <v>200117</v>
      </c>
      <c r="N116" s="0" t="n">
        <f aca="false">IF(ISBLANK(RawFinancials!N116),"",RawFinancials!N116)</f>
        <v>199865</v>
      </c>
      <c r="O116" s="0" t="n">
        <f aca="false">IF(ISBLANK(RawFinancials!O116),"",RawFinancials!O116)</f>
        <v>390</v>
      </c>
      <c r="P116" s="0" t="str">
        <f aca="false">IF(ISBLANK(RawFinancials!P116),"",RawFinancials!P116)</f>
        <v>PISCATAQUA SAVINGS BANK</v>
      </c>
      <c r="Q116" s="0" t="n">
        <f aca="false">IF(ISBLANK(RawFinancials!Q116),"",RawFinancials!Q116)</f>
        <v>0.193223311649384</v>
      </c>
      <c r="R116" s="0" t="n">
        <f aca="false">IF(ISBLANK(RawFinancials!R116),"",RawFinancials!R116)</f>
        <v>2.10360140968621</v>
      </c>
      <c r="S116" s="0" t="n">
        <f aca="false">IF(ISBLANK(RawFinancials!S116),"",RawFinancials!S116)</f>
        <v>0</v>
      </c>
      <c r="T116" s="0" t="n">
        <f aca="false">IF(ISBLANK(RawFinancials!T116),"",RawFinancials!T116)</f>
        <v>254</v>
      </c>
      <c r="U116" s="0" t="n">
        <f aca="false">IF(ISBLANK(RawFinancials!U116),"",RawFinancials!U116)</f>
        <v>0</v>
      </c>
      <c r="V116" s="0" t="n">
        <f aca="false">IF(ISBLANK(RawFinancials!V116),"",RawFinancials!V116)</f>
        <v>0</v>
      </c>
      <c r="W116" s="0" t="n">
        <f aca="false">IF(ISBLANK(RawFinancials!W116),"",RawFinancials!W116)</f>
        <v>20220930</v>
      </c>
      <c r="X116" s="0" t="n">
        <f aca="false">IF(ISBLANK(RawFinancials!X116),"",RawFinancials!X116)</f>
        <v>0.548533001407754</v>
      </c>
      <c r="Y116" s="0" t="n">
        <f aca="false">IF(ISBLANK(RawFinancials!Y116),"",RawFinancials!Y116)</f>
        <v>4.6</v>
      </c>
      <c r="Z116" s="0" t="str">
        <f aca="false">IF(ISBLANK(RawFinancials!Z116),"",RawFinancials!Z116)</f>
        <v>NH</v>
      </c>
      <c r="AA116" s="0" t="n">
        <f aca="false">RawFinancials!AA116</f>
        <v>1</v>
      </c>
      <c r="AB116" s="0" t="n">
        <f aca="false">RawFinancials!AB116</f>
        <v>390</v>
      </c>
      <c r="AC116" s="0" t="n">
        <f aca="false">RawFinancials!AC116</f>
        <v>0.109187421609031</v>
      </c>
      <c r="AD116" s="0" t="n">
        <f aca="false">IF(L116&gt;0,100*N116/L116,"")</f>
        <v>99.0219927764208</v>
      </c>
      <c r="AE116" s="0" t="n">
        <f aca="false">IF(B116&gt;0,100*F116/B116,"")</f>
        <v>10.4472764737502</v>
      </c>
      <c r="AF116" s="0" t="str">
        <f aca="false">RawFinancials!AE116</f>
        <v>原始0：需核实适用/报告口径</v>
      </c>
    </row>
    <row r="117" customFormat="false" ht="15" hidden="false" customHeight="false" outlineLevel="0" collapsed="false">
      <c r="A117" s="0" t="n">
        <f aca="false">IF(ISBLANK(RawFinancials!A117),"",RawFinancials!A117)</f>
        <v>117</v>
      </c>
      <c r="B117" s="0" t="n">
        <f aca="false">IF(ISBLANK(RawFinancials!B117),"",RawFinancials!B117)</f>
        <v>1739896</v>
      </c>
      <c r="C117" s="0" t="n">
        <f aca="false">IF(ISBLANK(RawFinancials!C117),"",RawFinancials!C117)</f>
        <v>17658</v>
      </c>
      <c r="D117" s="0" t="n">
        <f aca="false">IF(ISBLANK(RawFinancials!D117),"",RawFinancials!D117)</f>
        <v>1532921</v>
      </c>
      <c r="E117" s="0" t="n">
        <f aca="false">IF(ISBLANK(RawFinancials!E117),"",RawFinancials!E117)</f>
        <v>-0.02</v>
      </c>
      <c r="F117" s="0" t="n">
        <f aca="false">IF(ISBLANK(RawFinancials!F117),"",RawFinancials!F117)</f>
        <v>175487</v>
      </c>
      <c r="G117" s="0" t="n">
        <f aca="false">IF(ISBLANK(RawFinancials!G117),"",RawFinancials!G117)</f>
        <v>10.0860626152368</v>
      </c>
      <c r="H117" s="0" t="str">
        <f aca="false">IF(ISBLANK(RawFinancials!H117),"",RawFinancials!H117)</f>
        <v>17658_20220930</v>
      </c>
      <c r="I117" s="0" t="n">
        <f aca="false">IF(ISBLANK(RawFinancials!I117),"",RawFinancials!I117)</f>
        <v>0.760877367487361</v>
      </c>
      <c r="J117" s="0" t="n">
        <f aca="false">IF(ISBLANK(RawFinancials!J117),"",RawFinancials!J117)</f>
        <v>84346</v>
      </c>
      <c r="K117" s="0" t="n">
        <f aca="false">IF(ISBLANK(RawFinancials!K117),"",RawFinancials!K117)</f>
        <v>64497</v>
      </c>
      <c r="L117" s="0" t="n">
        <f aca="false">IF(ISBLANK(RawFinancials!L117),"",RawFinancials!L117)</f>
        <v>1170228</v>
      </c>
      <c r="M117" s="0" t="n">
        <f aca="false">IF(ISBLANK(RawFinancials!M117),"",RawFinancials!M117)</f>
        <v>1161324</v>
      </c>
      <c r="N117" s="0" t="n">
        <f aca="false">IF(ISBLANK(RawFinancials!N117),"",RawFinancials!N117)</f>
        <v>1008787</v>
      </c>
      <c r="O117" s="0" t="n">
        <f aca="false">IF(ISBLANK(RawFinancials!O117),"",RawFinancials!O117)</f>
        <v>395</v>
      </c>
      <c r="P117" s="0" t="str">
        <f aca="false">IF(ISBLANK(RawFinancials!P117),"",RawFinancials!P117)</f>
        <v>NORWAY SAVINGS BANK</v>
      </c>
      <c r="Q117" s="0" t="n">
        <f aca="false">IF(ISBLANK(RawFinancials!Q117),"",RawFinancials!Q117)</f>
        <v>0.0345231869345119</v>
      </c>
      <c r="R117" s="0" t="n">
        <f aca="false">IF(ISBLANK(RawFinancials!R117),"",RawFinancials!R117)</f>
        <v>3.56751582422221</v>
      </c>
      <c r="S117" s="0" t="n">
        <f aca="false">IF(ISBLANK(RawFinancials!S117),"",RawFinancials!S117)</f>
        <v>36</v>
      </c>
      <c r="T117" s="0" t="n">
        <f aca="false">IF(ISBLANK(RawFinancials!T117),"",RawFinancials!T117)</f>
        <v>2399</v>
      </c>
      <c r="U117" s="0" t="n">
        <f aca="false">IF(ISBLANK(RawFinancials!U117),"",RawFinancials!U117)</f>
        <v>9</v>
      </c>
      <c r="V117" s="0" t="n">
        <f aca="false">IF(ISBLANK(RawFinancials!V117),"",RawFinancials!V117)</f>
        <v>0</v>
      </c>
      <c r="W117" s="0" t="n">
        <f aca="false">IF(ISBLANK(RawFinancials!W117),"",RawFinancials!W117)</f>
        <v>20220930</v>
      </c>
      <c r="X117" s="0" t="n">
        <f aca="false">IF(ISBLANK(RawFinancials!X117),"",RawFinancials!X117)</f>
        <v>-0.0199909380414695</v>
      </c>
      <c r="Y117" s="0" t="n">
        <f aca="false">IF(ISBLANK(RawFinancials!Y117),"",RawFinancials!Y117)</f>
        <v>-0.17</v>
      </c>
      <c r="Z117" s="0" t="str">
        <f aca="false">IF(ISBLANK(RawFinancials!Z117),"",RawFinancials!Z117)</f>
        <v>ME</v>
      </c>
      <c r="AA117" s="0" t="n">
        <f aca="false">RawFinancials!AA117</f>
        <v>1</v>
      </c>
      <c r="AB117" s="0" t="n">
        <f aca="false">RawFinancials!AB117</f>
        <v>404</v>
      </c>
      <c r="AC117" s="0" t="n">
        <f aca="false">RawFinancials!AC117</f>
        <v>0.0232197786534368</v>
      </c>
      <c r="AD117" s="0" t="n">
        <f aca="false">IF(L117&gt;0,100*N117/L117,"")</f>
        <v>86.2043123220432</v>
      </c>
      <c r="AE117" s="0" t="n">
        <f aca="false">IF(B117&gt;0,100*F117/B117,"")</f>
        <v>10.0860626152368</v>
      </c>
      <c r="AF117" s="0" t="str">
        <f aca="false">RawFinancials!AE117</f>
        <v>原始0：需核实适用/报告口径</v>
      </c>
    </row>
    <row r="118" customFormat="false" ht="15" hidden="false" customHeight="false" outlineLevel="0" collapsed="false">
      <c r="A118" s="0" t="n">
        <f aca="false">IF(ISBLANK(RawFinancials!A118),"",RawFinancials!A118)</f>
        <v>118</v>
      </c>
      <c r="B118" s="0" t="n">
        <f aca="false">IF(ISBLANK(RawFinancials!B118),"",RawFinancials!B118)</f>
        <v>1011112</v>
      </c>
      <c r="C118" s="0" t="n">
        <f aca="false">IF(ISBLANK(RawFinancials!C118),"",RawFinancials!C118)</f>
        <v>17741</v>
      </c>
      <c r="D118" s="0" t="n">
        <f aca="false">IF(ISBLANK(RawFinancials!D118),"",RawFinancials!D118)</f>
        <v>854564</v>
      </c>
      <c r="E118" s="0" t="n">
        <f aca="false">IF(ISBLANK(RawFinancials!E118),"",RawFinancials!E118)</f>
        <v>0.02</v>
      </c>
      <c r="F118" s="0" t="n">
        <f aca="false">IF(ISBLANK(RawFinancials!F118),"",RawFinancials!F118)</f>
        <v>127616</v>
      </c>
      <c r="G118" s="0" t="n">
        <f aca="false">IF(ISBLANK(RawFinancials!G118),"",RawFinancials!G118)</f>
        <v>12.621351541669</v>
      </c>
      <c r="H118" s="0" t="str">
        <f aca="false">IF(ISBLANK(RawFinancials!H118),"",RawFinancials!H118)</f>
        <v>17741_20220930</v>
      </c>
      <c r="I118" s="0" t="n">
        <f aca="false">IF(ISBLANK(RawFinancials!I118),"",RawFinancials!I118)</f>
        <v>0.939976602573717</v>
      </c>
      <c r="J118" s="0" t="n">
        <f aca="false">IF(ISBLANK(RawFinancials!J118),"",RawFinancials!J118)</f>
        <v>42271</v>
      </c>
      <c r="K118" s="0" t="n">
        <f aca="false">IF(ISBLANK(RawFinancials!K118),"",RawFinancials!K118)</f>
        <v>3280</v>
      </c>
      <c r="L118" s="0" t="n">
        <f aca="false">IF(ISBLANK(RawFinancials!L118),"",RawFinancials!L118)</f>
        <v>833425</v>
      </c>
      <c r="M118" s="0" t="n">
        <f aca="false">IF(ISBLANK(RawFinancials!M118),"",RawFinancials!M118)</f>
        <v>825591</v>
      </c>
      <c r="N118" s="0" t="n">
        <f aca="false">IF(ISBLANK(RawFinancials!N118),"",RawFinancials!N118)</f>
        <v>783810</v>
      </c>
      <c r="O118" s="0" t="n">
        <f aca="false">IF(ISBLANK(RawFinancials!O118),"",RawFinancials!O118)</f>
        <v>1945</v>
      </c>
      <c r="P118" s="0" t="str">
        <f aca="false">IF(ISBLANK(RawFinancials!P118),"",RawFinancials!P118)</f>
        <v>MAINE COMMUNITY BANK</v>
      </c>
      <c r="Q118" s="0" t="n">
        <f aca="false">IF(ISBLANK(RawFinancials!Q118),"",RawFinancials!Q118)</f>
        <v>0.233374328823829</v>
      </c>
      <c r="R118" s="0" t="n">
        <f aca="false">IF(ISBLANK(RawFinancials!R118),"",RawFinancials!R118)</f>
        <v>3.45947489455709</v>
      </c>
      <c r="S118" s="0" t="n">
        <f aca="false">IF(ISBLANK(RawFinancials!S118),"",RawFinancials!S118)</f>
        <v>-6</v>
      </c>
      <c r="T118" s="0" t="n">
        <f aca="false">IF(ISBLANK(RawFinancials!T118),"",RawFinancials!T118)</f>
        <v>2126</v>
      </c>
      <c r="U118" s="0" t="n">
        <f aca="false">IF(ISBLANK(RawFinancials!U118),"",RawFinancials!U118)</f>
        <v>0</v>
      </c>
      <c r="V118" s="0" t="n">
        <f aca="false">IF(ISBLANK(RawFinancials!V118),"",RawFinancials!V118)</f>
        <v>0</v>
      </c>
      <c r="W118" s="0" t="n">
        <f aca="false">IF(ISBLANK(RawFinancials!W118),"",RawFinancials!W118)</f>
        <v>20220930</v>
      </c>
      <c r="X118" s="0" t="n">
        <f aca="false">IF(ISBLANK(RawFinancials!X118),"",RawFinancials!X118)</f>
        <v>0.759114908984001</v>
      </c>
      <c r="Y118" s="0" t="n">
        <f aca="false">IF(ISBLANK(RawFinancials!Y118),"",RawFinancials!Y118)</f>
        <v>5.9</v>
      </c>
      <c r="Z118" s="0" t="str">
        <f aca="false">IF(ISBLANK(RawFinancials!Z118),"",RawFinancials!Z118)</f>
        <v>ME</v>
      </c>
      <c r="AA118" s="0" t="n">
        <f aca="false">RawFinancials!AA118</f>
        <v>1</v>
      </c>
      <c r="AB118" s="0" t="n">
        <f aca="false">RawFinancials!AB118</f>
        <v>1945</v>
      </c>
      <c r="AC118" s="0" t="n">
        <f aca="false">RawFinancials!AC118</f>
        <v>0.192362468252775</v>
      </c>
      <c r="AD118" s="0" t="n">
        <f aca="false">IF(L118&gt;0,100*N118/L118,"")</f>
        <v>94.0468548459669</v>
      </c>
      <c r="AE118" s="0" t="n">
        <f aca="false">IF(B118&gt;0,100*F118/B118,"")</f>
        <v>12.621351541669</v>
      </c>
      <c r="AF118" s="0" t="str">
        <f aca="false">RawFinancials!AE118</f>
        <v>原始0：需核实适用/报告口径</v>
      </c>
    </row>
    <row r="119" customFormat="false" ht="15" hidden="false" customHeight="false" outlineLevel="0" collapsed="false">
      <c r="A119" s="0" t="n">
        <f aca="false">IF(ISBLANK(RawFinancials!A119),"",RawFinancials!A119)</f>
        <v>119</v>
      </c>
      <c r="B119" s="0" t="n">
        <f aca="false">IF(ISBLANK(RawFinancials!B119),"",RawFinancials!B119)</f>
        <v>1249583</v>
      </c>
      <c r="C119" s="0" t="n">
        <f aca="false">IF(ISBLANK(RawFinancials!C119),"",RawFinancials!C119)</f>
        <v>17743</v>
      </c>
      <c r="D119" s="0" t="n">
        <f aca="false">IF(ISBLANK(RawFinancials!D119),"",RawFinancials!D119)</f>
        <v>1015664</v>
      </c>
      <c r="E119" s="0" t="n">
        <f aca="false">IF(ISBLANK(RawFinancials!E119),"",RawFinancials!E119)</f>
        <v>-0.04</v>
      </c>
      <c r="F119" s="0" t="n">
        <f aca="false">IF(ISBLANK(RawFinancials!F119),"",RawFinancials!F119)</f>
        <v>114993</v>
      </c>
      <c r="G119" s="0" t="n">
        <f aca="false">IF(ISBLANK(RawFinancials!G119),"",RawFinancials!G119)</f>
        <v>9.20250995732176</v>
      </c>
      <c r="H119" s="0" t="str">
        <f aca="false">IF(ISBLANK(RawFinancials!H119),"",RawFinancials!H119)</f>
        <v>17743_20220930</v>
      </c>
      <c r="I119" s="0" t="n">
        <f aca="false">IF(ISBLANK(RawFinancials!I119),"",RawFinancials!I119)</f>
        <v>0.512951689448794</v>
      </c>
      <c r="J119" s="0" t="n">
        <f aca="false">IF(ISBLANK(RawFinancials!J119),"",RawFinancials!J119)</f>
        <v>11845</v>
      </c>
      <c r="K119" s="0" t="n">
        <f aca="false">IF(ISBLANK(RawFinancials!K119),"",RawFinancials!K119)</f>
        <v>6456</v>
      </c>
      <c r="L119" s="0" t="n">
        <f aca="false">IF(ISBLANK(RawFinancials!L119),"",RawFinancials!L119)</f>
        <v>953891</v>
      </c>
      <c r="M119" s="0" t="n">
        <f aca="false">IF(ISBLANK(RawFinancials!M119),"",RawFinancials!M119)</f>
        <v>948998</v>
      </c>
      <c r="N119" s="0" t="n">
        <f aca="false">IF(ISBLANK(RawFinancials!N119),"",RawFinancials!N119)</f>
        <v>922540</v>
      </c>
      <c r="O119" s="0" t="n">
        <f aca="false">IF(ISBLANK(RawFinancials!O119),"",RawFinancials!O119)</f>
        <v>2125</v>
      </c>
      <c r="P119" s="0" t="str">
        <f aca="false">IF(ISBLANK(RawFinancials!P119),"",RawFinancials!P119)</f>
        <v>SACO &amp; BIDDEFORD SAVINGS INSTITUTION</v>
      </c>
      <c r="Q119" s="0" t="n">
        <f aca="false">IF(ISBLANK(RawFinancials!Q119),"",RawFinancials!Q119)</f>
        <v>0.222771784197565</v>
      </c>
      <c r="R119" s="0" t="n">
        <f aca="false">IF(ISBLANK(RawFinancials!R119),"",RawFinancials!R119)</f>
        <v>2.78915821800042</v>
      </c>
      <c r="S119" s="0" t="n">
        <f aca="false">IF(ISBLANK(RawFinancials!S119),"",RawFinancials!S119)</f>
        <v>-237</v>
      </c>
      <c r="T119" s="0" t="n">
        <f aca="false">IF(ISBLANK(RawFinancials!T119),"",RawFinancials!T119)</f>
        <v>713</v>
      </c>
      <c r="U119" s="0" t="n">
        <f aca="false">IF(ISBLANK(RawFinancials!U119),"",RawFinancials!U119)</f>
        <v>0</v>
      </c>
      <c r="V119" s="0" t="n">
        <f aca="false">IF(ISBLANK(RawFinancials!V119),"",RawFinancials!V119)</f>
        <v>0</v>
      </c>
      <c r="W119" s="0" t="n">
        <f aca="false">IF(ISBLANK(RawFinancials!W119),"",RawFinancials!W119)</f>
        <v>20220930</v>
      </c>
      <c r="X119" s="0" t="n">
        <f aca="false">IF(ISBLANK(RawFinancials!X119),"",RawFinancials!X119)</f>
        <v>0.359517686061837</v>
      </c>
      <c r="Y119" s="0" t="n">
        <f aca="false">IF(ISBLANK(RawFinancials!Y119),"",RawFinancials!Y119)</f>
        <v>3.48</v>
      </c>
      <c r="Z119" s="0" t="str">
        <f aca="false">IF(ISBLANK(RawFinancials!Z119),"",RawFinancials!Z119)</f>
        <v>ME</v>
      </c>
      <c r="AA119" s="0" t="n">
        <f aca="false">RawFinancials!AA119</f>
        <v>1</v>
      </c>
      <c r="AB119" s="0" t="n">
        <f aca="false">RawFinancials!AB119</f>
        <v>2125</v>
      </c>
      <c r="AC119" s="0" t="n">
        <f aca="false">RawFinancials!AC119</f>
        <v>0.170056730925437</v>
      </c>
      <c r="AD119" s="0" t="n">
        <f aca="false">IF(L119&gt;0,100*N119/L119,"")</f>
        <v>96.7133561381751</v>
      </c>
      <c r="AE119" s="0" t="n">
        <f aca="false">IF(B119&gt;0,100*F119/B119,"")</f>
        <v>9.20250995732176</v>
      </c>
      <c r="AF119" s="0" t="str">
        <f aca="false">RawFinancials!AE119</f>
        <v>原始0：需核实适用/报告口径</v>
      </c>
    </row>
    <row r="120" customFormat="false" ht="15" hidden="false" customHeight="false" outlineLevel="0" collapsed="false">
      <c r="A120" s="0" t="n">
        <f aca="false">IF(ISBLANK(RawFinancials!A120),"",RawFinancials!A120)</f>
        <v>120</v>
      </c>
      <c r="B120" s="0" t="n">
        <f aca="false">IF(ISBLANK(RawFinancials!B120),"",RawFinancials!B120)</f>
        <v>1552351</v>
      </c>
      <c r="C120" s="0" t="n">
        <f aca="false">IF(ISBLANK(RawFinancials!C120),"",RawFinancials!C120)</f>
        <v>17748</v>
      </c>
      <c r="D120" s="0" t="n">
        <f aca="false">IF(ISBLANK(RawFinancials!D120),"",RawFinancials!D120)</f>
        <v>1377805</v>
      </c>
      <c r="E120" s="0" t="n">
        <f aca="false">IF(ISBLANK(RawFinancials!E120),"",RawFinancials!E120)</f>
        <v>0.03</v>
      </c>
      <c r="F120" s="0" t="n">
        <f aca="false">IF(ISBLANK(RawFinancials!F120),"",RawFinancials!F120)</f>
        <v>102427</v>
      </c>
      <c r="G120" s="0" t="n">
        <f aca="false">IF(ISBLANK(RawFinancials!G120),"",RawFinancials!G120)</f>
        <v>6.59818559075879</v>
      </c>
      <c r="H120" s="0" t="str">
        <f aca="false">IF(ISBLANK(RawFinancials!H120),"",RawFinancials!H120)</f>
        <v>17748_20220930</v>
      </c>
      <c r="I120" s="0" t="n">
        <f aca="false">IF(ISBLANK(RawFinancials!I120),"",RawFinancials!I120)</f>
        <v>0.818583097228005</v>
      </c>
      <c r="J120" s="0" t="n">
        <f aca="false">IF(ISBLANK(RawFinancials!J120),"",RawFinancials!J120)</f>
        <v>140498</v>
      </c>
      <c r="K120" s="0" t="n">
        <f aca="false">IF(ISBLANK(RawFinancials!K120),"",RawFinancials!K120)</f>
        <v>3081</v>
      </c>
      <c r="L120" s="0" t="n">
        <f aca="false">IF(ISBLANK(RawFinancials!L120),"",RawFinancials!L120)</f>
        <v>1181676</v>
      </c>
      <c r="M120" s="0" t="n">
        <f aca="false">IF(ISBLANK(RawFinancials!M120),"",RawFinancials!M120)</f>
        <v>1172003</v>
      </c>
      <c r="N120" s="0" t="n">
        <f aca="false">IF(ISBLANK(RawFinancials!N120),"",RawFinancials!N120)</f>
        <v>1007459</v>
      </c>
      <c r="O120" s="0" t="n">
        <f aca="false">IF(ISBLANK(RawFinancials!O120),"",RawFinancials!O120)</f>
        <v>6350</v>
      </c>
      <c r="P120" s="0" t="str">
        <f aca="false">IF(ISBLANK(RawFinancials!P120),"",RawFinancials!P120)</f>
        <v>GORHAM SAVINGS BANK</v>
      </c>
      <c r="Q120" s="0" t="n">
        <f aca="false">IF(ISBLANK(RawFinancials!Q120),"",RawFinancials!Q120)</f>
        <v>0.537372342334108</v>
      </c>
      <c r="R120" s="0" t="n">
        <f aca="false">IF(ISBLANK(RawFinancials!R120),"",RawFinancials!R120)</f>
        <v>3.10802229687928</v>
      </c>
      <c r="S120" s="0" t="n">
        <f aca="false">IF(ISBLANK(RawFinancials!S120),"",RawFinancials!S120)</f>
        <v>196</v>
      </c>
      <c r="T120" s="0" t="n">
        <f aca="false">IF(ISBLANK(RawFinancials!T120),"",RawFinancials!T120)</f>
        <v>318</v>
      </c>
      <c r="U120" s="0" t="n">
        <f aca="false">IF(ISBLANK(RawFinancials!U120),"",RawFinancials!U120)</f>
        <v>0</v>
      </c>
      <c r="V120" s="0" t="n">
        <f aca="false">IF(ISBLANK(RawFinancials!V120),"",RawFinancials!V120)</f>
        <v>0</v>
      </c>
      <c r="W120" s="0" t="n">
        <f aca="false">IF(ISBLANK(RawFinancials!W120),"",RawFinancials!W120)</f>
        <v>20220930</v>
      </c>
      <c r="X120" s="0" t="n">
        <f aca="false">IF(ISBLANK(RawFinancials!X120),"",RawFinancials!X120)</f>
        <v>0.368036496430469</v>
      </c>
      <c r="Y120" s="0" t="n">
        <f aca="false">IF(ISBLANK(RawFinancials!Y120),"",RawFinancials!Y120)</f>
        <v>4.8</v>
      </c>
      <c r="Z120" s="0" t="str">
        <f aca="false">IF(ISBLANK(RawFinancials!Z120),"",RawFinancials!Z120)</f>
        <v>ME</v>
      </c>
      <c r="AA120" s="0" t="n">
        <f aca="false">RawFinancials!AA120</f>
        <v>1</v>
      </c>
      <c r="AB120" s="0" t="n">
        <f aca="false">RawFinancials!AB120</f>
        <v>6350</v>
      </c>
      <c r="AC120" s="0" t="n">
        <f aca="false">RawFinancials!AC120</f>
        <v>0.40905697229557</v>
      </c>
      <c r="AD120" s="0" t="n">
        <f aca="false">IF(L120&gt;0,100*N120/L120,"")</f>
        <v>85.2567878166266</v>
      </c>
      <c r="AE120" s="0" t="n">
        <f aca="false">IF(B120&gt;0,100*F120/B120,"")</f>
        <v>6.59818559075879</v>
      </c>
      <c r="AF120" s="0" t="str">
        <f aca="false">RawFinancials!AE120</f>
        <v>原始0：需核实适用/报告口径</v>
      </c>
    </row>
    <row r="121" customFormat="false" ht="15" hidden="false" customHeight="false" outlineLevel="0" collapsed="false">
      <c r="A121" s="0" t="n">
        <f aca="false">IF(ISBLANK(RawFinancials!A121),"",RawFinancials!A121)</f>
        <v>121</v>
      </c>
      <c r="B121" s="0" t="n">
        <f aca="false">IF(ISBLANK(RawFinancials!B121),"",RawFinancials!B121)</f>
        <v>1262862</v>
      </c>
      <c r="C121" s="0" t="n">
        <f aca="false">IF(ISBLANK(RawFinancials!C121),"",RawFinancials!C121)</f>
        <v>17749</v>
      </c>
      <c r="D121" s="0" t="n">
        <f aca="false">IF(ISBLANK(RawFinancials!D121),"",RawFinancials!D121)</f>
        <v>1042319</v>
      </c>
      <c r="E121" s="0" t="n">
        <f aca="false">IF(ISBLANK(RawFinancials!E121),"",RawFinancials!E121)</f>
        <v>0.05</v>
      </c>
      <c r="F121" s="0" t="n">
        <f aca="false">IF(ISBLANK(RawFinancials!F121),"",RawFinancials!F121)</f>
        <v>143149</v>
      </c>
      <c r="G121" s="0" t="n">
        <f aca="false">IF(ISBLANK(RawFinancials!G121),"",RawFinancials!G121)</f>
        <v>11.3352844570507</v>
      </c>
      <c r="H121" s="0" t="str">
        <f aca="false">IF(ISBLANK(RawFinancials!H121),"",RawFinancials!H121)</f>
        <v>17749_20220930</v>
      </c>
      <c r="I121" s="0" t="n">
        <f aca="false">IF(ISBLANK(RawFinancials!I121),"",RawFinancials!I121)</f>
        <v>1.40540586396406</v>
      </c>
      <c r="J121" s="0" t="n">
        <f aca="false">IF(ISBLANK(RawFinancials!J121),"",RawFinancials!J121)</f>
        <v>46145</v>
      </c>
      <c r="K121" s="0" t="n">
        <f aca="false">IF(ISBLANK(RawFinancials!K121),"",RawFinancials!K121)</f>
        <v>10227</v>
      </c>
      <c r="L121" s="0" t="n">
        <f aca="false">IF(ISBLANK(RawFinancials!L121),"",RawFinancials!L121)</f>
        <v>707269</v>
      </c>
      <c r="M121" s="0" t="n">
        <f aca="false">IF(ISBLANK(RawFinancials!M121),"",RawFinancials!M121)</f>
        <v>697329</v>
      </c>
      <c r="N121" s="0" t="n">
        <f aca="false">IF(ISBLANK(RawFinancials!N121),"",RawFinancials!N121)</f>
        <v>639367</v>
      </c>
      <c r="O121" s="0" t="n">
        <f aca="false">IF(ISBLANK(RawFinancials!O121),"",RawFinancials!O121)</f>
        <v>237</v>
      </c>
      <c r="P121" s="0" t="str">
        <f aca="false">IF(ISBLANK(RawFinancials!P121),"",RawFinancials!P121)</f>
        <v>BATH SAVINGS INSTITUTION</v>
      </c>
      <c r="Q121" s="0" t="n">
        <f aca="false">IF(ISBLANK(RawFinancials!Q121),"",RawFinancials!Q121)</f>
        <v>0.0353472299789754</v>
      </c>
      <c r="R121" s="0" t="n">
        <f aca="false">IF(ISBLANK(RawFinancials!R121),"",RawFinancials!R121)</f>
        <v>2.89899105262511</v>
      </c>
      <c r="S121" s="0" t="n">
        <f aca="false">IF(ISBLANK(RawFinancials!S121),"",RawFinancials!S121)</f>
        <v>13</v>
      </c>
      <c r="T121" s="0" t="n">
        <f aca="false">IF(ISBLANK(RawFinancials!T121),"",RawFinancials!T121)</f>
        <v>273</v>
      </c>
      <c r="U121" s="0" t="n">
        <f aca="false">IF(ISBLANK(RawFinancials!U121),"",RawFinancials!U121)</f>
        <v>13</v>
      </c>
      <c r="V121" s="0" t="n">
        <f aca="false">IF(ISBLANK(RawFinancials!V121),"",RawFinancials!V121)</f>
        <v>0</v>
      </c>
      <c r="W121" s="0" t="n">
        <f aca="false">IF(ISBLANK(RawFinancials!W121),"",RawFinancials!W121)</f>
        <v>20220930</v>
      </c>
      <c r="X121" s="0" t="n">
        <f aca="false">IF(ISBLANK(RawFinancials!X121),"",RawFinancials!X121)</f>
        <v>0.127474265793327</v>
      </c>
      <c r="Y121" s="0" t="n">
        <f aca="false">IF(ISBLANK(RawFinancials!Y121),"",RawFinancials!Y121)</f>
        <v>0.98</v>
      </c>
      <c r="Z121" s="0" t="str">
        <f aca="false">IF(ISBLANK(RawFinancials!Z121),"",RawFinancials!Z121)</f>
        <v>ME</v>
      </c>
      <c r="AA121" s="0" t="n">
        <f aca="false">RawFinancials!AA121</f>
        <v>1</v>
      </c>
      <c r="AB121" s="0" t="n">
        <f aca="false">RawFinancials!AB121</f>
        <v>250</v>
      </c>
      <c r="AC121" s="0" t="n">
        <f aca="false">RawFinancials!AC121</f>
        <v>0.0197963039508672</v>
      </c>
      <c r="AD121" s="0" t="n">
        <f aca="false">IF(L121&gt;0,100*N121/L121,"")</f>
        <v>90.3994095598704</v>
      </c>
      <c r="AE121" s="0" t="n">
        <f aca="false">IF(B121&gt;0,100*F121/B121,"")</f>
        <v>11.3352844570507</v>
      </c>
      <c r="AF121" s="0" t="str">
        <f aca="false">RawFinancials!AE121</f>
        <v>原始0：需核实适用/报告口径</v>
      </c>
    </row>
    <row r="122" customFormat="false" ht="15" hidden="false" customHeight="false" outlineLevel="0" collapsed="false">
      <c r="A122" s="0" t="n">
        <f aca="false">IF(ISBLANK(RawFinancials!A122),"",RawFinancials!A122)</f>
        <v>122</v>
      </c>
      <c r="B122" s="0" t="n">
        <f aca="false">IF(ISBLANK(RawFinancials!B122),"",RawFinancials!B122)</f>
        <v>1446107</v>
      </c>
      <c r="C122" s="0" t="n">
        <f aca="false">IF(ISBLANK(RawFinancials!C122),"",RawFinancials!C122)</f>
        <v>17751</v>
      </c>
      <c r="D122" s="0" t="n">
        <f aca="false">IF(ISBLANK(RawFinancials!D122),"",RawFinancials!D122)</f>
        <v>1280720</v>
      </c>
      <c r="E122" s="0" t="n">
        <f aca="false">IF(ISBLANK(RawFinancials!E122),"",RawFinancials!E122)</f>
        <v>0.03</v>
      </c>
      <c r="F122" s="0" t="n">
        <f aca="false">IF(ISBLANK(RawFinancials!F122),"",RawFinancials!F122)</f>
        <v>122617</v>
      </c>
      <c r="G122" s="0" t="n">
        <f aca="false">IF(ISBLANK(RawFinancials!G122),"",RawFinancials!G122)</f>
        <v>8.47910977541772</v>
      </c>
      <c r="H122" s="0" t="str">
        <f aca="false">IF(ISBLANK(RawFinancials!H122),"",RawFinancials!H122)</f>
        <v>17751_20220930</v>
      </c>
      <c r="I122" s="0" t="n">
        <f aca="false">IF(ISBLANK(RawFinancials!I122),"",RawFinancials!I122)</f>
        <v>1.01393453819392</v>
      </c>
      <c r="J122" s="0" t="n">
        <f aca="false">IF(ISBLANK(RawFinancials!J122),"",RawFinancials!J122)</f>
        <v>111246</v>
      </c>
      <c r="K122" s="0" t="n">
        <f aca="false">IF(ISBLANK(RawFinancials!K122),"",RawFinancials!K122)</f>
        <v>3017</v>
      </c>
      <c r="L122" s="0" t="n">
        <f aca="false">IF(ISBLANK(RawFinancials!L122),"",RawFinancials!L122)</f>
        <v>1185974</v>
      </c>
      <c r="M122" s="0" t="n">
        <f aca="false">IF(ISBLANK(RawFinancials!M122),"",RawFinancials!M122)</f>
        <v>1173949</v>
      </c>
      <c r="N122" s="0" t="n">
        <f aca="false">IF(ISBLANK(RawFinancials!N122),"",RawFinancials!N122)</f>
        <v>1020660</v>
      </c>
      <c r="O122" s="0" t="n">
        <f aca="false">IF(ISBLANK(RawFinancials!O122),"",RawFinancials!O122)</f>
        <v>1170</v>
      </c>
      <c r="P122" s="0" t="str">
        <f aca="false">IF(ISBLANK(RawFinancials!P122),"",RawFinancials!P122)</f>
        <v>ANDROSCOGGIN SAVINGS BANK</v>
      </c>
      <c r="Q122" s="0" t="n">
        <f aca="false">IF(ISBLANK(RawFinancials!Q122),"",RawFinancials!Q122)</f>
        <v>0.0986530902026519</v>
      </c>
      <c r="R122" s="0" t="n">
        <f aca="false">IF(ISBLANK(RawFinancials!R122),"",RawFinancials!R122)</f>
        <v>3.13508164909377</v>
      </c>
      <c r="S122" s="0" t="n">
        <f aca="false">IF(ISBLANK(RawFinancials!S122),"",RawFinancials!S122)</f>
        <v>-291</v>
      </c>
      <c r="T122" s="0" t="n">
        <f aca="false">IF(ISBLANK(RawFinancials!T122),"",RawFinancials!T122)</f>
        <v>807</v>
      </c>
      <c r="U122" s="0" t="n">
        <f aca="false">IF(ISBLANK(RawFinancials!U122),"",RawFinancials!U122)</f>
        <v>0</v>
      </c>
      <c r="V122" s="0" t="n">
        <f aca="false">IF(ISBLANK(RawFinancials!V122),"",RawFinancials!V122)</f>
        <v>13.4544785128385</v>
      </c>
      <c r="W122" s="0" t="n">
        <f aca="false">IF(ISBLANK(RawFinancials!W122),"",RawFinancials!W122)</f>
        <v>20220930</v>
      </c>
      <c r="X122" s="0" t="n">
        <f aca="false">IF(ISBLANK(RawFinancials!X122),"",RawFinancials!X122)</f>
        <v>0.656017372218693</v>
      </c>
      <c r="Y122" s="0" t="n">
        <f aca="false">IF(ISBLANK(RawFinancials!Y122),"",RawFinancials!Y122)</f>
        <v>7.17</v>
      </c>
      <c r="Z122" s="0" t="str">
        <f aca="false">IF(ISBLANK(RawFinancials!Z122),"",RawFinancials!Z122)</f>
        <v>ME</v>
      </c>
      <c r="AA122" s="0" t="n">
        <f aca="false">RawFinancials!AA122</f>
        <v>1</v>
      </c>
      <c r="AB122" s="0" t="n">
        <f aca="false">RawFinancials!AB122</f>
        <v>1170</v>
      </c>
      <c r="AC122" s="0" t="n">
        <f aca="false">RawFinancials!AC122</f>
        <v>0.0809068761855105</v>
      </c>
      <c r="AD122" s="0" t="n">
        <f aca="false">IF(L122&gt;0,100*N122/L122,"")</f>
        <v>86.0609085865289</v>
      </c>
      <c r="AE122" s="0" t="n">
        <f aca="false">IF(B122&gt;0,100*F122/B122,"")</f>
        <v>8.47910977541773</v>
      </c>
      <c r="AF122" s="0" t="str">
        <f aca="false">RawFinancials!AE122</f>
        <v/>
      </c>
    </row>
    <row r="123" customFormat="false" ht="15" hidden="false" customHeight="false" outlineLevel="0" collapsed="false">
      <c r="A123" s="0" t="n">
        <f aca="false">IF(ISBLANK(RawFinancials!A123),"",RawFinancials!A123)</f>
        <v>123</v>
      </c>
      <c r="B123" s="0" t="n">
        <f aca="false">IF(ISBLANK(RawFinancials!B123),"",RawFinancials!B123)</f>
        <v>1589541</v>
      </c>
      <c r="C123" s="0" t="n">
        <f aca="false">IF(ISBLANK(RawFinancials!C123),"",RawFinancials!C123)</f>
        <v>17897</v>
      </c>
      <c r="D123" s="0" t="n">
        <f aca="false">IF(ISBLANK(RawFinancials!D123),"",RawFinancials!D123)</f>
        <v>1347109</v>
      </c>
      <c r="E123" s="0" t="n">
        <f aca="false">IF(ISBLANK(RawFinancials!E123),"",RawFinancials!E123)</f>
        <v>0.08</v>
      </c>
      <c r="F123" s="0" t="n">
        <f aca="false">IF(ISBLANK(RawFinancials!F123),"",RawFinancials!F123)</f>
        <v>185467</v>
      </c>
      <c r="G123" s="0" t="n">
        <f aca="false">IF(ISBLANK(RawFinancials!G123),"",RawFinancials!G123)</f>
        <v>11.6679594927089</v>
      </c>
      <c r="H123" s="0" t="str">
        <f aca="false">IF(ISBLANK(RawFinancials!H123),"",RawFinancials!H123)</f>
        <v>17897_20220930</v>
      </c>
      <c r="I123" s="0" t="n">
        <f aca="false">IF(ISBLANK(RawFinancials!I123),"",RawFinancials!I123)</f>
        <v>0.640503285568081</v>
      </c>
      <c r="J123" s="0" t="n">
        <f aca="false">IF(ISBLANK(RawFinancials!J123),"",RawFinancials!J123)</f>
        <v>64720</v>
      </c>
      <c r="K123" s="0" t="n">
        <f aca="false">IF(ISBLANK(RawFinancials!K123),"",RawFinancials!K123)</f>
        <v>3129</v>
      </c>
      <c r="L123" s="0" t="n">
        <f aca="false">IF(ISBLANK(RawFinancials!L123),"",RawFinancials!L123)</f>
        <v>1342538</v>
      </c>
      <c r="M123" s="0" t="n">
        <f aca="false">IF(ISBLANK(RawFinancials!M123),"",RawFinancials!M123)</f>
        <v>1333939</v>
      </c>
      <c r="N123" s="0" t="n">
        <f aca="false">IF(ISBLANK(RawFinancials!N123),"",RawFinancials!N123)</f>
        <v>1265598</v>
      </c>
      <c r="O123" s="0" t="n">
        <f aca="false">IF(ISBLANK(RawFinancials!O123),"",RawFinancials!O123)</f>
        <v>3303</v>
      </c>
      <c r="P123" s="0" t="str">
        <f aca="false">IF(ISBLANK(RawFinancials!P123),"",RawFinancials!P123)</f>
        <v>KENNEBEC SAVINGS BANK</v>
      </c>
      <c r="Q123" s="0" t="n">
        <f aca="false">IF(ISBLANK(RawFinancials!Q123),"",RawFinancials!Q123)</f>
        <v>0.246026555672912</v>
      </c>
      <c r="R123" s="0" t="n">
        <f aca="false">IF(ISBLANK(RawFinancials!R123),"",RawFinancials!R123)</f>
        <v>3.22509965071587</v>
      </c>
      <c r="S123" s="0" t="n">
        <f aca="false">IF(ISBLANK(RawFinancials!S123),"",RawFinancials!S123)</f>
        <v>-128</v>
      </c>
      <c r="T123" s="0" t="n">
        <f aca="false">IF(ISBLANK(RawFinancials!T123),"",RawFinancials!T123)</f>
        <v>1323</v>
      </c>
      <c r="U123" s="0" t="n">
        <f aca="false">IF(ISBLANK(RawFinancials!U123),"",RawFinancials!U123)</f>
        <v>0</v>
      </c>
      <c r="V123" s="0" t="n">
        <f aca="false">IF(ISBLANK(RawFinancials!V123),"",RawFinancials!V123)</f>
        <v>0</v>
      </c>
      <c r="W123" s="0" t="n">
        <f aca="false">IF(ISBLANK(RawFinancials!W123),"",RawFinancials!W123)</f>
        <v>20220930</v>
      </c>
      <c r="X123" s="0" t="n">
        <f aca="false">IF(ISBLANK(RawFinancials!X123),"",RawFinancials!X123)</f>
        <v>-0.372021148911137</v>
      </c>
      <c r="Y123" s="0" t="n">
        <f aca="false">IF(ISBLANK(RawFinancials!Y123),"",RawFinancials!Y123)</f>
        <v>-2.89</v>
      </c>
      <c r="Z123" s="0" t="str">
        <f aca="false">IF(ISBLANK(RawFinancials!Z123),"",RawFinancials!Z123)</f>
        <v>ME</v>
      </c>
      <c r="AA123" s="0" t="n">
        <f aca="false">RawFinancials!AA123</f>
        <v>1</v>
      </c>
      <c r="AB123" s="0" t="n">
        <f aca="false">RawFinancials!AB123</f>
        <v>3303</v>
      </c>
      <c r="AC123" s="0" t="n">
        <f aca="false">RawFinancials!AC123</f>
        <v>0.20779583540154</v>
      </c>
      <c r="AD123" s="0" t="n">
        <f aca="false">IF(L123&gt;0,100*N123/L123,"")</f>
        <v>94.2690635199898</v>
      </c>
      <c r="AE123" s="0" t="n">
        <f aca="false">IF(B123&gt;0,100*F123/B123,"")</f>
        <v>11.6679594927089</v>
      </c>
      <c r="AF123" s="0" t="str">
        <f aca="false">RawFinancials!AE123</f>
        <v>原始0：需核实适用/报告口径</v>
      </c>
    </row>
    <row r="124" customFormat="false" ht="15" hidden="false" customHeight="false" outlineLevel="0" collapsed="false">
      <c r="A124" s="0" t="n">
        <f aca="false">IF(ISBLANK(RawFinancials!A124),"",RawFinancials!A124)</f>
        <v>124</v>
      </c>
      <c r="B124" s="0" t="n">
        <f aca="false">IF(ISBLANK(RawFinancials!B124),"",RawFinancials!B124)</f>
        <v>741759</v>
      </c>
      <c r="C124" s="0" t="n">
        <f aca="false">IF(ISBLANK(RawFinancials!C124),"",RawFinancials!C124)</f>
        <v>17951</v>
      </c>
      <c r="D124" s="0" t="n">
        <f aca="false">IF(ISBLANK(RawFinancials!D124),"",RawFinancials!D124)</f>
        <v>644557</v>
      </c>
      <c r="E124" s="0" t="n">
        <f aca="false">IF(ISBLANK(RawFinancials!E124),"",RawFinancials!E124)</f>
        <v>0.11</v>
      </c>
      <c r="F124" s="0" t="n">
        <f aca="false">IF(ISBLANK(RawFinancials!F124),"",RawFinancials!F124)</f>
        <v>52288</v>
      </c>
      <c r="G124" s="0" t="n">
        <f aca="false">IF(ISBLANK(RawFinancials!G124),"",RawFinancials!G124)</f>
        <v>7.04918983119854</v>
      </c>
      <c r="H124" s="0" t="str">
        <f aca="false">IF(ISBLANK(RawFinancials!H124),"",RawFinancials!H124)</f>
        <v>17951_20220930</v>
      </c>
      <c r="I124" s="0" t="n">
        <f aca="false">IF(ISBLANK(RawFinancials!I124),"",RawFinancials!I124)</f>
        <v>0.85128900373308</v>
      </c>
      <c r="J124" s="0" t="n">
        <f aca="false">IF(ISBLANK(RawFinancials!J124),"",RawFinancials!J124)</f>
        <v>21389</v>
      </c>
      <c r="K124" s="0" t="n">
        <f aca="false">IF(ISBLANK(RawFinancials!K124),"",RawFinancials!K124)</f>
        <v>1636</v>
      </c>
      <c r="L124" s="0" t="n">
        <f aca="false">IF(ISBLANK(RawFinancials!L124),"",RawFinancials!L124)</f>
        <v>517803</v>
      </c>
      <c r="M124" s="0" t="n">
        <f aca="false">IF(ISBLANK(RawFinancials!M124),"",RawFinancials!M124)</f>
        <v>513395</v>
      </c>
      <c r="N124" s="0" t="n">
        <f aca="false">IF(ISBLANK(RawFinancials!N124),"",RawFinancials!N124)</f>
        <v>482723</v>
      </c>
      <c r="O124" s="0" t="n">
        <f aca="false">IF(ISBLANK(RawFinancials!O124),"",RawFinancials!O124)</f>
        <v>393</v>
      </c>
      <c r="P124" s="0" t="str">
        <f aca="false">IF(ISBLANK(RawFinancials!P124),"",RawFinancials!P124)</f>
        <v>FRANKLIN SAVINGS BANK</v>
      </c>
      <c r="Q124" s="0" t="n">
        <f aca="false">IF(ISBLANK(RawFinancials!Q124),"",RawFinancials!Q124)</f>
        <v>0.0758975903963476</v>
      </c>
      <c r="R124" s="0" t="n">
        <f aca="false">IF(ISBLANK(RawFinancials!R124),"",RawFinancials!R124)</f>
        <v>3.22552262323986</v>
      </c>
      <c r="S124" s="0" t="n">
        <f aca="false">IF(ISBLANK(RawFinancials!S124),"",RawFinancials!S124)</f>
        <v>1</v>
      </c>
      <c r="T124" s="0" t="n">
        <f aca="false">IF(ISBLANK(RawFinancials!T124),"",RawFinancials!T124)</f>
        <v>0</v>
      </c>
      <c r="U124" s="0" t="n">
        <f aca="false">IF(ISBLANK(RawFinancials!U124),"",RawFinancials!U124)</f>
        <v>0</v>
      </c>
      <c r="V124" s="0" t="n">
        <f aca="false">IF(ISBLANK(RawFinancials!V124),"",RawFinancials!V124)</f>
        <v>14.4940601944432</v>
      </c>
      <c r="W124" s="0" t="n">
        <f aca="false">IF(ISBLANK(RawFinancials!W124),"",RawFinancials!W124)</f>
        <v>20220930</v>
      </c>
      <c r="X124" s="0" t="n">
        <f aca="false">IF(ISBLANK(RawFinancials!X124),"",RawFinancials!X124)</f>
        <v>1.02520929643113</v>
      </c>
      <c r="Y124" s="0" t="n">
        <f aca="false">IF(ISBLANK(RawFinancials!Y124),"",RawFinancials!Y124)</f>
        <v>12.99</v>
      </c>
      <c r="Z124" s="0" t="str">
        <f aca="false">IF(ISBLANK(RawFinancials!Z124),"",RawFinancials!Z124)</f>
        <v>NH</v>
      </c>
      <c r="AA124" s="0" t="n">
        <f aca="false">RawFinancials!AA124</f>
        <v>1</v>
      </c>
      <c r="AB124" s="0" t="n">
        <f aca="false">RawFinancials!AB124</f>
        <v>393</v>
      </c>
      <c r="AC124" s="0" t="n">
        <f aca="false">RawFinancials!AC124</f>
        <v>0.0529821680626726</v>
      </c>
      <c r="AD124" s="0" t="n">
        <f aca="false">IF(L124&gt;0,100*N124/L124,"")</f>
        <v>93.2252227198375</v>
      </c>
      <c r="AE124" s="0" t="n">
        <f aca="false">IF(B124&gt;0,100*F124/B124,"")</f>
        <v>7.04918983119854</v>
      </c>
      <c r="AF124" s="0" t="str">
        <f aca="false">RawFinancials!AE124</f>
        <v/>
      </c>
    </row>
    <row r="125" customFormat="false" ht="15" hidden="false" customHeight="false" outlineLevel="0" collapsed="false">
      <c r="A125" s="0" t="n">
        <f aca="false">IF(ISBLANK(RawFinancials!A125),"",RawFinancials!A125)</f>
        <v>125</v>
      </c>
      <c r="B125" s="0" t="n">
        <f aca="false">IF(ISBLANK(RawFinancials!B125),"",RawFinancials!B125)</f>
        <v>1278487</v>
      </c>
      <c r="C125" s="0" t="n">
        <f aca="false">IF(ISBLANK(RawFinancials!C125),"",RawFinancials!C125)</f>
        <v>17960</v>
      </c>
      <c r="D125" s="0" t="n">
        <f aca="false">IF(ISBLANK(RawFinancials!D125),"",RawFinancials!D125)</f>
        <v>1016704</v>
      </c>
      <c r="E125" s="0" t="n">
        <f aca="false">IF(ISBLANK(RawFinancials!E125),"",RawFinancials!E125)</f>
        <v>0.12</v>
      </c>
      <c r="F125" s="0" t="n">
        <f aca="false">IF(ISBLANK(RawFinancials!F125),"",RawFinancials!F125)</f>
        <v>101209</v>
      </c>
      <c r="G125" s="0" t="n">
        <f aca="false">IF(ISBLANK(RawFinancials!G125),"",RawFinancials!G125)</f>
        <v>7.91631045133818</v>
      </c>
      <c r="H125" s="0" t="str">
        <f aca="false">IF(ISBLANK(RawFinancials!H125),"",RawFinancials!H125)</f>
        <v>17960_20220930</v>
      </c>
      <c r="I125" s="0" t="n">
        <f aca="false">IF(ISBLANK(RawFinancials!I125),"",RawFinancials!I125)</f>
        <v>0.961595306010848</v>
      </c>
      <c r="J125" s="0" t="n">
        <f aca="false">IF(ISBLANK(RawFinancials!J125),"",RawFinancials!J125)</f>
        <v>109964</v>
      </c>
      <c r="K125" s="0" t="n">
        <f aca="false">IF(ISBLANK(RawFinancials!K125),"",RawFinancials!K125)</f>
        <v>186516</v>
      </c>
      <c r="L125" s="0" t="n">
        <f aca="false">IF(ISBLANK(RawFinancials!L125),"",RawFinancials!L125)</f>
        <v>1082576</v>
      </c>
      <c r="M125" s="0" t="n">
        <f aca="false">IF(ISBLANK(RawFinancials!M125),"",RawFinancials!M125)</f>
        <v>1072166</v>
      </c>
      <c r="N125" s="0" t="n">
        <f aca="false">IF(ISBLANK(RawFinancials!N125),"",RawFinancials!N125)</f>
        <v>781834</v>
      </c>
      <c r="O125" s="0" t="n">
        <f aca="false">IF(ISBLANK(RawFinancials!O125),"",RawFinancials!O125)</f>
        <v>699</v>
      </c>
      <c r="P125" s="0" t="str">
        <f aca="false">IF(ISBLANK(RawFinancials!P125),"",RawFinancials!P125)</f>
        <v>MERRIMACK COUNTY SAVINGS BANK</v>
      </c>
      <c r="Q125" s="0" t="n">
        <f aca="false">IF(ISBLANK(RawFinancials!Q125),"",RawFinancials!Q125)</f>
        <v>0.0713113906090657</v>
      </c>
      <c r="R125" s="0" t="n">
        <f aca="false">IF(ISBLANK(RawFinancials!R125),"",RawFinancials!R125)</f>
        <v>3.60711263159523</v>
      </c>
      <c r="S125" s="0" t="n">
        <f aca="false">IF(ISBLANK(RawFinancials!S125),"",RawFinancials!S125)</f>
        <v>13</v>
      </c>
      <c r="T125" s="0" t="n">
        <f aca="false">IF(ISBLANK(RawFinancials!T125),"",RawFinancials!T125)</f>
        <v>1090</v>
      </c>
      <c r="U125" s="0" t="n">
        <f aca="false">IF(ISBLANK(RawFinancials!U125),"",RawFinancials!U125)</f>
        <v>73</v>
      </c>
      <c r="V125" s="0" t="n">
        <f aca="false">IF(ISBLANK(RawFinancials!V125),"",RawFinancials!V125)</f>
        <v>12.9291645449843</v>
      </c>
      <c r="W125" s="0" t="n">
        <f aca="false">IF(ISBLANK(RawFinancials!W125),"",RawFinancials!W125)</f>
        <v>20220930</v>
      </c>
      <c r="X125" s="0" t="n">
        <f aca="false">IF(ISBLANK(RawFinancials!X125),"",RawFinancials!X125)</f>
        <v>0.811990055001869</v>
      </c>
      <c r="Y125" s="0" t="n">
        <f aca="false">IF(ISBLANK(RawFinancials!Y125),"",RawFinancials!Y125)</f>
        <v>9.21</v>
      </c>
      <c r="Z125" s="0" t="str">
        <f aca="false">IF(ISBLANK(RawFinancials!Z125),"",RawFinancials!Z125)</f>
        <v>NH</v>
      </c>
      <c r="AA125" s="0" t="n">
        <f aca="false">RawFinancials!AA125</f>
        <v>1</v>
      </c>
      <c r="AB125" s="0" t="n">
        <f aca="false">RawFinancials!AB125</f>
        <v>772</v>
      </c>
      <c r="AC125" s="0" t="n">
        <f aca="false">RawFinancials!AC125</f>
        <v>0.0603838756279884</v>
      </c>
      <c r="AD125" s="0" t="n">
        <f aca="false">IF(L125&gt;0,100*N125/L125,"")</f>
        <v>72.2197794889227</v>
      </c>
      <c r="AE125" s="0" t="n">
        <f aca="false">IF(B125&gt;0,100*F125/B125,"")</f>
        <v>7.91631045133818</v>
      </c>
      <c r="AF125" s="0" t="str">
        <f aca="false">RawFinancials!AE125</f>
        <v/>
      </c>
    </row>
    <row r="126" customFormat="false" ht="15" hidden="false" customHeight="false" outlineLevel="0" collapsed="false">
      <c r="A126" s="0" t="n">
        <f aca="false">IF(ISBLANK(RawFinancials!A126),"",RawFinancials!A126)</f>
        <v>126</v>
      </c>
      <c r="B126" s="0" t="n">
        <f aca="false">IF(ISBLANK(RawFinancials!B126),"",RawFinancials!B126)</f>
        <v>2400019</v>
      </c>
      <c r="C126" s="0" t="n">
        <f aca="false">IF(ISBLANK(RawFinancials!C126),"",RawFinancials!C126)</f>
        <v>18012</v>
      </c>
      <c r="D126" s="0" t="n">
        <f aca="false">IF(ISBLANK(RawFinancials!D126),"",RawFinancials!D126)</f>
        <v>2088751</v>
      </c>
      <c r="E126" s="0" t="n">
        <f aca="false">IF(ISBLANK(RawFinancials!E126),"",RawFinancials!E126)</f>
        <v>0.01</v>
      </c>
      <c r="F126" s="0" t="n">
        <f aca="false">IF(ISBLANK(RawFinancials!F126),"",RawFinancials!F126)</f>
        <v>230722</v>
      </c>
      <c r="G126" s="0" t="n">
        <f aca="false">IF(ISBLANK(RawFinancials!G126),"",RawFinancials!G126)</f>
        <v>9.61334056105389</v>
      </c>
      <c r="H126" s="0" t="str">
        <f aca="false">IF(ISBLANK(RawFinancials!H126),"",RawFinancials!H126)</f>
        <v>18012_20220930</v>
      </c>
      <c r="I126" s="0" t="n">
        <f aca="false">IF(ISBLANK(RawFinancials!I126),"",RawFinancials!I126)</f>
        <v>1.18574054986301</v>
      </c>
      <c r="J126" s="0" t="n">
        <f aca="false">IF(ISBLANK(RawFinancials!J126),"",RawFinancials!J126)</f>
        <v>50796</v>
      </c>
      <c r="K126" s="0" t="n">
        <f aca="false">IF(ISBLANK(RawFinancials!K126),"",RawFinancials!K126)</f>
        <v>36004</v>
      </c>
      <c r="L126" s="0" t="n">
        <f aca="false">IF(ISBLANK(RawFinancials!L126),"",RawFinancials!L126)</f>
        <v>1923861</v>
      </c>
      <c r="M126" s="0" t="n">
        <f aca="false">IF(ISBLANK(RawFinancials!M126),"",RawFinancials!M126)</f>
        <v>1901049</v>
      </c>
      <c r="N126" s="0" t="n">
        <f aca="false">IF(ISBLANK(RawFinancials!N126),"",RawFinancials!N126)</f>
        <v>1803269</v>
      </c>
      <c r="O126" s="0" t="n">
        <f aca="false">IF(ISBLANK(RawFinancials!O126),"",RawFinancials!O126)</f>
        <v>1056</v>
      </c>
      <c r="P126" s="0" t="str">
        <f aca="false">IF(ISBLANK(RawFinancials!P126),"",RawFinancials!P126)</f>
        <v>BANK OF NEW HAMPSHIRE</v>
      </c>
      <c r="Q126" s="0" t="n">
        <f aca="false">IF(ISBLANK(RawFinancials!Q126),"",RawFinancials!Q126)</f>
        <v>0.0548896204039688</v>
      </c>
      <c r="R126" s="0" t="n">
        <f aca="false">IF(ISBLANK(RawFinancials!R126),"",RawFinancials!R126)</f>
        <v>3.58161818367167</v>
      </c>
      <c r="S126" s="0" t="n">
        <f aca="false">IF(ISBLANK(RawFinancials!S126),"",RawFinancials!S126)</f>
        <v>38</v>
      </c>
      <c r="T126" s="0" t="n">
        <f aca="false">IF(ISBLANK(RawFinancials!T126),"",RawFinancials!T126)</f>
        <v>1681</v>
      </c>
      <c r="U126" s="0" t="n">
        <f aca="false">IF(ISBLANK(RawFinancials!U126),"",RawFinancials!U126)</f>
        <v>0</v>
      </c>
      <c r="V126" s="0" t="n">
        <f aca="false">IF(ISBLANK(RawFinancials!V126),"",RawFinancials!V126)</f>
        <v>12.8729126561258</v>
      </c>
      <c r="W126" s="0" t="n">
        <f aca="false">IF(ISBLANK(RawFinancials!W126),"",RawFinancials!W126)</f>
        <v>20220930</v>
      </c>
      <c r="X126" s="0" t="n">
        <f aca="false">IF(ISBLANK(RawFinancials!X126),"",RawFinancials!X126)</f>
        <v>1.21697575065678</v>
      </c>
      <c r="Y126" s="0" t="n">
        <f aca="false">IF(ISBLANK(RawFinancials!Y126),"",RawFinancials!Y126)</f>
        <v>12.17</v>
      </c>
      <c r="Z126" s="0" t="str">
        <f aca="false">IF(ISBLANK(RawFinancials!Z126),"",RawFinancials!Z126)</f>
        <v>NH</v>
      </c>
      <c r="AA126" s="0" t="n">
        <f aca="false">RawFinancials!AA126</f>
        <v>1</v>
      </c>
      <c r="AB126" s="0" t="n">
        <f aca="false">RawFinancials!AB126</f>
        <v>1056</v>
      </c>
      <c r="AC126" s="0" t="n">
        <f aca="false">RawFinancials!AC126</f>
        <v>0.0439996516694243</v>
      </c>
      <c r="AD126" s="0" t="n">
        <f aca="false">IF(L126&gt;0,100*N126/L126,"")</f>
        <v>93.7317716820498</v>
      </c>
      <c r="AE126" s="0" t="n">
        <f aca="false">IF(B126&gt;0,100*F126/B126,"")</f>
        <v>9.61334056105389</v>
      </c>
      <c r="AF126" s="0" t="str">
        <f aca="false">RawFinancials!AE126</f>
        <v/>
      </c>
    </row>
    <row r="127" customFormat="false" ht="15" hidden="false" customHeight="false" outlineLevel="0" collapsed="false">
      <c r="A127" s="0" t="n">
        <f aca="false">IF(ISBLANK(RawFinancials!A127),"",RawFinancials!A127)</f>
        <v>127</v>
      </c>
      <c r="B127" s="0" t="n">
        <f aca="false">IF(ISBLANK(RawFinancials!B127),"",RawFinancials!B127)</f>
        <v>2685566</v>
      </c>
      <c r="C127" s="0" t="n">
        <f aca="false">IF(ISBLANK(RawFinancials!C127),"",RawFinancials!C127)</f>
        <v>18013</v>
      </c>
      <c r="D127" s="0" t="n">
        <f aca="false">IF(ISBLANK(RawFinancials!D127),"",RawFinancials!D127)</f>
        <v>2352806</v>
      </c>
      <c r="E127" s="0" t="n">
        <f aca="false">IF(ISBLANK(RawFinancials!E127),"",RawFinancials!E127)</f>
        <v>0.05</v>
      </c>
      <c r="F127" s="0" t="n">
        <f aca="false">IF(ISBLANK(RawFinancials!F127),"",RawFinancials!F127)</f>
        <v>195855</v>
      </c>
      <c r="G127" s="0" t="n">
        <f aca="false">IF(ISBLANK(RawFinancials!G127),"",RawFinancials!G127)</f>
        <v>7.2928760641146</v>
      </c>
      <c r="H127" s="0" t="str">
        <f aca="false">IF(ISBLANK(RawFinancials!H127),"",RawFinancials!H127)</f>
        <v>18013_20220930</v>
      </c>
      <c r="I127" s="0" t="n">
        <f aca="false">IF(ISBLANK(RawFinancials!I127),"",RawFinancials!I127)</f>
        <v>0.919531099659526</v>
      </c>
      <c r="J127" s="0" t="n">
        <f aca="false">IF(ISBLANK(RawFinancials!J127),"",RawFinancials!J127)</f>
        <v>102062</v>
      </c>
      <c r="K127" s="0" t="n">
        <f aca="false">IF(ISBLANK(RawFinancials!K127),"",RawFinancials!K127)</f>
        <v>16559</v>
      </c>
      <c r="L127" s="0" t="n">
        <f aca="false">IF(ISBLANK(RawFinancials!L127),"",RawFinancials!L127)</f>
        <v>2114991</v>
      </c>
      <c r="M127" s="0" t="n">
        <f aca="false">IF(ISBLANK(RawFinancials!M127),"",RawFinancials!M127)</f>
        <v>2095543</v>
      </c>
      <c r="N127" s="0" t="n">
        <f aca="false">IF(ISBLANK(RawFinancials!N127),"",RawFinancials!N127)</f>
        <v>1943255</v>
      </c>
      <c r="O127" s="0" t="n">
        <f aca="false">IF(ISBLANK(RawFinancials!O127),"",RawFinancials!O127)</f>
        <v>1930</v>
      </c>
      <c r="P127" s="0" t="str">
        <f aca="false">IF(ISBLANK(RawFinancials!P127),"",RawFinancials!P127)</f>
        <v>MASCOMA BANK</v>
      </c>
      <c r="Q127" s="0" t="n">
        <f aca="false">IF(ISBLANK(RawFinancials!Q127),"",RawFinancials!Q127)</f>
        <v>0.101797123486577</v>
      </c>
      <c r="R127" s="0" t="n">
        <f aca="false">IF(ISBLANK(RawFinancials!R127),"",RawFinancials!R127)</f>
        <v>3.15593137458496</v>
      </c>
      <c r="S127" s="0" t="n">
        <f aca="false">IF(ISBLANK(RawFinancials!S127),"",RawFinancials!S127)</f>
        <v>-39</v>
      </c>
      <c r="T127" s="0" t="n">
        <f aca="false">IF(ISBLANK(RawFinancials!T127),"",RawFinancials!T127)</f>
        <v>2713</v>
      </c>
      <c r="U127" s="0" t="n">
        <f aca="false">IF(ISBLANK(RawFinancials!U127),"",RawFinancials!U127)</f>
        <v>223</v>
      </c>
      <c r="V127" s="0" t="n">
        <f aca="false">IF(ISBLANK(RawFinancials!V127),"",RawFinancials!V127)</f>
        <v>13.448711877325</v>
      </c>
      <c r="W127" s="0" t="n">
        <f aca="false">IF(ISBLANK(RawFinancials!W127),"",RawFinancials!W127)</f>
        <v>20220930</v>
      </c>
      <c r="X127" s="0" t="n">
        <f aca="false">IF(ISBLANK(RawFinancials!X127),"",RawFinancials!X127)</f>
        <v>0.676604753783732</v>
      </c>
      <c r="Y127" s="0" t="n">
        <f aca="false">IF(ISBLANK(RawFinancials!Y127),"",RawFinancials!Y127)</f>
        <v>8.57</v>
      </c>
      <c r="Z127" s="0" t="str">
        <f aca="false">IF(ISBLANK(RawFinancials!Z127),"",RawFinancials!Z127)</f>
        <v>NH</v>
      </c>
      <c r="AA127" s="0" t="n">
        <f aca="false">RawFinancials!AA127</f>
        <v>1</v>
      </c>
      <c r="AB127" s="0" t="n">
        <f aca="false">RawFinancials!AB127</f>
        <v>2153</v>
      </c>
      <c r="AC127" s="0" t="n">
        <f aca="false">RawFinancials!AC127</f>
        <v>0.0801693199869227</v>
      </c>
      <c r="AD127" s="0" t="n">
        <f aca="false">IF(L127&gt;0,100*N127/L127,"")</f>
        <v>91.8800600097116</v>
      </c>
      <c r="AE127" s="0" t="n">
        <f aca="false">IF(B127&gt;0,100*F127/B127,"")</f>
        <v>7.2928760641146</v>
      </c>
      <c r="AF127" s="0" t="str">
        <f aca="false">RawFinancials!AE127</f>
        <v/>
      </c>
    </row>
    <row r="128" customFormat="false" ht="15" hidden="false" customHeight="false" outlineLevel="0" collapsed="false">
      <c r="A128" s="0" t="n">
        <f aca="false">IF(ISBLANK(RawFinancials!A128),"",RawFinancials!A128)</f>
        <v>128</v>
      </c>
      <c r="B128" s="0" t="n">
        <f aca="false">IF(ISBLANK(RawFinancials!B128),"",RawFinancials!B128)</f>
        <v>379383</v>
      </c>
      <c r="C128" s="0" t="n">
        <f aca="false">IF(ISBLANK(RawFinancials!C128),"",RawFinancials!C128)</f>
        <v>18028</v>
      </c>
      <c r="D128" s="0" t="n">
        <f aca="false">IF(ISBLANK(RawFinancials!D128),"",RawFinancials!D128)</f>
        <v>337295</v>
      </c>
      <c r="E128" s="0" t="n">
        <f aca="false">IF(ISBLANK(RawFinancials!E128),"",RawFinancials!E128)</f>
        <v>0.04</v>
      </c>
      <c r="F128" s="0" t="n">
        <f aca="false">IF(ISBLANK(RawFinancials!F128),"",RawFinancials!F128)</f>
        <v>34470</v>
      </c>
      <c r="G128" s="0" t="n">
        <f aca="false">IF(ISBLANK(RawFinancials!G128),"",RawFinancials!G128)</f>
        <v>9.08580510987577</v>
      </c>
      <c r="H128" s="0" t="str">
        <f aca="false">IF(ISBLANK(RawFinancials!H128),"",RawFinancials!H128)</f>
        <v>18028_20220930</v>
      </c>
      <c r="I128" s="0" t="n">
        <f aca="false">IF(ISBLANK(RawFinancials!I128),"",RawFinancials!I128)</f>
        <v>0.927803504763459</v>
      </c>
      <c r="J128" s="0" t="n">
        <f aca="false">IF(ISBLANK(RawFinancials!J128),"",RawFinancials!J128)</f>
        <v>16788</v>
      </c>
      <c r="K128" s="0" t="n">
        <f aca="false">IF(ISBLANK(RawFinancials!K128),"",RawFinancials!K128)</f>
        <v>8019</v>
      </c>
      <c r="L128" s="0" t="n">
        <f aca="false">IF(ISBLANK(RawFinancials!L128),"",RawFinancials!L128)</f>
        <v>245095</v>
      </c>
      <c r="M128" s="0" t="n">
        <f aca="false">IF(ISBLANK(RawFinancials!M128),"",RawFinancials!M128)</f>
        <v>242821</v>
      </c>
      <c r="N128" s="0" t="n">
        <f aca="false">IF(ISBLANK(RawFinancials!N128),"",RawFinancials!N128)</f>
        <v>213616</v>
      </c>
      <c r="O128" s="0" t="n">
        <f aca="false">IF(ISBLANK(RawFinancials!O128),"",RawFinancials!O128)</f>
        <v>1067</v>
      </c>
      <c r="P128" s="0" t="str">
        <f aca="false">IF(ISBLANK(RawFinancials!P128),"",RawFinancials!P128)</f>
        <v>SUGAR RIVER BANK</v>
      </c>
      <c r="Q128" s="0" t="n">
        <f aca="false">IF(ISBLANK(RawFinancials!Q128),"",RawFinancials!Q128)</f>
        <v>0.555294885656582</v>
      </c>
      <c r="R128" s="0" t="n">
        <f aca="false">IF(ISBLANK(RawFinancials!R128),"",RawFinancials!R128)</f>
        <v>3.34674640434086</v>
      </c>
      <c r="S128" s="0" t="n">
        <f aca="false">IF(ISBLANK(RawFinancials!S128),"",RawFinancials!S128)</f>
        <v>110</v>
      </c>
      <c r="T128" s="0" t="n">
        <f aca="false">IF(ISBLANK(RawFinancials!T128),"",RawFinancials!T128)</f>
        <v>351</v>
      </c>
      <c r="U128" s="0" t="n">
        <f aca="false">IF(ISBLANK(RawFinancials!U128),"",RawFinancials!U128)</f>
        <v>294</v>
      </c>
      <c r="V128" s="0" t="n">
        <f aca="false">IF(ISBLANK(RawFinancials!V128),"",RawFinancials!V128)</f>
        <v>0</v>
      </c>
      <c r="W128" s="0" t="n">
        <f aca="false">IF(ISBLANK(RawFinancials!W128),"",RawFinancials!W128)</f>
        <v>20220930</v>
      </c>
      <c r="X128" s="0" t="n">
        <f aca="false">IF(ISBLANK(RawFinancials!X128),"",RawFinancials!X128)</f>
        <v>0.711360152316906</v>
      </c>
      <c r="Y128" s="0" t="n">
        <f aca="false">IF(ISBLANK(RawFinancials!Y128),"",RawFinancials!Y128)</f>
        <v>6.65</v>
      </c>
      <c r="Z128" s="0" t="str">
        <f aca="false">IF(ISBLANK(RawFinancials!Z128),"",RawFinancials!Z128)</f>
        <v>NH</v>
      </c>
      <c r="AA128" s="0" t="n">
        <f aca="false">RawFinancials!AA128</f>
        <v>1</v>
      </c>
      <c r="AB128" s="0" t="n">
        <f aca="false">RawFinancials!AB128</f>
        <v>1361</v>
      </c>
      <c r="AC128" s="0" t="n">
        <f aca="false">RawFinancials!AC128</f>
        <v>0.35874037582074</v>
      </c>
      <c r="AD128" s="0" t="n">
        <f aca="false">IF(L128&gt;0,100*N128/L128,"")</f>
        <v>87.1564087394684</v>
      </c>
      <c r="AE128" s="0" t="n">
        <f aca="false">IF(B128&gt;0,100*F128/B128,"")</f>
        <v>9.08580510987577</v>
      </c>
      <c r="AF128" s="0" t="str">
        <f aca="false">RawFinancials!AE128</f>
        <v>原始0：需核实适用/报告口径</v>
      </c>
    </row>
    <row r="129" customFormat="false" ht="15" hidden="false" customHeight="false" outlineLevel="0" collapsed="false">
      <c r="A129" s="0" t="n">
        <f aca="false">IF(ISBLANK(RawFinancials!A129),"",RawFinancials!A129)</f>
        <v>129</v>
      </c>
      <c r="B129" s="0" t="n">
        <f aca="false">IF(ISBLANK(RawFinancials!B129),"",RawFinancials!B129)</f>
        <v>703383</v>
      </c>
      <c r="C129" s="0" t="n">
        <f aca="false">IF(ISBLANK(RawFinancials!C129),"",RawFinancials!C129)</f>
        <v>18030</v>
      </c>
      <c r="D129" s="0" t="n">
        <f aca="false">IF(ISBLANK(RawFinancials!D129),"",RawFinancials!D129)</f>
        <v>659450</v>
      </c>
      <c r="E129" s="0" t="n">
        <f aca="false">IF(ISBLANK(RawFinancials!E129),"",RawFinancials!E129)</f>
        <v>0.13</v>
      </c>
      <c r="F129" s="0" t="n">
        <f aca="false">IF(ISBLANK(RawFinancials!F129),"",RawFinancials!F129)</f>
        <v>40935</v>
      </c>
      <c r="G129" s="0" t="n">
        <f aca="false">IF(ISBLANK(RawFinancials!G129),"",RawFinancials!G129)</f>
        <v>5.81973121329347</v>
      </c>
      <c r="H129" s="0" t="str">
        <f aca="false">IF(ISBLANK(RawFinancials!H129),"",RawFinancials!H129)</f>
        <v>18030_20220930</v>
      </c>
      <c r="I129" s="0" t="n">
        <f aca="false">IF(ISBLANK(RawFinancials!I129),"",RawFinancials!I129)</f>
        <v>0.930033565673407</v>
      </c>
      <c r="J129" s="0" t="n">
        <f aca="false">IF(ISBLANK(RawFinancials!J129),"",RawFinancials!J129)</f>
        <v>30312</v>
      </c>
      <c r="K129" s="0" t="n">
        <f aca="false">IF(ISBLANK(RawFinancials!K129),"",RawFinancials!K129)</f>
        <v>89007</v>
      </c>
      <c r="L129" s="0" t="n">
        <f aca="false">IF(ISBLANK(RawFinancials!L129),"",RawFinancials!L129)</f>
        <v>544604</v>
      </c>
      <c r="M129" s="0" t="n">
        <f aca="false">IF(ISBLANK(RawFinancials!M129),"",RawFinancials!M129)</f>
        <v>539539</v>
      </c>
      <c r="N129" s="0" t="n">
        <f aca="false">IF(ISBLANK(RawFinancials!N129),"",RawFinancials!N129)</f>
        <v>424875</v>
      </c>
      <c r="O129" s="0" t="n">
        <f aca="false">IF(ISBLANK(RawFinancials!O129),"",RawFinancials!O129)</f>
        <v>929</v>
      </c>
      <c r="P129" s="0" t="str">
        <f aca="false">IF(ISBLANK(RawFinancials!P129),"",RawFinancials!P129)</f>
        <v>SAVINGS BANK OF WALPOLE</v>
      </c>
      <c r="Q129" s="0" t="n">
        <f aca="false">IF(ISBLANK(RawFinancials!Q129),"",RawFinancials!Q129)</f>
        <v>0.19445321738364</v>
      </c>
      <c r="R129" s="0" t="n">
        <f aca="false">IF(ISBLANK(RawFinancials!R129),"",RawFinancials!R129)</f>
        <v>3.13216431026469</v>
      </c>
      <c r="S129" s="0" t="n">
        <f aca="false">IF(ISBLANK(RawFinancials!S129),"",RawFinancials!S129)</f>
        <v>-30</v>
      </c>
      <c r="T129" s="0" t="n">
        <f aca="false">IF(ISBLANK(RawFinancials!T129),"",RawFinancials!T129)</f>
        <v>19</v>
      </c>
      <c r="U129" s="0" t="n">
        <f aca="false">IF(ISBLANK(RawFinancials!U129),"",RawFinancials!U129)</f>
        <v>130</v>
      </c>
      <c r="V129" s="0" t="n">
        <f aca="false">IF(ISBLANK(RawFinancials!V129),"",RawFinancials!V129)</f>
        <v>13.0208288999923</v>
      </c>
      <c r="W129" s="0" t="n">
        <f aca="false">IF(ISBLANK(RawFinancials!W129),"",RawFinancials!W129)</f>
        <v>20220930</v>
      </c>
      <c r="X129" s="0" t="n">
        <f aca="false">IF(ISBLANK(RawFinancials!X129),"",RawFinancials!X129)</f>
        <v>0.410955323209553</v>
      </c>
      <c r="Y129" s="0" t="n">
        <f aca="false">IF(ISBLANK(RawFinancials!Y129),"",RawFinancials!Y129)</f>
        <v>6.03</v>
      </c>
      <c r="Z129" s="0" t="str">
        <f aca="false">IF(ISBLANK(RawFinancials!Z129),"",RawFinancials!Z129)</f>
        <v>NH</v>
      </c>
      <c r="AA129" s="0" t="n">
        <f aca="false">RawFinancials!AA129</f>
        <v>1</v>
      </c>
      <c r="AB129" s="0" t="n">
        <f aca="false">RawFinancials!AB129</f>
        <v>1059</v>
      </c>
      <c r="AC129" s="0" t="n">
        <f aca="false">RawFinancials!AC129</f>
        <v>0.150558088552041</v>
      </c>
      <c r="AD129" s="0" t="n">
        <f aca="false">IF(L129&gt;0,100*N129/L129,"")</f>
        <v>78.0154020168783</v>
      </c>
      <c r="AE129" s="0" t="n">
        <f aca="false">IF(B129&gt;0,100*F129/B129,"")</f>
        <v>5.81973121329347</v>
      </c>
      <c r="AF129" s="0" t="str">
        <f aca="false">RawFinancials!AE129</f>
        <v/>
      </c>
    </row>
    <row r="130" customFormat="false" ht="15" hidden="false" customHeight="false" outlineLevel="0" collapsed="false">
      <c r="A130" s="0" t="n">
        <f aca="false">IF(ISBLANK(RawFinancials!A130),"",RawFinancials!A130)</f>
        <v>130</v>
      </c>
      <c r="B130" s="0" t="n">
        <f aca="false">IF(ISBLANK(RawFinancials!B130),"",RawFinancials!B130)</f>
        <v>641019</v>
      </c>
      <c r="C130" s="0" t="n">
        <f aca="false">IF(ISBLANK(RawFinancials!C130),"",RawFinancials!C130)</f>
        <v>18031</v>
      </c>
      <c r="D130" s="0" t="n">
        <f aca="false">IF(ISBLANK(RawFinancials!D130),"",RawFinancials!D130)</f>
        <v>568656</v>
      </c>
      <c r="E130" s="0" t="n">
        <f aca="false">IF(ISBLANK(RawFinancials!E130),"",RawFinancials!E130)</f>
        <v>0</v>
      </c>
      <c r="F130" s="0" t="n">
        <f aca="false">IF(ISBLANK(RawFinancials!F130),"",RawFinancials!F130)</f>
        <v>33282</v>
      </c>
      <c r="G130" s="0" t="n">
        <f aca="false">IF(ISBLANK(RawFinancials!G130),"",RawFinancials!G130)</f>
        <v>5.19204578959438</v>
      </c>
      <c r="H130" s="0" t="str">
        <f aca="false">IF(ISBLANK(RawFinancials!H130),"",RawFinancials!H130)</f>
        <v>18031_20220930</v>
      </c>
      <c r="I130" s="0" t="n">
        <f aca="false">IF(ISBLANK(RawFinancials!I130),"",RawFinancials!I130)</f>
        <v>1.10926393029122</v>
      </c>
      <c r="J130" s="0" t="n">
        <f aca="false">IF(ISBLANK(RawFinancials!J130),"",RawFinancials!J130)</f>
        <v>28825</v>
      </c>
      <c r="K130" s="0" t="n">
        <f aca="false">IF(ISBLANK(RawFinancials!K130),"",RawFinancials!K130)</f>
        <v>8856</v>
      </c>
      <c r="L130" s="0" t="n">
        <f aca="false">IF(ISBLANK(RawFinancials!L130),"",RawFinancials!L130)</f>
        <v>453544</v>
      </c>
      <c r="M130" s="0" t="n">
        <f aca="false">IF(ISBLANK(RawFinancials!M130),"",RawFinancials!M130)</f>
        <v>448513</v>
      </c>
      <c r="N130" s="0" t="n">
        <f aca="false">IF(ISBLANK(RawFinancials!N130),"",RawFinancials!N130)</f>
        <v>411232</v>
      </c>
      <c r="O130" s="0" t="n">
        <f aca="false">IF(ISBLANK(RawFinancials!O130),"",RawFinancials!O130)</f>
        <v>638</v>
      </c>
      <c r="P130" s="0" t="str">
        <f aca="false">IF(ISBLANK(RawFinancials!P130),"",RawFinancials!P130)</f>
        <v>WOODSVILLE GUARANTY SAVINGS BANK</v>
      </c>
      <c r="Q130" s="0" t="n">
        <f aca="false">IF(ISBLANK(RawFinancials!Q130),"",RawFinancials!Q130)</f>
        <v>0.140669923976505</v>
      </c>
      <c r="R130" s="0" t="n">
        <f aca="false">IF(ISBLANK(RawFinancials!R130),"",RawFinancials!R130)</f>
        <v>3.00407550002015</v>
      </c>
      <c r="S130" s="0" t="n">
        <f aca="false">IF(ISBLANK(RawFinancials!S130),"",RawFinancials!S130)</f>
        <v>3</v>
      </c>
      <c r="T130" s="0" t="n">
        <f aca="false">IF(ISBLANK(RawFinancials!T130),"",RawFinancials!T130)</f>
        <v>868</v>
      </c>
      <c r="U130" s="0" t="n">
        <f aca="false">IF(ISBLANK(RawFinancials!U130),"",RawFinancials!U130)</f>
        <v>0</v>
      </c>
      <c r="V130" s="0" t="n">
        <f aca="false">IF(ISBLANK(RawFinancials!V130),"",RawFinancials!V130)</f>
        <v>16.4504734644745</v>
      </c>
      <c r="W130" s="0" t="n">
        <f aca="false">IF(ISBLANK(RawFinancials!W130),"",RawFinancials!W130)</f>
        <v>20220930</v>
      </c>
      <c r="X130" s="0" t="n">
        <f aca="false">IF(ISBLANK(RawFinancials!X130),"",RawFinancials!X130)</f>
        <v>0.528270442861807</v>
      </c>
      <c r="Y130" s="0" t="n">
        <f aca="false">IF(ISBLANK(RawFinancials!Y130),"",RawFinancials!Y130)</f>
        <v>7.71</v>
      </c>
      <c r="Z130" s="0" t="str">
        <f aca="false">IF(ISBLANK(RawFinancials!Z130),"",RawFinancials!Z130)</f>
        <v>NH</v>
      </c>
      <c r="AA130" s="0" t="n">
        <f aca="false">RawFinancials!AA130</f>
        <v>1</v>
      </c>
      <c r="AB130" s="0" t="n">
        <f aca="false">RawFinancials!AB130</f>
        <v>638</v>
      </c>
      <c r="AC130" s="0" t="n">
        <f aca="false">RawFinancials!AC130</f>
        <v>0.0995290311207624</v>
      </c>
      <c r="AD130" s="0" t="n">
        <f aca="false">IF(L130&gt;0,100*N130/L130,"")</f>
        <v>90.6708059196021</v>
      </c>
      <c r="AE130" s="0" t="n">
        <f aca="false">IF(B130&gt;0,100*F130/B130,"")</f>
        <v>5.19204578959438</v>
      </c>
      <c r="AF130" s="0" t="str">
        <f aca="false">RawFinancials!AE130</f>
        <v/>
      </c>
    </row>
    <row r="131" customFormat="false" ht="15" hidden="false" customHeight="false" outlineLevel="0" collapsed="false">
      <c r="A131" s="0" t="n">
        <f aca="false">IF(ISBLANK(RawFinancials!A131),"",RawFinancials!A131)</f>
        <v>131</v>
      </c>
      <c r="B131" s="0" t="n">
        <f aca="false">IF(ISBLANK(RawFinancials!B131),"",RawFinancials!B131)</f>
        <v>492676</v>
      </c>
      <c r="C131" s="0" t="n">
        <f aca="false">IF(ISBLANK(RawFinancials!C131),"",RawFinancials!C131)</f>
        <v>18038</v>
      </c>
      <c r="D131" s="0" t="n">
        <f aca="false">IF(ISBLANK(RawFinancials!D131),"",RawFinancials!D131)</f>
        <v>386477</v>
      </c>
      <c r="E131" s="0" t="n">
        <f aca="false">IF(ISBLANK(RawFinancials!E131),"",RawFinancials!E131)</f>
        <v>-0.09</v>
      </c>
      <c r="F131" s="0" t="n">
        <f aca="false">IF(ISBLANK(RawFinancials!F131),"",RawFinancials!F131)</f>
        <v>61616</v>
      </c>
      <c r="G131" s="0" t="n">
        <f aca="false">IF(ISBLANK(RawFinancials!G131),"",RawFinancials!G131)</f>
        <v>12.5063936542474</v>
      </c>
      <c r="H131" s="0" t="str">
        <f aca="false">IF(ISBLANK(RawFinancials!H131),"",RawFinancials!H131)</f>
        <v>18038_20220930</v>
      </c>
      <c r="I131" s="0" t="n">
        <f aca="false">IF(ISBLANK(RawFinancials!I131),"",RawFinancials!I131)</f>
        <v>1.07221239029775</v>
      </c>
      <c r="J131" s="0" t="n">
        <f aca="false">IF(ISBLANK(RawFinancials!J131),"",RawFinancials!J131)</f>
        <v>17520</v>
      </c>
      <c r="K131" s="0" t="n">
        <f aca="false">IF(ISBLANK(RawFinancials!K131),"",RawFinancials!K131)</f>
        <v>3246</v>
      </c>
      <c r="L131" s="0" t="n">
        <f aca="false">IF(ISBLANK(RawFinancials!L131),"",RawFinancials!L131)</f>
        <v>385931</v>
      </c>
      <c r="M131" s="0" t="n">
        <f aca="false">IF(ISBLANK(RawFinancials!M131),"",RawFinancials!M131)</f>
        <v>381793</v>
      </c>
      <c r="N131" s="0" t="n">
        <f aca="false">IF(ISBLANK(RawFinancials!N131),"",RawFinancials!N131)</f>
        <v>364802</v>
      </c>
      <c r="O131" s="0" t="n">
        <f aca="false">IF(ISBLANK(RawFinancials!O131),"",RawFinancials!O131)</f>
        <v>2589</v>
      </c>
      <c r="P131" s="0" t="str">
        <f aca="false">IF(ISBLANK(RawFinancials!P131),"",RawFinancials!P131)</f>
        <v>CLAREMONT SAVINGS BANK</v>
      </c>
      <c r="Q131" s="0" t="n">
        <f aca="false">IF(ISBLANK(RawFinancials!Q131),"",RawFinancials!Q131)</f>
        <v>0.670845306544434</v>
      </c>
      <c r="R131" s="0" t="n">
        <f aca="false">IF(ISBLANK(RawFinancials!R131),"",RawFinancials!R131)</f>
        <v>3.18243691660641</v>
      </c>
      <c r="S131" s="0" t="n">
        <f aca="false">IF(ISBLANK(RawFinancials!S131),"",RawFinancials!S131)</f>
        <v>-168</v>
      </c>
      <c r="T131" s="0" t="n">
        <f aca="false">IF(ISBLANK(RawFinancials!T131),"",RawFinancials!T131)</f>
        <v>1188</v>
      </c>
      <c r="U131" s="0" t="n">
        <f aca="false">IF(ISBLANK(RawFinancials!U131),"",RawFinancials!U131)</f>
        <v>0</v>
      </c>
      <c r="V131" s="0" t="n">
        <f aca="false">IF(ISBLANK(RawFinancials!V131),"",RawFinancials!V131)</f>
        <v>0</v>
      </c>
      <c r="W131" s="0" t="n">
        <f aca="false">IF(ISBLANK(RawFinancials!W131),"",RawFinancials!W131)</f>
        <v>20220930</v>
      </c>
      <c r="X131" s="0" t="n">
        <f aca="false">IF(ISBLANK(RawFinancials!X131),"",RawFinancials!X131)</f>
        <v>-1.0692244589165</v>
      </c>
      <c r="Y131" s="0" t="n">
        <f aca="false">IF(ISBLANK(RawFinancials!Y131),"",RawFinancials!Y131)</f>
        <v>-7.81</v>
      </c>
      <c r="Z131" s="0" t="str">
        <f aca="false">IF(ISBLANK(RawFinancials!Z131),"",RawFinancials!Z131)</f>
        <v>NH</v>
      </c>
      <c r="AA131" s="0" t="n">
        <f aca="false">RawFinancials!AA131</f>
        <v>1</v>
      </c>
      <c r="AB131" s="0" t="n">
        <f aca="false">RawFinancials!AB131</f>
        <v>2589</v>
      </c>
      <c r="AC131" s="0" t="n">
        <f aca="false">RawFinancials!AC131</f>
        <v>0.525497487192394</v>
      </c>
      <c r="AD131" s="0" t="n">
        <f aca="false">IF(L131&gt;0,100*N131/L131,"")</f>
        <v>94.5251871448523</v>
      </c>
      <c r="AE131" s="0" t="n">
        <f aca="false">IF(B131&gt;0,100*F131/B131,"")</f>
        <v>12.5063936542474</v>
      </c>
      <c r="AF131" s="0" t="str">
        <f aca="false">RawFinancials!AE131</f>
        <v>原始0：需核实适用/报告口径</v>
      </c>
    </row>
    <row r="132" customFormat="false" ht="15" hidden="false" customHeight="false" outlineLevel="0" collapsed="false">
      <c r="A132" s="0" t="n">
        <f aca="false">IF(ISBLANK(RawFinancials!A132),"",RawFinancials!A132)</f>
        <v>132</v>
      </c>
      <c r="B132" s="0" t="n">
        <f aca="false">IF(ISBLANK(RawFinancials!B132),"",RawFinancials!B132)</f>
        <v>7207176</v>
      </c>
      <c r="C132" s="0" t="n">
        <f aca="false">IF(ISBLANK(RawFinancials!C132),"",RawFinancials!C132)</f>
        <v>18408</v>
      </c>
      <c r="D132" s="0" t="n">
        <f aca="false">IF(ISBLANK(RawFinancials!D132),"",RawFinancials!D132)</f>
        <v>5866760</v>
      </c>
      <c r="E132" s="0" t="n">
        <f aca="false">IF(ISBLANK(RawFinancials!E132),"",RawFinancials!E132)</f>
        <v>-0.19</v>
      </c>
      <c r="F132" s="0" t="n">
        <f aca="false">IF(ISBLANK(RawFinancials!F132),"",RawFinancials!F132)</f>
        <v>323363</v>
      </c>
      <c r="G132" s="0" t="n">
        <f aca="false">IF(ISBLANK(RawFinancials!G132),"",RawFinancials!G132)</f>
        <v>4.48668105232896</v>
      </c>
      <c r="H132" s="0" t="str">
        <f aca="false">IF(ISBLANK(RawFinancials!H132),"",RawFinancials!H132)</f>
        <v>18408_20220930</v>
      </c>
      <c r="I132" s="0" t="n">
        <f aca="false">IF(ISBLANK(RawFinancials!I132),"",RawFinancials!I132)</f>
        <v>0.874806704466682</v>
      </c>
      <c r="J132" s="0" t="n">
        <f aca="false">IF(ISBLANK(RawFinancials!J132),"",RawFinancials!J132)</f>
        <v>297616</v>
      </c>
      <c r="K132" s="0" t="n">
        <f aca="false">IF(ISBLANK(RawFinancials!K132),"",RawFinancials!K132)</f>
        <v>28938</v>
      </c>
      <c r="L132" s="0" t="n">
        <f aca="false">IF(ISBLANK(RawFinancials!L132),"",RawFinancials!L132)</f>
        <v>4500880</v>
      </c>
      <c r="M132" s="0" t="n">
        <f aca="false">IF(ISBLANK(RawFinancials!M132),"",RawFinancials!M132)</f>
        <v>4461506</v>
      </c>
      <c r="N132" s="0" t="n">
        <f aca="false">IF(ISBLANK(RawFinancials!N132),"",RawFinancials!N132)</f>
        <v>4105596</v>
      </c>
      <c r="O132" s="0" t="n">
        <f aca="false">IF(ISBLANK(RawFinancials!O132),"",RawFinancials!O132)</f>
        <v>2950</v>
      </c>
      <c r="P132" s="0" t="str">
        <f aca="false">IF(ISBLANK(RawFinancials!P132),"",RawFinancials!P132)</f>
        <v>BANGOR SAVINGS BANK</v>
      </c>
      <c r="Q132" s="0" t="n">
        <f aca="false">IF(ISBLANK(RawFinancials!Q132),"",RawFinancials!Q132)</f>
        <v>0.0655427383089529</v>
      </c>
      <c r="R132" s="0" t="n">
        <f aca="false">IF(ISBLANK(RawFinancials!R132),"",RawFinancials!R132)</f>
        <v>2.6901115457965</v>
      </c>
      <c r="S132" s="0" t="n">
        <f aca="false">IF(ISBLANK(RawFinancials!S132),"",RawFinancials!S132)</f>
        <v>268</v>
      </c>
      <c r="T132" s="0" t="n">
        <f aca="false">IF(ISBLANK(RawFinancials!T132),"",RawFinancials!T132)</f>
        <v>1920</v>
      </c>
      <c r="U132" s="0" t="n">
        <f aca="false">IF(ISBLANK(RawFinancials!U132),"",RawFinancials!U132)</f>
        <v>0</v>
      </c>
      <c r="V132" s="0" t="n">
        <f aca="false">IF(ISBLANK(RawFinancials!V132),"",RawFinancials!V132)</f>
        <v>11.9805434765398</v>
      </c>
      <c r="W132" s="0" t="n">
        <f aca="false">IF(ISBLANK(RawFinancials!W132),"",RawFinancials!W132)</f>
        <v>20220930</v>
      </c>
      <c r="X132" s="0" t="n">
        <f aca="false">IF(ISBLANK(RawFinancials!X132),"",RawFinancials!X132)</f>
        <v>0.777109309868285</v>
      </c>
      <c r="Y132" s="0" t="n">
        <f aca="false">IF(ISBLANK(RawFinancials!Y132),"",RawFinancials!Y132)</f>
        <v>12.75</v>
      </c>
      <c r="Z132" s="0" t="str">
        <f aca="false">IF(ISBLANK(RawFinancials!Z132),"",RawFinancials!Z132)</f>
        <v>ME</v>
      </c>
      <c r="AA132" s="0" t="n">
        <f aca="false">RawFinancials!AA132</f>
        <v>1</v>
      </c>
      <c r="AB132" s="0" t="n">
        <f aca="false">RawFinancials!AB132</f>
        <v>2950</v>
      </c>
      <c r="AC132" s="0" t="n">
        <f aca="false">RawFinancials!AC132</f>
        <v>0.0409314272330799</v>
      </c>
      <c r="AD132" s="0" t="n">
        <f aca="false">IF(L132&gt;0,100*N132/L132,"")</f>
        <v>91.2176285526386</v>
      </c>
      <c r="AE132" s="0" t="n">
        <f aca="false">IF(B132&gt;0,100*F132/B132,"")</f>
        <v>4.48668105232896</v>
      </c>
      <c r="AF132" s="0" t="str">
        <f aca="false">RawFinancials!AE132</f>
        <v/>
      </c>
    </row>
    <row r="133" customFormat="false" ht="15" hidden="false" customHeight="false" outlineLevel="0" collapsed="false">
      <c r="A133" s="0" t="n">
        <f aca="false">IF(ISBLANK(RawFinancials!A133),"",RawFinancials!A133)</f>
        <v>133</v>
      </c>
      <c r="B133" s="0" t="n">
        <f aca="false">IF(ISBLANK(RawFinancials!B133),"",RawFinancials!B133)</f>
        <v>2290994</v>
      </c>
      <c r="C133" s="0" t="n">
        <f aca="false">IF(ISBLANK(RawFinancials!C133),"",RawFinancials!C133)</f>
        <v>19531</v>
      </c>
      <c r="D133" s="0" t="n">
        <f aca="false">IF(ISBLANK(RawFinancials!D133),"",RawFinancials!D133)</f>
        <v>1937924</v>
      </c>
      <c r="E133" s="0" t="n">
        <f aca="false">IF(ISBLANK(RawFinancials!E133),"",RawFinancials!E133)</f>
        <v>0</v>
      </c>
      <c r="F133" s="0" t="n">
        <f aca="false">IF(ISBLANK(RawFinancials!F133),"",RawFinancials!F133)</f>
        <v>213958</v>
      </c>
      <c r="G133" s="0" t="n">
        <f aca="false">IF(ISBLANK(RawFinancials!G133),"",RawFinancials!G133)</f>
        <v>9.33909036863475</v>
      </c>
      <c r="H133" s="0" t="str">
        <f aca="false">IF(ISBLANK(RawFinancials!H133),"",RawFinancials!H133)</f>
        <v>19531_20220930</v>
      </c>
      <c r="I133" s="0" t="n">
        <f aca="false">IF(ISBLANK(RawFinancials!I133),"",RawFinancials!I133)</f>
        <v>1.29744268971566</v>
      </c>
      <c r="J133" s="0" t="n">
        <f aca="false">IF(ISBLANK(RawFinancials!J133),"",RawFinancials!J133)</f>
        <v>236379</v>
      </c>
      <c r="K133" s="0" t="n">
        <f aca="false">IF(ISBLANK(RawFinancials!K133),"",RawFinancials!K133)</f>
        <v>13005</v>
      </c>
      <c r="L133" s="0" t="n">
        <f aca="false">IF(ISBLANK(RawFinancials!L133),"",RawFinancials!L133)</f>
        <v>1815032</v>
      </c>
      <c r="M133" s="0" t="n">
        <f aca="false">IF(ISBLANK(RawFinancials!M133),"",RawFinancials!M133)</f>
        <v>1791483</v>
      </c>
      <c r="N133" s="0" t="n">
        <f aca="false">IF(ISBLANK(RawFinancials!N133),"",RawFinancials!N133)</f>
        <v>1463937</v>
      </c>
      <c r="O133" s="0" t="n">
        <f aca="false">IF(ISBLANK(RawFinancials!O133),"",RawFinancials!O133)</f>
        <v>5667</v>
      </c>
      <c r="P133" s="0" t="str">
        <f aca="false">IF(ISBLANK(RawFinancials!P133),"",RawFinancials!P133)</f>
        <v>MACHIAS SAVINGS BANK</v>
      </c>
      <c r="Q133" s="0" t="n">
        <f aca="false">IF(ISBLANK(RawFinancials!Q133),"",RawFinancials!Q133)</f>
        <v>0.314374622596186</v>
      </c>
      <c r="R133" s="0" t="n">
        <f aca="false">IF(ISBLANK(RawFinancials!R133),"",RawFinancials!R133)</f>
        <v>3.57897912147177</v>
      </c>
      <c r="S133" s="0" t="n">
        <f aca="false">IF(ISBLANK(RawFinancials!S133),"",RawFinancials!S133)</f>
        <v>93</v>
      </c>
      <c r="T133" s="0" t="n">
        <f aca="false">IF(ISBLANK(RawFinancials!T133),"",RawFinancials!T133)</f>
        <v>3339</v>
      </c>
      <c r="U133" s="0" t="n">
        <f aca="false">IF(ISBLANK(RawFinancials!U133),"",RawFinancials!U133)</f>
        <v>39</v>
      </c>
      <c r="V133" s="0" t="n">
        <f aca="false">IF(ISBLANK(RawFinancials!V133),"",RawFinancials!V133)</f>
        <v>14.5589856040453</v>
      </c>
      <c r="W133" s="0" t="n">
        <f aca="false">IF(ISBLANK(RawFinancials!W133),"",RawFinancials!W133)</f>
        <v>20220930</v>
      </c>
      <c r="X133" s="0" t="n">
        <f aca="false">IF(ISBLANK(RawFinancials!X133),"",RawFinancials!X133)</f>
        <v>0.571809349197938</v>
      </c>
      <c r="Y133" s="0" t="n">
        <f aca="false">IF(ISBLANK(RawFinancials!Y133),"",RawFinancials!Y133)</f>
        <v>5.72</v>
      </c>
      <c r="Z133" s="0" t="str">
        <f aca="false">IF(ISBLANK(RawFinancials!Z133),"",RawFinancials!Z133)</f>
        <v>ME</v>
      </c>
      <c r="AA133" s="0" t="n">
        <f aca="false">RawFinancials!AA133</f>
        <v>1</v>
      </c>
      <c r="AB133" s="0" t="n">
        <f aca="false">RawFinancials!AB133</f>
        <v>5706</v>
      </c>
      <c r="AC133" s="0" t="n">
        <f aca="false">RawFinancials!AC133</f>
        <v>0.24906219745665</v>
      </c>
      <c r="AD133" s="0" t="n">
        <f aca="false">IF(L133&gt;0,100*N133/L133,"")</f>
        <v>80.6562639116005</v>
      </c>
      <c r="AE133" s="0" t="n">
        <f aca="false">IF(B133&gt;0,100*F133/B133,"")</f>
        <v>9.33909036863475</v>
      </c>
      <c r="AF133" s="0" t="str">
        <f aca="false">RawFinancials!AE133</f>
        <v/>
      </c>
    </row>
    <row r="134" customFormat="false" ht="15" hidden="false" customHeight="false" outlineLevel="0" collapsed="false">
      <c r="A134" s="0" t="n">
        <f aca="false">IF(ISBLANK(RawFinancials!A134),"",RawFinancials!A134)</f>
        <v>134</v>
      </c>
      <c r="B134" s="0" t="n">
        <f aca="false">IF(ISBLANK(RawFinancials!B134),"",RawFinancials!B134)</f>
        <v>779214</v>
      </c>
      <c r="C134" s="0" t="n">
        <f aca="false">IF(ISBLANK(RawFinancials!C134),"",RawFinancials!C134)</f>
        <v>19532</v>
      </c>
      <c r="D134" s="0" t="n">
        <f aca="false">IF(ISBLANK(RawFinancials!D134),"",RawFinancials!D134)</f>
        <v>683500</v>
      </c>
      <c r="E134" s="0" t="n">
        <f aca="false">IF(ISBLANK(RawFinancials!E134),"",RawFinancials!E134)</f>
        <v>0.01</v>
      </c>
      <c r="F134" s="0" t="n">
        <f aca="false">IF(ISBLANK(RawFinancials!F134),"",RawFinancials!F134)</f>
        <v>83123</v>
      </c>
      <c r="G134" s="0" t="n">
        <f aca="false">IF(ISBLANK(RawFinancials!G134),"",RawFinancials!G134)</f>
        <v>10.6675444743036</v>
      </c>
      <c r="H134" s="0" t="str">
        <f aca="false">IF(ISBLANK(RawFinancials!H134),"",RawFinancials!H134)</f>
        <v>19532_20220930</v>
      </c>
      <c r="I134" s="0" t="n">
        <f aca="false">IF(ISBLANK(RawFinancials!I134),"",RawFinancials!I134)</f>
        <v>1.11201195923127</v>
      </c>
      <c r="J134" s="0" t="n">
        <f aca="false">IF(ISBLANK(RawFinancials!J134),"",RawFinancials!J134)</f>
        <v>25822</v>
      </c>
      <c r="K134" s="0" t="n">
        <f aca="false">IF(ISBLANK(RawFinancials!K134),"",RawFinancials!K134)</f>
        <v>43323</v>
      </c>
      <c r="L134" s="0" t="n">
        <f aca="false">IF(ISBLANK(RawFinancials!L134),"",RawFinancials!L134)</f>
        <v>529131</v>
      </c>
      <c r="M134" s="0" t="n">
        <f aca="false">IF(ISBLANK(RawFinancials!M134),"",RawFinancials!M134)</f>
        <v>523247</v>
      </c>
      <c r="N134" s="0" t="n">
        <f aca="false">IF(ISBLANK(RawFinancials!N134),"",RawFinancials!N134)</f>
        <v>452724</v>
      </c>
      <c r="O134" s="0" t="n">
        <f aca="false">IF(ISBLANK(RawFinancials!O134),"",RawFinancials!O134)</f>
        <v>598</v>
      </c>
      <c r="P134" s="0" t="str">
        <f aca="false">IF(ISBLANK(RawFinancials!P134),"",RawFinancials!P134)</f>
        <v>SKOWHEGAN SAVINGS BANK</v>
      </c>
      <c r="Q134" s="0" t="n">
        <f aca="false">IF(ISBLANK(RawFinancials!Q134),"",RawFinancials!Q134)</f>
        <v>0.113015491437848</v>
      </c>
      <c r="R134" s="0" t="n">
        <f aca="false">IF(ISBLANK(RawFinancials!R134),"",RawFinancials!R134)</f>
        <v>3.29443240506329</v>
      </c>
      <c r="S134" s="0" t="n">
        <f aca="false">IF(ISBLANK(RawFinancials!S134),"",RawFinancials!S134)</f>
        <v>23</v>
      </c>
      <c r="T134" s="0" t="n">
        <f aca="false">IF(ISBLANK(RawFinancials!T134),"",RawFinancials!T134)</f>
        <v>596</v>
      </c>
      <c r="U134" s="0" t="n">
        <f aca="false">IF(ISBLANK(RawFinancials!U134),"",RawFinancials!U134)</f>
        <v>0</v>
      </c>
      <c r="V134" s="0" t="n">
        <f aca="false">IF(ISBLANK(RawFinancials!V134),"",RawFinancials!V134)</f>
        <v>20.8518802619619</v>
      </c>
      <c r="W134" s="0" t="n">
        <f aca="false">IF(ISBLANK(RawFinancials!W134),"",RawFinancials!W134)</f>
        <v>20220930</v>
      </c>
      <c r="X134" s="0" t="n">
        <f aca="false">IF(ISBLANK(RawFinancials!X134),"",RawFinancials!X134)</f>
        <v>0.438029053439951</v>
      </c>
      <c r="Y134" s="0" t="n">
        <f aca="false">IF(ISBLANK(RawFinancials!Y134),"",RawFinancials!Y134)</f>
        <v>3.62</v>
      </c>
      <c r="Z134" s="0" t="str">
        <f aca="false">IF(ISBLANK(RawFinancials!Z134),"",RawFinancials!Z134)</f>
        <v>ME</v>
      </c>
      <c r="AA134" s="0" t="n">
        <f aca="false">RawFinancials!AA134</f>
        <v>1</v>
      </c>
      <c r="AB134" s="0" t="n">
        <f aca="false">RawFinancials!AB134</f>
        <v>598</v>
      </c>
      <c r="AC134" s="0" t="n">
        <f aca="false">RawFinancials!AC134</f>
        <v>0.0767440010061421</v>
      </c>
      <c r="AD134" s="0" t="n">
        <f aca="false">IF(L134&gt;0,100*N134/L134,"")</f>
        <v>85.5599086048635</v>
      </c>
      <c r="AE134" s="0" t="n">
        <f aca="false">IF(B134&gt;0,100*F134/B134,"")</f>
        <v>10.6675444743036</v>
      </c>
      <c r="AF134" s="0" t="str">
        <f aca="false">RawFinancials!AE134</f>
        <v/>
      </c>
    </row>
    <row r="135" customFormat="false" ht="15" hidden="false" customHeight="false" outlineLevel="0" collapsed="false">
      <c r="A135" s="0" t="n">
        <f aca="false">IF(ISBLANK(RawFinancials!A135),"",RawFinancials!A135)</f>
        <v>135</v>
      </c>
      <c r="B135" s="0" t="n">
        <f aca="false">IF(ISBLANK(RawFinancials!B135),"",RawFinancials!B135)</f>
        <v>1742943</v>
      </c>
      <c r="C135" s="0" t="n">
        <f aca="false">IF(ISBLANK(RawFinancials!C135),"",RawFinancials!C135)</f>
        <v>19690</v>
      </c>
      <c r="D135" s="0" t="n">
        <f aca="false">IF(ISBLANK(RawFinancials!D135),"",RawFinancials!D135)</f>
        <v>1344811</v>
      </c>
      <c r="E135" s="0" t="n">
        <f aca="false">IF(ISBLANK(RawFinancials!E135),"",RawFinancials!E135)</f>
        <v>-0.03</v>
      </c>
      <c r="F135" s="0" t="n">
        <f aca="false">IF(ISBLANK(RawFinancials!F135),"",RawFinancials!F135)</f>
        <v>252162</v>
      </c>
      <c r="G135" s="0" t="n">
        <f aca="false">IF(ISBLANK(RawFinancials!G135),"",RawFinancials!G135)</f>
        <v>14.4675987682902</v>
      </c>
      <c r="H135" s="0" t="str">
        <f aca="false">IF(ISBLANK(RawFinancials!H135),"",RawFinancials!H135)</f>
        <v>19690_20220930</v>
      </c>
      <c r="I135" s="0" t="n">
        <f aca="false">IF(ISBLANK(RawFinancials!I135),"",RawFinancials!I135)</f>
        <v>0.402808321153925</v>
      </c>
      <c r="J135" s="0" t="n">
        <f aca="false">IF(ISBLANK(RawFinancials!J135),"",RawFinancials!J135)</f>
        <v>22707</v>
      </c>
      <c r="K135" s="0" t="n">
        <f aca="false">IF(ISBLANK(RawFinancials!K135),"",RawFinancials!K135)</f>
        <v>653</v>
      </c>
      <c r="L135" s="0" t="n">
        <f aca="false">IF(ISBLANK(RawFinancials!L135),"",RawFinancials!L135)</f>
        <v>1464220</v>
      </c>
      <c r="M135" s="0" t="n">
        <f aca="false">IF(ISBLANK(RawFinancials!M135),"",RawFinancials!M135)</f>
        <v>1458322</v>
      </c>
      <c r="N135" s="0" t="n">
        <f aca="false">IF(ISBLANK(RawFinancials!N135),"",RawFinancials!N135)</f>
        <v>1069457</v>
      </c>
      <c r="O135" s="0" t="n">
        <f aca="false">IF(ISBLANK(RawFinancials!O135),"",RawFinancials!O135)</f>
        <v>13597</v>
      </c>
      <c r="P135" s="0" t="str">
        <f aca="false">IF(ISBLANK(RawFinancials!P135),"",RawFinancials!P135)</f>
        <v>NORTHEAST BANK</v>
      </c>
      <c r="Q135" s="0" t="n">
        <f aca="false">IF(ISBLANK(RawFinancials!Q135),"",RawFinancials!Q135)</f>
        <v>0.92861728428788</v>
      </c>
      <c r="R135" s="0" t="n">
        <f aca="false">IF(ISBLANK(RawFinancials!R135),"",RawFinancials!R135)</f>
        <v>5.94953342943275</v>
      </c>
      <c r="S135" s="0" t="n">
        <f aca="false">IF(ISBLANK(RawFinancials!S135),"",RawFinancials!S135)</f>
        <v>-174</v>
      </c>
      <c r="T135" s="0" t="n">
        <f aca="false">IF(ISBLANK(RawFinancials!T135),"",RawFinancials!T135)</f>
        <v>4098</v>
      </c>
      <c r="U135" s="0" t="n">
        <f aca="false">IF(ISBLANK(RawFinancials!U135),"",RawFinancials!U135)</f>
        <v>0</v>
      </c>
      <c r="V135" s="0" t="n">
        <f aca="false">IF(ISBLANK(RawFinancials!V135),"",RawFinancials!V135)</f>
        <v>17.7660683765957</v>
      </c>
      <c r="W135" s="0" t="n">
        <f aca="false">IF(ISBLANK(RawFinancials!W135),"",RawFinancials!W135)</f>
        <v>20220930</v>
      </c>
      <c r="X135" s="0" t="n">
        <f aca="false">IF(ISBLANK(RawFinancials!X135),"",RawFinancials!X135)</f>
        <v>2.44922864844194</v>
      </c>
      <c r="Y135" s="0" t="n">
        <f aca="false">IF(ISBLANK(RawFinancials!Y135),"",RawFinancials!Y135)</f>
        <v>15.76</v>
      </c>
      <c r="Z135" s="0" t="str">
        <f aca="false">IF(ISBLANK(RawFinancials!Z135),"",RawFinancials!Z135)</f>
        <v>ME</v>
      </c>
      <c r="AA135" s="0" t="n">
        <f aca="false">RawFinancials!AA135</f>
        <v>1</v>
      </c>
      <c r="AB135" s="0" t="n">
        <f aca="false">RawFinancials!AB135</f>
        <v>13597</v>
      </c>
      <c r="AC135" s="0" t="n">
        <f aca="false">RawFinancials!AC135</f>
        <v>0.780117307335926</v>
      </c>
      <c r="AD135" s="0" t="n">
        <f aca="false">IF(L135&gt;0,100*N135/L135,"")</f>
        <v>73.0393656690934</v>
      </c>
      <c r="AE135" s="0" t="n">
        <f aca="false">IF(B135&gt;0,100*F135/B135,"")</f>
        <v>14.4675987682902</v>
      </c>
      <c r="AF135" s="0" t="str">
        <f aca="false">RawFinancials!AE135</f>
        <v/>
      </c>
    </row>
    <row r="136" customFormat="false" ht="15" hidden="false" customHeight="false" outlineLevel="0" collapsed="false">
      <c r="A136" s="0" t="n">
        <f aca="false">IF(ISBLANK(RawFinancials!A136),"",RawFinancials!A136)</f>
        <v>136</v>
      </c>
      <c r="B136" s="0" t="n">
        <f aca="false">IF(ISBLANK(RawFinancials!B136),"",RawFinancials!B136)</f>
        <v>579332</v>
      </c>
      <c r="C136" s="0" t="n">
        <f aca="false">IF(ISBLANK(RawFinancials!C136),"",RawFinancials!C136)</f>
        <v>19836</v>
      </c>
      <c r="D136" s="0" t="n">
        <f aca="false">IF(ISBLANK(RawFinancials!D136),"",RawFinancials!D136)</f>
        <v>456854</v>
      </c>
      <c r="E136" s="0" t="n">
        <f aca="false">IF(ISBLANK(RawFinancials!E136),"",RawFinancials!E136)</f>
        <v>0</v>
      </c>
      <c r="F136" s="0" t="n">
        <f aca="false">IF(ISBLANK(RawFinancials!F136),"",RawFinancials!F136)</f>
        <v>115337</v>
      </c>
      <c r="G136" s="0" t="n">
        <f aca="false">IF(ISBLANK(RawFinancials!G136),"",RawFinancials!G136)</f>
        <v>19.9086188921033</v>
      </c>
      <c r="H136" s="0" t="str">
        <f aca="false">IF(ISBLANK(RawFinancials!H136),"",RawFinancials!H136)</f>
        <v>19836_20220930</v>
      </c>
      <c r="I136" s="0" t="n">
        <f aca="false">IF(ISBLANK(RawFinancials!I136),"",RawFinancials!I136)</f>
        <v>0.826610937546364</v>
      </c>
      <c r="J136" s="0" t="n">
        <f aca="false">IF(ISBLANK(RawFinancials!J136),"",RawFinancials!J136)</f>
        <v>53274</v>
      </c>
      <c r="K136" s="0" t="n">
        <f aca="false">IF(ISBLANK(RawFinancials!K136),"",RawFinancials!K136)</f>
        <v>11850</v>
      </c>
      <c r="L136" s="0" t="n">
        <f aca="false">IF(ISBLANK(RawFinancials!L136),"",RawFinancials!L136)</f>
        <v>471806</v>
      </c>
      <c r="M136" s="0" t="n">
        <f aca="false">IF(ISBLANK(RawFinancials!M136),"",RawFinancials!M136)</f>
        <v>467906</v>
      </c>
      <c r="N136" s="0" t="n">
        <f aca="false">IF(ISBLANK(RawFinancials!N136),"",RawFinancials!N136)</f>
        <v>401514</v>
      </c>
      <c r="O136" s="0" t="n">
        <f aca="false">IF(ISBLANK(RawFinancials!O136),"",RawFinancials!O136)</f>
        <v>1439</v>
      </c>
      <c r="P136" s="0" t="str">
        <f aca="false">IF(ISBLANK(RawFinancials!P136),"",RawFinancials!P136)</f>
        <v>FRANKLIN SAVINGS BANK</v>
      </c>
      <c r="Q136" s="0" t="n">
        <f aca="false">IF(ISBLANK(RawFinancials!Q136),"",RawFinancials!Q136)</f>
        <v>0.334883405467501</v>
      </c>
      <c r="R136" s="0" t="n">
        <f aca="false">IF(ISBLANK(RawFinancials!R136),"",RawFinancials!R136)</f>
        <v>4.09507804405102</v>
      </c>
      <c r="S136" s="0" t="n">
        <f aca="false">IF(ISBLANK(RawFinancials!S136),"",RawFinancials!S136)</f>
        <v>-15</v>
      </c>
      <c r="T136" s="0" t="n">
        <f aca="false">IF(ISBLANK(RawFinancials!T136),"",RawFinancials!T136)</f>
        <v>1421</v>
      </c>
      <c r="U136" s="0" t="n">
        <f aca="false">IF(ISBLANK(RawFinancials!U136),"",RawFinancials!U136)</f>
        <v>141</v>
      </c>
      <c r="V136" s="0" t="n">
        <f aca="false">IF(ISBLANK(RawFinancials!V136),"",RawFinancials!V136)</f>
        <v>28.3528259517265</v>
      </c>
      <c r="W136" s="0" t="n">
        <f aca="false">IF(ISBLANK(RawFinancials!W136),"",RawFinancials!W136)</f>
        <v>20220930</v>
      </c>
      <c r="X136" s="0" t="n">
        <f aca="false">IF(ISBLANK(RawFinancials!X136),"",RawFinancials!X136)</f>
        <v>0.933083820950688</v>
      </c>
      <c r="Y136" s="0" t="n">
        <f aca="false">IF(ISBLANK(RawFinancials!Y136),"",RawFinancials!Y136)</f>
        <v>4.62</v>
      </c>
      <c r="Z136" s="0" t="str">
        <f aca="false">IF(ISBLANK(RawFinancials!Z136),"",RawFinancials!Z136)</f>
        <v>ME</v>
      </c>
      <c r="AA136" s="0" t="n">
        <f aca="false">RawFinancials!AA136</f>
        <v>1</v>
      </c>
      <c r="AB136" s="0" t="n">
        <f aca="false">RawFinancials!AB136</f>
        <v>1580</v>
      </c>
      <c r="AC136" s="0" t="n">
        <f aca="false">RawFinancials!AC136</f>
        <v>0.272727900409437</v>
      </c>
      <c r="AD136" s="0" t="n">
        <f aca="false">IF(L136&gt;0,100*N136/L136,"")</f>
        <v>85.1015035841002</v>
      </c>
      <c r="AE136" s="0" t="n">
        <f aca="false">IF(B136&gt;0,100*F136/B136,"")</f>
        <v>19.9086188921033</v>
      </c>
      <c r="AF136" s="0" t="str">
        <f aca="false">RawFinancials!AE136</f>
        <v/>
      </c>
    </row>
    <row r="137" customFormat="false" ht="15" hidden="false" customHeight="false" outlineLevel="0" collapsed="false">
      <c r="A137" s="0" t="n">
        <f aca="false">IF(ISBLANK(RawFinancials!A137),"",RawFinancials!A137)</f>
        <v>137</v>
      </c>
      <c r="B137" s="0" t="n">
        <f aca="false">IF(ISBLANK(RawFinancials!B137),"",RawFinancials!B137)</f>
        <v>1199727</v>
      </c>
      <c r="C137" s="0" t="n">
        <f aca="false">IF(ISBLANK(RawFinancials!C137),"",RawFinancials!C137)</f>
        <v>24540</v>
      </c>
      <c r="D137" s="0" t="n">
        <f aca="false">IF(ISBLANK(RawFinancials!D137),"",RawFinancials!D137)</f>
        <v>965688</v>
      </c>
      <c r="E137" s="0" t="n">
        <f aca="false">IF(ISBLANK(RawFinancials!E137),"",RawFinancials!E137)</f>
        <v>0.05</v>
      </c>
      <c r="F137" s="0" t="n">
        <f aca="false">IF(ISBLANK(RawFinancials!F137),"",RawFinancials!F137)</f>
        <v>206211</v>
      </c>
      <c r="G137" s="0" t="n">
        <f aca="false">IF(ISBLANK(RawFinancials!G137),"",RawFinancials!G137)</f>
        <v>17.1881603064697</v>
      </c>
      <c r="H137" s="0" t="str">
        <f aca="false">IF(ISBLANK(RawFinancials!H137),"",RawFinancials!H137)</f>
        <v>24540_20220930</v>
      </c>
      <c r="I137" s="0" t="n">
        <f aca="false">IF(ISBLANK(RawFinancials!I137),"",RawFinancials!I137)</f>
        <v>1.19974371736315</v>
      </c>
      <c r="J137" s="0" t="n">
        <f aca="false">IF(ISBLANK(RawFinancials!J137),"",RawFinancials!J137)</f>
        <v>45436</v>
      </c>
      <c r="K137" s="0" t="n">
        <f aca="false">IF(ISBLANK(RawFinancials!K137),"",RawFinancials!K137)</f>
        <v>177</v>
      </c>
      <c r="L137" s="0" t="n">
        <f aca="false">IF(ISBLANK(RawFinancials!L137),"",RawFinancials!L137)</f>
        <v>1090983</v>
      </c>
      <c r="M137" s="0" t="n">
        <f aca="false">IF(ISBLANK(RawFinancials!M137),"",RawFinancials!M137)</f>
        <v>1077894</v>
      </c>
      <c r="N137" s="0" t="n">
        <f aca="false">IF(ISBLANK(RawFinancials!N137),"",RawFinancials!N137)</f>
        <v>1048616</v>
      </c>
      <c r="O137" s="0" t="n">
        <f aca="false">IF(ISBLANK(RawFinancials!O137),"",RawFinancials!O137)</f>
        <v>693</v>
      </c>
      <c r="P137" s="0" t="str">
        <f aca="false">IF(ISBLANK(RawFinancials!P137),"",RawFinancials!P137)</f>
        <v>BANK OF NEW ENGLAND</v>
      </c>
      <c r="Q137" s="0" t="n">
        <f aca="false">IF(ISBLANK(RawFinancials!Q137),"",RawFinancials!Q137)</f>
        <v>0.0635206964728139</v>
      </c>
      <c r="R137" s="0" t="n">
        <f aca="false">IF(ISBLANK(RawFinancials!R137),"",RawFinancials!R137)</f>
        <v>4.57696572902816</v>
      </c>
      <c r="S137" s="0" t="n">
        <f aca="false">IF(ISBLANK(RawFinancials!S137),"",RawFinancials!S137)</f>
        <v>-15</v>
      </c>
      <c r="T137" s="0" t="n">
        <f aca="false">IF(ISBLANK(RawFinancials!T137),"",RawFinancials!T137)</f>
        <v>0</v>
      </c>
      <c r="U137" s="0" t="n">
        <f aca="false">IF(ISBLANK(RawFinancials!U137),"",RawFinancials!U137)</f>
        <v>0</v>
      </c>
      <c r="V137" s="0" t="n">
        <f aca="false">IF(ISBLANK(RawFinancials!V137),"",RawFinancials!V137)</f>
        <v>0</v>
      </c>
      <c r="W137" s="0" t="n">
        <f aca="false">IF(ISBLANK(RawFinancials!W137),"",RawFinancials!W137)</f>
        <v>20220930</v>
      </c>
      <c r="X137" s="0" t="n">
        <f aca="false">IF(ISBLANK(RawFinancials!X137),"",RawFinancials!X137)</f>
        <v>2.27932571681005</v>
      </c>
      <c r="Y137" s="0" t="n">
        <f aca="false">IF(ISBLANK(RawFinancials!Y137),"",RawFinancials!Y137)</f>
        <v>14.36</v>
      </c>
      <c r="Z137" s="0" t="str">
        <f aca="false">IF(ISBLANK(RawFinancials!Z137),"",RawFinancials!Z137)</f>
        <v>NH</v>
      </c>
      <c r="AA137" s="0" t="n">
        <f aca="false">RawFinancials!AA137</f>
        <v>1</v>
      </c>
      <c r="AB137" s="0" t="n">
        <f aca="false">RawFinancials!AB137</f>
        <v>693</v>
      </c>
      <c r="AC137" s="0" t="n">
        <f aca="false">RawFinancials!AC137</f>
        <v>0.0577631411146036</v>
      </c>
      <c r="AD137" s="0" t="n">
        <f aca="false">IF(L137&gt;0,100*N137/L137,"")</f>
        <v>96.1166214322313</v>
      </c>
      <c r="AE137" s="0" t="n">
        <f aca="false">IF(B137&gt;0,100*F137/B137,"")</f>
        <v>17.1881603064697</v>
      </c>
      <c r="AF137" s="0" t="str">
        <f aca="false">RawFinancials!AE137</f>
        <v>原始0：需核实适用/报告口径</v>
      </c>
    </row>
    <row r="138" customFormat="false" ht="15" hidden="false" customHeight="false" outlineLevel="0" collapsed="false">
      <c r="A138" s="0" t="n">
        <f aca="false">IF(ISBLANK(RawFinancials!A138),"",RawFinancials!A138)</f>
        <v>138</v>
      </c>
      <c r="B138" s="0" t="n">
        <f aca="false">IF(ISBLANK(RawFinancials!B138),"",RawFinancials!B138)</f>
        <v>478442</v>
      </c>
      <c r="C138" s="0" t="n">
        <f aca="false">IF(ISBLANK(RawFinancials!C138),"",RawFinancials!C138)</f>
        <v>27824</v>
      </c>
      <c r="D138" s="0" t="n">
        <f aca="false">IF(ISBLANK(RawFinancials!D138),"",RawFinancials!D138)</f>
        <v>398401</v>
      </c>
      <c r="E138" s="0" t="n">
        <f aca="false">IF(ISBLANK(RawFinancials!E138),"",RawFinancials!E138)</f>
        <v>0.03</v>
      </c>
      <c r="F138" s="0" t="n">
        <f aca="false">IF(ISBLANK(RawFinancials!F138),"",RawFinancials!F138)</f>
        <v>66369</v>
      </c>
      <c r="G138" s="0" t="n">
        <f aca="false">IF(ISBLANK(RawFinancials!G138),"",RawFinancials!G138)</f>
        <v>13.8719008782674</v>
      </c>
      <c r="H138" s="0" t="str">
        <f aca="false">IF(ISBLANK(RawFinancials!H138),"",RawFinancials!H138)</f>
        <v>27824_20220930</v>
      </c>
      <c r="I138" s="0" t="n">
        <f aca="false">IF(ISBLANK(RawFinancials!I138),"",RawFinancials!I138)</f>
        <v>0.814944415755249</v>
      </c>
      <c r="J138" s="0" t="n">
        <f aca="false">IF(ISBLANK(RawFinancials!J138),"",RawFinancials!J138)</f>
        <v>21793</v>
      </c>
      <c r="K138" s="0" t="n">
        <f aca="false">IF(ISBLANK(RawFinancials!K138),"",RawFinancials!K138)</f>
        <v>34521</v>
      </c>
      <c r="L138" s="0" t="n">
        <f aca="false">IF(ISBLANK(RawFinancials!L138),"",RawFinancials!L138)</f>
        <v>389229</v>
      </c>
      <c r="M138" s="0" t="n">
        <f aca="false">IF(ISBLANK(RawFinancials!M138),"",RawFinancials!M138)</f>
        <v>386057</v>
      </c>
      <c r="N138" s="0" t="n">
        <f aca="false">IF(ISBLANK(RawFinancials!N138),"",RawFinancials!N138)</f>
        <v>332914</v>
      </c>
      <c r="O138" s="0" t="n">
        <f aca="false">IF(ISBLANK(RawFinancials!O138),"",RawFinancials!O138)</f>
        <v>1040</v>
      </c>
      <c r="P138" s="0" t="str">
        <f aca="false">IF(ISBLANK(RawFinancials!P138),"",RawFinancials!P138)</f>
        <v>SALEM CO-OPERATIVE BANK</v>
      </c>
      <c r="Q138" s="0" t="n">
        <f aca="false">IF(ISBLANK(RawFinancials!Q138),"",RawFinancials!Q138)</f>
        <v>0.267194890411557</v>
      </c>
      <c r="R138" s="0" t="n">
        <f aca="false">IF(ISBLANK(RawFinancials!R138),"",RawFinancials!R138)</f>
        <v>2.90969614533436</v>
      </c>
      <c r="S138" s="0" t="n">
        <f aca="false">IF(ISBLANK(RawFinancials!S138),"",RawFinancials!S138)</f>
        <v>0</v>
      </c>
      <c r="T138" s="0" t="n">
        <f aca="false">IF(ISBLANK(RawFinancials!T138),"",RawFinancials!T138)</f>
        <v>773</v>
      </c>
      <c r="U138" s="0" t="n">
        <f aca="false">IF(ISBLANK(RawFinancials!U138),"",RawFinancials!U138)</f>
        <v>0</v>
      </c>
      <c r="V138" s="0" t="n">
        <f aca="false">IF(ISBLANK(RawFinancials!V138),"",RawFinancials!V138)</f>
        <v>24.0539268875851</v>
      </c>
      <c r="W138" s="0" t="n">
        <f aca="false">IF(ISBLANK(RawFinancials!W138),"",RawFinancials!W138)</f>
        <v>20220930</v>
      </c>
      <c r="X138" s="0" t="n">
        <f aca="false">IF(ISBLANK(RawFinancials!X138),"",RawFinancials!X138)</f>
        <v>0.316684318660046</v>
      </c>
      <c r="Y138" s="0" t="n">
        <f aca="false">IF(ISBLANK(RawFinancials!Y138),"",RawFinancials!Y138)</f>
        <v>2.14</v>
      </c>
      <c r="Z138" s="0" t="str">
        <f aca="false">IF(ISBLANK(RawFinancials!Z138),"",RawFinancials!Z138)</f>
        <v>NH</v>
      </c>
      <c r="AA138" s="0" t="n">
        <f aca="false">RawFinancials!AA138</f>
        <v>1</v>
      </c>
      <c r="AB138" s="0" t="n">
        <f aca="false">RawFinancials!AB138</f>
        <v>1040</v>
      </c>
      <c r="AC138" s="0" t="n">
        <f aca="false">RawFinancials!AC138</f>
        <v>0.217372220666246</v>
      </c>
      <c r="AD138" s="0" t="n">
        <f aca="false">IF(L138&gt;0,100*N138/L138,"")</f>
        <v>85.531653602378</v>
      </c>
      <c r="AE138" s="0" t="n">
        <f aca="false">IF(B138&gt;0,100*F138/B138,"")</f>
        <v>13.8719008782674</v>
      </c>
      <c r="AF138" s="0" t="str">
        <f aca="false">RawFinancials!AE138</f>
        <v/>
      </c>
    </row>
    <row r="139" customFormat="false" ht="15" hidden="false" customHeight="false" outlineLevel="0" collapsed="false">
      <c r="A139" s="0" t="n">
        <f aca="false">IF(ISBLANK(RawFinancials!A139),"",RawFinancials!A139)</f>
        <v>139</v>
      </c>
      <c r="B139" s="0" t="n">
        <f aca="false">IF(ISBLANK(RawFinancials!B139),"",RawFinancials!B139)</f>
        <v>306788</v>
      </c>
      <c r="C139" s="0" t="n">
        <f aca="false">IF(ISBLANK(RawFinancials!C139),"",RawFinancials!C139)</f>
        <v>28155</v>
      </c>
      <c r="D139" s="0" t="n">
        <f aca="false">IF(ISBLANK(RawFinancials!D139),"",RawFinancials!D139)</f>
        <v>278328</v>
      </c>
      <c r="E139" s="0" t="n">
        <f aca="false">IF(ISBLANK(RawFinancials!E139),"",RawFinancials!E139)</f>
        <v>0.04</v>
      </c>
      <c r="F139" s="0" t="n">
        <f aca="false">IF(ISBLANK(RawFinancials!F139),"",RawFinancials!F139)</f>
        <v>27419</v>
      </c>
      <c r="G139" s="0" t="n">
        <f aca="false">IF(ISBLANK(RawFinancials!G139),"",RawFinancials!G139)</f>
        <v>8.93744214245668</v>
      </c>
      <c r="H139" s="0" t="str">
        <f aca="false">IF(ISBLANK(RawFinancials!H139),"",RawFinancials!H139)</f>
        <v>28155_20220930</v>
      </c>
      <c r="I139" s="0" t="n">
        <f aca="false">IF(ISBLANK(RawFinancials!I139),"",RawFinancials!I139)</f>
        <v>0.579039914464404</v>
      </c>
      <c r="J139" s="0" t="n">
        <f aca="false">IF(ISBLANK(RawFinancials!J139),"",RawFinancials!J139)</f>
        <v>6105</v>
      </c>
      <c r="K139" s="0" t="n">
        <f aca="false">IF(ISBLANK(RawFinancials!K139),"",RawFinancials!K139)</f>
        <v>4615</v>
      </c>
      <c r="L139" s="0" t="n">
        <f aca="false">IF(ISBLANK(RawFinancials!L139),"",RawFinancials!L139)</f>
        <v>155257</v>
      </c>
      <c r="M139" s="0" t="n">
        <f aca="false">IF(ISBLANK(RawFinancials!M139),"",RawFinancials!M139)</f>
        <v>154358</v>
      </c>
      <c r="N139" s="0" t="n">
        <f aca="false">IF(ISBLANK(RawFinancials!N139),"",RawFinancials!N139)</f>
        <v>143872</v>
      </c>
      <c r="O139" s="0" t="n">
        <f aca="false">IF(ISBLANK(RawFinancials!O139),"",RawFinancials!O139)</f>
        <v>222</v>
      </c>
      <c r="P139" s="0" t="str">
        <f aca="false">IF(ISBLANK(RawFinancials!P139),"",RawFinancials!P139)</f>
        <v>PROFILE BANK</v>
      </c>
      <c r="Q139" s="0" t="n">
        <f aca="false">IF(ISBLANK(RawFinancials!Q139),"",RawFinancials!Q139)</f>
        <v>0.142988721925581</v>
      </c>
      <c r="R139" s="0" t="n">
        <f aca="false">IF(ISBLANK(RawFinancials!R139),"",RawFinancials!R139)</f>
        <v>2.71277062616387</v>
      </c>
      <c r="S139" s="0" t="n">
        <f aca="false">IF(ISBLANK(RawFinancials!S139),"",RawFinancials!S139)</f>
        <v>5</v>
      </c>
      <c r="T139" s="0" t="n">
        <f aca="false">IF(ISBLANK(RawFinancials!T139),"",RawFinancials!T139)</f>
        <v>420</v>
      </c>
      <c r="U139" s="0" t="n">
        <f aca="false">IF(ISBLANK(RawFinancials!U139),"",RawFinancials!U139)</f>
        <v>0</v>
      </c>
      <c r="V139" s="0" t="n">
        <f aca="false">IF(ISBLANK(RawFinancials!V139),"",RawFinancials!V139)</f>
        <v>18.3948124270968</v>
      </c>
      <c r="W139" s="0" t="n">
        <f aca="false">IF(ISBLANK(RawFinancials!W139),"",RawFinancials!W139)</f>
        <v>20220930</v>
      </c>
      <c r="X139" s="0" t="n">
        <f aca="false">IF(ISBLANK(RawFinancials!X139),"",RawFinancials!X139)</f>
        <v>0.211071666580136</v>
      </c>
      <c r="Y139" s="0" t="n">
        <f aca="false">IF(ISBLANK(RawFinancials!Y139),"",RawFinancials!Y139)</f>
        <v>2.25</v>
      </c>
      <c r="Z139" s="0" t="str">
        <f aca="false">IF(ISBLANK(RawFinancials!Z139),"",RawFinancials!Z139)</f>
        <v>NH</v>
      </c>
      <c r="AA139" s="0" t="n">
        <f aca="false">RawFinancials!AA139</f>
        <v>1</v>
      </c>
      <c r="AB139" s="0" t="n">
        <f aca="false">RawFinancials!AB139</f>
        <v>222</v>
      </c>
      <c r="AC139" s="0" t="n">
        <f aca="false">RawFinancials!AC139</f>
        <v>0.072362673898588</v>
      </c>
      <c r="AD139" s="0" t="n">
        <f aca="false">IF(L139&gt;0,100*N139/L139,"")</f>
        <v>92.6669973012489</v>
      </c>
      <c r="AE139" s="0" t="n">
        <f aca="false">IF(B139&gt;0,100*F139/B139,"")</f>
        <v>8.93744214245668</v>
      </c>
      <c r="AF139" s="0" t="str">
        <f aca="false">RawFinancials!AE139</f>
        <v/>
      </c>
    </row>
    <row r="140" customFormat="false" ht="15" hidden="false" customHeight="false" outlineLevel="0" collapsed="false">
      <c r="A140" s="0" t="n">
        <f aca="false">IF(ISBLANK(RawFinancials!A140),"",RawFinancials!A140)</f>
        <v>140</v>
      </c>
      <c r="B140" s="0" t="n">
        <f aca="false">IF(ISBLANK(RawFinancials!B140),"",RawFinancials!B140)</f>
        <v>98792</v>
      </c>
      <c r="C140" s="0" t="n">
        <f aca="false">IF(ISBLANK(RawFinancials!C140),"",RawFinancials!C140)</f>
        <v>28288</v>
      </c>
      <c r="D140" s="0" t="n">
        <f aca="false">IF(ISBLANK(RawFinancials!D140),"",RawFinancials!D140)</f>
        <v>81542</v>
      </c>
      <c r="E140" s="0" t="n">
        <f aca="false">IF(ISBLANK(RawFinancials!E140),"",RawFinancials!E140)</f>
        <v>0.06</v>
      </c>
      <c r="F140" s="0" t="n">
        <f aca="false">IF(ISBLANK(RawFinancials!F140),"",RawFinancials!F140)</f>
        <v>5736</v>
      </c>
      <c r="G140" s="0" t="n">
        <f aca="false">IF(ISBLANK(RawFinancials!G140),"",RawFinancials!G140)</f>
        <v>5.80613814883796</v>
      </c>
      <c r="H140" s="0" t="str">
        <f aca="false">IF(ISBLANK(RawFinancials!H140),"",RawFinancials!H140)</f>
        <v>28288_20220930</v>
      </c>
      <c r="I140" s="0" t="n">
        <f aca="false">IF(ISBLANK(RawFinancials!I140),"",RawFinancials!I140)</f>
        <v>1.10268691888015</v>
      </c>
      <c r="J140" s="0" t="n">
        <f aca="false">IF(ISBLANK(RawFinancials!J140),"",RawFinancials!J140)</f>
        <v>3129</v>
      </c>
      <c r="K140" s="0" t="n">
        <f aca="false">IF(ISBLANK(RawFinancials!K140),"",RawFinancials!K140)</f>
        <v>444</v>
      </c>
      <c r="L140" s="0" t="n">
        <f aca="false">IF(ISBLANK(RawFinancials!L140),"",RawFinancials!L140)</f>
        <v>78082</v>
      </c>
      <c r="M140" s="0" t="n">
        <f aca="false">IF(ISBLANK(RawFinancials!M140),"",RawFinancials!M140)</f>
        <v>77221</v>
      </c>
      <c r="N140" s="0" t="n">
        <f aca="false">IF(ISBLANK(RawFinancials!N140),"",RawFinancials!N140)</f>
        <v>74509</v>
      </c>
      <c r="O140" s="0" t="n">
        <f aca="false">IF(ISBLANK(RawFinancials!O140),"",RawFinancials!O140)</f>
        <v>387</v>
      </c>
      <c r="P140" s="0" t="str">
        <f aca="false">IF(ISBLANK(RawFinancials!P140),"",RawFinancials!P140)</f>
        <v>AUBURN SAVINGS BANK, FSB</v>
      </c>
      <c r="Q140" s="0" t="n">
        <f aca="false">IF(ISBLANK(RawFinancials!Q140),"",RawFinancials!Q140)</f>
        <v>0.495632796291079</v>
      </c>
      <c r="R140" s="0" t="n">
        <f aca="false">IF(ISBLANK(RawFinancials!R140),"",RawFinancials!R140)</f>
        <v>3.53829172909139</v>
      </c>
      <c r="S140" s="0" t="n">
        <f aca="false">IF(ISBLANK(RawFinancials!S140),"",RawFinancials!S140)</f>
        <v>46</v>
      </c>
      <c r="T140" s="0" t="n">
        <f aca="false">IF(ISBLANK(RawFinancials!T140),"",RawFinancials!T140)</f>
        <v>133</v>
      </c>
      <c r="U140" s="0" t="n">
        <f aca="false">IF(ISBLANK(RawFinancials!U140),"",RawFinancials!U140)</f>
        <v>0</v>
      </c>
      <c r="V140" s="0" t="n">
        <f aca="false">IF(ISBLANK(RawFinancials!V140),"",RawFinancials!V140)</f>
        <v>13.8047190555651</v>
      </c>
      <c r="W140" s="0" t="n">
        <f aca="false">IF(ISBLANK(RawFinancials!W140),"",RawFinancials!W140)</f>
        <v>20220930</v>
      </c>
      <c r="X140" s="0" t="n">
        <f aca="false">IF(ISBLANK(RawFinancials!X140),"",RawFinancials!X140)</f>
        <v>0.100531837186714</v>
      </c>
      <c r="Y140" s="0" t="n">
        <f aca="false">IF(ISBLANK(RawFinancials!Y140),"",RawFinancials!Y140)</f>
        <v>1.41</v>
      </c>
      <c r="Z140" s="0" t="str">
        <f aca="false">IF(ISBLANK(RawFinancials!Z140),"",RawFinancials!Z140)</f>
        <v>ME</v>
      </c>
      <c r="AA140" s="0" t="n">
        <f aca="false">RawFinancials!AA140</f>
        <v>1</v>
      </c>
      <c r="AB140" s="0" t="n">
        <f aca="false">RawFinancials!AB140</f>
        <v>387</v>
      </c>
      <c r="AC140" s="0" t="n">
        <f aca="false">RawFinancials!AC140</f>
        <v>0.391732124058628</v>
      </c>
      <c r="AD140" s="0" t="n">
        <f aca="false">IF(L140&gt;0,100*N140/L140,"")</f>
        <v>95.4240413923824</v>
      </c>
      <c r="AE140" s="0" t="n">
        <f aca="false">IF(B140&gt;0,100*F140/B140,"")</f>
        <v>5.80613814883796</v>
      </c>
      <c r="AF140" s="0" t="str">
        <f aca="false">RawFinancials!AE140</f>
        <v/>
      </c>
    </row>
    <row r="141" customFormat="false" ht="15" hidden="false" customHeight="false" outlineLevel="0" collapsed="false">
      <c r="A141" s="0" t="n">
        <f aca="false">IF(ISBLANK(RawFinancials!A141),"",RawFinancials!A141)</f>
        <v>141</v>
      </c>
      <c r="B141" s="0" t="n">
        <f aca="false">IF(ISBLANK(RawFinancials!B141),"",RawFinancials!B141)</f>
        <v>89339</v>
      </c>
      <c r="C141" s="0" t="n">
        <f aca="false">IF(ISBLANK(RawFinancials!C141),"",RawFinancials!C141)</f>
        <v>28369</v>
      </c>
      <c r="D141" s="0" t="n">
        <f aca="false">IF(ISBLANK(RawFinancials!D141),"",RawFinancials!D141)</f>
        <v>79460</v>
      </c>
      <c r="E141" s="0" t="n">
        <f aca="false">IF(ISBLANK(RawFinancials!E141),"",RawFinancials!E141)</f>
        <v>-0.03</v>
      </c>
      <c r="F141" s="0" t="n">
        <f aca="false">IF(ISBLANK(RawFinancials!F141),"",RawFinancials!F141)</f>
        <v>9472</v>
      </c>
      <c r="G141" s="0" t="n">
        <f aca="false">IF(ISBLANK(RawFinancials!G141),"",RawFinancials!G141)</f>
        <v>10.6023125398762</v>
      </c>
      <c r="H141" s="0" t="str">
        <f aca="false">IF(ISBLANK(RawFinancials!H141),"",RawFinancials!H141)</f>
        <v>28369_20220930</v>
      </c>
      <c r="I141" s="0" t="n">
        <f aca="false">IF(ISBLANK(RawFinancials!I141),"",RawFinancials!I141)</f>
        <v>0.724519033974621</v>
      </c>
      <c r="J141" s="0" t="n">
        <f aca="false">IF(ISBLANK(RawFinancials!J141),"",RawFinancials!J141)</f>
        <v>10475</v>
      </c>
      <c r="K141" s="0" t="n">
        <f aca="false">IF(ISBLANK(RawFinancials!K141),"",RawFinancials!K141)</f>
        <v>854</v>
      </c>
      <c r="L141" s="0" t="n">
        <f aca="false">IF(ISBLANK(RawFinancials!L141),"",RawFinancials!L141)</f>
        <v>73290</v>
      </c>
      <c r="M141" s="0" t="n">
        <f aca="false">IF(ISBLANK(RawFinancials!M141),"",RawFinancials!M141)</f>
        <v>72759</v>
      </c>
      <c r="N141" s="0" t="n">
        <f aca="false">IF(ISBLANK(RawFinancials!N141),"",RawFinancials!N141)</f>
        <v>61961</v>
      </c>
      <c r="O141" s="0" t="n">
        <f aca="false">IF(ISBLANK(RawFinancials!O141),"",RawFinancials!O141)</f>
        <v>377</v>
      </c>
      <c r="P141" s="0" t="str">
        <f aca="false">IF(ISBLANK(RawFinancials!P141),"",RawFinancials!P141)</f>
        <v>ROCKLAND SAVINGS BANK, FSB</v>
      </c>
      <c r="Q141" s="0" t="n">
        <f aca="false">IF(ISBLANK(RawFinancials!Q141),"",RawFinancials!Q141)</f>
        <v>0.514394869695729</v>
      </c>
      <c r="R141" s="0" t="n">
        <f aca="false">IF(ISBLANK(RawFinancials!R141),"",RawFinancials!R141)</f>
        <v>3.62027668619877</v>
      </c>
      <c r="S141" s="0" t="n">
        <f aca="false">IF(ISBLANK(RawFinancials!S141),"",RawFinancials!S141)</f>
        <v>-7</v>
      </c>
      <c r="T141" s="0" t="n">
        <f aca="false">IF(ISBLANK(RawFinancials!T141),"",RawFinancials!T141)</f>
        <v>68</v>
      </c>
      <c r="U141" s="0" t="n">
        <f aca="false">IF(ISBLANK(RawFinancials!U141),"",RawFinancials!U141)</f>
        <v>0</v>
      </c>
      <c r="V141" s="0" t="n">
        <f aca="false">IF(ISBLANK(RawFinancials!V141),"",RawFinancials!V141)</f>
        <v>0</v>
      </c>
      <c r="W141" s="0" t="n">
        <f aca="false">IF(ISBLANK(RawFinancials!W141),"",RawFinancials!W141)</f>
        <v>20220930</v>
      </c>
      <c r="X141" s="0" t="n">
        <f aca="false">IF(ISBLANK(RawFinancials!X141),"",RawFinancials!X141)</f>
        <v>0.180791114967063</v>
      </c>
      <c r="Y141" s="0" t="n">
        <f aca="false">IF(ISBLANK(RawFinancials!Y141),"",RawFinancials!Y141)</f>
        <v>1.68</v>
      </c>
      <c r="Z141" s="0" t="str">
        <f aca="false">IF(ISBLANK(RawFinancials!Z141),"",RawFinancials!Z141)</f>
        <v>ME</v>
      </c>
      <c r="AA141" s="0" t="n">
        <f aca="false">RawFinancials!AA141</f>
        <v>1</v>
      </c>
      <c r="AB141" s="0" t="n">
        <f aca="false">RawFinancials!AB141</f>
        <v>377</v>
      </c>
      <c r="AC141" s="0" t="n">
        <f aca="false">RawFinancials!AC141</f>
        <v>0.421988157467623</v>
      </c>
      <c r="AD141" s="0" t="n">
        <f aca="false">IF(L141&gt;0,100*N141/L141,"")</f>
        <v>84.5422294992496</v>
      </c>
      <c r="AE141" s="0" t="n">
        <f aca="false">IF(B141&gt;0,100*F141/B141,"")</f>
        <v>10.6023125398762</v>
      </c>
      <c r="AF141" s="0" t="str">
        <f aca="false">RawFinancials!AE141</f>
        <v>原始0：需核实适用/报告口径</v>
      </c>
    </row>
    <row r="142" customFormat="false" ht="15" hidden="false" customHeight="false" outlineLevel="0" collapsed="false">
      <c r="A142" s="0" t="n">
        <f aca="false">IF(ISBLANK(RawFinancials!A142),"",RawFinancials!A142)</f>
        <v>142</v>
      </c>
      <c r="B142" s="0" t="n">
        <f aca="false">IF(ISBLANK(RawFinancials!B142),"",RawFinancials!B142)</f>
        <v>308029</v>
      </c>
      <c r="C142" s="0" t="n">
        <f aca="false">IF(ISBLANK(RawFinancials!C142),"",RawFinancials!C142)</f>
        <v>28837</v>
      </c>
      <c r="D142" s="0" t="n">
        <f aca="false">IF(ISBLANK(RawFinancials!D142),"",RawFinancials!D142)</f>
        <v>282630</v>
      </c>
      <c r="E142" s="0" t="n">
        <f aca="false">IF(ISBLANK(RawFinancials!E142),"",RawFinancials!E142)</f>
        <v>0.06</v>
      </c>
      <c r="F142" s="0" t="n">
        <f aca="false">IF(ISBLANK(RawFinancials!F142),"",RawFinancials!F142)</f>
        <v>22847</v>
      </c>
      <c r="G142" s="0" t="n">
        <f aca="false">IF(ISBLANK(RawFinancials!G142),"",RawFinancials!G142)</f>
        <v>7.41715877401154</v>
      </c>
      <c r="H142" s="0" t="str">
        <f aca="false">IF(ISBLANK(RawFinancials!H142),"",RawFinancials!H142)</f>
        <v>28837_20220930</v>
      </c>
      <c r="I142" s="0" t="n">
        <f aca="false">IF(ISBLANK(RawFinancials!I142),"",RawFinancials!I142)</f>
        <v>1.21743249644718</v>
      </c>
      <c r="J142" s="0" t="n">
        <f aca="false">IF(ISBLANK(RawFinancials!J142),"",RawFinancials!J142)</f>
        <v>6504</v>
      </c>
      <c r="K142" s="0" t="n">
        <f aca="false">IF(ISBLANK(RawFinancials!K142),"",RawFinancials!K142)</f>
        <v>1852</v>
      </c>
      <c r="L142" s="0" t="n">
        <f aca="false">IF(ISBLANK(RawFinancials!L142),"",RawFinancials!L142)</f>
        <v>189990</v>
      </c>
      <c r="M142" s="0" t="n">
        <f aca="false">IF(ISBLANK(RawFinancials!M142),"",RawFinancials!M142)</f>
        <v>187677</v>
      </c>
      <c r="N142" s="0" t="n">
        <f aca="false">IF(ISBLANK(RawFinancials!N142),"",RawFinancials!N142)</f>
        <v>180618</v>
      </c>
      <c r="O142" s="0" t="n">
        <f aca="false">IF(ISBLANK(RawFinancials!O142),"",RawFinancials!O142)</f>
        <v>240</v>
      </c>
      <c r="P142" s="0" t="str">
        <f aca="false">IF(ISBLANK(RawFinancials!P142),"",RawFinancials!P142)</f>
        <v>THE BRATTLEBORO SAVINGS AND LOAN ASSOCIATION</v>
      </c>
      <c r="Q142" s="0" t="n">
        <f aca="false">IF(ISBLANK(RawFinancials!Q142),"",RawFinancials!Q142)</f>
        <v>0.126322438023054</v>
      </c>
      <c r="R142" s="0" t="n">
        <f aca="false">IF(ISBLANK(RawFinancials!R142),"",RawFinancials!R142)</f>
        <v>2.81999663466663</v>
      </c>
      <c r="S142" s="0" t="n">
        <f aca="false">IF(ISBLANK(RawFinancials!S142),"",RawFinancials!S142)</f>
        <v>132</v>
      </c>
      <c r="T142" s="0" t="n">
        <f aca="false">IF(ISBLANK(RawFinancials!T142),"",RawFinancials!T142)</f>
        <v>105</v>
      </c>
      <c r="U142" s="0" t="n">
        <f aca="false">IF(ISBLANK(RawFinancials!U142),"",RawFinancials!U142)</f>
        <v>0</v>
      </c>
      <c r="V142" s="0" t="n">
        <f aca="false">IF(ISBLANK(RawFinancials!V142),"",RawFinancials!V142)</f>
        <v>15.1026996647475</v>
      </c>
      <c r="W142" s="0" t="n">
        <f aca="false">IF(ISBLANK(RawFinancials!W142),"",RawFinancials!W142)</f>
        <v>20220930</v>
      </c>
      <c r="X142" s="0" t="n">
        <f aca="false">IF(ISBLANK(RawFinancials!X142),"",RawFinancials!X142)</f>
        <v>0.481132029976162</v>
      </c>
      <c r="Y142" s="0" t="n">
        <f aca="false">IF(ISBLANK(RawFinancials!Y142),"",RawFinancials!Y142)</f>
        <v>6.48</v>
      </c>
      <c r="Z142" s="0" t="str">
        <f aca="false">IF(ISBLANK(RawFinancials!Z142),"",RawFinancials!Z142)</f>
        <v>VT</v>
      </c>
      <c r="AA142" s="0" t="n">
        <f aca="false">RawFinancials!AA142</f>
        <v>1</v>
      </c>
      <c r="AB142" s="0" t="n">
        <f aca="false">RawFinancials!AB142</f>
        <v>240</v>
      </c>
      <c r="AC142" s="0" t="n">
        <f aca="false">RawFinancials!AC142</f>
        <v>0.0779147417937921</v>
      </c>
      <c r="AD142" s="0" t="n">
        <f aca="false">IF(L142&gt;0,100*N142/L142,"")</f>
        <v>95.0671087951998</v>
      </c>
      <c r="AE142" s="0" t="n">
        <f aca="false">IF(B142&gt;0,100*F142/B142,"")</f>
        <v>7.41715877401154</v>
      </c>
      <c r="AF142" s="0" t="str">
        <f aca="false">RawFinancials!AE142</f>
        <v/>
      </c>
    </row>
    <row r="143" customFormat="false" ht="15" hidden="false" customHeight="false" outlineLevel="0" collapsed="false">
      <c r="A143" s="0" t="n">
        <f aca="false">IF(ISBLANK(RawFinancials!A143),"",RawFinancials!A143)</f>
        <v>143</v>
      </c>
      <c r="B143" s="0" t="n">
        <f aca="false">IF(ISBLANK(RawFinancials!B143),"",RawFinancials!B143)</f>
        <v>180105</v>
      </c>
      <c r="C143" s="0" t="n">
        <f aca="false">IF(ISBLANK(RawFinancials!C143),"",RawFinancials!C143)</f>
        <v>29636</v>
      </c>
      <c r="D143" s="0" t="n">
        <f aca="false">IF(ISBLANK(RawFinancials!D143),"",RawFinancials!D143)</f>
        <v>155107</v>
      </c>
      <c r="E143" s="0" t="n">
        <f aca="false">IF(ISBLANK(RawFinancials!E143),"",RawFinancials!E143)</f>
        <v>0.05</v>
      </c>
      <c r="F143" s="0" t="n">
        <f aca="false">IF(ISBLANK(RawFinancials!F143),"",RawFinancials!F143)</f>
        <v>23599</v>
      </c>
      <c r="G143" s="0" t="n">
        <f aca="false">IF(ISBLANK(RawFinancials!G143),"",RawFinancials!G143)</f>
        <v>13.1029121901113</v>
      </c>
      <c r="H143" s="0" t="str">
        <f aca="false">IF(ISBLANK(RawFinancials!H143),"",RawFinancials!H143)</f>
        <v>29636_20220930</v>
      </c>
      <c r="I143" s="0" t="n">
        <f aca="false">IF(ISBLANK(RawFinancials!I143),"",RawFinancials!I143)</f>
        <v>1.4735219829616</v>
      </c>
      <c r="J143" s="0" t="n">
        <f aca="false">IF(ISBLANK(RawFinancials!J143),"",RawFinancials!J143)</f>
        <v>1340</v>
      </c>
      <c r="K143" s="0" t="n">
        <f aca="false">IF(ISBLANK(RawFinancials!K143),"",RawFinancials!K143)</f>
        <v>1958</v>
      </c>
      <c r="L143" s="0" t="n">
        <f aca="false">IF(ISBLANK(RawFinancials!L143),"",RawFinancials!L143)</f>
        <v>116795</v>
      </c>
      <c r="M143" s="0" t="n">
        <f aca="false">IF(ISBLANK(RawFinancials!M143),"",RawFinancials!M143)</f>
        <v>115074</v>
      </c>
      <c r="N143" s="0" t="n">
        <f aca="false">IF(ISBLANK(RawFinancials!N143),"",RawFinancials!N143)</f>
        <v>113497</v>
      </c>
      <c r="O143" s="0" t="n">
        <f aca="false">IF(ISBLANK(RawFinancials!O143),"",RawFinancials!O143)</f>
        <v>2099</v>
      </c>
      <c r="P143" s="0" t="str">
        <f aca="false">IF(ISBLANK(RawFinancials!P143),"",RawFinancials!P143)</f>
        <v>FIRST FEDERAL SAVINGS AND LOAN ASSOCIATION OF BATH</v>
      </c>
      <c r="Q143" s="0" t="n">
        <f aca="false">IF(ISBLANK(RawFinancials!Q143),"",RawFinancials!Q143)</f>
        <v>1.79716597457083</v>
      </c>
      <c r="R143" s="0" t="n">
        <f aca="false">IF(ISBLANK(RawFinancials!R143),"",RawFinancials!R143)</f>
        <v>3.25257717128124</v>
      </c>
      <c r="S143" s="0" t="n">
        <f aca="false">IF(ISBLANK(RawFinancials!S143),"",RawFinancials!S143)</f>
        <v>-4</v>
      </c>
      <c r="T143" s="0" t="n">
        <f aca="false">IF(ISBLANK(RawFinancials!T143),"",RawFinancials!T143)</f>
        <v>1876</v>
      </c>
      <c r="U143" s="0" t="n">
        <f aca="false">IF(ISBLANK(RawFinancials!U143),"",RawFinancials!U143)</f>
        <v>0</v>
      </c>
      <c r="V143" s="0" t="n">
        <f aca="false">IF(ISBLANK(RawFinancials!V143),"",RawFinancials!V143)</f>
        <v>31.34737779275</v>
      </c>
      <c r="W143" s="0" t="n">
        <f aca="false">IF(ISBLANK(RawFinancials!W143),"",RawFinancials!W143)</f>
        <v>20220930</v>
      </c>
      <c r="X143" s="0" t="n">
        <f aca="false">IF(ISBLANK(RawFinancials!X143),"",RawFinancials!X143)</f>
        <v>0.276723128820604</v>
      </c>
      <c r="Y143" s="0" t="n">
        <f aca="false">IF(ISBLANK(RawFinancials!Y143),"",RawFinancials!Y143)</f>
        <v>2.08</v>
      </c>
      <c r="Z143" s="0" t="str">
        <f aca="false">IF(ISBLANK(RawFinancials!Z143),"",RawFinancials!Z143)</f>
        <v>ME</v>
      </c>
      <c r="AA143" s="0" t="n">
        <f aca="false">RawFinancials!AA143</f>
        <v>1</v>
      </c>
      <c r="AB143" s="0" t="n">
        <f aca="false">RawFinancials!AB143</f>
        <v>2099</v>
      </c>
      <c r="AC143" s="0" t="n">
        <f aca="false">RawFinancials!AC143</f>
        <v>1.16543127619999</v>
      </c>
      <c r="AD143" s="0" t="n">
        <f aca="false">IF(L143&gt;0,100*N143/L143,"")</f>
        <v>97.1762489832613</v>
      </c>
      <c r="AE143" s="0" t="n">
        <f aca="false">IF(B143&gt;0,100*F143/B143,"")</f>
        <v>13.1029121901113</v>
      </c>
      <c r="AF143" s="0" t="str">
        <f aca="false">RawFinancials!AE143</f>
        <v/>
      </c>
    </row>
    <row r="144" customFormat="false" ht="15" hidden="false" customHeight="false" outlineLevel="0" collapsed="false">
      <c r="A144" s="0" t="n">
        <f aca="false">IF(ISBLANK(RawFinancials!A144),"",RawFinancials!A144)</f>
        <v>144</v>
      </c>
      <c r="B144" s="0" t="n">
        <f aca="false">IF(ISBLANK(RawFinancials!B144),"",RawFinancials!B144)</f>
        <v>179520</v>
      </c>
      <c r="C144" s="0" t="n">
        <f aca="false">IF(ISBLANK(RawFinancials!C144),"",RawFinancials!C144)</f>
        <v>29743</v>
      </c>
      <c r="D144" s="0" t="n">
        <f aca="false">IF(ISBLANK(RawFinancials!D144),"",RawFinancials!D144)</f>
        <v>163392</v>
      </c>
      <c r="E144" s="0" t="n">
        <f aca="false">IF(ISBLANK(RawFinancials!E144),"",RawFinancials!E144)</f>
        <v>0</v>
      </c>
      <c r="F144" s="0" t="n">
        <f aca="false">IF(ISBLANK(RawFinancials!F144),"",RawFinancials!F144)</f>
        <v>13788</v>
      </c>
      <c r="G144" s="0" t="n">
        <f aca="false">IF(ISBLANK(RawFinancials!G144),"",RawFinancials!G144)</f>
        <v>7.68048128342246</v>
      </c>
      <c r="H144" s="0" t="str">
        <f aca="false">IF(ISBLANK(RawFinancials!H144),"",RawFinancials!H144)</f>
        <v>29743_20220930</v>
      </c>
      <c r="I144" s="0" t="n">
        <f aca="false">IF(ISBLANK(RawFinancials!I144),"",RawFinancials!I144)</f>
        <v>0.328656921416658</v>
      </c>
      <c r="J144" s="0" t="n">
        <f aca="false">IF(ISBLANK(RawFinancials!J144),"",RawFinancials!J144)</f>
        <v>22426</v>
      </c>
      <c r="K144" s="0" t="n">
        <f aca="false">IF(ISBLANK(RawFinancials!K144),"",RawFinancials!K144)</f>
        <v>19352</v>
      </c>
      <c r="L144" s="0" t="n">
        <f aca="false">IF(ISBLANK(RawFinancials!L144),"",RawFinancials!L144)</f>
        <v>122316</v>
      </c>
      <c r="M144" s="0" t="n">
        <f aca="false">IF(ISBLANK(RawFinancials!M144),"",RawFinancials!M144)</f>
        <v>121914</v>
      </c>
      <c r="N144" s="0" t="n">
        <f aca="false">IF(ISBLANK(RawFinancials!N144),"",RawFinancials!N144)</f>
        <v>80448</v>
      </c>
      <c r="O144" s="0" t="n">
        <f aca="false">IF(ISBLANK(RawFinancials!O144),"",RawFinancials!O144)</f>
        <v>502</v>
      </c>
      <c r="P144" s="0" t="str">
        <f aca="false">IF(ISBLANK(RawFinancials!P144),"",RawFinancials!P144)</f>
        <v>AROOSTOOK COUNTY FEDERAL SAVINGS AND LOAN ASSOCIATION</v>
      </c>
      <c r="Q144" s="0" t="n">
        <f aca="false">IF(ISBLANK(RawFinancials!Q144),"",RawFinancials!Q144)</f>
        <v>0.410412374505379</v>
      </c>
      <c r="R144" s="0" t="n">
        <f aca="false">IF(ISBLANK(RawFinancials!R144),"",RawFinancials!R144)</f>
        <v>2.63766137629584</v>
      </c>
      <c r="S144" s="0" t="n">
        <f aca="false">IF(ISBLANK(RawFinancials!S144),"",RawFinancials!S144)</f>
        <v>128</v>
      </c>
      <c r="T144" s="0" t="n">
        <f aca="false">IF(ISBLANK(RawFinancials!T144),"",RawFinancials!T144)</f>
        <v>493</v>
      </c>
      <c r="U144" s="0" t="n">
        <f aca="false">IF(ISBLANK(RawFinancials!U144),"",RawFinancials!U144)</f>
        <v>0</v>
      </c>
      <c r="V144" s="0" t="n">
        <f aca="false">IF(ISBLANK(RawFinancials!V144),"",RawFinancials!V144)</f>
        <v>17.5319100223227</v>
      </c>
      <c r="W144" s="0" t="n">
        <f aca="false">IF(ISBLANK(RawFinancials!W144),"",RawFinancials!W144)</f>
        <v>20220930</v>
      </c>
      <c r="X144" s="0" t="n">
        <f aca="false">IF(ISBLANK(RawFinancials!X144),"",RawFinancials!X144)</f>
        <v>0.779559617122413</v>
      </c>
      <c r="Y144" s="0" t="n">
        <f aca="false">IF(ISBLANK(RawFinancials!Y144),"",RawFinancials!Y144)</f>
        <v>9.07</v>
      </c>
      <c r="Z144" s="0" t="str">
        <f aca="false">IF(ISBLANK(RawFinancials!Z144),"",RawFinancials!Z144)</f>
        <v>ME</v>
      </c>
      <c r="AA144" s="0" t="n">
        <f aca="false">RawFinancials!AA144</f>
        <v>1</v>
      </c>
      <c r="AB144" s="0" t="n">
        <f aca="false">RawFinancials!AB144</f>
        <v>502</v>
      </c>
      <c r="AC144" s="0" t="n">
        <f aca="false">RawFinancials!AC144</f>
        <v>0.279634581105169</v>
      </c>
      <c r="AD144" s="0" t="n">
        <f aca="false">IF(L144&gt;0,100*N144/L144,"")</f>
        <v>65.7706269008143</v>
      </c>
      <c r="AE144" s="0" t="n">
        <f aca="false">IF(B144&gt;0,100*F144/B144,"")</f>
        <v>7.68048128342246</v>
      </c>
      <c r="AF144" s="0" t="str">
        <f aca="false">RawFinancials!AE144</f>
        <v/>
      </c>
    </row>
    <row r="145" customFormat="false" ht="15" hidden="false" customHeight="false" outlineLevel="0" collapsed="false">
      <c r="A145" s="0" t="n">
        <f aca="false">IF(ISBLANK(RawFinancials!A145),"",RawFinancials!A145)</f>
        <v>145</v>
      </c>
      <c r="B145" s="0" t="n">
        <f aca="false">IF(ISBLANK(RawFinancials!B145),"",RawFinancials!B145)</f>
        <v>523655</v>
      </c>
      <c r="C145" s="0" t="n">
        <f aca="false">IF(ISBLANK(RawFinancials!C145),"",RawFinancials!C145)</f>
        <v>29744</v>
      </c>
      <c r="D145" s="0" t="n">
        <f aca="false">IF(ISBLANK(RawFinancials!D145),"",RawFinancials!D145)</f>
        <v>398937</v>
      </c>
      <c r="E145" s="0" t="n">
        <f aca="false">IF(ISBLANK(RawFinancials!E145),"",RawFinancials!E145)</f>
        <v>0</v>
      </c>
      <c r="F145" s="0" t="n">
        <f aca="false">IF(ISBLANK(RawFinancials!F145),"",RawFinancials!F145)</f>
        <v>38532</v>
      </c>
      <c r="G145" s="0" t="n">
        <f aca="false">IF(ISBLANK(RawFinancials!G145),"",RawFinancials!G145)</f>
        <v>7.35827978344521</v>
      </c>
      <c r="H145" s="0" t="str">
        <f aca="false">IF(ISBLANK(RawFinancials!H145),"",RawFinancials!H145)</f>
        <v>29744_20220930</v>
      </c>
      <c r="I145" s="0" t="n">
        <f aca="false">IF(ISBLANK(RawFinancials!I145),"",RawFinancials!I145)</f>
        <v>0.906609598830312</v>
      </c>
      <c r="J145" s="0" t="n">
        <f aca="false">IF(ISBLANK(RawFinancials!J145),"",RawFinancials!J145)</f>
        <v>25090</v>
      </c>
      <c r="K145" s="0" t="n">
        <f aca="false">IF(ISBLANK(RawFinancials!K145),"",RawFinancials!K145)</f>
        <v>7352</v>
      </c>
      <c r="L145" s="0" t="n">
        <f aca="false">IF(ISBLANK(RawFinancials!L145),"",RawFinancials!L145)</f>
        <v>395319</v>
      </c>
      <c r="M145" s="0" t="n">
        <f aca="false">IF(ISBLANK(RawFinancials!M145),"",RawFinancials!M145)</f>
        <v>391735</v>
      </c>
      <c r="N145" s="0" t="n">
        <f aca="false">IF(ISBLANK(RawFinancials!N145),"",RawFinancials!N145)</f>
        <v>362877</v>
      </c>
      <c r="O145" s="0" t="n">
        <f aca="false">IF(ISBLANK(RawFinancials!O145),"",RawFinancials!O145)</f>
        <v>5</v>
      </c>
      <c r="P145" s="0" t="str">
        <f aca="false">IF(ISBLANK(RawFinancials!P145),"",RawFinancials!P145)</f>
        <v>FIRST SEACOAST BANK</v>
      </c>
      <c r="Q145" s="0" t="n">
        <f aca="false">IF(ISBLANK(RawFinancials!Q145),"",RawFinancials!Q145)</f>
        <v>0.0012648013376538</v>
      </c>
      <c r="R145" s="0" t="n">
        <f aca="false">IF(ISBLANK(RawFinancials!R145),"",RawFinancials!R145)</f>
        <v>3.15459338694802</v>
      </c>
      <c r="S145" s="0" t="n">
        <f aca="false">IF(ISBLANK(RawFinancials!S145),"",RawFinancials!S145)</f>
        <v>6</v>
      </c>
      <c r="T145" s="0" t="n">
        <f aca="false">IF(ISBLANK(RawFinancials!T145),"",RawFinancials!T145)</f>
        <v>280</v>
      </c>
      <c r="U145" s="0" t="n">
        <f aca="false">IF(ISBLANK(RawFinancials!U145),"",RawFinancials!U145)</f>
        <v>0</v>
      </c>
      <c r="V145" s="0" t="n">
        <f aca="false">IF(ISBLANK(RawFinancials!V145),"",RawFinancials!V145)</f>
        <v>16.3715315758086</v>
      </c>
      <c r="W145" s="0" t="n">
        <f aca="false">IF(ISBLANK(RawFinancials!W145),"",RawFinancials!W145)</f>
        <v>20220930</v>
      </c>
      <c r="X145" s="0" t="n">
        <f aca="false">IF(ISBLANK(RawFinancials!X145),"",RawFinancials!X145)</f>
        <v>0.291575019444318</v>
      </c>
      <c r="Y145" s="0" t="n">
        <f aca="false">IF(ISBLANK(RawFinancials!Y145),"",RawFinancials!Y145)</f>
        <v>3.31</v>
      </c>
      <c r="Z145" s="0" t="str">
        <f aca="false">IF(ISBLANK(RawFinancials!Z145),"",RawFinancials!Z145)</f>
        <v>NH</v>
      </c>
      <c r="AA145" s="0" t="n">
        <f aca="false">RawFinancials!AA145</f>
        <v>1</v>
      </c>
      <c r="AB145" s="0" t="n">
        <f aca="false">RawFinancials!AB145</f>
        <v>5</v>
      </c>
      <c r="AC145" s="0" t="n">
        <f aca="false">RawFinancials!AC145</f>
        <v>0.000954827128548376</v>
      </c>
      <c r="AD145" s="0" t="n">
        <f aca="false">IF(L145&gt;0,100*N145/L145,"")</f>
        <v>91.7934630007665</v>
      </c>
      <c r="AE145" s="0" t="n">
        <f aca="false">IF(B145&gt;0,100*F145/B145,"")</f>
        <v>7.35827978344521</v>
      </c>
      <c r="AF145" s="0" t="str">
        <f aca="false">RawFinancials!AE145</f>
        <v/>
      </c>
    </row>
    <row r="146" customFormat="false" ht="15" hidden="false" customHeight="false" outlineLevel="0" collapsed="false">
      <c r="A146" s="0" t="n">
        <f aca="false">IF(ISBLANK(RawFinancials!A146),"",RawFinancials!A146)</f>
        <v>146</v>
      </c>
      <c r="B146" s="0" t="n">
        <f aca="false">IF(ISBLANK(RawFinancials!B146),"",RawFinancials!B146)</f>
        <v>541685</v>
      </c>
      <c r="C146" s="0" t="n">
        <f aca="false">IF(ISBLANK(RawFinancials!C146),"",RawFinancials!C146)</f>
        <v>30350</v>
      </c>
      <c r="D146" s="0" t="n">
        <f aca="false">IF(ISBLANK(RawFinancials!D146),"",RawFinancials!D146)</f>
        <v>473333</v>
      </c>
      <c r="E146" s="0" t="n">
        <f aca="false">IF(ISBLANK(RawFinancials!E146),"",RawFinancials!E146)</f>
        <v>0</v>
      </c>
      <c r="F146" s="0" t="n">
        <f aca="false">IF(ISBLANK(RawFinancials!F146),"",RawFinancials!F146)</f>
        <v>49256</v>
      </c>
      <c r="G146" s="0" t="n">
        <f aca="false">IF(ISBLANK(RawFinancials!G146),"",RawFinancials!G146)</f>
        <v>9.09310761789601</v>
      </c>
      <c r="H146" s="0" t="str">
        <f aca="false">IF(ISBLANK(RawFinancials!H146),"",RawFinancials!H146)</f>
        <v>30350_20220930</v>
      </c>
      <c r="I146" s="0" t="n">
        <f aca="false">IF(ISBLANK(RawFinancials!I146),"",RawFinancials!I146)</f>
        <v>1.34735050145652</v>
      </c>
      <c r="J146" s="0" t="n">
        <f aca="false">IF(ISBLANK(RawFinancials!J146),"",RawFinancials!J146)</f>
        <v>11326</v>
      </c>
      <c r="K146" s="0" t="n">
        <f aca="false">IF(ISBLANK(RawFinancials!K146),"",RawFinancials!K146)</f>
        <v>1056</v>
      </c>
      <c r="L146" s="0" t="n">
        <f aca="false">IF(ISBLANK(RawFinancials!L146),"",RawFinancials!L146)</f>
        <v>378298</v>
      </c>
      <c r="M146" s="0" t="n">
        <f aca="false">IF(ISBLANK(RawFinancials!M146),"",RawFinancials!M146)</f>
        <v>373201</v>
      </c>
      <c r="N146" s="0" t="n">
        <f aca="false">IF(ISBLANK(RawFinancials!N146),"",RawFinancials!N146)</f>
        <v>363012</v>
      </c>
      <c r="O146" s="0" t="n">
        <f aca="false">IF(ISBLANK(RawFinancials!O146),"",RawFinancials!O146)</f>
        <v>1989</v>
      </c>
      <c r="P146" s="0" t="str">
        <f aca="false">IF(ISBLANK(RawFinancials!P146),"",RawFinancials!P146)</f>
        <v>THE BANK OF BENNINGTON</v>
      </c>
      <c r="Q146" s="0" t="n">
        <f aca="false">IF(ISBLANK(RawFinancials!Q146),"",RawFinancials!Q146)</f>
        <v>0.525775975553664</v>
      </c>
      <c r="R146" s="0" t="n">
        <f aca="false">IF(ISBLANK(RawFinancials!R146),"",RawFinancials!R146)</f>
        <v>2.870390732848</v>
      </c>
      <c r="S146" s="0" t="n">
        <f aca="false">IF(ISBLANK(RawFinancials!S146),"",RawFinancials!S146)</f>
        <v>206</v>
      </c>
      <c r="T146" s="0" t="n">
        <f aca="false">IF(ISBLANK(RawFinancials!T146),"",RawFinancials!T146)</f>
        <v>720</v>
      </c>
      <c r="U146" s="0" t="n">
        <f aca="false">IF(ISBLANK(RawFinancials!U146),"",RawFinancials!U146)</f>
        <v>0</v>
      </c>
      <c r="V146" s="0" t="n">
        <f aca="false">IF(ISBLANK(RawFinancials!V146),"",RawFinancials!V146)</f>
        <v>21.2709183090001</v>
      </c>
      <c r="W146" s="0" t="n">
        <f aca="false">IF(ISBLANK(RawFinancials!W146),"",RawFinancials!W146)</f>
        <v>20220930</v>
      </c>
      <c r="X146" s="0" t="n">
        <f aca="false">IF(ISBLANK(RawFinancials!X146),"",RawFinancials!X146)</f>
        <v>0.649181741581514</v>
      </c>
      <c r="Y146" s="0" t="n">
        <f aca="false">IF(ISBLANK(RawFinancials!Y146),"",RawFinancials!Y146)</f>
        <v>6.88</v>
      </c>
      <c r="Z146" s="0" t="str">
        <f aca="false">IF(ISBLANK(RawFinancials!Z146),"",RawFinancials!Z146)</f>
        <v>VT</v>
      </c>
      <c r="AA146" s="0" t="n">
        <f aca="false">RawFinancials!AA146</f>
        <v>1</v>
      </c>
      <c r="AB146" s="0" t="n">
        <f aca="false">RawFinancials!AB146</f>
        <v>1989</v>
      </c>
      <c r="AC146" s="0" t="n">
        <f aca="false">RawFinancials!AC146</f>
        <v>0.367187572112944</v>
      </c>
      <c r="AD146" s="0" t="n">
        <f aca="false">IF(L146&gt;0,100*N146/L146,"")</f>
        <v>95.9592702049707</v>
      </c>
      <c r="AE146" s="0" t="n">
        <f aca="false">IF(B146&gt;0,100*F146/B146,"")</f>
        <v>9.09310761789601</v>
      </c>
      <c r="AF146" s="0" t="str">
        <f aca="false">RawFinancials!AE146</f>
        <v/>
      </c>
    </row>
    <row r="147" customFormat="false" ht="15" hidden="false" customHeight="false" outlineLevel="0" collapsed="false">
      <c r="A147" s="0" t="n">
        <f aca="false">IF(ISBLANK(RawFinancials!A147),"",RawFinancials!A147)</f>
        <v>147</v>
      </c>
      <c r="B147" s="0" t="n">
        <f aca="false">IF(ISBLANK(RawFinancials!B147),"",RawFinancials!B147)</f>
        <v>100514</v>
      </c>
      <c r="C147" s="0" t="n">
        <f aca="false">IF(ISBLANK(RawFinancials!C147),"",RawFinancials!C147)</f>
        <v>30878</v>
      </c>
      <c r="D147" s="0" t="n">
        <f aca="false">IF(ISBLANK(RawFinancials!D147),"",RawFinancials!D147)</f>
        <v>76264</v>
      </c>
      <c r="E147" s="0" t="n">
        <f aca="false">IF(ISBLANK(RawFinancials!E147),"",RawFinancials!E147)</f>
        <v>0.08</v>
      </c>
      <c r="F147" s="0" t="n">
        <f aca="false">IF(ISBLANK(RawFinancials!F147),"",RawFinancials!F147)</f>
        <v>12319</v>
      </c>
      <c r="G147" s="0" t="n">
        <f aca="false">IF(ISBLANK(RawFinancials!G147),"",RawFinancials!G147)</f>
        <v>12.2560041387269</v>
      </c>
      <c r="H147" s="0" t="str">
        <f aca="false">IF(ISBLANK(RawFinancials!H147),"",RawFinancials!H147)</f>
        <v>30878_20220930</v>
      </c>
      <c r="I147" s="0" t="n">
        <f aca="false">IF(ISBLANK(RawFinancials!I147),"",RawFinancials!I147)</f>
        <v>1.09130073704973</v>
      </c>
      <c r="J147" s="0" t="n">
        <f aca="false">IF(ISBLANK(RawFinancials!J147),"",RawFinancials!J147)</f>
        <v>0</v>
      </c>
      <c r="K147" s="0" t="n">
        <f aca="false">IF(ISBLANK(RawFinancials!K147),"",RawFinancials!K147)</f>
        <v>103</v>
      </c>
      <c r="L147" s="0" t="n">
        <f aca="false">IF(ISBLANK(RawFinancials!L147),"",RawFinancials!L147)</f>
        <v>77064</v>
      </c>
      <c r="M147" s="0" t="n">
        <f aca="false">IF(ISBLANK(RawFinancials!M147),"",RawFinancials!M147)</f>
        <v>76223</v>
      </c>
      <c r="N147" s="0" t="n">
        <f aca="false">IF(ISBLANK(RawFinancials!N147),"",RawFinancials!N147)</f>
        <v>76961</v>
      </c>
      <c r="O147" s="0" t="n">
        <f aca="false">IF(ISBLANK(RawFinancials!O147),"",RawFinancials!O147)</f>
        <v>589</v>
      </c>
      <c r="P147" s="0" t="str">
        <f aca="false">IF(ISBLANK(RawFinancials!P147),"",RawFinancials!P147)</f>
        <v>BAR HARBOR SAVINGS AND LOAN ASSOCIATION</v>
      </c>
      <c r="Q147" s="0" t="n">
        <f aca="false">IF(ISBLANK(RawFinancials!Q147),"",RawFinancials!Q147)</f>
        <v>0.764299802761341</v>
      </c>
      <c r="R147" s="0" t="n">
        <f aca="false">IF(ISBLANK(RawFinancials!R147),"",RawFinancials!R147)</f>
        <v>2.14957788304442</v>
      </c>
      <c r="S147" s="0" t="n">
        <f aca="false">IF(ISBLANK(RawFinancials!S147),"",RawFinancials!S147)</f>
        <v>0</v>
      </c>
      <c r="T147" s="0" t="n">
        <f aca="false">IF(ISBLANK(RawFinancials!T147),"",RawFinancials!T147)</f>
        <v>284</v>
      </c>
      <c r="U147" s="0" t="n">
        <f aca="false">IF(ISBLANK(RawFinancials!U147),"",RawFinancials!U147)</f>
        <v>0</v>
      </c>
      <c r="V147" s="0" t="n">
        <f aca="false">IF(ISBLANK(RawFinancials!V147),"",RawFinancials!V147)</f>
        <v>0</v>
      </c>
      <c r="W147" s="0" t="n">
        <f aca="false">IF(ISBLANK(RawFinancials!W147),"",RawFinancials!W147)</f>
        <v>20220930</v>
      </c>
      <c r="X147" s="0" t="n">
        <f aca="false">IF(ISBLANK(RawFinancials!X147),"",RawFinancials!X147)</f>
        <v>0.295597394237198</v>
      </c>
      <c r="Y147" s="0" t="n">
        <f aca="false">IF(ISBLANK(RawFinancials!Y147),"",RawFinancials!Y147)</f>
        <v>2.4</v>
      </c>
      <c r="Z147" s="0" t="str">
        <f aca="false">IF(ISBLANK(RawFinancials!Z147),"",RawFinancials!Z147)</f>
        <v>ME</v>
      </c>
      <c r="AA147" s="0" t="n">
        <f aca="false">RawFinancials!AA147</f>
        <v>1</v>
      </c>
      <c r="AB147" s="0" t="n">
        <f aca="false">RawFinancials!AB147</f>
        <v>589</v>
      </c>
      <c r="AC147" s="0" t="n">
        <f aca="false">RawFinancials!AC147</f>
        <v>0.585988021569135</v>
      </c>
      <c r="AD147" s="0" t="n">
        <f aca="false">IF(L147&gt;0,100*N147/L147,"")</f>
        <v>99.8663448562234</v>
      </c>
      <c r="AE147" s="0" t="n">
        <f aca="false">IF(B147&gt;0,100*F147/B147,"")</f>
        <v>12.2560041387269</v>
      </c>
      <c r="AF147" s="0" t="str">
        <f aca="false">RawFinancials!AE147</f>
        <v>原始0：需核实适用/报告口径</v>
      </c>
    </row>
    <row r="148" customFormat="false" ht="15" hidden="false" customHeight="false" outlineLevel="0" collapsed="false">
      <c r="A148" s="0" t="n">
        <f aca="false">IF(ISBLANK(RawFinancials!A148),"",RawFinancials!A148)</f>
        <v>148</v>
      </c>
      <c r="B148" s="0" t="n">
        <f aca="false">IF(ISBLANK(RawFinancials!B148),"",RawFinancials!B148)</f>
        <v>728017</v>
      </c>
      <c r="C148" s="0" t="n">
        <f aca="false">IF(ISBLANK(RawFinancials!C148),"",RawFinancials!C148)</f>
        <v>33418</v>
      </c>
      <c r="D148" s="0" t="n">
        <f aca="false">IF(ISBLANK(RawFinancials!D148),"",RawFinancials!D148)</f>
        <v>571364</v>
      </c>
      <c r="E148" s="0" t="n">
        <f aca="false">IF(ISBLANK(RawFinancials!E148),"",RawFinancials!E148)</f>
        <v>-0.13</v>
      </c>
      <c r="F148" s="0" t="n">
        <f aca="false">IF(ISBLANK(RawFinancials!F148),"",RawFinancials!F148)</f>
        <v>59731</v>
      </c>
      <c r="G148" s="0" t="n">
        <f aca="false">IF(ISBLANK(RawFinancials!G148),"",RawFinancials!G148)</f>
        <v>8.20461610099764</v>
      </c>
      <c r="H148" s="0" t="str">
        <f aca="false">IF(ISBLANK(RawFinancials!H148),"",RawFinancials!H148)</f>
        <v>33418_20220930</v>
      </c>
      <c r="I148" s="0" t="n">
        <f aca="false">IF(ISBLANK(RawFinancials!I148),"",RawFinancials!I148)</f>
        <v>1.90071587974578</v>
      </c>
      <c r="J148" s="0" t="n">
        <f aca="false">IF(ISBLANK(RawFinancials!J148),"",RawFinancials!J148)</f>
        <v>38891</v>
      </c>
      <c r="K148" s="0" t="n">
        <f aca="false">IF(ISBLANK(RawFinancials!K148),"",RawFinancials!K148)</f>
        <v>11836</v>
      </c>
      <c r="L148" s="0" t="n">
        <f aca="false">IF(ISBLANK(RawFinancials!L148),"",RawFinancials!L148)</f>
        <v>353551</v>
      </c>
      <c r="M148" s="0" t="n">
        <f aca="false">IF(ISBLANK(RawFinancials!M148),"",RawFinancials!M148)</f>
        <v>346831</v>
      </c>
      <c r="N148" s="0" t="n">
        <f aca="false">IF(ISBLANK(RawFinancials!N148),"",RawFinancials!N148)</f>
        <v>302851</v>
      </c>
      <c r="O148" s="0" t="n">
        <f aca="false">IF(ISBLANK(RawFinancials!O148),"",RawFinancials!O148)</f>
        <v>3182</v>
      </c>
      <c r="P148" s="0" t="str">
        <f aca="false">IF(ISBLANK(RawFinancials!P148),"",RawFinancials!P148)</f>
        <v>LEDYARD NATIONAL BANK</v>
      </c>
      <c r="Q148" s="0" t="n">
        <f aca="false">IF(ISBLANK(RawFinancials!Q148),"",RawFinancials!Q148)</f>
        <v>0.900011596629624</v>
      </c>
      <c r="R148" s="0" t="n">
        <f aca="false">IF(ISBLANK(RawFinancials!R148),"",RawFinancials!R148)</f>
        <v>2.74288198149817</v>
      </c>
      <c r="S148" s="0" t="n">
        <f aca="false">IF(ISBLANK(RawFinancials!S148),"",RawFinancials!S148)</f>
        <v>-1</v>
      </c>
      <c r="T148" s="0" t="n">
        <f aca="false">IF(ISBLANK(RawFinancials!T148),"",RawFinancials!T148)</f>
        <v>192</v>
      </c>
      <c r="U148" s="0" t="n">
        <f aca="false">IF(ISBLANK(RawFinancials!U148),"",RawFinancials!U148)</f>
        <v>0</v>
      </c>
      <c r="V148" s="0" t="n">
        <f aca="false">IF(ISBLANK(RawFinancials!V148),"",RawFinancials!V148)</f>
        <v>18.9996701825354</v>
      </c>
      <c r="W148" s="0" t="n">
        <f aca="false">IF(ISBLANK(RawFinancials!W148),"",RawFinancials!W148)</f>
        <v>20220930</v>
      </c>
      <c r="X148" s="0" t="n">
        <f aca="false">IF(ISBLANK(RawFinancials!X148),"",RawFinancials!X148)</f>
        <v>1.19732263126932</v>
      </c>
      <c r="Y148" s="0" t="n">
        <f aca="false">IF(ISBLANK(RawFinancials!Y148),"",RawFinancials!Y148)</f>
        <v>14.95</v>
      </c>
      <c r="Z148" s="0" t="str">
        <f aca="false">IF(ISBLANK(RawFinancials!Z148),"",RawFinancials!Z148)</f>
        <v>VT</v>
      </c>
      <c r="AA148" s="0" t="n">
        <f aca="false">RawFinancials!AA148</f>
        <v>1</v>
      </c>
      <c r="AB148" s="0" t="n">
        <f aca="false">RawFinancials!AB148</f>
        <v>3182</v>
      </c>
      <c r="AC148" s="0" t="n">
        <f aca="false">RawFinancials!AC148</f>
        <v>0.437077705603029</v>
      </c>
      <c r="AD148" s="0" t="n">
        <f aca="false">IF(L148&gt;0,100*N148/L148,"")</f>
        <v>85.659777514418</v>
      </c>
      <c r="AE148" s="0" t="n">
        <f aca="false">IF(B148&gt;0,100*F148/B148,"")</f>
        <v>8.20461610099764</v>
      </c>
      <c r="AF148" s="0" t="str">
        <f aca="false">RawFinancials!AE148</f>
        <v/>
      </c>
    </row>
    <row r="149" customFormat="false" ht="15" hidden="false" customHeight="false" outlineLevel="0" collapsed="false">
      <c r="A149" s="0" t="n">
        <f aca="false">IF(ISBLANK(RawFinancials!A149),"",RawFinancials!A149)</f>
        <v>149</v>
      </c>
      <c r="B149" s="0" t="n">
        <f aca="false">IF(ISBLANK(RawFinancials!B149),"",RawFinancials!B149)</f>
        <v>60178</v>
      </c>
      <c r="C149" s="0" t="n">
        <f aca="false">IF(ISBLANK(RawFinancials!C149),"",RawFinancials!C149)</f>
        <v>35206</v>
      </c>
      <c r="D149" s="0" t="n">
        <f aca="false">IF(ISBLANK(RawFinancials!D149),"",RawFinancials!D149)</f>
        <v>500</v>
      </c>
      <c r="E149" s="0" t="n">
        <f aca="false">IF(ISBLANK(RawFinancials!E149),"",RawFinancials!E149)</f>
        <v>0</v>
      </c>
      <c r="F149" s="0" t="n">
        <f aca="false">IF(ISBLANK(RawFinancials!F149),"",RawFinancials!F149)</f>
        <v>57817</v>
      </c>
      <c r="G149" s="0" t="n">
        <f aca="false">IF(ISBLANK(RawFinancials!G149),"",RawFinancials!G149)</f>
        <v>96.0766393033999</v>
      </c>
      <c r="H149" s="0" t="str">
        <f aca="false">IF(ISBLANK(RawFinancials!H149),"",RawFinancials!H149)</f>
        <v>35206_20220930</v>
      </c>
      <c r="I149" s="0" t="n">
        <f aca="false">IF(ISBLANK(RawFinancials!I149),"",RawFinancials!I149)</f>
        <v>0</v>
      </c>
      <c r="J149" s="0" t="n">
        <f aca="false">IF(ISBLANK(RawFinancials!J149),"",RawFinancials!J149)</f>
        <v>0</v>
      </c>
      <c r="K149" s="0" t="n">
        <f aca="false">IF(ISBLANK(RawFinancials!K149),"",RawFinancials!K149)</f>
        <v>0</v>
      </c>
      <c r="L149" s="0" t="n">
        <f aca="false">IF(ISBLANK(RawFinancials!L149),"",RawFinancials!L149)</f>
        <v>0</v>
      </c>
      <c r="M149" s="0" t="n">
        <f aca="false">IF(ISBLANK(RawFinancials!M149),"",RawFinancials!M149)</f>
        <v>0</v>
      </c>
      <c r="N149" s="0" t="n">
        <f aca="false">IF(ISBLANK(RawFinancials!N149),"",RawFinancials!N149)</f>
        <v>0</v>
      </c>
      <c r="O149" s="0" t="n">
        <f aca="false">IF(ISBLANK(RawFinancials!O149),"",RawFinancials!O149)</f>
        <v>0</v>
      </c>
      <c r="P149" s="0" t="str">
        <f aca="false">IF(ISBLANK(RawFinancials!P149),"",RawFinancials!P149)</f>
        <v>FIDELITY PERSONAL TRUST COMPANY, FSB</v>
      </c>
      <c r="Q149" s="0" t="n">
        <f aca="false">IF(ISBLANK(RawFinancials!Q149),"",RawFinancials!Q149)</f>
        <v>0</v>
      </c>
      <c r="R149" s="0" t="n">
        <f aca="false">IF(ISBLANK(RawFinancials!R149),"",RawFinancials!R149)</f>
        <v>3.62402262771205</v>
      </c>
      <c r="S149" s="0" t="n">
        <f aca="false">IF(ISBLANK(RawFinancials!S149),"",RawFinancials!S149)</f>
        <v>0</v>
      </c>
      <c r="T149" s="0" t="n">
        <f aca="false">IF(ISBLANK(RawFinancials!T149),"",RawFinancials!T149)</f>
        <v>0</v>
      </c>
      <c r="U149" s="0" t="n">
        <f aca="false">IF(ISBLANK(RawFinancials!U149),"",RawFinancials!U149)</f>
        <v>0</v>
      </c>
      <c r="V149" s="0" t="n">
        <f aca="false">IF(ISBLANK(RawFinancials!V149),"",RawFinancials!V149)</f>
        <v>0</v>
      </c>
      <c r="W149" s="0" t="n">
        <f aca="false">IF(ISBLANK(RawFinancials!W149),"",RawFinancials!W149)</f>
        <v>20220930</v>
      </c>
      <c r="X149" s="0" t="n">
        <f aca="false">IF(ISBLANK(RawFinancials!X149),"",RawFinancials!X149)</f>
        <v>2.23680494034471</v>
      </c>
      <c r="Y149" s="0" t="n">
        <f aca="false">IF(ISBLANK(RawFinancials!Y149),"",RawFinancials!Y149)</f>
        <v>2.49</v>
      </c>
      <c r="Z149" s="0" t="str">
        <f aca="false">IF(ISBLANK(RawFinancials!Z149),"",RawFinancials!Z149)</f>
        <v>NH</v>
      </c>
      <c r="AA149" s="0" t="n">
        <f aca="false">RawFinancials!AA149</f>
        <v>1</v>
      </c>
      <c r="AB149" s="0" t="n">
        <f aca="false">RawFinancials!AB149</f>
        <v>0</v>
      </c>
      <c r="AC149" s="0" t="n">
        <f aca="false">RawFinancials!AC149</f>
        <v>0</v>
      </c>
      <c r="AD149" s="0" t="str">
        <f aca="false">IF(L149&gt;0,100*N149/L149,"")</f>
        <v/>
      </c>
      <c r="AE149" s="0" t="n">
        <f aca="false">IF(B149&gt;0,100*F149/B149,"")</f>
        <v>96.0766393033999</v>
      </c>
      <c r="AF149" s="0" t="str">
        <f aca="false">RawFinancials!AE149</f>
        <v>原始0：需核实适用/报告口径</v>
      </c>
    </row>
    <row r="150" customFormat="false" ht="15" hidden="false" customHeight="false" outlineLevel="0" collapsed="false">
      <c r="A150" s="0" t="n">
        <f aca="false">IF(ISBLANK(RawFinancials!A150),"",RawFinancials!A150)</f>
        <v>150</v>
      </c>
      <c r="B150" s="0" t="n">
        <f aca="false">IF(ISBLANK(RawFinancials!B150),"",RawFinancials!B150)</f>
        <v>5539983</v>
      </c>
      <c r="C150" s="0" t="n">
        <f aca="false">IF(ISBLANK(RawFinancials!C150),"",RawFinancials!C150)</f>
        <v>4255</v>
      </c>
      <c r="D150" s="0" t="n">
        <f aca="false">IF(ISBLANK(RawFinancials!D150),"",RawFinancials!D150)</f>
        <v>4604972</v>
      </c>
      <c r="E150" s="0" t="n">
        <f aca="false">IF(ISBLANK(RawFinancials!E150),"",RawFinancials!E150)</f>
        <v>0.1</v>
      </c>
      <c r="F150" s="0" t="n">
        <f aca="false">IF(ISBLANK(RawFinancials!F150),"",RawFinancials!F150)</f>
        <v>444488</v>
      </c>
      <c r="G150" s="0" t="n">
        <f aca="false">IF(ISBLANK(RawFinancials!G150),"",RawFinancials!G150)</f>
        <v>8.02327371762693</v>
      </c>
      <c r="H150" s="0" t="str">
        <f aca="false">IF(ISBLANK(RawFinancials!H150),"",RawFinancials!H150)</f>
        <v>4255_20220930</v>
      </c>
      <c r="I150" s="0" t="n">
        <f aca="false">IF(ISBLANK(RawFinancials!I150),"",RawFinancials!I150)</f>
        <v>0.945383667903394</v>
      </c>
      <c r="J150" s="0" t="n">
        <f aca="false">IF(ISBLANK(RawFinancials!J150),"",RawFinancials!J150)</f>
        <v>340321</v>
      </c>
      <c r="K150" s="0" t="n">
        <f aca="false">IF(ISBLANK(RawFinancials!K150),"",RawFinancials!K150)</f>
        <v>21084</v>
      </c>
      <c r="L150" s="0" t="n">
        <f aca="false">IF(ISBLANK(RawFinancials!L150),"",RawFinancials!L150)</f>
        <v>3865309</v>
      </c>
      <c r="M150" s="0" t="n">
        <f aca="false">IF(ISBLANK(RawFinancials!M150),"",RawFinancials!M150)</f>
        <v>3828767</v>
      </c>
      <c r="N150" s="0" t="n">
        <f aca="false">IF(ISBLANK(RawFinancials!N150),"",RawFinancials!N150)</f>
        <v>3453052</v>
      </c>
      <c r="O150" s="0" t="n">
        <f aca="false">IF(ISBLANK(RawFinancials!O150),"",RawFinancials!O150)</f>
        <v>2765</v>
      </c>
      <c r="P150" s="0" t="str">
        <f aca="false">IF(ISBLANK(RawFinancials!P150),"",RawFinancials!P150)</f>
        <v>THE CAMDEN NATIONAL BANK</v>
      </c>
      <c r="Q150" s="0" t="n">
        <f aca="false">IF(ISBLANK(RawFinancials!Q150),"",RawFinancials!Q150)</f>
        <v>0.0715337376649577</v>
      </c>
      <c r="R150" s="0" t="n">
        <f aca="false">IF(ISBLANK(RawFinancials!R150),"",RawFinancials!R150)</f>
        <v>2.96224785009783</v>
      </c>
      <c r="S150" s="0" t="n">
        <f aca="false">IF(ISBLANK(RawFinancials!S150),"",RawFinancials!S150)</f>
        <v>502</v>
      </c>
      <c r="T150" s="0" t="n">
        <f aca="false">IF(ISBLANK(RawFinancials!T150),"",RawFinancials!T150)</f>
        <v>4708</v>
      </c>
      <c r="U150" s="0" t="n">
        <f aca="false">IF(ISBLANK(RawFinancials!U150),"",RawFinancials!U150)</f>
        <v>0</v>
      </c>
      <c r="V150" s="0" t="n">
        <f aca="false">IF(ISBLANK(RawFinancials!V150),"",RawFinancials!V150)</f>
        <v>13.0703989197068</v>
      </c>
      <c r="W150" s="0" t="n">
        <f aca="false">IF(ISBLANK(RawFinancials!W150),"",RawFinancials!W150)</f>
        <v>20220930</v>
      </c>
      <c r="X150" s="0" t="n">
        <f aca="false">IF(ISBLANK(RawFinancials!X150),"",RawFinancials!X150)</f>
        <v>1.16771643069494</v>
      </c>
      <c r="Y150" s="0" t="n">
        <f aca="false">IF(ISBLANK(RawFinancials!Y150),"",RawFinancials!Y150)</f>
        <v>13.05</v>
      </c>
      <c r="Z150" s="0" t="str">
        <f aca="false">IF(ISBLANK(RawFinancials!Z150),"",RawFinancials!Z150)</f>
        <v>ME</v>
      </c>
      <c r="AA150" s="0" t="n">
        <f aca="false">RawFinancials!AA150</f>
        <v>1</v>
      </c>
      <c r="AB150" s="0" t="n">
        <f aca="false">RawFinancials!AB150</f>
        <v>2765</v>
      </c>
      <c r="AC150" s="0" t="n">
        <f aca="false">RawFinancials!AC150</f>
        <v>0.0499099004455429</v>
      </c>
      <c r="AD150" s="0" t="n">
        <f aca="false">IF(L150&gt;0,100*N150/L150,"")</f>
        <v>89.3344361343427</v>
      </c>
      <c r="AE150" s="0" t="n">
        <f aca="false">IF(B150&gt;0,100*F150/B150,"")</f>
        <v>8.02327371762693</v>
      </c>
      <c r="AF150" s="0" t="str">
        <f aca="false">RawFinancials!AE150</f>
        <v/>
      </c>
    </row>
    <row r="151" customFormat="false" ht="15" hidden="false" customHeight="false" outlineLevel="0" collapsed="false">
      <c r="A151" s="0" t="n">
        <f aca="false">IF(ISBLANK(RawFinancials!A151),"",RawFinancials!A151)</f>
        <v>151</v>
      </c>
      <c r="B151" s="0" t="n">
        <f aca="false">IF(ISBLANK(RawFinancials!B151),"",RawFinancials!B151)</f>
        <v>2699877</v>
      </c>
      <c r="C151" s="0" t="n">
        <f aca="false">IF(ISBLANK(RawFinancials!C151),"",RawFinancials!C151)</f>
        <v>4256</v>
      </c>
      <c r="D151" s="0" t="n">
        <f aca="false">IF(ISBLANK(RawFinancials!D151),"",RawFinancials!D151)</f>
        <v>2370865</v>
      </c>
      <c r="E151" s="0" t="n">
        <f aca="false">IF(ISBLANK(RawFinancials!E151),"",RawFinancials!E151)</f>
        <v>0.07</v>
      </c>
      <c r="F151" s="0" t="n">
        <f aca="false">IF(ISBLANK(RawFinancials!F151),"",RawFinancials!F151)</f>
        <v>191219</v>
      </c>
      <c r="G151" s="0" t="n">
        <f aca="false">IF(ISBLANK(RawFinancials!G151),"",RawFinancials!G151)</f>
        <v>7.08250783276423</v>
      </c>
      <c r="H151" s="0" t="str">
        <f aca="false">IF(ISBLANK(RawFinancials!H151),"",RawFinancials!H151)</f>
        <v>4256_20220930</v>
      </c>
      <c r="I151" s="0" t="n">
        <f aca="false">IF(ISBLANK(RawFinancials!I151),"",RawFinancials!I151)</f>
        <v>0.881981727418292</v>
      </c>
      <c r="J151" s="0" t="n">
        <f aca="false">IF(ISBLANK(RawFinancials!J151),"",RawFinancials!J151)</f>
        <v>262426</v>
      </c>
      <c r="K151" s="0" t="n">
        <f aca="false">IF(ISBLANK(RawFinancials!K151),"",RawFinancials!K151)</f>
        <v>20819</v>
      </c>
      <c r="L151" s="0" t="n">
        <f aca="false">IF(ISBLANK(RawFinancials!L151),"",RawFinancials!L151)</f>
        <v>1857975</v>
      </c>
      <c r="M151" s="0" t="n">
        <f aca="false">IF(ISBLANK(RawFinancials!M151),"",RawFinancials!M151)</f>
        <v>1841588</v>
      </c>
      <c r="N151" s="0" t="n">
        <f aca="false">IF(ISBLANK(RawFinancials!N151),"",RawFinancials!N151)</f>
        <v>1478344</v>
      </c>
      <c r="O151" s="0" t="n">
        <f aca="false">IF(ISBLANK(RawFinancials!O151),"",RawFinancials!O151)</f>
        <v>1860</v>
      </c>
      <c r="P151" s="0" t="str">
        <f aca="false">IF(ISBLANK(RawFinancials!P151),"",RawFinancials!P151)</f>
        <v>FIRST NATIONAL BANK</v>
      </c>
      <c r="Q151" s="0" t="n">
        <f aca="false">IF(ISBLANK(RawFinancials!Q151),"",RawFinancials!Q151)</f>
        <v>0.100108989625802</v>
      </c>
      <c r="R151" s="0" t="n">
        <f aca="false">IF(ISBLANK(RawFinancials!R151),"",RawFinancials!R151)</f>
        <v>3.11979442771444</v>
      </c>
      <c r="S151" s="0" t="n">
        <f aca="false">IF(ISBLANK(RawFinancials!S151),"",RawFinancials!S151)</f>
        <v>434</v>
      </c>
      <c r="T151" s="0" t="n">
        <f aca="false">IF(ISBLANK(RawFinancials!T151),"",RawFinancials!T151)</f>
        <v>898</v>
      </c>
      <c r="U151" s="0" t="n">
        <f aca="false">IF(ISBLANK(RawFinancials!U151),"",RawFinancials!U151)</f>
        <v>0</v>
      </c>
      <c r="V151" s="0" t="n">
        <f aca="false">IF(ISBLANK(RawFinancials!V151),"",RawFinancials!V151)</f>
        <v>13.5242415345785</v>
      </c>
      <c r="W151" s="0" t="n">
        <f aca="false">IF(ISBLANK(RawFinancials!W151),"",RawFinancials!W151)</f>
        <v>20220930</v>
      </c>
      <c r="X151" s="0" t="n">
        <f aca="false">IF(ISBLANK(RawFinancials!X151),"",RawFinancials!X151)</f>
        <v>1.5759119347341</v>
      </c>
      <c r="Y151" s="0" t="n">
        <f aca="false">IF(ISBLANK(RawFinancials!Y151),"",RawFinancials!Y151)</f>
        <v>20.01</v>
      </c>
      <c r="Z151" s="0" t="str">
        <f aca="false">IF(ISBLANK(RawFinancials!Z151),"",RawFinancials!Z151)</f>
        <v>ME</v>
      </c>
      <c r="AA151" s="0" t="n">
        <f aca="false">RawFinancials!AA151</f>
        <v>1</v>
      </c>
      <c r="AB151" s="0" t="n">
        <f aca="false">RawFinancials!AB151</f>
        <v>1860</v>
      </c>
      <c r="AC151" s="0" t="n">
        <f aca="false">RawFinancials!AC151</f>
        <v>0.0688920273034661</v>
      </c>
      <c r="AD151" s="0" t="n">
        <f aca="false">IF(L151&gt;0,100*N151/L151,"")</f>
        <v>79.5674861071866</v>
      </c>
      <c r="AE151" s="0" t="n">
        <f aca="false">IF(B151&gt;0,100*F151/B151,"")</f>
        <v>7.08250783276423</v>
      </c>
      <c r="AF151" s="0" t="str">
        <f aca="false">RawFinancials!AE151</f>
        <v/>
      </c>
    </row>
    <row r="152" customFormat="false" ht="15" hidden="false" customHeight="false" outlineLevel="0" collapsed="false">
      <c r="A152" s="0" t="n">
        <f aca="false">IF(ISBLANK(RawFinancials!A152),"",RawFinancials!A152)</f>
        <v>152</v>
      </c>
      <c r="B152" s="0" t="n">
        <f aca="false">IF(ISBLANK(RawFinancials!B152),"",RawFinancials!B152)</f>
        <v>686995</v>
      </c>
      <c r="C152" s="0" t="n">
        <f aca="false">IF(ISBLANK(RawFinancials!C152),"",RawFinancials!C152)</f>
        <v>59086</v>
      </c>
      <c r="D152" s="0" t="n">
        <f aca="false">IF(ISBLANK(RawFinancials!D152),"",RawFinancials!D152)</f>
        <v>610836</v>
      </c>
      <c r="E152" s="0" t="n">
        <f aca="false">IF(ISBLANK(RawFinancials!E152),"",RawFinancials!E152)</f>
        <v>0.16</v>
      </c>
      <c r="F152" s="0" t="n">
        <f aca="false">IF(ISBLANK(RawFinancials!F152),"",RawFinancials!F152)</f>
        <v>72795</v>
      </c>
      <c r="G152" s="0" t="n">
        <f aca="false">IF(ISBLANK(RawFinancials!G152),"",RawFinancials!G152)</f>
        <v>10.5961469879693</v>
      </c>
      <c r="H152" s="0" t="str">
        <f aca="false">IF(ISBLANK(RawFinancials!H152),"",RawFinancials!H152)</f>
        <v>59086_20220930</v>
      </c>
      <c r="I152" s="0" t="n">
        <f aca="false">IF(ISBLANK(RawFinancials!I152),"",RawFinancials!I152)</f>
        <v>1.17814807643939</v>
      </c>
      <c r="J152" s="0" t="n">
        <f aca="false">IF(ISBLANK(RawFinancials!J152),"",RawFinancials!J152)</f>
        <v>119943</v>
      </c>
      <c r="K152" s="0" t="n">
        <f aca="false">IF(ISBLANK(RawFinancials!K152),"",RawFinancials!K152)</f>
        <v>0</v>
      </c>
      <c r="L152" s="0" t="n">
        <f aca="false">IF(ISBLANK(RawFinancials!L152),"",RawFinancials!L152)</f>
        <v>552647</v>
      </c>
      <c r="M152" s="0" t="n">
        <f aca="false">IF(ISBLANK(RawFinancials!M152),"",RawFinancials!M152)</f>
        <v>546136</v>
      </c>
      <c r="N152" s="0" t="n">
        <f aca="false">IF(ISBLANK(RawFinancials!N152),"",RawFinancials!N152)</f>
        <v>433350</v>
      </c>
      <c r="O152" s="0" t="n">
        <f aca="false">IF(ISBLANK(RawFinancials!O152),"",RawFinancials!O152)</f>
        <v>2111</v>
      </c>
      <c r="P152" s="0" t="str">
        <f aca="false">IF(ISBLANK(RawFinancials!P152),"",RawFinancials!P152)</f>
        <v>PRIMARY BANK</v>
      </c>
      <c r="Q152" s="0" t="n">
        <f aca="false">IF(ISBLANK(RawFinancials!Q152),"",RawFinancials!Q152)</f>
        <v>0.0617030400961192</v>
      </c>
      <c r="R152" s="0" t="n">
        <f aca="false">IF(ISBLANK(RawFinancials!R152),"",RawFinancials!R152)</f>
        <v>3.6266175241851</v>
      </c>
      <c r="S152" s="0" t="n">
        <f aca="false">IF(ISBLANK(RawFinancials!S152),"",RawFinancials!S152)</f>
        <v>0</v>
      </c>
      <c r="T152" s="0" t="n">
        <f aca="false">IF(ISBLANK(RawFinancials!T152),"",RawFinancials!T152)</f>
        <v>0</v>
      </c>
      <c r="U152" s="0" t="n">
        <f aca="false">IF(ISBLANK(RawFinancials!U152),"",RawFinancials!U152)</f>
        <v>341</v>
      </c>
      <c r="V152" s="0" t="n">
        <f aca="false">IF(ISBLANK(RawFinancials!V152),"",RawFinancials!V152)</f>
        <v>13.7494495435112</v>
      </c>
      <c r="W152" s="0" t="n">
        <f aca="false">IF(ISBLANK(RawFinancials!W152),"",RawFinancials!W152)</f>
        <v>20220930</v>
      </c>
      <c r="X152" s="0" t="n">
        <f aca="false">IF(ISBLANK(RawFinancials!X152),"",RawFinancials!X152)</f>
        <v>1.41290663287171</v>
      </c>
      <c r="Y152" s="0" t="n">
        <f aca="false">IF(ISBLANK(RawFinancials!Y152),"",RawFinancials!Y152)</f>
        <v>14.12</v>
      </c>
      <c r="Z152" s="0" t="str">
        <f aca="false">IF(ISBLANK(RawFinancials!Z152),"",RawFinancials!Z152)</f>
        <v>NH</v>
      </c>
      <c r="AA152" s="0" t="n">
        <f aca="false">RawFinancials!AA152</f>
        <v>1</v>
      </c>
      <c r="AB152" s="0" t="n">
        <f aca="false">RawFinancials!AB152</f>
        <v>2452</v>
      </c>
      <c r="AC152" s="0" t="n">
        <f aca="false">RawFinancials!AC152</f>
        <v>0.356916717006674</v>
      </c>
      <c r="AD152" s="0" t="n">
        <f aca="false">IF(L152&gt;0,100*N152/L152,"")</f>
        <v>78.4135261749363</v>
      </c>
      <c r="AE152" s="0" t="n">
        <f aca="false">IF(B152&gt;0,100*F152/B152,"")</f>
        <v>10.5961469879693</v>
      </c>
      <c r="AF152" s="0" t="str">
        <f aca="false">RawFinancials!AE152</f>
        <v/>
      </c>
    </row>
    <row r="153" customFormat="false" ht="15" hidden="false" customHeight="false" outlineLevel="0" collapsed="false">
      <c r="A153" s="0" t="n">
        <f aca="false">IF(ISBLANK(RawFinancials!A153),"",RawFinancials!A153)</f>
        <v>153</v>
      </c>
      <c r="B153" s="0" t="n">
        <f aca="false">IF(ISBLANK(RawFinancials!B153),"",RawFinancials!B153)</f>
        <v>182612</v>
      </c>
      <c r="C153" s="0" t="n">
        <f aca="false">IF(ISBLANK(RawFinancials!C153),"",RawFinancials!C153)</f>
        <v>59176</v>
      </c>
      <c r="D153" s="0" t="n">
        <f aca="false">IF(ISBLANK(RawFinancials!D153),"",RawFinancials!D153)</f>
        <v>160518</v>
      </c>
      <c r="E153" s="0" t="n">
        <f aca="false">IF(ISBLANK(RawFinancials!E153),"",RawFinancials!E153)</f>
        <v>0.28</v>
      </c>
      <c r="F153" s="0" t="n">
        <f aca="false">IF(ISBLANK(RawFinancials!F153),"",RawFinancials!F153)</f>
        <v>21662</v>
      </c>
      <c r="G153" s="0" t="n">
        <f aca="false">IF(ISBLANK(RawFinancials!G153),"",RawFinancials!G153)</f>
        <v>11.8623091582152</v>
      </c>
      <c r="H153" s="0" t="str">
        <f aca="false">IF(ISBLANK(RawFinancials!H153),"",RawFinancials!H153)</f>
        <v>59176_20220930</v>
      </c>
      <c r="I153" s="0" t="n">
        <f aca="false">IF(ISBLANK(RawFinancials!I153),"",RawFinancials!I153)</f>
        <v>0.944416408333934</v>
      </c>
      <c r="J153" s="0" t="n">
        <f aca="false">IF(ISBLANK(RawFinancials!J153),"",RawFinancials!J153)</f>
        <v>17036</v>
      </c>
      <c r="K153" s="0" t="n">
        <f aca="false">IF(ISBLANK(RawFinancials!K153),"",RawFinancials!K153)</f>
        <v>12</v>
      </c>
      <c r="L153" s="0" t="n">
        <f aca="false">IF(ISBLANK(RawFinancials!L153),"",RawFinancials!L153)</f>
        <v>124839</v>
      </c>
      <c r="M153" s="0" t="n">
        <f aca="false">IF(ISBLANK(RawFinancials!M153),"",RawFinancials!M153)</f>
        <v>123660</v>
      </c>
      <c r="N153" s="0" t="n">
        <f aca="false">IF(ISBLANK(RawFinancials!N153),"",RawFinancials!N153)</f>
        <v>107791</v>
      </c>
      <c r="O153" s="0" t="n">
        <f aca="false">IF(ISBLANK(RawFinancials!O153),"",RawFinancials!O153)</f>
        <v>0</v>
      </c>
      <c r="P153" s="0" t="str">
        <f aca="false">IF(ISBLANK(RawFinancials!P153),"",RawFinancials!P153)</f>
        <v>THE MILLYARD BANK</v>
      </c>
      <c r="Q153" s="0" t="n">
        <f aca="false">IF(ISBLANK(RawFinancials!Q153),"",RawFinancials!Q153)</f>
        <v>0</v>
      </c>
      <c r="R153" s="0" t="n">
        <f aca="false">IF(ISBLANK(RawFinancials!R153),"",RawFinancials!R153)</f>
        <v>3.09322288309581</v>
      </c>
      <c r="S153" s="0" t="n">
        <f aca="false">IF(ISBLANK(RawFinancials!S153),"",RawFinancials!S153)</f>
        <v>0</v>
      </c>
      <c r="T153" s="0" t="n">
        <f aca="false">IF(ISBLANK(RawFinancials!T153),"",RawFinancials!T153)</f>
        <v>0</v>
      </c>
      <c r="U153" s="0" t="n">
        <f aca="false">IF(ISBLANK(RawFinancials!U153),"",RawFinancials!U153)</f>
        <v>0</v>
      </c>
      <c r="V153" s="0" t="n">
        <f aca="false">IF(ISBLANK(RawFinancials!V153),"",RawFinancials!V153)</f>
        <v>18.6279642747151</v>
      </c>
      <c r="W153" s="0" t="n">
        <f aca="false">IF(ISBLANK(RawFinancials!W153),"",RawFinancials!W153)</f>
        <v>20220930</v>
      </c>
      <c r="X153" s="0" t="n">
        <f aca="false">IF(ISBLANK(RawFinancials!X153),"",RawFinancials!X153)</f>
        <v>0.224178584443066</v>
      </c>
      <c r="Y153" s="0" t="n">
        <f aca="false">IF(ISBLANK(RawFinancials!Y153),"",RawFinancials!Y153)</f>
        <v>1.72</v>
      </c>
      <c r="Z153" s="0" t="str">
        <f aca="false">IF(ISBLANK(RawFinancials!Z153),"",RawFinancials!Z153)</f>
        <v>NH</v>
      </c>
      <c r="AA153" s="0" t="n">
        <f aca="false">RawFinancials!AA153</f>
        <v>1</v>
      </c>
      <c r="AB153" s="0" t="n">
        <f aca="false">RawFinancials!AB153</f>
        <v>0</v>
      </c>
      <c r="AC153" s="0" t="n">
        <f aca="false">RawFinancials!AC153</f>
        <v>0</v>
      </c>
      <c r="AD153" s="0" t="n">
        <f aca="false">IF(L153&gt;0,100*N153/L153,"")</f>
        <v>86.3440110862791</v>
      </c>
      <c r="AE153" s="0" t="n">
        <f aca="false">IF(B153&gt;0,100*F153/B153,"")</f>
        <v>11.8623091582152</v>
      </c>
      <c r="AF153" s="0" t="str">
        <f aca="false">RawFinancials!AE153</f>
        <v/>
      </c>
    </row>
    <row r="154" customFormat="false" ht="15" hidden="false" customHeight="false" outlineLevel="0" collapsed="false">
      <c r="A154" s="0" t="n">
        <f aca="false">IF(ISBLANK(RawFinancials!A154),"",RawFinancials!A154)</f>
        <v>154</v>
      </c>
      <c r="B154" s="0" t="n">
        <f aca="false">IF(ISBLANK(RawFinancials!B154),"",RawFinancials!B154)</f>
        <v>38217</v>
      </c>
      <c r="C154" s="0" t="n">
        <f aca="false">IF(ISBLANK(RawFinancials!C154),"",RawFinancials!C154)</f>
        <v>59298</v>
      </c>
      <c r="D154" s="0" t="n">
        <f aca="false">IF(ISBLANK(RawFinancials!D154),"",RawFinancials!D154)</f>
        <v>6690</v>
      </c>
      <c r="E154" s="0" t="n">
        <f aca="false">IF(ISBLANK(RawFinancials!E154),"",RawFinancials!E154)</f>
        <v>0.26</v>
      </c>
      <c r="F154" s="0" t="n">
        <f aca="false">IF(ISBLANK(RawFinancials!F154),"",RawFinancials!F154)</f>
        <v>30598</v>
      </c>
      <c r="G154" s="0" t="n">
        <f aca="false">IF(ISBLANK(RawFinancials!G154),"",RawFinancials!G154)</f>
        <v>80.0638459324385</v>
      </c>
      <c r="H154" s="0" t="str">
        <f aca="false">IF(ISBLANK(RawFinancials!H154),"",RawFinancials!H154)</f>
        <v>59298_20220930</v>
      </c>
      <c r="I154" s="0" t="n">
        <f aca="false">IF(ISBLANK(RawFinancials!I154),"",RawFinancials!I154)</f>
        <v>0.993723849372385</v>
      </c>
      <c r="J154" s="0" t="n">
        <f aca="false">IF(ISBLANK(RawFinancials!J154),"",RawFinancials!J154)</f>
        <v>3084</v>
      </c>
      <c r="K154" s="0" t="n">
        <f aca="false">IF(ISBLANK(RawFinancials!K154),"",RawFinancials!K154)</f>
        <v>0</v>
      </c>
      <c r="L154" s="0" t="n">
        <f aca="false">IF(ISBLANK(RawFinancials!L154),"",RawFinancials!L154)</f>
        <v>7648</v>
      </c>
      <c r="M154" s="0" t="n">
        <f aca="false">IF(ISBLANK(RawFinancials!M154),"",RawFinancials!M154)</f>
        <v>7572</v>
      </c>
      <c r="N154" s="0" t="n">
        <f aca="false">IF(ISBLANK(RawFinancials!N154),"",RawFinancials!N154)</f>
        <v>4565</v>
      </c>
      <c r="O154" s="0" t="n">
        <f aca="false">IF(ISBLANK(RawFinancials!O154),"",RawFinancials!O154)</f>
        <v>0</v>
      </c>
      <c r="P154" s="0" t="str">
        <f aca="false">IF(ISBLANK(RawFinancials!P154),"",RawFinancials!P154)</f>
        <v>BANK OF BURLINGTON</v>
      </c>
      <c r="Q154" s="0" t="n">
        <f aca="false">IF(ISBLANK(RawFinancials!Q154),"",RawFinancials!Q154)</f>
        <v>0</v>
      </c>
      <c r="R154" s="0" t="n">
        <f aca="false">IF(ISBLANK(RawFinancials!R154),"",RawFinancials!R154)</f>
        <v>0.568493727280182</v>
      </c>
      <c r="S154" s="0" t="n">
        <f aca="false">IF(ISBLANK(RawFinancials!S154),"",RawFinancials!S154)</f>
        <v>0</v>
      </c>
      <c r="T154" s="0" t="n">
        <f aca="false">IF(ISBLANK(RawFinancials!T154),"",RawFinancials!T154)</f>
        <v>0</v>
      </c>
      <c r="U154" s="0" t="n">
        <f aca="false">IF(ISBLANK(RawFinancials!U154),"",RawFinancials!U154)</f>
        <v>0</v>
      </c>
      <c r="V154" s="0" t="n">
        <f aca="false">IF(ISBLANK(RawFinancials!V154),"",RawFinancials!V154)</f>
        <v>0</v>
      </c>
      <c r="W154" s="0" t="n">
        <f aca="false">IF(ISBLANK(RawFinancials!W154),"",RawFinancials!W154)</f>
        <v>20220930</v>
      </c>
      <c r="X154" s="0" t="n">
        <f aca="false">IF(ISBLANK(RawFinancials!X154),"",RawFinancials!X154)</f>
        <v>-1.79322343459717</v>
      </c>
      <c r="Y154" s="0" t="n">
        <f aca="false">IF(ISBLANK(RawFinancials!Y154),"",RawFinancials!Y154)</f>
        <v>-2.24</v>
      </c>
      <c r="Z154" s="0" t="str">
        <f aca="false">IF(ISBLANK(RawFinancials!Z154),"",RawFinancials!Z154)</f>
        <v>VT</v>
      </c>
      <c r="AA154" s="0" t="n">
        <f aca="false">RawFinancials!AA154</f>
        <v>1</v>
      </c>
      <c r="AB154" s="0" t="n">
        <f aca="false">RawFinancials!AB154</f>
        <v>0</v>
      </c>
      <c r="AC154" s="0" t="n">
        <f aca="false">RawFinancials!AC154</f>
        <v>0</v>
      </c>
      <c r="AD154" s="0" t="n">
        <f aca="false">IF(L154&gt;0,100*N154/L154,"")</f>
        <v>59.6888075313808</v>
      </c>
      <c r="AE154" s="0" t="n">
        <f aca="false">IF(B154&gt;0,100*F154/B154,"")</f>
        <v>80.0638459324384</v>
      </c>
      <c r="AF154" s="0" t="str">
        <f aca="false">RawFinancials!AE154</f>
        <v>原始0：需核实适用/报告口径</v>
      </c>
    </row>
    <row r="155" customFormat="false" ht="15" hidden="false" customHeight="false" outlineLevel="0" collapsed="false">
      <c r="A155" s="0" t="n">
        <f aca="false">IF(ISBLANK(RawFinancials!A155),"",RawFinancials!A155)</f>
        <v>155</v>
      </c>
      <c r="B155" s="0" t="n">
        <f aca="false">IF(ISBLANK(RawFinancials!B155),"",RawFinancials!B155)</f>
        <v>1026347</v>
      </c>
      <c r="C155" s="0" t="n">
        <f aca="false">IF(ISBLANK(RawFinancials!C155),"",RawFinancials!C155)</f>
        <v>6271</v>
      </c>
      <c r="D155" s="0" t="n">
        <f aca="false">IF(ISBLANK(RawFinancials!D155),"",RawFinancials!D155)</f>
        <v>904130</v>
      </c>
      <c r="E155" s="0" t="n">
        <f aca="false">IF(ISBLANK(RawFinancials!E155),"",RawFinancials!E155)</f>
        <v>0.17</v>
      </c>
      <c r="F155" s="0" t="n">
        <f aca="false">IF(ISBLANK(RawFinancials!F155),"",RawFinancials!F155)</f>
        <v>81739</v>
      </c>
      <c r="G155" s="0" t="n">
        <f aca="false">IF(ISBLANK(RawFinancials!G155),"",RawFinancials!G155)</f>
        <v>7.96407063108286</v>
      </c>
      <c r="H155" s="0" t="str">
        <f aca="false">IF(ISBLANK(RawFinancials!H155),"",RawFinancials!H155)</f>
        <v>6271_20220930</v>
      </c>
      <c r="I155" s="0" t="n">
        <f aca="false">IF(ISBLANK(RawFinancials!I155),"",RawFinancials!I155)</f>
        <v>1.16336985420625</v>
      </c>
      <c r="J155" s="0" t="n">
        <f aca="false">IF(ISBLANK(RawFinancials!J155),"",RawFinancials!J155)</f>
        <v>124262</v>
      </c>
      <c r="K155" s="0" t="n">
        <f aca="false">IF(ISBLANK(RawFinancials!K155),"",RawFinancials!K155)</f>
        <v>3902</v>
      </c>
      <c r="L155" s="0" t="n">
        <f aca="false">IF(ISBLANK(RawFinancials!L155),"",RawFinancials!L155)</f>
        <v>724791</v>
      </c>
      <c r="M155" s="0" t="n">
        <f aca="false">IF(ISBLANK(RawFinancials!M155),"",RawFinancials!M155)</f>
        <v>716359</v>
      </c>
      <c r="N155" s="0" t="n">
        <f aca="false">IF(ISBLANK(RawFinancials!N155),"",RawFinancials!N155)</f>
        <v>551311</v>
      </c>
      <c r="O155" s="0" t="n">
        <f aca="false">IF(ISBLANK(RawFinancials!O155),"",RawFinancials!O155)</f>
        <v>8603</v>
      </c>
      <c r="P155" s="0" t="str">
        <f aca="false">IF(ISBLANK(RawFinancials!P155),"",RawFinancials!P155)</f>
        <v>COMMUNITY NATIONAL BANK</v>
      </c>
      <c r="Q155" s="0" t="n">
        <f aca="false">IF(ISBLANK(RawFinancials!Q155),"",RawFinancials!Q155)</f>
        <v>1.28961314365107</v>
      </c>
      <c r="R155" s="0" t="n">
        <f aca="false">IF(ISBLANK(RawFinancials!R155),"",RawFinancials!R155)</f>
        <v>3.38614224773598</v>
      </c>
      <c r="S155" s="0" t="n">
        <f aca="false">IF(ISBLANK(RawFinancials!S155),"",RawFinancials!S155)</f>
        <v>603</v>
      </c>
      <c r="T155" s="0" t="n">
        <f aca="false">IF(ISBLANK(RawFinancials!T155),"",RawFinancials!T155)</f>
        <v>987</v>
      </c>
      <c r="U155" s="0" t="n">
        <f aca="false">IF(ISBLANK(RawFinancials!U155),"",RawFinancials!U155)</f>
        <v>744</v>
      </c>
      <c r="V155" s="0" t="n">
        <f aca="false">IF(ISBLANK(RawFinancials!V155),"",RawFinancials!V155)</f>
        <v>15.053195210868</v>
      </c>
      <c r="W155" s="0" t="n">
        <f aca="false">IF(ISBLANK(RawFinancials!W155),"",RawFinancials!W155)</f>
        <v>20220930</v>
      </c>
      <c r="X155" s="0" t="n">
        <f aca="false">IF(ISBLANK(RawFinancials!X155),"",RawFinancials!X155)</f>
        <v>1.26525953247623</v>
      </c>
      <c r="Y155" s="0" t="n">
        <f aca="false">IF(ISBLANK(RawFinancials!Y155),"",RawFinancials!Y155)</f>
        <v>14.44</v>
      </c>
      <c r="Z155" s="0" t="str">
        <f aca="false">IF(ISBLANK(RawFinancials!Z155),"",RawFinancials!Z155)</f>
        <v>VT</v>
      </c>
      <c r="AA155" s="0" t="n">
        <f aca="false">RawFinancials!AA155</f>
        <v>1</v>
      </c>
      <c r="AB155" s="0" t="n">
        <f aca="false">RawFinancials!AB155</f>
        <v>9347</v>
      </c>
      <c r="AC155" s="0" t="n">
        <f aca="false">RawFinancials!AC155</f>
        <v>0.910705638541351</v>
      </c>
      <c r="AD155" s="0" t="n">
        <f aca="false">IF(L155&gt;0,100*N155/L155,"")</f>
        <v>76.0648242044948</v>
      </c>
      <c r="AE155" s="0" t="n">
        <f aca="false">IF(B155&gt;0,100*F155/B155,"")</f>
        <v>7.96407063108286</v>
      </c>
      <c r="AF155" s="0" t="str">
        <f aca="false">RawFinancials!AE155</f>
        <v/>
      </c>
    </row>
    <row r="156" customFormat="false" ht="15" hidden="false" customHeight="false" outlineLevel="0" collapsed="false">
      <c r="A156" s="0" t="n">
        <f aca="false">IF(ISBLANK(RawFinancials!A156),"",RawFinancials!A156)</f>
        <v>156</v>
      </c>
      <c r="B156" s="0" t="n">
        <f aca="false">IF(ISBLANK(RawFinancials!B156),"",RawFinancials!B156)</f>
        <v>538969</v>
      </c>
      <c r="C156" s="0" t="n">
        <f aca="false">IF(ISBLANK(RawFinancials!C156),"",RawFinancials!C156)</f>
        <v>6275</v>
      </c>
      <c r="D156" s="0" t="n">
        <f aca="false">IF(ISBLANK(RawFinancials!D156),"",RawFinancials!D156)</f>
        <v>499382</v>
      </c>
      <c r="E156" s="0" t="n">
        <f aca="false">IF(ISBLANK(RawFinancials!E156),"",RawFinancials!E156)</f>
        <v>-0.08</v>
      </c>
      <c r="F156" s="0" t="n">
        <f aca="false">IF(ISBLANK(RawFinancials!F156),"",RawFinancials!F156)</f>
        <v>21431</v>
      </c>
      <c r="G156" s="0" t="n">
        <f aca="false">IF(ISBLANK(RawFinancials!G156),"",RawFinancials!G156)</f>
        <v>3.97629548267154</v>
      </c>
      <c r="H156" s="0" t="str">
        <f aca="false">IF(ISBLANK(RawFinancials!H156),"",RawFinancials!H156)</f>
        <v>6275_20220930</v>
      </c>
      <c r="I156" s="0" t="n">
        <f aca="false">IF(ISBLANK(RawFinancials!I156),"",RawFinancials!I156)</f>
        <v>0.927895668719114</v>
      </c>
      <c r="J156" s="0" t="n">
        <f aca="false">IF(ISBLANK(RawFinancials!J156),"",RawFinancials!J156)</f>
        <v>29293</v>
      </c>
      <c r="K156" s="0" t="n">
        <f aca="false">IF(ISBLANK(RawFinancials!K156),"",RawFinancials!K156)</f>
        <v>13387</v>
      </c>
      <c r="L156" s="0" t="n">
        <f aca="false">IF(ISBLANK(RawFinancials!L156),"",RawFinancials!L156)</f>
        <v>302728</v>
      </c>
      <c r="M156" s="0" t="n">
        <f aca="false">IF(ISBLANK(RawFinancials!M156),"",RawFinancials!M156)</f>
        <v>299919</v>
      </c>
      <c r="N156" s="0" t="n">
        <f aca="false">IF(ISBLANK(RawFinancials!N156),"",RawFinancials!N156)</f>
        <v>249546</v>
      </c>
      <c r="O156" s="0" t="n">
        <f aca="false">IF(ISBLANK(RawFinancials!O156),"",RawFinancials!O156)</f>
        <v>1530</v>
      </c>
      <c r="P156" s="0" t="str">
        <f aca="false">IF(ISBLANK(RawFinancials!P156),"",RawFinancials!P156)</f>
        <v>THE NATIONAL BANK OF MIDDLEBURY</v>
      </c>
      <c r="Q156" s="0" t="n">
        <f aca="false">IF(ISBLANK(RawFinancials!Q156),"",RawFinancials!Q156)</f>
        <v>0.513001770566317</v>
      </c>
      <c r="R156" s="0" t="n">
        <f aca="false">IF(ISBLANK(RawFinancials!R156),"",RawFinancials!R156)</f>
        <v>2.74506460329647</v>
      </c>
      <c r="S156" s="0" t="n">
        <f aca="false">IF(ISBLANK(RawFinancials!S156),"",RawFinancials!S156)</f>
        <v>0</v>
      </c>
      <c r="T156" s="0" t="n">
        <f aca="false">IF(ISBLANK(RawFinancials!T156),"",RawFinancials!T156)</f>
        <v>46</v>
      </c>
      <c r="U156" s="0" t="n">
        <f aca="false">IF(ISBLANK(RawFinancials!U156),"",RawFinancials!U156)</f>
        <v>23</v>
      </c>
      <c r="V156" s="0" t="n">
        <f aca="false">IF(ISBLANK(RawFinancials!V156),"",RawFinancials!V156)</f>
        <v>15.7909585316112</v>
      </c>
      <c r="W156" s="0" t="n">
        <f aca="false">IF(ISBLANK(RawFinancials!W156),"",RawFinancials!W156)</f>
        <v>20220930</v>
      </c>
      <c r="X156" s="0" t="n">
        <f aca="false">IF(ISBLANK(RawFinancials!X156),"",RawFinancials!X156)</f>
        <v>0.61233728150206</v>
      </c>
      <c r="Y156" s="0" t="n">
        <f aca="false">IF(ISBLANK(RawFinancials!Y156),"",RawFinancials!Y156)</f>
        <v>10.71</v>
      </c>
      <c r="Z156" s="0" t="str">
        <f aca="false">IF(ISBLANK(RawFinancials!Z156),"",RawFinancials!Z156)</f>
        <v>VT</v>
      </c>
      <c r="AA156" s="0" t="n">
        <f aca="false">RawFinancials!AA156</f>
        <v>1</v>
      </c>
      <c r="AB156" s="0" t="n">
        <f aca="false">RawFinancials!AB156</f>
        <v>1553</v>
      </c>
      <c r="AC156" s="0" t="n">
        <f aca="false">RawFinancials!AC156</f>
        <v>0.288142731771215</v>
      </c>
      <c r="AD156" s="0" t="n">
        <f aca="false">IF(L156&gt;0,100*N156/L156,"")</f>
        <v>82.4324145767818</v>
      </c>
      <c r="AE156" s="0" t="n">
        <f aca="false">IF(B156&gt;0,100*F156/B156,"")</f>
        <v>3.97629548267155</v>
      </c>
      <c r="AF156" s="0" t="str">
        <f aca="false">RawFinancials!AE156</f>
        <v/>
      </c>
    </row>
    <row r="157" customFormat="false" ht="15" hidden="false" customHeight="false" outlineLevel="0" collapsed="false">
      <c r="A157" s="0" t="n">
        <f aca="false">IF(ISBLANK(RawFinancials!A157),"",RawFinancials!A157)</f>
        <v>157</v>
      </c>
      <c r="B157" s="0" t="n">
        <f aca="false">IF(ISBLANK(RawFinancials!B157),"",RawFinancials!B157)</f>
        <v>87700</v>
      </c>
      <c r="C157" s="0" t="n">
        <f aca="false">IF(ISBLANK(RawFinancials!C157),"",RawFinancials!C157)</f>
        <v>6280</v>
      </c>
      <c r="D157" s="0" t="n">
        <f aca="false">IF(ISBLANK(RawFinancials!D157),"",RawFinancials!D157)</f>
        <v>78966</v>
      </c>
      <c r="E157" s="0" t="n">
        <f aca="false">IF(ISBLANK(RawFinancials!E157),"",RawFinancials!E157)</f>
        <v>0.14</v>
      </c>
      <c r="F157" s="0" t="n">
        <f aca="false">IF(ISBLANK(RawFinancials!F157),"",RawFinancials!F157)</f>
        <v>8505</v>
      </c>
      <c r="G157" s="0" t="n">
        <f aca="false">IF(ISBLANK(RawFinancials!G157),"",RawFinancials!G157)</f>
        <v>9.69783352337514</v>
      </c>
      <c r="H157" s="0" t="str">
        <f aca="false">IF(ISBLANK(RawFinancials!H157),"",RawFinancials!H157)</f>
        <v>6280_20220930</v>
      </c>
      <c r="I157" s="0" t="n">
        <f aca="false">IF(ISBLANK(RawFinancials!I157),"",RawFinancials!I157)</f>
        <v>1.31916862069516</v>
      </c>
      <c r="J157" s="0" t="n">
        <f aca="false">IF(ISBLANK(RawFinancials!J157),"",RawFinancials!J157)</f>
        <v>3097</v>
      </c>
      <c r="K157" s="0" t="n">
        <f aca="false">IF(ISBLANK(RawFinancials!K157),"",RawFinancials!K157)</f>
        <v>1958</v>
      </c>
      <c r="L157" s="0" t="n">
        <f aca="false">IF(ISBLANK(RawFinancials!L157),"",RawFinancials!L157)</f>
        <v>62691</v>
      </c>
      <c r="M157" s="0" t="n">
        <f aca="false">IF(ISBLANK(RawFinancials!M157),"",RawFinancials!M157)</f>
        <v>61864</v>
      </c>
      <c r="N157" s="0" t="n">
        <f aca="false">IF(ISBLANK(RawFinancials!N157),"",RawFinancials!N157)</f>
        <v>53838</v>
      </c>
      <c r="O157" s="0" t="n">
        <f aca="false">IF(ISBLANK(RawFinancials!O157),"",RawFinancials!O157)</f>
        <v>667</v>
      </c>
      <c r="P157" s="0" t="str">
        <f aca="false">IF(ISBLANK(RawFinancials!P157),"",RawFinancials!P157)</f>
        <v>THE FIRST NATIONAL BANK OF ORWELL</v>
      </c>
      <c r="Q157" s="0" t="n">
        <f aca="false">IF(ISBLANK(RawFinancials!Q157),"",RawFinancials!Q157)</f>
        <v>1.06394857316042</v>
      </c>
      <c r="R157" s="0" t="n">
        <f aca="false">IF(ISBLANK(RawFinancials!R157),"",RawFinancials!R157)</f>
        <v>4.11454325169757</v>
      </c>
      <c r="S157" s="0" t="n">
        <f aca="false">IF(ISBLANK(RawFinancials!S157),"",RawFinancials!S157)</f>
        <v>78</v>
      </c>
      <c r="T157" s="0" t="n">
        <f aca="false">IF(ISBLANK(RawFinancials!T157),"",RawFinancials!T157)</f>
        <v>659</v>
      </c>
      <c r="U157" s="0" t="n">
        <f aca="false">IF(ISBLANK(RawFinancials!U157),"",RawFinancials!U157)</f>
        <v>0</v>
      </c>
      <c r="V157" s="0" t="n">
        <f aca="false">IF(ISBLANK(RawFinancials!V157),"",RawFinancials!V157)</f>
        <v>0</v>
      </c>
      <c r="W157" s="0" t="n">
        <f aca="false">IF(ISBLANK(RawFinancials!W157),"",RawFinancials!W157)</f>
        <v>20220930</v>
      </c>
      <c r="X157" s="0" t="n">
        <f aca="false">IF(ISBLANK(RawFinancials!X157),"",RawFinancials!X157)</f>
        <v>1.35938068951454</v>
      </c>
      <c r="Y157" s="0" t="n">
        <f aca="false">IF(ISBLANK(RawFinancials!Y157),"",RawFinancials!Y157)</f>
        <v>14.26</v>
      </c>
      <c r="Z157" s="0" t="str">
        <f aca="false">IF(ISBLANK(RawFinancials!Z157),"",RawFinancials!Z157)</f>
        <v>VT</v>
      </c>
      <c r="AA157" s="0" t="n">
        <f aca="false">RawFinancials!AA157</f>
        <v>1</v>
      </c>
      <c r="AB157" s="0" t="n">
        <f aca="false">RawFinancials!AB157</f>
        <v>667</v>
      </c>
      <c r="AC157" s="0" t="n">
        <f aca="false">RawFinancials!AC157</f>
        <v>0.76054732041049</v>
      </c>
      <c r="AD157" s="0" t="n">
        <f aca="false">IF(L157&gt;0,100*N157/L157,"")</f>
        <v>85.8783557448438</v>
      </c>
      <c r="AE157" s="0" t="n">
        <f aca="false">IF(B157&gt;0,100*F157/B157,"")</f>
        <v>9.69783352337514</v>
      </c>
      <c r="AF157" s="0" t="str">
        <f aca="false">RawFinancials!AE157</f>
        <v>原始0：需核实适用/报告口径</v>
      </c>
    </row>
    <row r="158" customFormat="false" ht="15" hidden="false" customHeight="false" outlineLevel="0" collapsed="false">
      <c r="A158" s="0" t="n">
        <f aca="false">IF(ISBLANK(RawFinancials!A158),"",RawFinancials!A158)</f>
        <v>158</v>
      </c>
      <c r="B158" s="0" t="n">
        <f aca="false">IF(ISBLANK(RawFinancials!B158),"",RawFinancials!B158)</f>
        <v>3906943</v>
      </c>
      <c r="C158" s="0" t="n">
        <f aca="false">IF(ISBLANK(RawFinancials!C158),"",RawFinancials!C158)</f>
        <v>11971</v>
      </c>
      <c r="D158" s="0" t="n">
        <f aca="false">IF(ISBLANK(RawFinancials!D158),"",RawFinancials!D158)</f>
        <v>3050819</v>
      </c>
      <c r="E158" s="0" t="n">
        <f aca="false">IF(ISBLANK(RawFinancials!E158),"",RawFinancials!E158)</f>
        <v>0.12</v>
      </c>
      <c r="F158" s="0" t="n">
        <f aca="false">IF(ISBLANK(RawFinancials!F158),"",RawFinancials!F158)</f>
        <v>447316</v>
      </c>
      <c r="G158" s="0" t="n">
        <f aca="false">IF(ISBLANK(RawFinancials!G158),"",RawFinancials!G158)</f>
        <v>11.449258409964</v>
      </c>
      <c r="H158" s="0" t="str">
        <f aca="false">IF(ISBLANK(RawFinancials!H158),"",RawFinancials!H158)</f>
        <v>11971_20221231</v>
      </c>
      <c r="I158" s="0" t="n">
        <f aca="false">IF(ISBLANK(RawFinancials!I158),"",RawFinancials!I158)</f>
        <v>0.890897753463167</v>
      </c>
      <c r="J158" s="0" t="n">
        <f aca="false">IF(ISBLANK(RawFinancials!J158),"",RawFinancials!J158)</f>
        <v>194294</v>
      </c>
      <c r="K158" s="0" t="n">
        <f aca="false">IF(ISBLANK(RawFinancials!K158),"",RawFinancials!K158)</f>
        <v>7800</v>
      </c>
      <c r="L158" s="0" t="n">
        <f aca="false">IF(ISBLANK(RawFinancials!L158),"",RawFinancials!L158)</f>
        <v>2902690</v>
      </c>
      <c r="M158" s="0" t="n">
        <f aca="false">IF(ISBLANK(RawFinancials!M158),"",RawFinancials!M158)</f>
        <v>2876830</v>
      </c>
      <c r="N158" s="0" t="n">
        <f aca="false">IF(ISBLANK(RawFinancials!N158),"",RawFinancials!N158)</f>
        <v>2554897</v>
      </c>
      <c r="O158" s="0" t="n">
        <f aca="false">IF(ISBLANK(RawFinancials!O158),"",RawFinancials!O158)</f>
        <v>6548</v>
      </c>
      <c r="P158" s="0" t="str">
        <f aca="false">IF(ISBLANK(RawFinancials!P158),"",RawFinancials!P158)</f>
        <v>BAR HARBOR BANK &amp; TRUST</v>
      </c>
      <c r="Q158" s="0" t="n">
        <f aca="false">IF(ISBLANK(RawFinancials!Q158),"",RawFinancials!Q158)</f>
        <v>0.233025228322694</v>
      </c>
      <c r="R158" s="0" t="n">
        <f aca="false">IF(ISBLANK(RawFinancials!R158),"",RawFinancials!R158)</f>
        <v>3.45843569395616</v>
      </c>
      <c r="S158" s="0" t="n">
        <f aca="false">IF(ISBLANK(RawFinancials!S158),"",RawFinancials!S158)</f>
        <v>-237</v>
      </c>
      <c r="T158" s="0" t="n">
        <f aca="false">IF(ISBLANK(RawFinancials!T158),"",RawFinancials!T158)</f>
        <v>1146</v>
      </c>
      <c r="U158" s="0" t="n">
        <f aca="false">IF(ISBLANK(RawFinancials!U158),"",RawFinancials!U158)</f>
        <v>216</v>
      </c>
      <c r="V158" s="0" t="n">
        <f aca="false">IF(ISBLANK(RawFinancials!V158),"",RawFinancials!V158)</f>
        <v>13.2911679611455</v>
      </c>
      <c r="W158" s="0" t="n">
        <f aca="false">IF(ISBLANK(RawFinancials!W158),"",RawFinancials!W158)</f>
        <v>20221231</v>
      </c>
      <c r="X158" s="0" t="n">
        <f aca="false">IF(ISBLANK(RawFinancials!X158),"",RawFinancials!X158)</f>
        <v>1.30045350644</v>
      </c>
      <c r="Y158" s="0" t="n">
        <f aca="false">IF(ISBLANK(RawFinancials!Y158),"",RawFinancials!Y158)</f>
        <v>10.79</v>
      </c>
      <c r="Z158" s="0" t="str">
        <f aca="false">IF(ISBLANK(RawFinancials!Z158),"",RawFinancials!Z158)</f>
        <v>ME</v>
      </c>
      <c r="AA158" s="0" t="n">
        <f aca="false">RawFinancials!AA158</f>
        <v>1</v>
      </c>
      <c r="AB158" s="0" t="n">
        <f aca="false">RawFinancials!AB158</f>
        <v>6764</v>
      </c>
      <c r="AC158" s="0" t="n">
        <f aca="false">RawFinancials!AC158</f>
        <v>0.173127685763524</v>
      </c>
      <c r="AD158" s="0" t="n">
        <f aca="false">IF(L158&gt;0,100*N158/L158,"")</f>
        <v>88.0182520351812</v>
      </c>
      <c r="AE158" s="0" t="n">
        <f aca="false">IF(B158&gt;0,100*F158/B158,"")</f>
        <v>11.449258409964</v>
      </c>
      <c r="AF158" s="0" t="str">
        <f aca="false">RawFinancials!AE158</f>
        <v/>
      </c>
    </row>
    <row r="159" customFormat="false" ht="15" hidden="false" customHeight="false" outlineLevel="0" collapsed="false">
      <c r="A159" s="0" t="n">
        <f aca="false">IF(ISBLANK(RawFinancials!A159),"",RawFinancials!A159)</f>
        <v>159</v>
      </c>
      <c r="B159" s="0" t="n">
        <f aca="false">IF(ISBLANK(RawFinancials!B159),"",RawFinancials!B159)</f>
        <v>981838</v>
      </c>
      <c r="C159" s="0" t="n">
        <f aca="false">IF(ISBLANK(RawFinancials!C159),"",RawFinancials!C159)</f>
        <v>12874</v>
      </c>
      <c r="D159" s="0" t="n">
        <f aca="false">IF(ISBLANK(RawFinancials!D159),"",RawFinancials!D159)</f>
        <v>861068</v>
      </c>
      <c r="E159" s="0" t="n">
        <f aca="false">IF(ISBLANK(RawFinancials!E159),"",RawFinancials!E159)</f>
        <v>-0.05</v>
      </c>
      <c r="F159" s="0" t="n">
        <f aca="false">IF(ISBLANK(RawFinancials!F159),"",RawFinancials!F159)</f>
        <v>97187</v>
      </c>
      <c r="G159" s="0" t="n">
        <f aca="false">IF(ISBLANK(RawFinancials!G159),"",RawFinancials!G159)</f>
        <v>9.89847612335232</v>
      </c>
      <c r="H159" s="0" t="str">
        <f aca="false">IF(ISBLANK(RawFinancials!H159),"",RawFinancials!H159)</f>
        <v>12874_20221231</v>
      </c>
      <c r="I159" s="0" t="n">
        <f aca="false">IF(ISBLANK(RawFinancials!I159),"",RawFinancials!I159)</f>
        <v>0.990899413304305</v>
      </c>
      <c r="J159" s="0" t="n">
        <f aca="false">IF(ISBLANK(RawFinancials!J159),"",RawFinancials!J159)</f>
        <v>130722</v>
      </c>
      <c r="K159" s="0" t="n">
        <f aca="false">IF(ISBLANK(RawFinancials!K159),"",RawFinancials!K159)</f>
        <v>5348</v>
      </c>
      <c r="L159" s="0" t="n">
        <f aca="false">IF(ISBLANK(RawFinancials!L159),"",RawFinancials!L159)</f>
        <v>749622</v>
      </c>
      <c r="M159" s="0" t="n">
        <f aca="false">IF(ISBLANK(RawFinancials!M159),"",RawFinancials!M159)</f>
        <v>742194</v>
      </c>
      <c r="N159" s="0" t="n">
        <f aca="false">IF(ISBLANK(RawFinancials!N159),"",RawFinancials!N159)</f>
        <v>599821</v>
      </c>
      <c r="O159" s="0" t="n">
        <f aca="false">IF(ISBLANK(RawFinancials!O159),"",RawFinancials!O159)</f>
        <v>505</v>
      </c>
      <c r="P159" s="0" t="str">
        <f aca="false">IF(ISBLANK(RawFinancials!P159),"",RawFinancials!P159)</f>
        <v>KATAHDIN TRUST COMPANY</v>
      </c>
      <c r="Q159" s="0" t="n">
        <f aca="false">IF(ISBLANK(RawFinancials!Q159),"",RawFinancials!Q159)</f>
        <v>0.0673672864457019</v>
      </c>
      <c r="R159" s="0" t="n">
        <f aca="false">IF(ISBLANK(RawFinancials!R159),"",RawFinancials!R159)</f>
        <v>3.7482197406091</v>
      </c>
      <c r="S159" s="0" t="n">
        <f aca="false">IF(ISBLANK(RawFinancials!S159),"",RawFinancials!S159)</f>
        <v>-125</v>
      </c>
      <c r="T159" s="0" t="n">
        <f aca="false">IF(ISBLANK(RawFinancials!T159),"",RawFinancials!T159)</f>
        <v>390</v>
      </c>
      <c r="U159" s="0" t="n">
        <f aca="false">IF(ISBLANK(RawFinancials!U159),"",RawFinancials!U159)</f>
        <v>0</v>
      </c>
      <c r="V159" s="0" t="n">
        <f aca="false">IF(ISBLANK(RawFinancials!V159),"",RawFinancials!V159)</f>
        <v>15.4509262729079</v>
      </c>
      <c r="W159" s="0" t="n">
        <f aca="false">IF(ISBLANK(RawFinancials!W159),"",RawFinancials!W159)</f>
        <v>20221231</v>
      </c>
      <c r="X159" s="0" t="n">
        <f aca="false">IF(ISBLANK(RawFinancials!X159),"",RawFinancials!X159)</f>
        <v>1.09464857855594</v>
      </c>
      <c r="Y159" s="0" t="n">
        <f aca="false">IF(ISBLANK(RawFinancials!Y159),"",RawFinancials!Y159)</f>
        <v>10.88</v>
      </c>
      <c r="Z159" s="0" t="str">
        <f aca="false">IF(ISBLANK(RawFinancials!Z159),"",RawFinancials!Z159)</f>
        <v>ME</v>
      </c>
      <c r="AA159" s="0" t="n">
        <f aca="false">RawFinancials!AA159</f>
        <v>1</v>
      </c>
      <c r="AB159" s="0" t="n">
        <f aca="false">RawFinancials!AB159</f>
        <v>505</v>
      </c>
      <c r="AC159" s="0" t="n">
        <f aca="false">RawFinancials!AC159</f>
        <v>0.0514341469774036</v>
      </c>
      <c r="AD159" s="0" t="n">
        <f aca="false">IF(L159&gt;0,100*N159/L159,"")</f>
        <v>80.0164616299949</v>
      </c>
      <c r="AE159" s="0" t="n">
        <f aca="false">IF(B159&gt;0,100*F159/B159,"")</f>
        <v>9.89847612335232</v>
      </c>
      <c r="AF159" s="0" t="str">
        <f aca="false">RawFinancials!AE159</f>
        <v/>
      </c>
    </row>
    <row r="160" customFormat="false" ht="15" hidden="false" customHeight="false" outlineLevel="0" collapsed="false">
      <c r="A160" s="0" t="n">
        <f aca="false">IF(ISBLANK(RawFinancials!A160),"",RawFinancials!A160)</f>
        <v>160</v>
      </c>
      <c r="B160" s="0" t="n">
        <f aca="false">IF(ISBLANK(RawFinancials!B160),"",RawFinancials!B160)</f>
        <v>1843469</v>
      </c>
      <c r="C160" s="0" t="n">
        <f aca="false">IF(ISBLANK(RawFinancials!C160),"",RawFinancials!C160)</f>
        <v>13063</v>
      </c>
      <c r="D160" s="0" t="n">
        <f aca="false">IF(ISBLANK(RawFinancials!D160),"",RawFinancials!D160)</f>
        <v>1640586</v>
      </c>
      <c r="E160" s="0" t="n">
        <f aca="false">IF(ISBLANK(RawFinancials!E160),"",RawFinancials!E160)</f>
        <v>-0.08</v>
      </c>
      <c r="F160" s="0" t="n">
        <f aca="false">IF(ISBLANK(RawFinancials!F160),"",RawFinancials!F160)</f>
        <v>136120</v>
      </c>
      <c r="G160" s="0" t="n">
        <f aca="false">IF(ISBLANK(RawFinancials!G160),"",RawFinancials!G160)</f>
        <v>7.3839050182021</v>
      </c>
      <c r="H160" s="0" t="str">
        <f aca="false">IF(ISBLANK(RawFinancials!H160),"",RawFinancials!H160)</f>
        <v>13063_20221231</v>
      </c>
      <c r="I160" s="0" t="n">
        <f aca="false">IF(ISBLANK(RawFinancials!I160),"",RawFinancials!I160)</f>
        <v>1.01489055204655</v>
      </c>
      <c r="J160" s="0" t="n">
        <f aca="false">IF(ISBLANK(RawFinancials!J160),"",RawFinancials!J160)</f>
        <v>46233</v>
      </c>
      <c r="K160" s="0" t="n">
        <f aca="false">IF(ISBLANK(RawFinancials!K160),"",RawFinancials!K160)</f>
        <v>839</v>
      </c>
      <c r="L160" s="0" t="n">
        <f aca="false">IF(ISBLANK(RawFinancials!L160),"",RawFinancials!L160)</f>
        <v>1335612</v>
      </c>
      <c r="M160" s="0" t="n">
        <f aca="false">IF(ISBLANK(RawFinancials!M160),"",RawFinancials!M160)</f>
        <v>1322057</v>
      </c>
      <c r="N160" s="0" t="n">
        <f aca="false">IF(ISBLANK(RawFinancials!N160),"",RawFinancials!N160)</f>
        <v>1281066</v>
      </c>
      <c r="O160" s="0" t="n">
        <f aca="false">IF(ISBLANK(RawFinancials!O160),"",RawFinancials!O160)</f>
        <v>528</v>
      </c>
      <c r="P160" s="0" t="str">
        <f aca="false">IF(ISBLANK(RawFinancials!P160),"",RawFinancials!P160)</f>
        <v>KENNEBUNK SAVINGS BANK</v>
      </c>
      <c r="Q160" s="0" t="n">
        <f aca="false">IF(ISBLANK(RawFinancials!Q160),"",RawFinancials!Q160)</f>
        <v>0.0953869836449507</v>
      </c>
      <c r="R160" s="0" t="n">
        <f aca="false">IF(ISBLANK(RawFinancials!R160),"",RawFinancials!R160)</f>
        <v>3.53048222013871</v>
      </c>
      <c r="S160" s="0" t="n">
        <f aca="false">IF(ISBLANK(RawFinancials!S160),"",RawFinancials!S160)</f>
        <v>-159</v>
      </c>
      <c r="T160" s="0" t="n">
        <f aca="false">IF(ISBLANK(RawFinancials!T160),"",RawFinancials!T160)</f>
        <v>261</v>
      </c>
      <c r="U160" s="0" t="n">
        <f aca="false">IF(ISBLANK(RawFinancials!U160),"",RawFinancials!U160)</f>
        <v>746</v>
      </c>
      <c r="V160" s="0" t="n">
        <f aca="false">IF(ISBLANK(RawFinancials!V160),"",RawFinancials!V160)</f>
        <v>0</v>
      </c>
      <c r="W160" s="0" t="n">
        <f aca="false">IF(ISBLANK(RawFinancials!W160),"",RawFinancials!W160)</f>
        <v>20221231</v>
      </c>
      <c r="X160" s="0" t="n">
        <f aca="false">IF(ISBLANK(RawFinancials!X160),"",RawFinancials!X160)</f>
        <v>0.74485484313953</v>
      </c>
      <c r="Y160" s="0" t="n">
        <f aca="false">IF(ISBLANK(RawFinancials!Y160),"",RawFinancials!Y160)</f>
        <v>9.45</v>
      </c>
      <c r="Z160" s="0" t="str">
        <f aca="false">IF(ISBLANK(RawFinancials!Z160),"",RawFinancials!Z160)</f>
        <v>ME</v>
      </c>
      <c r="AA160" s="0" t="n">
        <f aca="false">RawFinancials!AA160</f>
        <v>1</v>
      </c>
      <c r="AB160" s="0" t="n">
        <f aca="false">RawFinancials!AB160</f>
        <v>1274</v>
      </c>
      <c r="AC160" s="0" t="n">
        <f aca="false">RawFinancials!AC160</f>
        <v>0.0691088377401518</v>
      </c>
      <c r="AD160" s="0" t="n">
        <f aca="false">IF(L160&gt;0,100*N160/L160,"")</f>
        <v>95.916029505575</v>
      </c>
      <c r="AE160" s="0" t="n">
        <f aca="false">IF(B160&gt;0,100*F160/B160,"")</f>
        <v>7.3839050182021</v>
      </c>
      <c r="AF160" s="0" t="str">
        <f aca="false">RawFinancials!AE160</f>
        <v>原始0：需核实适用/报告口径</v>
      </c>
    </row>
    <row r="161" customFormat="false" ht="15" hidden="false" customHeight="false" outlineLevel="0" collapsed="false">
      <c r="A161" s="0" t="n">
        <f aca="false">IF(ISBLANK(RawFinancials!A161),"",RawFinancials!A161)</f>
        <v>161</v>
      </c>
      <c r="B161" s="0" t="n">
        <f aca="false">IF(ISBLANK(RawFinancials!B161),"",RawFinancials!B161)</f>
        <v>838127</v>
      </c>
      <c r="C161" s="0" t="n">
        <f aca="false">IF(ISBLANK(RawFinancials!C161),"",RawFinancials!C161)</f>
        <v>14134</v>
      </c>
      <c r="D161" s="0" t="n">
        <f aca="false">IF(ISBLANK(RawFinancials!D161),"",RawFinancials!D161)</f>
        <v>719419</v>
      </c>
      <c r="E161" s="0" t="n">
        <f aca="false">IF(ISBLANK(RawFinancials!E161),"",RawFinancials!E161)</f>
        <v>-0.11</v>
      </c>
      <c r="F161" s="0" t="n">
        <f aca="false">IF(ISBLANK(RawFinancials!F161),"",RawFinancials!F161)</f>
        <v>97584</v>
      </c>
      <c r="G161" s="0" t="n">
        <f aca="false">IF(ISBLANK(RawFinancials!G161),"",RawFinancials!G161)</f>
        <v>11.6431042073576</v>
      </c>
      <c r="H161" s="0" t="str">
        <f aca="false">IF(ISBLANK(RawFinancials!H161),"",RawFinancials!H161)</f>
        <v>14134_20221231</v>
      </c>
      <c r="I161" s="0" t="n">
        <f aca="false">IF(ISBLANK(RawFinancials!I161),"",RawFinancials!I161)</f>
        <v>1.09359277581672</v>
      </c>
      <c r="J161" s="0" t="n">
        <f aca="false">IF(ISBLANK(RawFinancials!J161),"",RawFinancials!J161)</f>
        <v>28029</v>
      </c>
      <c r="K161" s="0" t="n">
        <f aca="false">IF(ISBLANK(RawFinancials!K161),"",RawFinancials!K161)</f>
        <v>22010</v>
      </c>
      <c r="L161" s="0" t="n">
        <f aca="false">IF(ISBLANK(RawFinancials!L161),"",RawFinancials!L161)</f>
        <v>618146</v>
      </c>
      <c r="M161" s="0" t="n">
        <f aca="false">IF(ISBLANK(RawFinancials!M161),"",RawFinancials!M161)</f>
        <v>611386</v>
      </c>
      <c r="N161" s="0" t="n">
        <f aca="false">IF(ISBLANK(RawFinancials!N161),"",RawFinancials!N161)</f>
        <v>543525</v>
      </c>
      <c r="O161" s="0" t="n">
        <f aca="false">IF(ISBLANK(RawFinancials!O161),"",RawFinancials!O161)</f>
        <v>12984</v>
      </c>
      <c r="P161" s="0" t="str">
        <f aca="false">IF(ISBLANK(RawFinancials!P161),"",RawFinancials!P161)</f>
        <v>PASSUMPSIC SAVINGS BANK</v>
      </c>
      <c r="Q161" s="0" t="n">
        <f aca="false">IF(ISBLANK(RawFinancials!Q161),"",RawFinancials!Q161)</f>
        <v>2.10047464514856</v>
      </c>
      <c r="R161" s="0" t="n">
        <f aca="false">IF(ISBLANK(RawFinancials!R161),"",RawFinancials!R161)</f>
        <v>3.12340753760266</v>
      </c>
      <c r="S161" s="0" t="n">
        <f aca="false">IF(ISBLANK(RawFinancials!S161),"",RawFinancials!S161)</f>
        <v>467</v>
      </c>
      <c r="T161" s="0" t="n">
        <f aca="false">IF(ISBLANK(RawFinancials!T161),"",RawFinancials!T161)</f>
        <v>5416</v>
      </c>
      <c r="U161" s="0" t="n">
        <f aca="false">IF(ISBLANK(RawFinancials!U161),"",RawFinancials!U161)</f>
        <v>0</v>
      </c>
      <c r="V161" s="0" t="n">
        <f aca="false">IF(ISBLANK(RawFinancials!V161),"",RawFinancials!V161)</f>
        <v>18.0562778373292</v>
      </c>
      <c r="W161" s="0" t="n">
        <f aca="false">IF(ISBLANK(RawFinancials!W161),"",RawFinancials!W161)</f>
        <v>20221231</v>
      </c>
      <c r="X161" s="0" t="n">
        <f aca="false">IF(ISBLANK(RawFinancials!X161),"",RawFinancials!X161)</f>
        <v>0.221752918751042</v>
      </c>
      <c r="Y161" s="0" t="n">
        <f aca="false">IF(ISBLANK(RawFinancials!Y161),"",RawFinancials!Y161)</f>
        <v>1.92</v>
      </c>
      <c r="Z161" s="0" t="str">
        <f aca="false">IF(ISBLANK(RawFinancials!Z161),"",RawFinancials!Z161)</f>
        <v>VT</v>
      </c>
      <c r="AA161" s="0" t="n">
        <f aca="false">RawFinancials!AA161</f>
        <v>1</v>
      </c>
      <c r="AB161" s="0" t="n">
        <f aca="false">RawFinancials!AB161</f>
        <v>12984</v>
      </c>
      <c r="AC161" s="0" t="n">
        <f aca="false">RawFinancials!AC161</f>
        <v>1.54916856275958</v>
      </c>
      <c r="AD161" s="0" t="n">
        <f aca="false">IF(L161&gt;0,100*N161/L161,"")</f>
        <v>87.9282564313285</v>
      </c>
      <c r="AE161" s="0" t="n">
        <f aca="false">IF(B161&gt;0,100*F161/B161,"")</f>
        <v>11.6431042073576</v>
      </c>
      <c r="AF161" s="0" t="str">
        <f aca="false">RawFinancials!AE161</f>
        <v/>
      </c>
    </row>
    <row r="162" customFormat="false" ht="15" hidden="false" customHeight="false" outlineLevel="0" collapsed="false">
      <c r="A162" s="0" t="n">
        <f aca="false">IF(ISBLANK(RawFinancials!A162),"",RawFinancials!A162)</f>
        <v>162</v>
      </c>
      <c r="B162" s="0" t="n">
        <f aca="false">IF(ISBLANK(RawFinancials!B162),"",RawFinancials!B162)</f>
        <v>228201</v>
      </c>
      <c r="C162" s="0" t="n">
        <f aca="false">IF(ISBLANK(RawFinancials!C162),"",RawFinancials!C162)</f>
        <v>14136</v>
      </c>
      <c r="D162" s="0" t="n">
        <f aca="false">IF(ISBLANK(RawFinancials!D162),"",RawFinancials!D162)</f>
        <v>209378</v>
      </c>
      <c r="E162" s="0" t="n">
        <f aca="false">IF(ISBLANK(RawFinancials!E162),"",RawFinancials!E162)</f>
        <v>0.03</v>
      </c>
      <c r="F162" s="0" t="n">
        <f aca="false">IF(ISBLANK(RawFinancials!F162),"",RawFinancials!F162)</f>
        <v>14622</v>
      </c>
      <c r="G162" s="0" t="n">
        <f aca="false">IF(ISBLANK(RawFinancials!G162),"",RawFinancials!G162)</f>
        <v>6.4075091695479</v>
      </c>
      <c r="H162" s="0" t="str">
        <f aca="false">IF(ISBLANK(RawFinancials!H162),"",RawFinancials!H162)</f>
        <v>14136_20221231</v>
      </c>
      <c r="I162" s="0" t="n">
        <f aca="false">IF(ISBLANK(RawFinancials!I162),"",RawFinancials!I162)</f>
        <v>0.958171970790403</v>
      </c>
      <c r="J162" s="0" t="n">
        <f aca="false">IF(ISBLANK(RawFinancials!J162),"",RawFinancials!J162)</f>
        <v>13222</v>
      </c>
      <c r="K162" s="0" t="n">
        <f aca="false">IF(ISBLANK(RawFinancials!K162),"",RawFinancials!K162)</f>
        <v>12457</v>
      </c>
      <c r="L162" s="0" t="n">
        <f aca="false">IF(ISBLANK(RawFinancials!L162),"",RawFinancials!L162)</f>
        <v>139954</v>
      </c>
      <c r="M162" s="0" t="n">
        <f aca="false">IF(ISBLANK(RawFinancials!M162),"",RawFinancials!M162)</f>
        <v>138613</v>
      </c>
      <c r="N162" s="0" t="n">
        <f aca="false">IF(ISBLANK(RawFinancials!N162),"",RawFinancials!N162)</f>
        <v>113932</v>
      </c>
      <c r="O162" s="0" t="n">
        <f aca="false">IF(ISBLANK(RawFinancials!O162),"",RawFinancials!O162)</f>
        <v>107</v>
      </c>
      <c r="P162" s="0" t="str">
        <f aca="false">IF(ISBLANK(RawFinancials!P162),"",RawFinancials!P162)</f>
        <v>WELLS RIVER SAVINGS BANK</v>
      </c>
      <c r="Q162" s="0" t="n">
        <f aca="false">IF(ISBLANK(RawFinancials!Q162),"",RawFinancials!Q162)</f>
        <v>0.555182417079898</v>
      </c>
      <c r="R162" s="0" t="n">
        <f aca="false">IF(ISBLANK(RawFinancials!R162),"",RawFinancials!R162)</f>
        <v>3.71178604169158</v>
      </c>
      <c r="S162" s="0" t="n">
        <f aca="false">IF(ISBLANK(RawFinancials!S162),"",RawFinancials!S162)</f>
        <v>90</v>
      </c>
      <c r="T162" s="0" t="n">
        <f aca="false">IF(ISBLANK(RawFinancials!T162),"",RawFinancials!T162)</f>
        <v>1094</v>
      </c>
      <c r="U162" s="0" t="n">
        <f aca="false">IF(ISBLANK(RawFinancials!U162),"",RawFinancials!U162)</f>
        <v>670</v>
      </c>
      <c r="V162" s="0" t="n">
        <f aca="false">IF(ISBLANK(RawFinancials!V162),"",RawFinancials!V162)</f>
        <v>17.6671209321242</v>
      </c>
      <c r="W162" s="0" t="n">
        <f aca="false">IF(ISBLANK(RawFinancials!W162),"",RawFinancials!W162)</f>
        <v>20221231</v>
      </c>
      <c r="X162" s="0" t="n">
        <f aca="false">IF(ISBLANK(RawFinancials!X162),"",RawFinancials!X162)</f>
        <v>0.464923878187269</v>
      </c>
      <c r="Y162" s="0" t="n">
        <f aca="false">IF(ISBLANK(RawFinancials!Y162),"",RawFinancials!Y162)</f>
        <v>6.05</v>
      </c>
      <c r="Z162" s="0" t="str">
        <f aca="false">IF(ISBLANK(RawFinancials!Z162),"",RawFinancials!Z162)</f>
        <v>VT</v>
      </c>
      <c r="AA162" s="0" t="n">
        <f aca="false">RawFinancials!AA162</f>
        <v>1</v>
      </c>
      <c r="AB162" s="0" t="n">
        <f aca="false">RawFinancials!AB162</f>
        <v>777</v>
      </c>
      <c r="AC162" s="0" t="n">
        <f aca="false">RawFinancials!AC162</f>
        <v>0.340489305480695</v>
      </c>
      <c r="AD162" s="0" t="n">
        <f aca="false">IF(L162&gt;0,100*N162/L162,"")</f>
        <v>81.4067479314632</v>
      </c>
      <c r="AE162" s="0" t="n">
        <f aca="false">IF(B162&gt;0,100*F162/B162,"")</f>
        <v>6.4075091695479</v>
      </c>
      <c r="AF162" s="0" t="str">
        <f aca="false">RawFinancials!AE162</f>
        <v/>
      </c>
    </row>
    <row r="163" customFormat="false" ht="15" hidden="false" customHeight="false" outlineLevel="0" collapsed="false">
      <c r="A163" s="0" t="n">
        <f aca="false">IF(ISBLANK(RawFinancials!A163),"",RawFinancials!A163)</f>
        <v>163</v>
      </c>
      <c r="B163" s="0" t="n">
        <f aca="false">IF(ISBLANK(RawFinancials!B163),"",RawFinancials!B163)</f>
        <v>1414255</v>
      </c>
      <c r="C163" s="0" t="n">
        <f aca="false">IF(ISBLANK(RawFinancials!C163),"",RawFinancials!C163)</f>
        <v>14140</v>
      </c>
      <c r="D163" s="0" t="n">
        <f aca="false">IF(ISBLANK(RawFinancials!D163),"",RawFinancials!D163)</f>
        <v>1185491</v>
      </c>
      <c r="E163" s="0" t="n">
        <f aca="false">IF(ISBLANK(RawFinancials!E163),"",RawFinancials!E163)</f>
        <v>0</v>
      </c>
      <c r="F163" s="0" t="n">
        <f aca="false">IF(ISBLANK(RawFinancials!F163),"",RawFinancials!F163)</f>
        <v>113940</v>
      </c>
      <c r="G163" s="0" t="n">
        <f aca="false">IF(ISBLANK(RawFinancials!G163),"",RawFinancials!G163)</f>
        <v>8.05653860159589</v>
      </c>
      <c r="H163" s="0" t="str">
        <f aca="false">IF(ISBLANK(RawFinancials!H163),"",RawFinancials!H163)</f>
        <v>14140_20221231</v>
      </c>
      <c r="I163" s="0" t="n">
        <f aca="false">IF(ISBLANK(RawFinancials!I163),"",RawFinancials!I163)</f>
        <v>1.08278076667533</v>
      </c>
      <c r="J163" s="0" t="n">
        <f aca="false">IF(ISBLANK(RawFinancials!J163),"",RawFinancials!J163)</f>
        <v>86826</v>
      </c>
      <c r="K163" s="0" t="n">
        <f aca="false">IF(ISBLANK(RawFinancials!K163),"",RawFinancials!K163)</f>
        <v>1204</v>
      </c>
      <c r="L163" s="0" t="n">
        <f aca="false">IF(ISBLANK(RawFinancials!L163),"",RawFinancials!L163)</f>
        <v>973789</v>
      </c>
      <c r="M163" s="0" t="n">
        <f aca="false">IF(ISBLANK(RawFinancials!M163),"",RawFinancials!M163)</f>
        <v>963245</v>
      </c>
      <c r="N163" s="0" t="n">
        <f aca="false">IF(ISBLANK(RawFinancials!N163),"",RawFinancials!N163)</f>
        <v>878159</v>
      </c>
      <c r="O163" s="0" t="n">
        <f aca="false">IF(ISBLANK(RawFinancials!O163),"",RawFinancials!O163)</f>
        <v>2462</v>
      </c>
      <c r="P163" s="0" t="str">
        <f aca="false">IF(ISBLANK(RawFinancials!P163),"",RawFinancials!P163)</f>
        <v>NORTHFIELD SAVINGS BANK</v>
      </c>
      <c r="Q163" s="0" t="n">
        <f aca="false">IF(ISBLANK(RawFinancials!Q163),"",RawFinancials!Q163)</f>
        <v>0.252826844419068</v>
      </c>
      <c r="R163" s="0" t="n">
        <f aca="false">IF(ISBLANK(RawFinancials!R163),"",RawFinancials!R163)</f>
        <v>3.11589074154042</v>
      </c>
      <c r="S163" s="0" t="n">
        <f aca="false">IF(ISBLANK(RawFinancials!S163),"",RawFinancials!S163)</f>
        <v>76</v>
      </c>
      <c r="T163" s="0" t="n">
        <f aca="false">IF(ISBLANK(RawFinancials!T163),"",RawFinancials!T163)</f>
        <v>734</v>
      </c>
      <c r="U163" s="0" t="n">
        <f aca="false">IF(ISBLANK(RawFinancials!U163),"",RawFinancials!U163)</f>
        <v>0</v>
      </c>
      <c r="V163" s="0" t="n">
        <f aca="false">IF(ISBLANK(RawFinancials!V163),"",RawFinancials!V163)</f>
        <v>0</v>
      </c>
      <c r="W163" s="0" t="n">
        <f aca="false">IF(ISBLANK(RawFinancials!W163),"",RawFinancials!W163)</f>
        <v>20221231</v>
      </c>
      <c r="X163" s="0" t="n">
        <f aca="false">IF(ISBLANK(RawFinancials!X163),"",RawFinancials!X163)</f>
        <v>0.706430614112242</v>
      </c>
      <c r="Y163" s="0" t="n">
        <f aca="false">IF(ISBLANK(RawFinancials!Y163),"",RawFinancials!Y163)</f>
        <v>8.33</v>
      </c>
      <c r="Z163" s="0" t="str">
        <f aca="false">IF(ISBLANK(RawFinancials!Z163),"",RawFinancials!Z163)</f>
        <v>VT</v>
      </c>
      <c r="AA163" s="0" t="n">
        <f aca="false">RawFinancials!AA163</f>
        <v>1</v>
      </c>
      <c r="AB163" s="0" t="n">
        <f aca="false">RawFinancials!AB163</f>
        <v>2462</v>
      </c>
      <c r="AC163" s="0" t="n">
        <f aca="false">RawFinancials!AC163</f>
        <v>0.174084588705714</v>
      </c>
      <c r="AD163" s="0" t="n">
        <f aca="false">IF(L163&gt;0,100*N163/L163,"")</f>
        <v>90.1795974281903</v>
      </c>
      <c r="AE163" s="0" t="n">
        <f aca="false">IF(B163&gt;0,100*F163/B163,"")</f>
        <v>8.05653860159589</v>
      </c>
      <c r="AF163" s="0" t="str">
        <f aca="false">RawFinancials!AE163</f>
        <v>原始0：需核实适用/报告口径</v>
      </c>
    </row>
    <row r="164" customFormat="false" ht="15" hidden="false" customHeight="false" outlineLevel="0" collapsed="false">
      <c r="A164" s="0" t="n">
        <f aca="false">IF(ISBLANK(RawFinancials!A164),"",RawFinancials!A164)</f>
        <v>164</v>
      </c>
      <c r="B164" s="0" t="n">
        <f aca="false">IF(ISBLANK(RawFinancials!B164),"",RawFinancials!B164)</f>
        <v>1335789</v>
      </c>
      <c r="C164" s="0" t="n">
        <f aca="false">IF(ISBLANK(RawFinancials!C164),"",RawFinancials!C164)</f>
        <v>14158</v>
      </c>
      <c r="D164" s="0" t="n">
        <f aca="false">IF(ISBLANK(RawFinancials!D164),"",RawFinancials!D164)</f>
        <v>1204403</v>
      </c>
      <c r="E164" s="0" t="n">
        <f aca="false">IF(ISBLANK(RawFinancials!E164),"",RawFinancials!E164)</f>
        <v>0</v>
      </c>
      <c r="F164" s="0" t="n">
        <f aca="false">IF(ISBLANK(RawFinancials!F164),"",RawFinancials!F164)</f>
        <v>71084</v>
      </c>
      <c r="G164" s="0" t="n">
        <f aca="false">IF(ISBLANK(RawFinancials!G164),"",RawFinancials!G164)</f>
        <v>5.3214991289792</v>
      </c>
      <c r="H164" s="0" t="str">
        <f aca="false">IF(ISBLANK(RawFinancials!H164),"",RawFinancials!H164)</f>
        <v>14158_20221231</v>
      </c>
      <c r="I164" s="0" t="n">
        <f aca="false">IF(ISBLANK(RawFinancials!I164),"",RawFinancials!I164)</f>
        <v>0.868039110163625</v>
      </c>
      <c r="J164" s="0" t="n">
        <f aca="false">IF(ISBLANK(RawFinancials!J164),"",RawFinancials!J164)</f>
        <v>40782</v>
      </c>
      <c r="K164" s="0" t="n">
        <f aca="false">IF(ISBLANK(RawFinancials!K164),"",RawFinancials!K164)</f>
        <v>2089</v>
      </c>
      <c r="L164" s="0" t="n">
        <f aca="false">IF(ISBLANK(RawFinancials!L164),"",RawFinancials!L164)</f>
        <v>960671</v>
      </c>
      <c r="M164" s="0" t="n">
        <f aca="false">IF(ISBLANK(RawFinancials!M164),"",RawFinancials!M164)</f>
        <v>952332</v>
      </c>
      <c r="N164" s="0" t="n">
        <f aca="false">IF(ISBLANK(RawFinancials!N164),"",RawFinancials!N164)</f>
        <v>824447</v>
      </c>
      <c r="O164" s="0" t="n">
        <f aca="false">IF(ISBLANK(RawFinancials!O164),"",RawFinancials!O164)</f>
        <v>2211</v>
      </c>
      <c r="P164" s="0" t="str">
        <f aca="false">IF(ISBLANK(RawFinancials!P164),"",RawFinancials!P164)</f>
        <v>UNION BANK</v>
      </c>
      <c r="Q164" s="0" t="n">
        <f aca="false">IF(ISBLANK(RawFinancials!Q164),"",RawFinancials!Q164)</f>
        <v>0.249513100738963</v>
      </c>
      <c r="R164" s="0" t="n">
        <f aca="false">IF(ISBLANK(RawFinancials!R164),"",RawFinancials!R164)</f>
        <v>3.42354879042827</v>
      </c>
      <c r="S164" s="0" t="n">
        <f aca="false">IF(ISBLANK(RawFinancials!S164),"",RawFinancials!S164)</f>
        <v>-3</v>
      </c>
      <c r="T164" s="0" t="n">
        <f aca="false">IF(ISBLANK(RawFinancials!T164),"",RawFinancials!T164)</f>
        <v>3040</v>
      </c>
      <c r="U164" s="0" t="n">
        <f aca="false">IF(ISBLANK(RawFinancials!U164),"",RawFinancials!U164)</f>
        <v>186</v>
      </c>
      <c r="V164" s="0" t="n">
        <f aca="false">IF(ISBLANK(RawFinancials!V164),"",RawFinancials!V164)</f>
        <v>13.9528938577954</v>
      </c>
      <c r="W164" s="0" t="n">
        <f aca="false">IF(ISBLANK(RawFinancials!W164),"",RawFinancials!W164)</f>
        <v>20221231</v>
      </c>
      <c r="X164" s="0" t="n">
        <f aca="false">IF(ISBLANK(RawFinancials!X164),"",RawFinancials!X164)</f>
        <v>1.07564545512455</v>
      </c>
      <c r="Y164" s="0" t="n">
        <f aca="false">IF(ISBLANK(RawFinancials!Y164),"",RawFinancials!Y164)</f>
        <v>16.97</v>
      </c>
      <c r="Z164" s="0" t="str">
        <f aca="false">IF(ISBLANK(RawFinancials!Z164),"",RawFinancials!Z164)</f>
        <v>VT</v>
      </c>
      <c r="AA164" s="0" t="n">
        <f aca="false">RawFinancials!AA164</f>
        <v>1</v>
      </c>
      <c r="AB164" s="0" t="n">
        <f aca="false">RawFinancials!AB164</f>
        <v>2397</v>
      </c>
      <c r="AC164" s="0" t="n">
        <f aca="false">RawFinancials!AC164</f>
        <v>0.179444508077249</v>
      </c>
      <c r="AD164" s="0" t="n">
        <f aca="false">IF(L164&gt;0,100*N164/L164,"")</f>
        <v>85.8199112911704</v>
      </c>
      <c r="AE164" s="0" t="n">
        <f aca="false">IF(B164&gt;0,100*F164/B164,"")</f>
        <v>5.3214991289792</v>
      </c>
      <c r="AF164" s="0" t="str">
        <f aca="false">RawFinancials!AE164</f>
        <v/>
      </c>
    </row>
    <row r="165" customFormat="false" ht="15" hidden="false" customHeight="false" outlineLevel="0" collapsed="false">
      <c r="A165" s="0" t="n">
        <f aca="false">IF(ISBLANK(RawFinancials!A165),"",RawFinancials!A165)</f>
        <v>165</v>
      </c>
      <c r="B165" s="0" t="n">
        <f aca="false">IF(ISBLANK(RawFinancials!B165),"",RawFinancials!B165)</f>
        <v>368796</v>
      </c>
      <c r="C165" s="0" t="n">
        <f aca="false">IF(ISBLANK(RawFinancials!C165),"",RawFinancials!C165)</f>
        <v>14168</v>
      </c>
      <c r="D165" s="0" t="n">
        <f aca="false">IF(ISBLANK(RawFinancials!D165),"",RawFinancials!D165)</f>
        <v>332153</v>
      </c>
      <c r="E165" s="0" t="n">
        <f aca="false">IF(ISBLANK(RawFinancials!E165),"",RawFinancials!E165)</f>
        <v>0.02</v>
      </c>
      <c r="F165" s="0" t="n">
        <f aca="false">IF(ISBLANK(RawFinancials!F165),"",RawFinancials!F165)</f>
        <v>31831</v>
      </c>
      <c r="G165" s="0" t="n">
        <f aca="false">IF(ISBLANK(RawFinancials!G165),"",RawFinancials!G165)</f>
        <v>8.6310589051942</v>
      </c>
      <c r="H165" s="0" t="str">
        <f aca="false">IF(ISBLANK(RawFinancials!H165),"",RawFinancials!H165)</f>
        <v>14168_20221231</v>
      </c>
      <c r="I165" s="0" t="n">
        <f aca="false">IF(ISBLANK(RawFinancials!I165),"",RawFinancials!I165)</f>
        <v>1.42682780902238</v>
      </c>
      <c r="J165" s="0" t="n">
        <f aca="false">IF(ISBLANK(RawFinancials!J165),"",RawFinancials!J165)</f>
        <v>11593</v>
      </c>
      <c r="K165" s="0" t="n">
        <f aca="false">IF(ISBLANK(RawFinancials!K165),"",RawFinancials!K165)</f>
        <v>9164</v>
      </c>
      <c r="L165" s="0" t="n">
        <f aca="false">IF(ISBLANK(RawFinancials!L165),"",RawFinancials!L165)</f>
        <v>208925</v>
      </c>
      <c r="M165" s="0" t="n">
        <f aca="false">IF(ISBLANK(RawFinancials!M165),"",RawFinancials!M165)</f>
        <v>205944</v>
      </c>
      <c r="N165" s="0" t="n">
        <f aca="false">IF(ISBLANK(RawFinancials!N165),"",RawFinancials!N165)</f>
        <v>173273</v>
      </c>
      <c r="O165" s="0" t="n">
        <f aca="false">IF(ISBLANK(RawFinancials!O165),"",RawFinancials!O165)</f>
        <v>1146</v>
      </c>
      <c r="P165" s="0" t="str">
        <f aca="false">IF(ISBLANK(RawFinancials!P165),"",RawFinancials!P165)</f>
        <v>PEOPLES TRUST COMPANY OF ST. ALBANS</v>
      </c>
      <c r="Q165" s="0" t="n">
        <f aca="false">IF(ISBLANK(RawFinancials!Q165),"",RawFinancials!Q165)</f>
        <v>0.548522196960632</v>
      </c>
      <c r="R165" s="0" t="n">
        <f aca="false">IF(ISBLANK(RawFinancials!R165),"",RawFinancials!R165)</f>
        <v>3.0732840381186</v>
      </c>
      <c r="S165" s="0" t="n">
        <f aca="false">IF(ISBLANK(RawFinancials!S165),"",RawFinancials!S165)</f>
        <v>58</v>
      </c>
      <c r="T165" s="0" t="n">
        <f aca="false">IF(ISBLANK(RawFinancials!T165),"",RawFinancials!T165)</f>
        <v>204</v>
      </c>
      <c r="U165" s="0" t="n">
        <f aca="false">IF(ISBLANK(RawFinancials!U165),"",RawFinancials!U165)</f>
        <v>0</v>
      </c>
      <c r="V165" s="0" t="n">
        <f aca="false">IF(ISBLANK(RawFinancials!V165),"",RawFinancials!V165)</f>
        <v>18.3394750971745</v>
      </c>
      <c r="W165" s="0" t="n">
        <f aca="false">IF(ISBLANK(RawFinancials!W165),"",RawFinancials!W165)</f>
        <v>20221231</v>
      </c>
      <c r="X165" s="0" t="n">
        <f aca="false">IF(ISBLANK(RawFinancials!X165),"",RawFinancials!X165)</f>
        <v>0.554974035143356</v>
      </c>
      <c r="Y165" s="0" t="n">
        <f aca="false">IF(ISBLANK(RawFinancials!Y165),"",RawFinancials!Y165)</f>
        <v>6.25</v>
      </c>
      <c r="Z165" s="0" t="str">
        <f aca="false">IF(ISBLANK(RawFinancials!Z165),"",RawFinancials!Z165)</f>
        <v>VT</v>
      </c>
      <c r="AA165" s="0" t="n">
        <f aca="false">RawFinancials!AA165</f>
        <v>1</v>
      </c>
      <c r="AB165" s="0" t="n">
        <f aca="false">RawFinancials!AB165</f>
        <v>1146</v>
      </c>
      <c r="AC165" s="0" t="n">
        <f aca="false">RawFinancials!AC165</f>
        <v>0.310740897406696</v>
      </c>
      <c r="AD165" s="0" t="n">
        <f aca="false">IF(L165&gt;0,100*N165/L165,"")</f>
        <v>82.9355031709944</v>
      </c>
      <c r="AE165" s="0" t="n">
        <f aca="false">IF(B165&gt;0,100*F165/B165,"")</f>
        <v>8.6310589051942</v>
      </c>
      <c r="AF165" s="0" t="str">
        <f aca="false">RawFinancials!AE165</f>
        <v/>
      </c>
    </row>
    <row r="166" customFormat="false" ht="15" hidden="false" customHeight="false" outlineLevel="0" collapsed="false">
      <c r="A166" s="0" t="n">
        <f aca="false">IF(ISBLANK(RawFinancials!A166),"",RawFinancials!A166)</f>
        <v>166</v>
      </c>
      <c r="B166" s="0" t="n">
        <f aca="false">IF(ISBLANK(RawFinancials!B166),"",RawFinancials!B166)</f>
        <v>1297773</v>
      </c>
      <c r="C166" s="0" t="n">
        <f aca="false">IF(ISBLANK(RawFinancials!C166),"",RawFinancials!C166)</f>
        <v>14240</v>
      </c>
      <c r="D166" s="0" t="n">
        <f aca="false">IF(ISBLANK(RawFinancials!D166),"",RawFinancials!D166)</f>
        <v>1070008</v>
      </c>
      <c r="E166" s="0" t="n">
        <f aca="false">IF(ISBLANK(RawFinancials!E166),"",RawFinancials!E166)</f>
        <v>0.14</v>
      </c>
      <c r="F166" s="0" t="n">
        <f aca="false">IF(ISBLANK(RawFinancials!F166),"",RawFinancials!F166)</f>
        <v>81085</v>
      </c>
      <c r="G166" s="0" t="n">
        <f aca="false">IF(ISBLANK(RawFinancials!G166),"",RawFinancials!G166)</f>
        <v>6.24801101579398</v>
      </c>
      <c r="H166" s="0" t="str">
        <f aca="false">IF(ISBLANK(RawFinancials!H166),"",RawFinancials!H166)</f>
        <v>14240_20221231</v>
      </c>
      <c r="I166" s="0" t="n">
        <f aca="false">IF(ISBLANK(RawFinancials!I166),"",RawFinancials!I166)</f>
        <v>1.22148698836792</v>
      </c>
      <c r="J166" s="0" t="n">
        <f aca="false">IF(ISBLANK(RawFinancials!J166),"",RawFinancials!J166)</f>
        <v>24518</v>
      </c>
      <c r="K166" s="0" t="n">
        <f aca="false">IF(ISBLANK(RawFinancials!K166),"",RawFinancials!K166)</f>
        <v>17452</v>
      </c>
      <c r="L166" s="0" t="n">
        <f aca="false">IF(ISBLANK(RawFinancials!L166),"",RawFinancials!L166)</f>
        <v>930014</v>
      </c>
      <c r="M166" s="0" t="n">
        <f aca="false">IF(ISBLANK(RawFinancials!M166),"",RawFinancials!M166)</f>
        <v>918654</v>
      </c>
      <c r="N166" s="0" t="n">
        <f aca="false">IF(ISBLANK(RawFinancials!N166),"",RawFinancials!N166)</f>
        <v>824710</v>
      </c>
      <c r="O166" s="0" t="n">
        <f aca="false">IF(ISBLANK(RawFinancials!O166),"",RawFinancials!O166)</f>
        <v>2163</v>
      </c>
      <c r="P166" s="0" t="str">
        <f aca="false">IF(ISBLANK(RawFinancials!P166),"",RawFinancials!P166)</f>
        <v>NORTHWAY BANK</v>
      </c>
      <c r="Q166" s="0" t="n">
        <f aca="false">IF(ISBLANK(RawFinancials!Q166),"",RawFinancials!Q166)</f>
        <v>0.232577143999983</v>
      </c>
      <c r="R166" s="0" t="n">
        <f aca="false">IF(ISBLANK(RawFinancials!R166),"",RawFinancials!R166)</f>
        <v>3.01422887354516</v>
      </c>
      <c r="S166" s="0" t="n">
        <f aca="false">IF(ISBLANK(RawFinancials!S166),"",RawFinancials!S166)</f>
        <v>-94</v>
      </c>
      <c r="T166" s="0" t="n">
        <f aca="false">IF(ISBLANK(RawFinancials!T166),"",RawFinancials!T166)</f>
        <v>8212</v>
      </c>
      <c r="U166" s="0" t="n">
        <f aca="false">IF(ISBLANK(RawFinancials!U166),"",RawFinancials!U166)</f>
        <v>0</v>
      </c>
      <c r="V166" s="0" t="n">
        <f aca="false">IF(ISBLANK(RawFinancials!V166),"",RawFinancials!V166)</f>
        <v>14.7172199109766</v>
      </c>
      <c r="W166" s="0" t="n">
        <f aca="false">IF(ISBLANK(RawFinancials!W166),"",RawFinancials!W166)</f>
        <v>20221231</v>
      </c>
      <c r="X166" s="0" t="n">
        <f aca="false">IF(ISBLANK(RawFinancials!X166),"",RawFinancials!X166)</f>
        <v>0.31097349194486</v>
      </c>
      <c r="Y166" s="0" t="n">
        <f aca="false">IF(ISBLANK(RawFinancials!Y166),"",RawFinancials!Y166)</f>
        <v>4.22</v>
      </c>
      <c r="Z166" s="0" t="str">
        <f aca="false">IF(ISBLANK(RawFinancials!Z166),"",RawFinancials!Z166)</f>
        <v>NH</v>
      </c>
      <c r="AA166" s="0" t="n">
        <f aca="false">RawFinancials!AA166</f>
        <v>1</v>
      </c>
      <c r="AB166" s="0" t="n">
        <f aca="false">RawFinancials!AB166</f>
        <v>2163</v>
      </c>
      <c r="AC166" s="0" t="n">
        <f aca="false">RawFinancials!AC166</f>
        <v>0.166670134145186</v>
      </c>
      <c r="AD166" s="0" t="n">
        <f aca="false">IF(L166&gt;0,100*N166/L166,"")</f>
        <v>88.6771596986712</v>
      </c>
      <c r="AE166" s="0" t="n">
        <f aca="false">IF(B166&gt;0,100*F166/B166,"")</f>
        <v>6.24801101579398</v>
      </c>
      <c r="AF166" s="0" t="str">
        <f aca="false">RawFinancials!AE166</f>
        <v/>
      </c>
    </row>
    <row r="167" customFormat="false" ht="15" hidden="false" customHeight="false" outlineLevel="0" collapsed="false">
      <c r="A167" s="0" t="n">
        <f aca="false">IF(ISBLANK(RawFinancials!A167),"",RawFinancials!A167)</f>
        <v>167</v>
      </c>
      <c r="B167" s="0" t="n">
        <f aca="false">IF(ISBLANK(RawFinancials!B167),"",RawFinancials!B167)</f>
        <v>1004795</v>
      </c>
      <c r="C167" s="0" t="n">
        <f aca="false">IF(ISBLANK(RawFinancials!C167),"",RawFinancials!C167)</f>
        <v>17115</v>
      </c>
      <c r="D167" s="0" t="n">
        <f aca="false">IF(ISBLANK(RawFinancials!D167),"",RawFinancials!D167)</f>
        <v>856846</v>
      </c>
      <c r="E167" s="0" t="n">
        <f aca="false">IF(ISBLANK(RawFinancials!E167),"",RawFinancials!E167)</f>
        <v>0</v>
      </c>
      <c r="F167" s="0" t="n">
        <f aca="false">IF(ISBLANK(RawFinancials!F167),"",RawFinancials!F167)</f>
        <v>78632</v>
      </c>
      <c r="G167" s="0" t="n">
        <f aca="false">IF(ISBLANK(RawFinancials!G167),"",RawFinancials!G167)</f>
        <v>7.82567588413557</v>
      </c>
      <c r="H167" s="0" t="str">
        <f aca="false">IF(ISBLANK(RawFinancials!H167),"",RawFinancials!H167)</f>
        <v>17115_20221231</v>
      </c>
      <c r="I167" s="0" t="n">
        <f aca="false">IF(ISBLANK(RawFinancials!I167),"",RawFinancials!I167)</f>
        <v>0.938865178960301</v>
      </c>
      <c r="J167" s="0" t="n">
        <f aca="false">IF(ISBLANK(RawFinancials!J167),"",RawFinancials!J167)</f>
        <v>40984</v>
      </c>
      <c r="K167" s="0" t="n">
        <f aca="false">IF(ISBLANK(RawFinancials!K167),"",RawFinancials!K167)</f>
        <v>4504</v>
      </c>
      <c r="L167" s="0" t="n">
        <f aca="false">IF(ISBLANK(RawFinancials!L167),"",RawFinancials!L167)</f>
        <v>833453</v>
      </c>
      <c r="M167" s="0" t="n">
        <f aca="false">IF(ISBLANK(RawFinancials!M167),"",RawFinancials!M167)</f>
        <v>825628</v>
      </c>
      <c r="N167" s="0" t="n">
        <f aca="false">IF(ISBLANK(RawFinancials!N167),"",RawFinancials!N167)</f>
        <v>786913</v>
      </c>
      <c r="O167" s="0" t="n">
        <f aca="false">IF(ISBLANK(RawFinancials!O167),"",RawFinancials!O167)</f>
        <v>265</v>
      </c>
      <c r="P167" s="0" t="str">
        <f aca="false">IF(ISBLANK(RawFinancials!P167),"",RawFinancials!P167)</f>
        <v>PARTNERS BANK OF NEW ENGLAND</v>
      </c>
      <c r="Q167" s="0" t="n">
        <f aca="false">IF(ISBLANK(RawFinancials!Q167),"",RawFinancials!Q167)</f>
        <v>0.0317954341756523</v>
      </c>
      <c r="R167" s="0" t="n">
        <f aca="false">IF(ISBLANK(RawFinancials!R167),"",RawFinancials!R167)</f>
        <v>3.57368381916725</v>
      </c>
      <c r="S167" s="0" t="n">
        <f aca="false">IF(ISBLANK(RawFinancials!S167),"",RawFinancials!S167)</f>
        <v>216</v>
      </c>
      <c r="T167" s="0" t="n">
        <f aca="false">IF(ISBLANK(RawFinancials!T167),"",RawFinancials!T167)</f>
        <v>278</v>
      </c>
      <c r="U167" s="0" t="n">
        <f aca="false">IF(ISBLANK(RawFinancials!U167),"",RawFinancials!U167)</f>
        <v>0</v>
      </c>
      <c r="V167" s="0" t="n">
        <f aca="false">IF(ISBLANK(RawFinancials!V167),"",RawFinancials!V167)</f>
        <v>13.9518994818667</v>
      </c>
      <c r="W167" s="0" t="n">
        <f aca="false">IF(ISBLANK(RawFinancials!W167),"",RawFinancials!W167)</f>
        <v>20221231</v>
      </c>
      <c r="X167" s="0" t="n">
        <f aca="false">IF(ISBLANK(RawFinancials!X167),"",RawFinancials!X167)</f>
        <v>0.643393077444468</v>
      </c>
      <c r="Y167" s="0" t="n">
        <f aca="false">IF(ISBLANK(RawFinancials!Y167),"",RawFinancials!Y167)</f>
        <v>7.35</v>
      </c>
      <c r="Z167" s="0" t="str">
        <f aca="false">IF(ISBLANK(RawFinancials!Z167),"",RawFinancials!Z167)</f>
        <v>ME</v>
      </c>
      <c r="AA167" s="0" t="n">
        <f aca="false">RawFinancials!AA167</f>
        <v>1</v>
      </c>
      <c r="AB167" s="0" t="n">
        <f aca="false">RawFinancials!AB167</f>
        <v>265</v>
      </c>
      <c r="AC167" s="0" t="n">
        <f aca="false">RawFinancials!AC167</f>
        <v>0.0263735388810653</v>
      </c>
      <c r="AD167" s="0" t="n">
        <f aca="false">IF(L167&gt;0,100*N167/L167,"")</f>
        <v>94.4160018621326</v>
      </c>
      <c r="AE167" s="0" t="n">
        <f aca="false">IF(B167&gt;0,100*F167/B167,"")</f>
        <v>7.82567588413557</v>
      </c>
      <c r="AF167" s="0" t="str">
        <f aca="false">RawFinancials!AE167</f>
        <v/>
      </c>
    </row>
    <row r="168" customFormat="false" ht="15" hidden="false" customHeight="false" outlineLevel="0" collapsed="false">
      <c r="A168" s="0" t="n">
        <f aca="false">IF(ISBLANK(RawFinancials!A168),"",RawFinancials!A168)</f>
        <v>168</v>
      </c>
      <c r="B168" s="0" t="n">
        <f aca="false">IF(ISBLANK(RawFinancials!B168),"",RawFinancials!B168)</f>
        <v>1552881</v>
      </c>
      <c r="C168" s="0" t="n">
        <f aca="false">IF(ISBLANK(RawFinancials!C168),"",RawFinancials!C168)</f>
        <v>17180</v>
      </c>
      <c r="D168" s="0" t="n">
        <f aca="false">IF(ISBLANK(RawFinancials!D168),"",RawFinancials!D168)</f>
        <v>1174035</v>
      </c>
      <c r="E168" s="0" t="n">
        <f aca="false">IF(ISBLANK(RawFinancials!E168),"",RawFinancials!E168)</f>
        <v>0.15</v>
      </c>
      <c r="F168" s="0" t="n">
        <f aca="false">IF(ISBLANK(RawFinancials!F168),"",RawFinancials!F168)</f>
        <v>127894</v>
      </c>
      <c r="G168" s="0" t="n">
        <f aca="false">IF(ISBLANK(RawFinancials!G168),"",RawFinancials!G168)</f>
        <v>8.23591762665652</v>
      </c>
      <c r="H168" s="0" t="str">
        <f aca="false">IF(ISBLANK(RawFinancials!H168),"",RawFinancials!H168)</f>
        <v>17180_20221231</v>
      </c>
      <c r="I168" s="0" t="n">
        <f aca="false">IF(ISBLANK(RawFinancials!I168),"",RawFinancials!I168)</f>
        <v>0.934719958101985</v>
      </c>
      <c r="J168" s="0" t="n">
        <f aca="false">IF(ISBLANK(RawFinancials!J168),"",RawFinancials!J168)</f>
        <v>49201</v>
      </c>
      <c r="K168" s="0" t="n">
        <f aca="false">IF(ISBLANK(RawFinancials!K168),"",RawFinancials!K168)</f>
        <v>202826</v>
      </c>
      <c r="L168" s="0" t="n">
        <f aca="false">IF(ISBLANK(RawFinancials!L168),"",RawFinancials!L168)</f>
        <v>1390042</v>
      </c>
      <c r="M168" s="0" t="n">
        <f aca="false">IF(ISBLANK(RawFinancials!M168),"",RawFinancials!M168)</f>
        <v>1377049</v>
      </c>
      <c r="N168" s="0" t="n">
        <f aca="false">IF(ISBLANK(RawFinancials!N168),"",RawFinancials!N168)</f>
        <v>1118314</v>
      </c>
      <c r="O168" s="0" t="n">
        <f aca="false">IF(ISBLANK(RawFinancials!O168),"",RawFinancials!O168)</f>
        <v>4104</v>
      </c>
      <c r="P168" s="0" t="str">
        <f aca="false">IF(ISBLANK(RawFinancials!P168),"",RawFinancials!P168)</f>
        <v>MEREDITH VILLAGE SAVINGS BANK</v>
      </c>
      <c r="Q168" s="0" t="n">
        <f aca="false">IF(ISBLANK(RawFinancials!Q168),"",RawFinancials!Q168)</f>
        <v>0.295314817825648</v>
      </c>
      <c r="R168" s="0" t="n">
        <f aca="false">IF(ISBLANK(RawFinancials!R168),"",RawFinancials!R168)</f>
        <v>3.52667259637935</v>
      </c>
      <c r="S168" s="0" t="n">
        <f aca="false">IF(ISBLANK(RawFinancials!S168),"",RawFinancials!S168)</f>
        <v>275</v>
      </c>
      <c r="T168" s="0" t="n">
        <f aca="false">IF(ISBLANK(RawFinancials!T168),"",RawFinancials!T168)</f>
        <v>2652</v>
      </c>
      <c r="U168" s="0" t="n">
        <f aca="false">IF(ISBLANK(RawFinancials!U168),"",RawFinancials!U168)</f>
        <v>1</v>
      </c>
      <c r="V168" s="0" t="n">
        <f aca="false">IF(ISBLANK(RawFinancials!V168),"",RawFinancials!V168)</f>
        <v>13.6744035365497</v>
      </c>
      <c r="W168" s="0" t="n">
        <f aca="false">IF(ISBLANK(RawFinancials!W168),"",RawFinancials!W168)</f>
        <v>20221231</v>
      </c>
      <c r="X168" s="0" t="n">
        <f aca="false">IF(ISBLANK(RawFinancials!X168),"",RawFinancials!X168)</f>
        <v>0.772403237007327</v>
      </c>
      <c r="Y168" s="0" t="n">
        <f aca="false">IF(ISBLANK(RawFinancials!Y168),"",RawFinancials!Y168)</f>
        <v>8.53</v>
      </c>
      <c r="Z168" s="0" t="str">
        <f aca="false">IF(ISBLANK(RawFinancials!Z168),"",RawFinancials!Z168)</f>
        <v>NH</v>
      </c>
      <c r="AA168" s="0" t="n">
        <f aca="false">RawFinancials!AA168</f>
        <v>1</v>
      </c>
      <c r="AB168" s="0" t="n">
        <f aca="false">RawFinancials!AB168</f>
        <v>4105</v>
      </c>
      <c r="AC168" s="0" t="n">
        <f aca="false">RawFinancials!AC168</f>
        <v>0.264347364672502</v>
      </c>
      <c r="AD168" s="0" t="n">
        <f aca="false">IF(L168&gt;0,100*N168/L168,"")</f>
        <v>80.4518136862052</v>
      </c>
      <c r="AE168" s="0" t="n">
        <f aca="false">IF(B168&gt;0,100*F168/B168,"")</f>
        <v>8.23591762665652</v>
      </c>
      <c r="AF168" s="0" t="str">
        <f aca="false">RawFinancials!AE168</f>
        <v/>
      </c>
    </row>
    <row r="169" customFormat="false" ht="15" hidden="false" customHeight="false" outlineLevel="0" collapsed="false">
      <c r="A169" s="0" t="n">
        <f aca="false">IF(ISBLANK(RawFinancials!A169),"",RawFinancials!A169)</f>
        <v>169</v>
      </c>
      <c r="B169" s="0" t="n">
        <f aca="false">IF(ISBLANK(RawFinancials!B169),"",RawFinancials!B169)</f>
        <v>380965</v>
      </c>
      <c r="C169" s="0" t="n">
        <f aca="false">IF(ISBLANK(RawFinancials!C169),"",RawFinancials!C169)</f>
        <v>17443</v>
      </c>
      <c r="D169" s="0" t="n">
        <f aca="false">IF(ISBLANK(RawFinancials!D169),"",RawFinancials!D169)</f>
        <v>341206</v>
      </c>
      <c r="E169" s="0" t="n">
        <f aca="false">IF(ISBLANK(RawFinancials!E169),"",RawFinancials!E169)</f>
        <v>0.05</v>
      </c>
      <c r="F169" s="0" t="n">
        <f aca="false">IF(ISBLANK(RawFinancials!F169),"",RawFinancials!F169)</f>
        <v>38509</v>
      </c>
      <c r="G169" s="0" t="n">
        <f aca="false">IF(ISBLANK(RawFinancials!G169),"",RawFinancials!G169)</f>
        <v>10.1082776633024</v>
      </c>
      <c r="H169" s="0" t="str">
        <f aca="false">IF(ISBLANK(RawFinancials!H169),"",RawFinancials!H169)</f>
        <v>17443_20221231</v>
      </c>
      <c r="I169" s="0" t="n">
        <f aca="false">IF(ISBLANK(RawFinancials!I169),"",RawFinancials!I169)</f>
        <v>0.853066342611196</v>
      </c>
      <c r="J169" s="0" t="n">
        <f aca="false">IF(ISBLANK(RawFinancials!J169),"",RawFinancials!J169)</f>
        <v>0</v>
      </c>
      <c r="K169" s="0" t="n">
        <f aca="false">IF(ISBLANK(RawFinancials!K169),"",RawFinancials!K169)</f>
        <v>969</v>
      </c>
      <c r="L169" s="0" t="n">
        <f aca="false">IF(ISBLANK(RawFinancials!L169),"",RawFinancials!L169)</f>
        <v>206549</v>
      </c>
      <c r="M169" s="0" t="n">
        <f aca="false">IF(ISBLANK(RawFinancials!M169),"",RawFinancials!M169)</f>
        <v>204787</v>
      </c>
      <c r="N169" s="0" t="n">
        <f aca="false">IF(ISBLANK(RawFinancials!N169),"",RawFinancials!N169)</f>
        <v>204563</v>
      </c>
      <c r="O169" s="0" t="n">
        <f aca="false">IF(ISBLANK(RawFinancials!O169),"",RawFinancials!O169)</f>
        <v>286</v>
      </c>
      <c r="P169" s="0" t="str">
        <f aca="false">IF(ISBLANK(RawFinancials!P169),"",RawFinancials!P169)</f>
        <v>PISCATAQUA SAVINGS BANK</v>
      </c>
      <c r="Q169" s="0" t="n">
        <f aca="false">IF(ISBLANK(RawFinancials!Q169),"",RawFinancials!Q169)</f>
        <v>0.138465933023157</v>
      </c>
      <c r="R169" s="0" t="n">
        <f aca="false">IF(ISBLANK(RawFinancials!R169),"",RawFinancials!R169)</f>
        <v>2.04936413046113</v>
      </c>
      <c r="S169" s="0" t="n">
        <f aca="false">IF(ISBLANK(RawFinancials!S169),"",RawFinancials!S169)</f>
        <v>0</v>
      </c>
      <c r="T169" s="0" t="n">
        <f aca="false">IF(ISBLANK(RawFinancials!T169),"",RawFinancials!T169)</f>
        <v>523</v>
      </c>
      <c r="U169" s="0" t="n">
        <f aca="false">IF(ISBLANK(RawFinancials!U169),"",RawFinancials!U169)</f>
        <v>0</v>
      </c>
      <c r="V169" s="0" t="n">
        <f aca="false">IF(ISBLANK(RawFinancials!V169),"",RawFinancials!V169)</f>
        <v>0</v>
      </c>
      <c r="W169" s="0" t="n">
        <f aca="false">IF(ISBLANK(RawFinancials!W169),"",RawFinancials!W169)</f>
        <v>20221231</v>
      </c>
      <c r="X169" s="0" t="n">
        <f aca="false">IF(ISBLANK(RawFinancials!X169),"",RawFinancials!X169)</f>
        <v>0.432265478536582</v>
      </c>
      <c r="Y169" s="0" t="n">
        <f aca="false">IF(ISBLANK(RawFinancials!Y169),"",RawFinancials!Y169)</f>
        <v>3.75</v>
      </c>
      <c r="Z169" s="0" t="str">
        <f aca="false">IF(ISBLANK(RawFinancials!Z169),"",RawFinancials!Z169)</f>
        <v>NH</v>
      </c>
      <c r="AA169" s="0" t="n">
        <f aca="false">RawFinancials!AA169</f>
        <v>1</v>
      </c>
      <c r="AB169" s="0" t="n">
        <f aca="false">RawFinancials!AB169</f>
        <v>286</v>
      </c>
      <c r="AC169" s="0" t="n">
        <f aca="false">RawFinancials!AC169</f>
        <v>0.0750725132229995</v>
      </c>
      <c r="AD169" s="0" t="n">
        <f aca="false">IF(L169&gt;0,100*N169/L169,"")</f>
        <v>99.0384848147413</v>
      </c>
      <c r="AE169" s="0" t="n">
        <f aca="false">IF(B169&gt;0,100*F169/B169,"")</f>
        <v>10.1082776633024</v>
      </c>
      <c r="AF169" s="0" t="str">
        <f aca="false">RawFinancials!AE169</f>
        <v>原始0：需核实适用/报告口径</v>
      </c>
    </row>
    <row r="170" customFormat="false" ht="15" hidden="false" customHeight="false" outlineLevel="0" collapsed="false">
      <c r="A170" s="0" t="n">
        <f aca="false">IF(ISBLANK(RawFinancials!A170),"",RawFinancials!A170)</f>
        <v>170</v>
      </c>
      <c r="B170" s="0" t="n">
        <f aca="false">IF(ISBLANK(RawFinancials!B170),"",RawFinancials!B170)</f>
        <v>1795136</v>
      </c>
      <c r="C170" s="0" t="n">
        <f aca="false">IF(ISBLANK(RawFinancials!C170),"",RawFinancials!C170)</f>
        <v>17658</v>
      </c>
      <c r="D170" s="0" t="n">
        <f aca="false">IF(ISBLANK(RawFinancials!D170),"",RawFinancials!D170)</f>
        <v>1531543</v>
      </c>
      <c r="E170" s="0" t="n">
        <f aca="false">IF(ISBLANK(RawFinancials!E170),"",RawFinancials!E170)</f>
        <v>-0.01</v>
      </c>
      <c r="F170" s="0" t="n">
        <f aca="false">IF(ISBLANK(RawFinancials!F170),"",RawFinancials!F170)</f>
        <v>187871</v>
      </c>
      <c r="G170" s="0" t="n">
        <f aca="false">IF(ISBLANK(RawFinancials!G170),"",RawFinancials!G170)</f>
        <v>10.4655580412849</v>
      </c>
      <c r="H170" s="0" t="str">
        <f aca="false">IF(ISBLANK(RawFinancials!H170),"",RawFinancials!H170)</f>
        <v>17658_20221231</v>
      </c>
      <c r="I170" s="0" t="n">
        <f aca="false">IF(ISBLANK(RawFinancials!I170),"",RawFinancials!I170)</f>
        <v>0.691892016453319</v>
      </c>
      <c r="J170" s="0" t="n">
        <f aca="false">IF(ISBLANK(RawFinancials!J170),"",RawFinancials!J170)</f>
        <v>87968</v>
      </c>
      <c r="K170" s="0" t="n">
        <f aca="false">IF(ISBLANK(RawFinancials!K170),"",RawFinancials!K170)</f>
        <v>64395</v>
      </c>
      <c r="L170" s="0" t="n">
        <f aca="false">IF(ISBLANK(RawFinancials!L170),"",RawFinancials!L170)</f>
        <v>1215074</v>
      </c>
      <c r="M170" s="0" t="n">
        <f aca="false">IF(ISBLANK(RawFinancials!M170),"",RawFinancials!M170)</f>
        <v>1206667</v>
      </c>
      <c r="N170" s="0" t="n">
        <f aca="false">IF(ISBLANK(RawFinancials!N170),"",RawFinancials!N170)</f>
        <v>1049471</v>
      </c>
      <c r="O170" s="0" t="n">
        <f aca="false">IF(ISBLANK(RawFinancials!O170),"",RawFinancials!O170)</f>
        <v>677</v>
      </c>
      <c r="P170" s="0" t="str">
        <f aca="false">IF(ISBLANK(RawFinancials!P170),"",RawFinancials!P170)</f>
        <v>NORWAY SAVINGS BANK</v>
      </c>
      <c r="Q170" s="0" t="n">
        <f aca="false">IF(ISBLANK(RawFinancials!Q170),"",RawFinancials!Q170)</f>
        <v>0.0719297754704651</v>
      </c>
      <c r="R170" s="0" t="n">
        <f aca="false">IF(ISBLANK(RawFinancials!R170),"",RawFinancials!R170)</f>
        <v>3.63823974585111</v>
      </c>
      <c r="S170" s="0" t="n">
        <f aca="false">IF(ISBLANK(RawFinancials!S170),"",RawFinancials!S170)</f>
        <v>533</v>
      </c>
      <c r="T170" s="0" t="n">
        <f aca="false">IF(ISBLANK(RawFinancials!T170),"",RawFinancials!T170)</f>
        <v>1734</v>
      </c>
      <c r="U170" s="0" t="n">
        <f aca="false">IF(ISBLANK(RawFinancials!U170),"",RawFinancials!U170)</f>
        <v>197</v>
      </c>
      <c r="V170" s="0" t="n">
        <f aca="false">IF(ISBLANK(RawFinancials!V170),"",RawFinancials!V170)</f>
        <v>0</v>
      </c>
      <c r="W170" s="0" t="n">
        <f aca="false">IF(ISBLANK(RawFinancials!W170),"",RawFinancials!W170)</f>
        <v>20221231</v>
      </c>
      <c r="X170" s="0" t="n">
        <f aca="false">IF(ISBLANK(RawFinancials!X170),"",RawFinancials!X170)</f>
        <v>0.528128430999244</v>
      </c>
      <c r="Y170" s="0" t="n">
        <f aca="false">IF(ISBLANK(RawFinancials!Y170),"",RawFinancials!Y170)</f>
        <v>4.61</v>
      </c>
      <c r="Z170" s="0" t="str">
        <f aca="false">IF(ISBLANK(RawFinancials!Z170),"",RawFinancials!Z170)</f>
        <v>ME</v>
      </c>
      <c r="AA170" s="0" t="n">
        <f aca="false">RawFinancials!AA170</f>
        <v>1</v>
      </c>
      <c r="AB170" s="0" t="n">
        <f aca="false">RawFinancials!AB170</f>
        <v>874</v>
      </c>
      <c r="AC170" s="0" t="n">
        <f aca="false">RawFinancials!AC170</f>
        <v>0.0486871189703733</v>
      </c>
      <c r="AD170" s="0" t="n">
        <f aca="false">IF(L170&gt;0,100*N170/L170,"")</f>
        <v>86.3709535386322</v>
      </c>
      <c r="AE170" s="0" t="n">
        <f aca="false">IF(B170&gt;0,100*F170/B170,"")</f>
        <v>10.4655580412849</v>
      </c>
      <c r="AF170" s="0" t="str">
        <f aca="false">RawFinancials!AE170</f>
        <v>原始0：需核实适用/报告口径</v>
      </c>
    </row>
    <row r="171" customFormat="false" ht="15" hidden="false" customHeight="false" outlineLevel="0" collapsed="false">
      <c r="A171" s="0" t="n">
        <f aca="false">IF(ISBLANK(RawFinancials!A171),"",RawFinancials!A171)</f>
        <v>171</v>
      </c>
      <c r="B171" s="0" t="n">
        <f aca="false">IF(ISBLANK(RawFinancials!B171),"",RawFinancials!B171)</f>
        <v>1004289</v>
      </c>
      <c r="C171" s="0" t="n">
        <f aca="false">IF(ISBLANK(RawFinancials!C171),"",RawFinancials!C171)</f>
        <v>17741</v>
      </c>
      <c r="D171" s="0" t="n">
        <f aca="false">IF(ISBLANK(RawFinancials!D171),"",RawFinancials!D171)</f>
        <v>828427</v>
      </c>
      <c r="E171" s="0" t="n">
        <f aca="false">IF(ISBLANK(RawFinancials!E171),"",RawFinancials!E171)</f>
        <v>0.02</v>
      </c>
      <c r="F171" s="0" t="n">
        <f aca="false">IF(ISBLANK(RawFinancials!F171),"",RawFinancials!F171)</f>
        <v>130201</v>
      </c>
      <c r="G171" s="0" t="n">
        <f aca="false">IF(ISBLANK(RawFinancials!G171),"",RawFinancials!G171)</f>
        <v>12.9644952797452</v>
      </c>
      <c r="H171" s="0" t="str">
        <f aca="false">IF(ISBLANK(RawFinancials!H171),"",RawFinancials!H171)</f>
        <v>17741_20221231</v>
      </c>
      <c r="I171" s="0" t="n">
        <f aca="false">IF(ISBLANK(RawFinancials!I171),"",RawFinancials!I171)</f>
        <v>0.932551492471344</v>
      </c>
      <c r="J171" s="0" t="n">
        <f aca="false">IF(ISBLANK(RawFinancials!J171),"",RawFinancials!J171)</f>
        <v>45845</v>
      </c>
      <c r="K171" s="0" t="n">
        <f aca="false">IF(ISBLANK(RawFinancials!K171),"",RawFinancials!K171)</f>
        <v>3546</v>
      </c>
      <c r="L171" s="0" t="n">
        <f aca="false">IF(ISBLANK(RawFinancials!L171),"",RawFinancials!L171)</f>
        <v>848425</v>
      </c>
      <c r="M171" s="0" t="n">
        <f aca="false">IF(ISBLANK(RawFinancials!M171),"",RawFinancials!M171)</f>
        <v>840513</v>
      </c>
      <c r="N171" s="0" t="n">
        <f aca="false">IF(ISBLANK(RawFinancials!N171),"",RawFinancials!N171)</f>
        <v>795357</v>
      </c>
      <c r="O171" s="0" t="n">
        <f aca="false">IF(ISBLANK(RawFinancials!O171),"",RawFinancials!O171)</f>
        <v>1820</v>
      </c>
      <c r="P171" s="0" t="str">
        <f aca="false">IF(ISBLANK(RawFinancials!P171),"",RawFinancials!P171)</f>
        <v>MAINE COMMUNITY BANK</v>
      </c>
      <c r="Q171" s="0" t="n">
        <f aca="false">IF(ISBLANK(RawFinancials!Q171),"",RawFinancials!Q171)</f>
        <v>0.214515130977989</v>
      </c>
      <c r="R171" s="0" t="n">
        <f aca="false">IF(ISBLANK(RawFinancials!R171),"",RawFinancials!R171)</f>
        <v>3.5594789903923</v>
      </c>
      <c r="S171" s="0" t="n">
        <f aca="false">IF(ISBLANK(RawFinancials!S171),"",RawFinancials!S171)</f>
        <v>-9</v>
      </c>
      <c r="T171" s="0" t="n">
        <f aca="false">IF(ISBLANK(RawFinancials!T171),"",RawFinancials!T171)</f>
        <v>2400</v>
      </c>
      <c r="U171" s="0" t="n">
        <f aca="false">IF(ISBLANK(RawFinancials!U171),"",RawFinancials!U171)</f>
        <v>0</v>
      </c>
      <c r="V171" s="0" t="n">
        <f aca="false">IF(ISBLANK(RawFinancials!V171),"",RawFinancials!V171)</f>
        <v>0</v>
      </c>
      <c r="W171" s="0" t="n">
        <f aca="false">IF(ISBLANK(RawFinancials!W171),"",RawFinancials!W171)</f>
        <v>20221231</v>
      </c>
      <c r="X171" s="0" t="n">
        <f aca="false">IF(ISBLANK(RawFinancials!X171),"",RawFinancials!X171)</f>
        <v>0.824176914710342</v>
      </c>
      <c r="Y171" s="0" t="n">
        <f aca="false">IF(ISBLANK(RawFinancials!Y171),"",RawFinancials!Y171)</f>
        <v>6.4</v>
      </c>
      <c r="Z171" s="0" t="str">
        <f aca="false">IF(ISBLANK(RawFinancials!Z171),"",RawFinancials!Z171)</f>
        <v>ME</v>
      </c>
      <c r="AA171" s="0" t="n">
        <f aca="false">RawFinancials!AA171</f>
        <v>1</v>
      </c>
      <c r="AB171" s="0" t="n">
        <f aca="false">RawFinancials!AB171</f>
        <v>1820</v>
      </c>
      <c r="AC171" s="0" t="n">
        <f aca="false">RawFinancials!AC171</f>
        <v>0.18122273568664</v>
      </c>
      <c r="AD171" s="0" t="n">
        <f aca="false">IF(L171&gt;0,100*N171/L171,"")</f>
        <v>93.7451159501429</v>
      </c>
      <c r="AE171" s="0" t="n">
        <f aca="false">IF(B171&gt;0,100*F171/B171,"")</f>
        <v>12.9644952797452</v>
      </c>
      <c r="AF171" s="0" t="str">
        <f aca="false">RawFinancials!AE171</f>
        <v>原始0：需核实适用/报告口径</v>
      </c>
    </row>
    <row r="172" customFormat="false" ht="15" hidden="false" customHeight="false" outlineLevel="0" collapsed="false">
      <c r="A172" s="0" t="n">
        <f aca="false">IF(ISBLANK(RawFinancials!A172),"",RawFinancials!A172)</f>
        <v>172</v>
      </c>
      <c r="B172" s="0" t="n">
        <f aca="false">IF(ISBLANK(RawFinancials!B172),"",RawFinancials!B172)</f>
        <v>1276362</v>
      </c>
      <c r="C172" s="0" t="n">
        <f aca="false">IF(ISBLANK(RawFinancials!C172),"",RawFinancials!C172)</f>
        <v>17743</v>
      </c>
      <c r="D172" s="0" t="n">
        <f aca="false">IF(ISBLANK(RawFinancials!D172),"",RawFinancials!D172)</f>
        <v>1007618</v>
      </c>
      <c r="E172" s="0" t="n">
        <f aca="false">IF(ISBLANK(RawFinancials!E172),"",RawFinancials!E172)</f>
        <v>-0.03</v>
      </c>
      <c r="F172" s="0" t="n">
        <f aca="false">IF(ISBLANK(RawFinancials!F172),"",RawFinancials!F172)</f>
        <v>120023</v>
      </c>
      <c r="G172" s="0" t="n">
        <f aca="false">IF(ISBLANK(RawFinancials!G172),"",RawFinancials!G172)</f>
        <v>9.40352345181069</v>
      </c>
      <c r="H172" s="0" t="str">
        <f aca="false">IF(ISBLANK(RawFinancials!H172),"",RawFinancials!H172)</f>
        <v>17743_20221231</v>
      </c>
      <c r="I172" s="0" t="n">
        <f aca="false">IF(ISBLANK(RawFinancials!I172),"",RawFinancials!I172)</f>
        <v>0.497508393421833</v>
      </c>
      <c r="J172" s="0" t="n">
        <f aca="false">IF(ISBLANK(RawFinancials!J172),"",RawFinancials!J172)</f>
        <v>11335</v>
      </c>
      <c r="K172" s="0" t="n">
        <f aca="false">IF(ISBLANK(RawFinancials!K172),"",RawFinancials!K172)</f>
        <v>6789</v>
      </c>
      <c r="L172" s="0" t="n">
        <f aca="false">IF(ISBLANK(RawFinancials!L172),"",RawFinancials!L172)</f>
        <v>984104</v>
      </c>
      <c r="M172" s="0" t="n">
        <f aca="false">IF(ISBLANK(RawFinancials!M172),"",RawFinancials!M172)</f>
        <v>979208</v>
      </c>
      <c r="N172" s="0" t="n">
        <f aca="false">IF(ISBLANK(RawFinancials!N172),"",RawFinancials!N172)</f>
        <v>953202</v>
      </c>
      <c r="O172" s="0" t="n">
        <f aca="false">IF(ISBLANK(RawFinancials!O172),"",RawFinancials!O172)</f>
        <v>2426</v>
      </c>
      <c r="P172" s="0" t="str">
        <f aca="false">IF(ISBLANK(RawFinancials!P172),"",RawFinancials!P172)</f>
        <v>SACO &amp; BIDDEFORD SAVINGS INSTITUTION</v>
      </c>
      <c r="Q172" s="0" t="n">
        <f aca="false">IF(ISBLANK(RawFinancials!Q172),"",RawFinancials!Q172)</f>
        <v>0.246518660629364</v>
      </c>
      <c r="R172" s="0" t="n">
        <f aca="false">IF(ISBLANK(RawFinancials!R172),"",RawFinancials!R172)</f>
        <v>2.6949216119851</v>
      </c>
      <c r="S172" s="0" t="n">
        <f aca="false">IF(ISBLANK(RawFinancials!S172),"",RawFinancials!S172)</f>
        <v>-240</v>
      </c>
      <c r="T172" s="0" t="n">
        <f aca="false">IF(ISBLANK(RawFinancials!T172),"",RawFinancials!T172)</f>
        <v>2594</v>
      </c>
      <c r="U172" s="0" t="n">
        <f aca="false">IF(ISBLANK(RawFinancials!U172),"",RawFinancials!U172)</f>
        <v>0</v>
      </c>
      <c r="V172" s="0" t="n">
        <f aca="false">IF(ISBLANK(RawFinancials!V172),"",RawFinancials!V172)</f>
        <v>0</v>
      </c>
      <c r="W172" s="0" t="n">
        <f aca="false">IF(ISBLANK(RawFinancials!W172),"",RawFinancials!W172)</f>
        <v>20221231</v>
      </c>
      <c r="X172" s="0" t="n">
        <f aca="false">IF(ISBLANK(RawFinancials!X172),"",RawFinancials!X172)</f>
        <v>0.417446254000801</v>
      </c>
      <c r="Y172" s="0" t="n">
        <f aca="false">IF(ISBLANK(RawFinancials!Y172),"",RawFinancials!Y172)</f>
        <v>4.11</v>
      </c>
      <c r="Z172" s="0" t="str">
        <f aca="false">IF(ISBLANK(RawFinancials!Z172),"",RawFinancials!Z172)</f>
        <v>ME</v>
      </c>
      <c r="AA172" s="0" t="n">
        <f aca="false">RawFinancials!AA172</f>
        <v>1</v>
      </c>
      <c r="AB172" s="0" t="n">
        <f aca="false">RawFinancials!AB172</f>
        <v>2426</v>
      </c>
      <c r="AC172" s="0" t="n">
        <f aca="false">RawFinancials!AC172</f>
        <v>0.190071468752595</v>
      </c>
      <c r="AD172" s="0" t="n">
        <f aca="false">IF(L172&gt;0,100*N172/L172,"")</f>
        <v>96.8598847276304</v>
      </c>
      <c r="AE172" s="0" t="n">
        <f aca="false">IF(B172&gt;0,100*F172/B172,"")</f>
        <v>9.40352345181069</v>
      </c>
      <c r="AF172" s="0" t="str">
        <f aca="false">RawFinancials!AE172</f>
        <v>原始0：需核实适用/报告口径</v>
      </c>
    </row>
    <row r="173" customFormat="false" ht="15" hidden="false" customHeight="false" outlineLevel="0" collapsed="false">
      <c r="A173" s="0" t="n">
        <f aca="false">IF(ISBLANK(RawFinancials!A173),"",RawFinancials!A173)</f>
        <v>173</v>
      </c>
      <c r="B173" s="0" t="n">
        <f aca="false">IF(ISBLANK(RawFinancials!B173),"",RawFinancials!B173)</f>
        <v>1607984</v>
      </c>
      <c r="C173" s="0" t="n">
        <f aca="false">IF(ISBLANK(RawFinancials!C173),"",RawFinancials!C173)</f>
        <v>17748</v>
      </c>
      <c r="D173" s="0" t="n">
        <f aca="false">IF(ISBLANK(RawFinancials!D173),"",RawFinancials!D173)</f>
        <v>1349761</v>
      </c>
      <c r="E173" s="0" t="n">
        <f aca="false">IF(ISBLANK(RawFinancials!E173),"",RawFinancials!E173)</f>
        <v>0.06</v>
      </c>
      <c r="F173" s="0" t="n">
        <f aca="false">IF(ISBLANK(RawFinancials!F173),"",RawFinancials!F173)</f>
        <v>106514</v>
      </c>
      <c r="G173" s="0" t="n">
        <f aca="false">IF(ISBLANK(RawFinancials!G173),"",RawFinancials!G173)</f>
        <v>6.62407088627748</v>
      </c>
      <c r="H173" s="0" t="str">
        <f aca="false">IF(ISBLANK(RawFinancials!H173),"",RawFinancials!H173)</f>
        <v>17748_20221231</v>
      </c>
      <c r="I173" s="0" t="n">
        <f aca="false">IF(ISBLANK(RawFinancials!I173),"",RawFinancials!I173)</f>
        <v>0.817512014534263</v>
      </c>
      <c r="J173" s="0" t="n">
        <f aca="false">IF(ISBLANK(RawFinancials!J173),"",RawFinancials!J173)</f>
        <v>166333</v>
      </c>
      <c r="K173" s="0" t="n">
        <f aca="false">IF(ISBLANK(RawFinancials!K173),"",RawFinancials!K173)</f>
        <v>3017</v>
      </c>
      <c r="L173" s="0" t="n">
        <f aca="false">IF(ISBLANK(RawFinancials!L173),"",RawFinancials!L173)</f>
        <v>1241205</v>
      </c>
      <c r="M173" s="0" t="n">
        <f aca="false">IF(ISBLANK(RawFinancials!M173),"",RawFinancials!M173)</f>
        <v>1231058</v>
      </c>
      <c r="N173" s="0" t="n">
        <f aca="false">IF(ISBLANK(RawFinancials!N173),"",RawFinancials!N173)</f>
        <v>1039935</v>
      </c>
      <c r="O173" s="0" t="n">
        <f aca="false">IF(ISBLANK(RawFinancials!O173),"",RawFinancials!O173)</f>
        <v>6143</v>
      </c>
      <c r="P173" s="0" t="str">
        <f aca="false">IF(ISBLANK(RawFinancials!P173),"",RawFinancials!P173)</f>
        <v>GORHAM SAVINGS BANK</v>
      </c>
      <c r="Q173" s="0" t="n">
        <f aca="false">IF(ISBLANK(RawFinancials!Q173),"",RawFinancials!Q173)</f>
        <v>0.494922273113627</v>
      </c>
      <c r="R173" s="0" t="n">
        <f aca="false">IF(ISBLANK(RawFinancials!R173),"",RawFinancials!R173)</f>
        <v>3.0347031274041</v>
      </c>
      <c r="S173" s="0" t="n">
        <f aca="false">IF(ISBLANK(RawFinancials!S173),"",RawFinancials!S173)</f>
        <v>242</v>
      </c>
      <c r="T173" s="0" t="n">
        <f aca="false">IF(ISBLANK(RawFinancials!T173),"",RawFinancials!T173)</f>
        <v>3233</v>
      </c>
      <c r="U173" s="0" t="n">
        <f aca="false">IF(ISBLANK(RawFinancials!U173),"",RawFinancials!U173)</f>
        <v>0</v>
      </c>
      <c r="V173" s="0" t="n">
        <f aca="false">IF(ISBLANK(RawFinancials!V173),"",RawFinancials!V173)</f>
        <v>0</v>
      </c>
      <c r="W173" s="0" t="n">
        <f aca="false">IF(ISBLANK(RawFinancials!W173),"",RawFinancials!W173)</f>
        <v>20221231</v>
      </c>
      <c r="X173" s="0" t="n">
        <f aca="false">IF(ISBLANK(RawFinancials!X173),"",RawFinancials!X173)</f>
        <v>0.399009983706452</v>
      </c>
      <c r="Y173" s="0" t="n">
        <f aca="false">IF(ISBLANK(RawFinancials!Y173),"",RawFinancials!Y173)</f>
        <v>5.35</v>
      </c>
      <c r="Z173" s="0" t="str">
        <f aca="false">IF(ISBLANK(RawFinancials!Z173),"",RawFinancials!Z173)</f>
        <v>ME</v>
      </c>
      <c r="AA173" s="0" t="n">
        <f aca="false">RawFinancials!AA173</f>
        <v>1</v>
      </c>
      <c r="AB173" s="0" t="n">
        <f aca="false">RawFinancials!AB173</f>
        <v>6143</v>
      </c>
      <c r="AC173" s="0" t="n">
        <f aca="false">RawFinancials!AC173</f>
        <v>0.382031164489199</v>
      </c>
      <c r="AD173" s="0" t="n">
        <f aca="false">IF(L173&gt;0,100*N173/L173,"")</f>
        <v>83.7843063796875</v>
      </c>
      <c r="AE173" s="0" t="n">
        <f aca="false">IF(B173&gt;0,100*F173/B173,"")</f>
        <v>6.62407088627748</v>
      </c>
      <c r="AF173" s="0" t="str">
        <f aca="false">RawFinancials!AE173</f>
        <v>原始0：需核实适用/报告口径</v>
      </c>
    </row>
    <row r="174" customFormat="false" ht="15" hidden="false" customHeight="false" outlineLevel="0" collapsed="false">
      <c r="A174" s="0" t="n">
        <f aca="false">IF(ISBLANK(RawFinancials!A174),"",RawFinancials!A174)</f>
        <v>174</v>
      </c>
      <c r="B174" s="0" t="n">
        <f aca="false">IF(ISBLANK(RawFinancials!B174),"",RawFinancials!B174)</f>
        <v>1276951</v>
      </c>
      <c r="C174" s="0" t="n">
        <f aca="false">IF(ISBLANK(RawFinancials!C174),"",RawFinancials!C174)</f>
        <v>17749</v>
      </c>
      <c r="D174" s="0" t="n">
        <f aca="false">IF(ISBLANK(RawFinancials!D174),"",RawFinancials!D174)</f>
        <v>1055695</v>
      </c>
      <c r="E174" s="0" t="n">
        <f aca="false">IF(ISBLANK(RawFinancials!E174),"",RawFinancials!E174)</f>
        <v>0.05</v>
      </c>
      <c r="F174" s="0" t="n">
        <f aca="false">IF(ISBLANK(RawFinancials!F174),"",RawFinancials!F174)</f>
        <v>150442</v>
      </c>
      <c r="G174" s="0" t="n">
        <f aca="false">IF(ISBLANK(RawFinancials!G174),"",RawFinancials!G174)</f>
        <v>11.7813447814364</v>
      </c>
      <c r="H174" s="0" t="str">
        <f aca="false">IF(ISBLANK(RawFinancials!H174),"",RawFinancials!H174)</f>
        <v>17749_20221231</v>
      </c>
      <c r="I174" s="0" t="n">
        <f aca="false">IF(ISBLANK(RawFinancials!I174),"",RawFinancials!I174)</f>
        <v>1.37966620355871</v>
      </c>
      <c r="J174" s="0" t="n">
        <f aca="false">IF(ISBLANK(RawFinancials!J174),"",RawFinancials!J174)</f>
        <v>48423</v>
      </c>
      <c r="K174" s="0" t="n">
        <f aca="false">IF(ISBLANK(RawFinancials!K174),"",RawFinancials!K174)</f>
        <v>9983</v>
      </c>
      <c r="L174" s="0" t="n">
        <f aca="false">IF(ISBLANK(RawFinancials!L174),"",RawFinancials!L174)</f>
        <v>724813</v>
      </c>
      <c r="M174" s="0" t="n">
        <f aca="false">IF(ISBLANK(RawFinancials!M174),"",RawFinancials!M174)</f>
        <v>714813</v>
      </c>
      <c r="N174" s="0" t="n">
        <f aca="false">IF(ISBLANK(RawFinancials!N174),"",RawFinancials!N174)</f>
        <v>655371</v>
      </c>
      <c r="O174" s="0" t="n">
        <f aca="false">IF(ISBLANK(RawFinancials!O174),"",RawFinancials!O174)</f>
        <v>204</v>
      </c>
      <c r="P174" s="0" t="str">
        <f aca="false">IF(ISBLANK(RawFinancials!P174),"",RawFinancials!P174)</f>
        <v>BATH SAVINGS INSTITUTION</v>
      </c>
      <c r="Q174" s="0" t="n">
        <f aca="false">IF(ISBLANK(RawFinancials!Q174),"",RawFinancials!Q174)</f>
        <v>0.0281451905525977</v>
      </c>
      <c r="R174" s="0" t="n">
        <f aca="false">IF(ISBLANK(RawFinancials!R174),"",RawFinancials!R174)</f>
        <v>2.95051816547678</v>
      </c>
      <c r="S174" s="0" t="n">
        <f aca="false">IF(ISBLANK(RawFinancials!S174),"",RawFinancials!S174)</f>
        <v>17</v>
      </c>
      <c r="T174" s="0" t="n">
        <f aca="false">IF(ISBLANK(RawFinancials!T174),"",RawFinancials!T174)</f>
        <v>965</v>
      </c>
      <c r="U174" s="0" t="n">
        <f aca="false">IF(ISBLANK(RawFinancials!U174),"",RawFinancials!U174)</f>
        <v>0</v>
      </c>
      <c r="V174" s="0" t="n">
        <f aca="false">IF(ISBLANK(RawFinancials!V174),"",RawFinancials!V174)</f>
        <v>0</v>
      </c>
      <c r="W174" s="0" t="n">
        <f aca="false">IF(ISBLANK(RawFinancials!W174),"",RawFinancials!W174)</f>
        <v>20221231</v>
      </c>
      <c r="X174" s="0" t="n">
        <f aca="false">IF(ISBLANK(RawFinancials!X174),"",RawFinancials!X174)</f>
        <v>0.633133792451287</v>
      </c>
      <c r="Y174" s="0" t="n">
        <f aca="false">IF(ISBLANK(RawFinancials!Y174),"",RawFinancials!Y174)</f>
        <v>4.96</v>
      </c>
      <c r="Z174" s="0" t="str">
        <f aca="false">IF(ISBLANK(RawFinancials!Z174),"",RawFinancials!Z174)</f>
        <v>ME</v>
      </c>
      <c r="AA174" s="0" t="n">
        <f aca="false">RawFinancials!AA174</f>
        <v>1</v>
      </c>
      <c r="AB174" s="0" t="n">
        <f aca="false">RawFinancials!AB174</f>
        <v>204</v>
      </c>
      <c r="AC174" s="0" t="n">
        <f aca="false">RawFinancials!AC174</f>
        <v>0.015975554269506</v>
      </c>
      <c r="AD174" s="0" t="n">
        <f aca="false">IF(L174&gt;0,100*N174/L174,"")</f>
        <v>90.4193219492476</v>
      </c>
      <c r="AE174" s="0" t="n">
        <f aca="false">IF(B174&gt;0,100*F174/B174,"")</f>
        <v>11.7813447814364</v>
      </c>
      <c r="AF174" s="0" t="str">
        <f aca="false">RawFinancials!AE174</f>
        <v>原始0：需核实适用/报告口径</v>
      </c>
    </row>
    <row r="175" customFormat="false" ht="15" hidden="false" customHeight="false" outlineLevel="0" collapsed="false">
      <c r="A175" s="0" t="n">
        <f aca="false">IF(ISBLANK(RawFinancials!A175),"",RawFinancials!A175)</f>
        <v>175</v>
      </c>
      <c r="B175" s="0" t="n">
        <f aca="false">IF(ISBLANK(RawFinancials!B175),"",RawFinancials!B175)</f>
        <v>1450036</v>
      </c>
      <c r="C175" s="0" t="n">
        <f aca="false">IF(ISBLANK(RawFinancials!C175),"",RawFinancials!C175)</f>
        <v>17751</v>
      </c>
      <c r="D175" s="0" t="n">
        <f aca="false">IF(ISBLANK(RawFinancials!D175),"",RawFinancials!D175)</f>
        <v>1265376</v>
      </c>
      <c r="E175" s="0" t="n">
        <f aca="false">IF(ISBLANK(RawFinancials!E175),"",RawFinancials!E175)</f>
        <v>0.23</v>
      </c>
      <c r="F175" s="0" t="n">
        <f aca="false">IF(ISBLANK(RawFinancials!F175),"",RawFinancials!F175)</f>
        <v>125470</v>
      </c>
      <c r="G175" s="0" t="n">
        <f aca="false">IF(ISBLANK(RawFinancials!G175),"",RawFinancials!G175)</f>
        <v>8.65288861793776</v>
      </c>
      <c r="H175" s="0" t="str">
        <f aca="false">IF(ISBLANK(RawFinancials!H175),"",RawFinancials!H175)</f>
        <v>17751_20221231</v>
      </c>
      <c r="I175" s="0" t="n">
        <f aca="false">IF(ISBLANK(RawFinancials!I175),"",RawFinancials!I175)</f>
        <v>1.25644457664089</v>
      </c>
      <c r="J175" s="0" t="n">
        <f aca="false">IF(ISBLANK(RawFinancials!J175),"",RawFinancials!J175)</f>
        <v>116008</v>
      </c>
      <c r="K175" s="0" t="n">
        <f aca="false">IF(ISBLANK(RawFinancials!K175),"",RawFinancials!K175)</f>
        <v>1809</v>
      </c>
      <c r="L175" s="0" t="n">
        <f aca="false">IF(ISBLANK(RawFinancials!L175),"",RawFinancials!L175)</f>
        <v>1210320</v>
      </c>
      <c r="M175" s="0" t="n">
        <f aca="false">IF(ISBLANK(RawFinancials!M175),"",RawFinancials!M175)</f>
        <v>1195113</v>
      </c>
      <c r="N175" s="0" t="n">
        <f aca="false">IF(ISBLANK(RawFinancials!N175),"",RawFinancials!N175)</f>
        <v>1045931</v>
      </c>
      <c r="O175" s="0" t="n">
        <f aca="false">IF(ISBLANK(RawFinancials!O175),"",RawFinancials!O175)</f>
        <v>6987</v>
      </c>
      <c r="P175" s="0" t="str">
        <f aca="false">IF(ISBLANK(RawFinancials!P175),"",RawFinancials!P175)</f>
        <v>ANDROSCOGGIN SAVINGS BANK</v>
      </c>
      <c r="Q175" s="0" t="n">
        <f aca="false">IF(ISBLANK(RawFinancials!Q175),"",RawFinancials!Q175)</f>
        <v>0.577285346024192</v>
      </c>
      <c r="R175" s="0" t="n">
        <f aca="false">IF(ISBLANK(RawFinancials!R175),"",RawFinancials!R175)</f>
        <v>3.25537988746412</v>
      </c>
      <c r="S175" s="0" t="n">
        <f aca="false">IF(ISBLANK(RawFinancials!S175),"",RawFinancials!S175)</f>
        <v>-458</v>
      </c>
      <c r="T175" s="0" t="n">
        <f aca="false">IF(ISBLANK(RawFinancials!T175),"",RawFinancials!T175)</f>
        <v>2294</v>
      </c>
      <c r="U175" s="0" t="n">
        <f aca="false">IF(ISBLANK(RawFinancials!U175),"",RawFinancials!U175)</f>
        <v>0</v>
      </c>
      <c r="V175" s="0" t="n">
        <f aca="false">IF(ISBLANK(RawFinancials!V175),"",RawFinancials!V175)</f>
        <v>13.1251359750373</v>
      </c>
      <c r="W175" s="0" t="n">
        <f aca="false">IF(ISBLANK(RawFinancials!W175),"",RawFinancials!W175)</f>
        <v>20221231</v>
      </c>
      <c r="X175" s="0" t="n">
        <f aca="false">IF(ISBLANK(RawFinancials!X175),"",RawFinancials!X175)</f>
        <v>0.578831780065149</v>
      </c>
      <c r="Y175" s="0" t="n">
        <f aca="false">IF(ISBLANK(RawFinancials!Y175),"",RawFinancials!Y175)</f>
        <v>6.4</v>
      </c>
      <c r="Z175" s="0" t="str">
        <f aca="false">IF(ISBLANK(RawFinancials!Z175),"",RawFinancials!Z175)</f>
        <v>ME</v>
      </c>
      <c r="AA175" s="0" t="n">
        <f aca="false">RawFinancials!AA175</f>
        <v>1</v>
      </c>
      <c r="AB175" s="0" t="n">
        <f aca="false">RawFinancials!AB175</f>
        <v>6987</v>
      </c>
      <c r="AC175" s="0" t="n">
        <f aca="false">RawFinancials!AC175</f>
        <v>0.481850105790477</v>
      </c>
      <c r="AD175" s="0" t="n">
        <f aca="false">IF(L175&gt;0,100*N175/L175,"")</f>
        <v>86.417724238218</v>
      </c>
      <c r="AE175" s="0" t="n">
        <f aca="false">IF(B175&gt;0,100*F175/B175,"")</f>
        <v>8.65288861793776</v>
      </c>
      <c r="AF175" s="0" t="str">
        <f aca="false">RawFinancials!AE175</f>
        <v/>
      </c>
    </row>
    <row r="176" customFormat="false" ht="15" hidden="false" customHeight="false" outlineLevel="0" collapsed="false">
      <c r="A176" s="0" t="n">
        <f aca="false">IF(ISBLANK(RawFinancials!A176),"",RawFinancials!A176)</f>
        <v>176</v>
      </c>
      <c r="B176" s="0" t="n">
        <f aca="false">IF(ISBLANK(RawFinancials!B176),"",RawFinancials!B176)</f>
        <v>1640422</v>
      </c>
      <c r="C176" s="0" t="n">
        <f aca="false">IF(ISBLANK(RawFinancials!C176),"",RawFinancials!C176)</f>
        <v>17897</v>
      </c>
      <c r="D176" s="0" t="n">
        <f aca="false">IF(ISBLANK(RawFinancials!D176),"",RawFinancials!D176)</f>
        <v>1346856</v>
      </c>
      <c r="E176" s="0" t="n">
        <f aca="false">IF(ISBLANK(RawFinancials!E176),"",RawFinancials!E176)</f>
        <v>0.09</v>
      </c>
      <c r="F176" s="0" t="n">
        <f aca="false">IF(ISBLANK(RawFinancials!F176),"",RawFinancials!F176)</f>
        <v>195954</v>
      </c>
      <c r="G176" s="0" t="n">
        <f aca="false">IF(ISBLANK(RawFinancials!G176),"",RawFinancials!G176)</f>
        <v>11.9453408939895</v>
      </c>
      <c r="H176" s="0" t="str">
        <f aca="false">IF(ISBLANK(RawFinancials!H176),"",RawFinancials!H176)</f>
        <v>17897_20221231</v>
      </c>
      <c r="I176" s="0" t="n">
        <f aca="false">IF(ISBLANK(RawFinancials!I176),"",RawFinancials!I176)</f>
        <v>0.64868533587646</v>
      </c>
      <c r="J176" s="0" t="n">
        <f aca="false">IF(ISBLANK(RawFinancials!J176),"",RawFinancials!J176)</f>
        <v>70885</v>
      </c>
      <c r="K176" s="0" t="n">
        <f aca="false">IF(ISBLANK(RawFinancials!K176),"",RawFinancials!K176)</f>
        <v>3472</v>
      </c>
      <c r="L176" s="0" t="n">
        <f aca="false">IF(ISBLANK(RawFinancials!L176),"",RawFinancials!L176)</f>
        <v>1382026</v>
      </c>
      <c r="M176" s="0" t="n">
        <f aca="false">IF(ISBLANK(RawFinancials!M176),"",RawFinancials!M176)</f>
        <v>1373061</v>
      </c>
      <c r="N176" s="0" t="n">
        <f aca="false">IF(ISBLANK(RawFinancials!N176),"",RawFinancials!N176)</f>
        <v>1298561</v>
      </c>
      <c r="O176" s="0" t="n">
        <f aca="false">IF(ISBLANK(RawFinancials!O176),"",RawFinancials!O176)</f>
        <v>3315</v>
      </c>
      <c r="P176" s="0" t="str">
        <f aca="false">IF(ISBLANK(RawFinancials!P176),"",RawFinancials!P176)</f>
        <v>KENNEBEC SAVINGS BANK</v>
      </c>
      <c r="Q176" s="0" t="n">
        <f aca="false">IF(ISBLANK(RawFinancials!Q176),"",RawFinancials!Q176)</f>
        <v>0.239865241319628</v>
      </c>
      <c r="R176" s="0" t="n">
        <f aca="false">IF(ISBLANK(RawFinancials!R176),"",RawFinancials!R176)</f>
        <v>3.21087062819531</v>
      </c>
      <c r="S176" s="0" t="n">
        <f aca="false">IF(ISBLANK(RawFinancials!S176),"",RawFinancials!S176)</f>
        <v>-94</v>
      </c>
      <c r="T176" s="0" t="n">
        <f aca="false">IF(ISBLANK(RawFinancials!T176),"",RawFinancials!T176)</f>
        <v>2597</v>
      </c>
      <c r="U176" s="0" t="n">
        <f aca="false">IF(ISBLANK(RawFinancials!U176),"",RawFinancials!U176)</f>
        <v>0</v>
      </c>
      <c r="V176" s="0" t="n">
        <f aca="false">IF(ISBLANK(RawFinancials!V176),"",RawFinancials!V176)</f>
        <v>0</v>
      </c>
      <c r="W176" s="0" t="n">
        <f aca="false">IF(ISBLANK(RawFinancials!W176),"",RawFinancials!W176)</f>
        <v>20221231</v>
      </c>
      <c r="X176" s="0" t="n">
        <f aca="false">IF(ISBLANK(RawFinancials!X176),"",RawFinancials!X176)</f>
        <v>0.289515552655698</v>
      </c>
      <c r="Y176" s="0" t="n">
        <f aca="false">IF(ISBLANK(RawFinancials!Y176),"",RawFinancials!Y176)</f>
        <v>2.28</v>
      </c>
      <c r="Z176" s="0" t="str">
        <f aca="false">IF(ISBLANK(RawFinancials!Z176),"",RawFinancials!Z176)</f>
        <v>ME</v>
      </c>
      <c r="AA176" s="0" t="n">
        <f aca="false">RawFinancials!AA176</f>
        <v>1</v>
      </c>
      <c r="AB176" s="0" t="n">
        <f aca="false">RawFinancials!AB176</f>
        <v>3315</v>
      </c>
      <c r="AC176" s="0" t="n">
        <f aca="false">RawFinancials!AC176</f>
        <v>0.202082147154817</v>
      </c>
      <c r="AD176" s="0" t="n">
        <f aca="false">IF(L176&gt;0,100*N176/L176,"")</f>
        <v>93.9606780190821</v>
      </c>
      <c r="AE176" s="0" t="n">
        <f aca="false">IF(B176&gt;0,100*F176/B176,"")</f>
        <v>11.9453408939895</v>
      </c>
      <c r="AF176" s="0" t="str">
        <f aca="false">RawFinancials!AE176</f>
        <v>原始0：需核实适用/报告口径</v>
      </c>
    </row>
    <row r="177" customFormat="false" ht="15" hidden="false" customHeight="false" outlineLevel="0" collapsed="false">
      <c r="A177" s="0" t="n">
        <f aca="false">IF(ISBLANK(RawFinancials!A177),"",RawFinancials!A177)</f>
        <v>177</v>
      </c>
      <c r="B177" s="0" t="n">
        <f aca="false">IF(ISBLANK(RawFinancials!B177),"",RawFinancials!B177)</f>
        <v>761892</v>
      </c>
      <c r="C177" s="0" t="n">
        <f aca="false">IF(ISBLANK(RawFinancials!C177),"",RawFinancials!C177)</f>
        <v>17951</v>
      </c>
      <c r="D177" s="0" t="n">
        <f aca="false">IF(ISBLANK(RawFinancials!D177),"",RawFinancials!D177)</f>
        <v>670773</v>
      </c>
      <c r="E177" s="0" t="n">
        <f aca="false">IF(ISBLANK(RawFinancials!E177),"",RawFinancials!E177)</f>
        <v>0.12</v>
      </c>
      <c r="F177" s="0" t="n">
        <f aca="false">IF(ISBLANK(RawFinancials!F177),"",RawFinancials!F177)</f>
        <v>55088</v>
      </c>
      <c r="G177" s="0" t="n">
        <f aca="false">IF(ISBLANK(RawFinancials!G177),"",RawFinancials!G177)</f>
        <v>7.23042110955358</v>
      </c>
      <c r="H177" s="0" t="str">
        <f aca="false">IF(ISBLANK(RawFinancials!H177),"",RawFinancials!H177)</f>
        <v>17951_20221231</v>
      </c>
      <c r="I177" s="0" t="n">
        <f aca="false">IF(ISBLANK(RawFinancials!I177),"",RawFinancials!I177)</f>
        <v>0.815293417378781</v>
      </c>
      <c r="J177" s="0" t="n">
        <f aca="false">IF(ISBLANK(RawFinancials!J177),"",RawFinancials!J177)</f>
        <v>21098</v>
      </c>
      <c r="K177" s="0" t="n">
        <f aca="false">IF(ISBLANK(RawFinancials!K177),"",RawFinancials!K177)</f>
        <v>1648</v>
      </c>
      <c r="L177" s="0" t="n">
        <f aca="false">IF(ISBLANK(RawFinancials!L177),"",RawFinancials!L177)</f>
        <v>532569</v>
      </c>
      <c r="M177" s="0" t="n">
        <f aca="false">IF(ISBLANK(RawFinancials!M177),"",RawFinancials!M177)</f>
        <v>528227</v>
      </c>
      <c r="N177" s="0" t="n">
        <f aca="false">IF(ISBLANK(RawFinancials!N177),"",RawFinancials!N177)</f>
        <v>498217</v>
      </c>
      <c r="O177" s="0" t="n">
        <f aca="false">IF(ISBLANK(RawFinancials!O177),"",RawFinancials!O177)</f>
        <v>69</v>
      </c>
      <c r="P177" s="0" t="str">
        <f aca="false">IF(ISBLANK(RawFinancials!P177),"",RawFinancials!P177)</f>
        <v>FRANKLIN SAVINGS BANK</v>
      </c>
      <c r="Q177" s="0" t="n">
        <f aca="false">IF(ISBLANK(RawFinancials!Q177),"",RawFinancials!Q177)</f>
        <v>0.0129560676644716</v>
      </c>
      <c r="R177" s="0" t="n">
        <f aca="false">IF(ISBLANK(RawFinancials!R177),"",RawFinancials!R177)</f>
        <v>3.1978524844161</v>
      </c>
      <c r="S177" s="0" t="n">
        <f aca="false">IF(ISBLANK(RawFinancials!S177),"",RawFinancials!S177)</f>
        <v>292</v>
      </c>
      <c r="T177" s="0" t="n">
        <f aca="false">IF(ISBLANK(RawFinancials!T177),"",RawFinancials!T177)</f>
        <v>114</v>
      </c>
      <c r="U177" s="0" t="n">
        <f aca="false">IF(ISBLANK(RawFinancials!U177),"",RawFinancials!U177)</f>
        <v>0</v>
      </c>
      <c r="V177" s="0" t="n">
        <f aca="false">IF(ISBLANK(RawFinancials!V177),"",RawFinancials!V177)</f>
        <v>14.5594363369594</v>
      </c>
      <c r="W177" s="0" t="n">
        <f aca="false">IF(ISBLANK(RawFinancials!W177),"",RawFinancials!W177)</f>
        <v>20221231</v>
      </c>
      <c r="X177" s="0" t="n">
        <f aca="false">IF(ISBLANK(RawFinancials!X177),"",RawFinancials!X177)</f>
        <v>0.957897026346038</v>
      </c>
      <c r="Y177" s="0" t="n">
        <f aca="false">IF(ISBLANK(RawFinancials!Y177),"",RawFinancials!Y177)</f>
        <v>12.35</v>
      </c>
      <c r="Z177" s="0" t="str">
        <f aca="false">IF(ISBLANK(RawFinancials!Z177),"",RawFinancials!Z177)</f>
        <v>NH</v>
      </c>
      <c r="AA177" s="0" t="n">
        <f aca="false">RawFinancials!AA177</f>
        <v>1</v>
      </c>
      <c r="AB177" s="0" t="n">
        <f aca="false">RawFinancials!AB177</f>
        <v>69</v>
      </c>
      <c r="AC177" s="0" t="n">
        <f aca="false">RawFinancials!AC177</f>
        <v>0.00905640169472839</v>
      </c>
      <c r="AD177" s="0" t="n">
        <f aca="false">IF(L177&gt;0,100*N177/L177,"")</f>
        <v>93.549755994059</v>
      </c>
      <c r="AE177" s="0" t="n">
        <f aca="false">IF(B177&gt;0,100*F177/B177,"")</f>
        <v>7.23042110955358</v>
      </c>
      <c r="AF177" s="0" t="str">
        <f aca="false">RawFinancials!AE177</f>
        <v/>
      </c>
    </row>
    <row r="178" customFormat="false" ht="15" hidden="false" customHeight="false" outlineLevel="0" collapsed="false">
      <c r="A178" s="0" t="n">
        <f aca="false">IF(ISBLANK(RawFinancials!A178),"",RawFinancials!A178)</f>
        <v>178</v>
      </c>
      <c r="B178" s="0" t="n">
        <f aca="false">IF(ISBLANK(RawFinancials!B178),"",RawFinancials!B178)</f>
        <v>1317746</v>
      </c>
      <c r="C178" s="0" t="n">
        <f aca="false">IF(ISBLANK(RawFinancials!C178),"",RawFinancials!C178)</f>
        <v>17960</v>
      </c>
      <c r="D178" s="0" t="n">
        <f aca="false">IF(ISBLANK(RawFinancials!D178),"",RawFinancials!D178)</f>
        <v>1042080</v>
      </c>
      <c r="E178" s="0" t="n">
        <f aca="false">IF(ISBLANK(RawFinancials!E178),"",RawFinancials!E178)</f>
        <v>0.12</v>
      </c>
      <c r="F178" s="0" t="n">
        <f aca="false">IF(ISBLANK(RawFinancials!F178),"",RawFinancials!F178)</f>
        <v>104375</v>
      </c>
      <c r="G178" s="0" t="n">
        <f aca="false">IF(ISBLANK(RawFinancials!G178),"",RawFinancials!G178)</f>
        <v>7.92072220291316</v>
      </c>
      <c r="H178" s="0" t="str">
        <f aca="false">IF(ISBLANK(RawFinancials!H178),"",RawFinancials!H178)</f>
        <v>17960_20221231</v>
      </c>
      <c r="I178" s="0" t="n">
        <f aca="false">IF(ISBLANK(RawFinancials!I178),"",RawFinancials!I178)</f>
        <v>0.959567045352894</v>
      </c>
      <c r="J178" s="0" t="n">
        <f aca="false">IF(ISBLANK(RawFinancials!J178),"",RawFinancials!J178)</f>
        <v>105990</v>
      </c>
      <c r="K178" s="0" t="n">
        <f aca="false">IF(ISBLANK(RawFinancials!K178),"",RawFinancials!K178)</f>
        <v>197482</v>
      </c>
      <c r="L178" s="0" t="n">
        <f aca="false">IF(ISBLANK(RawFinancials!L178),"",RawFinancials!L178)</f>
        <v>1117900</v>
      </c>
      <c r="M178" s="0" t="n">
        <f aca="false">IF(ISBLANK(RawFinancials!M178),"",RawFinancials!M178)</f>
        <v>1107173</v>
      </c>
      <c r="N178" s="0" t="n">
        <f aca="false">IF(ISBLANK(RawFinancials!N178),"",RawFinancials!N178)</f>
        <v>810216</v>
      </c>
      <c r="O178" s="0" t="n">
        <f aca="false">IF(ISBLANK(RawFinancials!O178),"",RawFinancials!O178)</f>
        <v>789</v>
      </c>
      <c r="P178" s="0" t="str">
        <f aca="false">IF(ISBLANK(RawFinancials!P178),"",RawFinancials!P178)</f>
        <v>MERRIMACK COUNTY SAVINGS BANK</v>
      </c>
      <c r="Q178" s="0" t="n">
        <f aca="false">IF(ISBLANK(RawFinancials!Q178),"",RawFinancials!Q178)</f>
        <v>0.151176312729224</v>
      </c>
      <c r="R178" s="0" t="n">
        <f aca="false">IF(ISBLANK(RawFinancials!R178),"",RawFinancials!R178)</f>
        <v>3.52927271699529</v>
      </c>
      <c r="S178" s="0" t="n">
        <f aca="false">IF(ISBLANK(RawFinancials!S178),"",RawFinancials!S178)</f>
        <v>58</v>
      </c>
      <c r="T178" s="0" t="n">
        <f aca="false">IF(ISBLANK(RawFinancials!T178),"",RawFinancials!T178)</f>
        <v>2173</v>
      </c>
      <c r="U178" s="0" t="n">
        <f aca="false">IF(ISBLANK(RawFinancials!U178),"",RawFinancials!U178)</f>
        <v>901</v>
      </c>
      <c r="V178" s="0" t="n">
        <f aca="false">IF(ISBLANK(RawFinancials!V178),"",RawFinancials!V178)</f>
        <v>12.7428677725826</v>
      </c>
      <c r="W178" s="0" t="n">
        <f aca="false">IF(ISBLANK(RawFinancials!W178),"",RawFinancials!W178)</f>
        <v>20221231</v>
      </c>
      <c r="X178" s="0" t="n">
        <f aca="false">IF(ISBLANK(RawFinancials!X178),"",RawFinancials!X178)</f>
        <v>0.767586875249667</v>
      </c>
      <c r="Y178" s="0" t="n">
        <f aca="false">IF(ISBLANK(RawFinancials!Y178),"",RawFinancials!Y178)</f>
        <v>8.9</v>
      </c>
      <c r="Z178" s="0" t="str">
        <f aca="false">IF(ISBLANK(RawFinancials!Z178),"",RawFinancials!Z178)</f>
        <v>NH</v>
      </c>
      <c r="AA178" s="0" t="n">
        <f aca="false">RawFinancials!AA178</f>
        <v>1</v>
      </c>
      <c r="AB178" s="0" t="n">
        <f aca="false">RawFinancials!AB178</f>
        <v>1690</v>
      </c>
      <c r="AC178" s="0" t="n">
        <f aca="false">RawFinancials!AC178</f>
        <v>0.128249298423217</v>
      </c>
      <c r="AD178" s="0" t="n">
        <f aca="false">IF(L178&gt;0,100*N178/L178,"")</f>
        <v>72.4766079255747</v>
      </c>
      <c r="AE178" s="0" t="n">
        <f aca="false">IF(B178&gt;0,100*F178/B178,"")</f>
        <v>7.92072220291316</v>
      </c>
      <c r="AF178" s="0" t="str">
        <f aca="false">RawFinancials!AE178</f>
        <v/>
      </c>
    </row>
    <row r="179" customFormat="false" ht="15" hidden="false" customHeight="false" outlineLevel="0" collapsed="false">
      <c r="A179" s="0" t="n">
        <f aca="false">IF(ISBLANK(RawFinancials!A179),"",RawFinancials!A179)</f>
        <v>179</v>
      </c>
      <c r="B179" s="0" t="n">
        <f aca="false">IF(ISBLANK(RawFinancials!B179),"",RawFinancials!B179)</f>
        <v>2432022</v>
      </c>
      <c r="C179" s="0" t="n">
        <f aca="false">IF(ISBLANK(RawFinancials!C179),"",RawFinancials!C179)</f>
        <v>18012</v>
      </c>
      <c r="D179" s="0" t="n">
        <f aca="false">IF(ISBLANK(RawFinancials!D179),"",RawFinancials!D179)</f>
        <v>2055299</v>
      </c>
      <c r="E179" s="0" t="n">
        <f aca="false">IF(ISBLANK(RawFinancials!E179),"",RawFinancials!E179)</f>
        <v>0.01</v>
      </c>
      <c r="F179" s="0" t="n">
        <f aca="false">IF(ISBLANK(RawFinancials!F179),"",RawFinancials!F179)</f>
        <v>239523</v>
      </c>
      <c r="G179" s="0" t="n">
        <f aca="false">IF(ISBLANK(RawFinancials!G179),"",RawFinancials!G179)</f>
        <v>9.84871847376381</v>
      </c>
      <c r="H179" s="0" t="str">
        <f aca="false">IF(ISBLANK(RawFinancials!H179),"",RawFinancials!H179)</f>
        <v>18012_20221231</v>
      </c>
      <c r="I179" s="0" t="n">
        <f aca="false">IF(ISBLANK(RawFinancials!I179),"",RawFinancials!I179)</f>
        <v>1.16118510354045</v>
      </c>
      <c r="J179" s="0" t="n">
        <f aca="false">IF(ISBLANK(RawFinancials!J179),"",RawFinancials!J179)</f>
        <v>45540</v>
      </c>
      <c r="K179" s="0" t="n">
        <f aca="false">IF(ISBLANK(RawFinancials!K179),"",RawFinancials!K179)</f>
        <v>34202</v>
      </c>
      <c r="L179" s="0" t="n">
        <f aca="false">IF(ISBLANK(RawFinancials!L179),"",RawFinancials!L179)</f>
        <v>1963339</v>
      </c>
      <c r="M179" s="0" t="n">
        <f aca="false">IF(ISBLANK(RawFinancials!M179),"",RawFinancials!M179)</f>
        <v>1940541</v>
      </c>
      <c r="N179" s="0" t="n">
        <f aca="false">IF(ISBLANK(RawFinancials!N179),"",RawFinancials!N179)</f>
        <v>1858029</v>
      </c>
      <c r="O179" s="0" t="n">
        <f aca="false">IF(ISBLANK(RawFinancials!O179),"",RawFinancials!O179)</f>
        <v>1509</v>
      </c>
      <c r="P179" s="0" t="str">
        <f aca="false">IF(ISBLANK(RawFinancials!P179),"",RawFinancials!P179)</f>
        <v>BANK OF NEW HAMPSHIRE</v>
      </c>
      <c r="Q179" s="0" t="n">
        <f aca="false">IF(ISBLANK(RawFinancials!Q179),"",RawFinancials!Q179)</f>
        <v>0.0768588613581251</v>
      </c>
      <c r="R179" s="0" t="n">
        <f aca="false">IF(ISBLANK(RawFinancials!R179),"",RawFinancials!R179)</f>
        <v>3.56773617213357</v>
      </c>
      <c r="S179" s="0" t="n">
        <f aca="false">IF(ISBLANK(RawFinancials!S179),"",RawFinancials!S179)</f>
        <v>51</v>
      </c>
      <c r="T179" s="0" t="n">
        <f aca="false">IF(ISBLANK(RawFinancials!T179),"",RawFinancials!T179)</f>
        <v>1590</v>
      </c>
      <c r="U179" s="0" t="n">
        <f aca="false">IF(ISBLANK(RawFinancials!U179),"",RawFinancials!U179)</f>
        <v>0</v>
      </c>
      <c r="V179" s="0" t="n">
        <f aca="false">IF(ISBLANK(RawFinancials!V179),"",RawFinancials!V179)</f>
        <v>12.9616102023348</v>
      </c>
      <c r="W179" s="0" t="n">
        <f aca="false">IF(ISBLANK(RawFinancials!W179),"",RawFinancials!W179)</f>
        <v>20221231</v>
      </c>
      <c r="X179" s="0" t="n">
        <f aca="false">IF(ISBLANK(RawFinancials!X179),"",RawFinancials!X179)</f>
        <v>1.14794471486809</v>
      </c>
      <c r="Y179" s="0" t="n">
        <f aca="false">IF(ISBLANK(RawFinancials!Y179),"",RawFinancials!Y179)</f>
        <v>11.52</v>
      </c>
      <c r="Z179" s="0" t="str">
        <f aca="false">IF(ISBLANK(RawFinancials!Z179),"",RawFinancials!Z179)</f>
        <v>NH</v>
      </c>
      <c r="AA179" s="0" t="n">
        <f aca="false">RawFinancials!AA179</f>
        <v>1</v>
      </c>
      <c r="AB179" s="0" t="n">
        <f aca="false">RawFinancials!AB179</f>
        <v>1509</v>
      </c>
      <c r="AC179" s="0" t="n">
        <f aca="false">RawFinancials!AC179</f>
        <v>0.0620471360867624</v>
      </c>
      <c r="AD179" s="0" t="n">
        <f aca="false">IF(L179&gt;0,100*N179/L179,"")</f>
        <v>94.636178469434</v>
      </c>
      <c r="AE179" s="0" t="n">
        <f aca="false">IF(B179&gt;0,100*F179/B179,"")</f>
        <v>9.84871847376381</v>
      </c>
      <c r="AF179" s="0" t="str">
        <f aca="false">RawFinancials!AE179</f>
        <v/>
      </c>
    </row>
    <row r="180" customFormat="false" ht="15" hidden="false" customHeight="false" outlineLevel="0" collapsed="false">
      <c r="A180" s="0" t="n">
        <f aca="false">IF(ISBLANK(RawFinancials!A180),"",RawFinancials!A180)</f>
        <v>180</v>
      </c>
      <c r="B180" s="0" t="n">
        <f aca="false">IF(ISBLANK(RawFinancials!B180),"",RawFinancials!B180)</f>
        <v>2733504</v>
      </c>
      <c r="C180" s="0" t="n">
        <f aca="false">IF(ISBLANK(RawFinancials!C180),"",RawFinancials!C180)</f>
        <v>18013</v>
      </c>
      <c r="D180" s="0" t="n">
        <f aca="false">IF(ISBLANK(RawFinancials!D180),"",RawFinancials!D180)</f>
        <v>2369151</v>
      </c>
      <c r="E180" s="0" t="n">
        <f aca="false">IF(ISBLANK(RawFinancials!E180),"",RawFinancials!E180)</f>
        <v>0.01</v>
      </c>
      <c r="F180" s="0" t="n">
        <f aca="false">IF(ISBLANK(RawFinancials!F180),"",RawFinancials!F180)</f>
        <v>202913</v>
      </c>
      <c r="G180" s="0" t="n">
        <f aca="false">IF(ISBLANK(RawFinancials!G180),"",RawFinancials!G180)</f>
        <v>7.42318284516869</v>
      </c>
      <c r="H180" s="0" t="str">
        <f aca="false">IF(ISBLANK(RawFinancials!H180),"",RawFinancials!H180)</f>
        <v>18013_20221231</v>
      </c>
      <c r="I180" s="0" t="n">
        <f aca="false">IF(ISBLANK(RawFinancials!I180),"",RawFinancials!I180)</f>
        <v>0.864166630943969</v>
      </c>
      <c r="J180" s="0" t="n">
        <f aca="false">IF(ISBLANK(RawFinancials!J180),"",RawFinancials!J180)</f>
        <v>109331</v>
      </c>
      <c r="K180" s="0" t="n">
        <f aca="false">IF(ISBLANK(RawFinancials!K180),"",RawFinancials!K180)</f>
        <v>20430</v>
      </c>
      <c r="L180" s="0" t="n">
        <f aca="false">IF(ISBLANK(RawFinancials!L180),"",RawFinancials!L180)</f>
        <v>2169489</v>
      </c>
      <c r="M180" s="0" t="n">
        <f aca="false">IF(ISBLANK(RawFinancials!M180),"",RawFinancials!M180)</f>
        <v>2150741</v>
      </c>
      <c r="N180" s="0" t="n">
        <f aca="false">IF(ISBLANK(RawFinancials!N180),"",RawFinancials!N180)</f>
        <v>1987119</v>
      </c>
      <c r="O180" s="0" t="n">
        <f aca="false">IF(ISBLANK(RawFinancials!O180),"",RawFinancials!O180)</f>
        <v>1584</v>
      </c>
      <c r="P180" s="0" t="str">
        <f aca="false">IF(ISBLANK(RawFinancials!P180),"",RawFinancials!P180)</f>
        <v>MASCOMA BANK</v>
      </c>
      <c r="Q180" s="0" t="n">
        <f aca="false">IF(ISBLANK(RawFinancials!Q180),"",RawFinancials!Q180)</f>
        <v>0.0758704008178884</v>
      </c>
      <c r="R180" s="0" t="n">
        <f aca="false">IF(ISBLANK(RawFinancials!R180),"",RawFinancials!R180)</f>
        <v>3.17602118840462</v>
      </c>
      <c r="S180" s="0" t="n">
        <f aca="false">IF(ISBLANK(RawFinancials!S180),"",RawFinancials!S180)</f>
        <v>-34</v>
      </c>
      <c r="T180" s="0" t="n">
        <f aca="false">IF(ISBLANK(RawFinancials!T180),"",RawFinancials!T180)</f>
        <v>2395</v>
      </c>
      <c r="U180" s="0" t="n">
        <f aca="false">IF(ISBLANK(RawFinancials!U180),"",RawFinancials!U180)</f>
        <v>62</v>
      </c>
      <c r="V180" s="0" t="n">
        <f aca="false">IF(ISBLANK(RawFinancials!V180),"",RawFinancials!V180)</f>
        <v>13.2949257471121</v>
      </c>
      <c r="W180" s="0" t="n">
        <f aca="false">IF(ISBLANK(RawFinancials!W180),"",RawFinancials!W180)</f>
        <v>20221231</v>
      </c>
      <c r="X180" s="0" t="n">
        <f aca="false">IF(ISBLANK(RawFinancials!X180),"",RawFinancials!X180)</f>
        <v>0.710358869365882</v>
      </c>
      <c r="Y180" s="0" t="n">
        <f aca="false">IF(ISBLANK(RawFinancials!Y180),"",RawFinancials!Y180)</f>
        <v>9.11</v>
      </c>
      <c r="Z180" s="0" t="str">
        <f aca="false">IF(ISBLANK(RawFinancials!Z180),"",RawFinancials!Z180)</f>
        <v>NH</v>
      </c>
      <c r="AA180" s="0" t="n">
        <f aca="false">RawFinancials!AA180</f>
        <v>1</v>
      </c>
      <c r="AB180" s="0" t="n">
        <f aca="false">RawFinancials!AB180</f>
        <v>1646</v>
      </c>
      <c r="AC180" s="0" t="n">
        <f aca="false">RawFinancials!AC180</f>
        <v>0.0602157523822903</v>
      </c>
      <c r="AD180" s="0" t="n">
        <f aca="false">IF(L180&gt;0,100*N180/L180,"")</f>
        <v>91.5938730272428</v>
      </c>
      <c r="AE180" s="0" t="n">
        <f aca="false">IF(B180&gt;0,100*F180/B180,"")</f>
        <v>7.42318284516869</v>
      </c>
      <c r="AF180" s="0" t="str">
        <f aca="false">RawFinancials!AE180</f>
        <v/>
      </c>
    </row>
    <row r="181" customFormat="false" ht="15" hidden="false" customHeight="false" outlineLevel="0" collapsed="false">
      <c r="A181" s="0" t="n">
        <f aca="false">IF(ISBLANK(RawFinancials!A181),"",RawFinancials!A181)</f>
        <v>181</v>
      </c>
      <c r="B181" s="0" t="n">
        <f aca="false">IF(ISBLANK(RawFinancials!B181),"",RawFinancials!B181)</f>
        <v>382131</v>
      </c>
      <c r="C181" s="0" t="n">
        <f aca="false">IF(ISBLANK(RawFinancials!C181),"",RawFinancials!C181)</f>
        <v>18028</v>
      </c>
      <c r="D181" s="0" t="n">
        <f aca="false">IF(ISBLANK(RawFinancials!D181),"",RawFinancials!D181)</f>
        <v>329968</v>
      </c>
      <c r="E181" s="0" t="n">
        <f aca="false">IF(ISBLANK(RawFinancials!E181),"",RawFinancials!E181)</f>
        <v>0.1</v>
      </c>
      <c r="F181" s="0" t="n">
        <f aca="false">IF(ISBLANK(RawFinancials!F181),"",RawFinancials!F181)</f>
        <v>35637</v>
      </c>
      <c r="G181" s="0" t="n">
        <f aca="false">IF(ISBLANK(RawFinancials!G181),"",RawFinancials!G181)</f>
        <v>9.32585945657379</v>
      </c>
      <c r="H181" s="0" t="str">
        <f aca="false">IF(ISBLANK(RawFinancials!H181),"",RawFinancials!H181)</f>
        <v>18028_20221231</v>
      </c>
      <c r="I181" s="0" t="n">
        <f aca="false">IF(ISBLANK(RawFinancials!I181),"",RawFinancials!I181)</f>
        <v>0.959418956849934</v>
      </c>
      <c r="J181" s="0" t="n">
        <f aca="false">IF(ISBLANK(RawFinancials!J181),"",RawFinancials!J181)</f>
        <v>18569</v>
      </c>
      <c r="K181" s="0" t="n">
        <f aca="false">IF(ISBLANK(RawFinancials!K181),"",RawFinancials!K181)</f>
        <v>8838</v>
      </c>
      <c r="L181" s="0" t="n">
        <f aca="false">IF(ISBLANK(RawFinancials!L181),"",RawFinancials!L181)</f>
        <v>252236</v>
      </c>
      <c r="M181" s="0" t="n">
        <f aca="false">IF(ISBLANK(RawFinancials!M181),"",RawFinancials!M181)</f>
        <v>249816</v>
      </c>
      <c r="N181" s="0" t="n">
        <f aca="false">IF(ISBLANK(RawFinancials!N181),"",RawFinancials!N181)</f>
        <v>218425</v>
      </c>
      <c r="O181" s="0" t="n">
        <f aca="false">IF(ISBLANK(RawFinancials!O181),"",RawFinancials!O181)</f>
        <v>1059</v>
      </c>
      <c r="P181" s="0" t="str">
        <f aca="false">IF(ISBLANK(RawFinancials!P181),"",RawFinancials!P181)</f>
        <v>SUGAR RIVER BANK</v>
      </c>
      <c r="Q181" s="0" t="n">
        <f aca="false">IF(ISBLANK(RawFinancials!Q181),"",RawFinancials!Q181)</f>
        <v>0.600627983317211</v>
      </c>
      <c r="R181" s="0" t="n">
        <f aca="false">IF(ISBLANK(RawFinancials!R181),"",RawFinancials!R181)</f>
        <v>3.44182797024617</v>
      </c>
      <c r="S181" s="0" t="n">
        <f aca="false">IF(ISBLANK(RawFinancials!S181),"",RawFinancials!S181)</f>
        <v>220</v>
      </c>
      <c r="T181" s="0" t="n">
        <f aca="false">IF(ISBLANK(RawFinancials!T181),"",RawFinancials!T181)</f>
        <v>820</v>
      </c>
      <c r="U181" s="0" t="n">
        <f aca="false">IF(ISBLANK(RawFinancials!U181),"",RawFinancials!U181)</f>
        <v>456</v>
      </c>
      <c r="V181" s="0" t="n">
        <f aca="false">IF(ISBLANK(RawFinancials!V181),"",RawFinancials!V181)</f>
        <v>0</v>
      </c>
      <c r="W181" s="0" t="n">
        <f aca="false">IF(ISBLANK(RawFinancials!W181),"",RawFinancials!W181)</f>
        <v>20221231</v>
      </c>
      <c r="X181" s="0" t="n">
        <f aca="false">IF(ISBLANK(RawFinancials!X181),"",RawFinancials!X181)</f>
        <v>0.675459452597504</v>
      </c>
      <c r="Y181" s="0" t="n">
        <f aca="false">IF(ISBLANK(RawFinancials!Y181),"",RawFinancials!Y181)</f>
        <v>6.48</v>
      </c>
      <c r="Z181" s="0" t="str">
        <f aca="false">IF(ISBLANK(RawFinancials!Z181),"",RawFinancials!Z181)</f>
        <v>NH</v>
      </c>
      <c r="AA181" s="0" t="n">
        <f aca="false">RawFinancials!AA181</f>
        <v>1</v>
      </c>
      <c r="AB181" s="0" t="n">
        <f aca="false">RawFinancials!AB181</f>
        <v>1515</v>
      </c>
      <c r="AC181" s="0" t="n">
        <f aca="false">RawFinancials!AC181</f>
        <v>0.396460899534453</v>
      </c>
      <c r="AD181" s="0" t="n">
        <f aca="false">IF(L181&gt;0,100*N181/L181,"")</f>
        <v>86.5954899379946</v>
      </c>
      <c r="AE181" s="0" t="n">
        <f aca="false">IF(B181&gt;0,100*F181/B181,"")</f>
        <v>9.32585945657379</v>
      </c>
      <c r="AF181" s="0" t="str">
        <f aca="false">RawFinancials!AE181</f>
        <v>原始0：需核实适用/报告口径</v>
      </c>
    </row>
    <row r="182" customFormat="false" ht="15" hidden="false" customHeight="false" outlineLevel="0" collapsed="false">
      <c r="A182" s="0" t="n">
        <f aca="false">IF(ISBLANK(RawFinancials!A182),"",RawFinancials!A182)</f>
        <v>182</v>
      </c>
      <c r="B182" s="0" t="n">
        <f aca="false">IF(ISBLANK(RawFinancials!B182),"",RawFinancials!B182)</f>
        <v>702716</v>
      </c>
      <c r="C182" s="0" t="n">
        <f aca="false">IF(ISBLANK(RawFinancials!C182),"",RawFinancials!C182)</f>
        <v>18030</v>
      </c>
      <c r="D182" s="0" t="n">
        <f aca="false">IF(ISBLANK(RawFinancials!D182),"",RawFinancials!D182)</f>
        <v>654989</v>
      </c>
      <c r="E182" s="0" t="n">
        <f aca="false">IF(ISBLANK(RawFinancials!E182),"",RawFinancials!E182)</f>
        <v>0.19</v>
      </c>
      <c r="F182" s="0" t="n">
        <f aca="false">IF(ISBLANK(RawFinancials!F182),"",RawFinancials!F182)</f>
        <v>42204</v>
      </c>
      <c r="G182" s="0" t="n">
        <f aca="false">IF(ISBLANK(RawFinancials!G182),"",RawFinancials!G182)</f>
        <v>6.00584019717781</v>
      </c>
      <c r="H182" s="0" t="str">
        <f aca="false">IF(ISBLANK(RawFinancials!H182),"",RawFinancials!H182)</f>
        <v>18030_20221231</v>
      </c>
      <c r="I182" s="0" t="n">
        <f aca="false">IF(ISBLANK(RawFinancials!I182),"",RawFinancials!I182)</f>
        <v>1.00065102159615</v>
      </c>
      <c r="J182" s="0" t="n">
        <f aca="false">IF(ISBLANK(RawFinancials!J182),"",RawFinancials!J182)</f>
        <v>34512</v>
      </c>
      <c r="K182" s="0" t="n">
        <f aca="false">IF(ISBLANK(RawFinancials!K182),"",RawFinancials!K182)</f>
        <v>86350</v>
      </c>
      <c r="L182" s="0" t="n">
        <f aca="false">IF(ISBLANK(RawFinancials!L182),"",RawFinancials!L182)</f>
        <v>551441</v>
      </c>
      <c r="M182" s="0" t="n">
        <f aca="false">IF(ISBLANK(RawFinancials!M182),"",RawFinancials!M182)</f>
        <v>545923</v>
      </c>
      <c r="N182" s="0" t="n">
        <f aca="false">IF(ISBLANK(RawFinancials!N182),"",RawFinancials!N182)</f>
        <v>430473</v>
      </c>
      <c r="O182" s="0" t="n">
        <f aca="false">IF(ISBLANK(RawFinancials!O182),"",RawFinancials!O182)</f>
        <v>822</v>
      </c>
      <c r="P182" s="0" t="str">
        <f aca="false">IF(ISBLANK(RawFinancials!P182),"",RawFinancials!P182)</f>
        <v>SAVINGS BANK OF WALPOLE</v>
      </c>
      <c r="Q182" s="0" t="n">
        <f aca="false">IF(ISBLANK(RawFinancials!Q182),"",RawFinancials!Q182)</f>
        <v>0.149063997780361</v>
      </c>
      <c r="R182" s="0" t="n">
        <f aca="false">IF(ISBLANK(RawFinancials!R182),"",RawFinancials!R182)</f>
        <v>3.23438857231214</v>
      </c>
      <c r="S182" s="0" t="n">
        <f aca="false">IF(ISBLANK(RawFinancials!S182),"",RawFinancials!S182)</f>
        <v>172</v>
      </c>
      <c r="T182" s="0" t="n">
        <f aca="false">IF(ISBLANK(RawFinancials!T182),"",RawFinancials!T182)</f>
        <v>415</v>
      </c>
      <c r="U182" s="0" t="n">
        <f aca="false">IF(ISBLANK(RawFinancials!U182),"",RawFinancials!U182)</f>
        <v>0</v>
      </c>
      <c r="V182" s="0" t="n">
        <f aca="false">IF(ISBLANK(RawFinancials!V182),"",RawFinancials!V182)</f>
        <v>12.9663643069234</v>
      </c>
      <c r="W182" s="0" t="n">
        <f aca="false">IF(ISBLANK(RawFinancials!W182),"",RawFinancials!W182)</f>
        <v>20221231</v>
      </c>
      <c r="X182" s="0" t="n">
        <f aca="false">IF(ISBLANK(RawFinancials!X182),"",RawFinancials!X182)</f>
        <v>0.385791360891022</v>
      </c>
      <c r="Y182" s="0" t="n">
        <f aca="false">IF(ISBLANK(RawFinancials!Y182),"",RawFinancials!Y182)</f>
        <v>5.8</v>
      </c>
      <c r="Z182" s="0" t="str">
        <f aca="false">IF(ISBLANK(RawFinancials!Z182),"",RawFinancials!Z182)</f>
        <v>NH</v>
      </c>
      <c r="AA182" s="0" t="n">
        <f aca="false">RawFinancials!AA182</f>
        <v>1</v>
      </c>
      <c r="AB182" s="0" t="n">
        <f aca="false">RawFinancials!AB182</f>
        <v>822</v>
      </c>
      <c r="AC182" s="0" t="n">
        <f aca="false">RawFinancials!AC182</f>
        <v>0.116974709555496</v>
      </c>
      <c r="AD182" s="0" t="n">
        <f aca="false">IF(L182&gt;0,100*N182/L182,"")</f>
        <v>78.0632923558459</v>
      </c>
      <c r="AE182" s="0" t="n">
        <f aca="false">IF(B182&gt;0,100*F182/B182,"")</f>
        <v>6.00584019717781</v>
      </c>
      <c r="AF182" s="0" t="str">
        <f aca="false">RawFinancials!AE182</f>
        <v/>
      </c>
    </row>
    <row r="183" customFormat="false" ht="15" hidden="false" customHeight="false" outlineLevel="0" collapsed="false">
      <c r="A183" s="0" t="n">
        <f aca="false">IF(ISBLANK(RawFinancials!A183),"",RawFinancials!A183)</f>
        <v>183</v>
      </c>
      <c r="B183" s="0" t="n">
        <f aca="false">IF(ISBLANK(RawFinancials!B183),"",RawFinancials!B183)</f>
        <v>648071</v>
      </c>
      <c r="C183" s="0" t="n">
        <f aca="false">IF(ISBLANK(RawFinancials!C183),"",RawFinancials!C183)</f>
        <v>18031</v>
      </c>
      <c r="D183" s="0" t="n">
        <f aca="false">IF(ISBLANK(RawFinancials!D183),"",RawFinancials!D183)</f>
        <v>582524</v>
      </c>
      <c r="E183" s="0" t="n">
        <f aca="false">IF(ISBLANK(RawFinancials!E183),"",RawFinancials!E183)</f>
        <v>-0.12</v>
      </c>
      <c r="F183" s="0" t="n">
        <f aca="false">IF(ISBLANK(RawFinancials!F183),"",RawFinancials!F183)</f>
        <v>35327</v>
      </c>
      <c r="G183" s="0" t="n">
        <f aca="false">IF(ISBLANK(RawFinancials!G183),"",RawFinancials!G183)</f>
        <v>5.45110026524872</v>
      </c>
      <c r="H183" s="0" t="str">
        <f aca="false">IF(ISBLANK(RawFinancials!H183),"",RawFinancials!H183)</f>
        <v>18031_20221231</v>
      </c>
      <c r="I183" s="0" t="n">
        <f aca="false">IF(ISBLANK(RawFinancials!I183),"",RawFinancials!I183)</f>
        <v>0.923401104108779</v>
      </c>
      <c r="J183" s="0" t="n">
        <f aca="false">IF(ISBLANK(RawFinancials!J183),"",RawFinancials!J183)</f>
        <v>28982</v>
      </c>
      <c r="K183" s="0" t="n">
        <f aca="false">IF(ISBLANK(RawFinancials!K183),"",RawFinancials!K183)</f>
        <v>8276</v>
      </c>
      <c r="L183" s="0" t="n">
        <f aca="false">IF(ISBLANK(RawFinancials!L183),"",RawFinancials!L183)</f>
        <v>463179</v>
      </c>
      <c r="M183" s="0" t="n">
        <f aca="false">IF(ISBLANK(RawFinancials!M183),"",RawFinancials!M183)</f>
        <v>458902</v>
      </c>
      <c r="N183" s="0" t="n">
        <f aca="false">IF(ISBLANK(RawFinancials!N183),"",RawFinancials!N183)</f>
        <v>421449</v>
      </c>
      <c r="O183" s="0" t="n">
        <f aca="false">IF(ISBLANK(RawFinancials!O183),"",RawFinancials!O183)</f>
        <v>630</v>
      </c>
      <c r="P183" s="0" t="str">
        <f aca="false">IF(ISBLANK(RawFinancials!P183),"",RawFinancials!P183)</f>
        <v>WOODSVILLE GUARANTY SAVINGS BANK</v>
      </c>
      <c r="Q183" s="0" t="n">
        <f aca="false">IF(ISBLANK(RawFinancials!Q183),"",RawFinancials!Q183)</f>
        <v>0.136016529246792</v>
      </c>
      <c r="R183" s="0" t="n">
        <f aca="false">IF(ISBLANK(RawFinancials!R183),"",RawFinancials!R183)</f>
        <v>3.04436126621075</v>
      </c>
      <c r="S183" s="0" t="n">
        <f aca="false">IF(ISBLANK(RawFinancials!S183),"",RawFinancials!S183)</f>
        <v>6</v>
      </c>
      <c r="T183" s="0" t="n">
        <f aca="false">IF(ISBLANK(RawFinancials!T183),"",RawFinancials!T183)</f>
        <v>1137</v>
      </c>
      <c r="U183" s="0" t="n">
        <f aca="false">IF(ISBLANK(RawFinancials!U183),"",RawFinancials!U183)</f>
        <v>0</v>
      </c>
      <c r="V183" s="0" t="n">
        <f aca="false">IF(ISBLANK(RawFinancials!V183),"",RawFinancials!V183)</f>
        <v>16.3655120252505</v>
      </c>
      <c r="W183" s="0" t="n">
        <f aca="false">IF(ISBLANK(RawFinancials!W183),"",RawFinancials!W183)</f>
        <v>20221231</v>
      </c>
      <c r="X183" s="0" t="n">
        <f aca="false">IF(ISBLANK(RawFinancials!X183),"",RawFinancials!X183)</f>
        <v>0.634198912846815</v>
      </c>
      <c r="Y183" s="0" t="n">
        <f aca="false">IF(ISBLANK(RawFinancials!Y183),"",RawFinancials!Y183)</f>
        <v>9.66</v>
      </c>
      <c r="Z183" s="0" t="str">
        <f aca="false">IF(ISBLANK(RawFinancials!Z183),"",RawFinancials!Z183)</f>
        <v>NH</v>
      </c>
      <c r="AA183" s="0" t="n">
        <f aca="false">RawFinancials!AA183</f>
        <v>1</v>
      </c>
      <c r="AB183" s="0" t="n">
        <f aca="false">RawFinancials!AB183</f>
        <v>630</v>
      </c>
      <c r="AC183" s="0" t="n">
        <f aca="false">RawFinancials!AC183</f>
        <v>0.097211570954417</v>
      </c>
      <c r="AD183" s="0" t="n">
        <f aca="false">IF(L183&gt;0,100*N183/L183,"")</f>
        <v>90.9905241817958</v>
      </c>
      <c r="AE183" s="0" t="n">
        <f aca="false">IF(B183&gt;0,100*F183/B183,"")</f>
        <v>5.45110026524872</v>
      </c>
      <c r="AF183" s="0" t="str">
        <f aca="false">RawFinancials!AE183</f>
        <v/>
      </c>
    </row>
    <row r="184" customFormat="false" ht="15" hidden="false" customHeight="false" outlineLevel="0" collapsed="false">
      <c r="A184" s="0" t="n">
        <f aca="false">IF(ISBLANK(RawFinancials!A184),"",RawFinancials!A184)</f>
        <v>184</v>
      </c>
      <c r="B184" s="0" t="n">
        <f aca="false">IF(ISBLANK(RawFinancials!B184),"",RawFinancials!B184)</f>
        <v>530980</v>
      </c>
      <c r="C184" s="0" t="n">
        <f aca="false">IF(ISBLANK(RawFinancials!C184),"",RawFinancials!C184)</f>
        <v>18038</v>
      </c>
      <c r="D184" s="0" t="n">
        <f aca="false">IF(ISBLANK(RawFinancials!D184),"",RawFinancials!D184)</f>
        <v>432649</v>
      </c>
      <c r="E184" s="0" t="n">
        <f aca="false">IF(ISBLANK(RawFinancials!E184),"",RawFinancials!E184)</f>
        <v>-0.04</v>
      </c>
      <c r="F184" s="0" t="n">
        <f aca="false">IF(ISBLANK(RawFinancials!F184),"",RawFinancials!F184)</f>
        <v>63947</v>
      </c>
      <c r="G184" s="0" t="n">
        <f aca="false">IF(ISBLANK(RawFinancials!G184),"",RawFinancials!G184)</f>
        <v>12.043203133828</v>
      </c>
      <c r="H184" s="0" t="str">
        <f aca="false">IF(ISBLANK(RawFinancials!H184),"",RawFinancials!H184)</f>
        <v>18038_20221231</v>
      </c>
      <c r="I184" s="0" t="n">
        <f aca="false">IF(ISBLANK(RawFinancials!I184),"",RawFinancials!I184)</f>
        <v>1.05005146585111</v>
      </c>
      <c r="J184" s="0" t="n">
        <f aca="false">IF(ISBLANK(RawFinancials!J184),"",RawFinancials!J184)</f>
        <v>16994</v>
      </c>
      <c r="K184" s="0" t="n">
        <f aca="false">IF(ISBLANK(RawFinancials!K184),"",RawFinancials!K184)</f>
        <v>3229</v>
      </c>
      <c r="L184" s="0" t="n">
        <f aca="false">IF(ISBLANK(RawFinancials!L184),"",RawFinancials!L184)</f>
        <v>405123</v>
      </c>
      <c r="M184" s="0" t="n">
        <f aca="false">IF(ISBLANK(RawFinancials!M184),"",RawFinancials!M184)</f>
        <v>400869</v>
      </c>
      <c r="N184" s="0" t="n">
        <f aca="false">IF(ISBLANK(RawFinancials!N184),"",RawFinancials!N184)</f>
        <v>384424</v>
      </c>
      <c r="O184" s="0" t="n">
        <f aca="false">IF(ISBLANK(RawFinancials!O184),"",RawFinancials!O184)</f>
        <v>2186</v>
      </c>
      <c r="P184" s="0" t="str">
        <f aca="false">IF(ISBLANK(RawFinancials!P184),"",RawFinancials!P184)</f>
        <v>CLAREMONT SAVINGS BANK</v>
      </c>
      <c r="Q184" s="0" t="n">
        <f aca="false">IF(ISBLANK(RawFinancials!Q184),"",RawFinancials!Q184)</f>
        <v>0.53958921117784</v>
      </c>
      <c r="R184" s="0" t="n">
        <f aca="false">IF(ISBLANK(RawFinancials!R184),"",RawFinancials!R184)</f>
        <v>3.1083634457838</v>
      </c>
      <c r="S184" s="0" t="n">
        <f aca="false">IF(ISBLANK(RawFinancials!S184),"",RawFinancials!S184)</f>
        <v>-169</v>
      </c>
      <c r="T184" s="0" t="n">
        <f aca="false">IF(ISBLANK(RawFinancials!T184),"",RawFinancials!T184)</f>
        <v>3681</v>
      </c>
      <c r="U184" s="0" t="n">
        <f aca="false">IF(ISBLANK(RawFinancials!U184),"",RawFinancials!U184)</f>
        <v>0</v>
      </c>
      <c r="V184" s="0" t="n">
        <f aca="false">IF(ISBLANK(RawFinancials!V184),"",RawFinancials!V184)</f>
        <v>0</v>
      </c>
      <c r="W184" s="0" t="n">
        <f aca="false">IF(ISBLANK(RawFinancials!W184),"",RawFinancials!W184)</f>
        <v>20221231</v>
      </c>
      <c r="X184" s="0" t="n">
        <f aca="false">IF(ISBLANK(RawFinancials!X184),"",RawFinancials!X184)</f>
        <v>-0.282240555796787</v>
      </c>
      <c r="Y184" s="0" t="n">
        <f aca="false">IF(ISBLANK(RawFinancials!Y184),"",RawFinancials!Y184)</f>
        <v>-2.12</v>
      </c>
      <c r="Z184" s="0" t="str">
        <f aca="false">IF(ISBLANK(RawFinancials!Z184),"",RawFinancials!Z184)</f>
        <v>NH</v>
      </c>
      <c r="AA184" s="0" t="n">
        <f aca="false">RawFinancials!AA184</f>
        <v>1</v>
      </c>
      <c r="AB184" s="0" t="n">
        <f aca="false">RawFinancials!AB184</f>
        <v>2186</v>
      </c>
      <c r="AC184" s="0" t="n">
        <f aca="false">RawFinancials!AC184</f>
        <v>0.411691589137067</v>
      </c>
      <c r="AD184" s="0" t="n">
        <f aca="false">IF(L184&gt;0,100*N184/L184,"")</f>
        <v>94.8906875195928</v>
      </c>
      <c r="AE184" s="0" t="n">
        <f aca="false">IF(B184&gt;0,100*F184/B184,"")</f>
        <v>12.043203133828</v>
      </c>
      <c r="AF184" s="0" t="str">
        <f aca="false">RawFinancials!AE184</f>
        <v>原始0：需核实适用/报告口径</v>
      </c>
    </row>
    <row r="185" customFormat="false" ht="15" hidden="false" customHeight="false" outlineLevel="0" collapsed="false">
      <c r="A185" s="0" t="n">
        <f aca="false">IF(ISBLANK(RawFinancials!A185),"",RawFinancials!A185)</f>
        <v>185</v>
      </c>
      <c r="B185" s="0" t="n">
        <f aca="false">IF(ISBLANK(RawFinancials!B185),"",RawFinancials!B185)</f>
        <v>7377141</v>
      </c>
      <c r="C185" s="0" t="n">
        <f aca="false">IF(ISBLANK(RawFinancials!C185),"",RawFinancials!C185)</f>
        <v>18408</v>
      </c>
      <c r="D185" s="0" t="n">
        <f aca="false">IF(ISBLANK(RawFinancials!D185),"",RawFinancials!D185)</f>
        <v>5909658</v>
      </c>
      <c r="E185" s="0" t="n">
        <f aca="false">IF(ISBLANK(RawFinancials!E185),"",RawFinancials!E185)</f>
        <v>-0.16</v>
      </c>
      <c r="F185" s="0" t="n">
        <f aca="false">IF(ISBLANK(RawFinancials!F185),"",RawFinancials!F185)</f>
        <v>349062</v>
      </c>
      <c r="G185" s="0" t="n">
        <f aca="false">IF(ISBLANK(RawFinancials!G185),"",RawFinancials!G185)</f>
        <v>4.73167043980859</v>
      </c>
      <c r="H185" s="0" t="str">
        <f aca="false">IF(ISBLANK(RawFinancials!H185),"",RawFinancials!H185)</f>
        <v>18408_20221231</v>
      </c>
      <c r="I185" s="0" t="n">
        <f aca="false">IF(ISBLANK(RawFinancials!I185),"",RawFinancials!I185)</f>
        <v>0.806778497714869</v>
      </c>
      <c r="J185" s="0" t="n">
        <f aca="false">IF(ISBLANK(RawFinancials!J185),"",RawFinancials!J185)</f>
        <v>320720</v>
      </c>
      <c r="K185" s="0" t="n">
        <f aca="false">IF(ISBLANK(RawFinancials!K185),"",RawFinancials!K185)</f>
        <v>29697</v>
      </c>
      <c r="L185" s="0" t="n">
        <f aca="false">IF(ISBLANK(RawFinancials!L185),"",RawFinancials!L185)</f>
        <v>4697324</v>
      </c>
      <c r="M185" s="0" t="n">
        <f aca="false">IF(ISBLANK(RawFinancials!M185),"",RawFinancials!M185)</f>
        <v>4659427</v>
      </c>
      <c r="N185" s="0" t="n">
        <f aca="false">IF(ISBLANK(RawFinancials!N185),"",RawFinancials!N185)</f>
        <v>4276244</v>
      </c>
      <c r="O185" s="0" t="n">
        <f aca="false">IF(ISBLANK(RawFinancials!O185),"",RawFinancials!O185)</f>
        <v>5657</v>
      </c>
      <c r="P185" s="0" t="str">
        <f aca="false">IF(ISBLANK(RawFinancials!P185),"",RawFinancials!P185)</f>
        <v>BANGOR SAVINGS BANK</v>
      </c>
      <c r="Q185" s="0" t="n">
        <f aca="false">IF(ISBLANK(RawFinancials!Q185),"",RawFinancials!Q185)</f>
        <v>0.120430270511466</v>
      </c>
      <c r="R185" s="0" t="n">
        <f aca="false">IF(ISBLANK(RawFinancials!R185),"",RawFinancials!R185)</f>
        <v>2.6371533699813</v>
      </c>
      <c r="S185" s="0" t="n">
        <f aca="false">IF(ISBLANK(RawFinancials!S185),"",RawFinancials!S185)</f>
        <v>246</v>
      </c>
      <c r="T185" s="0" t="n">
        <f aca="false">IF(ISBLANK(RawFinancials!T185),"",RawFinancials!T185)</f>
        <v>7442</v>
      </c>
      <c r="U185" s="0" t="n">
        <f aca="false">IF(ISBLANK(RawFinancials!U185),"",RawFinancials!U185)</f>
        <v>0</v>
      </c>
      <c r="V185" s="0" t="n">
        <f aca="false">IF(ISBLANK(RawFinancials!V185),"",RawFinancials!V185)</f>
        <v>11.766441688643</v>
      </c>
      <c r="W185" s="0" t="n">
        <f aca="false">IF(ISBLANK(RawFinancials!W185),"",RawFinancials!W185)</f>
        <v>20221231</v>
      </c>
      <c r="X185" s="0" t="n">
        <f aca="false">IF(ISBLANK(RawFinancials!X185),"",RawFinancials!X185)</f>
        <v>0.719697481409942</v>
      </c>
      <c r="Y185" s="0" t="n">
        <f aca="false">IF(ISBLANK(RawFinancials!Y185),"",RawFinancials!Y185)</f>
        <v>12.38</v>
      </c>
      <c r="Z185" s="0" t="str">
        <f aca="false">IF(ISBLANK(RawFinancials!Z185),"",RawFinancials!Z185)</f>
        <v>ME</v>
      </c>
      <c r="AA185" s="0" t="n">
        <f aca="false">RawFinancials!AA185</f>
        <v>1</v>
      </c>
      <c r="AB185" s="0" t="n">
        <f aca="false">RawFinancials!AB185</f>
        <v>5657</v>
      </c>
      <c r="AC185" s="0" t="n">
        <f aca="false">RawFinancials!AC185</f>
        <v>0.0766828233322367</v>
      </c>
      <c r="AD185" s="0" t="n">
        <f aca="false">IF(L185&gt;0,100*N185/L185,"")</f>
        <v>91.0357471615754</v>
      </c>
      <c r="AE185" s="0" t="n">
        <f aca="false">IF(B185&gt;0,100*F185/B185,"")</f>
        <v>4.73167043980859</v>
      </c>
      <c r="AF185" s="0" t="str">
        <f aca="false">RawFinancials!AE185</f>
        <v/>
      </c>
    </row>
    <row r="186" customFormat="false" ht="15" hidden="false" customHeight="false" outlineLevel="0" collapsed="false">
      <c r="A186" s="0" t="n">
        <f aca="false">IF(ISBLANK(RawFinancials!A186),"",RawFinancials!A186)</f>
        <v>186</v>
      </c>
      <c r="B186" s="0" t="n">
        <f aca="false">IF(ISBLANK(RawFinancials!B186),"",RawFinancials!B186)</f>
        <v>2360784</v>
      </c>
      <c r="C186" s="0" t="n">
        <f aca="false">IF(ISBLANK(RawFinancials!C186),"",RawFinancials!C186)</f>
        <v>19531</v>
      </c>
      <c r="D186" s="0" t="n">
        <f aca="false">IF(ISBLANK(RawFinancials!D186),"",RawFinancials!D186)</f>
        <v>1966979</v>
      </c>
      <c r="E186" s="0" t="n">
        <f aca="false">IF(ISBLANK(RawFinancials!E186),"",RawFinancials!E186)</f>
        <v>0</v>
      </c>
      <c r="F186" s="0" t="n">
        <f aca="false">IF(ISBLANK(RawFinancials!F186),"",RawFinancials!F186)</f>
        <v>223250</v>
      </c>
      <c r="G186" s="0" t="n">
        <f aca="false">IF(ISBLANK(RawFinancials!G186),"",RawFinancials!G186)</f>
        <v>9.45660424672482</v>
      </c>
      <c r="H186" s="0" t="str">
        <f aca="false">IF(ISBLANK(RawFinancials!H186),"",RawFinancials!H186)</f>
        <v>19531_20221231</v>
      </c>
      <c r="I186" s="0" t="n">
        <f aca="false">IF(ISBLANK(RawFinancials!I186),"",RawFinancials!I186)</f>
        <v>1.23835035822002</v>
      </c>
      <c r="J186" s="0" t="n">
        <f aca="false">IF(ISBLANK(RawFinancials!J186),"",RawFinancials!J186)</f>
        <v>244556</v>
      </c>
      <c r="K186" s="0" t="n">
        <f aca="false">IF(ISBLANK(RawFinancials!K186),"",RawFinancials!K186)</f>
        <v>13770</v>
      </c>
      <c r="L186" s="0" t="n">
        <f aca="false">IF(ISBLANK(RawFinancials!L186),"",RawFinancials!L186)</f>
        <v>1885573</v>
      </c>
      <c r="M186" s="0" t="n">
        <f aca="false">IF(ISBLANK(RawFinancials!M186),"",RawFinancials!M186)</f>
        <v>1862223</v>
      </c>
      <c r="N186" s="0" t="n">
        <f aca="false">IF(ISBLANK(RawFinancials!N186),"",RawFinancials!N186)</f>
        <v>1530116</v>
      </c>
      <c r="O186" s="0" t="n">
        <f aca="false">IF(ISBLANK(RawFinancials!O186),"",RawFinancials!O186)</f>
        <v>8354</v>
      </c>
      <c r="P186" s="0" t="str">
        <f aca="false">IF(ISBLANK(RawFinancials!P186),"",RawFinancials!P186)</f>
        <v>MACHIAS SAVINGS BANK</v>
      </c>
      <c r="Q186" s="0" t="n">
        <f aca="false">IF(ISBLANK(RawFinancials!Q186),"",RawFinancials!Q186)</f>
        <v>0.443048346576876</v>
      </c>
      <c r="R186" s="0" t="n">
        <f aca="false">IF(ISBLANK(RawFinancials!R186),"",RawFinancials!R186)</f>
        <v>3.51497175830085</v>
      </c>
      <c r="S186" s="0" t="n">
        <f aca="false">IF(ISBLANK(RawFinancials!S186),"",RawFinancials!S186)</f>
        <v>201</v>
      </c>
      <c r="T186" s="0" t="n">
        <f aca="false">IF(ISBLANK(RawFinancials!T186),"",RawFinancials!T186)</f>
        <v>8421</v>
      </c>
      <c r="U186" s="0" t="n">
        <f aca="false">IF(ISBLANK(RawFinancials!U186),"",RawFinancials!U186)</f>
        <v>0</v>
      </c>
      <c r="V186" s="0" t="n">
        <f aca="false">IF(ISBLANK(RawFinancials!V186),"",RawFinancials!V186)</f>
        <v>14.3614098222374</v>
      </c>
      <c r="W186" s="0" t="n">
        <f aca="false">IF(ISBLANK(RawFinancials!W186),"",RawFinancials!W186)</f>
        <v>20221231</v>
      </c>
      <c r="X186" s="0" t="n">
        <f aca="false">IF(ISBLANK(RawFinancials!X186),"",RawFinancials!X186)</f>
        <v>0.703967262708858</v>
      </c>
      <c r="Y186" s="0" t="n">
        <f aca="false">IF(ISBLANK(RawFinancials!Y186),"",RawFinancials!Y186)</f>
        <v>7.12</v>
      </c>
      <c r="Z186" s="0" t="str">
        <f aca="false">IF(ISBLANK(RawFinancials!Z186),"",RawFinancials!Z186)</f>
        <v>ME</v>
      </c>
      <c r="AA186" s="0" t="n">
        <f aca="false">RawFinancials!AA186</f>
        <v>1</v>
      </c>
      <c r="AB186" s="0" t="n">
        <f aca="false">RawFinancials!AB186</f>
        <v>8354</v>
      </c>
      <c r="AC186" s="0" t="n">
        <f aca="false">RawFinancials!AC186</f>
        <v>0.353865495530298</v>
      </c>
      <c r="AD186" s="0" t="n">
        <f aca="false">IF(L186&gt;0,100*N186/L186,"")</f>
        <v>81.1485951485305</v>
      </c>
      <c r="AE186" s="0" t="n">
        <f aca="false">IF(B186&gt;0,100*F186/B186,"")</f>
        <v>9.45660424672482</v>
      </c>
      <c r="AF186" s="0" t="str">
        <f aca="false">RawFinancials!AE186</f>
        <v/>
      </c>
    </row>
    <row r="187" customFormat="false" ht="15" hidden="false" customHeight="false" outlineLevel="0" collapsed="false">
      <c r="A187" s="0" t="n">
        <f aca="false">IF(ISBLANK(RawFinancials!A187),"",RawFinancials!A187)</f>
        <v>187</v>
      </c>
      <c r="B187" s="0" t="n">
        <f aca="false">IF(ISBLANK(RawFinancials!B187),"",RawFinancials!B187)</f>
        <v>774373</v>
      </c>
      <c r="C187" s="0" t="n">
        <f aca="false">IF(ISBLANK(RawFinancials!C187),"",RawFinancials!C187)</f>
        <v>19532</v>
      </c>
      <c r="D187" s="0" t="n">
        <f aca="false">IF(ISBLANK(RawFinancials!D187),"",RawFinancials!D187)</f>
        <v>673912</v>
      </c>
      <c r="E187" s="0" t="n">
        <f aca="false">IF(ISBLANK(RawFinancials!E187),"",RawFinancials!E187)</f>
        <v>0</v>
      </c>
      <c r="F187" s="0" t="n">
        <f aca="false">IF(ISBLANK(RawFinancials!F187),"",RawFinancials!F187)</f>
        <v>87739</v>
      </c>
      <c r="G187" s="0" t="n">
        <f aca="false">IF(ISBLANK(RawFinancials!G187),"",RawFinancials!G187)</f>
        <v>11.3303278910809</v>
      </c>
      <c r="H187" s="0" t="str">
        <f aca="false">IF(ISBLANK(RawFinancials!H187),"",RawFinancials!H187)</f>
        <v>19532_20221231</v>
      </c>
      <c r="I187" s="0" t="n">
        <f aca="false">IF(ISBLANK(RawFinancials!I187),"",RawFinancials!I187)</f>
        <v>1.07683149543803</v>
      </c>
      <c r="J187" s="0" t="n">
        <f aca="false">IF(ISBLANK(RawFinancials!J187),"",RawFinancials!J187)</f>
        <v>30200</v>
      </c>
      <c r="K187" s="0" t="n">
        <f aca="false">IF(ISBLANK(RawFinancials!K187),"",RawFinancials!K187)</f>
        <v>46433</v>
      </c>
      <c r="L187" s="0" t="n">
        <f aca="false">IF(ISBLANK(RawFinancials!L187),"",RawFinancials!L187)</f>
        <v>544282</v>
      </c>
      <c r="M187" s="0" t="n">
        <f aca="false">IF(ISBLANK(RawFinancials!M187),"",RawFinancials!M187)</f>
        <v>538421</v>
      </c>
      <c r="N187" s="0" t="n">
        <f aca="false">IF(ISBLANK(RawFinancials!N187),"",RawFinancials!N187)</f>
        <v>460817</v>
      </c>
      <c r="O187" s="0" t="n">
        <f aca="false">IF(ISBLANK(RawFinancials!O187),"",RawFinancials!O187)</f>
        <v>797</v>
      </c>
      <c r="P187" s="0" t="str">
        <f aca="false">IF(ISBLANK(RawFinancials!P187),"",RawFinancials!P187)</f>
        <v>SKOWHEGAN SAVINGS BANK</v>
      </c>
      <c r="Q187" s="0" t="n">
        <f aca="false">IF(ISBLANK(RawFinancials!Q187),"",RawFinancials!Q187)</f>
        <v>0.146431445463932</v>
      </c>
      <c r="R187" s="0" t="n">
        <f aca="false">IF(ISBLANK(RawFinancials!R187),"",RawFinancials!R187)</f>
        <v>3.35594796053323</v>
      </c>
      <c r="S187" s="0" t="n">
        <f aca="false">IF(ISBLANK(RawFinancials!S187),"",RawFinancials!S187)</f>
        <v>45</v>
      </c>
      <c r="T187" s="0" t="n">
        <f aca="false">IF(ISBLANK(RawFinancials!T187),"",RawFinancials!T187)</f>
        <v>790</v>
      </c>
      <c r="U187" s="0" t="n">
        <f aca="false">IF(ISBLANK(RawFinancials!U187),"",RawFinancials!U187)</f>
        <v>0</v>
      </c>
      <c r="V187" s="0" t="n">
        <f aca="false">IF(ISBLANK(RawFinancials!V187),"",RawFinancials!V187)</f>
        <v>20.8845928529584</v>
      </c>
      <c r="W187" s="0" t="n">
        <f aca="false">IF(ISBLANK(RawFinancials!W187),"",RawFinancials!W187)</f>
        <v>20221231</v>
      </c>
      <c r="X187" s="0" t="n">
        <f aca="false">IF(ISBLANK(RawFinancials!X187),"",RawFinancials!X187)</f>
        <v>0.722576685653743</v>
      </c>
      <c r="Y187" s="0" t="n">
        <f aca="false">IF(ISBLANK(RawFinancials!Y187),"",RawFinancials!Y187)</f>
        <v>6.05</v>
      </c>
      <c r="Z187" s="0" t="str">
        <f aca="false">IF(ISBLANK(RawFinancials!Z187),"",RawFinancials!Z187)</f>
        <v>ME</v>
      </c>
      <c r="AA187" s="0" t="n">
        <f aca="false">RawFinancials!AA187</f>
        <v>1</v>
      </c>
      <c r="AB187" s="0" t="n">
        <f aca="false">RawFinancials!AB187</f>
        <v>797</v>
      </c>
      <c r="AC187" s="0" t="n">
        <f aca="false">RawFinancials!AC187</f>
        <v>0.102921976876776</v>
      </c>
      <c r="AD187" s="0" t="n">
        <f aca="false">IF(L187&gt;0,100*N187/L187,"")</f>
        <v>84.6651184496272</v>
      </c>
      <c r="AE187" s="0" t="n">
        <f aca="false">IF(B187&gt;0,100*F187/B187,"")</f>
        <v>11.3303278910809</v>
      </c>
      <c r="AF187" s="0" t="str">
        <f aca="false">RawFinancials!AE187</f>
        <v/>
      </c>
    </row>
    <row r="188" customFormat="false" ht="15" hidden="false" customHeight="false" outlineLevel="0" collapsed="false">
      <c r="A188" s="0" t="n">
        <f aca="false">IF(ISBLANK(RawFinancials!A188),"",RawFinancials!A188)</f>
        <v>188</v>
      </c>
      <c r="B188" s="0" t="n">
        <f aca="false">IF(ISBLANK(RawFinancials!B188),"",RawFinancials!B188)</f>
        <v>2809418</v>
      </c>
      <c r="C188" s="0" t="n">
        <f aca="false">IF(ISBLANK(RawFinancials!C188),"",RawFinancials!C188)</f>
        <v>19690</v>
      </c>
      <c r="D188" s="0" t="n">
        <f aca="false">IF(ISBLANK(RawFinancials!D188),"",RawFinancials!D188)</f>
        <v>2251472</v>
      </c>
      <c r="E188" s="0" t="n">
        <f aca="false">IF(ISBLANK(RawFinancials!E188),"",RawFinancials!E188)</f>
        <v>0</v>
      </c>
      <c r="F188" s="0" t="n">
        <f aca="false">IF(ISBLANK(RawFinancials!F188),"",RawFinancials!F188)</f>
        <v>263427</v>
      </c>
      <c r="G188" s="0" t="n">
        <f aca="false">IF(ISBLANK(RawFinancials!G188),"",RawFinancials!G188)</f>
        <v>9.37656838533817</v>
      </c>
      <c r="H188" s="0" t="str">
        <f aca="false">IF(ISBLANK(RawFinancials!H188),"",RawFinancials!H188)</f>
        <v>19690_20221231</v>
      </c>
      <c r="I188" s="0" t="n">
        <f aca="false">IF(ISBLANK(RawFinancials!I188),"",RawFinancials!I188)</f>
        <v>0.255952972683578</v>
      </c>
      <c r="J188" s="0" t="n">
        <f aca="false">IF(ISBLANK(RawFinancials!J188),"",RawFinancials!J188)</f>
        <v>46473</v>
      </c>
      <c r="K188" s="0" t="n">
        <f aca="false">IF(ISBLANK(RawFinancials!K188),"",RawFinancials!K188)</f>
        <v>609</v>
      </c>
      <c r="L188" s="0" t="n">
        <f aca="false">IF(ISBLANK(RawFinancials!L188),"",RawFinancials!L188)</f>
        <v>2504757</v>
      </c>
      <c r="M188" s="0" t="n">
        <f aca="false">IF(ISBLANK(RawFinancials!M188),"",RawFinancials!M188)</f>
        <v>2498346</v>
      </c>
      <c r="N188" s="0" t="n">
        <f aca="false">IF(ISBLANK(RawFinancials!N188),"",RawFinancials!N188)</f>
        <v>2024933</v>
      </c>
      <c r="O188" s="0" t="n">
        <f aca="false">IF(ISBLANK(RawFinancials!O188),"",RawFinancials!O188)</f>
        <v>12899</v>
      </c>
      <c r="P188" s="0" t="str">
        <f aca="false">IF(ISBLANK(RawFinancials!P188),"",RawFinancials!P188)</f>
        <v>NORTHEAST BANK</v>
      </c>
      <c r="Q188" s="0" t="n">
        <f aca="false">IF(ISBLANK(RawFinancials!Q188),"",RawFinancials!Q188)</f>
        <v>0.514980095873572</v>
      </c>
      <c r="R188" s="0" t="n">
        <f aca="false">IF(ISBLANK(RawFinancials!R188),"",RawFinancials!R188)</f>
        <v>5.49030154110946</v>
      </c>
      <c r="S188" s="0" t="n">
        <f aca="false">IF(ISBLANK(RawFinancials!S188),"",RawFinancials!S188)</f>
        <v>-362</v>
      </c>
      <c r="T188" s="0" t="n">
        <f aca="false">IF(ISBLANK(RawFinancials!T188),"",RawFinancials!T188)</f>
        <v>10727</v>
      </c>
      <c r="U188" s="0" t="n">
        <f aca="false">IF(ISBLANK(RawFinancials!U188),"",RawFinancials!U188)</f>
        <v>0</v>
      </c>
      <c r="V188" s="0" t="n">
        <f aca="false">IF(ISBLANK(RawFinancials!V188),"",RawFinancials!V188)</f>
        <v>11.1047375715636</v>
      </c>
      <c r="W188" s="0" t="n">
        <f aca="false">IF(ISBLANK(RawFinancials!W188),"",RawFinancials!W188)</f>
        <v>20221231</v>
      </c>
      <c r="X188" s="0" t="n">
        <f aca="false">IF(ISBLANK(RawFinancials!X188),"",RawFinancials!X188)</f>
        <v>2.20866479041863</v>
      </c>
      <c r="Y188" s="0" t="n">
        <f aca="false">IF(ISBLANK(RawFinancials!Y188),"",RawFinancials!Y188)</f>
        <v>16.18</v>
      </c>
      <c r="Z188" s="0" t="str">
        <f aca="false">IF(ISBLANK(RawFinancials!Z188),"",RawFinancials!Z188)</f>
        <v>ME</v>
      </c>
      <c r="AA188" s="0" t="n">
        <f aca="false">RawFinancials!AA188</f>
        <v>1</v>
      </c>
      <c r="AB188" s="0" t="n">
        <f aca="false">RawFinancials!AB188</f>
        <v>12899</v>
      </c>
      <c r="AC188" s="0" t="n">
        <f aca="false">RawFinancials!AC188</f>
        <v>0.45913424061496</v>
      </c>
      <c r="AD188" s="0" t="n">
        <f aca="false">IF(L188&gt;0,100*N188/L188,"")</f>
        <v>80.8434910053151</v>
      </c>
      <c r="AE188" s="0" t="n">
        <f aca="false">IF(B188&gt;0,100*F188/B188,"")</f>
        <v>9.37656838533817</v>
      </c>
      <c r="AF188" s="0" t="str">
        <f aca="false">RawFinancials!AE188</f>
        <v/>
      </c>
    </row>
    <row r="189" customFormat="false" ht="15" hidden="false" customHeight="false" outlineLevel="0" collapsed="false">
      <c r="A189" s="0" t="n">
        <f aca="false">IF(ISBLANK(RawFinancials!A189),"",RawFinancials!A189)</f>
        <v>189</v>
      </c>
      <c r="B189" s="0" t="n">
        <f aca="false">IF(ISBLANK(RawFinancials!B189),"",RawFinancials!B189)</f>
        <v>578817</v>
      </c>
      <c r="C189" s="0" t="n">
        <f aca="false">IF(ISBLANK(RawFinancials!C189),"",RawFinancials!C189)</f>
        <v>19836</v>
      </c>
      <c r="D189" s="0" t="n">
        <f aca="false">IF(ISBLANK(RawFinancials!D189),"",RawFinancials!D189)</f>
        <v>445845</v>
      </c>
      <c r="E189" s="0" t="n">
        <f aca="false">IF(ISBLANK(RawFinancials!E189),"",RawFinancials!E189)</f>
        <v>0.09</v>
      </c>
      <c r="F189" s="0" t="n">
        <f aca="false">IF(ISBLANK(RawFinancials!F189),"",RawFinancials!F189)</f>
        <v>116585</v>
      </c>
      <c r="G189" s="0" t="n">
        <f aca="false">IF(ISBLANK(RawFinancials!G189),"",RawFinancials!G189)</f>
        <v>20.1419446906362</v>
      </c>
      <c r="H189" s="0" t="str">
        <f aca="false">IF(ISBLANK(RawFinancials!H189),"",RawFinancials!H189)</f>
        <v>19836_20221231</v>
      </c>
      <c r="I189" s="0" t="n">
        <f aca="false">IF(ISBLANK(RawFinancials!I189),"",RawFinancials!I189)</f>
        <v>0.892709299244933</v>
      </c>
      <c r="J189" s="0" t="n">
        <f aca="false">IF(ISBLANK(RawFinancials!J189),"",RawFinancials!J189)</f>
        <v>49718</v>
      </c>
      <c r="K189" s="0" t="n">
        <f aca="false">IF(ISBLANK(RawFinancials!K189),"",RawFinancials!K189)</f>
        <v>11831</v>
      </c>
      <c r="L189" s="0" t="n">
        <f aca="false">IF(ISBLANK(RawFinancials!L189),"",RawFinancials!L189)</f>
        <v>483136</v>
      </c>
      <c r="M189" s="0" t="n">
        <f aca="false">IF(ISBLANK(RawFinancials!M189),"",RawFinancials!M189)</f>
        <v>478823</v>
      </c>
      <c r="N189" s="0" t="n">
        <f aca="false">IF(ISBLANK(RawFinancials!N189),"",RawFinancials!N189)</f>
        <v>416786</v>
      </c>
      <c r="O189" s="0" t="n">
        <f aca="false">IF(ISBLANK(RawFinancials!O189),"",RawFinancials!O189)</f>
        <v>1681</v>
      </c>
      <c r="P189" s="0" t="str">
        <f aca="false">IF(ISBLANK(RawFinancials!P189),"",RawFinancials!P189)</f>
        <v>FRANKLIN SAVINGS BANK</v>
      </c>
      <c r="Q189" s="0" t="n">
        <f aca="false">IF(ISBLANK(RawFinancials!Q189),"",RawFinancials!Q189)</f>
        <v>0.369875149026361</v>
      </c>
      <c r="R189" s="0" t="n">
        <f aca="false">IF(ISBLANK(RawFinancials!R189),"",RawFinancials!R189)</f>
        <v>4.22369418469126</v>
      </c>
      <c r="S189" s="0" t="n">
        <f aca="false">IF(ISBLANK(RawFinancials!S189),"",RawFinancials!S189)</f>
        <v>111</v>
      </c>
      <c r="T189" s="0" t="n">
        <f aca="false">IF(ISBLANK(RawFinancials!T189),"",RawFinancials!T189)</f>
        <v>2966</v>
      </c>
      <c r="U189" s="0" t="n">
        <f aca="false">IF(ISBLANK(RawFinancials!U189),"",RawFinancials!U189)</f>
        <v>106</v>
      </c>
      <c r="V189" s="0" t="n">
        <f aca="false">IF(ISBLANK(RawFinancials!V189),"",RawFinancials!V189)</f>
        <v>28.2794278089045</v>
      </c>
      <c r="W189" s="0" t="n">
        <f aca="false">IF(ISBLANK(RawFinancials!W189),"",RawFinancials!W189)</f>
        <v>20221231</v>
      </c>
      <c r="X189" s="0" t="n">
        <f aca="false">IF(ISBLANK(RawFinancials!X189),"",RawFinancials!X189)</f>
        <v>0.83577055943012</v>
      </c>
      <c r="Y189" s="0" t="n">
        <f aca="false">IF(ISBLANK(RawFinancials!Y189),"",RawFinancials!Y189)</f>
        <v>4.14</v>
      </c>
      <c r="Z189" s="0" t="str">
        <f aca="false">IF(ISBLANK(RawFinancials!Z189),"",RawFinancials!Z189)</f>
        <v>ME</v>
      </c>
      <c r="AA189" s="0" t="n">
        <f aca="false">RawFinancials!AA189</f>
        <v>1</v>
      </c>
      <c r="AB189" s="0" t="n">
        <f aca="false">RawFinancials!AB189</f>
        <v>1787</v>
      </c>
      <c r="AC189" s="0" t="n">
        <f aca="false">RawFinancials!AC189</f>
        <v>0.308733157457366</v>
      </c>
      <c r="AD189" s="0" t="n">
        <f aca="false">IF(L189&gt;0,100*N189/L189,"")</f>
        <v>86.266806861836</v>
      </c>
      <c r="AE189" s="0" t="n">
        <f aca="false">IF(B189&gt;0,100*F189/B189,"")</f>
        <v>20.1419446906362</v>
      </c>
      <c r="AF189" s="0" t="str">
        <f aca="false">RawFinancials!AE189</f>
        <v/>
      </c>
    </row>
    <row r="190" customFormat="false" ht="15" hidden="false" customHeight="false" outlineLevel="0" collapsed="false">
      <c r="A190" s="0" t="n">
        <f aca="false">IF(ISBLANK(RawFinancials!A190),"",RawFinancials!A190)</f>
        <v>190</v>
      </c>
      <c r="B190" s="0" t="n">
        <f aca="false">IF(ISBLANK(RawFinancials!B190),"",RawFinancials!B190)</f>
        <v>1260196</v>
      </c>
      <c r="C190" s="0" t="n">
        <f aca="false">IF(ISBLANK(RawFinancials!C190),"",RawFinancials!C190)</f>
        <v>24540</v>
      </c>
      <c r="D190" s="0" t="n">
        <f aca="false">IF(ISBLANK(RawFinancials!D190),"",RawFinancials!D190)</f>
        <v>1017970</v>
      </c>
      <c r="E190" s="0" t="n">
        <f aca="false">IF(ISBLANK(RawFinancials!E190),"",RawFinancials!E190)</f>
        <v>0.05</v>
      </c>
      <c r="F190" s="0" t="n">
        <f aca="false">IF(ISBLANK(RawFinancials!F190),"",RawFinancials!F190)</f>
        <v>214985</v>
      </c>
      <c r="G190" s="0" t="n">
        <f aca="false">IF(ISBLANK(RawFinancials!G190),"",RawFinancials!G190)</f>
        <v>17.0596478643005</v>
      </c>
      <c r="H190" s="0" t="str">
        <f aca="false">IF(ISBLANK(RawFinancials!H190),"",RawFinancials!H190)</f>
        <v>24540_20221231</v>
      </c>
      <c r="I190" s="0" t="n">
        <f aca="false">IF(ISBLANK(RawFinancials!I190),"",RawFinancials!I190)</f>
        <v>1.21993508028503</v>
      </c>
      <c r="J190" s="0" t="n">
        <f aca="false">IF(ISBLANK(RawFinancials!J190),"",RawFinancials!J190)</f>
        <v>42837</v>
      </c>
      <c r="K190" s="0" t="n">
        <f aca="false">IF(ISBLANK(RawFinancials!K190),"",RawFinancials!K190)</f>
        <v>32</v>
      </c>
      <c r="L190" s="0" t="n">
        <f aca="false">IF(ISBLANK(RawFinancials!L190),"",RawFinancials!L190)</f>
        <v>1087189</v>
      </c>
      <c r="M190" s="0" t="n">
        <f aca="false">IF(ISBLANK(RawFinancials!M190),"",RawFinancials!M190)</f>
        <v>1073926</v>
      </c>
      <c r="N190" s="0" t="n">
        <f aca="false">IF(ISBLANK(RawFinancials!N190),"",RawFinancials!N190)</f>
        <v>1047480</v>
      </c>
      <c r="O190" s="0" t="n">
        <f aca="false">IF(ISBLANK(RawFinancials!O190),"",RawFinancials!O190)</f>
        <v>372</v>
      </c>
      <c r="P190" s="0" t="str">
        <f aca="false">IF(ISBLANK(RawFinancials!P190),"",RawFinancials!P190)</f>
        <v>BANK OF NEW ENGLAND</v>
      </c>
      <c r="Q190" s="0" t="n">
        <f aca="false">IF(ISBLANK(RawFinancials!Q190),"",RawFinancials!Q190)</f>
        <v>0.0342166817361102</v>
      </c>
      <c r="R190" s="0" t="n">
        <f aca="false">IF(ISBLANK(RawFinancials!R190),"",RawFinancials!R190)</f>
        <v>4.74422673868285</v>
      </c>
      <c r="S190" s="0" t="n">
        <f aca="false">IF(ISBLANK(RawFinancials!S190),"",RawFinancials!S190)</f>
        <v>-15</v>
      </c>
      <c r="T190" s="0" t="n">
        <f aca="false">IF(ISBLANK(RawFinancials!T190),"",RawFinancials!T190)</f>
        <v>2026</v>
      </c>
      <c r="U190" s="0" t="n">
        <f aca="false">IF(ISBLANK(RawFinancials!U190),"",RawFinancials!U190)</f>
        <v>0</v>
      </c>
      <c r="V190" s="0" t="n">
        <f aca="false">IF(ISBLANK(RawFinancials!V190),"",RawFinancials!V190)</f>
        <v>0</v>
      </c>
      <c r="W190" s="0" t="n">
        <f aca="false">IF(ISBLANK(RawFinancials!W190),"",RawFinancials!W190)</f>
        <v>20221231</v>
      </c>
      <c r="X190" s="0" t="n">
        <f aca="false">IF(ISBLANK(RawFinancials!X190),"",RawFinancials!X190)</f>
        <v>2.4490506964624</v>
      </c>
      <c r="Y190" s="0" t="n">
        <f aca="false">IF(ISBLANK(RawFinancials!Y190),"",RawFinancials!Y190)</f>
        <v>15.2</v>
      </c>
      <c r="Z190" s="0" t="str">
        <f aca="false">IF(ISBLANK(RawFinancials!Z190),"",RawFinancials!Z190)</f>
        <v>NH</v>
      </c>
      <c r="AA190" s="0" t="n">
        <f aca="false">RawFinancials!AA190</f>
        <v>1</v>
      </c>
      <c r="AB190" s="0" t="n">
        <f aca="false">RawFinancials!AB190</f>
        <v>372</v>
      </c>
      <c r="AC190" s="0" t="n">
        <f aca="false">RawFinancials!AC190</f>
        <v>0.0295192176455091</v>
      </c>
      <c r="AD190" s="0" t="n">
        <f aca="false">IF(L190&gt;0,100*N190/L190,"")</f>
        <v>96.3475531853247</v>
      </c>
      <c r="AE190" s="0" t="n">
        <f aca="false">IF(B190&gt;0,100*F190/B190,"")</f>
        <v>17.0596478643005</v>
      </c>
      <c r="AF190" s="0" t="str">
        <f aca="false">RawFinancials!AE190</f>
        <v>原始0：需核实适用/报告口径</v>
      </c>
    </row>
    <row r="191" customFormat="false" ht="15" hidden="false" customHeight="false" outlineLevel="0" collapsed="false">
      <c r="A191" s="0" t="n">
        <f aca="false">IF(ISBLANK(RawFinancials!A191),"",RawFinancials!A191)</f>
        <v>191</v>
      </c>
      <c r="B191" s="0" t="n">
        <f aca="false">IF(ISBLANK(RawFinancials!B191),"",RawFinancials!B191)</f>
        <v>487232</v>
      </c>
      <c r="C191" s="0" t="n">
        <f aca="false">IF(ISBLANK(RawFinancials!C191),"",RawFinancials!C191)</f>
        <v>27824</v>
      </c>
      <c r="D191" s="0" t="n">
        <f aca="false">IF(ISBLANK(RawFinancials!D191),"",RawFinancials!D191)</f>
        <v>385881</v>
      </c>
      <c r="E191" s="0" t="n">
        <f aca="false">IF(ISBLANK(RawFinancials!E191),"",RawFinancials!E191)</f>
        <v>0.02</v>
      </c>
      <c r="F191" s="0" t="n">
        <f aca="false">IF(ISBLANK(RawFinancials!F191),"",RawFinancials!F191)</f>
        <v>66059</v>
      </c>
      <c r="G191" s="0" t="n">
        <f aca="false">IF(ISBLANK(RawFinancials!G191),"",RawFinancials!G191)</f>
        <v>13.558017535794</v>
      </c>
      <c r="H191" s="0" t="str">
        <f aca="false">IF(ISBLANK(RawFinancials!H191),"",RawFinancials!H191)</f>
        <v>27824_20221231</v>
      </c>
      <c r="I191" s="0" t="n">
        <f aca="false">IF(ISBLANK(RawFinancials!I191),"",RawFinancials!I191)</f>
        <v>0.771508206875193</v>
      </c>
      <c r="J191" s="0" t="n">
        <f aca="false">IF(ISBLANK(RawFinancials!J191),"",RawFinancials!J191)</f>
        <v>21116</v>
      </c>
      <c r="K191" s="0" t="n">
        <f aca="false">IF(ISBLANK(RawFinancials!K191),"",RawFinancials!K191)</f>
        <v>39942</v>
      </c>
      <c r="L191" s="0" t="n">
        <f aca="false">IF(ISBLANK(RawFinancials!L191),"",RawFinancials!L191)</f>
        <v>403625</v>
      </c>
      <c r="M191" s="0" t="n">
        <f aca="false">IF(ISBLANK(RawFinancials!M191),"",RawFinancials!M191)</f>
        <v>400511</v>
      </c>
      <c r="N191" s="0" t="n">
        <f aca="false">IF(ISBLANK(RawFinancials!N191),"",RawFinancials!N191)</f>
        <v>342567</v>
      </c>
      <c r="O191" s="0" t="n">
        <f aca="false">IF(ISBLANK(RawFinancials!O191),"",RawFinancials!O191)</f>
        <v>881</v>
      </c>
      <c r="P191" s="0" t="str">
        <f aca="false">IF(ISBLANK(RawFinancials!P191),"",RawFinancials!P191)</f>
        <v>SALEM CO-OPERATIVE BANK</v>
      </c>
      <c r="Q191" s="0" t="n">
        <f aca="false">IF(ISBLANK(RawFinancials!Q191),"",RawFinancials!Q191)</f>
        <v>0.2182719108083</v>
      </c>
      <c r="R191" s="0" t="n">
        <f aca="false">IF(ISBLANK(RawFinancials!R191),"",RawFinancials!R191)</f>
        <v>2.83552534330862</v>
      </c>
      <c r="S191" s="0" t="n">
        <f aca="false">IF(ISBLANK(RawFinancials!S191),"",RawFinancials!S191)</f>
        <v>58</v>
      </c>
      <c r="T191" s="0" t="n">
        <f aca="false">IF(ISBLANK(RawFinancials!T191),"",RawFinancials!T191)</f>
        <v>967</v>
      </c>
      <c r="U191" s="0" t="n">
        <f aca="false">IF(ISBLANK(RawFinancials!U191),"",RawFinancials!U191)</f>
        <v>0</v>
      </c>
      <c r="V191" s="0" t="n">
        <f aca="false">IF(ISBLANK(RawFinancials!V191),"",RawFinancials!V191)</f>
        <v>23.0970442865222</v>
      </c>
      <c r="W191" s="0" t="n">
        <f aca="false">IF(ISBLANK(RawFinancials!W191),"",RawFinancials!W191)</f>
        <v>20221231</v>
      </c>
      <c r="X191" s="0" t="n">
        <f aca="false">IF(ISBLANK(RawFinancials!X191),"",RawFinancials!X191)</f>
        <v>0.24575653263604</v>
      </c>
      <c r="Y191" s="0" t="n">
        <f aca="false">IF(ISBLANK(RawFinancials!Y191),"",RawFinancials!Y191)</f>
        <v>1.69</v>
      </c>
      <c r="Z191" s="0" t="str">
        <f aca="false">IF(ISBLANK(RawFinancials!Z191),"",RawFinancials!Z191)</f>
        <v>NH</v>
      </c>
      <c r="AA191" s="0" t="n">
        <f aca="false">RawFinancials!AA191</f>
        <v>1</v>
      </c>
      <c r="AB191" s="0" t="n">
        <f aca="false">RawFinancials!AB191</f>
        <v>881</v>
      </c>
      <c r="AC191" s="0" t="n">
        <f aca="false">RawFinancials!AC191</f>
        <v>0.180817351898069</v>
      </c>
      <c r="AD191" s="0" t="n">
        <f aca="false">IF(L191&gt;0,100*N191/L191,"")</f>
        <v>84.8725921337875</v>
      </c>
      <c r="AE191" s="0" t="n">
        <f aca="false">IF(B191&gt;0,100*F191/B191,"")</f>
        <v>13.558017535794</v>
      </c>
      <c r="AF191" s="0" t="str">
        <f aca="false">RawFinancials!AE191</f>
        <v/>
      </c>
    </row>
    <row r="192" customFormat="false" ht="15" hidden="false" customHeight="false" outlineLevel="0" collapsed="false">
      <c r="A192" s="0" t="n">
        <f aca="false">IF(ISBLANK(RawFinancials!A192),"",RawFinancials!A192)</f>
        <v>192</v>
      </c>
      <c r="B192" s="0" t="n">
        <f aca="false">IF(ISBLANK(RawFinancials!B192),"",RawFinancials!B192)</f>
        <v>297675</v>
      </c>
      <c r="C192" s="0" t="n">
        <f aca="false">IF(ISBLANK(RawFinancials!C192),"",RawFinancials!C192)</f>
        <v>28155</v>
      </c>
      <c r="D192" s="0" t="n">
        <f aca="false">IF(ISBLANK(RawFinancials!D192),"",RawFinancials!D192)</f>
        <v>258019</v>
      </c>
      <c r="E192" s="0" t="n">
        <f aca="false">IF(ISBLANK(RawFinancials!E192),"",RawFinancials!E192)</f>
        <v>0.03</v>
      </c>
      <c r="F192" s="0" t="n">
        <f aca="false">IF(ISBLANK(RawFinancials!F192),"",RawFinancials!F192)</f>
        <v>27626</v>
      </c>
      <c r="G192" s="0" t="n">
        <f aca="false">IF(ISBLANK(RawFinancials!G192),"",RawFinancials!G192)</f>
        <v>9.28059124884522</v>
      </c>
      <c r="H192" s="0" t="str">
        <f aca="false">IF(ISBLANK(RawFinancials!H192),"",RawFinancials!H192)</f>
        <v>28155_20221231</v>
      </c>
      <c r="I192" s="0" t="n">
        <f aca="false">IF(ISBLANK(RawFinancials!I192),"",RawFinancials!I192)</f>
        <v>0.578169971850587</v>
      </c>
      <c r="J192" s="0" t="n">
        <f aca="false">IF(ISBLANK(RawFinancials!J192),"",RawFinancials!J192)</f>
        <v>6284</v>
      </c>
      <c r="K192" s="0" t="n">
        <f aca="false">IF(ISBLANK(RawFinancials!K192),"",RawFinancials!K192)</f>
        <v>5033</v>
      </c>
      <c r="L192" s="0" t="n">
        <f aca="false">IF(ISBLANK(RawFinancials!L192),"",RawFinancials!L192)</f>
        <v>158085</v>
      </c>
      <c r="M192" s="0" t="n">
        <f aca="false">IF(ISBLANK(RawFinancials!M192),"",RawFinancials!M192)</f>
        <v>157171</v>
      </c>
      <c r="N192" s="0" t="n">
        <f aca="false">IF(ISBLANK(RawFinancials!N192),"",RawFinancials!N192)</f>
        <v>146082</v>
      </c>
      <c r="O192" s="0" t="n">
        <f aca="false">IF(ISBLANK(RawFinancials!O192),"",RawFinancials!O192)</f>
        <v>67</v>
      </c>
      <c r="P192" s="0" t="str">
        <f aca="false">IF(ISBLANK(RawFinancials!P192),"",RawFinancials!P192)</f>
        <v>PROFILE BANK</v>
      </c>
      <c r="Q192" s="0" t="n">
        <f aca="false">IF(ISBLANK(RawFinancials!Q192),"",RawFinancials!Q192)</f>
        <v>0.0423822627067716</v>
      </c>
      <c r="R192" s="0" t="n">
        <f aca="false">IF(ISBLANK(RawFinancials!R192),"",RawFinancials!R192)</f>
        <v>2.77876474751211</v>
      </c>
      <c r="S192" s="0" t="n">
        <f aca="false">IF(ISBLANK(RawFinancials!S192),"",RawFinancials!S192)</f>
        <v>5</v>
      </c>
      <c r="T192" s="0" t="n">
        <f aca="false">IF(ISBLANK(RawFinancials!T192),"",RawFinancials!T192)</f>
        <v>732</v>
      </c>
      <c r="U192" s="0" t="n">
        <f aca="false">IF(ISBLANK(RawFinancials!U192),"",RawFinancials!U192)</f>
        <v>0</v>
      </c>
      <c r="V192" s="0" t="n">
        <f aca="false">IF(ISBLANK(RawFinancials!V192),"",RawFinancials!V192)</f>
        <v>18.1932924630364</v>
      </c>
      <c r="W192" s="0" t="n">
        <f aca="false">IF(ISBLANK(RawFinancials!W192),"",RawFinancials!W192)</f>
        <v>20221231</v>
      </c>
      <c r="X192" s="0" t="n">
        <f aca="false">IF(ISBLANK(RawFinancials!X192),"",RawFinancials!X192)</f>
        <v>0.129023320625668</v>
      </c>
      <c r="Y192" s="0" t="n">
        <f aca="false">IF(ISBLANK(RawFinancials!Y192),"",RawFinancials!Y192)</f>
        <v>1.38</v>
      </c>
      <c r="Z192" s="0" t="str">
        <f aca="false">IF(ISBLANK(RawFinancials!Z192),"",RawFinancials!Z192)</f>
        <v>NH</v>
      </c>
      <c r="AA192" s="0" t="n">
        <f aca="false">RawFinancials!AA192</f>
        <v>1</v>
      </c>
      <c r="AB192" s="0" t="n">
        <f aca="false">RawFinancials!AB192</f>
        <v>67</v>
      </c>
      <c r="AC192" s="0" t="n">
        <f aca="false">RawFinancials!AC192</f>
        <v>0.0225077685395146</v>
      </c>
      <c r="AD192" s="0" t="n">
        <f aca="false">IF(L192&gt;0,100*N192/L192,"")</f>
        <v>92.4072492646361</v>
      </c>
      <c r="AE192" s="0" t="n">
        <f aca="false">IF(B192&gt;0,100*F192/B192,"")</f>
        <v>9.28059124884522</v>
      </c>
      <c r="AF192" s="0" t="str">
        <f aca="false">RawFinancials!AE192</f>
        <v/>
      </c>
    </row>
    <row r="193" customFormat="false" ht="15" hidden="false" customHeight="false" outlineLevel="0" collapsed="false">
      <c r="A193" s="0" t="n">
        <f aca="false">IF(ISBLANK(RawFinancials!A193),"",RawFinancials!A193)</f>
        <v>193</v>
      </c>
      <c r="B193" s="0" t="n">
        <f aca="false">IF(ISBLANK(RawFinancials!B193),"",RawFinancials!B193)</f>
        <v>101567</v>
      </c>
      <c r="C193" s="0" t="n">
        <f aca="false">IF(ISBLANK(RawFinancials!C193),"",RawFinancials!C193)</f>
        <v>28288</v>
      </c>
      <c r="D193" s="0" t="n">
        <f aca="false">IF(ISBLANK(RawFinancials!D193),"",RawFinancials!D193)</f>
        <v>81268</v>
      </c>
      <c r="E193" s="0" t="n">
        <f aca="false">IF(ISBLANK(RawFinancials!E193),"",RawFinancials!E193)</f>
        <v>0.04</v>
      </c>
      <c r="F193" s="0" t="n">
        <f aca="false">IF(ISBLANK(RawFinancials!F193),"",RawFinancials!F193)</f>
        <v>5901</v>
      </c>
      <c r="G193" s="0" t="n">
        <f aca="false">IF(ISBLANK(RawFinancials!G193),"",RawFinancials!G193)</f>
        <v>5.80995795878583</v>
      </c>
      <c r="H193" s="0" t="str">
        <f aca="false">IF(ISBLANK(RawFinancials!H193),"",RawFinancials!H193)</f>
        <v>28288_20221231</v>
      </c>
      <c r="I193" s="0" t="n">
        <f aca="false">IF(ISBLANK(RawFinancials!I193),"",RawFinancials!I193)</f>
        <v>1.09490905395793</v>
      </c>
      <c r="J193" s="0" t="n">
        <f aca="false">IF(ISBLANK(RawFinancials!J193),"",RawFinancials!J193)</f>
        <v>3446</v>
      </c>
      <c r="K193" s="0" t="n">
        <f aca="false">IF(ISBLANK(RawFinancials!K193),"",RawFinancials!K193)</f>
        <v>633</v>
      </c>
      <c r="L193" s="0" t="n">
        <f aca="false">IF(ISBLANK(RawFinancials!L193),"",RawFinancials!L193)</f>
        <v>78728</v>
      </c>
      <c r="M193" s="0" t="n">
        <f aca="false">IF(ISBLANK(RawFinancials!M193),"",RawFinancials!M193)</f>
        <v>77866</v>
      </c>
      <c r="N193" s="0" t="n">
        <f aca="false">IF(ISBLANK(RawFinancials!N193),"",RawFinancials!N193)</f>
        <v>74650</v>
      </c>
      <c r="O193" s="0" t="n">
        <f aca="false">IF(ISBLANK(RawFinancials!O193),"",RawFinancials!O193)</f>
        <v>364</v>
      </c>
      <c r="P193" s="0" t="str">
        <f aca="false">IF(ISBLANK(RawFinancials!P193),"",RawFinancials!P193)</f>
        <v>AUBURN SAVINGS BANK, FSB</v>
      </c>
      <c r="Q193" s="0" t="n">
        <f aca="false">IF(ISBLANK(RawFinancials!Q193),"",RawFinancials!Q193)</f>
        <v>0.462351387054161</v>
      </c>
      <c r="R193" s="0" t="n">
        <f aca="false">IF(ISBLANK(RawFinancials!R193),"",RawFinancials!R193)</f>
        <v>3.46738373105731</v>
      </c>
      <c r="S193" s="0" t="n">
        <f aca="false">IF(ISBLANK(RawFinancials!S193),"",RawFinancials!S193)</f>
        <v>45</v>
      </c>
      <c r="T193" s="0" t="n">
        <f aca="false">IF(ISBLANK(RawFinancials!T193),"",RawFinancials!T193)</f>
        <v>54</v>
      </c>
      <c r="U193" s="0" t="n">
        <f aca="false">IF(ISBLANK(RawFinancials!U193),"",RawFinancials!U193)</f>
        <v>0</v>
      </c>
      <c r="V193" s="0" t="n">
        <f aca="false">IF(ISBLANK(RawFinancials!V193),"",RawFinancials!V193)</f>
        <v>13.6622857582046</v>
      </c>
      <c r="W193" s="0" t="n">
        <f aca="false">IF(ISBLANK(RawFinancials!W193),"",RawFinancials!W193)</f>
        <v>20221231</v>
      </c>
      <c r="X193" s="0" t="n">
        <f aca="false">IF(ISBLANK(RawFinancials!X193),"",RawFinancials!X193)</f>
        <v>0.0982367028867113</v>
      </c>
      <c r="Y193" s="0" t="n">
        <f aca="false">IF(ISBLANK(RawFinancials!Y193),"",RawFinancials!Y193)</f>
        <v>1.43</v>
      </c>
      <c r="Z193" s="0" t="str">
        <f aca="false">IF(ISBLANK(RawFinancials!Z193),"",RawFinancials!Z193)</f>
        <v>ME</v>
      </c>
      <c r="AA193" s="0" t="n">
        <f aca="false">RawFinancials!AA193</f>
        <v>1</v>
      </c>
      <c r="AB193" s="0" t="n">
        <f aca="false">RawFinancials!AB193</f>
        <v>364</v>
      </c>
      <c r="AC193" s="0" t="n">
        <f aca="false">RawFinancials!AC193</f>
        <v>0.358384120826646</v>
      </c>
      <c r="AD193" s="0" t="n">
        <f aca="false">IF(L193&gt;0,100*N193/L193,"")</f>
        <v>94.8201402296515</v>
      </c>
      <c r="AE193" s="0" t="n">
        <f aca="false">IF(B193&gt;0,100*F193/B193,"")</f>
        <v>5.80995795878583</v>
      </c>
      <c r="AF193" s="0" t="str">
        <f aca="false">RawFinancials!AE193</f>
        <v/>
      </c>
    </row>
    <row r="194" customFormat="false" ht="15" hidden="false" customHeight="false" outlineLevel="0" collapsed="false">
      <c r="A194" s="0" t="n">
        <f aca="false">IF(ISBLANK(RawFinancials!A194),"",RawFinancials!A194)</f>
        <v>194</v>
      </c>
      <c r="B194" s="0" t="n">
        <f aca="false">IF(ISBLANK(RawFinancials!B194),"",RawFinancials!B194)</f>
        <v>86156</v>
      </c>
      <c r="C194" s="0" t="n">
        <f aca="false">IF(ISBLANK(RawFinancials!C194),"",RawFinancials!C194)</f>
        <v>28369</v>
      </c>
      <c r="D194" s="0" t="n">
        <f aca="false">IF(ISBLANK(RawFinancials!D194),"",RawFinancials!D194)</f>
        <v>76209</v>
      </c>
      <c r="E194" s="0" t="n">
        <f aca="false">IF(ISBLANK(RawFinancials!E194),"",RawFinancials!E194)</f>
        <v>-0.01</v>
      </c>
      <c r="F194" s="0" t="n">
        <f aca="false">IF(ISBLANK(RawFinancials!F194),"",RawFinancials!F194)</f>
        <v>9537</v>
      </c>
      <c r="G194" s="0" t="n">
        <f aca="false">IF(ISBLANK(RawFinancials!G194),"",RawFinancials!G194)</f>
        <v>11.069455406472</v>
      </c>
      <c r="H194" s="0" t="str">
        <f aca="false">IF(ISBLANK(RawFinancials!H194),"",RawFinancials!H194)</f>
        <v>28369_20221231</v>
      </c>
      <c r="I194" s="0" t="n">
        <f aca="false">IF(ISBLANK(RawFinancials!I194),"",RawFinancials!I194)</f>
        <v>0.746960362030424</v>
      </c>
      <c r="J194" s="0" t="n">
        <f aca="false">IF(ISBLANK(RawFinancials!J194),"",RawFinancials!J194)</f>
        <v>10376</v>
      </c>
      <c r="K194" s="0" t="n">
        <f aca="false">IF(ISBLANK(RawFinancials!K194),"",RawFinancials!K194)</f>
        <v>789</v>
      </c>
      <c r="L194" s="0" t="n">
        <f aca="false">IF(ISBLANK(RawFinancials!L194),"",RawFinancials!L194)</f>
        <v>73364</v>
      </c>
      <c r="M194" s="0" t="n">
        <f aca="false">IF(ISBLANK(RawFinancials!M194),"",RawFinancials!M194)</f>
        <v>72816</v>
      </c>
      <c r="N194" s="0" t="n">
        <f aca="false">IF(ISBLANK(RawFinancials!N194),"",RawFinancials!N194)</f>
        <v>62199</v>
      </c>
      <c r="O194" s="0" t="n">
        <f aca="false">IF(ISBLANK(RawFinancials!O194),"",RawFinancials!O194)</f>
        <v>243</v>
      </c>
      <c r="P194" s="0" t="str">
        <f aca="false">IF(ISBLANK(RawFinancials!P194),"",RawFinancials!P194)</f>
        <v>ROCKLAND SAVINGS BANK, FSB</v>
      </c>
      <c r="Q194" s="0" t="n">
        <f aca="false">IF(ISBLANK(RawFinancials!Q194),"",RawFinancials!Q194)</f>
        <v>0.331225124039038</v>
      </c>
      <c r="R194" s="0" t="n">
        <f aca="false">IF(ISBLANK(RawFinancials!R194),"",RawFinancials!R194)</f>
        <v>3.68178301928101</v>
      </c>
      <c r="S194" s="0" t="n">
        <f aca="false">IF(ISBLANK(RawFinancials!S194),"",RawFinancials!S194)</f>
        <v>-9</v>
      </c>
      <c r="T194" s="0" t="n">
        <f aca="false">IF(ISBLANK(RawFinancials!T194),"",RawFinancials!T194)</f>
        <v>299</v>
      </c>
      <c r="U194" s="0" t="n">
        <f aca="false">IF(ISBLANK(RawFinancials!U194),"",RawFinancials!U194)</f>
        <v>0</v>
      </c>
      <c r="V194" s="0" t="n">
        <f aca="false">IF(ISBLANK(RawFinancials!V194),"",RawFinancials!V194)</f>
        <v>0</v>
      </c>
      <c r="W194" s="0" t="n">
        <f aca="false">IF(ISBLANK(RawFinancials!W194),"",RawFinancials!W194)</f>
        <v>20221231</v>
      </c>
      <c r="X194" s="0" t="n">
        <f aca="false">IF(ISBLANK(RawFinancials!X194),"",RawFinancials!X194)</f>
        <v>0.120898935398517</v>
      </c>
      <c r="Y194" s="0" t="n">
        <f aca="false">IF(ISBLANK(RawFinancials!Y194),"",RawFinancials!Y194)</f>
        <v>1.11</v>
      </c>
      <c r="Z194" s="0" t="str">
        <f aca="false">IF(ISBLANK(RawFinancials!Z194),"",RawFinancials!Z194)</f>
        <v>ME</v>
      </c>
      <c r="AA194" s="0" t="n">
        <f aca="false">RawFinancials!AA194</f>
        <v>1</v>
      </c>
      <c r="AB194" s="0" t="n">
        <f aca="false">RawFinancials!AB194</f>
        <v>243</v>
      </c>
      <c r="AC194" s="0" t="n">
        <f aca="false">RawFinancials!AC194</f>
        <v>0.282046520265565</v>
      </c>
      <c r="AD194" s="0" t="n">
        <f aca="false">IF(L194&gt;0,100*N194/L194,"")</f>
        <v>84.7813641568072</v>
      </c>
      <c r="AE194" s="0" t="n">
        <f aca="false">IF(B194&gt;0,100*F194/B194,"")</f>
        <v>11.069455406472</v>
      </c>
      <c r="AF194" s="0" t="str">
        <f aca="false">RawFinancials!AE194</f>
        <v>原始0：需核实适用/报告口径</v>
      </c>
    </row>
    <row r="195" customFormat="false" ht="15" hidden="false" customHeight="false" outlineLevel="0" collapsed="false">
      <c r="A195" s="0" t="n">
        <f aca="false">IF(ISBLANK(RawFinancials!A195),"",RawFinancials!A195)</f>
        <v>195</v>
      </c>
      <c r="B195" s="0" t="n">
        <f aca="false">IF(ISBLANK(RawFinancials!B195),"",RawFinancials!B195)</f>
        <v>309393</v>
      </c>
      <c r="C195" s="0" t="n">
        <f aca="false">IF(ISBLANK(RawFinancials!C195),"",RawFinancials!C195)</f>
        <v>28837</v>
      </c>
      <c r="D195" s="0" t="n">
        <f aca="false">IF(ISBLANK(RawFinancials!D195),"",RawFinancials!D195)</f>
        <v>282476</v>
      </c>
      <c r="E195" s="0" t="n">
        <f aca="false">IF(ISBLANK(RawFinancials!E195),"",RawFinancials!E195)</f>
        <v>0.04</v>
      </c>
      <c r="F195" s="0" t="n">
        <f aca="false">IF(ISBLANK(RawFinancials!F195),"",RawFinancials!F195)</f>
        <v>23557</v>
      </c>
      <c r="G195" s="0" t="n">
        <f aca="false">IF(ISBLANK(RawFinancials!G195),"",RawFinancials!G195)</f>
        <v>7.61394084546192</v>
      </c>
      <c r="H195" s="0" t="str">
        <f aca="false">IF(ISBLANK(RawFinancials!H195),"",RawFinancials!H195)</f>
        <v>28837_20221231</v>
      </c>
      <c r="I195" s="0" t="n">
        <f aca="false">IF(ISBLANK(RawFinancials!I195),"",RawFinancials!I195)</f>
        <v>1.22063785091349</v>
      </c>
      <c r="J195" s="0" t="n">
        <f aca="false">IF(ISBLANK(RawFinancials!J195),"",RawFinancials!J195)</f>
        <v>6121</v>
      </c>
      <c r="K195" s="0" t="n">
        <f aca="false">IF(ISBLANK(RawFinancials!K195),"",RawFinancials!K195)</f>
        <v>1547</v>
      </c>
      <c r="L195" s="0" t="n">
        <f aca="false">IF(ISBLANK(RawFinancials!L195),"",RawFinancials!L195)</f>
        <v>188508</v>
      </c>
      <c r="M195" s="0" t="n">
        <f aca="false">IF(ISBLANK(RawFinancials!M195),"",RawFinancials!M195)</f>
        <v>186207</v>
      </c>
      <c r="N195" s="0" t="n">
        <f aca="false">IF(ISBLANK(RawFinancials!N195),"",RawFinancials!N195)</f>
        <v>179883</v>
      </c>
      <c r="O195" s="0" t="n">
        <f aca="false">IF(ISBLANK(RawFinancials!O195),"",RawFinancials!O195)</f>
        <v>19</v>
      </c>
      <c r="P195" s="0" t="str">
        <f aca="false">IF(ISBLANK(RawFinancials!P195),"",RawFinancials!P195)</f>
        <v>THE BRATTLEBORO SAVINGS AND LOAN ASSOCIATION</v>
      </c>
      <c r="Q195" s="0" t="n">
        <f aca="false">IF(ISBLANK(RawFinancials!Q195),"",RawFinancials!Q195)</f>
        <v>0.0100791478345746</v>
      </c>
      <c r="R195" s="0" t="n">
        <f aca="false">IF(ISBLANK(RawFinancials!R195),"",RawFinancials!R195)</f>
        <v>3.00954600230921</v>
      </c>
      <c r="S195" s="0" t="n">
        <f aca="false">IF(ISBLANK(RawFinancials!S195),"",RawFinancials!S195)</f>
        <v>117</v>
      </c>
      <c r="T195" s="0" t="n">
        <f aca="false">IF(ISBLANK(RawFinancials!T195),"",RawFinancials!T195)</f>
        <v>480</v>
      </c>
      <c r="U195" s="0" t="n">
        <f aca="false">IF(ISBLANK(RawFinancials!U195),"",RawFinancials!U195)</f>
        <v>0</v>
      </c>
      <c r="V195" s="0" t="n">
        <f aca="false">IF(ISBLANK(RawFinancials!V195),"",RawFinancials!V195)</f>
        <v>15.4061497879384</v>
      </c>
      <c r="W195" s="0" t="n">
        <f aca="false">IF(ISBLANK(RawFinancials!W195),"",RawFinancials!W195)</f>
        <v>20221231</v>
      </c>
      <c r="X195" s="0" t="n">
        <f aca="false">IF(ISBLANK(RawFinancials!X195),"",RawFinancials!X195)</f>
        <v>0.587269738016854</v>
      </c>
      <c r="Y195" s="0" t="n">
        <f aca="false">IF(ISBLANK(RawFinancials!Y195),"",RawFinancials!Y195)</f>
        <v>7.87</v>
      </c>
      <c r="Z195" s="0" t="str">
        <f aca="false">IF(ISBLANK(RawFinancials!Z195),"",RawFinancials!Z195)</f>
        <v>VT</v>
      </c>
      <c r="AA195" s="0" t="n">
        <f aca="false">RawFinancials!AA195</f>
        <v>1</v>
      </c>
      <c r="AB195" s="0" t="n">
        <f aca="false">RawFinancials!AB195</f>
        <v>19</v>
      </c>
      <c r="AC195" s="0" t="n">
        <f aca="false">RawFinancials!AC195</f>
        <v>0.00614105684356143</v>
      </c>
      <c r="AD195" s="0" t="n">
        <f aca="false">IF(L195&gt;0,100*N195/L195,"")</f>
        <v>95.4245973645681</v>
      </c>
      <c r="AE195" s="0" t="n">
        <f aca="false">IF(B195&gt;0,100*F195/B195,"")</f>
        <v>7.61394084546192</v>
      </c>
      <c r="AF195" s="0" t="str">
        <f aca="false">RawFinancials!AE195</f>
        <v/>
      </c>
    </row>
    <row r="196" customFormat="false" ht="15" hidden="false" customHeight="false" outlineLevel="0" collapsed="false">
      <c r="A196" s="0" t="n">
        <f aca="false">IF(ISBLANK(RawFinancials!A196),"",RawFinancials!A196)</f>
        <v>196</v>
      </c>
      <c r="B196" s="0" t="n">
        <f aca="false">IF(ISBLANK(RawFinancials!B196),"",RawFinancials!B196)</f>
        <v>181529</v>
      </c>
      <c r="C196" s="0" t="n">
        <f aca="false">IF(ISBLANK(RawFinancials!C196),"",RawFinancials!C196)</f>
        <v>29636</v>
      </c>
      <c r="D196" s="0" t="n">
        <f aca="false">IF(ISBLANK(RawFinancials!D196),"",RawFinancials!D196)</f>
        <v>149099</v>
      </c>
      <c r="E196" s="0" t="n">
        <f aca="false">IF(ISBLANK(RawFinancials!E196),"",RawFinancials!E196)</f>
        <v>0.05</v>
      </c>
      <c r="F196" s="0" t="n">
        <f aca="false">IF(ISBLANK(RawFinancials!F196),"",RawFinancials!F196)</f>
        <v>24331</v>
      </c>
      <c r="G196" s="0" t="n">
        <f aca="false">IF(ISBLANK(RawFinancials!G196),"",RawFinancials!G196)</f>
        <v>13.4033680568945</v>
      </c>
      <c r="H196" s="0" t="str">
        <f aca="false">IF(ISBLANK(RawFinancials!H196),"",RawFinancials!H196)</f>
        <v>29636_20221231</v>
      </c>
      <c r="I196" s="0" t="n">
        <f aca="false">IF(ISBLANK(RawFinancials!I196),"",RawFinancials!I196)</f>
        <v>1.4302922007993</v>
      </c>
      <c r="J196" s="0" t="n">
        <f aca="false">IF(ISBLANK(RawFinancials!J196),"",RawFinancials!J196)</f>
        <v>1648</v>
      </c>
      <c r="K196" s="0" t="n">
        <f aca="false">IF(ISBLANK(RawFinancials!K196),"",RawFinancials!K196)</f>
        <v>1819</v>
      </c>
      <c r="L196" s="0" t="n">
        <f aca="false">IF(ISBLANK(RawFinancials!L196),"",RawFinancials!L196)</f>
        <v>125359</v>
      </c>
      <c r="M196" s="0" t="n">
        <f aca="false">IF(ISBLANK(RawFinancials!M196),"",RawFinancials!M196)</f>
        <v>123566</v>
      </c>
      <c r="N196" s="0" t="n">
        <f aca="false">IF(ISBLANK(RawFinancials!N196),"",RawFinancials!N196)</f>
        <v>121892</v>
      </c>
      <c r="O196" s="0" t="n">
        <f aca="false">IF(ISBLANK(RawFinancials!O196),"",RawFinancials!O196)</f>
        <v>2260</v>
      </c>
      <c r="P196" s="0" t="str">
        <f aca="false">IF(ISBLANK(RawFinancials!P196),"",RawFinancials!P196)</f>
        <v>FIRST FEDERAL SAVINGS AND LOAN ASSOCIATION OF BATH</v>
      </c>
      <c r="Q196" s="0" t="n">
        <f aca="false">IF(ISBLANK(RawFinancials!Q196),"",RawFinancials!Q196)</f>
        <v>1.80282229437057</v>
      </c>
      <c r="R196" s="0" t="n">
        <f aca="false">IF(ISBLANK(RawFinancials!R196),"",RawFinancials!R196)</f>
        <v>3.34702562270041</v>
      </c>
      <c r="S196" s="0" t="n">
        <f aca="false">IF(ISBLANK(RawFinancials!S196),"",RawFinancials!S196)</f>
        <v>-42</v>
      </c>
      <c r="T196" s="0" t="n">
        <f aca="false">IF(ISBLANK(RawFinancials!T196),"",RawFinancials!T196)</f>
        <v>2724</v>
      </c>
      <c r="U196" s="0" t="n">
        <f aca="false">IF(ISBLANK(RawFinancials!U196),"",RawFinancials!U196)</f>
        <v>0</v>
      </c>
      <c r="V196" s="0" t="n">
        <f aca="false">IF(ISBLANK(RawFinancials!V196),"",RawFinancials!V196)</f>
        <v>27.508772658375</v>
      </c>
      <c r="W196" s="0" t="n">
        <f aca="false">IF(ISBLANK(RawFinancials!W196),"",RawFinancials!W196)</f>
        <v>20221231</v>
      </c>
      <c r="X196" s="0" t="n">
        <f aca="false">IF(ISBLANK(RawFinancials!X196),"",RawFinancials!X196)</f>
        <v>0.361070715672017</v>
      </c>
      <c r="Y196" s="0" t="n">
        <f aca="false">IF(ISBLANK(RawFinancials!Y196),"",RawFinancials!Y196)</f>
        <v>2.71</v>
      </c>
      <c r="Z196" s="0" t="str">
        <f aca="false">IF(ISBLANK(RawFinancials!Z196),"",RawFinancials!Z196)</f>
        <v>ME</v>
      </c>
      <c r="AA196" s="0" t="n">
        <f aca="false">RawFinancials!AA196</f>
        <v>1</v>
      </c>
      <c r="AB196" s="0" t="n">
        <f aca="false">RawFinancials!AB196</f>
        <v>2260</v>
      </c>
      <c r="AC196" s="0" t="n">
        <f aca="false">RawFinancials!AC196</f>
        <v>1.24498014091412</v>
      </c>
      <c r="AD196" s="0" t="n">
        <f aca="false">IF(L196&gt;0,100*N196/L196,"")</f>
        <v>97.2343429669988</v>
      </c>
      <c r="AE196" s="0" t="n">
        <f aca="false">IF(B196&gt;0,100*F196/B196,"")</f>
        <v>13.4033680568945</v>
      </c>
      <c r="AF196" s="0" t="str">
        <f aca="false">RawFinancials!AE196</f>
        <v/>
      </c>
    </row>
    <row r="197" customFormat="false" ht="15" hidden="false" customHeight="false" outlineLevel="0" collapsed="false">
      <c r="A197" s="0" t="n">
        <f aca="false">IF(ISBLANK(RawFinancials!A197),"",RawFinancials!A197)</f>
        <v>197</v>
      </c>
      <c r="B197" s="0" t="n">
        <f aca="false">IF(ISBLANK(RawFinancials!B197),"",RawFinancials!B197)</f>
        <v>185569</v>
      </c>
      <c r="C197" s="0" t="n">
        <f aca="false">IF(ISBLANK(RawFinancials!C197),"",RawFinancials!C197)</f>
        <v>29743</v>
      </c>
      <c r="D197" s="0" t="n">
        <f aca="false">IF(ISBLANK(RawFinancials!D197),"",RawFinancials!D197)</f>
        <v>165554</v>
      </c>
      <c r="E197" s="0" t="n">
        <f aca="false">IF(ISBLANK(RawFinancials!E197),"",RawFinancials!E197)</f>
        <v>0</v>
      </c>
      <c r="F197" s="0" t="n">
        <f aca="false">IF(ISBLANK(RawFinancials!F197),"",RawFinancials!F197)</f>
        <v>15292</v>
      </c>
      <c r="G197" s="0" t="n">
        <f aca="false">IF(ISBLANK(RawFinancials!G197),"",RawFinancials!G197)</f>
        <v>8.24060053133875</v>
      </c>
      <c r="H197" s="0" t="str">
        <f aca="false">IF(ISBLANK(RawFinancials!H197),"",RawFinancials!H197)</f>
        <v>29743_20221231</v>
      </c>
      <c r="I197" s="0" t="n">
        <f aca="false">IF(ISBLANK(RawFinancials!I197),"",RawFinancials!I197)</f>
        <v>0.324531165486676</v>
      </c>
      <c r="J197" s="0" t="n">
        <f aca="false">IF(ISBLANK(RawFinancials!J197),"",RawFinancials!J197)</f>
        <v>22468</v>
      </c>
      <c r="K197" s="0" t="n">
        <f aca="false">IF(ISBLANK(RawFinancials!K197),"",RawFinancials!K197)</f>
        <v>20308</v>
      </c>
      <c r="L197" s="0" t="n">
        <f aca="false">IF(ISBLANK(RawFinancials!L197),"",RawFinancials!L197)</f>
        <v>123871</v>
      </c>
      <c r="M197" s="0" t="n">
        <f aca="false">IF(ISBLANK(RawFinancials!M197),"",RawFinancials!M197)</f>
        <v>123469</v>
      </c>
      <c r="N197" s="0" t="n">
        <f aca="false">IF(ISBLANK(RawFinancials!N197),"",RawFinancials!N197)</f>
        <v>81025</v>
      </c>
      <c r="O197" s="0" t="n">
        <f aca="false">IF(ISBLANK(RawFinancials!O197),"",RawFinancials!O197)</f>
        <v>643</v>
      </c>
      <c r="P197" s="0" t="str">
        <f aca="false">IF(ISBLANK(RawFinancials!P197),"",RawFinancials!P197)</f>
        <v>AROOSTOOK COUNTY FEDERAL SAVINGS AND LOAN ASSOCIATION</v>
      </c>
      <c r="Q197" s="0" t="n">
        <f aca="false">IF(ISBLANK(RawFinancials!Q197),"",RawFinancials!Q197)</f>
        <v>0.519088406487394</v>
      </c>
      <c r="R197" s="0" t="n">
        <f aca="false">IF(ISBLANK(RawFinancials!R197),"",RawFinancials!R197)</f>
        <v>2.65814854829539</v>
      </c>
      <c r="S197" s="0" t="n">
        <f aca="false">IF(ISBLANK(RawFinancials!S197),"",RawFinancials!S197)</f>
        <v>128</v>
      </c>
      <c r="T197" s="0" t="n">
        <f aca="false">IF(ISBLANK(RawFinancials!T197),"",RawFinancials!T197)</f>
        <v>910</v>
      </c>
      <c r="U197" s="0" t="n">
        <f aca="false">IF(ISBLANK(RawFinancials!U197),"",RawFinancials!U197)</f>
        <v>0</v>
      </c>
      <c r="V197" s="0" t="n">
        <f aca="false">IF(ISBLANK(RawFinancials!V197),"",RawFinancials!V197)</f>
        <v>17.815004611099</v>
      </c>
      <c r="W197" s="0" t="n">
        <f aca="false">IF(ISBLANK(RawFinancials!W197),"",RawFinancials!W197)</f>
        <v>20221231</v>
      </c>
      <c r="X197" s="0" t="n">
        <f aca="false">IF(ISBLANK(RawFinancials!X197),"",RawFinancials!X197)</f>
        <v>0.780066196271609</v>
      </c>
      <c r="Y197" s="0" t="n">
        <f aca="false">IF(ISBLANK(RawFinancials!Y197),"",RawFinancials!Y197)</f>
        <v>9.16</v>
      </c>
      <c r="Z197" s="0" t="str">
        <f aca="false">IF(ISBLANK(RawFinancials!Z197),"",RawFinancials!Z197)</f>
        <v>ME</v>
      </c>
      <c r="AA197" s="0" t="n">
        <f aca="false">RawFinancials!AA197</f>
        <v>1</v>
      </c>
      <c r="AB197" s="0" t="n">
        <f aca="false">RawFinancials!AB197</f>
        <v>643</v>
      </c>
      <c r="AC197" s="0" t="n">
        <f aca="false">RawFinancials!AC197</f>
        <v>0.346501840285824</v>
      </c>
      <c r="AD197" s="0" t="n">
        <f aca="false">IF(L197&gt;0,100*N197/L197,"")</f>
        <v>65.4107902576067</v>
      </c>
      <c r="AE197" s="0" t="n">
        <f aca="false">IF(B197&gt;0,100*F197/B197,"")</f>
        <v>8.24060053133875</v>
      </c>
      <c r="AF197" s="0" t="str">
        <f aca="false">RawFinancials!AE197</f>
        <v/>
      </c>
    </row>
    <row r="198" customFormat="false" ht="15" hidden="false" customHeight="false" outlineLevel="0" collapsed="false">
      <c r="A198" s="0" t="n">
        <f aca="false">IF(ISBLANK(RawFinancials!A198),"",RawFinancials!A198)</f>
        <v>198</v>
      </c>
      <c r="B198" s="0" t="n">
        <f aca="false">IF(ISBLANK(RawFinancials!B198),"",RawFinancials!B198)</f>
        <v>537395</v>
      </c>
      <c r="C198" s="0" t="n">
        <f aca="false">IF(ISBLANK(RawFinancials!C198),"",RawFinancials!C198)</f>
        <v>29744</v>
      </c>
      <c r="D198" s="0" t="n">
        <f aca="false">IF(ISBLANK(RawFinancials!D198),"",RawFinancials!D198)</f>
        <v>393417</v>
      </c>
      <c r="E198" s="0" t="n">
        <f aca="false">IF(ISBLANK(RawFinancials!E198),"",RawFinancials!E198)</f>
        <v>0</v>
      </c>
      <c r="F198" s="0" t="n">
        <f aca="false">IF(ISBLANK(RawFinancials!F198),"",RawFinancials!F198)</f>
        <v>39950</v>
      </c>
      <c r="G198" s="0" t="n">
        <f aca="false">IF(ISBLANK(RawFinancials!G198),"",RawFinancials!G198)</f>
        <v>7.43401036481545</v>
      </c>
      <c r="H198" s="0" t="str">
        <f aca="false">IF(ISBLANK(RawFinancials!H198),"",RawFinancials!H198)</f>
        <v>29744_20221231</v>
      </c>
      <c r="I198" s="0" t="n">
        <f aca="false">IF(ISBLANK(RawFinancials!I198),"",RawFinancials!I198)</f>
        <v>0.890540617856086</v>
      </c>
      <c r="J198" s="0" t="n">
        <f aca="false">IF(ISBLANK(RawFinancials!J198),"",RawFinancials!J198)</f>
        <v>24059</v>
      </c>
      <c r="K198" s="0" t="n">
        <f aca="false">IF(ISBLANK(RawFinancials!K198),"",RawFinancials!K198)</f>
        <v>8168</v>
      </c>
      <c r="L198" s="0" t="n">
        <f aca="false">IF(ISBLANK(RawFinancials!L198),"",RawFinancials!L198)</f>
        <v>402003</v>
      </c>
      <c r="M198" s="0" t="n">
        <f aca="false">IF(ISBLANK(RawFinancials!M198),"",RawFinancials!M198)</f>
        <v>398423</v>
      </c>
      <c r="N198" s="0" t="n">
        <f aca="false">IF(ISBLANK(RawFinancials!N198),"",RawFinancials!N198)</f>
        <v>369776</v>
      </c>
      <c r="O198" s="0" t="n">
        <f aca="false">IF(ISBLANK(RawFinancials!O198),"",RawFinancials!O198)</f>
        <v>89</v>
      </c>
      <c r="P198" s="0" t="str">
        <f aca="false">IF(ISBLANK(RawFinancials!P198),"",RawFinancials!P198)</f>
        <v>FIRST SEACOAST BANK</v>
      </c>
      <c r="Q198" s="0" t="n">
        <f aca="false">IF(ISBLANK(RawFinancials!Q198),"",RawFinancials!Q198)</f>
        <v>0.0221391382651373</v>
      </c>
      <c r="R198" s="0" t="n">
        <f aca="false">IF(ISBLANK(RawFinancials!R198),"",RawFinancials!R198)</f>
        <v>3.10480213755178</v>
      </c>
      <c r="S198" s="0" t="n">
        <f aca="false">IF(ISBLANK(RawFinancials!S198),"",RawFinancials!S198)</f>
        <v>10</v>
      </c>
      <c r="T198" s="0" t="n">
        <f aca="false">IF(ISBLANK(RawFinancials!T198),"",RawFinancials!T198)</f>
        <v>13</v>
      </c>
      <c r="U198" s="0" t="n">
        <f aca="false">IF(ISBLANK(RawFinancials!U198),"",RawFinancials!U198)</f>
        <v>0</v>
      </c>
      <c r="V198" s="0" t="n">
        <f aca="false">IF(ISBLANK(RawFinancials!V198),"",RawFinancials!V198)</f>
        <v>15.5322247414502</v>
      </c>
      <c r="W198" s="0" t="n">
        <f aca="false">IF(ISBLANK(RawFinancials!W198),"",RawFinancials!W198)</f>
        <v>20221231</v>
      </c>
      <c r="X198" s="0" t="n">
        <f aca="false">IF(ISBLANK(RawFinancials!X198),"",RawFinancials!X198)</f>
        <v>-0.0975161331550553</v>
      </c>
      <c r="Y198" s="0" t="n">
        <f aca="false">IF(ISBLANK(RawFinancials!Y198),"",RawFinancials!Y198)</f>
        <v>-1.14</v>
      </c>
      <c r="Z198" s="0" t="str">
        <f aca="false">IF(ISBLANK(RawFinancials!Z198),"",RawFinancials!Z198)</f>
        <v>NH</v>
      </c>
      <c r="AA198" s="0" t="n">
        <f aca="false">RawFinancials!AA198</f>
        <v>1</v>
      </c>
      <c r="AB198" s="0" t="n">
        <f aca="false">RawFinancials!AB198</f>
        <v>89</v>
      </c>
      <c r="AC198" s="0" t="n">
        <f aca="false">RawFinancials!AC198</f>
        <v>0.0165613747801896</v>
      </c>
      <c r="AD198" s="0" t="n">
        <f aca="false">IF(L198&gt;0,100*N198/L198,"")</f>
        <v>91.9833931587575</v>
      </c>
      <c r="AE198" s="0" t="n">
        <f aca="false">IF(B198&gt;0,100*F198/B198,"")</f>
        <v>7.43401036481545</v>
      </c>
      <c r="AF198" s="0" t="str">
        <f aca="false">RawFinancials!AE198</f>
        <v/>
      </c>
    </row>
    <row r="199" customFormat="false" ht="15" hidden="false" customHeight="false" outlineLevel="0" collapsed="false">
      <c r="A199" s="0" t="n">
        <f aca="false">IF(ISBLANK(RawFinancials!A199),"",RawFinancials!A199)</f>
        <v>199</v>
      </c>
      <c r="B199" s="0" t="n">
        <f aca="false">IF(ISBLANK(RawFinancials!B199),"",RawFinancials!B199)</f>
        <v>551789</v>
      </c>
      <c r="C199" s="0" t="n">
        <f aca="false">IF(ISBLANK(RawFinancials!C199),"",RawFinancials!C199)</f>
        <v>30350</v>
      </c>
      <c r="D199" s="0" t="n">
        <f aca="false">IF(ISBLANK(RawFinancials!D199),"",RawFinancials!D199)</f>
        <v>463644</v>
      </c>
      <c r="E199" s="0" t="n">
        <f aca="false">IF(ISBLANK(RawFinancials!E199),"",RawFinancials!E199)</f>
        <v>0</v>
      </c>
      <c r="F199" s="0" t="n">
        <f aca="false">IF(ISBLANK(RawFinancials!F199),"",RawFinancials!F199)</f>
        <v>51142</v>
      </c>
      <c r="G199" s="0" t="n">
        <f aca="false">IF(ISBLANK(RawFinancials!G199),"",RawFinancials!G199)</f>
        <v>9.26839788397377</v>
      </c>
      <c r="H199" s="0" t="str">
        <f aca="false">IF(ISBLANK(RawFinancials!H199),"",RawFinancials!H199)</f>
        <v>30350_20221231</v>
      </c>
      <c r="I199" s="0" t="n">
        <f aca="false">IF(ISBLANK(RawFinancials!I199),"",RawFinancials!I199)</f>
        <v>1.30094674495944</v>
      </c>
      <c r="J199" s="0" t="n">
        <f aca="false">IF(ISBLANK(RawFinancials!J199),"",RawFinancials!J199)</f>
        <v>16386</v>
      </c>
      <c r="K199" s="0" t="n">
        <f aca="false">IF(ISBLANK(RawFinancials!K199),"",RawFinancials!K199)</f>
        <v>1149</v>
      </c>
      <c r="L199" s="0" t="n">
        <f aca="false">IF(ISBLANK(RawFinancials!L199),"",RawFinancials!L199)</f>
        <v>392714</v>
      </c>
      <c r="M199" s="0" t="n">
        <f aca="false">IF(ISBLANK(RawFinancials!M199),"",RawFinancials!M199)</f>
        <v>387605</v>
      </c>
      <c r="N199" s="0" t="n">
        <f aca="false">IF(ISBLANK(RawFinancials!N199),"",RawFinancials!N199)</f>
        <v>373732</v>
      </c>
      <c r="O199" s="0" t="n">
        <f aca="false">IF(ISBLANK(RawFinancials!O199),"",RawFinancials!O199)</f>
        <v>1476</v>
      </c>
      <c r="P199" s="0" t="str">
        <f aca="false">IF(ISBLANK(RawFinancials!P199),"",RawFinancials!P199)</f>
        <v>THE BANK OF BENNINGTON</v>
      </c>
      <c r="Q199" s="0" t="n">
        <f aca="false">IF(ISBLANK(RawFinancials!Q199),"",RawFinancials!Q199)</f>
        <v>0.375846035537312</v>
      </c>
      <c r="R199" s="0" t="n">
        <f aca="false">IF(ISBLANK(RawFinancials!R199),"",RawFinancials!R199)</f>
        <v>2.92072690193104</v>
      </c>
      <c r="S199" s="0" t="n">
        <f aca="false">IF(ISBLANK(RawFinancials!S199),"",RawFinancials!S199)</f>
        <v>194</v>
      </c>
      <c r="T199" s="0" t="n">
        <f aca="false">IF(ISBLANK(RawFinancials!T199),"",RawFinancials!T199)</f>
        <v>909</v>
      </c>
      <c r="U199" s="0" t="n">
        <f aca="false">IF(ISBLANK(RawFinancials!U199),"",RawFinancials!U199)</f>
        <v>0</v>
      </c>
      <c r="V199" s="0" t="n">
        <f aca="false">IF(ISBLANK(RawFinancials!V199),"",RawFinancials!V199)</f>
        <v>20.9587789111335</v>
      </c>
      <c r="W199" s="0" t="n">
        <f aca="false">IF(ISBLANK(RawFinancials!W199),"",RawFinancials!W199)</f>
        <v>20221231</v>
      </c>
      <c r="X199" s="0" t="n">
        <f aca="false">IF(ISBLANK(RawFinancials!X199),"",RawFinancials!X199)</f>
        <v>0.726111639299295</v>
      </c>
      <c r="Y199" s="0" t="n">
        <f aca="false">IF(ISBLANK(RawFinancials!Y199),"",RawFinancials!Y199)</f>
        <v>7.72</v>
      </c>
      <c r="Z199" s="0" t="str">
        <f aca="false">IF(ISBLANK(RawFinancials!Z199),"",RawFinancials!Z199)</f>
        <v>VT</v>
      </c>
      <c r="AA199" s="0" t="n">
        <f aca="false">RawFinancials!AA199</f>
        <v>1</v>
      </c>
      <c r="AB199" s="0" t="n">
        <f aca="false">RawFinancials!AB199</f>
        <v>1476</v>
      </c>
      <c r="AC199" s="0" t="n">
        <f aca="false">RawFinancials!AC199</f>
        <v>0.2674935527892</v>
      </c>
      <c r="AD199" s="0" t="n">
        <f aca="false">IF(L199&gt;0,100*N199/L199,"")</f>
        <v>95.1664570145195</v>
      </c>
      <c r="AE199" s="0" t="n">
        <f aca="false">IF(B199&gt;0,100*F199/B199,"")</f>
        <v>9.26839788397377</v>
      </c>
      <c r="AF199" s="0" t="str">
        <f aca="false">RawFinancials!AE199</f>
        <v/>
      </c>
    </row>
    <row r="200" customFormat="false" ht="15" hidden="false" customHeight="false" outlineLevel="0" collapsed="false">
      <c r="A200" s="0" t="n">
        <f aca="false">IF(ISBLANK(RawFinancials!A200),"",RawFinancials!A200)</f>
        <v>200</v>
      </c>
      <c r="B200" s="0" t="n">
        <f aca="false">IF(ISBLANK(RawFinancials!B200),"",RawFinancials!B200)</f>
        <v>101068</v>
      </c>
      <c r="C200" s="0" t="n">
        <f aca="false">IF(ISBLANK(RawFinancials!C200),"",RawFinancials!C200)</f>
        <v>30878</v>
      </c>
      <c r="D200" s="0" t="n">
        <f aca="false">IF(ISBLANK(RawFinancials!D200),"",RawFinancials!D200)</f>
        <v>73524</v>
      </c>
      <c r="E200" s="0" t="n">
        <f aca="false">IF(ISBLANK(RawFinancials!E200),"",RawFinancials!E200)</f>
        <v>0.08</v>
      </c>
      <c r="F200" s="0" t="n">
        <f aca="false">IF(ISBLANK(RawFinancials!F200),"",RawFinancials!F200)</f>
        <v>12458</v>
      </c>
      <c r="G200" s="0" t="n">
        <f aca="false">IF(ISBLANK(RawFinancials!G200),"",RawFinancials!G200)</f>
        <v>12.3263545335814</v>
      </c>
      <c r="H200" s="0" t="str">
        <f aca="false">IF(ISBLANK(RawFinancials!H200),"",RawFinancials!H200)</f>
        <v>30878_20221231</v>
      </c>
      <c r="I200" s="0" t="n">
        <f aca="false">IF(ISBLANK(RawFinancials!I200),"",RawFinancials!I200)</f>
        <v>1.0530827159738</v>
      </c>
      <c r="J200" s="0" t="n">
        <f aca="false">IF(ISBLANK(RawFinancials!J200),"",RawFinancials!J200)</f>
        <v>0</v>
      </c>
      <c r="K200" s="0" t="n">
        <f aca="false">IF(ISBLANK(RawFinancials!K200),"",RawFinancials!K200)</f>
        <v>110</v>
      </c>
      <c r="L200" s="0" t="n">
        <f aca="false">IF(ISBLANK(RawFinancials!L200),"",RawFinancials!L200)</f>
        <v>81665</v>
      </c>
      <c r="M200" s="0" t="n">
        <f aca="false">IF(ISBLANK(RawFinancials!M200),"",RawFinancials!M200)</f>
        <v>80805</v>
      </c>
      <c r="N200" s="0" t="n">
        <f aca="false">IF(ISBLANK(RawFinancials!N200),"",RawFinancials!N200)</f>
        <v>81554</v>
      </c>
      <c r="O200" s="0" t="n">
        <f aca="false">IF(ISBLANK(RawFinancials!O200),"",RawFinancials!O200)</f>
        <v>710</v>
      </c>
      <c r="P200" s="0" t="str">
        <f aca="false">IF(ISBLANK(RawFinancials!P200),"",RawFinancials!P200)</f>
        <v>BAR HARBOR SAVINGS AND LOAN ASSOCIATION</v>
      </c>
      <c r="Q200" s="0" t="n">
        <f aca="false">IF(ISBLANK(RawFinancials!Q200),"",RawFinancials!Q200)</f>
        <v>0.869405498071389</v>
      </c>
      <c r="R200" s="0" t="n">
        <f aca="false">IF(ISBLANK(RawFinancials!R200),"",RawFinancials!R200)</f>
        <v>2.2059004756858</v>
      </c>
      <c r="S200" s="0" t="n">
        <f aca="false">IF(ISBLANK(RawFinancials!S200),"",RawFinancials!S200)</f>
        <v>0</v>
      </c>
      <c r="T200" s="0" t="n">
        <f aca="false">IF(ISBLANK(RawFinancials!T200),"",RawFinancials!T200)</f>
        <v>0</v>
      </c>
      <c r="U200" s="0" t="n">
        <f aca="false">IF(ISBLANK(RawFinancials!U200),"",RawFinancials!U200)</f>
        <v>0</v>
      </c>
      <c r="V200" s="0" t="n">
        <f aca="false">IF(ISBLANK(RawFinancials!V200),"",RawFinancials!V200)</f>
        <v>0</v>
      </c>
      <c r="W200" s="0" t="n">
        <f aca="false">IF(ISBLANK(RawFinancials!W200),"",RawFinancials!W200)</f>
        <v>20221231</v>
      </c>
      <c r="X200" s="0" t="n">
        <f aca="false">IF(ISBLANK(RawFinancials!X200),"",RawFinancials!X200)</f>
        <v>0.311874884536766</v>
      </c>
      <c r="Y200" s="0" t="n">
        <f aca="false">IF(ISBLANK(RawFinancials!Y200),"",RawFinancials!Y200)</f>
        <v>2.53</v>
      </c>
      <c r="Z200" s="0" t="str">
        <f aca="false">IF(ISBLANK(RawFinancials!Z200),"",RawFinancials!Z200)</f>
        <v>ME</v>
      </c>
      <c r="AA200" s="0" t="n">
        <f aca="false">RawFinancials!AA200</f>
        <v>1</v>
      </c>
      <c r="AB200" s="0" t="n">
        <f aca="false">RawFinancials!AB200</f>
        <v>710</v>
      </c>
      <c r="AC200" s="0" t="n">
        <f aca="false">RawFinancials!AC200</f>
        <v>0.702497328531286</v>
      </c>
      <c r="AD200" s="0" t="n">
        <f aca="false">IF(L200&gt;0,100*N200/L200,"")</f>
        <v>99.8640788587522</v>
      </c>
      <c r="AE200" s="0" t="n">
        <f aca="false">IF(B200&gt;0,100*F200/B200,"")</f>
        <v>12.3263545335814</v>
      </c>
      <c r="AF200" s="0" t="str">
        <f aca="false">RawFinancials!AE200</f>
        <v>原始0：需核实适用/报告口径</v>
      </c>
    </row>
    <row r="201" customFormat="false" ht="15" hidden="false" customHeight="false" outlineLevel="0" collapsed="false">
      <c r="A201" s="0" t="n">
        <f aca="false">IF(ISBLANK(RawFinancials!A201),"",RawFinancials!A201)</f>
        <v>201</v>
      </c>
      <c r="B201" s="0" t="n">
        <f aca="false">IF(ISBLANK(RawFinancials!B201),"",RawFinancials!B201)</f>
        <v>742176</v>
      </c>
      <c r="C201" s="0" t="n">
        <f aca="false">IF(ISBLANK(RawFinancials!C201),"",RawFinancials!C201)</f>
        <v>33418</v>
      </c>
      <c r="D201" s="0" t="n">
        <f aca="false">IF(ISBLANK(RawFinancials!D201),"",RawFinancials!D201)</f>
        <v>574586</v>
      </c>
      <c r="E201" s="0" t="n">
        <f aca="false">IF(ISBLANK(RawFinancials!E201),"",RawFinancials!E201)</f>
        <v>-0.49</v>
      </c>
      <c r="F201" s="0" t="n">
        <f aca="false">IF(ISBLANK(RawFinancials!F201),"",RawFinancials!F201)</f>
        <v>65423</v>
      </c>
      <c r="G201" s="0" t="n">
        <f aca="false">IF(ISBLANK(RawFinancials!G201),"",RawFinancials!G201)</f>
        <v>8.81502500754538</v>
      </c>
      <c r="H201" s="0" t="str">
        <f aca="false">IF(ISBLANK(RawFinancials!H201),"",RawFinancials!H201)</f>
        <v>33418_20221231</v>
      </c>
      <c r="I201" s="0" t="n">
        <f aca="false">IF(ISBLANK(RawFinancials!I201),"",RawFinancials!I201)</f>
        <v>1.0614350779021</v>
      </c>
      <c r="J201" s="0" t="n">
        <f aca="false">IF(ISBLANK(RawFinancials!J201),"",RawFinancials!J201)</f>
        <v>41788</v>
      </c>
      <c r="K201" s="0" t="n">
        <f aca="false">IF(ISBLANK(RawFinancials!K201),"",RawFinancials!K201)</f>
        <v>11928</v>
      </c>
      <c r="L201" s="0" t="n">
        <f aca="false">IF(ISBLANK(RawFinancials!L201),"",RawFinancials!L201)</f>
        <v>362057</v>
      </c>
      <c r="M201" s="0" t="n">
        <f aca="false">IF(ISBLANK(RawFinancials!M201),"",RawFinancials!M201)</f>
        <v>358214</v>
      </c>
      <c r="N201" s="0" t="n">
        <f aca="false">IF(ISBLANK(RawFinancials!N201),"",RawFinancials!N201)</f>
        <v>308351</v>
      </c>
      <c r="O201" s="0" t="n">
        <f aca="false">IF(ISBLANK(RawFinancials!O201),"",RawFinancials!O201)</f>
        <v>1487</v>
      </c>
      <c r="P201" s="0" t="str">
        <f aca="false">IF(ISBLANK(RawFinancials!P201),"",RawFinancials!P201)</f>
        <v>LEDYARD NATIONAL BANK</v>
      </c>
      <c r="Q201" s="0" t="n">
        <f aca="false">IF(ISBLANK(RawFinancials!Q201),"",RawFinancials!Q201)</f>
        <v>0.410708811043565</v>
      </c>
      <c r="R201" s="0" t="n">
        <f aca="false">IF(ISBLANK(RawFinancials!R201),"",RawFinancials!R201)</f>
        <v>2.81376676100904</v>
      </c>
      <c r="S201" s="0" t="n">
        <f aca="false">IF(ISBLANK(RawFinancials!S201),"",RawFinancials!S201)</f>
        <v>-8</v>
      </c>
      <c r="T201" s="0" t="n">
        <f aca="false">IF(ISBLANK(RawFinancials!T201),"",RawFinancials!T201)</f>
        <v>238</v>
      </c>
      <c r="U201" s="0" t="n">
        <f aca="false">IF(ISBLANK(RawFinancials!U201),"",RawFinancials!U201)</f>
        <v>0</v>
      </c>
      <c r="V201" s="0" t="n">
        <f aca="false">IF(ISBLANK(RawFinancials!V201),"",RawFinancials!V201)</f>
        <v>18.7624877592514</v>
      </c>
      <c r="W201" s="0" t="n">
        <f aca="false">IF(ISBLANK(RawFinancials!W201),"",RawFinancials!W201)</f>
        <v>20221231</v>
      </c>
      <c r="X201" s="0" t="n">
        <f aca="false">IF(ISBLANK(RawFinancials!X201),"",RawFinancials!X201)</f>
        <v>1.03439074331582</v>
      </c>
      <c r="Y201" s="0" t="n">
        <f aca="false">IF(ISBLANK(RawFinancials!Y201),"",RawFinancials!Y201)</f>
        <v>12.66</v>
      </c>
      <c r="Z201" s="0" t="str">
        <f aca="false">IF(ISBLANK(RawFinancials!Z201),"",RawFinancials!Z201)</f>
        <v>VT</v>
      </c>
      <c r="AA201" s="0" t="n">
        <f aca="false">RawFinancials!AA201</f>
        <v>1</v>
      </c>
      <c r="AB201" s="0" t="n">
        <f aca="false">RawFinancials!AB201</f>
        <v>1487</v>
      </c>
      <c r="AC201" s="0" t="n">
        <f aca="false">RawFinancials!AC201</f>
        <v>0.200356788686242</v>
      </c>
      <c r="AD201" s="0" t="n">
        <f aca="false">IF(L201&gt;0,100*N201/L201,"")</f>
        <v>85.1664240713479</v>
      </c>
      <c r="AE201" s="0" t="n">
        <f aca="false">IF(B201&gt;0,100*F201/B201,"")</f>
        <v>8.81502500754538</v>
      </c>
      <c r="AF201" s="0" t="str">
        <f aca="false">RawFinancials!AE201</f>
        <v/>
      </c>
    </row>
    <row r="202" customFormat="false" ht="15" hidden="false" customHeight="false" outlineLevel="0" collapsed="false">
      <c r="A202" s="0" t="n">
        <f aca="false">IF(ISBLANK(RawFinancials!A202),"",RawFinancials!A202)</f>
        <v>202</v>
      </c>
      <c r="B202" s="0" t="n">
        <f aca="false">IF(ISBLANK(RawFinancials!B202),"",RawFinancials!B202)</f>
        <v>65008</v>
      </c>
      <c r="C202" s="0" t="n">
        <f aca="false">IF(ISBLANK(RawFinancials!C202),"",RawFinancials!C202)</f>
        <v>35206</v>
      </c>
      <c r="D202" s="0" t="n">
        <f aca="false">IF(ISBLANK(RawFinancials!D202),"",RawFinancials!D202)</f>
        <v>500</v>
      </c>
      <c r="E202" s="0" t="n">
        <f aca="false">IF(ISBLANK(RawFinancials!E202),"",RawFinancials!E202)</f>
        <v>0</v>
      </c>
      <c r="F202" s="0" t="n">
        <f aca="false">IF(ISBLANK(RawFinancials!F202),"",RawFinancials!F202)</f>
        <v>60620</v>
      </c>
      <c r="G202" s="0" t="n">
        <f aca="false">IF(ISBLANK(RawFinancials!G202),"",RawFinancials!G202)</f>
        <v>93.2500615308885</v>
      </c>
      <c r="H202" s="0" t="str">
        <f aca="false">IF(ISBLANK(RawFinancials!H202),"",RawFinancials!H202)</f>
        <v>35206_20221231</v>
      </c>
      <c r="I202" s="0" t="n">
        <f aca="false">IF(ISBLANK(RawFinancials!I202),"",RawFinancials!I202)</f>
        <v>0</v>
      </c>
      <c r="J202" s="0" t="n">
        <f aca="false">IF(ISBLANK(RawFinancials!J202),"",RawFinancials!J202)</f>
        <v>0</v>
      </c>
      <c r="K202" s="0" t="n">
        <f aca="false">IF(ISBLANK(RawFinancials!K202),"",RawFinancials!K202)</f>
        <v>0</v>
      </c>
      <c r="L202" s="0" t="n">
        <f aca="false">IF(ISBLANK(RawFinancials!L202),"",RawFinancials!L202)</f>
        <v>0</v>
      </c>
      <c r="M202" s="0" t="n">
        <f aca="false">IF(ISBLANK(RawFinancials!M202),"",RawFinancials!M202)</f>
        <v>0</v>
      </c>
      <c r="N202" s="0" t="n">
        <f aca="false">IF(ISBLANK(RawFinancials!N202),"",RawFinancials!N202)</f>
        <v>0</v>
      </c>
      <c r="O202" s="0" t="n">
        <f aca="false">IF(ISBLANK(RawFinancials!O202),"",RawFinancials!O202)</f>
        <v>0</v>
      </c>
      <c r="P202" s="0" t="str">
        <f aca="false">IF(ISBLANK(RawFinancials!P202),"",RawFinancials!P202)</f>
        <v>FIDELITY PERSONAL TRUST COMPANY, FSB</v>
      </c>
      <c r="Q202" s="0" t="n">
        <f aca="false">IF(ISBLANK(RawFinancials!Q202),"",RawFinancials!Q202)</f>
        <v>0</v>
      </c>
      <c r="R202" s="0" t="n">
        <f aca="false">IF(ISBLANK(RawFinancials!R202),"",RawFinancials!R202)</f>
        <v>4.03106585162927</v>
      </c>
      <c r="S202" s="0" t="n">
        <f aca="false">IF(ISBLANK(RawFinancials!S202),"",RawFinancials!S202)</f>
        <v>0</v>
      </c>
      <c r="T202" s="0" t="n">
        <f aca="false">IF(ISBLANK(RawFinancials!T202),"",RawFinancials!T202)</f>
        <v>0</v>
      </c>
      <c r="U202" s="0" t="n">
        <f aca="false">IF(ISBLANK(RawFinancials!U202),"",RawFinancials!U202)</f>
        <v>0</v>
      </c>
      <c r="V202" s="0" t="n">
        <f aca="false">IF(ISBLANK(RawFinancials!V202),"",RawFinancials!V202)</f>
        <v>0</v>
      </c>
      <c r="W202" s="0" t="n">
        <f aca="false">IF(ISBLANK(RawFinancials!W202),"",RawFinancials!W202)</f>
        <v>20221231</v>
      </c>
      <c r="X202" s="0" t="n">
        <f aca="false">IF(ISBLANK(RawFinancials!X202),"",RawFinancials!X202)</f>
        <v>6.0520993219523</v>
      </c>
      <c r="Y202" s="0" t="n">
        <f aca="false">IF(ISBLANK(RawFinancials!Y202),"",RawFinancials!Y202)</f>
        <v>6.69</v>
      </c>
      <c r="Z202" s="0" t="str">
        <f aca="false">IF(ISBLANK(RawFinancials!Z202),"",RawFinancials!Z202)</f>
        <v>NH</v>
      </c>
      <c r="AA202" s="0" t="n">
        <f aca="false">RawFinancials!AA202</f>
        <v>1</v>
      </c>
      <c r="AB202" s="0" t="n">
        <f aca="false">RawFinancials!AB202</f>
        <v>0</v>
      </c>
      <c r="AC202" s="0" t="n">
        <f aca="false">RawFinancials!AC202</f>
        <v>0</v>
      </c>
      <c r="AD202" s="0" t="str">
        <f aca="false">IF(L202&gt;0,100*N202/L202,"")</f>
        <v/>
      </c>
      <c r="AE202" s="0" t="n">
        <f aca="false">IF(B202&gt;0,100*F202/B202,"")</f>
        <v>93.2500615308885</v>
      </c>
      <c r="AF202" s="0" t="str">
        <f aca="false">RawFinancials!AE202</f>
        <v>原始0：需核实适用/报告口径</v>
      </c>
    </row>
    <row r="203" customFormat="false" ht="15" hidden="false" customHeight="false" outlineLevel="0" collapsed="false">
      <c r="A203" s="0" t="n">
        <f aca="false">IF(ISBLANK(RawFinancials!A203),"",RawFinancials!A203)</f>
        <v>203</v>
      </c>
      <c r="B203" s="0" t="n">
        <f aca="false">IF(ISBLANK(RawFinancials!B203),"",RawFinancials!B203)</f>
        <v>5662457</v>
      </c>
      <c r="C203" s="0" t="n">
        <f aca="false">IF(ISBLANK(RawFinancials!C203),"",RawFinancials!C203)</f>
        <v>4255</v>
      </c>
      <c r="D203" s="0" t="n">
        <f aca="false">IF(ISBLANK(RawFinancials!D203),"",RawFinancials!D203)</f>
        <v>4867005</v>
      </c>
      <c r="E203" s="0" t="n">
        <f aca="false">IF(ISBLANK(RawFinancials!E203),"",RawFinancials!E203)</f>
        <v>0.08</v>
      </c>
      <c r="F203" s="0" t="n">
        <f aca="false">IF(ISBLANK(RawFinancials!F203),"",RawFinancials!F203)</f>
        <v>460754</v>
      </c>
      <c r="G203" s="0" t="n">
        <f aca="false">IF(ISBLANK(RawFinancials!G203),"",RawFinancials!G203)</f>
        <v>8.13699777322812</v>
      </c>
      <c r="H203" s="0" t="str">
        <f aca="false">IF(ISBLANK(RawFinancials!H203),"",RawFinancials!H203)</f>
        <v>4255_20221231</v>
      </c>
      <c r="I203" s="0" t="n">
        <f aca="false">IF(ISBLANK(RawFinancials!I203),"",RawFinancials!I203)</f>
        <v>0.919475538842749</v>
      </c>
      <c r="J203" s="0" t="n">
        <f aca="false">IF(ISBLANK(RawFinancials!J203),"",RawFinancials!J203)</f>
        <v>354169</v>
      </c>
      <c r="K203" s="0" t="n">
        <f aca="false">IF(ISBLANK(RawFinancials!K203),"",RawFinancials!K203)</f>
        <v>20661</v>
      </c>
      <c r="L203" s="0" t="n">
        <f aca="false">IF(ISBLANK(RawFinancials!L203),"",RawFinancials!L203)</f>
        <v>4015550</v>
      </c>
      <c r="M203" s="0" t="n">
        <f aca="false">IF(ISBLANK(RawFinancials!M203),"",RawFinancials!M203)</f>
        <v>3978628</v>
      </c>
      <c r="N203" s="0" t="n">
        <f aca="false">IF(ISBLANK(RawFinancials!N203),"",RawFinancials!N203)</f>
        <v>3596765</v>
      </c>
      <c r="O203" s="0" t="n">
        <f aca="false">IF(ISBLANK(RawFinancials!O203),"",RawFinancials!O203)</f>
        <v>2991</v>
      </c>
      <c r="P203" s="0" t="str">
        <f aca="false">IF(ISBLANK(RawFinancials!P203),"",RawFinancials!P203)</f>
        <v>THE CAMDEN NATIONAL BANK</v>
      </c>
      <c r="Q203" s="0" t="n">
        <f aca="false">IF(ISBLANK(RawFinancials!Q203),"",RawFinancials!Q203)</f>
        <v>0.074485437860318</v>
      </c>
      <c r="R203" s="0" t="n">
        <f aca="false">IF(ISBLANK(RawFinancials!R203),"",RawFinancials!R203)</f>
        <v>2.94392266172712</v>
      </c>
      <c r="S203" s="0" t="n">
        <f aca="false">IF(ISBLANK(RawFinancials!S203),"",RawFinancials!S203)</f>
        <v>764</v>
      </c>
      <c r="T203" s="0" t="n">
        <f aca="false">IF(ISBLANK(RawFinancials!T203),"",RawFinancials!T203)</f>
        <v>2554</v>
      </c>
      <c r="U203" s="0" t="n">
        <f aca="false">IF(ISBLANK(RawFinancials!U203),"",RawFinancials!U203)</f>
        <v>0</v>
      </c>
      <c r="V203" s="0" t="n">
        <f aca="false">IF(ISBLANK(RawFinancials!V203),"",RawFinancials!V203)</f>
        <v>13.0289267440629</v>
      </c>
      <c r="W203" s="0" t="n">
        <f aca="false">IF(ISBLANK(RawFinancials!W203),"",RawFinancials!W203)</f>
        <v>20221231</v>
      </c>
      <c r="X203" s="0" t="n">
        <f aca="false">IF(ISBLANK(RawFinancials!X203),"",RawFinancials!X203)</f>
        <v>1.15861850141068</v>
      </c>
      <c r="Y203" s="0" t="n">
        <f aca="false">IF(ISBLANK(RawFinancials!Y203),"",RawFinancials!Y203)</f>
        <v>13.19</v>
      </c>
      <c r="Z203" s="0" t="str">
        <f aca="false">IF(ISBLANK(RawFinancials!Z203),"",RawFinancials!Z203)</f>
        <v>ME</v>
      </c>
      <c r="AA203" s="0" t="n">
        <f aca="false">RawFinancials!AA203</f>
        <v>1</v>
      </c>
      <c r="AB203" s="0" t="n">
        <f aca="false">RawFinancials!AB203</f>
        <v>2991</v>
      </c>
      <c r="AC203" s="0" t="n">
        <f aca="false">RawFinancials!AC203</f>
        <v>0.0528215931705971</v>
      </c>
      <c r="AD203" s="0" t="n">
        <f aca="false">IF(L203&gt;0,100*N203/L203,"")</f>
        <v>89.5709180560571</v>
      </c>
      <c r="AE203" s="0" t="n">
        <f aca="false">IF(B203&gt;0,100*F203/B203,"")</f>
        <v>8.13699777322812</v>
      </c>
      <c r="AF203" s="0" t="str">
        <f aca="false">RawFinancials!AE203</f>
        <v/>
      </c>
    </row>
    <row r="204" customFormat="false" ht="15" hidden="false" customHeight="false" outlineLevel="0" collapsed="false">
      <c r="A204" s="0" t="n">
        <f aca="false">IF(ISBLANK(RawFinancials!A204),"",RawFinancials!A204)</f>
        <v>204</v>
      </c>
      <c r="B204" s="0" t="n">
        <f aca="false">IF(ISBLANK(RawFinancials!B204),"",RawFinancials!B204)</f>
        <v>2704047</v>
      </c>
      <c r="C204" s="0" t="n">
        <f aca="false">IF(ISBLANK(RawFinancials!C204),"",RawFinancials!C204)</f>
        <v>4256</v>
      </c>
      <c r="D204" s="0" t="n">
        <f aca="false">IF(ISBLANK(RawFinancials!D204),"",RawFinancials!D204)</f>
        <v>2379757</v>
      </c>
      <c r="E204" s="0" t="n">
        <f aca="false">IF(ISBLANK(RawFinancials!E204),"",RawFinancials!E204)</f>
        <v>0.07</v>
      </c>
      <c r="F204" s="0" t="n">
        <f aca="false">IF(ISBLANK(RawFinancials!F204),"",RawFinancials!F204)</f>
        <v>200180</v>
      </c>
      <c r="G204" s="0" t="n">
        <f aca="false">IF(ISBLANK(RawFinancials!G204),"",RawFinancials!G204)</f>
        <v>7.40297783285572</v>
      </c>
      <c r="H204" s="0" t="str">
        <f aca="false">IF(ISBLANK(RawFinancials!H204),"",RawFinancials!H204)</f>
        <v>4256_20221231</v>
      </c>
      <c r="I204" s="0" t="n">
        <f aca="false">IF(ISBLANK(RawFinancials!I204),"",RawFinancials!I204)</f>
        <v>0.873286964822562</v>
      </c>
      <c r="J204" s="0" t="n">
        <f aca="false">IF(ISBLANK(RawFinancials!J204),"",RawFinancials!J204)</f>
        <v>274364</v>
      </c>
      <c r="K204" s="0" t="n">
        <f aca="false">IF(ISBLANK(RawFinancials!K204),"",RawFinancials!K204)</f>
        <v>21063</v>
      </c>
      <c r="L204" s="0" t="n">
        <f aca="false">IF(ISBLANK(RawFinancials!L204),"",RawFinancials!L204)</f>
        <v>1914949</v>
      </c>
      <c r="M204" s="0" t="n">
        <f aca="false">IF(ISBLANK(RawFinancials!M204),"",RawFinancials!M204)</f>
        <v>1898226</v>
      </c>
      <c r="N204" s="0" t="n">
        <f aca="false">IF(ISBLANK(RawFinancials!N204),"",RawFinancials!N204)</f>
        <v>1533908</v>
      </c>
      <c r="O204" s="0" t="n">
        <f aca="false">IF(ISBLANK(RawFinancials!O204),"",RawFinancials!O204)</f>
        <v>1755</v>
      </c>
      <c r="P204" s="0" t="str">
        <f aca="false">IF(ISBLANK(RawFinancials!P204),"",RawFinancials!P204)</f>
        <v>FIRST NATIONAL BANK</v>
      </c>
      <c r="Q204" s="0" t="n">
        <f aca="false">IF(ISBLANK(RawFinancials!Q204),"",RawFinancials!Q204)</f>
        <v>0.104284761630727</v>
      </c>
      <c r="R204" s="0" t="n">
        <f aca="false">IF(ISBLANK(RawFinancials!R204),"",RawFinancials!R204)</f>
        <v>3.11099175224319</v>
      </c>
      <c r="S204" s="0" t="n">
        <f aca="false">IF(ISBLANK(RawFinancials!S204),"",RawFinancials!S204)</f>
        <v>548</v>
      </c>
      <c r="T204" s="0" t="n">
        <f aca="false">IF(ISBLANK(RawFinancials!T204),"",RawFinancials!T204)</f>
        <v>518</v>
      </c>
      <c r="U204" s="0" t="n">
        <f aca="false">IF(ISBLANK(RawFinancials!U204),"",RawFinancials!U204)</f>
        <v>242</v>
      </c>
      <c r="V204" s="0" t="n">
        <f aca="false">IF(ISBLANK(RawFinancials!V204),"",RawFinancials!V204)</f>
        <v>13.5201318899043</v>
      </c>
      <c r="W204" s="0" t="n">
        <f aca="false">IF(ISBLANK(RawFinancials!W204),"",RawFinancials!W204)</f>
        <v>20221231</v>
      </c>
      <c r="X204" s="0" t="n">
        <f aca="false">IF(ISBLANK(RawFinancials!X204),"",RawFinancials!X204)</f>
        <v>1.53167395198859</v>
      </c>
      <c r="Y204" s="0" t="n">
        <f aca="false">IF(ISBLANK(RawFinancials!Y204),"",RawFinancials!Y204)</f>
        <v>19.7</v>
      </c>
      <c r="Z204" s="0" t="str">
        <f aca="false">IF(ISBLANK(RawFinancials!Z204),"",RawFinancials!Z204)</f>
        <v>ME</v>
      </c>
      <c r="AA204" s="0" t="n">
        <f aca="false">RawFinancials!AA204</f>
        <v>1</v>
      </c>
      <c r="AB204" s="0" t="n">
        <f aca="false">RawFinancials!AB204</f>
        <v>1997</v>
      </c>
      <c r="AC204" s="0" t="n">
        <f aca="false">RawFinancials!AC204</f>
        <v>0.0738522666211053</v>
      </c>
      <c r="AD204" s="0" t="n">
        <f aca="false">IF(L204&gt;0,100*N204/L204,"")</f>
        <v>80.101767723318</v>
      </c>
      <c r="AE204" s="0" t="n">
        <f aca="false">IF(B204&gt;0,100*F204/B204,"")</f>
        <v>7.40297783285572</v>
      </c>
      <c r="AF204" s="0" t="str">
        <f aca="false">RawFinancials!AE204</f>
        <v/>
      </c>
    </row>
    <row r="205" customFormat="false" ht="15" hidden="false" customHeight="false" outlineLevel="0" collapsed="false">
      <c r="A205" s="0" t="n">
        <f aca="false">IF(ISBLANK(RawFinancials!A205),"",RawFinancials!A205)</f>
        <v>205</v>
      </c>
      <c r="B205" s="0" t="n">
        <f aca="false">IF(ISBLANK(RawFinancials!B205),"",RawFinancials!B205)</f>
        <v>654191</v>
      </c>
      <c r="C205" s="0" t="n">
        <f aca="false">IF(ISBLANK(RawFinancials!C205),"",RawFinancials!C205)</f>
        <v>59086</v>
      </c>
      <c r="D205" s="0" t="n">
        <f aca="false">IF(ISBLANK(RawFinancials!D205),"",RawFinancials!D205)</f>
        <v>564578</v>
      </c>
      <c r="E205" s="0" t="n">
        <f aca="false">IF(ISBLANK(RawFinancials!E205),"",RawFinancials!E205)</f>
        <v>0.21</v>
      </c>
      <c r="F205" s="0" t="n">
        <f aca="false">IF(ISBLANK(RawFinancials!F205),"",RawFinancials!F205)</f>
        <v>76313</v>
      </c>
      <c r="G205" s="0" t="n">
        <f aca="false">IF(ISBLANK(RawFinancials!G205),"",RawFinancials!G205)</f>
        <v>11.6652476111717</v>
      </c>
      <c r="H205" s="0" t="str">
        <f aca="false">IF(ISBLANK(RawFinancials!H205),"",RawFinancials!H205)</f>
        <v>59086_20221231</v>
      </c>
      <c r="I205" s="0" t="n">
        <f aca="false">IF(ISBLANK(RawFinancials!I205),"",RawFinancials!I205)</f>
        <v>1.23568346623896</v>
      </c>
      <c r="J205" s="0" t="n">
        <f aca="false">IF(ISBLANK(RawFinancials!J205),"",RawFinancials!J205)</f>
        <v>120243</v>
      </c>
      <c r="K205" s="0" t="n">
        <f aca="false">IF(ISBLANK(RawFinancials!K205),"",RawFinancials!K205)</f>
        <v>0</v>
      </c>
      <c r="L205" s="0" t="n">
        <f aca="false">IF(ISBLANK(RawFinancials!L205),"",RawFinancials!L205)</f>
        <v>575471</v>
      </c>
      <c r="M205" s="0" t="n">
        <f aca="false">IF(ISBLANK(RawFinancials!M205),"",RawFinancials!M205)</f>
        <v>568360</v>
      </c>
      <c r="N205" s="0" t="n">
        <f aca="false">IF(ISBLANK(RawFinancials!N205),"",RawFinancials!N205)</f>
        <v>455851</v>
      </c>
      <c r="O205" s="0" t="n">
        <f aca="false">IF(ISBLANK(RawFinancials!O205),"",RawFinancials!O205)</f>
        <v>2111</v>
      </c>
      <c r="P205" s="0" t="str">
        <f aca="false">IF(ISBLANK(RawFinancials!P205),"",RawFinancials!P205)</f>
        <v>PRIMARY BANK</v>
      </c>
      <c r="Q205" s="0" t="n">
        <f aca="false">IF(ISBLANK(RawFinancials!Q205),"",RawFinancials!Q205)</f>
        <v>0.0592558095890149</v>
      </c>
      <c r="R205" s="0" t="n">
        <f aca="false">IF(ISBLANK(RawFinancials!R205),"",RawFinancials!R205)</f>
        <v>3.913191146591</v>
      </c>
      <c r="S205" s="0" t="n">
        <f aca="false">IF(ISBLANK(RawFinancials!S205),"",RawFinancials!S205)</f>
        <v>0</v>
      </c>
      <c r="T205" s="0" t="n">
        <f aca="false">IF(ISBLANK(RawFinancials!T205),"",RawFinancials!T205)</f>
        <v>0</v>
      </c>
      <c r="U205" s="0" t="n">
        <f aca="false">IF(ISBLANK(RawFinancials!U205),"",RawFinancials!U205)</f>
        <v>341</v>
      </c>
      <c r="V205" s="0" t="n">
        <f aca="false">IF(ISBLANK(RawFinancials!V205),"",RawFinancials!V205)</f>
        <v>13.9312588297769</v>
      </c>
      <c r="W205" s="0" t="n">
        <f aca="false">IF(ISBLANK(RawFinancials!W205),"",RawFinancials!W205)</f>
        <v>20221231</v>
      </c>
      <c r="X205" s="0" t="n">
        <f aca="false">IF(ISBLANK(RawFinancials!X205),"",RawFinancials!X205)</f>
        <v>1.57591595036138</v>
      </c>
      <c r="Y205" s="0" t="n">
        <f aca="false">IF(ISBLANK(RawFinancials!Y205),"",RawFinancials!Y205)</f>
        <v>15.26</v>
      </c>
      <c r="Z205" s="0" t="str">
        <f aca="false">IF(ISBLANK(RawFinancials!Z205),"",RawFinancials!Z205)</f>
        <v>NH</v>
      </c>
      <c r="AA205" s="0" t="n">
        <f aca="false">RawFinancials!AA205</f>
        <v>1</v>
      </c>
      <c r="AB205" s="0" t="n">
        <f aca="false">RawFinancials!AB205</f>
        <v>2452</v>
      </c>
      <c r="AC205" s="0" t="n">
        <f aca="false">RawFinancials!AC205</f>
        <v>0.374814083348747</v>
      </c>
      <c r="AD205" s="0" t="n">
        <f aca="false">IF(L205&gt;0,100*N205/L205,"")</f>
        <v>79.2135485541409</v>
      </c>
      <c r="AE205" s="0" t="n">
        <f aca="false">IF(B205&gt;0,100*F205/B205,"")</f>
        <v>11.6652476111717</v>
      </c>
      <c r="AF205" s="0" t="str">
        <f aca="false">RawFinancials!AE205</f>
        <v/>
      </c>
    </row>
    <row r="206" customFormat="false" ht="15" hidden="false" customHeight="false" outlineLevel="0" collapsed="false">
      <c r="A206" s="0" t="n">
        <f aca="false">IF(ISBLANK(RawFinancials!A206),"",RawFinancials!A206)</f>
        <v>206</v>
      </c>
      <c r="B206" s="0" t="n">
        <f aca="false">IF(ISBLANK(RawFinancials!B206),"",RawFinancials!B206)</f>
        <v>176672</v>
      </c>
      <c r="C206" s="0" t="n">
        <f aca="false">IF(ISBLANK(RawFinancials!C206),"",RawFinancials!C206)</f>
        <v>59176</v>
      </c>
      <c r="D206" s="0" t="n">
        <f aca="false">IF(ISBLANK(RawFinancials!D206),"",RawFinancials!D206)</f>
        <v>151831</v>
      </c>
      <c r="E206" s="0" t="n">
        <f aca="false">IF(ISBLANK(RawFinancials!E206),"",RawFinancials!E206)</f>
        <v>0.27</v>
      </c>
      <c r="F206" s="0" t="n">
        <f aca="false">IF(ISBLANK(RawFinancials!F206),"",RawFinancials!F206)</f>
        <v>23234</v>
      </c>
      <c r="G206" s="0" t="n">
        <f aca="false">IF(ISBLANK(RawFinancials!G206),"",RawFinancials!G206)</f>
        <v>13.1509237456982</v>
      </c>
      <c r="H206" s="0" t="str">
        <f aca="false">IF(ISBLANK(RawFinancials!H206),"",RawFinancials!H206)</f>
        <v>59176_20221231</v>
      </c>
      <c r="I206" s="0" t="n">
        <f aca="false">IF(ISBLANK(RawFinancials!I206),"",RawFinancials!I206)</f>
        <v>0.947013237420742</v>
      </c>
      <c r="J206" s="0" t="n">
        <f aca="false">IF(ISBLANK(RawFinancials!J206),"",RawFinancials!J206)</f>
        <v>18249</v>
      </c>
      <c r="K206" s="0" t="n">
        <f aca="false">IF(ISBLANK(RawFinancials!K206),"",RawFinancials!K206)</f>
        <v>9</v>
      </c>
      <c r="L206" s="0" t="n">
        <f aca="false">IF(ISBLANK(RawFinancials!L206),"",RawFinancials!L206)</f>
        <v>134845</v>
      </c>
      <c r="M206" s="0" t="n">
        <f aca="false">IF(ISBLANK(RawFinancials!M206),"",RawFinancials!M206)</f>
        <v>133568</v>
      </c>
      <c r="N206" s="0" t="n">
        <f aca="false">IF(ISBLANK(RawFinancials!N206),"",RawFinancials!N206)</f>
        <v>116593</v>
      </c>
      <c r="O206" s="0" t="n">
        <f aca="false">IF(ISBLANK(RawFinancials!O206),"",RawFinancials!O206)</f>
        <v>0</v>
      </c>
      <c r="P206" s="0" t="str">
        <f aca="false">IF(ISBLANK(RawFinancials!P206),"",RawFinancials!P206)</f>
        <v>THE MILLYARD BANK</v>
      </c>
      <c r="Q206" s="0" t="n">
        <f aca="false">IF(ISBLANK(RawFinancials!Q206),"",RawFinancials!Q206)</f>
        <v>0</v>
      </c>
      <c r="R206" s="0" t="n">
        <f aca="false">IF(ISBLANK(RawFinancials!R206),"",RawFinancials!R206)</f>
        <v>3.22916520994023</v>
      </c>
      <c r="S206" s="0" t="n">
        <f aca="false">IF(ISBLANK(RawFinancials!S206),"",RawFinancials!S206)</f>
        <v>0</v>
      </c>
      <c r="T206" s="0" t="n">
        <f aca="false">IF(ISBLANK(RawFinancials!T206),"",RawFinancials!T206)</f>
        <v>0</v>
      </c>
      <c r="U206" s="0" t="n">
        <f aca="false">IF(ISBLANK(RawFinancials!U206),"",RawFinancials!U206)</f>
        <v>0</v>
      </c>
      <c r="V206" s="0" t="n">
        <f aca="false">IF(ISBLANK(RawFinancials!V206),"",RawFinancials!V206)</f>
        <v>18.312919218431</v>
      </c>
      <c r="W206" s="0" t="n">
        <f aca="false">IF(ISBLANK(RawFinancials!W206),"",RawFinancials!W206)</f>
        <v>20221231</v>
      </c>
      <c r="X206" s="0" t="n">
        <f aca="false">IF(ISBLANK(RawFinancials!X206),"",RawFinancials!X206)</f>
        <v>0.876801587341154</v>
      </c>
      <c r="Y206" s="0" t="n">
        <f aca="false">IF(ISBLANK(RawFinancials!Y206),"",RawFinancials!Y206)</f>
        <v>6.71</v>
      </c>
      <c r="Z206" s="0" t="str">
        <f aca="false">IF(ISBLANK(RawFinancials!Z206),"",RawFinancials!Z206)</f>
        <v>NH</v>
      </c>
      <c r="AA206" s="0" t="n">
        <f aca="false">RawFinancials!AA206</f>
        <v>1</v>
      </c>
      <c r="AB206" s="0" t="n">
        <f aca="false">RawFinancials!AB206</f>
        <v>0</v>
      </c>
      <c r="AC206" s="0" t="n">
        <f aca="false">RawFinancials!AC206</f>
        <v>0</v>
      </c>
      <c r="AD206" s="0" t="n">
        <f aca="false">IF(L206&gt;0,100*N206/L206,"")</f>
        <v>86.4644591938893</v>
      </c>
      <c r="AE206" s="0" t="n">
        <f aca="false">IF(B206&gt;0,100*F206/B206,"")</f>
        <v>13.1509237456982</v>
      </c>
      <c r="AF206" s="0" t="str">
        <f aca="false">RawFinancials!AE206</f>
        <v/>
      </c>
    </row>
    <row r="207" customFormat="false" ht="15" hidden="false" customHeight="false" outlineLevel="0" collapsed="false">
      <c r="A207" s="0" t="n">
        <f aca="false">IF(ISBLANK(RawFinancials!A207),"",RawFinancials!A207)</f>
        <v>207</v>
      </c>
      <c r="B207" s="0" t="n">
        <f aca="false">IF(ISBLANK(RawFinancials!B207),"",RawFinancials!B207)</f>
        <v>22693</v>
      </c>
      <c r="C207" s="0" t="n">
        <f aca="false">IF(ISBLANK(RawFinancials!C207),"",RawFinancials!C207)</f>
        <v>59289</v>
      </c>
      <c r="D207" s="0" t="n">
        <f aca="false">IF(ISBLANK(RawFinancials!D207),"",RawFinancials!D207)</f>
        <v>525</v>
      </c>
      <c r="E207" s="0" t="n">
        <f aca="false">IF(ISBLANK(RawFinancials!E207),"",RawFinancials!E207)</f>
        <v>0.22</v>
      </c>
      <c r="F207" s="0" t="n">
        <f aca="false">IF(ISBLANK(RawFinancials!F207),"",RawFinancials!F207)</f>
        <v>21542</v>
      </c>
      <c r="G207" s="0" t="n">
        <f aca="false">IF(ISBLANK(RawFinancials!G207),"",RawFinancials!G207)</f>
        <v>94.9279513506368</v>
      </c>
      <c r="H207" s="0" t="str">
        <f aca="false">IF(ISBLANK(RawFinancials!H207),"",RawFinancials!H207)</f>
        <v>59289_20221231</v>
      </c>
      <c r="I207" s="0" t="n">
        <f aca="false">IF(ISBLANK(RawFinancials!I207),"",RawFinancials!I207)</f>
        <v>1.07913669064748</v>
      </c>
      <c r="J207" s="0" t="n">
        <f aca="false">IF(ISBLANK(RawFinancials!J207),"",RawFinancials!J207)</f>
        <v>1605</v>
      </c>
      <c r="K207" s="0" t="n">
        <f aca="false">IF(ISBLANK(RawFinancials!K207),"",RawFinancials!K207)</f>
        <v>0</v>
      </c>
      <c r="L207" s="0" t="n">
        <f aca="false">IF(ISBLANK(RawFinancials!L207),"",RawFinancials!L207)</f>
        <v>4726</v>
      </c>
      <c r="M207" s="0" t="n">
        <f aca="false">IF(ISBLANK(RawFinancials!M207),"",RawFinancials!M207)</f>
        <v>4675</v>
      </c>
      <c r="N207" s="0" t="n">
        <f aca="false">IF(ISBLANK(RawFinancials!N207),"",RawFinancials!N207)</f>
        <v>2961</v>
      </c>
      <c r="O207" s="0" t="n">
        <f aca="false">IF(ISBLANK(RawFinancials!O207),"",RawFinancials!O207)</f>
        <v>0</v>
      </c>
      <c r="P207" s="0" t="str">
        <f aca="false">IF(ISBLANK(RawFinancials!P207),"",RawFinancials!P207)</f>
        <v>WALDEN MUTUAL BANK</v>
      </c>
      <c r="Q207" s="0" t="n">
        <f aca="false">IF(ISBLANK(RawFinancials!Q207),"",RawFinancials!Q207)</f>
        <v>0</v>
      </c>
      <c r="R207" s="0" t="n">
        <f aca="false">IF(ISBLANK(RawFinancials!R207),"",RawFinancials!R207)</f>
        <v>1.36841090874048</v>
      </c>
      <c r="S207" s="0" t="n">
        <f aca="false">IF(ISBLANK(RawFinancials!S207),"",RawFinancials!S207)</f>
        <v>0</v>
      </c>
      <c r="T207" s="0" t="n">
        <f aca="false">IF(ISBLANK(RawFinancials!T207),"",RawFinancials!T207)</f>
        <v>0</v>
      </c>
      <c r="U207" s="0" t="n">
        <f aca="false">IF(ISBLANK(RawFinancials!U207),"",RawFinancials!U207)</f>
        <v>0</v>
      </c>
      <c r="V207" s="0" t="n">
        <f aca="false">IF(ISBLANK(RawFinancials!V207),"",RawFinancials!V207)</f>
        <v>0</v>
      </c>
      <c r="W207" s="0" t="n">
        <f aca="false">IF(ISBLANK(RawFinancials!W207),"",RawFinancials!W207)</f>
        <v>20221231</v>
      </c>
      <c r="X207" s="0" t="n">
        <f aca="false">IF(ISBLANK(RawFinancials!X207),"",RawFinancials!X207)</f>
        <v>-12.4840259110739</v>
      </c>
      <c r="Y207" s="0" t="n">
        <f aca="false">IF(ISBLANK(RawFinancials!Y207),"",RawFinancials!Y207)</f>
        <v>-13.15</v>
      </c>
      <c r="Z207" s="0" t="str">
        <f aca="false">IF(ISBLANK(RawFinancials!Z207),"",RawFinancials!Z207)</f>
        <v>NH</v>
      </c>
      <c r="AA207" s="0" t="n">
        <f aca="false">RawFinancials!AA207</f>
        <v>1</v>
      </c>
      <c r="AB207" s="0" t="n">
        <f aca="false">RawFinancials!AB207</f>
        <v>0</v>
      </c>
      <c r="AC207" s="0" t="n">
        <f aca="false">RawFinancials!AC207</f>
        <v>0</v>
      </c>
      <c r="AD207" s="0" t="n">
        <f aca="false">IF(L207&gt;0,100*N207/L207,"")</f>
        <v>62.6534066864156</v>
      </c>
      <c r="AE207" s="0" t="n">
        <f aca="false">IF(B207&gt;0,100*F207/B207,"")</f>
        <v>94.9279513506368</v>
      </c>
      <c r="AF207" s="0" t="str">
        <f aca="false">RawFinancials!AE207</f>
        <v>原始0：需核实适用/报告口径</v>
      </c>
    </row>
    <row r="208" customFormat="false" ht="15" hidden="false" customHeight="false" outlineLevel="0" collapsed="false">
      <c r="A208" s="0" t="n">
        <f aca="false">IF(ISBLANK(RawFinancials!A208),"",RawFinancials!A208)</f>
        <v>208</v>
      </c>
      <c r="B208" s="0" t="n">
        <f aca="false">IF(ISBLANK(RawFinancials!B208),"",RawFinancials!B208)</f>
        <v>87230</v>
      </c>
      <c r="C208" s="0" t="n">
        <f aca="false">IF(ISBLANK(RawFinancials!C208),"",RawFinancials!C208)</f>
        <v>59298</v>
      </c>
      <c r="D208" s="0" t="n">
        <f aca="false">IF(ISBLANK(RawFinancials!D208),"",RawFinancials!D208)</f>
        <v>56740</v>
      </c>
      <c r="E208" s="0" t="n">
        <f aca="false">IF(ISBLANK(RawFinancials!E208),"",RawFinancials!E208)</f>
        <v>0.36</v>
      </c>
      <c r="F208" s="0" t="n">
        <f aca="false">IF(ISBLANK(RawFinancials!F208),"",RawFinancials!F208)</f>
        <v>29627</v>
      </c>
      <c r="G208" s="0" t="n">
        <f aca="false">IF(ISBLANK(RawFinancials!G208),"",RawFinancials!G208)</f>
        <v>33.9642324888227</v>
      </c>
      <c r="H208" s="0" t="str">
        <f aca="false">IF(ISBLANK(RawFinancials!H208),"",RawFinancials!H208)</f>
        <v>59298_20221231</v>
      </c>
      <c r="I208" s="0" t="n">
        <f aca="false">IF(ISBLANK(RawFinancials!I208),"",RawFinancials!I208)</f>
        <v>1.00219229564673</v>
      </c>
      <c r="J208" s="0" t="n">
        <f aca="false">IF(ISBLANK(RawFinancials!J208),"",RawFinancials!J208)</f>
        <v>6633</v>
      </c>
      <c r="K208" s="0" t="n">
        <f aca="false">IF(ISBLANK(RawFinancials!K208),"",RawFinancials!K208)</f>
        <v>0</v>
      </c>
      <c r="L208" s="0" t="n">
        <f aca="false">IF(ISBLANK(RawFinancials!L208),"",RawFinancials!L208)</f>
        <v>22351</v>
      </c>
      <c r="M208" s="0" t="n">
        <f aca="false">IF(ISBLANK(RawFinancials!M208),"",RawFinancials!M208)</f>
        <v>22127</v>
      </c>
      <c r="N208" s="0" t="n">
        <f aca="false">IF(ISBLANK(RawFinancials!N208),"",RawFinancials!N208)</f>
        <v>15722</v>
      </c>
      <c r="O208" s="0" t="n">
        <f aca="false">IF(ISBLANK(RawFinancials!O208),"",RawFinancials!O208)</f>
        <v>0</v>
      </c>
      <c r="P208" s="0" t="str">
        <f aca="false">IF(ISBLANK(RawFinancials!P208),"",RawFinancials!P208)</f>
        <v>BANK OF BURLINGTON</v>
      </c>
      <c r="Q208" s="0" t="n">
        <f aca="false">IF(ISBLANK(RawFinancials!Q208),"",RawFinancials!Q208)</f>
        <v>0</v>
      </c>
      <c r="R208" s="0" t="n">
        <f aca="false">IF(ISBLANK(RawFinancials!R208),"",RawFinancials!R208)</f>
        <v>0.821136479111009</v>
      </c>
      <c r="S208" s="0" t="n">
        <f aca="false">IF(ISBLANK(RawFinancials!S208),"",RawFinancials!S208)</f>
        <v>0</v>
      </c>
      <c r="T208" s="0" t="n">
        <f aca="false">IF(ISBLANK(RawFinancials!T208),"",RawFinancials!T208)</f>
        <v>0</v>
      </c>
      <c r="U208" s="0" t="n">
        <f aca="false">IF(ISBLANK(RawFinancials!U208),"",RawFinancials!U208)</f>
        <v>0</v>
      </c>
      <c r="V208" s="0" t="n">
        <f aca="false">IF(ISBLANK(RawFinancials!V208),"",RawFinancials!V208)</f>
        <v>0</v>
      </c>
      <c r="W208" s="0" t="n">
        <f aca="false">IF(ISBLANK(RawFinancials!W208),"",RawFinancials!W208)</f>
        <v>20221231</v>
      </c>
      <c r="X208" s="0" t="n">
        <f aca="false">IF(ISBLANK(RawFinancials!X208),"",RawFinancials!X208)</f>
        <v>-2.33883632131498</v>
      </c>
      <c r="Y208" s="0" t="n">
        <f aca="false">IF(ISBLANK(RawFinancials!Y208),"",RawFinancials!Y208)</f>
        <v>-4.87</v>
      </c>
      <c r="Z208" s="0" t="str">
        <f aca="false">IF(ISBLANK(RawFinancials!Z208),"",RawFinancials!Z208)</f>
        <v>VT</v>
      </c>
      <c r="AA208" s="0" t="n">
        <f aca="false">RawFinancials!AA208</f>
        <v>1</v>
      </c>
      <c r="AB208" s="0" t="n">
        <f aca="false">RawFinancials!AB208</f>
        <v>0</v>
      </c>
      <c r="AC208" s="0" t="n">
        <f aca="false">RawFinancials!AC208</f>
        <v>0</v>
      </c>
      <c r="AD208" s="0" t="n">
        <f aca="false">IF(L208&gt;0,100*N208/L208,"")</f>
        <v>70.3413717507047</v>
      </c>
      <c r="AE208" s="0" t="n">
        <f aca="false">IF(B208&gt;0,100*F208/B208,"")</f>
        <v>33.9642324888227</v>
      </c>
      <c r="AF208" s="0" t="str">
        <f aca="false">RawFinancials!AE208</f>
        <v>原始0：需核实适用/报告口径</v>
      </c>
    </row>
    <row r="209" customFormat="false" ht="15" hidden="false" customHeight="false" outlineLevel="0" collapsed="false">
      <c r="A209" s="0" t="n">
        <f aca="false">IF(ISBLANK(RawFinancials!A209),"",RawFinancials!A209)</f>
        <v>209</v>
      </c>
      <c r="B209" s="0" t="n">
        <f aca="false">IF(ISBLANK(RawFinancials!B209),"",RawFinancials!B209)</f>
        <v>1055421</v>
      </c>
      <c r="C209" s="0" t="n">
        <f aca="false">IF(ISBLANK(RawFinancials!C209),"",RawFinancials!C209)</f>
        <v>6271</v>
      </c>
      <c r="D209" s="0" t="n">
        <f aca="false">IF(ISBLANK(RawFinancials!D209),"",RawFinancials!D209)</f>
        <v>924344</v>
      </c>
      <c r="E209" s="0" t="n">
        <f aca="false">IF(ISBLANK(RawFinancials!E209),"",RawFinancials!E209)</f>
        <v>0.1</v>
      </c>
      <c r="F209" s="0" t="n">
        <f aca="false">IF(ISBLANK(RawFinancials!F209),"",RawFinancials!F209)</f>
        <v>87018</v>
      </c>
      <c r="G209" s="0" t="n">
        <f aca="false">IF(ISBLANK(RawFinancials!G209),"",RawFinancials!G209)</f>
        <v>8.24486152919072</v>
      </c>
      <c r="H209" s="0" t="str">
        <f aca="false">IF(ISBLANK(RawFinancials!H209),"",RawFinancials!H209)</f>
        <v>6271_20221231</v>
      </c>
      <c r="I209" s="0" t="n">
        <f aca="false">IF(ISBLANK(RawFinancials!I209),"",RawFinancials!I209)</f>
        <v>1.162685136481</v>
      </c>
      <c r="J209" s="0" t="n">
        <f aca="false">IF(ISBLANK(RawFinancials!J209),"",RawFinancials!J209)</f>
        <v>116759</v>
      </c>
      <c r="K209" s="0" t="n">
        <f aca="false">IF(ISBLANK(RawFinancials!K209),"",RawFinancials!K209)</f>
        <v>3803</v>
      </c>
      <c r="L209" s="0" t="n">
        <f aca="false">IF(ISBLANK(RawFinancials!L209),"",RawFinancials!L209)</f>
        <v>749042</v>
      </c>
      <c r="M209" s="0" t="n">
        <f aca="false">IF(ISBLANK(RawFinancials!M209),"",RawFinancials!M209)</f>
        <v>740333</v>
      </c>
      <c r="N209" s="0" t="n">
        <f aca="false">IF(ISBLANK(RawFinancials!N209),"",RawFinancials!N209)</f>
        <v>589916</v>
      </c>
      <c r="O209" s="0" t="n">
        <f aca="false">IF(ISBLANK(RawFinancials!O209),"",RawFinancials!O209)</f>
        <v>7890</v>
      </c>
      <c r="P209" s="0" t="str">
        <f aca="false">IF(ISBLANK(RawFinancials!P209),"",RawFinancials!P209)</f>
        <v>COMMUNITY NATIONAL BANK</v>
      </c>
      <c r="Q209" s="0" t="n">
        <f aca="false">IF(ISBLANK(RawFinancials!Q209),"",RawFinancials!Q209)</f>
        <v>1.12984318636338</v>
      </c>
      <c r="R209" s="0" t="n">
        <f aca="false">IF(ISBLANK(RawFinancials!R209),"",RawFinancials!R209)</f>
        <v>3.50957980394927</v>
      </c>
      <c r="S209" s="0" t="n">
        <f aca="false">IF(ISBLANK(RawFinancials!S209),"",RawFinancials!S209)</f>
        <v>-21</v>
      </c>
      <c r="T209" s="0" t="n">
        <f aca="false">IF(ISBLANK(RawFinancials!T209),"",RawFinancials!T209)</f>
        <v>2601</v>
      </c>
      <c r="U209" s="0" t="n">
        <f aca="false">IF(ISBLANK(RawFinancials!U209),"",RawFinancials!U209)</f>
        <v>573</v>
      </c>
      <c r="V209" s="0" t="n">
        <f aca="false">IF(ISBLANK(RawFinancials!V209),"",RawFinancials!V209)</f>
        <v>14.8923999335706</v>
      </c>
      <c r="W209" s="0" t="n">
        <f aca="false">IF(ISBLANK(RawFinancials!W209),"",RawFinancials!W209)</f>
        <v>20221231</v>
      </c>
      <c r="X209" s="0" t="n">
        <f aca="false">IF(ISBLANK(RawFinancials!X209),"",RawFinancials!X209)</f>
        <v>1.42847962432808</v>
      </c>
      <c r="Y209" s="0" t="n">
        <f aca="false">IF(ISBLANK(RawFinancials!Y209),"",RawFinancials!Y209)</f>
        <v>16.51</v>
      </c>
      <c r="Z209" s="0" t="str">
        <f aca="false">IF(ISBLANK(RawFinancials!Z209),"",RawFinancials!Z209)</f>
        <v>VT</v>
      </c>
      <c r="AA209" s="0" t="n">
        <f aca="false">RawFinancials!AA209</f>
        <v>1</v>
      </c>
      <c r="AB209" s="0" t="n">
        <f aca="false">RawFinancials!AB209</f>
        <v>8463</v>
      </c>
      <c r="AC209" s="0" t="n">
        <f aca="false">RawFinancials!AC209</f>
        <v>0.801860110799387</v>
      </c>
      <c r="AD209" s="0" t="n">
        <f aca="false">IF(L209&gt;0,100*N209/L209,"")</f>
        <v>78.7560644129435</v>
      </c>
      <c r="AE209" s="0" t="n">
        <f aca="false">IF(B209&gt;0,100*F209/B209,"")</f>
        <v>8.24486152919072</v>
      </c>
      <c r="AF209" s="0" t="str">
        <f aca="false">RawFinancials!AE209</f>
        <v/>
      </c>
    </row>
    <row r="210" customFormat="false" ht="15" hidden="false" customHeight="false" outlineLevel="0" collapsed="false">
      <c r="A210" s="0" t="n">
        <f aca="false">IF(ISBLANK(RawFinancials!A210),"",RawFinancials!A210)</f>
        <v>210</v>
      </c>
      <c r="B210" s="0" t="n">
        <f aca="false">IF(ISBLANK(RawFinancials!B210),"",RawFinancials!B210)</f>
        <v>534246</v>
      </c>
      <c r="C210" s="0" t="n">
        <f aca="false">IF(ISBLANK(RawFinancials!C210),"",RawFinancials!C210)</f>
        <v>6275</v>
      </c>
      <c r="D210" s="0" t="n">
        <f aca="false">IF(ISBLANK(RawFinancials!D210),"",RawFinancials!D210)</f>
        <v>499882</v>
      </c>
      <c r="E210" s="0" t="n">
        <f aca="false">IF(ISBLANK(RawFinancials!E210),"",RawFinancials!E210)</f>
        <v>-0.06</v>
      </c>
      <c r="F210" s="0" t="n">
        <f aca="false">IF(ISBLANK(RawFinancials!F210),"",RawFinancials!F210)</f>
        <v>24487</v>
      </c>
      <c r="G210" s="0" t="n">
        <f aca="false">IF(ISBLANK(RawFinancials!G210),"",RawFinancials!G210)</f>
        <v>4.58346903860768</v>
      </c>
      <c r="H210" s="0" t="str">
        <f aca="false">IF(ISBLANK(RawFinancials!H210),"",RawFinancials!H210)</f>
        <v>6275_20221231</v>
      </c>
      <c r="I210" s="0" t="n">
        <f aca="false">IF(ISBLANK(RawFinancials!I210),"",RawFinancials!I210)</f>
        <v>0.903217915002237</v>
      </c>
      <c r="J210" s="0" t="n">
        <f aca="false">IF(ISBLANK(RawFinancials!J210),"",RawFinancials!J210)</f>
        <v>33759</v>
      </c>
      <c r="K210" s="0" t="n">
        <f aca="false">IF(ISBLANK(RawFinancials!K210),"",RawFinancials!K210)</f>
        <v>13570</v>
      </c>
      <c r="L210" s="0" t="n">
        <f aca="false">IF(ISBLANK(RawFinancials!L210),"",RawFinancials!L210)</f>
        <v>310667</v>
      </c>
      <c r="M210" s="0" t="n">
        <f aca="false">IF(ISBLANK(RawFinancials!M210),"",RawFinancials!M210)</f>
        <v>307861</v>
      </c>
      <c r="N210" s="0" t="n">
        <f aca="false">IF(ISBLANK(RawFinancials!N210),"",RawFinancials!N210)</f>
        <v>252290</v>
      </c>
      <c r="O210" s="0" t="n">
        <f aca="false">IF(ISBLANK(RawFinancials!O210),"",RawFinancials!O210)</f>
        <v>1436</v>
      </c>
      <c r="P210" s="0" t="str">
        <f aca="false">IF(ISBLANK(RawFinancials!P210),"",RawFinancials!P210)</f>
        <v>THE NATIONAL BANK OF MIDDLEBURY</v>
      </c>
      <c r="Q210" s="0" t="n">
        <f aca="false">IF(ISBLANK(RawFinancials!Q210),"",RawFinancials!Q210)</f>
        <v>0.462231263700361</v>
      </c>
      <c r="R210" s="0" t="n">
        <f aca="false">IF(ISBLANK(RawFinancials!R210),"",RawFinancials!R210)</f>
        <v>2.86500169611941</v>
      </c>
      <c r="S210" s="0" t="n">
        <f aca="false">IF(ISBLANK(RawFinancials!S210),"",RawFinancials!S210)</f>
        <v>2</v>
      </c>
      <c r="T210" s="0" t="n">
        <f aca="false">IF(ISBLANK(RawFinancials!T210),"",RawFinancials!T210)</f>
        <v>237</v>
      </c>
      <c r="U210" s="0" t="n">
        <f aca="false">IF(ISBLANK(RawFinancials!U210),"",RawFinancials!U210)</f>
        <v>0</v>
      </c>
      <c r="V210" s="0" t="n">
        <f aca="false">IF(ISBLANK(RawFinancials!V210),"",RawFinancials!V210)</f>
        <v>15.6864385509914</v>
      </c>
      <c r="W210" s="0" t="n">
        <f aca="false">IF(ISBLANK(RawFinancials!W210),"",RawFinancials!W210)</f>
        <v>20221231</v>
      </c>
      <c r="X210" s="0" t="n">
        <f aca="false">IF(ISBLANK(RawFinancials!X210),"",RawFinancials!X210)</f>
        <v>0.583126084404197</v>
      </c>
      <c r="Y210" s="0" t="n">
        <f aca="false">IF(ISBLANK(RawFinancials!Y210),"",RawFinancials!Y210)</f>
        <v>10.62</v>
      </c>
      <c r="Z210" s="0" t="str">
        <f aca="false">IF(ISBLANK(RawFinancials!Z210),"",RawFinancials!Z210)</f>
        <v>VT</v>
      </c>
      <c r="AA210" s="0" t="n">
        <f aca="false">RawFinancials!AA210</f>
        <v>1</v>
      </c>
      <c r="AB210" s="0" t="n">
        <f aca="false">RawFinancials!AB210</f>
        <v>1436</v>
      </c>
      <c r="AC210" s="0" t="n">
        <f aca="false">RawFinancials!AC210</f>
        <v>0.268790033055933</v>
      </c>
      <c r="AD210" s="0" t="n">
        <f aca="false">IF(L210&gt;0,100*N210/L210,"")</f>
        <v>81.2091403335404</v>
      </c>
      <c r="AE210" s="0" t="n">
        <f aca="false">IF(B210&gt;0,100*F210/B210,"")</f>
        <v>4.58346903860768</v>
      </c>
      <c r="AF210" s="0" t="str">
        <f aca="false">RawFinancials!AE210</f>
        <v/>
      </c>
    </row>
    <row r="211" customFormat="false" ht="15" hidden="false" customHeight="false" outlineLevel="0" collapsed="false">
      <c r="A211" s="0" t="n">
        <f aca="false">IF(ISBLANK(RawFinancials!A211),"",RawFinancials!A211)</f>
        <v>211</v>
      </c>
      <c r="B211" s="0" t="n">
        <f aca="false">IF(ISBLANK(RawFinancials!B211),"",RawFinancials!B211)</f>
        <v>84636</v>
      </c>
      <c r="C211" s="0" t="n">
        <f aca="false">IF(ISBLANK(RawFinancials!C211),"",RawFinancials!C211)</f>
        <v>6280</v>
      </c>
      <c r="D211" s="0" t="n">
        <f aca="false">IF(ISBLANK(RawFinancials!D211),"",RawFinancials!D211)</f>
        <v>75635</v>
      </c>
      <c r="E211" s="0" t="n">
        <f aca="false">IF(ISBLANK(RawFinancials!E211),"",RawFinancials!E211)</f>
        <v>0.11</v>
      </c>
      <c r="F211" s="0" t="n">
        <f aca="false">IF(ISBLANK(RawFinancials!F211),"",RawFinancials!F211)</f>
        <v>8605</v>
      </c>
      <c r="G211" s="0" t="n">
        <f aca="false">IF(ISBLANK(RawFinancials!G211),"",RawFinancials!G211)</f>
        <v>10.1670683869748</v>
      </c>
      <c r="H211" s="0" t="str">
        <f aca="false">IF(ISBLANK(RawFinancials!H211),"",RawFinancials!H211)</f>
        <v>6280_20221231</v>
      </c>
      <c r="I211" s="0" t="n">
        <f aca="false">IF(ISBLANK(RawFinancials!I211),"",RawFinancials!I211)</f>
        <v>1.30441640378549</v>
      </c>
      <c r="J211" s="0" t="n">
        <f aca="false">IF(ISBLANK(RawFinancials!J211),"",RawFinancials!J211)</f>
        <v>3426</v>
      </c>
      <c r="K211" s="0" t="n">
        <f aca="false">IF(ISBLANK(RawFinancials!K211),"",RawFinancials!K211)</f>
        <v>1765</v>
      </c>
      <c r="L211" s="0" t="n">
        <f aca="false">IF(ISBLANK(RawFinancials!L211),"",RawFinancials!L211)</f>
        <v>63400</v>
      </c>
      <c r="M211" s="0" t="n">
        <f aca="false">IF(ISBLANK(RawFinancials!M211),"",RawFinancials!M211)</f>
        <v>62573</v>
      </c>
      <c r="N211" s="0" t="n">
        <f aca="false">IF(ISBLANK(RawFinancials!N211),"",RawFinancials!N211)</f>
        <v>54882</v>
      </c>
      <c r="O211" s="0" t="n">
        <f aca="false">IF(ISBLANK(RawFinancials!O211),"",RawFinancials!O211)</f>
        <v>622</v>
      </c>
      <c r="P211" s="0" t="str">
        <f aca="false">IF(ISBLANK(RawFinancials!P211),"",RawFinancials!P211)</f>
        <v>THE FIRST NATIONAL BANK OF ORWELL</v>
      </c>
      <c r="Q211" s="0" t="n">
        <f aca="false">IF(ISBLANK(RawFinancials!Q211),"",RawFinancials!Q211)</f>
        <v>0.981072555205047</v>
      </c>
      <c r="R211" s="0" t="n">
        <f aca="false">IF(ISBLANK(RawFinancials!R211),"",RawFinancials!R211)</f>
        <v>4.34579347751593</v>
      </c>
      <c r="S211" s="0" t="n">
        <f aca="false">IF(ISBLANK(RawFinancials!S211),"",RawFinancials!S211)</f>
        <v>78</v>
      </c>
      <c r="T211" s="0" t="n">
        <f aca="false">IF(ISBLANK(RawFinancials!T211),"",RawFinancials!T211)</f>
        <v>1116</v>
      </c>
      <c r="U211" s="0" t="n">
        <f aca="false">IF(ISBLANK(RawFinancials!U211),"",RawFinancials!U211)</f>
        <v>0</v>
      </c>
      <c r="V211" s="0" t="n">
        <f aca="false">IF(ISBLANK(RawFinancials!V211),"",RawFinancials!V211)</f>
        <v>0</v>
      </c>
      <c r="W211" s="0" t="n">
        <f aca="false">IF(ISBLANK(RawFinancials!W211),"",RawFinancials!W211)</f>
        <v>20221231</v>
      </c>
      <c r="X211" s="0" t="n">
        <f aca="false">IF(ISBLANK(RawFinancials!X211),"",RawFinancials!X211)</f>
        <v>1.43133896209814</v>
      </c>
      <c r="Y211" s="0" t="n">
        <f aca="false">IF(ISBLANK(RawFinancials!Y211),"",RawFinancials!Y211)</f>
        <v>14.82</v>
      </c>
      <c r="Z211" s="0" t="str">
        <f aca="false">IF(ISBLANK(RawFinancials!Z211),"",RawFinancials!Z211)</f>
        <v>VT</v>
      </c>
      <c r="AA211" s="0" t="n">
        <f aca="false">RawFinancials!AA211</f>
        <v>1</v>
      </c>
      <c r="AB211" s="0" t="n">
        <f aca="false">RawFinancials!AB211</f>
        <v>622</v>
      </c>
      <c r="AC211" s="0" t="n">
        <f aca="false">RawFinancials!AC211</f>
        <v>0.734911857838272</v>
      </c>
      <c r="AD211" s="0" t="n">
        <f aca="false">IF(L211&gt;0,100*N211/L211,"")</f>
        <v>86.5646687697161</v>
      </c>
      <c r="AE211" s="0" t="n">
        <f aca="false">IF(B211&gt;0,100*F211/B211,"")</f>
        <v>10.1670683869748</v>
      </c>
      <c r="AF211" s="0" t="str">
        <f aca="false">RawFinancials!AE211</f>
        <v>原始0：需核实适用/报告口径</v>
      </c>
    </row>
    <row r="212" customFormat="false" ht="15" hidden="false" customHeight="false" outlineLevel="0" collapsed="false">
      <c r="A212" s="0" t="n">
        <f aca="false">IF(ISBLANK(RawFinancials!A212),"",RawFinancials!A212)</f>
        <v>212</v>
      </c>
      <c r="B212" s="0" t="n">
        <f aca="false">IF(ISBLANK(RawFinancials!B212),"",RawFinancials!B212)</f>
        <v>3925512</v>
      </c>
      <c r="C212" s="0" t="n">
        <f aca="false">IF(ISBLANK(RawFinancials!C212),"",RawFinancials!C212)</f>
        <v>11971</v>
      </c>
      <c r="D212" s="0" t="n">
        <f aca="false">IF(ISBLANK(RawFinancials!D212),"",RawFinancials!D212)</f>
        <v>3061414</v>
      </c>
      <c r="E212" s="0" t="n">
        <f aca="false">IF(ISBLANK(RawFinancials!E212),"",RawFinancials!E212)</f>
        <v>0.06</v>
      </c>
      <c r="F212" s="0" t="n">
        <f aca="false">IF(ISBLANK(RawFinancials!F212),"",RawFinancials!F212)</f>
        <v>461427</v>
      </c>
      <c r="G212" s="0" t="n">
        <f aca="false">IF(ISBLANK(RawFinancials!G212),"",RawFinancials!G212)</f>
        <v>11.7545685760227</v>
      </c>
      <c r="H212" s="0" t="str">
        <f aca="false">IF(ISBLANK(RawFinancials!H212),"",RawFinancials!H212)</f>
        <v>11971_20230331</v>
      </c>
      <c r="I212" s="0" t="n">
        <f aca="false">IF(ISBLANK(RawFinancials!I212),"",RawFinancials!I212)</f>
        <v>0.903626426360746</v>
      </c>
      <c r="J212" s="0" t="n">
        <f aca="false">IF(ISBLANK(RawFinancials!J212),"",RawFinancials!J212)</f>
        <v>195856</v>
      </c>
      <c r="K212" s="0" t="n">
        <f aca="false">IF(ISBLANK(RawFinancials!K212),"",RawFinancials!K212)</f>
        <v>7535</v>
      </c>
      <c r="L212" s="0" t="n">
        <f aca="false">IF(ISBLANK(RawFinancials!L212),"",RawFinancials!L212)</f>
        <v>2944469</v>
      </c>
      <c r="M212" s="0" t="n">
        <f aca="false">IF(ISBLANK(RawFinancials!M212),"",RawFinancials!M212)</f>
        <v>2917862</v>
      </c>
      <c r="N212" s="0" t="n">
        <f aca="false">IF(ISBLANK(RawFinancials!N212),"",RawFinancials!N212)</f>
        <v>2595296</v>
      </c>
      <c r="O212" s="0" t="n">
        <f aca="false">IF(ISBLANK(RawFinancials!O212),"",RawFinancials!O212)</f>
        <v>7795</v>
      </c>
      <c r="P212" s="0" t="str">
        <f aca="false">IF(ISBLANK(RawFinancials!P212),"",RawFinancials!P212)</f>
        <v>BAR HARBOR BANK &amp; TRUST</v>
      </c>
      <c r="Q212" s="0" t="n">
        <f aca="false">IF(ISBLANK(RawFinancials!Q212),"",RawFinancials!Q212)</f>
        <v>0.269420394645011</v>
      </c>
      <c r="R212" s="0" t="n">
        <f aca="false">IF(ISBLANK(RawFinancials!R212),"",RawFinancials!R212)</f>
        <v>3.62834593183597</v>
      </c>
      <c r="S212" s="0" t="n">
        <f aca="false">IF(ISBLANK(RawFinancials!S212),"",RawFinancials!S212)</f>
        <v>51</v>
      </c>
      <c r="T212" s="0" t="n">
        <f aca="false">IF(ISBLANK(RawFinancials!T212),"",RawFinancials!T212)</f>
        <v>6311</v>
      </c>
      <c r="U212" s="0" t="n">
        <f aca="false">IF(ISBLANK(RawFinancials!U212),"",RawFinancials!U212)</f>
        <v>138</v>
      </c>
      <c r="V212" s="0" t="n">
        <f aca="false">IF(ISBLANK(RawFinancials!V212),"",RawFinancials!V212)</f>
        <v>13.4222908894178</v>
      </c>
      <c r="W212" s="0" t="n">
        <f aca="false">IF(ISBLANK(RawFinancials!W212),"",RawFinancials!W212)</f>
        <v>20230331</v>
      </c>
      <c r="X212" s="0" t="n">
        <f aca="false">IF(ISBLANK(RawFinancials!X212),"",RawFinancials!X212)</f>
        <v>1.46140641727275</v>
      </c>
      <c r="Y212" s="0" t="n">
        <f aca="false">IF(ISBLANK(RawFinancials!Y212),"",RawFinancials!Y212)</f>
        <v>12.6</v>
      </c>
      <c r="Z212" s="0" t="str">
        <f aca="false">IF(ISBLANK(RawFinancials!Z212),"",RawFinancials!Z212)</f>
        <v>ME</v>
      </c>
      <c r="AA212" s="0" t="n">
        <f aca="false">RawFinancials!AA212</f>
        <v>1</v>
      </c>
      <c r="AB212" s="0" t="n">
        <f aca="false">RawFinancials!AB212</f>
        <v>7933</v>
      </c>
      <c r="AC212" s="0" t="n">
        <f aca="false">RawFinancials!AC212</f>
        <v>0.202088288101017</v>
      </c>
      <c r="AD212" s="0" t="n">
        <f aca="false">IF(L212&gt;0,100*N212/L212,"")</f>
        <v>88.1413932359281</v>
      </c>
      <c r="AE212" s="0" t="n">
        <f aca="false">IF(B212&gt;0,100*F212/B212,"")</f>
        <v>11.7545685760227</v>
      </c>
      <c r="AF212" s="0" t="str">
        <f aca="false">RawFinancials!AE212</f>
        <v/>
      </c>
    </row>
    <row r="213" customFormat="false" ht="15" hidden="false" customHeight="false" outlineLevel="0" collapsed="false">
      <c r="A213" s="0" t="n">
        <f aca="false">IF(ISBLANK(RawFinancials!A213),"",RawFinancials!A213)</f>
        <v>213</v>
      </c>
      <c r="B213" s="0" t="n">
        <f aca="false">IF(ISBLANK(RawFinancials!B213),"",RawFinancials!B213)</f>
        <v>980710</v>
      </c>
      <c r="C213" s="0" t="n">
        <f aca="false">IF(ISBLANK(RawFinancials!C213),"",RawFinancials!C213)</f>
        <v>12874</v>
      </c>
      <c r="D213" s="0" t="n">
        <f aca="false">IF(ISBLANK(RawFinancials!D213),"",RawFinancials!D213)</f>
        <v>858980</v>
      </c>
      <c r="E213" s="0" t="n">
        <f aca="false">IF(ISBLANK(RawFinancials!E213),"",RawFinancials!E213)</f>
        <v>-0.01</v>
      </c>
      <c r="F213" s="0" t="n">
        <f aca="false">IF(ISBLANK(RawFinancials!F213),"",RawFinancials!F213)</f>
        <v>100647</v>
      </c>
      <c r="G213" s="0" t="n">
        <f aca="false">IF(ISBLANK(RawFinancials!G213),"",RawFinancials!G213)</f>
        <v>10.2626668434094</v>
      </c>
      <c r="H213" s="0" t="str">
        <f aca="false">IF(ISBLANK(RawFinancials!H213),"",RawFinancials!H213)</f>
        <v>12874_20230331</v>
      </c>
      <c r="I213" s="0" t="n">
        <f aca="false">IF(ISBLANK(RawFinancials!I213),"",RawFinancials!I213)</f>
        <v>1.02329517604435</v>
      </c>
      <c r="J213" s="0" t="n">
        <f aca="false">IF(ISBLANK(RawFinancials!J213),"",RawFinancials!J213)</f>
        <v>133780</v>
      </c>
      <c r="K213" s="0" t="n">
        <f aca="false">IF(ISBLANK(RawFinancials!K213),"",RawFinancials!K213)</f>
        <v>4939</v>
      </c>
      <c r="L213" s="0" t="n">
        <f aca="false">IF(ISBLANK(RawFinancials!L213),"",RawFinancials!L213)</f>
        <v>760973</v>
      </c>
      <c r="M213" s="0" t="n">
        <f aca="false">IF(ISBLANK(RawFinancials!M213),"",RawFinancials!M213)</f>
        <v>753186</v>
      </c>
      <c r="N213" s="0" t="n">
        <f aca="false">IF(ISBLANK(RawFinancials!N213),"",RawFinancials!N213)</f>
        <v>608741</v>
      </c>
      <c r="O213" s="0" t="n">
        <f aca="false">IF(ISBLANK(RawFinancials!O213),"",RawFinancials!O213)</f>
        <v>468</v>
      </c>
      <c r="P213" s="0" t="str">
        <f aca="false">IF(ISBLANK(RawFinancials!P213),"",RawFinancials!P213)</f>
        <v>KATAHDIN TRUST COMPANY</v>
      </c>
      <c r="Q213" s="0" t="n">
        <f aca="false">IF(ISBLANK(RawFinancials!Q213),"",RawFinancials!Q213)</f>
        <v>0.0622886751566744</v>
      </c>
      <c r="R213" s="0" t="n">
        <f aca="false">IF(ISBLANK(RawFinancials!R213),"",RawFinancials!R213)</f>
        <v>3.92115359174494</v>
      </c>
      <c r="S213" s="0" t="n">
        <f aca="false">IF(ISBLANK(RawFinancials!S213),"",RawFinancials!S213)</f>
        <v>-2</v>
      </c>
      <c r="T213" s="0" t="n">
        <f aca="false">IF(ISBLANK(RawFinancials!T213),"",RawFinancials!T213)</f>
        <v>165</v>
      </c>
      <c r="U213" s="0" t="n">
        <f aca="false">IF(ISBLANK(RawFinancials!U213),"",RawFinancials!U213)</f>
        <v>6</v>
      </c>
      <c r="V213" s="0" t="n">
        <f aca="false">IF(ISBLANK(RawFinancials!V213),"",RawFinancials!V213)</f>
        <v>15.7448301196799</v>
      </c>
      <c r="W213" s="0" t="n">
        <f aca="false">IF(ISBLANK(RawFinancials!W213),"",RawFinancials!W213)</f>
        <v>20230331</v>
      </c>
      <c r="X213" s="0" t="n">
        <f aca="false">IF(ISBLANK(RawFinancials!X213),"",RawFinancials!X213)</f>
        <v>1.11202375687117</v>
      </c>
      <c r="Y213" s="0" t="n">
        <f aca="false">IF(ISBLANK(RawFinancials!Y213),"",RawFinancials!Y213)</f>
        <v>11.03</v>
      </c>
      <c r="Z213" s="0" t="str">
        <f aca="false">IF(ISBLANK(RawFinancials!Z213),"",RawFinancials!Z213)</f>
        <v>ME</v>
      </c>
      <c r="AA213" s="0" t="n">
        <f aca="false">RawFinancials!AA213</f>
        <v>1</v>
      </c>
      <c r="AB213" s="0" t="n">
        <f aca="false">RawFinancials!AB213</f>
        <v>474</v>
      </c>
      <c r="AC213" s="0" t="n">
        <f aca="false">RawFinancials!AC213</f>
        <v>0.0483323306584006</v>
      </c>
      <c r="AD213" s="0" t="n">
        <f aca="false">IF(L213&gt;0,100*N213/L213,"")</f>
        <v>79.9950852395552</v>
      </c>
      <c r="AE213" s="0" t="n">
        <f aca="false">IF(B213&gt;0,100*F213/B213,"")</f>
        <v>10.2626668434094</v>
      </c>
      <c r="AF213" s="0" t="str">
        <f aca="false">RawFinancials!AE213</f>
        <v/>
      </c>
    </row>
    <row r="214" customFormat="false" ht="15" hidden="false" customHeight="false" outlineLevel="0" collapsed="false">
      <c r="A214" s="0" t="n">
        <f aca="false">IF(ISBLANK(RawFinancials!A214),"",RawFinancials!A214)</f>
        <v>214</v>
      </c>
      <c r="B214" s="0" t="n">
        <f aca="false">IF(ISBLANK(RawFinancials!B214),"",RawFinancials!B214)</f>
        <v>1853851</v>
      </c>
      <c r="C214" s="0" t="n">
        <f aca="false">IF(ISBLANK(RawFinancials!C214),"",RawFinancials!C214)</f>
        <v>13063</v>
      </c>
      <c r="D214" s="0" t="n">
        <f aca="false">IF(ISBLANK(RawFinancials!D214),"",RawFinancials!D214)</f>
        <v>1620191</v>
      </c>
      <c r="E214" s="0" t="n">
        <f aca="false">IF(ISBLANK(RawFinancials!E214),"",RawFinancials!E214)</f>
        <v>0.14</v>
      </c>
      <c r="F214" s="0" t="n">
        <f aca="false">IF(ISBLANK(RawFinancials!F214),"",RawFinancials!F214)</f>
        <v>141179</v>
      </c>
      <c r="G214" s="0" t="n">
        <f aca="false">IF(ISBLANK(RawFinancials!G214),"",RawFinancials!G214)</f>
        <v>7.61544482269611</v>
      </c>
      <c r="H214" s="0" t="str">
        <f aca="false">IF(ISBLANK(RawFinancials!H214),"",RawFinancials!H214)</f>
        <v>13063_20230331</v>
      </c>
      <c r="I214" s="0" t="n">
        <f aca="false">IF(ISBLANK(RawFinancials!I214),"",RawFinancials!I214)</f>
        <v>1.12301950709827</v>
      </c>
      <c r="J214" s="0" t="n">
        <f aca="false">IF(ISBLANK(RawFinancials!J214),"",RawFinancials!J214)</f>
        <v>53456</v>
      </c>
      <c r="K214" s="0" t="n">
        <f aca="false">IF(ISBLANK(RawFinancials!K214),"",RawFinancials!K214)</f>
        <v>932</v>
      </c>
      <c r="L214" s="0" t="n">
        <f aca="false">IF(ISBLANK(RawFinancials!L214),"",RawFinancials!L214)</f>
        <v>1379139</v>
      </c>
      <c r="M214" s="0" t="n">
        <f aca="false">IF(ISBLANK(RawFinancials!M214),"",RawFinancials!M214)</f>
        <v>1363651</v>
      </c>
      <c r="N214" s="0" t="n">
        <f aca="false">IF(ISBLANK(RawFinancials!N214),"",RawFinancials!N214)</f>
        <v>1316711</v>
      </c>
      <c r="O214" s="0" t="n">
        <f aca="false">IF(ISBLANK(RawFinancials!O214),"",RawFinancials!O214)</f>
        <v>519</v>
      </c>
      <c r="P214" s="0" t="str">
        <f aca="false">IF(ISBLANK(RawFinancials!P214),"",RawFinancials!P214)</f>
        <v>KENNEBUNK SAVINGS BANK</v>
      </c>
      <c r="Q214" s="0" t="n">
        <f aca="false">IF(ISBLANK(RawFinancials!Q214),"",RawFinancials!Q214)</f>
        <v>0.102310209485773</v>
      </c>
      <c r="R214" s="0" t="n">
        <f aca="false">IF(ISBLANK(RawFinancials!R214),"",RawFinancials!R214)</f>
        <v>3.32459574825263</v>
      </c>
      <c r="S214" s="0" t="n">
        <f aca="false">IF(ISBLANK(RawFinancials!S214),"",RawFinancials!S214)</f>
        <v>55</v>
      </c>
      <c r="T214" s="0" t="n">
        <f aca="false">IF(ISBLANK(RawFinancials!T214),"",RawFinancials!T214)</f>
        <v>1178</v>
      </c>
      <c r="U214" s="0" t="n">
        <f aca="false">IF(ISBLANK(RawFinancials!U214),"",RawFinancials!U214)</f>
        <v>892</v>
      </c>
      <c r="V214" s="0" t="n">
        <f aca="false">IF(ISBLANK(RawFinancials!V214),"",RawFinancials!V214)</f>
        <v>0</v>
      </c>
      <c r="W214" s="0" t="n">
        <f aca="false">IF(ISBLANK(RawFinancials!W214),"",RawFinancials!W214)</f>
        <v>20230331</v>
      </c>
      <c r="X214" s="0" t="n">
        <f aca="false">IF(ISBLANK(RawFinancials!X214),"",RawFinancials!X214)</f>
        <v>0.432313134919347</v>
      </c>
      <c r="Y214" s="0" t="n">
        <f aca="false">IF(ISBLANK(RawFinancials!Y214),"",RawFinancials!Y214)</f>
        <v>5.76</v>
      </c>
      <c r="Z214" s="0" t="str">
        <f aca="false">IF(ISBLANK(RawFinancials!Z214),"",RawFinancials!Z214)</f>
        <v>ME</v>
      </c>
      <c r="AA214" s="0" t="n">
        <f aca="false">RawFinancials!AA214</f>
        <v>1</v>
      </c>
      <c r="AB214" s="0" t="n">
        <f aca="false">RawFinancials!AB214</f>
        <v>1411</v>
      </c>
      <c r="AC214" s="0" t="n">
        <f aca="false">RawFinancials!AC214</f>
        <v>0.0761118342304748</v>
      </c>
      <c r="AD214" s="0" t="n">
        <f aca="false">IF(L214&gt;0,100*N214/L214,"")</f>
        <v>95.4734076840696</v>
      </c>
      <c r="AE214" s="0" t="n">
        <f aca="false">IF(B214&gt;0,100*F214/B214,"")</f>
        <v>7.61544482269611</v>
      </c>
      <c r="AF214" s="0" t="str">
        <f aca="false">RawFinancials!AE214</f>
        <v>原始0：需核实适用/报告口径</v>
      </c>
    </row>
    <row r="215" customFormat="false" ht="15" hidden="false" customHeight="false" outlineLevel="0" collapsed="false">
      <c r="A215" s="0" t="n">
        <f aca="false">IF(ISBLANK(RawFinancials!A215),"",RawFinancials!A215)</f>
        <v>215</v>
      </c>
      <c r="B215" s="0" t="n">
        <f aca="false">IF(ISBLANK(RawFinancials!B215),"",RawFinancials!B215)</f>
        <v>835568</v>
      </c>
      <c r="C215" s="0" t="n">
        <f aca="false">IF(ISBLANK(RawFinancials!C215),"",RawFinancials!C215)</f>
        <v>14134</v>
      </c>
      <c r="D215" s="0" t="n">
        <f aca="false">IF(ISBLANK(RawFinancials!D215),"",RawFinancials!D215)</f>
        <v>701903</v>
      </c>
      <c r="E215" s="0" t="n">
        <f aca="false">IF(ISBLANK(RawFinancials!E215),"",RawFinancials!E215)</f>
        <v>0.11</v>
      </c>
      <c r="F215" s="0" t="n">
        <f aca="false">IF(ISBLANK(RawFinancials!F215),"",RawFinancials!F215)</f>
        <v>99761</v>
      </c>
      <c r="G215" s="0" t="n">
        <f aca="false">IF(ISBLANK(RawFinancials!G215),"",RawFinancials!G215)</f>
        <v>11.939303563564</v>
      </c>
      <c r="H215" s="0" t="str">
        <f aca="false">IF(ISBLANK(RawFinancials!H215),"",RawFinancials!H215)</f>
        <v>14134_20230331</v>
      </c>
      <c r="I215" s="0" t="n">
        <f aca="false">IF(ISBLANK(RawFinancials!I215),"",RawFinancials!I215)</f>
        <v>1.10966624690114</v>
      </c>
      <c r="J215" s="0" t="n">
        <f aca="false">IF(ISBLANK(RawFinancials!J215),"",RawFinancials!J215)</f>
        <v>27912</v>
      </c>
      <c r="K215" s="0" t="n">
        <f aca="false">IF(ISBLANK(RawFinancials!K215),"",RawFinancials!K215)</f>
        <v>29009</v>
      </c>
      <c r="L215" s="0" t="n">
        <f aca="false">IF(ISBLANK(RawFinancials!L215),"",RawFinancials!L215)</f>
        <v>632893</v>
      </c>
      <c r="M215" s="0" t="n">
        <f aca="false">IF(ISBLANK(RawFinancials!M215),"",RawFinancials!M215)</f>
        <v>625870</v>
      </c>
      <c r="N215" s="0" t="n">
        <f aca="false">IF(ISBLANK(RawFinancials!N215),"",RawFinancials!N215)</f>
        <v>551797</v>
      </c>
      <c r="O215" s="0" t="n">
        <f aca="false">IF(ISBLANK(RawFinancials!O215),"",RawFinancials!O215)</f>
        <v>12896</v>
      </c>
      <c r="P215" s="0" t="str">
        <f aca="false">IF(ISBLANK(RawFinancials!P215),"",RawFinancials!P215)</f>
        <v>PASSUMPSIC SAVINGS BANK</v>
      </c>
      <c r="Q215" s="0" t="n">
        <f aca="false">IF(ISBLANK(RawFinancials!Q215),"",RawFinancials!Q215)</f>
        <v>2.03762721344682</v>
      </c>
      <c r="R215" s="0" t="n">
        <f aca="false">IF(ISBLANK(RawFinancials!R215),"",RawFinancials!R215)</f>
        <v>3.39563138167248</v>
      </c>
      <c r="S215" s="0" t="n">
        <f aca="false">IF(ISBLANK(RawFinancials!S215),"",RawFinancials!S215)</f>
        <v>397</v>
      </c>
      <c r="T215" s="0" t="n">
        <f aca="false">IF(ISBLANK(RawFinancials!T215),"",RawFinancials!T215)</f>
        <v>4692</v>
      </c>
      <c r="U215" s="0" t="n">
        <f aca="false">IF(ISBLANK(RawFinancials!U215),"",RawFinancials!U215)</f>
        <v>0</v>
      </c>
      <c r="V215" s="0" t="n">
        <f aca="false">IF(ISBLANK(RawFinancials!V215),"",RawFinancials!V215)</f>
        <v>17.7441561803976</v>
      </c>
      <c r="W215" s="0" t="n">
        <f aca="false">IF(ISBLANK(RawFinancials!W215),"",RawFinancials!W215)</f>
        <v>20230331</v>
      </c>
      <c r="X215" s="0" t="n">
        <f aca="false">IF(ISBLANK(RawFinancials!X215),"",RawFinancials!X215)</f>
        <v>0.6945112460753</v>
      </c>
      <c r="Y215" s="0" t="n">
        <f aca="false">IF(ISBLANK(RawFinancials!Y215),"",RawFinancials!Y215)</f>
        <v>5.89</v>
      </c>
      <c r="Z215" s="0" t="str">
        <f aca="false">IF(ISBLANK(RawFinancials!Z215),"",RawFinancials!Z215)</f>
        <v>VT</v>
      </c>
      <c r="AA215" s="0" t="n">
        <f aca="false">RawFinancials!AA215</f>
        <v>1</v>
      </c>
      <c r="AB215" s="0" t="n">
        <f aca="false">RawFinancials!AB215</f>
        <v>12896</v>
      </c>
      <c r="AC215" s="0" t="n">
        <f aca="false">RawFinancials!AC215</f>
        <v>1.54338126878961</v>
      </c>
      <c r="AD215" s="0" t="n">
        <f aca="false">IF(L215&gt;0,100*N215/L215,"")</f>
        <v>87.1864596385171</v>
      </c>
      <c r="AE215" s="0" t="n">
        <f aca="false">IF(B215&gt;0,100*F215/B215,"")</f>
        <v>11.9393035635639</v>
      </c>
      <c r="AF215" s="0" t="str">
        <f aca="false">RawFinancials!AE215</f>
        <v/>
      </c>
    </row>
    <row r="216" customFormat="false" ht="15" hidden="false" customHeight="false" outlineLevel="0" collapsed="false">
      <c r="A216" s="0" t="n">
        <f aca="false">IF(ISBLANK(RawFinancials!A216),"",RawFinancials!A216)</f>
        <v>216</v>
      </c>
      <c r="B216" s="0" t="n">
        <f aca="false">IF(ISBLANK(RawFinancials!B216),"",RawFinancials!B216)</f>
        <v>223596</v>
      </c>
      <c r="C216" s="0" t="n">
        <f aca="false">IF(ISBLANK(RawFinancials!C216),"",RawFinancials!C216)</f>
        <v>14136</v>
      </c>
      <c r="D216" s="0" t="n">
        <f aca="false">IF(ISBLANK(RawFinancials!D216),"",RawFinancials!D216)</f>
        <v>203232</v>
      </c>
      <c r="E216" s="0" t="n">
        <f aca="false">IF(ISBLANK(RawFinancials!E216),"",RawFinancials!E216)</f>
        <v>0.05</v>
      </c>
      <c r="F216" s="0" t="n">
        <f aca="false">IF(ISBLANK(RawFinancials!F216),"",RawFinancials!F216)</f>
        <v>15756</v>
      </c>
      <c r="G216" s="0" t="n">
        <f aca="false">IF(ISBLANK(RawFinancials!G216),"",RawFinancials!G216)</f>
        <v>7.04663768582622</v>
      </c>
      <c r="H216" s="0" t="str">
        <f aca="false">IF(ISBLANK(RawFinancials!H216),"",RawFinancials!H216)</f>
        <v>14136_20230331</v>
      </c>
      <c r="I216" s="0" t="n">
        <f aca="false">IF(ISBLANK(RawFinancials!I216),"",RawFinancials!I216)</f>
        <v>1.31991672449688</v>
      </c>
      <c r="J216" s="0" t="n">
        <f aca="false">IF(ISBLANK(RawFinancials!J216),"",RawFinancials!J216)</f>
        <v>13072</v>
      </c>
      <c r="K216" s="0" t="n">
        <f aca="false">IF(ISBLANK(RawFinancials!K216),"",RawFinancials!K216)</f>
        <v>14836</v>
      </c>
      <c r="L216" s="0" t="n">
        <f aca="false">IF(ISBLANK(RawFinancials!L216),"",RawFinancials!L216)</f>
        <v>144100</v>
      </c>
      <c r="M216" s="0" t="n">
        <f aca="false">IF(ISBLANK(RawFinancials!M216),"",RawFinancials!M216)</f>
        <v>142198</v>
      </c>
      <c r="N216" s="0" t="n">
        <f aca="false">IF(ISBLANK(RawFinancials!N216),"",RawFinancials!N216)</f>
        <v>115852</v>
      </c>
      <c r="O216" s="0" t="n">
        <f aca="false">IF(ISBLANK(RawFinancials!O216),"",RawFinancials!O216)</f>
        <v>73</v>
      </c>
      <c r="P216" s="0" t="str">
        <f aca="false">IF(ISBLANK(RawFinancials!P216),"",RawFinancials!P216)</f>
        <v>WELLS RIVER SAVINGS BANK</v>
      </c>
      <c r="Q216" s="0" t="n">
        <f aca="false">IF(ISBLANK(RawFinancials!Q216),"",RawFinancials!Q216)</f>
        <v>0.228313671061763</v>
      </c>
      <c r="R216" s="0" t="n">
        <f aca="false">IF(ISBLANK(RawFinancials!R216),"",RawFinancials!R216)</f>
        <v>4.1509021946044</v>
      </c>
      <c r="S216" s="0" t="n">
        <f aca="false">IF(ISBLANK(RawFinancials!S216),"",RawFinancials!S216)</f>
        <v>6</v>
      </c>
      <c r="T216" s="0" t="n">
        <f aca="false">IF(ISBLANK(RawFinancials!T216),"",RawFinancials!T216)</f>
        <v>1355</v>
      </c>
      <c r="U216" s="0" t="n">
        <f aca="false">IF(ISBLANK(RawFinancials!U216),"",RawFinancials!U216)</f>
        <v>256</v>
      </c>
      <c r="V216" s="0" t="n">
        <f aca="false">IF(ISBLANK(RawFinancials!V216),"",RawFinancials!V216)</f>
        <v>17.6630149084257</v>
      </c>
      <c r="W216" s="0" t="n">
        <f aca="false">IF(ISBLANK(RawFinancials!W216),"",RawFinancials!W216)</f>
        <v>20230331</v>
      </c>
      <c r="X216" s="0" t="n">
        <f aca="false">IF(ISBLANK(RawFinancials!X216),"",RawFinancials!X216)</f>
        <v>0.561314041483232</v>
      </c>
      <c r="Y216" s="0" t="n">
        <f aca="false">IF(ISBLANK(RawFinancials!Y216),"",RawFinancials!Y216)</f>
        <v>8.35</v>
      </c>
      <c r="Z216" s="0" t="str">
        <f aca="false">IF(ISBLANK(RawFinancials!Z216),"",RawFinancials!Z216)</f>
        <v>VT</v>
      </c>
      <c r="AA216" s="0" t="n">
        <f aca="false">RawFinancials!AA216</f>
        <v>1</v>
      </c>
      <c r="AB216" s="0" t="n">
        <f aca="false">RawFinancials!AB216</f>
        <v>329</v>
      </c>
      <c r="AC216" s="0" t="n">
        <f aca="false">RawFinancials!AC216</f>
        <v>0.147140378182078</v>
      </c>
      <c r="AD216" s="0" t="n">
        <f aca="false">IF(L216&gt;0,100*N216/L216,"")</f>
        <v>80.3969465648855</v>
      </c>
      <c r="AE216" s="0" t="n">
        <f aca="false">IF(B216&gt;0,100*F216/B216,"")</f>
        <v>7.04663768582622</v>
      </c>
      <c r="AF216" s="0" t="str">
        <f aca="false">RawFinancials!AE216</f>
        <v/>
      </c>
    </row>
    <row r="217" customFormat="false" ht="15" hidden="false" customHeight="false" outlineLevel="0" collapsed="false">
      <c r="A217" s="0" t="n">
        <f aca="false">IF(ISBLANK(RawFinancials!A217),"",RawFinancials!A217)</f>
        <v>217</v>
      </c>
      <c r="B217" s="0" t="n">
        <f aca="false">IF(ISBLANK(RawFinancials!B217),"",RawFinancials!B217)</f>
        <v>1413583</v>
      </c>
      <c r="C217" s="0" t="n">
        <f aca="false">IF(ISBLANK(RawFinancials!C217),"",RawFinancials!C217)</f>
        <v>14140</v>
      </c>
      <c r="D217" s="0" t="n">
        <f aca="false">IF(ISBLANK(RawFinancials!D217),"",RawFinancials!D217)</f>
        <v>1126353</v>
      </c>
      <c r="E217" s="0" t="n">
        <f aca="false">IF(ISBLANK(RawFinancials!E217),"",RawFinancials!E217)</f>
        <v>0.04</v>
      </c>
      <c r="F217" s="0" t="n">
        <f aca="false">IF(ISBLANK(RawFinancials!F217),"",RawFinancials!F217)</f>
        <v>121200</v>
      </c>
      <c r="G217" s="0" t="n">
        <f aca="false">IF(ISBLANK(RawFinancials!G217),"",RawFinancials!G217)</f>
        <v>8.57395710050277</v>
      </c>
      <c r="H217" s="0" t="str">
        <f aca="false">IF(ISBLANK(RawFinancials!H217),"",RawFinancials!H217)</f>
        <v>14140_20230331</v>
      </c>
      <c r="I217" s="0" t="n">
        <f aca="false">IF(ISBLANK(RawFinancials!I217),"",RawFinancials!I217)</f>
        <v>0.818129928334355</v>
      </c>
      <c r="J217" s="0" t="n">
        <f aca="false">IF(ISBLANK(RawFinancials!J217),"",RawFinancials!J217)</f>
        <v>88947</v>
      </c>
      <c r="K217" s="0" t="n">
        <f aca="false">IF(ISBLANK(RawFinancials!K217),"",RawFinancials!K217)</f>
        <v>1356</v>
      </c>
      <c r="L217" s="0" t="n">
        <f aca="false">IF(ISBLANK(RawFinancials!L217),"",RawFinancials!L217)</f>
        <v>993363</v>
      </c>
      <c r="M217" s="0" t="n">
        <f aca="false">IF(ISBLANK(RawFinancials!M217),"",RawFinancials!M217)</f>
        <v>985236</v>
      </c>
      <c r="N217" s="0" t="n">
        <f aca="false">IF(ISBLANK(RawFinancials!N217),"",RawFinancials!N217)</f>
        <v>890367</v>
      </c>
      <c r="O217" s="0" t="n">
        <f aca="false">IF(ISBLANK(RawFinancials!O217),"",RawFinancials!O217)</f>
        <v>2395</v>
      </c>
      <c r="P217" s="0" t="str">
        <f aca="false">IF(ISBLANK(RawFinancials!P217),"",RawFinancials!P217)</f>
        <v>NORTHFIELD SAVINGS BANK</v>
      </c>
      <c r="Q217" s="0" t="n">
        <f aca="false">IF(ISBLANK(RawFinancials!Q217),"",RawFinancials!Q217)</f>
        <v>0.241100181907319</v>
      </c>
      <c r="R217" s="0" t="n">
        <f aca="false">IF(ISBLANK(RawFinancials!R217),"",RawFinancials!R217)</f>
        <v>2.94879850271109</v>
      </c>
      <c r="S217" s="0" t="n">
        <f aca="false">IF(ISBLANK(RawFinancials!S217),"",RawFinancials!S217)</f>
        <v>23</v>
      </c>
      <c r="T217" s="0" t="n">
        <f aca="false">IF(ISBLANK(RawFinancials!T217),"",RawFinancials!T217)</f>
        <v>1113</v>
      </c>
      <c r="U217" s="0" t="n">
        <f aca="false">IF(ISBLANK(RawFinancials!U217),"",RawFinancials!U217)</f>
        <v>0</v>
      </c>
      <c r="V217" s="0" t="n">
        <f aca="false">IF(ISBLANK(RawFinancials!V217),"",RawFinancials!V217)</f>
        <v>0</v>
      </c>
      <c r="W217" s="0" t="n">
        <f aca="false">IF(ISBLANK(RawFinancials!W217),"",RawFinancials!W217)</f>
        <v>20230331</v>
      </c>
      <c r="X217" s="0" t="n">
        <f aca="false">IF(ISBLANK(RawFinancials!X217),"",RawFinancials!X217)</f>
        <v>0.454340029379335</v>
      </c>
      <c r="Y217" s="0" t="n">
        <f aca="false">IF(ISBLANK(RawFinancials!Y217),"",RawFinancials!Y217)</f>
        <v>5.46</v>
      </c>
      <c r="Z217" s="0" t="str">
        <f aca="false">IF(ISBLANK(RawFinancials!Z217),"",RawFinancials!Z217)</f>
        <v>VT</v>
      </c>
      <c r="AA217" s="0" t="n">
        <f aca="false">RawFinancials!AA217</f>
        <v>1</v>
      </c>
      <c r="AB217" s="0" t="n">
        <f aca="false">RawFinancials!AB217</f>
        <v>2395</v>
      </c>
      <c r="AC217" s="0" t="n">
        <f aca="false">RawFinancials!AC217</f>
        <v>0.169427617621321</v>
      </c>
      <c r="AD217" s="0" t="n">
        <f aca="false">IF(L217&gt;0,100*N217/L217,"")</f>
        <v>89.6315848285068</v>
      </c>
      <c r="AE217" s="0" t="n">
        <f aca="false">IF(B217&gt;0,100*F217/B217,"")</f>
        <v>8.57395710050277</v>
      </c>
      <c r="AF217" s="0" t="str">
        <f aca="false">RawFinancials!AE217</f>
        <v>原始0：需核实适用/报告口径</v>
      </c>
    </row>
    <row r="218" customFormat="false" ht="15" hidden="false" customHeight="false" outlineLevel="0" collapsed="false">
      <c r="A218" s="0" t="n">
        <f aca="false">IF(ISBLANK(RawFinancials!A218),"",RawFinancials!A218)</f>
        <v>218</v>
      </c>
      <c r="B218" s="0" t="n">
        <f aca="false">IF(ISBLANK(RawFinancials!B218),"",RawFinancials!B218)</f>
        <v>1361586</v>
      </c>
      <c r="C218" s="0" t="n">
        <f aca="false">IF(ISBLANK(RawFinancials!C218),"",RawFinancials!C218)</f>
        <v>14158</v>
      </c>
      <c r="D218" s="0" t="n">
        <f aca="false">IF(ISBLANK(RawFinancials!D218),"",RawFinancials!D218)</f>
        <v>1229192</v>
      </c>
      <c r="E218" s="0" t="n">
        <f aca="false">IF(ISBLANK(RawFinancials!E218),"",RawFinancials!E218)</f>
        <v>0.02</v>
      </c>
      <c r="F218" s="0" t="n">
        <f aca="false">IF(ISBLANK(RawFinancials!F218),"",RawFinancials!F218)</f>
        <v>76684</v>
      </c>
      <c r="G218" s="0" t="n">
        <f aca="false">IF(ISBLANK(RawFinancials!G218),"",RawFinancials!G218)</f>
        <v>5.631961550721</v>
      </c>
      <c r="H218" s="0" t="str">
        <f aca="false">IF(ISBLANK(RawFinancials!H218),"",RawFinancials!H218)</f>
        <v>14158_20230331</v>
      </c>
      <c r="I218" s="0" t="n">
        <f aca="false">IF(ISBLANK(RawFinancials!I218),"",RawFinancials!I218)</f>
        <v>0.710002703211907</v>
      </c>
      <c r="J218" s="0" t="n">
        <f aca="false">IF(ISBLANK(RawFinancials!J218),"",RawFinancials!J218)</f>
        <v>41376</v>
      </c>
      <c r="K218" s="0" t="n">
        <f aca="false">IF(ISBLANK(RawFinancials!K218),"",RawFinancials!K218)</f>
        <v>2300</v>
      </c>
      <c r="L218" s="0" t="n">
        <f aca="false">IF(ISBLANK(RawFinancials!L218),"",RawFinancials!L218)</f>
        <v>976616</v>
      </c>
      <c r="M218" s="0" t="n">
        <f aca="false">IF(ISBLANK(RawFinancials!M218),"",RawFinancials!M218)</f>
        <v>969682</v>
      </c>
      <c r="N218" s="0" t="n">
        <f aca="false">IF(ISBLANK(RawFinancials!N218),"",RawFinancials!N218)</f>
        <v>836877</v>
      </c>
      <c r="O218" s="0" t="n">
        <f aca="false">IF(ISBLANK(RawFinancials!O218),"",RawFinancials!O218)</f>
        <v>2174</v>
      </c>
      <c r="P218" s="0" t="str">
        <f aca="false">IF(ISBLANK(RawFinancials!P218),"",RawFinancials!P218)</f>
        <v>UNION BANK</v>
      </c>
      <c r="Q218" s="0" t="n">
        <f aca="false">IF(ISBLANK(RawFinancials!Q218),"",RawFinancials!Q218)</f>
        <v>0.240524423110004</v>
      </c>
      <c r="R218" s="0" t="n">
        <f aca="false">IF(ISBLANK(RawFinancials!R218),"",RawFinancials!R218)</f>
        <v>3.20763847247988</v>
      </c>
      <c r="S218" s="0" t="n">
        <f aca="false">IF(ISBLANK(RawFinancials!S218),"",RawFinancials!S218)</f>
        <v>0</v>
      </c>
      <c r="T218" s="0" t="n">
        <f aca="false">IF(ISBLANK(RawFinancials!T218),"",RawFinancials!T218)</f>
        <v>1202</v>
      </c>
      <c r="U218" s="0" t="n">
        <f aca="false">IF(ISBLANK(RawFinancials!U218),"",RawFinancials!U218)</f>
        <v>175</v>
      </c>
      <c r="V218" s="0" t="n">
        <f aca="false">IF(ISBLANK(RawFinancials!V218),"",RawFinancials!V218)</f>
        <v>13.6817856840481</v>
      </c>
      <c r="W218" s="0" t="n">
        <f aca="false">IF(ISBLANK(RawFinancials!W218),"",RawFinancials!W218)</f>
        <v>20230331</v>
      </c>
      <c r="X218" s="0" t="n">
        <f aca="false">IF(ISBLANK(RawFinancials!X218),"",RawFinancials!X218)</f>
        <v>0.950553779137124</v>
      </c>
      <c r="Y218" s="0" t="n">
        <f aca="false">IF(ISBLANK(RawFinancials!Y218),"",RawFinancials!Y218)</f>
        <v>17.35</v>
      </c>
      <c r="Z218" s="0" t="str">
        <f aca="false">IF(ISBLANK(RawFinancials!Z218),"",RawFinancials!Z218)</f>
        <v>VT</v>
      </c>
      <c r="AA218" s="0" t="n">
        <f aca="false">RawFinancials!AA218</f>
        <v>1</v>
      </c>
      <c r="AB218" s="0" t="n">
        <f aca="false">RawFinancials!AB218</f>
        <v>2349</v>
      </c>
      <c r="AC218" s="0" t="n">
        <f aca="false">RawFinancials!AC218</f>
        <v>0.172519400170096</v>
      </c>
      <c r="AD218" s="0" t="n">
        <f aca="false">IF(L218&gt;0,100*N218/L218,"")</f>
        <v>85.691510276301</v>
      </c>
      <c r="AE218" s="0" t="n">
        <f aca="false">IF(B218&gt;0,100*F218/B218,"")</f>
        <v>5.631961550721</v>
      </c>
      <c r="AF218" s="0" t="str">
        <f aca="false">RawFinancials!AE218</f>
        <v/>
      </c>
    </row>
    <row r="219" customFormat="false" ht="15" hidden="false" customHeight="false" outlineLevel="0" collapsed="false">
      <c r="A219" s="0" t="n">
        <f aca="false">IF(ISBLANK(RawFinancials!A219),"",RawFinancials!A219)</f>
        <v>219</v>
      </c>
      <c r="B219" s="0" t="n">
        <f aca="false">IF(ISBLANK(RawFinancials!B219),"",RawFinancials!B219)</f>
        <v>356091</v>
      </c>
      <c r="C219" s="0" t="n">
        <f aca="false">IF(ISBLANK(RawFinancials!C219),"",RawFinancials!C219)</f>
        <v>14168</v>
      </c>
      <c r="D219" s="0" t="n">
        <f aca="false">IF(ISBLANK(RawFinancials!D219),"",RawFinancials!D219)</f>
        <v>318086</v>
      </c>
      <c r="E219" s="0" t="n">
        <f aca="false">IF(ISBLANK(RawFinancials!E219),"",RawFinancials!E219)</f>
        <v>0.08</v>
      </c>
      <c r="F219" s="0" t="n">
        <f aca="false">IF(ISBLANK(RawFinancials!F219),"",RawFinancials!F219)</f>
        <v>33166</v>
      </c>
      <c r="G219" s="0" t="n">
        <f aca="false">IF(ISBLANK(RawFinancials!G219),"",RawFinancials!G219)</f>
        <v>9.31391133165399</v>
      </c>
      <c r="H219" s="0" t="str">
        <f aca="false">IF(ISBLANK(RawFinancials!H219),"",RawFinancials!H219)</f>
        <v>14168_20230331</v>
      </c>
      <c r="I219" s="0" t="n">
        <f aca="false">IF(ISBLANK(RawFinancials!I219),"",RawFinancials!I219)</f>
        <v>1.51664848311739</v>
      </c>
      <c r="J219" s="0" t="n">
        <f aca="false">IF(ISBLANK(RawFinancials!J219),"",RawFinancials!J219)</f>
        <v>11681</v>
      </c>
      <c r="K219" s="0" t="n">
        <f aca="false">IF(ISBLANK(RawFinancials!K219),"",RawFinancials!K219)</f>
        <v>9179</v>
      </c>
      <c r="L219" s="0" t="n">
        <f aca="false">IF(ISBLANK(RawFinancials!L219),"",RawFinancials!L219)</f>
        <v>213563</v>
      </c>
      <c r="M219" s="0" t="n">
        <f aca="false">IF(ISBLANK(RawFinancials!M219),"",RawFinancials!M219)</f>
        <v>210324</v>
      </c>
      <c r="N219" s="0" t="n">
        <f aca="false">IF(ISBLANK(RawFinancials!N219),"",RawFinancials!N219)</f>
        <v>178006</v>
      </c>
      <c r="O219" s="0" t="n">
        <f aca="false">IF(ISBLANK(RawFinancials!O219),"",RawFinancials!O219)</f>
        <v>977</v>
      </c>
      <c r="P219" s="0" t="str">
        <f aca="false">IF(ISBLANK(RawFinancials!P219),"",RawFinancials!P219)</f>
        <v>PEOPLES TRUST COMPANY OF ST. ALBANS</v>
      </c>
      <c r="Q219" s="0" t="n">
        <f aca="false">IF(ISBLANK(RawFinancials!Q219),"",RawFinancials!Q219)</f>
        <v>0.457476248226519</v>
      </c>
      <c r="R219" s="0" t="n">
        <f aca="false">IF(ISBLANK(RawFinancials!R219),"",RawFinancials!R219)</f>
        <v>3.74117535947867</v>
      </c>
      <c r="S219" s="0" t="n">
        <f aca="false">IF(ISBLANK(RawFinancials!S219),"",RawFinancials!S219)</f>
        <v>1</v>
      </c>
      <c r="T219" s="0" t="n">
        <f aca="false">IF(ISBLANK(RawFinancials!T219),"",RawFinancials!T219)</f>
        <v>232</v>
      </c>
      <c r="U219" s="0" t="n">
        <f aca="false">IF(ISBLANK(RawFinancials!U219),"",RawFinancials!U219)</f>
        <v>0</v>
      </c>
      <c r="V219" s="0" t="n">
        <f aca="false">IF(ISBLANK(RawFinancials!V219),"",RawFinancials!V219)</f>
        <v>17.5009100837277</v>
      </c>
      <c r="W219" s="0" t="n">
        <f aca="false">IF(ISBLANK(RawFinancials!W219),"",RawFinancials!W219)</f>
        <v>20230331</v>
      </c>
      <c r="X219" s="0" t="n">
        <f aca="false">IF(ISBLANK(RawFinancials!X219),"",RawFinancials!X219)</f>
        <v>0.78798488592015</v>
      </c>
      <c r="Y219" s="0" t="n">
        <f aca="false">IF(ISBLANK(RawFinancials!Y219),"",RawFinancials!Y219)</f>
        <v>8.79</v>
      </c>
      <c r="Z219" s="0" t="str">
        <f aca="false">IF(ISBLANK(RawFinancials!Z219),"",RawFinancials!Z219)</f>
        <v>VT</v>
      </c>
      <c r="AA219" s="0" t="n">
        <f aca="false">RawFinancials!AA219</f>
        <v>1</v>
      </c>
      <c r="AB219" s="0" t="n">
        <f aca="false">RawFinancials!AB219</f>
        <v>977</v>
      </c>
      <c r="AC219" s="0" t="n">
        <f aca="false">RawFinancials!AC219</f>
        <v>0.274368068836337</v>
      </c>
      <c r="AD219" s="0" t="n">
        <f aca="false">IF(L219&gt;0,100*N219/L219,"")</f>
        <v>83.350580390798</v>
      </c>
      <c r="AE219" s="0" t="n">
        <f aca="false">IF(B219&gt;0,100*F219/B219,"")</f>
        <v>9.31391133165399</v>
      </c>
      <c r="AF219" s="0" t="str">
        <f aca="false">RawFinancials!AE219</f>
        <v/>
      </c>
    </row>
    <row r="220" customFormat="false" ht="15" hidden="false" customHeight="false" outlineLevel="0" collapsed="false">
      <c r="A220" s="0" t="n">
        <f aca="false">IF(ISBLANK(RawFinancials!A220),"",RawFinancials!A220)</f>
        <v>220</v>
      </c>
      <c r="B220" s="0" t="n">
        <f aca="false">IF(ISBLANK(RawFinancials!B220),"",RawFinancials!B220)</f>
        <v>1364518</v>
      </c>
      <c r="C220" s="0" t="n">
        <f aca="false">IF(ISBLANK(RawFinancials!C220),"",RawFinancials!C220)</f>
        <v>14240</v>
      </c>
      <c r="D220" s="0" t="n">
        <f aca="false">IF(ISBLANK(RawFinancials!D220),"",RawFinancials!D220)</f>
        <v>1019790</v>
      </c>
      <c r="E220" s="0" t="n">
        <f aca="false">IF(ISBLANK(RawFinancials!E220),"",RawFinancials!E220)</f>
        <v>0</v>
      </c>
      <c r="F220" s="0" t="n">
        <f aca="false">IF(ISBLANK(RawFinancials!F220),"",RawFinancials!F220)</f>
        <v>86202</v>
      </c>
      <c r="G220" s="0" t="n">
        <f aca="false">IF(ISBLANK(RawFinancials!G220),"",RawFinancials!G220)</f>
        <v>6.31739559316916</v>
      </c>
      <c r="H220" s="0" t="str">
        <f aca="false">IF(ISBLANK(RawFinancials!H220),"",RawFinancials!H220)</f>
        <v>14240_20230331</v>
      </c>
      <c r="I220" s="0" t="n">
        <f aca="false">IF(ISBLANK(RawFinancials!I220),"",RawFinancials!I220)</f>
        <v>1.1672668570719</v>
      </c>
      <c r="J220" s="0" t="n">
        <f aca="false">IF(ISBLANK(RawFinancials!J220),"",RawFinancials!J220)</f>
        <v>24984</v>
      </c>
      <c r="K220" s="0" t="n">
        <f aca="false">IF(ISBLANK(RawFinancials!K220),"",RawFinancials!K220)</f>
        <v>17932</v>
      </c>
      <c r="L220" s="0" t="n">
        <f aca="false">IF(ISBLANK(RawFinancials!L220),"",RawFinancials!L220)</f>
        <v>950254</v>
      </c>
      <c r="M220" s="0" t="n">
        <f aca="false">IF(ISBLANK(RawFinancials!M220),"",RawFinancials!M220)</f>
        <v>939162</v>
      </c>
      <c r="N220" s="0" t="n">
        <f aca="false">IF(ISBLANK(RawFinancials!N220),"",RawFinancials!N220)</f>
        <v>832225</v>
      </c>
      <c r="O220" s="0" t="n">
        <f aca="false">IF(ISBLANK(RawFinancials!O220),"",RawFinancials!O220)</f>
        <v>2251</v>
      </c>
      <c r="P220" s="0" t="str">
        <f aca="false">IF(ISBLANK(RawFinancials!P220),"",RawFinancials!P220)</f>
        <v>NORTHWAY BANK</v>
      </c>
      <c r="Q220" s="0" t="n">
        <f aca="false">IF(ISBLANK(RawFinancials!Q220),"",RawFinancials!Q220)</f>
        <v>0.236884033111147</v>
      </c>
      <c r="R220" s="0" t="n">
        <f aca="false">IF(ISBLANK(RawFinancials!R220),"",RawFinancials!R220)</f>
        <v>2.9700610541535</v>
      </c>
      <c r="S220" s="0" t="n">
        <f aca="false">IF(ISBLANK(RawFinancials!S220),"",RawFinancials!S220)</f>
        <v>26</v>
      </c>
      <c r="T220" s="0" t="n">
        <f aca="false">IF(ISBLANK(RawFinancials!T220),"",RawFinancials!T220)</f>
        <v>2644</v>
      </c>
      <c r="U220" s="0" t="n">
        <f aca="false">IF(ISBLANK(RawFinancials!U220),"",RawFinancials!U220)</f>
        <v>0</v>
      </c>
      <c r="V220" s="0" t="n">
        <f aca="false">IF(ISBLANK(RawFinancials!V220),"",RawFinancials!V220)</f>
        <v>14.7648949355952</v>
      </c>
      <c r="W220" s="0" t="n">
        <f aca="false">IF(ISBLANK(RawFinancials!W220),"",RawFinancials!W220)</f>
        <v>20230331</v>
      </c>
      <c r="X220" s="0" t="n">
        <f aca="false">IF(ISBLANK(RawFinancials!X220),"",RawFinancials!X220)</f>
        <v>0.441424322134583</v>
      </c>
      <c r="Y220" s="0" t="n">
        <f aca="false">IF(ISBLANK(RawFinancials!Y220),"",RawFinancials!Y220)</f>
        <v>7.03</v>
      </c>
      <c r="Z220" s="0" t="str">
        <f aca="false">IF(ISBLANK(RawFinancials!Z220),"",RawFinancials!Z220)</f>
        <v>NH</v>
      </c>
      <c r="AA220" s="0" t="n">
        <f aca="false">RawFinancials!AA220</f>
        <v>1</v>
      </c>
      <c r="AB220" s="0" t="n">
        <f aca="false">RawFinancials!AB220</f>
        <v>2251</v>
      </c>
      <c r="AC220" s="0" t="n">
        <f aca="false">RawFinancials!AC220</f>
        <v>0.164966676877843</v>
      </c>
      <c r="AD220" s="0" t="n">
        <f aca="false">IF(L220&gt;0,100*N220/L220,"")</f>
        <v>87.5792156623387</v>
      </c>
      <c r="AE220" s="0" t="n">
        <f aca="false">IF(B220&gt;0,100*F220/B220,"")</f>
        <v>6.31739559316916</v>
      </c>
      <c r="AF220" s="0" t="str">
        <f aca="false">RawFinancials!AE220</f>
        <v/>
      </c>
    </row>
    <row r="221" customFormat="false" ht="15" hidden="false" customHeight="false" outlineLevel="0" collapsed="false">
      <c r="A221" s="0" t="n">
        <f aca="false">IF(ISBLANK(RawFinancials!A221),"",RawFinancials!A221)</f>
        <v>221</v>
      </c>
      <c r="B221" s="0" t="n">
        <f aca="false">IF(ISBLANK(RawFinancials!B221),"",RawFinancials!B221)</f>
        <v>1044604</v>
      </c>
      <c r="C221" s="0" t="n">
        <f aca="false">IF(ISBLANK(RawFinancials!C221),"",RawFinancials!C221)</f>
        <v>17115</v>
      </c>
      <c r="D221" s="0" t="n">
        <f aca="false">IF(ISBLANK(RawFinancials!D221),"",RawFinancials!D221)</f>
        <v>888210</v>
      </c>
      <c r="E221" s="0" t="n">
        <f aca="false">IF(ISBLANK(RawFinancials!E221),"",RawFinancials!E221)</f>
        <v>0.03</v>
      </c>
      <c r="F221" s="0" t="n">
        <f aca="false">IF(ISBLANK(RawFinancials!F221),"",RawFinancials!F221)</f>
        <v>82605</v>
      </c>
      <c r="G221" s="0" t="n">
        <f aca="false">IF(ISBLANK(RawFinancials!G221),"",RawFinancials!G221)</f>
        <v>7.90778132191721</v>
      </c>
      <c r="H221" s="0" t="str">
        <f aca="false">IF(ISBLANK(RawFinancials!H221),"",RawFinancials!H221)</f>
        <v>17115_20230331</v>
      </c>
      <c r="I221" s="0" t="n">
        <f aca="false">IF(ISBLANK(RawFinancials!I221),"",RawFinancials!I221)</f>
        <v>1.0281384652739</v>
      </c>
      <c r="J221" s="0" t="n">
        <f aca="false">IF(ISBLANK(RawFinancials!J221),"",RawFinancials!J221)</f>
        <v>41130</v>
      </c>
      <c r="K221" s="0" t="n">
        <f aca="false">IF(ISBLANK(RawFinancials!K221),"",RawFinancials!K221)</f>
        <v>4630</v>
      </c>
      <c r="L221" s="0" t="n">
        <f aca="false">IF(ISBLANK(RawFinancials!L221),"",RawFinancials!L221)</f>
        <v>860779</v>
      </c>
      <c r="M221" s="0" t="n">
        <f aca="false">IF(ISBLANK(RawFinancials!M221),"",RawFinancials!M221)</f>
        <v>851929</v>
      </c>
      <c r="N221" s="0" t="n">
        <f aca="false">IF(ISBLANK(RawFinancials!N221),"",RawFinancials!N221)</f>
        <v>814065</v>
      </c>
      <c r="O221" s="0" t="n">
        <f aca="false">IF(ISBLANK(RawFinancials!O221),"",RawFinancials!O221)</f>
        <v>259</v>
      </c>
      <c r="P221" s="0" t="str">
        <f aca="false">IF(ISBLANK(RawFinancials!P221),"",RawFinancials!P221)</f>
        <v>PARTNERS BANK OF NEW ENGLAND</v>
      </c>
      <c r="Q221" s="0" t="n">
        <f aca="false">IF(ISBLANK(RawFinancials!Q221),"",RawFinancials!Q221)</f>
        <v>0.0300890240119705</v>
      </c>
      <c r="R221" s="0" t="n">
        <f aca="false">IF(ISBLANK(RawFinancials!R221),"",RawFinancials!R221)</f>
        <v>3.14233773367192</v>
      </c>
      <c r="S221" s="0" t="n">
        <f aca="false">IF(ISBLANK(RawFinancials!S221),"",RawFinancials!S221)</f>
        <v>7</v>
      </c>
      <c r="T221" s="0" t="n">
        <f aca="false">IF(ISBLANK(RawFinancials!T221),"",RawFinancials!T221)</f>
        <v>37</v>
      </c>
      <c r="U221" s="0" t="n">
        <f aca="false">IF(ISBLANK(RawFinancials!U221),"",RawFinancials!U221)</f>
        <v>0</v>
      </c>
      <c r="V221" s="0" t="n">
        <f aca="false">IF(ISBLANK(RawFinancials!V221),"",RawFinancials!V221)</f>
        <v>13.626834654189</v>
      </c>
      <c r="W221" s="0" t="n">
        <f aca="false">IF(ISBLANK(RawFinancials!W221),"",RawFinancials!W221)</f>
        <v>20230331</v>
      </c>
      <c r="X221" s="0" t="n">
        <f aca="false">IF(ISBLANK(RawFinancials!X221),"",RawFinancials!X221)</f>
        <v>0.694447494119008</v>
      </c>
      <c r="Y221" s="0" t="n">
        <f aca="false">IF(ISBLANK(RawFinancials!Y221),"",RawFinancials!Y221)</f>
        <v>8.83</v>
      </c>
      <c r="Z221" s="0" t="str">
        <f aca="false">IF(ISBLANK(RawFinancials!Z221),"",RawFinancials!Z221)</f>
        <v>ME</v>
      </c>
      <c r="AA221" s="0" t="n">
        <f aca="false">RawFinancials!AA221</f>
        <v>1</v>
      </c>
      <c r="AB221" s="0" t="n">
        <f aca="false">RawFinancials!AB221</f>
        <v>259</v>
      </c>
      <c r="AC221" s="0" t="n">
        <f aca="false">RawFinancials!AC221</f>
        <v>0.0247940846483452</v>
      </c>
      <c r="AD221" s="0" t="n">
        <f aca="false">IF(L221&gt;0,100*N221/L221,"")</f>
        <v>94.5730553370842</v>
      </c>
      <c r="AE221" s="0" t="n">
        <f aca="false">IF(B221&gt;0,100*F221/B221,"")</f>
        <v>7.90778132191721</v>
      </c>
      <c r="AF221" s="0" t="str">
        <f aca="false">RawFinancials!AE221</f>
        <v/>
      </c>
    </row>
    <row r="222" customFormat="false" ht="15" hidden="false" customHeight="false" outlineLevel="0" collapsed="false">
      <c r="A222" s="0" t="n">
        <f aca="false">IF(ISBLANK(RawFinancials!A222),"",RawFinancials!A222)</f>
        <v>222</v>
      </c>
      <c r="B222" s="0" t="n">
        <f aca="false">IF(ISBLANK(RawFinancials!B222),"",RawFinancials!B222)</f>
        <v>1570158</v>
      </c>
      <c r="C222" s="0" t="n">
        <f aca="false">IF(ISBLANK(RawFinancials!C222),"",RawFinancials!C222)</f>
        <v>17180</v>
      </c>
      <c r="D222" s="0" t="n">
        <f aca="false">IF(ISBLANK(RawFinancials!D222),"",RawFinancials!D222)</f>
        <v>1147694</v>
      </c>
      <c r="E222" s="0" t="n">
        <f aca="false">IF(ISBLANK(RawFinancials!E222),"",RawFinancials!E222)</f>
        <v>0.11</v>
      </c>
      <c r="F222" s="0" t="n">
        <f aca="false">IF(ISBLANK(RawFinancials!F222),"",RawFinancials!F222)</f>
        <v>131076</v>
      </c>
      <c r="G222" s="0" t="n">
        <f aca="false">IF(ISBLANK(RawFinancials!G222),"",RawFinancials!G222)</f>
        <v>8.34794969678211</v>
      </c>
      <c r="H222" s="0" t="str">
        <f aca="false">IF(ISBLANK(RawFinancials!H222),"",RawFinancials!H222)</f>
        <v>17180_20230331</v>
      </c>
      <c r="I222" s="0" t="n">
        <f aca="false">IF(ISBLANK(RawFinancials!I222),"",RawFinancials!I222)</f>
        <v>0.942880578148849</v>
      </c>
      <c r="J222" s="0" t="n">
        <f aca="false">IF(ISBLANK(RawFinancials!J222),"",RawFinancials!J222)</f>
        <v>49856</v>
      </c>
      <c r="K222" s="0" t="n">
        <f aca="false">IF(ISBLANK(RawFinancials!K222),"",RawFinancials!K222)</f>
        <v>201536</v>
      </c>
      <c r="L222" s="0" t="n">
        <f aca="false">IF(ISBLANK(RawFinancials!L222),"",RawFinancials!L222)</f>
        <v>1410571</v>
      </c>
      <c r="M222" s="0" t="n">
        <f aca="false">IF(ISBLANK(RawFinancials!M222),"",RawFinancials!M222)</f>
        <v>1397271</v>
      </c>
      <c r="N222" s="0" t="n">
        <f aca="false">IF(ISBLANK(RawFinancials!N222),"",RawFinancials!N222)</f>
        <v>1135680</v>
      </c>
      <c r="O222" s="0" t="n">
        <f aca="false">IF(ISBLANK(RawFinancials!O222),"",RawFinancials!O222)</f>
        <v>4701</v>
      </c>
      <c r="P222" s="0" t="str">
        <f aca="false">IF(ISBLANK(RawFinancials!P222),"",RawFinancials!P222)</f>
        <v>MEREDITH VILLAGE SAVINGS BANK</v>
      </c>
      <c r="Q222" s="0" t="n">
        <f aca="false">IF(ISBLANK(RawFinancials!Q222),"",RawFinancials!Q222)</f>
        <v>0.333269293073514</v>
      </c>
      <c r="R222" s="0" t="n">
        <f aca="false">IF(ISBLANK(RawFinancials!R222),"",RawFinancials!R222)</f>
        <v>3.04575475622422</v>
      </c>
      <c r="S222" s="0" t="n">
        <f aca="false">IF(ISBLANK(RawFinancials!S222),"",RawFinancials!S222)</f>
        <v>72</v>
      </c>
      <c r="T222" s="0" t="n">
        <f aca="false">IF(ISBLANK(RawFinancials!T222),"",RawFinancials!T222)</f>
        <v>1615</v>
      </c>
      <c r="U222" s="0" t="n">
        <f aca="false">IF(ISBLANK(RawFinancials!U222),"",RawFinancials!U222)</f>
        <v>0</v>
      </c>
      <c r="V222" s="0" t="n">
        <f aca="false">IF(ISBLANK(RawFinancials!V222),"",RawFinancials!V222)</f>
        <v>13.7737837295927</v>
      </c>
      <c r="W222" s="0" t="n">
        <f aca="false">IF(ISBLANK(RawFinancials!W222),"",RawFinancials!W222)</f>
        <v>20230331</v>
      </c>
      <c r="X222" s="0" t="n">
        <f aca="false">IF(ISBLANK(RawFinancials!X222),"",RawFinancials!X222)</f>
        <v>0.508991402284762</v>
      </c>
      <c r="Y222" s="0" t="n">
        <f aca="false">IF(ISBLANK(RawFinancials!Y222),"",RawFinancials!Y222)</f>
        <v>6.14</v>
      </c>
      <c r="Z222" s="0" t="str">
        <f aca="false">IF(ISBLANK(RawFinancials!Z222),"",RawFinancials!Z222)</f>
        <v>NH</v>
      </c>
      <c r="AA222" s="0" t="n">
        <f aca="false">RawFinancials!AA222</f>
        <v>1</v>
      </c>
      <c r="AB222" s="0" t="n">
        <f aca="false">RawFinancials!AB222</f>
        <v>4701</v>
      </c>
      <c r="AC222" s="0" t="n">
        <f aca="false">RawFinancials!AC222</f>
        <v>0.299396621231749</v>
      </c>
      <c r="AD222" s="0" t="n">
        <f aca="false">IF(L222&gt;0,100*N222/L222,"")</f>
        <v>80.5120763151944</v>
      </c>
      <c r="AE222" s="0" t="n">
        <f aca="false">IF(B222&gt;0,100*F222/B222,"")</f>
        <v>8.34794969678211</v>
      </c>
      <c r="AF222" s="0" t="str">
        <f aca="false">RawFinancials!AE222</f>
        <v/>
      </c>
    </row>
    <row r="223" customFormat="false" ht="15" hidden="false" customHeight="false" outlineLevel="0" collapsed="false">
      <c r="A223" s="0" t="n">
        <f aca="false">IF(ISBLANK(RawFinancials!A223),"",RawFinancials!A223)</f>
        <v>223</v>
      </c>
      <c r="B223" s="0" t="n">
        <f aca="false">IF(ISBLANK(RawFinancials!B223),"",RawFinancials!B223)</f>
        <v>371402</v>
      </c>
      <c r="C223" s="0" t="n">
        <f aca="false">IF(ISBLANK(RawFinancials!C223),"",RawFinancials!C223)</f>
        <v>17443</v>
      </c>
      <c r="D223" s="0" t="n">
        <f aca="false">IF(ISBLANK(RawFinancials!D223),"",RawFinancials!D223)</f>
        <v>330910</v>
      </c>
      <c r="E223" s="0" t="n">
        <f aca="false">IF(ISBLANK(RawFinancials!E223),"",RawFinancials!E223)</f>
        <v>0.04</v>
      </c>
      <c r="F223" s="0" t="n">
        <f aca="false">IF(ISBLANK(RawFinancials!F223),"",RawFinancials!F223)</f>
        <v>39228</v>
      </c>
      <c r="G223" s="0" t="n">
        <f aca="false">IF(ISBLANK(RawFinancials!G223),"",RawFinancials!G223)</f>
        <v>10.5621402146461</v>
      </c>
      <c r="H223" s="0" t="str">
        <f aca="false">IF(ISBLANK(RawFinancials!H223),"",RawFinancials!H223)</f>
        <v>17443_20230331</v>
      </c>
      <c r="I223" s="0" t="n">
        <f aca="false">IF(ISBLANK(RawFinancials!I223),"",RawFinancials!I223)</f>
        <v>0.829746234744845</v>
      </c>
      <c r="J223" s="0" t="n">
        <f aca="false">IF(ISBLANK(RawFinancials!J223),"",RawFinancials!J223)</f>
        <v>0</v>
      </c>
      <c r="K223" s="0" t="n">
        <f aca="false">IF(ISBLANK(RawFinancials!K223),"",RawFinancials!K223)</f>
        <v>927</v>
      </c>
      <c r="L223" s="0" t="n">
        <f aca="false">IF(ISBLANK(RawFinancials!L223),"",RawFinancials!L223)</f>
        <v>208618</v>
      </c>
      <c r="M223" s="0" t="n">
        <f aca="false">IF(ISBLANK(RawFinancials!M223),"",RawFinancials!M223)</f>
        <v>206887</v>
      </c>
      <c r="N223" s="0" t="n">
        <f aca="false">IF(ISBLANK(RawFinancials!N223),"",RawFinancials!N223)</f>
        <v>206692</v>
      </c>
      <c r="O223" s="0" t="n">
        <f aca="false">IF(ISBLANK(RawFinancials!O223),"",RawFinancials!O223)</f>
        <v>250</v>
      </c>
      <c r="P223" s="0" t="str">
        <f aca="false">IF(ISBLANK(RawFinancials!P223),"",RawFinancials!P223)</f>
        <v>PISCATAQUA SAVINGS BANK</v>
      </c>
      <c r="Q223" s="0" t="n">
        <f aca="false">IF(ISBLANK(RawFinancials!Q223),"",RawFinancials!Q223)</f>
        <v>0.119836255740157</v>
      </c>
      <c r="R223" s="0" t="n">
        <f aca="false">IF(ISBLANK(RawFinancials!R223),"",RawFinancials!R223)</f>
        <v>1.74122890578543</v>
      </c>
      <c r="S223" s="0" t="n">
        <f aca="false">IF(ISBLANK(RawFinancials!S223),"",RawFinancials!S223)</f>
        <v>0</v>
      </c>
      <c r="T223" s="0" t="n">
        <f aca="false">IF(ISBLANK(RawFinancials!T223),"",RawFinancials!T223)</f>
        <v>520</v>
      </c>
      <c r="U223" s="0" t="n">
        <f aca="false">IF(ISBLANK(RawFinancials!U223),"",RawFinancials!U223)</f>
        <v>0</v>
      </c>
      <c r="V223" s="0" t="n">
        <f aca="false">IF(ISBLANK(RawFinancials!V223),"",RawFinancials!V223)</f>
        <v>0</v>
      </c>
      <c r="W223" s="0" t="n">
        <f aca="false">IF(ISBLANK(RawFinancials!W223),"",RawFinancials!W223)</f>
        <v>20230331</v>
      </c>
      <c r="X223" s="0" t="n">
        <f aca="false">IF(ISBLANK(RawFinancials!X223),"",RawFinancials!X223)</f>
        <v>0.103141153187208</v>
      </c>
      <c r="Y223" s="0" t="n">
        <f aca="false">IF(ISBLANK(RawFinancials!Y223),"",RawFinancials!Y223)</f>
        <v>1</v>
      </c>
      <c r="Z223" s="0" t="str">
        <f aca="false">IF(ISBLANK(RawFinancials!Z223),"",RawFinancials!Z223)</f>
        <v>NH</v>
      </c>
      <c r="AA223" s="0" t="n">
        <f aca="false">RawFinancials!AA223</f>
        <v>1</v>
      </c>
      <c r="AB223" s="0" t="n">
        <f aca="false">RawFinancials!AB223</f>
        <v>250</v>
      </c>
      <c r="AC223" s="0" t="n">
        <f aca="false">RawFinancials!AC223</f>
        <v>0.0673125077409384</v>
      </c>
      <c r="AD223" s="0" t="n">
        <f aca="false">IF(L223&gt;0,100*N223/L223,"")</f>
        <v>99.0767814857778</v>
      </c>
      <c r="AE223" s="0" t="n">
        <f aca="false">IF(B223&gt;0,100*F223/B223,"")</f>
        <v>10.5621402146461</v>
      </c>
      <c r="AF223" s="0" t="str">
        <f aca="false">RawFinancials!AE223</f>
        <v>原始0：需核实适用/报告口径</v>
      </c>
    </row>
    <row r="224" customFormat="false" ht="15" hidden="false" customHeight="false" outlineLevel="0" collapsed="false">
      <c r="A224" s="0" t="n">
        <f aca="false">IF(ISBLANK(RawFinancials!A224),"",RawFinancials!A224)</f>
        <v>224</v>
      </c>
      <c r="B224" s="0" t="n">
        <f aca="false">IF(ISBLANK(RawFinancials!B224),"",RawFinancials!B224)</f>
        <v>1830565</v>
      </c>
      <c r="C224" s="0" t="n">
        <f aca="false">IF(ISBLANK(RawFinancials!C224),"",RawFinancials!C224)</f>
        <v>17658</v>
      </c>
      <c r="D224" s="0" t="n">
        <f aca="false">IF(ISBLANK(RawFinancials!D224),"",RawFinancials!D224)</f>
        <v>1563995</v>
      </c>
      <c r="E224" s="0" t="n">
        <f aca="false">IF(ISBLANK(RawFinancials!E224),"",RawFinancials!E224)</f>
        <v>0.02</v>
      </c>
      <c r="F224" s="0" t="n">
        <f aca="false">IF(ISBLANK(RawFinancials!F224),"",RawFinancials!F224)</f>
        <v>199630</v>
      </c>
      <c r="G224" s="0" t="n">
        <f aca="false">IF(ISBLANK(RawFinancials!G224),"",RawFinancials!G224)</f>
        <v>10.9053762089847</v>
      </c>
      <c r="H224" s="0" t="str">
        <f aca="false">IF(ISBLANK(RawFinancials!H224),"",RawFinancials!H224)</f>
        <v>17658_20230331</v>
      </c>
      <c r="I224" s="0" t="n">
        <f aca="false">IF(ISBLANK(RawFinancials!I224),"",RawFinancials!I224)</f>
        <v>0.603288542624123</v>
      </c>
      <c r="J224" s="0" t="n">
        <f aca="false">IF(ISBLANK(RawFinancials!J224),"",RawFinancials!J224)</f>
        <v>89661</v>
      </c>
      <c r="K224" s="0" t="n">
        <f aca="false">IF(ISBLANK(RawFinancials!K224),"",RawFinancials!K224)</f>
        <v>67833</v>
      </c>
      <c r="L224" s="0" t="n">
        <f aca="false">IF(ISBLANK(RawFinancials!L224),"",RawFinancials!L224)</f>
        <v>1233738</v>
      </c>
      <c r="M224" s="0" t="n">
        <f aca="false">IF(ISBLANK(RawFinancials!M224),"",RawFinancials!M224)</f>
        <v>1226295</v>
      </c>
      <c r="N224" s="0" t="n">
        <f aca="false">IF(ISBLANK(RawFinancials!N224),"",RawFinancials!N224)</f>
        <v>1063253</v>
      </c>
      <c r="O224" s="0" t="n">
        <f aca="false">IF(ISBLANK(RawFinancials!O224),"",RawFinancials!O224)</f>
        <v>672</v>
      </c>
      <c r="P224" s="0" t="str">
        <f aca="false">IF(ISBLANK(RawFinancials!P224),"",RawFinancials!P224)</f>
        <v>NORWAY SAVINGS BANK</v>
      </c>
      <c r="Q224" s="0" t="n">
        <f aca="false">IF(ISBLANK(RawFinancials!Q224),"",RawFinancials!Q224)</f>
        <v>0.0544686148923029</v>
      </c>
      <c r="R224" s="0" t="n">
        <f aca="false">IF(ISBLANK(RawFinancials!R224),"",RawFinancials!R224)</f>
        <v>3.49825185127277</v>
      </c>
      <c r="S224" s="0" t="n">
        <f aca="false">IF(ISBLANK(RawFinancials!S224),"",RawFinancials!S224)</f>
        <v>-7</v>
      </c>
      <c r="T224" s="0" t="n">
        <f aca="false">IF(ISBLANK(RawFinancials!T224),"",RawFinancials!T224)</f>
        <v>1867</v>
      </c>
      <c r="U224" s="0" t="n">
        <f aca="false">IF(ISBLANK(RawFinancials!U224),"",RawFinancials!U224)</f>
        <v>0</v>
      </c>
      <c r="V224" s="0" t="n">
        <f aca="false">IF(ISBLANK(RawFinancials!V224),"",RawFinancials!V224)</f>
        <v>0</v>
      </c>
      <c r="W224" s="0" t="n">
        <f aca="false">IF(ISBLANK(RawFinancials!W224),"",RawFinancials!W224)</f>
        <v>20230331</v>
      </c>
      <c r="X224" s="0" t="n">
        <f aca="false">IF(ISBLANK(RawFinancials!X224),"",RawFinancials!X224)</f>
        <v>1.0847005861763</v>
      </c>
      <c r="Y224" s="0" t="n">
        <f aca="false">IF(ISBLANK(RawFinancials!Y224),"",RawFinancials!Y224)</f>
        <v>10.15</v>
      </c>
      <c r="Z224" s="0" t="str">
        <f aca="false">IF(ISBLANK(RawFinancials!Z224),"",RawFinancials!Z224)</f>
        <v>ME</v>
      </c>
      <c r="AA224" s="0" t="n">
        <f aca="false">RawFinancials!AA224</f>
        <v>1</v>
      </c>
      <c r="AB224" s="0" t="n">
        <f aca="false">RawFinancials!AB224</f>
        <v>672</v>
      </c>
      <c r="AC224" s="0" t="n">
        <f aca="false">RawFinancials!AC224</f>
        <v>0.0367099775206016</v>
      </c>
      <c r="AD224" s="0" t="n">
        <f aca="false">IF(L224&gt;0,100*N224/L224,"")</f>
        <v>86.1814258781038</v>
      </c>
      <c r="AE224" s="0" t="n">
        <f aca="false">IF(B224&gt;0,100*F224/B224,"")</f>
        <v>10.9053762089847</v>
      </c>
      <c r="AF224" s="0" t="str">
        <f aca="false">RawFinancials!AE224</f>
        <v>原始0：需核实适用/报告口径</v>
      </c>
    </row>
    <row r="225" customFormat="false" ht="15" hidden="false" customHeight="false" outlineLevel="0" collapsed="false">
      <c r="A225" s="0" t="n">
        <f aca="false">IF(ISBLANK(RawFinancials!A225),"",RawFinancials!A225)</f>
        <v>225</v>
      </c>
      <c r="B225" s="0" t="n">
        <f aca="false">IF(ISBLANK(RawFinancials!B225),"",RawFinancials!B225)</f>
        <v>1010266</v>
      </c>
      <c r="C225" s="0" t="n">
        <f aca="false">IF(ISBLANK(RawFinancials!C225),"",RawFinancials!C225)</f>
        <v>17741</v>
      </c>
      <c r="D225" s="0" t="n">
        <f aca="false">IF(ISBLANK(RawFinancials!D225),"",RawFinancials!D225)</f>
        <v>833199</v>
      </c>
      <c r="E225" s="0" t="n">
        <f aca="false">IF(ISBLANK(RawFinancials!E225),"",RawFinancials!E225)</f>
        <v>0.04</v>
      </c>
      <c r="F225" s="0" t="n">
        <f aca="false">IF(ISBLANK(RawFinancials!F225),"",RawFinancials!F225)</f>
        <v>132521</v>
      </c>
      <c r="G225" s="0" t="n">
        <f aca="false">IF(ISBLANK(RawFinancials!G225),"",RawFinancials!G225)</f>
        <v>13.1174363979388</v>
      </c>
      <c r="H225" s="0" t="str">
        <f aca="false">IF(ISBLANK(RawFinancials!H225),"",RawFinancials!H225)</f>
        <v>17741_20230331</v>
      </c>
      <c r="I225" s="0" t="n">
        <f aca="false">IF(ISBLANK(RawFinancials!I225),"",RawFinancials!I225)</f>
        <v>0.970167411442848</v>
      </c>
      <c r="J225" s="0" t="n">
        <f aca="false">IF(ISBLANK(RawFinancials!J225),"",RawFinancials!J225)</f>
        <v>43923</v>
      </c>
      <c r="K225" s="0" t="n">
        <f aca="false">IF(ISBLANK(RawFinancials!K225),"",RawFinancials!K225)</f>
        <v>3582</v>
      </c>
      <c r="L225" s="0" t="n">
        <f aca="false">IF(ISBLANK(RawFinancials!L225),"",RawFinancials!L225)</f>
        <v>842535</v>
      </c>
      <c r="M225" s="0" t="n">
        <f aca="false">IF(ISBLANK(RawFinancials!M225),"",RawFinancials!M225)</f>
        <v>834361</v>
      </c>
      <c r="N225" s="0" t="n">
        <f aca="false">IF(ISBLANK(RawFinancials!N225),"",RawFinancials!N225)</f>
        <v>791960</v>
      </c>
      <c r="O225" s="0" t="n">
        <f aca="false">IF(ISBLANK(RawFinancials!O225),"",RawFinancials!O225)</f>
        <v>1676</v>
      </c>
      <c r="P225" s="0" t="str">
        <f aca="false">IF(ISBLANK(RawFinancials!P225),"",RawFinancials!P225)</f>
        <v>MAINE COMMUNITY BANK</v>
      </c>
      <c r="Q225" s="0" t="n">
        <f aca="false">IF(ISBLANK(RawFinancials!Q225),"",RawFinancials!Q225)</f>
        <v>0.198923486858113</v>
      </c>
      <c r="R225" s="0" t="n">
        <f aca="false">IF(ISBLANK(RawFinancials!R225),"",RawFinancials!R225)</f>
        <v>3.62976174766622</v>
      </c>
      <c r="S225" s="0" t="n">
        <f aca="false">IF(ISBLANK(RawFinancials!S225),"",RawFinancials!S225)</f>
        <v>-2</v>
      </c>
      <c r="T225" s="0" t="n">
        <f aca="false">IF(ISBLANK(RawFinancials!T225),"",RawFinancials!T225)</f>
        <v>2512</v>
      </c>
      <c r="U225" s="0" t="n">
        <f aca="false">IF(ISBLANK(RawFinancials!U225),"",RawFinancials!U225)</f>
        <v>0</v>
      </c>
      <c r="V225" s="0" t="n">
        <f aca="false">IF(ISBLANK(RawFinancials!V225),"",RawFinancials!V225)</f>
        <v>0</v>
      </c>
      <c r="W225" s="0" t="n">
        <f aca="false">IF(ISBLANK(RawFinancials!W225),"",RawFinancials!W225)</f>
        <v>20230331</v>
      </c>
      <c r="X225" s="0" t="n">
        <f aca="false">IF(ISBLANK(RawFinancials!X225),"",RawFinancials!X225)</f>
        <v>0.783895202662623</v>
      </c>
      <c r="Y225" s="0" t="n">
        <f aca="false">IF(ISBLANK(RawFinancials!Y225),"",RawFinancials!Y225)</f>
        <v>6.01</v>
      </c>
      <c r="Z225" s="0" t="str">
        <f aca="false">IF(ISBLANK(RawFinancials!Z225),"",RawFinancials!Z225)</f>
        <v>ME</v>
      </c>
      <c r="AA225" s="0" t="n">
        <f aca="false">RawFinancials!AA225</f>
        <v>1</v>
      </c>
      <c r="AB225" s="0" t="n">
        <f aca="false">RawFinancials!AB225</f>
        <v>1676</v>
      </c>
      <c r="AC225" s="0" t="n">
        <f aca="false">RawFinancials!AC225</f>
        <v>0.165896902399962</v>
      </c>
      <c r="AD225" s="0" t="n">
        <f aca="false">IF(L225&gt;0,100*N225/L225,"")</f>
        <v>93.9972820120232</v>
      </c>
      <c r="AE225" s="0" t="n">
        <f aca="false">IF(B225&gt;0,100*F225/B225,"")</f>
        <v>13.1174363979388</v>
      </c>
      <c r="AF225" s="0" t="str">
        <f aca="false">RawFinancials!AE225</f>
        <v>原始0：需核实适用/报告口径</v>
      </c>
    </row>
    <row r="226" customFormat="false" ht="15" hidden="false" customHeight="false" outlineLevel="0" collapsed="false">
      <c r="A226" s="0" t="n">
        <f aca="false">IF(ISBLANK(RawFinancials!A226),"",RawFinancials!A226)</f>
        <v>226</v>
      </c>
      <c r="B226" s="0" t="n">
        <f aca="false">IF(ISBLANK(RawFinancials!B226),"",RawFinancials!B226)</f>
        <v>1303794</v>
      </c>
      <c r="C226" s="0" t="n">
        <f aca="false">IF(ISBLANK(RawFinancials!C226),"",RawFinancials!C226)</f>
        <v>17743</v>
      </c>
      <c r="D226" s="0" t="n">
        <f aca="false">IF(ISBLANK(RawFinancials!D226),"",RawFinancials!D226)</f>
        <v>997602</v>
      </c>
      <c r="E226" s="0" t="n">
        <f aca="false">IF(ISBLANK(RawFinancials!E226),"",RawFinancials!E226)</f>
        <v>0</v>
      </c>
      <c r="F226" s="0" t="n">
        <f aca="false">IF(ISBLANK(RawFinancials!F226),"",RawFinancials!F226)</f>
        <v>122164</v>
      </c>
      <c r="G226" s="0" t="n">
        <f aca="false">IF(ISBLANK(RawFinancials!G226),"",RawFinancials!G226)</f>
        <v>9.36988511988857</v>
      </c>
      <c r="H226" s="0" t="str">
        <f aca="false">IF(ISBLANK(RawFinancials!H226),"",RawFinancials!H226)</f>
        <v>17743_20230331</v>
      </c>
      <c r="I226" s="0" t="n">
        <f aca="false">IF(ISBLANK(RawFinancials!I226),"",RawFinancials!I226)</f>
        <v>0.466605826578003</v>
      </c>
      <c r="J226" s="0" t="n">
        <f aca="false">IF(ISBLANK(RawFinancials!J226),"",RawFinancials!J226)</f>
        <v>10295</v>
      </c>
      <c r="K226" s="0" t="n">
        <f aca="false">IF(ISBLANK(RawFinancials!K226),"",RawFinancials!K226)</f>
        <v>7106</v>
      </c>
      <c r="L226" s="0" t="n">
        <f aca="false">IF(ISBLANK(RawFinancials!L226),"",RawFinancials!L226)</f>
        <v>1009203</v>
      </c>
      <c r="M226" s="0" t="n">
        <f aca="false">IF(ISBLANK(RawFinancials!M226),"",RawFinancials!M226)</f>
        <v>1004494</v>
      </c>
      <c r="N226" s="0" t="n">
        <f aca="false">IF(ISBLANK(RawFinancials!N226),"",RawFinancials!N226)</f>
        <v>979266</v>
      </c>
      <c r="O226" s="0" t="n">
        <f aca="false">IF(ISBLANK(RawFinancials!O226),"",RawFinancials!O226)</f>
        <v>2506</v>
      </c>
      <c r="P226" s="0" t="str">
        <f aca="false">IF(ISBLANK(RawFinancials!P226),"",RawFinancials!P226)</f>
        <v>SACO &amp; BIDDEFORD SAVINGS INSTITUTION</v>
      </c>
      <c r="Q226" s="0" t="n">
        <f aca="false">IF(ISBLANK(RawFinancials!Q226),"",RawFinancials!Q226)</f>
        <v>0.248314759270434</v>
      </c>
      <c r="R226" s="0" t="n">
        <f aca="false">IF(ISBLANK(RawFinancials!R226),"",RawFinancials!R226)</f>
        <v>2.16823970331417</v>
      </c>
      <c r="S226" s="0" t="n">
        <f aca="false">IF(ISBLANK(RawFinancials!S226),"",RawFinancials!S226)</f>
        <v>-13</v>
      </c>
      <c r="T226" s="0" t="n">
        <f aca="false">IF(ISBLANK(RawFinancials!T226),"",RawFinancials!T226)</f>
        <v>3655</v>
      </c>
      <c r="U226" s="0" t="n">
        <f aca="false">IF(ISBLANK(RawFinancials!U226),"",RawFinancials!U226)</f>
        <v>0</v>
      </c>
      <c r="V226" s="0" t="n">
        <f aca="false">IF(ISBLANK(RawFinancials!V226),"",RawFinancials!V226)</f>
        <v>0</v>
      </c>
      <c r="W226" s="0" t="n">
        <f aca="false">IF(ISBLANK(RawFinancials!W226),"",RawFinancials!W226)</f>
        <v>20230331</v>
      </c>
      <c r="X226" s="0" t="n">
        <f aca="false">IF(ISBLANK(RawFinancials!X226),"",RawFinancials!X226)</f>
        <v>0.0852661622010452</v>
      </c>
      <c r="Y226" s="0" t="n">
        <f aca="false">IF(ISBLANK(RawFinancials!Y226),"",RawFinancials!Y226)</f>
        <v>0.91</v>
      </c>
      <c r="Z226" s="0" t="str">
        <f aca="false">IF(ISBLANK(RawFinancials!Z226),"",RawFinancials!Z226)</f>
        <v>ME</v>
      </c>
      <c r="AA226" s="0" t="n">
        <f aca="false">RawFinancials!AA226</f>
        <v>1</v>
      </c>
      <c r="AB226" s="0" t="n">
        <f aca="false">RawFinancials!AB226</f>
        <v>2506</v>
      </c>
      <c r="AC226" s="0" t="n">
        <f aca="false">RawFinancials!AC226</f>
        <v>0.192208278301634</v>
      </c>
      <c r="AD226" s="0" t="n">
        <f aca="false">IF(L226&gt;0,100*N226/L226,"")</f>
        <v>97.0335997812135</v>
      </c>
      <c r="AE226" s="0" t="n">
        <f aca="false">IF(B226&gt;0,100*F226/B226,"")</f>
        <v>9.36988511988857</v>
      </c>
      <c r="AF226" s="0" t="str">
        <f aca="false">RawFinancials!AE226</f>
        <v>原始0：需核实适用/报告口径</v>
      </c>
    </row>
    <row r="227" customFormat="false" ht="15" hidden="false" customHeight="false" outlineLevel="0" collapsed="false">
      <c r="A227" s="0" t="n">
        <f aca="false">IF(ISBLANK(RawFinancials!A227),"",RawFinancials!A227)</f>
        <v>227</v>
      </c>
      <c r="B227" s="0" t="n">
        <f aca="false">IF(ISBLANK(RawFinancials!B227),"",RawFinancials!B227)</f>
        <v>1649776</v>
      </c>
      <c r="C227" s="0" t="n">
        <f aca="false">IF(ISBLANK(RawFinancials!C227),"",RawFinancials!C227)</f>
        <v>17748</v>
      </c>
      <c r="D227" s="0" t="n">
        <f aca="false">IF(ISBLANK(RawFinancials!D227),"",RawFinancials!D227)</f>
        <v>1413359</v>
      </c>
      <c r="E227" s="0" t="n">
        <f aca="false">IF(ISBLANK(RawFinancials!E227),"",RawFinancials!E227)</f>
        <v>0.2</v>
      </c>
      <c r="F227" s="0" t="n">
        <f aca="false">IF(ISBLANK(RawFinancials!F227),"",RawFinancials!F227)</f>
        <v>110285</v>
      </c>
      <c r="G227" s="0" t="n">
        <f aca="false">IF(ISBLANK(RawFinancials!G227),"",RawFinancials!G227)</f>
        <v>6.68484691255055</v>
      </c>
      <c r="H227" s="0" t="str">
        <f aca="false">IF(ISBLANK(RawFinancials!H227),"",RawFinancials!H227)</f>
        <v>17748_20230331</v>
      </c>
      <c r="I227" s="0" t="n">
        <f aca="false">IF(ISBLANK(RawFinancials!I227),"",RawFinancials!I227)</f>
        <v>0.788861658196826</v>
      </c>
      <c r="J227" s="0" t="n">
        <f aca="false">IF(ISBLANK(RawFinancials!J227),"",RawFinancials!J227)</f>
        <v>161096</v>
      </c>
      <c r="K227" s="0" t="n">
        <f aca="false">IF(ISBLANK(RawFinancials!K227),"",RawFinancials!K227)</f>
        <v>3255</v>
      </c>
      <c r="L227" s="0" t="n">
        <f aca="false">IF(ISBLANK(RawFinancials!L227),"",RawFinancials!L227)</f>
        <v>1247367</v>
      </c>
      <c r="M227" s="0" t="n">
        <f aca="false">IF(ISBLANK(RawFinancials!M227),"",RawFinancials!M227)</f>
        <v>1237527</v>
      </c>
      <c r="N227" s="0" t="n">
        <f aca="false">IF(ISBLANK(RawFinancials!N227),"",RawFinancials!N227)</f>
        <v>1051242</v>
      </c>
      <c r="O227" s="0" t="n">
        <f aca="false">IF(ISBLANK(RawFinancials!O227),"",RawFinancials!O227)</f>
        <v>6401</v>
      </c>
      <c r="P227" s="0" t="str">
        <f aca="false">IF(ISBLANK(RawFinancials!P227),"",RawFinancials!P227)</f>
        <v>GORHAM SAVINGS BANK</v>
      </c>
      <c r="Q227" s="0" t="n">
        <f aca="false">IF(ISBLANK(RawFinancials!Q227),"",RawFinancials!Q227)</f>
        <v>0.513160922166451</v>
      </c>
      <c r="R227" s="0" t="n">
        <f aca="false">IF(ISBLANK(RawFinancials!R227),"",RawFinancials!R227)</f>
        <v>2.55248226856839</v>
      </c>
      <c r="S227" s="0" t="n">
        <f aca="false">IF(ISBLANK(RawFinancials!S227),"",RawFinancials!S227)</f>
        <v>1111</v>
      </c>
      <c r="T227" s="0" t="n">
        <f aca="false">IF(ISBLANK(RawFinancials!T227),"",RawFinancials!T227)</f>
        <v>2887</v>
      </c>
      <c r="U227" s="0" t="n">
        <f aca="false">IF(ISBLANK(RawFinancials!U227),"",RawFinancials!U227)</f>
        <v>0</v>
      </c>
      <c r="V227" s="0" t="n">
        <f aca="false">IF(ISBLANK(RawFinancials!V227),"",RawFinancials!V227)</f>
        <v>0</v>
      </c>
      <c r="W227" s="0" t="n">
        <f aca="false">IF(ISBLANK(RawFinancials!W227),"",RawFinancials!W227)</f>
        <v>20230331</v>
      </c>
      <c r="X227" s="0" t="n">
        <f aca="false">IF(ISBLANK(RawFinancials!X227),"",RawFinancials!X227)</f>
        <v>0.111242080447915</v>
      </c>
      <c r="Y227" s="0" t="n">
        <f aca="false">IF(ISBLANK(RawFinancials!Y227),"",RawFinancials!Y227)</f>
        <v>1.67</v>
      </c>
      <c r="Z227" s="0" t="str">
        <f aca="false">IF(ISBLANK(RawFinancials!Z227),"",RawFinancials!Z227)</f>
        <v>ME</v>
      </c>
      <c r="AA227" s="0" t="n">
        <f aca="false">RawFinancials!AA227</f>
        <v>1</v>
      </c>
      <c r="AB227" s="0" t="n">
        <f aca="false">RawFinancials!AB227</f>
        <v>6401</v>
      </c>
      <c r="AC227" s="0" t="n">
        <f aca="false">RawFinancials!AC227</f>
        <v>0.387992066801796</v>
      </c>
      <c r="AD227" s="0" t="n">
        <f aca="false">IF(L227&gt;0,100*N227/L227,"")</f>
        <v>84.276880821763</v>
      </c>
      <c r="AE227" s="0" t="n">
        <f aca="false">IF(B227&gt;0,100*F227/B227,"")</f>
        <v>6.68484691255055</v>
      </c>
      <c r="AF227" s="0" t="str">
        <f aca="false">RawFinancials!AE227</f>
        <v>原始0：需核实适用/报告口径</v>
      </c>
    </row>
    <row r="228" customFormat="false" ht="15" hidden="false" customHeight="false" outlineLevel="0" collapsed="false">
      <c r="A228" s="0" t="n">
        <f aca="false">IF(ISBLANK(RawFinancials!A228),"",RawFinancials!A228)</f>
        <v>228</v>
      </c>
      <c r="B228" s="0" t="n">
        <f aca="false">IF(ISBLANK(RawFinancials!B228),"",RawFinancials!B228)</f>
        <v>1286254</v>
      </c>
      <c r="C228" s="0" t="n">
        <f aca="false">IF(ISBLANK(RawFinancials!C228),"",RawFinancials!C228)</f>
        <v>17749</v>
      </c>
      <c r="D228" s="0" t="n">
        <f aca="false">IF(ISBLANK(RawFinancials!D228),"",RawFinancials!D228)</f>
        <v>1024638</v>
      </c>
      <c r="E228" s="0" t="n">
        <f aca="false">IF(ISBLANK(RawFinancials!E228),"",RawFinancials!E228)</f>
        <v>0.05</v>
      </c>
      <c r="F228" s="0" t="n">
        <f aca="false">IF(ISBLANK(RawFinancials!F228),"",RawFinancials!F228)</f>
        <v>162250</v>
      </c>
      <c r="G228" s="0" t="n">
        <f aca="false">IF(ISBLANK(RawFinancials!G228),"",RawFinancials!G228)</f>
        <v>12.6141493048807</v>
      </c>
      <c r="H228" s="0" t="str">
        <f aca="false">IF(ISBLANK(RawFinancials!H228),"",RawFinancials!H228)</f>
        <v>17749_20230331</v>
      </c>
      <c r="I228" s="0" t="n">
        <f aca="false">IF(ISBLANK(RawFinancials!I228),"",RawFinancials!I228)</f>
        <v>1.44066256041747</v>
      </c>
      <c r="J228" s="0" t="n">
        <f aca="false">IF(ISBLANK(RawFinancials!J228),"",RawFinancials!J228)</f>
        <v>49547</v>
      </c>
      <c r="K228" s="0" t="n">
        <f aca="false">IF(ISBLANK(RawFinancials!K228),"",RawFinancials!K228)</f>
        <v>9780</v>
      </c>
      <c r="L228" s="0" t="n">
        <f aca="false">IF(ISBLANK(RawFinancials!L228),"",RawFinancials!L228)</f>
        <v>748128</v>
      </c>
      <c r="M228" s="0" t="n">
        <f aca="false">IF(ISBLANK(RawFinancials!M228),"",RawFinancials!M228)</f>
        <v>737350</v>
      </c>
      <c r="N228" s="0" t="n">
        <f aca="false">IF(ISBLANK(RawFinancials!N228),"",RawFinancials!N228)</f>
        <v>677598</v>
      </c>
      <c r="O228" s="0" t="n">
        <f aca="false">IF(ISBLANK(RawFinancials!O228),"",RawFinancials!O228)</f>
        <v>210</v>
      </c>
      <c r="P228" s="0" t="str">
        <f aca="false">IF(ISBLANK(RawFinancials!P228),"",RawFinancials!P228)</f>
        <v>BATH SAVINGS INSTITUTION</v>
      </c>
      <c r="Q228" s="0" t="n">
        <f aca="false">IF(ISBLANK(RawFinancials!Q228),"",RawFinancials!Q228)</f>
        <v>0.0280700628769408</v>
      </c>
      <c r="R228" s="0" t="n">
        <f aca="false">IF(ISBLANK(RawFinancials!R228),"",RawFinancials!R228)</f>
        <v>2.98792967429749</v>
      </c>
      <c r="S228" s="0" t="n">
        <f aca="false">IF(ISBLANK(RawFinancials!S228),"",RawFinancials!S228)</f>
        <v>7</v>
      </c>
      <c r="T228" s="0" t="n">
        <f aca="false">IF(ISBLANK(RawFinancials!T228),"",RawFinancials!T228)</f>
        <v>1358</v>
      </c>
      <c r="U228" s="0" t="n">
        <f aca="false">IF(ISBLANK(RawFinancials!U228),"",RawFinancials!U228)</f>
        <v>0</v>
      </c>
      <c r="V228" s="0" t="n">
        <f aca="false">IF(ISBLANK(RawFinancials!V228),"",RawFinancials!V228)</f>
        <v>0</v>
      </c>
      <c r="W228" s="0" t="n">
        <f aca="false">IF(ISBLANK(RawFinancials!W228),"",RawFinancials!W228)</f>
        <v>20230331</v>
      </c>
      <c r="X228" s="0" t="n">
        <f aca="false">IF(ISBLANK(RawFinancials!X228),"",RawFinancials!X228)</f>
        <v>1.31710105122298</v>
      </c>
      <c r="Y228" s="0" t="n">
        <f aca="false">IF(ISBLANK(RawFinancials!Y228),"",RawFinancials!Y228)</f>
        <v>10.8</v>
      </c>
      <c r="Z228" s="0" t="str">
        <f aca="false">IF(ISBLANK(RawFinancials!Z228),"",RawFinancials!Z228)</f>
        <v>ME</v>
      </c>
      <c r="AA228" s="0" t="n">
        <f aca="false">RawFinancials!AA228</f>
        <v>1</v>
      </c>
      <c r="AB228" s="0" t="n">
        <f aca="false">RawFinancials!AB228</f>
        <v>210</v>
      </c>
      <c r="AC228" s="0" t="n">
        <f aca="false">RawFinancials!AC228</f>
        <v>0.0163264798399072</v>
      </c>
      <c r="AD228" s="0" t="n">
        <f aca="false">IF(L228&gt;0,100*N228/L228,"")</f>
        <v>90.5724688823303</v>
      </c>
      <c r="AE228" s="0" t="n">
        <f aca="false">IF(B228&gt;0,100*F228/B228,"")</f>
        <v>12.6141493048807</v>
      </c>
      <c r="AF228" s="0" t="str">
        <f aca="false">RawFinancials!AE228</f>
        <v>原始0：需核实适用/报告口径</v>
      </c>
    </row>
    <row r="229" customFormat="false" ht="15" hidden="false" customHeight="false" outlineLevel="0" collapsed="false">
      <c r="A229" s="0" t="n">
        <f aca="false">IF(ISBLANK(RawFinancials!A229),"",RawFinancials!A229)</f>
        <v>229</v>
      </c>
      <c r="B229" s="0" t="n">
        <f aca="false">IF(ISBLANK(RawFinancials!B229),"",RawFinancials!B229)</f>
        <v>1498353</v>
      </c>
      <c r="C229" s="0" t="n">
        <f aca="false">IF(ISBLANK(RawFinancials!C229),"",RawFinancials!C229)</f>
        <v>17751</v>
      </c>
      <c r="D229" s="0" t="n">
        <f aca="false">IF(ISBLANK(RawFinancials!D229),"",RawFinancials!D229)</f>
        <v>1191607</v>
      </c>
      <c r="E229" s="0" t="n">
        <f aca="false">IF(ISBLANK(RawFinancials!E229),"",RawFinancials!E229)</f>
        <v>0.08</v>
      </c>
      <c r="F229" s="0" t="n">
        <f aca="false">IF(ISBLANK(RawFinancials!F229),"",RawFinancials!F229)</f>
        <v>129181</v>
      </c>
      <c r="G229" s="0" t="n">
        <f aca="false">IF(ISBLANK(RawFinancials!G229),"",RawFinancials!G229)</f>
        <v>8.62153311002147</v>
      </c>
      <c r="H229" s="0" t="str">
        <f aca="false">IF(ISBLANK(RawFinancials!H229),"",RawFinancials!H229)</f>
        <v>17751_20230331</v>
      </c>
      <c r="I229" s="0" t="n">
        <f aca="false">IF(ISBLANK(RawFinancials!I229),"",RawFinancials!I229)</f>
        <v>0.943414113785107</v>
      </c>
      <c r="J229" s="0" t="n">
        <f aca="false">IF(ISBLANK(RawFinancials!J229),"",RawFinancials!J229)</f>
        <v>113658</v>
      </c>
      <c r="K229" s="0" t="n">
        <f aca="false">IF(ISBLANK(RawFinancials!K229),"",RawFinancials!K229)</f>
        <v>1501</v>
      </c>
      <c r="L229" s="0" t="n">
        <f aca="false">IF(ISBLANK(RawFinancials!L229),"",RawFinancials!L229)</f>
        <v>1213041</v>
      </c>
      <c r="M229" s="0" t="n">
        <f aca="false">IF(ISBLANK(RawFinancials!M229),"",RawFinancials!M229)</f>
        <v>1201597</v>
      </c>
      <c r="N229" s="0" t="n">
        <f aca="false">IF(ISBLANK(RawFinancials!N229),"",RawFinancials!N229)</f>
        <v>1050455</v>
      </c>
      <c r="O229" s="0" t="n">
        <f aca="false">IF(ISBLANK(RawFinancials!O229),"",RawFinancials!O229)</f>
        <v>2844</v>
      </c>
      <c r="P229" s="0" t="str">
        <f aca="false">IF(ISBLANK(RawFinancials!P229),"",RawFinancials!P229)</f>
        <v>ANDROSCOGGIN SAVINGS BANK</v>
      </c>
      <c r="Q229" s="0" t="n">
        <f aca="false">IF(ISBLANK(RawFinancials!Q229),"",RawFinancials!Q229)</f>
        <v>0.23445209189137</v>
      </c>
      <c r="R229" s="0" t="n">
        <f aca="false">IF(ISBLANK(RawFinancials!R229),"",RawFinancials!R229)</f>
        <v>3.21523746744756</v>
      </c>
      <c r="S229" s="0" t="n">
        <f aca="false">IF(ISBLANK(RawFinancials!S229),"",RawFinancials!S229)</f>
        <v>4071</v>
      </c>
      <c r="T229" s="0" t="n">
        <f aca="false">IF(ISBLANK(RawFinancials!T229),"",RawFinancials!T229)</f>
        <v>2201</v>
      </c>
      <c r="U229" s="0" t="n">
        <f aca="false">IF(ISBLANK(RawFinancials!U229),"",RawFinancials!U229)</f>
        <v>0</v>
      </c>
      <c r="V229" s="0" t="n">
        <f aca="false">IF(ISBLANK(RawFinancials!V229),"",RawFinancials!V229)</f>
        <v>13.1459416871701</v>
      </c>
      <c r="W229" s="0" t="n">
        <f aca="false">IF(ISBLANK(RawFinancials!W229),"",RawFinancials!W229)</f>
        <v>20230331</v>
      </c>
      <c r="X229" s="0" t="n">
        <f aca="false">IF(ISBLANK(RawFinancials!X229),"",RawFinancials!X229)</f>
        <v>0.577400064916807</v>
      </c>
      <c r="Y229" s="0" t="n">
        <f aca="false">IF(ISBLANK(RawFinancials!Y229),"",RawFinancials!Y229)</f>
        <v>6.69</v>
      </c>
      <c r="Z229" s="0" t="str">
        <f aca="false">IF(ISBLANK(RawFinancials!Z229),"",RawFinancials!Z229)</f>
        <v>ME</v>
      </c>
      <c r="AA229" s="0" t="n">
        <f aca="false">RawFinancials!AA229</f>
        <v>1</v>
      </c>
      <c r="AB229" s="0" t="n">
        <f aca="false">RawFinancials!AB229</f>
        <v>2844</v>
      </c>
      <c r="AC229" s="0" t="n">
        <f aca="false">RawFinancials!AC229</f>
        <v>0.189808409633778</v>
      </c>
      <c r="AD229" s="0" t="n">
        <f aca="false">IF(L229&gt;0,100*N229/L229,"")</f>
        <v>86.5968256637657</v>
      </c>
      <c r="AE229" s="0" t="n">
        <f aca="false">IF(B229&gt;0,100*F229/B229,"")</f>
        <v>8.62153311002147</v>
      </c>
      <c r="AF229" s="0" t="str">
        <f aca="false">RawFinancials!AE229</f>
        <v/>
      </c>
    </row>
    <row r="230" customFormat="false" ht="15" hidden="false" customHeight="false" outlineLevel="0" collapsed="false">
      <c r="A230" s="0" t="n">
        <f aca="false">IF(ISBLANK(RawFinancials!A230),"",RawFinancials!A230)</f>
        <v>230</v>
      </c>
      <c r="B230" s="0" t="n">
        <f aca="false">IF(ISBLANK(RawFinancials!B230),"",RawFinancials!B230)</f>
        <v>1665050</v>
      </c>
      <c r="C230" s="0" t="n">
        <f aca="false">IF(ISBLANK(RawFinancials!C230),"",RawFinancials!C230)</f>
        <v>17897</v>
      </c>
      <c r="D230" s="0" t="n">
        <f aca="false">IF(ISBLANK(RawFinancials!D230),"",RawFinancials!D230)</f>
        <v>1329955</v>
      </c>
      <c r="E230" s="0" t="n">
        <f aca="false">IF(ISBLANK(RawFinancials!E230),"",RawFinancials!E230)</f>
        <v>-0.05</v>
      </c>
      <c r="F230" s="0" t="n">
        <f aca="false">IF(ISBLANK(RawFinancials!F230),"",RawFinancials!F230)</f>
        <v>200040</v>
      </c>
      <c r="G230" s="0" t="n">
        <f aca="false">IF(ISBLANK(RawFinancials!G230),"",RawFinancials!G230)</f>
        <v>12.0140536320231</v>
      </c>
      <c r="H230" s="0" t="str">
        <f aca="false">IF(ISBLANK(RawFinancials!H230),"",RawFinancials!H230)</f>
        <v>17897_20230331</v>
      </c>
      <c r="I230" s="0" t="n">
        <f aca="false">IF(ISBLANK(RawFinancials!I230),"",RawFinancials!I230)</f>
        <v>0.602990045042801</v>
      </c>
      <c r="J230" s="0" t="n">
        <f aca="false">IF(ISBLANK(RawFinancials!J230),"",RawFinancials!J230)</f>
        <v>69971</v>
      </c>
      <c r="K230" s="0" t="n">
        <f aca="false">IF(ISBLANK(RawFinancials!K230),"",RawFinancials!K230)</f>
        <v>3501</v>
      </c>
      <c r="L230" s="0" t="n">
        <f aca="false">IF(ISBLANK(RawFinancials!L230),"",RawFinancials!L230)</f>
        <v>1405330</v>
      </c>
      <c r="M230" s="0" t="n">
        <f aca="false">IF(ISBLANK(RawFinancials!M230),"",RawFinancials!M230)</f>
        <v>1396856</v>
      </c>
      <c r="N230" s="0" t="n">
        <f aca="false">IF(ISBLANK(RawFinancials!N230),"",RawFinancials!N230)</f>
        <v>1322849</v>
      </c>
      <c r="O230" s="0" t="n">
        <f aca="false">IF(ISBLANK(RawFinancials!O230),"",RawFinancials!O230)</f>
        <v>3806</v>
      </c>
      <c r="P230" s="0" t="str">
        <f aca="false">IF(ISBLANK(RawFinancials!P230),"",RawFinancials!P230)</f>
        <v>KENNEBEC SAVINGS BANK</v>
      </c>
      <c r="Q230" s="0" t="n">
        <f aca="false">IF(ISBLANK(RawFinancials!Q230),"",RawFinancials!Q230)</f>
        <v>0.271964591946375</v>
      </c>
      <c r="R230" s="0" t="n">
        <f aca="false">IF(ISBLANK(RawFinancials!R230),"",RawFinancials!R230)</f>
        <v>2.67608748065265</v>
      </c>
      <c r="S230" s="0" t="n">
        <f aca="false">IF(ISBLANK(RawFinancials!S230),"",RawFinancials!S230)</f>
        <v>-101</v>
      </c>
      <c r="T230" s="0" t="n">
        <f aca="false">IF(ISBLANK(RawFinancials!T230),"",RawFinancials!T230)</f>
        <v>1292</v>
      </c>
      <c r="U230" s="0" t="n">
        <f aca="false">IF(ISBLANK(RawFinancials!U230),"",RawFinancials!U230)</f>
        <v>16</v>
      </c>
      <c r="V230" s="0" t="n">
        <f aca="false">IF(ISBLANK(RawFinancials!V230),"",RawFinancials!V230)</f>
        <v>0</v>
      </c>
      <c r="W230" s="0" t="n">
        <f aca="false">IF(ISBLANK(RawFinancials!W230),"",RawFinancials!W230)</f>
        <v>20230331</v>
      </c>
      <c r="X230" s="0" t="n">
        <f aca="false">IF(ISBLANK(RawFinancials!X230),"",RawFinancials!X230)</f>
        <v>0.65685021685254</v>
      </c>
      <c r="Y230" s="0" t="n">
        <f aca="false">IF(ISBLANK(RawFinancials!Y230),"",RawFinancials!Y230)</f>
        <v>5.48</v>
      </c>
      <c r="Z230" s="0" t="str">
        <f aca="false">IF(ISBLANK(RawFinancials!Z230),"",RawFinancials!Z230)</f>
        <v>ME</v>
      </c>
      <c r="AA230" s="0" t="n">
        <f aca="false">RawFinancials!AA230</f>
        <v>1</v>
      </c>
      <c r="AB230" s="0" t="n">
        <f aca="false">RawFinancials!AB230</f>
        <v>3822</v>
      </c>
      <c r="AC230" s="0" t="n">
        <f aca="false">RawFinancials!AC230</f>
        <v>0.229542656376685</v>
      </c>
      <c r="AD230" s="0" t="n">
        <f aca="false">IF(L230&gt;0,100*N230/L230,"")</f>
        <v>94.1308447126298</v>
      </c>
      <c r="AE230" s="0" t="n">
        <f aca="false">IF(B230&gt;0,100*F230/B230,"")</f>
        <v>12.0140536320231</v>
      </c>
      <c r="AF230" s="0" t="str">
        <f aca="false">RawFinancials!AE230</f>
        <v>原始0：需核实适用/报告口径</v>
      </c>
    </row>
    <row r="231" customFormat="false" ht="15" hidden="false" customHeight="false" outlineLevel="0" collapsed="false">
      <c r="A231" s="0" t="n">
        <f aca="false">IF(ISBLANK(RawFinancials!A231),"",RawFinancials!A231)</f>
        <v>231</v>
      </c>
      <c r="B231" s="0" t="n">
        <f aca="false">IF(ISBLANK(RawFinancials!B231),"",RawFinancials!B231)</f>
        <v>753464</v>
      </c>
      <c r="C231" s="0" t="n">
        <f aca="false">IF(ISBLANK(RawFinancials!C231),"",RawFinancials!C231)</f>
        <v>17951</v>
      </c>
      <c r="D231" s="0" t="n">
        <f aca="false">IF(ISBLANK(RawFinancials!D231),"",RawFinancials!D231)</f>
        <v>678863</v>
      </c>
      <c r="E231" s="0" t="n">
        <f aca="false">IF(ISBLANK(RawFinancials!E231),"",RawFinancials!E231)</f>
        <v>0.12</v>
      </c>
      <c r="F231" s="0" t="n">
        <f aca="false">IF(ISBLANK(RawFinancials!F231),"",RawFinancials!F231)</f>
        <v>57390</v>
      </c>
      <c r="G231" s="0" t="n">
        <f aca="false">IF(ISBLANK(RawFinancials!G231),"",RawFinancials!G231)</f>
        <v>7.61682044530329</v>
      </c>
      <c r="H231" s="0" t="str">
        <f aca="false">IF(ISBLANK(RawFinancials!H231),"",RawFinancials!H231)</f>
        <v>17951_20230331</v>
      </c>
      <c r="I231" s="0" t="n">
        <f aca="false">IF(ISBLANK(RawFinancials!I231),"",RawFinancials!I231)</f>
        <v>0.889678055913561</v>
      </c>
      <c r="J231" s="0" t="n">
        <f aca="false">IF(ISBLANK(RawFinancials!J231),"",RawFinancials!J231)</f>
        <v>22713</v>
      </c>
      <c r="K231" s="0" t="n">
        <f aca="false">IF(ISBLANK(RawFinancials!K231),"",RawFinancials!K231)</f>
        <v>1774</v>
      </c>
      <c r="L231" s="0" t="n">
        <f aca="false">IF(ISBLANK(RawFinancials!L231),"",RawFinancials!L231)</f>
        <v>536149</v>
      </c>
      <c r="M231" s="0" t="n">
        <f aca="false">IF(ISBLANK(RawFinancials!M231),"",RawFinancials!M231)</f>
        <v>531379</v>
      </c>
      <c r="N231" s="0" t="n">
        <f aca="false">IF(ISBLANK(RawFinancials!N231),"",RawFinancials!N231)</f>
        <v>498891</v>
      </c>
      <c r="O231" s="0" t="n">
        <f aca="false">IF(ISBLANK(RawFinancials!O231),"",RawFinancials!O231)</f>
        <v>68</v>
      </c>
      <c r="P231" s="0" t="str">
        <f aca="false">IF(ISBLANK(RawFinancials!P231),"",RawFinancials!P231)</f>
        <v>FRANKLIN SAVINGS BANK</v>
      </c>
      <c r="Q231" s="0" t="n">
        <f aca="false">IF(ISBLANK(RawFinancials!Q231),"",RawFinancials!Q231)</f>
        <v>0.0126830414679501</v>
      </c>
      <c r="R231" s="0" t="n">
        <f aca="false">IF(ISBLANK(RawFinancials!R231),"",RawFinancials!R231)</f>
        <v>2.83578052985655</v>
      </c>
      <c r="S231" s="0" t="n">
        <f aca="false">IF(ISBLANK(RawFinancials!S231),"",RawFinancials!S231)</f>
        <v>-203</v>
      </c>
      <c r="T231" s="0" t="n">
        <f aca="false">IF(ISBLANK(RawFinancials!T231),"",RawFinancials!T231)</f>
        <v>2194</v>
      </c>
      <c r="U231" s="0" t="n">
        <f aca="false">IF(ISBLANK(RawFinancials!U231),"",RawFinancials!U231)</f>
        <v>0</v>
      </c>
      <c r="V231" s="0" t="n">
        <f aca="false">IF(ISBLANK(RawFinancials!V231),"",RawFinancials!V231)</f>
        <v>14.6626029628837</v>
      </c>
      <c r="W231" s="0" t="n">
        <f aca="false">IF(ISBLANK(RawFinancials!W231),"",RawFinancials!W231)</f>
        <v>20230331</v>
      </c>
      <c r="X231" s="0" t="n">
        <f aca="false">IF(ISBLANK(RawFinancials!X231),"",RawFinancials!X231)</f>
        <v>0.569635122043929</v>
      </c>
      <c r="Y231" s="0" t="n">
        <f aca="false">IF(ISBLANK(RawFinancials!Y231),"",RawFinancials!Y231)</f>
        <v>7.67</v>
      </c>
      <c r="Z231" s="0" t="str">
        <f aca="false">IF(ISBLANK(RawFinancials!Z231),"",RawFinancials!Z231)</f>
        <v>NH</v>
      </c>
      <c r="AA231" s="0" t="n">
        <f aca="false">RawFinancials!AA231</f>
        <v>1</v>
      </c>
      <c r="AB231" s="0" t="n">
        <f aca="false">RawFinancials!AB231</f>
        <v>68</v>
      </c>
      <c r="AC231" s="0" t="n">
        <f aca="false">RawFinancials!AC231</f>
        <v>0.00902498327723687</v>
      </c>
      <c r="AD231" s="0" t="n">
        <f aca="false">IF(L231&gt;0,100*N231/L231,"")</f>
        <v>93.0508123674576</v>
      </c>
      <c r="AE231" s="0" t="n">
        <f aca="false">IF(B231&gt;0,100*F231/B231,"")</f>
        <v>7.61682044530329</v>
      </c>
      <c r="AF231" s="0" t="str">
        <f aca="false">RawFinancials!AE231</f>
        <v/>
      </c>
    </row>
    <row r="232" customFormat="false" ht="15" hidden="false" customHeight="false" outlineLevel="0" collapsed="false">
      <c r="A232" s="0" t="n">
        <f aca="false">IF(ISBLANK(RawFinancials!A232),"",RawFinancials!A232)</f>
        <v>232</v>
      </c>
      <c r="B232" s="0" t="n">
        <f aca="false">IF(ISBLANK(RawFinancials!B232),"",RawFinancials!B232)</f>
        <v>1332758</v>
      </c>
      <c r="C232" s="0" t="n">
        <f aca="false">IF(ISBLANK(RawFinancials!C232),"",RawFinancials!C232)</f>
        <v>17960</v>
      </c>
      <c r="D232" s="0" t="n">
        <f aca="false">IF(ISBLANK(RawFinancials!D232),"",RawFinancials!D232)</f>
        <v>1015763</v>
      </c>
      <c r="E232" s="0" t="n">
        <f aca="false">IF(ISBLANK(RawFinancials!E232),"",RawFinancials!E232)</f>
        <v>0.05</v>
      </c>
      <c r="F232" s="0" t="n">
        <f aca="false">IF(ISBLANK(RawFinancials!F232),"",RawFinancials!F232)</f>
        <v>107964</v>
      </c>
      <c r="G232" s="0" t="n">
        <f aca="false">IF(ISBLANK(RawFinancials!G232),"",RawFinancials!G232)</f>
        <v>8.10079549325534</v>
      </c>
      <c r="H232" s="0" t="str">
        <f aca="false">IF(ISBLANK(RawFinancials!H232),"",RawFinancials!H232)</f>
        <v>17960_20230331</v>
      </c>
      <c r="I232" s="0" t="n">
        <f aca="false">IF(ISBLANK(RawFinancials!I232),"",RawFinancials!I232)</f>
        <v>1.00034437223045</v>
      </c>
      <c r="J232" s="0" t="n">
        <f aca="false">IF(ISBLANK(RawFinancials!J232),"",RawFinancials!J232)</f>
        <v>113261</v>
      </c>
      <c r="K232" s="0" t="n">
        <f aca="false">IF(ISBLANK(RawFinancials!K232),"",RawFinancials!K232)</f>
        <v>202345</v>
      </c>
      <c r="L232" s="0" t="n">
        <f aca="false">IF(ISBLANK(RawFinancials!L232),"",RawFinancials!L232)</f>
        <v>1141207</v>
      </c>
      <c r="M232" s="0" t="n">
        <f aca="false">IF(ISBLANK(RawFinancials!M232),"",RawFinancials!M232)</f>
        <v>1129791</v>
      </c>
      <c r="N232" s="0" t="n">
        <f aca="false">IF(ISBLANK(RawFinancials!N232),"",RawFinancials!N232)</f>
        <v>821435</v>
      </c>
      <c r="O232" s="0" t="n">
        <f aca="false">IF(ISBLANK(RawFinancials!O232),"",RawFinancials!O232)</f>
        <v>821</v>
      </c>
      <c r="P232" s="0" t="str">
        <f aca="false">IF(ISBLANK(RawFinancials!P232),"",RawFinancials!P232)</f>
        <v>MERRIMACK COUNTY SAVINGS BANK</v>
      </c>
      <c r="Q232" s="0" t="n">
        <f aca="false">IF(ISBLANK(RawFinancials!Q232),"",RawFinancials!Q232)</f>
        <v>0.0719413743518923</v>
      </c>
      <c r="R232" s="0" t="n">
        <f aca="false">IF(ISBLANK(RawFinancials!R232),"",RawFinancials!R232)</f>
        <v>2.98488627502336</v>
      </c>
      <c r="S232" s="0" t="n">
        <f aca="false">IF(ISBLANK(RawFinancials!S232),"",RawFinancials!S232)</f>
        <v>23</v>
      </c>
      <c r="T232" s="0" t="n">
        <f aca="false">IF(ISBLANK(RawFinancials!T232),"",RawFinancials!T232)</f>
        <v>2222</v>
      </c>
      <c r="U232" s="0" t="n">
        <f aca="false">IF(ISBLANK(RawFinancials!U232),"",RawFinancials!U232)</f>
        <v>0</v>
      </c>
      <c r="V232" s="0" t="n">
        <f aca="false">IF(ISBLANK(RawFinancials!V232),"",RawFinancials!V232)</f>
        <v>12.874141309121</v>
      </c>
      <c r="W232" s="0" t="n">
        <f aca="false">IF(ISBLANK(RawFinancials!W232),"",RawFinancials!W232)</f>
        <v>20230331</v>
      </c>
      <c r="X232" s="0" t="n">
        <f aca="false">IF(ISBLANK(RawFinancials!X232),"",RawFinancials!X232)</f>
        <v>0.555969732548979</v>
      </c>
      <c r="Y232" s="0" t="n">
        <f aca="false">IF(ISBLANK(RawFinancials!Y232),"",RawFinancials!Y232)</f>
        <v>6.94</v>
      </c>
      <c r="Z232" s="0" t="str">
        <f aca="false">IF(ISBLANK(RawFinancials!Z232),"",RawFinancials!Z232)</f>
        <v>NH</v>
      </c>
      <c r="AA232" s="0" t="n">
        <f aca="false">RawFinancials!AA232</f>
        <v>1</v>
      </c>
      <c r="AB232" s="0" t="n">
        <f aca="false">RawFinancials!AB232</f>
        <v>821</v>
      </c>
      <c r="AC232" s="0" t="n">
        <f aca="false">RawFinancials!AC232</f>
        <v>0.061601581082237</v>
      </c>
      <c r="AD232" s="0" t="n">
        <f aca="false">IF(L232&gt;0,100*N232/L232,"")</f>
        <v>71.979491888851</v>
      </c>
      <c r="AE232" s="0" t="n">
        <f aca="false">IF(B232&gt;0,100*F232/B232,"")</f>
        <v>8.10079549325534</v>
      </c>
      <c r="AF232" s="0" t="str">
        <f aca="false">RawFinancials!AE232</f>
        <v/>
      </c>
    </row>
    <row r="233" customFormat="false" ht="15" hidden="false" customHeight="false" outlineLevel="0" collapsed="false">
      <c r="A233" s="0" t="n">
        <f aca="false">IF(ISBLANK(RawFinancials!A233),"",RawFinancials!A233)</f>
        <v>233</v>
      </c>
      <c r="B233" s="0" t="n">
        <f aca="false">IF(ISBLANK(RawFinancials!B233),"",RawFinancials!B233)</f>
        <v>2429028</v>
      </c>
      <c r="C233" s="0" t="n">
        <f aca="false">IF(ISBLANK(RawFinancials!C233),"",RawFinancials!C233)</f>
        <v>18012</v>
      </c>
      <c r="D233" s="0" t="n">
        <f aca="false">IF(ISBLANK(RawFinancials!D233),"",RawFinancials!D233)</f>
        <v>2050411</v>
      </c>
      <c r="E233" s="0" t="n">
        <f aca="false">IF(ISBLANK(RawFinancials!E233),"",RawFinancials!E233)</f>
        <v>0.06</v>
      </c>
      <c r="F233" s="0" t="n">
        <f aca="false">IF(ISBLANK(RawFinancials!F233),"",RawFinancials!F233)</f>
        <v>248764</v>
      </c>
      <c r="G233" s="0" t="n">
        <f aca="false">IF(ISBLANK(RawFinancials!G233),"",RawFinancials!G233)</f>
        <v>10.2412981653567</v>
      </c>
      <c r="H233" s="0" t="str">
        <f aca="false">IF(ISBLANK(RawFinancials!H233),"",RawFinancials!H233)</f>
        <v>18012_20230331</v>
      </c>
      <c r="I233" s="0" t="n">
        <f aca="false">IF(ISBLANK(RawFinancials!I233),"",RawFinancials!I233)</f>
        <v>1.26869596601962</v>
      </c>
      <c r="J233" s="0" t="n">
        <f aca="false">IF(ISBLANK(RawFinancials!J233),"",RawFinancials!J233)</f>
        <v>46030</v>
      </c>
      <c r="K233" s="0" t="n">
        <f aca="false">IF(ISBLANK(RawFinancials!K233),"",RawFinancials!K233)</f>
        <v>34042</v>
      </c>
      <c r="L233" s="0" t="n">
        <f aca="false">IF(ISBLANK(RawFinancials!L233),"",RawFinancials!L233)</f>
        <v>1975493</v>
      </c>
      <c r="M233" s="0" t="n">
        <f aca="false">IF(ISBLANK(RawFinancials!M233),"",RawFinancials!M233)</f>
        <v>1950430</v>
      </c>
      <c r="N233" s="0" t="n">
        <f aca="false">IF(ISBLANK(RawFinancials!N233),"",RawFinancials!N233)</f>
        <v>1870355</v>
      </c>
      <c r="O233" s="0" t="n">
        <f aca="false">IF(ISBLANK(RawFinancials!O233),"",RawFinancials!O233)</f>
        <v>1410</v>
      </c>
      <c r="P233" s="0" t="str">
        <f aca="false">IF(ISBLANK(RawFinancials!P233),"",RawFinancials!P233)</f>
        <v>BANK OF NEW HAMPSHIRE</v>
      </c>
      <c r="Q233" s="0" t="n">
        <f aca="false">IF(ISBLANK(RawFinancials!Q233),"",RawFinancials!Q233)</f>
        <v>0.0713745885204351</v>
      </c>
      <c r="R233" s="0" t="n">
        <f aca="false">IF(ISBLANK(RawFinancials!R233),"",RawFinancials!R233)</f>
        <v>3.23879774845535</v>
      </c>
      <c r="S233" s="0" t="n">
        <f aca="false">IF(ISBLANK(RawFinancials!S233),"",RawFinancials!S233)</f>
        <v>46</v>
      </c>
      <c r="T233" s="0" t="n">
        <f aca="false">IF(ISBLANK(RawFinancials!T233),"",RawFinancials!T233)</f>
        <v>1100</v>
      </c>
      <c r="U233" s="0" t="n">
        <f aca="false">IF(ISBLANK(RawFinancials!U233),"",RawFinancials!U233)</f>
        <v>0</v>
      </c>
      <c r="V233" s="0" t="n">
        <f aca="false">IF(ISBLANK(RawFinancials!V233),"",RawFinancials!V233)</f>
        <v>13.3370750765378</v>
      </c>
      <c r="W233" s="0" t="n">
        <f aca="false">IF(ISBLANK(RawFinancials!W233),"",RawFinancials!W233)</f>
        <v>20230331</v>
      </c>
      <c r="X233" s="0" t="n">
        <f aca="false">IF(ISBLANK(RawFinancials!X233),"",RawFinancials!X233)</f>
        <v>0.993530204379712</v>
      </c>
      <c r="Y233" s="0" t="n">
        <f aca="false">IF(ISBLANK(RawFinancials!Y233),"",RawFinancials!Y233)</f>
        <v>9.89</v>
      </c>
      <c r="Z233" s="0" t="str">
        <f aca="false">IF(ISBLANK(RawFinancials!Z233),"",RawFinancials!Z233)</f>
        <v>NH</v>
      </c>
      <c r="AA233" s="0" t="n">
        <f aca="false">RawFinancials!AA233</f>
        <v>1</v>
      </c>
      <c r="AB233" s="0" t="n">
        <f aca="false">RawFinancials!AB233</f>
        <v>1410</v>
      </c>
      <c r="AC233" s="0" t="n">
        <f aca="false">RawFinancials!AC233</f>
        <v>0.0580479105222336</v>
      </c>
      <c r="AD233" s="0" t="n">
        <f aca="false">IF(L233&gt;0,100*N233/L233,"")</f>
        <v>94.6778854696018</v>
      </c>
      <c r="AE233" s="0" t="n">
        <f aca="false">IF(B233&gt;0,100*F233/B233,"")</f>
        <v>10.2412981653567</v>
      </c>
      <c r="AF233" s="0" t="str">
        <f aca="false">RawFinancials!AE233</f>
        <v/>
      </c>
    </row>
    <row r="234" customFormat="false" ht="15" hidden="false" customHeight="false" outlineLevel="0" collapsed="false">
      <c r="A234" s="0" t="n">
        <f aca="false">IF(ISBLANK(RawFinancials!A234),"",RawFinancials!A234)</f>
        <v>234</v>
      </c>
      <c r="B234" s="0" t="n">
        <f aca="false">IF(ISBLANK(RawFinancials!B234),"",RawFinancials!B234)</f>
        <v>2733301</v>
      </c>
      <c r="C234" s="0" t="n">
        <f aca="false">IF(ISBLANK(RawFinancials!C234),"",RawFinancials!C234)</f>
        <v>18013</v>
      </c>
      <c r="D234" s="0" t="n">
        <f aca="false">IF(ISBLANK(RawFinancials!D234),"",RawFinancials!D234)</f>
        <v>2369188</v>
      </c>
      <c r="E234" s="0" t="n">
        <f aca="false">IF(ISBLANK(RawFinancials!E234),"",RawFinancials!E234)</f>
        <v>0.04</v>
      </c>
      <c r="F234" s="0" t="n">
        <f aca="false">IF(ISBLANK(RawFinancials!F234),"",RawFinancials!F234)</f>
        <v>210055</v>
      </c>
      <c r="G234" s="0" t="n">
        <f aca="false">IF(ISBLANK(RawFinancials!G234),"",RawFinancials!G234)</f>
        <v>7.68502993267115</v>
      </c>
      <c r="H234" s="0" t="str">
        <f aca="false">IF(ISBLANK(RawFinancials!H234),"",RawFinancials!H234)</f>
        <v>18013_20230331</v>
      </c>
      <c r="I234" s="0" t="n">
        <f aca="false">IF(ISBLANK(RawFinancials!I234),"",RawFinancials!I234)</f>
        <v>0.742497763930001</v>
      </c>
      <c r="J234" s="0" t="n">
        <f aca="false">IF(ISBLANK(RawFinancials!J234),"",RawFinancials!J234)</f>
        <v>110218</v>
      </c>
      <c r="K234" s="0" t="n">
        <f aca="false">IF(ISBLANK(RawFinancials!K234),"",RawFinancials!K234)</f>
        <v>23888</v>
      </c>
      <c r="L234" s="0" t="n">
        <f aca="false">IF(ISBLANK(RawFinancials!L234),"",RawFinancials!L234)</f>
        <v>2203643</v>
      </c>
      <c r="M234" s="0" t="n">
        <f aca="false">IF(ISBLANK(RawFinancials!M234),"",RawFinancials!M234)</f>
        <v>2187281</v>
      </c>
      <c r="N234" s="0" t="n">
        <f aca="false">IF(ISBLANK(RawFinancials!N234),"",RawFinancials!N234)</f>
        <v>2017963</v>
      </c>
      <c r="O234" s="0" t="n">
        <f aca="false">IF(ISBLANK(RawFinancials!O234),"",RawFinancials!O234)</f>
        <v>1023</v>
      </c>
      <c r="P234" s="0" t="str">
        <f aca="false">IF(ISBLANK(RawFinancials!P234),"",RawFinancials!P234)</f>
        <v>MASCOMA BANK</v>
      </c>
      <c r="Q234" s="0" t="n">
        <f aca="false">IF(ISBLANK(RawFinancials!Q234),"",RawFinancials!Q234)</f>
        <v>0.0464231275211093</v>
      </c>
      <c r="R234" s="0" t="n">
        <f aca="false">IF(ISBLANK(RawFinancials!R234),"",RawFinancials!R234)</f>
        <v>2.9811963289553</v>
      </c>
      <c r="S234" s="0" t="n">
        <f aca="false">IF(ISBLANK(RawFinancials!S234),"",RawFinancials!S234)</f>
        <v>9</v>
      </c>
      <c r="T234" s="0" t="n">
        <f aca="false">IF(ISBLANK(RawFinancials!T234),"",RawFinancials!T234)</f>
        <v>3732</v>
      </c>
      <c r="U234" s="0" t="n">
        <f aca="false">IF(ISBLANK(RawFinancials!U234),"",RawFinancials!U234)</f>
        <v>0</v>
      </c>
      <c r="V234" s="0" t="n">
        <f aca="false">IF(ISBLANK(RawFinancials!V234),"",RawFinancials!V234)</f>
        <v>13.3103871528666</v>
      </c>
      <c r="W234" s="0" t="n">
        <f aca="false">IF(ISBLANK(RawFinancials!W234),"",RawFinancials!W234)</f>
        <v>20230331</v>
      </c>
      <c r="X234" s="0" t="n">
        <f aca="false">IF(ISBLANK(RawFinancials!X234),"",RawFinancials!X234)</f>
        <v>0.443403413877027</v>
      </c>
      <c r="Y234" s="0" t="n">
        <f aca="false">IF(ISBLANK(RawFinancials!Y234),"",RawFinancials!Y234)</f>
        <v>5.87</v>
      </c>
      <c r="Z234" s="0" t="str">
        <f aca="false">IF(ISBLANK(RawFinancials!Z234),"",RawFinancials!Z234)</f>
        <v>NH</v>
      </c>
      <c r="AA234" s="0" t="n">
        <f aca="false">RawFinancials!AA234</f>
        <v>1</v>
      </c>
      <c r="AB234" s="0" t="n">
        <f aca="false">RawFinancials!AB234</f>
        <v>1023</v>
      </c>
      <c r="AC234" s="0" t="n">
        <f aca="false">RawFinancials!AC234</f>
        <v>0.0374272720055347</v>
      </c>
      <c r="AD234" s="0" t="n">
        <f aca="false">IF(L234&gt;0,100*N234/L234,"")</f>
        <v>91.5739527682115</v>
      </c>
      <c r="AE234" s="0" t="n">
        <f aca="false">IF(B234&gt;0,100*F234/B234,"")</f>
        <v>7.68502993267115</v>
      </c>
      <c r="AF234" s="0" t="str">
        <f aca="false">RawFinancials!AE234</f>
        <v/>
      </c>
    </row>
    <row r="235" customFormat="false" ht="15" hidden="false" customHeight="false" outlineLevel="0" collapsed="false">
      <c r="A235" s="0" t="n">
        <f aca="false">IF(ISBLANK(RawFinancials!A235),"",RawFinancials!A235)</f>
        <v>235</v>
      </c>
      <c r="B235" s="0" t="n">
        <f aca="false">IF(ISBLANK(RawFinancials!B235),"",RawFinancials!B235)</f>
        <v>384151</v>
      </c>
      <c r="C235" s="0" t="n">
        <f aca="false">IF(ISBLANK(RawFinancials!C235),"",RawFinancials!C235)</f>
        <v>18028</v>
      </c>
      <c r="D235" s="0" t="n">
        <f aca="false">IF(ISBLANK(RawFinancials!D235),"",RawFinancials!D235)</f>
        <v>321675</v>
      </c>
      <c r="E235" s="0" t="n">
        <f aca="false">IF(ISBLANK(RawFinancials!E235),"",RawFinancials!E235)</f>
        <v>0.15</v>
      </c>
      <c r="F235" s="0" t="n">
        <f aca="false">IF(ISBLANK(RawFinancials!F235),"",RawFinancials!F235)</f>
        <v>38054</v>
      </c>
      <c r="G235" s="0" t="n">
        <f aca="false">IF(ISBLANK(RawFinancials!G235),"",RawFinancials!G235)</f>
        <v>9.90600050500975</v>
      </c>
      <c r="H235" s="0" t="str">
        <f aca="false">IF(ISBLANK(RawFinancials!H235),"",RawFinancials!H235)</f>
        <v>18028_20230331</v>
      </c>
      <c r="I235" s="0" t="n">
        <f aca="false">IF(ISBLANK(RawFinancials!I235),"",RawFinancials!I235)</f>
        <v>0.977234694199741</v>
      </c>
      <c r="J235" s="0" t="n">
        <f aca="false">IF(ISBLANK(RawFinancials!J235),"",RawFinancials!J235)</f>
        <v>15846</v>
      </c>
      <c r="K235" s="0" t="n">
        <f aca="false">IF(ISBLANK(RawFinancials!K235),"",RawFinancials!K235)</f>
        <v>8663</v>
      </c>
      <c r="L235" s="0" t="n">
        <f aca="false">IF(ISBLANK(RawFinancials!L235),"",RawFinancials!L235)</f>
        <v>253368</v>
      </c>
      <c r="M235" s="0" t="n">
        <f aca="false">IF(ISBLANK(RawFinancials!M235),"",RawFinancials!M235)</f>
        <v>250892</v>
      </c>
      <c r="N235" s="0" t="n">
        <f aca="false">IF(ISBLANK(RawFinancials!N235),"",RawFinancials!N235)</f>
        <v>222649</v>
      </c>
      <c r="O235" s="0" t="n">
        <f aca="false">IF(ISBLANK(RawFinancials!O235),"",RawFinancials!O235)</f>
        <v>1519</v>
      </c>
      <c r="P235" s="0" t="str">
        <f aca="false">IF(ISBLANK(RawFinancials!P235),"",RawFinancials!P235)</f>
        <v>SUGAR RIVER BANK</v>
      </c>
      <c r="Q235" s="0" t="n">
        <f aca="false">IF(ISBLANK(RawFinancials!Q235),"",RawFinancials!Q235)</f>
        <v>0.663856524896593</v>
      </c>
      <c r="R235" s="0" t="n">
        <f aca="false">IF(ISBLANK(RawFinancials!R235),"",RawFinancials!R235)</f>
        <v>3.57814376005256</v>
      </c>
      <c r="S235" s="0" t="n">
        <f aca="false">IF(ISBLANK(RawFinancials!S235),"",RawFinancials!S235)</f>
        <v>87</v>
      </c>
      <c r="T235" s="0" t="n">
        <f aca="false">IF(ISBLANK(RawFinancials!T235),"",RawFinancials!T235)</f>
        <v>1473</v>
      </c>
      <c r="U235" s="0" t="n">
        <f aca="false">IF(ISBLANK(RawFinancials!U235),"",RawFinancials!U235)</f>
        <v>163</v>
      </c>
      <c r="V235" s="0" t="n">
        <f aca="false">IF(ISBLANK(RawFinancials!V235),"",RawFinancials!V235)</f>
        <v>0</v>
      </c>
      <c r="W235" s="0" t="n">
        <f aca="false">IF(ISBLANK(RawFinancials!W235),"",RawFinancials!W235)</f>
        <v>20230331</v>
      </c>
      <c r="X235" s="0" t="n">
        <f aca="false">IF(ISBLANK(RawFinancials!X235),"",RawFinancials!X235)</f>
        <v>0.60865321121989</v>
      </c>
      <c r="Y235" s="0" t="n">
        <f aca="false">IF(ISBLANK(RawFinancials!Y235),"",RawFinancials!Y235)</f>
        <v>6.33</v>
      </c>
      <c r="Z235" s="0" t="str">
        <f aca="false">IF(ISBLANK(RawFinancials!Z235),"",RawFinancials!Z235)</f>
        <v>NH</v>
      </c>
      <c r="AA235" s="0" t="n">
        <f aca="false">RawFinancials!AA235</f>
        <v>1</v>
      </c>
      <c r="AB235" s="0" t="n">
        <f aca="false">RawFinancials!AB235</f>
        <v>1682</v>
      </c>
      <c r="AC235" s="0" t="n">
        <f aca="false">RawFinancials!AC235</f>
        <v>0.437848658470237</v>
      </c>
      <c r="AD235" s="0" t="n">
        <f aca="false">IF(L235&gt;0,100*N235/L235,"")</f>
        <v>87.8757380568975</v>
      </c>
      <c r="AE235" s="0" t="n">
        <f aca="false">IF(B235&gt;0,100*F235/B235,"")</f>
        <v>9.90600050500975</v>
      </c>
      <c r="AF235" s="0" t="str">
        <f aca="false">RawFinancials!AE235</f>
        <v>原始0：需核实适用/报告口径</v>
      </c>
    </row>
    <row r="236" customFormat="false" ht="15" hidden="false" customHeight="false" outlineLevel="0" collapsed="false">
      <c r="A236" s="0" t="n">
        <f aca="false">IF(ISBLANK(RawFinancials!A236),"",RawFinancials!A236)</f>
        <v>236</v>
      </c>
      <c r="B236" s="0" t="n">
        <f aca="false">IF(ISBLANK(RawFinancials!B236),"",RawFinancials!B236)</f>
        <v>704016</v>
      </c>
      <c r="C236" s="0" t="n">
        <f aca="false">IF(ISBLANK(RawFinancials!C236),"",RawFinancials!C236)</f>
        <v>18030</v>
      </c>
      <c r="D236" s="0" t="n">
        <f aca="false">IF(ISBLANK(RawFinancials!D236),"",RawFinancials!D236)</f>
        <v>652422</v>
      </c>
      <c r="E236" s="0" t="n">
        <f aca="false">IF(ISBLANK(RawFinancials!E236),"",RawFinancials!E236)</f>
        <v>0.11</v>
      </c>
      <c r="F236" s="0" t="n">
        <f aca="false">IF(ISBLANK(RawFinancials!F236),"",RawFinancials!F236)</f>
        <v>44712</v>
      </c>
      <c r="G236" s="0" t="n">
        <f aca="false">IF(ISBLANK(RawFinancials!G236),"",RawFinancials!G236)</f>
        <v>6.35099202290857</v>
      </c>
      <c r="H236" s="0" t="str">
        <f aca="false">IF(ISBLANK(RawFinancials!H236),"",RawFinancials!H236)</f>
        <v>18030_20230331</v>
      </c>
      <c r="I236" s="0" t="n">
        <f aca="false">IF(ISBLANK(RawFinancials!I236),"",RawFinancials!I236)</f>
        <v>1.01863954591846</v>
      </c>
      <c r="J236" s="0" t="n">
        <f aca="false">IF(ISBLANK(RawFinancials!J236),"",RawFinancials!J236)</f>
        <v>34886</v>
      </c>
      <c r="K236" s="0" t="n">
        <f aca="false">IF(ISBLANK(RawFinancials!K236),"",RawFinancials!K236)</f>
        <v>86405</v>
      </c>
      <c r="L236" s="0" t="n">
        <f aca="false">IF(ISBLANK(RawFinancials!L236),"",RawFinancials!L236)</f>
        <v>558490</v>
      </c>
      <c r="M236" s="0" t="n">
        <f aca="false">IF(ISBLANK(RawFinancials!M236),"",RawFinancials!M236)</f>
        <v>552801</v>
      </c>
      <c r="N236" s="0" t="n">
        <f aca="false">IF(ISBLANK(RawFinancials!N236),"",RawFinancials!N236)</f>
        <v>437108</v>
      </c>
      <c r="O236" s="0" t="n">
        <f aca="false">IF(ISBLANK(RawFinancials!O236),"",RawFinancials!O236)</f>
        <v>501</v>
      </c>
      <c r="P236" s="0" t="str">
        <f aca="false">IF(ISBLANK(RawFinancials!P236),"",RawFinancials!P236)</f>
        <v>SAVINGS BANK OF WALPOLE</v>
      </c>
      <c r="Q236" s="0" t="n">
        <f aca="false">IF(ISBLANK(RawFinancials!Q236),"",RawFinancials!Q236)</f>
        <v>0.0897061719994986</v>
      </c>
      <c r="R236" s="0" t="n">
        <f aca="false">IF(ISBLANK(RawFinancials!R236),"",RawFinancials!R236)</f>
        <v>3.50492880613362</v>
      </c>
      <c r="S236" s="0" t="n">
        <f aca="false">IF(ISBLANK(RawFinancials!S236),"",RawFinancials!S236)</f>
        <v>-12</v>
      </c>
      <c r="T236" s="0" t="n">
        <f aca="false">IF(ISBLANK(RawFinancials!T236),"",RawFinancials!T236)</f>
        <v>714</v>
      </c>
      <c r="U236" s="0" t="n">
        <f aca="false">IF(ISBLANK(RawFinancials!U236),"",RawFinancials!U236)</f>
        <v>0</v>
      </c>
      <c r="V236" s="0" t="n">
        <f aca="false">IF(ISBLANK(RawFinancials!V236),"",RawFinancials!V236)</f>
        <v>12.9898118719735</v>
      </c>
      <c r="W236" s="0" t="n">
        <f aca="false">IF(ISBLANK(RawFinancials!W236),"",RawFinancials!W236)</f>
        <v>20230331</v>
      </c>
      <c r="X236" s="0" t="n">
        <f aca="false">IF(ISBLANK(RawFinancials!X236),"",RawFinancials!X236)</f>
        <v>0.626132056425815</v>
      </c>
      <c r="Y236" s="0" t="n">
        <f aca="false">IF(ISBLANK(RawFinancials!Y236),"",RawFinancials!Y236)</f>
        <v>10.13</v>
      </c>
      <c r="Z236" s="0" t="str">
        <f aca="false">IF(ISBLANK(RawFinancials!Z236),"",RawFinancials!Z236)</f>
        <v>NH</v>
      </c>
      <c r="AA236" s="0" t="n">
        <f aca="false">RawFinancials!AA236</f>
        <v>1</v>
      </c>
      <c r="AB236" s="0" t="n">
        <f aca="false">RawFinancials!AB236</f>
        <v>501</v>
      </c>
      <c r="AC236" s="0" t="n">
        <f aca="false">RawFinancials!AC236</f>
        <v>0.0711631553828322</v>
      </c>
      <c r="AD236" s="0" t="n">
        <f aca="false">IF(L236&gt;0,100*N236/L236,"")</f>
        <v>78.2660387831474</v>
      </c>
      <c r="AE236" s="0" t="n">
        <f aca="false">IF(B236&gt;0,100*F236/B236,"")</f>
        <v>6.35099202290857</v>
      </c>
      <c r="AF236" s="0" t="str">
        <f aca="false">RawFinancials!AE236</f>
        <v/>
      </c>
    </row>
    <row r="237" customFormat="false" ht="15" hidden="false" customHeight="false" outlineLevel="0" collapsed="false">
      <c r="A237" s="0" t="n">
        <f aca="false">IF(ISBLANK(RawFinancials!A237),"",RawFinancials!A237)</f>
        <v>237</v>
      </c>
      <c r="B237" s="0" t="n">
        <f aca="false">IF(ISBLANK(RawFinancials!B237),"",RawFinancials!B237)</f>
        <v>653889</v>
      </c>
      <c r="C237" s="0" t="n">
        <f aca="false">IF(ISBLANK(RawFinancials!C237),"",RawFinancials!C237)</f>
        <v>18031</v>
      </c>
      <c r="D237" s="0" t="n">
        <f aca="false">IF(ISBLANK(RawFinancials!D237),"",RawFinancials!D237)</f>
        <v>579895</v>
      </c>
      <c r="E237" s="0" t="n">
        <f aca="false">IF(ISBLANK(RawFinancials!E237),"",RawFinancials!E237)</f>
        <v>0.06</v>
      </c>
      <c r="F237" s="0" t="n">
        <f aca="false">IF(ISBLANK(RawFinancials!F237),"",RawFinancials!F237)</f>
        <v>37639</v>
      </c>
      <c r="G237" s="0" t="n">
        <f aca="false">IF(ISBLANK(RawFinancials!G237),"",RawFinancials!G237)</f>
        <v>5.75617574236606</v>
      </c>
      <c r="H237" s="0" t="str">
        <f aca="false">IF(ISBLANK(RawFinancials!H237),"",RawFinancials!H237)</f>
        <v>18031_20230331</v>
      </c>
      <c r="I237" s="0" t="n">
        <f aca="false">IF(ISBLANK(RawFinancials!I237),"",RawFinancials!I237)</f>
        <v>0.883044224924987</v>
      </c>
      <c r="J237" s="0" t="n">
        <f aca="false">IF(ISBLANK(RawFinancials!J237),"",RawFinancials!J237)</f>
        <v>28272</v>
      </c>
      <c r="K237" s="0" t="n">
        <f aca="false">IF(ISBLANK(RawFinancials!K237),"",RawFinancials!K237)</f>
        <v>7125</v>
      </c>
      <c r="L237" s="0" t="n">
        <f aca="false">IF(ISBLANK(RawFinancials!L237),"",RawFinancials!L237)</f>
        <v>467587</v>
      </c>
      <c r="M237" s="0" t="n">
        <f aca="false">IF(ISBLANK(RawFinancials!M237),"",RawFinancials!M237)</f>
        <v>463458</v>
      </c>
      <c r="N237" s="0" t="n">
        <f aca="false">IF(ISBLANK(RawFinancials!N237),"",RawFinancials!N237)</f>
        <v>424817</v>
      </c>
      <c r="O237" s="0" t="n">
        <f aca="false">IF(ISBLANK(RawFinancials!O237),"",RawFinancials!O237)</f>
        <v>861</v>
      </c>
      <c r="P237" s="0" t="str">
        <f aca="false">IF(ISBLANK(RawFinancials!P237),"",RawFinancials!P237)</f>
        <v>WOODSVILLE GUARANTY SAVINGS BANK</v>
      </c>
      <c r="Q237" s="0" t="n">
        <f aca="false">IF(ISBLANK(RawFinancials!Q237),"",RawFinancials!Q237)</f>
        <v>0.184136855815068</v>
      </c>
      <c r="R237" s="0" t="n">
        <f aca="false">IF(ISBLANK(RawFinancials!R237),"",RawFinancials!R237)</f>
        <v>2.86529528105113</v>
      </c>
      <c r="S237" s="0" t="n">
        <f aca="false">IF(ISBLANK(RawFinancials!S237),"",RawFinancials!S237)</f>
        <v>3</v>
      </c>
      <c r="T237" s="0" t="n">
        <f aca="false">IF(ISBLANK(RawFinancials!T237),"",RawFinancials!T237)</f>
        <v>1064</v>
      </c>
      <c r="U237" s="0" t="n">
        <f aca="false">IF(ISBLANK(RawFinancials!U237),"",RawFinancials!U237)</f>
        <v>0</v>
      </c>
      <c r="V237" s="0" t="n">
        <f aca="false">IF(ISBLANK(RawFinancials!V237),"",RawFinancials!V237)</f>
        <v>16.3983634751584</v>
      </c>
      <c r="W237" s="0" t="n">
        <f aca="false">IF(ISBLANK(RawFinancials!W237),"",RawFinancials!W237)</f>
        <v>20230331</v>
      </c>
      <c r="X237" s="0" t="n">
        <f aca="false">IF(ISBLANK(RawFinancials!X237),"",RawFinancials!X237)</f>
        <v>0.311530308150788</v>
      </c>
      <c r="Y237" s="0" t="n">
        <f aca="false">IF(ISBLANK(RawFinancials!Y237),"",RawFinancials!Y237)</f>
        <v>5.56</v>
      </c>
      <c r="Z237" s="0" t="str">
        <f aca="false">IF(ISBLANK(RawFinancials!Z237),"",RawFinancials!Z237)</f>
        <v>NH</v>
      </c>
      <c r="AA237" s="0" t="n">
        <f aca="false">RawFinancials!AA237</f>
        <v>1</v>
      </c>
      <c r="AB237" s="0" t="n">
        <f aca="false">RawFinancials!AB237</f>
        <v>861</v>
      </c>
      <c r="AC237" s="0" t="n">
        <f aca="false">RawFinancials!AC237</f>
        <v>0.131673724439469</v>
      </c>
      <c r="AD237" s="0" t="n">
        <f aca="false">IF(L237&gt;0,100*N237/L237,"")</f>
        <v>90.8530391135767</v>
      </c>
      <c r="AE237" s="0" t="n">
        <f aca="false">IF(B237&gt;0,100*F237/B237,"")</f>
        <v>5.75617574236606</v>
      </c>
      <c r="AF237" s="0" t="str">
        <f aca="false">RawFinancials!AE237</f>
        <v/>
      </c>
    </row>
    <row r="238" customFormat="false" ht="15" hidden="false" customHeight="false" outlineLevel="0" collapsed="false">
      <c r="A238" s="0" t="n">
        <f aca="false">IF(ISBLANK(RawFinancials!A238),"",RawFinancials!A238)</f>
        <v>238</v>
      </c>
      <c r="B238" s="0" t="n">
        <f aca="false">IF(ISBLANK(RawFinancials!B238),"",RawFinancials!B238)</f>
        <v>548592</v>
      </c>
      <c r="C238" s="0" t="n">
        <f aca="false">IF(ISBLANK(RawFinancials!C238),"",RawFinancials!C238)</f>
        <v>18038</v>
      </c>
      <c r="D238" s="0" t="n">
        <f aca="false">IF(ISBLANK(RawFinancials!D238),"",RawFinancials!D238)</f>
        <v>453467</v>
      </c>
      <c r="E238" s="0" t="n">
        <f aca="false">IF(ISBLANK(RawFinancials!E238),"",RawFinancials!E238)</f>
        <v>0.12</v>
      </c>
      <c r="F238" s="0" t="n">
        <f aca="false">IF(ISBLANK(RawFinancials!F238),"",RawFinancials!F238)</f>
        <v>65334</v>
      </c>
      <c r="G238" s="0" t="n">
        <f aca="false">IF(ISBLANK(RawFinancials!G238),"",RawFinancials!G238)</f>
        <v>11.909397147607</v>
      </c>
      <c r="H238" s="0" t="str">
        <f aca="false">IF(ISBLANK(RawFinancials!H238),"",RawFinancials!H238)</f>
        <v>18038_20230331</v>
      </c>
      <c r="I238" s="0" t="n">
        <f aca="false">IF(ISBLANK(RawFinancials!I238),"",RawFinancials!I238)</f>
        <v>0.981353095864212</v>
      </c>
      <c r="J238" s="0" t="n">
        <f aca="false">IF(ISBLANK(RawFinancials!J238),"",RawFinancials!J238)</f>
        <v>17283</v>
      </c>
      <c r="K238" s="0" t="n">
        <f aca="false">IF(ISBLANK(RawFinancials!K238),"",RawFinancials!K238)</f>
        <v>3452</v>
      </c>
      <c r="L238" s="0" t="n">
        <f aca="false">IF(ISBLANK(RawFinancials!L238),"",RawFinancials!L238)</f>
        <v>418300</v>
      </c>
      <c r="M238" s="0" t="n">
        <f aca="false">IF(ISBLANK(RawFinancials!M238),"",RawFinancials!M238)</f>
        <v>414195</v>
      </c>
      <c r="N238" s="0" t="n">
        <f aca="false">IF(ISBLANK(RawFinancials!N238),"",RawFinancials!N238)</f>
        <v>397248</v>
      </c>
      <c r="O238" s="0" t="n">
        <f aca="false">IF(ISBLANK(RawFinancials!O238),"",RawFinancials!O238)</f>
        <v>2269</v>
      </c>
      <c r="P238" s="0" t="str">
        <f aca="false">IF(ISBLANK(RawFinancials!P238),"",RawFinancials!P238)</f>
        <v>CLAREMONT SAVINGS BANK</v>
      </c>
      <c r="Q238" s="0" t="n">
        <f aca="false">IF(ISBLANK(RawFinancials!Q238),"",RawFinancials!Q238)</f>
        <v>0.542433660052594</v>
      </c>
      <c r="R238" s="0" t="n">
        <f aca="false">IF(ISBLANK(RawFinancials!R238),"",RawFinancials!R238)</f>
        <v>2.59646477985742</v>
      </c>
      <c r="S238" s="0" t="n">
        <f aca="false">IF(ISBLANK(RawFinancials!S238),"",RawFinancials!S238)</f>
        <v>0</v>
      </c>
      <c r="T238" s="0" t="n">
        <f aca="false">IF(ISBLANK(RawFinancials!T238),"",RawFinancials!T238)</f>
        <v>1813</v>
      </c>
      <c r="U238" s="0" t="n">
        <f aca="false">IF(ISBLANK(RawFinancials!U238),"",RawFinancials!U238)</f>
        <v>0</v>
      </c>
      <c r="V238" s="0" t="n">
        <f aca="false">IF(ISBLANK(RawFinancials!V238),"",RawFinancials!V238)</f>
        <v>0</v>
      </c>
      <c r="W238" s="0" t="n">
        <f aca="false">IF(ISBLANK(RawFinancials!W238),"",RawFinancials!W238)</f>
        <v>20230331</v>
      </c>
      <c r="X238" s="0" t="n">
        <f aca="false">IF(ISBLANK(RawFinancials!X238),"",RawFinancials!X238)</f>
        <v>0.0703982689436183</v>
      </c>
      <c r="Y238" s="0" t="n">
        <f aca="false">IF(ISBLANK(RawFinancials!Y238),"",RawFinancials!Y238)</f>
        <v>0.59</v>
      </c>
      <c r="Z238" s="0" t="str">
        <f aca="false">IF(ISBLANK(RawFinancials!Z238),"",RawFinancials!Z238)</f>
        <v>NH</v>
      </c>
      <c r="AA238" s="0" t="n">
        <f aca="false">RawFinancials!AA238</f>
        <v>1</v>
      </c>
      <c r="AB238" s="0" t="n">
        <f aca="false">RawFinancials!AB238</f>
        <v>2269</v>
      </c>
      <c r="AC238" s="0" t="n">
        <f aca="false">RawFinancials!AC238</f>
        <v>0.41360428150611</v>
      </c>
      <c r="AD238" s="0" t="n">
        <f aca="false">IF(L238&gt;0,100*N238/L238,"")</f>
        <v>94.9672483863256</v>
      </c>
      <c r="AE238" s="0" t="n">
        <f aca="false">IF(B238&gt;0,100*F238/B238,"")</f>
        <v>11.909397147607</v>
      </c>
      <c r="AF238" s="0" t="str">
        <f aca="false">RawFinancials!AE238</f>
        <v>原始0：需核实适用/报告口径</v>
      </c>
    </row>
    <row r="239" customFormat="false" ht="15" hidden="false" customHeight="false" outlineLevel="0" collapsed="false">
      <c r="A239" s="0" t="n">
        <f aca="false">IF(ISBLANK(RawFinancials!A239),"",RawFinancials!A239)</f>
        <v>239</v>
      </c>
      <c r="B239" s="0" t="n">
        <f aca="false">IF(ISBLANK(RawFinancials!B239),"",RawFinancials!B239)</f>
        <v>7408655</v>
      </c>
      <c r="C239" s="0" t="n">
        <f aca="false">IF(ISBLANK(RawFinancials!C239),"",RawFinancials!C239)</f>
        <v>18408</v>
      </c>
      <c r="D239" s="0" t="n">
        <f aca="false">IF(ISBLANK(RawFinancials!D239),"",RawFinancials!D239)</f>
        <v>5909216</v>
      </c>
      <c r="E239" s="0" t="n">
        <f aca="false">IF(ISBLANK(RawFinancials!E239),"",RawFinancials!E239)</f>
        <v>0</v>
      </c>
      <c r="F239" s="0" t="n">
        <f aca="false">IF(ISBLANK(RawFinancials!F239),"",RawFinancials!F239)</f>
        <v>379605</v>
      </c>
      <c r="G239" s="0" t="n">
        <f aca="false">IF(ISBLANK(RawFinancials!G239),"",RawFinancials!G239)</f>
        <v>5.12380452322318</v>
      </c>
      <c r="H239" s="0" t="str">
        <f aca="false">IF(ISBLANK(RawFinancials!H239),"",RawFinancials!H239)</f>
        <v>18408_20230331</v>
      </c>
      <c r="I239" s="0" t="n">
        <f aca="false">IF(ISBLANK(RawFinancials!I239),"",RawFinancials!I239)</f>
        <v>0.773535000383253</v>
      </c>
      <c r="J239" s="0" t="n">
        <f aca="false">IF(ISBLANK(RawFinancials!J239),"",RawFinancials!J239)</f>
        <v>323957</v>
      </c>
      <c r="K239" s="0" t="n">
        <f aca="false">IF(ISBLANK(RawFinancials!K239),"",RawFinancials!K239)</f>
        <v>30117</v>
      </c>
      <c r="L239" s="0" t="n">
        <f aca="false">IF(ISBLANK(RawFinancials!L239),"",RawFinancials!L239)</f>
        <v>4709677</v>
      </c>
      <c r="M239" s="0" t="n">
        <f aca="false">IF(ISBLANK(RawFinancials!M239),"",RawFinancials!M239)</f>
        <v>4673246</v>
      </c>
      <c r="N239" s="0" t="n">
        <f aca="false">IF(ISBLANK(RawFinancials!N239),"",RawFinancials!N239)</f>
        <v>4284764</v>
      </c>
      <c r="O239" s="0" t="n">
        <f aca="false">IF(ISBLANK(RawFinancials!O239),"",RawFinancials!O239)</f>
        <v>2650</v>
      </c>
      <c r="P239" s="0" t="str">
        <f aca="false">IF(ISBLANK(RawFinancials!P239),"",RawFinancials!P239)</f>
        <v>BANGOR SAVINGS BANK</v>
      </c>
      <c r="Q239" s="0" t="n">
        <f aca="false">IF(ISBLANK(RawFinancials!Q239),"",RawFinancials!Q239)</f>
        <v>0.056267128297758</v>
      </c>
      <c r="R239" s="0" t="n">
        <f aca="false">IF(ISBLANK(RawFinancials!R239),"",RawFinancials!R239)</f>
        <v>2.1967342242162</v>
      </c>
      <c r="S239" s="0" t="n">
        <f aca="false">IF(ISBLANK(RawFinancials!S239),"",RawFinancials!S239)</f>
        <v>1465</v>
      </c>
      <c r="T239" s="0" t="n">
        <f aca="false">IF(ISBLANK(RawFinancials!T239),"",RawFinancials!T239)</f>
        <v>5472</v>
      </c>
      <c r="U239" s="0" t="n">
        <f aca="false">IF(ISBLANK(RawFinancials!U239),"",RawFinancials!U239)</f>
        <v>0</v>
      </c>
      <c r="V239" s="0" t="n">
        <f aca="false">IF(ISBLANK(RawFinancials!V239),"",RawFinancials!V239)</f>
        <v>11.786074914701</v>
      </c>
      <c r="W239" s="0" t="n">
        <f aca="false">IF(ISBLANK(RawFinancials!W239),"",RawFinancials!W239)</f>
        <v>20230331</v>
      </c>
      <c r="X239" s="0" t="n">
        <f aca="false">IF(ISBLANK(RawFinancials!X239),"",RawFinancials!X239)</f>
        <v>0.0727725446773376</v>
      </c>
      <c r="Y239" s="0" t="n">
        <f aca="false">IF(ISBLANK(RawFinancials!Y239),"",RawFinancials!Y239)</f>
        <v>1.48</v>
      </c>
      <c r="Z239" s="0" t="str">
        <f aca="false">IF(ISBLANK(RawFinancials!Z239),"",RawFinancials!Z239)</f>
        <v>ME</v>
      </c>
      <c r="AA239" s="0" t="n">
        <f aca="false">RawFinancials!AA239</f>
        <v>1</v>
      </c>
      <c r="AB239" s="0" t="n">
        <f aca="false">RawFinancials!AB239</f>
        <v>2650</v>
      </c>
      <c r="AC239" s="0" t="n">
        <f aca="false">RawFinancials!AC239</f>
        <v>0.0357689756102828</v>
      </c>
      <c r="AD239" s="0" t="n">
        <f aca="false">IF(L239&gt;0,100*N239/L239,"")</f>
        <v>90.9778738541942</v>
      </c>
      <c r="AE239" s="0" t="n">
        <f aca="false">IF(B239&gt;0,100*F239/B239,"")</f>
        <v>5.12380452322318</v>
      </c>
      <c r="AF239" s="0" t="str">
        <f aca="false">RawFinancials!AE239</f>
        <v/>
      </c>
    </row>
    <row r="240" customFormat="false" ht="15" hidden="false" customHeight="false" outlineLevel="0" collapsed="false">
      <c r="A240" s="0" t="n">
        <f aca="false">IF(ISBLANK(RawFinancials!A240),"",RawFinancials!A240)</f>
        <v>240</v>
      </c>
      <c r="B240" s="0" t="n">
        <f aca="false">IF(ISBLANK(RawFinancials!B240),"",RawFinancials!B240)</f>
        <v>2391401</v>
      </c>
      <c r="C240" s="0" t="n">
        <f aca="false">IF(ISBLANK(RawFinancials!C240),"",RawFinancials!C240)</f>
        <v>19531</v>
      </c>
      <c r="D240" s="0" t="n">
        <f aca="false">IF(ISBLANK(RawFinancials!D240),"",RawFinancials!D240)</f>
        <v>1997122</v>
      </c>
      <c r="E240" s="0" t="n">
        <f aca="false">IF(ISBLANK(RawFinancials!E240),"",RawFinancials!E240)</f>
        <v>0</v>
      </c>
      <c r="F240" s="0" t="n">
        <f aca="false">IF(ISBLANK(RawFinancials!F240),"",RawFinancials!F240)</f>
        <v>231126</v>
      </c>
      <c r="G240" s="0" t="n">
        <f aca="false">IF(ISBLANK(RawFinancials!G240),"",RawFinancials!G240)</f>
        <v>9.66487845409448</v>
      </c>
      <c r="H240" s="0" t="str">
        <f aca="false">IF(ISBLANK(RawFinancials!H240),"",RawFinancials!H240)</f>
        <v>19531_20230331</v>
      </c>
      <c r="I240" s="0" t="n">
        <f aca="false">IF(ISBLANK(RawFinancials!I240),"",RawFinancials!I240)</f>
        <v>1.21529212083691</v>
      </c>
      <c r="J240" s="0" t="n">
        <f aca="false">IF(ISBLANK(RawFinancials!J240),"",RawFinancials!J240)</f>
        <v>238788</v>
      </c>
      <c r="K240" s="0" t="n">
        <f aca="false">IF(ISBLANK(RawFinancials!K240),"",RawFinancials!K240)</f>
        <v>14418</v>
      </c>
      <c r="L240" s="0" t="n">
        <f aca="false">IF(ISBLANK(RawFinancials!L240),"",RawFinancials!L240)</f>
        <v>1912462</v>
      </c>
      <c r="M240" s="0" t="n">
        <f aca="false">IF(ISBLANK(RawFinancials!M240),"",RawFinancials!M240)</f>
        <v>1889220</v>
      </c>
      <c r="N240" s="0" t="n">
        <f aca="false">IF(ISBLANK(RawFinancials!N240),"",RawFinancials!N240)</f>
        <v>1564296</v>
      </c>
      <c r="O240" s="0" t="n">
        <f aca="false">IF(ISBLANK(RawFinancials!O240),"",RawFinancials!O240)</f>
        <v>14969</v>
      </c>
      <c r="P240" s="0" t="str">
        <f aca="false">IF(ISBLANK(RawFinancials!P240),"",RawFinancials!P240)</f>
        <v>MACHIAS SAVINGS BANK</v>
      </c>
      <c r="Q240" s="0" t="n">
        <f aca="false">IF(ISBLANK(RawFinancials!Q240),"",RawFinancials!Q240)</f>
        <v>0.782708362309944</v>
      </c>
      <c r="R240" s="0" t="n">
        <f aca="false">IF(ISBLANK(RawFinancials!R240),"",RawFinancials!R240)</f>
        <v>2.83903414631549</v>
      </c>
      <c r="S240" s="0" t="n">
        <f aca="false">IF(ISBLANK(RawFinancials!S240),"",RawFinancials!S240)</f>
        <v>24</v>
      </c>
      <c r="T240" s="0" t="n">
        <f aca="false">IF(ISBLANK(RawFinancials!T240),"",RawFinancials!T240)</f>
        <v>8568</v>
      </c>
      <c r="U240" s="0" t="n">
        <f aca="false">IF(ISBLANK(RawFinancials!U240),"",RawFinancials!U240)</f>
        <v>0</v>
      </c>
      <c r="V240" s="0" t="n">
        <f aca="false">IF(ISBLANK(RawFinancials!V240),"",RawFinancials!V240)</f>
        <v>14.2370552569306</v>
      </c>
      <c r="W240" s="0" t="n">
        <f aca="false">IF(ISBLANK(RawFinancials!W240),"",RawFinancials!W240)</f>
        <v>20230331</v>
      </c>
      <c r="X240" s="0" t="n">
        <f aca="false">IF(ISBLANK(RawFinancials!X240),"",RawFinancials!X240)</f>
        <v>0.598798237021496</v>
      </c>
      <c r="Y240" s="0" t="n">
        <f aca="false">IF(ISBLANK(RawFinancials!Y240),"",RawFinancials!Y240)</f>
        <v>6.26</v>
      </c>
      <c r="Z240" s="0" t="str">
        <f aca="false">IF(ISBLANK(RawFinancials!Z240),"",RawFinancials!Z240)</f>
        <v>ME</v>
      </c>
      <c r="AA240" s="0" t="n">
        <f aca="false">RawFinancials!AA240</f>
        <v>1</v>
      </c>
      <c r="AB240" s="0" t="n">
        <f aca="false">RawFinancials!AB240</f>
        <v>14969</v>
      </c>
      <c r="AC240" s="0" t="n">
        <f aca="false">RawFinancials!AC240</f>
        <v>0.625951063832456</v>
      </c>
      <c r="AD240" s="0" t="n">
        <f aca="false">IF(L240&gt;0,100*N240/L240,"")</f>
        <v>81.7948801074217</v>
      </c>
      <c r="AE240" s="0" t="n">
        <f aca="false">IF(B240&gt;0,100*F240/B240,"")</f>
        <v>9.66487845409448</v>
      </c>
      <c r="AF240" s="0" t="str">
        <f aca="false">RawFinancials!AE240</f>
        <v/>
      </c>
    </row>
    <row r="241" customFormat="false" ht="15" hidden="false" customHeight="false" outlineLevel="0" collapsed="false">
      <c r="A241" s="0" t="n">
        <f aca="false">IF(ISBLANK(RawFinancials!A241),"",RawFinancials!A241)</f>
        <v>241</v>
      </c>
      <c r="B241" s="0" t="n">
        <f aca="false">IF(ISBLANK(RawFinancials!B241),"",RawFinancials!B241)</f>
        <v>781513</v>
      </c>
      <c r="C241" s="0" t="n">
        <f aca="false">IF(ISBLANK(RawFinancials!C241),"",RawFinancials!C241)</f>
        <v>19532</v>
      </c>
      <c r="D241" s="0" t="n">
        <f aca="false">IF(ISBLANK(RawFinancials!D241),"",RawFinancials!D241)</f>
        <v>676028</v>
      </c>
      <c r="E241" s="0" t="n">
        <f aca="false">IF(ISBLANK(RawFinancials!E241),"",RawFinancials!E241)</f>
        <v>0</v>
      </c>
      <c r="F241" s="0" t="n">
        <f aca="false">IF(ISBLANK(RawFinancials!F241),"",RawFinancials!F241)</f>
        <v>91464</v>
      </c>
      <c r="G241" s="0" t="n">
        <f aca="false">IF(ISBLANK(RawFinancials!G241),"",RawFinancials!G241)</f>
        <v>11.7034521498683</v>
      </c>
      <c r="H241" s="0" t="str">
        <f aca="false">IF(ISBLANK(RawFinancials!H241),"",RawFinancials!H241)</f>
        <v>19532_20230331</v>
      </c>
      <c r="I241" s="0" t="n">
        <f aca="false">IF(ISBLANK(RawFinancials!I241),"",RawFinancials!I241)</f>
        <v>1.03349728097759</v>
      </c>
      <c r="J241" s="0" t="n">
        <f aca="false">IF(ISBLANK(RawFinancials!J241),"",RawFinancials!J241)</f>
        <v>34197</v>
      </c>
      <c r="K241" s="0" t="n">
        <f aca="false">IF(ISBLANK(RawFinancials!K241),"",RawFinancials!K241)</f>
        <v>47272</v>
      </c>
      <c r="L241" s="0" t="n">
        <f aca="false">IF(ISBLANK(RawFinancials!L241),"",RawFinancials!L241)</f>
        <v>558105</v>
      </c>
      <c r="M241" s="0" t="n">
        <f aca="false">IF(ISBLANK(RawFinancials!M241),"",RawFinancials!M241)</f>
        <v>552337</v>
      </c>
      <c r="N241" s="0" t="n">
        <f aca="false">IF(ISBLANK(RawFinancials!N241),"",RawFinancials!N241)</f>
        <v>465968</v>
      </c>
      <c r="O241" s="0" t="n">
        <f aca="false">IF(ISBLANK(RawFinancials!O241),"",RawFinancials!O241)</f>
        <v>712</v>
      </c>
      <c r="P241" s="0" t="str">
        <f aca="false">IF(ISBLANK(RawFinancials!P241),"",RawFinancials!P241)</f>
        <v>SKOWHEGAN SAVINGS BANK</v>
      </c>
      <c r="Q241" s="0" t="n">
        <f aca="false">IF(ISBLANK(RawFinancials!Q241),"",RawFinancials!Q241)</f>
        <v>0.127574560342588</v>
      </c>
      <c r="R241" s="0" t="n">
        <f aca="false">IF(ISBLANK(RawFinancials!R241),"",RawFinancials!R241)</f>
        <v>3.56459940305092</v>
      </c>
      <c r="S241" s="0" t="n">
        <f aca="false">IF(ISBLANK(RawFinancials!S241),"",RawFinancials!S241)</f>
        <v>16</v>
      </c>
      <c r="T241" s="0" t="n">
        <f aca="false">IF(ISBLANK(RawFinancials!T241),"",RawFinancials!T241)</f>
        <v>427</v>
      </c>
      <c r="U241" s="0" t="n">
        <f aca="false">IF(ISBLANK(RawFinancials!U241),"",RawFinancials!U241)</f>
        <v>0</v>
      </c>
      <c r="V241" s="0" t="n">
        <f aca="false">IF(ISBLANK(RawFinancials!V241),"",RawFinancials!V241)</f>
        <v>21.6495094755333</v>
      </c>
      <c r="W241" s="0" t="n">
        <f aca="false">IF(ISBLANK(RawFinancials!W241),"",RawFinancials!W241)</f>
        <v>20230331</v>
      </c>
      <c r="X241" s="0" t="n">
        <f aca="false">IF(ISBLANK(RawFinancials!X241),"",RawFinancials!X241)</f>
        <v>0.829366675964691</v>
      </c>
      <c r="Y241" s="0" t="n">
        <f aca="false">IF(ISBLANK(RawFinancials!Y241),"",RawFinancials!Y241)</f>
        <v>7.2</v>
      </c>
      <c r="Z241" s="0" t="str">
        <f aca="false">IF(ISBLANK(RawFinancials!Z241),"",RawFinancials!Z241)</f>
        <v>ME</v>
      </c>
      <c r="AA241" s="0" t="n">
        <f aca="false">RawFinancials!AA241</f>
        <v>1</v>
      </c>
      <c r="AB241" s="0" t="n">
        <f aca="false">RawFinancials!AB241</f>
        <v>712</v>
      </c>
      <c r="AC241" s="0" t="n">
        <f aca="false">RawFinancials!AC241</f>
        <v>0.0911053303016073</v>
      </c>
      <c r="AD241" s="0" t="n">
        <f aca="false">IF(L241&gt;0,100*N241/L241,"")</f>
        <v>83.4910993451053</v>
      </c>
      <c r="AE241" s="0" t="n">
        <f aca="false">IF(B241&gt;0,100*F241/B241,"")</f>
        <v>11.7034521498683</v>
      </c>
      <c r="AF241" s="0" t="str">
        <f aca="false">RawFinancials!AE241</f>
        <v/>
      </c>
    </row>
    <row r="242" customFormat="false" ht="15" hidden="false" customHeight="false" outlineLevel="0" collapsed="false">
      <c r="A242" s="0" t="n">
        <f aca="false">IF(ISBLANK(RawFinancials!A242),"",RawFinancials!A242)</f>
        <v>242</v>
      </c>
      <c r="B242" s="0" t="n">
        <f aca="false">IF(ISBLANK(RawFinancials!B242),"",RawFinancials!B242)</f>
        <v>2866479</v>
      </c>
      <c r="C242" s="0" t="n">
        <f aca="false">IF(ISBLANK(RawFinancials!C242),"",RawFinancials!C242)</f>
        <v>19690</v>
      </c>
      <c r="D242" s="0" t="n">
        <f aca="false">IF(ISBLANK(RawFinancials!D242),"",RawFinancials!D242)</f>
        <v>2150204</v>
      </c>
      <c r="E242" s="0" t="n">
        <f aca="false">IF(ISBLANK(RawFinancials!E242),"",RawFinancials!E242)</f>
        <v>0.1</v>
      </c>
      <c r="F242" s="0" t="n">
        <f aca="false">IF(ISBLANK(RawFinancials!F242),"",RawFinancials!F242)</f>
        <v>283869</v>
      </c>
      <c r="G242" s="0" t="n">
        <f aca="false">IF(ISBLANK(RawFinancials!G242),"",RawFinancials!G242)</f>
        <v>9.9030552814097</v>
      </c>
      <c r="H242" s="0" t="str">
        <f aca="false">IF(ISBLANK(RawFinancials!H242),"",RawFinancials!H242)</f>
        <v>19690_20230331</v>
      </c>
      <c r="I242" s="0" t="n">
        <f aca="false">IF(ISBLANK(RawFinancials!I242),"",RawFinancials!I242)</f>
        <v>0.282572879458282</v>
      </c>
      <c r="J242" s="0" t="n">
        <f aca="false">IF(ISBLANK(RawFinancials!J242),"",RawFinancials!J242)</f>
        <v>41557</v>
      </c>
      <c r="K242" s="0" t="n">
        <f aca="false">IF(ISBLANK(RawFinancials!K242),"",RawFinancials!K242)</f>
        <v>534</v>
      </c>
      <c r="L242" s="0" t="n">
        <f aca="false">IF(ISBLANK(RawFinancials!L242),"",RawFinancials!L242)</f>
        <v>2509795</v>
      </c>
      <c r="M242" s="0" t="n">
        <f aca="false">IF(ISBLANK(RawFinancials!M242),"",RawFinancials!M242)</f>
        <v>2502703</v>
      </c>
      <c r="N242" s="0" t="n">
        <f aca="false">IF(ISBLANK(RawFinancials!N242),"",RawFinancials!N242)</f>
        <v>2010351</v>
      </c>
      <c r="O242" s="0" t="n">
        <f aca="false">IF(ISBLANK(RawFinancials!O242),"",RawFinancials!O242)</f>
        <v>14522</v>
      </c>
      <c r="P242" s="0" t="str">
        <f aca="false">IF(ISBLANK(RawFinancials!P242),"",RawFinancials!P242)</f>
        <v>NORTHEAST BANK</v>
      </c>
      <c r="Q242" s="0" t="n">
        <f aca="false">IF(ISBLANK(RawFinancials!Q242),"",RawFinancials!Q242)</f>
        <v>0.578612994288378</v>
      </c>
      <c r="R242" s="0" t="n">
        <f aca="false">IF(ISBLANK(RawFinancials!R242),"",RawFinancials!R242)</f>
        <v>4.69912192082439</v>
      </c>
      <c r="S242" s="0" t="n">
        <f aca="false">IF(ISBLANK(RawFinancials!S242),"",RawFinancials!S242)</f>
        <v>-5</v>
      </c>
      <c r="T242" s="0" t="n">
        <f aca="false">IF(ISBLANK(RawFinancials!T242),"",RawFinancials!T242)</f>
        <v>6586</v>
      </c>
      <c r="U242" s="0" t="n">
        <f aca="false">IF(ISBLANK(RawFinancials!U242),"",RawFinancials!U242)</f>
        <v>0</v>
      </c>
      <c r="V242" s="0" t="n">
        <f aca="false">IF(ISBLANK(RawFinancials!V242),"",RawFinancials!V242)</f>
        <v>11.8894271150854</v>
      </c>
      <c r="W242" s="0" t="n">
        <f aca="false">IF(ISBLANK(RawFinancials!W242),"",RawFinancials!W242)</f>
        <v>20230331</v>
      </c>
      <c r="X242" s="0" t="n">
        <f aca="false">IF(ISBLANK(RawFinancials!X242),"",RawFinancials!X242)</f>
        <v>1.76423215572798</v>
      </c>
      <c r="Y242" s="0" t="n">
        <f aca="false">IF(ISBLANK(RawFinancials!Y242),"",RawFinancials!Y242)</f>
        <v>18.3</v>
      </c>
      <c r="Z242" s="0" t="str">
        <f aca="false">IF(ISBLANK(RawFinancials!Z242),"",RawFinancials!Z242)</f>
        <v>ME</v>
      </c>
      <c r="AA242" s="0" t="n">
        <f aca="false">RawFinancials!AA242</f>
        <v>1</v>
      </c>
      <c r="AB242" s="0" t="n">
        <f aca="false">RawFinancials!AB242</f>
        <v>14522</v>
      </c>
      <c r="AC242" s="0" t="n">
        <f aca="false">RawFinancials!AC242</f>
        <v>0.506614560929977</v>
      </c>
      <c r="AD242" s="0" t="n">
        <f aca="false">IF(L242&gt;0,100*N242/L242,"")</f>
        <v>80.100207387456</v>
      </c>
      <c r="AE242" s="0" t="n">
        <f aca="false">IF(B242&gt;0,100*F242/B242,"")</f>
        <v>9.9030552814097</v>
      </c>
      <c r="AF242" s="0" t="str">
        <f aca="false">RawFinancials!AE242</f>
        <v/>
      </c>
    </row>
    <row r="243" customFormat="false" ht="15" hidden="false" customHeight="false" outlineLevel="0" collapsed="false">
      <c r="A243" s="0" t="n">
        <f aca="false">IF(ISBLANK(RawFinancials!A243),"",RawFinancials!A243)</f>
        <v>243</v>
      </c>
      <c r="B243" s="0" t="n">
        <f aca="false">IF(ISBLANK(RawFinancials!B243),"",RawFinancials!B243)</f>
        <v>600233</v>
      </c>
      <c r="C243" s="0" t="n">
        <f aca="false">IF(ISBLANK(RawFinancials!C243),"",RawFinancials!C243)</f>
        <v>19836</v>
      </c>
      <c r="D243" s="0" t="n">
        <f aca="false">IF(ISBLANK(RawFinancials!D243),"",RawFinancials!D243)</f>
        <v>442530</v>
      </c>
      <c r="E243" s="0" t="n">
        <f aca="false">IF(ISBLANK(RawFinancials!E243),"",RawFinancials!E243)</f>
        <v>0.01</v>
      </c>
      <c r="F243" s="0" t="n">
        <f aca="false">IF(ISBLANK(RawFinancials!F243),"",RawFinancials!F243)</f>
        <v>118387</v>
      </c>
      <c r="G243" s="0" t="n">
        <f aca="false">IF(ISBLANK(RawFinancials!G243),"",RawFinancials!G243)</f>
        <v>19.7235073713041</v>
      </c>
      <c r="H243" s="0" t="str">
        <f aca="false">IF(ISBLANK(RawFinancials!H243),"",RawFinancials!H243)</f>
        <v>19836_20230331</v>
      </c>
      <c r="I243" s="0" t="n">
        <f aca="false">IF(ISBLANK(RawFinancials!I243),"",RawFinancials!I243)</f>
        <v>0.867764936904455</v>
      </c>
      <c r="J243" s="0" t="n">
        <f aca="false">IF(ISBLANK(RawFinancials!J243),"",RawFinancials!J243)</f>
        <v>49653</v>
      </c>
      <c r="K243" s="0" t="n">
        <f aca="false">IF(ISBLANK(RawFinancials!K243),"",RawFinancials!K243)</f>
        <v>12278</v>
      </c>
      <c r="L243" s="0" t="n">
        <f aca="false">IF(ISBLANK(RawFinancials!L243),"",RawFinancials!L243)</f>
        <v>497024</v>
      </c>
      <c r="M243" s="0" t="n">
        <f aca="false">IF(ISBLANK(RawFinancials!M243),"",RawFinancials!M243)</f>
        <v>492711</v>
      </c>
      <c r="N243" s="0" t="n">
        <f aca="false">IF(ISBLANK(RawFinancials!N243),"",RawFinancials!N243)</f>
        <v>430517</v>
      </c>
      <c r="O243" s="0" t="n">
        <f aca="false">IF(ISBLANK(RawFinancials!O243),"",RawFinancials!O243)</f>
        <v>2423</v>
      </c>
      <c r="P243" s="0" t="str">
        <f aca="false">IF(ISBLANK(RawFinancials!P243),"",RawFinancials!P243)</f>
        <v>FRANKLIN SAVINGS BANK</v>
      </c>
      <c r="Q243" s="0" t="n">
        <f aca="false">IF(ISBLANK(RawFinancials!Q243),"",RawFinancials!Q243)</f>
        <v>0.495549510687613</v>
      </c>
      <c r="R243" s="0" t="n">
        <f aca="false">IF(ISBLANK(RawFinancials!R243),"",RawFinancials!R243)</f>
        <v>4.18519544520099</v>
      </c>
      <c r="S243" s="0" t="n">
        <f aca="false">IF(ISBLANK(RawFinancials!S243),"",RawFinancials!S243)</f>
        <v>14</v>
      </c>
      <c r="T243" s="0" t="n">
        <f aca="false">IF(ISBLANK(RawFinancials!T243),"",RawFinancials!T243)</f>
        <v>2008</v>
      </c>
      <c r="U243" s="0" t="n">
        <f aca="false">IF(ISBLANK(RawFinancials!U243),"",RawFinancials!U243)</f>
        <v>40</v>
      </c>
      <c r="V243" s="0" t="n">
        <f aca="false">IF(ISBLANK(RawFinancials!V243),"",RawFinancials!V243)</f>
        <v>27.6259114445736</v>
      </c>
      <c r="W243" s="0" t="n">
        <f aca="false">IF(ISBLANK(RawFinancials!W243),"",RawFinancials!W243)</f>
        <v>20230331</v>
      </c>
      <c r="X243" s="0" t="n">
        <f aca="false">IF(ISBLANK(RawFinancials!X243),"",RawFinancials!X243)</f>
        <v>0.661549552605911</v>
      </c>
      <c r="Y243" s="0" t="n">
        <f aca="false">IF(ISBLANK(RawFinancials!Y243),"",RawFinancials!Y243)</f>
        <v>3.32</v>
      </c>
      <c r="Z243" s="0" t="str">
        <f aca="false">IF(ISBLANK(RawFinancials!Z243),"",RawFinancials!Z243)</f>
        <v>ME</v>
      </c>
      <c r="AA243" s="0" t="n">
        <f aca="false">RawFinancials!AA243</f>
        <v>1</v>
      </c>
      <c r="AB243" s="0" t="n">
        <f aca="false">RawFinancials!AB243</f>
        <v>2463</v>
      </c>
      <c r="AC243" s="0" t="n">
        <f aca="false">RawFinancials!AC243</f>
        <v>0.410340651047177</v>
      </c>
      <c r="AD243" s="0" t="n">
        <f aca="false">IF(L243&gt;0,100*N243/L243,"")</f>
        <v>86.6189560262684</v>
      </c>
      <c r="AE243" s="0" t="n">
        <f aca="false">IF(B243&gt;0,100*F243/B243,"")</f>
        <v>19.7235073713041</v>
      </c>
      <c r="AF243" s="0" t="str">
        <f aca="false">RawFinancials!AE243</f>
        <v/>
      </c>
    </row>
    <row r="244" customFormat="false" ht="15" hidden="false" customHeight="false" outlineLevel="0" collapsed="false">
      <c r="A244" s="0" t="n">
        <f aca="false">IF(ISBLANK(RawFinancials!A244),"",RawFinancials!A244)</f>
        <v>244</v>
      </c>
      <c r="B244" s="0" t="n">
        <f aca="false">IF(ISBLANK(RawFinancials!B244),"",RawFinancials!B244)</f>
        <v>1306028</v>
      </c>
      <c r="C244" s="0" t="n">
        <f aca="false">IF(ISBLANK(RawFinancials!C244),"",RawFinancials!C244)</f>
        <v>24540</v>
      </c>
      <c r="D244" s="0" t="n">
        <f aca="false">IF(ISBLANK(RawFinancials!D244),"",RawFinancials!D244)</f>
        <v>1050825</v>
      </c>
      <c r="E244" s="0" t="n">
        <f aca="false">IF(ISBLANK(RawFinancials!E244),"",RawFinancials!E244)</f>
        <v>0.44</v>
      </c>
      <c r="F244" s="0" t="n">
        <f aca="false">IF(ISBLANK(RawFinancials!F244),"",RawFinancials!F244)</f>
        <v>223212</v>
      </c>
      <c r="G244" s="0" t="n">
        <f aca="false">IF(ISBLANK(RawFinancials!G244),"",RawFinancials!G244)</f>
        <v>17.0909046360415</v>
      </c>
      <c r="H244" s="0" t="str">
        <f aca="false">IF(ISBLANK(RawFinancials!H244),"",RawFinancials!H244)</f>
        <v>24540_20230331</v>
      </c>
      <c r="I244" s="0" t="n">
        <f aca="false">IF(ISBLANK(RawFinancials!I244),"",RawFinancials!I244)</f>
        <v>0.998533228026628</v>
      </c>
      <c r="J244" s="0" t="n">
        <f aca="false">IF(ISBLANK(RawFinancials!J244),"",RawFinancials!J244)</f>
        <v>38781</v>
      </c>
      <c r="K244" s="0" t="n">
        <f aca="false">IF(ISBLANK(RawFinancials!K244),"",RawFinancials!K244)</f>
        <v>84</v>
      </c>
      <c r="L244" s="0" t="n">
        <f aca="false">IF(ISBLANK(RawFinancials!L244),"",RawFinancials!L244)</f>
        <v>1134464</v>
      </c>
      <c r="M244" s="0" t="n">
        <f aca="false">IF(ISBLANK(RawFinancials!M244),"",RawFinancials!M244)</f>
        <v>1123136</v>
      </c>
      <c r="N244" s="0" t="n">
        <f aca="false">IF(ISBLANK(RawFinancials!N244),"",RawFinancials!N244)</f>
        <v>1099219</v>
      </c>
      <c r="O244" s="0" t="n">
        <f aca="false">IF(ISBLANK(RawFinancials!O244),"",RawFinancials!O244)</f>
        <v>358</v>
      </c>
      <c r="P244" s="0" t="str">
        <f aca="false">IF(ISBLANK(RawFinancials!P244),"",RawFinancials!P244)</f>
        <v>BANK OF NEW ENGLAND</v>
      </c>
      <c r="Q244" s="0" t="n">
        <f aca="false">IF(ISBLANK(RawFinancials!Q244),"",RawFinancials!Q244)</f>
        <v>0.0315567527925081</v>
      </c>
      <c r="R244" s="0" t="n">
        <f aca="false">IF(ISBLANK(RawFinancials!R244),"",RawFinancials!R244)</f>
        <v>5.05140342249484</v>
      </c>
      <c r="S244" s="0" t="n">
        <f aca="false">IF(ISBLANK(RawFinancials!S244),"",RawFinancials!S244)</f>
        <v>0</v>
      </c>
      <c r="T244" s="0" t="n">
        <f aca="false">IF(ISBLANK(RawFinancials!T244),"",RawFinancials!T244)</f>
        <v>0</v>
      </c>
      <c r="U244" s="0" t="n">
        <f aca="false">IF(ISBLANK(RawFinancials!U244),"",RawFinancials!U244)</f>
        <v>0</v>
      </c>
      <c r="V244" s="0" t="n">
        <f aca="false">IF(ISBLANK(RawFinancials!V244),"",RawFinancials!V244)</f>
        <v>0</v>
      </c>
      <c r="W244" s="0" t="n">
        <f aca="false">IF(ISBLANK(RawFinancials!W244),"",RawFinancials!W244)</f>
        <v>20230331</v>
      </c>
      <c r="X244" s="0" t="n">
        <f aca="false">IF(ISBLANK(RawFinancials!X244),"",RawFinancials!X244)</f>
        <v>2.21929184669772</v>
      </c>
      <c r="Y244" s="0" t="n">
        <f aca="false">IF(ISBLANK(RawFinancials!Y244),"",RawFinancials!Y244)</f>
        <v>13</v>
      </c>
      <c r="Z244" s="0" t="str">
        <f aca="false">IF(ISBLANK(RawFinancials!Z244),"",RawFinancials!Z244)</f>
        <v>NH</v>
      </c>
      <c r="AA244" s="0" t="n">
        <f aca="false">RawFinancials!AA244</f>
        <v>1</v>
      </c>
      <c r="AB244" s="0" t="n">
        <f aca="false">RawFinancials!AB244</f>
        <v>358</v>
      </c>
      <c r="AC244" s="0" t="n">
        <f aca="false">RawFinancials!AC244</f>
        <v>0.0274113571837663</v>
      </c>
      <c r="AD244" s="0" t="n">
        <f aca="false">IF(L244&gt;0,100*N244/L244,"")</f>
        <v>96.893246502313</v>
      </c>
      <c r="AE244" s="0" t="n">
        <f aca="false">IF(B244&gt;0,100*F244/B244,"")</f>
        <v>17.0909046360415</v>
      </c>
      <c r="AF244" s="0" t="str">
        <f aca="false">RawFinancials!AE244</f>
        <v>原始0：需核实适用/报告口径</v>
      </c>
    </row>
    <row r="245" customFormat="false" ht="15" hidden="false" customHeight="false" outlineLevel="0" collapsed="false">
      <c r="A245" s="0" t="n">
        <f aca="false">IF(ISBLANK(RawFinancials!A245),"",RawFinancials!A245)</f>
        <v>245</v>
      </c>
      <c r="B245" s="0" t="n">
        <f aca="false">IF(ISBLANK(RawFinancials!B245),"",RawFinancials!B245)</f>
        <v>495672</v>
      </c>
      <c r="C245" s="0" t="n">
        <f aca="false">IF(ISBLANK(RawFinancials!C245),"",RawFinancials!C245)</f>
        <v>27824</v>
      </c>
      <c r="D245" s="0" t="n">
        <f aca="false">IF(ISBLANK(RawFinancials!D245),"",RawFinancials!D245)</f>
        <v>388458</v>
      </c>
      <c r="E245" s="0" t="n">
        <f aca="false">IF(ISBLANK(RawFinancials!E245),"",RawFinancials!E245)</f>
        <v>0</v>
      </c>
      <c r="F245" s="0" t="n">
        <f aca="false">IF(ISBLANK(RawFinancials!F245),"",RawFinancials!F245)</f>
        <v>66508</v>
      </c>
      <c r="G245" s="0" t="n">
        <f aca="false">IF(ISBLANK(RawFinancials!G245),"",RawFinancials!G245)</f>
        <v>13.4177439919947</v>
      </c>
      <c r="H245" s="0" t="str">
        <f aca="false">IF(ISBLANK(RawFinancials!H245),"",RawFinancials!H245)</f>
        <v>27824_20230331</v>
      </c>
      <c r="I245" s="0" t="n">
        <f aca="false">IF(ISBLANK(RawFinancials!I245),"",RawFinancials!I245)</f>
        <v>0.749319966468787</v>
      </c>
      <c r="J245" s="0" t="n">
        <f aca="false">IF(ISBLANK(RawFinancials!J245),"",RawFinancials!J245)</f>
        <v>20795</v>
      </c>
      <c r="K245" s="0" t="n">
        <f aca="false">IF(ISBLANK(RawFinancials!K245),"",RawFinancials!K245)</f>
        <v>40413</v>
      </c>
      <c r="L245" s="0" t="n">
        <f aca="false">IF(ISBLANK(RawFinancials!L245),"",RawFinancials!L245)</f>
        <v>409171</v>
      </c>
      <c r="M245" s="0" t="n">
        <f aca="false">IF(ISBLANK(RawFinancials!M245),"",RawFinancials!M245)</f>
        <v>406105</v>
      </c>
      <c r="N245" s="0" t="n">
        <f aca="false">IF(ISBLANK(RawFinancials!N245),"",RawFinancials!N245)</f>
        <v>347963</v>
      </c>
      <c r="O245" s="0" t="n">
        <f aca="false">IF(ISBLANK(RawFinancials!O245),"",RawFinancials!O245)</f>
        <v>1218</v>
      </c>
      <c r="P245" s="0" t="str">
        <f aca="false">IF(ISBLANK(RawFinancials!P245),"",RawFinancials!P245)</f>
        <v>SALEM CO-OPERATIVE BANK</v>
      </c>
      <c r="Q245" s="0" t="n">
        <f aca="false">IF(ISBLANK(RawFinancials!Q245),"",RawFinancials!Q245)</f>
        <v>0.297675055172532</v>
      </c>
      <c r="R245" s="0" t="n">
        <f aca="false">IF(ISBLANK(RawFinancials!R245),"",RawFinancials!R245)</f>
        <v>2.10264237732131</v>
      </c>
      <c r="S245" s="0" t="n">
        <f aca="false">IF(ISBLANK(RawFinancials!S245),"",RawFinancials!S245)</f>
        <v>49</v>
      </c>
      <c r="T245" s="0" t="n">
        <f aca="false">IF(ISBLANK(RawFinancials!T245),"",RawFinancials!T245)</f>
        <v>948</v>
      </c>
      <c r="U245" s="0" t="n">
        <f aca="false">IF(ISBLANK(RawFinancials!U245),"",RawFinancials!U245)</f>
        <v>0</v>
      </c>
      <c r="V245" s="0" t="n">
        <f aca="false">IF(ISBLANK(RawFinancials!V245),"",RawFinancials!V245)</f>
        <v>23.0543893100378</v>
      </c>
      <c r="W245" s="0" t="n">
        <f aca="false">IF(ISBLANK(RawFinancials!W245),"",RawFinancials!W245)</f>
        <v>20230331</v>
      </c>
      <c r="X245" s="0" t="n">
        <f aca="false">IF(ISBLANK(RawFinancials!X245),"",RawFinancials!X245)</f>
        <v>-0.20429258605113</v>
      </c>
      <c r="Y245" s="0" t="n">
        <f aca="false">IF(ISBLANK(RawFinancials!Y245),"",RawFinancials!Y245)</f>
        <v>-1.51</v>
      </c>
      <c r="Z245" s="0" t="str">
        <f aca="false">IF(ISBLANK(RawFinancials!Z245),"",RawFinancials!Z245)</f>
        <v>NH</v>
      </c>
      <c r="AA245" s="0" t="n">
        <f aca="false">RawFinancials!AA245</f>
        <v>1</v>
      </c>
      <c r="AB245" s="0" t="n">
        <f aca="false">RawFinancials!AB245</f>
        <v>1218</v>
      </c>
      <c r="AC245" s="0" t="n">
        <f aca="false">RawFinancials!AC245</f>
        <v>0.245727013024742</v>
      </c>
      <c r="AD245" s="0" t="n">
        <f aca="false">IF(L245&gt;0,100*N245/L245,"")</f>
        <v>85.0409730894907</v>
      </c>
      <c r="AE245" s="0" t="n">
        <f aca="false">IF(B245&gt;0,100*F245/B245,"")</f>
        <v>13.4177439919947</v>
      </c>
      <c r="AF245" s="0" t="str">
        <f aca="false">RawFinancials!AE245</f>
        <v/>
      </c>
    </row>
    <row r="246" customFormat="false" ht="15" hidden="false" customHeight="false" outlineLevel="0" collapsed="false">
      <c r="A246" s="0" t="n">
        <f aca="false">IF(ISBLANK(RawFinancials!A246),"",RawFinancials!A246)</f>
        <v>246</v>
      </c>
      <c r="B246" s="0" t="n">
        <f aca="false">IF(ISBLANK(RawFinancials!B246),"",RawFinancials!B246)</f>
        <v>300236</v>
      </c>
      <c r="C246" s="0" t="n">
        <f aca="false">IF(ISBLANK(RawFinancials!C246),"",RawFinancials!C246)</f>
        <v>28155</v>
      </c>
      <c r="D246" s="0" t="n">
        <f aca="false">IF(ISBLANK(RawFinancials!D246),"",RawFinancials!D246)</f>
        <v>253151</v>
      </c>
      <c r="E246" s="0" t="n">
        <f aca="false">IF(ISBLANK(RawFinancials!E246),"",RawFinancials!E246)</f>
        <v>0</v>
      </c>
      <c r="F246" s="0" t="n">
        <f aca="false">IF(ISBLANK(RawFinancials!F246),"",RawFinancials!F246)</f>
        <v>27786</v>
      </c>
      <c r="G246" s="0" t="n">
        <f aca="false">IF(ISBLANK(RawFinancials!G246),"",RawFinancials!G246)</f>
        <v>9.25471962056516</v>
      </c>
      <c r="H246" s="0" t="str">
        <f aca="false">IF(ISBLANK(RawFinancials!H246),"",RawFinancials!H246)</f>
        <v>28155_20230331</v>
      </c>
      <c r="I246" s="0" t="n">
        <f aca="false">IF(ISBLANK(RawFinancials!I246),"",RawFinancials!I246)</f>
        <v>0.567726048862993</v>
      </c>
      <c r="J246" s="0" t="n">
        <f aca="false">IF(ISBLANK(RawFinancials!J246),"",RawFinancials!J246)</f>
        <v>6272</v>
      </c>
      <c r="K246" s="0" t="n">
        <f aca="false">IF(ISBLANK(RawFinancials!K246),"",RawFinancials!K246)</f>
        <v>5371</v>
      </c>
      <c r="L246" s="0" t="n">
        <f aca="false">IF(ISBLANK(RawFinancials!L246),"",RawFinancials!L246)</f>
        <v>160817</v>
      </c>
      <c r="M246" s="0" t="n">
        <f aca="false">IF(ISBLANK(RawFinancials!M246),"",RawFinancials!M246)</f>
        <v>159904</v>
      </c>
      <c r="N246" s="0" t="n">
        <f aca="false">IF(ISBLANK(RawFinancials!N246),"",RawFinancials!N246)</f>
        <v>148519</v>
      </c>
      <c r="O246" s="0" t="n">
        <f aca="false">IF(ISBLANK(RawFinancials!O246),"",RawFinancials!O246)</f>
        <v>52</v>
      </c>
      <c r="P246" s="0" t="str">
        <f aca="false">IF(ISBLANK(RawFinancials!P246),"",RawFinancials!P246)</f>
        <v>PROFILE BANK</v>
      </c>
      <c r="Q246" s="0" t="n">
        <f aca="false">IF(ISBLANK(RawFinancials!Q246),"",RawFinancials!Q246)</f>
        <v>0.0323348899681003</v>
      </c>
      <c r="R246" s="0" t="n">
        <f aca="false">IF(ISBLANK(RawFinancials!R246),"",RawFinancials!R246)</f>
        <v>2.59801376961667</v>
      </c>
      <c r="S246" s="0" t="n">
        <f aca="false">IF(ISBLANK(RawFinancials!S246),"",RawFinancials!S246)</f>
        <v>0</v>
      </c>
      <c r="T246" s="0" t="n">
        <f aca="false">IF(ISBLANK(RawFinancials!T246),"",RawFinancials!T246)</f>
        <v>344</v>
      </c>
      <c r="U246" s="0" t="n">
        <f aca="false">IF(ISBLANK(RawFinancials!U246),"",RawFinancials!U246)</f>
        <v>0</v>
      </c>
      <c r="V246" s="0" t="n">
        <f aca="false">IF(ISBLANK(RawFinancials!V246),"",RawFinancials!V246)</f>
        <v>17.8546426332098</v>
      </c>
      <c r="W246" s="0" t="n">
        <f aca="false">IF(ISBLANK(RawFinancials!W246),"",RawFinancials!W246)</f>
        <v>20230331</v>
      </c>
      <c r="X246" s="0" t="n">
        <f aca="false">IF(ISBLANK(RawFinancials!X246),"",RawFinancials!X246)</f>
        <v>0.0923214324539939</v>
      </c>
      <c r="Y246" s="0" t="n">
        <f aca="false">IF(ISBLANK(RawFinancials!Y246),"",RawFinancials!Y246)</f>
        <v>1</v>
      </c>
      <c r="Z246" s="0" t="str">
        <f aca="false">IF(ISBLANK(RawFinancials!Z246),"",RawFinancials!Z246)</f>
        <v>NH</v>
      </c>
      <c r="AA246" s="0" t="n">
        <f aca="false">RawFinancials!AA246</f>
        <v>1</v>
      </c>
      <c r="AB246" s="0" t="n">
        <f aca="false">RawFinancials!AB246</f>
        <v>52</v>
      </c>
      <c r="AC246" s="0" t="n">
        <f aca="false">RawFinancials!AC246</f>
        <v>0.0173197084959832</v>
      </c>
      <c r="AD246" s="0" t="n">
        <f aca="false">IF(L246&gt;0,100*N246/L246,"")</f>
        <v>92.3527985225443</v>
      </c>
      <c r="AE246" s="0" t="n">
        <f aca="false">IF(B246&gt;0,100*F246/B246,"")</f>
        <v>9.25471962056516</v>
      </c>
      <c r="AF246" s="0" t="str">
        <f aca="false">RawFinancials!AE246</f>
        <v/>
      </c>
    </row>
    <row r="247" customFormat="false" ht="15" hidden="false" customHeight="false" outlineLevel="0" collapsed="false">
      <c r="A247" s="0" t="n">
        <f aca="false">IF(ISBLANK(RawFinancials!A247),"",RawFinancials!A247)</f>
        <v>247</v>
      </c>
      <c r="B247" s="0" t="n">
        <f aca="false">IF(ISBLANK(RawFinancials!B247),"",RawFinancials!B247)</f>
        <v>101744</v>
      </c>
      <c r="C247" s="0" t="n">
        <f aca="false">IF(ISBLANK(RawFinancials!C247),"",RawFinancials!C247)</f>
        <v>28288</v>
      </c>
      <c r="D247" s="0" t="n">
        <f aca="false">IF(ISBLANK(RawFinancials!D247),"",RawFinancials!D247)</f>
        <v>79637</v>
      </c>
      <c r="E247" s="0" t="n">
        <f aca="false">IF(ISBLANK(RawFinancials!E247),"",RawFinancials!E247)</f>
        <v>0</v>
      </c>
      <c r="F247" s="0" t="n">
        <f aca="false">IF(ISBLANK(RawFinancials!F247),"",RawFinancials!F247)</f>
        <v>6128</v>
      </c>
      <c r="G247" s="0" t="n">
        <f aca="false">IF(ISBLANK(RawFinancials!G247),"",RawFinancials!G247)</f>
        <v>6.02295958484038</v>
      </c>
      <c r="H247" s="0" t="str">
        <f aca="false">IF(ISBLANK(RawFinancials!H247),"",RawFinancials!H247)</f>
        <v>28288_20230331</v>
      </c>
      <c r="I247" s="0" t="n">
        <f aca="false">IF(ISBLANK(RawFinancials!I247),"",RawFinancials!I247)</f>
        <v>1.09146033350177</v>
      </c>
      <c r="J247" s="0" t="n">
        <f aca="false">IF(ISBLANK(RawFinancials!J247),"",RawFinancials!J247)</f>
        <v>3222</v>
      </c>
      <c r="K247" s="0" t="n">
        <f aca="false">IF(ISBLANK(RawFinancials!K247),"",RawFinancials!K247)</f>
        <v>625</v>
      </c>
      <c r="L247" s="0" t="n">
        <f aca="false">IF(ISBLANK(RawFinancials!L247),"",RawFinancials!L247)</f>
        <v>79160</v>
      </c>
      <c r="M247" s="0" t="n">
        <f aca="false">IF(ISBLANK(RawFinancials!M247),"",RawFinancials!M247)</f>
        <v>78296</v>
      </c>
      <c r="N247" s="0" t="n">
        <f aca="false">IF(ISBLANK(RawFinancials!N247),"",RawFinancials!N247)</f>
        <v>75313</v>
      </c>
      <c r="O247" s="0" t="n">
        <f aca="false">IF(ISBLANK(RawFinancials!O247),"",RawFinancials!O247)</f>
        <v>270</v>
      </c>
      <c r="P247" s="0" t="str">
        <f aca="false">IF(ISBLANK(RawFinancials!P247),"",RawFinancials!P247)</f>
        <v>AUBURN SAVINGS BANK, FSB</v>
      </c>
      <c r="Q247" s="0" t="n">
        <f aca="false">IF(ISBLANK(RawFinancials!Q247),"",RawFinancials!Q247)</f>
        <v>0.341081354219303</v>
      </c>
      <c r="R247" s="0" t="n">
        <f aca="false">IF(ISBLANK(RawFinancials!R247),"",RawFinancials!R247)</f>
        <v>3.00779992314323</v>
      </c>
      <c r="S247" s="0" t="n">
        <f aca="false">IF(ISBLANK(RawFinancials!S247),"",RawFinancials!S247)</f>
        <v>-1</v>
      </c>
      <c r="T247" s="0" t="n">
        <f aca="false">IF(ISBLANK(RawFinancials!T247),"",RawFinancials!T247)</f>
        <v>844</v>
      </c>
      <c r="U247" s="0" t="n">
        <f aca="false">IF(ISBLANK(RawFinancials!U247),"",RawFinancials!U247)</f>
        <v>0</v>
      </c>
      <c r="V247" s="0" t="n">
        <f aca="false">IF(ISBLANK(RawFinancials!V247),"",RawFinancials!V247)</f>
        <v>13.7641491928002</v>
      </c>
      <c r="W247" s="0" t="n">
        <f aca="false">IF(ISBLANK(RawFinancials!W247),"",RawFinancials!W247)</f>
        <v>20230331</v>
      </c>
      <c r="X247" s="0" t="n">
        <f aca="false">IF(ISBLANK(RawFinancials!X247),"",RawFinancials!X247)</f>
        <v>0.0747623099586348</v>
      </c>
      <c r="Y247" s="0" t="n">
        <f aca="false">IF(ISBLANK(RawFinancials!Y247),"",RawFinancials!Y247)</f>
        <v>1.26</v>
      </c>
      <c r="Z247" s="0" t="str">
        <f aca="false">IF(ISBLANK(RawFinancials!Z247),"",RawFinancials!Z247)</f>
        <v>ME</v>
      </c>
      <c r="AA247" s="0" t="n">
        <f aca="false">RawFinancials!AA247</f>
        <v>1</v>
      </c>
      <c r="AB247" s="0" t="n">
        <f aca="false">RawFinancials!AB247</f>
        <v>270</v>
      </c>
      <c r="AC247" s="0" t="n">
        <f aca="false">RawFinancials!AC247</f>
        <v>0.265371913822928</v>
      </c>
      <c r="AD247" s="0" t="n">
        <f aca="false">IF(L247&gt;0,100*N247/L247,"")</f>
        <v>95.1402223345124</v>
      </c>
      <c r="AE247" s="0" t="n">
        <f aca="false">IF(B247&gt;0,100*F247/B247,"")</f>
        <v>6.02295958484038</v>
      </c>
      <c r="AF247" s="0" t="str">
        <f aca="false">RawFinancials!AE247</f>
        <v/>
      </c>
    </row>
    <row r="248" customFormat="false" ht="15" hidden="false" customHeight="false" outlineLevel="0" collapsed="false">
      <c r="A248" s="0" t="n">
        <f aca="false">IF(ISBLANK(RawFinancials!A248),"",RawFinancials!A248)</f>
        <v>248</v>
      </c>
      <c r="B248" s="0" t="n">
        <f aca="false">IF(ISBLANK(RawFinancials!B248),"",RawFinancials!B248)</f>
        <v>87275</v>
      </c>
      <c r="C248" s="0" t="n">
        <f aca="false">IF(ISBLANK(RawFinancials!C248),"",RawFinancials!C248)</f>
        <v>28369</v>
      </c>
      <c r="D248" s="0" t="n">
        <f aca="false">IF(ISBLANK(RawFinancials!D248),"",RawFinancials!D248)</f>
        <v>77349</v>
      </c>
      <c r="E248" s="0" t="n">
        <f aca="false">IF(ISBLANK(RawFinancials!E248),"",RawFinancials!E248)</f>
        <v>0.04</v>
      </c>
      <c r="F248" s="0" t="n">
        <f aca="false">IF(ISBLANK(RawFinancials!F248),"",RawFinancials!F248)</f>
        <v>9500</v>
      </c>
      <c r="G248" s="0" t="n">
        <f aca="false">IF(ISBLANK(RawFinancials!G248),"",RawFinancials!G248)</f>
        <v>10.8851331996563</v>
      </c>
      <c r="H248" s="0" t="str">
        <f aca="false">IF(ISBLANK(RawFinancials!H248),"",RawFinancials!H248)</f>
        <v>28369_20230331</v>
      </c>
      <c r="I248" s="0" t="n">
        <f aca="false">IF(ISBLANK(RawFinancials!I248),"",RawFinancials!I248)</f>
        <v>0.764954171049217</v>
      </c>
      <c r="J248" s="0" t="n">
        <f aca="false">IF(ISBLANK(RawFinancials!J248),"",RawFinancials!J248)</f>
        <v>10828</v>
      </c>
      <c r="K248" s="0" t="n">
        <f aca="false">IF(ISBLANK(RawFinancials!K248),"",RawFinancials!K248)</f>
        <v>757</v>
      </c>
      <c r="L248" s="0" t="n">
        <f aca="false">IF(ISBLANK(RawFinancials!L248),"",RawFinancials!L248)</f>
        <v>73207</v>
      </c>
      <c r="M248" s="0" t="n">
        <f aca="false">IF(ISBLANK(RawFinancials!M248),"",RawFinancials!M248)</f>
        <v>72647</v>
      </c>
      <c r="N248" s="0" t="n">
        <f aca="false">IF(ISBLANK(RawFinancials!N248),"",RawFinancials!N248)</f>
        <v>61622</v>
      </c>
      <c r="O248" s="0" t="n">
        <f aca="false">IF(ISBLANK(RawFinancials!O248),"",RawFinancials!O248)</f>
        <v>326</v>
      </c>
      <c r="P248" s="0" t="str">
        <f aca="false">IF(ISBLANK(RawFinancials!P248),"",RawFinancials!P248)</f>
        <v>ROCKLAND SAVINGS BANK, FSB</v>
      </c>
      <c r="Q248" s="0" t="n">
        <f aca="false">IF(ISBLANK(RawFinancials!Q248),"",RawFinancials!Q248)</f>
        <v>0.445312606717937</v>
      </c>
      <c r="R248" s="0" t="n">
        <f aca="false">IF(ISBLANK(RawFinancials!R248),"",RawFinancials!R248)</f>
        <v>3.49219492000097</v>
      </c>
      <c r="S248" s="0" t="n">
        <f aca="false">IF(ISBLANK(RawFinancials!S248),"",RawFinancials!S248)</f>
        <v>1</v>
      </c>
      <c r="T248" s="0" t="n">
        <f aca="false">IF(ISBLANK(RawFinancials!T248),"",RawFinancials!T248)</f>
        <v>230</v>
      </c>
      <c r="U248" s="0" t="n">
        <f aca="false">IF(ISBLANK(RawFinancials!U248),"",RawFinancials!U248)</f>
        <v>0</v>
      </c>
      <c r="V248" s="0" t="n">
        <f aca="false">IF(ISBLANK(RawFinancials!V248),"",RawFinancials!V248)</f>
        <v>0</v>
      </c>
      <c r="W248" s="0" t="n">
        <f aca="false">IF(ISBLANK(RawFinancials!W248),"",RawFinancials!W248)</f>
        <v>20230331</v>
      </c>
      <c r="X248" s="0" t="n">
        <f aca="false">IF(ISBLANK(RawFinancials!X248),"",RawFinancials!X248)</f>
        <v>-0.092255709763537</v>
      </c>
      <c r="Y248" s="0" t="n">
        <f aca="false">IF(ISBLANK(RawFinancials!Y248),"",RawFinancials!Y248)</f>
        <v>-0.84</v>
      </c>
      <c r="Z248" s="0" t="str">
        <f aca="false">IF(ISBLANK(RawFinancials!Z248),"",RawFinancials!Z248)</f>
        <v>ME</v>
      </c>
      <c r="AA248" s="0" t="n">
        <f aca="false">RawFinancials!AA248</f>
        <v>1</v>
      </c>
      <c r="AB248" s="0" t="n">
        <f aca="false">RawFinancials!AB248</f>
        <v>326</v>
      </c>
      <c r="AC248" s="0" t="n">
        <f aca="false">RawFinancials!AC248</f>
        <v>0.373531939272415</v>
      </c>
      <c r="AD248" s="0" t="n">
        <f aca="false">IF(L248&gt;0,100*N248/L248,"")</f>
        <v>84.1750105864193</v>
      </c>
      <c r="AE248" s="0" t="n">
        <f aca="false">IF(B248&gt;0,100*F248/B248,"")</f>
        <v>10.8851331996563</v>
      </c>
      <c r="AF248" s="0" t="str">
        <f aca="false">RawFinancials!AE248</f>
        <v>原始0：需核实适用/报告口径</v>
      </c>
    </row>
    <row r="249" customFormat="false" ht="15" hidden="false" customHeight="false" outlineLevel="0" collapsed="false">
      <c r="A249" s="0" t="n">
        <f aca="false">IF(ISBLANK(RawFinancials!A249),"",RawFinancials!A249)</f>
        <v>249</v>
      </c>
      <c r="B249" s="0" t="n">
        <f aca="false">IF(ISBLANK(RawFinancials!B249),"",RawFinancials!B249)</f>
        <v>288419</v>
      </c>
      <c r="C249" s="0" t="n">
        <f aca="false">IF(ISBLANK(RawFinancials!C249),"",RawFinancials!C249)</f>
        <v>28837</v>
      </c>
      <c r="D249" s="0" t="n">
        <f aca="false">IF(ISBLANK(RawFinancials!D249),"",RawFinancials!D249)</f>
        <v>260987</v>
      </c>
      <c r="E249" s="0" t="n">
        <f aca="false">IF(ISBLANK(RawFinancials!E249),"",RawFinancials!E249)</f>
        <v>0.01</v>
      </c>
      <c r="F249" s="0" t="n">
        <f aca="false">IF(ISBLANK(RawFinancials!F249),"",RawFinancials!F249)</f>
        <v>24341</v>
      </c>
      <c r="G249" s="0" t="n">
        <f aca="false">IF(ISBLANK(RawFinancials!G249),"",RawFinancials!G249)</f>
        <v>8.4394578720542</v>
      </c>
      <c r="H249" s="0" t="str">
        <f aca="false">IF(ISBLANK(RawFinancials!H249),"",RawFinancials!H249)</f>
        <v>28837_20230331</v>
      </c>
      <c r="I249" s="0" t="n">
        <f aca="false">IF(ISBLANK(RawFinancials!I249),"",RawFinancials!I249)</f>
        <v>1.21477937267411</v>
      </c>
      <c r="J249" s="0" t="n">
        <f aca="false">IF(ISBLANK(RawFinancials!J249),"",RawFinancials!J249)</f>
        <v>6280</v>
      </c>
      <c r="K249" s="0" t="n">
        <f aca="false">IF(ISBLANK(RawFinancials!K249),"",RawFinancials!K249)</f>
        <v>1194</v>
      </c>
      <c r="L249" s="0" t="n">
        <f aca="false">IF(ISBLANK(RawFinancials!L249),"",RawFinancials!L249)</f>
        <v>188100</v>
      </c>
      <c r="M249" s="0" t="n">
        <f aca="false">IF(ISBLANK(RawFinancials!M249),"",RawFinancials!M249)</f>
        <v>185815</v>
      </c>
      <c r="N249" s="0" t="n">
        <f aca="false">IF(ISBLANK(RawFinancials!N249),"",RawFinancials!N249)</f>
        <v>179697</v>
      </c>
      <c r="O249" s="0" t="n">
        <f aca="false">IF(ISBLANK(RawFinancials!O249),"",RawFinancials!O249)</f>
        <v>19</v>
      </c>
      <c r="P249" s="0" t="str">
        <f aca="false">IF(ISBLANK(RawFinancials!P249),"",RawFinancials!P249)</f>
        <v>THE BRATTLEBORO SAVINGS AND LOAN ASSOCIATION</v>
      </c>
      <c r="Q249" s="0" t="n">
        <f aca="false">IF(ISBLANK(RawFinancials!Q249),"",RawFinancials!Q249)</f>
        <v>0.0101010101010101</v>
      </c>
      <c r="R249" s="0" t="n">
        <f aca="false">IF(ISBLANK(RawFinancials!R249),"",RawFinancials!R249)</f>
        <v>3.67223584421509</v>
      </c>
      <c r="S249" s="0" t="n">
        <f aca="false">IF(ISBLANK(RawFinancials!S249),"",RawFinancials!S249)</f>
        <v>-2</v>
      </c>
      <c r="T249" s="0" t="n">
        <f aca="false">IF(ISBLANK(RawFinancials!T249),"",RawFinancials!T249)</f>
        <v>454</v>
      </c>
      <c r="U249" s="0" t="n">
        <f aca="false">IF(ISBLANK(RawFinancials!U249),"",RawFinancials!U249)</f>
        <v>0</v>
      </c>
      <c r="V249" s="0" t="n">
        <f aca="false">IF(ISBLANK(RawFinancials!V249),"",RawFinancials!V249)</f>
        <v>16.3411097226028</v>
      </c>
      <c r="W249" s="0" t="n">
        <f aca="false">IF(ISBLANK(RawFinancials!W249),"",RawFinancials!W249)</f>
        <v>20230331</v>
      </c>
      <c r="X249" s="0" t="n">
        <f aca="false">IF(ISBLANK(RawFinancials!X249),"",RawFinancials!X249)</f>
        <v>0.859132971569657</v>
      </c>
      <c r="Y249" s="0" t="n">
        <f aca="false">IF(ISBLANK(RawFinancials!Y249),"",RawFinancials!Y249)</f>
        <v>10.72</v>
      </c>
      <c r="Z249" s="0" t="str">
        <f aca="false">IF(ISBLANK(RawFinancials!Z249),"",RawFinancials!Z249)</f>
        <v>VT</v>
      </c>
      <c r="AA249" s="0" t="n">
        <f aca="false">RawFinancials!AA249</f>
        <v>1</v>
      </c>
      <c r="AB249" s="0" t="n">
        <f aca="false">RawFinancials!AB249</f>
        <v>19</v>
      </c>
      <c r="AC249" s="0" t="n">
        <f aca="false">RawFinancials!AC249</f>
        <v>0.00658763812370198</v>
      </c>
      <c r="AD249" s="0" t="n">
        <f aca="false">IF(L249&gt;0,100*N249/L249,"")</f>
        <v>95.5326953748006</v>
      </c>
      <c r="AE249" s="0" t="n">
        <f aca="false">IF(B249&gt;0,100*F249/B249,"")</f>
        <v>8.4394578720542</v>
      </c>
      <c r="AF249" s="0" t="str">
        <f aca="false">RawFinancials!AE249</f>
        <v/>
      </c>
    </row>
    <row r="250" customFormat="false" ht="15" hidden="false" customHeight="false" outlineLevel="0" collapsed="false">
      <c r="A250" s="0" t="n">
        <f aca="false">IF(ISBLANK(RawFinancials!A250),"",RawFinancials!A250)</f>
        <v>250</v>
      </c>
      <c r="B250" s="0" t="n">
        <f aca="false">IF(ISBLANK(RawFinancials!B250),"",RawFinancials!B250)</f>
        <v>185057</v>
      </c>
      <c r="C250" s="0" t="n">
        <f aca="false">IF(ISBLANK(RawFinancials!C250),"",RawFinancials!C250)</f>
        <v>29636</v>
      </c>
      <c r="D250" s="0" t="n">
        <f aca="false">IF(ISBLANK(RawFinancials!D250),"",RawFinancials!D250)</f>
        <v>147344</v>
      </c>
      <c r="E250" s="0" t="n">
        <f aca="false">IF(ISBLANK(RawFinancials!E250),"",RawFinancials!E250)</f>
        <v>0.07</v>
      </c>
      <c r="F250" s="0" t="n">
        <f aca="false">IF(ISBLANK(RawFinancials!F250),"",RawFinancials!F250)</f>
        <v>24743</v>
      </c>
      <c r="G250" s="0" t="n">
        <f aca="false">IF(ISBLANK(RawFinancials!G250),"",RawFinancials!G250)</f>
        <v>13.3704750428246</v>
      </c>
      <c r="H250" s="0" t="str">
        <f aca="false">IF(ISBLANK(RawFinancials!H250),"",RawFinancials!H250)</f>
        <v>29636_20230331</v>
      </c>
      <c r="I250" s="0" t="n">
        <f aca="false">IF(ISBLANK(RawFinancials!I250),"",RawFinancials!I250)</f>
        <v>1.44858462187566</v>
      </c>
      <c r="J250" s="0" t="n">
        <f aca="false">IF(ISBLANK(RawFinancials!J250),"",RawFinancials!J250)</f>
        <v>1626</v>
      </c>
      <c r="K250" s="0" t="n">
        <f aca="false">IF(ISBLANK(RawFinancials!K250),"",RawFinancials!K250)</f>
        <v>1707</v>
      </c>
      <c r="L250" s="0" t="n">
        <f aca="false">IF(ISBLANK(RawFinancials!L250),"",RawFinancials!L250)</f>
        <v>127987</v>
      </c>
      <c r="M250" s="0" t="n">
        <f aca="false">IF(ISBLANK(RawFinancials!M250),"",RawFinancials!M250)</f>
        <v>126133</v>
      </c>
      <c r="N250" s="0" t="n">
        <f aca="false">IF(ISBLANK(RawFinancials!N250),"",RawFinancials!N250)</f>
        <v>124654</v>
      </c>
      <c r="O250" s="0" t="n">
        <f aca="false">IF(ISBLANK(RawFinancials!O250),"",RawFinancials!O250)</f>
        <v>2472</v>
      </c>
      <c r="P250" s="0" t="str">
        <f aca="false">IF(ISBLANK(RawFinancials!P250),"",RawFinancials!P250)</f>
        <v>FIRST FEDERAL SAVINGS AND LOAN ASSOCIATION OF BATH</v>
      </c>
      <c r="Q250" s="0" t="n">
        <f aca="false">IF(ISBLANK(RawFinancials!Q250),"",RawFinancials!Q250)</f>
        <v>1.93144616250088</v>
      </c>
      <c r="R250" s="0" t="n">
        <f aca="false">IF(ISBLANK(RawFinancials!R250),"",RawFinancials!R250)</f>
        <v>3.56806733632053</v>
      </c>
      <c r="S250" s="0" t="n">
        <f aca="false">IF(ISBLANK(RawFinancials!S250),"",RawFinancials!S250)</f>
        <v>3</v>
      </c>
      <c r="T250" s="0" t="n">
        <f aca="false">IF(ISBLANK(RawFinancials!T250),"",RawFinancials!T250)</f>
        <v>2283</v>
      </c>
      <c r="U250" s="0" t="n">
        <f aca="false">IF(ISBLANK(RawFinancials!U250),"",RawFinancials!U250)</f>
        <v>0</v>
      </c>
      <c r="V250" s="0" t="n">
        <f aca="false">IF(ISBLANK(RawFinancials!V250),"",RawFinancials!V250)</f>
        <v>26.4550684388018</v>
      </c>
      <c r="W250" s="0" t="n">
        <f aca="false">IF(ISBLANK(RawFinancials!W250),"",RawFinancials!W250)</f>
        <v>20230331</v>
      </c>
      <c r="X250" s="0" t="n">
        <f aca="false">IF(ISBLANK(RawFinancials!X250),"",RawFinancials!X250)</f>
        <v>0.327344743116213</v>
      </c>
      <c r="Y250" s="0" t="n">
        <f aca="false">IF(ISBLANK(RawFinancials!Y250),"",RawFinancials!Y250)</f>
        <v>2.45</v>
      </c>
      <c r="Z250" s="0" t="str">
        <f aca="false">IF(ISBLANK(RawFinancials!Z250),"",RawFinancials!Z250)</f>
        <v>ME</v>
      </c>
      <c r="AA250" s="0" t="n">
        <f aca="false">RawFinancials!AA250</f>
        <v>1</v>
      </c>
      <c r="AB250" s="0" t="n">
        <f aca="false">RawFinancials!AB250</f>
        <v>2472</v>
      </c>
      <c r="AC250" s="0" t="n">
        <f aca="false">RawFinancials!AC250</f>
        <v>1.33580464397456</v>
      </c>
      <c r="AD250" s="0" t="n">
        <f aca="false">IF(L250&gt;0,100*N250/L250,"")</f>
        <v>97.3958292639096</v>
      </c>
      <c r="AE250" s="0" t="n">
        <f aca="false">IF(B250&gt;0,100*F250/B250,"")</f>
        <v>13.3704750428246</v>
      </c>
      <c r="AF250" s="0" t="str">
        <f aca="false">RawFinancials!AE250</f>
        <v/>
      </c>
    </row>
    <row r="251" customFormat="false" ht="15" hidden="false" customHeight="false" outlineLevel="0" collapsed="false">
      <c r="A251" s="0" t="n">
        <f aca="false">IF(ISBLANK(RawFinancials!A251),"",RawFinancials!A251)</f>
        <v>251</v>
      </c>
      <c r="B251" s="0" t="n">
        <f aca="false">IF(ISBLANK(RawFinancials!B251),"",RawFinancials!B251)</f>
        <v>189487</v>
      </c>
      <c r="C251" s="0" t="n">
        <f aca="false">IF(ISBLANK(RawFinancials!C251),"",RawFinancials!C251)</f>
        <v>29743</v>
      </c>
      <c r="D251" s="0" t="n">
        <f aca="false">IF(ISBLANK(RawFinancials!D251),"",RawFinancials!D251)</f>
        <v>163950</v>
      </c>
      <c r="E251" s="0" t="n">
        <f aca="false">IF(ISBLANK(RawFinancials!E251),"",RawFinancials!E251)</f>
        <v>-0.03</v>
      </c>
      <c r="F251" s="0" t="n">
        <f aca="false">IF(ISBLANK(RawFinancials!F251),"",RawFinancials!F251)</f>
        <v>16226</v>
      </c>
      <c r="G251" s="0" t="n">
        <f aca="false">IF(ISBLANK(RawFinancials!G251),"",RawFinancials!G251)</f>
        <v>8.5631204251479</v>
      </c>
      <c r="H251" s="0" t="str">
        <f aca="false">IF(ISBLANK(RawFinancials!H251),"",RawFinancials!H251)</f>
        <v>29743_20230331</v>
      </c>
      <c r="I251" s="0" t="n">
        <f aca="false">IF(ISBLANK(RawFinancials!I251),"",RawFinancials!I251)</f>
        <v>0.754678133339668</v>
      </c>
      <c r="J251" s="0" t="n">
        <f aca="false">IF(ISBLANK(RawFinancials!J251),"",RawFinancials!J251)</f>
        <v>24692</v>
      </c>
      <c r="K251" s="0" t="n">
        <f aca="false">IF(ISBLANK(RawFinancials!K251),"",RawFinancials!K251)</f>
        <v>20551</v>
      </c>
      <c r="L251" s="0" t="n">
        <f aca="false">IF(ISBLANK(RawFinancials!L251),"",RawFinancials!L251)</f>
        <v>126279</v>
      </c>
      <c r="M251" s="0" t="n">
        <f aca="false">IF(ISBLANK(RawFinancials!M251),"",RawFinancials!M251)</f>
        <v>125326</v>
      </c>
      <c r="N251" s="0" t="n">
        <f aca="false">IF(ISBLANK(RawFinancials!N251),"",RawFinancials!N251)</f>
        <v>80937</v>
      </c>
      <c r="O251" s="0" t="n">
        <f aca="false">IF(ISBLANK(RawFinancials!O251),"",RawFinancials!O251)</f>
        <v>203</v>
      </c>
      <c r="P251" s="0" t="str">
        <f aca="false">IF(ISBLANK(RawFinancials!P251),"",RawFinancials!P251)</f>
        <v>AROOSTOOK COUNTY FEDERAL SAVINGS AND LOAN ASSOCIATION</v>
      </c>
      <c r="Q251" s="0" t="n">
        <f aca="false">IF(ISBLANK(RawFinancials!Q251),"",RawFinancials!Q251)</f>
        <v>0.160755153271724</v>
      </c>
      <c r="R251" s="0" t="n">
        <f aca="false">IF(ISBLANK(RawFinancials!R251),"",RawFinancials!R251)</f>
        <v>2.47345429828997</v>
      </c>
      <c r="S251" s="0" t="n">
        <f aca="false">IF(ISBLANK(RawFinancials!S251),"",RawFinancials!S251)</f>
        <v>0</v>
      </c>
      <c r="T251" s="0" t="n">
        <f aca="false">IF(ISBLANK(RawFinancials!T251),"",RawFinancials!T251)</f>
        <v>607</v>
      </c>
      <c r="U251" s="0" t="n">
        <f aca="false">IF(ISBLANK(RawFinancials!U251),"",RawFinancials!U251)</f>
        <v>0</v>
      </c>
      <c r="V251" s="0" t="n">
        <f aca="false">IF(ISBLANK(RawFinancials!V251),"",RawFinancials!V251)</f>
        <v>17.9095834111713</v>
      </c>
      <c r="W251" s="0" t="n">
        <f aca="false">IF(ISBLANK(RawFinancials!W251),"",RawFinancials!W251)</f>
        <v>20230331</v>
      </c>
      <c r="X251" s="0" t="n">
        <f aca="false">IF(ISBLANK(RawFinancials!X251),"",RawFinancials!X251)</f>
        <v>0.71029392943987</v>
      </c>
      <c r="Y251" s="0" t="n">
        <f aca="false">IF(ISBLANK(RawFinancials!Y251),"",RawFinancials!Y251)</f>
        <v>8.45</v>
      </c>
      <c r="Z251" s="0" t="str">
        <f aca="false">IF(ISBLANK(RawFinancials!Z251),"",RawFinancials!Z251)</f>
        <v>ME</v>
      </c>
      <c r="AA251" s="0" t="n">
        <f aca="false">RawFinancials!AA251</f>
        <v>1</v>
      </c>
      <c r="AB251" s="0" t="n">
        <f aca="false">RawFinancials!AB251</f>
        <v>203</v>
      </c>
      <c r="AC251" s="0" t="n">
        <f aca="false">RawFinancials!AC251</f>
        <v>0.107131359934982</v>
      </c>
      <c r="AD251" s="0" t="n">
        <f aca="false">IF(L251&gt;0,100*N251/L251,"")</f>
        <v>64.0937923170123</v>
      </c>
      <c r="AE251" s="0" t="n">
        <f aca="false">IF(B251&gt;0,100*F251/B251,"")</f>
        <v>8.5631204251479</v>
      </c>
      <c r="AF251" s="0" t="str">
        <f aca="false">RawFinancials!AE251</f>
        <v/>
      </c>
    </row>
    <row r="252" customFormat="false" ht="15" hidden="false" customHeight="false" outlineLevel="0" collapsed="false">
      <c r="A252" s="0" t="n">
        <f aca="false">IF(ISBLANK(RawFinancials!A252),"",RawFinancials!A252)</f>
        <v>252</v>
      </c>
      <c r="B252" s="0" t="n">
        <f aca="false">IF(ISBLANK(RawFinancials!B252),"",RawFinancials!B252)</f>
        <v>548387</v>
      </c>
      <c r="C252" s="0" t="n">
        <f aca="false">IF(ISBLANK(RawFinancials!C252),"",RawFinancials!C252)</f>
        <v>29744</v>
      </c>
      <c r="D252" s="0" t="n">
        <f aca="false">IF(ISBLANK(RawFinancials!D252),"",RawFinancials!D252)</f>
        <v>438333</v>
      </c>
      <c r="E252" s="0" t="n">
        <f aca="false">IF(ISBLANK(RawFinancials!E252),"",RawFinancials!E252)</f>
        <v>0</v>
      </c>
      <c r="F252" s="0" t="n">
        <f aca="false">IF(ISBLANK(RawFinancials!F252),"",RawFinancials!F252)</f>
        <v>54173</v>
      </c>
      <c r="G252" s="0" t="n">
        <f aca="false">IF(ISBLANK(RawFinancials!G252),"",RawFinancials!G252)</f>
        <v>9.87860762563664</v>
      </c>
      <c r="H252" s="0" t="str">
        <f aca="false">IF(ISBLANK(RawFinancials!H252),"",RawFinancials!H252)</f>
        <v>29744_20230331</v>
      </c>
      <c r="I252" s="0" t="n">
        <f aca="false">IF(ISBLANK(RawFinancials!I252),"",RawFinancials!I252)</f>
        <v>0.809740542964794</v>
      </c>
      <c r="J252" s="0" t="n">
        <f aca="false">IF(ISBLANK(RawFinancials!J252),"",RawFinancials!J252)</f>
        <v>24690</v>
      </c>
      <c r="K252" s="0" t="n">
        <f aca="false">IF(ISBLANK(RawFinancials!K252),"",RawFinancials!K252)</f>
        <v>8293</v>
      </c>
      <c r="L252" s="0" t="n">
        <f aca="false">IF(ISBLANK(RawFinancials!L252),"",RawFinancials!L252)</f>
        <v>405809</v>
      </c>
      <c r="M252" s="0" t="n">
        <f aca="false">IF(ISBLANK(RawFinancials!M252),"",RawFinancials!M252)</f>
        <v>402523</v>
      </c>
      <c r="N252" s="0" t="n">
        <f aca="false">IF(ISBLANK(RawFinancials!N252),"",RawFinancials!N252)</f>
        <v>372826</v>
      </c>
      <c r="O252" s="0" t="n">
        <f aca="false">IF(ISBLANK(RawFinancials!O252),"",RawFinancials!O252)</f>
        <v>88</v>
      </c>
      <c r="P252" s="0" t="str">
        <f aca="false">IF(ISBLANK(RawFinancials!P252),"",RawFinancials!P252)</f>
        <v>FIRST SEACOAST BANK</v>
      </c>
      <c r="Q252" s="0" t="n">
        <f aca="false">IF(ISBLANK(RawFinancials!Q252),"",RawFinancials!Q252)</f>
        <v>0.0216850784482355</v>
      </c>
      <c r="R252" s="0" t="n">
        <f aca="false">IF(ISBLANK(RawFinancials!R252),"",RawFinancials!R252)</f>
        <v>2.48227565047063</v>
      </c>
      <c r="S252" s="0" t="n">
        <f aca="false">IF(ISBLANK(RawFinancials!S252),"",RawFinancials!S252)</f>
        <v>-1</v>
      </c>
      <c r="T252" s="0" t="n">
        <f aca="false">IF(ISBLANK(RawFinancials!T252),"",RawFinancials!T252)</f>
        <v>240</v>
      </c>
      <c r="U252" s="0" t="n">
        <f aca="false">IF(ISBLANK(RawFinancials!U252),"",RawFinancials!U252)</f>
        <v>0</v>
      </c>
      <c r="V252" s="0" t="n">
        <f aca="false">IF(ISBLANK(RawFinancials!V252),"",RawFinancials!V252)</f>
        <v>19.7611282318518</v>
      </c>
      <c r="W252" s="0" t="n">
        <f aca="false">IF(ISBLANK(RawFinancials!W252),"",RawFinancials!W252)</f>
        <v>20230331</v>
      </c>
      <c r="X252" s="0" t="n">
        <f aca="false">IF(ISBLANK(RawFinancials!X252),"",RawFinancials!X252)</f>
        <v>0.341873414737028</v>
      </c>
      <c r="Y252" s="0" t="n">
        <f aca="false">IF(ISBLANK(RawFinancials!Y252),"",RawFinancials!Y252)</f>
        <v>3.94</v>
      </c>
      <c r="Z252" s="0" t="str">
        <f aca="false">IF(ISBLANK(RawFinancials!Z252),"",RawFinancials!Z252)</f>
        <v>NH</v>
      </c>
      <c r="AA252" s="0" t="n">
        <f aca="false">RawFinancials!AA252</f>
        <v>1</v>
      </c>
      <c r="AB252" s="0" t="n">
        <f aca="false">RawFinancials!AB252</f>
        <v>88</v>
      </c>
      <c r="AC252" s="0" t="n">
        <f aca="false">RawFinancials!AC252</f>
        <v>0.0160470616553638</v>
      </c>
      <c r="AD252" s="0" t="n">
        <f aca="false">IF(L252&gt;0,100*N252/L252,"")</f>
        <v>91.8722847447937</v>
      </c>
      <c r="AE252" s="0" t="n">
        <f aca="false">IF(B252&gt;0,100*F252/B252,"")</f>
        <v>9.87860762563664</v>
      </c>
      <c r="AF252" s="0" t="str">
        <f aca="false">RawFinancials!AE252</f>
        <v/>
      </c>
    </row>
    <row r="253" customFormat="false" ht="15" hidden="false" customHeight="false" outlineLevel="0" collapsed="false">
      <c r="A253" s="0" t="n">
        <f aca="false">IF(ISBLANK(RawFinancials!A253),"",RawFinancials!A253)</f>
        <v>253</v>
      </c>
      <c r="B253" s="0" t="n">
        <f aca="false">IF(ISBLANK(RawFinancials!B253),"",RawFinancials!B253)</f>
        <v>554362</v>
      </c>
      <c r="C253" s="0" t="n">
        <f aca="false">IF(ISBLANK(RawFinancials!C253),"",RawFinancials!C253)</f>
        <v>30350</v>
      </c>
      <c r="D253" s="0" t="n">
        <f aca="false">IF(ISBLANK(RawFinancials!D253),"",RawFinancials!D253)</f>
        <v>454335</v>
      </c>
      <c r="E253" s="0" t="n">
        <f aca="false">IF(ISBLANK(RawFinancials!E253),"",RawFinancials!E253)</f>
        <v>0</v>
      </c>
      <c r="F253" s="0" t="n">
        <f aca="false">IF(ISBLANK(RawFinancials!F253),"",RawFinancials!F253)</f>
        <v>53124</v>
      </c>
      <c r="G253" s="0" t="n">
        <f aca="false">IF(ISBLANK(RawFinancials!G253),"",RawFinancials!G253)</f>
        <v>9.58290791937398</v>
      </c>
      <c r="H253" s="0" t="str">
        <f aca="false">IF(ISBLANK(RawFinancials!H253),"",RawFinancials!H253)</f>
        <v>30350_20230331</v>
      </c>
      <c r="I253" s="0" t="n">
        <f aca="false">IF(ISBLANK(RawFinancials!I253),"",RawFinancials!I253)</f>
        <v>1.30365991392029</v>
      </c>
      <c r="J253" s="0" t="n">
        <f aca="false">IF(ISBLANK(RawFinancials!J253),"",RawFinancials!J253)</f>
        <v>16693</v>
      </c>
      <c r="K253" s="0" t="n">
        <f aca="false">IF(ISBLANK(RawFinancials!K253),"",RawFinancials!K253)</f>
        <v>1231</v>
      </c>
      <c r="L253" s="0" t="n">
        <f aca="false">IF(ISBLANK(RawFinancials!L253),"",RawFinancials!L253)</f>
        <v>393124</v>
      </c>
      <c r="M253" s="0" t="n">
        <f aca="false">IF(ISBLANK(RawFinancials!M253),"",RawFinancials!M253)</f>
        <v>387999</v>
      </c>
      <c r="N253" s="0" t="n">
        <f aca="false">IF(ISBLANK(RawFinancials!N253),"",RawFinancials!N253)</f>
        <v>373761</v>
      </c>
      <c r="O253" s="0" t="n">
        <f aca="false">IF(ISBLANK(RawFinancials!O253),"",RawFinancials!O253)</f>
        <v>1313</v>
      </c>
      <c r="P253" s="0" t="str">
        <f aca="false">IF(ISBLANK(RawFinancials!P253),"",RawFinancials!P253)</f>
        <v>THE BANK OF BENNINGTON</v>
      </c>
      <c r="Q253" s="0" t="n">
        <f aca="false">IF(ISBLANK(RawFinancials!Q253),"",RawFinancials!Q253)</f>
        <v>0.333991310629725</v>
      </c>
      <c r="R253" s="0" t="n">
        <f aca="false">IF(ISBLANK(RawFinancials!R253),"",RawFinancials!R253)</f>
        <v>3.03436326107607</v>
      </c>
      <c r="S253" s="0" t="n">
        <f aca="false">IF(ISBLANK(RawFinancials!S253),"",RawFinancials!S253)</f>
        <v>-16</v>
      </c>
      <c r="T253" s="0" t="n">
        <f aca="false">IF(ISBLANK(RawFinancials!T253),"",RawFinancials!T253)</f>
        <v>1612</v>
      </c>
      <c r="U253" s="0" t="n">
        <f aca="false">IF(ISBLANK(RawFinancials!U253),"",RawFinancials!U253)</f>
        <v>0</v>
      </c>
      <c r="V253" s="0" t="n">
        <f aca="false">IF(ISBLANK(RawFinancials!V253),"",RawFinancials!V253)</f>
        <v>21.4867285184799</v>
      </c>
      <c r="W253" s="0" t="n">
        <f aca="false">IF(ISBLANK(RawFinancials!W253),"",RawFinancials!W253)</f>
        <v>20230331</v>
      </c>
      <c r="X253" s="0" t="n">
        <f aca="false">IF(ISBLANK(RawFinancials!X253),"",RawFinancials!X253)</f>
        <v>0.821587649425802</v>
      </c>
      <c r="Y253" s="0" t="n">
        <f aca="false">IF(ISBLANK(RawFinancials!Y253),"",RawFinancials!Y253)</f>
        <v>8.72</v>
      </c>
      <c r="Z253" s="0" t="str">
        <f aca="false">IF(ISBLANK(RawFinancials!Z253),"",RawFinancials!Z253)</f>
        <v>VT</v>
      </c>
      <c r="AA253" s="0" t="n">
        <f aca="false">RawFinancials!AA253</f>
        <v>1</v>
      </c>
      <c r="AB253" s="0" t="n">
        <f aca="false">RawFinancials!AB253</f>
        <v>1313</v>
      </c>
      <c r="AC253" s="0" t="n">
        <f aca="false">RawFinancials!AC253</f>
        <v>0.236848846060877</v>
      </c>
      <c r="AD253" s="0" t="n">
        <f aca="false">IF(L253&gt;0,100*N253/L253,"")</f>
        <v>95.0745820657096</v>
      </c>
      <c r="AE253" s="0" t="n">
        <f aca="false">IF(B253&gt;0,100*F253/B253,"")</f>
        <v>9.58290791937398</v>
      </c>
      <c r="AF253" s="0" t="str">
        <f aca="false">RawFinancials!AE253</f>
        <v/>
      </c>
    </row>
    <row r="254" customFormat="false" ht="15" hidden="false" customHeight="false" outlineLevel="0" collapsed="false">
      <c r="A254" s="0" t="n">
        <f aca="false">IF(ISBLANK(RawFinancials!A254),"",RawFinancials!A254)</f>
        <v>254</v>
      </c>
      <c r="B254" s="0" t="n">
        <f aca="false">IF(ISBLANK(RawFinancials!B254),"",RawFinancials!B254)</f>
        <v>104047</v>
      </c>
      <c r="C254" s="0" t="n">
        <f aca="false">IF(ISBLANK(RawFinancials!C254),"",RawFinancials!C254)</f>
        <v>30878</v>
      </c>
      <c r="D254" s="0" t="n">
        <f aca="false">IF(ISBLANK(RawFinancials!D254),"",RawFinancials!D254)</f>
        <v>76408</v>
      </c>
      <c r="E254" s="0" t="n">
        <f aca="false">IF(ISBLANK(RawFinancials!E254),"",RawFinancials!E254)</f>
        <v>0.34</v>
      </c>
      <c r="F254" s="0" t="n">
        <f aca="false">IF(ISBLANK(RawFinancials!F254),"",RawFinancials!F254)</f>
        <v>12490</v>
      </c>
      <c r="G254" s="0" t="n">
        <f aca="false">IF(ISBLANK(RawFinancials!G254),"",RawFinancials!G254)</f>
        <v>12.0041904139475</v>
      </c>
      <c r="H254" s="0" t="str">
        <f aca="false">IF(ISBLANK(RawFinancials!H254),"",RawFinancials!H254)</f>
        <v>30878_20230331</v>
      </c>
      <c r="I254" s="0" t="n">
        <f aca="false">IF(ISBLANK(RawFinancials!I254),"",RawFinancials!I254)</f>
        <v>1.01662696407517</v>
      </c>
      <c r="J254" s="0" t="n">
        <f aca="false">IF(ISBLANK(RawFinancials!J254),"",RawFinancials!J254)</f>
        <v>0</v>
      </c>
      <c r="K254" s="0" t="n">
        <f aca="false">IF(ISBLANK(RawFinancials!K254),"",RawFinancials!K254)</f>
        <v>97</v>
      </c>
      <c r="L254" s="0" t="n">
        <f aca="false">IF(ISBLANK(RawFinancials!L254),"",RawFinancials!L254)</f>
        <v>83118</v>
      </c>
      <c r="M254" s="0" t="n">
        <f aca="false">IF(ISBLANK(RawFinancials!M254),"",RawFinancials!M254)</f>
        <v>82273</v>
      </c>
      <c r="N254" s="0" t="n">
        <f aca="false">IF(ISBLANK(RawFinancials!N254),"",RawFinancials!N254)</f>
        <v>83020</v>
      </c>
      <c r="O254" s="0" t="n">
        <f aca="false">IF(ISBLANK(RawFinancials!O254),"",RawFinancials!O254)</f>
        <v>710</v>
      </c>
      <c r="P254" s="0" t="str">
        <f aca="false">IF(ISBLANK(RawFinancials!P254),"",RawFinancials!P254)</f>
        <v>BAR HARBOR SAVINGS AND LOAN ASSOCIATION</v>
      </c>
      <c r="Q254" s="0" t="n">
        <f aca="false">IF(ISBLANK(RawFinancials!Q254),"",RawFinancials!Q254)</f>
        <v>0.854207271589788</v>
      </c>
      <c r="R254" s="0" t="n">
        <f aca="false">IF(ISBLANK(RawFinancials!R254),"",RawFinancials!R254)</f>
        <v>2.00579294029632</v>
      </c>
      <c r="S254" s="0" t="n">
        <f aca="false">IF(ISBLANK(RawFinancials!S254),"",RawFinancials!S254)</f>
        <v>0</v>
      </c>
      <c r="T254" s="0" t="n">
        <f aca="false">IF(ISBLANK(RawFinancials!T254),"",RawFinancials!T254)</f>
        <v>25</v>
      </c>
      <c r="U254" s="0" t="n">
        <f aca="false">IF(ISBLANK(RawFinancials!U254),"",RawFinancials!U254)</f>
        <v>0</v>
      </c>
      <c r="V254" s="0" t="n">
        <f aca="false">IF(ISBLANK(RawFinancials!V254),"",RawFinancials!V254)</f>
        <v>0</v>
      </c>
      <c r="W254" s="0" t="n">
        <f aca="false">IF(ISBLANK(RawFinancials!W254),"",RawFinancials!W254)</f>
        <v>20230331</v>
      </c>
      <c r="X254" s="0" t="n">
        <f aca="false">IF(ISBLANK(RawFinancials!X254),"",RawFinancials!X254)</f>
        <v>-0.300319333057065</v>
      </c>
      <c r="Y254" s="0" t="n">
        <f aca="false">IF(ISBLANK(RawFinancials!Y254),"",RawFinancials!Y254)</f>
        <v>-2.47</v>
      </c>
      <c r="Z254" s="0" t="str">
        <f aca="false">IF(ISBLANK(RawFinancials!Z254),"",RawFinancials!Z254)</f>
        <v>ME</v>
      </c>
      <c r="AA254" s="0" t="n">
        <f aca="false">RawFinancials!AA254</f>
        <v>1</v>
      </c>
      <c r="AB254" s="0" t="n">
        <f aca="false">RawFinancials!AB254</f>
        <v>710</v>
      </c>
      <c r="AC254" s="0" t="n">
        <f aca="false">RawFinancials!AC254</f>
        <v>0.682383922650341</v>
      </c>
      <c r="AD254" s="0" t="n">
        <f aca="false">IF(L254&gt;0,100*N254/L254,"")</f>
        <v>99.882095334344</v>
      </c>
      <c r="AE254" s="0" t="n">
        <f aca="false">IF(B254&gt;0,100*F254/B254,"")</f>
        <v>12.0041904139475</v>
      </c>
      <c r="AF254" s="0" t="str">
        <f aca="false">RawFinancials!AE254</f>
        <v>原始0：需核实适用/报告口径</v>
      </c>
    </row>
    <row r="255" customFormat="false" ht="15" hidden="false" customHeight="false" outlineLevel="0" collapsed="false">
      <c r="A255" s="0" t="n">
        <f aca="false">IF(ISBLANK(RawFinancials!A255),"",RawFinancials!A255)</f>
        <v>255</v>
      </c>
      <c r="B255" s="0" t="n">
        <f aca="false">IF(ISBLANK(RawFinancials!B255),"",RawFinancials!B255)</f>
        <v>745394</v>
      </c>
      <c r="C255" s="0" t="n">
        <f aca="false">IF(ISBLANK(RawFinancials!C255),"",RawFinancials!C255)</f>
        <v>33418</v>
      </c>
      <c r="D255" s="0" t="n">
        <f aca="false">IF(ISBLANK(RawFinancials!D255),"",RawFinancials!D255)</f>
        <v>529254</v>
      </c>
      <c r="E255" s="0" t="n">
        <f aca="false">IF(ISBLANK(RawFinancials!E255),"",RawFinancials!E255)</f>
        <v>0.01</v>
      </c>
      <c r="F255" s="0" t="n">
        <f aca="false">IF(ISBLANK(RawFinancials!F255),"",RawFinancials!F255)</f>
        <v>67356</v>
      </c>
      <c r="G255" s="0" t="n">
        <f aca="false">IF(ISBLANK(RawFinancials!G255),"",RawFinancials!G255)</f>
        <v>9.03629489907351</v>
      </c>
      <c r="H255" s="0" t="str">
        <f aca="false">IF(ISBLANK(RawFinancials!H255),"",RawFinancials!H255)</f>
        <v>33418_20230331</v>
      </c>
      <c r="I255" s="0" t="n">
        <f aca="false">IF(ISBLANK(RawFinancials!I255),"",RawFinancials!I255)</f>
        <v>0.783495965601006</v>
      </c>
      <c r="J255" s="0" t="n">
        <f aca="false">IF(ISBLANK(RawFinancials!J255),"",RawFinancials!J255)</f>
        <v>46441</v>
      </c>
      <c r="K255" s="0" t="n">
        <f aca="false">IF(ISBLANK(RawFinancials!K255),"",RawFinancials!K255)</f>
        <v>11330</v>
      </c>
      <c r="L255" s="0" t="n">
        <f aca="false">IF(ISBLANK(RawFinancials!L255),"",RawFinancials!L255)</f>
        <v>363499</v>
      </c>
      <c r="M255" s="0" t="n">
        <f aca="false">IF(ISBLANK(RawFinancials!M255),"",RawFinancials!M255)</f>
        <v>360651</v>
      </c>
      <c r="N255" s="0" t="n">
        <f aca="false">IF(ISBLANK(RawFinancials!N255),"",RawFinancials!N255)</f>
        <v>305729</v>
      </c>
      <c r="O255" s="0" t="n">
        <f aca="false">IF(ISBLANK(RawFinancials!O255),"",RawFinancials!O255)</f>
        <v>1287</v>
      </c>
      <c r="P255" s="0" t="str">
        <f aca="false">IF(ISBLANK(RawFinancials!P255),"",RawFinancials!P255)</f>
        <v>LEDYARD NATIONAL BANK</v>
      </c>
      <c r="Q255" s="0" t="n">
        <f aca="false">IF(ISBLANK(RawFinancials!Q255),"",RawFinancials!Q255)</f>
        <v>0.354058745691185</v>
      </c>
      <c r="R255" s="0" t="n">
        <f aca="false">IF(ISBLANK(RawFinancials!R255),"",RawFinancials!R255)</f>
        <v>3.00755226824019</v>
      </c>
      <c r="S255" s="0" t="n">
        <f aca="false">IF(ISBLANK(RawFinancials!S255),"",RawFinancials!S255)</f>
        <v>2</v>
      </c>
      <c r="T255" s="0" t="n">
        <f aca="false">IF(ISBLANK(RawFinancials!T255),"",RawFinancials!T255)</f>
        <v>237</v>
      </c>
      <c r="U255" s="0" t="n">
        <f aca="false">IF(ISBLANK(RawFinancials!U255),"",RawFinancials!U255)</f>
        <v>0</v>
      </c>
      <c r="V255" s="0" t="n">
        <f aca="false">IF(ISBLANK(RawFinancials!V255),"",RawFinancials!V255)</f>
        <v>18.9057850876711</v>
      </c>
      <c r="W255" s="0" t="n">
        <f aca="false">IF(ISBLANK(RawFinancials!W255),"",RawFinancials!W255)</f>
        <v>20230331</v>
      </c>
      <c r="X255" s="0" t="n">
        <f aca="false">IF(ISBLANK(RawFinancials!X255),"",RawFinancials!X255)</f>
        <v>0.931989755103962</v>
      </c>
      <c r="Y255" s="0" t="n">
        <f aca="false">IF(ISBLANK(RawFinancials!Y255),"",RawFinancials!Y255)</f>
        <v>10.44</v>
      </c>
      <c r="Z255" s="0" t="str">
        <f aca="false">IF(ISBLANK(RawFinancials!Z255),"",RawFinancials!Z255)</f>
        <v>VT</v>
      </c>
      <c r="AA255" s="0" t="n">
        <f aca="false">RawFinancials!AA255</f>
        <v>1</v>
      </c>
      <c r="AB255" s="0" t="n">
        <f aca="false">RawFinancials!AB255</f>
        <v>1287</v>
      </c>
      <c r="AC255" s="0" t="n">
        <f aca="false">RawFinancials!AC255</f>
        <v>0.172660364854024</v>
      </c>
      <c r="AD255" s="0" t="n">
        <f aca="false">IF(L255&gt;0,100*N255/L255,"")</f>
        <v>84.1072465123701</v>
      </c>
      <c r="AE255" s="0" t="n">
        <f aca="false">IF(B255&gt;0,100*F255/B255,"")</f>
        <v>9.03629489907351</v>
      </c>
      <c r="AF255" s="0" t="str">
        <f aca="false">RawFinancials!AE255</f>
        <v/>
      </c>
    </row>
    <row r="256" customFormat="false" ht="15" hidden="false" customHeight="false" outlineLevel="0" collapsed="false">
      <c r="A256" s="0" t="n">
        <f aca="false">IF(ISBLANK(RawFinancials!A256),"",RawFinancials!A256)</f>
        <v>256</v>
      </c>
      <c r="B256" s="0" t="n">
        <f aca="false">IF(ISBLANK(RawFinancials!B256),"",RawFinancials!B256)</f>
        <v>66610</v>
      </c>
      <c r="C256" s="0" t="n">
        <f aca="false">IF(ISBLANK(RawFinancials!C256),"",RawFinancials!C256)</f>
        <v>35206</v>
      </c>
      <c r="D256" s="0" t="n">
        <f aca="false">IF(ISBLANK(RawFinancials!D256),"",RawFinancials!D256)</f>
        <v>500</v>
      </c>
      <c r="E256" s="0" t="n">
        <f aca="false">IF(ISBLANK(RawFinancials!E256),"",RawFinancials!E256)</f>
        <v>0</v>
      </c>
      <c r="F256" s="0" t="n">
        <f aca="false">IF(ISBLANK(RawFinancials!F256),"",RawFinancials!F256)</f>
        <v>64048</v>
      </c>
      <c r="G256" s="0" t="n">
        <f aca="false">IF(ISBLANK(RawFinancials!G256),"",RawFinancials!G256)</f>
        <v>96.1537306710704</v>
      </c>
      <c r="H256" s="0" t="str">
        <f aca="false">IF(ISBLANK(RawFinancials!H256),"",RawFinancials!H256)</f>
        <v>35206_20230331</v>
      </c>
      <c r="I256" s="0" t="n">
        <f aca="false">IF(ISBLANK(RawFinancials!I256),"",RawFinancials!I256)</f>
        <v>0</v>
      </c>
      <c r="J256" s="0" t="n">
        <f aca="false">IF(ISBLANK(RawFinancials!J256),"",RawFinancials!J256)</f>
        <v>0</v>
      </c>
      <c r="K256" s="0" t="n">
        <f aca="false">IF(ISBLANK(RawFinancials!K256),"",RawFinancials!K256)</f>
        <v>0</v>
      </c>
      <c r="L256" s="0" t="n">
        <f aca="false">IF(ISBLANK(RawFinancials!L256),"",RawFinancials!L256)</f>
        <v>0</v>
      </c>
      <c r="M256" s="0" t="n">
        <f aca="false">IF(ISBLANK(RawFinancials!M256),"",RawFinancials!M256)</f>
        <v>0</v>
      </c>
      <c r="N256" s="0" t="n">
        <f aca="false">IF(ISBLANK(RawFinancials!N256),"",RawFinancials!N256)</f>
        <v>0</v>
      </c>
      <c r="O256" s="0" t="n">
        <f aca="false">IF(ISBLANK(RawFinancials!O256),"",RawFinancials!O256)</f>
        <v>0</v>
      </c>
      <c r="P256" s="0" t="str">
        <f aca="false">IF(ISBLANK(RawFinancials!P256),"",RawFinancials!P256)</f>
        <v>FIDELITY PERSONAL TRUST COMPANY, FSB</v>
      </c>
      <c r="Q256" s="0" t="n">
        <f aca="false">IF(ISBLANK(RawFinancials!Q256),"",RawFinancials!Q256)</f>
        <v>0</v>
      </c>
      <c r="R256" s="0" t="n">
        <f aca="false">IF(ISBLANK(RawFinancials!R256),"",RawFinancials!R256)</f>
        <v>4.34943363248294</v>
      </c>
      <c r="S256" s="0" t="n">
        <f aca="false">IF(ISBLANK(RawFinancials!S256),"",RawFinancials!S256)</f>
        <v>0</v>
      </c>
      <c r="T256" s="0" t="n">
        <f aca="false">IF(ISBLANK(RawFinancials!T256),"",RawFinancials!T256)</f>
        <v>0</v>
      </c>
      <c r="U256" s="0" t="n">
        <f aca="false">IF(ISBLANK(RawFinancials!U256),"",RawFinancials!U256)</f>
        <v>0</v>
      </c>
      <c r="V256" s="0" t="n">
        <f aca="false">IF(ISBLANK(RawFinancials!V256),"",RawFinancials!V256)</f>
        <v>0</v>
      </c>
      <c r="W256" s="0" t="n">
        <f aca="false">IF(ISBLANK(RawFinancials!W256),"",RawFinancials!W256)</f>
        <v>20230331</v>
      </c>
      <c r="X256" s="0" t="n">
        <f aca="false">IF(ISBLANK(RawFinancials!X256),"",RawFinancials!X256)</f>
        <v>20.8360558586212</v>
      </c>
      <c r="Y256" s="0" t="n">
        <f aca="false">IF(ISBLANK(RawFinancials!Y256),"",RawFinancials!Y256)</f>
        <v>22</v>
      </c>
      <c r="Z256" s="0" t="str">
        <f aca="false">IF(ISBLANK(RawFinancials!Z256),"",RawFinancials!Z256)</f>
        <v>NH</v>
      </c>
      <c r="AA256" s="0" t="n">
        <f aca="false">RawFinancials!AA256</f>
        <v>1</v>
      </c>
      <c r="AB256" s="0" t="n">
        <f aca="false">RawFinancials!AB256</f>
        <v>0</v>
      </c>
      <c r="AC256" s="0" t="n">
        <f aca="false">RawFinancials!AC256</f>
        <v>0</v>
      </c>
      <c r="AD256" s="0" t="str">
        <f aca="false">IF(L256&gt;0,100*N256/L256,"")</f>
        <v/>
      </c>
      <c r="AE256" s="0" t="n">
        <f aca="false">IF(B256&gt;0,100*F256/B256,"")</f>
        <v>96.1537306710704</v>
      </c>
      <c r="AF256" s="0" t="str">
        <f aca="false">RawFinancials!AE256</f>
        <v>原始0：需核实适用/报告口径</v>
      </c>
    </row>
    <row r="257" customFormat="false" ht="15" hidden="false" customHeight="false" outlineLevel="0" collapsed="false">
      <c r="A257" s="0" t="n">
        <f aca="false">IF(ISBLANK(RawFinancials!A257),"",RawFinancials!A257)</f>
        <v>257</v>
      </c>
      <c r="B257" s="0" t="n">
        <f aca="false">IF(ISBLANK(RawFinancials!B257),"",RawFinancials!B257)</f>
        <v>5707400</v>
      </c>
      <c r="C257" s="0" t="n">
        <f aca="false">IF(ISBLANK(RawFinancials!C257),"",RawFinancials!C257)</f>
        <v>4255</v>
      </c>
      <c r="D257" s="0" t="n">
        <f aca="false">IF(ISBLANK(RawFinancials!D257),"",RawFinancials!D257)</f>
        <v>4682533</v>
      </c>
      <c r="E257" s="0" t="n">
        <f aca="false">IF(ISBLANK(RawFinancials!E257),"",RawFinancials!E257)</f>
        <v>0.01</v>
      </c>
      <c r="F257" s="0" t="n">
        <f aca="false">IF(ISBLANK(RawFinancials!F257),"",RawFinancials!F257)</f>
        <v>475108</v>
      </c>
      <c r="G257" s="0" t="n">
        <f aca="false">IF(ISBLANK(RawFinancials!G257),"",RawFinancials!G257)</f>
        <v>8.3244209272173</v>
      </c>
      <c r="H257" s="0" t="str">
        <f aca="false">IF(ISBLANK(RawFinancials!H257),"",RawFinancials!H257)</f>
        <v>4255_20230331</v>
      </c>
      <c r="I257" s="0" t="n">
        <f aca="false">IF(ISBLANK(RawFinancials!I257),"",RawFinancials!I257)</f>
        <v>0.910667121174592</v>
      </c>
      <c r="J257" s="0" t="n">
        <f aca="false">IF(ISBLANK(RawFinancials!J257),"",RawFinancials!J257)</f>
        <v>347458</v>
      </c>
      <c r="K257" s="0" t="n">
        <f aca="false">IF(ISBLANK(RawFinancials!K257),"",RawFinancials!K257)</f>
        <v>19811</v>
      </c>
      <c r="L257" s="0" t="n">
        <f aca="false">IF(ISBLANK(RawFinancials!L257),"",RawFinancials!L257)</f>
        <v>4077670</v>
      </c>
      <c r="M257" s="0" t="n">
        <f aca="false">IF(ISBLANK(RawFinancials!M257),"",RawFinancials!M257)</f>
        <v>4040536</v>
      </c>
      <c r="N257" s="0" t="n">
        <f aca="false">IF(ISBLANK(RawFinancials!N257),"",RawFinancials!N257)</f>
        <v>3668834</v>
      </c>
      <c r="O257" s="0" t="n">
        <f aca="false">IF(ISBLANK(RawFinancials!O257),"",RawFinancials!O257)</f>
        <v>2958</v>
      </c>
      <c r="P257" s="0" t="str">
        <f aca="false">IF(ISBLANK(RawFinancials!P257),"",RawFinancials!P257)</f>
        <v>THE CAMDEN NATIONAL BANK</v>
      </c>
      <c r="Q257" s="0" t="n">
        <f aca="false">IF(ISBLANK(RawFinancials!Q257),"",RawFinancials!Q257)</f>
        <v>0.0725414268442517</v>
      </c>
      <c r="R257" s="0" t="n">
        <f aca="false">IF(ISBLANK(RawFinancials!R257),"",RawFinancials!R257)</f>
        <v>2.65321190023137</v>
      </c>
      <c r="S257" s="0" t="n">
        <f aca="false">IF(ISBLANK(RawFinancials!S257),"",RawFinancials!S257)</f>
        <v>227</v>
      </c>
      <c r="T257" s="0" t="n">
        <f aca="false">IF(ISBLANK(RawFinancials!T257),"",RawFinancials!T257)</f>
        <v>2138</v>
      </c>
      <c r="U257" s="0" t="n">
        <f aca="false">IF(ISBLANK(RawFinancials!U257),"",RawFinancials!U257)</f>
        <v>0</v>
      </c>
      <c r="V257" s="0" t="n">
        <f aca="false">IF(ISBLANK(RawFinancials!V257),"",RawFinancials!V257)</f>
        <v>13.1782412567421</v>
      </c>
      <c r="W257" s="0" t="n">
        <f aca="false">IF(ISBLANK(RawFinancials!W257),"",RawFinancials!W257)</f>
        <v>20230331</v>
      </c>
      <c r="X257" s="0" t="n">
        <f aca="false">IF(ISBLANK(RawFinancials!X257),"",RawFinancials!X257)</f>
        <v>0.937848206885979</v>
      </c>
      <c r="Y257" s="0" t="n">
        <f aca="false">IF(ISBLANK(RawFinancials!Y257),"",RawFinancials!Y257)</f>
        <v>11.39</v>
      </c>
      <c r="Z257" s="0" t="str">
        <f aca="false">IF(ISBLANK(RawFinancials!Z257),"",RawFinancials!Z257)</f>
        <v>ME</v>
      </c>
      <c r="AA257" s="0" t="n">
        <f aca="false">RawFinancials!AA257</f>
        <v>1</v>
      </c>
      <c r="AB257" s="0" t="n">
        <f aca="false">RawFinancials!AB257</f>
        <v>2958</v>
      </c>
      <c r="AC257" s="0" t="n">
        <f aca="false">RawFinancials!AC257</f>
        <v>0.0518274520797561</v>
      </c>
      <c r="AD257" s="0" t="n">
        <f aca="false">IF(L257&gt;0,100*N257/L257,"")</f>
        <v>89.9737840482432</v>
      </c>
      <c r="AE257" s="0" t="n">
        <f aca="false">IF(B257&gt;0,100*F257/B257,"")</f>
        <v>8.3244209272173</v>
      </c>
      <c r="AF257" s="0" t="str">
        <f aca="false">RawFinancials!AE257</f>
        <v/>
      </c>
    </row>
    <row r="258" customFormat="false" ht="15" hidden="false" customHeight="false" outlineLevel="0" collapsed="false">
      <c r="A258" s="0" t="n">
        <f aca="false">IF(ISBLANK(RawFinancials!A258),"",RawFinancials!A258)</f>
        <v>258</v>
      </c>
      <c r="B258" s="0" t="n">
        <f aca="false">IF(ISBLANK(RawFinancials!B258),"",RawFinancials!B258)</f>
        <v>2776791</v>
      </c>
      <c r="C258" s="0" t="n">
        <f aca="false">IF(ISBLANK(RawFinancials!C258),"",RawFinancials!C258)</f>
        <v>4256</v>
      </c>
      <c r="D258" s="0" t="n">
        <f aca="false">IF(ISBLANK(RawFinancials!D258),"",RawFinancials!D258)</f>
        <v>2467296</v>
      </c>
      <c r="E258" s="0" t="n">
        <f aca="false">IF(ISBLANK(RawFinancials!E258),"",RawFinancials!E258)</f>
        <v>0.08</v>
      </c>
      <c r="F258" s="0" t="n">
        <f aca="false">IF(ISBLANK(RawFinancials!F258),"",RawFinancials!F258)</f>
        <v>199927</v>
      </c>
      <c r="G258" s="0" t="n">
        <f aca="false">IF(ISBLANK(RawFinancials!G258),"",RawFinancials!G258)</f>
        <v>7.1999297030277</v>
      </c>
      <c r="H258" s="0" t="str">
        <f aca="false">IF(ISBLANK(RawFinancials!H258),"",RawFinancials!H258)</f>
        <v>4256_20230331</v>
      </c>
      <c r="I258" s="0" t="n">
        <f aca="false">IF(ISBLANK(RawFinancials!I258),"",RawFinancials!I258)</f>
        <v>1.18304639742754</v>
      </c>
      <c r="J258" s="0" t="n">
        <f aca="false">IF(ISBLANK(RawFinancials!J258),"",RawFinancials!J258)</f>
        <v>294299</v>
      </c>
      <c r="K258" s="0" t="n">
        <f aca="false">IF(ISBLANK(RawFinancials!K258),"",RawFinancials!K258)</f>
        <v>19435</v>
      </c>
      <c r="L258" s="0" t="n">
        <f aca="false">IF(ISBLANK(RawFinancials!L258),"",RawFinancials!L258)</f>
        <v>1982847</v>
      </c>
      <c r="M258" s="0" t="n">
        <f aca="false">IF(ISBLANK(RawFinancials!M258),"",RawFinancials!M258)</f>
        <v>1959389</v>
      </c>
      <c r="N258" s="0" t="n">
        <f aca="false">IF(ISBLANK(RawFinancials!N258),"",RawFinancials!N258)</f>
        <v>1576558</v>
      </c>
      <c r="O258" s="0" t="n">
        <f aca="false">IF(ISBLANK(RawFinancials!O258),"",RawFinancials!O258)</f>
        <v>1800</v>
      </c>
      <c r="P258" s="0" t="str">
        <f aca="false">IF(ISBLANK(RawFinancials!P258),"",RawFinancials!P258)</f>
        <v>FIRST NATIONAL BANK</v>
      </c>
      <c r="Q258" s="0" t="n">
        <f aca="false">IF(ISBLANK(RawFinancials!Q258),"",RawFinancials!Q258)</f>
        <v>0.101268529543631</v>
      </c>
      <c r="R258" s="0" t="n">
        <f aca="false">IF(ISBLANK(RawFinancials!R258),"",RawFinancials!R258)</f>
        <v>2.70732453141392</v>
      </c>
      <c r="S258" s="0" t="n">
        <f aca="false">IF(ISBLANK(RawFinancials!S258),"",RawFinancials!S258)</f>
        <v>25</v>
      </c>
      <c r="T258" s="0" t="n">
        <f aca="false">IF(ISBLANK(RawFinancials!T258),"",RawFinancials!T258)</f>
        <v>946</v>
      </c>
      <c r="U258" s="0" t="n">
        <f aca="false">IF(ISBLANK(RawFinancials!U258),"",RawFinancials!U258)</f>
        <v>208</v>
      </c>
      <c r="V258" s="0" t="n">
        <f aca="false">IF(ISBLANK(RawFinancials!V258),"",RawFinancials!V258)</f>
        <v>13.6350384316431</v>
      </c>
      <c r="W258" s="0" t="n">
        <f aca="false">IF(ISBLANK(RawFinancials!W258),"",RawFinancials!W258)</f>
        <v>20230331</v>
      </c>
      <c r="X258" s="0" t="n">
        <f aca="false">IF(ISBLANK(RawFinancials!X258),"",RawFinancials!X258)</f>
        <v>1.19339414885096</v>
      </c>
      <c r="Y258" s="0" t="n">
        <f aca="false">IF(ISBLANK(RawFinancials!Y258),"",RawFinancials!Y258)</f>
        <v>16.35</v>
      </c>
      <c r="Z258" s="0" t="str">
        <f aca="false">IF(ISBLANK(RawFinancials!Z258),"",RawFinancials!Z258)</f>
        <v>ME</v>
      </c>
      <c r="AA258" s="0" t="n">
        <f aca="false">RawFinancials!AA258</f>
        <v>1</v>
      </c>
      <c r="AB258" s="0" t="n">
        <f aca="false">RawFinancials!AB258</f>
        <v>2008</v>
      </c>
      <c r="AC258" s="0" t="n">
        <f aca="false">RawFinancials!AC258</f>
        <v>0.072313688714779</v>
      </c>
      <c r="AD258" s="0" t="n">
        <f aca="false">IF(L258&gt;0,100*N258/L258,"")</f>
        <v>79.5098159363783</v>
      </c>
      <c r="AE258" s="0" t="n">
        <f aca="false">IF(B258&gt;0,100*F258/B258,"")</f>
        <v>7.1999297030277</v>
      </c>
      <c r="AF258" s="0" t="str">
        <f aca="false">RawFinancials!AE258</f>
        <v/>
      </c>
    </row>
    <row r="259" customFormat="false" ht="15" hidden="false" customHeight="false" outlineLevel="0" collapsed="false">
      <c r="A259" s="0" t="n">
        <f aca="false">IF(ISBLANK(RawFinancials!A259),"",RawFinancials!A259)</f>
        <v>259</v>
      </c>
      <c r="B259" s="0" t="n">
        <f aca="false">IF(ISBLANK(RawFinancials!B259),"",RawFinancials!B259)</f>
        <v>693867</v>
      </c>
      <c r="C259" s="0" t="n">
        <f aca="false">IF(ISBLANK(RawFinancials!C259),"",RawFinancials!C259)</f>
        <v>59086</v>
      </c>
      <c r="D259" s="0" t="n">
        <f aca="false">IF(ISBLANK(RawFinancials!D259),"",RawFinancials!D259)</f>
        <v>607363</v>
      </c>
      <c r="E259" s="0" t="n">
        <f aca="false">IF(ISBLANK(RawFinancials!E259),"",RawFinancials!E259)</f>
        <v>-0.07</v>
      </c>
      <c r="F259" s="0" t="n">
        <f aca="false">IF(ISBLANK(RawFinancials!F259),"",RawFinancials!F259)</f>
        <v>80605</v>
      </c>
      <c r="G259" s="0" t="n">
        <f aca="false">IF(ISBLANK(RawFinancials!G259),"",RawFinancials!G259)</f>
        <v>11.6167795845602</v>
      </c>
      <c r="H259" s="0" t="str">
        <f aca="false">IF(ISBLANK(RawFinancials!H259),"",RawFinancials!H259)</f>
        <v>59086_20230331</v>
      </c>
      <c r="I259" s="0" t="n">
        <f aca="false">IF(ISBLANK(RawFinancials!I259),"",RawFinancials!I259)</f>
        <v>1.10141974915643</v>
      </c>
      <c r="J259" s="0" t="n">
        <f aca="false">IF(ISBLANK(RawFinancials!J259),"",RawFinancials!J259)</f>
        <v>118646</v>
      </c>
      <c r="K259" s="0" t="n">
        <f aca="false">IF(ISBLANK(RawFinancials!K259),"",RawFinancials!K259)</f>
        <v>0</v>
      </c>
      <c r="L259" s="0" t="n">
        <f aca="false">IF(ISBLANK(RawFinancials!L259),"",RawFinancials!L259)</f>
        <v>581159</v>
      </c>
      <c r="M259" s="0" t="n">
        <f aca="false">IF(ISBLANK(RawFinancials!M259),"",RawFinancials!M259)</f>
        <v>574758</v>
      </c>
      <c r="N259" s="0" t="n">
        <f aca="false">IF(ISBLANK(RawFinancials!N259),"",RawFinancials!N259)</f>
        <v>463062</v>
      </c>
      <c r="O259" s="0" t="n">
        <f aca="false">IF(ISBLANK(RawFinancials!O259),"",RawFinancials!O259)</f>
        <v>4263</v>
      </c>
      <c r="P259" s="0" t="str">
        <f aca="false">IF(ISBLANK(RawFinancials!P259),"",RawFinancials!P259)</f>
        <v>PRIMARY BANK</v>
      </c>
      <c r="Q259" s="0" t="n">
        <f aca="false">IF(ISBLANK(RawFinancials!Q259),"",RawFinancials!Q259)</f>
        <v>0.370294532133203</v>
      </c>
      <c r="R259" s="0" t="n">
        <f aca="false">IF(ISBLANK(RawFinancials!R259),"",RawFinancials!R259)</f>
        <v>4.14472638660804</v>
      </c>
      <c r="S259" s="0" t="n">
        <f aca="false">IF(ISBLANK(RawFinancials!S259),"",RawFinancials!S259)</f>
        <v>0</v>
      </c>
      <c r="T259" s="0" t="n">
        <f aca="false">IF(ISBLANK(RawFinancials!T259),"",RawFinancials!T259)</f>
        <v>200</v>
      </c>
      <c r="U259" s="0" t="n">
        <f aca="false">IF(ISBLANK(RawFinancials!U259),"",RawFinancials!U259)</f>
        <v>0</v>
      </c>
      <c r="V259" s="0" t="n">
        <f aca="false">IF(ISBLANK(RawFinancials!V259),"",RawFinancials!V259)</f>
        <v>14.3503452916795</v>
      </c>
      <c r="W259" s="0" t="n">
        <f aca="false">IF(ISBLANK(RawFinancials!W259),"",RawFinancials!W259)</f>
        <v>20230331</v>
      </c>
      <c r="X259" s="0" t="n">
        <f aca="false">IF(ISBLANK(RawFinancials!X259),"",RawFinancials!X259)</f>
        <v>1.65037409369627</v>
      </c>
      <c r="Y259" s="0" t="n">
        <f aca="false">IF(ISBLANK(RawFinancials!Y259),"",RawFinancials!Y259)</f>
        <v>14.18</v>
      </c>
      <c r="Z259" s="0" t="str">
        <f aca="false">IF(ISBLANK(RawFinancials!Z259),"",RawFinancials!Z259)</f>
        <v>NH</v>
      </c>
      <c r="AA259" s="0" t="n">
        <f aca="false">RawFinancials!AA259</f>
        <v>1</v>
      </c>
      <c r="AB259" s="0" t="n">
        <f aca="false">RawFinancials!AB259</f>
        <v>4263</v>
      </c>
      <c r="AC259" s="0" t="n">
        <f aca="false">RawFinancials!AC259</f>
        <v>0.614382871645431</v>
      </c>
      <c r="AD259" s="0" t="n">
        <f aca="false">IF(L259&gt;0,100*N259/L259,"")</f>
        <v>79.6790551294913</v>
      </c>
      <c r="AE259" s="0" t="n">
        <f aca="false">IF(B259&gt;0,100*F259/B259,"")</f>
        <v>11.6167795845602</v>
      </c>
      <c r="AF259" s="0" t="str">
        <f aca="false">RawFinancials!AE259</f>
        <v/>
      </c>
    </row>
    <row r="260" customFormat="false" ht="15" hidden="false" customHeight="false" outlineLevel="0" collapsed="false">
      <c r="A260" s="0" t="n">
        <f aca="false">IF(ISBLANK(RawFinancials!A260),"",RawFinancials!A260)</f>
        <v>260</v>
      </c>
      <c r="B260" s="0" t="n">
        <f aca="false">IF(ISBLANK(RawFinancials!B260),"",RawFinancials!B260)</f>
        <v>191655</v>
      </c>
      <c r="C260" s="0" t="n">
        <f aca="false">IF(ISBLANK(RawFinancials!C260),"",RawFinancials!C260)</f>
        <v>59176</v>
      </c>
      <c r="D260" s="0" t="n">
        <f aca="false">IF(ISBLANK(RawFinancials!D260),"",RawFinancials!D260)</f>
        <v>161440</v>
      </c>
      <c r="E260" s="0" t="n">
        <f aca="false">IF(ISBLANK(RawFinancials!E260),"",RawFinancials!E260)</f>
        <v>0.2</v>
      </c>
      <c r="F260" s="0" t="n">
        <f aca="false">IF(ISBLANK(RawFinancials!F260),"",RawFinancials!F260)</f>
        <v>23472</v>
      </c>
      <c r="G260" s="0" t="n">
        <f aca="false">IF(ISBLANK(RawFinancials!G260),"",RawFinancials!G260)</f>
        <v>12.2470063395163</v>
      </c>
      <c r="H260" s="0" t="str">
        <f aca="false">IF(ISBLANK(RawFinancials!H260),"",RawFinancials!H260)</f>
        <v>59176_20230331</v>
      </c>
      <c r="I260" s="0" t="n">
        <f aca="false">IF(ISBLANK(RawFinancials!I260),"",RawFinancials!I260)</f>
        <v>0.988404834447605</v>
      </c>
      <c r="J260" s="0" t="n">
        <f aca="false">IF(ISBLANK(RawFinancials!J260),"",RawFinancials!J260)</f>
        <v>18881</v>
      </c>
      <c r="K260" s="0" t="n">
        <f aca="false">IF(ISBLANK(RawFinancials!K260),"",RawFinancials!K260)</f>
        <v>8</v>
      </c>
      <c r="L260" s="0" t="n">
        <f aca="false">IF(ISBLANK(RawFinancials!L260),"",RawFinancials!L260)</f>
        <v>138506</v>
      </c>
      <c r="M260" s="0" t="n">
        <f aca="false">IF(ISBLANK(RawFinancials!M260),"",RawFinancials!M260)</f>
        <v>137137</v>
      </c>
      <c r="N260" s="0" t="n">
        <f aca="false">IF(ISBLANK(RawFinancials!N260),"",RawFinancials!N260)</f>
        <v>119629</v>
      </c>
      <c r="O260" s="0" t="n">
        <f aca="false">IF(ISBLANK(RawFinancials!O260),"",RawFinancials!O260)</f>
        <v>0</v>
      </c>
      <c r="P260" s="0" t="str">
        <f aca="false">IF(ISBLANK(RawFinancials!P260),"",RawFinancials!P260)</f>
        <v>THE MILLYARD BANK</v>
      </c>
      <c r="Q260" s="0" t="n">
        <f aca="false">IF(ISBLANK(RawFinancials!Q260),"",RawFinancials!Q260)</f>
        <v>0</v>
      </c>
      <c r="R260" s="0" t="n">
        <f aca="false">IF(ISBLANK(RawFinancials!R260),"",RawFinancials!R260)</f>
        <v>2.88197979481557</v>
      </c>
      <c r="S260" s="0" t="n">
        <f aca="false">IF(ISBLANK(RawFinancials!S260),"",RawFinancials!S260)</f>
        <v>0</v>
      </c>
      <c r="T260" s="0" t="n">
        <f aca="false">IF(ISBLANK(RawFinancials!T260),"",RawFinancials!T260)</f>
        <v>0</v>
      </c>
      <c r="U260" s="0" t="n">
        <f aca="false">IF(ISBLANK(RawFinancials!U260),"",RawFinancials!U260)</f>
        <v>0</v>
      </c>
      <c r="V260" s="0" t="n">
        <f aca="false">IF(ISBLANK(RawFinancials!V260),"",RawFinancials!V260)</f>
        <v>18.2380826024283</v>
      </c>
      <c r="W260" s="0" t="n">
        <f aca="false">IF(ISBLANK(RawFinancials!W260),"",RawFinancials!W260)</f>
        <v>20230331</v>
      </c>
      <c r="X260" s="0" t="n">
        <f aca="false">IF(ISBLANK(RawFinancials!X260),"",RawFinancials!X260)</f>
        <v>0.210682355624214</v>
      </c>
      <c r="Y260" s="0" t="n">
        <f aca="false">IF(ISBLANK(RawFinancials!Y260),"",RawFinancials!Y260)</f>
        <v>1.66</v>
      </c>
      <c r="Z260" s="0" t="str">
        <f aca="false">IF(ISBLANK(RawFinancials!Z260),"",RawFinancials!Z260)</f>
        <v>NH</v>
      </c>
      <c r="AA260" s="0" t="n">
        <f aca="false">RawFinancials!AA260</f>
        <v>1</v>
      </c>
      <c r="AB260" s="0" t="n">
        <f aca="false">RawFinancials!AB260</f>
        <v>0</v>
      </c>
      <c r="AC260" s="0" t="n">
        <f aca="false">RawFinancials!AC260</f>
        <v>0</v>
      </c>
      <c r="AD260" s="0" t="n">
        <f aca="false">IF(L260&gt;0,100*N260/L260,"")</f>
        <v>86.370987538446</v>
      </c>
      <c r="AE260" s="0" t="n">
        <f aca="false">IF(B260&gt;0,100*F260/B260,"")</f>
        <v>12.2470063395163</v>
      </c>
      <c r="AF260" s="0" t="str">
        <f aca="false">RawFinancials!AE260</f>
        <v/>
      </c>
    </row>
    <row r="261" customFormat="false" ht="15" hidden="false" customHeight="false" outlineLevel="0" collapsed="false">
      <c r="A261" s="0" t="n">
        <f aca="false">IF(ISBLANK(RawFinancials!A261),"",RawFinancials!A261)</f>
        <v>261</v>
      </c>
      <c r="B261" s="0" t="n">
        <f aca="false">IF(ISBLANK(RawFinancials!B261),"",RawFinancials!B261)</f>
        <v>44619</v>
      </c>
      <c r="C261" s="0" t="n">
        <f aca="false">IF(ISBLANK(RawFinancials!C261),"",RawFinancials!C261)</f>
        <v>59289</v>
      </c>
      <c r="D261" s="0" t="n">
        <f aca="false">IF(ISBLANK(RawFinancials!D261),"",RawFinancials!D261)</f>
        <v>22939</v>
      </c>
      <c r="E261" s="0" t="n">
        <f aca="false">IF(ISBLANK(RawFinancials!E261),"",RawFinancials!E261)</f>
        <v>0.9</v>
      </c>
      <c r="F261" s="0" t="n">
        <f aca="false">IF(ISBLANK(RawFinancials!F261),"",RawFinancials!F261)</f>
        <v>20800</v>
      </c>
      <c r="G261" s="0" t="n">
        <f aca="false">IF(ISBLANK(RawFinancials!G261),"",RawFinancials!G261)</f>
        <v>46.6169120778144</v>
      </c>
      <c r="H261" s="0" t="str">
        <f aca="false">IF(ISBLANK(RawFinancials!H261),"",RawFinancials!H261)</f>
        <v>59289_20230331</v>
      </c>
      <c r="I261" s="0" t="n">
        <f aca="false">IF(ISBLANK(RawFinancials!I261),"",RawFinancials!I261)</f>
        <v>1.15150965636051</v>
      </c>
      <c r="J261" s="0" t="n">
        <f aca="false">IF(ISBLANK(RawFinancials!J261),"",RawFinancials!J261)</f>
        <v>5881</v>
      </c>
      <c r="K261" s="0" t="n">
        <f aca="false">IF(ISBLANK(RawFinancials!K261),"",RawFinancials!K261)</f>
        <v>0</v>
      </c>
      <c r="L261" s="0" t="n">
        <f aca="false">IF(ISBLANK(RawFinancials!L261),"",RawFinancials!L261)</f>
        <v>11029</v>
      </c>
      <c r="M261" s="0" t="n">
        <f aca="false">IF(ISBLANK(RawFinancials!M261),"",RawFinancials!M261)</f>
        <v>10902</v>
      </c>
      <c r="N261" s="0" t="n">
        <f aca="false">IF(ISBLANK(RawFinancials!N261),"",RawFinancials!N261)</f>
        <v>4676</v>
      </c>
      <c r="O261" s="0" t="n">
        <f aca="false">IF(ISBLANK(RawFinancials!O261),"",RawFinancials!O261)</f>
        <v>0</v>
      </c>
      <c r="P261" s="0" t="str">
        <f aca="false">IF(ISBLANK(RawFinancials!P261),"",RawFinancials!P261)</f>
        <v>WALDEN MUTUAL BANK</v>
      </c>
      <c r="Q261" s="0" t="n">
        <f aca="false">IF(ISBLANK(RawFinancials!Q261),"",RawFinancials!Q261)</f>
        <v>0</v>
      </c>
      <c r="R261" s="0" t="n">
        <f aca="false">IF(ISBLANK(RawFinancials!R261),"",RawFinancials!R261)</f>
        <v>3.92436110451776</v>
      </c>
      <c r="S261" s="0" t="n">
        <f aca="false">IF(ISBLANK(RawFinancials!S261),"",RawFinancials!S261)</f>
        <v>0</v>
      </c>
      <c r="T261" s="0" t="n">
        <f aca="false">IF(ISBLANK(RawFinancials!T261),"",RawFinancials!T261)</f>
        <v>0</v>
      </c>
      <c r="U261" s="0" t="n">
        <f aca="false">IF(ISBLANK(RawFinancials!U261),"",RawFinancials!U261)</f>
        <v>0</v>
      </c>
      <c r="V261" s="0" t="n">
        <f aca="false">IF(ISBLANK(RawFinancials!V261),"",RawFinancials!V261)</f>
        <v>0</v>
      </c>
      <c r="W261" s="0" t="n">
        <f aca="false">IF(ISBLANK(RawFinancials!W261),"",RawFinancials!W261)</f>
        <v>20230331</v>
      </c>
      <c r="X261" s="0" t="n">
        <f aca="false">IF(ISBLANK(RawFinancials!X261),"",RawFinancials!X261)</f>
        <v>-8.18873306394105</v>
      </c>
      <c r="Y261" s="0" t="n">
        <f aca="false">IF(ISBLANK(RawFinancials!Y261),"",RawFinancials!Y261)</f>
        <v>-13.02</v>
      </c>
      <c r="Z261" s="0" t="str">
        <f aca="false">IF(ISBLANK(RawFinancials!Z261),"",RawFinancials!Z261)</f>
        <v>NH</v>
      </c>
      <c r="AA261" s="0" t="n">
        <f aca="false">RawFinancials!AA261</f>
        <v>1</v>
      </c>
      <c r="AB261" s="0" t="n">
        <f aca="false">RawFinancials!AB261</f>
        <v>0</v>
      </c>
      <c r="AC261" s="0" t="n">
        <f aca="false">RawFinancials!AC261</f>
        <v>0</v>
      </c>
      <c r="AD261" s="0" t="n">
        <f aca="false">IF(L261&gt;0,100*N261/L261,"")</f>
        <v>42.3973161664702</v>
      </c>
      <c r="AE261" s="0" t="n">
        <f aca="false">IF(B261&gt;0,100*F261/B261,"")</f>
        <v>46.6169120778144</v>
      </c>
      <c r="AF261" s="0" t="str">
        <f aca="false">RawFinancials!AE261</f>
        <v>原始0：需核实适用/报告口径</v>
      </c>
    </row>
    <row r="262" customFormat="false" ht="15" hidden="false" customHeight="false" outlineLevel="0" collapsed="false">
      <c r="A262" s="0" t="n">
        <f aca="false">IF(ISBLANK(RawFinancials!A262),"",RawFinancials!A262)</f>
        <v>262</v>
      </c>
      <c r="B262" s="0" t="n">
        <f aca="false">IF(ISBLANK(RawFinancials!B262),"",RawFinancials!B262)</f>
        <v>115337</v>
      </c>
      <c r="C262" s="0" t="n">
        <f aca="false">IF(ISBLANK(RawFinancials!C262),"",RawFinancials!C262)</f>
        <v>59298</v>
      </c>
      <c r="D262" s="0" t="n">
        <f aca="false">IF(ISBLANK(RawFinancials!D262),"",RawFinancials!D262)</f>
        <v>85635</v>
      </c>
      <c r="E262" s="0" t="n">
        <f aca="false">IF(ISBLANK(RawFinancials!E262),"",RawFinancials!E262)</f>
        <v>0.58</v>
      </c>
      <c r="F262" s="0" t="n">
        <f aca="false">IF(ISBLANK(RawFinancials!F262),"",RawFinancials!F262)</f>
        <v>28720</v>
      </c>
      <c r="G262" s="0" t="n">
        <f aca="false">IF(ISBLANK(RawFinancials!G262),"",RawFinancials!G262)</f>
        <v>24.9009424555867</v>
      </c>
      <c r="H262" s="0" t="str">
        <f aca="false">IF(ISBLANK(RawFinancials!H262),"",RawFinancials!H262)</f>
        <v>59298_20230331</v>
      </c>
      <c r="I262" s="0" t="n">
        <f aca="false">IF(ISBLANK(RawFinancials!I262),"",RawFinancials!I262)</f>
        <v>0.999434282481614</v>
      </c>
      <c r="J262" s="0" t="n">
        <f aca="false">IF(ISBLANK(RawFinancials!J262),"",RawFinancials!J262)</f>
        <v>8264</v>
      </c>
      <c r="K262" s="0" t="n">
        <f aca="false">IF(ISBLANK(RawFinancials!K262),"",RawFinancials!K262)</f>
        <v>0</v>
      </c>
      <c r="L262" s="0" t="n">
        <f aca="false">IF(ISBLANK(RawFinancials!L262),"",RawFinancials!L262)</f>
        <v>37121</v>
      </c>
      <c r="M262" s="0" t="n">
        <f aca="false">IF(ISBLANK(RawFinancials!M262),"",RawFinancials!M262)</f>
        <v>36750</v>
      </c>
      <c r="N262" s="0" t="n">
        <f aca="false">IF(ISBLANK(RawFinancials!N262),"",RawFinancials!N262)</f>
        <v>28863</v>
      </c>
      <c r="O262" s="0" t="n">
        <f aca="false">IF(ISBLANK(RawFinancials!O262),"",RawFinancials!O262)</f>
        <v>0</v>
      </c>
      <c r="P262" s="0" t="str">
        <f aca="false">IF(ISBLANK(RawFinancials!P262),"",RawFinancials!P262)</f>
        <v>BANK OF BURLINGTON</v>
      </c>
      <c r="Q262" s="0" t="n">
        <f aca="false">IF(ISBLANK(RawFinancials!Q262),"",RawFinancials!Q262)</f>
        <v>0</v>
      </c>
      <c r="R262" s="0" t="n">
        <f aca="false">IF(ISBLANK(RawFinancials!R262),"",RawFinancials!R262)</f>
        <v>2.41809750847441</v>
      </c>
      <c r="S262" s="0" t="n">
        <f aca="false">IF(ISBLANK(RawFinancials!S262),"",RawFinancials!S262)</f>
        <v>0</v>
      </c>
      <c r="T262" s="0" t="n">
        <f aca="false">IF(ISBLANK(RawFinancials!T262),"",RawFinancials!T262)</f>
        <v>0</v>
      </c>
      <c r="U262" s="0" t="n">
        <f aca="false">IF(ISBLANK(RawFinancials!U262),"",RawFinancials!U262)</f>
        <v>0</v>
      </c>
      <c r="V262" s="0" t="n">
        <f aca="false">IF(ISBLANK(RawFinancials!V262),"",RawFinancials!V262)</f>
        <v>0</v>
      </c>
      <c r="W262" s="0" t="n">
        <f aca="false">IF(ISBLANK(RawFinancials!W262),"",RawFinancials!W262)</f>
        <v>20230331</v>
      </c>
      <c r="X262" s="0" t="n">
        <f aca="false">IF(ISBLANK(RawFinancials!X262),"",RawFinancials!X262)</f>
        <v>-3.58202471281107</v>
      </c>
      <c r="Y262" s="0" t="n">
        <f aca="false">IF(ISBLANK(RawFinancials!Y262),"",RawFinancials!Y262)</f>
        <v>-12.44</v>
      </c>
      <c r="Z262" s="0" t="str">
        <f aca="false">IF(ISBLANK(RawFinancials!Z262),"",RawFinancials!Z262)</f>
        <v>VT</v>
      </c>
      <c r="AA262" s="0" t="n">
        <f aca="false">RawFinancials!AA262</f>
        <v>1</v>
      </c>
      <c r="AB262" s="0" t="n">
        <f aca="false">RawFinancials!AB262</f>
        <v>0</v>
      </c>
      <c r="AC262" s="0" t="n">
        <f aca="false">RawFinancials!AC262</f>
        <v>0</v>
      </c>
      <c r="AD262" s="0" t="n">
        <f aca="false">IF(L262&gt;0,100*N262/L262,"")</f>
        <v>77.7538320627138</v>
      </c>
      <c r="AE262" s="0" t="n">
        <f aca="false">IF(B262&gt;0,100*F262/B262,"")</f>
        <v>24.9009424555867</v>
      </c>
      <c r="AF262" s="0" t="str">
        <f aca="false">RawFinancials!AE262</f>
        <v>原始0：需核实适用/报告口径</v>
      </c>
    </row>
    <row r="263" customFormat="false" ht="15" hidden="false" customHeight="false" outlineLevel="0" collapsed="false">
      <c r="A263" s="0" t="n">
        <f aca="false">IF(ISBLANK(RawFinancials!A263),"",RawFinancials!A263)</f>
        <v>263</v>
      </c>
      <c r="B263" s="0" t="n">
        <f aca="false">IF(ISBLANK(RawFinancials!B263),"",RawFinancials!B263)</f>
        <v>1030080</v>
      </c>
      <c r="C263" s="0" t="n">
        <f aca="false">IF(ISBLANK(RawFinancials!C263),"",RawFinancials!C263)</f>
        <v>6271</v>
      </c>
      <c r="D263" s="0" t="n">
        <f aca="false">IF(ISBLANK(RawFinancials!D263),"",RawFinancials!D263)</f>
        <v>889655</v>
      </c>
      <c r="E263" s="0" t="n">
        <f aca="false">IF(ISBLANK(RawFinancials!E263),"",RawFinancials!E263)</f>
        <v>0.11</v>
      </c>
      <c r="F263" s="0" t="n">
        <f aca="false">IF(ISBLANK(RawFinancials!F263),"",RawFinancials!F263)</f>
        <v>91934</v>
      </c>
      <c r="G263" s="0" t="n">
        <f aca="false">IF(ISBLANK(RawFinancials!G263),"",RawFinancials!G263)</f>
        <v>8.92493786890339</v>
      </c>
      <c r="H263" s="0" t="str">
        <f aca="false">IF(ISBLANK(RawFinancials!H263),"",RawFinancials!H263)</f>
        <v>6271_20230331</v>
      </c>
      <c r="I263" s="0" t="n">
        <f aca="false">IF(ISBLANK(RawFinancials!I263),"",RawFinancials!I263)</f>
        <v>1.21934511576928</v>
      </c>
      <c r="J263" s="0" t="n">
        <f aca="false">IF(ISBLANK(RawFinancials!J263),"",RawFinancials!J263)</f>
        <v>120865</v>
      </c>
      <c r="K263" s="0" t="n">
        <f aca="false">IF(ISBLANK(RawFinancials!K263),"",RawFinancials!K263)</f>
        <v>3347</v>
      </c>
      <c r="L263" s="0" t="n">
        <f aca="false">IF(ISBLANK(RawFinancials!L263),"",RawFinancials!L263)</f>
        <v>759096</v>
      </c>
      <c r="M263" s="0" t="n">
        <f aca="false">IF(ISBLANK(RawFinancials!M263),"",RawFinancials!M263)</f>
        <v>749840</v>
      </c>
      <c r="N263" s="0" t="n">
        <f aca="false">IF(ISBLANK(RawFinancials!N263),"",RawFinancials!N263)</f>
        <v>593607</v>
      </c>
      <c r="O263" s="0" t="n">
        <f aca="false">IF(ISBLANK(RawFinancials!O263),"",RawFinancials!O263)</f>
        <v>8482</v>
      </c>
      <c r="P263" s="0" t="str">
        <f aca="false">IF(ISBLANK(RawFinancials!P263),"",RawFinancials!P263)</f>
        <v>COMMUNITY NATIONAL BANK</v>
      </c>
      <c r="Q263" s="0" t="n">
        <f aca="false">IF(ISBLANK(RawFinancials!Q263),"",RawFinancials!Q263)</f>
        <v>1.14056720098644</v>
      </c>
      <c r="R263" s="0" t="n">
        <f aca="false">IF(ISBLANK(RawFinancials!R263),"",RawFinancials!R263)</f>
        <v>3.56771486783687</v>
      </c>
      <c r="S263" s="0" t="n">
        <f aca="false">IF(ISBLANK(RawFinancials!S263),"",RawFinancials!S263)</f>
        <v>-96</v>
      </c>
      <c r="T263" s="0" t="n">
        <f aca="false">IF(ISBLANK(RawFinancials!T263),"",RawFinancials!T263)</f>
        <v>2551</v>
      </c>
      <c r="U263" s="0" t="n">
        <f aca="false">IF(ISBLANK(RawFinancials!U263),"",RawFinancials!U263)</f>
        <v>176</v>
      </c>
      <c r="V263" s="0" t="n">
        <f aca="false">IF(ISBLANK(RawFinancials!V263),"",RawFinancials!V263)</f>
        <v>15.0686740437823</v>
      </c>
      <c r="W263" s="0" t="n">
        <f aca="false">IF(ISBLANK(RawFinancials!W263),"",RawFinancials!W263)</f>
        <v>20230331</v>
      </c>
      <c r="X263" s="0" t="n">
        <f aca="false">IF(ISBLANK(RawFinancials!X263),"",RawFinancials!X263)</f>
        <v>1.38518274505742</v>
      </c>
      <c r="Y263" s="0" t="n">
        <f aca="false">IF(ISBLANK(RawFinancials!Y263),"",RawFinancials!Y263)</f>
        <v>16.14</v>
      </c>
      <c r="Z263" s="0" t="str">
        <f aca="false">IF(ISBLANK(RawFinancials!Z263),"",RawFinancials!Z263)</f>
        <v>VT</v>
      </c>
      <c r="AA263" s="0" t="n">
        <f aca="false">RawFinancials!AA263</f>
        <v>1</v>
      </c>
      <c r="AB263" s="0" t="n">
        <f aca="false">RawFinancials!AB263</f>
        <v>8658</v>
      </c>
      <c r="AC263" s="0" t="n">
        <f aca="false">RawFinancials!AC263</f>
        <v>0.84051724137931</v>
      </c>
      <c r="AD263" s="0" t="n">
        <f aca="false">IF(L263&gt;0,100*N263/L263,"")</f>
        <v>78.199200101173</v>
      </c>
      <c r="AE263" s="0" t="n">
        <f aca="false">IF(B263&gt;0,100*F263/B263,"")</f>
        <v>8.92493786890339</v>
      </c>
      <c r="AF263" s="0" t="str">
        <f aca="false">RawFinancials!AE263</f>
        <v/>
      </c>
    </row>
    <row r="264" customFormat="false" ht="15" hidden="false" customHeight="false" outlineLevel="0" collapsed="false">
      <c r="A264" s="0" t="n">
        <f aca="false">IF(ISBLANK(RawFinancials!A264),"",RawFinancials!A264)</f>
        <v>264</v>
      </c>
      <c r="B264" s="0" t="n">
        <f aca="false">IF(ISBLANK(RawFinancials!B264),"",RawFinancials!B264)</f>
        <v>537695</v>
      </c>
      <c r="C264" s="0" t="n">
        <f aca="false">IF(ISBLANK(RawFinancials!C264),"",RawFinancials!C264)</f>
        <v>6275</v>
      </c>
      <c r="D264" s="0" t="n">
        <f aca="false">IF(ISBLANK(RawFinancials!D264),"",RawFinancials!D264)</f>
        <v>478571</v>
      </c>
      <c r="E264" s="0" t="n">
        <f aca="false">IF(ISBLANK(RawFinancials!E264),"",RawFinancials!E264)</f>
        <v>0</v>
      </c>
      <c r="F264" s="0" t="n">
        <f aca="false">IF(ISBLANK(RawFinancials!F264),"",RawFinancials!F264)</f>
        <v>28866</v>
      </c>
      <c r="G264" s="0" t="n">
        <f aca="false">IF(ISBLANK(RawFinancials!G264),"",RawFinancials!G264)</f>
        <v>5.36847097332131</v>
      </c>
      <c r="H264" s="0" t="str">
        <f aca="false">IF(ISBLANK(RawFinancials!H264),"",RawFinancials!H264)</f>
        <v>6275_20230331</v>
      </c>
      <c r="I264" s="0" t="n">
        <f aca="false">IF(ISBLANK(RawFinancials!I264),"",RawFinancials!I264)</f>
        <v>0.423460803784898</v>
      </c>
      <c r="J264" s="0" t="n">
        <f aca="false">IF(ISBLANK(RawFinancials!J264),"",RawFinancials!J264)</f>
        <v>34399</v>
      </c>
      <c r="K264" s="0" t="n">
        <f aca="false">IF(ISBLANK(RawFinancials!K264),"",RawFinancials!K264)</f>
        <v>13680</v>
      </c>
      <c r="L264" s="0" t="n">
        <f aca="false">IF(ISBLANK(RawFinancials!L264),"",RawFinancials!L264)</f>
        <v>316204</v>
      </c>
      <c r="M264" s="0" t="n">
        <f aca="false">IF(ISBLANK(RawFinancials!M264),"",RawFinancials!M264)</f>
        <v>314865</v>
      </c>
      <c r="N264" s="0" t="n">
        <f aca="false">IF(ISBLANK(RawFinancials!N264),"",RawFinancials!N264)</f>
        <v>257983</v>
      </c>
      <c r="O264" s="0" t="n">
        <f aca="false">IF(ISBLANK(RawFinancials!O264),"",RawFinancials!O264)</f>
        <v>1344</v>
      </c>
      <c r="P264" s="0" t="str">
        <f aca="false">IF(ISBLANK(RawFinancials!P264),"",RawFinancials!P264)</f>
        <v>THE NATIONAL BANK OF MIDDLEBURY</v>
      </c>
      <c r="Q264" s="0" t="n">
        <f aca="false">IF(ISBLANK(RawFinancials!Q264),"",RawFinancials!Q264)</f>
        <v>0.425042061453998</v>
      </c>
      <c r="R264" s="0" t="n">
        <f aca="false">IF(ISBLANK(RawFinancials!R264),"",RawFinancials!R264)</f>
        <v>3.1316128693877</v>
      </c>
      <c r="S264" s="0" t="n">
        <f aca="false">IF(ISBLANK(RawFinancials!S264),"",RawFinancials!S264)</f>
        <v>-1</v>
      </c>
      <c r="T264" s="0" t="n">
        <f aca="false">IF(ISBLANK(RawFinancials!T264),"",RawFinancials!T264)</f>
        <v>84</v>
      </c>
      <c r="U264" s="0" t="n">
        <f aca="false">IF(ISBLANK(RawFinancials!U264),"",RawFinancials!U264)</f>
        <v>0</v>
      </c>
      <c r="V264" s="0" t="n">
        <f aca="false">IF(ISBLANK(RawFinancials!V264),"",RawFinancials!V264)</f>
        <v>15.478889436504</v>
      </c>
      <c r="W264" s="0" t="n">
        <f aca="false">IF(ISBLANK(RawFinancials!W264),"",RawFinancials!W264)</f>
        <v>20230331</v>
      </c>
      <c r="X264" s="0" t="n">
        <f aca="false">IF(ISBLANK(RawFinancials!X264),"",RawFinancials!X264)</f>
        <v>0.598540404742425</v>
      </c>
      <c r="Y264" s="0" t="n">
        <f aca="false">IF(ISBLANK(RawFinancials!Y264),"",RawFinancials!Y264)</f>
        <v>12.03</v>
      </c>
      <c r="Z264" s="0" t="str">
        <f aca="false">IF(ISBLANK(RawFinancials!Z264),"",RawFinancials!Z264)</f>
        <v>VT</v>
      </c>
      <c r="AA264" s="0" t="n">
        <f aca="false">RawFinancials!AA264</f>
        <v>1</v>
      </c>
      <c r="AB264" s="0" t="n">
        <f aca="false">RawFinancials!AB264</f>
        <v>1344</v>
      </c>
      <c r="AC264" s="0" t="n">
        <f aca="false">RawFinancials!AC264</f>
        <v>0.249955829977961</v>
      </c>
      <c r="AD264" s="0" t="n">
        <f aca="false">IF(L264&gt;0,100*N264/L264,"")</f>
        <v>81.5875194494693</v>
      </c>
      <c r="AE264" s="0" t="n">
        <f aca="false">IF(B264&gt;0,100*F264/B264,"")</f>
        <v>5.36847097332131</v>
      </c>
      <c r="AF264" s="0" t="str">
        <f aca="false">RawFinancials!AE264</f>
        <v/>
      </c>
    </row>
    <row r="265" customFormat="false" ht="15" hidden="false" customHeight="false" outlineLevel="0" collapsed="false">
      <c r="A265" s="0" t="n">
        <f aca="false">IF(ISBLANK(RawFinancials!A265),"",RawFinancials!A265)</f>
        <v>265</v>
      </c>
      <c r="B265" s="0" t="n">
        <f aca="false">IF(ISBLANK(RawFinancials!B265),"",RawFinancials!B265)</f>
        <v>83956</v>
      </c>
      <c r="C265" s="0" t="n">
        <f aca="false">IF(ISBLANK(RawFinancials!C265),"",RawFinancials!C265)</f>
        <v>6280</v>
      </c>
      <c r="D265" s="0" t="n">
        <f aca="false">IF(ISBLANK(RawFinancials!D265),"",RawFinancials!D265)</f>
        <v>74763</v>
      </c>
      <c r="E265" s="0" t="n">
        <f aca="false">IF(ISBLANK(RawFinancials!E265),"",RawFinancials!E265)</f>
        <v>0</v>
      </c>
      <c r="F265" s="0" t="n">
        <f aca="false">IF(ISBLANK(RawFinancials!F265),"",RawFinancials!F265)</f>
        <v>9018</v>
      </c>
      <c r="G265" s="0" t="n">
        <f aca="false">IF(ISBLANK(RawFinancials!G265),"",RawFinancials!G265)</f>
        <v>10.7413407022726</v>
      </c>
      <c r="H265" s="0" t="str">
        <f aca="false">IF(ISBLANK(RawFinancials!H265),"",RawFinancials!H265)</f>
        <v>6280_20230331</v>
      </c>
      <c r="I265" s="0" t="n">
        <f aca="false">IF(ISBLANK(RawFinancials!I265),"",RawFinancials!I265)</f>
        <v>1.299395082096</v>
      </c>
      <c r="J265" s="0" t="n">
        <f aca="false">IF(ISBLANK(RawFinancials!J265),"",RawFinancials!J265)</f>
        <v>3599</v>
      </c>
      <c r="K265" s="0" t="n">
        <f aca="false">IF(ISBLANK(RawFinancials!K265),"",RawFinancials!K265)</f>
        <v>1756</v>
      </c>
      <c r="L265" s="0" t="n">
        <f aca="false">IF(ISBLANK(RawFinancials!L265),"",RawFinancials!L265)</f>
        <v>63645</v>
      </c>
      <c r="M265" s="0" t="n">
        <f aca="false">IF(ISBLANK(RawFinancials!M265),"",RawFinancials!M265)</f>
        <v>62818</v>
      </c>
      <c r="N265" s="0" t="n">
        <f aca="false">IF(ISBLANK(RawFinancials!N265),"",RawFinancials!N265)</f>
        <v>55677</v>
      </c>
      <c r="O265" s="0" t="n">
        <f aca="false">IF(ISBLANK(RawFinancials!O265),"",RawFinancials!O265)</f>
        <v>597</v>
      </c>
      <c r="P265" s="0" t="str">
        <f aca="false">IF(ISBLANK(RawFinancials!P265),"",RawFinancials!P265)</f>
        <v>THE FIRST NATIONAL BANK OF ORWELL</v>
      </c>
      <c r="Q265" s="0" t="n">
        <f aca="false">IF(ISBLANK(RawFinancials!Q265),"",RawFinancials!Q265)</f>
        <v>0.938015555031817</v>
      </c>
      <c r="R265" s="0" t="n">
        <f aca="false">IF(ISBLANK(RawFinancials!R265),"",RawFinancials!R265)</f>
        <v>4.84342172329343</v>
      </c>
      <c r="S265" s="0" t="n">
        <f aca="false">IF(ISBLANK(RawFinancials!S265),"",RawFinancials!S265)</f>
        <v>0</v>
      </c>
      <c r="T265" s="0" t="n">
        <f aca="false">IF(ISBLANK(RawFinancials!T265),"",RawFinancials!T265)</f>
        <v>768</v>
      </c>
      <c r="U265" s="0" t="n">
        <f aca="false">IF(ISBLANK(RawFinancials!U265),"",RawFinancials!U265)</f>
        <v>0</v>
      </c>
      <c r="V265" s="0" t="n">
        <f aca="false">IF(ISBLANK(RawFinancials!V265),"",RawFinancials!V265)</f>
        <v>0</v>
      </c>
      <c r="W265" s="0" t="n">
        <f aca="false">IF(ISBLANK(RawFinancials!W265),"",RawFinancials!W265)</f>
        <v>20230331</v>
      </c>
      <c r="X265" s="0" t="n">
        <f aca="false">IF(ISBLANK(RawFinancials!X265),"",RawFinancials!X265)</f>
        <v>1.95501565910601</v>
      </c>
      <c r="Y265" s="0" t="n">
        <f aca="false">IF(ISBLANK(RawFinancials!Y265),"",RawFinancials!Y265)</f>
        <v>18.7</v>
      </c>
      <c r="Z265" s="0" t="str">
        <f aca="false">IF(ISBLANK(RawFinancials!Z265),"",RawFinancials!Z265)</f>
        <v>VT</v>
      </c>
      <c r="AA265" s="0" t="n">
        <f aca="false">RawFinancials!AA265</f>
        <v>1</v>
      </c>
      <c r="AB265" s="0" t="n">
        <f aca="false">RawFinancials!AB265</f>
        <v>597</v>
      </c>
      <c r="AC265" s="0" t="n">
        <f aca="false">RawFinancials!AC265</f>
        <v>0.711086759731288</v>
      </c>
      <c r="AD265" s="0" t="n">
        <f aca="false">IF(L265&gt;0,100*N265/L265,"")</f>
        <v>87.4805562102286</v>
      </c>
      <c r="AE265" s="0" t="n">
        <f aca="false">IF(B265&gt;0,100*F265/B265,"")</f>
        <v>10.7413407022726</v>
      </c>
      <c r="AF265" s="0" t="str">
        <f aca="false">RawFinancials!AE265</f>
        <v>原始0：需核实适用/报告口径</v>
      </c>
    </row>
    <row r="266" customFormat="false" ht="15" hidden="false" customHeight="false" outlineLevel="0" collapsed="false">
      <c r="A266" s="0" t="n">
        <f aca="false">IF(ISBLANK(RawFinancials!A266),"",RawFinancials!A266)</f>
        <v>266</v>
      </c>
      <c r="B266" s="0" t="n">
        <f aca="false">IF(ISBLANK(RawFinancials!B266),"",RawFinancials!B266)</f>
        <v>4024714</v>
      </c>
      <c r="C266" s="0" t="n">
        <f aca="false">IF(ISBLANK(RawFinancials!C266),"",RawFinancials!C266)</f>
        <v>11971</v>
      </c>
      <c r="D266" s="0" t="n">
        <f aca="false">IF(ISBLANK(RawFinancials!D266),"",RawFinancials!D266)</f>
        <v>3097302</v>
      </c>
      <c r="E266" s="0" t="n">
        <f aca="false">IF(ISBLANK(RawFinancials!E266),"",RawFinancials!E266)</f>
        <v>0.07</v>
      </c>
      <c r="F266" s="0" t="n">
        <f aca="false">IF(ISBLANK(RawFinancials!F266),"",RawFinancials!F266)</f>
        <v>463527</v>
      </c>
      <c r="G266" s="0" t="n">
        <f aca="false">IF(ISBLANK(RawFinancials!G266),"",RawFinancials!G266)</f>
        <v>11.5170171097872</v>
      </c>
      <c r="H266" s="0" t="str">
        <f aca="false">IF(ISBLANK(RawFinancials!H266),"",RawFinancials!H266)</f>
        <v>11971_20230630</v>
      </c>
      <c r="I266" s="0" t="n">
        <f aca="false">IF(ISBLANK(RawFinancials!I266),"",RawFinancials!I266)</f>
        <v>0.908689672945444</v>
      </c>
      <c r="J266" s="0" t="n">
        <f aca="false">IF(ISBLANK(RawFinancials!J266),"",RawFinancials!J266)</f>
        <v>218097</v>
      </c>
      <c r="K266" s="0" t="n">
        <f aca="false">IF(ISBLANK(RawFinancials!K266),"",RawFinancials!K266)</f>
        <v>7796</v>
      </c>
      <c r="L266" s="0" t="n">
        <f aca="false">IF(ISBLANK(RawFinancials!L266),"",RawFinancials!L266)</f>
        <v>3011149</v>
      </c>
      <c r="M266" s="0" t="n">
        <f aca="false">IF(ISBLANK(RawFinancials!M266),"",RawFinancials!M266)</f>
        <v>2983787</v>
      </c>
      <c r="N266" s="0" t="n">
        <f aca="false">IF(ISBLANK(RawFinancials!N266),"",RawFinancials!N266)</f>
        <v>2647016</v>
      </c>
      <c r="O266" s="0" t="n">
        <f aca="false">IF(ISBLANK(RawFinancials!O266),"",RawFinancials!O266)</f>
        <v>6704</v>
      </c>
      <c r="P266" s="0" t="str">
        <f aca="false">IF(ISBLANK(RawFinancials!P266),"",RawFinancials!P266)</f>
        <v>BAR HARBOR BANK &amp; TRUST</v>
      </c>
      <c r="Q266" s="0" t="n">
        <f aca="false">IF(ISBLANK(RawFinancials!Q266),"",RawFinancials!Q266)</f>
        <v>0.241502496223202</v>
      </c>
      <c r="R266" s="0" t="n">
        <f aca="false">IF(ISBLANK(RawFinancials!R266),"",RawFinancials!R266)</f>
        <v>3.47596816651074</v>
      </c>
      <c r="S266" s="0" t="n">
        <f aca="false">IF(ISBLANK(RawFinancials!S266),"",RawFinancials!S266)</f>
        <v>46</v>
      </c>
      <c r="T266" s="0" t="n">
        <f aca="false">IF(ISBLANK(RawFinancials!T266),"",RawFinancials!T266)</f>
        <v>1816</v>
      </c>
      <c r="U266" s="0" t="n">
        <f aca="false">IF(ISBLANK(RawFinancials!U266),"",RawFinancials!U266)</f>
        <v>568</v>
      </c>
      <c r="V266" s="0" t="n">
        <f aca="false">IF(ISBLANK(RawFinancials!V266),"",RawFinancials!V266)</f>
        <v>13.2942278137619</v>
      </c>
      <c r="W266" s="0" t="n">
        <f aca="false">IF(ISBLANK(RawFinancials!W266),"",RawFinancials!W266)</f>
        <v>20230630</v>
      </c>
      <c r="X266" s="0" t="n">
        <f aca="false">IF(ISBLANK(RawFinancials!X266),"",RawFinancials!X266)</f>
        <v>1.34667895852712</v>
      </c>
      <c r="Y266" s="0" t="n">
        <f aca="false">IF(ISBLANK(RawFinancials!Y266),"",RawFinancials!Y266)</f>
        <v>11.64</v>
      </c>
      <c r="Z266" s="0" t="str">
        <f aca="false">IF(ISBLANK(RawFinancials!Z266),"",RawFinancials!Z266)</f>
        <v>ME</v>
      </c>
      <c r="AA266" s="0" t="n">
        <f aca="false">RawFinancials!AA266</f>
        <v>1</v>
      </c>
      <c r="AB266" s="0" t="n">
        <f aca="false">RawFinancials!AB266</f>
        <v>7272</v>
      </c>
      <c r="AC266" s="0" t="n">
        <f aca="false">RawFinancials!AC266</f>
        <v>0.180683646092617</v>
      </c>
      <c r="AD266" s="0" t="n">
        <f aca="false">IF(L266&gt;0,100*N266/L266,"")</f>
        <v>87.9071743045595</v>
      </c>
      <c r="AE266" s="0" t="n">
        <f aca="false">IF(B266&gt;0,100*F266/B266,"")</f>
        <v>11.5170171097872</v>
      </c>
      <c r="AF266" s="0" t="str">
        <f aca="false">RawFinancials!AE266</f>
        <v/>
      </c>
    </row>
    <row r="267" customFormat="false" ht="15" hidden="false" customHeight="false" outlineLevel="0" collapsed="false">
      <c r="A267" s="0" t="n">
        <f aca="false">IF(ISBLANK(RawFinancials!A267),"",RawFinancials!A267)</f>
        <v>267</v>
      </c>
      <c r="B267" s="0" t="n">
        <f aca="false">IF(ISBLANK(RawFinancials!B267),"",RawFinancials!B267)</f>
        <v>1000625</v>
      </c>
      <c r="C267" s="0" t="n">
        <f aca="false">IF(ISBLANK(RawFinancials!C267),"",RawFinancials!C267)</f>
        <v>12874</v>
      </c>
      <c r="D267" s="0" t="n">
        <f aca="false">IF(ISBLANK(RawFinancials!D267),"",RawFinancials!D267)</f>
        <v>879800</v>
      </c>
      <c r="E267" s="0" t="n">
        <f aca="false">IF(ISBLANK(RawFinancials!E267),"",RawFinancials!E267)</f>
        <v>-0.02</v>
      </c>
      <c r="F267" s="0" t="n">
        <f aca="false">IF(ISBLANK(RawFinancials!F267),"",RawFinancials!F267)</f>
        <v>101151</v>
      </c>
      <c r="G267" s="0" t="n">
        <f aca="false">IF(ISBLANK(RawFinancials!G267),"",RawFinancials!G267)</f>
        <v>10.108782011243</v>
      </c>
      <c r="H267" s="0" t="str">
        <f aca="false">IF(ISBLANK(RawFinancials!H267),"",RawFinancials!H267)</f>
        <v>12874_20230630</v>
      </c>
      <c r="I267" s="0" t="n">
        <f aca="false">IF(ISBLANK(RawFinancials!I267),"",RawFinancials!I267)</f>
        <v>0.982805700964371</v>
      </c>
      <c r="J267" s="0" t="n">
        <f aca="false">IF(ISBLANK(RawFinancials!J267),"",RawFinancials!J267)</f>
        <v>141954</v>
      </c>
      <c r="K267" s="0" t="n">
        <f aca="false">IF(ISBLANK(RawFinancials!K267),"",RawFinancials!K267)</f>
        <v>5455</v>
      </c>
      <c r="L267" s="0" t="n">
        <f aca="false">IF(ISBLANK(RawFinancials!L267),"",RawFinancials!L267)</f>
        <v>781131</v>
      </c>
      <c r="M267" s="0" t="n">
        <f aca="false">IF(ISBLANK(RawFinancials!M267),"",RawFinancials!M267)</f>
        <v>773454</v>
      </c>
      <c r="N267" s="0" t="n">
        <f aca="false">IF(ISBLANK(RawFinancials!N267),"",RawFinancials!N267)</f>
        <v>615778</v>
      </c>
      <c r="O267" s="0" t="n">
        <f aca="false">IF(ISBLANK(RawFinancials!O267),"",RawFinancials!O267)</f>
        <v>420</v>
      </c>
      <c r="P267" s="0" t="str">
        <f aca="false">IF(ISBLANK(RawFinancials!P267),"",RawFinancials!P267)</f>
        <v>KATAHDIN TRUST COMPANY</v>
      </c>
      <c r="Q267" s="0" t="n">
        <f aca="false">IF(ISBLANK(RawFinancials!Q267),"",RawFinancials!Q267)</f>
        <v>0.0537681899706963</v>
      </c>
      <c r="R267" s="0" t="n">
        <f aca="false">IF(ISBLANK(RawFinancials!R267),"",RawFinancials!R267)</f>
        <v>3.90232385084841</v>
      </c>
      <c r="S267" s="0" t="n">
        <f aca="false">IF(ISBLANK(RawFinancials!S267),"",RawFinancials!S267)</f>
        <v>32</v>
      </c>
      <c r="T267" s="0" t="n">
        <f aca="false">IF(ISBLANK(RawFinancials!T267),"",RawFinancials!T267)</f>
        <v>193</v>
      </c>
      <c r="U267" s="0" t="n">
        <f aca="false">IF(ISBLANK(RawFinancials!U267),"",RawFinancials!U267)</f>
        <v>0</v>
      </c>
      <c r="V267" s="0" t="n">
        <f aca="false">IF(ISBLANK(RawFinancials!V267),"",RawFinancials!V267)</f>
        <v>15.460188076053</v>
      </c>
      <c r="W267" s="0" t="n">
        <f aca="false">IF(ISBLANK(RawFinancials!W267),"",RawFinancials!W267)</f>
        <v>20230630</v>
      </c>
      <c r="X267" s="0" t="n">
        <f aca="false">IF(ISBLANK(RawFinancials!X267),"",RawFinancials!X267)</f>
        <v>1.1001045163411</v>
      </c>
      <c r="Y267" s="0" t="n">
        <f aca="false">IF(ISBLANK(RawFinancials!Y267),"",RawFinancials!Y267)</f>
        <v>10.9</v>
      </c>
      <c r="Z267" s="0" t="str">
        <f aca="false">IF(ISBLANK(RawFinancials!Z267),"",RawFinancials!Z267)</f>
        <v>ME</v>
      </c>
      <c r="AA267" s="0" t="n">
        <f aca="false">RawFinancials!AA267</f>
        <v>1</v>
      </c>
      <c r="AB267" s="0" t="n">
        <f aca="false">RawFinancials!AB267</f>
        <v>420</v>
      </c>
      <c r="AC267" s="0" t="n">
        <f aca="false">RawFinancials!AC267</f>
        <v>0.0419737663960025</v>
      </c>
      <c r="AD267" s="0" t="n">
        <f aca="false">IF(L267&gt;0,100*N267/L267,"")</f>
        <v>78.8315916280368</v>
      </c>
      <c r="AE267" s="0" t="n">
        <f aca="false">IF(B267&gt;0,100*F267/B267,"")</f>
        <v>10.108782011243</v>
      </c>
      <c r="AF267" s="0" t="str">
        <f aca="false">RawFinancials!AE267</f>
        <v/>
      </c>
    </row>
    <row r="268" customFormat="false" ht="15" hidden="false" customHeight="false" outlineLevel="0" collapsed="false">
      <c r="A268" s="0" t="n">
        <f aca="false">IF(ISBLANK(RawFinancials!A268),"",RawFinancials!A268)</f>
        <v>268</v>
      </c>
      <c r="B268" s="0" t="n">
        <f aca="false">IF(ISBLANK(RawFinancials!B268),"",RawFinancials!B268)</f>
        <v>1812064</v>
      </c>
      <c r="C268" s="0" t="n">
        <f aca="false">IF(ISBLANK(RawFinancials!C268),"",RawFinancials!C268)</f>
        <v>13063</v>
      </c>
      <c r="D268" s="0" t="n">
        <f aca="false">IF(ISBLANK(RawFinancials!D268),"",RawFinancials!D268)</f>
        <v>1600851</v>
      </c>
      <c r="E268" s="0" t="n">
        <f aca="false">IF(ISBLANK(RawFinancials!E268),"",RawFinancials!E268)</f>
        <v>0.14</v>
      </c>
      <c r="F268" s="0" t="n">
        <f aca="false">IF(ISBLANK(RawFinancials!F268),"",RawFinancials!F268)</f>
        <v>137010</v>
      </c>
      <c r="G268" s="0" t="n">
        <f aca="false">IF(ISBLANK(RawFinancials!G268),"",RawFinancials!G268)</f>
        <v>7.56099122326805</v>
      </c>
      <c r="H268" s="0" t="str">
        <f aca="false">IF(ISBLANK(RawFinancials!H268),"",RawFinancials!H268)</f>
        <v>13063_20230630</v>
      </c>
      <c r="I268" s="0" t="n">
        <f aca="false">IF(ISBLANK(RawFinancials!I268),"",RawFinancials!I268)</f>
        <v>1.1635900442791</v>
      </c>
      <c r="J268" s="0" t="n">
        <f aca="false">IF(ISBLANK(RawFinancials!J268),"",RawFinancials!J268)</f>
        <v>53620</v>
      </c>
      <c r="K268" s="0" t="n">
        <f aca="false">IF(ISBLANK(RawFinancials!K268),"",RawFinancials!K268)</f>
        <v>851</v>
      </c>
      <c r="L268" s="0" t="n">
        <f aca="false">IF(ISBLANK(RawFinancials!L268),"",RawFinancials!L268)</f>
        <v>1384852</v>
      </c>
      <c r="M268" s="0" t="n">
        <f aca="false">IF(ISBLANK(RawFinancials!M268),"",RawFinancials!M268)</f>
        <v>1368738</v>
      </c>
      <c r="N268" s="0" t="n">
        <f aca="false">IF(ISBLANK(RawFinancials!N268),"",RawFinancials!N268)</f>
        <v>1322359</v>
      </c>
      <c r="O268" s="0" t="n">
        <f aca="false">IF(ISBLANK(RawFinancials!O268),"",RawFinancials!O268)</f>
        <v>501</v>
      </c>
      <c r="P268" s="0" t="str">
        <f aca="false">IF(ISBLANK(RawFinancials!P268),"",RawFinancials!P268)</f>
        <v>KENNEBUNK SAVINGS BANK</v>
      </c>
      <c r="Q268" s="0" t="n">
        <f aca="false">IF(ISBLANK(RawFinancials!Q268),"",RawFinancials!Q268)</f>
        <v>0.0875183774150595</v>
      </c>
      <c r="R268" s="0" t="n">
        <f aca="false">IF(ISBLANK(RawFinancials!R268),"",RawFinancials!R268)</f>
        <v>3.22117893560772</v>
      </c>
      <c r="S268" s="0" t="n">
        <f aca="false">IF(ISBLANK(RawFinancials!S268),"",RawFinancials!S268)</f>
        <v>53</v>
      </c>
      <c r="T268" s="0" t="n">
        <f aca="false">IF(ISBLANK(RawFinancials!T268),"",RawFinancials!T268)</f>
        <v>0</v>
      </c>
      <c r="U268" s="0" t="n">
        <f aca="false">IF(ISBLANK(RawFinancials!U268),"",RawFinancials!U268)</f>
        <v>711</v>
      </c>
      <c r="V268" s="0" t="n">
        <f aca="false">IF(ISBLANK(RawFinancials!V268),"",RawFinancials!V268)</f>
        <v>0</v>
      </c>
      <c r="W268" s="0" t="n">
        <f aca="false">IF(ISBLANK(RawFinancials!W268),"",RawFinancials!W268)</f>
        <v>20230630</v>
      </c>
      <c r="X268" s="0" t="n">
        <f aca="false">IF(ISBLANK(RawFinancials!X268),"",RawFinancials!X268)</f>
        <v>0.106400279958703</v>
      </c>
      <c r="Y268" s="0" t="n">
        <f aca="false">IF(ISBLANK(RawFinancials!Y268),"",RawFinancials!Y268)</f>
        <v>1.41</v>
      </c>
      <c r="Z268" s="0" t="str">
        <f aca="false">IF(ISBLANK(RawFinancials!Z268),"",RawFinancials!Z268)</f>
        <v>ME</v>
      </c>
      <c r="AA268" s="0" t="n">
        <f aca="false">RawFinancials!AA268</f>
        <v>1</v>
      </c>
      <c r="AB268" s="0" t="n">
        <f aca="false">RawFinancials!AB268</f>
        <v>1212</v>
      </c>
      <c r="AC268" s="0" t="n">
        <f aca="false">RawFinancials!AC268</f>
        <v>0.0668850548325004</v>
      </c>
      <c r="AD268" s="0" t="n">
        <f aca="false">IF(L268&gt;0,100*N268/L268,"")</f>
        <v>95.4873878219478</v>
      </c>
      <c r="AE268" s="0" t="n">
        <f aca="false">IF(B268&gt;0,100*F268/B268,"")</f>
        <v>7.56099122326805</v>
      </c>
      <c r="AF268" s="0" t="str">
        <f aca="false">RawFinancials!AE268</f>
        <v>原始0：需核实适用/报告口径</v>
      </c>
    </row>
    <row r="269" customFormat="false" ht="15" hidden="false" customHeight="false" outlineLevel="0" collapsed="false">
      <c r="A269" s="0" t="n">
        <f aca="false">IF(ISBLANK(RawFinancials!A269),"",RawFinancials!A269)</f>
        <v>269</v>
      </c>
      <c r="B269" s="0" t="n">
        <f aca="false">IF(ISBLANK(RawFinancials!B269),"",RawFinancials!B269)</f>
        <v>847137</v>
      </c>
      <c r="C269" s="0" t="n">
        <f aca="false">IF(ISBLANK(RawFinancials!C269),"",RawFinancials!C269)</f>
        <v>14134</v>
      </c>
      <c r="D269" s="0" t="n">
        <f aca="false">IF(ISBLANK(RawFinancials!D269),"",RawFinancials!D269)</f>
        <v>678698</v>
      </c>
      <c r="E269" s="0" t="n">
        <f aca="false">IF(ISBLANK(RawFinancials!E269),"",RawFinancials!E269)</f>
        <v>0.11</v>
      </c>
      <c r="F269" s="0" t="n">
        <f aca="false">IF(ISBLANK(RawFinancials!F269),"",RawFinancials!F269)</f>
        <v>100453</v>
      </c>
      <c r="G269" s="0" t="n">
        <f aca="false">IF(ISBLANK(RawFinancials!G269),"",RawFinancials!G269)</f>
        <v>11.8579403331456</v>
      </c>
      <c r="H269" s="0" t="str">
        <f aca="false">IF(ISBLANK(RawFinancials!H269),"",RawFinancials!H269)</f>
        <v>14134_20230630</v>
      </c>
      <c r="I269" s="0" t="n">
        <f aca="false">IF(ISBLANK(RawFinancials!I269),"",RawFinancials!I269)</f>
        <v>1.11359643351935</v>
      </c>
      <c r="J269" s="0" t="n">
        <f aca="false">IF(ISBLANK(RawFinancials!J269),"",RawFinancials!J269)</f>
        <v>28195</v>
      </c>
      <c r="K269" s="0" t="n">
        <f aca="false">IF(ISBLANK(RawFinancials!K269),"",RawFinancials!K269)</f>
        <v>29490</v>
      </c>
      <c r="L269" s="0" t="n">
        <f aca="false">IF(ISBLANK(RawFinancials!L269),"",RawFinancials!L269)</f>
        <v>646015</v>
      </c>
      <c r="M269" s="0" t="n">
        <f aca="false">IF(ISBLANK(RawFinancials!M269),"",RawFinancials!M269)</f>
        <v>638821</v>
      </c>
      <c r="N269" s="0" t="n">
        <f aca="false">IF(ISBLANK(RawFinancials!N269),"",RawFinancials!N269)</f>
        <v>571141</v>
      </c>
      <c r="O269" s="0" t="n">
        <f aca="false">IF(ISBLANK(RawFinancials!O269),"",RawFinancials!O269)</f>
        <v>12099</v>
      </c>
      <c r="P269" s="0" t="str">
        <f aca="false">IF(ISBLANK(RawFinancials!P269),"",RawFinancials!P269)</f>
        <v>PASSUMPSIC SAVINGS BANK</v>
      </c>
      <c r="Q269" s="0" t="n">
        <f aca="false">IF(ISBLANK(RawFinancials!Q269),"",RawFinancials!Q269)</f>
        <v>1.87286672910072</v>
      </c>
      <c r="R269" s="0" t="n">
        <f aca="false">IF(ISBLANK(RawFinancials!R269),"",RawFinancials!R269)</f>
        <v>3.29334633797883</v>
      </c>
      <c r="S269" s="0" t="n">
        <f aca="false">IF(ISBLANK(RawFinancials!S269),"",RawFinancials!S269)</f>
        <v>451</v>
      </c>
      <c r="T269" s="0" t="n">
        <f aca="false">IF(ISBLANK(RawFinancials!T269),"",RawFinancials!T269)</f>
        <v>5509</v>
      </c>
      <c r="U269" s="0" t="n">
        <f aca="false">IF(ISBLANK(RawFinancials!U269),"",RawFinancials!U269)</f>
        <v>0</v>
      </c>
      <c r="V269" s="0" t="n">
        <f aca="false">IF(ISBLANK(RawFinancials!V269),"",RawFinancials!V269)</f>
        <v>18.0862145256514</v>
      </c>
      <c r="W269" s="0" t="n">
        <f aca="false">IF(ISBLANK(RawFinancials!W269),"",RawFinancials!W269)</f>
        <v>20230630</v>
      </c>
      <c r="X269" s="0" t="n">
        <f aca="false">IF(ISBLANK(RawFinancials!X269),"",RawFinancials!X269)</f>
        <v>0.701673098405606</v>
      </c>
      <c r="Y269" s="0" t="n">
        <f aca="false">IF(ISBLANK(RawFinancials!Y269),"",RawFinancials!Y269)</f>
        <v>5.94</v>
      </c>
      <c r="Z269" s="0" t="str">
        <f aca="false">IF(ISBLANK(RawFinancials!Z269),"",RawFinancials!Z269)</f>
        <v>VT</v>
      </c>
      <c r="AA269" s="0" t="n">
        <f aca="false">RawFinancials!AA269</f>
        <v>1</v>
      </c>
      <c r="AB269" s="0" t="n">
        <f aca="false">RawFinancials!AB269</f>
        <v>12099</v>
      </c>
      <c r="AC269" s="0" t="n">
        <f aca="false">RawFinancials!AC269</f>
        <v>1.42822235364528</v>
      </c>
      <c r="AD269" s="0" t="n">
        <f aca="false">IF(L269&gt;0,100*N269/L269,"")</f>
        <v>88.4098666439634</v>
      </c>
      <c r="AE269" s="0" t="n">
        <f aca="false">IF(B269&gt;0,100*F269/B269,"")</f>
        <v>11.8579403331456</v>
      </c>
      <c r="AF269" s="0" t="str">
        <f aca="false">RawFinancials!AE269</f>
        <v/>
      </c>
    </row>
    <row r="270" customFormat="false" ht="15" hidden="false" customHeight="false" outlineLevel="0" collapsed="false">
      <c r="A270" s="0" t="n">
        <f aca="false">IF(ISBLANK(RawFinancials!A270),"",RawFinancials!A270)</f>
        <v>270</v>
      </c>
      <c r="B270" s="0" t="n">
        <f aca="false">IF(ISBLANK(RawFinancials!B270),"",RawFinancials!B270)</f>
        <v>231428</v>
      </c>
      <c r="C270" s="0" t="n">
        <f aca="false">IF(ISBLANK(RawFinancials!C270),"",RawFinancials!C270)</f>
        <v>14136</v>
      </c>
      <c r="D270" s="0" t="n">
        <f aca="false">IF(ISBLANK(RawFinancials!D270),"",RawFinancials!D270)</f>
        <v>199035</v>
      </c>
      <c r="E270" s="0" t="n">
        <f aca="false">IF(ISBLANK(RawFinancials!E270),"",RawFinancials!E270)</f>
        <v>0.06</v>
      </c>
      <c r="F270" s="0" t="n">
        <f aca="false">IF(ISBLANK(RawFinancials!F270),"",RawFinancials!F270)</f>
        <v>15826</v>
      </c>
      <c r="G270" s="0" t="n">
        <f aca="false">IF(ISBLANK(RawFinancials!G270),"",RawFinancials!G270)</f>
        <v>6.83841194669616</v>
      </c>
      <c r="H270" s="0" t="str">
        <f aca="false">IF(ISBLANK(RawFinancials!H270),"",RawFinancials!H270)</f>
        <v>14136_20230630</v>
      </c>
      <c r="I270" s="0" t="n">
        <f aca="false">IF(ISBLANK(RawFinancials!I270),"",RawFinancials!I270)</f>
        <v>1.30946709317362</v>
      </c>
      <c r="J270" s="0" t="n">
        <f aca="false">IF(ISBLANK(RawFinancials!J270),"",RawFinancials!J270)</f>
        <v>13599</v>
      </c>
      <c r="K270" s="0" t="n">
        <f aca="false">IF(ISBLANK(RawFinancials!K270),"",RawFinancials!K270)</f>
        <v>14936</v>
      </c>
      <c r="L270" s="0" t="n">
        <f aca="false">IF(ISBLANK(RawFinancials!L270),"",RawFinancials!L270)</f>
        <v>146930</v>
      </c>
      <c r="M270" s="0" t="n">
        <f aca="false">IF(ISBLANK(RawFinancials!M270),"",RawFinancials!M270)</f>
        <v>145006</v>
      </c>
      <c r="N270" s="0" t="n">
        <f aca="false">IF(ISBLANK(RawFinancials!N270),"",RawFinancials!N270)</f>
        <v>118077</v>
      </c>
      <c r="O270" s="0" t="n">
        <f aca="false">IF(ISBLANK(RawFinancials!O270),"",RawFinancials!O270)</f>
        <v>71</v>
      </c>
      <c r="P270" s="0" t="str">
        <f aca="false">IF(ISBLANK(RawFinancials!P270),"",RawFinancials!P270)</f>
        <v>WELLS RIVER SAVINGS BANK</v>
      </c>
      <c r="Q270" s="0" t="n">
        <f aca="false">IF(ISBLANK(RawFinancials!Q270),"",RawFinancials!Q270)</f>
        <v>0.497515823861703</v>
      </c>
      <c r="R270" s="0" t="n">
        <f aca="false">IF(ISBLANK(RawFinancials!R270),"",RawFinancials!R270)</f>
        <v>4.11601446727282</v>
      </c>
      <c r="S270" s="0" t="n">
        <f aca="false">IF(ISBLANK(RawFinancials!S270),"",RawFinancials!S270)</f>
        <v>21</v>
      </c>
      <c r="T270" s="0" t="n">
        <f aca="false">IF(ISBLANK(RawFinancials!T270),"",RawFinancials!T270)</f>
        <v>1765</v>
      </c>
      <c r="U270" s="0" t="n">
        <f aca="false">IF(ISBLANK(RawFinancials!U270),"",RawFinancials!U270)</f>
        <v>660</v>
      </c>
      <c r="V270" s="0" t="n">
        <f aca="false">IF(ISBLANK(RawFinancials!V270),"",RawFinancials!V270)</f>
        <v>17.4186390532544</v>
      </c>
      <c r="W270" s="0" t="n">
        <f aca="false">IF(ISBLANK(RawFinancials!W270),"",RawFinancials!W270)</f>
        <v>20230630</v>
      </c>
      <c r="X270" s="0" t="n">
        <f aca="false">IF(ISBLANK(RawFinancials!X270),"",RawFinancials!X270)</f>
        <v>0.65864100406162</v>
      </c>
      <c r="Y270" s="0" t="n">
        <f aca="false">IF(ISBLANK(RawFinancials!Y270),"",RawFinancials!Y270)</f>
        <v>9.74</v>
      </c>
      <c r="Z270" s="0" t="str">
        <f aca="false">IF(ISBLANK(RawFinancials!Z270),"",RawFinancials!Z270)</f>
        <v>VT</v>
      </c>
      <c r="AA270" s="0" t="n">
        <f aca="false">RawFinancials!AA270</f>
        <v>1</v>
      </c>
      <c r="AB270" s="0" t="n">
        <f aca="false">RawFinancials!AB270</f>
        <v>731</v>
      </c>
      <c r="AC270" s="0" t="n">
        <f aca="false">RawFinancials!AC270</f>
        <v>0.315864977444389</v>
      </c>
      <c r="AD270" s="0" t="n">
        <f aca="false">IF(L270&gt;0,100*N270/L270,"")</f>
        <v>80.3627577758116</v>
      </c>
      <c r="AE270" s="0" t="n">
        <f aca="false">IF(B270&gt;0,100*F270/B270,"")</f>
        <v>6.83841194669617</v>
      </c>
      <c r="AF270" s="0" t="str">
        <f aca="false">RawFinancials!AE270</f>
        <v/>
      </c>
    </row>
    <row r="271" customFormat="false" ht="15" hidden="false" customHeight="false" outlineLevel="0" collapsed="false">
      <c r="A271" s="0" t="n">
        <f aca="false">IF(ISBLANK(RawFinancials!A271),"",RawFinancials!A271)</f>
        <v>271</v>
      </c>
      <c r="B271" s="0" t="n">
        <f aca="false">IF(ISBLANK(RawFinancials!B271),"",RawFinancials!B271)</f>
        <v>1455126</v>
      </c>
      <c r="C271" s="0" t="n">
        <f aca="false">IF(ISBLANK(RawFinancials!C271),"",RawFinancials!C271)</f>
        <v>14140</v>
      </c>
      <c r="D271" s="0" t="n">
        <f aca="false">IF(ISBLANK(RawFinancials!D271),"",RawFinancials!D271)</f>
        <v>1135506</v>
      </c>
      <c r="E271" s="0" t="n">
        <f aca="false">IF(ISBLANK(RawFinancials!E271),"",RawFinancials!E271)</f>
        <v>0.04</v>
      </c>
      <c r="F271" s="0" t="n">
        <f aca="false">IF(ISBLANK(RawFinancials!F271),"",RawFinancials!F271)</f>
        <v>119184</v>
      </c>
      <c r="G271" s="0" t="n">
        <f aca="false">IF(ISBLANK(RawFinancials!G271),"",RawFinancials!G271)</f>
        <v>8.19063091443628</v>
      </c>
      <c r="H271" s="0" t="str">
        <f aca="false">IF(ISBLANK(RawFinancials!H271),"",RawFinancials!H271)</f>
        <v>14140_20230630</v>
      </c>
      <c r="I271" s="0" t="n">
        <f aca="false">IF(ISBLANK(RawFinancials!I271),"",RawFinancials!I271)</f>
        <v>0.817670852433217</v>
      </c>
      <c r="J271" s="0" t="n">
        <f aca="false">IF(ISBLANK(RawFinancials!J271),"",RawFinancials!J271)</f>
        <v>93803</v>
      </c>
      <c r="K271" s="0" t="n">
        <f aca="false">IF(ISBLANK(RawFinancials!K271),"",RawFinancials!K271)</f>
        <v>1397</v>
      </c>
      <c r="L271" s="0" t="n">
        <f aca="false">IF(ISBLANK(RawFinancials!L271),"",RawFinancials!L271)</f>
        <v>1012877</v>
      </c>
      <c r="M271" s="0" t="n">
        <f aca="false">IF(ISBLANK(RawFinancials!M271),"",RawFinancials!M271)</f>
        <v>1004595</v>
      </c>
      <c r="N271" s="0" t="n">
        <f aca="false">IF(ISBLANK(RawFinancials!N271),"",RawFinancials!N271)</f>
        <v>902092</v>
      </c>
      <c r="O271" s="0" t="n">
        <f aca="false">IF(ISBLANK(RawFinancials!O271),"",RawFinancials!O271)</f>
        <v>4474</v>
      </c>
      <c r="P271" s="0" t="str">
        <f aca="false">IF(ISBLANK(RawFinancials!P271),"",RawFinancials!P271)</f>
        <v>NORTHFIELD SAVINGS BANK</v>
      </c>
      <c r="Q271" s="0" t="n">
        <f aca="false">IF(ISBLANK(RawFinancials!Q271),"",RawFinancials!Q271)</f>
        <v>0.441712073627894</v>
      </c>
      <c r="R271" s="0" t="n">
        <f aca="false">IF(ISBLANK(RawFinancials!R271),"",RawFinancials!R271)</f>
        <v>2.7602160616299</v>
      </c>
      <c r="S271" s="0" t="n">
        <f aca="false">IF(ISBLANK(RawFinancials!S271),"",RawFinancials!S271)</f>
        <v>18</v>
      </c>
      <c r="T271" s="0" t="n">
        <f aca="false">IF(ISBLANK(RawFinancials!T271),"",RawFinancials!T271)</f>
        <v>169</v>
      </c>
      <c r="U271" s="0" t="n">
        <f aca="false">IF(ISBLANK(RawFinancials!U271),"",RawFinancials!U271)</f>
        <v>0</v>
      </c>
      <c r="V271" s="0" t="n">
        <f aca="false">IF(ISBLANK(RawFinancials!V271),"",RawFinancials!V271)</f>
        <v>0</v>
      </c>
      <c r="W271" s="0" t="n">
        <f aca="false">IF(ISBLANK(RawFinancials!W271),"",RawFinancials!W271)</f>
        <v>20230630</v>
      </c>
      <c r="X271" s="0" t="n">
        <f aca="false">IF(ISBLANK(RawFinancials!X271),"",RawFinancials!X271)</f>
        <v>0.339718008369905</v>
      </c>
      <c r="Y271" s="0" t="n">
        <f aca="false">IF(ISBLANK(RawFinancials!Y271),"",RawFinancials!Y271)</f>
        <v>4.11</v>
      </c>
      <c r="Z271" s="0" t="str">
        <f aca="false">IF(ISBLANK(RawFinancials!Z271),"",RawFinancials!Z271)</f>
        <v>VT</v>
      </c>
      <c r="AA271" s="0" t="n">
        <f aca="false">RawFinancials!AA271</f>
        <v>1</v>
      </c>
      <c r="AB271" s="0" t="n">
        <f aca="false">RawFinancials!AB271</f>
        <v>4474</v>
      </c>
      <c r="AC271" s="0" t="n">
        <f aca="false">RawFinancials!AC271</f>
        <v>0.307464783118438</v>
      </c>
      <c r="AD271" s="0" t="n">
        <f aca="false">IF(L271&gt;0,100*N271/L271,"")</f>
        <v>89.0623441938162</v>
      </c>
      <c r="AE271" s="0" t="n">
        <f aca="false">IF(B271&gt;0,100*F271/B271,"")</f>
        <v>8.19063091443628</v>
      </c>
      <c r="AF271" s="0" t="str">
        <f aca="false">RawFinancials!AE271</f>
        <v>原始0：需核实适用/报告口径</v>
      </c>
    </row>
    <row r="272" customFormat="false" ht="15" hidden="false" customHeight="false" outlineLevel="0" collapsed="false">
      <c r="A272" s="0" t="n">
        <f aca="false">IF(ISBLANK(RawFinancials!A272),"",RawFinancials!A272)</f>
        <v>272</v>
      </c>
      <c r="B272" s="0" t="n">
        <f aca="false">IF(ISBLANK(RawFinancials!B272),"",RawFinancials!B272)</f>
        <v>1334466</v>
      </c>
      <c r="C272" s="0" t="n">
        <f aca="false">IF(ISBLANK(RawFinancials!C272),"",RawFinancials!C272)</f>
        <v>14158</v>
      </c>
      <c r="D272" s="0" t="n">
        <f aca="false">IF(ISBLANK(RawFinancials!D272),"",RawFinancials!D272)</f>
        <v>1127096</v>
      </c>
      <c r="E272" s="0" t="n">
        <f aca="false">IF(ISBLANK(RawFinancials!E272),"",RawFinancials!E272)</f>
        <v>0</v>
      </c>
      <c r="F272" s="0" t="n">
        <f aca="false">IF(ISBLANK(RawFinancials!F272),"",RawFinancials!F272)</f>
        <v>75241</v>
      </c>
      <c r="G272" s="0" t="n">
        <f aca="false">IF(ISBLANK(RawFinancials!G272),"",RawFinancials!G272)</f>
        <v>5.63828527665748</v>
      </c>
      <c r="H272" s="0" t="str">
        <f aca="false">IF(ISBLANK(RawFinancials!H272),"",RawFinancials!H272)</f>
        <v>14158_20230630</v>
      </c>
      <c r="I272" s="0" t="n">
        <f aca="false">IF(ISBLANK(RawFinancials!I272),"",RawFinancials!I272)</f>
        <v>0.721094787803501</v>
      </c>
      <c r="J272" s="0" t="n">
        <f aca="false">IF(ISBLANK(RawFinancials!J272),"",RawFinancials!J272)</f>
        <v>41096</v>
      </c>
      <c r="K272" s="0" t="n">
        <f aca="false">IF(ISBLANK(RawFinancials!K272),"",RawFinancials!K272)</f>
        <v>2333</v>
      </c>
      <c r="L272" s="0" t="n">
        <f aca="false">IF(ISBLANK(RawFinancials!L272),"",RawFinancials!L272)</f>
        <v>940237</v>
      </c>
      <c r="M272" s="0" t="n">
        <f aca="false">IF(ISBLANK(RawFinancials!M272),"",RawFinancials!M272)</f>
        <v>933457</v>
      </c>
      <c r="N272" s="0" t="n">
        <f aca="false">IF(ISBLANK(RawFinancials!N272),"",RawFinancials!N272)</f>
        <v>869255</v>
      </c>
      <c r="O272" s="0" t="n">
        <f aca="false">IF(ISBLANK(RawFinancials!O272),"",RawFinancials!O272)</f>
        <v>1957</v>
      </c>
      <c r="P272" s="0" t="str">
        <f aca="false">IF(ISBLANK(RawFinancials!P272),"",RawFinancials!P272)</f>
        <v>UNION BANK</v>
      </c>
      <c r="Q272" s="0" t="n">
        <f aca="false">IF(ISBLANK(RawFinancials!Q272),"",RawFinancials!Q272)</f>
        <v>0.214945806216943</v>
      </c>
      <c r="R272" s="0" t="n">
        <f aca="false">IF(ISBLANK(RawFinancials!R272),"",RawFinancials!R272)</f>
        <v>3.17333702990149</v>
      </c>
      <c r="S272" s="0" t="n">
        <f aca="false">IF(ISBLANK(RawFinancials!S272),"",RawFinancials!S272)</f>
        <v>3</v>
      </c>
      <c r="T272" s="0" t="n">
        <f aca="false">IF(ISBLANK(RawFinancials!T272),"",RawFinancials!T272)</f>
        <v>286</v>
      </c>
      <c r="U272" s="0" t="n">
        <f aca="false">IF(ISBLANK(RawFinancials!U272),"",RawFinancials!U272)</f>
        <v>64</v>
      </c>
      <c r="V272" s="0" t="n">
        <f aca="false">IF(ISBLANK(RawFinancials!V272),"",RawFinancials!V272)</f>
        <v>13.4736798668519</v>
      </c>
      <c r="W272" s="0" t="n">
        <f aca="false">IF(ISBLANK(RawFinancials!W272),"",RawFinancials!W272)</f>
        <v>20230630</v>
      </c>
      <c r="X272" s="0" t="n">
        <f aca="false">IF(ISBLANK(RawFinancials!X272),"",RawFinancials!X272)</f>
        <v>0.914619400913875</v>
      </c>
      <c r="Y272" s="0" t="n">
        <f aca="false">IF(ISBLANK(RawFinancials!Y272),"",RawFinancials!Y272)</f>
        <v>16.54</v>
      </c>
      <c r="Z272" s="0" t="str">
        <f aca="false">IF(ISBLANK(RawFinancials!Z272),"",RawFinancials!Z272)</f>
        <v>VT</v>
      </c>
      <c r="AA272" s="0" t="n">
        <f aca="false">RawFinancials!AA272</f>
        <v>1</v>
      </c>
      <c r="AB272" s="0" t="n">
        <f aca="false">RawFinancials!AB272</f>
        <v>2021</v>
      </c>
      <c r="AC272" s="0" t="n">
        <f aca="false">RawFinancials!AC272</f>
        <v>0.151446346328794</v>
      </c>
      <c r="AD272" s="0" t="n">
        <f aca="false">IF(L272&gt;0,100*N272/L272,"")</f>
        <v>92.450626810049</v>
      </c>
      <c r="AE272" s="0" t="n">
        <f aca="false">IF(B272&gt;0,100*F272/B272,"")</f>
        <v>5.63828527665748</v>
      </c>
      <c r="AF272" s="0" t="str">
        <f aca="false">RawFinancials!AE272</f>
        <v/>
      </c>
    </row>
    <row r="273" customFormat="false" ht="15" hidden="false" customHeight="false" outlineLevel="0" collapsed="false">
      <c r="A273" s="0" t="n">
        <f aca="false">IF(ISBLANK(RawFinancials!A273),"",RawFinancials!A273)</f>
        <v>273</v>
      </c>
      <c r="B273" s="0" t="n">
        <f aca="false">IF(ISBLANK(RawFinancials!B273),"",RawFinancials!B273)</f>
        <v>354017</v>
      </c>
      <c r="C273" s="0" t="n">
        <f aca="false">IF(ISBLANK(RawFinancials!C273),"",RawFinancials!C273)</f>
        <v>14168</v>
      </c>
      <c r="D273" s="0" t="n">
        <f aca="false">IF(ISBLANK(RawFinancials!D273),"",RawFinancials!D273)</f>
        <v>316211</v>
      </c>
      <c r="E273" s="0" t="n">
        <f aca="false">IF(ISBLANK(RawFinancials!E273),"",RawFinancials!E273)</f>
        <v>0.18</v>
      </c>
      <c r="F273" s="0" t="n">
        <f aca="false">IF(ISBLANK(RawFinancials!F273),"",RawFinancials!F273)</f>
        <v>33013</v>
      </c>
      <c r="G273" s="0" t="n">
        <f aca="false">IF(ISBLANK(RawFinancials!G273),"",RawFinancials!G273)</f>
        <v>9.32525839154617</v>
      </c>
      <c r="H273" s="0" t="str">
        <f aca="false">IF(ISBLANK(RawFinancials!H273),"",RawFinancials!H273)</f>
        <v>14168_20230630</v>
      </c>
      <c r="I273" s="0" t="n">
        <f aca="false">IF(ISBLANK(RawFinancials!I273),"",RawFinancials!I273)</f>
        <v>1.57551285286801</v>
      </c>
      <c r="J273" s="0" t="n">
        <f aca="false">IF(ISBLANK(RawFinancials!J273),"",RawFinancials!J273)</f>
        <v>11719</v>
      </c>
      <c r="K273" s="0" t="n">
        <f aca="false">IF(ISBLANK(RawFinancials!K273),"",RawFinancials!K273)</f>
        <v>9368</v>
      </c>
      <c r="L273" s="0" t="n">
        <f aca="false">IF(ISBLANK(RawFinancials!L273),"",RawFinancials!L273)</f>
        <v>221896</v>
      </c>
      <c r="M273" s="0" t="n">
        <f aca="false">IF(ISBLANK(RawFinancials!M273),"",RawFinancials!M273)</f>
        <v>218400</v>
      </c>
      <c r="N273" s="0" t="n">
        <f aca="false">IF(ISBLANK(RawFinancials!N273),"",RawFinancials!N273)</f>
        <v>185047</v>
      </c>
      <c r="O273" s="0" t="n">
        <f aca="false">IF(ISBLANK(RawFinancials!O273),"",RawFinancials!O273)</f>
        <v>1000</v>
      </c>
      <c r="P273" s="0" t="str">
        <f aca="false">IF(ISBLANK(RawFinancials!P273),"",RawFinancials!P273)</f>
        <v>PEOPLES TRUST COMPANY OF ST. ALBANS</v>
      </c>
      <c r="Q273" s="0" t="n">
        <f aca="false">IF(ISBLANK(RawFinancials!Q273),"",RawFinancials!Q273)</f>
        <v>0.450661571186502</v>
      </c>
      <c r="R273" s="0" t="n">
        <f aca="false">IF(ISBLANK(RawFinancials!R273),"",RawFinancials!R273)</f>
        <v>3.87001556218775</v>
      </c>
      <c r="S273" s="0" t="n">
        <f aca="false">IF(ISBLANK(RawFinancials!S273),"",RawFinancials!S273)</f>
        <v>-6</v>
      </c>
      <c r="T273" s="0" t="n">
        <f aca="false">IF(ISBLANK(RawFinancials!T273),"",RawFinancials!T273)</f>
        <v>648</v>
      </c>
      <c r="U273" s="0" t="n">
        <f aca="false">IF(ISBLANK(RawFinancials!U273),"",RawFinancials!U273)</f>
        <v>0</v>
      </c>
      <c r="V273" s="0" t="n">
        <f aca="false">IF(ISBLANK(RawFinancials!V273),"",RawFinancials!V273)</f>
        <v>17.1814956205516</v>
      </c>
      <c r="W273" s="0" t="n">
        <f aca="false">IF(ISBLANK(RawFinancials!W273),"",RawFinancials!W273)</f>
        <v>20230630</v>
      </c>
      <c r="X273" s="0" t="n">
        <f aca="false">IF(ISBLANK(RawFinancials!X273),"",RawFinancials!X273)</f>
        <v>0.771338321111053</v>
      </c>
      <c r="Y273" s="0" t="n">
        <f aca="false">IF(ISBLANK(RawFinancials!Y273),"",RawFinancials!Y273)</f>
        <v>8.49</v>
      </c>
      <c r="Z273" s="0" t="str">
        <f aca="false">IF(ISBLANK(RawFinancials!Z273),"",RawFinancials!Z273)</f>
        <v>VT</v>
      </c>
      <c r="AA273" s="0" t="n">
        <f aca="false">RawFinancials!AA273</f>
        <v>1</v>
      </c>
      <c r="AB273" s="0" t="n">
        <f aca="false">RawFinancials!AB273</f>
        <v>1000</v>
      </c>
      <c r="AC273" s="0" t="n">
        <f aca="false">RawFinancials!AC273</f>
        <v>0.282472310651748</v>
      </c>
      <c r="AD273" s="0" t="n">
        <f aca="false">IF(L273&gt;0,100*N273/L273,"")</f>
        <v>83.3935717633486</v>
      </c>
      <c r="AE273" s="0" t="n">
        <f aca="false">IF(B273&gt;0,100*F273/B273,"")</f>
        <v>9.32525839154617</v>
      </c>
      <c r="AF273" s="0" t="str">
        <f aca="false">RawFinancials!AE273</f>
        <v/>
      </c>
    </row>
    <row r="274" customFormat="false" ht="15" hidden="false" customHeight="false" outlineLevel="0" collapsed="false">
      <c r="A274" s="0" t="n">
        <f aca="false">IF(ISBLANK(RawFinancials!A274),"",RawFinancials!A274)</f>
        <v>274</v>
      </c>
      <c r="B274" s="0" t="n">
        <f aca="false">IF(ISBLANK(RawFinancials!B274),"",RawFinancials!B274)</f>
        <v>1364156</v>
      </c>
      <c r="C274" s="0" t="n">
        <f aca="false">IF(ISBLANK(RawFinancials!C274),"",RawFinancials!C274)</f>
        <v>14240</v>
      </c>
      <c r="D274" s="0" t="n">
        <f aca="false">IF(ISBLANK(RawFinancials!D274),"",RawFinancials!D274)</f>
        <v>1068855</v>
      </c>
      <c r="E274" s="0" t="n">
        <f aca="false">IF(ISBLANK(RawFinancials!E274),"",RawFinancials!E274)</f>
        <v>0</v>
      </c>
      <c r="F274" s="0" t="n">
        <f aca="false">IF(ISBLANK(RawFinancials!F274),"",RawFinancials!F274)</f>
        <v>84062</v>
      </c>
      <c r="G274" s="0" t="n">
        <f aca="false">IF(ISBLANK(RawFinancials!G274),"",RawFinancials!G274)</f>
        <v>6.16219845824085</v>
      </c>
      <c r="H274" s="0" t="str">
        <f aca="false">IF(ISBLANK(RawFinancials!H274),"",RawFinancials!H274)</f>
        <v>14240_20230630</v>
      </c>
      <c r="I274" s="0" t="n">
        <f aca="false">IF(ISBLANK(RawFinancials!I274),"",RawFinancials!I274)</f>
        <v>1.1548987240257</v>
      </c>
      <c r="J274" s="0" t="n">
        <f aca="false">IF(ISBLANK(RawFinancials!J274),"",RawFinancials!J274)</f>
        <v>25053</v>
      </c>
      <c r="K274" s="0" t="n">
        <f aca="false">IF(ISBLANK(RawFinancials!K274),"",RawFinancials!K274)</f>
        <v>18013</v>
      </c>
      <c r="L274" s="0" t="n">
        <f aca="false">IF(ISBLANK(RawFinancials!L274),"",RawFinancials!L274)</f>
        <v>961383</v>
      </c>
      <c r="M274" s="0" t="n">
        <f aca="false">IF(ISBLANK(RawFinancials!M274),"",RawFinancials!M274)</f>
        <v>950280</v>
      </c>
      <c r="N274" s="0" t="n">
        <f aca="false">IF(ISBLANK(RawFinancials!N274),"",RawFinancials!N274)</f>
        <v>840679</v>
      </c>
      <c r="O274" s="0" t="n">
        <f aca="false">IF(ISBLANK(RawFinancials!O274),"",RawFinancials!O274)</f>
        <v>2407</v>
      </c>
      <c r="P274" s="0" t="str">
        <f aca="false">IF(ISBLANK(RawFinancials!P274),"",RawFinancials!P274)</f>
        <v>NORTHWAY BANK</v>
      </c>
      <c r="Q274" s="0" t="n">
        <f aca="false">IF(ISBLANK(RawFinancials!Q274),"",RawFinancials!Q274)</f>
        <v>0.250368479575778</v>
      </c>
      <c r="R274" s="0" t="n">
        <f aca="false">IF(ISBLANK(RawFinancials!R274),"",RawFinancials!R274)</f>
        <v>2.84318350205087</v>
      </c>
      <c r="S274" s="0" t="n">
        <f aca="false">IF(ISBLANK(RawFinancials!S274),"",RawFinancials!S274)</f>
        <v>15</v>
      </c>
      <c r="T274" s="0" t="n">
        <f aca="false">IF(ISBLANK(RawFinancials!T274),"",RawFinancials!T274)</f>
        <v>439</v>
      </c>
      <c r="U274" s="0" t="n">
        <f aca="false">IF(ISBLANK(RawFinancials!U274),"",RawFinancials!U274)</f>
        <v>0</v>
      </c>
      <c r="V274" s="0" t="n">
        <f aca="false">IF(ISBLANK(RawFinancials!V274),"",RawFinancials!V274)</f>
        <v>14.8382290668257</v>
      </c>
      <c r="W274" s="0" t="n">
        <f aca="false">IF(ISBLANK(RawFinancials!W274),"",RawFinancials!W274)</f>
        <v>20230630</v>
      </c>
      <c r="X274" s="0" t="n">
        <f aca="false">IF(ISBLANK(RawFinancials!X274),"",RawFinancials!X274)</f>
        <v>0.488172326619474</v>
      </c>
      <c r="Y274" s="0" t="n">
        <f aca="false">IF(ISBLANK(RawFinancials!Y274),"",RawFinancials!Y274)</f>
        <v>7.82</v>
      </c>
      <c r="Z274" s="0" t="str">
        <f aca="false">IF(ISBLANK(RawFinancials!Z274),"",RawFinancials!Z274)</f>
        <v>NH</v>
      </c>
      <c r="AA274" s="0" t="n">
        <f aca="false">RawFinancials!AA274</f>
        <v>1</v>
      </c>
      <c r="AB274" s="0" t="n">
        <f aca="false">RawFinancials!AB274</f>
        <v>2407</v>
      </c>
      <c r="AC274" s="0" t="n">
        <f aca="false">RawFinancials!AC274</f>
        <v>0.176446095607834</v>
      </c>
      <c r="AD274" s="0" t="n">
        <f aca="false">IF(L274&gt;0,100*N274/L274,"")</f>
        <v>87.4447540678377</v>
      </c>
      <c r="AE274" s="0" t="n">
        <f aca="false">IF(B274&gt;0,100*F274/B274,"")</f>
        <v>6.16219845824085</v>
      </c>
      <c r="AF274" s="0" t="str">
        <f aca="false">RawFinancials!AE274</f>
        <v/>
      </c>
    </row>
    <row r="275" customFormat="false" ht="15" hidden="false" customHeight="false" outlineLevel="0" collapsed="false">
      <c r="A275" s="0" t="n">
        <f aca="false">IF(ISBLANK(RawFinancials!A275),"",RawFinancials!A275)</f>
        <v>275</v>
      </c>
      <c r="B275" s="0" t="n">
        <f aca="false">IF(ISBLANK(RawFinancials!B275),"",RawFinancials!B275)</f>
        <v>1072006</v>
      </c>
      <c r="C275" s="0" t="n">
        <f aca="false">IF(ISBLANK(RawFinancials!C275),"",RawFinancials!C275)</f>
        <v>17115</v>
      </c>
      <c r="D275" s="0" t="n">
        <f aca="false">IF(ISBLANK(RawFinancials!D275),"",RawFinancials!D275)</f>
        <v>821428</v>
      </c>
      <c r="E275" s="0" t="n">
        <f aca="false">IF(ISBLANK(RawFinancials!E275),"",RawFinancials!E275)</f>
        <v>0.09</v>
      </c>
      <c r="F275" s="0" t="n">
        <f aca="false">IF(ISBLANK(RawFinancials!F275),"",RawFinancials!F275)</f>
        <v>81921</v>
      </c>
      <c r="G275" s="0" t="n">
        <f aca="false">IF(ISBLANK(RawFinancials!G275),"",RawFinancials!G275)</f>
        <v>7.64184155685696</v>
      </c>
      <c r="H275" s="0" t="str">
        <f aca="false">IF(ISBLANK(RawFinancials!H275),"",RawFinancials!H275)</f>
        <v>17115_20230630</v>
      </c>
      <c r="I275" s="0" t="n">
        <f aca="false">IF(ISBLANK(RawFinancials!I275),"",RawFinancials!I275)</f>
        <v>1.0444982544483</v>
      </c>
      <c r="J275" s="0" t="n">
        <f aca="false">IF(ISBLANK(RawFinancials!J275),"",RawFinancials!J275)</f>
        <v>43867</v>
      </c>
      <c r="K275" s="0" t="n">
        <f aca="false">IF(ISBLANK(RawFinancials!K275),"",RawFinancials!K275)</f>
        <v>5156</v>
      </c>
      <c r="L275" s="0" t="n">
        <f aca="false">IF(ISBLANK(RawFinancials!L275),"",RawFinancials!L275)</f>
        <v>882529</v>
      </c>
      <c r="M275" s="0" t="n">
        <f aca="false">IF(ISBLANK(RawFinancials!M275),"",RawFinancials!M275)</f>
        <v>873311</v>
      </c>
      <c r="N275" s="0" t="n">
        <f aca="false">IF(ISBLANK(RawFinancials!N275),"",RawFinancials!N275)</f>
        <v>832338</v>
      </c>
      <c r="O275" s="0" t="n">
        <f aca="false">IF(ISBLANK(RawFinancials!O275),"",RawFinancials!O275)</f>
        <v>254</v>
      </c>
      <c r="P275" s="0" t="str">
        <f aca="false">IF(ISBLANK(RawFinancials!P275),"",RawFinancials!P275)</f>
        <v>PARTNERS BANK OF NEW ENGLAND</v>
      </c>
      <c r="Q275" s="0" t="n">
        <f aca="false">IF(ISBLANK(RawFinancials!Q275),"",RawFinancials!Q275)</f>
        <v>0.0287809239129818</v>
      </c>
      <c r="R275" s="0" t="n">
        <f aca="false">IF(ISBLANK(RawFinancials!R275),"",RawFinancials!R275)</f>
        <v>3.00711122081169</v>
      </c>
      <c r="S275" s="0" t="n">
        <f aca="false">IF(ISBLANK(RawFinancials!S275),"",RawFinancials!S275)</f>
        <v>11</v>
      </c>
      <c r="T275" s="0" t="n">
        <f aca="false">IF(ISBLANK(RawFinancials!T275),"",RawFinancials!T275)</f>
        <v>36</v>
      </c>
      <c r="U275" s="0" t="n">
        <f aca="false">IF(ISBLANK(RawFinancials!U275),"",RawFinancials!U275)</f>
        <v>0</v>
      </c>
      <c r="V275" s="0" t="n">
        <f aca="false">IF(ISBLANK(RawFinancials!V275),"",RawFinancials!V275)</f>
        <v>13.5922802319822</v>
      </c>
      <c r="W275" s="0" t="n">
        <f aca="false">IF(ISBLANK(RawFinancials!W275),"",RawFinancials!W275)</f>
        <v>20230630</v>
      </c>
      <c r="X275" s="0" t="n">
        <f aca="false">IF(ISBLANK(RawFinancials!X275),"",RawFinancials!X275)</f>
        <v>0.58243002750364</v>
      </c>
      <c r="Y275" s="0" t="n">
        <f aca="false">IF(ISBLANK(RawFinancials!Y275),"",RawFinancials!Y275)</f>
        <v>7.48</v>
      </c>
      <c r="Z275" s="0" t="str">
        <f aca="false">IF(ISBLANK(RawFinancials!Z275),"",RawFinancials!Z275)</f>
        <v>ME</v>
      </c>
      <c r="AA275" s="0" t="n">
        <f aca="false">RawFinancials!AA275</f>
        <v>1</v>
      </c>
      <c r="AB275" s="0" t="n">
        <f aca="false">RawFinancials!AB275</f>
        <v>254</v>
      </c>
      <c r="AC275" s="0" t="n">
        <f aca="false">RawFinancials!AC275</f>
        <v>0.0236938972356498</v>
      </c>
      <c r="AD275" s="0" t="n">
        <f aca="false">IF(L275&gt;0,100*N275/L275,"")</f>
        <v>94.3128214483603</v>
      </c>
      <c r="AE275" s="0" t="n">
        <f aca="false">IF(B275&gt;0,100*F275/B275,"")</f>
        <v>7.64184155685696</v>
      </c>
      <c r="AF275" s="0" t="str">
        <f aca="false">RawFinancials!AE275</f>
        <v/>
      </c>
    </row>
    <row r="276" customFormat="false" ht="15" hidden="false" customHeight="false" outlineLevel="0" collapsed="false">
      <c r="A276" s="0" t="n">
        <f aca="false">IF(ISBLANK(RawFinancials!A276),"",RawFinancials!A276)</f>
        <v>276</v>
      </c>
      <c r="B276" s="0" t="n">
        <f aca="false">IF(ISBLANK(RawFinancials!B276),"",RawFinancials!B276)</f>
        <v>1616649</v>
      </c>
      <c r="C276" s="0" t="n">
        <f aca="false">IF(ISBLANK(RawFinancials!C276),"",RawFinancials!C276)</f>
        <v>17180</v>
      </c>
      <c r="D276" s="0" t="n">
        <f aca="false">IF(ISBLANK(RawFinancials!D276),"",RawFinancials!D276)</f>
        <v>1185191</v>
      </c>
      <c r="E276" s="0" t="n">
        <f aca="false">IF(ISBLANK(RawFinancials!E276),"",RawFinancials!E276)</f>
        <v>0.12</v>
      </c>
      <c r="F276" s="0" t="n">
        <f aca="false">IF(ISBLANK(RawFinancials!F276),"",RawFinancials!F276)</f>
        <v>131745</v>
      </c>
      <c r="G276" s="0" t="n">
        <f aca="false">IF(ISBLANK(RawFinancials!G276),"",RawFinancials!G276)</f>
        <v>8.14926431154815</v>
      </c>
      <c r="H276" s="0" t="str">
        <f aca="false">IF(ISBLANK(RawFinancials!H276),"",RawFinancials!H276)</f>
        <v>17180_20230630</v>
      </c>
      <c r="I276" s="0" t="n">
        <f aca="false">IF(ISBLANK(RawFinancials!I276),"",RawFinancials!I276)</f>
        <v>0.947256107227489</v>
      </c>
      <c r="J276" s="0" t="n">
        <f aca="false">IF(ISBLANK(RawFinancials!J276),"",RawFinancials!J276)</f>
        <v>51213</v>
      </c>
      <c r="K276" s="0" t="n">
        <f aca="false">IF(ISBLANK(RawFinancials!K276),"",RawFinancials!K276)</f>
        <v>198983</v>
      </c>
      <c r="L276" s="0" t="n">
        <f aca="false">IF(ISBLANK(RawFinancials!L276),"",RawFinancials!L276)</f>
        <v>1450822</v>
      </c>
      <c r="M276" s="0" t="n">
        <f aca="false">IF(ISBLANK(RawFinancials!M276),"",RawFinancials!M276)</f>
        <v>1437079</v>
      </c>
      <c r="N276" s="0" t="n">
        <f aca="false">IF(ISBLANK(RawFinancials!N276),"",RawFinancials!N276)</f>
        <v>1177241</v>
      </c>
      <c r="O276" s="0" t="n">
        <f aca="false">IF(ISBLANK(RawFinancials!O276),"",RawFinancials!O276)</f>
        <v>5043</v>
      </c>
      <c r="P276" s="0" t="str">
        <f aca="false">IF(ISBLANK(RawFinancials!P276),"",RawFinancials!P276)</f>
        <v>MEREDITH VILLAGE SAVINGS BANK</v>
      </c>
      <c r="Q276" s="0" t="n">
        <f aca="false">IF(ISBLANK(RawFinancials!Q276),"",RawFinancials!Q276)</f>
        <v>0.440302118385302</v>
      </c>
      <c r="R276" s="0" t="n">
        <f aca="false">IF(ISBLANK(RawFinancials!R276),"",RawFinancials!R276)</f>
        <v>2.9118152452165</v>
      </c>
      <c r="S276" s="0" t="n">
        <f aca="false">IF(ISBLANK(RawFinancials!S276),"",RawFinancials!S276)</f>
        <v>149</v>
      </c>
      <c r="T276" s="0" t="n">
        <f aca="false">IF(ISBLANK(RawFinancials!T276),"",RawFinancials!T276)</f>
        <v>1866</v>
      </c>
      <c r="U276" s="0" t="n">
        <f aca="false">IF(ISBLANK(RawFinancials!U276),"",RawFinancials!U276)</f>
        <v>1345</v>
      </c>
      <c r="V276" s="0" t="n">
        <f aca="false">IF(ISBLANK(RawFinancials!V276),"",RawFinancials!V276)</f>
        <v>13.6752678572979</v>
      </c>
      <c r="W276" s="0" t="n">
        <f aca="false">IF(ISBLANK(RawFinancials!W276),"",RawFinancials!W276)</f>
        <v>20230630</v>
      </c>
      <c r="X276" s="0" t="n">
        <f aca="false">IF(ISBLANK(RawFinancials!X276),"",RawFinancials!X276)</f>
        <v>0.391164988075164</v>
      </c>
      <c r="Y276" s="0" t="n">
        <f aca="false">IF(ISBLANK(RawFinancials!Y276),"",RawFinancials!Y276)</f>
        <v>4.75</v>
      </c>
      <c r="Z276" s="0" t="str">
        <f aca="false">IF(ISBLANK(RawFinancials!Z276),"",RawFinancials!Z276)</f>
        <v>NH</v>
      </c>
      <c r="AA276" s="0" t="n">
        <f aca="false">RawFinancials!AA276</f>
        <v>1</v>
      </c>
      <c r="AB276" s="0" t="n">
        <f aca="false">RawFinancials!AB276</f>
        <v>6388</v>
      </c>
      <c r="AC276" s="0" t="n">
        <f aca="false">RawFinancials!AC276</f>
        <v>0.395138338625144</v>
      </c>
      <c r="AD276" s="0" t="n">
        <f aca="false">IF(L276&gt;0,100*N276/L276,"")</f>
        <v>81.1430347761476</v>
      </c>
      <c r="AE276" s="0" t="n">
        <f aca="false">IF(B276&gt;0,100*F276/B276,"")</f>
        <v>8.14926431154815</v>
      </c>
      <c r="AF276" s="0" t="str">
        <f aca="false">RawFinancials!AE276</f>
        <v/>
      </c>
    </row>
    <row r="277" customFormat="false" ht="15" hidden="false" customHeight="false" outlineLevel="0" collapsed="false">
      <c r="A277" s="0" t="n">
        <f aca="false">IF(ISBLANK(RawFinancials!A277),"",RawFinancials!A277)</f>
        <v>277</v>
      </c>
      <c r="B277" s="0" t="n">
        <f aca="false">IF(ISBLANK(RawFinancials!B277),"",RawFinancials!B277)</f>
        <v>360577</v>
      </c>
      <c r="C277" s="0" t="n">
        <f aca="false">IF(ISBLANK(RawFinancials!C277),"",RawFinancials!C277)</f>
        <v>17443</v>
      </c>
      <c r="D277" s="0" t="n">
        <f aca="false">IF(ISBLANK(RawFinancials!D277),"",RawFinancials!D277)</f>
        <v>321273</v>
      </c>
      <c r="E277" s="0" t="n">
        <f aca="false">IF(ISBLANK(RawFinancials!E277),"",RawFinancials!E277)</f>
        <v>0.03</v>
      </c>
      <c r="F277" s="0" t="n">
        <f aca="false">IF(ISBLANK(RawFinancials!F277),"",RawFinancials!F277)</f>
        <v>38058</v>
      </c>
      <c r="G277" s="0" t="n">
        <f aca="false">IF(ISBLANK(RawFinancials!G277),"",RawFinancials!G277)</f>
        <v>10.5547497483201</v>
      </c>
      <c r="H277" s="0" t="str">
        <f aca="false">IF(ISBLANK(RawFinancials!H277),"",RawFinancials!H277)</f>
        <v>17443_20230630</v>
      </c>
      <c r="I277" s="0" t="n">
        <f aca="false">IF(ISBLANK(RawFinancials!I277),"",RawFinancials!I277)</f>
        <v>0.826244071369419</v>
      </c>
      <c r="J277" s="0" t="n">
        <f aca="false">IF(ISBLANK(RawFinancials!J277),"",RawFinancials!J277)</f>
        <v>0</v>
      </c>
      <c r="K277" s="0" t="n">
        <f aca="false">IF(ISBLANK(RawFinancials!K277),"",RawFinancials!K277)</f>
        <v>716</v>
      </c>
      <c r="L277" s="0" t="n">
        <f aca="false">IF(ISBLANK(RawFinancials!L277),"",RawFinancials!L277)</f>
        <v>212528</v>
      </c>
      <c r="M277" s="0" t="n">
        <f aca="false">IF(ISBLANK(RawFinancials!M277),"",RawFinancials!M277)</f>
        <v>210772</v>
      </c>
      <c r="N277" s="0" t="n">
        <f aca="false">IF(ISBLANK(RawFinancials!N277),"",RawFinancials!N277)</f>
        <v>210812</v>
      </c>
      <c r="O277" s="0" t="n">
        <f aca="false">IF(ISBLANK(RawFinancials!O277),"",RawFinancials!O277)</f>
        <v>109</v>
      </c>
      <c r="P277" s="0" t="str">
        <f aca="false">IF(ISBLANK(RawFinancials!P277),"",RawFinancials!P277)</f>
        <v>PISCATAQUA SAVINGS BANK</v>
      </c>
      <c r="Q277" s="0" t="n">
        <f aca="false">IF(ISBLANK(RawFinancials!Q277),"",RawFinancials!Q277)</f>
        <v>0.0512873597831815</v>
      </c>
      <c r="R277" s="0" t="n">
        <f aca="false">IF(ISBLANK(RawFinancials!R277),"",RawFinancials!R277)</f>
        <v>1.66288900108496</v>
      </c>
      <c r="S277" s="0" t="n">
        <f aca="false">IF(ISBLANK(RawFinancials!S277),"",RawFinancials!S277)</f>
        <v>0</v>
      </c>
      <c r="T277" s="0" t="n">
        <f aca="false">IF(ISBLANK(RawFinancials!T277),"",RawFinancials!T277)</f>
        <v>1208</v>
      </c>
      <c r="U277" s="0" t="n">
        <f aca="false">IF(ISBLANK(RawFinancials!U277),"",RawFinancials!U277)</f>
        <v>0</v>
      </c>
      <c r="V277" s="0" t="n">
        <f aca="false">IF(ISBLANK(RawFinancials!V277),"",RawFinancials!V277)</f>
        <v>0</v>
      </c>
      <c r="W277" s="0" t="n">
        <f aca="false">IF(ISBLANK(RawFinancials!W277),"",RawFinancials!W277)</f>
        <v>20230630</v>
      </c>
      <c r="X277" s="0" t="n">
        <f aca="false">IF(ISBLANK(RawFinancials!X277),"",RawFinancials!X277)</f>
        <v>0.0986572549921649</v>
      </c>
      <c r="Y277" s="0" t="n">
        <f aca="false">IF(ISBLANK(RawFinancials!Y277),"",RawFinancials!Y277)</f>
        <v>0.95</v>
      </c>
      <c r="Z277" s="0" t="str">
        <f aca="false">IF(ISBLANK(RawFinancials!Z277),"",RawFinancials!Z277)</f>
        <v>NH</v>
      </c>
      <c r="AA277" s="0" t="n">
        <f aca="false">RawFinancials!AA277</f>
        <v>1</v>
      </c>
      <c r="AB277" s="0" t="n">
        <f aca="false">RawFinancials!AB277</f>
        <v>109</v>
      </c>
      <c r="AC277" s="0" t="n">
        <f aca="false">RawFinancials!AC277</f>
        <v>0.0302293268844103</v>
      </c>
      <c r="AD277" s="0" t="n">
        <f aca="false">IF(L277&gt;0,100*N277/L277,"")</f>
        <v>99.1925769780923</v>
      </c>
      <c r="AE277" s="0" t="n">
        <f aca="false">IF(B277&gt;0,100*F277/B277,"")</f>
        <v>10.5547497483201</v>
      </c>
      <c r="AF277" s="0" t="str">
        <f aca="false">RawFinancials!AE277</f>
        <v>原始0：需核实适用/报告口径</v>
      </c>
    </row>
    <row r="278" customFormat="false" ht="15" hidden="false" customHeight="false" outlineLevel="0" collapsed="false">
      <c r="A278" s="0" t="n">
        <f aca="false">IF(ISBLANK(RawFinancials!A278),"",RawFinancials!A278)</f>
        <v>278</v>
      </c>
      <c r="B278" s="0" t="n">
        <f aca="false">IF(ISBLANK(RawFinancials!B278),"",RawFinancials!B278)</f>
        <v>1826350</v>
      </c>
      <c r="C278" s="0" t="n">
        <f aca="false">IF(ISBLANK(RawFinancials!C278),"",RawFinancials!C278)</f>
        <v>17658</v>
      </c>
      <c r="D278" s="0" t="n">
        <f aca="false">IF(ISBLANK(RawFinancials!D278),"",RawFinancials!D278)</f>
        <v>1452649</v>
      </c>
      <c r="E278" s="0" t="n">
        <f aca="false">IF(ISBLANK(RawFinancials!E278),"",RawFinancials!E278)</f>
        <v>0</v>
      </c>
      <c r="F278" s="0" t="n">
        <f aca="false">IF(ISBLANK(RawFinancials!F278),"",RawFinancials!F278)</f>
        <v>198387</v>
      </c>
      <c r="G278" s="0" t="n">
        <f aca="false">IF(ISBLANK(RawFinancials!G278),"",RawFinancials!G278)</f>
        <v>10.8624852848578</v>
      </c>
      <c r="H278" s="0" t="str">
        <f aca="false">IF(ISBLANK(RawFinancials!H278),"",RawFinancials!H278)</f>
        <v>17658_20230630</v>
      </c>
      <c r="I278" s="0" t="n">
        <f aca="false">IF(ISBLANK(RawFinancials!I278),"",RawFinancials!I278)</f>
        <v>0.586666162617339</v>
      </c>
      <c r="J278" s="0" t="n">
        <f aca="false">IF(ISBLANK(RawFinancials!J278),"",RawFinancials!J278)</f>
        <v>94739</v>
      </c>
      <c r="K278" s="0" t="n">
        <f aca="false">IF(ISBLANK(RawFinancials!K278),"",RawFinancials!K278)</f>
        <v>76379</v>
      </c>
      <c r="L278" s="0" t="n">
        <f aca="false">IF(ISBLANK(RawFinancials!L278),"",RawFinancials!L278)</f>
        <v>1269717</v>
      </c>
      <c r="M278" s="0" t="n">
        <f aca="false">IF(ISBLANK(RawFinancials!M278),"",RawFinancials!M278)</f>
        <v>1262268</v>
      </c>
      <c r="N278" s="0" t="n">
        <f aca="false">IF(ISBLANK(RawFinancials!N278),"",RawFinancials!N278)</f>
        <v>1085469</v>
      </c>
      <c r="O278" s="0" t="n">
        <f aca="false">IF(ISBLANK(RawFinancials!O278),"",RawFinancials!O278)</f>
        <v>1369</v>
      </c>
      <c r="P278" s="0" t="str">
        <f aca="false">IF(ISBLANK(RawFinancials!P278),"",RawFinancials!P278)</f>
        <v>NORWAY SAVINGS BANK</v>
      </c>
      <c r="Q278" s="0" t="n">
        <f aca="false">IF(ISBLANK(RawFinancials!Q278),"",RawFinancials!Q278)</f>
        <v>0.10781930146639</v>
      </c>
      <c r="R278" s="0" t="n">
        <f aca="false">IF(ISBLANK(RawFinancials!R278),"",RawFinancials!R278)</f>
        <v>3.42723508377535</v>
      </c>
      <c r="S278" s="0" t="n">
        <f aca="false">IF(ISBLANK(RawFinancials!S278),"",RawFinancials!S278)</f>
        <v>-88</v>
      </c>
      <c r="T278" s="0" t="n">
        <f aca="false">IF(ISBLANK(RawFinancials!T278),"",RawFinancials!T278)</f>
        <v>1757</v>
      </c>
      <c r="U278" s="0" t="n">
        <f aca="false">IF(ISBLANK(RawFinancials!U278),"",RawFinancials!U278)</f>
        <v>0</v>
      </c>
      <c r="V278" s="0" t="n">
        <f aca="false">IF(ISBLANK(RawFinancials!V278),"",RawFinancials!V278)</f>
        <v>0</v>
      </c>
      <c r="W278" s="0" t="n">
        <f aca="false">IF(ISBLANK(RawFinancials!W278),"",RawFinancials!W278)</f>
        <v>20230630</v>
      </c>
      <c r="X278" s="0" t="n">
        <f aca="false">IF(ISBLANK(RawFinancials!X278),"",RawFinancials!X278)</f>
        <v>0.930695622619818</v>
      </c>
      <c r="Y278" s="0" t="n">
        <f aca="false">IF(ISBLANK(RawFinancials!Y278),"",RawFinancials!Y278)</f>
        <v>8.66</v>
      </c>
      <c r="Z278" s="0" t="str">
        <f aca="false">IF(ISBLANK(RawFinancials!Z278),"",RawFinancials!Z278)</f>
        <v>ME</v>
      </c>
      <c r="AA278" s="0" t="n">
        <f aca="false">RawFinancials!AA278</f>
        <v>1</v>
      </c>
      <c r="AB278" s="0" t="n">
        <f aca="false">RawFinancials!AB278</f>
        <v>1369</v>
      </c>
      <c r="AC278" s="0" t="n">
        <f aca="false">RawFinancials!AC278</f>
        <v>0.0749582500615983</v>
      </c>
      <c r="AD278" s="0" t="n">
        <f aca="false">IF(L278&gt;0,100*N278/L278,"")</f>
        <v>85.489049922148</v>
      </c>
      <c r="AE278" s="0" t="n">
        <f aca="false">IF(B278&gt;0,100*F278/B278,"")</f>
        <v>10.8624852848578</v>
      </c>
      <c r="AF278" s="0" t="str">
        <f aca="false">RawFinancials!AE278</f>
        <v>原始0：需核实适用/报告口径</v>
      </c>
    </row>
    <row r="279" customFormat="false" ht="15" hidden="false" customHeight="false" outlineLevel="0" collapsed="false">
      <c r="A279" s="0" t="n">
        <f aca="false">IF(ISBLANK(RawFinancials!A279),"",RawFinancials!A279)</f>
        <v>279</v>
      </c>
      <c r="B279" s="0" t="n">
        <f aca="false">IF(ISBLANK(RawFinancials!B279),"",RawFinancials!B279)</f>
        <v>1036036</v>
      </c>
      <c r="C279" s="0" t="n">
        <f aca="false">IF(ISBLANK(RawFinancials!C279),"",RawFinancials!C279)</f>
        <v>17741</v>
      </c>
      <c r="D279" s="0" t="n">
        <f aca="false">IF(ISBLANK(RawFinancials!D279),"",RawFinancials!D279)</f>
        <v>800487</v>
      </c>
      <c r="E279" s="0" t="n">
        <f aca="false">IF(ISBLANK(RawFinancials!E279),"",RawFinancials!E279)</f>
        <v>0.03</v>
      </c>
      <c r="F279" s="0" t="n">
        <f aca="false">IF(ISBLANK(RawFinancials!F279),"",RawFinancials!F279)</f>
        <v>133406</v>
      </c>
      <c r="G279" s="0" t="n">
        <f aca="false">IF(ISBLANK(RawFinancials!G279),"",RawFinancials!G279)</f>
        <v>12.8765795783158</v>
      </c>
      <c r="H279" s="0" t="str">
        <f aca="false">IF(ISBLANK(RawFinancials!H279),"",RawFinancials!H279)</f>
        <v>17741_20230630</v>
      </c>
      <c r="I279" s="0" t="n">
        <f aca="false">IF(ISBLANK(RawFinancials!I279),"",RawFinancials!I279)</f>
        <v>0.93536203979561</v>
      </c>
      <c r="J279" s="0" t="n">
        <f aca="false">IF(ISBLANK(RawFinancials!J279),"",RawFinancials!J279)</f>
        <v>50276</v>
      </c>
      <c r="K279" s="0" t="n">
        <f aca="false">IF(ISBLANK(RawFinancials!K279),"",RawFinancials!K279)</f>
        <v>4108</v>
      </c>
      <c r="L279" s="0" t="n">
        <f aca="false">IF(ISBLANK(RawFinancials!L279),"",RawFinancials!L279)</f>
        <v>877735</v>
      </c>
      <c r="M279" s="0" t="n">
        <f aca="false">IF(ISBLANK(RawFinancials!M279),"",RawFinancials!M279)</f>
        <v>869525</v>
      </c>
      <c r="N279" s="0" t="n">
        <f aca="false">IF(ISBLANK(RawFinancials!N279),"",RawFinancials!N279)</f>
        <v>820189</v>
      </c>
      <c r="O279" s="0" t="n">
        <f aca="false">IF(ISBLANK(RawFinancials!O279),"",RawFinancials!O279)</f>
        <v>1987</v>
      </c>
      <c r="P279" s="0" t="str">
        <f aca="false">IF(ISBLANK(RawFinancials!P279),"",RawFinancials!P279)</f>
        <v>MAINE COMMUNITY BANK</v>
      </c>
      <c r="Q279" s="0" t="n">
        <f aca="false">IF(ISBLANK(RawFinancials!Q279),"",RawFinancials!Q279)</f>
        <v>0.226378120959059</v>
      </c>
      <c r="R279" s="0" t="n">
        <f aca="false">IF(ISBLANK(RawFinancials!R279),"",RawFinancials!R279)</f>
        <v>3.42548551951932</v>
      </c>
      <c r="S279" s="0" t="n">
        <f aca="false">IF(ISBLANK(RawFinancials!S279),"",RawFinancials!S279)</f>
        <v>-3</v>
      </c>
      <c r="T279" s="0" t="n">
        <f aca="false">IF(ISBLANK(RawFinancials!T279),"",RawFinancials!T279)</f>
        <v>2554</v>
      </c>
      <c r="U279" s="0" t="n">
        <f aca="false">IF(ISBLANK(RawFinancials!U279),"",RawFinancials!U279)</f>
        <v>0</v>
      </c>
      <c r="V279" s="0" t="n">
        <f aca="false">IF(ISBLANK(RawFinancials!V279),"",RawFinancials!V279)</f>
        <v>0</v>
      </c>
      <c r="W279" s="0" t="n">
        <f aca="false">IF(ISBLANK(RawFinancials!W279),"",RawFinancials!W279)</f>
        <v>20230630</v>
      </c>
      <c r="X279" s="0" t="n">
        <f aca="false">IF(ISBLANK(RawFinancials!X279),"",RawFinancials!X279)</f>
        <v>0.691931497863857</v>
      </c>
      <c r="Y279" s="0" t="n">
        <f aca="false">IF(ISBLANK(RawFinancials!Y279),"",RawFinancials!Y279)</f>
        <v>5.33</v>
      </c>
      <c r="Z279" s="0" t="str">
        <f aca="false">IF(ISBLANK(RawFinancials!Z279),"",RawFinancials!Z279)</f>
        <v>ME</v>
      </c>
      <c r="AA279" s="0" t="n">
        <f aca="false">RawFinancials!AA279</f>
        <v>1</v>
      </c>
      <c r="AB279" s="0" t="n">
        <f aca="false">RawFinancials!AB279</f>
        <v>1987</v>
      </c>
      <c r="AC279" s="0" t="n">
        <f aca="false">RawFinancials!AC279</f>
        <v>0.191788702323085</v>
      </c>
      <c r="AD279" s="0" t="n">
        <f aca="false">IF(L279&gt;0,100*N279/L279,"")</f>
        <v>93.4438070716105</v>
      </c>
      <c r="AE279" s="0" t="n">
        <f aca="false">IF(B279&gt;0,100*F279/B279,"")</f>
        <v>12.8765795783158</v>
      </c>
      <c r="AF279" s="0" t="str">
        <f aca="false">RawFinancials!AE279</f>
        <v>原始0：需核实适用/报告口径</v>
      </c>
    </row>
    <row r="280" customFormat="false" ht="15" hidden="false" customHeight="false" outlineLevel="0" collapsed="false">
      <c r="A280" s="0" t="n">
        <f aca="false">IF(ISBLANK(RawFinancials!A280),"",RawFinancials!A280)</f>
        <v>280</v>
      </c>
      <c r="B280" s="0" t="n">
        <f aca="false">IF(ISBLANK(RawFinancials!B280),"",RawFinancials!B280)</f>
        <v>1333208</v>
      </c>
      <c r="C280" s="0" t="n">
        <f aca="false">IF(ISBLANK(RawFinancials!C280),"",RawFinancials!C280)</f>
        <v>17743</v>
      </c>
      <c r="D280" s="0" t="n">
        <f aca="false">IF(ISBLANK(RawFinancials!D280),"",RawFinancials!D280)</f>
        <v>950623</v>
      </c>
      <c r="E280" s="0" t="n">
        <f aca="false">IF(ISBLANK(RawFinancials!E280),"",RawFinancials!E280)</f>
        <v>0</v>
      </c>
      <c r="F280" s="0" t="n">
        <f aca="false">IF(ISBLANK(RawFinancials!F280),"",RawFinancials!F280)</f>
        <v>121236</v>
      </c>
      <c r="G280" s="0" t="n">
        <f aca="false">IF(ISBLANK(RawFinancials!G280),"",RawFinancials!G280)</f>
        <v>9.09355479415065</v>
      </c>
      <c r="H280" s="0" t="str">
        <f aca="false">IF(ISBLANK(RawFinancials!H280),"",RawFinancials!H280)</f>
        <v>17743_20230630</v>
      </c>
      <c r="I280" s="0" t="n">
        <f aca="false">IF(ISBLANK(RawFinancials!I280),"",RawFinancials!I280)</f>
        <v>0.454345157685347</v>
      </c>
      <c r="J280" s="0" t="n">
        <f aca="false">IF(ISBLANK(RawFinancials!J280),"",RawFinancials!J280)</f>
        <v>11605</v>
      </c>
      <c r="K280" s="0" t="n">
        <f aca="false">IF(ISBLANK(RawFinancials!K280),"",RawFinancials!K280)</f>
        <v>7617</v>
      </c>
      <c r="L280" s="0" t="n">
        <f aca="false">IF(ISBLANK(RawFinancials!L280),"",RawFinancials!L280)</f>
        <v>1037097</v>
      </c>
      <c r="M280" s="0" t="n">
        <f aca="false">IF(ISBLANK(RawFinancials!M280),"",RawFinancials!M280)</f>
        <v>1032385</v>
      </c>
      <c r="N280" s="0" t="n">
        <f aca="false">IF(ISBLANK(RawFinancials!N280),"",RawFinancials!N280)</f>
        <v>1005554</v>
      </c>
      <c r="O280" s="0" t="n">
        <f aca="false">IF(ISBLANK(RawFinancials!O280),"",RawFinancials!O280)</f>
        <v>4416</v>
      </c>
      <c r="P280" s="0" t="str">
        <f aca="false">IF(ISBLANK(RawFinancials!P280),"",RawFinancials!P280)</f>
        <v>SACO &amp; BIDDEFORD SAVINGS INSTITUTION</v>
      </c>
      <c r="Q280" s="0" t="n">
        <f aca="false">IF(ISBLANK(RawFinancials!Q280),"",RawFinancials!Q280)</f>
        <v>0.425803950835843</v>
      </c>
      <c r="R280" s="0" t="n">
        <f aca="false">IF(ISBLANK(RawFinancials!R280),"",RawFinancials!R280)</f>
        <v>2.08643107377961</v>
      </c>
      <c r="S280" s="0" t="n">
        <f aca="false">IF(ISBLANK(RawFinancials!S280),"",RawFinancials!S280)</f>
        <v>-16</v>
      </c>
      <c r="T280" s="0" t="n">
        <f aca="false">IF(ISBLANK(RawFinancials!T280),"",RawFinancials!T280)</f>
        <v>993</v>
      </c>
      <c r="U280" s="0" t="n">
        <f aca="false">IF(ISBLANK(RawFinancials!U280),"",RawFinancials!U280)</f>
        <v>0</v>
      </c>
      <c r="V280" s="0" t="n">
        <f aca="false">IF(ISBLANK(RawFinancials!V280),"",RawFinancials!V280)</f>
        <v>0</v>
      </c>
      <c r="W280" s="0" t="n">
        <f aca="false">IF(ISBLANK(RawFinancials!W280),"",RawFinancials!W280)</f>
        <v>20230630</v>
      </c>
      <c r="X280" s="0" t="n">
        <f aca="false">IF(ISBLANK(RawFinancials!X280),"",RawFinancials!X280)</f>
        <v>0.0965920880347445</v>
      </c>
      <c r="Y280" s="0" t="n">
        <f aca="false">IF(ISBLANK(RawFinancials!Y280),"",RawFinancials!Y280)</f>
        <v>1.04</v>
      </c>
      <c r="Z280" s="0" t="str">
        <f aca="false">IF(ISBLANK(RawFinancials!Z280),"",RawFinancials!Z280)</f>
        <v>ME</v>
      </c>
      <c r="AA280" s="0" t="n">
        <f aca="false">RawFinancials!AA280</f>
        <v>1</v>
      </c>
      <c r="AB280" s="0" t="n">
        <f aca="false">RawFinancials!AB280</f>
        <v>4416</v>
      </c>
      <c r="AC280" s="0" t="n">
        <f aca="false">RawFinancials!AC280</f>
        <v>0.331231135726758</v>
      </c>
      <c r="AD280" s="0" t="n">
        <f aca="false">IF(L280&gt;0,100*N280/L280,"")</f>
        <v>96.9585294336017</v>
      </c>
      <c r="AE280" s="0" t="n">
        <f aca="false">IF(B280&gt;0,100*F280/B280,"")</f>
        <v>9.09355479415065</v>
      </c>
      <c r="AF280" s="0" t="str">
        <f aca="false">RawFinancials!AE280</f>
        <v>原始0：需核实适用/报告口径</v>
      </c>
    </row>
    <row r="281" customFormat="false" ht="15" hidden="false" customHeight="false" outlineLevel="0" collapsed="false">
      <c r="A281" s="0" t="n">
        <f aca="false">IF(ISBLANK(RawFinancials!A281),"",RawFinancials!A281)</f>
        <v>281</v>
      </c>
      <c r="B281" s="0" t="n">
        <f aca="false">IF(ISBLANK(RawFinancials!B281),"",RawFinancials!B281)</f>
        <v>1638948</v>
      </c>
      <c r="C281" s="0" t="n">
        <f aca="false">IF(ISBLANK(RawFinancials!C281),"",RawFinancials!C281)</f>
        <v>17748</v>
      </c>
      <c r="D281" s="0" t="n">
        <f aca="false">IF(ISBLANK(RawFinancials!D281),"",RawFinancials!D281)</f>
        <v>1352478</v>
      </c>
      <c r="E281" s="0" t="n">
        <f aca="false">IF(ISBLANK(RawFinancials!E281),"",RawFinancials!E281)</f>
        <v>0.1</v>
      </c>
      <c r="F281" s="0" t="n">
        <f aca="false">IF(ISBLANK(RawFinancials!F281),"",RawFinancials!F281)</f>
        <v>107830</v>
      </c>
      <c r="G281" s="0" t="n">
        <f aca="false">IF(ISBLANK(RawFinancials!G281),"",RawFinancials!G281)</f>
        <v>6.57922032913796</v>
      </c>
      <c r="H281" s="0" t="str">
        <f aca="false">IF(ISBLANK(RawFinancials!H281),"",RawFinancials!H281)</f>
        <v>17748_20230630</v>
      </c>
      <c r="I281" s="0" t="n">
        <f aca="false">IF(ISBLANK(RawFinancials!I281),"",RawFinancials!I281)</f>
        <v>0.891878043947316</v>
      </c>
      <c r="J281" s="0" t="n">
        <f aca="false">IF(ISBLANK(RawFinancials!J281),"",RawFinancials!J281)</f>
        <v>181251</v>
      </c>
      <c r="K281" s="0" t="n">
        <f aca="false">IF(ISBLANK(RawFinancials!K281),"",RawFinancials!K281)</f>
        <v>3607</v>
      </c>
      <c r="L281" s="0" t="n">
        <f aca="false">IF(ISBLANK(RawFinancials!L281),"",RawFinancials!L281)</f>
        <v>1266653</v>
      </c>
      <c r="M281" s="0" t="n">
        <f aca="false">IF(ISBLANK(RawFinancials!M281),"",RawFinancials!M281)</f>
        <v>1255356</v>
      </c>
      <c r="N281" s="0" t="n">
        <f aca="false">IF(ISBLANK(RawFinancials!N281),"",RawFinancials!N281)</f>
        <v>1048029</v>
      </c>
      <c r="O281" s="0" t="n">
        <f aca="false">IF(ISBLANK(RawFinancials!O281),"",RawFinancials!O281)</f>
        <v>6702</v>
      </c>
      <c r="P281" s="0" t="str">
        <f aca="false">IF(ISBLANK(RawFinancials!P281),"",RawFinancials!P281)</f>
        <v>GORHAM SAVINGS BANK</v>
      </c>
      <c r="Q281" s="0" t="n">
        <f aca="false">IF(ISBLANK(RawFinancials!Q281),"",RawFinancials!Q281)</f>
        <v>0.529110971986803</v>
      </c>
      <c r="R281" s="0" t="n">
        <f aca="false">IF(ISBLANK(RawFinancials!R281),"",RawFinancials!R281)</f>
        <v>2.48237446499793</v>
      </c>
      <c r="S281" s="0" t="n">
        <f aca="false">IF(ISBLANK(RawFinancials!S281),"",RawFinancials!S281)</f>
        <v>1110</v>
      </c>
      <c r="T281" s="0" t="n">
        <f aca="false">IF(ISBLANK(RawFinancials!T281),"",RawFinancials!T281)</f>
        <v>1943</v>
      </c>
      <c r="U281" s="0" t="n">
        <f aca="false">IF(ISBLANK(RawFinancials!U281),"",RawFinancials!U281)</f>
        <v>0</v>
      </c>
      <c r="V281" s="0" t="n">
        <f aca="false">IF(ISBLANK(RawFinancials!V281),"",RawFinancials!V281)</f>
        <v>0</v>
      </c>
      <c r="W281" s="0" t="n">
        <f aca="false">IF(ISBLANK(RawFinancials!W281),"",RawFinancials!W281)</f>
        <v>20230630</v>
      </c>
      <c r="X281" s="0" t="n">
        <f aca="false">IF(ISBLANK(RawFinancials!X281),"",RawFinancials!X281)</f>
        <v>0.186125045642909</v>
      </c>
      <c r="Y281" s="0" t="n">
        <f aca="false">IF(ISBLANK(RawFinancials!Y281),"",RawFinancials!Y281)</f>
        <v>2.81</v>
      </c>
      <c r="Z281" s="0" t="str">
        <f aca="false">IF(ISBLANK(RawFinancials!Z281),"",RawFinancials!Z281)</f>
        <v>ME</v>
      </c>
      <c r="AA281" s="0" t="n">
        <f aca="false">RawFinancials!AA281</f>
        <v>1</v>
      </c>
      <c r="AB281" s="0" t="n">
        <f aca="false">RawFinancials!AB281</f>
        <v>6702</v>
      </c>
      <c r="AC281" s="0" t="n">
        <f aca="false">RawFinancials!AC281</f>
        <v>0.408920844346495</v>
      </c>
      <c r="AD281" s="0" t="n">
        <f aca="false">IF(L281&gt;0,100*N281/L281,"")</f>
        <v>82.7400243002622</v>
      </c>
      <c r="AE281" s="0" t="n">
        <f aca="false">IF(B281&gt;0,100*F281/B281,"")</f>
        <v>6.57922032913796</v>
      </c>
      <c r="AF281" s="0" t="str">
        <f aca="false">RawFinancials!AE281</f>
        <v>原始0：需核实适用/报告口径</v>
      </c>
    </row>
    <row r="282" customFormat="false" ht="15" hidden="false" customHeight="false" outlineLevel="0" collapsed="false">
      <c r="A282" s="0" t="n">
        <f aca="false">IF(ISBLANK(RawFinancials!A282),"",RawFinancials!A282)</f>
        <v>282</v>
      </c>
      <c r="B282" s="0" t="n">
        <f aca="false">IF(ISBLANK(RawFinancials!B282),"",RawFinancials!B282)</f>
        <v>1316293</v>
      </c>
      <c r="C282" s="0" t="n">
        <f aca="false">IF(ISBLANK(RawFinancials!C282),"",RawFinancials!C282)</f>
        <v>17749</v>
      </c>
      <c r="D282" s="0" t="n">
        <f aca="false">IF(ISBLANK(RawFinancials!D282),"",RawFinancials!D282)</f>
        <v>1027633</v>
      </c>
      <c r="E282" s="0" t="n">
        <f aca="false">IF(ISBLANK(RawFinancials!E282),"",RawFinancials!E282)</f>
        <v>0.05</v>
      </c>
      <c r="F282" s="0" t="n">
        <f aca="false">IF(ISBLANK(RawFinancials!F282),"",RawFinancials!F282)</f>
        <v>161414</v>
      </c>
      <c r="G282" s="0" t="n">
        <f aca="false">IF(ISBLANK(RawFinancials!G282),"",RawFinancials!G282)</f>
        <v>12.2627712826855</v>
      </c>
      <c r="H282" s="0" t="str">
        <f aca="false">IF(ISBLANK(RawFinancials!H282),"",RawFinancials!H282)</f>
        <v>17749_20230630</v>
      </c>
      <c r="I282" s="0" t="n">
        <f aca="false">IF(ISBLANK(RawFinancials!I282),"",RawFinancials!I282)</f>
        <v>1.41011029766849</v>
      </c>
      <c r="J282" s="0" t="n">
        <f aca="false">IF(ISBLANK(RawFinancials!J282),"",RawFinancials!J282)</f>
        <v>52094</v>
      </c>
      <c r="K282" s="0" t="n">
        <f aca="false">IF(ISBLANK(RawFinancials!K282),"",RawFinancials!K282)</f>
        <v>10410</v>
      </c>
      <c r="L282" s="0" t="n">
        <f aca="false">IF(ISBLANK(RawFinancials!L282),"",RawFinancials!L282)</f>
        <v>776535</v>
      </c>
      <c r="M282" s="0" t="n">
        <f aca="false">IF(ISBLANK(RawFinancials!M282),"",RawFinancials!M282)</f>
        <v>765585</v>
      </c>
      <c r="N282" s="0" t="n">
        <f aca="false">IF(ISBLANK(RawFinancials!N282),"",RawFinancials!N282)</f>
        <v>702580</v>
      </c>
      <c r="O282" s="0" t="n">
        <f aca="false">IF(ISBLANK(RawFinancials!O282),"",RawFinancials!O282)</f>
        <v>293</v>
      </c>
      <c r="P282" s="0" t="str">
        <f aca="false">IF(ISBLANK(RawFinancials!P282),"",RawFinancials!P282)</f>
        <v>BATH SAVINGS INSTITUTION</v>
      </c>
      <c r="Q282" s="0" t="n">
        <f aca="false">IF(ISBLANK(RawFinancials!Q282),"",RawFinancials!Q282)</f>
        <v>0.0377317184672938</v>
      </c>
      <c r="R282" s="0" t="n">
        <f aca="false">IF(ISBLANK(RawFinancials!R282),"",RawFinancials!R282)</f>
        <v>2.84287513095667</v>
      </c>
      <c r="S282" s="0" t="n">
        <f aca="false">IF(ISBLANK(RawFinancials!S282),"",RawFinancials!S282)</f>
        <v>11</v>
      </c>
      <c r="T282" s="0" t="n">
        <f aca="false">IF(ISBLANK(RawFinancials!T282),"",RawFinancials!T282)</f>
        <v>280</v>
      </c>
      <c r="U282" s="0" t="n">
        <f aca="false">IF(ISBLANK(RawFinancials!U282),"",RawFinancials!U282)</f>
        <v>0</v>
      </c>
      <c r="V282" s="0" t="n">
        <f aca="false">IF(ISBLANK(RawFinancials!V282),"",RawFinancials!V282)</f>
        <v>0</v>
      </c>
      <c r="W282" s="0" t="n">
        <f aca="false">IF(ISBLANK(RawFinancials!W282),"",RawFinancials!W282)</f>
        <v>20230630</v>
      </c>
      <c r="X282" s="0" t="n">
        <f aca="false">IF(ISBLANK(RawFinancials!X282),"",RawFinancials!X282)</f>
        <v>1.33285285879771</v>
      </c>
      <c r="Y282" s="0" t="n">
        <f aca="false">IF(ISBLANK(RawFinancials!Y282),"",RawFinancials!Y282)</f>
        <v>10.91</v>
      </c>
      <c r="Z282" s="0" t="str">
        <f aca="false">IF(ISBLANK(RawFinancials!Z282),"",RawFinancials!Z282)</f>
        <v>ME</v>
      </c>
      <c r="AA282" s="0" t="n">
        <f aca="false">RawFinancials!AA282</f>
        <v>1</v>
      </c>
      <c r="AB282" s="0" t="n">
        <f aca="false">RawFinancials!AB282</f>
        <v>293</v>
      </c>
      <c r="AC282" s="0" t="n">
        <f aca="false">RawFinancials!AC282</f>
        <v>0.0222594817415272</v>
      </c>
      <c r="AD282" s="0" t="n">
        <f aca="false">IF(L282&gt;0,100*N282/L282,"")</f>
        <v>90.476282459902</v>
      </c>
      <c r="AE282" s="0" t="n">
        <f aca="false">IF(B282&gt;0,100*F282/B282,"")</f>
        <v>12.2627712826855</v>
      </c>
      <c r="AF282" s="0" t="str">
        <f aca="false">RawFinancials!AE282</f>
        <v>原始0：需核实适用/报告口径</v>
      </c>
    </row>
    <row r="283" customFormat="false" ht="15" hidden="false" customHeight="false" outlineLevel="0" collapsed="false">
      <c r="A283" s="0" t="n">
        <f aca="false">IF(ISBLANK(RawFinancials!A283),"",RawFinancials!A283)</f>
        <v>283</v>
      </c>
      <c r="B283" s="0" t="n">
        <f aca="false">IF(ISBLANK(RawFinancials!B283),"",RawFinancials!B283)</f>
        <v>1539209</v>
      </c>
      <c r="C283" s="0" t="n">
        <f aca="false">IF(ISBLANK(RawFinancials!C283),"",RawFinancials!C283)</f>
        <v>17751</v>
      </c>
      <c r="D283" s="0" t="n">
        <f aca="false">IF(ISBLANK(RawFinancials!D283),"",RawFinancials!D283)</f>
        <v>1218035</v>
      </c>
      <c r="E283" s="0" t="n">
        <f aca="false">IF(ISBLANK(RawFinancials!E283),"",RawFinancials!E283)</f>
        <v>0.08</v>
      </c>
      <c r="F283" s="0" t="n">
        <f aca="false">IF(ISBLANK(RawFinancials!F283),"",RawFinancials!F283)</f>
        <v>129936</v>
      </c>
      <c r="G283" s="0" t="n">
        <f aca="false">IF(ISBLANK(RawFinancials!G283),"",RawFinancials!G283)</f>
        <v>8.44173858131027</v>
      </c>
      <c r="H283" s="0" t="str">
        <f aca="false">IF(ISBLANK(RawFinancials!H283),"",RawFinancials!H283)</f>
        <v>17751_20230630</v>
      </c>
      <c r="I283" s="0" t="n">
        <f aca="false">IF(ISBLANK(RawFinancials!I283),"",RawFinancials!I283)</f>
        <v>0.925847764698013</v>
      </c>
      <c r="J283" s="0" t="n">
        <f aca="false">IF(ISBLANK(RawFinancials!J283),"",RawFinancials!J283)</f>
        <v>118420</v>
      </c>
      <c r="K283" s="0" t="n">
        <f aca="false">IF(ISBLANK(RawFinancials!K283),"",RawFinancials!K283)</f>
        <v>2111</v>
      </c>
      <c r="L283" s="0" t="n">
        <f aca="false">IF(ISBLANK(RawFinancials!L283),"",RawFinancials!L283)</f>
        <v>1255714</v>
      </c>
      <c r="M283" s="0" t="n">
        <f aca="false">IF(ISBLANK(RawFinancials!M283),"",RawFinancials!M283)</f>
        <v>1244088</v>
      </c>
      <c r="N283" s="0" t="n">
        <f aca="false">IF(ISBLANK(RawFinancials!N283),"",RawFinancials!N283)</f>
        <v>1072258</v>
      </c>
      <c r="O283" s="0" t="n">
        <f aca="false">IF(ISBLANK(RawFinancials!O283),"",RawFinancials!O283)</f>
        <v>2725</v>
      </c>
      <c r="P283" s="0" t="str">
        <f aca="false">IF(ISBLANK(RawFinancials!P283),"",RawFinancials!P283)</f>
        <v>ANDROSCOGGIN SAVINGS BANK</v>
      </c>
      <c r="Q283" s="0" t="n">
        <f aca="false">IF(ISBLANK(RawFinancials!Q283),"",RawFinancials!Q283)</f>
        <v>0.217008012971106</v>
      </c>
      <c r="R283" s="0" t="n">
        <f aca="false">IF(ISBLANK(RawFinancials!R283),"",RawFinancials!R283)</f>
        <v>3.14254047562197</v>
      </c>
      <c r="S283" s="0" t="n">
        <f aca="false">IF(ISBLANK(RawFinancials!S283),"",RawFinancials!S283)</f>
        <v>4196</v>
      </c>
      <c r="T283" s="0" t="n">
        <f aca="false">IF(ISBLANK(RawFinancials!T283),"",RawFinancials!T283)</f>
        <v>2912</v>
      </c>
      <c r="U283" s="0" t="n">
        <f aca="false">IF(ISBLANK(RawFinancials!U283),"",RawFinancials!U283)</f>
        <v>0</v>
      </c>
      <c r="V283" s="0" t="n">
        <f aca="false">IF(ISBLANK(RawFinancials!V283),"",RawFinancials!V283)</f>
        <v>12.7403512952889</v>
      </c>
      <c r="W283" s="0" t="n">
        <f aca="false">IF(ISBLANK(RawFinancials!W283),"",RawFinancials!W283)</f>
        <v>20230630</v>
      </c>
      <c r="X283" s="0" t="n">
        <f aca="false">IF(ISBLANK(RawFinancials!X283),"",RawFinancials!X283)</f>
        <v>0.57224377049816</v>
      </c>
      <c r="Y283" s="0" t="n">
        <f aca="false">IF(ISBLANK(RawFinancials!Y283),"",RawFinancials!Y283)</f>
        <v>6.68</v>
      </c>
      <c r="Z283" s="0" t="str">
        <f aca="false">IF(ISBLANK(RawFinancials!Z283),"",RawFinancials!Z283)</f>
        <v>ME</v>
      </c>
      <c r="AA283" s="0" t="n">
        <f aca="false">RawFinancials!AA283</f>
        <v>1</v>
      </c>
      <c r="AB283" s="0" t="n">
        <f aca="false">RawFinancials!AB283</f>
        <v>2725</v>
      </c>
      <c r="AC283" s="0" t="n">
        <f aca="false">RawFinancials!AC283</f>
        <v>0.177038985608842</v>
      </c>
      <c r="AD283" s="0" t="n">
        <f aca="false">IF(L283&gt;0,100*N283/L283,"")</f>
        <v>85.3903038430726</v>
      </c>
      <c r="AE283" s="0" t="n">
        <f aca="false">IF(B283&gt;0,100*F283/B283,"")</f>
        <v>8.44173858131027</v>
      </c>
      <c r="AF283" s="0" t="str">
        <f aca="false">RawFinancials!AE283</f>
        <v/>
      </c>
    </row>
    <row r="284" customFormat="false" ht="15" hidden="false" customHeight="false" outlineLevel="0" collapsed="false">
      <c r="A284" s="0" t="n">
        <f aca="false">IF(ISBLANK(RawFinancials!A284),"",RawFinancials!A284)</f>
        <v>284</v>
      </c>
      <c r="B284" s="0" t="n">
        <f aca="false">IF(ISBLANK(RawFinancials!B284),"",RawFinancials!B284)</f>
        <v>1670135</v>
      </c>
      <c r="C284" s="0" t="n">
        <f aca="false">IF(ISBLANK(RawFinancials!C284),"",RawFinancials!C284)</f>
        <v>17897</v>
      </c>
      <c r="D284" s="0" t="n">
        <f aca="false">IF(ISBLANK(RawFinancials!D284),"",RawFinancials!D284)</f>
        <v>1316659</v>
      </c>
      <c r="E284" s="0" t="n">
        <f aca="false">IF(ISBLANK(RawFinancials!E284),"",RawFinancials!E284)</f>
        <v>-0.05</v>
      </c>
      <c r="F284" s="0" t="n">
        <f aca="false">IF(ISBLANK(RawFinancials!F284),"",RawFinancials!F284)</f>
        <v>202487</v>
      </c>
      <c r="G284" s="0" t="n">
        <f aca="false">IF(ISBLANK(RawFinancials!G284),"",RawFinancials!G284)</f>
        <v>12.1239899768582</v>
      </c>
      <c r="H284" s="0" t="str">
        <f aca="false">IF(ISBLANK(RawFinancials!H284),"",RawFinancials!H284)</f>
        <v>17897_20230630</v>
      </c>
      <c r="I284" s="0" t="n">
        <f aca="false">IF(ISBLANK(RawFinancials!I284),"",RawFinancials!I284)</f>
        <v>0.59335065148274</v>
      </c>
      <c r="J284" s="0" t="n">
        <f aca="false">IF(ISBLANK(RawFinancials!J284),"",RawFinancials!J284)</f>
        <v>70462</v>
      </c>
      <c r="K284" s="0" t="n">
        <f aca="false">IF(ISBLANK(RawFinancials!K284),"",RawFinancials!K284)</f>
        <v>3869</v>
      </c>
      <c r="L284" s="0" t="n">
        <f aca="false">IF(ISBLANK(RawFinancials!L284),"",RawFinancials!L284)</f>
        <v>1413161</v>
      </c>
      <c r="M284" s="0" t="n">
        <f aca="false">IF(ISBLANK(RawFinancials!M284),"",RawFinancials!M284)</f>
        <v>1404776</v>
      </c>
      <c r="N284" s="0" t="n">
        <f aca="false">IF(ISBLANK(RawFinancials!N284),"",RawFinancials!N284)</f>
        <v>1329657</v>
      </c>
      <c r="O284" s="0" t="n">
        <f aca="false">IF(ISBLANK(RawFinancials!O284),"",RawFinancials!O284)</f>
        <v>3724</v>
      </c>
      <c r="P284" s="0" t="str">
        <f aca="false">IF(ISBLANK(RawFinancials!P284),"",RawFinancials!P284)</f>
        <v>KENNEBEC SAVINGS BANK</v>
      </c>
      <c r="Q284" s="0" t="n">
        <f aca="false">IF(ISBLANK(RawFinancials!Q284),"",RawFinancials!Q284)</f>
        <v>0.263522698404499</v>
      </c>
      <c r="R284" s="0" t="n">
        <f aca="false">IF(ISBLANK(RawFinancials!R284),"",RawFinancials!R284)</f>
        <v>2.60427667903162</v>
      </c>
      <c r="S284" s="0" t="n">
        <f aca="false">IF(ISBLANK(RawFinancials!S284),"",RawFinancials!S284)</f>
        <v>-87</v>
      </c>
      <c r="T284" s="0" t="n">
        <f aca="false">IF(ISBLANK(RawFinancials!T284),"",RawFinancials!T284)</f>
        <v>1892</v>
      </c>
      <c r="U284" s="0" t="n">
        <f aca="false">IF(ISBLANK(RawFinancials!U284),"",RawFinancials!U284)</f>
        <v>0</v>
      </c>
      <c r="V284" s="0" t="n">
        <f aca="false">IF(ISBLANK(RawFinancials!V284),"",RawFinancials!V284)</f>
        <v>17.1387717890176</v>
      </c>
      <c r="W284" s="0" t="n">
        <f aca="false">IF(ISBLANK(RawFinancials!W284),"",RawFinancials!W284)</f>
        <v>20230630</v>
      </c>
      <c r="X284" s="0" t="n">
        <f aca="false">IF(ISBLANK(RawFinancials!X284),"",RawFinancials!X284)</f>
        <v>0.7142445132825</v>
      </c>
      <c r="Y284" s="0" t="n">
        <f aca="false">IF(ISBLANK(RawFinancials!Y284),"",RawFinancials!Y284)</f>
        <v>5.94</v>
      </c>
      <c r="Z284" s="0" t="str">
        <f aca="false">IF(ISBLANK(RawFinancials!Z284),"",RawFinancials!Z284)</f>
        <v>ME</v>
      </c>
      <c r="AA284" s="0" t="n">
        <f aca="false">RawFinancials!AA284</f>
        <v>1</v>
      </c>
      <c r="AB284" s="0" t="n">
        <f aca="false">RawFinancials!AB284</f>
        <v>3724</v>
      </c>
      <c r="AC284" s="0" t="n">
        <f aca="false">RawFinancials!AC284</f>
        <v>0.222975986971113</v>
      </c>
      <c r="AD284" s="0" t="n">
        <f aca="false">IF(L284&gt;0,100*N284/L284,"")</f>
        <v>94.0909776026935</v>
      </c>
      <c r="AE284" s="0" t="n">
        <f aca="false">IF(B284&gt;0,100*F284/B284,"")</f>
        <v>12.1239899768582</v>
      </c>
      <c r="AF284" s="0" t="str">
        <f aca="false">RawFinancials!AE284</f>
        <v/>
      </c>
    </row>
    <row r="285" customFormat="false" ht="15" hidden="false" customHeight="false" outlineLevel="0" collapsed="false">
      <c r="A285" s="0" t="n">
        <f aca="false">IF(ISBLANK(RawFinancials!A285),"",RawFinancials!A285)</f>
        <v>285</v>
      </c>
      <c r="B285" s="0" t="n">
        <f aca="false">IF(ISBLANK(RawFinancials!B285),"",RawFinancials!B285)</f>
        <v>785855</v>
      </c>
      <c r="C285" s="0" t="n">
        <f aca="false">IF(ISBLANK(RawFinancials!C285),"",RawFinancials!C285)</f>
        <v>17951</v>
      </c>
      <c r="D285" s="0" t="n">
        <f aca="false">IF(ISBLANK(RawFinancials!D285),"",RawFinancials!D285)</f>
        <v>698423</v>
      </c>
      <c r="E285" s="0" t="n">
        <f aca="false">IF(ISBLANK(RawFinancials!E285),"",RawFinancials!E285)</f>
        <v>0.12</v>
      </c>
      <c r="F285" s="0" t="n">
        <f aca="false">IF(ISBLANK(RawFinancials!F285),"",RawFinancials!F285)</f>
        <v>56939</v>
      </c>
      <c r="G285" s="0" t="n">
        <f aca="false">IF(ISBLANK(RawFinancials!G285),"",RawFinancials!G285)</f>
        <v>7.24548421782644</v>
      </c>
      <c r="H285" s="0" t="str">
        <f aca="false">IF(ISBLANK(RawFinancials!H285),"",RawFinancials!H285)</f>
        <v>17951_20230630</v>
      </c>
      <c r="I285" s="0" t="n">
        <f aca="false">IF(ISBLANK(RawFinancials!I285),"",RawFinancials!I285)</f>
        <v>0.900785411212422</v>
      </c>
      <c r="J285" s="0" t="n">
        <f aca="false">IF(ISBLANK(RawFinancials!J285),"",RawFinancials!J285)</f>
        <v>23611</v>
      </c>
      <c r="K285" s="0" t="n">
        <f aca="false">IF(ISBLANK(RawFinancials!K285),"",RawFinancials!K285)</f>
        <v>1822</v>
      </c>
      <c r="L285" s="0" t="n">
        <f aca="false">IF(ISBLANK(RawFinancials!L285),"",RawFinancials!L285)</f>
        <v>553850</v>
      </c>
      <c r="M285" s="0" t="n">
        <f aca="false">IF(ISBLANK(RawFinancials!M285),"",RawFinancials!M285)</f>
        <v>548861</v>
      </c>
      <c r="N285" s="0" t="n">
        <f aca="false">IF(ISBLANK(RawFinancials!N285),"",RawFinancials!N285)</f>
        <v>515478</v>
      </c>
      <c r="O285" s="0" t="n">
        <f aca="false">IF(ISBLANK(RawFinancials!O285),"",RawFinancials!O285)</f>
        <v>67</v>
      </c>
      <c r="P285" s="0" t="str">
        <f aca="false">IF(ISBLANK(RawFinancials!P285),"",RawFinancials!P285)</f>
        <v>FRANKLIN SAVINGS BANK</v>
      </c>
      <c r="Q285" s="0" t="n">
        <f aca="false">IF(ISBLANK(RawFinancials!Q285),"",RawFinancials!Q285)</f>
        <v>0.0120971382143179</v>
      </c>
      <c r="R285" s="0" t="n">
        <f aca="false">IF(ISBLANK(RawFinancials!R285),"",RawFinancials!R285)</f>
        <v>2.73948979123525</v>
      </c>
      <c r="S285" s="0" t="n">
        <f aca="false">IF(ISBLANK(RawFinancials!S285),"",RawFinancials!S285)</f>
        <v>-197</v>
      </c>
      <c r="T285" s="0" t="n">
        <f aca="false">IF(ISBLANK(RawFinancials!T285),"",RawFinancials!T285)</f>
        <v>168</v>
      </c>
      <c r="U285" s="0" t="n">
        <f aca="false">IF(ISBLANK(RawFinancials!U285),"",RawFinancials!U285)</f>
        <v>0</v>
      </c>
      <c r="V285" s="0" t="n">
        <f aca="false">IF(ISBLANK(RawFinancials!V285),"",RawFinancials!V285)</f>
        <v>14.4439118904905</v>
      </c>
      <c r="W285" s="0" t="n">
        <f aca="false">IF(ISBLANK(RawFinancials!W285),"",RawFinancials!W285)</f>
        <v>20230630</v>
      </c>
      <c r="X285" s="0" t="n">
        <f aca="false">IF(ISBLANK(RawFinancials!X285),"",RawFinancials!X285)</f>
        <v>0.577782741347925</v>
      </c>
      <c r="Y285" s="0" t="n">
        <f aca="false">IF(ISBLANK(RawFinancials!Y285),"",RawFinancials!Y285)</f>
        <v>7.85</v>
      </c>
      <c r="Z285" s="0" t="str">
        <f aca="false">IF(ISBLANK(RawFinancials!Z285),"",RawFinancials!Z285)</f>
        <v>NH</v>
      </c>
      <c r="AA285" s="0" t="n">
        <f aca="false">RawFinancials!AA285</f>
        <v>1</v>
      </c>
      <c r="AB285" s="0" t="n">
        <f aca="false">RawFinancials!AB285</f>
        <v>67</v>
      </c>
      <c r="AC285" s="0" t="n">
        <f aca="false">RawFinancials!AC285</f>
        <v>0.0085257458436989</v>
      </c>
      <c r="AD285" s="0" t="n">
        <f aca="false">IF(L285&gt;0,100*N285/L285,"")</f>
        <v>93.0717703349282</v>
      </c>
      <c r="AE285" s="0" t="n">
        <f aca="false">IF(B285&gt;0,100*F285/B285,"")</f>
        <v>7.24548421782644</v>
      </c>
      <c r="AF285" s="0" t="str">
        <f aca="false">RawFinancials!AE285</f>
        <v/>
      </c>
    </row>
    <row r="286" customFormat="false" ht="15" hidden="false" customHeight="false" outlineLevel="0" collapsed="false">
      <c r="A286" s="0" t="n">
        <f aca="false">IF(ISBLANK(RawFinancials!A286),"",RawFinancials!A286)</f>
        <v>286</v>
      </c>
      <c r="B286" s="0" t="n">
        <f aca="false">IF(ISBLANK(RawFinancials!B286),"",RawFinancials!B286)</f>
        <v>1355202</v>
      </c>
      <c r="C286" s="0" t="n">
        <f aca="false">IF(ISBLANK(RawFinancials!C286),"",RawFinancials!C286)</f>
        <v>17960</v>
      </c>
      <c r="D286" s="0" t="n">
        <f aca="false">IF(ISBLANK(RawFinancials!D286),"",RawFinancials!D286)</f>
        <v>1044918</v>
      </c>
      <c r="E286" s="0" t="n">
        <f aca="false">IF(ISBLANK(RawFinancials!E286),"",RawFinancials!E286)</f>
        <v>0.06</v>
      </c>
      <c r="F286" s="0" t="n">
        <f aca="false">IF(ISBLANK(RawFinancials!F286),"",RawFinancials!F286)</f>
        <v>108306</v>
      </c>
      <c r="G286" s="0" t="n">
        <f aca="false">IF(ISBLANK(RawFinancials!G286),"",RawFinancials!G286)</f>
        <v>7.99187132250395</v>
      </c>
      <c r="H286" s="0" t="str">
        <f aca="false">IF(ISBLANK(RawFinancials!H286),"",RawFinancials!H286)</f>
        <v>17960_20230630</v>
      </c>
      <c r="I286" s="0" t="n">
        <f aca="false">IF(ISBLANK(RawFinancials!I286),"",RawFinancials!I286)</f>
        <v>0.968657341658803</v>
      </c>
      <c r="J286" s="0" t="n">
        <f aca="false">IF(ISBLANK(RawFinancials!J286),"",RawFinancials!J286)</f>
        <v>111328</v>
      </c>
      <c r="K286" s="0" t="n">
        <f aca="false">IF(ISBLANK(RawFinancials!K286),"",RawFinancials!K286)</f>
        <v>219108</v>
      </c>
      <c r="L286" s="0" t="n">
        <f aca="false">IF(ISBLANK(RawFinancials!L286),"",RawFinancials!L286)</f>
        <v>1162537</v>
      </c>
      <c r="M286" s="0" t="n">
        <f aca="false">IF(ISBLANK(RawFinancials!M286),"",RawFinancials!M286)</f>
        <v>1151276</v>
      </c>
      <c r="N286" s="0" t="n">
        <f aca="false">IF(ISBLANK(RawFinancials!N286),"",RawFinancials!N286)</f>
        <v>827985</v>
      </c>
      <c r="O286" s="0" t="n">
        <f aca="false">IF(ISBLANK(RawFinancials!O286),"",RawFinancials!O286)</f>
        <v>8464</v>
      </c>
      <c r="P286" s="0" t="str">
        <f aca="false">IF(ISBLANK(RawFinancials!P286),"",RawFinancials!P286)</f>
        <v>MERRIMACK COUNTY SAVINGS BANK</v>
      </c>
      <c r="Q286" s="0" t="n">
        <f aca="false">IF(ISBLANK(RawFinancials!Q286),"",RawFinancials!Q286)</f>
        <v>0.728062848752341</v>
      </c>
      <c r="R286" s="0" t="n">
        <f aca="false">IF(ISBLANK(RawFinancials!R286),"",RawFinancials!R286)</f>
        <v>2.86686073652849</v>
      </c>
      <c r="S286" s="0" t="n">
        <f aca="false">IF(ISBLANK(RawFinancials!S286),"",RawFinancials!S286)</f>
        <v>39</v>
      </c>
      <c r="T286" s="0" t="n">
        <f aca="false">IF(ISBLANK(RawFinancials!T286),"",RawFinancials!T286)</f>
        <v>2045</v>
      </c>
      <c r="U286" s="0" t="n">
        <f aca="false">IF(ISBLANK(RawFinancials!U286),"",RawFinancials!U286)</f>
        <v>0</v>
      </c>
      <c r="V286" s="0" t="n">
        <f aca="false">IF(ISBLANK(RawFinancials!V286),"",RawFinancials!V286)</f>
        <v>12.7361396545319</v>
      </c>
      <c r="W286" s="0" t="n">
        <f aca="false">IF(ISBLANK(RawFinancials!W286),"",RawFinancials!W286)</f>
        <v>20230630</v>
      </c>
      <c r="X286" s="0" t="n">
        <f aca="false">IF(ISBLANK(RawFinancials!X286),"",RawFinancials!X286)</f>
        <v>0.47751881940412</v>
      </c>
      <c r="Y286" s="0" t="n">
        <f aca="false">IF(ISBLANK(RawFinancials!Y286),"",RawFinancials!Y286)</f>
        <v>5.97</v>
      </c>
      <c r="Z286" s="0" t="str">
        <f aca="false">IF(ISBLANK(RawFinancials!Z286),"",RawFinancials!Z286)</f>
        <v>NH</v>
      </c>
      <c r="AA286" s="0" t="n">
        <f aca="false">RawFinancials!AA286</f>
        <v>1</v>
      </c>
      <c r="AB286" s="0" t="n">
        <f aca="false">RawFinancials!AB286</f>
        <v>8464</v>
      </c>
      <c r="AC286" s="0" t="n">
        <f aca="false">RawFinancials!AC286</f>
        <v>0.624556339202569</v>
      </c>
      <c r="AD286" s="0" t="n">
        <f aca="false">IF(L286&gt;0,100*N286/L286,"")</f>
        <v>71.2222492703458</v>
      </c>
      <c r="AE286" s="0" t="n">
        <f aca="false">IF(B286&gt;0,100*F286/B286,"")</f>
        <v>7.99187132250395</v>
      </c>
      <c r="AF286" s="0" t="str">
        <f aca="false">RawFinancials!AE286</f>
        <v/>
      </c>
    </row>
    <row r="287" customFormat="false" ht="15" hidden="false" customHeight="false" outlineLevel="0" collapsed="false">
      <c r="A287" s="0" t="n">
        <f aca="false">IF(ISBLANK(RawFinancials!A287),"",RawFinancials!A287)</f>
        <v>287</v>
      </c>
      <c r="B287" s="0" t="n">
        <f aca="false">IF(ISBLANK(RawFinancials!B287),"",RawFinancials!B287)</f>
        <v>2459524</v>
      </c>
      <c r="C287" s="0" t="n">
        <f aca="false">IF(ISBLANK(RawFinancials!C287),"",RawFinancials!C287)</f>
        <v>18012</v>
      </c>
      <c r="D287" s="0" t="n">
        <f aca="false">IF(ISBLANK(RawFinancials!D287),"",RawFinancials!D287)</f>
        <v>2061672</v>
      </c>
      <c r="E287" s="0" t="n">
        <f aca="false">IF(ISBLANK(RawFinancials!E287),"",RawFinancials!E287)</f>
        <v>0.06</v>
      </c>
      <c r="F287" s="0" t="n">
        <f aca="false">IF(ISBLANK(RawFinancials!F287),"",RawFinancials!F287)</f>
        <v>250653</v>
      </c>
      <c r="G287" s="0" t="n">
        <f aca="false">IF(ISBLANK(RawFinancials!G287),"",RawFinancials!G287)</f>
        <v>10.1911182814236</v>
      </c>
      <c r="H287" s="0" t="str">
        <f aca="false">IF(ISBLANK(RawFinancials!H287),"",RawFinancials!H287)</f>
        <v>18012_20230630</v>
      </c>
      <c r="I287" s="0" t="n">
        <f aca="false">IF(ISBLANK(RawFinancials!I287),"",RawFinancials!I287)</f>
        <v>1.26768612127541</v>
      </c>
      <c r="J287" s="0" t="n">
        <f aca="false">IF(ISBLANK(RawFinancials!J287),"",RawFinancials!J287)</f>
        <v>50060</v>
      </c>
      <c r="K287" s="0" t="n">
        <f aca="false">IF(ISBLANK(RawFinancials!K287),"",RawFinancials!K287)</f>
        <v>34372</v>
      </c>
      <c r="L287" s="0" t="n">
        <f aca="false">IF(ISBLANK(RawFinancials!L287),"",RawFinancials!L287)</f>
        <v>2005386</v>
      </c>
      <c r="M287" s="0" t="n">
        <f aca="false">IF(ISBLANK(RawFinancials!M287),"",RawFinancials!M287)</f>
        <v>1979964</v>
      </c>
      <c r="N287" s="0" t="n">
        <f aca="false">IF(ISBLANK(RawFinancials!N287),"",RawFinancials!N287)</f>
        <v>1892192</v>
      </c>
      <c r="O287" s="0" t="n">
        <f aca="false">IF(ISBLANK(RawFinancials!O287),"",RawFinancials!O287)</f>
        <v>1011</v>
      </c>
      <c r="P287" s="0" t="str">
        <f aca="false">IF(ISBLANK(RawFinancials!P287),"",RawFinancials!P287)</f>
        <v>BANK OF NEW HAMPSHIRE</v>
      </c>
      <c r="Q287" s="0" t="n">
        <f aca="false">IF(ISBLANK(RawFinancials!Q287),"",RawFinancials!Q287)</f>
        <v>0.0504142344665815</v>
      </c>
      <c r="R287" s="0" t="n">
        <f aca="false">IF(ISBLANK(RawFinancials!R287),"",RawFinancials!R287)</f>
        <v>3.08785515504174</v>
      </c>
      <c r="S287" s="0" t="n">
        <f aca="false">IF(ISBLANK(RawFinancials!S287),"",RawFinancials!S287)</f>
        <v>74</v>
      </c>
      <c r="T287" s="0" t="n">
        <f aca="false">IF(ISBLANK(RawFinancials!T287),"",RawFinancials!T287)</f>
        <v>2254</v>
      </c>
      <c r="U287" s="0" t="n">
        <f aca="false">IF(ISBLANK(RawFinancials!U287),"",RawFinancials!U287)</f>
        <v>0</v>
      </c>
      <c r="V287" s="0" t="n">
        <f aca="false">IF(ISBLANK(RawFinancials!V287),"",RawFinancials!V287)</f>
        <v>13.5220936775833</v>
      </c>
      <c r="W287" s="0" t="n">
        <f aca="false">IF(ISBLANK(RawFinancials!W287),"",RawFinancials!W287)</f>
        <v>20230630</v>
      </c>
      <c r="X287" s="0" t="n">
        <f aca="false">IF(ISBLANK(RawFinancials!X287),"",RawFinancials!X287)</f>
        <v>0.853047862093874</v>
      </c>
      <c r="Y287" s="0" t="n">
        <f aca="false">IF(ISBLANK(RawFinancials!Y287),"",RawFinancials!Y287)</f>
        <v>8.45</v>
      </c>
      <c r="Z287" s="0" t="str">
        <f aca="false">IF(ISBLANK(RawFinancials!Z287),"",RawFinancials!Z287)</f>
        <v>NH</v>
      </c>
      <c r="AA287" s="0" t="n">
        <f aca="false">RawFinancials!AA287</f>
        <v>1</v>
      </c>
      <c r="AB287" s="0" t="n">
        <f aca="false">RawFinancials!AB287</f>
        <v>1011</v>
      </c>
      <c r="AC287" s="0" t="n">
        <f aca="false">RawFinancials!AC287</f>
        <v>0.0411055147256136</v>
      </c>
      <c r="AD287" s="0" t="n">
        <f aca="false">IF(L287&gt;0,100*N287/L287,"")</f>
        <v>94.3555006367851</v>
      </c>
      <c r="AE287" s="0" t="n">
        <f aca="false">IF(B287&gt;0,100*F287/B287,"")</f>
        <v>10.1911182814236</v>
      </c>
      <c r="AF287" s="0" t="str">
        <f aca="false">RawFinancials!AE287</f>
        <v/>
      </c>
    </row>
    <row r="288" customFormat="false" ht="15" hidden="false" customHeight="false" outlineLevel="0" collapsed="false">
      <c r="A288" s="0" t="n">
        <f aca="false">IF(ISBLANK(RawFinancials!A288),"",RawFinancials!A288)</f>
        <v>288</v>
      </c>
      <c r="B288" s="0" t="n">
        <f aca="false">IF(ISBLANK(RawFinancials!B288),"",RawFinancials!B288)</f>
        <v>2835749</v>
      </c>
      <c r="C288" s="0" t="n">
        <f aca="false">IF(ISBLANK(RawFinancials!C288),"",RawFinancials!C288)</f>
        <v>18013</v>
      </c>
      <c r="D288" s="0" t="n">
        <f aca="false">IF(ISBLANK(RawFinancials!D288),"",RawFinancials!D288)</f>
        <v>2403310</v>
      </c>
      <c r="E288" s="0" t="n">
        <f aca="false">IF(ISBLANK(RawFinancials!E288),"",RawFinancials!E288)</f>
        <v>0.02</v>
      </c>
      <c r="F288" s="0" t="n">
        <f aca="false">IF(ISBLANK(RawFinancials!F288),"",RawFinancials!F288)</f>
        <v>211459</v>
      </c>
      <c r="G288" s="0" t="n">
        <f aca="false">IF(ISBLANK(RawFinancials!G288),"",RawFinancials!G288)</f>
        <v>7.45690115733092</v>
      </c>
      <c r="H288" s="0" t="str">
        <f aca="false">IF(ISBLANK(RawFinancials!H288),"",RawFinancials!H288)</f>
        <v>18013_20230630</v>
      </c>
      <c r="I288" s="0" t="n">
        <f aca="false">IF(ISBLANK(RawFinancials!I288),"",RawFinancials!I288)</f>
        <v>0.720314869129533</v>
      </c>
      <c r="J288" s="0" t="n">
        <f aca="false">IF(ISBLANK(RawFinancials!J288),"",RawFinancials!J288)</f>
        <v>108738</v>
      </c>
      <c r="K288" s="0" t="n">
        <f aca="false">IF(ISBLANK(RawFinancials!K288),"",RawFinancials!K288)</f>
        <v>25577</v>
      </c>
      <c r="L288" s="0" t="n">
        <f aca="false">IF(ISBLANK(RawFinancials!L288),"",RawFinancials!L288)</f>
        <v>2261511</v>
      </c>
      <c r="M288" s="0" t="n">
        <f aca="false">IF(ISBLANK(RawFinancials!M288),"",RawFinancials!M288)</f>
        <v>2245221</v>
      </c>
      <c r="N288" s="0" t="n">
        <f aca="false">IF(ISBLANK(RawFinancials!N288),"",RawFinancials!N288)</f>
        <v>2073740</v>
      </c>
      <c r="O288" s="0" t="n">
        <f aca="false">IF(ISBLANK(RawFinancials!O288),"",RawFinancials!O288)</f>
        <v>1133</v>
      </c>
      <c r="P288" s="0" t="str">
        <f aca="false">IF(ISBLANK(RawFinancials!P288),"",RawFinancials!P288)</f>
        <v>MASCOMA BANK</v>
      </c>
      <c r="Q288" s="0" t="n">
        <f aca="false">IF(ISBLANK(RawFinancials!Q288),"",RawFinancials!Q288)</f>
        <v>0.050939394059989</v>
      </c>
      <c r="R288" s="0" t="n">
        <f aca="false">IF(ISBLANK(RawFinancials!R288),"",RawFinancials!R288)</f>
        <v>2.83684674080354</v>
      </c>
      <c r="S288" s="0" t="n">
        <f aca="false">IF(ISBLANK(RawFinancials!S288),"",RawFinancials!S288)</f>
        <v>93</v>
      </c>
      <c r="T288" s="0" t="n">
        <f aca="false">IF(ISBLANK(RawFinancials!T288),"",RawFinancials!T288)</f>
        <v>3815</v>
      </c>
      <c r="U288" s="0" t="n">
        <f aca="false">IF(ISBLANK(RawFinancials!U288),"",RawFinancials!U288)</f>
        <v>19</v>
      </c>
      <c r="V288" s="0" t="n">
        <f aca="false">IF(ISBLANK(RawFinancials!V288),"",RawFinancials!V288)</f>
        <v>13.0579757124412</v>
      </c>
      <c r="W288" s="0" t="n">
        <f aca="false">IF(ISBLANK(RawFinancials!W288),"",RawFinancials!W288)</f>
        <v>20230630</v>
      </c>
      <c r="X288" s="0" t="n">
        <f aca="false">IF(ISBLANK(RawFinancials!X288),"",RawFinancials!X288)</f>
        <v>0.458533603033476</v>
      </c>
      <c r="Y288" s="0" t="n">
        <f aca="false">IF(ISBLANK(RawFinancials!Y288),"",RawFinancials!Y288)</f>
        <v>6.1</v>
      </c>
      <c r="Z288" s="0" t="str">
        <f aca="false">IF(ISBLANK(RawFinancials!Z288),"",RawFinancials!Z288)</f>
        <v>NH</v>
      </c>
      <c r="AA288" s="0" t="n">
        <f aca="false">RawFinancials!AA288</f>
        <v>1</v>
      </c>
      <c r="AB288" s="0" t="n">
        <f aca="false">RawFinancials!AB288</f>
        <v>1152</v>
      </c>
      <c r="AC288" s="0" t="n">
        <f aca="false">RawFinancials!AC288</f>
        <v>0.040624187824804</v>
      </c>
      <c r="AD288" s="0" t="n">
        <f aca="false">IF(L288&gt;0,100*N288/L288,"")</f>
        <v>91.6970998593418</v>
      </c>
      <c r="AE288" s="0" t="n">
        <f aca="false">IF(B288&gt;0,100*F288/B288,"")</f>
        <v>7.45690115733092</v>
      </c>
      <c r="AF288" s="0" t="str">
        <f aca="false">RawFinancials!AE288</f>
        <v/>
      </c>
    </row>
    <row r="289" customFormat="false" ht="15" hidden="false" customHeight="false" outlineLevel="0" collapsed="false">
      <c r="A289" s="0" t="n">
        <f aca="false">IF(ISBLANK(RawFinancials!A289),"",RawFinancials!A289)</f>
        <v>289</v>
      </c>
      <c r="B289" s="0" t="n">
        <f aca="false">IF(ISBLANK(RawFinancials!B289),"",RawFinancials!B289)</f>
        <v>385140</v>
      </c>
      <c r="C289" s="0" t="n">
        <f aca="false">IF(ISBLANK(RawFinancials!C289),"",RawFinancials!C289)</f>
        <v>18028</v>
      </c>
      <c r="D289" s="0" t="n">
        <f aca="false">IF(ISBLANK(RawFinancials!D289),"",RawFinancials!D289)</f>
        <v>318025</v>
      </c>
      <c r="E289" s="0" t="n">
        <f aca="false">IF(ISBLANK(RawFinancials!E289),"",RawFinancials!E289)</f>
        <v>0.13</v>
      </c>
      <c r="F289" s="0" t="n">
        <f aca="false">IF(ISBLANK(RawFinancials!F289),"",RawFinancials!F289)</f>
        <v>37896</v>
      </c>
      <c r="G289" s="0" t="n">
        <f aca="false">IF(ISBLANK(RawFinancials!G289),"",RawFinancials!G289)</f>
        <v>9.83953886898271</v>
      </c>
      <c r="H289" s="0" t="str">
        <f aca="false">IF(ISBLANK(RawFinancials!H289),"",RawFinancials!H289)</f>
        <v>18028_20230630</v>
      </c>
      <c r="I289" s="0" t="n">
        <f aca="false">IF(ISBLANK(RawFinancials!I289),"",RawFinancials!I289)</f>
        <v>0.946317161746904</v>
      </c>
      <c r="J289" s="0" t="n">
        <f aca="false">IF(ISBLANK(RawFinancials!J289),"",RawFinancials!J289)</f>
        <v>15285</v>
      </c>
      <c r="K289" s="0" t="n">
        <f aca="false">IF(ISBLANK(RawFinancials!K289),"",RawFinancials!K289)</f>
        <v>7701</v>
      </c>
      <c r="L289" s="0" t="n">
        <f aca="false">IF(ISBLANK(RawFinancials!L289),"",RawFinancials!L289)</f>
        <v>257736</v>
      </c>
      <c r="M289" s="0" t="n">
        <f aca="false">IF(ISBLANK(RawFinancials!M289),"",RawFinancials!M289)</f>
        <v>255297</v>
      </c>
      <c r="N289" s="0" t="n">
        <f aca="false">IF(ISBLANK(RawFinancials!N289),"",RawFinancials!N289)</f>
        <v>228527</v>
      </c>
      <c r="O289" s="0" t="n">
        <f aca="false">IF(ISBLANK(RawFinancials!O289),"",RawFinancials!O289)</f>
        <v>855</v>
      </c>
      <c r="P289" s="0" t="str">
        <f aca="false">IF(ISBLANK(RawFinancials!P289),"",RawFinancials!P289)</f>
        <v>SUGAR RIVER BANK</v>
      </c>
      <c r="Q289" s="0" t="n">
        <f aca="false">IF(ISBLANK(RawFinancials!Q289),"",RawFinancials!Q289)</f>
        <v>0.339494676723469</v>
      </c>
      <c r="R289" s="0" t="n">
        <f aca="false">IF(ISBLANK(RawFinancials!R289),"",RawFinancials!R289)</f>
        <v>3.49800968810121</v>
      </c>
      <c r="S289" s="0" t="n">
        <f aca="false">IF(ISBLANK(RawFinancials!S289),"",RawFinancials!S289)</f>
        <v>234</v>
      </c>
      <c r="T289" s="0" t="n">
        <f aca="false">IF(ISBLANK(RawFinancials!T289),"",RawFinancials!T289)</f>
        <v>417</v>
      </c>
      <c r="U289" s="0" t="n">
        <f aca="false">IF(ISBLANK(RawFinancials!U289),"",RawFinancials!U289)</f>
        <v>20</v>
      </c>
      <c r="V289" s="0" t="n">
        <f aca="false">IF(ISBLANK(RawFinancials!V289),"",RawFinancials!V289)</f>
        <v>0</v>
      </c>
      <c r="W289" s="0" t="n">
        <f aca="false">IF(ISBLANK(RawFinancials!W289),"",RawFinancials!W289)</f>
        <v>20230630</v>
      </c>
      <c r="X289" s="0" t="n">
        <f aca="false">IF(ISBLANK(RawFinancials!X289),"",RawFinancials!X289)</f>
        <v>0.575288643086549</v>
      </c>
      <c r="Y289" s="0" t="n">
        <f aca="false">IF(ISBLANK(RawFinancials!Y289),"",RawFinancials!Y289)</f>
        <v>5.94</v>
      </c>
      <c r="Z289" s="0" t="str">
        <f aca="false">IF(ISBLANK(RawFinancials!Z289),"",RawFinancials!Z289)</f>
        <v>NH</v>
      </c>
      <c r="AA289" s="0" t="n">
        <f aca="false">RawFinancials!AA289</f>
        <v>1</v>
      </c>
      <c r="AB289" s="0" t="n">
        <f aca="false">RawFinancials!AB289</f>
        <v>875</v>
      </c>
      <c r="AC289" s="0" t="n">
        <f aca="false">RawFinancials!AC289</f>
        <v>0.227190112686296</v>
      </c>
      <c r="AD289" s="0" t="n">
        <f aca="false">IF(L289&gt;0,100*N289/L289,"")</f>
        <v>88.6670857000962</v>
      </c>
      <c r="AE289" s="0" t="n">
        <f aca="false">IF(B289&gt;0,100*F289/B289,"")</f>
        <v>9.83953886898271</v>
      </c>
      <c r="AF289" s="0" t="str">
        <f aca="false">RawFinancials!AE289</f>
        <v>原始0：需核实适用/报告口径</v>
      </c>
    </row>
    <row r="290" customFormat="false" ht="15" hidden="false" customHeight="false" outlineLevel="0" collapsed="false">
      <c r="A290" s="0" t="n">
        <f aca="false">IF(ISBLANK(RawFinancials!A290),"",RawFinancials!A290)</f>
        <v>290</v>
      </c>
      <c r="B290" s="0" t="n">
        <f aca="false">IF(ISBLANK(RawFinancials!B290),"",RawFinancials!B290)</f>
        <v>736677</v>
      </c>
      <c r="C290" s="0" t="n">
        <f aca="false">IF(ISBLANK(RawFinancials!C290),"",RawFinancials!C290)</f>
        <v>18030</v>
      </c>
      <c r="D290" s="0" t="n">
        <f aca="false">IF(ISBLANK(RawFinancials!D290),"",RawFinancials!D290)</f>
        <v>664243</v>
      </c>
      <c r="E290" s="0" t="n">
        <f aca="false">IF(ISBLANK(RawFinancials!E290),"",RawFinancials!E290)</f>
        <v>0.13</v>
      </c>
      <c r="F290" s="0" t="n">
        <f aca="false">IF(ISBLANK(RawFinancials!F290),"",RawFinancials!F290)</f>
        <v>44564</v>
      </c>
      <c r="G290" s="0" t="n">
        <f aca="false">IF(ISBLANK(RawFinancials!G290),"",RawFinancials!G290)</f>
        <v>6.04932690989402</v>
      </c>
      <c r="H290" s="0" t="str">
        <f aca="false">IF(ISBLANK(RawFinancials!H290),"",RawFinancials!H290)</f>
        <v>18030_20230630</v>
      </c>
      <c r="I290" s="0" t="n">
        <f aca="false">IF(ISBLANK(RawFinancials!I290),"",RawFinancials!I290)</f>
        <v>0.991600361201506</v>
      </c>
      <c r="J290" s="0" t="n">
        <f aca="false">IF(ISBLANK(RawFinancials!J290),"",RawFinancials!J290)</f>
        <v>41828</v>
      </c>
      <c r="K290" s="0" t="n">
        <f aca="false">IF(ISBLANK(RawFinancials!K290),"",RawFinancials!K290)</f>
        <v>95640</v>
      </c>
      <c r="L290" s="0" t="n">
        <f aca="false">IF(ISBLANK(RawFinancials!L290),"",RawFinancials!L290)</f>
        <v>586930</v>
      </c>
      <c r="M290" s="0" t="n">
        <f aca="false">IF(ISBLANK(RawFinancials!M290),"",RawFinancials!M290)</f>
        <v>581110</v>
      </c>
      <c r="N290" s="0" t="n">
        <f aca="false">IF(ISBLANK(RawFinancials!N290),"",RawFinancials!N290)</f>
        <v>449340</v>
      </c>
      <c r="O290" s="0" t="n">
        <f aca="false">IF(ISBLANK(RawFinancials!O290),"",RawFinancials!O290)</f>
        <v>490</v>
      </c>
      <c r="P290" s="0" t="str">
        <f aca="false">IF(ISBLANK(RawFinancials!P290),"",RawFinancials!P290)</f>
        <v>SAVINGS BANK OF WALPOLE</v>
      </c>
      <c r="Q290" s="0" t="n">
        <f aca="false">IF(ISBLANK(RawFinancials!Q290),"",RawFinancials!Q290)</f>
        <v>0.0834852537781336</v>
      </c>
      <c r="R290" s="0" t="n">
        <f aca="false">IF(ISBLANK(RawFinancials!R290),"",RawFinancials!R290)</f>
        <v>3.48465163748127</v>
      </c>
      <c r="S290" s="0" t="n">
        <f aca="false">IF(ISBLANK(RawFinancials!S290),"",RawFinancials!S290)</f>
        <v>-4</v>
      </c>
      <c r="T290" s="0" t="n">
        <f aca="false">IF(ISBLANK(RawFinancials!T290),"",RawFinancials!T290)</f>
        <v>161</v>
      </c>
      <c r="U290" s="0" t="n">
        <f aca="false">IF(ISBLANK(RawFinancials!U290),"",RawFinancials!U290)</f>
        <v>0</v>
      </c>
      <c r="V290" s="0" t="n">
        <f aca="false">IF(ISBLANK(RawFinancials!V290),"",RawFinancials!V290)</f>
        <v>12.5009957508155</v>
      </c>
      <c r="W290" s="0" t="n">
        <f aca="false">IF(ISBLANK(RawFinancials!W290),"",RawFinancials!W290)</f>
        <v>20230630</v>
      </c>
      <c r="X290" s="0" t="n">
        <f aca="false">IF(ISBLANK(RawFinancials!X290),"",RawFinancials!X290)</f>
        <v>0.584769402386572</v>
      </c>
      <c r="Y290" s="0" t="n">
        <f aca="false">IF(ISBLANK(RawFinancials!Y290),"",RawFinancials!Y290)</f>
        <v>9.53</v>
      </c>
      <c r="Z290" s="0" t="str">
        <f aca="false">IF(ISBLANK(RawFinancials!Z290),"",RawFinancials!Z290)</f>
        <v>NH</v>
      </c>
      <c r="AA290" s="0" t="n">
        <f aca="false">RawFinancials!AA290</f>
        <v>1</v>
      </c>
      <c r="AB290" s="0" t="n">
        <f aca="false">RawFinancials!AB290</f>
        <v>490</v>
      </c>
      <c r="AC290" s="0" t="n">
        <f aca="false">RawFinancials!AC290</f>
        <v>0.0665149040895806</v>
      </c>
      <c r="AD290" s="0" t="n">
        <f aca="false">IF(L290&gt;0,100*N290/L290,"")</f>
        <v>76.5576814952379</v>
      </c>
      <c r="AE290" s="0" t="n">
        <f aca="false">IF(B290&gt;0,100*F290/B290,"")</f>
        <v>6.04932690989402</v>
      </c>
      <c r="AF290" s="0" t="str">
        <f aca="false">RawFinancials!AE290</f>
        <v/>
      </c>
    </row>
    <row r="291" customFormat="false" ht="15" hidden="false" customHeight="false" outlineLevel="0" collapsed="false">
      <c r="A291" s="0" t="n">
        <f aca="false">IF(ISBLANK(RawFinancials!A291),"",RawFinancials!A291)</f>
        <v>291</v>
      </c>
      <c r="B291" s="0" t="n">
        <f aca="false">IF(ISBLANK(RawFinancials!B291),"",RawFinancials!B291)</f>
        <v>686908</v>
      </c>
      <c r="C291" s="0" t="n">
        <f aca="false">IF(ISBLANK(RawFinancials!C291),"",RawFinancials!C291)</f>
        <v>18031</v>
      </c>
      <c r="D291" s="0" t="n">
        <f aca="false">IF(ISBLANK(RawFinancials!D291),"",RawFinancials!D291)</f>
        <v>578969</v>
      </c>
      <c r="E291" s="0" t="n">
        <f aca="false">IF(ISBLANK(RawFinancials!E291),"",RawFinancials!E291)</f>
        <v>0.01</v>
      </c>
      <c r="F291" s="0" t="n">
        <f aca="false">IF(ISBLANK(RawFinancials!F291),"",RawFinancials!F291)</f>
        <v>36036</v>
      </c>
      <c r="G291" s="0" t="n">
        <f aca="false">IF(ISBLANK(RawFinancials!G291),"",RawFinancials!G291)</f>
        <v>5.24611738398738</v>
      </c>
      <c r="H291" s="0" t="str">
        <f aca="false">IF(ISBLANK(RawFinancials!H291),"",RawFinancials!H291)</f>
        <v>18031_20230630</v>
      </c>
      <c r="I291" s="0" t="n">
        <f aca="false">IF(ISBLANK(RawFinancials!I291),"",RawFinancials!I291)</f>
        <v>0.854667035967238</v>
      </c>
      <c r="J291" s="0" t="n">
        <f aca="false">IF(ISBLANK(RawFinancials!J291),"",RawFinancials!J291)</f>
        <v>28192</v>
      </c>
      <c r="K291" s="0" t="n">
        <f aca="false">IF(ISBLANK(RawFinancials!K291),"",RawFinancials!K291)</f>
        <v>10462</v>
      </c>
      <c r="L291" s="0" t="n">
        <f aca="false">IF(ISBLANK(RawFinancials!L291),"",RawFinancials!L291)</f>
        <v>480187</v>
      </c>
      <c r="M291" s="0" t="n">
        <f aca="false">IF(ISBLANK(RawFinancials!M291),"",RawFinancials!M291)</f>
        <v>476083</v>
      </c>
      <c r="N291" s="0" t="n">
        <f aca="false">IF(ISBLANK(RawFinancials!N291),"",RawFinancials!N291)</f>
        <v>433545</v>
      </c>
      <c r="O291" s="0" t="n">
        <f aca="false">IF(ISBLANK(RawFinancials!O291),"",RawFinancials!O291)</f>
        <v>1022</v>
      </c>
      <c r="P291" s="0" t="str">
        <f aca="false">IF(ISBLANK(RawFinancials!P291),"",RawFinancials!P291)</f>
        <v>WOODSVILLE GUARANTY SAVINGS BANK</v>
      </c>
      <c r="Q291" s="0" t="n">
        <f aca="false">IF(ISBLANK(RawFinancials!Q291),"",RawFinancials!Q291)</f>
        <v>0.212833750184824</v>
      </c>
      <c r="R291" s="0" t="n">
        <f aca="false">IF(ISBLANK(RawFinancials!R291),"",RawFinancials!R291)</f>
        <v>2.74432283882166</v>
      </c>
      <c r="S291" s="0" t="n">
        <f aca="false">IF(ISBLANK(RawFinancials!S291),"",RawFinancials!S291)</f>
        <v>-1</v>
      </c>
      <c r="T291" s="0" t="n">
        <f aca="false">IF(ISBLANK(RawFinancials!T291),"",RawFinancials!T291)</f>
        <v>1125</v>
      </c>
      <c r="U291" s="0" t="n">
        <f aca="false">IF(ISBLANK(RawFinancials!U291),"",RawFinancials!U291)</f>
        <v>0</v>
      </c>
      <c r="V291" s="0" t="n">
        <f aca="false">IF(ISBLANK(RawFinancials!V291),"",RawFinancials!V291)</f>
        <v>16.120512261208</v>
      </c>
      <c r="W291" s="0" t="n">
        <f aca="false">IF(ISBLANK(RawFinancials!W291),"",RawFinancials!W291)</f>
        <v>20230630</v>
      </c>
      <c r="X291" s="0" t="n">
        <f aca="false">IF(ISBLANK(RawFinancials!X291),"",RawFinancials!X291)</f>
        <v>0.289913659428378</v>
      </c>
      <c r="Y291" s="0" t="n">
        <f aca="false">IF(ISBLANK(RawFinancials!Y291),"",RawFinancials!Y291)</f>
        <v>5.29</v>
      </c>
      <c r="Z291" s="0" t="str">
        <f aca="false">IF(ISBLANK(RawFinancials!Z291),"",RawFinancials!Z291)</f>
        <v>NH</v>
      </c>
      <c r="AA291" s="0" t="n">
        <f aca="false">RawFinancials!AA291</f>
        <v>1</v>
      </c>
      <c r="AB291" s="0" t="n">
        <f aca="false">RawFinancials!AB291</f>
        <v>1022</v>
      </c>
      <c r="AC291" s="0" t="n">
        <f aca="false">RawFinancials!AC291</f>
        <v>0.148782660851235</v>
      </c>
      <c r="AD291" s="0" t="n">
        <f aca="false">IF(L291&gt;0,100*N291/L291,"")</f>
        <v>90.2867008061443</v>
      </c>
      <c r="AE291" s="0" t="n">
        <f aca="false">IF(B291&gt;0,100*F291/B291,"")</f>
        <v>5.24611738398738</v>
      </c>
      <c r="AF291" s="0" t="str">
        <f aca="false">RawFinancials!AE291</f>
        <v/>
      </c>
    </row>
    <row r="292" customFormat="false" ht="15" hidden="false" customHeight="false" outlineLevel="0" collapsed="false">
      <c r="A292" s="0" t="n">
        <f aca="false">IF(ISBLANK(RawFinancials!A292),"",RawFinancials!A292)</f>
        <v>292</v>
      </c>
      <c r="B292" s="0" t="n">
        <f aca="false">IF(ISBLANK(RawFinancials!B292),"",RawFinancials!B292)</f>
        <v>548920</v>
      </c>
      <c r="C292" s="0" t="n">
        <f aca="false">IF(ISBLANK(RawFinancials!C292),"",RawFinancials!C292)</f>
        <v>18038</v>
      </c>
      <c r="D292" s="0" t="n">
        <f aca="false">IF(ISBLANK(RawFinancials!D292),"",RawFinancials!D292)</f>
        <v>429568</v>
      </c>
      <c r="E292" s="0" t="n">
        <f aca="false">IF(ISBLANK(RawFinancials!E292),"",RawFinancials!E292)</f>
        <v>0.06</v>
      </c>
      <c r="F292" s="0" t="n">
        <f aca="false">IF(ISBLANK(RawFinancials!F292),"",RawFinancials!F292)</f>
        <v>65364</v>
      </c>
      <c r="G292" s="0" t="n">
        <f aca="false">IF(ISBLANK(RawFinancials!G292),"",RawFinancials!G292)</f>
        <v>11.9077461196531</v>
      </c>
      <c r="H292" s="0" t="str">
        <f aca="false">IF(ISBLANK(RawFinancials!H292),"",RawFinancials!H292)</f>
        <v>18038_20230630</v>
      </c>
      <c r="I292" s="0" t="n">
        <f aca="false">IF(ISBLANK(RawFinancials!I292),"",RawFinancials!I292)</f>
        <v>0.988074065079558</v>
      </c>
      <c r="J292" s="0" t="n">
        <f aca="false">IF(ISBLANK(RawFinancials!J292),"",RawFinancials!J292)</f>
        <v>16670</v>
      </c>
      <c r="K292" s="0" t="n">
        <f aca="false">IF(ISBLANK(RawFinancials!K292),"",RawFinancials!K292)</f>
        <v>3651</v>
      </c>
      <c r="L292" s="0" t="n">
        <f aca="false">IF(ISBLANK(RawFinancials!L292),"",RawFinancials!L292)</f>
        <v>420009</v>
      </c>
      <c r="M292" s="0" t="n">
        <f aca="false">IF(ISBLANK(RawFinancials!M292),"",RawFinancials!M292)</f>
        <v>415859</v>
      </c>
      <c r="N292" s="0" t="n">
        <f aca="false">IF(ISBLANK(RawFinancials!N292),"",RawFinancials!N292)</f>
        <v>399161</v>
      </c>
      <c r="O292" s="0" t="n">
        <f aca="false">IF(ISBLANK(RawFinancials!O292),"",RawFinancials!O292)</f>
        <v>2268</v>
      </c>
      <c r="P292" s="0" t="str">
        <f aca="false">IF(ISBLANK(RawFinancials!P292),"",RawFinancials!P292)</f>
        <v>CLAREMONT SAVINGS BANK</v>
      </c>
      <c r="Q292" s="0" t="n">
        <f aca="false">IF(ISBLANK(RawFinancials!Q292),"",RawFinancials!Q292)</f>
        <v>0.539988428819382</v>
      </c>
      <c r="R292" s="0" t="n">
        <f aca="false">IF(ISBLANK(RawFinancials!R292),"",RawFinancials!R292)</f>
        <v>2.59263990566501</v>
      </c>
      <c r="S292" s="0" t="n">
        <f aca="false">IF(ISBLANK(RawFinancials!S292),"",RawFinancials!S292)</f>
        <v>-9</v>
      </c>
      <c r="T292" s="0" t="n">
        <f aca="false">IF(ISBLANK(RawFinancials!T292),"",RawFinancials!T292)</f>
        <v>765</v>
      </c>
      <c r="U292" s="0" t="n">
        <f aca="false">IF(ISBLANK(RawFinancials!U292),"",RawFinancials!U292)</f>
        <v>0</v>
      </c>
      <c r="V292" s="0" t="n">
        <f aca="false">IF(ISBLANK(RawFinancials!V292),"",RawFinancials!V292)</f>
        <v>0</v>
      </c>
      <c r="W292" s="0" t="n">
        <f aca="false">IF(ISBLANK(RawFinancials!W292),"",RawFinancials!W292)</f>
        <v>20230630</v>
      </c>
      <c r="X292" s="0" t="n">
        <f aca="false">IF(ISBLANK(RawFinancials!X292),"",RawFinancials!X292)</f>
        <v>0.388703168329964</v>
      </c>
      <c r="Y292" s="0" t="n">
        <f aca="false">IF(ISBLANK(RawFinancials!Y292),"",RawFinancials!Y292)</f>
        <v>3.25</v>
      </c>
      <c r="Z292" s="0" t="str">
        <f aca="false">IF(ISBLANK(RawFinancials!Z292),"",RawFinancials!Z292)</f>
        <v>NH</v>
      </c>
      <c r="AA292" s="0" t="n">
        <f aca="false">RawFinancials!AA292</f>
        <v>1</v>
      </c>
      <c r="AB292" s="0" t="n">
        <f aca="false">RawFinancials!AB292</f>
        <v>2268</v>
      </c>
      <c r="AC292" s="0" t="n">
        <f aca="false">RawFinancials!AC292</f>
        <v>0.413174961743059</v>
      </c>
      <c r="AD292" s="0" t="n">
        <f aca="false">IF(L292&gt;0,100*N292/L292,"")</f>
        <v>95.0362968412582</v>
      </c>
      <c r="AE292" s="0" t="n">
        <f aca="false">IF(B292&gt;0,100*F292/B292,"")</f>
        <v>11.9077461196531</v>
      </c>
      <c r="AF292" s="0" t="str">
        <f aca="false">RawFinancials!AE292</f>
        <v>原始0：需核实适用/报告口径</v>
      </c>
    </row>
    <row r="293" customFormat="false" ht="15" hidden="false" customHeight="false" outlineLevel="0" collapsed="false">
      <c r="A293" s="0" t="n">
        <f aca="false">IF(ISBLANK(RawFinancials!A293),"",RawFinancials!A293)</f>
        <v>293</v>
      </c>
      <c r="B293" s="0" t="n">
        <f aca="false">IF(ISBLANK(RawFinancials!B293),"",RawFinancials!B293)</f>
        <v>7459345</v>
      </c>
      <c r="C293" s="0" t="n">
        <f aca="false">IF(ISBLANK(RawFinancials!C293),"",RawFinancials!C293)</f>
        <v>18408</v>
      </c>
      <c r="D293" s="0" t="n">
        <f aca="false">IF(ISBLANK(RawFinancials!D293),"",RawFinancials!D293)</f>
        <v>5594077</v>
      </c>
      <c r="E293" s="0" t="n">
        <f aca="false">IF(ISBLANK(RawFinancials!E293),"",RawFinancials!E293)</f>
        <v>0.07</v>
      </c>
      <c r="F293" s="0" t="n">
        <f aca="false">IF(ISBLANK(RawFinancials!F293),"",RawFinancials!F293)</f>
        <v>367424</v>
      </c>
      <c r="G293" s="0" t="n">
        <f aca="false">IF(ISBLANK(RawFinancials!G293),"",RawFinancials!G293)</f>
        <v>4.92568717494633</v>
      </c>
      <c r="H293" s="0" t="str">
        <f aca="false">IF(ISBLANK(RawFinancials!H293),"",RawFinancials!H293)</f>
        <v>18408_20230630</v>
      </c>
      <c r="I293" s="0" t="n">
        <f aca="false">IF(ISBLANK(RawFinancials!I293),"",RawFinancials!I293)</f>
        <v>0.797373279764637</v>
      </c>
      <c r="J293" s="0" t="n">
        <f aca="false">IF(ISBLANK(RawFinancials!J293),"",RawFinancials!J293)</f>
        <v>309355</v>
      </c>
      <c r="K293" s="0" t="n">
        <f aca="false">IF(ISBLANK(RawFinancials!K293),"",RawFinancials!K293)</f>
        <v>32242</v>
      </c>
      <c r="L293" s="0" t="n">
        <f aca="false">IF(ISBLANK(RawFinancials!L293),"",RawFinancials!L293)</f>
        <v>4774928</v>
      </c>
      <c r="M293" s="0" t="n">
        <f aca="false">IF(ISBLANK(RawFinancials!M293),"",RawFinancials!M293)</f>
        <v>4736854</v>
      </c>
      <c r="N293" s="0" t="n">
        <f aca="false">IF(ISBLANK(RawFinancials!N293),"",RawFinancials!N293)</f>
        <v>4349363</v>
      </c>
      <c r="O293" s="0" t="n">
        <f aca="false">IF(ISBLANK(RawFinancials!O293),"",RawFinancials!O293)</f>
        <v>3474</v>
      </c>
      <c r="P293" s="0" t="str">
        <f aca="false">IF(ISBLANK(RawFinancials!P293),"",RawFinancials!P293)</f>
        <v>BANGOR SAVINGS BANK</v>
      </c>
      <c r="Q293" s="0" t="n">
        <f aca="false">IF(ISBLANK(RawFinancials!Q293),"",RawFinancials!Q293)</f>
        <v>0.0727550237406721</v>
      </c>
      <c r="R293" s="0" t="n">
        <f aca="false">IF(ISBLANK(RawFinancials!R293),"",RawFinancials!R293)</f>
        <v>2.12159952430504</v>
      </c>
      <c r="S293" s="0" t="n">
        <f aca="false">IF(ISBLANK(RawFinancials!S293),"",RawFinancials!S293)</f>
        <v>1521</v>
      </c>
      <c r="T293" s="0" t="n">
        <f aca="false">IF(ISBLANK(RawFinancials!T293),"",RawFinancials!T293)</f>
        <v>3273</v>
      </c>
      <c r="U293" s="0" t="n">
        <f aca="false">IF(ISBLANK(RawFinancials!U293),"",RawFinancials!U293)</f>
        <v>0</v>
      </c>
      <c r="V293" s="0" t="n">
        <f aca="false">IF(ISBLANK(RawFinancials!V293),"",RawFinancials!V293)</f>
        <v>11.6689079054605</v>
      </c>
      <c r="W293" s="0" t="n">
        <f aca="false">IF(ISBLANK(RawFinancials!W293),"",RawFinancials!W293)</f>
        <v>20230630</v>
      </c>
      <c r="X293" s="0" t="n">
        <f aca="false">IF(ISBLANK(RawFinancials!X293),"",RawFinancials!X293)</f>
        <v>0.0746320286304321</v>
      </c>
      <c r="Y293" s="0" t="n">
        <f aca="false">IF(ISBLANK(RawFinancials!Y293),"",RawFinancials!Y293)</f>
        <v>1.51</v>
      </c>
      <c r="Z293" s="0" t="str">
        <f aca="false">IF(ISBLANK(RawFinancials!Z293),"",RawFinancials!Z293)</f>
        <v>ME</v>
      </c>
      <c r="AA293" s="0" t="n">
        <f aca="false">RawFinancials!AA293</f>
        <v>1</v>
      </c>
      <c r="AB293" s="0" t="n">
        <f aca="false">RawFinancials!AB293</f>
        <v>3474</v>
      </c>
      <c r="AC293" s="0" t="n">
        <f aca="false">RawFinancials!AC293</f>
        <v>0.0465724537476146</v>
      </c>
      <c r="AD293" s="0" t="n">
        <f aca="false">IF(L293&gt;0,100*N293/L293,"")</f>
        <v>91.0875095917677</v>
      </c>
      <c r="AE293" s="0" t="n">
        <f aca="false">IF(B293&gt;0,100*F293/B293,"")</f>
        <v>4.92568717494633</v>
      </c>
      <c r="AF293" s="0" t="str">
        <f aca="false">RawFinancials!AE293</f>
        <v/>
      </c>
    </row>
    <row r="294" customFormat="false" ht="15" hidden="false" customHeight="false" outlineLevel="0" collapsed="false">
      <c r="A294" s="0" t="n">
        <f aca="false">IF(ISBLANK(RawFinancials!A294),"",RawFinancials!A294)</f>
        <v>294</v>
      </c>
      <c r="B294" s="0" t="n">
        <f aca="false">IF(ISBLANK(RawFinancials!B294),"",RawFinancials!B294)</f>
        <v>2396062</v>
      </c>
      <c r="C294" s="0" t="n">
        <f aca="false">IF(ISBLANK(RawFinancials!C294),"",RawFinancials!C294)</f>
        <v>19531</v>
      </c>
      <c r="D294" s="0" t="n">
        <f aca="false">IF(ISBLANK(RawFinancials!D294),"",RawFinancials!D294)</f>
        <v>1963859</v>
      </c>
      <c r="E294" s="0" t="n">
        <f aca="false">IF(ISBLANK(RawFinancials!E294),"",RawFinancials!E294)</f>
        <v>0</v>
      </c>
      <c r="F294" s="0" t="n">
        <f aca="false">IF(ISBLANK(RawFinancials!F294),"",RawFinancials!F294)</f>
        <v>235363</v>
      </c>
      <c r="G294" s="0" t="n">
        <f aca="false">IF(ISBLANK(RawFinancials!G294),"",RawFinancials!G294)</f>
        <v>9.82290942387968</v>
      </c>
      <c r="H294" s="0" t="str">
        <f aca="false">IF(ISBLANK(RawFinancials!H294),"",RawFinancials!H294)</f>
        <v>19531_20230630</v>
      </c>
      <c r="I294" s="0" t="n">
        <f aca="false">IF(ISBLANK(RawFinancials!I294),"",RawFinancials!I294)</f>
        <v>1.16162492034352</v>
      </c>
      <c r="J294" s="0" t="n">
        <f aca="false">IF(ISBLANK(RawFinancials!J294),"",RawFinancials!J294)</f>
        <v>238802</v>
      </c>
      <c r="K294" s="0" t="n">
        <f aca="false">IF(ISBLANK(RawFinancials!K294),"",RawFinancials!K294)</f>
        <v>15221</v>
      </c>
      <c r="L294" s="0" t="n">
        <f aca="false">IF(ISBLANK(RawFinancials!L294),"",RawFinancials!L294)</f>
        <v>1948994</v>
      </c>
      <c r="M294" s="0" t="n">
        <f aca="false">IF(ISBLANK(RawFinancials!M294),"",RawFinancials!M294)</f>
        <v>1926354</v>
      </c>
      <c r="N294" s="0" t="n">
        <f aca="false">IF(ISBLANK(RawFinancials!N294),"",RawFinancials!N294)</f>
        <v>1592985</v>
      </c>
      <c r="O294" s="0" t="n">
        <f aca="false">IF(ISBLANK(RawFinancials!O294),"",RawFinancials!O294)</f>
        <v>11853</v>
      </c>
      <c r="P294" s="0" t="str">
        <f aca="false">IF(ISBLANK(RawFinancials!P294),"",RawFinancials!P294)</f>
        <v>MACHIAS SAVINGS BANK</v>
      </c>
      <c r="Q294" s="0" t="n">
        <f aca="false">IF(ISBLANK(RawFinancials!Q294),"",RawFinancials!Q294)</f>
        <v>0.611494955859279</v>
      </c>
      <c r="R294" s="0" t="n">
        <f aca="false">IF(ISBLANK(RawFinancials!R294),"",RawFinancials!R294)</f>
        <v>2.73756903103094</v>
      </c>
      <c r="S294" s="0" t="n">
        <f aca="false">IF(ISBLANK(RawFinancials!S294),"",RawFinancials!S294)</f>
        <v>1077</v>
      </c>
      <c r="T294" s="0" t="n">
        <f aca="false">IF(ISBLANK(RawFinancials!T294),"",RawFinancials!T294)</f>
        <v>2559</v>
      </c>
      <c r="U294" s="0" t="n">
        <f aca="false">IF(ISBLANK(RawFinancials!U294),"",RawFinancials!U294)</f>
        <v>65</v>
      </c>
      <c r="V294" s="0" t="n">
        <f aca="false">IF(ISBLANK(RawFinancials!V294),"",RawFinancials!V294)</f>
        <v>14.3314513958643</v>
      </c>
      <c r="W294" s="0" t="n">
        <f aca="false">IF(ISBLANK(RawFinancials!W294),"",RawFinancials!W294)</f>
        <v>20230630</v>
      </c>
      <c r="X294" s="0" t="n">
        <f aca="false">IF(ISBLANK(RawFinancials!X294),"",RawFinancials!X294)</f>
        <v>0.462742823520228</v>
      </c>
      <c r="Y294" s="0" t="n">
        <f aca="false">IF(ISBLANK(RawFinancials!Y294),"",RawFinancials!Y294)</f>
        <v>4.8</v>
      </c>
      <c r="Z294" s="0" t="str">
        <f aca="false">IF(ISBLANK(RawFinancials!Z294),"",RawFinancials!Z294)</f>
        <v>ME</v>
      </c>
      <c r="AA294" s="0" t="n">
        <f aca="false">RawFinancials!AA294</f>
        <v>1</v>
      </c>
      <c r="AB294" s="0" t="n">
        <f aca="false">RawFinancials!AB294</f>
        <v>11918</v>
      </c>
      <c r="AC294" s="0" t="n">
        <f aca="false">RawFinancials!AC294</f>
        <v>0.497399482984998</v>
      </c>
      <c r="AD294" s="0" t="n">
        <f aca="false">IF(L294&gt;0,100*N294/L294,"")</f>
        <v>81.7337046702042</v>
      </c>
      <c r="AE294" s="0" t="n">
        <f aca="false">IF(B294&gt;0,100*F294/B294,"")</f>
        <v>9.82290942387968</v>
      </c>
      <c r="AF294" s="0" t="str">
        <f aca="false">RawFinancials!AE294</f>
        <v/>
      </c>
    </row>
    <row r="295" customFormat="false" ht="15" hidden="false" customHeight="false" outlineLevel="0" collapsed="false">
      <c r="A295" s="0" t="n">
        <f aca="false">IF(ISBLANK(RawFinancials!A295),"",RawFinancials!A295)</f>
        <v>295</v>
      </c>
      <c r="B295" s="0" t="n">
        <f aca="false">IF(ISBLANK(RawFinancials!B295),"",RawFinancials!B295)</f>
        <v>792753</v>
      </c>
      <c r="C295" s="0" t="n">
        <f aca="false">IF(ISBLANK(RawFinancials!C295),"",RawFinancials!C295)</f>
        <v>19532</v>
      </c>
      <c r="D295" s="0" t="n">
        <f aca="false">IF(ISBLANK(RawFinancials!D295),"",RawFinancials!D295)</f>
        <v>647966</v>
      </c>
      <c r="E295" s="0" t="n">
        <f aca="false">IF(ISBLANK(RawFinancials!E295),"",RawFinancials!E295)</f>
        <v>0</v>
      </c>
      <c r="F295" s="0" t="n">
        <f aca="false">IF(ISBLANK(RawFinancials!F295),"",RawFinancials!F295)</f>
        <v>91641</v>
      </c>
      <c r="G295" s="0" t="n">
        <f aca="false">IF(ISBLANK(RawFinancials!G295),"",RawFinancials!G295)</f>
        <v>11.5598427252877</v>
      </c>
      <c r="H295" s="0" t="str">
        <f aca="false">IF(ISBLANK(RawFinancials!H295),"",RawFinancials!H295)</f>
        <v>19532_20230630</v>
      </c>
      <c r="I295" s="0" t="n">
        <f aca="false">IF(ISBLANK(RawFinancials!I295),"",RawFinancials!I295)</f>
        <v>1.01916851433388</v>
      </c>
      <c r="J295" s="0" t="n">
        <f aca="false">IF(ISBLANK(RawFinancials!J295),"",RawFinancials!J295)</f>
        <v>38262</v>
      </c>
      <c r="K295" s="0" t="n">
        <f aca="false">IF(ISBLANK(RawFinancials!K295),"",RawFinancials!K295)</f>
        <v>49373</v>
      </c>
      <c r="L295" s="0" t="n">
        <f aca="false">IF(ISBLANK(RawFinancials!L295),"",RawFinancials!L295)</f>
        <v>564676</v>
      </c>
      <c r="M295" s="0" t="n">
        <f aca="false">IF(ISBLANK(RawFinancials!M295),"",RawFinancials!M295)</f>
        <v>558921</v>
      </c>
      <c r="N295" s="0" t="n">
        <f aca="false">IF(ISBLANK(RawFinancials!N295),"",RawFinancials!N295)</f>
        <v>466819</v>
      </c>
      <c r="O295" s="0" t="n">
        <f aca="false">IF(ISBLANK(RawFinancials!O295),"",RawFinancials!O295)</f>
        <v>876</v>
      </c>
      <c r="P295" s="0" t="str">
        <f aca="false">IF(ISBLANK(RawFinancials!P295),"",RawFinancials!P295)</f>
        <v>SKOWHEGAN SAVINGS BANK</v>
      </c>
      <c r="Q295" s="0" t="n">
        <f aca="false">IF(ISBLANK(RawFinancials!Q295),"",RawFinancials!Q295)</f>
        <v>0.157612506995162</v>
      </c>
      <c r="R295" s="0" t="n">
        <f aca="false">IF(ISBLANK(RawFinancials!R295),"",RawFinancials!R295)</f>
        <v>3.4494049372331</v>
      </c>
      <c r="S295" s="0" t="n">
        <f aca="false">IF(ISBLANK(RawFinancials!S295),"",RawFinancials!S295)</f>
        <v>30</v>
      </c>
      <c r="T295" s="0" t="n">
        <f aca="false">IF(ISBLANK(RawFinancials!T295),"",RawFinancials!T295)</f>
        <v>999</v>
      </c>
      <c r="U295" s="0" t="n">
        <f aca="false">IF(ISBLANK(RawFinancials!U295),"",RawFinancials!U295)</f>
        <v>14</v>
      </c>
      <c r="V295" s="0" t="n">
        <f aca="false">IF(ISBLANK(RawFinancials!V295),"",RawFinancials!V295)</f>
        <v>20.7353954790339</v>
      </c>
      <c r="W295" s="0" t="n">
        <f aca="false">IF(ISBLANK(RawFinancials!W295),"",RawFinancials!W295)</f>
        <v>20230630</v>
      </c>
      <c r="X295" s="0" t="n">
        <f aca="false">IF(ISBLANK(RawFinancials!X295),"",RawFinancials!X295)</f>
        <v>0.820049398822041</v>
      </c>
      <c r="Y295" s="0" t="n">
        <f aca="false">IF(ISBLANK(RawFinancials!Y295),"",RawFinancials!Y295)</f>
        <v>7.11</v>
      </c>
      <c r="Z295" s="0" t="str">
        <f aca="false">IF(ISBLANK(RawFinancials!Z295),"",RawFinancials!Z295)</f>
        <v>ME</v>
      </c>
      <c r="AA295" s="0" t="n">
        <f aca="false">RawFinancials!AA295</f>
        <v>1</v>
      </c>
      <c r="AB295" s="0" t="n">
        <f aca="false">RawFinancials!AB295</f>
        <v>890</v>
      </c>
      <c r="AC295" s="0" t="n">
        <f aca="false">RawFinancials!AC295</f>
        <v>0.11226699867424</v>
      </c>
      <c r="AD295" s="0" t="n">
        <f aca="false">IF(L295&gt;0,100*N295/L295,"")</f>
        <v>82.6702392168252</v>
      </c>
      <c r="AE295" s="0" t="n">
        <f aca="false">IF(B295&gt;0,100*F295/B295,"")</f>
        <v>11.5598427252877</v>
      </c>
      <c r="AF295" s="0" t="str">
        <f aca="false">RawFinancials!AE295</f>
        <v/>
      </c>
    </row>
    <row r="296" customFormat="false" ht="15" hidden="false" customHeight="false" outlineLevel="0" collapsed="false">
      <c r="A296" s="0" t="n">
        <f aca="false">IF(ISBLANK(RawFinancials!A296),"",RawFinancials!A296)</f>
        <v>296</v>
      </c>
      <c r="B296" s="0" t="n">
        <f aca="false">IF(ISBLANK(RawFinancials!B296),"",RawFinancials!B296)</f>
        <v>2869938</v>
      </c>
      <c r="C296" s="0" t="n">
        <f aca="false">IF(ISBLANK(RawFinancials!C296),"",RawFinancials!C296)</f>
        <v>19690</v>
      </c>
      <c r="D296" s="0" t="n">
        <f aca="false">IF(ISBLANK(RawFinancials!D296),"",RawFinancials!D296)</f>
        <v>1960331</v>
      </c>
      <c r="E296" s="0" t="n">
        <f aca="false">IF(ISBLANK(RawFinancials!E296),"",RawFinancials!E296)</f>
        <v>0.08</v>
      </c>
      <c r="F296" s="0" t="n">
        <f aca="false">IF(ISBLANK(RawFinancials!F296),"",RawFinancials!F296)</f>
        <v>296663</v>
      </c>
      <c r="G296" s="0" t="n">
        <f aca="false">IF(ISBLANK(RawFinancials!G296),"",RawFinancials!G296)</f>
        <v>10.3369132016092</v>
      </c>
      <c r="H296" s="0" t="str">
        <f aca="false">IF(ISBLANK(RawFinancials!H296),"",RawFinancials!H296)</f>
        <v>19690_20230630</v>
      </c>
      <c r="I296" s="0" t="n">
        <f aca="false">IF(ISBLANK(RawFinancials!I296),"",RawFinancials!I296)</f>
        <v>0.289799869859861</v>
      </c>
      <c r="J296" s="0" t="n">
        <f aca="false">IF(ISBLANK(RawFinancials!J296),"",RawFinancials!J296)</f>
        <v>37835</v>
      </c>
      <c r="K296" s="0" t="n">
        <f aca="false">IF(ISBLANK(RawFinancials!K296),"",RawFinancials!K296)</f>
        <v>470</v>
      </c>
      <c r="L296" s="0" t="n">
        <f aca="false">IF(ISBLANK(RawFinancials!L296),"",RawFinancials!L296)</f>
        <v>2520360</v>
      </c>
      <c r="M296" s="0" t="n">
        <f aca="false">IF(ISBLANK(RawFinancials!M296),"",RawFinancials!M296)</f>
        <v>2513056</v>
      </c>
      <c r="N296" s="0" t="n">
        <f aca="false">IF(ISBLANK(RawFinancials!N296),"",RawFinancials!N296)</f>
        <v>2020060</v>
      </c>
      <c r="O296" s="0" t="n">
        <f aca="false">IF(ISBLANK(RawFinancials!O296),"",RawFinancials!O296)</f>
        <v>15683</v>
      </c>
      <c r="P296" s="0" t="str">
        <f aca="false">IF(ISBLANK(RawFinancials!P296),"",RawFinancials!P296)</f>
        <v>NORTHEAST BANK</v>
      </c>
      <c r="Q296" s="0" t="n">
        <f aca="false">IF(ISBLANK(RawFinancials!Q296),"",RawFinancials!Q296)</f>
        <v>0.622252376644606</v>
      </c>
      <c r="R296" s="0" t="n">
        <f aca="false">IF(ISBLANK(RawFinancials!R296),"",RawFinancials!R296)</f>
        <v>4.82690808234839</v>
      </c>
      <c r="S296" s="0" t="n">
        <f aca="false">IF(ISBLANK(RawFinancials!S296),"",RawFinancials!S296)</f>
        <v>234</v>
      </c>
      <c r="T296" s="0" t="n">
        <f aca="false">IF(ISBLANK(RawFinancials!T296),"",RawFinancials!T296)</f>
        <v>645</v>
      </c>
      <c r="U296" s="0" t="n">
        <f aca="false">IF(ISBLANK(RawFinancials!U296),"",RawFinancials!U296)</f>
        <v>0</v>
      </c>
      <c r="V296" s="0" t="n">
        <f aca="false">IF(ISBLANK(RawFinancials!V296),"",RawFinancials!V296)</f>
        <v>12.2983890529339</v>
      </c>
      <c r="W296" s="0" t="n">
        <f aca="false">IF(ISBLANK(RawFinancials!W296),"",RawFinancials!W296)</f>
        <v>20230630</v>
      </c>
      <c r="X296" s="0" t="n">
        <f aca="false">IF(ISBLANK(RawFinancials!X296),"",RawFinancials!X296)</f>
        <v>1.72729756659238</v>
      </c>
      <c r="Y296" s="0" t="n">
        <f aca="false">IF(ISBLANK(RawFinancials!Y296),"",RawFinancials!Y296)</f>
        <v>17.49</v>
      </c>
      <c r="Z296" s="0" t="str">
        <f aca="false">IF(ISBLANK(RawFinancials!Z296),"",RawFinancials!Z296)</f>
        <v>ME</v>
      </c>
      <c r="AA296" s="0" t="n">
        <f aca="false">RawFinancials!AA296</f>
        <v>1</v>
      </c>
      <c r="AB296" s="0" t="n">
        <f aca="false">RawFinancials!AB296</f>
        <v>15683</v>
      </c>
      <c r="AC296" s="0" t="n">
        <f aca="false">RawFinancials!AC296</f>
        <v>0.546457798043024</v>
      </c>
      <c r="AD296" s="0" t="n">
        <f aca="false">IF(L296&gt;0,100*N296/L296,"")</f>
        <v>80.1496611595169</v>
      </c>
      <c r="AE296" s="0" t="n">
        <f aca="false">IF(B296&gt;0,100*F296/B296,"")</f>
        <v>10.3369132016092</v>
      </c>
      <c r="AF296" s="0" t="str">
        <f aca="false">RawFinancials!AE296</f>
        <v/>
      </c>
    </row>
    <row r="297" customFormat="false" ht="15" hidden="false" customHeight="false" outlineLevel="0" collapsed="false">
      <c r="A297" s="0" t="n">
        <f aca="false">IF(ISBLANK(RawFinancials!A297),"",RawFinancials!A297)</f>
        <v>297</v>
      </c>
      <c r="B297" s="0" t="n">
        <f aca="false">IF(ISBLANK(RawFinancials!B297),"",RawFinancials!B297)</f>
        <v>608950</v>
      </c>
      <c r="C297" s="0" t="n">
        <f aca="false">IF(ISBLANK(RawFinancials!C297),"",RawFinancials!C297)</f>
        <v>19836</v>
      </c>
      <c r="D297" s="0" t="n">
        <f aca="false">IF(ISBLANK(RawFinancials!D297),"",RawFinancials!D297)</f>
        <v>446012</v>
      </c>
      <c r="E297" s="0" t="n">
        <f aca="false">IF(ISBLANK(RawFinancials!E297),"",RawFinancials!E297)</f>
        <v>0.03</v>
      </c>
      <c r="F297" s="0" t="n">
        <f aca="false">IF(ISBLANK(RawFinancials!F297),"",RawFinancials!F297)</f>
        <v>119294</v>
      </c>
      <c r="G297" s="0" t="n">
        <f aca="false">IF(ISBLANK(RawFinancials!G297),"",RawFinancials!G297)</f>
        <v>19.590114130881</v>
      </c>
      <c r="H297" s="0" t="str">
        <f aca="false">IF(ISBLANK(RawFinancials!H297),"",RawFinancials!H297)</f>
        <v>19836_20230630</v>
      </c>
      <c r="I297" s="0" t="n">
        <f aca="false">IF(ISBLANK(RawFinancials!I297),"",RawFinancials!I297)</f>
        <v>0.851015970608083</v>
      </c>
      <c r="J297" s="0" t="n">
        <f aca="false">IF(ISBLANK(RawFinancials!J297),"",RawFinancials!J297)</f>
        <v>52848</v>
      </c>
      <c r="K297" s="0" t="n">
        <f aca="false">IF(ISBLANK(RawFinancials!K297),"",RawFinancials!K297)</f>
        <v>12252</v>
      </c>
      <c r="L297" s="0" t="n">
        <f aca="false">IF(ISBLANK(RawFinancials!L297),"",RawFinancials!L297)</f>
        <v>506806</v>
      </c>
      <c r="M297" s="0" t="n">
        <f aca="false">IF(ISBLANK(RawFinancials!M297),"",RawFinancials!M297)</f>
        <v>502493</v>
      </c>
      <c r="N297" s="0" t="n">
        <f aca="false">IF(ISBLANK(RawFinancials!N297),"",RawFinancials!N297)</f>
        <v>437325</v>
      </c>
      <c r="O297" s="0" t="n">
        <f aca="false">IF(ISBLANK(RawFinancials!O297),"",RawFinancials!O297)</f>
        <v>3354</v>
      </c>
      <c r="P297" s="0" t="str">
        <f aca="false">IF(ISBLANK(RawFinancials!P297),"",RawFinancials!P297)</f>
        <v>FRANKLIN SAVINGS BANK</v>
      </c>
      <c r="Q297" s="0" t="n">
        <f aca="false">IF(ISBLANK(RawFinancials!Q297),"",RawFinancials!Q297)</f>
        <v>0.724932222586157</v>
      </c>
      <c r="R297" s="0" t="n">
        <f aca="false">IF(ISBLANK(RawFinancials!R297),"",RawFinancials!R297)</f>
        <v>4.15464324965216</v>
      </c>
      <c r="S297" s="0" t="n">
        <f aca="false">IF(ISBLANK(RawFinancials!S297),"",RawFinancials!S297)</f>
        <v>85</v>
      </c>
      <c r="T297" s="0" t="n">
        <f aca="false">IF(ISBLANK(RawFinancials!T297),"",RawFinancials!T297)</f>
        <v>2513</v>
      </c>
      <c r="U297" s="0" t="n">
        <f aca="false">IF(ISBLANK(RawFinancials!U297),"",RawFinancials!U297)</f>
        <v>320</v>
      </c>
      <c r="V297" s="0" t="n">
        <f aca="false">IF(ISBLANK(RawFinancials!V297),"",RawFinancials!V297)</f>
        <v>27.2365493944138</v>
      </c>
      <c r="W297" s="0" t="n">
        <f aca="false">IF(ISBLANK(RawFinancials!W297),"",RawFinancials!W297)</f>
        <v>20230630</v>
      </c>
      <c r="X297" s="0" t="n">
        <f aca="false">IF(ISBLANK(RawFinancials!X297),"",RawFinancials!X297)</f>
        <v>0.835906040268456</v>
      </c>
      <c r="Y297" s="0" t="n">
        <f aca="false">IF(ISBLANK(RawFinancials!Y297),"",RawFinancials!Y297)</f>
        <v>4.22</v>
      </c>
      <c r="Z297" s="0" t="str">
        <f aca="false">IF(ISBLANK(RawFinancials!Z297),"",RawFinancials!Z297)</f>
        <v>ME</v>
      </c>
      <c r="AA297" s="0" t="n">
        <f aca="false">RawFinancials!AA297</f>
        <v>1</v>
      </c>
      <c r="AB297" s="0" t="n">
        <f aca="false">RawFinancials!AB297</f>
        <v>3674</v>
      </c>
      <c r="AC297" s="0" t="n">
        <f aca="false">RawFinancials!AC297</f>
        <v>0.603333607028492</v>
      </c>
      <c r="AD297" s="0" t="n">
        <f aca="false">IF(L297&gt;0,100*N297/L297,"")</f>
        <v>86.2904148727521</v>
      </c>
      <c r="AE297" s="0" t="n">
        <f aca="false">IF(B297&gt;0,100*F297/B297,"")</f>
        <v>19.590114130881</v>
      </c>
      <c r="AF297" s="0" t="str">
        <f aca="false">RawFinancials!AE297</f>
        <v/>
      </c>
    </row>
    <row r="298" customFormat="false" ht="15" hidden="false" customHeight="false" outlineLevel="0" collapsed="false">
      <c r="A298" s="0" t="n">
        <f aca="false">IF(ISBLANK(RawFinancials!A298),"",RawFinancials!A298)</f>
        <v>298</v>
      </c>
      <c r="B298" s="0" t="n">
        <f aca="false">IF(ISBLANK(RawFinancials!B298),"",RawFinancials!B298)</f>
        <v>1353335</v>
      </c>
      <c r="C298" s="0" t="n">
        <f aca="false">IF(ISBLANK(RawFinancials!C298),"",RawFinancials!C298)</f>
        <v>24540</v>
      </c>
      <c r="D298" s="0" t="n">
        <f aca="false">IF(ISBLANK(RawFinancials!D298),"",RawFinancials!D298)</f>
        <v>1091222</v>
      </c>
      <c r="E298" s="0" t="n">
        <f aca="false">IF(ISBLANK(RawFinancials!E298),"",RawFinancials!E298)</f>
        <v>0.16</v>
      </c>
      <c r="F298" s="0" t="n">
        <f aca="false">IF(ISBLANK(RawFinancials!F298),"",RawFinancials!F298)</f>
        <v>232110</v>
      </c>
      <c r="G298" s="0" t="n">
        <f aca="false">IF(ISBLANK(RawFinancials!G298),"",RawFinancials!G298)</f>
        <v>17.1509640997979</v>
      </c>
      <c r="H298" s="0" t="str">
        <f aca="false">IF(ISBLANK(RawFinancials!H298),"",RawFinancials!H298)</f>
        <v>24540_20230630</v>
      </c>
      <c r="I298" s="0" t="n">
        <f aca="false">IF(ISBLANK(RawFinancials!I298),"",RawFinancials!I298)</f>
        <v>0.946001137993989</v>
      </c>
      <c r="J298" s="0" t="n">
        <f aca="false">IF(ISBLANK(RawFinancials!J298),"",RawFinancials!J298)</f>
        <v>40277</v>
      </c>
      <c r="K298" s="0" t="n">
        <f aca="false">IF(ISBLANK(RawFinancials!K298),"",RawFinancials!K298)</f>
        <v>135</v>
      </c>
      <c r="L298" s="0" t="n">
        <f aca="false">IF(ISBLANK(RawFinancials!L298),"",RawFinancials!L298)</f>
        <v>1145876</v>
      </c>
      <c r="M298" s="0" t="n">
        <f aca="false">IF(ISBLANK(RawFinancials!M298),"",RawFinancials!M298)</f>
        <v>1135036</v>
      </c>
      <c r="N298" s="0" t="n">
        <f aca="false">IF(ISBLANK(RawFinancials!N298),"",RawFinancials!N298)</f>
        <v>1109265</v>
      </c>
      <c r="O298" s="0" t="n">
        <f aca="false">IF(ISBLANK(RawFinancials!O298),"",RawFinancials!O298)</f>
        <v>342</v>
      </c>
      <c r="P298" s="0" t="str">
        <f aca="false">IF(ISBLANK(RawFinancials!P298),"",RawFinancials!P298)</f>
        <v>BANK OF NEW ENGLAND</v>
      </c>
      <c r="Q298" s="0" t="n">
        <f aca="false">IF(ISBLANK(RawFinancials!Q298),"",RawFinancials!Q298)</f>
        <v>0.029846161364755</v>
      </c>
      <c r="R298" s="0" t="n">
        <f aca="false">IF(ISBLANK(RawFinancials!R298),"",RawFinancials!R298)</f>
        <v>5.00438106220581</v>
      </c>
      <c r="S298" s="0" t="n">
        <f aca="false">IF(ISBLANK(RawFinancials!S298),"",RawFinancials!S298)</f>
        <v>0</v>
      </c>
      <c r="T298" s="0" t="n">
        <f aca="false">IF(ISBLANK(RawFinancials!T298),"",RawFinancials!T298)</f>
        <v>118</v>
      </c>
      <c r="U298" s="0" t="n">
        <f aca="false">IF(ISBLANK(RawFinancials!U298),"",RawFinancials!U298)</f>
        <v>0</v>
      </c>
      <c r="V298" s="0" t="n">
        <f aca="false">IF(ISBLANK(RawFinancials!V298),"",RawFinancials!V298)</f>
        <v>0</v>
      </c>
      <c r="W298" s="0" t="n">
        <f aca="false">IF(ISBLANK(RawFinancials!W298),"",RawFinancials!W298)</f>
        <v>20230630</v>
      </c>
      <c r="X298" s="0" t="n">
        <f aca="false">IF(ISBLANK(RawFinancials!X298),"",RawFinancials!X298)</f>
        <v>2.53176441533346</v>
      </c>
      <c r="Y298" s="0" t="n">
        <f aca="false">IF(ISBLANK(RawFinancials!Y298),"",RawFinancials!Y298)</f>
        <v>14.8</v>
      </c>
      <c r="Z298" s="0" t="str">
        <f aca="false">IF(ISBLANK(RawFinancials!Z298),"",RawFinancials!Z298)</f>
        <v>NH</v>
      </c>
      <c r="AA298" s="0" t="n">
        <f aca="false">RawFinancials!AA298</f>
        <v>1</v>
      </c>
      <c r="AB298" s="0" t="n">
        <f aca="false">RawFinancials!AB298</f>
        <v>342</v>
      </c>
      <c r="AC298" s="0" t="n">
        <f aca="false">RawFinancials!AC298</f>
        <v>0.0252709048387871</v>
      </c>
      <c r="AD298" s="0" t="n">
        <f aca="false">IF(L298&gt;0,100*N298/L298,"")</f>
        <v>96.8049771528507</v>
      </c>
      <c r="AE298" s="0" t="n">
        <f aca="false">IF(B298&gt;0,100*F298/B298,"")</f>
        <v>17.1509640997979</v>
      </c>
      <c r="AF298" s="0" t="str">
        <f aca="false">RawFinancials!AE298</f>
        <v>原始0：需核实适用/报告口径</v>
      </c>
    </row>
    <row r="299" customFormat="false" ht="15" hidden="false" customHeight="false" outlineLevel="0" collapsed="false">
      <c r="A299" s="0" t="n">
        <f aca="false">IF(ISBLANK(RawFinancials!A299),"",RawFinancials!A299)</f>
        <v>299</v>
      </c>
      <c r="B299" s="0" t="n">
        <f aca="false">IF(ISBLANK(RawFinancials!B299),"",RawFinancials!B299)</f>
        <v>511371</v>
      </c>
      <c r="C299" s="0" t="n">
        <f aca="false">IF(ISBLANK(RawFinancials!C299),"",RawFinancials!C299)</f>
        <v>27824</v>
      </c>
      <c r="D299" s="0" t="n">
        <f aca="false">IF(ISBLANK(RawFinancials!D299),"",RawFinancials!D299)</f>
        <v>380476</v>
      </c>
      <c r="E299" s="0" t="n">
        <f aca="false">IF(ISBLANK(RawFinancials!E299),"",RawFinancials!E299)</f>
        <v>0</v>
      </c>
      <c r="F299" s="0" t="n">
        <f aca="false">IF(ISBLANK(RawFinancials!F299),"",RawFinancials!F299)</f>
        <v>65899</v>
      </c>
      <c r="G299" s="0" t="n">
        <f aca="false">IF(ISBLANK(RawFinancials!G299),"",RawFinancials!G299)</f>
        <v>12.8867299866438</v>
      </c>
      <c r="H299" s="0" t="str">
        <f aca="false">IF(ISBLANK(RawFinancials!H299),"",RawFinancials!H299)</f>
        <v>27824_20230630</v>
      </c>
      <c r="I299" s="0" t="n">
        <f aca="false">IF(ISBLANK(RawFinancials!I299),"",RawFinancials!I299)</f>
        <v>0.759165622051015</v>
      </c>
      <c r="J299" s="0" t="n">
        <f aca="false">IF(ISBLANK(RawFinancials!J299),"",RawFinancials!J299)</f>
        <v>21394</v>
      </c>
      <c r="K299" s="0" t="n">
        <f aca="false">IF(ISBLANK(RawFinancials!K299),"",RawFinancials!K299)</f>
        <v>41917</v>
      </c>
      <c r="L299" s="0" t="n">
        <f aca="false">IF(ISBLANK(RawFinancials!L299),"",RawFinancials!L299)</f>
        <v>425994</v>
      </c>
      <c r="M299" s="0" t="n">
        <f aca="false">IF(ISBLANK(RawFinancials!M299),"",RawFinancials!M299)</f>
        <v>422760</v>
      </c>
      <c r="N299" s="0" t="n">
        <f aca="false">IF(ISBLANK(RawFinancials!N299),"",RawFinancials!N299)</f>
        <v>362683</v>
      </c>
      <c r="O299" s="0" t="n">
        <f aca="false">IF(ISBLANK(RawFinancials!O299),"",RawFinancials!O299)</f>
        <v>1230</v>
      </c>
      <c r="P299" s="0" t="str">
        <f aca="false">IF(ISBLANK(RawFinancials!P299),"",RawFinancials!P299)</f>
        <v>SALEM CO-OPERATIVE BANK</v>
      </c>
      <c r="Q299" s="0" t="n">
        <f aca="false">IF(ISBLANK(RawFinancials!Q299),"",RawFinancials!Q299)</f>
        <v>0.288736461076917</v>
      </c>
      <c r="R299" s="0" t="n">
        <f aca="false">IF(ISBLANK(RawFinancials!R299),"",RawFinancials!R299)</f>
        <v>2.03415693915202</v>
      </c>
      <c r="S299" s="0" t="n">
        <f aca="false">IF(ISBLANK(RawFinancials!S299),"",RawFinancials!S299)</f>
        <v>-6</v>
      </c>
      <c r="T299" s="0" t="n">
        <f aca="false">IF(ISBLANK(RawFinancials!T299),"",RawFinancials!T299)</f>
        <v>1038</v>
      </c>
      <c r="U299" s="0" t="n">
        <f aca="false">IF(ISBLANK(RawFinancials!U299),"",RawFinancials!U299)</f>
        <v>0</v>
      </c>
      <c r="V299" s="0" t="n">
        <f aca="false">IF(ISBLANK(RawFinancials!V299),"",RawFinancials!V299)</f>
        <v>21.8651868052185</v>
      </c>
      <c r="W299" s="0" t="n">
        <f aca="false">IF(ISBLANK(RawFinancials!W299),"",RawFinancials!W299)</f>
        <v>20230630</v>
      </c>
      <c r="X299" s="0" t="n">
        <f aca="false">IF(ISBLANK(RawFinancials!X299),"",RawFinancials!X299)</f>
        <v>-0.179485034548527</v>
      </c>
      <c r="Y299" s="0" t="n">
        <f aca="false">IF(ISBLANK(RawFinancials!Y299),"",RawFinancials!Y299)</f>
        <v>-1.35</v>
      </c>
      <c r="Z299" s="0" t="str">
        <f aca="false">IF(ISBLANK(RawFinancials!Z299),"",RawFinancials!Z299)</f>
        <v>NH</v>
      </c>
      <c r="AA299" s="0" t="n">
        <f aca="false">RawFinancials!AA299</f>
        <v>1</v>
      </c>
      <c r="AB299" s="0" t="n">
        <f aca="false">RawFinancials!AB299</f>
        <v>1230</v>
      </c>
      <c r="AC299" s="0" t="n">
        <f aca="false">RawFinancials!AC299</f>
        <v>0.24052986970321</v>
      </c>
      <c r="AD299" s="0" t="n">
        <f aca="false">IF(L299&gt;0,100*N299/L299,"")</f>
        <v>85.1380535876092</v>
      </c>
      <c r="AE299" s="0" t="n">
        <f aca="false">IF(B299&gt;0,100*F299/B299,"")</f>
        <v>12.8867299866437</v>
      </c>
      <c r="AF299" s="0" t="str">
        <f aca="false">RawFinancials!AE299</f>
        <v/>
      </c>
    </row>
    <row r="300" customFormat="false" ht="15" hidden="false" customHeight="false" outlineLevel="0" collapsed="false">
      <c r="A300" s="0" t="n">
        <f aca="false">IF(ISBLANK(RawFinancials!A300),"",RawFinancials!A300)</f>
        <v>300</v>
      </c>
      <c r="B300" s="0" t="n">
        <f aca="false">IF(ISBLANK(RawFinancials!B300),"",RawFinancials!B300)</f>
        <v>297569</v>
      </c>
      <c r="C300" s="0" t="n">
        <f aca="false">IF(ISBLANK(RawFinancials!C300),"",RawFinancials!C300)</f>
        <v>28155</v>
      </c>
      <c r="D300" s="0" t="n">
        <f aca="false">IF(ISBLANK(RawFinancials!D300),"",RawFinancials!D300)</f>
        <v>264006</v>
      </c>
      <c r="E300" s="0" t="n">
        <f aca="false">IF(ISBLANK(RawFinancials!E300),"",RawFinancials!E300)</f>
        <v>-0.07</v>
      </c>
      <c r="F300" s="0" t="n">
        <f aca="false">IF(ISBLANK(RawFinancials!F300),"",RawFinancials!F300)</f>
        <v>27564</v>
      </c>
      <c r="G300" s="0" t="n">
        <f aca="false">IF(ISBLANK(RawFinancials!G300),"",RawFinancials!G300)</f>
        <v>9.26306167645151</v>
      </c>
      <c r="H300" s="0" t="str">
        <f aca="false">IF(ISBLANK(RawFinancials!H300),"",RawFinancials!H300)</f>
        <v>28155_20230630</v>
      </c>
      <c r="I300" s="0" t="n">
        <f aca="false">IF(ISBLANK(RawFinancials!I300),"",RawFinancials!I300)</f>
        <v>0.510813154224104</v>
      </c>
      <c r="J300" s="0" t="n">
        <f aca="false">IF(ISBLANK(RawFinancials!J300),"",RawFinancials!J300)</f>
        <v>5813</v>
      </c>
      <c r="K300" s="0" t="n">
        <f aca="false">IF(ISBLANK(RawFinancials!K300),"",RawFinancials!K300)</f>
        <v>5560</v>
      </c>
      <c r="L300" s="0" t="n">
        <f aca="false">IF(ISBLANK(RawFinancials!L300),"",RawFinancials!L300)</f>
        <v>159158</v>
      </c>
      <c r="M300" s="0" t="n">
        <f aca="false">IF(ISBLANK(RawFinancials!M300),"",RawFinancials!M300)</f>
        <v>158345</v>
      </c>
      <c r="N300" s="0" t="n">
        <f aca="false">IF(ISBLANK(RawFinancials!N300),"",RawFinancials!N300)</f>
        <v>147112</v>
      </c>
      <c r="O300" s="0" t="n">
        <f aca="false">IF(ISBLANK(RawFinancials!O300),"",RawFinancials!O300)</f>
        <v>52</v>
      </c>
      <c r="P300" s="0" t="str">
        <f aca="false">IF(ISBLANK(RawFinancials!P300),"",RawFinancials!P300)</f>
        <v>PROFILE BANK</v>
      </c>
      <c r="Q300" s="0" t="n">
        <f aca="false">IF(ISBLANK(RawFinancials!Q300),"",RawFinancials!Q300)</f>
        <v>0.0326719360635343</v>
      </c>
      <c r="R300" s="0" t="n">
        <f aca="false">IF(ISBLANK(RawFinancials!R300),"",RawFinancials!R300)</f>
        <v>2.47080923260729</v>
      </c>
      <c r="S300" s="0" t="n">
        <f aca="false">IF(ISBLANK(RawFinancials!S300),"",RawFinancials!S300)</f>
        <v>0</v>
      </c>
      <c r="T300" s="0" t="n">
        <f aca="false">IF(ISBLANK(RawFinancials!T300),"",RawFinancials!T300)</f>
        <v>767</v>
      </c>
      <c r="U300" s="0" t="n">
        <f aca="false">IF(ISBLANK(RawFinancials!U300),"",RawFinancials!U300)</f>
        <v>0</v>
      </c>
      <c r="V300" s="0" t="n">
        <f aca="false">IF(ISBLANK(RawFinancials!V300),"",RawFinancials!V300)</f>
        <v>17.8379338650592</v>
      </c>
      <c r="W300" s="0" t="n">
        <f aca="false">IF(ISBLANK(RawFinancials!W300),"",RawFinancials!W300)</f>
        <v>20230630</v>
      </c>
      <c r="X300" s="0" t="n">
        <f aca="false">IF(ISBLANK(RawFinancials!X300),"",RawFinancials!X300)</f>
        <v>0.0381918077455666</v>
      </c>
      <c r="Y300" s="0" t="n">
        <f aca="false">IF(ISBLANK(RawFinancials!Y300),"",RawFinancials!Y300)</f>
        <v>0.41</v>
      </c>
      <c r="Z300" s="0" t="str">
        <f aca="false">IF(ISBLANK(RawFinancials!Z300),"",RawFinancials!Z300)</f>
        <v>NH</v>
      </c>
      <c r="AA300" s="0" t="n">
        <f aca="false">RawFinancials!AA300</f>
        <v>1</v>
      </c>
      <c r="AB300" s="0" t="n">
        <f aca="false">RawFinancials!AB300</f>
        <v>52</v>
      </c>
      <c r="AC300" s="0" t="n">
        <f aca="false">RawFinancials!AC300</f>
        <v>0.0174749385856726</v>
      </c>
      <c r="AD300" s="0" t="n">
        <f aca="false">IF(L300&gt;0,100*N300/L300,"")</f>
        <v>92.4314203495897</v>
      </c>
      <c r="AE300" s="0" t="n">
        <f aca="false">IF(B300&gt;0,100*F300/B300,"")</f>
        <v>9.26306167645151</v>
      </c>
      <c r="AF300" s="0" t="str">
        <f aca="false">RawFinancials!AE300</f>
        <v/>
      </c>
    </row>
    <row r="301" customFormat="false" ht="15" hidden="false" customHeight="false" outlineLevel="0" collapsed="false">
      <c r="A301" s="0" t="n">
        <f aca="false">IF(ISBLANK(RawFinancials!A301),"",RawFinancials!A301)</f>
        <v>301</v>
      </c>
      <c r="B301" s="0" t="n">
        <f aca="false">IF(ISBLANK(RawFinancials!B301),"",RawFinancials!B301)</f>
        <v>103989</v>
      </c>
      <c r="C301" s="0" t="n">
        <f aca="false">IF(ISBLANK(RawFinancials!C301),"",RawFinancials!C301)</f>
        <v>28288</v>
      </c>
      <c r="D301" s="0" t="n">
        <f aca="false">IF(ISBLANK(RawFinancials!D301),"",RawFinancials!D301)</f>
        <v>78624</v>
      </c>
      <c r="E301" s="0" t="n">
        <f aca="false">IF(ISBLANK(RawFinancials!E301),"",RawFinancials!E301)</f>
        <v>0</v>
      </c>
      <c r="F301" s="0" t="n">
        <f aca="false">IF(ISBLANK(RawFinancials!F301),"",RawFinancials!F301)</f>
        <v>5937</v>
      </c>
      <c r="G301" s="0" t="n">
        <f aca="false">IF(ISBLANK(RawFinancials!G301),"",RawFinancials!G301)</f>
        <v>5.70925770995009</v>
      </c>
      <c r="H301" s="0" t="str">
        <f aca="false">IF(ISBLANK(RawFinancials!H301),"",RawFinancials!H301)</f>
        <v>28288_20230630</v>
      </c>
      <c r="I301" s="0" t="n">
        <f aca="false">IF(ISBLANK(RawFinancials!I301),"",RawFinancials!I301)</f>
        <v>1.07286875238929</v>
      </c>
      <c r="J301" s="0" t="n">
        <f aca="false">IF(ISBLANK(RawFinancials!J301),"",RawFinancials!J301)</f>
        <v>4909</v>
      </c>
      <c r="K301" s="0" t="n">
        <f aca="false">IF(ISBLANK(RawFinancials!K301),"",RawFinancials!K301)</f>
        <v>651</v>
      </c>
      <c r="L301" s="0" t="n">
        <f aca="false">IF(ISBLANK(RawFinancials!L301),"",RawFinancials!L301)</f>
        <v>81091</v>
      </c>
      <c r="M301" s="0" t="n">
        <f aca="false">IF(ISBLANK(RawFinancials!M301),"",RawFinancials!M301)</f>
        <v>80221</v>
      </c>
      <c r="N301" s="0" t="n">
        <f aca="false">IF(ISBLANK(RawFinancials!N301),"",RawFinancials!N301)</f>
        <v>75531</v>
      </c>
      <c r="O301" s="0" t="n">
        <f aca="false">IF(ISBLANK(RawFinancials!O301),"",RawFinancials!O301)</f>
        <v>266</v>
      </c>
      <c r="P301" s="0" t="str">
        <f aca="false">IF(ISBLANK(RawFinancials!P301),"",RawFinancials!P301)</f>
        <v>AUBURN SAVINGS BANK, FSB</v>
      </c>
      <c r="Q301" s="0" t="n">
        <f aca="false">IF(ISBLANK(RawFinancials!Q301),"",RawFinancials!Q301)</f>
        <v>0.328026538086841</v>
      </c>
      <c r="R301" s="0" t="n">
        <f aca="false">IF(ISBLANK(RawFinancials!R301),"",RawFinancials!R301)</f>
        <v>2.81908951863754</v>
      </c>
      <c r="S301" s="0" t="n">
        <f aca="false">IF(ISBLANK(RawFinancials!S301),"",RawFinancials!S301)</f>
        <v>-8</v>
      </c>
      <c r="T301" s="0" t="n">
        <f aca="false">IF(ISBLANK(RawFinancials!T301),"",RawFinancials!T301)</f>
        <v>831</v>
      </c>
      <c r="U301" s="0" t="n">
        <f aca="false">IF(ISBLANK(RawFinancials!U301),"",RawFinancials!U301)</f>
        <v>0</v>
      </c>
      <c r="V301" s="0" t="n">
        <f aca="false">IF(ISBLANK(RawFinancials!V301),"",RawFinancials!V301)</f>
        <v>13.4329035086393</v>
      </c>
      <c r="W301" s="0" t="n">
        <f aca="false">IF(ISBLANK(RawFinancials!W301),"",RawFinancials!W301)</f>
        <v>20230630</v>
      </c>
      <c r="X301" s="0" t="n">
        <f aca="false">IF(ISBLANK(RawFinancials!X301),"",RawFinancials!X301)</f>
        <v>-0.0292873413602343</v>
      </c>
      <c r="Y301" s="0" t="n">
        <f aca="false">IF(ISBLANK(RawFinancials!Y301),"",RawFinancials!Y301)</f>
        <v>-0.5</v>
      </c>
      <c r="Z301" s="0" t="str">
        <f aca="false">IF(ISBLANK(RawFinancials!Z301),"",RawFinancials!Z301)</f>
        <v>ME</v>
      </c>
      <c r="AA301" s="0" t="n">
        <f aca="false">RawFinancials!AA301</f>
        <v>1</v>
      </c>
      <c r="AB301" s="0" t="n">
        <f aca="false">RawFinancials!AB301</f>
        <v>266</v>
      </c>
      <c r="AC301" s="0" t="n">
        <f aca="false">RawFinancials!AC301</f>
        <v>0.25579628614565</v>
      </c>
      <c r="AD301" s="0" t="n">
        <f aca="false">IF(L301&gt;0,100*N301/L301,"")</f>
        <v>93.1435054445006</v>
      </c>
      <c r="AE301" s="0" t="n">
        <f aca="false">IF(B301&gt;0,100*F301/B301,"")</f>
        <v>5.70925770995009</v>
      </c>
      <c r="AF301" s="0" t="str">
        <f aca="false">RawFinancials!AE301</f>
        <v/>
      </c>
    </row>
    <row r="302" customFormat="false" ht="15" hidden="false" customHeight="false" outlineLevel="0" collapsed="false">
      <c r="A302" s="0" t="n">
        <f aca="false">IF(ISBLANK(RawFinancials!A302),"",RawFinancials!A302)</f>
        <v>302</v>
      </c>
      <c r="B302" s="0" t="n">
        <f aca="false">IF(ISBLANK(RawFinancials!B302),"",RawFinancials!B302)</f>
        <v>87702</v>
      </c>
      <c r="C302" s="0" t="n">
        <f aca="false">IF(ISBLANK(RawFinancials!C302),"",RawFinancials!C302)</f>
        <v>28369</v>
      </c>
      <c r="D302" s="0" t="n">
        <f aca="false">IF(ISBLANK(RawFinancials!D302),"",RawFinancials!D302)</f>
        <v>77819</v>
      </c>
      <c r="E302" s="0" t="n">
        <f aca="false">IF(ISBLANK(RawFinancials!E302),"",RawFinancials!E302)</f>
        <v>0.03</v>
      </c>
      <c r="F302" s="0" t="n">
        <f aca="false">IF(ISBLANK(RawFinancials!F302),"",RawFinancials!F302)</f>
        <v>9428</v>
      </c>
      <c r="G302" s="0" t="n">
        <f aca="false">IF(ISBLANK(RawFinancials!G302),"",RawFinancials!G302)</f>
        <v>10.7500399078698</v>
      </c>
      <c r="H302" s="0" t="str">
        <f aca="false">IF(ISBLANK(RawFinancials!H302),"",RawFinancials!H302)</f>
        <v>28369_20230630</v>
      </c>
      <c r="I302" s="0" t="n">
        <f aca="false">IF(ISBLANK(RawFinancials!I302),"",RawFinancials!I302)</f>
        <v>0.755313076606534</v>
      </c>
      <c r="J302" s="0" t="n">
        <f aca="false">IF(ISBLANK(RawFinancials!J302),"",RawFinancials!J302)</f>
        <v>11294</v>
      </c>
      <c r="K302" s="0" t="n">
        <f aca="false">IF(ISBLANK(RawFinancials!K302),"",RawFinancials!K302)</f>
        <v>827</v>
      </c>
      <c r="L302" s="0" t="n">
        <f aca="false">IF(ISBLANK(RawFinancials!L302),"",RawFinancials!L302)</f>
        <v>75333</v>
      </c>
      <c r="M302" s="0" t="n">
        <f aca="false">IF(ISBLANK(RawFinancials!M302),"",RawFinancials!M302)</f>
        <v>74764</v>
      </c>
      <c r="N302" s="0" t="n">
        <f aca="false">IF(ISBLANK(RawFinancials!N302),"",RawFinancials!N302)</f>
        <v>63212</v>
      </c>
      <c r="O302" s="0" t="n">
        <f aca="false">IF(ISBLANK(RawFinancials!O302),"",RawFinancials!O302)</f>
        <v>231</v>
      </c>
      <c r="P302" s="0" t="str">
        <f aca="false">IF(ISBLANK(RawFinancials!P302),"",RawFinancials!P302)</f>
        <v>ROCKLAND SAVINGS BANK, FSB</v>
      </c>
      <c r="Q302" s="0" t="n">
        <f aca="false">IF(ISBLANK(RawFinancials!Q302),"",RawFinancials!Q302)</f>
        <v>0.306638524949225</v>
      </c>
      <c r="R302" s="0" t="n">
        <f aca="false">IF(ISBLANK(RawFinancials!R302),"",RawFinancials!R302)</f>
        <v>3.38744850981342</v>
      </c>
      <c r="S302" s="0" t="n">
        <f aca="false">IF(ISBLANK(RawFinancials!S302),"",RawFinancials!S302)</f>
        <v>-1</v>
      </c>
      <c r="T302" s="0" t="n">
        <f aca="false">IF(ISBLANK(RawFinancials!T302),"",RawFinancials!T302)</f>
        <v>76</v>
      </c>
      <c r="U302" s="0" t="n">
        <f aca="false">IF(ISBLANK(RawFinancials!U302),"",RawFinancials!U302)</f>
        <v>0</v>
      </c>
      <c r="V302" s="0" t="n">
        <f aca="false">IF(ISBLANK(RawFinancials!V302),"",RawFinancials!V302)</f>
        <v>0</v>
      </c>
      <c r="W302" s="0" t="n">
        <f aca="false">IF(ISBLANK(RawFinancials!W302),"",RawFinancials!W302)</f>
        <v>20230630</v>
      </c>
      <c r="X302" s="0" t="n">
        <f aca="false">IF(ISBLANK(RawFinancials!X302),"",RawFinancials!X302)</f>
        <v>-0.21138653483091</v>
      </c>
      <c r="Y302" s="0" t="n">
        <f aca="false">IF(ISBLANK(RawFinancials!Y302),"",RawFinancials!Y302)</f>
        <v>-1.94</v>
      </c>
      <c r="Z302" s="0" t="str">
        <f aca="false">IF(ISBLANK(RawFinancials!Z302),"",RawFinancials!Z302)</f>
        <v>ME</v>
      </c>
      <c r="AA302" s="0" t="n">
        <f aca="false">RawFinancials!AA302</f>
        <v>1</v>
      </c>
      <c r="AB302" s="0" t="n">
        <f aca="false">RawFinancials!AB302</f>
        <v>231</v>
      </c>
      <c r="AC302" s="0" t="n">
        <f aca="false">RawFinancials!AC302</f>
        <v>0.263391940890744</v>
      </c>
      <c r="AD302" s="0" t="n">
        <f aca="false">IF(L302&gt;0,100*N302/L302,"")</f>
        <v>83.9101057969283</v>
      </c>
      <c r="AE302" s="0" t="n">
        <f aca="false">IF(B302&gt;0,100*F302/B302,"")</f>
        <v>10.7500399078698</v>
      </c>
      <c r="AF302" s="0" t="str">
        <f aca="false">RawFinancials!AE302</f>
        <v>原始0：需核实适用/报告口径</v>
      </c>
    </row>
    <row r="303" customFormat="false" ht="15" hidden="false" customHeight="false" outlineLevel="0" collapsed="false">
      <c r="A303" s="0" t="n">
        <f aca="false">IF(ISBLANK(RawFinancials!A303),"",RawFinancials!A303)</f>
        <v>303</v>
      </c>
      <c r="B303" s="0" t="n">
        <f aca="false">IF(ISBLANK(RawFinancials!B303),"",RawFinancials!B303)</f>
        <v>285195</v>
      </c>
      <c r="C303" s="0" t="n">
        <f aca="false">IF(ISBLANK(RawFinancials!C303),"",RawFinancials!C303)</f>
        <v>28837</v>
      </c>
      <c r="D303" s="0" t="n">
        <f aca="false">IF(ISBLANK(RawFinancials!D303),"",RawFinancials!D303)</f>
        <v>256863</v>
      </c>
      <c r="E303" s="0" t="n">
        <f aca="false">IF(ISBLANK(RawFinancials!E303),"",RawFinancials!E303)</f>
        <v>0</v>
      </c>
      <c r="F303" s="0" t="n">
        <f aca="false">IF(ISBLANK(RawFinancials!F303),"",RawFinancials!F303)</f>
        <v>24942</v>
      </c>
      <c r="G303" s="0" t="n">
        <f aca="false">IF(ISBLANK(RawFinancials!G303),"",RawFinancials!G303)</f>
        <v>8.74559511912902</v>
      </c>
      <c r="H303" s="0" t="str">
        <f aca="false">IF(ISBLANK(RawFinancials!H303),"",RawFinancials!H303)</f>
        <v>28837_20230630</v>
      </c>
      <c r="I303" s="0" t="n">
        <f aca="false">IF(ISBLANK(RawFinancials!I303),"",RawFinancials!I303)</f>
        <v>1.17921351225325</v>
      </c>
      <c r="J303" s="0" t="n">
        <f aca="false">IF(ISBLANK(RawFinancials!J303),"",RawFinancials!J303)</f>
        <v>6474</v>
      </c>
      <c r="K303" s="0" t="n">
        <f aca="false">IF(ISBLANK(RawFinancials!K303),"",RawFinancials!K303)</f>
        <v>1267</v>
      </c>
      <c r="L303" s="0" t="n">
        <f aca="false">IF(ISBLANK(RawFinancials!L303),"",RawFinancials!L303)</f>
        <v>193010</v>
      </c>
      <c r="M303" s="0" t="n">
        <f aca="false">IF(ISBLANK(RawFinancials!M303),"",RawFinancials!M303)</f>
        <v>190734</v>
      </c>
      <c r="N303" s="0" t="n">
        <f aca="false">IF(ISBLANK(RawFinancials!N303),"",RawFinancials!N303)</f>
        <v>183990</v>
      </c>
      <c r="O303" s="0" t="n">
        <f aca="false">IF(ISBLANK(RawFinancials!O303),"",RawFinancials!O303)</f>
        <v>38</v>
      </c>
      <c r="P303" s="0" t="str">
        <f aca="false">IF(ISBLANK(RawFinancials!P303),"",RawFinancials!P303)</f>
        <v>THE BRATTLEBORO SAVINGS AND LOAN ASSOCIATION</v>
      </c>
      <c r="Q303" s="0" t="n">
        <f aca="false">IF(ISBLANK(RawFinancials!Q303),"",RawFinancials!Q303)</f>
        <v>0.0196880990622247</v>
      </c>
      <c r="R303" s="0" t="n">
        <f aca="false">IF(ISBLANK(RawFinancials!R303),"",RawFinancials!R303)</f>
        <v>3.64030461666489</v>
      </c>
      <c r="S303" s="0" t="n">
        <f aca="false">IF(ISBLANK(RawFinancials!S303),"",RawFinancials!S303)</f>
        <v>-4</v>
      </c>
      <c r="T303" s="0" t="n">
        <f aca="false">IF(ISBLANK(RawFinancials!T303),"",RawFinancials!T303)</f>
        <v>366</v>
      </c>
      <c r="U303" s="0" t="n">
        <f aca="false">IF(ISBLANK(RawFinancials!U303),"",RawFinancials!U303)</f>
        <v>0</v>
      </c>
      <c r="V303" s="0" t="n">
        <f aca="false">IF(ISBLANK(RawFinancials!V303),"",RawFinancials!V303)</f>
        <v>16.3569852514226</v>
      </c>
      <c r="W303" s="0" t="n">
        <f aca="false">IF(ISBLANK(RawFinancials!W303),"",RawFinancials!W303)</f>
        <v>20230630</v>
      </c>
      <c r="X303" s="0" t="n">
        <f aca="false">IF(ISBLANK(RawFinancials!X303),"",RawFinancials!X303)</f>
        <v>0.998180082377603</v>
      </c>
      <c r="Y303" s="0" t="n">
        <f aca="false">IF(ISBLANK(RawFinancials!Y303),"",RawFinancials!Y303)</f>
        <v>12.1</v>
      </c>
      <c r="Z303" s="0" t="str">
        <f aca="false">IF(ISBLANK(RawFinancials!Z303),"",RawFinancials!Z303)</f>
        <v>VT</v>
      </c>
      <c r="AA303" s="0" t="n">
        <f aca="false">RawFinancials!AA303</f>
        <v>1</v>
      </c>
      <c r="AB303" s="0" t="n">
        <f aca="false">RawFinancials!AB303</f>
        <v>38</v>
      </c>
      <c r="AC303" s="0" t="n">
        <f aca="false">RawFinancials!AC303</f>
        <v>0.0133242167639685</v>
      </c>
      <c r="AD303" s="0" t="n">
        <f aca="false">IF(L303&gt;0,100*N303/L303,"")</f>
        <v>95.3266670120719</v>
      </c>
      <c r="AE303" s="0" t="n">
        <f aca="false">IF(B303&gt;0,100*F303/B303,"")</f>
        <v>8.74559511912902</v>
      </c>
      <c r="AF303" s="0" t="str">
        <f aca="false">RawFinancials!AE303</f>
        <v/>
      </c>
    </row>
    <row r="304" customFormat="false" ht="15" hidden="false" customHeight="false" outlineLevel="0" collapsed="false">
      <c r="A304" s="0" t="n">
        <f aca="false">IF(ISBLANK(RawFinancials!A304),"",RawFinancials!A304)</f>
        <v>304</v>
      </c>
      <c r="B304" s="0" t="n">
        <f aca="false">IF(ISBLANK(RawFinancials!B304),"",RawFinancials!B304)</f>
        <v>182034</v>
      </c>
      <c r="C304" s="0" t="n">
        <f aca="false">IF(ISBLANK(RawFinancials!C304),"",RawFinancials!C304)</f>
        <v>29636</v>
      </c>
      <c r="D304" s="0" t="n">
        <f aca="false">IF(ISBLANK(RawFinancials!D304),"",RawFinancials!D304)</f>
        <v>145903</v>
      </c>
      <c r="E304" s="0" t="n">
        <f aca="false">IF(ISBLANK(RawFinancials!E304),"",RawFinancials!E304)</f>
        <v>0.07</v>
      </c>
      <c r="F304" s="0" t="n">
        <f aca="false">IF(ISBLANK(RawFinancials!F304),"",RawFinancials!F304)</f>
        <v>24760</v>
      </c>
      <c r="G304" s="0" t="n">
        <f aca="false">IF(ISBLANK(RawFinancials!G304),"",RawFinancials!G304)</f>
        <v>13.6018545985915</v>
      </c>
      <c r="H304" s="0" t="str">
        <f aca="false">IF(ISBLANK(RawFinancials!H304),"",RawFinancials!H304)</f>
        <v>29636_20230630</v>
      </c>
      <c r="I304" s="0" t="n">
        <f aca="false">IF(ISBLANK(RawFinancials!I304),"",RawFinancials!I304)</f>
        <v>1.4568782499</v>
      </c>
      <c r="J304" s="0" t="n">
        <f aca="false">IF(ISBLANK(RawFinancials!J304),"",RawFinancials!J304)</f>
        <v>2015</v>
      </c>
      <c r="K304" s="0" t="n">
        <f aca="false">IF(ISBLANK(RawFinancials!K304),"",RawFinancials!K304)</f>
        <v>1467</v>
      </c>
      <c r="L304" s="0" t="n">
        <f aca="false">IF(ISBLANK(RawFinancials!L304),"",RawFinancials!L304)</f>
        <v>130004</v>
      </c>
      <c r="M304" s="0" t="n">
        <f aca="false">IF(ISBLANK(RawFinancials!M304),"",RawFinancials!M304)</f>
        <v>128110</v>
      </c>
      <c r="N304" s="0" t="n">
        <f aca="false">IF(ISBLANK(RawFinancials!N304),"",RawFinancials!N304)</f>
        <v>126522</v>
      </c>
      <c r="O304" s="0" t="n">
        <f aca="false">IF(ISBLANK(RawFinancials!O304),"",RawFinancials!O304)</f>
        <v>2061</v>
      </c>
      <c r="P304" s="0" t="str">
        <f aca="false">IF(ISBLANK(RawFinancials!P304),"",RawFinancials!P304)</f>
        <v>FIRST FEDERAL SAVINGS AND LOAN ASSOCIATION OF BATH</v>
      </c>
      <c r="Q304" s="0" t="n">
        <f aca="false">IF(ISBLANK(RawFinancials!Q304),"",RawFinancials!Q304)</f>
        <v>1.58533583582044</v>
      </c>
      <c r="R304" s="0" t="n">
        <f aca="false">IF(ISBLANK(RawFinancials!R304),"",RawFinancials!R304)</f>
        <v>3.55071845607826</v>
      </c>
      <c r="S304" s="0" t="n">
        <f aca="false">IF(ISBLANK(RawFinancials!S304),"",RawFinancials!S304)</f>
        <v>-5</v>
      </c>
      <c r="T304" s="0" t="n">
        <f aca="false">IF(ISBLANK(RawFinancials!T304),"",RawFinancials!T304)</f>
        <v>2273</v>
      </c>
      <c r="U304" s="0" t="n">
        <f aca="false">IF(ISBLANK(RawFinancials!U304),"",RawFinancials!U304)</f>
        <v>0</v>
      </c>
      <c r="V304" s="0" t="n">
        <f aca="false">IF(ISBLANK(RawFinancials!V304),"",RawFinancials!V304)</f>
        <v>26.7116213478459</v>
      </c>
      <c r="W304" s="0" t="n">
        <f aca="false">IF(ISBLANK(RawFinancials!W304),"",RawFinancials!W304)</f>
        <v>20230630</v>
      </c>
      <c r="X304" s="0" t="n">
        <f aca="false">IF(ISBLANK(RawFinancials!X304),"",RawFinancials!X304)</f>
        <v>0.410119937297218</v>
      </c>
      <c r="Y304" s="0" t="n">
        <f aca="false">IF(ISBLANK(RawFinancials!Y304),"",RawFinancials!Y304)</f>
        <v>3.05</v>
      </c>
      <c r="Z304" s="0" t="str">
        <f aca="false">IF(ISBLANK(RawFinancials!Z304),"",RawFinancials!Z304)</f>
        <v>ME</v>
      </c>
      <c r="AA304" s="0" t="n">
        <f aca="false">RawFinancials!AA304</f>
        <v>1</v>
      </c>
      <c r="AB304" s="0" t="n">
        <f aca="false">RawFinancials!AB304</f>
        <v>2061</v>
      </c>
      <c r="AC304" s="0" t="n">
        <f aca="false">RawFinancials!AC304</f>
        <v>1.13220607139326</v>
      </c>
      <c r="AD304" s="0" t="n">
        <f aca="false">IF(L304&gt;0,100*N304/L304,"")</f>
        <v>97.3216208732039</v>
      </c>
      <c r="AE304" s="0" t="n">
        <f aca="false">IF(B304&gt;0,100*F304/B304,"")</f>
        <v>13.6018545985915</v>
      </c>
      <c r="AF304" s="0" t="str">
        <f aca="false">RawFinancials!AE304</f>
        <v/>
      </c>
    </row>
    <row r="305" customFormat="false" ht="15" hidden="false" customHeight="false" outlineLevel="0" collapsed="false">
      <c r="A305" s="0" t="n">
        <f aca="false">IF(ISBLANK(RawFinancials!A305),"",RawFinancials!A305)</f>
        <v>305</v>
      </c>
      <c r="B305" s="0" t="n">
        <f aca="false">IF(ISBLANK(RawFinancials!B305),"",RawFinancials!B305)</f>
        <v>185445</v>
      </c>
      <c r="C305" s="0" t="n">
        <f aca="false">IF(ISBLANK(RawFinancials!C305),"",RawFinancials!C305)</f>
        <v>29743</v>
      </c>
      <c r="D305" s="0" t="n">
        <f aca="false">IF(ISBLANK(RawFinancials!D305),"",RawFinancials!D305)</f>
        <v>165388</v>
      </c>
      <c r="E305" s="0" t="n">
        <f aca="false">IF(ISBLANK(RawFinancials!E305),"",RawFinancials!E305)</f>
        <v>-0.01</v>
      </c>
      <c r="F305" s="0" t="n">
        <f aca="false">IF(ISBLANK(RawFinancials!F305),"",RawFinancials!F305)</f>
        <v>15742</v>
      </c>
      <c r="G305" s="0" t="n">
        <f aca="false">IF(ISBLANK(RawFinancials!G305),"",RawFinancials!G305)</f>
        <v>8.48877025533177</v>
      </c>
      <c r="H305" s="0" t="str">
        <f aca="false">IF(ISBLANK(RawFinancials!H305),"",RawFinancials!H305)</f>
        <v>29743_20230630</v>
      </c>
      <c r="I305" s="0" t="n">
        <f aca="false">IF(ISBLANK(RawFinancials!I305),"",RawFinancials!I305)</f>
        <v>0.72650952534711</v>
      </c>
      <c r="J305" s="0" t="n">
        <f aca="false">IF(ISBLANK(RawFinancials!J305),"",RawFinancials!J305)</f>
        <v>27495</v>
      </c>
      <c r="K305" s="0" t="n">
        <f aca="false">IF(ISBLANK(RawFinancials!K305),"",RawFinancials!K305)</f>
        <v>20952</v>
      </c>
      <c r="L305" s="0" t="n">
        <f aca="false">IF(ISBLANK(RawFinancials!L305),"",RawFinancials!L305)</f>
        <v>130074</v>
      </c>
      <c r="M305" s="0" t="n">
        <f aca="false">IF(ISBLANK(RawFinancials!M305),"",RawFinancials!M305)</f>
        <v>129129</v>
      </c>
      <c r="N305" s="0" t="n">
        <f aca="false">IF(ISBLANK(RawFinancials!N305),"",RawFinancials!N305)</f>
        <v>81523</v>
      </c>
      <c r="O305" s="0" t="n">
        <f aca="false">IF(ISBLANK(RawFinancials!O305),"",RawFinancials!O305)</f>
        <v>624</v>
      </c>
      <c r="P305" s="0" t="str">
        <f aca="false">IF(ISBLANK(RawFinancials!P305),"",RawFinancials!P305)</f>
        <v>AROOSTOOK COUNTY FEDERAL SAVINGS AND LOAN ASSOCIATION</v>
      </c>
      <c r="Q305" s="0" t="n">
        <f aca="false">IF(ISBLANK(RawFinancials!Q305),"",RawFinancials!Q305)</f>
        <v>0.479726924673647</v>
      </c>
      <c r="R305" s="0" t="n">
        <f aca="false">IF(ISBLANK(RawFinancials!R305),"",RawFinancials!R305)</f>
        <v>2.39838700420097</v>
      </c>
      <c r="S305" s="0" t="n">
        <f aca="false">IF(ISBLANK(RawFinancials!S305),"",RawFinancials!S305)</f>
        <v>8</v>
      </c>
      <c r="T305" s="0" t="n">
        <f aca="false">IF(ISBLANK(RawFinancials!T305),"",RawFinancials!T305)</f>
        <v>575</v>
      </c>
      <c r="U305" s="0" t="n">
        <f aca="false">IF(ISBLANK(RawFinancials!U305),"",RawFinancials!U305)</f>
        <v>0</v>
      </c>
      <c r="V305" s="0" t="n">
        <f aca="false">IF(ISBLANK(RawFinancials!V305),"",RawFinancials!V305)</f>
        <v>17.6543434711346</v>
      </c>
      <c r="W305" s="0" t="n">
        <f aca="false">IF(ISBLANK(RawFinancials!W305),"",RawFinancials!W305)</f>
        <v>20230630</v>
      </c>
      <c r="X305" s="0" t="n">
        <f aca="false">IF(ISBLANK(RawFinancials!X305),"",RawFinancials!X305)</f>
        <v>0.593040868794168</v>
      </c>
      <c r="Y305" s="0" t="n">
        <f aca="false">IF(ISBLANK(RawFinancials!Y305),"",RawFinancials!Y305)</f>
        <v>7.03</v>
      </c>
      <c r="Z305" s="0" t="str">
        <f aca="false">IF(ISBLANK(RawFinancials!Z305),"",RawFinancials!Z305)</f>
        <v>ME</v>
      </c>
      <c r="AA305" s="0" t="n">
        <f aca="false">RawFinancials!AA305</f>
        <v>1</v>
      </c>
      <c r="AB305" s="0" t="n">
        <f aca="false">RawFinancials!AB305</f>
        <v>624</v>
      </c>
      <c r="AC305" s="0" t="n">
        <f aca="false">RawFinancials!AC305</f>
        <v>0.336487907465825</v>
      </c>
      <c r="AD305" s="0" t="n">
        <f aca="false">IF(L305&gt;0,100*N305/L305,"")</f>
        <v>62.6743238464259</v>
      </c>
      <c r="AE305" s="0" t="n">
        <f aca="false">IF(B305&gt;0,100*F305/B305,"")</f>
        <v>8.48877025533177</v>
      </c>
      <c r="AF305" s="0" t="str">
        <f aca="false">RawFinancials!AE305</f>
        <v/>
      </c>
    </row>
    <row r="306" customFormat="false" ht="15" hidden="false" customHeight="false" outlineLevel="0" collapsed="false">
      <c r="A306" s="0" t="n">
        <f aca="false">IF(ISBLANK(RawFinancials!A306),"",RawFinancials!A306)</f>
        <v>306</v>
      </c>
      <c r="B306" s="0" t="n">
        <f aca="false">IF(ISBLANK(RawFinancials!B306),"",RawFinancials!B306)</f>
        <v>552677</v>
      </c>
      <c r="C306" s="0" t="n">
        <f aca="false">IF(ISBLANK(RawFinancials!C306),"",RawFinancials!C306)</f>
        <v>29744</v>
      </c>
      <c r="D306" s="0" t="n">
        <f aca="false">IF(ISBLANK(RawFinancials!D306),"",RawFinancials!D306)</f>
        <v>410619</v>
      </c>
      <c r="E306" s="0" t="n">
        <f aca="false">IF(ISBLANK(RawFinancials!E306),"",RawFinancials!E306)</f>
        <v>0.01</v>
      </c>
      <c r="F306" s="0" t="n">
        <f aca="false">IF(ISBLANK(RawFinancials!F306),"",RawFinancials!F306)</f>
        <v>52781</v>
      </c>
      <c r="G306" s="0" t="n">
        <f aca="false">IF(ISBLANK(RawFinancials!G306),"",RawFinancials!G306)</f>
        <v>9.55006269484708</v>
      </c>
      <c r="H306" s="0" t="str">
        <f aca="false">IF(ISBLANK(RawFinancials!H306),"",RawFinancials!H306)</f>
        <v>29744_20230630</v>
      </c>
      <c r="I306" s="0" t="n">
        <f aca="false">IF(ISBLANK(RawFinancials!I306),"",RawFinancials!I306)</f>
        <v>0.795638968330261</v>
      </c>
      <c r="J306" s="0" t="n">
        <f aca="false">IF(ISBLANK(RawFinancials!J306),"",RawFinancials!J306)</f>
        <v>24168</v>
      </c>
      <c r="K306" s="0" t="n">
        <f aca="false">IF(ISBLANK(RawFinancials!K306),"",RawFinancials!K306)</f>
        <v>8922</v>
      </c>
      <c r="L306" s="0" t="n">
        <f aca="false">IF(ISBLANK(RawFinancials!L306),"",RawFinancials!L306)</f>
        <v>417149</v>
      </c>
      <c r="M306" s="0" t="n">
        <f aca="false">IF(ISBLANK(RawFinancials!M306),"",RawFinancials!M306)</f>
        <v>413830</v>
      </c>
      <c r="N306" s="0" t="n">
        <f aca="false">IF(ISBLANK(RawFinancials!N306),"",RawFinancials!N306)</f>
        <v>384059</v>
      </c>
      <c r="O306" s="0" t="n">
        <f aca="false">IF(ISBLANK(RawFinancials!O306),"",RawFinancials!O306)</f>
        <v>3</v>
      </c>
      <c r="P306" s="0" t="str">
        <f aca="false">IF(ISBLANK(RawFinancials!P306),"",RawFinancials!P306)</f>
        <v>FIRST SEACOAST BANK</v>
      </c>
      <c r="Q306" s="0" t="n">
        <f aca="false">IF(ISBLANK(RawFinancials!Q306),"",RawFinancials!Q306)</f>
        <v>0.0007191674917115</v>
      </c>
      <c r="R306" s="0" t="n">
        <f aca="false">IF(ISBLANK(RawFinancials!R306),"",RawFinancials!R306)</f>
        <v>2.38092808099467</v>
      </c>
      <c r="S306" s="0" t="n">
        <f aca="false">IF(ISBLANK(RawFinancials!S306),"",RawFinancials!S306)</f>
        <v>2</v>
      </c>
      <c r="T306" s="0" t="n">
        <f aca="false">IF(ISBLANK(RawFinancials!T306),"",RawFinancials!T306)</f>
        <v>0</v>
      </c>
      <c r="U306" s="0" t="n">
        <f aca="false">IF(ISBLANK(RawFinancials!U306),"",RawFinancials!U306)</f>
        <v>0</v>
      </c>
      <c r="V306" s="0" t="n">
        <f aca="false">IF(ISBLANK(RawFinancials!V306),"",RawFinancials!V306)</f>
        <v>18.6877368552431</v>
      </c>
      <c r="W306" s="0" t="n">
        <f aca="false">IF(ISBLANK(RawFinancials!W306),"",RawFinancials!W306)</f>
        <v>20230630</v>
      </c>
      <c r="X306" s="0" t="n">
        <f aca="false">IF(ISBLANK(RawFinancials!X306),"",RawFinancials!X306)</f>
        <v>-0.0278310290339886</v>
      </c>
      <c r="Y306" s="0" t="n">
        <f aca="false">IF(ISBLANK(RawFinancials!Y306),"",RawFinancials!Y306)</f>
        <v>-0.31</v>
      </c>
      <c r="Z306" s="0" t="str">
        <f aca="false">IF(ISBLANK(RawFinancials!Z306),"",RawFinancials!Z306)</f>
        <v>NH</v>
      </c>
      <c r="AA306" s="0" t="n">
        <f aca="false">RawFinancials!AA306</f>
        <v>1</v>
      </c>
      <c r="AB306" s="0" t="n">
        <f aca="false">RawFinancials!AB306</f>
        <v>3</v>
      </c>
      <c r="AC306" s="0" t="n">
        <f aca="false">RawFinancials!AC306</f>
        <v>0.000542812528836916</v>
      </c>
      <c r="AD306" s="0" t="n">
        <f aca="false">IF(L306&gt;0,100*N306/L306,"")</f>
        <v>92.0675825664211</v>
      </c>
      <c r="AE306" s="0" t="n">
        <f aca="false">IF(B306&gt;0,100*F306/B306,"")</f>
        <v>9.55006269484708</v>
      </c>
      <c r="AF306" s="0" t="str">
        <f aca="false">RawFinancials!AE306</f>
        <v/>
      </c>
    </row>
    <row r="307" customFormat="false" ht="15" hidden="false" customHeight="false" outlineLevel="0" collapsed="false">
      <c r="A307" s="0" t="n">
        <f aca="false">IF(ISBLANK(RawFinancials!A307),"",RawFinancials!A307)</f>
        <v>307</v>
      </c>
      <c r="B307" s="0" t="n">
        <f aca="false">IF(ISBLANK(RawFinancials!B307),"",RawFinancials!B307)</f>
        <v>551849</v>
      </c>
      <c r="C307" s="0" t="n">
        <f aca="false">IF(ISBLANK(RawFinancials!C307),"",RawFinancials!C307)</f>
        <v>30350</v>
      </c>
      <c r="D307" s="0" t="n">
        <f aca="false">IF(ISBLANK(RawFinancials!D307),"",RawFinancials!D307)</f>
        <v>438525</v>
      </c>
      <c r="E307" s="0" t="n">
        <f aca="false">IF(ISBLANK(RawFinancials!E307),"",RawFinancials!E307)</f>
        <v>0</v>
      </c>
      <c r="F307" s="0" t="n">
        <f aca="false">IF(ISBLANK(RawFinancials!F307),"",RawFinancials!F307)</f>
        <v>53168</v>
      </c>
      <c r="G307" s="0" t="n">
        <f aca="false">IF(ISBLANK(RawFinancials!G307),"",RawFinancials!G307)</f>
        <v>9.63451958778579</v>
      </c>
      <c r="H307" s="0" t="str">
        <f aca="false">IF(ISBLANK(RawFinancials!H307),"",RawFinancials!H307)</f>
        <v>30350_20230630</v>
      </c>
      <c r="I307" s="0" t="n">
        <f aca="false">IF(ISBLANK(RawFinancials!I307),"",RawFinancials!I307)</f>
        <v>1.29282205233295</v>
      </c>
      <c r="J307" s="0" t="n">
        <f aca="false">IF(ISBLANK(RawFinancials!J307),"",RawFinancials!J307)</f>
        <v>17162</v>
      </c>
      <c r="K307" s="0" t="n">
        <f aca="false">IF(ISBLANK(RawFinancials!K307),"",RawFinancials!K307)</f>
        <v>1216</v>
      </c>
      <c r="L307" s="0" t="n">
        <f aca="false">IF(ISBLANK(RawFinancials!L307),"",RawFinancials!L307)</f>
        <v>396729</v>
      </c>
      <c r="M307" s="0" t="n">
        <f aca="false">IF(ISBLANK(RawFinancials!M307),"",RawFinancials!M307)</f>
        <v>391600</v>
      </c>
      <c r="N307" s="0" t="n">
        <f aca="false">IF(ISBLANK(RawFinancials!N307),"",RawFinancials!N307)</f>
        <v>376669</v>
      </c>
      <c r="O307" s="0" t="n">
        <f aca="false">IF(ISBLANK(RawFinancials!O307),"",RawFinancials!O307)</f>
        <v>1166</v>
      </c>
      <c r="P307" s="0" t="str">
        <f aca="false">IF(ISBLANK(RawFinancials!P307),"",RawFinancials!P307)</f>
        <v>THE BANK OF BENNINGTON</v>
      </c>
      <c r="Q307" s="0" t="n">
        <f aca="false">IF(ISBLANK(RawFinancials!Q307),"",RawFinancials!Q307)</f>
        <v>0.293903395012716</v>
      </c>
      <c r="R307" s="0" t="n">
        <f aca="false">IF(ISBLANK(RawFinancials!R307),"",RawFinancials!R307)</f>
        <v>2.96883492457416</v>
      </c>
      <c r="S307" s="0" t="n">
        <f aca="false">IF(ISBLANK(RawFinancials!S307),"",RawFinancials!S307)</f>
        <v>-20</v>
      </c>
      <c r="T307" s="0" t="n">
        <f aca="false">IF(ISBLANK(RawFinancials!T307),"",RawFinancials!T307)</f>
        <v>486</v>
      </c>
      <c r="U307" s="0" t="n">
        <f aca="false">IF(ISBLANK(RawFinancials!U307),"",RawFinancials!U307)</f>
        <v>0</v>
      </c>
      <c r="V307" s="0" t="n">
        <f aca="false">IF(ISBLANK(RawFinancials!V307),"",RawFinancials!V307)</f>
        <v>21.5000066539797</v>
      </c>
      <c r="W307" s="0" t="n">
        <f aca="false">IF(ISBLANK(RawFinancials!W307),"",RawFinancials!W307)</f>
        <v>20230630</v>
      </c>
      <c r="X307" s="0" t="n">
        <f aca="false">IF(ISBLANK(RawFinancials!X307),"",RawFinancials!X307)</f>
        <v>0.679975874547648</v>
      </c>
      <c r="Y307" s="0" t="n">
        <f aca="false">IF(ISBLANK(RawFinancials!Y307),"",RawFinancials!Y307)</f>
        <v>7.16</v>
      </c>
      <c r="Z307" s="0" t="str">
        <f aca="false">IF(ISBLANK(RawFinancials!Z307),"",RawFinancials!Z307)</f>
        <v>VT</v>
      </c>
      <c r="AA307" s="0" t="n">
        <f aca="false">RawFinancials!AA307</f>
        <v>1</v>
      </c>
      <c r="AB307" s="0" t="n">
        <f aca="false">RawFinancials!AB307</f>
        <v>1166</v>
      </c>
      <c r="AC307" s="0" t="n">
        <f aca="false">RawFinancials!AC307</f>
        <v>0.211289682503728</v>
      </c>
      <c r="AD307" s="0" t="n">
        <f aca="false">IF(L307&gt;0,100*N307/L307,"")</f>
        <v>94.9436517118739</v>
      </c>
      <c r="AE307" s="0" t="n">
        <f aca="false">IF(B307&gt;0,100*F307/B307,"")</f>
        <v>9.63451958778579</v>
      </c>
      <c r="AF307" s="0" t="str">
        <f aca="false">RawFinancials!AE307</f>
        <v/>
      </c>
    </row>
    <row r="308" customFormat="false" ht="15" hidden="false" customHeight="false" outlineLevel="0" collapsed="false">
      <c r="A308" s="0" t="n">
        <f aca="false">IF(ISBLANK(RawFinancials!A308),"",RawFinancials!A308)</f>
        <v>308</v>
      </c>
      <c r="B308" s="0" t="n">
        <f aca="false">IF(ISBLANK(RawFinancials!B308),"",RawFinancials!B308)</f>
        <v>102023</v>
      </c>
      <c r="C308" s="0" t="n">
        <f aca="false">IF(ISBLANK(RawFinancials!C308),"",RawFinancials!C308)</f>
        <v>30878</v>
      </c>
      <c r="D308" s="0" t="n">
        <f aca="false">IF(ISBLANK(RawFinancials!D308),"",RawFinancials!D308)</f>
        <v>73248</v>
      </c>
      <c r="E308" s="0" t="n">
        <f aca="false">IF(ISBLANK(RawFinancials!E308),"",RawFinancials!E308)</f>
        <v>-0.12</v>
      </c>
      <c r="F308" s="0" t="n">
        <f aca="false">IF(ISBLANK(RawFinancials!F308),"",RawFinancials!F308)</f>
        <v>12549</v>
      </c>
      <c r="G308" s="0" t="n">
        <f aca="false">IF(ISBLANK(RawFinancials!G308),"",RawFinancials!G308)</f>
        <v>12.3001676092646</v>
      </c>
      <c r="H308" s="0" t="str">
        <f aca="false">IF(ISBLANK(RawFinancials!H308),"",RawFinancials!H308)</f>
        <v>30878_20230630</v>
      </c>
      <c r="I308" s="0" t="n">
        <f aca="false">IF(ISBLANK(RawFinancials!I308),"",RawFinancials!I308)</f>
        <v>0.824283193386785</v>
      </c>
      <c r="J308" s="0" t="n">
        <f aca="false">IF(ISBLANK(RawFinancials!J308),"",RawFinancials!J308)</f>
        <v>0</v>
      </c>
      <c r="K308" s="0" t="n">
        <f aca="false">IF(ISBLANK(RawFinancials!K308),"",RawFinancials!K308)</f>
        <v>178</v>
      </c>
      <c r="L308" s="0" t="n">
        <f aca="false">IF(ISBLANK(RawFinancials!L308),"",RawFinancials!L308)</f>
        <v>84437</v>
      </c>
      <c r="M308" s="0" t="n">
        <f aca="false">IF(ISBLANK(RawFinancials!M308),"",RawFinancials!M308)</f>
        <v>83741</v>
      </c>
      <c r="N308" s="0" t="n">
        <f aca="false">IF(ISBLANK(RawFinancials!N308),"",RawFinancials!N308)</f>
        <v>84259</v>
      </c>
      <c r="O308" s="0" t="n">
        <f aca="false">IF(ISBLANK(RawFinancials!O308),"",RawFinancials!O308)</f>
        <v>704</v>
      </c>
      <c r="P308" s="0" t="str">
        <f aca="false">IF(ISBLANK(RawFinancials!P308),"",RawFinancials!P308)</f>
        <v>BAR HARBOR SAVINGS AND LOAN ASSOCIATION</v>
      </c>
      <c r="Q308" s="0" t="n">
        <f aca="false">IF(ISBLANK(RawFinancials!Q308),"",RawFinancials!Q308)</f>
        <v>0.833757712851001</v>
      </c>
      <c r="R308" s="0" t="n">
        <f aca="false">IF(ISBLANK(RawFinancials!R308),"",RawFinancials!R308)</f>
        <v>1.78418160806126</v>
      </c>
      <c r="S308" s="0" t="n">
        <f aca="false">IF(ISBLANK(RawFinancials!S308),"",RawFinancials!S308)</f>
        <v>0</v>
      </c>
      <c r="T308" s="0" t="n">
        <f aca="false">IF(ISBLANK(RawFinancials!T308),"",RawFinancials!T308)</f>
        <v>109</v>
      </c>
      <c r="U308" s="0" t="n">
        <f aca="false">IF(ISBLANK(RawFinancials!U308),"",RawFinancials!U308)</f>
        <v>0</v>
      </c>
      <c r="V308" s="0" t="n">
        <f aca="false">IF(ISBLANK(RawFinancials!V308),"",RawFinancials!V308)</f>
        <v>0</v>
      </c>
      <c r="W308" s="0" t="n">
        <f aca="false">IF(ISBLANK(RawFinancials!W308),"",RawFinancials!W308)</f>
        <v>20230630</v>
      </c>
      <c r="X308" s="0" t="n">
        <f aca="false">IF(ISBLANK(RawFinancials!X308),"",RawFinancials!X308)</f>
        <v>0.095722443982835</v>
      </c>
      <c r="Y308" s="0" t="n">
        <f aca="false">IF(ISBLANK(RawFinancials!Y308),"",RawFinancials!Y308)</f>
        <v>0.78</v>
      </c>
      <c r="Z308" s="0" t="str">
        <f aca="false">IF(ISBLANK(RawFinancials!Z308),"",RawFinancials!Z308)</f>
        <v>ME</v>
      </c>
      <c r="AA308" s="0" t="n">
        <f aca="false">RawFinancials!AA308</f>
        <v>1</v>
      </c>
      <c r="AB308" s="0" t="n">
        <f aca="false">RawFinancials!AB308</f>
        <v>704</v>
      </c>
      <c r="AC308" s="0" t="n">
        <f aca="false">RawFinancials!AC308</f>
        <v>0.690040481067994</v>
      </c>
      <c r="AD308" s="0" t="n">
        <f aca="false">IF(L308&gt;0,100*N308/L308,"")</f>
        <v>99.7891919419212</v>
      </c>
      <c r="AE308" s="0" t="n">
        <f aca="false">IF(B308&gt;0,100*F308/B308,"")</f>
        <v>12.3001676092646</v>
      </c>
      <c r="AF308" s="0" t="str">
        <f aca="false">RawFinancials!AE308</f>
        <v>原始0：需核实适用/报告口径</v>
      </c>
    </row>
    <row r="309" customFormat="false" ht="15" hidden="false" customHeight="false" outlineLevel="0" collapsed="false">
      <c r="A309" s="0" t="n">
        <f aca="false">IF(ISBLANK(RawFinancials!A309),"",RawFinancials!A309)</f>
        <v>309</v>
      </c>
      <c r="B309" s="0" t="n">
        <f aca="false">IF(ISBLANK(RawFinancials!B309),"",RawFinancials!B309)</f>
        <v>749197</v>
      </c>
      <c r="C309" s="0" t="n">
        <f aca="false">IF(ISBLANK(RawFinancials!C309),"",RawFinancials!C309)</f>
        <v>33418</v>
      </c>
      <c r="D309" s="0" t="n">
        <f aca="false">IF(ISBLANK(RawFinancials!D309),"",RawFinancials!D309)</f>
        <v>565840</v>
      </c>
      <c r="E309" s="0" t="n">
        <f aca="false">IF(ISBLANK(RawFinancials!E309),"",RawFinancials!E309)</f>
        <v>0.07</v>
      </c>
      <c r="F309" s="0" t="n">
        <f aca="false">IF(ISBLANK(RawFinancials!F309),"",RawFinancials!F309)</f>
        <v>68367</v>
      </c>
      <c r="G309" s="0" t="n">
        <f aca="false">IF(ISBLANK(RawFinancials!G309),"",RawFinancials!G309)</f>
        <v>9.12537022972596</v>
      </c>
      <c r="H309" s="0" t="str">
        <f aca="false">IF(ISBLANK(RawFinancials!H309),"",RawFinancials!H309)</f>
        <v>33418_20230630</v>
      </c>
      <c r="I309" s="0" t="n">
        <f aca="false">IF(ISBLANK(RawFinancials!I309),"",RawFinancials!I309)</f>
        <v>0.836717678384121</v>
      </c>
      <c r="J309" s="0" t="n">
        <f aca="false">IF(ISBLANK(RawFinancials!J309),"",RawFinancials!J309)</f>
        <v>45951</v>
      </c>
      <c r="K309" s="0" t="n">
        <f aca="false">IF(ISBLANK(RawFinancials!K309),"",RawFinancials!K309)</f>
        <v>11428</v>
      </c>
      <c r="L309" s="0" t="n">
        <f aca="false">IF(ISBLANK(RawFinancials!L309),"",RawFinancials!L309)</f>
        <v>371810</v>
      </c>
      <c r="M309" s="0" t="n">
        <f aca="false">IF(ISBLANK(RawFinancials!M309),"",RawFinancials!M309)</f>
        <v>368699</v>
      </c>
      <c r="N309" s="0" t="n">
        <f aca="false">IF(ISBLANK(RawFinancials!N309),"",RawFinancials!N309)</f>
        <v>314793</v>
      </c>
      <c r="O309" s="0" t="n">
        <f aca="false">IF(ISBLANK(RawFinancials!O309),"",RawFinancials!O309)</f>
        <v>1120</v>
      </c>
      <c r="P309" s="0" t="str">
        <f aca="false">IF(ISBLANK(RawFinancials!P309),"",RawFinancials!P309)</f>
        <v>LEDYARD NATIONAL BANK</v>
      </c>
      <c r="Q309" s="0" t="n">
        <f aca="false">IF(ISBLANK(RawFinancials!Q309),"",RawFinancials!Q309)</f>
        <v>0.301229122401226</v>
      </c>
      <c r="R309" s="0" t="n">
        <f aca="false">IF(ISBLANK(RawFinancials!R309),"",RawFinancials!R309)</f>
        <v>2.80710680168781</v>
      </c>
      <c r="S309" s="0" t="n">
        <f aca="false">IF(ISBLANK(RawFinancials!S309),"",RawFinancials!S309)</f>
        <v>-24</v>
      </c>
      <c r="T309" s="0" t="n">
        <f aca="false">IF(ISBLANK(RawFinancials!T309),"",RawFinancials!T309)</f>
        <v>58</v>
      </c>
      <c r="U309" s="0" t="n">
        <f aca="false">IF(ISBLANK(RawFinancials!U309),"",RawFinancials!U309)</f>
        <v>0</v>
      </c>
      <c r="V309" s="0" t="n">
        <f aca="false">IF(ISBLANK(RawFinancials!V309),"",RawFinancials!V309)</f>
        <v>18.5404060518078</v>
      </c>
      <c r="W309" s="0" t="n">
        <f aca="false">IF(ISBLANK(RawFinancials!W309),"",RawFinancials!W309)</f>
        <v>20230630</v>
      </c>
      <c r="X309" s="0" t="n">
        <f aca="false">IF(ISBLANK(RawFinancials!X309),"",RawFinancials!X309)</f>
        <v>0.729624498215505</v>
      </c>
      <c r="Y309" s="0" t="n">
        <f aca="false">IF(ISBLANK(RawFinancials!Y309),"",RawFinancials!Y309)</f>
        <v>8.11</v>
      </c>
      <c r="Z309" s="0" t="str">
        <f aca="false">IF(ISBLANK(RawFinancials!Z309),"",RawFinancials!Z309)</f>
        <v>VT</v>
      </c>
      <c r="AA309" s="0" t="n">
        <f aca="false">RawFinancials!AA309</f>
        <v>1</v>
      </c>
      <c r="AB309" s="0" t="n">
        <f aca="false">RawFinancials!AB309</f>
        <v>1120</v>
      </c>
      <c r="AC309" s="0" t="n">
        <f aca="false">RawFinancials!AC309</f>
        <v>0.149493390923883</v>
      </c>
      <c r="AD309" s="0" t="n">
        <f aca="false">IF(L309&gt;0,100*N309/L309,"")</f>
        <v>84.6650170786154</v>
      </c>
      <c r="AE309" s="0" t="n">
        <f aca="false">IF(B309&gt;0,100*F309/B309,"")</f>
        <v>9.12537022972596</v>
      </c>
      <c r="AF309" s="0" t="str">
        <f aca="false">RawFinancials!AE309</f>
        <v/>
      </c>
    </row>
    <row r="310" customFormat="false" ht="15" hidden="false" customHeight="false" outlineLevel="0" collapsed="false">
      <c r="A310" s="0" t="n">
        <f aca="false">IF(ISBLANK(RawFinancials!A310),"",RawFinancials!A310)</f>
        <v>310</v>
      </c>
      <c r="B310" s="0" t="n">
        <f aca="false">IF(ISBLANK(RawFinancials!B310),"",RawFinancials!B310)</f>
        <v>69697</v>
      </c>
      <c r="C310" s="0" t="n">
        <f aca="false">IF(ISBLANK(RawFinancials!C310),"",RawFinancials!C310)</f>
        <v>35206</v>
      </c>
      <c r="D310" s="0" t="n">
        <f aca="false">IF(ISBLANK(RawFinancials!D310),"",RawFinancials!D310)</f>
        <v>500</v>
      </c>
      <c r="E310" s="0" t="n">
        <f aca="false">IF(ISBLANK(RawFinancials!E310),"",RawFinancials!E310)</f>
        <v>0</v>
      </c>
      <c r="F310" s="0" t="n">
        <f aca="false">IF(ISBLANK(RawFinancials!F310),"",RawFinancials!F310)</f>
        <v>67177</v>
      </c>
      <c r="G310" s="0" t="n">
        <f aca="false">IF(ISBLANK(RawFinancials!G310),"",RawFinancials!G310)</f>
        <v>96.384349398109</v>
      </c>
      <c r="H310" s="0" t="str">
        <f aca="false">IF(ISBLANK(RawFinancials!H310),"",RawFinancials!H310)</f>
        <v>35206_20230630</v>
      </c>
      <c r="I310" s="0" t="n">
        <f aca="false">IF(ISBLANK(RawFinancials!I310),"",RawFinancials!I310)</f>
        <v>0</v>
      </c>
      <c r="J310" s="0" t="n">
        <f aca="false">IF(ISBLANK(RawFinancials!J310),"",RawFinancials!J310)</f>
        <v>0</v>
      </c>
      <c r="K310" s="0" t="n">
        <f aca="false">IF(ISBLANK(RawFinancials!K310),"",RawFinancials!K310)</f>
        <v>0</v>
      </c>
      <c r="L310" s="0" t="n">
        <f aca="false">IF(ISBLANK(RawFinancials!L310),"",RawFinancials!L310)</f>
        <v>0</v>
      </c>
      <c r="M310" s="0" t="n">
        <f aca="false">IF(ISBLANK(RawFinancials!M310),"",RawFinancials!M310)</f>
        <v>0</v>
      </c>
      <c r="N310" s="0" t="n">
        <f aca="false">IF(ISBLANK(RawFinancials!N310),"",RawFinancials!N310)</f>
        <v>0</v>
      </c>
      <c r="O310" s="0" t="n">
        <f aca="false">IF(ISBLANK(RawFinancials!O310),"",RawFinancials!O310)</f>
        <v>0</v>
      </c>
      <c r="P310" s="0" t="str">
        <f aca="false">IF(ISBLANK(RawFinancials!P310),"",RawFinancials!P310)</f>
        <v>FIDELITY PERSONAL TRUST COMPANY, FSB</v>
      </c>
      <c r="Q310" s="0" t="n">
        <f aca="false">IF(ISBLANK(RawFinancials!Q310),"",RawFinancials!Q310)</f>
        <v>0</v>
      </c>
      <c r="R310" s="0" t="n">
        <f aca="false">IF(ISBLANK(RawFinancials!R310),"",RawFinancials!R310)</f>
        <v>4.70983556889856</v>
      </c>
      <c r="S310" s="0" t="n">
        <f aca="false">IF(ISBLANK(RawFinancials!S310),"",RawFinancials!S310)</f>
        <v>0</v>
      </c>
      <c r="T310" s="0" t="n">
        <f aca="false">IF(ISBLANK(RawFinancials!T310),"",RawFinancials!T310)</f>
        <v>0</v>
      </c>
      <c r="U310" s="0" t="n">
        <f aca="false">IF(ISBLANK(RawFinancials!U310),"",RawFinancials!U310)</f>
        <v>0</v>
      </c>
      <c r="V310" s="0" t="n">
        <f aca="false">IF(ISBLANK(RawFinancials!V310),"",RawFinancials!V310)</f>
        <v>0</v>
      </c>
      <c r="W310" s="0" t="n">
        <f aca="false">IF(ISBLANK(RawFinancials!W310),"",RawFinancials!W310)</f>
        <v>20230630</v>
      </c>
      <c r="X310" s="0" t="n">
        <f aca="false">IF(ISBLANK(RawFinancials!X310),"",RawFinancials!X310)</f>
        <v>19.5425080098353</v>
      </c>
      <c r="Y310" s="0" t="n">
        <f aca="false">IF(ISBLANK(RawFinancials!Y310),"",RawFinancials!Y310)</f>
        <v>20.51</v>
      </c>
      <c r="Z310" s="0" t="str">
        <f aca="false">IF(ISBLANK(RawFinancials!Z310),"",RawFinancials!Z310)</f>
        <v>NH</v>
      </c>
      <c r="AA310" s="0" t="n">
        <f aca="false">RawFinancials!AA310</f>
        <v>1</v>
      </c>
      <c r="AB310" s="0" t="n">
        <f aca="false">RawFinancials!AB310</f>
        <v>0</v>
      </c>
      <c r="AC310" s="0" t="n">
        <f aca="false">RawFinancials!AC310</f>
        <v>0</v>
      </c>
      <c r="AD310" s="0" t="str">
        <f aca="false">IF(L310&gt;0,100*N310/L310,"")</f>
        <v/>
      </c>
      <c r="AE310" s="0" t="n">
        <f aca="false">IF(B310&gt;0,100*F310/B310,"")</f>
        <v>96.384349398109</v>
      </c>
      <c r="AF310" s="0" t="str">
        <f aca="false">RawFinancials!AE310</f>
        <v>原始0：需核实适用/报告口径</v>
      </c>
    </row>
    <row r="311" customFormat="false" ht="15" hidden="false" customHeight="false" outlineLevel="0" collapsed="false">
      <c r="A311" s="0" t="n">
        <f aca="false">IF(ISBLANK(RawFinancials!A311),"",RawFinancials!A311)</f>
        <v>311</v>
      </c>
      <c r="B311" s="0" t="n">
        <f aca="false">IF(ISBLANK(RawFinancials!B311),"",RawFinancials!B311)</f>
        <v>5734437</v>
      </c>
      <c r="C311" s="0" t="n">
        <f aca="false">IF(ISBLANK(RawFinancials!C311),"",RawFinancials!C311)</f>
        <v>4255</v>
      </c>
      <c r="D311" s="0" t="n">
        <f aca="false">IF(ISBLANK(RawFinancials!D311),"",RawFinancials!D311)</f>
        <v>4731600</v>
      </c>
      <c r="E311" s="0" t="n">
        <f aca="false">IF(ISBLANK(RawFinancials!E311),"",RawFinancials!E311)</f>
        <v>0.01</v>
      </c>
      <c r="F311" s="0" t="n">
        <f aca="false">IF(ISBLANK(RawFinancials!F311),"",RawFinancials!F311)</f>
        <v>478695</v>
      </c>
      <c r="G311" s="0" t="n">
        <f aca="false">IF(ISBLANK(RawFinancials!G311),"",RawFinancials!G311)</f>
        <v>8.3477244583906</v>
      </c>
      <c r="H311" s="0" t="str">
        <f aca="false">IF(ISBLANK(RawFinancials!H311),"",RawFinancials!H311)</f>
        <v>4255_20230630</v>
      </c>
      <c r="I311" s="0" t="n">
        <f aca="false">IF(ISBLANK(RawFinancials!I311),"",RawFinancials!I311)</f>
        <v>0.899355497964942</v>
      </c>
      <c r="J311" s="0" t="n">
        <f aca="false">IF(ISBLANK(RawFinancials!J311),"",RawFinancials!J311)</f>
        <v>346048</v>
      </c>
      <c r="K311" s="0" t="n">
        <f aca="false">IF(ISBLANK(RawFinancials!K311),"",RawFinancials!K311)</f>
        <v>19845</v>
      </c>
      <c r="L311" s="0" t="n">
        <f aca="false">IF(ISBLANK(RawFinancials!L311),"",RawFinancials!L311)</f>
        <v>4112167</v>
      </c>
      <c r="M311" s="0" t="n">
        <f aca="false">IF(ISBLANK(RawFinancials!M311),"",RawFinancials!M311)</f>
        <v>4075184</v>
      </c>
      <c r="N311" s="0" t="n">
        <f aca="false">IF(ISBLANK(RawFinancials!N311),"",RawFinancials!N311)</f>
        <v>3708024</v>
      </c>
      <c r="O311" s="0" t="n">
        <f aca="false">IF(ISBLANK(RawFinancials!O311),"",RawFinancials!O311)</f>
        <v>3048</v>
      </c>
      <c r="P311" s="0" t="str">
        <f aca="false">IF(ISBLANK(RawFinancials!P311),"",RawFinancials!P311)</f>
        <v>THE CAMDEN NATIONAL BANK</v>
      </c>
      <c r="Q311" s="0" t="n">
        <f aca="false">IF(ISBLANK(RawFinancials!Q311),"",RawFinancials!Q311)</f>
        <v>0.0741215033338869</v>
      </c>
      <c r="R311" s="0" t="n">
        <f aca="false">IF(ISBLANK(RawFinancials!R311),"",RawFinancials!R311)</f>
        <v>2.58787003447893</v>
      </c>
      <c r="S311" s="0" t="n">
        <f aca="false">IF(ISBLANK(RawFinancials!S311),"",RawFinancials!S311)</f>
        <v>683</v>
      </c>
      <c r="T311" s="0" t="n">
        <f aca="false">IF(ISBLANK(RawFinancials!T311),"",RawFinancials!T311)</f>
        <v>2251</v>
      </c>
      <c r="U311" s="0" t="n">
        <f aca="false">IF(ISBLANK(RawFinancials!U311),"",RawFinancials!U311)</f>
        <v>0</v>
      </c>
      <c r="V311" s="0" t="n">
        <f aca="false">IF(ISBLANK(RawFinancials!V311),"",RawFinancials!V311)</f>
        <v>13.2297972957237</v>
      </c>
      <c r="W311" s="0" t="n">
        <f aca="false">IF(ISBLANK(RawFinancials!W311),"",RawFinancials!W311)</f>
        <v>20230630</v>
      </c>
      <c r="X311" s="0" t="n">
        <f aca="false">IF(ISBLANK(RawFinancials!X311),"",RawFinancials!X311)</f>
        <v>0.927240843731989</v>
      </c>
      <c r="Y311" s="0" t="n">
        <f aca="false">IF(ISBLANK(RawFinancials!Y311),"",RawFinancials!Y311)</f>
        <v>11.21</v>
      </c>
      <c r="Z311" s="0" t="str">
        <f aca="false">IF(ISBLANK(RawFinancials!Z311),"",RawFinancials!Z311)</f>
        <v>ME</v>
      </c>
      <c r="AA311" s="0" t="n">
        <f aca="false">RawFinancials!AA311</f>
        <v>1</v>
      </c>
      <c r="AB311" s="0" t="n">
        <f aca="false">RawFinancials!AB311</f>
        <v>3048</v>
      </c>
      <c r="AC311" s="0" t="n">
        <f aca="false">RawFinancials!AC311</f>
        <v>0.0531525588300996</v>
      </c>
      <c r="AD311" s="0" t="n">
        <f aca="false">IF(L311&gt;0,100*N311/L311,"")</f>
        <v>90.1720187920384</v>
      </c>
      <c r="AE311" s="0" t="n">
        <f aca="false">IF(B311&gt;0,100*F311/B311,"")</f>
        <v>8.3477244583906</v>
      </c>
      <c r="AF311" s="0" t="str">
        <f aca="false">RawFinancials!AE311</f>
        <v/>
      </c>
    </row>
    <row r="312" customFormat="false" ht="15" hidden="false" customHeight="false" outlineLevel="0" collapsed="false">
      <c r="A312" s="0" t="n">
        <f aca="false">IF(ISBLANK(RawFinancials!A312),"",RawFinancials!A312)</f>
        <v>312</v>
      </c>
      <c r="B312" s="0" t="n">
        <f aca="false">IF(ISBLANK(RawFinancials!B312),"",RawFinancials!B312)</f>
        <v>2844637</v>
      </c>
      <c r="C312" s="0" t="n">
        <f aca="false">IF(ISBLANK(RawFinancials!C312),"",RawFinancials!C312)</f>
        <v>4256</v>
      </c>
      <c r="D312" s="0" t="n">
        <f aca="false">IF(ISBLANK(RawFinancials!D312),"",RawFinancials!D312)</f>
        <v>2500556</v>
      </c>
      <c r="E312" s="0" t="n">
        <f aca="false">IF(ISBLANK(RawFinancials!E312),"",RawFinancials!E312)</f>
        <v>0.05</v>
      </c>
      <c r="F312" s="0" t="n">
        <f aca="false">IF(ISBLANK(RawFinancials!F312),"",RawFinancials!F312)</f>
        <v>203536</v>
      </c>
      <c r="G312" s="0" t="n">
        <f aca="false">IF(ISBLANK(RawFinancials!G312),"",RawFinancials!G312)</f>
        <v>7.15507813474971</v>
      </c>
      <c r="H312" s="0" t="str">
        <f aca="false">IF(ISBLANK(RawFinancials!H312),"",RawFinancials!H312)</f>
        <v>4256_20230630</v>
      </c>
      <c r="I312" s="0" t="n">
        <f aca="false">IF(ISBLANK(RawFinancials!I312),"",RawFinancials!I312)</f>
        <v>1.13855095191399</v>
      </c>
      <c r="J312" s="0" t="n">
        <f aca="false">IF(ISBLANK(RawFinancials!J312),"",RawFinancials!J312)</f>
        <v>306090</v>
      </c>
      <c r="K312" s="0" t="n">
        <f aca="false">IF(ISBLANK(RawFinancials!K312),"",RawFinancials!K312)</f>
        <v>20316</v>
      </c>
      <c r="L312" s="0" t="n">
        <f aca="false">IF(ISBLANK(RawFinancials!L312),"",RawFinancials!L312)</f>
        <v>2060953</v>
      </c>
      <c r="M312" s="0" t="n">
        <f aca="false">IF(ISBLANK(RawFinancials!M312),"",RawFinancials!M312)</f>
        <v>2037488</v>
      </c>
      <c r="N312" s="0" t="n">
        <f aca="false">IF(ISBLANK(RawFinancials!N312),"",RawFinancials!N312)</f>
        <v>1630531</v>
      </c>
      <c r="O312" s="0" t="n">
        <f aca="false">IF(ISBLANK(RawFinancials!O312),"",RawFinancials!O312)</f>
        <v>1676</v>
      </c>
      <c r="P312" s="0" t="str">
        <f aca="false">IF(ISBLANK(RawFinancials!P312),"",RawFinancials!P312)</f>
        <v>FIRST NATIONAL BANK</v>
      </c>
      <c r="Q312" s="0" t="n">
        <f aca="false">IF(ISBLANK(RawFinancials!Q312),"",RawFinancials!Q312)</f>
        <v>0.0967513572604518</v>
      </c>
      <c r="R312" s="0" t="n">
        <f aca="false">IF(ISBLANK(RawFinancials!R312),"",RawFinancials!R312)</f>
        <v>2.56137469947548</v>
      </c>
      <c r="S312" s="0" t="n">
        <f aca="false">IF(ISBLANK(RawFinancials!S312),"",RawFinancials!S312)</f>
        <v>48</v>
      </c>
      <c r="T312" s="0" t="n">
        <f aca="false">IF(ISBLANK(RawFinancials!T312),"",RawFinancials!T312)</f>
        <v>1949</v>
      </c>
      <c r="U312" s="0" t="n">
        <f aca="false">IF(ISBLANK(RawFinancials!U312),"",RawFinancials!U312)</f>
        <v>318</v>
      </c>
      <c r="V312" s="0" t="n">
        <f aca="false">IF(ISBLANK(RawFinancials!V312),"",RawFinancials!V312)</f>
        <v>13.625326178735</v>
      </c>
      <c r="W312" s="0" t="n">
        <f aca="false">IF(ISBLANK(RawFinancials!W312),"",RawFinancials!W312)</f>
        <v>20230630</v>
      </c>
      <c r="X312" s="0" t="n">
        <f aca="false">IF(ISBLANK(RawFinancials!X312),"",RawFinancials!X312)</f>
        <v>1.14263750716926</v>
      </c>
      <c r="Y312" s="0" t="n">
        <f aca="false">IF(ISBLANK(RawFinancials!Y312),"",RawFinancials!Y312)</f>
        <v>15.76</v>
      </c>
      <c r="Z312" s="0" t="str">
        <f aca="false">IF(ISBLANK(RawFinancials!Z312),"",RawFinancials!Z312)</f>
        <v>ME</v>
      </c>
      <c r="AA312" s="0" t="n">
        <f aca="false">RawFinancials!AA312</f>
        <v>1</v>
      </c>
      <c r="AB312" s="0" t="n">
        <f aca="false">RawFinancials!AB312</f>
        <v>1994</v>
      </c>
      <c r="AC312" s="0" t="n">
        <f aca="false">RawFinancials!AC312</f>
        <v>0.0700968172740494</v>
      </c>
      <c r="AD312" s="0" t="n">
        <f aca="false">IF(L312&gt;0,100*N312/L312,"")</f>
        <v>79.1153898220872</v>
      </c>
      <c r="AE312" s="0" t="n">
        <f aca="false">IF(B312&gt;0,100*F312/B312,"")</f>
        <v>7.15507813474971</v>
      </c>
      <c r="AF312" s="0" t="str">
        <f aca="false">RawFinancials!AE312</f>
        <v/>
      </c>
    </row>
    <row r="313" customFormat="false" ht="15" hidden="false" customHeight="false" outlineLevel="0" collapsed="false">
      <c r="A313" s="0" t="n">
        <f aca="false">IF(ISBLANK(RawFinancials!A313),"",RawFinancials!A313)</f>
        <v>313</v>
      </c>
      <c r="B313" s="0" t="n">
        <f aca="false">IF(ISBLANK(RawFinancials!B313),"",RawFinancials!B313)</f>
        <v>695227</v>
      </c>
      <c r="C313" s="0" t="n">
        <f aca="false">IF(ISBLANK(RawFinancials!C313),"",RawFinancials!C313)</f>
        <v>59086</v>
      </c>
      <c r="D313" s="0" t="n">
        <f aca="false">IF(ISBLANK(RawFinancials!D313),"",RawFinancials!D313)</f>
        <v>607749</v>
      </c>
      <c r="E313" s="0" t="n">
        <f aca="false">IF(ISBLANK(RawFinancials!E313),"",RawFinancials!E313)</f>
        <v>-0.05</v>
      </c>
      <c r="F313" s="0" t="n">
        <f aca="false">IF(ISBLANK(RawFinancials!F313),"",RawFinancials!F313)</f>
        <v>83914</v>
      </c>
      <c r="G313" s="0" t="n">
        <f aca="false">IF(ISBLANK(RawFinancials!G313),"",RawFinancials!G313)</f>
        <v>12.0700145420129</v>
      </c>
      <c r="H313" s="0" t="str">
        <f aca="false">IF(ISBLANK(RawFinancials!H313),"",RawFinancials!H313)</f>
        <v>59086_20230630</v>
      </c>
      <c r="I313" s="0" t="n">
        <f aca="false">IF(ISBLANK(RawFinancials!I313),"",RawFinancials!I313)</f>
        <v>1.03426363246028</v>
      </c>
      <c r="J313" s="0" t="n">
        <f aca="false">IF(ISBLANK(RawFinancials!J313),"",RawFinancials!J313)</f>
        <v>116363</v>
      </c>
      <c r="K313" s="0" t="n">
        <f aca="false">IF(ISBLANK(RawFinancials!K313),"",RawFinancials!K313)</f>
        <v>0</v>
      </c>
      <c r="L313" s="0" t="n">
        <f aca="false">IF(ISBLANK(RawFinancials!L313),"",RawFinancials!L313)</f>
        <v>582250</v>
      </c>
      <c r="M313" s="0" t="n">
        <f aca="false">IF(ISBLANK(RawFinancials!M313),"",RawFinancials!M313)</f>
        <v>576228</v>
      </c>
      <c r="N313" s="0" t="n">
        <f aca="false">IF(ISBLANK(RawFinancials!N313),"",RawFinancials!N313)</f>
        <v>466335</v>
      </c>
      <c r="O313" s="0" t="n">
        <f aca="false">IF(ISBLANK(RawFinancials!O313),"",RawFinancials!O313)</f>
        <v>4947</v>
      </c>
      <c r="P313" s="0" t="str">
        <f aca="false">IF(ISBLANK(RawFinancials!P313),"",RawFinancials!P313)</f>
        <v>PRIMARY BANK</v>
      </c>
      <c r="Q313" s="0" t="n">
        <f aca="false">IF(ISBLANK(RawFinancials!Q313),"",RawFinancials!Q313)</f>
        <v>0.49480463718334</v>
      </c>
      <c r="R313" s="0" t="n">
        <f aca="false">IF(ISBLANK(RawFinancials!R313),"",RawFinancials!R313)</f>
        <v>4.13253602764002</v>
      </c>
      <c r="S313" s="0" t="n">
        <f aca="false">IF(ISBLANK(RawFinancials!S313),"",RawFinancials!S313)</f>
        <v>313</v>
      </c>
      <c r="T313" s="0" t="n">
        <f aca="false">IF(ISBLANK(RawFinancials!T313),"",RawFinancials!T313)</f>
        <v>1699</v>
      </c>
      <c r="U313" s="0" t="n">
        <f aca="false">IF(ISBLANK(RawFinancials!U313),"",RawFinancials!U313)</f>
        <v>45</v>
      </c>
      <c r="V313" s="0" t="n">
        <f aca="false">IF(ISBLANK(RawFinancials!V313),"",RawFinancials!V313)</f>
        <v>14.706791359989</v>
      </c>
      <c r="W313" s="0" t="n">
        <f aca="false">IF(ISBLANK(RawFinancials!W313),"",RawFinancials!W313)</f>
        <v>20230630</v>
      </c>
      <c r="X313" s="0" t="n">
        <f aca="false">IF(ISBLANK(RawFinancials!X313),"",RawFinancials!X313)</f>
        <v>1.69256858441187</v>
      </c>
      <c r="Y313" s="0" t="n">
        <f aca="false">IF(ISBLANK(RawFinancials!Y313),"",RawFinancials!Y313)</f>
        <v>14.36</v>
      </c>
      <c r="Z313" s="0" t="str">
        <f aca="false">IF(ISBLANK(RawFinancials!Z313),"",RawFinancials!Z313)</f>
        <v>NH</v>
      </c>
      <c r="AA313" s="0" t="n">
        <f aca="false">RawFinancials!AA313</f>
        <v>1</v>
      </c>
      <c r="AB313" s="0" t="n">
        <f aca="false">RawFinancials!AB313</f>
        <v>4992</v>
      </c>
      <c r="AC313" s="0" t="n">
        <f aca="false">RawFinancials!AC313</f>
        <v>0.71803885637353</v>
      </c>
      <c r="AD313" s="0" t="n">
        <f aca="false">IF(L313&gt;0,100*N313/L313,"")</f>
        <v>80.0918849291542</v>
      </c>
      <c r="AE313" s="0" t="n">
        <f aca="false">IF(B313&gt;0,100*F313/B313,"")</f>
        <v>12.0700145420129</v>
      </c>
      <c r="AF313" s="0" t="str">
        <f aca="false">RawFinancials!AE313</f>
        <v/>
      </c>
    </row>
    <row r="314" customFormat="false" ht="15" hidden="false" customHeight="false" outlineLevel="0" collapsed="false">
      <c r="A314" s="0" t="n">
        <f aca="false">IF(ISBLANK(RawFinancials!A314),"",RawFinancials!A314)</f>
        <v>314</v>
      </c>
      <c r="B314" s="0" t="n">
        <f aca="false">IF(ISBLANK(RawFinancials!B314),"",RawFinancials!B314)</f>
        <v>202708</v>
      </c>
      <c r="C314" s="0" t="n">
        <f aca="false">IF(ISBLANK(RawFinancials!C314),"",RawFinancials!C314)</f>
        <v>59176</v>
      </c>
      <c r="D314" s="0" t="n">
        <f aca="false">IF(ISBLANK(RawFinancials!D314),"",RawFinancials!D314)</f>
        <v>173553</v>
      </c>
      <c r="E314" s="0" t="n">
        <f aca="false">IF(ISBLANK(RawFinancials!E314),"",RawFinancials!E314)</f>
        <v>0.2</v>
      </c>
      <c r="F314" s="0" t="n">
        <f aca="false">IF(ISBLANK(RawFinancials!F314),"",RawFinancials!F314)</f>
        <v>23273</v>
      </c>
      <c r="G314" s="0" t="n">
        <f aca="false">IF(ISBLANK(RawFinancials!G314),"",RawFinancials!G314)</f>
        <v>11.4810466286481</v>
      </c>
      <c r="H314" s="0" t="str">
        <f aca="false">IF(ISBLANK(RawFinancials!H314),"",RawFinancials!H314)</f>
        <v>59176_20230630</v>
      </c>
      <c r="I314" s="0" t="n">
        <f aca="false">IF(ISBLANK(RawFinancials!I314),"",RawFinancials!I314)</f>
        <v>1.04495037945126</v>
      </c>
      <c r="J314" s="0" t="n">
        <f aca="false">IF(ISBLANK(RawFinancials!J314),"",RawFinancials!J314)</f>
        <v>19871</v>
      </c>
      <c r="K314" s="0" t="n">
        <f aca="false">IF(ISBLANK(RawFinancials!K314),"",RawFinancials!K314)</f>
        <v>6</v>
      </c>
      <c r="L314" s="0" t="n">
        <f aca="false">IF(ISBLANK(RawFinancials!L314),"",RawFinancials!L314)</f>
        <v>137040</v>
      </c>
      <c r="M314" s="0" t="n">
        <f aca="false">IF(ISBLANK(RawFinancials!M314),"",RawFinancials!M314)</f>
        <v>135608</v>
      </c>
      <c r="N314" s="0" t="n">
        <f aca="false">IF(ISBLANK(RawFinancials!N314),"",RawFinancials!N314)</f>
        <v>117163</v>
      </c>
      <c r="O314" s="0" t="n">
        <f aca="false">IF(ISBLANK(RawFinancials!O314),"",RawFinancials!O314)</f>
        <v>0</v>
      </c>
      <c r="P314" s="0" t="str">
        <f aca="false">IF(ISBLANK(RawFinancials!P314),"",RawFinancials!P314)</f>
        <v>THE MILLYARD BANK</v>
      </c>
      <c r="Q314" s="0" t="n">
        <f aca="false">IF(ISBLANK(RawFinancials!Q314),"",RawFinancials!Q314)</f>
        <v>0</v>
      </c>
      <c r="R314" s="0" t="n">
        <f aca="false">IF(ISBLANK(RawFinancials!R314),"",RawFinancials!R314)</f>
        <v>2.54666176438783</v>
      </c>
      <c r="S314" s="0" t="n">
        <f aca="false">IF(ISBLANK(RawFinancials!S314),"",RawFinancials!S314)</f>
        <v>34</v>
      </c>
      <c r="T314" s="0" t="n">
        <f aca="false">IF(ISBLANK(RawFinancials!T314),"",RawFinancials!T314)</f>
        <v>0</v>
      </c>
      <c r="U314" s="0" t="n">
        <f aca="false">IF(ISBLANK(RawFinancials!U314),"",RawFinancials!U314)</f>
        <v>0</v>
      </c>
      <c r="V314" s="0" t="n">
        <f aca="false">IF(ISBLANK(RawFinancials!V314),"",RawFinancials!V314)</f>
        <v>18.4854420018709</v>
      </c>
      <c r="W314" s="0" t="n">
        <f aca="false">IF(ISBLANK(RawFinancials!W314),"",RawFinancials!W314)</f>
        <v>20230630</v>
      </c>
      <c r="X314" s="0" t="n">
        <f aca="false">IF(ISBLANK(RawFinancials!X314),"",RawFinancials!X314)</f>
        <v>-0.113478158081378</v>
      </c>
      <c r="Y314" s="0" t="n">
        <f aca="false">IF(ISBLANK(RawFinancials!Y314),"",RawFinancials!Y314)</f>
        <v>-0.93</v>
      </c>
      <c r="Z314" s="0" t="str">
        <f aca="false">IF(ISBLANK(RawFinancials!Z314),"",RawFinancials!Z314)</f>
        <v>NH</v>
      </c>
      <c r="AA314" s="0" t="n">
        <f aca="false">RawFinancials!AA314</f>
        <v>1</v>
      </c>
      <c r="AB314" s="0" t="n">
        <f aca="false">RawFinancials!AB314</f>
        <v>0</v>
      </c>
      <c r="AC314" s="0" t="n">
        <f aca="false">RawFinancials!AC314</f>
        <v>0</v>
      </c>
      <c r="AD314" s="0" t="n">
        <f aca="false">IF(L314&gt;0,100*N314/L314,"")</f>
        <v>85.4954757734968</v>
      </c>
      <c r="AE314" s="0" t="n">
        <f aca="false">IF(B314&gt;0,100*F314/B314,"")</f>
        <v>11.4810466286481</v>
      </c>
      <c r="AF314" s="0" t="str">
        <f aca="false">RawFinancials!AE314</f>
        <v/>
      </c>
    </row>
    <row r="315" customFormat="false" ht="15" hidden="false" customHeight="false" outlineLevel="0" collapsed="false">
      <c r="A315" s="0" t="n">
        <f aca="false">IF(ISBLANK(RawFinancials!A315),"",RawFinancials!A315)</f>
        <v>315</v>
      </c>
      <c r="B315" s="0" t="n">
        <f aca="false">IF(ISBLANK(RawFinancials!B315),"",RawFinancials!B315)</f>
        <v>50390</v>
      </c>
      <c r="C315" s="0" t="n">
        <f aca="false">IF(ISBLANK(RawFinancials!C315),"",RawFinancials!C315)</f>
        <v>59289</v>
      </c>
      <c r="D315" s="0" t="n">
        <f aca="false">IF(ISBLANK(RawFinancials!D315),"",RawFinancials!D315)</f>
        <v>29218</v>
      </c>
      <c r="E315" s="0" t="n">
        <f aca="false">IF(ISBLANK(RawFinancials!E315),"",RawFinancials!E315)</f>
        <v>0.79</v>
      </c>
      <c r="F315" s="0" t="n">
        <f aca="false">IF(ISBLANK(RawFinancials!F315),"",RawFinancials!F315)</f>
        <v>20357</v>
      </c>
      <c r="G315" s="0" t="n">
        <f aca="false">IF(ISBLANK(RawFinancials!G315),"",RawFinancials!G315)</f>
        <v>40.3988886683866</v>
      </c>
      <c r="H315" s="0" t="str">
        <f aca="false">IF(ISBLANK(RawFinancials!H315),"",RawFinancials!H315)</f>
        <v>59289_20230630</v>
      </c>
      <c r="I315" s="0" t="n">
        <f aca="false">IF(ISBLANK(RawFinancials!I315),"",RawFinancials!I315)</f>
        <v>1.17992402440428</v>
      </c>
      <c r="J315" s="0" t="n">
        <f aca="false">IF(ISBLANK(RawFinancials!J315),"",RawFinancials!J315)</f>
        <v>8750</v>
      </c>
      <c r="K315" s="0" t="n">
        <f aca="false">IF(ISBLANK(RawFinancials!K315),"",RawFinancials!K315)</f>
        <v>0</v>
      </c>
      <c r="L315" s="0" t="n">
        <f aca="false">IF(ISBLANK(RawFinancials!L315),"",RawFinancials!L315)</f>
        <v>17374</v>
      </c>
      <c r="M315" s="0" t="n">
        <f aca="false">IF(ISBLANK(RawFinancials!M315),"",RawFinancials!M315)</f>
        <v>17169</v>
      </c>
      <c r="N315" s="0" t="n">
        <f aca="false">IF(ISBLANK(RawFinancials!N315),"",RawFinancials!N315)</f>
        <v>7760</v>
      </c>
      <c r="O315" s="0" t="n">
        <f aca="false">IF(ISBLANK(RawFinancials!O315),"",RawFinancials!O315)</f>
        <v>0</v>
      </c>
      <c r="P315" s="0" t="str">
        <f aca="false">IF(ISBLANK(RawFinancials!P315),"",RawFinancials!P315)</f>
        <v>WALDEN MUTUAL BANK</v>
      </c>
      <c r="Q315" s="0" t="n">
        <f aca="false">IF(ISBLANK(RawFinancials!Q315),"",RawFinancials!Q315)</f>
        <v>0</v>
      </c>
      <c r="R315" s="0" t="n">
        <f aca="false">IF(ISBLANK(RawFinancials!R315),"",RawFinancials!R315)</f>
        <v>4.45994655954665</v>
      </c>
      <c r="S315" s="0" t="n">
        <f aca="false">IF(ISBLANK(RawFinancials!S315),"",RawFinancials!S315)</f>
        <v>0</v>
      </c>
      <c r="T315" s="0" t="n">
        <f aca="false">IF(ISBLANK(RawFinancials!T315),"",RawFinancials!T315)</f>
        <v>0</v>
      </c>
      <c r="U315" s="0" t="n">
        <f aca="false">IF(ISBLANK(RawFinancials!U315),"",RawFinancials!U315)</f>
        <v>0</v>
      </c>
      <c r="V315" s="0" t="n">
        <f aca="false">IF(ISBLANK(RawFinancials!V315),"",RawFinancials!V315)</f>
        <v>0</v>
      </c>
      <c r="W315" s="0" t="n">
        <f aca="false">IF(ISBLANK(RawFinancials!W315),"",RawFinancials!W315)</f>
        <v>20230630</v>
      </c>
      <c r="X315" s="0" t="n">
        <f aca="false">IF(ISBLANK(RawFinancials!X315),"",RawFinancials!X315)</f>
        <v>-5.7705051740837</v>
      </c>
      <c r="Y315" s="0" t="n">
        <f aca="false">IF(ISBLANK(RawFinancials!Y315),"",RawFinancials!Y315)</f>
        <v>-10.83</v>
      </c>
      <c r="Z315" s="0" t="str">
        <f aca="false">IF(ISBLANK(RawFinancials!Z315),"",RawFinancials!Z315)</f>
        <v>NH</v>
      </c>
      <c r="AA315" s="0" t="n">
        <f aca="false">RawFinancials!AA315</f>
        <v>1</v>
      </c>
      <c r="AB315" s="0" t="n">
        <f aca="false">RawFinancials!AB315</f>
        <v>0</v>
      </c>
      <c r="AC315" s="0" t="n">
        <f aca="false">RawFinancials!AC315</f>
        <v>0</v>
      </c>
      <c r="AD315" s="0" t="n">
        <f aca="false">IF(L315&gt;0,100*N315/L315,"")</f>
        <v>44.6644411189133</v>
      </c>
      <c r="AE315" s="0" t="n">
        <f aca="false">IF(B315&gt;0,100*F315/B315,"")</f>
        <v>40.3988886683866</v>
      </c>
      <c r="AF315" s="0" t="str">
        <f aca="false">RawFinancials!AE315</f>
        <v>原始0：需核实适用/报告口径</v>
      </c>
    </row>
    <row r="316" customFormat="false" ht="15" hidden="false" customHeight="false" outlineLevel="0" collapsed="false">
      <c r="A316" s="0" t="n">
        <f aca="false">IF(ISBLANK(RawFinancials!A316),"",RawFinancials!A316)</f>
        <v>316</v>
      </c>
      <c r="B316" s="0" t="n">
        <f aca="false">IF(ISBLANK(RawFinancials!B316),"",RawFinancials!B316)</f>
        <v>125919</v>
      </c>
      <c r="C316" s="0" t="n">
        <f aca="false">IF(ISBLANK(RawFinancials!C316),"",RawFinancials!C316)</f>
        <v>59298</v>
      </c>
      <c r="D316" s="0" t="n">
        <f aca="false">IF(ISBLANK(RawFinancials!D316),"",RawFinancials!D316)</f>
        <v>96751</v>
      </c>
      <c r="E316" s="0" t="n">
        <f aca="false">IF(ISBLANK(RawFinancials!E316),"",RawFinancials!E316)</f>
        <v>0.24</v>
      </c>
      <c r="F316" s="0" t="n">
        <f aca="false">IF(ISBLANK(RawFinancials!F316),"",RawFinancials!F316)</f>
        <v>28131</v>
      </c>
      <c r="G316" s="0" t="n">
        <f aca="false">IF(ISBLANK(RawFinancials!G316),"",RawFinancials!G316)</f>
        <v>22.3405522597861</v>
      </c>
      <c r="H316" s="0" t="str">
        <f aca="false">IF(ISBLANK(RawFinancials!H316),"",RawFinancials!H316)</f>
        <v>59298_20230630</v>
      </c>
      <c r="I316" s="0" t="n">
        <f aca="false">IF(ISBLANK(RawFinancials!I316),"",RawFinancials!I316)</f>
        <v>0.769113449680807</v>
      </c>
      <c r="J316" s="0" t="n">
        <f aca="false">IF(ISBLANK(RawFinancials!J316),"",RawFinancials!J316)</f>
        <v>10224</v>
      </c>
      <c r="K316" s="0" t="n">
        <f aca="false">IF(ISBLANK(RawFinancials!K316),"",RawFinancials!K316)</f>
        <v>0</v>
      </c>
      <c r="L316" s="0" t="n">
        <f aca="false">IF(ISBLANK(RawFinancials!L316),"",RawFinancials!L316)</f>
        <v>45897</v>
      </c>
      <c r="M316" s="0" t="n">
        <f aca="false">IF(ISBLANK(RawFinancials!M316),"",RawFinancials!M316)</f>
        <v>45544</v>
      </c>
      <c r="N316" s="0" t="n">
        <f aca="false">IF(ISBLANK(RawFinancials!N316),"",RawFinancials!N316)</f>
        <v>35680</v>
      </c>
      <c r="O316" s="0" t="n">
        <f aca="false">IF(ISBLANK(RawFinancials!O316),"",RawFinancials!O316)</f>
        <v>0</v>
      </c>
      <c r="P316" s="0" t="str">
        <f aca="false">IF(ISBLANK(RawFinancials!P316),"",RawFinancials!P316)</f>
        <v>BANK OF BURLINGTON</v>
      </c>
      <c r="Q316" s="0" t="n">
        <f aca="false">IF(ISBLANK(RawFinancials!Q316),"",RawFinancials!Q316)</f>
        <v>0</v>
      </c>
      <c r="R316" s="0" t="n">
        <f aca="false">IF(ISBLANK(RawFinancials!R316),"",RawFinancials!R316)</f>
        <v>2.64668436492276</v>
      </c>
      <c r="S316" s="0" t="n">
        <f aca="false">IF(ISBLANK(RawFinancials!S316),"",RawFinancials!S316)</f>
        <v>0</v>
      </c>
      <c r="T316" s="0" t="n">
        <f aca="false">IF(ISBLANK(RawFinancials!T316),"",RawFinancials!T316)</f>
        <v>0</v>
      </c>
      <c r="U316" s="0" t="n">
        <f aca="false">IF(ISBLANK(RawFinancials!U316),"",RawFinancials!U316)</f>
        <v>0</v>
      </c>
      <c r="V316" s="0" t="n">
        <f aca="false">IF(ISBLANK(RawFinancials!V316),"",RawFinancials!V316)</f>
        <v>0</v>
      </c>
      <c r="W316" s="0" t="n">
        <f aca="false">IF(ISBLANK(RawFinancials!W316),"",RawFinancials!W316)</f>
        <v>20230630</v>
      </c>
      <c r="X316" s="0" t="n">
        <f aca="false">IF(ISBLANK(RawFinancials!X316),"",RawFinancials!X316)</f>
        <v>-2.72523029900818</v>
      </c>
      <c r="Y316" s="0" t="n">
        <f aca="false">IF(ISBLANK(RawFinancials!Y316),"",RawFinancials!Y316)</f>
        <v>-10.35</v>
      </c>
      <c r="Z316" s="0" t="str">
        <f aca="false">IF(ISBLANK(RawFinancials!Z316),"",RawFinancials!Z316)</f>
        <v>VT</v>
      </c>
      <c r="AA316" s="0" t="n">
        <f aca="false">RawFinancials!AA316</f>
        <v>1</v>
      </c>
      <c r="AB316" s="0" t="n">
        <f aca="false">RawFinancials!AB316</f>
        <v>0</v>
      </c>
      <c r="AC316" s="0" t="n">
        <f aca="false">RawFinancials!AC316</f>
        <v>0</v>
      </c>
      <c r="AD316" s="0" t="n">
        <f aca="false">IF(L316&gt;0,100*N316/L316,"")</f>
        <v>77.7392857920997</v>
      </c>
      <c r="AE316" s="0" t="n">
        <f aca="false">IF(B316&gt;0,100*F316/B316,"")</f>
        <v>22.3405522597861</v>
      </c>
      <c r="AF316" s="0" t="str">
        <f aca="false">RawFinancials!AE316</f>
        <v>原始0：需核实适用/报告口径</v>
      </c>
    </row>
    <row r="317" customFormat="false" ht="15" hidden="false" customHeight="false" outlineLevel="0" collapsed="false">
      <c r="A317" s="0" t="n">
        <f aca="false">IF(ISBLANK(RawFinancials!A317),"",RawFinancials!A317)</f>
        <v>317</v>
      </c>
      <c r="B317" s="0" t="n">
        <f aca="false">IF(ISBLANK(RawFinancials!B317),"",RawFinancials!B317)</f>
        <v>1031317</v>
      </c>
      <c r="C317" s="0" t="n">
        <f aca="false">IF(ISBLANK(RawFinancials!C317),"",RawFinancials!C317)</f>
        <v>6271</v>
      </c>
      <c r="D317" s="0" t="n">
        <f aca="false">IF(ISBLANK(RawFinancials!D317),"",RawFinancials!D317)</f>
        <v>852686</v>
      </c>
      <c r="E317" s="0" t="n">
        <f aca="false">IF(ISBLANK(RawFinancials!E317),"",RawFinancials!E317)</f>
        <v>0.11</v>
      </c>
      <c r="F317" s="0" t="n">
        <f aca="false">IF(ISBLANK(RawFinancials!F317),"",RawFinancials!F317)</f>
        <v>92265</v>
      </c>
      <c r="G317" s="0" t="n">
        <f aca="false">IF(ISBLANK(RawFinancials!G317),"",RawFinancials!G317)</f>
        <v>8.94632785069964</v>
      </c>
      <c r="H317" s="0" t="str">
        <f aca="false">IF(ISBLANK(RawFinancials!H317),"",RawFinancials!H317)</f>
        <v>6271_20230630</v>
      </c>
      <c r="I317" s="0" t="n">
        <f aca="false">IF(ISBLANK(RawFinancials!I317),"",RawFinancials!I317)</f>
        <v>1.18300995256969</v>
      </c>
      <c r="J317" s="0" t="n">
        <f aca="false">IF(ISBLANK(RawFinancials!J317),"",RawFinancials!J317)</f>
        <v>125407</v>
      </c>
      <c r="K317" s="0" t="n">
        <f aca="false">IF(ISBLANK(RawFinancials!K317),"",RawFinancials!K317)</f>
        <v>3526</v>
      </c>
      <c r="L317" s="0" t="n">
        <f aca="false">IF(ISBLANK(RawFinancials!L317),"",RawFinancials!L317)</f>
        <v>782411</v>
      </c>
      <c r="M317" s="0" t="n">
        <f aca="false">IF(ISBLANK(RawFinancials!M317),"",RawFinancials!M317)</f>
        <v>773155</v>
      </c>
      <c r="N317" s="0" t="n">
        <f aca="false">IF(ISBLANK(RawFinancials!N317),"",RawFinancials!N317)</f>
        <v>618469</v>
      </c>
      <c r="O317" s="0" t="n">
        <f aca="false">IF(ISBLANK(RawFinancials!O317),"",RawFinancials!O317)</f>
        <v>7745</v>
      </c>
      <c r="P317" s="0" t="str">
        <f aca="false">IF(ISBLANK(RawFinancials!P317),"",RawFinancials!P317)</f>
        <v>COMMUNITY NATIONAL BANK</v>
      </c>
      <c r="Q317" s="0" t="n">
        <f aca="false">IF(ISBLANK(RawFinancials!Q317),"",RawFinancials!Q317)</f>
        <v>1.03475027830641</v>
      </c>
      <c r="R317" s="0" t="n">
        <f aca="false">IF(ISBLANK(RawFinancials!R317),"",RawFinancials!R317)</f>
        <v>3.53794135103339</v>
      </c>
      <c r="S317" s="0" t="n">
        <f aca="false">IF(ISBLANK(RawFinancials!S317),"",RawFinancials!S317)</f>
        <v>283</v>
      </c>
      <c r="T317" s="0" t="n">
        <f aca="false">IF(ISBLANK(RawFinancials!T317),"",RawFinancials!T317)</f>
        <v>1900</v>
      </c>
      <c r="U317" s="0" t="n">
        <f aca="false">IF(ISBLANK(RawFinancials!U317),"",RawFinancials!U317)</f>
        <v>351</v>
      </c>
      <c r="V317" s="0" t="n">
        <f aca="false">IF(ISBLANK(RawFinancials!V317),"",RawFinancials!V317)</f>
        <v>14.8339396306876</v>
      </c>
      <c r="W317" s="0" t="n">
        <f aca="false">IF(ISBLANK(RawFinancials!W317),"",RawFinancials!W317)</f>
        <v>20230630</v>
      </c>
      <c r="X317" s="0" t="n">
        <f aca="false">IF(ISBLANK(RawFinancials!X317),"",RawFinancials!X317)</f>
        <v>1.36947361058618</v>
      </c>
      <c r="Y317" s="0" t="n">
        <f aca="false">IF(ISBLANK(RawFinancials!Y317),"",RawFinancials!Y317)</f>
        <v>15.74</v>
      </c>
      <c r="Z317" s="0" t="str">
        <f aca="false">IF(ISBLANK(RawFinancials!Z317),"",RawFinancials!Z317)</f>
        <v>VT</v>
      </c>
      <c r="AA317" s="0" t="n">
        <f aca="false">RawFinancials!AA317</f>
        <v>1</v>
      </c>
      <c r="AB317" s="0" t="n">
        <f aca="false">RawFinancials!AB317</f>
        <v>8096</v>
      </c>
      <c r="AC317" s="0" t="n">
        <f aca="false">RawFinancials!AC317</f>
        <v>0.785015664436832</v>
      </c>
      <c r="AD317" s="0" t="n">
        <f aca="false">IF(L317&gt;0,100*N317/L317,"")</f>
        <v>79.0465624844232</v>
      </c>
      <c r="AE317" s="0" t="n">
        <f aca="false">IF(B317&gt;0,100*F317/B317,"")</f>
        <v>8.94632785069964</v>
      </c>
      <c r="AF317" s="0" t="str">
        <f aca="false">RawFinancials!AE317</f>
        <v/>
      </c>
    </row>
    <row r="318" customFormat="false" ht="15" hidden="false" customHeight="false" outlineLevel="0" collapsed="false">
      <c r="A318" s="0" t="n">
        <f aca="false">IF(ISBLANK(RawFinancials!A318),"",RawFinancials!A318)</f>
        <v>318</v>
      </c>
      <c r="B318" s="0" t="n">
        <f aca="false">IF(ISBLANK(RawFinancials!B318),"",RawFinancials!B318)</f>
        <v>549189</v>
      </c>
      <c r="C318" s="0" t="n">
        <f aca="false">IF(ISBLANK(RawFinancials!C318),"",RawFinancials!C318)</f>
        <v>6275</v>
      </c>
      <c r="D318" s="0" t="n">
        <f aca="false">IF(ISBLANK(RawFinancials!D318),"",RawFinancials!D318)</f>
        <v>469803</v>
      </c>
      <c r="E318" s="0" t="n">
        <f aca="false">IF(ISBLANK(RawFinancials!E318),"",RawFinancials!E318)</f>
        <v>0</v>
      </c>
      <c r="F318" s="0" t="n">
        <f aca="false">IF(ISBLANK(RawFinancials!F318),"",RawFinancials!F318)</f>
        <v>27287</v>
      </c>
      <c r="G318" s="0" t="n">
        <f aca="false">IF(ISBLANK(RawFinancials!G318),"",RawFinancials!G318)</f>
        <v>4.96859915256861</v>
      </c>
      <c r="H318" s="0" t="str">
        <f aca="false">IF(ISBLANK(RawFinancials!H318),"",RawFinancials!H318)</f>
        <v>6275_20230630</v>
      </c>
      <c r="I318" s="0" t="n">
        <f aca="false">IF(ISBLANK(RawFinancials!I318),"",RawFinancials!I318)</f>
        <v>0.410419174783846</v>
      </c>
      <c r="J318" s="0" t="n">
        <f aca="false">IF(ISBLANK(RawFinancials!J318),"",RawFinancials!J318)</f>
        <v>34100</v>
      </c>
      <c r="K318" s="0" t="n">
        <f aca="false">IF(ISBLANK(RawFinancials!K318),"",RawFinancials!K318)</f>
        <v>13676</v>
      </c>
      <c r="L318" s="0" t="n">
        <f aca="false">IF(ISBLANK(RawFinancials!L318),"",RawFinancials!L318)</f>
        <v>328932</v>
      </c>
      <c r="M318" s="0" t="n">
        <f aca="false">IF(ISBLANK(RawFinancials!M318),"",RawFinancials!M318)</f>
        <v>327582</v>
      </c>
      <c r="N318" s="0" t="n">
        <f aca="false">IF(ISBLANK(RawFinancials!N318),"",RawFinancials!N318)</f>
        <v>269836</v>
      </c>
      <c r="O318" s="0" t="n">
        <f aca="false">IF(ISBLANK(RawFinancials!O318),"",RawFinancials!O318)</f>
        <v>1335</v>
      </c>
      <c r="P318" s="0" t="str">
        <f aca="false">IF(ISBLANK(RawFinancials!P318),"",RawFinancials!P318)</f>
        <v>THE NATIONAL BANK OF MIDDLEBURY</v>
      </c>
      <c r="Q318" s="0" t="n">
        <f aca="false">IF(ISBLANK(RawFinancials!Q318),"",RawFinancials!Q318)</f>
        <v>0.452069120669318</v>
      </c>
      <c r="R318" s="0" t="n">
        <f aca="false">IF(ISBLANK(RawFinancials!R318),"",RawFinancials!R318)</f>
        <v>2.97239376778099</v>
      </c>
      <c r="S318" s="0" t="n">
        <f aca="false">IF(ISBLANK(RawFinancials!S318),"",RawFinancials!S318)</f>
        <v>0</v>
      </c>
      <c r="T318" s="0" t="n">
        <f aca="false">IF(ISBLANK(RawFinancials!T318),"",RawFinancials!T318)</f>
        <v>246</v>
      </c>
      <c r="U318" s="0" t="n">
        <f aca="false">IF(ISBLANK(RawFinancials!U318),"",RawFinancials!U318)</f>
        <v>152</v>
      </c>
      <c r="V318" s="0" t="n">
        <f aca="false">IF(ISBLANK(RawFinancials!V318),"",RawFinancials!V318)</f>
        <v>15.0712824477511</v>
      </c>
      <c r="W318" s="0" t="n">
        <f aca="false">IF(ISBLANK(RawFinancials!W318),"",RawFinancials!W318)</f>
        <v>20230630</v>
      </c>
      <c r="X318" s="0" t="n">
        <f aca="false">IF(ISBLANK(RawFinancials!X318),"",RawFinancials!X318)</f>
        <v>0.480035530771746</v>
      </c>
      <c r="Y318" s="0" t="n">
        <f aca="false">IF(ISBLANK(RawFinancials!Y318),"",RawFinancials!Y318)</f>
        <v>9.65</v>
      </c>
      <c r="Z318" s="0" t="str">
        <f aca="false">IF(ISBLANK(RawFinancials!Z318),"",RawFinancials!Z318)</f>
        <v>VT</v>
      </c>
      <c r="AA318" s="0" t="n">
        <f aca="false">RawFinancials!AA318</f>
        <v>1</v>
      </c>
      <c r="AB318" s="0" t="n">
        <f aca="false">RawFinancials!AB318</f>
        <v>1487</v>
      </c>
      <c r="AC318" s="0" t="n">
        <f aca="false">RawFinancials!AC318</f>
        <v>0.270762888550208</v>
      </c>
      <c r="AD318" s="0" t="n">
        <f aca="false">IF(L318&gt;0,100*N318/L318,"")</f>
        <v>82.033976627388</v>
      </c>
      <c r="AE318" s="0" t="n">
        <f aca="false">IF(B318&gt;0,100*F318/B318,"")</f>
        <v>4.96859915256861</v>
      </c>
      <c r="AF318" s="0" t="str">
        <f aca="false">RawFinancials!AE318</f>
        <v/>
      </c>
    </row>
    <row r="319" customFormat="false" ht="15" hidden="false" customHeight="false" outlineLevel="0" collapsed="false">
      <c r="A319" s="0" t="n">
        <f aca="false">IF(ISBLANK(RawFinancials!A319),"",RawFinancials!A319)</f>
        <v>319</v>
      </c>
      <c r="B319" s="0" t="n">
        <f aca="false">IF(ISBLANK(RawFinancials!B319),"",RawFinancials!B319)</f>
        <v>83293</v>
      </c>
      <c r="C319" s="0" t="n">
        <f aca="false">IF(ISBLANK(RawFinancials!C319),"",RawFinancials!C319)</f>
        <v>6280</v>
      </c>
      <c r="D319" s="0" t="n">
        <f aca="false">IF(ISBLANK(RawFinancials!D319),"",RawFinancials!D319)</f>
        <v>73688</v>
      </c>
      <c r="E319" s="0" t="n">
        <f aca="false">IF(ISBLANK(RawFinancials!E319),"",RawFinancials!E319)</f>
        <v>0.06</v>
      </c>
      <c r="F319" s="0" t="n">
        <f aca="false">IF(ISBLANK(RawFinancials!F319),"",RawFinancials!F319)</f>
        <v>9047</v>
      </c>
      <c r="G319" s="0" t="n">
        <f aca="false">IF(ISBLANK(RawFinancials!G319),"",RawFinancials!G319)</f>
        <v>10.8616570420083</v>
      </c>
      <c r="H319" s="0" t="str">
        <f aca="false">IF(ISBLANK(RawFinancials!H319),"",RawFinancials!H319)</f>
        <v>6280_20230630</v>
      </c>
      <c r="I319" s="0" t="n">
        <f aca="false">IF(ISBLANK(RawFinancials!I319),"",RawFinancials!I319)</f>
        <v>1.29200941867221</v>
      </c>
      <c r="J319" s="0" t="n">
        <f aca="false">IF(ISBLANK(RawFinancials!J319),"",RawFinancials!J319)</f>
        <v>3640</v>
      </c>
      <c r="K319" s="0" t="n">
        <f aca="false">IF(ISBLANK(RawFinancials!K319),"",RawFinancials!K319)</f>
        <v>1707</v>
      </c>
      <c r="L319" s="0" t="n">
        <f aca="false">IF(ISBLANK(RawFinancials!L319),"",RawFinancials!L319)</f>
        <v>65402</v>
      </c>
      <c r="M319" s="0" t="n">
        <f aca="false">IF(ISBLANK(RawFinancials!M319),"",RawFinancials!M319)</f>
        <v>64557</v>
      </c>
      <c r="N319" s="0" t="n">
        <f aca="false">IF(ISBLANK(RawFinancials!N319),"",RawFinancials!N319)</f>
        <v>57427</v>
      </c>
      <c r="O319" s="0" t="n">
        <f aca="false">IF(ISBLANK(RawFinancials!O319),"",RawFinancials!O319)</f>
        <v>711</v>
      </c>
      <c r="P319" s="0" t="str">
        <f aca="false">IF(ISBLANK(RawFinancials!P319),"",RawFinancials!P319)</f>
        <v>THE FIRST NATIONAL BANK OF ORWELL</v>
      </c>
      <c r="Q319" s="0" t="n">
        <f aca="false">IF(ISBLANK(RawFinancials!Q319),"",RawFinancials!Q319)</f>
        <v>1.0871227179597</v>
      </c>
      <c r="R319" s="0" t="n">
        <f aca="false">IF(ISBLANK(RawFinancials!R319),"",RawFinancials!R319)</f>
        <v>5.0004375382846</v>
      </c>
      <c r="S319" s="0" t="n">
        <f aca="false">IF(ISBLANK(RawFinancials!S319),"",RawFinancials!S319)</f>
        <v>9</v>
      </c>
      <c r="T319" s="0" t="n">
        <f aca="false">IF(ISBLANK(RawFinancials!T319),"",RawFinancials!T319)</f>
        <v>316</v>
      </c>
      <c r="U319" s="0" t="n">
        <f aca="false">IF(ISBLANK(RawFinancials!U319),"",RawFinancials!U319)</f>
        <v>0</v>
      </c>
      <c r="V319" s="0" t="n">
        <f aca="false">IF(ISBLANK(RawFinancials!V319),"",RawFinancials!V319)</f>
        <v>0</v>
      </c>
      <c r="W319" s="0" t="n">
        <f aca="false">IF(ISBLANK(RawFinancials!W319),"",RawFinancials!W319)</f>
        <v>20230630</v>
      </c>
      <c r="X319" s="0" t="n">
        <f aca="false">IF(ISBLANK(RawFinancials!X319),"",RawFinancials!X319)</f>
        <v>1.943744168966</v>
      </c>
      <c r="Y319" s="0" t="n">
        <f aca="false">IF(ISBLANK(RawFinancials!Y319),"",RawFinancials!Y319)</f>
        <v>18.36</v>
      </c>
      <c r="Z319" s="0" t="str">
        <f aca="false">IF(ISBLANK(RawFinancials!Z319),"",RawFinancials!Z319)</f>
        <v>VT</v>
      </c>
      <c r="AA319" s="0" t="n">
        <f aca="false">RawFinancials!AA319</f>
        <v>1</v>
      </c>
      <c r="AB319" s="0" t="n">
        <f aca="false">RawFinancials!AB319</f>
        <v>711</v>
      </c>
      <c r="AC319" s="0" t="n">
        <f aca="false">RawFinancials!AC319</f>
        <v>0.853613148764002</v>
      </c>
      <c r="AD319" s="0" t="n">
        <f aca="false">IF(L319&gt;0,100*N319/L319,"")</f>
        <v>87.8061832971469</v>
      </c>
      <c r="AE319" s="0" t="n">
        <f aca="false">IF(B319&gt;0,100*F319/B319,"")</f>
        <v>10.8616570420083</v>
      </c>
      <c r="AF319" s="0" t="str">
        <f aca="false">RawFinancials!AE319</f>
        <v>原始0：需核实适用/报告口径</v>
      </c>
    </row>
    <row r="320" customFormat="false" ht="15" hidden="false" customHeight="false" outlineLevel="0" collapsed="false">
      <c r="A320" s="0" t="n">
        <f aca="false">IF(ISBLANK(RawFinancials!A320),"",RawFinancials!A320)</f>
        <v>320</v>
      </c>
      <c r="B320" s="0" t="n">
        <f aca="false">IF(ISBLANK(RawFinancials!B320),"",RawFinancials!B320)</f>
        <v>3980815</v>
      </c>
      <c r="C320" s="0" t="n">
        <f aca="false">IF(ISBLANK(RawFinancials!C320),"",RawFinancials!C320)</f>
        <v>11971</v>
      </c>
      <c r="D320" s="0" t="n">
        <f aca="false">IF(ISBLANK(RawFinancials!D320),"",RawFinancials!D320)</f>
        <v>3148381</v>
      </c>
      <c r="E320" s="0" t="n">
        <f aca="false">IF(ISBLANK(RawFinancials!E320),"",RawFinancials!E320)</f>
        <v>0.07</v>
      </c>
      <c r="F320" s="0" t="n">
        <f aca="false">IF(ISBLANK(RawFinancials!F320),"",RawFinancials!F320)</f>
        <v>456209</v>
      </c>
      <c r="G320" s="0" t="n">
        <f aca="false">IF(ISBLANK(RawFinancials!G320),"",RawFinancials!G320)</f>
        <v>11.4601909407998</v>
      </c>
      <c r="H320" s="0" t="str">
        <f aca="false">IF(ISBLANK(RawFinancials!H320),"",RawFinancials!H320)</f>
        <v>11971_20230930</v>
      </c>
      <c r="I320" s="0" t="n">
        <f aca="false">IF(ISBLANK(RawFinancials!I320),"",RawFinancials!I320)</f>
        <v>0.935319037253486</v>
      </c>
      <c r="J320" s="0" t="n">
        <f aca="false">IF(ISBLANK(RawFinancials!J320),"",RawFinancials!J320)</f>
        <v>203469</v>
      </c>
      <c r="K320" s="0" t="n">
        <f aca="false">IF(ISBLANK(RawFinancials!K320),"",RawFinancials!K320)</f>
        <v>7845</v>
      </c>
      <c r="L320" s="0" t="n">
        <f aca="false">IF(ISBLANK(RawFinancials!L320),"",RawFinancials!L320)</f>
        <v>2994807</v>
      </c>
      <c r="M320" s="0" t="n">
        <f aca="false">IF(ISBLANK(RawFinancials!M320),"",RawFinancials!M320)</f>
        <v>2966796</v>
      </c>
      <c r="N320" s="0" t="n">
        <f aca="false">IF(ISBLANK(RawFinancials!N320),"",RawFinancials!N320)</f>
        <v>2636437</v>
      </c>
      <c r="O320" s="0" t="n">
        <f aca="false">IF(ISBLANK(RawFinancials!O320),"",RawFinancials!O320)</f>
        <v>6769</v>
      </c>
      <c r="P320" s="0" t="str">
        <f aca="false">IF(ISBLANK(RawFinancials!P320),"",RawFinancials!P320)</f>
        <v>BAR HARBOR BANK &amp; TRUST</v>
      </c>
      <c r="Q320" s="0" t="n">
        <f aca="false">IF(ISBLANK(RawFinancials!Q320),"",RawFinancials!Q320)</f>
        <v>0.258046678801005</v>
      </c>
      <c r="R320" s="0" t="n">
        <f aca="false">IF(ISBLANK(RawFinancials!R320),"",RawFinancials!R320)</f>
        <v>3.44709104963489</v>
      </c>
      <c r="S320" s="0" t="n">
        <f aca="false">IF(ISBLANK(RawFinancials!S320),"",RawFinancials!S320)</f>
        <v>70</v>
      </c>
      <c r="T320" s="0" t="n">
        <f aca="false">IF(ISBLANK(RawFinancials!T320),"",RawFinancials!T320)</f>
        <v>2914</v>
      </c>
      <c r="U320" s="0" t="n">
        <f aca="false">IF(ISBLANK(RawFinancials!U320),"",RawFinancials!U320)</f>
        <v>959</v>
      </c>
      <c r="V320" s="0" t="n">
        <f aca="false">IF(ISBLANK(RawFinancials!V320),"",RawFinancials!V320)</f>
        <v>13.601622045909</v>
      </c>
      <c r="W320" s="0" t="n">
        <f aca="false">IF(ISBLANK(RawFinancials!W320),"",RawFinancials!W320)</f>
        <v>20230930</v>
      </c>
      <c r="X320" s="0" t="n">
        <f aca="false">IF(ISBLANK(RawFinancials!X320),"",RawFinancials!X320)</f>
        <v>1.3228625688724</v>
      </c>
      <c r="Y320" s="0" t="n">
        <f aca="false">IF(ISBLANK(RawFinancials!Y320),"",RawFinancials!Y320)</f>
        <v>11.46</v>
      </c>
      <c r="Z320" s="0" t="str">
        <f aca="false">IF(ISBLANK(RawFinancials!Z320),"",RawFinancials!Z320)</f>
        <v>ME</v>
      </c>
      <c r="AA320" s="0" t="n">
        <f aca="false">RawFinancials!AA320</f>
        <v>1</v>
      </c>
      <c r="AB320" s="0" t="n">
        <f aca="false">RawFinancials!AB320</f>
        <v>7728</v>
      </c>
      <c r="AC320" s="0" t="n">
        <f aca="false">RawFinancials!AC320</f>
        <v>0.194131101294584</v>
      </c>
      <c r="AD320" s="0" t="n">
        <f aca="false">IF(L320&gt;0,100*N320/L320,"")</f>
        <v>88.0336195287376</v>
      </c>
      <c r="AE320" s="0" t="n">
        <f aca="false">IF(B320&gt;0,100*F320/B320,"")</f>
        <v>11.4601909407998</v>
      </c>
      <c r="AF320" s="0" t="str">
        <f aca="false">RawFinancials!AE320</f>
        <v/>
      </c>
    </row>
    <row r="321" customFormat="false" ht="15" hidden="false" customHeight="false" outlineLevel="0" collapsed="false">
      <c r="A321" s="0" t="n">
        <f aca="false">IF(ISBLANK(RawFinancials!A321),"",RawFinancials!A321)</f>
        <v>321</v>
      </c>
      <c r="B321" s="0" t="n">
        <f aca="false">IF(ISBLANK(RawFinancials!B321),"",RawFinancials!B321)</f>
        <v>1015573</v>
      </c>
      <c r="C321" s="0" t="n">
        <f aca="false">IF(ISBLANK(RawFinancials!C321),"",RawFinancials!C321)</f>
        <v>12874</v>
      </c>
      <c r="D321" s="0" t="n">
        <f aca="false">IF(ISBLANK(RawFinancials!D321),"",RawFinancials!D321)</f>
        <v>892145</v>
      </c>
      <c r="E321" s="0" t="n">
        <f aca="false">IF(ISBLANK(RawFinancials!E321),"",RawFinancials!E321)</f>
        <v>-0.03</v>
      </c>
      <c r="F321" s="0" t="n">
        <f aca="false">IF(ISBLANK(RawFinancials!F321),"",RawFinancials!F321)</f>
        <v>100287</v>
      </c>
      <c r="G321" s="0" t="n">
        <f aca="false">IF(ISBLANK(RawFinancials!G321),"",RawFinancials!G321)</f>
        <v>9.87491790348897</v>
      </c>
      <c r="H321" s="0" t="str">
        <f aca="false">IF(ISBLANK(RawFinancials!H321),"",RawFinancials!H321)</f>
        <v>12874_20230930</v>
      </c>
      <c r="I321" s="0" t="n">
        <f aca="false">IF(ISBLANK(RawFinancials!I321),"",RawFinancials!I321)</f>
        <v>0.968286623954454</v>
      </c>
      <c r="J321" s="0" t="n">
        <f aca="false">IF(ISBLANK(RawFinancials!J321),"",RawFinancials!J321)</f>
        <v>141382</v>
      </c>
      <c r="K321" s="0" t="n">
        <f aca="false">IF(ISBLANK(RawFinancials!K321),"",RawFinancials!K321)</f>
        <v>5445</v>
      </c>
      <c r="L321" s="0" t="n">
        <f aca="false">IF(ISBLANK(RawFinancials!L321),"",RawFinancials!L321)</f>
        <v>791811</v>
      </c>
      <c r="M321" s="0" t="n">
        <f aca="false">IF(ISBLANK(RawFinancials!M321),"",RawFinancials!M321)</f>
        <v>784144</v>
      </c>
      <c r="N321" s="0" t="n">
        <f aca="false">IF(ISBLANK(RawFinancials!N321),"",RawFinancials!N321)</f>
        <v>624999</v>
      </c>
      <c r="O321" s="0" t="n">
        <f aca="false">IF(ISBLANK(RawFinancials!O321),"",RawFinancials!O321)</f>
        <v>415</v>
      </c>
      <c r="P321" s="0" t="str">
        <f aca="false">IF(ISBLANK(RawFinancials!P321),"",RawFinancials!P321)</f>
        <v>KATAHDIN TRUST COMPANY</v>
      </c>
      <c r="Q321" s="0" t="n">
        <f aca="false">IF(ISBLANK(RawFinancials!Q321),"",RawFinancials!Q321)</f>
        <v>0.0524114971880916</v>
      </c>
      <c r="R321" s="0" t="n">
        <f aca="false">IF(ISBLANK(RawFinancials!R321),"",RawFinancials!R321)</f>
        <v>3.89276399528267</v>
      </c>
      <c r="S321" s="0" t="n">
        <f aca="false">IF(ISBLANK(RawFinancials!S321),"",RawFinancials!S321)</f>
        <v>34</v>
      </c>
      <c r="T321" s="0" t="n">
        <f aca="false">IF(ISBLANK(RawFinancials!T321),"",RawFinancials!T321)</f>
        <v>1582</v>
      </c>
      <c r="U321" s="0" t="n">
        <f aca="false">IF(ISBLANK(RawFinancials!U321),"",RawFinancials!U321)</f>
        <v>0</v>
      </c>
      <c r="V321" s="0" t="n">
        <f aca="false">IF(ISBLANK(RawFinancials!V321),"",RawFinancials!V321)</f>
        <v>15.5130608673916</v>
      </c>
      <c r="W321" s="0" t="n">
        <f aca="false">IF(ISBLANK(RawFinancials!W321),"",RawFinancials!W321)</f>
        <v>20230930</v>
      </c>
      <c r="X321" s="0" t="n">
        <f aca="false">IF(ISBLANK(RawFinancials!X321),"",RawFinancials!X321)</f>
        <v>1.10517821444244</v>
      </c>
      <c r="Y321" s="0" t="n">
        <f aca="false">IF(ISBLANK(RawFinancials!Y321),"",RawFinancials!Y321)</f>
        <v>11.01</v>
      </c>
      <c r="Z321" s="0" t="str">
        <f aca="false">IF(ISBLANK(RawFinancials!Z321),"",RawFinancials!Z321)</f>
        <v>ME</v>
      </c>
      <c r="AA321" s="0" t="n">
        <f aca="false">RawFinancials!AA321</f>
        <v>1</v>
      </c>
      <c r="AB321" s="0" t="n">
        <f aca="false">RawFinancials!AB321</f>
        <v>415</v>
      </c>
      <c r="AC321" s="0" t="n">
        <f aca="false">RawFinancials!AC321</f>
        <v>0.0408636306794292</v>
      </c>
      <c r="AD321" s="0" t="n">
        <f aca="false">IF(L321&gt;0,100*N321/L321,"")</f>
        <v>78.9328514001447</v>
      </c>
      <c r="AE321" s="0" t="n">
        <f aca="false">IF(B321&gt;0,100*F321/B321,"")</f>
        <v>9.87491790348897</v>
      </c>
      <c r="AF321" s="0" t="str">
        <f aca="false">RawFinancials!AE321</f>
        <v/>
      </c>
    </row>
    <row r="322" customFormat="false" ht="15" hidden="false" customHeight="false" outlineLevel="0" collapsed="false">
      <c r="A322" s="0" t="n">
        <f aca="false">IF(ISBLANK(RawFinancials!A322),"",RawFinancials!A322)</f>
        <v>322</v>
      </c>
      <c r="B322" s="0" t="n">
        <f aca="false">IF(ISBLANK(RawFinancials!B322),"",RawFinancials!B322)</f>
        <v>1813189</v>
      </c>
      <c r="C322" s="0" t="n">
        <f aca="false">IF(ISBLANK(RawFinancials!C322),"",RawFinancials!C322)</f>
        <v>13063</v>
      </c>
      <c r="D322" s="0" t="n">
        <f aca="false">IF(ISBLANK(RawFinancials!D322),"",RawFinancials!D322)</f>
        <v>1662459</v>
      </c>
      <c r="E322" s="0" t="n">
        <f aca="false">IF(ISBLANK(RawFinancials!E322),"",RawFinancials!E322)</f>
        <v>0.14</v>
      </c>
      <c r="F322" s="0" t="n">
        <f aca="false">IF(ISBLANK(RawFinancials!F322),"",RawFinancials!F322)</f>
        <v>130802</v>
      </c>
      <c r="G322" s="0" t="n">
        <f aca="false">IF(ISBLANK(RawFinancials!G322),"",RawFinancials!G322)</f>
        <v>7.21391978442402</v>
      </c>
      <c r="H322" s="0" t="str">
        <f aca="false">IF(ISBLANK(RawFinancials!H322),"",RawFinancials!H322)</f>
        <v>13063_20230930</v>
      </c>
      <c r="I322" s="0" t="n">
        <f aca="false">IF(ISBLANK(RawFinancials!I322),"",RawFinancials!I322)</f>
        <v>1.18844354822092</v>
      </c>
      <c r="J322" s="0" t="n">
        <f aca="false">IF(ISBLANK(RawFinancials!J322),"",RawFinancials!J322)</f>
        <v>54104</v>
      </c>
      <c r="K322" s="0" t="n">
        <f aca="false">IF(ISBLANK(RawFinancials!K322),"",RawFinancials!K322)</f>
        <v>893</v>
      </c>
      <c r="L322" s="0" t="n">
        <f aca="false">IF(ISBLANK(RawFinancials!L322),"",RawFinancials!L322)</f>
        <v>1407387</v>
      </c>
      <c r="M322" s="0" t="n">
        <f aca="false">IF(ISBLANK(RawFinancials!M322),"",RawFinancials!M322)</f>
        <v>1390661</v>
      </c>
      <c r="N322" s="0" t="n">
        <f aca="false">IF(ISBLANK(RawFinancials!N322),"",RawFinancials!N322)</f>
        <v>1342676</v>
      </c>
      <c r="O322" s="0" t="n">
        <f aca="false">IF(ISBLANK(RawFinancials!O322),"",RawFinancials!O322)</f>
        <v>592</v>
      </c>
      <c r="P322" s="0" t="str">
        <f aca="false">IF(ISBLANK(RawFinancials!P322),"",RawFinancials!P322)</f>
        <v>KENNEBUNK SAVINGS BANK</v>
      </c>
      <c r="Q322" s="0" t="n">
        <f aca="false">IF(ISBLANK(RawFinancials!Q322),"",RawFinancials!Q322)</f>
        <v>0.0918013311193012</v>
      </c>
      <c r="R322" s="0" t="n">
        <f aca="false">IF(ISBLANK(RawFinancials!R322),"",RawFinancials!R322)</f>
        <v>3.19853630126845</v>
      </c>
      <c r="S322" s="0" t="n">
        <f aca="false">IF(ISBLANK(RawFinancials!S322),"",RawFinancials!S322)</f>
        <v>66</v>
      </c>
      <c r="T322" s="0" t="n">
        <f aca="false">IF(ISBLANK(RawFinancials!T322),"",RawFinancials!T322)</f>
        <v>398</v>
      </c>
      <c r="U322" s="0" t="n">
        <f aca="false">IF(ISBLANK(RawFinancials!U322),"",RawFinancials!U322)</f>
        <v>700</v>
      </c>
      <c r="V322" s="0" t="n">
        <f aca="false">IF(ISBLANK(RawFinancials!V322),"",RawFinancials!V322)</f>
        <v>0</v>
      </c>
      <c r="W322" s="0" t="n">
        <f aca="false">IF(ISBLANK(RawFinancials!W322),"",RawFinancials!W322)</f>
        <v>20230930</v>
      </c>
      <c r="X322" s="0" t="n">
        <f aca="false">IF(ISBLANK(RawFinancials!X322),"",RawFinancials!X322)</f>
        <v>0.205095820826914</v>
      </c>
      <c r="Y322" s="0" t="n">
        <f aca="false">IF(ISBLANK(RawFinancials!Y322),"",RawFinancials!Y322)</f>
        <v>2.76</v>
      </c>
      <c r="Z322" s="0" t="str">
        <f aca="false">IF(ISBLANK(RawFinancials!Z322),"",RawFinancials!Z322)</f>
        <v>ME</v>
      </c>
      <c r="AA322" s="0" t="n">
        <f aca="false">RawFinancials!AA322</f>
        <v>1</v>
      </c>
      <c r="AB322" s="0" t="n">
        <f aca="false">RawFinancials!AB322</f>
        <v>1292</v>
      </c>
      <c r="AC322" s="0" t="n">
        <f aca="false">RawFinancials!AC322</f>
        <v>0.0712556716370991</v>
      </c>
      <c r="AD322" s="0" t="n">
        <f aca="false">IF(L322&gt;0,100*N322/L322,"")</f>
        <v>95.4020464875688</v>
      </c>
      <c r="AE322" s="0" t="n">
        <f aca="false">IF(B322&gt;0,100*F322/B322,"")</f>
        <v>7.21391978442402</v>
      </c>
      <c r="AF322" s="0" t="str">
        <f aca="false">RawFinancials!AE322</f>
        <v>原始0：需核实适用/报告口径</v>
      </c>
    </row>
    <row r="323" customFormat="false" ht="15" hidden="false" customHeight="false" outlineLevel="0" collapsed="false">
      <c r="A323" s="0" t="n">
        <f aca="false">IF(ISBLANK(RawFinancials!A323),"",RawFinancials!A323)</f>
        <v>323</v>
      </c>
      <c r="B323" s="0" t="n">
        <f aca="false">IF(ISBLANK(RawFinancials!B323),"",RawFinancials!B323)</f>
        <v>862974</v>
      </c>
      <c r="C323" s="0" t="n">
        <f aca="false">IF(ISBLANK(RawFinancials!C323),"",RawFinancials!C323)</f>
        <v>14134</v>
      </c>
      <c r="D323" s="0" t="n">
        <f aca="false">IF(ISBLANK(RawFinancials!D323),"",RawFinancials!D323)</f>
        <v>683848</v>
      </c>
      <c r="E323" s="0" t="n">
        <f aca="false">IF(ISBLANK(RawFinancials!E323),"",RawFinancials!E323)</f>
        <v>0.11</v>
      </c>
      <c r="F323" s="0" t="n">
        <f aca="false">IF(ISBLANK(RawFinancials!F323),"",RawFinancials!F323)</f>
        <v>97790</v>
      </c>
      <c r="G323" s="0" t="n">
        <f aca="false">IF(ISBLANK(RawFinancials!G323),"",RawFinancials!G323)</f>
        <v>11.3317434824224</v>
      </c>
      <c r="H323" s="0" t="str">
        <f aca="false">IF(ISBLANK(RawFinancials!H323),"",RawFinancials!H323)</f>
        <v>14134_20230930</v>
      </c>
      <c r="I323" s="0" t="n">
        <f aca="false">IF(ISBLANK(RawFinancials!I323),"",RawFinancials!I323)</f>
        <v>1.11332502357968</v>
      </c>
      <c r="J323" s="0" t="n">
        <f aca="false">IF(ISBLANK(RawFinancials!J323),"",RawFinancials!J323)</f>
        <v>26362</v>
      </c>
      <c r="K323" s="0" t="n">
        <f aca="false">IF(ISBLANK(RawFinancials!K323),"",RawFinancials!K323)</f>
        <v>28791</v>
      </c>
      <c r="L323" s="0" t="n">
        <f aca="false">IF(ISBLANK(RawFinancials!L323),"",RawFinancials!L323)</f>
        <v>659466</v>
      </c>
      <c r="M323" s="0" t="n">
        <f aca="false">IF(ISBLANK(RawFinancials!M323),"",RawFinancials!M323)</f>
        <v>652124</v>
      </c>
      <c r="N323" s="0" t="n">
        <f aca="false">IF(ISBLANK(RawFinancials!N323),"",RawFinancials!N323)</f>
        <v>579506</v>
      </c>
      <c r="O323" s="0" t="n">
        <f aca="false">IF(ISBLANK(RawFinancials!O323),"",RawFinancials!O323)</f>
        <v>12208</v>
      </c>
      <c r="P323" s="0" t="str">
        <f aca="false">IF(ISBLANK(RawFinancials!P323),"",RawFinancials!P323)</f>
        <v>PASSUMPSIC SAVINGS BANK</v>
      </c>
      <c r="Q323" s="0" t="n">
        <f aca="false">IF(ISBLANK(RawFinancials!Q323),"",RawFinancials!Q323)</f>
        <v>1.85119475454383</v>
      </c>
      <c r="R323" s="0" t="n">
        <f aca="false">IF(ISBLANK(RawFinancials!R323),"",RawFinancials!R323)</f>
        <v>3.23068828096064</v>
      </c>
      <c r="S323" s="0" t="n">
        <f aca="false">IF(ISBLANK(RawFinancials!S323),"",RawFinancials!S323)</f>
        <v>528</v>
      </c>
      <c r="T323" s="0" t="n">
        <f aca="false">IF(ISBLANK(RawFinancials!T323),"",RawFinancials!T323)</f>
        <v>7041</v>
      </c>
      <c r="U323" s="0" t="n">
        <f aca="false">IF(ISBLANK(RawFinancials!U323),"",RawFinancials!U323)</f>
        <v>0</v>
      </c>
      <c r="V323" s="0" t="n">
        <f aca="false">IF(ISBLANK(RawFinancials!V323),"",RawFinancials!V323)</f>
        <v>19.4095803936131</v>
      </c>
      <c r="W323" s="0" t="n">
        <f aca="false">IF(ISBLANK(RawFinancials!W323),"",RawFinancials!W323)</f>
        <v>20230930</v>
      </c>
      <c r="X323" s="0" t="n">
        <f aca="false">IF(ISBLANK(RawFinancials!X323),"",RawFinancials!X323)</f>
        <v>0.466681754214042</v>
      </c>
      <c r="Y323" s="0" t="n">
        <f aca="false">IF(ISBLANK(RawFinancials!Y323),"",RawFinancials!Y323)</f>
        <v>3.99</v>
      </c>
      <c r="Z323" s="0" t="str">
        <f aca="false">IF(ISBLANK(RawFinancials!Z323),"",RawFinancials!Z323)</f>
        <v>VT</v>
      </c>
      <c r="AA323" s="0" t="n">
        <f aca="false">RawFinancials!AA323</f>
        <v>1</v>
      </c>
      <c r="AB323" s="0" t="n">
        <f aca="false">RawFinancials!AB323</f>
        <v>12208</v>
      </c>
      <c r="AC323" s="0" t="n">
        <f aca="false">RawFinancials!AC323</f>
        <v>1.41464285134894</v>
      </c>
      <c r="AD323" s="0" t="n">
        <f aca="false">IF(L323&gt;0,100*N323/L323,"")</f>
        <v>87.8750382885547</v>
      </c>
      <c r="AE323" s="0" t="n">
        <f aca="false">IF(B323&gt;0,100*F323/B323,"")</f>
        <v>11.3317434824224</v>
      </c>
      <c r="AF323" s="0" t="str">
        <f aca="false">RawFinancials!AE323</f>
        <v/>
      </c>
    </row>
    <row r="324" customFormat="false" ht="15" hidden="false" customHeight="false" outlineLevel="0" collapsed="false">
      <c r="A324" s="0" t="n">
        <f aca="false">IF(ISBLANK(RawFinancials!A324),"",RawFinancials!A324)</f>
        <v>324</v>
      </c>
      <c r="B324" s="0" t="n">
        <f aca="false">IF(ISBLANK(RawFinancials!B324),"",RawFinancials!B324)</f>
        <v>226042</v>
      </c>
      <c r="C324" s="0" t="n">
        <f aca="false">IF(ISBLANK(RawFinancials!C324),"",RawFinancials!C324)</f>
        <v>14136</v>
      </c>
      <c r="D324" s="0" t="n">
        <f aca="false">IF(ISBLANK(RawFinancials!D324),"",RawFinancials!D324)</f>
        <v>193047</v>
      </c>
      <c r="E324" s="0" t="n">
        <f aca="false">IF(ISBLANK(RawFinancials!E324),"",RawFinancials!E324)</f>
        <v>0.05</v>
      </c>
      <c r="F324" s="0" t="n">
        <f aca="false">IF(ISBLANK(RawFinancials!F324),"",RawFinancials!F324)</f>
        <v>14702</v>
      </c>
      <c r="G324" s="0" t="n">
        <f aca="false">IF(ISBLANK(RawFinancials!G324),"",RawFinancials!G324)</f>
        <v>6.50410100777732</v>
      </c>
      <c r="H324" s="0" t="str">
        <f aca="false">IF(ISBLANK(RawFinancials!H324),"",RawFinancials!H324)</f>
        <v>14136_20230930</v>
      </c>
      <c r="I324" s="0" t="n">
        <f aca="false">IF(ISBLANK(RawFinancials!I324),"",RawFinancials!I324)</f>
        <v>1.29442558586561</v>
      </c>
      <c r="J324" s="0" t="n">
        <f aca="false">IF(ISBLANK(RawFinancials!J324),"",RawFinancials!J324)</f>
        <v>14059</v>
      </c>
      <c r="K324" s="0" t="n">
        <f aca="false">IF(ISBLANK(RawFinancials!K324),"",RawFinancials!K324)</f>
        <v>14729</v>
      </c>
      <c r="L324" s="0" t="n">
        <f aca="false">IF(ISBLANK(RawFinancials!L324),"",RawFinancials!L324)</f>
        <v>146706</v>
      </c>
      <c r="M324" s="0" t="n">
        <f aca="false">IF(ISBLANK(RawFinancials!M324),"",RawFinancials!M324)</f>
        <v>144807</v>
      </c>
      <c r="N324" s="0" t="n">
        <f aca="false">IF(ISBLANK(RawFinancials!N324),"",RawFinancials!N324)</f>
        <v>117617</v>
      </c>
      <c r="O324" s="0" t="n">
        <f aca="false">IF(ISBLANK(RawFinancials!O324),"",RawFinancials!O324)</f>
        <v>83</v>
      </c>
      <c r="P324" s="0" t="str">
        <f aca="false">IF(ISBLANK(RawFinancials!P324),"",RawFinancials!P324)</f>
        <v>WELLS RIVER SAVINGS BANK</v>
      </c>
      <c r="Q324" s="0" t="n">
        <f aca="false">IF(ISBLANK(RawFinancials!Q324),"",RawFinancials!Q324)</f>
        <v>0.556896105135441</v>
      </c>
      <c r="R324" s="0" t="n">
        <f aca="false">IF(ISBLANK(RawFinancials!R324),"",RawFinancials!R324)</f>
        <v>4.07799974023827</v>
      </c>
      <c r="S324" s="0" t="n">
        <f aca="false">IF(ISBLANK(RawFinancials!S324),"",RawFinancials!S324)</f>
        <v>74</v>
      </c>
      <c r="T324" s="0" t="n">
        <f aca="false">IF(ISBLANK(RawFinancials!T324),"",RawFinancials!T324)</f>
        <v>546</v>
      </c>
      <c r="U324" s="0" t="n">
        <f aca="false">IF(ISBLANK(RawFinancials!U324),"",RawFinancials!U324)</f>
        <v>734</v>
      </c>
      <c r="V324" s="0" t="n">
        <f aca="false">IF(ISBLANK(RawFinancials!V324),"",RawFinancials!V324)</f>
        <v>17.6797625377766</v>
      </c>
      <c r="W324" s="0" t="n">
        <f aca="false">IF(ISBLANK(RawFinancials!W324),"",RawFinancials!W324)</f>
        <v>20230930</v>
      </c>
      <c r="X324" s="0" t="n">
        <f aca="false">IF(ISBLANK(RawFinancials!X324),"",RawFinancials!X324)</f>
        <v>0.657509532403573</v>
      </c>
      <c r="Y324" s="0" t="n">
        <f aca="false">IF(ISBLANK(RawFinancials!Y324),"",RawFinancials!Y324)</f>
        <v>9.82</v>
      </c>
      <c r="Z324" s="0" t="str">
        <f aca="false">IF(ISBLANK(RawFinancials!Z324),"",RawFinancials!Z324)</f>
        <v>VT</v>
      </c>
      <c r="AA324" s="0" t="n">
        <f aca="false">RawFinancials!AA324</f>
        <v>1</v>
      </c>
      <c r="AB324" s="0" t="n">
        <f aca="false">RawFinancials!AB324</f>
        <v>817</v>
      </c>
      <c r="AC324" s="0" t="n">
        <f aca="false">RawFinancials!AC324</f>
        <v>0.361437255023403</v>
      </c>
      <c r="AD324" s="0" t="n">
        <f aca="false">IF(L324&gt;0,100*N324/L324,"")</f>
        <v>80.1719084427358</v>
      </c>
      <c r="AE324" s="0" t="n">
        <f aca="false">IF(B324&gt;0,100*F324/B324,"")</f>
        <v>6.50410100777732</v>
      </c>
      <c r="AF324" s="0" t="str">
        <f aca="false">RawFinancials!AE324</f>
        <v/>
      </c>
    </row>
    <row r="325" customFormat="false" ht="15" hidden="false" customHeight="false" outlineLevel="0" collapsed="false">
      <c r="A325" s="0" t="n">
        <f aca="false">IF(ISBLANK(RawFinancials!A325),"",RawFinancials!A325)</f>
        <v>325</v>
      </c>
      <c r="B325" s="0" t="n">
        <f aca="false">IF(ISBLANK(RawFinancials!B325),"",RawFinancials!B325)</f>
        <v>1446742</v>
      </c>
      <c r="C325" s="0" t="n">
        <f aca="false">IF(ISBLANK(RawFinancials!C325),"",RawFinancials!C325)</f>
        <v>14140</v>
      </c>
      <c r="D325" s="0" t="n">
        <f aca="false">IF(ISBLANK(RawFinancials!D325),"",RawFinancials!D325)</f>
        <v>1144937</v>
      </c>
      <c r="E325" s="0" t="n">
        <f aca="false">IF(ISBLANK(RawFinancials!E325),"",RawFinancials!E325)</f>
        <v>0.04</v>
      </c>
      <c r="F325" s="0" t="n">
        <f aca="false">IF(ISBLANK(RawFinancials!F325),"",RawFinancials!F325)</f>
        <v>114596</v>
      </c>
      <c r="G325" s="0" t="n">
        <f aca="false">IF(ISBLANK(RawFinancials!G325),"",RawFinancials!G325)</f>
        <v>7.92097001400388</v>
      </c>
      <c r="H325" s="0" t="str">
        <f aca="false">IF(ISBLANK(RawFinancials!H325),"",RawFinancials!H325)</f>
        <v>14140_20230930</v>
      </c>
      <c r="I325" s="0" t="n">
        <f aca="false">IF(ISBLANK(RawFinancials!I325),"",RawFinancials!I325)</f>
        <v>0.8135127562536</v>
      </c>
      <c r="J325" s="0" t="n">
        <f aca="false">IF(ISBLANK(RawFinancials!J325),"",RawFinancials!J325)</f>
        <v>85696</v>
      </c>
      <c r="K325" s="0" t="n">
        <f aca="false">IF(ISBLANK(RawFinancials!K325),"",RawFinancials!K325)</f>
        <v>1520</v>
      </c>
      <c r="L325" s="0" t="n">
        <f aca="false">IF(ISBLANK(RawFinancials!L325),"",RawFinancials!L325)</f>
        <v>1027888</v>
      </c>
      <c r="M325" s="0" t="n">
        <f aca="false">IF(ISBLANK(RawFinancials!M325),"",RawFinancials!M325)</f>
        <v>1019526</v>
      </c>
      <c r="N325" s="0" t="n">
        <f aca="false">IF(ISBLANK(RawFinancials!N325),"",RawFinancials!N325)</f>
        <v>915552</v>
      </c>
      <c r="O325" s="0" t="n">
        <f aca="false">IF(ISBLANK(RawFinancials!O325),"",RawFinancials!O325)</f>
        <v>4596</v>
      </c>
      <c r="P325" s="0" t="str">
        <f aca="false">IF(ISBLANK(RawFinancials!P325),"",RawFinancials!P325)</f>
        <v>NORTHFIELD SAVINGS BANK</v>
      </c>
      <c r="Q325" s="0" t="n">
        <f aca="false">IF(ISBLANK(RawFinancials!Q325),"",RawFinancials!Q325)</f>
        <v>0.44713042666127</v>
      </c>
      <c r="R325" s="0" t="n">
        <f aca="false">IF(ISBLANK(RawFinancials!R325),"",RawFinancials!R325)</f>
        <v>2.6996394553038</v>
      </c>
      <c r="S325" s="0" t="n">
        <f aca="false">IF(ISBLANK(RawFinancials!S325),"",RawFinancials!S325)</f>
        <v>38</v>
      </c>
      <c r="T325" s="0" t="n">
        <f aca="false">IF(ISBLANK(RawFinancials!T325),"",RawFinancials!T325)</f>
        <v>265</v>
      </c>
      <c r="U325" s="0" t="n">
        <f aca="false">IF(ISBLANK(RawFinancials!U325),"",RawFinancials!U325)</f>
        <v>0</v>
      </c>
      <c r="V325" s="0" t="n">
        <f aca="false">IF(ISBLANK(RawFinancials!V325),"",RawFinancials!V325)</f>
        <v>0</v>
      </c>
      <c r="W325" s="0" t="n">
        <f aca="false">IF(ISBLANK(RawFinancials!W325),"",RawFinancials!W325)</f>
        <v>20230930</v>
      </c>
      <c r="X325" s="0" t="n">
        <f aca="false">IF(ISBLANK(RawFinancials!X325),"",RawFinancials!X325)</f>
        <v>0.282590331859959</v>
      </c>
      <c r="Y325" s="0" t="n">
        <f aca="false">IF(ISBLANK(RawFinancials!Y325),"",RawFinancials!Y325)</f>
        <v>3.45</v>
      </c>
      <c r="Z325" s="0" t="str">
        <f aca="false">IF(ISBLANK(RawFinancials!Z325),"",RawFinancials!Z325)</f>
        <v>VT</v>
      </c>
      <c r="AA325" s="0" t="n">
        <f aca="false">RawFinancials!AA325</f>
        <v>1</v>
      </c>
      <c r="AB325" s="0" t="n">
        <f aca="false">RawFinancials!AB325</f>
        <v>4596</v>
      </c>
      <c r="AC325" s="0" t="n">
        <f aca="false">RawFinancials!AC325</f>
        <v>0.317679309787094</v>
      </c>
      <c r="AD325" s="0" t="n">
        <f aca="false">IF(L325&gt;0,100*N325/L325,"")</f>
        <v>89.0711828526065</v>
      </c>
      <c r="AE325" s="0" t="n">
        <f aca="false">IF(B325&gt;0,100*F325/B325,"")</f>
        <v>7.92097001400388</v>
      </c>
      <c r="AF325" s="0" t="str">
        <f aca="false">RawFinancials!AE325</f>
        <v>原始0：需核实适用/报告口径</v>
      </c>
    </row>
    <row r="326" customFormat="false" ht="15" hidden="false" customHeight="false" outlineLevel="0" collapsed="false">
      <c r="A326" s="0" t="n">
        <f aca="false">IF(ISBLANK(RawFinancials!A326),"",RawFinancials!A326)</f>
        <v>326</v>
      </c>
      <c r="B326" s="0" t="n">
        <f aca="false">IF(ISBLANK(RawFinancials!B326),"",RawFinancials!B326)</f>
        <v>1395141</v>
      </c>
      <c r="C326" s="0" t="n">
        <f aca="false">IF(ISBLANK(RawFinancials!C326),"",RawFinancials!C326)</f>
        <v>14158</v>
      </c>
      <c r="D326" s="0" t="n">
        <f aca="false">IF(ISBLANK(RawFinancials!D326),"",RawFinancials!D326)</f>
        <v>1225741</v>
      </c>
      <c r="E326" s="0" t="n">
        <f aca="false">IF(ISBLANK(RawFinancials!E326),"",RawFinancials!E326)</f>
        <v>-0.02</v>
      </c>
      <c r="F326" s="0" t="n">
        <f aca="false">IF(ISBLANK(RawFinancials!F326),"",RawFinancials!F326)</f>
        <v>65297</v>
      </c>
      <c r="G326" s="0" t="n">
        <f aca="false">IF(ISBLANK(RawFinancials!G326),"",RawFinancials!G326)</f>
        <v>4.68031546632204</v>
      </c>
      <c r="H326" s="0" t="str">
        <f aca="false">IF(ISBLANK(RawFinancials!H326),"",RawFinancials!H326)</f>
        <v>14158_20230930</v>
      </c>
      <c r="I326" s="0" t="n">
        <f aca="false">IF(ISBLANK(RawFinancials!I326),"",RawFinancials!I326)</f>
        <v>0.669589748818871</v>
      </c>
      <c r="J326" s="0" t="n">
        <f aca="false">IF(ISBLANK(RawFinancials!J326),"",RawFinancials!J326)</f>
        <v>41125</v>
      </c>
      <c r="K326" s="0" t="n">
        <f aca="false">IF(ISBLANK(RawFinancials!K326),"",RawFinancials!K326)</f>
        <v>2184</v>
      </c>
      <c r="L326" s="0" t="n">
        <f aca="false">IF(ISBLANK(RawFinancials!L326),"",RawFinancials!L326)</f>
        <v>1029735</v>
      </c>
      <c r="M326" s="0" t="n">
        <f aca="false">IF(ISBLANK(RawFinancials!M326),"",RawFinancials!M326)</f>
        <v>1022840</v>
      </c>
      <c r="N326" s="0" t="n">
        <f aca="false">IF(ISBLANK(RawFinancials!N326),"",RawFinancials!N326)</f>
        <v>900510</v>
      </c>
      <c r="O326" s="0" t="n">
        <f aca="false">IF(ISBLANK(RawFinancials!O326),"",RawFinancials!O326)</f>
        <v>1882</v>
      </c>
      <c r="P326" s="0" t="str">
        <f aca="false">IF(ISBLANK(RawFinancials!P326),"",RawFinancials!P326)</f>
        <v>UNION BANK</v>
      </c>
      <c r="Q326" s="0" t="n">
        <f aca="false">IF(ISBLANK(RawFinancials!Q326),"",RawFinancials!Q326)</f>
        <v>0.206557997931507</v>
      </c>
      <c r="R326" s="0" t="n">
        <f aca="false">IF(ISBLANK(RawFinancials!R326),"",RawFinancials!R326)</f>
        <v>3.07647902159446</v>
      </c>
      <c r="S326" s="0" t="n">
        <f aca="false">IF(ISBLANK(RawFinancials!S326),"",RawFinancials!S326)</f>
        <v>4</v>
      </c>
      <c r="T326" s="0" t="n">
        <f aca="false">IF(ISBLANK(RawFinancials!T326),"",RawFinancials!T326)</f>
        <v>150</v>
      </c>
      <c r="U326" s="0" t="n">
        <f aca="false">IF(ISBLANK(RawFinancials!U326),"",RawFinancials!U326)</f>
        <v>245</v>
      </c>
      <c r="V326" s="0" t="n">
        <f aca="false">IF(ISBLANK(RawFinancials!V326),"",RawFinancials!V326)</f>
        <v>13.1807756858742</v>
      </c>
      <c r="W326" s="0" t="n">
        <f aca="false">IF(ISBLANK(RawFinancials!W326),"",RawFinancials!W326)</f>
        <v>20230930</v>
      </c>
      <c r="X326" s="0" t="n">
        <f aca="false">IF(ISBLANK(RawFinancials!X326),"",RawFinancials!X326)</f>
        <v>0.872949562021764</v>
      </c>
      <c r="Y326" s="0" t="n">
        <f aca="false">IF(ISBLANK(RawFinancials!Y326),"",RawFinancials!Y326)</f>
        <v>16.43</v>
      </c>
      <c r="Z326" s="0" t="str">
        <f aca="false">IF(ISBLANK(RawFinancials!Z326),"",RawFinancials!Z326)</f>
        <v>VT</v>
      </c>
      <c r="AA326" s="0" t="n">
        <f aca="false">RawFinancials!AA326</f>
        <v>1</v>
      </c>
      <c r="AB326" s="0" t="n">
        <f aca="false">RawFinancials!AB326</f>
        <v>2127</v>
      </c>
      <c r="AC326" s="0" t="n">
        <f aca="false">RawFinancials!AC326</f>
        <v>0.152457708575692</v>
      </c>
      <c r="AD326" s="0" t="n">
        <f aca="false">IF(L326&gt;0,100*N326/L326,"")</f>
        <v>87.4506547801133</v>
      </c>
      <c r="AE326" s="0" t="n">
        <f aca="false">IF(B326&gt;0,100*F326/B326,"")</f>
        <v>4.68031546632204</v>
      </c>
      <c r="AF326" s="0" t="str">
        <f aca="false">RawFinancials!AE326</f>
        <v/>
      </c>
    </row>
    <row r="327" customFormat="false" ht="15" hidden="false" customHeight="false" outlineLevel="0" collapsed="false">
      <c r="A327" s="0" t="n">
        <f aca="false">IF(ISBLANK(RawFinancials!A327),"",RawFinancials!A327)</f>
        <v>327</v>
      </c>
      <c r="B327" s="0" t="n">
        <f aca="false">IF(ISBLANK(RawFinancials!B327),"",RawFinancials!B327)</f>
        <v>359023</v>
      </c>
      <c r="C327" s="0" t="n">
        <f aca="false">IF(ISBLANK(RawFinancials!C327),"",RawFinancials!C327)</f>
        <v>14168</v>
      </c>
      <c r="D327" s="0" t="n">
        <f aca="false">IF(ISBLANK(RawFinancials!D327),"",RawFinancials!D327)</f>
        <v>322770</v>
      </c>
      <c r="E327" s="0" t="n">
        <f aca="false">IF(ISBLANK(RawFinancials!E327),"",RawFinancials!E327)</f>
        <v>0.18</v>
      </c>
      <c r="F327" s="0" t="n">
        <f aca="false">IF(ISBLANK(RawFinancials!F327),"",RawFinancials!F327)</f>
        <v>31301</v>
      </c>
      <c r="G327" s="0" t="n">
        <f aca="false">IF(ISBLANK(RawFinancials!G327),"",RawFinancials!G327)</f>
        <v>8.71838294482526</v>
      </c>
      <c r="H327" s="0" t="str">
        <f aca="false">IF(ISBLANK(RawFinancials!H327),"",RawFinancials!H327)</f>
        <v>14168_20230930</v>
      </c>
      <c r="I327" s="0" t="n">
        <f aca="false">IF(ISBLANK(RawFinancials!I327),"",RawFinancials!I327)</f>
        <v>1.59384290323003</v>
      </c>
      <c r="J327" s="0" t="n">
        <f aca="false">IF(ISBLANK(RawFinancials!J327),"",RawFinancials!J327)</f>
        <v>11392</v>
      </c>
      <c r="K327" s="0" t="n">
        <f aca="false">IF(ISBLANK(RawFinancials!K327),"",RawFinancials!K327)</f>
        <v>9903</v>
      </c>
      <c r="L327" s="0" t="n">
        <f aca="false">IF(ISBLANK(RawFinancials!L327),"",RawFinancials!L327)</f>
        <v>229069</v>
      </c>
      <c r="M327" s="0" t="n">
        <f aca="false">IF(ISBLANK(RawFinancials!M327),"",RawFinancials!M327)</f>
        <v>225418</v>
      </c>
      <c r="N327" s="0" t="n">
        <f aca="false">IF(ISBLANK(RawFinancials!N327),"",RawFinancials!N327)</f>
        <v>191581</v>
      </c>
      <c r="O327" s="0" t="n">
        <f aca="false">IF(ISBLANK(RawFinancials!O327),"",RawFinancials!O327)</f>
        <v>1133</v>
      </c>
      <c r="P327" s="0" t="str">
        <f aca="false">IF(ISBLANK(RawFinancials!P327),"",RawFinancials!P327)</f>
        <v>PEOPLES TRUST COMPANY OF ST. ALBANS</v>
      </c>
      <c r="Q327" s="0" t="n">
        <f aca="false">IF(ISBLANK(RawFinancials!Q327),"",RawFinancials!Q327)</f>
        <v>0.494610794127534</v>
      </c>
      <c r="R327" s="0" t="n">
        <f aca="false">IF(ISBLANK(RawFinancials!R327),"",RawFinancials!R327)</f>
        <v>3.93880269357462</v>
      </c>
      <c r="S327" s="0" t="n">
        <f aca="false">IF(ISBLANK(RawFinancials!S327),"",RawFinancials!S327)</f>
        <v>-11</v>
      </c>
      <c r="T327" s="0" t="n">
        <f aca="false">IF(ISBLANK(RawFinancials!T327),"",RawFinancials!T327)</f>
        <v>363</v>
      </c>
      <c r="U327" s="0" t="n">
        <f aca="false">IF(ISBLANK(RawFinancials!U327),"",RawFinancials!U327)</f>
        <v>0</v>
      </c>
      <c r="V327" s="0" t="n">
        <f aca="false">IF(ISBLANK(RawFinancials!V327),"",RawFinancials!V327)</f>
        <v>16.9790621609938</v>
      </c>
      <c r="W327" s="0" t="n">
        <f aca="false">IF(ISBLANK(RawFinancials!W327),"",RawFinancials!W327)</f>
        <v>20230930</v>
      </c>
      <c r="X327" s="0" t="n">
        <f aca="false">IF(ISBLANK(RawFinancials!X327),"",RawFinancials!X327)</f>
        <v>0.847124283777966</v>
      </c>
      <c r="Y327" s="0" t="n">
        <f aca="false">IF(ISBLANK(RawFinancials!Y327),"",RawFinancials!Y327)</f>
        <v>9.42</v>
      </c>
      <c r="Z327" s="0" t="str">
        <f aca="false">IF(ISBLANK(RawFinancials!Z327),"",RawFinancials!Z327)</f>
        <v>VT</v>
      </c>
      <c r="AA327" s="0" t="n">
        <f aca="false">RawFinancials!AA327</f>
        <v>1</v>
      </c>
      <c r="AB327" s="0" t="n">
        <f aca="false">RawFinancials!AB327</f>
        <v>1133</v>
      </c>
      <c r="AC327" s="0" t="n">
        <f aca="false">RawFinancials!AC327</f>
        <v>0.31557866766196</v>
      </c>
      <c r="AD327" s="0" t="n">
        <f aca="false">IF(L327&gt;0,100*N327/L327,"")</f>
        <v>83.634625374887</v>
      </c>
      <c r="AE327" s="0" t="n">
        <f aca="false">IF(B327&gt;0,100*F327/B327,"")</f>
        <v>8.71838294482526</v>
      </c>
      <c r="AF327" s="0" t="str">
        <f aca="false">RawFinancials!AE327</f>
        <v/>
      </c>
    </row>
    <row r="328" customFormat="false" ht="15" hidden="false" customHeight="false" outlineLevel="0" collapsed="false">
      <c r="A328" s="0" t="n">
        <f aca="false">IF(ISBLANK(RawFinancials!A328),"",RawFinancials!A328)</f>
        <v>328</v>
      </c>
      <c r="B328" s="0" t="n">
        <f aca="false">IF(ISBLANK(RawFinancials!B328),"",RawFinancials!B328)</f>
        <v>1352605</v>
      </c>
      <c r="C328" s="0" t="n">
        <f aca="false">IF(ISBLANK(RawFinancials!C328),"",RawFinancials!C328)</f>
        <v>14240</v>
      </c>
      <c r="D328" s="0" t="n">
        <f aca="false">IF(ISBLANK(RawFinancials!D328),"",RawFinancials!D328)</f>
        <v>1054870</v>
      </c>
      <c r="E328" s="0" t="n">
        <f aca="false">IF(ISBLANK(RawFinancials!E328),"",RawFinancials!E328)</f>
        <v>0</v>
      </c>
      <c r="F328" s="0" t="n">
        <f aca="false">IF(ISBLANK(RawFinancials!F328),"",RawFinancials!F328)</f>
        <v>75740</v>
      </c>
      <c r="G328" s="0" t="n">
        <f aca="false">IF(ISBLANK(RawFinancials!G328),"",RawFinancials!G328)</f>
        <v>5.5995652832867</v>
      </c>
      <c r="H328" s="0" t="str">
        <f aca="false">IF(ISBLANK(RawFinancials!H328),"",RawFinancials!H328)</f>
        <v>14240_20230930</v>
      </c>
      <c r="I328" s="0" t="n">
        <f aca="false">IF(ISBLANK(RawFinancials!I328),"",RawFinancials!I328)</f>
        <v>1.14987211007012</v>
      </c>
      <c r="J328" s="0" t="n">
        <f aca="false">IF(ISBLANK(RawFinancials!J328),"",RawFinancials!J328)</f>
        <v>26965</v>
      </c>
      <c r="K328" s="0" t="n">
        <f aca="false">IF(ISBLANK(RawFinancials!K328),"",RawFinancials!K328)</f>
        <v>17762</v>
      </c>
      <c r="L328" s="0" t="n">
        <f aca="false">IF(ISBLANK(RawFinancials!L328),"",RawFinancials!L328)</f>
        <v>967238</v>
      </c>
      <c r="M328" s="0" t="n">
        <f aca="false">IF(ISBLANK(RawFinancials!M328),"",RawFinancials!M328)</f>
        <v>956116</v>
      </c>
      <c r="N328" s="0" t="n">
        <f aca="false">IF(ISBLANK(RawFinancials!N328),"",RawFinancials!N328)</f>
        <v>823267</v>
      </c>
      <c r="O328" s="0" t="n">
        <f aca="false">IF(ISBLANK(RawFinancials!O328),"",RawFinancials!O328)</f>
        <v>2967</v>
      </c>
      <c r="P328" s="0" t="str">
        <f aca="false">IF(ISBLANK(RawFinancials!P328),"",RawFinancials!P328)</f>
        <v>NORTHWAY BANK</v>
      </c>
      <c r="Q328" s="0" t="n">
        <f aca="false">IF(ISBLANK(RawFinancials!Q328),"",RawFinancials!Q328)</f>
        <v>0.306749734811908</v>
      </c>
      <c r="R328" s="0" t="n">
        <f aca="false">IF(ISBLANK(RawFinancials!R328),"",RawFinancials!R328)</f>
        <v>2.85113070307758</v>
      </c>
      <c r="S328" s="0" t="n">
        <f aca="false">IF(ISBLANK(RawFinancials!S328),"",RawFinancials!S328)</f>
        <v>-4</v>
      </c>
      <c r="T328" s="0" t="n">
        <f aca="false">IF(ISBLANK(RawFinancials!T328),"",RawFinancials!T328)</f>
        <v>236</v>
      </c>
      <c r="U328" s="0" t="n">
        <f aca="false">IF(ISBLANK(RawFinancials!U328),"",RawFinancials!U328)</f>
        <v>0</v>
      </c>
      <c r="V328" s="0" t="n">
        <f aca="false">IF(ISBLANK(RawFinancials!V328),"",RawFinancials!V328)</f>
        <v>15.1569679287591</v>
      </c>
      <c r="W328" s="0" t="n">
        <f aca="false">IF(ISBLANK(RawFinancials!W328),"",RawFinancials!W328)</f>
        <v>20230930</v>
      </c>
      <c r="X328" s="0" t="n">
        <f aca="false">IF(ISBLANK(RawFinancials!X328),"",RawFinancials!X328)</f>
        <v>0.527762579725944</v>
      </c>
      <c r="Y328" s="0" t="n">
        <f aca="false">IF(ISBLANK(RawFinancials!Y328),"",RawFinancials!Y328)</f>
        <v>8.68</v>
      </c>
      <c r="Z328" s="0" t="str">
        <f aca="false">IF(ISBLANK(RawFinancials!Z328),"",RawFinancials!Z328)</f>
        <v>NH</v>
      </c>
      <c r="AA328" s="0" t="n">
        <f aca="false">RawFinancials!AA328</f>
        <v>1</v>
      </c>
      <c r="AB328" s="0" t="n">
        <f aca="false">RawFinancials!AB328</f>
        <v>2967</v>
      </c>
      <c r="AC328" s="0" t="n">
        <f aca="false">RawFinancials!AC328</f>
        <v>0.219354504825873</v>
      </c>
      <c r="AD328" s="0" t="n">
        <f aca="false">IF(L328&gt;0,100*N328/L328,"")</f>
        <v>85.1152456789332</v>
      </c>
      <c r="AE328" s="0" t="n">
        <f aca="false">IF(B328&gt;0,100*F328/B328,"")</f>
        <v>5.5995652832867</v>
      </c>
      <c r="AF328" s="0" t="str">
        <f aca="false">RawFinancials!AE328</f>
        <v/>
      </c>
    </row>
    <row r="329" customFormat="false" ht="15" hidden="false" customHeight="false" outlineLevel="0" collapsed="false">
      <c r="A329" s="0" t="n">
        <f aca="false">IF(ISBLANK(RawFinancials!A329),"",RawFinancials!A329)</f>
        <v>329</v>
      </c>
      <c r="B329" s="0" t="n">
        <f aca="false">IF(ISBLANK(RawFinancials!B329),"",RawFinancials!B329)</f>
        <v>1080866</v>
      </c>
      <c r="C329" s="0" t="n">
        <f aca="false">IF(ISBLANK(RawFinancials!C329),"",RawFinancials!C329)</f>
        <v>17115</v>
      </c>
      <c r="D329" s="0" t="n">
        <f aca="false">IF(ISBLANK(RawFinancials!D329),"",RawFinancials!D329)</f>
        <v>797533</v>
      </c>
      <c r="E329" s="0" t="n">
        <f aca="false">IF(ISBLANK(RawFinancials!E329),"",RawFinancials!E329)</f>
        <v>0.06</v>
      </c>
      <c r="F329" s="0" t="n">
        <f aca="false">IF(ISBLANK(RawFinancials!F329),"",RawFinancials!F329)</f>
        <v>79915</v>
      </c>
      <c r="G329" s="0" t="n">
        <f aca="false">IF(ISBLANK(RawFinancials!G329),"",RawFinancials!G329)</f>
        <v>7.3936084584028</v>
      </c>
      <c r="H329" s="0" t="str">
        <f aca="false">IF(ISBLANK(RawFinancials!H329),"",RawFinancials!H329)</f>
        <v>17115_20230930</v>
      </c>
      <c r="I329" s="0" t="n">
        <f aca="false">IF(ISBLANK(RawFinancials!I329),"",RawFinancials!I329)</f>
        <v>1.05623660784378</v>
      </c>
      <c r="J329" s="0" t="n">
        <f aca="false">IF(ISBLANK(RawFinancials!J329),"",RawFinancials!J329)</f>
        <v>44197</v>
      </c>
      <c r="K329" s="0" t="n">
        <f aca="false">IF(ISBLANK(RawFinancials!K329),"",RawFinancials!K329)</f>
        <v>5743</v>
      </c>
      <c r="L329" s="0" t="n">
        <f aca="false">IF(ISBLANK(RawFinancials!L329),"",RawFinancials!L329)</f>
        <v>885313</v>
      </c>
      <c r="M329" s="0" t="n">
        <f aca="false">IF(ISBLANK(RawFinancials!M329),"",RawFinancials!M329)</f>
        <v>875962</v>
      </c>
      <c r="N329" s="0" t="n">
        <f aca="false">IF(ISBLANK(RawFinancials!N329),"",RawFinancials!N329)</f>
        <v>833728</v>
      </c>
      <c r="O329" s="0" t="n">
        <f aca="false">IF(ISBLANK(RawFinancials!O329),"",RawFinancials!O329)</f>
        <v>244</v>
      </c>
      <c r="P329" s="0" t="str">
        <f aca="false">IF(ISBLANK(RawFinancials!P329),"",RawFinancials!P329)</f>
        <v>PARTNERS BANK OF NEW ENGLAND</v>
      </c>
      <c r="Q329" s="0" t="n">
        <f aca="false">IF(ISBLANK(RawFinancials!Q329),"",RawFinancials!Q329)</f>
        <v>0.0275608739507948</v>
      </c>
      <c r="R329" s="0" t="n">
        <f aca="false">IF(ISBLANK(RawFinancials!R329),"",RawFinancials!R329)</f>
        <v>2.94787495581982</v>
      </c>
      <c r="S329" s="0" t="n">
        <f aca="false">IF(ISBLANK(RawFinancials!S329),"",RawFinancials!S329)</f>
        <v>-71</v>
      </c>
      <c r="T329" s="0" t="n">
        <f aca="false">IF(ISBLANK(RawFinancials!T329),"",RawFinancials!T329)</f>
        <v>1158</v>
      </c>
      <c r="U329" s="0" t="n">
        <f aca="false">IF(ISBLANK(RawFinancials!U329),"",RawFinancials!U329)</f>
        <v>0</v>
      </c>
      <c r="V329" s="0" t="n">
        <f aca="false">IF(ISBLANK(RawFinancials!V329),"",RawFinancials!V329)</f>
        <v>13.5669711163055</v>
      </c>
      <c r="W329" s="0" t="n">
        <f aca="false">IF(ISBLANK(RawFinancials!W329),"",RawFinancials!W329)</f>
        <v>20230930</v>
      </c>
      <c r="X329" s="0" t="n">
        <f aca="false">IF(ISBLANK(RawFinancials!X329),"",RawFinancials!X329)</f>
        <v>0.498638540922278</v>
      </c>
      <c r="Y329" s="0" t="n">
        <f aca="false">IF(ISBLANK(RawFinancials!Y329),"",RawFinancials!Y329)</f>
        <v>6.49</v>
      </c>
      <c r="Z329" s="0" t="str">
        <f aca="false">IF(ISBLANK(RawFinancials!Z329),"",RawFinancials!Z329)</f>
        <v>ME</v>
      </c>
      <c r="AA329" s="0" t="n">
        <f aca="false">RawFinancials!AA329</f>
        <v>1</v>
      </c>
      <c r="AB329" s="0" t="n">
        <f aca="false">RawFinancials!AB329</f>
        <v>244</v>
      </c>
      <c r="AC329" s="0" t="n">
        <f aca="false">RawFinancials!AC329</f>
        <v>0.0225744911950232</v>
      </c>
      <c r="AD329" s="0" t="n">
        <f aca="false">IF(L329&gt;0,100*N329/L329,"")</f>
        <v>94.1732472018371</v>
      </c>
      <c r="AE329" s="0" t="n">
        <f aca="false">IF(B329&gt;0,100*F329/B329,"")</f>
        <v>7.3936084584028</v>
      </c>
      <c r="AF329" s="0" t="str">
        <f aca="false">RawFinancials!AE329</f>
        <v/>
      </c>
    </row>
    <row r="330" customFormat="false" ht="15" hidden="false" customHeight="false" outlineLevel="0" collapsed="false">
      <c r="A330" s="0" t="n">
        <f aca="false">IF(ISBLANK(RawFinancials!A330),"",RawFinancials!A330)</f>
        <v>330</v>
      </c>
      <c r="B330" s="0" t="n">
        <f aca="false">IF(ISBLANK(RawFinancials!B330),"",RawFinancials!B330)</f>
        <v>1618725</v>
      </c>
      <c r="C330" s="0" t="n">
        <f aca="false">IF(ISBLANK(RawFinancials!C330),"",RawFinancials!C330)</f>
        <v>17180</v>
      </c>
      <c r="D330" s="0" t="n">
        <f aca="false">IF(ISBLANK(RawFinancials!D330),"",RawFinancials!D330)</f>
        <v>1198681</v>
      </c>
      <c r="E330" s="0" t="n">
        <f aca="false">IF(ISBLANK(RawFinancials!E330),"",RawFinancials!E330)</f>
        <v>0.12</v>
      </c>
      <c r="F330" s="0" t="n">
        <f aca="false">IF(ISBLANK(RawFinancials!F330),"",RawFinancials!F330)</f>
        <v>130715</v>
      </c>
      <c r="G330" s="0" t="n">
        <f aca="false">IF(ISBLANK(RawFinancials!G330),"",RawFinancials!G330)</f>
        <v>8.07518262830314</v>
      </c>
      <c r="H330" s="0" t="str">
        <f aca="false">IF(ISBLANK(RawFinancials!H330),"",RawFinancials!H330)</f>
        <v>17180_20230930</v>
      </c>
      <c r="I330" s="0" t="n">
        <f aca="false">IF(ISBLANK(RawFinancials!I330),"",RawFinancials!I330)</f>
        <v>0.965928748509822</v>
      </c>
      <c r="J330" s="0" t="n">
        <f aca="false">IF(ISBLANK(RawFinancials!J330),"",RawFinancials!J330)</f>
        <v>53778</v>
      </c>
      <c r="K330" s="0" t="n">
        <f aca="false">IF(ISBLANK(RawFinancials!K330),"",RawFinancials!K330)</f>
        <v>195410</v>
      </c>
      <c r="L330" s="0" t="n">
        <f aca="false">IF(ISBLANK(RawFinancials!L330),"",RawFinancials!L330)</f>
        <v>1465429</v>
      </c>
      <c r="M330" s="0" t="n">
        <f aca="false">IF(ISBLANK(RawFinancials!M330),"",RawFinancials!M330)</f>
        <v>1451274</v>
      </c>
      <c r="N330" s="0" t="n">
        <f aca="false">IF(ISBLANK(RawFinancials!N330),"",RawFinancials!N330)</f>
        <v>1192665</v>
      </c>
      <c r="O330" s="0" t="n">
        <f aca="false">IF(ISBLANK(RawFinancials!O330),"",RawFinancials!O330)</f>
        <v>5236</v>
      </c>
      <c r="P330" s="0" t="str">
        <f aca="false">IF(ISBLANK(RawFinancials!P330),"",RawFinancials!P330)</f>
        <v>MEREDITH VILLAGE SAVINGS BANK</v>
      </c>
      <c r="Q330" s="0" t="n">
        <f aca="false">IF(ISBLANK(RawFinancials!Q330),"",RawFinancials!Q330)</f>
        <v>0.357301513754675</v>
      </c>
      <c r="R330" s="0" t="n">
        <f aca="false">IF(ISBLANK(RawFinancials!R330),"",RawFinancials!R330)</f>
        <v>2.89756095197028</v>
      </c>
      <c r="S330" s="0" t="n">
        <f aca="false">IF(ISBLANK(RawFinancials!S330),"",RawFinancials!S330)</f>
        <v>234</v>
      </c>
      <c r="T330" s="0" t="n">
        <f aca="false">IF(ISBLANK(RawFinancials!T330),"",RawFinancials!T330)</f>
        <v>2857</v>
      </c>
      <c r="U330" s="0" t="n">
        <f aca="false">IF(ISBLANK(RawFinancials!U330),"",RawFinancials!U330)</f>
        <v>0</v>
      </c>
      <c r="V330" s="0" t="n">
        <f aca="false">IF(ISBLANK(RawFinancials!V330),"",RawFinancials!V330)</f>
        <v>13.815531195592</v>
      </c>
      <c r="W330" s="0" t="n">
        <f aca="false">IF(ISBLANK(RawFinancials!W330),"",RawFinancials!W330)</f>
        <v>20230930</v>
      </c>
      <c r="X330" s="0" t="n">
        <f aca="false">IF(ISBLANK(RawFinancials!X330),"",RawFinancials!X330)</f>
        <v>0.396147648792238</v>
      </c>
      <c r="Y330" s="0" t="n">
        <f aca="false">IF(ISBLANK(RawFinancials!Y330),"",RawFinancials!Y330)</f>
        <v>4.83</v>
      </c>
      <c r="Z330" s="0" t="str">
        <f aca="false">IF(ISBLANK(RawFinancials!Z330),"",RawFinancials!Z330)</f>
        <v>NH</v>
      </c>
      <c r="AA330" s="0" t="n">
        <f aca="false">RawFinancials!AA330</f>
        <v>1</v>
      </c>
      <c r="AB330" s="0" t="n">
        <f aca="false">RawFinancials!AB330</f>
        <v>5236</v>
      </c>
      <c r="AC330" s="0" t="n">
        <f aca="false">RawFinancials!AC330</f>
        <v>0.323464455049499</v>
      </c>
      <c r="AD330" s="0" t="n">
        <f aca="false">IF(L330&gt;0,100*N330/L330,"")</f>
        <v>81.3867474985141</v>
      </c>
      <c r="AE330" s="0" t="n">
        <f aca="false">IF(B330&gt;0,100*F330/B330,"")</f>
        <v>8.07518262830314</v>
      </c>
      <c r="AF330" s="0" t="str">
        <f aca="false">RawFinancials!AE330</f>
        <v/>
      </c>
    </row>
    <row r="331" customFormat="false" ht="15" hidden="false" customHeight="false" outlineLevel="0" collapsed="false">
      <c r="A331" s="0" t="n">
        <f aca="false">IF(ISBLANK(RawFinancials!A331),"",RawFinancials!A331)</f>
        <v>331</v>
      </c>
      <c r="B331" s="0" t="n">
        <f aca="false">IF(ISBLANK(RawFinancials!B331),"",RawFinancials!B331)</f>
        <v>359919</v>
      </c>
      <c r="C331" s="0" t="n">
        <f aca="false">IF(ISBLANK(RawFinancials!C331),"",RawFinancials!C331)</f>
        <v>17443</v>
      </c>
      <c r="D331" s="0" t="n">
        <f aca="false">IF(ISBLANK(RawFinancials!D331),"",RawFinancials!D331)</f>
        <v>321726</v>
      </c>
      <c r="E331" s="0" t="n">
        <f aca="false">IF(ISBLANK(RawFinancials!E331),"",RawFinancials!E331)</f>
        <v>0.02</v>
      </c>
      <c r="F331" s="0" t="n">
        <f aca="false">IF(ISBLANK(RawFinancials!F331),"",RawFinancials!F331)</f>
        <v>36888</v>
      </c>
      <c r="G331" s="0" t="n">
        <f aca="false">IF(ISBLANK(RawFinancials!G331),"",RawFinancials!G331)</f>
        <v>10.2489726855209</v>
      </c>
      <c r="H331" s="0" t="str">
        <f aca="false">IF(ISBLANK(RawFinancials!H331),"",RawFinancials!H331)</f>
        <v>17443_20230930</v>
      </c>
      <c r="I331" s="0" t="n">
        <f aca="false">IF(ISBLANK(RawFinancials!I331),"",RawFinancials!I331)</f>
        <v>0.855883657685112</v>
      </c>
      <c r="J331" s="0" t="n">
        <f aca="false">IF(ISBLANK(RawFinancials!J331),"",RawFinancials!J331)</f>
        <v>0</v>
      </c>
      <c r="K331" s="0" t="n">
        <f aca="false">IF(ISBLANK(RawFinancials!K331),"",RawFinancials!K331)</f>
        <v>761</v>
      </c>
      <c r="L331" s="0" t="n">
        <f aca="false">IF(ISBLANK(RawFinancials!L331),"",RawFinancials!L331)</f>
        <v>207388</v>
      </c>
      <c r="M331" s="0" t="n">
        <f aca="false">IF(ISBLANK(RawFinancials!M331),"",RawFinancials!M331)</f>
        <v>205613</v>
      </c>
      <c r="N331" s="0" t="n">
        <f aca="false">IF(ISBLANK(RawFinancials!N331),"",RawFinancials!N331)</f>
        <v>205626</v>
      </c>
      <c r="O331" s="0" t="n">
        <f aca="false">IF(ISBLANK(RawFinancials!O331),"",RawFinancials!O331)</f>
        <v>109</v>
      </c>
      <c r="P331" s="0" t="str">
        <f aca="false">IF(ISBLANK(RawFinancials!P331),"",RawFinancials!P331)</f>
        <v>PISCATAQUA SAVINGS BANK</v>
      </c>
      <c r="Q331" s="0" t="n">
        <f aca="false">IF(ISBLANK(RawFinancials!Q331),"",RawFinancials!Q331)</f>
        <v>0.48508110401759</v>
      </c>
      <c r="R331" s="0" t="n">
        <f aca="false">IF(ISBLANK(RawFinancials!R331),"",RawFinancials!R331)</f>
        <v>1.59052041879174</v>
      </c>
      <c r="S331" s="0" t="n">
        <f aca="false">IF(ISBLANK(RawFinancials!S331),"",RawFinancials!S331)</f>
        <v>0</v>
      </c>
      <c r="T331" s="0" t="n">
        <f aca="false">IF(ISBLANK(RawFinancials!T331),"",RawFinancials!T331)</f>
        <v>310</v>
      </c>
      <c r="U331" s="0" t="n">
        <f aca="false">IF(ISBLANK(RawFinancials!U331),"",RawFinancials!U331)</f>
        <v>897</v>
      </c>
      <c r="V331" s="0" t="n">
        <f aca="false">IF(ISBLANK(RawFinancials!V331),"",RawFinancials!V331)</f>
        <v>0</v>
      </c>
      <c r="W331" s="0" t="n">
        <f aca="false">IF(ISBLANK(RawFinancials!W331),"",RawFinancials!W331)</f>
        <v>20230930</v>
      </c>
      <c r="X331" s="0" t="n">
        <f aca="false">IF(ISBLANK(RawFinancials!X331),"",RawFinancials!X331)</f>
        <v>0.0680743287053853</v>
      </c>
      <c r="Y331" s="0" t="n">
        <f aca="false">IF(ISBLANK(RawFinancials!Y331),"",RawFinancials!Y331)</f>
        <v>0.66</v>
      </c>
      <c r="Z331" s="0" t="str">
        <f aca="false">IF(ISBLANK(RawFinancials!Z331),"",RawFinancials!Z331)</f>
        <v>NH</v>
      </c>
      <c r="AA331" s="0" t="n">
        <f aca="false">RawFinancials!AA331</f>
        <v>1</v>
      </c>
      <c r="AB331" s="0" t="n">
        <f aca="false">RawFinancials!AB331</f>
        <v>1006</v>
      </c>
      <c r="AC331" s="0" t="n">
        <f aca="false">RawFinancials!AC331</f>
        <v>0.279507333594503</v>
      </c>
      <c r="AD331" s="0" t="n">
        <f aca="false">IF(L331&gt;0,100*N331/L331,"")</f>
        <v>99.150384786005</v>
      </c>
      <c r="AE331" s="0" t="n">
        <f aca="false">IF(B331&gt;0,100*F331/B331,"")</f>
        <v>10.2489726855209</v>
      </c>
      <c r="AF331" s="0" t="str">
        <f aca="false">RawFinancials!AE331</f>
        <v>原始0：需核实适用/报告口径</v>
      </c>
    </row>
    <row r="332" customFormat="false" ht="15" hidden="false" customHeight="false" outlineLevel="0" collapsed="false">
      <c r="A332" s="0" t="n">
        <f aca="false">IF(ISBLANK(RawFinancials!A332),"",RawFinancials!A332)</f>
        <v>332</v>
      </c>
      <c r="B332" s="0" t="n">
        <f aca="false">IF(ISBLANK(RawFinancials!B332),"",RawFinancials!B332)</f>
        <v>1854542</v>
      </c>
      <c r="C332" s="0" t="n">
        <f aca="false">IF(ISBLANK(RawFinancials!C332),"",RawFinancials!C332)</f>
        <v>17658</v>
      </c>
      <c r="D332" s="0" t="n">
        <f aca="false">IF(ISBLANK(RawFinancials!D332),"",RawFinancials!D332)</f>
        <v>1539926</v>
      </c>
      <c r="E332" s="0" t="n">
        <f aca="false">IF(ISBLANK(RawFinancials!E332),"",RawFinancials!E332)</f>
        <v>0.06</v>
      </c>
      <c r="F332" s="0" t="n">
        <f aca="false">IF(ISBLANK(RawFinancials!F332),"",RawFinancials!F332)</f>
        <v>184915</v>
      </c>
      <c r="G332" s="0" t="n">
        <f aca="false">IF(ISBLANK(RawFinancials!G332),"",RawFinancials!G332)</f>
        <v>9.97092543603758</v>
      </c>
      <c r="H332" s="0" t="str">
        <f aca="false">IF(ISBLANK(RawFinancials!H332),"",RawFinancials!H332)</f>
        <v>17658_20230930</v>
      </c>
      <c r="I332" s="0" t="n">
        <f aca="false">IF(ISBLANK(RawFinancials!I332),"",RawFinancials!I332)</f>
        <v>0.638478485109004</v>
      </c>
      <c r="J332" s="0" t="n">
        <f aca="false">IF(ISBLANK(RawFinancials!J332),"",RawFinancials!J332)</f>
        <v>95704</v>
      </c>
      <c r="K332" s="0" t="n">
        <f aca="false">IF(ISBLANK(RawFinancials!K332),"",RawFinancials!K332)</f>
        <v>80475</v>
      </c>
      <c r="L332" s="0" t="n">
        <f aca="false">IF(ISBLANK(RawFinancials!L332),"",RawFinancials!L332)</f>
        <v>1292291</v>
      </c>
      <c r="M332" s="0" t="n">
        <f aca="false">IF(ISBLANK(RawFinancials!M332),"",RawFinancials!M332)</f>
        <v>1284040</v>
      </c>
      <c r="N332" s="0" t="n">
        <f aca="false">IF(ISBLANK(RawFinancials!N332),"",RawFinancials!N332)</f>
        <v>1103288</v>
      </c>
      <c r="O332" s="0" t="n">
        <f aca="false">IF(ISBLANK(RawFinancials!O332),"",RawFinancials!O332)</f>
        <v>1361</v>
      </c>
      <c r="P332" s="0" t="str">
        <f aca="false">IF(ISBLANK(RawFinancials!P332),"",RawFinancials!P332)</f>
        <v>NORWAY SAVINGS BANK</v>
      </c>
      <c r="Q332" s="0" t="n">
        <f aca="false">IF(ISBLANK(RawFinancials!Q332),"",RawFinancials!Q332)</f>
        <v>0.105316836532948</v>
      </c>
      <c r="R332" s="0" t="n">
        <f aca="false">IF(ISBLANK(RawFinancials!R332),"",RawFinancials!R332)</f>
        <v>3.39384266025843</v>
      </c>
      <c r="S332" s="0" t="n">
        <f aca="false">IF(ISBLANK(RawFinancials!S332),"",RawFinancials!S332)</f>
        <v>-125</v>
      </c>
      <c r="T332" s="0" t="n">
        <f aca="false">IF(ISBLANK(RawFinancials!T332),"",RawFinancials!T332)</f>
        <v>2709</v>
      </c>
      <c r="U332" s="0" t="n">
        <f aca="false">IF(ISBLANK(RawFinancials!U332),"",RawFinancials!U332)</f>
        <v>0</v>
      </c>
      <c r="V332" s="0" t="n">
        <f aca="false">IF(ISBLANK(RawFinancials!V332),"",RawFinancials!V332)</f>
        <v>0</v>
      </c>
      <c r="W332" s="0" t="n">
        <f aca="false">IF(ISBLANK(RawFinancials!W332),"",RawFinancials!W332)</f>
        <v>20230930</v>
      </c>
      <c r="X332" s="0" t="n">
        <f aca="false">IF(ISBLANK(RawFinancials!X332),"",RawFinancials!X332)</f>
        <v>0.655756640612116</v>
      </c>
      <c r="Y332" s="0" t="n">
        <f aca="false">IF(ISBLANK(RawFinancials!Y332),"",RawFinancials!Y332)</f>
        <v>6.22</v>
      </c>
      <c r="Z332" s="0" t="str">
        <f aca="false">IF(ISBLANK(RawFinancials!Z332),"",RawFinancials!Z332)</f>
        <v>ME</v>
      </c>
      <c r="AA332" s="0" t="n">
        <f aca="false">RawFinancials!AA332</f>
        <v>1</v>
      </c>
      <c r="AB332" s="0" t="n">
        <f aca="false">RawFinancials!AB332</f>
        <v>1361</v>
      </c>
      <c r="AC332" s="0" t="n">
        <f aca="false">RawFinancials!AC332</f>
        <v>0.0733873916039648</v>
      </c>
      <c r="AD332" s="0" t="n">
        <f aca="false">IF(L332&gt;0,100*N332/L332,"")</f>
        <v>85.3745789454542</v>
      </c>
      <c r="AE332" s="0" t="n">
        <f aca="false">IF(B332&gt;0,100*F332/B332,"")</f>
        <v>9.97092543603758</v>
      </c>
      <c r="AF332" s="0" t="str">
        <f aca="false">RawFinancials!AE332</f>
        <v>原始0：需核实适用/报告口径</v>
      </c>
    </row>
    <row r="333" customFormat="false" ht="15" hidden="false" customHeight="false" outlineLevel="0" collapsed="false">
      <c r="A333" s="0" t="n">
        <f aca="false">IF(ISBLANK(RawFinancials!A333),"",RawFinancials!A333)</f>
        <v>333</v>
      </c>
      <c r="B333" s="0" t="n">
        <f aca="false">IF(ISBLANK(RawFinancials!B333),"",RawFinancials!B333)</f>
        <v>1063414</v>
      </c>
      <c r="C333" s="0" t="n">
        <f aca="false">IF(ISBLANK(RawFinancials!C333),"",RawFinancials!C333)</f>
        <v>17741</v>
      </c>
      <c r="D333" s="0" t="n">
        <f aca="false">IF(ISBLANK(RawFinancials!D333),"",RawFinancials!D333)</f>
        <v>803860</v>
      </c>
      <c r="E333" s="0" t="n">
        <f aca="false">IF(ISBLANK(RawFinancials!E333),"",RawFinancials!E333)</f>
        <v>0.03</v>
      </c>
      <c r="F333" s="0" t="n">
        <f aca="false">IF(ISBLANK(RawFinancials!F333),"",RawFinancials!F333)</f>
        <v>132027</v>
      </c>
      <c r="G333" s="0" t="n">
        <f aca="false">IF(ISBLANK(RawFinancials!G333),"",RawFinancials!G333)</f>
        <v>12.4153904311961</v>
      </c>
      <c r="H333" s="0" t="str">
        <f aca="false">IF(ISBLANK(RawFinancials!H333),"",RawFinancials!H333)</f>
        <v>17741_20230930</v>
      </c>
      <c r="I333" s="0" t="n">
        <f aca="false">IF(ISBLANK(RawFinancials!I333),"",RawFinancials!I333)</f>
        <v>0.918704275915972</v>
      </c>
      <c r="J333" s="0" t="n">
        <f aca="false">IF(ISBLANK(RawFinancials!J333),"",RawFinancials!J333)</f>
        <v>52698</v>
      </c>
      <c r="K333" s="0" t="n">
        <f aca="false">IF(ISBLANK(RawFinancials!K333),"",RawFinancials!K333)</f>
        <v>4222</v>
      </c>
      <c r="L333" s="0" t="n">
        <f aca="false">IF(ISBLANK(RawFinancials!L333),"",RawFinancials!L333)</f>
        <v>905841</v>
      </c>
      <c r="M333" s="0" t="n">
        <f aca="false">IF(ISBLANK(RawFinancials!M333),"",RawFinancials!M333)</f>
        <v>897519</v>
      </c>
      <c r="N333" s="0" t="n">
        <f aca="false">IF(ISBLANK(RawFinancials!N333),"",RawFinancials!N333)</f>
        <v>844883</v>
      </c>
      <c r="O333" s="0" t="n">
        <f aca="false">IF(ISBLANK(RawFinancials!O333),"",RawFinancials!O333)</f>
        <v>2371</v>
      </c>
      <c r="P333" s="0" t="str">
        <f aca="false">IF(ISBLANK(RawFinancials!P333),"",RawFinancials!P333)</f>
        <v>MAINE COMMUNITY BANK</v>
      </c>
      <c r="Q333" s="0" t="n">
        <f aca="false">IF(ISBLANK(RawFinancials!Q333),"",RawFinancials!Q333)</f>
        <v>0.26174571475568</v>
      </c>
      <c r="R333" s="0" t="n">
        <f aca="false">IF(ISBLANK(RawFinancials!R333),"",RawFinancials!R333)</f>
        <v>3.32134528468549</v>
      </c>
      <c r="S333" s="0" t="n">
        <f aca="false">IF(ISBLANK(RawFinancials!S333),"",RawFinancials!S333)</f>
        <v>-38</v>
      </c>
      <c r="T333" s="0" t="n">
        <f aca="false">IF(ISBLANK(RawFinancials!T333),"",RawFinancials!T333)</f>
        <v>3001</v>
      </c>
      <c r="U333" s="0" t="n">
        <f aca="false">IF(ISBLANK(RawFinancials!U333),"",RawFinancials!U333)</f>
        <v>0</v>
      </c>
      <c r="V333" s="0" t="n">
        <f aca="false">IF(ISBLANK(RawFinancials!V333),"",RawFinancials!V333)</f>
        <v>0</v>
      </c>
      <c r="W333" s="0" t="n">
        <f aca="false">IF(ISBLANK(RawFinancials!W333),"",RawFinancials!W333)</f>
        <v>20230930</v>
      </c>
      <c r="X333" s="0" t="n">
        <f aca="false">IF(ISBLANK(RawFinancials!X333),"",RawFinancials!X333)</f>
        <v>0.584654904405804</v>
      </c>
      <c r="Y333" s="0" t="n">
        <f aca="false">IF(ISBLANK(RawFinancials!Y333),"",RawFinancials!Y333)</f>
        <v>4.55</v>
      </c>
      <c r="Z333" s="0" t="str">
        <f aca="false">IF(ISBLANK(RawFinancials!Z333),"",RawFinancials!Z333)</f>
        <v>ME</v>
      </c>
      <c r="AA333" s="0" t="n">
        <f aca="false">RawFinancials!AA333</f>
        <v>1</v>
      </c>
      <c r="AB333" s="0" t="n">
        <f aca="false">RawFinancials!AB333</f>
        <v>2371</v>
      </c>
      <c r="AC333" s="0" t="n">
        <f aca="false">RawFinancials!AC333</f>
        <v>0.222961142132791</v>
      </c>
      <c r="AD333" s="0" t="n">
        <f aca="false">IF(L333&gt;0,100*N333/L333,"")</f>
        <v>93.2705629354379</v>
      </c>
      <c r="AE333" s="0" t="n">
        <f aca="false">IF(B333&gt;0,100*F333/B333,"")</f>
        <v>12.4153904311961</v>
      </c>
      <c r="AF333" s="0" t="str">
        <f aca="false">RawFinancials!AE333</f>
        <v>原始0：需核实适用/报告口径</v>
      </c>
    </row>
    <row r="334" customFormat="false" ht="15" hidden="false" customHeight="false" outlineLevel="0" collapsed="false">
      <c r="A334" s="0" t="n">
        <f aca="false">IF(ISBLANK(RawFinancials!A334),"",RawFinancials!A334)</f>
        <v>334</v>
      </c>
      <c r="B334" s="0" t="n">
        <f aca="false">IF(ISBLANK(RawFinancials!B334),"",RawFinancials!B334)</f>
        <v>1343923</v>
      </c>
      <c r="C334" s="0" t="n">
        <f aca="false">IF(ISBLANK(RawFinancials!C334),"",RawFinancials!C334)</f>
        <v>17743</v>
      </c>
      <c r="D334" s="0" t="n">
        <f aca="false">IF(ISBLANK(RawFinancials!D334),"",RawFinancials!D334)</f>
        <v>962463</v>
      </c>
      <c r="E334" s="0" t="n">
        <f aca="false">IF(ISBLANK(RawFinancials!E334),"",RawFinancials!E334)</f>
        <v>0</v>
      </c>
      <c r="F334" s="0" t="n">
        <f aca="false">IF(ISBLANK(RawFinancials!F334),"",RawFinancials!F334)</f>
        <v>114040</v>
      </c>
      <c r="G334" s="0" t="n">
        <f aca="false">IF(ISBLANK(RawFinancials!G334),"",RawFinancials!G334)</f>
        <v>8.48560520208375</v>
      </c>
      <c r="H334" s="0" t="str">
        <f aca="false">IF(ISBLANK(RawFinancials!H334),"",RawFinancials!H334)</f>
        <v>17743_20230930</v>
      </c>
      <c r="I334" s="0" t="n">
        <f aca="false">IF(ISBLANK(RawFinancials!I334),"",RawFinancials!I334)</f>
        <v>0.44413745204957</v>
      </c>
      <c r="J334" s="0" t="n">
        <f aca="false">IF(ISBLANK(RawFinancials!J334),"",RawFinancials!J334)</f>
        <v>13921</v>
      </c>
      <c r="K334" s="0" t="n">
        <f aca="false">IF(ISBLANK(RawFinancials!K334),"",RawFinancials!K334)</f>
        <v>9333</v>
      </c>
      <c r="L334" s="0" t="n">
        <f aca="false">IF(ISBLANK(RawFinancials!L334),"",RawFinancials!L334)</f>
        <v>1053953</v>
      </c>
      <c r="M334" s="0" t="n">
        <f aca="false">IF(ISBLANK(RawFinancials!M334),"",RawFinancials!M334)</f>
        <v>1049272</v>
      </c>
      <c r="N334" s="0" t="n">
        <f aca="false">IF(ISBLANK(RawFinancials!N334),"",RawFinancials!N334)</f>
        <v>1018679</v>
      </c>
      <c r="O334" s="0" t="n">
        <f aca="false">IF(ISBLANK(RawFinancials!O334),"",RawFinancials!O334)</f>
        <v>4816</v>
      </c>
      <c r="P334" s="0" t="str">
        <f aca="false">IF(ISBLANK(RawFinancials!P334),"",RawFinancials!P334)</f>
        <v>SACO &amp; BIDDEFORD SAVINGS INSTITUTION</v>
      </c>
      <c r="Q334" s="0" t="n">
        <f aca="false">IF(ISBLANK(RawFinancials!Q334),"",RawFinancials!Q334)</f>
        <v>0.4616904169351</v>
      </c>
      <c r="R334" s="0" t="n">
        <f aca="false">IF(ISBLANK(RawFinancials!R334),"",RawFinancials!R334)</f>
        <v>2.06213614232857</v>
      </c>
      <c r="S334" s="0" t="n">
        <f aca="false">IF(ISBLANK(RawFinancials!S334),"",RawFinancials!S334)</f>
        <v>16</v>
      </c>
      <c r="T334" s="0" t="n">
        <f aca="false">IF(ISBLANK(RawFinancials!T334),"",RawFinancials!T334)</f>
        <v>614</v>
      </c>
      <c r="U334" s="0" t="n">
        <f aca="false">IF(ISBLANK(RawFinancials!U334),"",RawFinancials!U334)</f>
        <v>50</v>
      </c>
      <c r="V334" s="0" t="n">
        <f aca="false">IF(ISBLANK(RawFinancials!V334),"",RawFinancials!V334)</f>
        <v>0</v>
      </c>
      <c r="W334" s="0" t="n">
        <f aca="false">IF(ISBLANK(RawFinancials!W334),"",RawFinancials!W334)</f>
        <v>20230930</v>
      </c>
      <c r="X334" s="0" t="n">
        <f aca="false">IF(ISBLANK(RawFinancials!X334),"",RawFinancials!X334)</f>
        <v>0.0416934666112007</v>
      </c>
      <c r="Y334" s="0" t="n">
        <f aca="false">IF(ISBLANK(RawFinancials!Y334),"",RawFinancials!Y334)</f>
        <v>0.46</v>
      </c>
      <c r="Z334" s="0" t="str">
        <f aca="false">IF(ISBLANK(RawFinancials!Z334),"",RawFinancials!Z334)</f>
        <v>ME</v>
      </c>
      <c r="AA334" s="0" t="n">
        <f aca="false">RawFinancials!AA334</f>
        <v>1</v>
      </c>
      <c r="AB334" s="0" t="n">
        <f aca="false">RawFinancials!AB334</f>
        <v>4866</v>
      </c>
      <c r="AC334" s="0" t="n">
        <f aca="false">RawFinancials!AC334</f>
        <v>0.36207431526955</v>
      </c>
      <c r="AD334" s="0" t="n">
        <f aca="false">IF(L334&gt;0,100*N334/L334,"")</f>
        <v>96.6531714412313</v>
      </c>
      <c r="AE334" s="0" t="n">
        <f aca="false">IF(B334&gt;0,100*F334/B334,"")</f>
        <v>8.48560520208375</v>
      </c>
      <c r="AF334" s="0" t="str">
        <f aca="false">RawFinancials!AE334</f>
        <v>原始0：需核实适用/报告口径</v>
      </c>
    </row>
    <row r="335" customFormat="false" ht="15" hidden="false" customHeight="false" outlineLevel="0" collapsed="false">
      <c r="A335" s="0" t="n">
        <f aca="false">IF(ISBLANK(RawFinancials!A335),"",RawFinancials!A335)</f>
        <v>335</v>
      </c>
      <c r="B335" s="0" t="n">
        <f aca="false">IF(ISBLANK(RawFinancials!B335),"",RawFinancials!B335)</f>
        <v>1637222</v>
      </c>
      <c r="C335" s="0" t="n">
        <f aca="false">IF(ISBLANK(RawFinancials!C335),"",RawFinancials!C335)</f>
        <v>17748</v>
      </c>
      <c r="D335" s="0" t="n">
        <f aca="false">IF(ISBLANK(RawFinancials!D335),"",RawFinancials!D335)</f>
        <v>1377757</v>
      </c>
      <c r="E335" s="0" t="n">
        <f aca="false">IF(ISBLANK(RawFinancials!E335),"",RawFinancials!E335)</f>
        <v>0.03</v>
      </c>
      <c r="F335" s="0" t="n">
        <f aca="false">IF(ISBLANK(RawFinancials!F335),"",RawFinancials!F335)</f>
        <v>100984</v>
      </c>
      <c r="G335" s="0" t="n">
        <f aca="false">IF(ISBLANK(RawFinancials!G335),"",RawFinancials!G335)</f>
        <v>6.16800898106671</v>
      </c>
      <c r="H335" s="0" t="str">
        <f aca="false">IF(ISBLANK(RawFinancials!H335),"",RawFinancials!H335)</f>
        <v>17748_20230930</v>
      </c>
      <c r="I335" s="0" t="n">
        <f aca="false">IF(ISBLANK(RawFinancials!I335),"",RawFinancials!I335)</f>
        <v>0.773595161525291</v>
      </c>
      <c r="J335" s="0" t="n">
        <f aca="false">IF(ISBLANK(RawFinancials!J335),"",RawFinancials!J335)</f>
        <v>181024</v>
      </c>
      <c r="K335" s="0" t="n">
        <f aca="false">IF(ISBLANK(RawFinancials!K335),"",RawFinancials!K335)</f>
        <v>3627</v>
      </c>
      <c r="L335" s="0" t="n">
        <f aca="false">IF(ISBLANK(RawFinancials!L335),"",RawFinancials!L335)</f>
        <v>1276766</v>
      </c>
      <c r="M335" s="0" t="n">
        <f aca="false">IF(ISBLANK(RawFinancials!M335),"",RawFinancials!M335)</f>
        <v>1266889</v>
      </c>
      <c r="N335" s="0" t="n">
        <f aca="false">IF(ISBLANK(RawFinancials!N335),"",RawFinancials!N335)</f>
        <v>1059712</v>
      </c>
      <c r="O335" s="0" t="n">
        <f aca="false">IF(ISBLANK(RawFinancials!O335),"",RawFinancials!O335)</f>
        <v>6912</v>
      </c>
      <c r="P335" s="0" t="str">
        <f aca="false">IF(ISBLANK(RawFinancials!P335),"",RawFinancials!P335)</f>
        <v>GORHAM SAVINGS BANK</v>
      </c>
      <c r="Q335" s="0" t="n">
        <f aca="false">IF(ISBLANK(RawFinancials!Q335),"",RawFinancials!Q335)</f>
        <v>0.541367799581129</v>
      </c>
      <c r="R335" s="0" t="n">
        <f aca="false">IF(ISBLANK(RawFinancials!R335),"",RawFinancials!R335)</f>
        <v>2.50725017577047</v>
      </c>
      <c r="S335" s="0" t="n">
        <f aca="false">IF(ISBLANK(RawFinancials!S335),"",RawFinancials!S335)</f>
        <v>1118</v>
      </c>
      <c r="T335" s="0" t="n">
        <f aca="false">IF(ISBLANK(RawFinancials!T335),"",RawFinancials!T335)</f>
        <v>1286</v>
      </c>
      <c r="U335" s="0" t="n">
        <f aca="false">IF(ISBLANK(RawFinancials!U335),"",RawFinancials!U335)</f>
        <v>0</v>
      </c>
      <c r="V335" s="0" t="n">
        <f aca="false">IF(ISBLANK(RawFinancials!V335),"",RawFinancials!V335)</f>
        <v>0</v>
      </c>
      <c r="W335" s="0" t="n">
        <f aca="false">IF(ISBLANK(RawFinancials!W335),"",RawFinancials!W335)</f>
        <v>20230930</v>
      </c>
      <c r="X335" s="0" t="n">
        <f aca="false">IF(ISBLANK(RawFinancials!X335),"",RawFinancials!X335)</f>
        <v>0.256949701022202</v>
      </c>
      <c r="Y335" s="0" t="n">
        <f aca="false">IF(ISBLANK(RawFinancials!Y335),"",RawFinancials!Y335)</f>
        <v>3.94</v>
      </c>
      <c r="Z335" s="0" t="str">
        <f aca="false">IF(ISBLANK(RawFinancials!Z335),"",RawFinancials!Z335)</f>
        <v>ME</v>
      </c>
      <c r="AA335" s="0" t="n">
        <f aca="false">RawFinancials!AA335</f>
        <v>1</v>
      </c>
      <c r="AB335" s="0" t="n">
        <f aca="false">RawFinancials!AB335</f>
        <v>6912</v>
      </c>
      <c r="AC335" s="0" t="n">
        <f aca="false">RawFinancials!AC335</f>
        <v>0.422178543899361</v>
      </c>
      <c r="AD335" s="0" t="n">
        <f aca="false">IF(L335&gt;0,100*N335/L335,"")</f>
        <v>82.9997039394846</v>
      </c>
      <c r="AE335" s="0" t="n">
        <f aca="false">IF(B335&gt;0,100*F335/B335,"")</f>
        <v>6.16800898106671</v>
      </c>
      <c r="AF335" s="0" t="str">
        <f aca="false">RawFinancials!AE335</f>
        <v>原始0：需核实适用/报告口径</v>
      </c>
    </row>
    <row r="336" customFormat="false" ht="15" hidden="false" customHeight="false" outlineLevel="0" collapsed="false">
      <c r="A336" s="0" t="n">
        <f aca="false">IF(ISBLANK(RawFinancials!A336),"",RawFinancials!A336)</f>
        <v>336</v>
      </c>
      <c r="B336" s="0" t="n">
        <f aca="false">IF(ISBLANK(RawFinancials!B336),"",RawFinancials!B336)</f>
        <v>1286435</v>
      </c>
      <c r="C336" s="0" t="n">
        <f aca="false">IF(ISBLANK(RawFinancials!C336),"",RawFinancials!C336)</f>
        <v>17749</v>
      </c>
      <c r="D336" s="0" t="n">
        <f aca="false">IF(ISBLANK(RawFinancials!D336),"",RawFinancials!D336)</f>
        <v>1014838</v>
      </c>
      <c r="E336" s="0" t="n">
        <f aca="false">IF(ISBLANK(RawFinancials!E336),"",RawFinancials!E336)</f>
        <v>0.05</v>
      </c>
      <c r="F336" s="0" t="n">
        <f aca="false">IF(ISBLANK(RawFinancials!F336),"",RawFinancials!F336)</f>
        <v>152647</v>
      </c>
      <c r="G336" s="0" t="n">
        <f aca="false">IF(ISBLANK(RawFinancials!G336),"",RawFinancials!G336)</f>
        <v>11.8658929522284</v>
      </c>
      <c r="H336" s="0" t="str">
        <f aca="false">IF(ISBLANK(RawFinancials!H336),"",RawFinancials!H336)</f>
        <v>17749_20230930</v>
      </c>
      <c r="I336" s="0" t="n">
        <f aca="false">IF(ISBLANK(RawFinancials!I336),"",RawFinancials!I336)</f>
        <v>1.4267779261066</v>
      </c>
      <c r="J336" s="0" t="n">
        <f aca="false">IF(ISBLANK(RawFinancials!J336),"",RawFinancials!J336)</f>
        <v>49432</v>
      </c>
      <c r="K336" s="0" t="n">
        <f aca="false">IF(ISBLANK(RawFinancials!K336),"",RawFinancials!K336)</f>
        <v>10742</v>
      </c>
      <c r="L336" s="0" t="n">
        <f aca="false">IF(ISBLANK(RawFinancials!L336),"",RawFinancials!L336)</f>
        <v>779799</v>
      </c>
      <c r="M336" s="0" t="n">
        <f aca="false">IF(ISBLANK(RawFinancials!M336),"",RawFinancials!M336)</f>
        <v>768673</v>
      </c>
      <c r="N336" s="0" t="n">
        <f aca="false">IF(ISBLANK(RawFinancials!N336),"",RawFinancials!N336)</f>
        <v>708062</v>
      </c>
      <c r="O336" s="0" t="n">
        <f aca="false">IF(ISBLANK(RawFinancials!O336),"",RawFinancials!O336)</f>
        <v>34</v>
      </c>
      <c r="P336" s="0" t="str">
        <f aca="false">IF(ISBLANK(RawFinancials!P336),"",RawFinancials!P336)</f>
        <v>BATH SAVINGS INSTITUTION</v>
      </c>
      <c r="Q336" s="0" t="n">
        <f aca="false">IF(ISBLANK(RawFinancials!Q336),"",RawFinancials!Q336)</f>
        <v>0.0043600979226698</v>
      </c>
      <c r="R336" s="0" t="n">
        <f aca="false">IF(ISBLANK(RawFinancials!R336),"",RawFinancials!R336)</f>
        <v>2.80780948296844</v>
      </c>
      <c r="S336" s="0" t="n">
        <f aca="false">IF(ISBLANK(RawFinancials!S336),"",RawFinancials!S336)</f>
        <v>9</v>
      </c>
      <c r="T336" s="0" t="n">
        <f aca="false">IF(ISBLANK(RawFinancials!T336),"",RawFinancials!T336)</f>
        <v>1039</v>
      </c>
      <c r="U336" s="0" t="n">
        <f aca="false">IF(ISBLANK(RawFinancials!U336),"",RawFinancials!U336)</f>
        <v>0</v>
      </c>
      <c r="V336" s="0" t="n">
        <f aca="false">IF(ISBLANK(RawFinancials!V336),"",RawFinancials!V336)</f>
        <v>0</v>
      </c>
      <c r="W336" s="0" t="n">
        <f aca="false">IF(ISBLANK(RawFinancials!W336),"",RawFinancials!W336)</f>
        <v>20230930</v>
      </c>
      <c r="X336" s="0" t="n">
        <f aca="false">IF(ISBLANK(RawFinancials!X336),"",RawFinancials!X336)</f>
        <v>0.980966388840118</v>
      </c>
      <c r="Y336" s="0" t="n">
        <f aca="false">IF(ISBLANK(RawFinancials!Y336),"",RawFinancials!Y336)</f>
        <v>8.09</v>
      </c>
      <c r="Z336" s="0" t="str">
        <f aca="false">IF(ISBLANK(RawFinancials!Z336),"",RawFinancials!Z336)</f>
        <v>ME</v>
      </c>
      <c r="AA336" s="0" t="n">
        <f aca="false">RawFinancials!AA336</f>
        <v>1</v>
      </c>
      <c r="AB336" s="0" t="n">
        <f aca="false">RawFinancials!AB336</f>
        <v>34</v>
      </c>
      <c r="AC336" s="0" t="n">
        <f aca="false">RawFinancials!AC336</f>
        <v>0.00264296291689825</v>
      </c>
      <c r="AD336" s="0" t="n">
        <f aca="false">IF(L336&gt;0,100*N336/L336,"")</f>
        <v>90.8005780976893</v>
      </c>
      <c r="AE336" s="0" t="n">
        <f aca="false">IF(B336&gt;0,100*F336/B336,"")</f>
        <v>11.8658929522284</v>
      </c>
      <c r="AF336" s="0" t="str">
        <f aca="false">RawFinancials!AE336</f>
        <v>原始0：需核实适用/报告口径</v>
      </c>
    </row>
    <row r="337" customFormat="false" ht="15" hidden="false" customHeight="false" outlineLevel="0" collapsed="false">
      <c r="A337" s="0" t="n">
        <f aca="false">IF(ISBLANK(RawFinancials!A337),"",RawFinancials!A337)</f>
        <v>337</v>
      </c>
      <c r="B337" s="0" t="n">
        <f aca="false">IF(ISBLANK(RawFinancials!B337),"",RawFinancials!B337)</f>
        <v>1580361</v>
      </c>
      <c r="C337" s="0" t="n">
        <f aca="false">IF(ISBLANK(RawFinancials!C337),"",RawFinancials!C337)</f>
        <v>17751</v>
      </c>
      <c r="D337" s="0" t="n">
        <f aca="false">IF(ISBLANK(RawFinancials!D337),"",RawFinancials!D337)</f>
        <v>1300135</v>
      </c>
      <c r="E337" s="0" t="n">
        <f aca="false">IF(ISBLANK(RawFinancials!E337),"",RawFinancials!E337)</f>
        <v>0.08</v>
      </c>
      <c r="F337" s="0" t="n">
        <f aca="false">IF(ISBLANK(RawFinancials!F337),"",RawFinancials!F337)</f>
        <v>128888</v>
      </c>
      <c r="G337" s="0" t="n">
        <f aca="false">IF(ISBLANK(RawFinancials!G337),"",RawFinancials!G337)</f>
        <v>8.15560495355175</v>
      </c>
      <c r="H337" s="0" t="str">
        <f aca="false">IF(ISBLANK(RawFinancials!H337),"",RawFinancials!H337)</f>
        <v>17751_20230930</v>
      </c>
      <c r="I337" s="0" t="n">
        <f aca="false">IF(ISBLANK(RawFinancials!I337),"",RawFinancials!I337)</f>
        <v>0.930553457375979</v>
      </c>
      <c r="J337" s="0" t="n">
        <f aca="false">IF(ISBLANK(RawFinancials!J337),"",RawFinancials!J337)</f>
        <v>120460</v>
      </c>
      <c r="K337" s="0" t="n">
        <f aca="false">IF(ISBLANK(RawFinancials!K337),"",RawFinancials!K337)</f>
        <v>2396</v>
      </c>
      <c r="L337" s="0" t="n">
        <f aca="false">IF(ISBLANK(RawFinancials!L337),"",RawFinancials!L337)</f>
        <v>1284182</v>
      </c>
      <c r="M337" s="0" t="n">
        <f aca="false">IF(ISBLANK(RawFinancials!M337),"",RawFinancials!M337)</f>
        <v>1272232</v>
      </c>
      <c r="N337" s="0" t="n">
        <f aca="false">IF(ISBLANK(RawFinancials!N337),"",RawFinancials!N337)</f>
        <v>1091898</v>
      </c>
      <c r="O337" s="0" t="n">
        <f aca="false">IF(ISBLANK(RawFinancials!O337),"",RawFinancials!O337)</f>
        <v>2621</v>
      </c>
      <c r="P337" s="0" t="str">
        <f aca="false">IF(ISBLANK(RawFinancials!P337),"",RawFinancials!P337)</f>
        <v>ANDROSCOGGIN SAVINGS BANK</v>
      </c>
      <c r="Q337" s="0" t="n">
        <f aca="false">IF(ISBLANK(RawFinancials!Q337),"",RawFinancials!Q337)</f>
        <v>0.204098795965058</v>
      </c>
      <c r="R337" s="0" t="n">
        <f aca="false">IF(ISBLANK(RawFinancials!R337),"",RawFinancials!R337)</f>
        <v>3.12643695959044</v>
      </c>
      <c r="S337" s="0" t="n">
        <f aca="false">IF(ISBLANK(RawFinancials!S337),"",RawFinancials!S337)</f>
        <v>4179</v>
      </c>
      <c r="T337" s="0" t="n">
        <f aca="false">IF(ISBLANK(RawFinancials!T337),"",RawFinancials!T337)</f>
        <v>4485</v>
      </c>
      <c r="U337" s="0" t="n">
        <f aca="false">IF(ISBLANK(RawFinancials!U337),"",RawFinancials!U337)</f>
        <v>0</v>
      </c>
      <c r="V337" s="0" t="n">
        <f aca="false">IF(ISBLANK(RawFinancials!V337),"",RawFinancials!V337)</f>
        <v>12.6039990480709</v>
      </c>
      <c r="W337" s="0" t="n">
        <f aca="false">IF(ISBLANK(RawFinancials!W337),"",RawFinancials!W337)</f>
        <v>20230930</v>
      </c>
      <c r="X337" s="0" t="n">
        <f aca="false">IF(ISBLANK(RawFinancials!X337),"",RawFinancials!X337)</f>
        <v>0.591331773995177</v>
      </c>
      <c r="Y337" s="0" t="n">
        <f aca="false">IF(ISBLANK(RawFinancials!Y337),"",RawFinancials!Y337)</f>
        <v>6.99</v>
      </c>
      <c r="Z337" s="0" t="str">
        <f aca="false">IF(ISBLANK(RawFinancials!Z337),"",RawFinancials!Z337)</f>
        <v>ME</v>
      </c>
      <c r="AA337" s="0" t="n">
        <f aca="false">RawFinancials!AA337</f>
        <v>1</v>
      </c>
      <c r="AB337" s="0" t="n">
        <f aca="false">RawFinancials!AB337</f>
        <v>2621</v>
      </c>
      <c r="AC337" s="0" t="n">
        <f aca="false">RawFinancials!AC337</f>
        <v>0.165848182788616</v>
      </c>
      <c r="AD337" s="0" t="n">
        <f aca="false">IF(L337&gt;0,100*N337/L337,"")</f>
        <v>85.0267329708717</v>
      </c>
      <c r="AE337" s="0" t="n">
        <f aca="false">IF(B337&gt;0,100*F337/B337,"")</f>
        <v>8.15560495355175</v>
      </c>
      <c r="AF337" s="0" t="str">
        <f aca="false">RawFinancials!AE337</f>
        <v/>
      </c>
    </row>
    <row r="338" customFormat="false" ht="15" hidden="false" customHeight="false" outlineLevel="0" collapsed="false">
      <c r="A338" s="0" t="n">
        <f aca="false">IF(ISBLANK(RawFinancials!A338),"",RawFinancials!A338)</f>
        <v>338</v>
      </c>
      <c r="B338" s="0" t="n">
        <f aca="false">IF(ISBLANK(RawFinancials!B338),"",RawFinancials!B338)</f>
        <v>1672541</v>
      </c>
      <c r="C338" s="0" t="n">
        <f aca="false">IF(ISBLANK(RawFinancials!C338),"",RawFinancials!C338)</f>
        <v>17897</v>
      </c>
      <c r="D338" s="0" t="n">
        <f aca="false">IF(ISBLANK(RawFinancials!D338),"",RawFinancials!D338)</f>
        <v>1315387</v>
      </c>
      <c r="E338" s="0" t="n">
        <f aca="false">IF(ISBLANK(RawFinancials!E338),"",RawFinancials!E338)</f>
        <v>-0.03</v>
      </c>
      <c r="F338" s="0" t="n">
        <f aca="false">IF(ISBLANK(RawFinancials!F338),"",RawFinancials!F338)</f>
        <v>196829</v>
      </c>
      <c r="G338" s="0" t="n">
        <f aca="false">IF(ISBLANK(RawFinancials!G338),"",RawFinancials!G338)</f>
        <v>11.7682615852167</v>
      </c>
      <c r="H338" s="0" t="str">
        <f aca="false">IF(ISBLANK(RawFinancials!H338),"",RawFinancials!H338)</f>
        <v>17897_20230930</v>
      </c>
      <c r="I338" s="0" t="n">
        <f aca="false">IF(ISBLANK(RawFinancials!I338),"",RawFinancials!I338)</f>
        <v>0.615465902011774</v>
      </c>
      <c r="J338" s="0" t="n">
        <f aca="false">IF(ISBLANK(RawFinancials!J338),"",RawFinancials!J338)</f>
        <v>71428</v>
      </c>
      <c r="K338" s="0" t="n">
        <f aca="false">IF(ISBLANK(RawFinancials!K338),"",RawFinancials!K338)</f>
        <v>4426</v>
      </c>
      <c r="L338" s="0" t="n">
        <f aca="false">IF(ISBLANK(RawFinancials!L338),"",RawFinancials!L338)</f>
        <v>1427049</v>
      </c>
      <c r="M338" s="0" t="n">
        <f aca="false">IF(ISBLANK(RawFinancials!M338),"",RawFinancials!M338)</f>
        <v>1418266</v>
      </c>
      <c r="N338" s="0" t="n">
        <f aca="false">IF(ISBLANK(RawFinancials!N338),"",RawFinancials!N338)</f>
        <v>1342461</v>
      </c>
      <c r="O338" s="0" t="n">
        <f aca="false">IF(ISBLANK(RawFinancials!O338),"",RawFinancials!O338)</f>
        <v>2834</v>
      </c>
      <c r="P338" s="0" t="str">
        <f aca="false">IF(ISBLANK(RawFinancials!P338),"",RawFinancials!P338)</f>
        <v>KENNEBEC SAVINGS BANK</v>
      </c>
      <c r="Q338" s="0" t="n">
        <f aca="false">IF(ISBLANK(RawFinancials!Q338),"",RawFinancials!Q338)</f>
        <v>0.198591639109799</v>
      </c>
      <c r="R338" s="0" t="n">
        <f aca="false">IF(ISBLANK(RawFinancials!R338),"",RawFinancials!R338)</f>
        <v>2.57492746103926</v>
      </c>
      <c r="S338" s="0" t="n">
        <f aca="false">IF(ISBLANK(RawFinancials!S338),"",RawFinancials!S338)</f>
        <v>-116</v>
      </c>
      <c r="T338" s="0" t="n">
        <f aca="false">IF(ISBLANK(RawFinancials!T338),"",RawFinancials!T338)</f>
        <v>2130</v>
      </c>
      <c r="U338" s="0" t="n">
        <f aca="false">IF(ISBLANK(RawFinancials!U338),"",RawFinancials!U338)</f>
        <v>0</v>
      </c>
      <c r="V338" s="0" t="n">
        <f aca="false">IF(ISBLANK(RawFinancials!V338),"",RawFinancials!V338)</f>
        <v>16.1017927907317</v>
      </c>
      <c r="W338" s="0" t="n">
        <f aca="false">IF(ISBLANK(RawFinancials!W338),"",RawFinancials!W338)</f>
        <v>20230930</v>
      </c>
      <c r="X338" s="0" t="n">
        <f aca="false">IF(ISBLANK(RawFinancials!X338),"",RawFinancials!X338)</f>
        <v>0.380808315338347</v>
      </c>
      <c r="Y338" s="0" t="n">
        <f aca="false">IF(ISBLANK(RawFinancials!Y338),"",RawFinancials!Y338)</f>
        <v>3.18</v>
      </c>
      <c r="Z338" s="0" t="str">
        <f aca="false">IF(ISBLANK(RawFinancials!Z338),"",RawFinancials!Z338)</f>
        <v>ME</v>
      </c>
      <c r="AA338" s="0" t="n">
        <f aca="false">RawFinancials!AA338</f>
        <v>1</v>
      </c>
      <c r="AB338" s="0" t="n">
        <f aca="false">RawFinancials!AB338</f>
        <v>2834</v>
      </c>
      <c r="AC338" s="0" t="n">
        <f aca="false">RawFinancials!AC338</f>
        <v>0.169442781970666</v>
      </c>
      <c r="AD338" s="0" t="n">
        <f aca="false">IF(L338&gt;0,100*N338/L338,"")</f>
        <v>94.0725230878547</v>
      </c>
      <c r="AE338" s="0" t="n">
        <f aca="false">IF(B338&gt;0,100*F338/B338,"")</f>
        <v>11.7682615852167</v>
      </c>
      <c r="AF338" s="0" t="str">
        <f aca="false">RawFinancials!AE338</f>
        <v/>
      </c>
    </row>
    <row r="339" customFormat="false" ht="15" hidden="false" customHeight="false" outlineLevel="0" collapsed="false">
      <c r="A339" s="0" t="n">
        <f aca="false">IF(ISBLANK(RawFinancials!A339),"",RawFinancials!A339)</f>
        <v>339</v>
      </c>
      <c r="B339" s="0" t="n">
        <f aca="false">IF(ISBLANK(RawFinancials!B339),"",RawFinancials!B339)</f>
        <v>774390</v>
      </c>
      <c r="C339" s="0" t="n">
        <f aca="false">IF(ISBLANK(RawFinancials!C339),"",RawFinancials!C339)</f>
        <v>17951</v>
      </c>
      <c r="D339" s="0" t="n">
        <f aca="false">IF(ISBLANK(RawFinancials!D339),"",RawFinancials!D339)</f>
        <v>686785</v>
      </c>
      <c r="E339" s="0" t="n">
        <f aca="false">IF(ISBLANK(RawFinancials!E339),"",RawFinancials!E339)</f>
        <v>0.12</v>
      </c>
      <c r="F339" s="0" t="n">
        <f aca="false">IF(ISBLANK(RawFinancials!F339),"",RawFinancials!F339)</f>
        <v>56538</v>
      </c>
      <c r="G339" s="0" t="n">
        <f aca="false">IF(ISBLANK(RawFinancials!G339),"",RawFinancials!G339)</f>
        <v>7.30097237825902</v>
      </c>
      <c r="H339" s="0" t="str">
        <f aca="false">IF(ISBLANK(RawFinancials!H339),"",RawFinancials!H339)</f>
        <v>17951_20230930</v>
      </c>
      <c r="I339" s="0" t="n">
        <f aca="false">IF(ISBLANK(RawFinancials!I339),"",RawFinancials!I339)</f>
        <v>0.922765746793788</v>
      </c>
      <c r="J339" s="0" t="n">
        <f aca="false">IF(ISBLANK(RawFinancials!J339),"",RawFinancials!J339)</f>
        <v>24630</v>
      </c>
      <c r="K339" s="0" t="n">
        <f aca="false">IF(ISBLANK(RawFinancials!K339),"",RawFinancials!K339)</f>
        <v>1937</v>
      </c>
      <c r="L339" s="0" t="n">
        <f aca="false">IF(ISBLANK(RawFinancials!L339),"",RawFinancials!L339)</f>
        <v>564607</v>
      </c>
      <c r="M339" s="0" t="n">
        <f aca="false">IF(ISBLANK(RawFinancials!M339),"",RawFinancials!M339)</f>
        <v>559397</v>
      </c>
      <c r="N339" s="0" t="n">
        <f aca="false">IF(ISBLANK(RawFinancials!N339),"",RawFinancials!N339)</f>
        <v>525776</v>
      </c>
      <c r="O339" s="0" t="n">
        <f aca="false">IF(ISBLANK(RawFinancials!O339),"",RawFinancials!O339)</f>
        <v>179</v>
      </c>
      <c r="P339" s="0" t="str">
        <f aca="false">IF(ISBLANK(RawFinancials!P339),"",RawFinancials!P339)</f>
        <v>FRANKLIN SAVINGS BANK</v>
      </c>
      <c r="Q339" s="0" t="n">
        <f aca="false">IF(ISBLANK(RawFinancials!Q339),"",RawFinancials!Q339)</f>
        <v>0.0317034680760245</v>
      </c>
      <c r="R339" s="0" t="n">
        <f aca="false">IF(ISBLANK(RawFinancials!R339),"",RawFinancials!R339)</f>
        <v>2.73481206488146</v>
      </c>
      <c r="S339" s="0" t="n">
        <f aca="false">IF(ISBLANK(RawFinancials!S339),"",RawFinancials!S339)</f>
        <v>-193</v>
      </c>
      <c r="T339" s="0" t="n">
        <f aca="false">IF(ISBLANK(RawFinancials!T339),"",RawFinancials!T339)</f>
        <v>137</v>
      </c>
      <c r="U339" s="0" t="n">
        <f aca="false">IF(ISBLANK(RawFinancials!U339),"",RawFinancials!U339)</f>
        <v>0</v>
      </c>
      <c r="V339" s="0" t="n">
        <f aca="false">IF(ISBLANK(RawFinancials!V339),"",RawFinancials!V339)</f>
        <v>14.6359562064762</v>
      </c>
      <c r="W339" s="0" t="n">
        <f aca="false">IF(ISBLANK(RawFinancials!W339),"",RawFinancials!W339)</f>
        <v>20230930</v>
      </c>
      <c r="X339" s="0" t="n">
        <f aca="false">IF(ISBLANK(RawFinancials!X339),"",RawFinancials!X339)</f>
        <v>0.594947433038291</v>
      </c>
      <c r="Y339" s="0" t="n">
        <f aca="false">IF(ISBLANK(RawFinancials!Y339),"",RawFinancials!Y339)</f>
        <v>8.1</v>
      </c>
      <c r="Z339" s="0" t="str">
        <f aca="false">IF(ISBLANK(RawFinancials!Z339),"",RawFinancials!Z339)</f>
        <v>NH</v>
      </c>
      <c r="AA339" s="0" t="n">
        <f aca="false">RawFinancials!AA339</f>
        <v>1</v>
      </c>
      <c r="AB339" s="0" t="n">
        <f aca="false">RawFinancials!AB339</f>
        <v>179</v>
      </c>
      <c r="AC339" s="0" t="n">
        <f aca="false">RawFinancials!AC339</f>
        <v>0.0231149679102261</v>
      </c>
      <c r="AD339" s="0" t="n">
        <f aca="false">IF(L339&gt;0,100*N339/L339,"")</f>
        <v>93.1224727996642</v>
      </c>
      <c r="AE339" s="0" t="n">
        <f aca="false">IF(B339&gt;0,100*F339/B339,"")</f>
        <v>7.30097237825902</v>
      </c>
      <c r="AF339" s="0" t="str">
        <f aca="false">RawFinancials!AE339</f>
        <v/>
      </c>
    </row>
    <row r="340" customFormat="false" ht="15" hidden="false" customHeight="false" outlineLevel="0" collapsed="false">
      <c r="A340" s="0" t="n">
        <f aca="false">IF(ISBLANK(RawFinancials!A340),"",RawFinancials!A340)</f>
        <v>340</v>
      </c>
      <c r="B340" s="0" t="n">
        <f aca="false">IF(ISBLANK(RawFinancials!B340),"",RawFinancials!B340)</f>
        <v>1360683</v>
      </c>
      <c r="C340" s="0" t="n">
        <f aca="false">IF(ISBLANK(RawFinancials!C340),"",RawFinancials!C340)</f>
        <v>17960</v>
      </c>
      <c r="D340" s="0" t="n">
        <f aca="false">IF(ISBLANK(RawFinancials!D340),"",RawFinancials!D340)</f>
        <v>1035461</v>
      </c>
      <c r="E340" s="0" t="n">
        <f aca="false">IF(ISBLANK(RawFinancials!E340),"",RawFinancials!E340)</f>
        <v>0.06</v>
      </c>
      <c r="F340" s="0" t="n">
        <f aca="false">IF(ISBLANK(RawFinancials!F340),"",RawFinancials!F340)</f>
        <v>105758</v>
      </c>
      <c r="G340" s="0" t="n">
        <f aca="false">IF(ISBLANK(RawFinancials!G340),"",RawFinancials!G340)</f>
        <v>7.77242017428012</v>
      </c>
      <c r="H340" s="0" t="str">
        <f aca="false">IF(ISBLANK(RawFinancials!H340),"",RawFinancials!H340)</f>
        <v>17960_20230930</v>
      </c>
      <c r="I340" s="0" t="n">
        <f aca="false">IF(ISBLANK(RawFinancials!I340),"",RawFinancials!I340)</f>
        <v>0.976987988301472</v>
      </c>
      <c r="J340" s="0" t="n">
        <f aca="false">IF(ISBLANK(RawFinancials!J340),"",RawFinancials!J340)</f>
        <v>111087</v>
      </c>
      <c r="K340" s="0" t="n">
        <f aca="false">IF(ISBLANK(RawFinancials!K340),"",RawFinancials!K340)</f>
        <v>223391</v>
      </c>
      <c r="L340" s="0" t="n">
        <f aca="false">IF(ISBLANK(RawFinancials!L340),"",RawFinancials!L340)</f>
        <v>1168694</v>
      </c>
      <c r="M340" s="0" t="n">
        <f aca="false">IF(ISBLANK(RawFinancials!M340),"",RawFinancials!M340)</f>
        <v>1157276</v>
      </c>
      <c r="N340" s="0" t="n">
        <f aca="false">IF(ISBLANK(RawFinancials!N340),"",RawFinancials!N340)</f>
        <v>830148</v>
      </c>
      <c r="O340" s="0" t="n">
        <f aca="false">IF(ISBLANK(RawFinancials!O340),"",RawFinancials!O340)</f>
        <v>8539</v>
      </c>
      <c r="P340" s="0" t="str">
        <f aca="false">IF(ISBLANK(RawFinancials!P340),"",RawFinancials!P340)</f>
        <v>MERRIMACK COUNTY SAVINGS BANK</v>
      </c>
      <c r="Q340" s="0" t="n">
        <f aca="false">IF(ISBLANK(RawFinancials!Q340),"",RawFinancials!Q340)</f>
        <v>0.730644634095837</v>
      </c>
      <c r="R340" s="0" t="n">
        <f aca="false">IF(ISBLANK(RawFinancials!R340),"",RawFinancials!R340)</f>
        <v>2.80908470351212</v>
      </c>
      <c r="S340" s="0" t="n">
        <f aca="false">IF(ISBLANK(RawFinancials!S340),"",RawFinancials!S340)</f>
        <v>132</v>
      </c>
      <c r="T340" s="0" t="n">
        <f aca="false">IF(ISBLANK(RawFinancials!T340),"",RawFinancials!T340)</f>
        <v>1539</v>
      </c>
      <c r="U340" s="0" t="n">
        <f aca="false">IF(ISBLANK(RawFinancials!U340),"",RawFinancials!U340)</f>
        <v>0</v>
      </c>
      <c r="V340" s="0" t="n">
        <f aca="false">IF(ISBLANK(RawFinancials!V340),"",RawFinancials!V340)</f>
        <v>12.8543313948285</v>
      </c>
      <c r="W340" s="0" t="n">
        <f aca="false">IF(ISBLANK(RawFinancials!W340),"",RawFinancials!W340)</f>
        <v>20230930</v>
      </c>
      <c r="X340" s="0" t="n">
        <f aca="false">IF(ISBLANK(RawFinancials!X340),"",RawFinancials!X340)</f>
        <v>0.41501730865951</v>
      </c>
      <c r="Y340" s="0" t="n">
        <f aca="false">IF(ISBLANK(RawFinancials!Y340),"",RawFinancials!Y340)</f>
        <v>5.22</v>
      </c>
      <c r="Z340" s="0" t="str">
        <f aca="false">IF(ISBLANK(RawFinancials!Z340),"",RawFinancials!Z340)</f>
        <v>NH</v>
      </c>
      <c r="AA340" s="0" t="n">
        <f aca="false">RawFinancials!AA340</f>
        <v>1</v>
      </c>
      <c r="AB340" s="0" t="n">
        <f aca="false">RawFinancials!AB340</f>
        <v>8539</v>
      </c>
      <c r="AC340" s="0" t="n">
        <f aca="false">RawFinancials!AC340</f>
        <v>0.627552486508614</v>
      </c>
      <c r="AD340" s="0" t="n">
        <f aca="false">IF(L340&gt;0,100*N340/L340,"")</f>
        <v>71.0321093459879</v>
      </c>
      <c r="AE340" s="0" t="n">
        <f aca="false">IF(B340&gt;0,100*F340/B340,"")</f>
        <v>7.77242017428012</v>
      </c>
      <c r="AF340" s="0" t="str">
        <f aca="false">RawFinancials!AE340</f>
        <v/>
      </c>
    </row>
    <row r="341" customFormat="false" ht="15" hidden="false" customHeight="false" outlineLevel="0" collapsed="false">
      <c r="A341" s="0" t="n">
        <f aca="false">IF(ISBLANK(RawFinancials!A341),"",RawFinancials!A341)</f>
        <v>341</v>
      </c>
      <c r="B341" s="0" t="n">
        <f aca="false">IF(ISBLANK(RawFinancials!B341),"",RawFinancials!B341)</f>
        <v>2450354</v>
      </c>
      <c r="C341" s="0" t="n">
        <f aca="false">IF(ISBLANK(RawFinancials!C341),"",RawFinancials!C341)</f>
        <v>18012</v>
      </c>
      <c r="D341" s="0" t="n">
        <f aca="false">IF(ISBLANK(RawFinancials!D341),"",RawFinancials!D341)</f>
        <v>2087557</v>
      </c>
      <c r="E341" s="0" t="n">
        <f aca="false">IF(ISBLANK(RawFinancials!E341),"",RawFinancials!E341)</f>
        <v>0.01</v>
      </c>
      <c r="F341" s="0" t="n">
        <f aca="false">IF(ISBLANK(RawFinancials!F341),"",RawFinancials!F341)</f>
        <v>251689</v>
      </c>
      <c r="G341" s="0" t="n">
        <f aca="false">IF(ISBLANK(RawFinancials!G341),"",RawFinancials!G341)</f>
        <v>10.271536275983</v>
      </c>
      <c r="H341" s="0" t="str">
        <f aca="false">IF(ISBLANK(RawFinancials!H341),"",RawFinancials!H341)</f>
        <v>18012_20230930</v>
      </c>
      <c r="I341" s="0" t="n">
        <f aca="false">IF(ISBLANK(RawFinancials!I341),"",RawFinancials!I341)</f>
        <v>1.24540399739518</v>
      </c>
      <c r="J341" s="0" t="n">
        <f aca="false">IF(ISBLANK(RawFinancials!J341),"",RawFinancials!J341)</f>
        <v>48455</v>
      </c>
      <c r="K341" s="0" t="n">
        <f aca="false">IF(ISBLANK(RawFinancials!K341),"",RawFinancials!K341)</f>
        <v>33439</v>
      </c>
      <c r="L341" s="0" t="n">
        <f aca="false">IF(ISBLANK(RawFinancials!L341),"",RawFinancials!L341)</f>
        <v>1996300</v>
      </c>
      <c r="M341" s="0" t="n">
        <f aca="false">IF(ISBLANK(RawFinancials!M341),"",RawFinancials!M341)</f>
        <v>1971438</v>
      </c>
      <c r="N341" s="0" t="n">
        <f aca="false">IF(ISBLANK(RawFinancials!N341),"",RawFinancials!N341)</f>
        <v>1885157</v>
      </c>
      <c r="O341" s="0" t="n">
        <f aca="false">IF(ISBLANK(RawFinancials!O341),"",RawFinancials!O341)</f>
        <v>742</v>
      </c>
      <c r="P341" s="0" t="str">
        <f aca="false">IF(ISBLANK(RawFinancials!P341),"",RawFinancials!P341)</f>
        <v>BANK OF NEW HAMPSHIRE</v>
      </c>
      <c r="Q341" s="0" t="n">
        <f aca="false">IF(ISBLANK(RawFinancials!Q341),"",RawFinancials!Q341)</f>
        <v>0.0371687622100886</v>
      </c>
      <c r="R341" s="0" t="n">
        <f aca="false">IF(ISBLANK(RawFinancials!R341),"",RawFinancials!R341)</f>
        <v>3.04374113069113</v>
      </c>
      <c r="S341" s="0" t="n">
        <f aca="false">IF(ISBLANK(RawFinancials!S341),"",RawFinancials!S341)</f>
        <v>134</v>
      </c>
      <c r="T341" s="0" t="n">
        <f aca="false">IF(ISBLANK(RawFinancials!T341),"",RawFinancials!T341)</f>
        <v>2224</v>
      </c>
      <c r="U341" s="0" t="n">
        <f aca="false">IF(ISBLANK(RawFinancials!U341),"",RawFinancials!U341)</f>
        <v>0</v>
      </c>
      <c r="V341" s="0" t="n">
        <f aca="false">IF(ISBLANK(RawFinancials!V341),"",RawFinancials!V341)</f>
        <v>13.7963240873137</v>
      </c>
      <c r="W341" s="0" t="n">
        <f aca="false">IF(ISBLANK(RawFinancials!W341),"",RawFinancials!W341)</f>
        <v>20230930</v>
      </c>
      <c r="X341" s="0" t="n">
        <f aca="false">IF(ISBLANK(RawFinancials!X341),"",RawFinancials!X341)</f>
        <v>0.871079377516649</v>
      </c>
      <c r="Y341" s="0" t="n">
        <f aca="false">IF(ISBLANK(RawFinancials!Y341),"",RawFinancials!Y341)</f>
        <v>8.59</v>
      </c>
      <c r="Z341" s="0" t="str">
        <f aca="false">IF(ISBLANK(RawFinancials!Z341),"",RawFinancials!Z341)</f>
        <v>NH</v>
      </c>
      <c r="AA341" s="0" t="n">
        <f aca="false">RawFinancials!AA341</f>
        <v>1</v>
      </c>
      <c r="AB341" s="0" t="n">
        <f aca="false">RawFinancials!AB341</f>
        <v>742</v>
      </c>
      <c r="AC341" s="0" t="n">
        <f aca="false">RawFinancials!AC341</f>
        <v>0.0302813389412305</v>
      </c>
      <c r="AD341" s="0" t="n">
        <f aca="false">IF(L341&gt;0,100*N341/L341,"")</f>
        <v>94.4325502179031</v>
      </c>
      <c r="AE341" s="0" t="n">
        <f aca="false">IF(B341&gt;0,100*F341/B341,"")</f>
        <v>10.271536275983</v>
      </c>
      <c r="AF341" s="0" t="str">
        <f aca="false">RawFinancials!AE341</f>
        <v/>
      </c>
    </row>
    <row r="342" customFormat="false" ht="15" hidden="false" customHeight="false" outlineLevel="0" collapsed="false">
      <c r="A342" s="0" t="n">
        <f aca="false">IF(ISBLANK(RawFinancials!A342),"",RawFinancials!A342)</f>
        <v>342</v>
      </c>
      <c r="B342" s="0" t="n">
        <f aca="false">IF(ISBLANK(RawFinancials!B342),"",RawFinancials!B342)</f>
        <v>2857828</v>
      </c>
      <c r="C342" s="0" t="n">
        <f aca="false">IF(ISBLANK(RawFinancials!C342),"",RawFinancials!C342)</f>
        <v>18013</v>
      </c>
      <c r="D342" s="0" t="n">
        <f aca="false">IF(ISBLANK(RawFinancials!D342),"",RawFinancials!D342)</f>
        <v>2426366</v>
      </c>
      <c r="E342" s="0" t="n">
        <f aca="false">IF(ISBLANK(RawFinancials!E342),"",RawFinancials!E342)</f>
        <v>0.01</v>
      </c>
      <c r="F342" s="0" t="n">
        <f aca="false">IF(ISBLANK(RawFinancials!F342),"",RawFinancials!F342)</f>
        <v>208913</v>
      </c>
      <c r="G342" s="0" t="n">
        <f aca="false">IF(ISBLANK(RawFinancials!G342),"",RawFinancials!G342)</f>
        <v>7.31020201355715</v>
      </c>
      <c r="H342" s="0" t="str">
        <f aca="false">IF(ISBLANK(RawFinancials!H342),"",RawFinancials!H342)</f>
        <v>18013_20230930</v>
      </c>
      <c r="I342" s="0" t="n">
        <f aca="false">IF(ISBLANK(RawFinancials!I342),"",RawFinancials!I342)</f>
        <v>0.694040427598615</v>
      </c>
      <c r="J342" s="0" t="n">
        <f aca="false">IF(ISBLANK(RawFinancials!J342),"",RawFinancials!J342)</f>
        <v>111358</v>
      </c>
      <c r="K342" s="0" t="n">
        <f aca="false">IF(ISBLANK(RawFinancials!K342),"",RawFinancials!K342)</f>
        <v>26647</v>
      </c>
      <c r="L342" s="0" t="n">
        <f aca="false">IF(ISBLANK(RawFinancials!L342),"",RawFinancials!L342)</f>
        <v>2341074</v>
      </c>
      <c r="M342" s="0" t="n">
        <f aca="false">IF(ISBLANK(RawFinancials!M342),"",RawFinancials!M342)</f>
        <v>2324826</v>
      </c>
      <c r="N342" s="0" t="n">
        <f aca="false">IF(ISBLANK(RawFinancials!N342),"",RawFinancials!N342)</f>
        <v>2134736</v>
      </c>
      <c r="O342" s="0" t="n">
        <f aca="false">IF(ISBLANK(RawFinancials!O342),"",RawFinancials!O342)</f>
        <v>1061</v>
      </c>
      <c r="P342" s="0" t="str">
        <f aca="false">IF(ISBLANK(RawFinancials!P342),"",RawFinancials!P342)</f>
        <v>MASCOMA BANK</v>
      </c>
      <c r="Q342" s="0" t="n">
        <f aca="false">IF(ISBLANK(RawFinancials!Q342),"",RawFinancials!Q342)</f>
        <v>0.0460472415651961</v>
      </c>
      <c r="R342" s="0" t="n">
        <f aca="false">IF(ISBLANK(RawFinancials!R342),"",RawFinancials!R342)</f>
        <v>2.78616306186857</v>
      </c>
      <c r="S342" s="0" t="n">
        <f aca="false">IF(ISBLANK(RawFinancials!S342),"",RawFinancials!S342)</f>
        <v>129</v>
      </c>
      <c r="T342" s="0" t="n">
        <f aca="false">IF(ISBLANK(RawFinancials!T342),"",RawFinancials!T342)</f>
        <v>4243</v>
      </c>
      <c r="U342" s="0" t="n">
        <f aca="false">IF(ISBLANK(RawFinancials!U342),"",RawFinancials!U342)</f>
        <v>17</v>
      </c>
      <c r="V342" s="0" t="n">
        <f aca="false">IF(ISBLANK(RawFinancials!V342),"",RawFinancials!V342)</f>
        <v>12.718417791956</v>
      </c>
      <c r="W342" s="0" t="n">
        <f aca="false">IF(ISBLANK(RawFinancials!W342),"",RawFinancials!W342)</f>
        <v>20230930</v>
      </c>
      <c r="X342" s="0" t="n">
        <f aca="false">IF(ISBLANK(RawFinancials!X342),"",RawFinancials!X342)</f>
        <v>0.455600254543259</v>
      </c>
      <c r="Y342" s="0" t="n">
        <f aca="false">IF(ISBLANK(RawFinancials!Y342),"",RawFinancials!Y342)</f>
        <v>6.1</v>
      </c>
      <c r="Z342" s="0" t="str">
        <f aca="false">IF(ISBLANK(RawFinancials!Z342),"",RawFinancials!Z342)</f>
        <v>NH</v>
      </c>
      <c r="AA342" s="0" t="n">
        <f aca="false">RawFinancials!AA342</f>
        <v>1</v>
      </c>
      <c r="AB342" s="0" t="n">
        <f aca="false">RawFinancials!AB342</f>
        <v>1078</v>
      </c>
      <c r="AC342" s="0" t="n">
        <f aca="false">RawFinancials!AC342</f>
        <v>0.0377209545151073</v>
      </c>
      <c r="AD342" s="0" t="n">
        <f aca="false">IF(L342&gt;0,100*N342/L342,"")</f>
        <v>91.186182068572</v>
      </c>
      <c r="AE342" s="0" t="n">
        <f aca="false">IF(B342&gt;0,100*F342/B342,"")</f>
        <v>7.31020201355715</v>
      </c>
      <c r="AF342" s="0" t="str">
        <f aca="false">RawFinancials!AE342</f>
        <v/>
      </c>
    </row>
    <row r="343" customFormat="false" ht="15" hidden="false" customHeight="false" outlineLevel="0" collapsed="false">
      <c r="A343" s="0" t="n">
        <f aca="false">IF(ISBLANK(RawFinancials!A343),"",RawFinancials!A343)</f>
        <v>343</v>
      </c>
      <c r="B343" s="0" t="n">
        <f aca="false">IF(ISBLANK(RawFinancials!B343),"",RawFinancials!B343)</f>
        <v>381526</v>
      </c>
      <c r="C343" s="0" t="n">
        <f aca="false">IF(ISBLANK(RawFinancials!C343),"",RawFinancials!C343)</f>
        <v>18028</v>
      </c>
      <c r="D343" s="0" t="n">
        <f aca="false">IF(ISBLANK(RawFinancials!D343),"",RawFinancials!D343)</f>
        <v>312777</v>
      </c>
      <c r="E343" s="0" t="n">
        <f aca="false">IF(ISBLANK(RawFinancials!E343),"",RawFinancials!E343)</f>
        <v>0.09</v>
      </c>
      <c r="F343" s="0" t="n">
        <f aca="false">IF(ISBLANK(RawFinancials!F343),"",RawFinancials!F343)</f>
        <v>35629</v>
      </c>
      <c r="G343" s="0" t="n">
        <f aca="false">IF(ISBLANK(RawFinancials!G343),"",RawFinancials!G343)</f>
        <v>9.33855097686658</v>
      </c>
      <c r="H343" s="0" t="str">
        <f aca="false">IF(ISBLANK(RawFinancials!H343),"",RawFinancials!H343)</f>
        <v>18028_20230930</v>
      </c>
      <c r="I343" s="0" t="n">
        <f aca="false">IF(ISBLANK(RawFinancials!I343),"",RawFinancials!I343)</f>
        <v>0.904108019327362</v>
      </c>
      <c r="J343" s="0" t="n">
        <f aca="false">IF(ISBLANK(RawFinancials!J343),"",RawFinancials!J343)</f>
        <v>14223</v>
      </c>
      <c r="K343" s="0" t="n">
        <f aca="false">IF(ISBLANK(RawFinancials!K343),"",RawFinancials!K343)</f>
        <v>6237</v>
      </c>
      <c r="L343" s="0" t="n">
        <f aca="false">IF(ISBLANK(RawFinancials!L343),"",RawFinancials!L343)</f>
        <v>261805</v>
      </c>
      <c r="M343" s="0" t="n">
        <f aca="false">IF(ISBLANK(RawFinancials!M343),"",RawFinancials!M343)</f>
        <v>259438</v>
      </c>
      <c r="N343" s="0" t="n">
        <f aca="false">IF(ISBLANK(RawFinancials!N343),"",RawFinancials!N343)</f>
        <v>235366</v>
      </c>
      <c r="O343" s="0" t="n">
        <f aca="false">IF(ISBLANK(RawFinancials!O343),"",RawFinancials!O343)</f>
        <v>831</v>
      </c>
      <c r="P343" s="0" t="str">
        <f aca="false">IF(ISBLANK(RawFinancials!P343),"",RawFinancials!P343)</f>
        <v>SUGAR RIVER BANK</v>
      </c>
      <c r="Q343" s="0" t="n">
        <f aca="false">IF(ISBLANK(RawFinancials!Q343),"",RawFinancials!Q343)</f>
        <v>0.40640935047077</v>
      </c>
      <c r="R343" s="0" t="n">
        <f aca="false">IF(ISBLANK(RawFinancials!R343),"",RawFinancials!R343)</f>
        <v>3.46173527125438</v>
      </c>
      <c r="S343" s="0" t="n">
        <f aca="false">IF(ISBLANK(RawFinancials!S343),"",RawFinancials!S343)</f>
        <v>324</v>
      </c>
      <c r="T343" s="0" t="n">
        <f aca="false">IF(ISBLANK(RawFinancials!T343),"",RawFinancials!T343)</f>
        <v>925</v>
      </c>
      <c r="U343" s="0" t="n">
        <f aca="false">IF(ISBLANK(RawFinancials!U343),"",RawFinancials!U343)</f>
        <v>233</v>
      </c>
      <c r="V343" s="0" t="n">
        <f aca="false">IF(ISBLANK(RawFinancials!V343),"",RawFinancials!V343)</f>
        <v>0</v>
      </c>
      <c r="W343" s="0" t="n">
        <f aca="false">IF(ISBLANK(RawFinancials!W343),"",RawFinancials!W343)</f>
        <v>20230930</v>
      </c>
      <c r="X343" s="0" t="n">
        <f aca="false">IF(ISBLANK(RawFinancials!X343),"",RawFinancials!X343)</f>
        <v>0.57647828889173</v>
      </c>
      <c r="Y343" s="0" t="n">
        <f aca="false">IF(ISBLANK(RawFinancials!Y343),"",RawFinancials!Y343)</f>
        <v>6</v>
      </c>
      <c r="Z343" s="0" t="str">
        <f aca="false">IF(ISBLANK(RawFinancials!Z343),"",RawFinancials!Z343)</f>
        <v>NH</v>
      </c>
      <c r="AA343" s="0" t="n">
        <f aca="false">RawFinancials!AA343</f>
        <v>1</v>
      </c>
      <c r="AB343" s="0" t="n">
        <f aca="false">RawFinancials!AB343</f>
        <v>1064</v>
      </c>
      <c r="AC343" s="0" t="n">
        <f aca="false">RawFinancials!AC343</f>
        <v>0.278880076325073</v>
      </c>
      <c r="AD343" s="0" t="n">
        <f aca="false">IF(L343&gt;0,100*N343/L343,"")</f>
        <v>89.9012623899467</v>
      </c>
      <c r="AE343" s="0" t="n">
        <f aca="false">IF(B343&gt;0,100*F343/B343,"")</f>
        <v>9.33855097686658</v>
      </c>
      <c r="AF343" s="0" t="str">
        <f aca="false">RawFinancials!AE343</f>
        <v>原始0：需核实适用/报告口径</v>
      </c>
    </row>
    <row r="344" customFormat="false" ht="15" hidden="false" customHeight="false" outlineLevel="0" collapsed="false">
      <c r="A344" s="0" t="n">
        <f aca="false">IF(ISBLANK(RawFinancials!A344),"",RawFinancials!A344)</f>
        <v>344</v>
      </c>
      <c r="B344" s="0" t="n">
        <f aca="false">IF(ISBLANK(RawFinancials!B344),"",RawFinancials!B344)</f>
        <v>734470</v>
      </c>
      <c r="C344" s="0" t="n">
        <f aca="false">IF(ISBLANK(RawFinancials!C344),"",RawFinancials!C344)</f>
        <v>18030</v>
      </c>
      <c r="D344" s="0" t="n">
        <f aca="false">IF(ISBLANK(RawFinancials!D344),"",RawFinancials!D344)</f>
        <v>660381</v>
      </c>
      <c r="E344" s="0" t="n">
        <f aca="false">IF(ISBLANK(RawFinancials!E344),"",RawFinancials!E344)</f>
        <v>0.13</v>
      </c>
      <c r="F344" s="0" t="n">
        <f aca="false">IF(ISBLANK(RawFinancials!F344),"",RawFinancials!F344)</f>
        <v>43119</v>
      </c>
      <c r="G344" s="0" t="n">
        <f aca="false">IF(ISBLANK(RawFinancials!G344),"",RawFinancials!G344)</f>
        <v>5.87076395223767</v>
      </c>
      <c r="H344" s="0" t="str">
        <f aca="false">IF(ISBLANK(RawFinancials!H344),"",RawFinancials!H344)</f>
        <v>18030_20230930</v>
      </c>
      <c r="I344" s="0" t="n">
        <f aca="false">IF(ISBLANK(RawFinancials!I344),"",RawFinancials!I344)</f>
        <v>1.02141663696123</v>
      </c>
      <c r="J344" s="0" t="n">
        <f aca="false">IF(ISBLANK(RawFinancials!J344),"",RawFinancials!J344)</f>
        <v>41868</v>
      </c>
      <c r="K344" s="0" t="n">
        <f aca="false">IF(ISBLANK(RawFinancials!K344),"",RawFinancials!K344)</f>
        <v>96224</v>
      </c>
      <c r="L344" s="0" t="n">
        <f aca="false">IF(ISBLANK(RawFinancials!L344),"",RawFinancials!L344)</f>
        <v>591923</v>
      </c>
      <c r="M344" s="0" t="n">
        <f aca="false">IF(ISBLANK(RawFinancials!M344),"",RawFinancials!M344)</f>
        <v>585877</v>
      </c>
      <c r="N344" s="0" t="n">
        <f aca="false">IF(ISBLANK(RawFinancials!N344),"",RawFinancials!N344)</f>
        <v>453550</v>
      </c>
      <c r="O344" s="0" t="n">
        <f aca="false">IF(ISBLANK(RawFinancials!O344),"",RawFinancials!O344)</f>
        <v>457</v>
      </c>
      <c r="P344" s="0" t="str">
        <f aca="false">IF(ISBLANK(RawFinancials!P344),"",RawFinancials!P344)</f>
        <v>SAVINGS BANK OF WALPOLE</v>
      </c>
      <c r="Q344" s="0" t="n">
        <f aca="false">IF(ISBLANK(RawFinancials!Q344),"",RawFinancials!Q344)</f>
        <v>0.0998440675560841</v>
      </c>
      <c r="R344" s="0" t="n">
        <f aca="false">IF(ISBLANK(RawFinancials!R344),"",RawFinancials!R344)</f>
        <v>3.47560193665529</v>
      </c>
      <c r="S344" s="0" t="n">
        <f aca="false">IF(ISBLANK(RawFinancials!S344),"",RawFinancials!S344)</f>
        <v>10</v>
      </c>
      <c r="T344" s="0" t="n">
        <f aca="false">IF(ISBLANK(RawFinancials!T344),"",RawFinancials!T344)</f>
        <v>226</v>
      </c>
      <c r="U344" s="0" t="n">
        <f aca="false">IF(ISBLANK(RawFinancials!U344),"",RawFinancials!U344)</f>
        <v>134</v>
      </c>
      <c r="V344" s="0" t="n">
        <f aca="false">IF(ISBLANK(RawFinancials!V344),"",RawFinancials!V344)</f>
        <v>12.6144232067429</v>
      </c>
      <c r="W344" s="0" t="n">
        <f aca="false">IF(ISBLANK(RawFinancials!W344),"",RawFinancials!W344)</f>
        <v>20230930</v>
      </c>
      <c r="X344" s="0" t="n">
        <f aca="false">IF(ISBLANK(RawFinancials!X344),"",RawFinancials!X344)</f>
        <v>0.565402270213584</v>
      </c>
      <c r="Y344" s="0" t="n">
        <f aca="false">IF(ISBLANK(RawFinancials!Y344),"",RawFinancials!Y344)</f>
        <v>9.32</v>
      </c>
      <c r="Z344" s="0" t="str">
        <f aca="false">IF(ISBLANK(RawFinancials!Z344),"",RawFinancials!Z344)</f>
        <v>NH</v>
      </c>
      <c r="AA344" s="0" t="n">
        <f aca="false">RawFinancials!AA344</f>
        <v>1</v>
      </c>
      <c r="AB344" s="0" t="n">
        <f aca="false">RawFinancials!AB344</f>
        <v>591</v>
      </c>
      <c r="AC344" s="0" t="n">
        <f aca="false">RawFinancials!AC344</f>
        <v>0.0804661865018313</v>
      </c>
      <c r="AD344" s="0" t="n">
        <f aca="false">IF(L344&gt;0,100*N344/L344,"")</f>
        <v>76.623141861357</v>
      </c>
      <c r="AE344" s="0" t="n">
        <f aca="false">IF(B344&gt;0,100*F344/B344,"")</f>
        <v>5.87076395223767</v>
      </c>
      <c r="AF344" s="0" t="str">
        <f aca="false">RawFinancials!AE344</f>
        <v/>
      </c>
    </row>
    <row r="345" customFormat="false" ht="15" hidden="false" customHeight="false" outlineLevel="0" collapsed="false">
      <c r="A345" s="0" t="n">
        <f aca="false">IF(ISBLANK(RawFinancials!A345),"",RawFinancials!A345)</f>
        <v>345</v>
      </c>
      <c r="B345" s="0" t="n">
        <f aca="false">IF(ISBLANK(RawFinancials!B345),"",RawFinancials!B345)</f>
        <v>671966</v>
      </c>
      <c r="C345" s="0" t="n">
        <f aca="false">IF(ISBLANK(RawFinancials!C345),"",RawFinancials!C345)</f>
        <v>18031</v>
      </c>
      <c r="D345" s="0" t="n">
        <f aca="false">IF(ISBLANK(RawFinancials!D345),"",RawFinancials!D345)</f>
        <v>568415</v>
      </c>
      <c r="E345" s="0" t="n">
        <f aca="false">IF(ISBLANK(RawFinancials!E345),"",RawFinancials!E345)</f>
        <v>-0.01</v>
      </c>
      <c r="F345" s="0" t="n">
        <f aca="false">IF(ISBLANK(RawFinancials!F345),"",RawFinancials!F345)</f>
        <v>31180</v>
      </c>
      <c r="G345" s="0" t="n">
        <f aca="false">IF(ISBLANK(RawFinancials!G345),"",RawFinancials!G345)</f>
        <v>4.6401157201406</v>
      </c>
      <c r="H345" s="0" t="str">
        <f aca="false">IF(ISBLANK(RawFinancials!H345),"",RawFinancials!H345)</f>
        <v>18031_20230930</v>
      </c>
      <c r="I345" s="0" t="n">
        <f aca="false">IF(ISBLANK(RawFinancials!I345),"",RawFinancials!I345)</f>
        <v>0.833109770426891</v>
      </c>
      <c r="J345" s="0" t="n">
        <f aca="false">IF(ISBLANK(RawFinancials!J345),"",RawFinancials!J345)</f>
        <v>26820</v>
      </c>
      <c r="K345" s="0" t="n">
        <f aca="false">IF(ISBLANK(RawFinancials!K345),"",RawFinancials!K345)</f>
        <v>11759</v>
      </c>
      <c r="L345" s="0" t="n">
        <f aca="false">IF(ISBLANK(RawFinancials!L345),"",RawFinancials!L345)</f>
        <v>480849</v>
      </c>
      <c r="M345" s="0" t="n">
        <f aca="false">IF(ISBLANK(RawFinancials!M345),"",RawFinancials!M345)</f>
        <v>476843</v>
      </c>
      <c r="N345" s="0" t="n">
        <f aca="false">IF(ISBLANK(RawFinancials!N345),"",RawFinancials!N345)</f>
        <v>434791</v>
      </c>
      <c r="O345" s="0" t="n">
        <f aca="false">IF(ISBLANK(RawFinancials!O345),"",RawFinancials!O345)</f>
        <v>790</v>
      </c>
      <c r="P345" s="0" t="str">
        <f aca="false">IF(ISBLANK(RawFinancials!P345),"",RawFinancials!P345)</f>
        <v>WOODSVILLE GUARANTY SAVINGS BANK</v>
      </c>
      <c r="Q345" s="0" t="n">
        <f aca="false">IF(ISBLANK(RawFinancials!Q345),"",RawFinancials!Q345)</f>
        <v>0.164292740548488</v>
      </c>
      <c r="R345" s="0" t="n">
        <f aca="false">IF(ISBLANK(RawFinancials!R345),"",RawFinancials!R345)</f>
        <v>2.73992860785314</v>
      </c>
      <c r="S345" s="0" t="n">
        <f aca="false">IF(ISBLANK(RawFinancials!S345),"",RawFinancials!S345)</f>
        <v>7</v>
      </c>
      <c r="T345" s="0" t="n">
        <f aca="false">IF(ISBLANK(RawFinancials!T345),"",RawFinancials!T345)</f>
        <v>1516</v>
      </c>
      <c r="U345" s="0" t="n">
        <f aca="false">IF(ISBLANK(RawFinancials!U345),"",RawFinancials!U345)</f>
        <v>0</v>
      </c>
      <c r="V345" s="0" t="n">
        <f aca="false">IF(ISBLANK(RawFinancials!V345),"",RawFinancials!V345)</f>
        <v>16.1364216823375</v>
      </c>
      <c r="W345" s="0" t="n">
        <f aca="false">IF(ISBLANK(RawFinancials!W345),"",RawFinancials!W345)</f>
        <v>20230930</v>
      </c>
      <c r="X345" s="0" t="n">
        <f aca="false">IF(ISBLANK(RawFinancials!X345),"",RawFinancials!X345)</f>
        <v>0.288423659649568</v>
      </c>
      <c r="Y345" s="0" t="n">
        <f aca="false">IF(ISBLANK(RawFinancials!Y345),"",RawFinancials!Y345)</f>
        <v>5.47</v>
      </c>
      <c r="Z345" s="0" t="str">
        <f aca="false">IF(ISBLANK(RawFinancials!Z345),"",RawFinancials!Z345)</f>
        <v>NH</v>
      </c>
      <c r="AA345" s="0" t="n">
        <f aca="false">RawFinancials!AA345</f>
        <v>1</v>
      </c>
      <c r="AB345" s="0" t="n">
        <f aca="false">RawFinancials!AB345</f>
        <v>790</v>
      </c>
      <c r="AC345" s="0" t="n">
        <f aca="false">RawFinancials!AC345</f>
        <v>0.117565472062575</v>
      </c>
      <c r="AD345" s="0" t="n">
        <f aca="false">IF(L345&gt;0,100*N345/L345,"")</f>
        <v>90.4215252605288</v>
      </c>
      <c r="AE345" s="0" t="n">
        <f aca="false">IF(B345&gt;0,100*F345/B345,"")</f>
        <v>4.6401157201406</v>
      </c>
      <c r="AF345" s="0" t="str">
        <f aca="false">RawFinancials!AE345</f>
        <v/>
      </c>
    </row>
    <row r="346" customFormat="false" ht="15" hidden="false" customHeight="false" outlineLevel="0" collapsed="false">
      <c r="A346" s="0" t="n">
        <f aca="false">IF(ISBLANK(RawFinancials!A346),"",RawFinancials!A346)</f>
        <v>346</v>
      </c>
      <c r="B346" s="0" t="n">
        <f aca="false">IF(ISBLANK(RawFinancials!B346),"",RawFinancials!B346)</f>
        <v>555533</v>
      </c>
      <c r="C346" s="0" t="n">
        <f aca="false">IF(ISBLANK(RawFinancials!C346),"",RawFinancials!C346)</f>
        <v>18038</v>
      </c>
      <c r="D346" s="0" t="n">
        <f aca="false">IF(ISBLANK(RawFinancials!D346),"",RawFinancials!D346)</f>
        <v>444746</v>
      </c>
      <c r="E346" s="0" t="n">
        <f aca="false">IF(ISBLANK(RawFinancials!E346),"",RawFinancials!E346)</f>
        <v>0.04</v>
      </c>
      <c r="F346" s="0" t="n">
        <f aca="false">IF(ISBLANK(RawFinancials!F346),"",RawFinancials!F346)</f>
        <v>62652</v>
      </c>
      <c r="G346" s="0" t="n">
        <f aca="false">IF(ISBLANK(RawFinancials!G346),"",RawFinancials!G346)</f>
        <v>11.2778178794059</v>
      </c>
      <c r="H346" s="0" t="str">
        <f aca="false">IF(ISBLANK(RawFinancials!H346),"",RawFinancials!H346)</f>
        <v>18038_20230930</v>
      </c>
      <c r="I346" s="0" t="n">
        <f aca="false">IF(ISBLANK(RawFinancials!I346),"",RawFinancials!I346)</f>
        <v>1.00238089512037</v>
      </c>
      <c r="J346" s="0" t="n">
        <f aca="false">IF(ISBLANK(RawFinancials!J346),"",RawFinancials!J346)</f>
        <v>16653</v>
      </c>
      <c r="K346" s="0" t="n">
        <f aca="false">IF(ISBLANK(RawFinancials!K346),"",RawFinancials!K346)</f>
        <v>3686</v>
      </c>
      <c r="L346" s="0" t="n">
        <f aca="false">IF(ISBLANK(RawFinancials!L346),"",RawFinancials!L346)</f>
        <v>415810</v>
      </c>
      <c r="M346" s="0" t="n">
        <f aca="false">IF(ISBLANK(RawFinancials!M346),"",RawFinancials!M346)</f>
        <v>411642</v>
      </c>
      <c r="N346" s="0" t="n">
        <f aca="false">IF(ISBLANK(RawFinancials!N346),"",RawFinancials!N346)</f>
        <v>395105</v>
      </c>
      <c r="O346" s="0" t="n">
        <f aca="false">IF(ISBLANK(RawFinancials!O346),"",RawFinancials!O346)</f>
        <v>2136</v>
      </c>
      <c r="P346" s="0" t="str">
        <f aca="false">IF(ISBLANK(RawFinancials!P346),"",RawFinancials!P346)</f>
        <v>CLAREMONT SAVINGS BANK</v>
      </c>
      <c r="Q346" s="0" t="n">
        <f aca="false">IF(ISBLANK(RawFinancials!Q346),"",RawFinancials!Q346)</f>
        <v>0.516101103869556</v>
      </c>
      <c r="R346" s="0" t="n">
        <f aca="false">IF(ISBLANK(RawFinancials!R346),"",RawFinancials!R346)</f>
        <v>2.50931095109534</v>
      </c>
      <c r="S346" s="0" t="n">
        <f aca="false">IF(ISBLANK(RawFinancials!S346),"",RawFinancials!S346)</f>
        <v>-19</v>
      </c>
      <c r="T346" s="0" t="n">
        <f aca="false">IF(ISBLANK(RawFinancials!T346),"",RawFinancials!T346)</f>
        <v>1391</v>
      </c>
      <c r="U346" s="0" t="n">
        <f aca="false">IF(ISBLANK(RawFinancials!U346),"",RawFinancials!U346)</f>
        <v>10</v>
      </c>
      <c r="V346" s="0" t="n">
        <f aca="false">IF(ISBLANK(RawFinancials!V346),"",RawFinancials!V346)</f>
        <v>0</v>
      </c>
      <c r="W346" s="0" t="n">
        <f aca="false">IF(ISBLANK(RawFinancials!W346),"",RawFinancials!W346)</f>
        <v>20230930</v>
      </c>
      <c r="X346" s="0" t="n">
        <f aca="false">IF(ISBLANK(RawFinancials!X346),"",RawFinancials!X346)</f>
        <v>-0.0175817767653758</v>
      </c>
      <c r="Y346" s="0" t="n">
        <f aca="false">IF(ISBLANK(RawFinancials!Y346),"",RawFinancials!Y346)</f>
        <v>-0.15</v>
      </c>
      <c r="Z346" s="0" t="str">
        <f aca="false">IF(ISBLANK(RawFinancials!Z346),"",RawFinancials!Z346)</f>
        <v>NH</v>
      </c>
      <c r="AA346" s="0" t="n">
        <f aca="false">RawFinancials!AA346</f>
        <v>1</v>
      </c>
      <c r="AB346" s="0" t="n">
        <f aca="false">RawFinancials!AB346</f>
        <v>2146</v>
      </c>
      <c r="AC346" s="0" t="n">
        <f aca="false">RawFinancials!AC346</f>
        <v>0.386295683604754</v>
      </c>
      <c r="AD346" s="0" t="n">
        <f aca="false">IF(L346&gt;0,100*N346/L346,"")</f>
        <v>95.0205622760396</v>
      </c>
      <c r="AE346" s="0" t="n">
        <f aca="false">IF(B346&gt;0,100*F346/B346,"")</f>
        <v>11.2778178794059</v>
      </c>
      <c r="AF346" s="0" t="str">
        <f aca="false">RawFinancials!AE346</f>
        <v>原始0：需核实适用/报告口径</v>
      </c>
    </row>
    <row r="347" customFormat="false" ht="15" hidden="false" customHeight="false" outlineLevel="0" collapsed="false">
      <c r="A347" s="0" t="n">
        <f aca="false">IF(ISBLANK(RawFinancials!A347),"",RawFinancials!A347)</f>
        <v>347</v>
      </c>
      <c r="B347" s="0" t="n">
        <f aca="false">IF(ISBLANK(RawFinancials!B347),"",RawFinancials!B347)</f>
        <v>7253561</v>
      </c>
      <c r="C347" s="0" t="n">
        <f aca="false">IF(ISBLANK(RawFinancials!C347),"",RawFinancials!C347)</f>
        <v>18408</v>
      </c>
      <c r="D347" s="0" t="n">
        <f aca="false">IF(ISBLANK(RawFinancials!D347),"",RawFinancials!D347)</f>
        <v>5526161</v>
      </c>
      <c r="E347" s="0" t="n">
        <f aca="false">IF(ISBLANK(RawFinancials!E347),"",RawFinancials!E347)</f>
        <v>-0.06</v>
      </c>
      <c r="F347" s="0" t="n">
        <f aca="false">IF(ISBLANK(RawFinancials!F347),"",RawFinancials!F347)</f>
        <v>339914</v>
      </c>
      <c r="G347" s="0" t="n">
        <f aca="false">IF(ISBLANK(RawFinancials!G347),"",RawFinancials!G347)</f>
        <v>4.6861672494379</v>
      </c>
      <c r="H347" s="0" t="str">
        <f aca="false">IF(ISBLANK(RawFinancials!H347),"",RawFinancials!H347)</f>
        <v>18408_20230930</v>
      </c>
      <c r="I347" s="0" t="n">
        <f aca="false">IF(ISBLANK(RawFinancials!I347),"",RawFinancials!I347)</f>
        <v>0.687980372654995</v>
      </c>
      <c r="J347" s="0" t="n">
        <f aca="false">IF(ISBLANK(RawFinancials!J347),"",RawFinancials!J347)</f>
        <v>321633</v>
      </c>
      <c r="K347" s="0" t="n">
        <f aca="false">IF(ISBLANK(RawFinancials!K347),"",RawFinancials!K347)</f>
        <v>33238</v>
      </c>
      <c r="L347" s="0" t="n">
        <f aca="false">IF(ISBLANK(RawFinancials!L347),"",RawFinancials!L347)</f>
        <v>4807986</v>
      </c>
      <c r="M347" s="0" t="n">
        <f aca="false">IF(ISBLANK(RawFinancials!M347),"",RawFinancials!M347)</f>
        <v>4774908</v>
      </c>
      <c r="N347" s="0" t="n">
        <f aca="false">IF(ISBLANK(RawFinancials!N347),"",RawFinancials!N347)</f>
        <v>4382847</v>
      </c>
      <c r="O347" s="0" t="n">
        <f aca="false">IF(ISBLANK(RawFinancials!O347),"",RawFinancials!O347)</f>
        <v>3957</v>
      </c>
      <c r="P347" s="0" t="str">
        <f aca="false">IF(ISBLANK(RawFinancials!P347),"",RawFinancials!P347)</f>
        <v>BANGOR SAVINGS BANK</v>
      </c>
      <c r="Q347" s="0" t="n">
        <f aca="false">IF(ISBLANK(RawFinancials!Q347),"",RawFinancials!Q347)</f>
        <v>0.0823005724226318</v>
      </c>
      <c r="R347" s="0" t="n">
        <f aca="false">IF(ISBLANK(RawFinancials!R347),"",RawFinancials!R347)</f>
        <v>2.10961267600752</v>
      </c>
      <c r="S347" s="0" t="n">
        <f aca="false">IF(ISBLANK(RawFinancials!S347),"",RawFinancials!S347)</f>
        <v>1597</v>
      </c>
      <c r="T347" s="0" t="n">
        <f aca="false">IF(ISBLANK(RawFinancials!T347),"",RawFinancials!T347)</f>
        <v>2852</v>
      </c>
      <c r="U347" s="0" t="n">
        <f aca="false">IF(ISBLANK(RawFinancials!U347),"",RawFinancials!U347)</f>
        <v>0</v>
      </c>
      <c r="V347" s="0" t="n">
        <f aca="false">IF(ISBLANK(RawFinancials!V347),"",RawFinancials!V347)</f>
        <v>11.6647820410089</v>
      </c>
      <c r="W347" s="0" t="n">
        <f aca="false">IF(ISBLANK(RawFinancials!W347),"",RawFinancials!W347)</f>
        <v>20230930</v>
      </c>
      <c r="X347" s="0" t="n">
        <f aca="false">IF(ISBLANK(RawFinancials!X347),"",RawFinancials!X347)</f>
        <v>0.192762984622171</v>
      </c>
      <c r="Y347" s="0" t="n">
        <f aca="false">IF(ISBLANK(RawFinancials!Y347),"",RawFinancials!Y347)</f>
        <v>3.96</v>
      </c>
      <c r="Z347" s="0" t="str">
        <f aca="false">IF(ISBLANK(RawFinancials!Z347),"",RawFinancials!Z347)</f>
        <v>ME</v>
      </c>
      <c r="AA347" s="0" t="n">
        <f aca="false">RawFinancials!AA347</f>
        <v>1</v>
      </c>
      <c r="AB347" s="0" t="n">
        <f aca="false">RawFinancials!AB347</f>
        <v>3957</v>
      </c>
      <c r="AC347" s="0" t="n">
        <f aca="false">RawFinancials!AC347</f>
        <v>0.0545525156540353</v>
      </c>
      <c r="AD347" s="0" t="n">
        <f aca="false">IF(L347&gt;0,100*N347/L347,"")</f>
        <v>91.1576489615402</v>
      </c>
      <c r="AE347" s="0" t="n">
        <f aca="false">IF(B347&gt;0,100*F347/B347,"")</f>
        <v>4.6861672494379</v>
      </c>
      <c r="AF347" s="0" t="str">
        <f aca="false">RawFinancials!AE347</f>
        <v/>
      </c>
    </row>
    <row r="348" customFormat="false" ht="15" hidden="false" customHeight="false" outlineLevel="0" collapsed="false">
      <c r="A348" s="0" t="n">
        <f aca="false">IF(ISBLANK(RawFinancials!A348),"",RawFinancials!A348)</f>
        <v>348</v>
      </c>
      <c r="B348" s="0" t="n">
        <f aca="false">IF(ISBLANK(RawFinancials!B348),"",RawFinancials!B348)</f>
        <v>2461701</v>
      </c>
      <c r="C348" s="0" t="n">
        <f aca="false">IF(ISBLANK(RawFinancials!C348),"",RawFinancials!C348)</f>
        <v>19531</v>
      </c>
      <c r="D348" s="0" t="n">
        <f aca="false">IF(ISBLANK(RawFinancials!D348),"",RawFinancials!D348)</f>
        <v>2036756</v>
      </c>
      <c r="E348" s="0" t="n">
        <f aca="false">IF(ISBLANK(RawFinancials!E348),"",RawFinancials!E348)</f>
        <v>0</v>
      </c>
      <c r="F348" s="0" t="n">
        <f aca="false">IF(ISBLANK(RawFinancials!F348),"",RawFinancials!F348)</f>
        <v>225877</v>
      </c>
      <c r="G348" s="0" t="n">
        <f aca="false">IF(ISBLANK(RawFinancials!G348),"",RawFinancials!G348)</f>
        <v>9.17564724554282</v>
      </c>
      <c r="H348" s="0" t="str">
        <f aca="false">IF(ISBLANK(RawFinancials!H348),"",RawFinancials!H348)</f>
        <v>19531_20230930</v>
      </c>
      <c r="I348" s="0" t="n">
        <f aca="false">IF(ISBLANK(RawFinancials!I348),"",RawFinancials!I348)</f>
        <v>1.14261836617052</v>
      </c>
      <c r="J348" s="0" t="n">
        <f aca="false">IF(ISBLANK(RawFinancials!J348),"",RawFinancials!J348)</f>
        <v>237278</v>
      </c>
      <c r="K348" s="0" t="n">
        <f aca="false">IF(ISBLANK(RawFinancials!K348),"",RawFinancials!K348)</f>
        <v>14701</v>
      </c>
      <c r="L348" s="0" t="n">
        <f aca="false">IF(ISBLANK(RawFinancials!L348),"",RawFinancials!L348)</f>
        <v>1986315</v>
      </c>
      <c r="M348" s="0" t="n">
        <f aca="false">IF(ISBLANK(RawFinancials!M348),"",RawFinancials!M348)</f>
        <v>1963619</v>
      </c>
      <c r="N348" s="0" t="n">
        <f aca="false">IF(ISBLANK(RawFinancials!N348),"",RawFinancials!N348)</f>
        <v>1627608</v>
      </c>
      <c r="O348" s="0" t="n">
        <f aca="false">IF(ISBLANK(RawFinancials!O348),"",RawFinancials!O348)</f>
        <v>9780</v>
      </c>
      <c r="P348" s="0" t="str">
        <f aca="false">IF(ISBLANK(RawFinancials!P348),"",RawFinancials!P348)</f>
        <v>MACHIAS SAVINGS BANK</v>
      </c>
      <c r="Q348" s="0" t="n">
        <f aca="false">IF(ISBLANK(RawFinancials!Q348),"",RawFinancials!Q348)</f>
        <v>0.492369035122828</v>
      </c>
      <c r="R348" s="0" t="n">
        <f aca="false">IF(ISBLANK(RawFinancials!R348),"",RawFinancials!R348)</f>
        <v>2.71472125457892</v>
      </c>
      <c r="S348" s="0" t="n">
        <f aca="false">IF(ISBLANK(RawFinancials!S348),"",RawFinancials!S348)</f>
        <v>1145</v>
      </c>
      <c r="T348" s="0" t="n">
        <f aca="false">IF(ISBLANK(RawFinancials!T348),"",RawFinancials!T348)</f>
        <v>4674</v>
      </c>
      <c r="U348" s="0" t="n">
        <f aca="false">IF(ISBLANK(RawFinancials!U348),"",RawFinancials!U348)</f>
        <v>0</v>
      </c>
      <c r="V348" s="0" t="n">
        <f aca="false">IF(ISBLANK(RawFinancials!V348),"",RawFinancials!V348)</f>
        <v>14.2913702341625</v>
      </c>
      <c r="W348" s="0" t="n">
        <f aca="false">IF(ISBLANK(RawFinancials!W348),"",RawFinancials!W348)</f>
        <v>20230930</v>
      </c>
      <c r="X348" s="0" t="n">
        <f aca="false">IF(ISBLANK(RawFinancials!X348),"",RawFinancials!X348)</f>
        <v>0.447969025430731</v>
      </c>
      <c r="Y348" s="0" t="n">
        <f aca="false">IF(ISBLANK(RawFinancials!Y348),"",RawFinancials!Y348)</f>
        <v>4.7</v>
      </c>
      <c r="Z348" s="0" t="str">
        <f aca="false">IF(ISBLANK(RawFinancials!Z348),"",RawFinancials!Z348)</f>
        <v>ME</v>
      </c>
      <c r="AA348" s="0" t="n">
        <f aca="false">RawFinancials!AA348</f>
        <v>1</v>
      </c>
      <c r="AB348" s="0" t="n">
        <f aca="false">RawFinancials!AB348</f>
        <v>9780</v>
      </c>
      <c r="AC348" s="0" t="n">
        <f aca="false">RawFinancials!AC348</f>
        <v>0.397286266691203</v>
      </c>
      <c r="AD348" s="0" t="n">
        <f aca="false">IF(L348&gt;0,100*N348/L348,"")</f>
        <v>81.9410818525762</v>
      </c>
      <c r="AE348" s="0" t="n">
        <f aca="false">IF(B348&gt;0,100*F348/B348,"")</f>
        <v>9.17564724554282</v>
      </c>
      <c r="AF348" s="0" t="str">
        <f aca="false">RawFinancials!AE348</f>
        <v/>
      </c>
    </row>
    <row r="349" customFormat="false" ht="15" hidden="false" customHeight="false" outlineLevel="0" collapsed="false">
      <c r="A349" s="0" t="n">
        <f aca="false">IF(ISBLANK(RawFinancials!A349),"",RawFinancials!A349)</f>
        <v>349</v>
      </c>
      <c r="B349" s="0" t="n">
        <f aca="false">IF(ISBLANK(RawFinancials!B349),"",RawFinancials!B349)</f>
        <v>816575</v>
      </c>
      <c r="C349" s="0" t="n">
        <f aca="false">IF(ISBLANK(RawFinancials!C349),"",RawFinancials!C349)</f>
        <v>19532</v>
      </c>
      <c r="D349" s="0" t="n">
        <f aca="false">IF(ISBLANK(RawFinancials!D349),"",RawFinancials!D349)</f>
        <v>712795</v>
      </c>
      <c r="E349" s="0" t="n">
        <f aca="false">IF(ISBLANK(RawFinancials!E349),"",RawFinancials!E349)</f>
        <v>0.01</v>
      </c>
      <c r="F349" s="0" t="n">
        <f aca="false">IF(ISBLANK(RawFinancials!F349),"",RawFinancials!F349)</f>
        <v>89758</v>
      </c>
      <c r="G349" s="0" t="n">
        <f aca="false">IF(ISBLANK(RawFinancials!G349),"",RawFinancials!G349)</f>
        <v>10.9920093071671</v>
      </c>
      <c r="H349" s="0" t="str">
        <f aca="false">IF(ISBLANK(RawFinancials!H349),"",RawFinancials!H349)</f>
        <v>19532_20230930</v>
      </c>
      <c r="I349" s="0" t="n">
        <f aca="false">IF(ISBLANK(RawFinancials!I349),"",RawFinancials!I349)</f>
        <v>0.990379222276157</v>
      </c>
      <c r="J349" s="0" t="n">
        <f aca="false">IF(ISBLANK(RawFinancials!J349),"",RawFinancials!J349)</f>
        <v>40005</v>
      </c>
      <c r="K349" s="0" t="n">
        <f aca="false">IF(ISBLANK(RawFinancials!K349),"",RawFinancials!K349)</f>
        <v>51182</v>
      </c>
      <c r="L349" s="0" t="n">
        <f aca="false">IF(ISBLANK(RawFinancials!L349),"",RawFinancials!L349)</f>
        <v>583009</v>
      </c>
      <c r="M349" s="0" t="n">
        <f aca="false">IF(ISBLANK(RawFinancials!M349),"",RawFinancials!M349)</f>
        <v>577235</v>
      </c>
      <c r="N349" s="0" t="n">
        <f aca="false">IF(ISBLANK(RawFinancials!N349),"",RawFinancials!N349)</f>
        <v>480800</v>
      </c>
      <c r="O349" s="0" t="n">
        <f aca="false">IF(ISBLANK(RawFinancials!O349),"",RawFinancials!O349)</f>
        <v>1137</v>
      </c>
      <c r="P349" s="0" t="str">
        <f aca="false">IF(ISBLANK(RawFinancials!P349),"",RawFinancials!P349)</f>
        <v>SKOWHEGAN SAVINGS BANK</v>
      </c>
      <c r="Q349" s="0" t="n">
        <f aca="false">IF(ISBLANK(RawFinancials!Q349),"",RawFinancials!Q349)</f>
        <v>0.195022718345686</v>
      </c>
      <c r="R349" s="0" t="n">
        <f aca="false">IF(ISBLANK(RawFinancials!R349),"",RawFinancials!R349)</f>
        <v>3.37267208819972</v>
      </c>
      <c r="S349" s="0" t="n">
        <f aca="false">IF(ISBLANK(RawFinancials!S349),"",RawFinancials!S349)</f>
        <v>83</v>
      </c>
      <c r="T349" s="0" t="n">
        <f aca="false">IF(ISBLANK(RawFinancials!T349),"",RawFinancials!T349)</f>
        <v>847</v>
      </c>
      <c r="U349" s="0" t="n">
        <f aca="false">IF(ISBLANK(RawFinancials!U349),"",RawFinancials!U349)</f>
        <v>0</v>
      </c>
      <c r="V349" s="0" t="n">
        <f aca="false">IF(ISBLANK(RawFinancials!V349),"",RawFinancials!V349)</f>
        <v>21.3660838090436</v>
      </c>
      <c r="W349" s="0" t="n">
        <f aca="false">IF(ISBLANK(RawFinancials!W349),"",RawFinancials!W349)</f>
        <v>20230930</v>
      </c>
      <c r="X349" s="0" t="n">
        <f aca="false">IF(ISBLANK(RawFinancials!X349),"",RawFinancials!X349)</f>
        <v>0.688130053765717</v>
      </c>
      <c r="Y349" s="0" t="n">
        <f aca="false">IF(ISBLANK(RawFinancials!Y349),"",RawFinancials!Y349)</f>
        <v>6.04</v>
      </c>
      <c r="Z349" s="0" t="str">
        <f aca="false">IF(ISBLANK(RawFinancials!Z349),"",RawFinancials!Z349)</f>
        <v>ME</v>
      </c>
      <c r="AA349" s="0" t="n">
        <f aca="false">RawFinancials!AA349</f>
        <v>1</v>
      </c>
      <c r="AB349" s="0" t="n">
        <f aca="false">RawFinancials!AB349</f>
        <v>1137</v>
      </c>
      <c r="AC349" s="0" t="n">
        <f aca="false">RawFinancials!AC349</f>
        <v>0.139240118788844</v>
      </c>
      <c r="AD349" s="0" t="n">
        <f aca="false">IF(L349&gt;0,100*N349/L349,"")</f>
        <v>82.4687097454756</v>
      </c>
      <c r="AE349" s="0" t="n">
        <f aca="false">IF(B349&gt;0,100*F349/B349,"")</f>
        <v>10.9920093071671</v>
      </c>
      <c r="AF349" s="0" t="str">
        <f aca="false">RawFinancials!AE349</f>
        <v/>
      </c>
    </row>
    <row r="350" customFormat="false" ht="15" hidden="false" customHeight="false" outlineLevel="0" collapsed="false">
      <c r="A350" s="0" t="n">
        <f aca="false">IF(ISBLANK(RawFinancials!A350),"",RawFinancials!A350)</f>
        <v>350</v>
      </c>
      <c r="B350" s="0" t="n">
        <f aca="false">IF(ISBLANK(RawFinancials!B350),"",RawFinancials!B350)</f>
        <v>2876461</v>
      </c>
      <c r="C350" s="0" t="n">
        <f aca="false">IF(ISBLANK(RawFinancials!C350),"",RawFinancials!C350)</f>
        <v>19690</v>
      </c>
      <c r="D350" s="0" t="n">
        <f aca="false">IF(ISBLANK(RawFinancials!D350),"",RawFinancials!D350)</f>
        <v>1996495</v>
      </c>
      <c r="E350" s="0" t="n">
        <f aca="false">IF(ISBLANK(RawFinancials!E350),"",RawFinancials!E350)</f>
        <v>0.06</v>
      </c>
      <c r="F350" s="0" t="n">
        <f aca="false">IF(ISBLANK(RawFinancials!F350),"",RawFinancials!F350)</f>
        <v>311569</v>
      </c>
      <c r="G350" s="0" t="n">
        <f aca="false">IF(ISBLANK(RawFinancials!G350),"",RawFinancials!G350)</f>
        <v>10.8316782323835</v>
      </c>
      <c r="H350" s="0" t="str">
        <f aca="false">IF(ISBLANK(RawFinancials!H350),"",RawFinancials!H350)</f>
        <v>19690_20230930</v>
      </c>
      <c r="I350" s="0" t="n">
        <f aca="false">IF(ISBLANK(RawFinancials!I350),"",RawFinancials!I350)</f>
        <v>1.00082667183501</v>
      </c>
      <c r="J350" s="0" t="n">
        <f aca="false">IF(ISBLANK(RawFinancials!J350),"",RawFinancials!J350)</f>
        <v>42688</v>
      </c>
      <c r="K350" s="0" t="n">
        <f aca="false">IF(ISBLANK(RawFinancials!K350),"",RawFinancials!K350)</f>
        <v>421</v>
      </c>
      <c r="L350" s="0" t="n">
        <f aca="false">IF(ISBLANK(RawFinancials!L350),"",RawFinancials!L350)</f>
        <v>2528210</v>
      </c>
      <c r="M350" s="0" t="n">
        <f aca="false">IF(ISBLANK(RawFinancials!M350),"",RawFinancials!M350)</f>
        <v>2502907</v>
      </c>
      <c r="N350" s="0" t="n">
        <f aca="false">IF(ISBLANK(RawFinancials!N350),"",RawFinancials!N350)</f>
        <v>2043563</v>
      </c>
      <c r="O350" s="0" t="n">
        <f aca="false">IF(ISBLANK(RawFinancials!O350),"",RawFinancials!O350)</f>
        <v>17448</v>
      </c>
      <c r="P350" s="0" t="str">
        <f aca="false">IF(ISBLANK(RawFinancials!P350),"",RawFinancials!P350)</f>
        <v>NORTHEAST BANK</v>
      </c>
      <c r="Q350" s="0" t="n">
        <f aca="false">IF(ISBLANK(RawFinancials!Q350),"",RawFinancials!Q350)</f>
        <v>0.690132544369336</v>
      </c>
      <c r="R350" s="0" t="n">
        <f aca="false">IF(ISBLANK(RawFinancials!R350),"",RawFinancials!R350)</f>
        <v>5.01279887177971</v>
      </c>
      <c r="S350" s="0" t="n">
        <f aca="false">IF(ISBLANK(RawFinancials!S350),"",RawFinancials!S350)</f>
        <v>1773</v>
      </c>
      <c r="T350" s="0" t="n">
        <f aca="false">IF(ISBLANK(RawFinancials!T350),"",RawFinancials!T350)</f>
        <v>10951</v>
      </c>
      <c r="U350" s="0" t="n">
        <f aca="false">IF(ISBLANK(RawFinancials!U350),"",RawFinancials!U350)</f>
        <v>0</v>
      </c>
      <c r="V350" s="0" t="n">
        <f aca="false">IF(ISBLANK(RawFinancials!V350),"",RawFinancials!V350)</f>
        <v>13.4609825320188</v>
      </c>
      <c r="W350" s="0" t="n">
        <f aca="false">IF(ISBLANK(RawFinancials!W350),"",RawFinancials!W350)</f>
        <v>20230930</v>
      </c>
      <c r="X350" s="0" t="n">
        <f aca="false">IF(ISBLANK(RawFinancials!X350),"",RawFinancials!X350)</f>
        <v>1.85718670922203</v>
      </c>
      <c r="Y350" s="0" t="n">
        <f aca="false">IF(ISBLANK(RawFinancials!Y350),"",RawFinancials!Y350)</f>
        <v>18.36</v>
      </c>
      <c r="Z350" s="0" t="str">
        <f aca="false">IF(ISBLANK(RawFinancials!Z350),"",RawFinancials!Z350)</f>
        <v>ME</v>
      </c>
      <c r="AA350" s="0" t="n">
        <f aca="false">RawFinancials!AA350</f>
        <v>1</v>
      </c>
      <c r="AB350" s="0" t="n">
        <f aca="false">RawFinancials!AB350</f>
        <v>17448</v>
      </c>
      <c r="AC350" s="0" t="n">
        <f aca="false">RawFinancials!AC350</f>
        <v>0.606578709045595</v>
      </c>
      <c r="AD350" s="0" t="n">
        <f aca="false">IF(L350&gt;0,100*N350/L350,"")</f>
        <v>80.8304294342638</v>
      </c>
      <c r="AE350" s="0" t="n">
        <f aca="false">IF(B350&gt;0,100*F350/B350,"")</f>
        <v>10.8316782323835</v>
      </c>
      <c r="AF350" s="0" t="str">
        <f aca="false">RawFinancials!AE350</f>
        <v/>
      </c>
    </row>
    <row r="351" customFormat="false" ht="15" hidden="false" customHeight="false" outlineLevel="0" collapsed="false">
      <c r="A351" s="0" t="n">
        <f aca="false">IF(ISBLANK(RawFinancials!A351),"",RawFinancials!A351)</f>
        <v>351</v>
      </c>
      <c r="B351" s="0" t="n">
        <f aca="false">IF(ISBLANK(RawFinancials!B351),"",RawFinancials!B351)</f>
        <v>636045</v>
      </c>
      <c r="C351" s="0" t="n">
        <f aca="false">IF(ISBLANK(RawFinancials!C351),"",RawFinancials!C351)</f>
        <v>19836</v>
      </c>
      <c r="D351" s="0" t="n">
        <f aca="false">IF(ISBLANK(RawFinancials!D351),"",RawFinancials!D351)</f>
        <v>487132</v>
      </c>
      <c r="E351" s="0" t="n">
        <f aca="false">IF(ISBLANK(RawFinancials!E351),"",RawFinancials!E351)</f>
        <v>0.01</v>
      </c>
      <c r="F351" s="0" t="n">
        <f aca="false">IF(ISBLANK(RawFinancials!F351),"",RawFinancials!F351)</f>
        <v>119013</v>
      </c>
      <c r="G351" s="0" t="n">
        <f aca="false">IF(ISBLANK(RawFinancials!G351),"",RawFinancials!G351)</f>
        <v>18.7114119284013</v>
      </c>
      <c r="H351" s="0" t="str">
        <f aca="false">IF(ISBLANK(RawFinancials!H351),"",RawFinancials!H351)</f>
        <v>19836_20230930</v>
      </c>
      <c r="I351" s="0" t="n">
        <f aca="false">IF(ISBLANK(RawFinancials!I351),"",RawFinancials!I351)</f>
        <v>0.821891703905558</v>
      </c>
      <c r="J351" s="0" t="n">
        <f aca="false">IF(ISBLANK(RawFinancials!J351),"",RawFinancials!J351)</f>
        <v>51639</v>
      </c>
      <c r="K351" s="0" t="n">
        <f aca="false">IF(ISBLANK(RawFinancials!K351),"",RawFinancials!K351)</f>
        <v>12237</v>
      </c>
      <c r="L351" s="0" t="n">
        <f aca="false">IF(ISBLANK(RawFinancials!L351),"",RawFinancials!L351)</f>
        <v>524765</v>
      </c>
      <c r="M351" s="0" t="n">
        <f aca="false">IF(ISBLANK(RawFinancials!M351),"",RawFinancials!M351)</f>
        <v>520452</v>
      </c>
      <c r="N351" s="0" t="n">
        <f aca="false">IF(ISBLANK(RawFinancials!N351),"",RawFinancials!N351)</f>
        <v>456725</v>
      </c>
      <c r="O351" s="0" t="n">
        <f aca="false">IF(ISBLANK(RawFinancials!O351),"",RawFinancials!O351)</f>
        <v>3230</v>
      </c>
      <c r="P351" s="0" t="str">
        <f aca="false">IF(ISBLANK(RawFinancials!P351),"",RawFinancials!P351)</f>
        <v>FRANKLIN SAVINGS BANK</v>
      </c>
      <c r="Q351" s="0" t="n">
        <f aca="false">IF(ISBLANK(RawFinancials!Q351),"",RawFinancials!Q351)</f>
        <v>0.629234038093242</v>
      </c>
      <c r="R351" s="0" t="n">
        <f aca="false">IF(ISBLANK(RawFinancials!R351),"",RawFinancials!R351)</f>
        <v>4.05619318892258</v>
      </c>
      <c r="S351" s="0" t="n">
        <f aca="false">IF(ISBLANK(RawFinancials!S351),"",RawFinancials!S351)</f>
        <v>35</v>
      </c>
      <c r="T351" s="0" t="n">
        <f aca="false">IF(ISBLANK(RawFinancials!T351),"",RawFinancials!T351)</f>
        <v>2063</v>
      </c>
      <c r="U351" s="0" t="n">
        <f aca="false">IF(ISBLANK(RawFinancials!U351),"",RawFinancials!U351)</f>
        <v>72</v>
      </c>
      <c r="V351" s="0" t="n">
        <f aca="false">IF(ISBLANK(RawFinancials!V351),"",RawFinancials!V351)</f>
        <v>26.4663895951883</v>
      </c>
      <c r="W351" s="0" t="n">
        <f aca="false">IF(ISBLANK(RawFinancials!W351),"",RawFinancials!W351)</f>
        <v>20230930</v>
      </c>
      <c r="X351" s="0" t="n">
        <f aca="false">IF(ISBLANK(RawFinancials!X351),"",RawFinancials!X351)</f>
        <v>0.906671171533532</v>
      </c>
      <c r="Y351" s="0" t="n">
        <f aca="false">IF(ISBLANK(RawFinancials!Y351),"",RawFinancials!Y351)</f>
        <v>4.64</v>
      </c>
      <c r="Z351" s="0" t="str">
        <f aca="false">IF(ISBLANK(RawFinancials!Z351),"",RawFinancials!Z351)</f>
        <v>ME</v>
      </c>
      <c r="AA351" s="0" t="n">
        <f aca="false">RawFinancials!AA351</f>
        <v>1</v>
      </c>
      <c r="AB351" s="0" t="n">
        <f aca="false">RawFinancials!AB351</f>
        <v>3302</v>
      </c>
      <c r="AC351" s="0" t="n">
        <f aca="false">RawFinancials!AC351</f>
        <v>0.519145657933008</v>
      </c>
      <c r="AD351" s="0" t="n">
        <f aca="false">IF(L351&gt;0,100*N351/L351,"")</f>
        <v>87.034196259278</v>
      </c>
      <c r="AE351" s="0" t="n">
        <f aca="false">IF(B351&gt;0,100*F351/B351,"")</f>
        <v>18.7114119284013</v>
      </c>
      <c r="AF351" s="0" t="str">
        <f aca="false">RawFinancials!AE351</f>
        <v/>
      </c>
    </row>
    <row r="352" customFormat="false" ht="15" hidden="false" customHeight="false" outlineLevel="0" collapsed="false">
      <c r="A352" s="0" t="n">
        <f aca="false">IF(ISBLANK(RawFinancials!A352),"",RawFinancials!A352)</f>
        <v>352</v>
      </c>
      <c r="B352" s="0" t="n">
        <f aca="false">IF(ISBLANK(RawFinancials!B352),"",RawFinancials!B352)</f>
        <v>1388131</v>
      </c>
      <c r="C352" s="0" t="n">
        <f aca="false">IF(ISBLANK(RawFinancials!C352),"",RawFinancials!C352)</f>
        <v>24540</v>
      </c>
      <c r="D352" s="0" t="n">
        <f aca="false">IF(ISBLANK(RawFinancials!D352),"",RawFinancials!D352)</f>
        <v>1118585</v>
      </c>
      <c r="E352" s="0" t="n">
        <f aca="false">IF(ISBLANK(RawFinancials!E352),"",RawFinancials!E352)</f>
        <v>0.29</v>
      </c>
      <c r="F352" s="0" t="n">
        <f aca="false">IF(ISBLANK(RawFinancials!F352),"",RawFinancials!F352)</f>
        <v>238721</v>
      </c>
      <c r="G352" s="0" t="n">
        <f aca="false">IF(ISBLANK(RawFinancials!G352),"",RawFinancials!G352)</f>
        <v>17.1972962206017</v>
      </c>
      <c r="H352" s="0" t="str">
        <f aca="false">IF(ISBLANK(RawFinancials!H352),"",RawFinancials!H352)</f>
        <v>24540_20230930</v>
      </c>
      <c r="I352" s="0" t="n">
        <f aca="false">IF(ISBLANK(RawFinancials!I352),"",RawFinancials!I352)</f>
        <v>0.939211800361955</v>
      </c>
      <c r="J352" s="0" t="n">
        <f aca="false">IF(ISBLANK(RawFinancials!J352),"",RawFinancials!J352)</f>
        <v>40839</v>
      </c>
      <c r="K352" s="0" t="n">
        <f aca="false">IF(ISBLANK(RawFinancials!K352),"",RawFinancials!K352)</f>
        <v>84</v>
      </c>
      <c r="L352" s="0" t="n">
        <f aca="false">IF(ISBLANK(RawFinancials!L352),"",RawFinancials!L352)</f>
        <v>1197387</v>
      </c>
      <c r="M352" s="0" t="n">
        <f aca="false">IF(ISBLANK(RawFinancials!M352),"",RawFinancials!M352)</f>
        <v>1186141</v>
      </c>
      <c r="N352" s="0" t="n">
        <f aca="false">IF(ISBLANK(RawFinancials!N352),"",RawFinancials!N352)</f>
        <v>1160736</v>
      </c>
      <c r="O352" s="0" t="n">
        <f aca="false">IF(ISBLANK(RawFinancials!O352),"",RawFinancials!O352)</f>
        <v>445</v>
      </c>
      <c r="P352" s="0" t="str">
        <f aca="false">IF(ISBLANK(RawFinancials!P352),"",RawFinancials!P352)</f>
        <v>BANK OF NEW ENGLAND</v>
      </c>
      <c r="Q352" s="0" t="n">
        <f aca="false">IF(ISBLANK(RawFinancials!Q352),"",RawFinancials!Q352)</f>
        <v>0.0371642585062306</v>
      </c>
      <c r="R352" s="0" t="n">
        <f aca="false">IF(ISBLANK(RawFinancials!R352),"",RawFinancials!R352)</f>
        <v>4.95855725729659</v>
      </c>
      <c r="S352" s="0" t="n">
        <f aca="false">IF(ISBLANK(RawFinancials!S352),"",RawFinancials!S352)</f>
        <v>0</v>
      </c>
      <c r="T352" s="0" t="n">
        <f aca="false">IF(ISBLANK(RawFinancials!T352),"",RawFinancials!T352)</f>
        <v>0</v>
      </c>
      <c r="U352" s="0" t="n">
        <f aca="false">IF(ISBLANK(RawFinancials!U352),"",RawFinancials!U352)</f>
        <v>0</v>
      </c>
      <c r="V352" s="0" t="n">
        <f aca="false">IF(ISBLANK(RawFinancials!V352),"",RawFinancials!V352)</f>
        <v>18.7852347950974</v>
      </c>
      <c r="W352" s="0" t="n">
        <f aca="false">IF(ISBLANK(RawFinancials!W352),"",RawFinancials!W352)</f>
        <v>20230930</v>
      </c>
      <c r="X352" s="0" t="n">
        <f aca="false">IF(ISBLANK(RawFinancials!X352),"",RawFinancials!X352)</f>
        <v>2.37998404579016</v>
      </c>
      <c r="Y352" s="0" t="n">
        <f aca="false">IF(ISBLANK(RawFinancials!Y352),"",RawFinancials!Y352)</f>
        <v>13.9</v>
      </c>
      <c r="Z352" s="0" t="str">
        <f aca="false">IF(ISBLANK(RawFinancials!Z352),"",RawFinancials!Z352)</f>
        <v>NH</v>
      </c>
      <c r="AA352" s="0" t="n">
        <f aca="false">RawFinancials!AA352</f>
        <v>1</v>
      </c>
      <c r="AB352" s="0" t="n">
        <f aca="false">RawFinancials!AB352</f>
        <v>445</v>
      </c>
      <c r="AC352" s="0" t="n">
        <f aca="false">RawFinancials!AC352</f>
        <v>0.0320574931328527</v>
      </c>
      <c r="AD352" s="0" t="n">
        <f aca="false">IF(L352&gt;0,100*N352/L352,"")</f>
        <v>96.9390848572767</v>
      </c>
      <c r="AE352" s="0" t="n">
        <f aca="false">IF(B352&gt;0,100*F352/B352,"")</f>
        <v>17.1972962206017</v>
      </c>
      <c r="AF352" s="0" t="str">
        <f aca="false">RawFinancials!AE352</f>
        <v/>
      </c>
    </row>
    <row r="353" customFormat="false" ht="15" hidden="false" customHeight="false" outlineLevel="0" collapsed="false">
      <c r="A353" s="0" t="n">
        <f aca="false">IF(ISBLANK(RawFinancials!A353),"",RawFinancials!A353)</f>
        <v>353</v>
      </c>
      <c r="B353" s="0" t="n">
        <f aca="false">IF(ISBLANK(RawFinancials!B353),"",RawFinancials!B353)</f>
        <v>525416</v>
      </c>
      <c r="C353" s="0" t="n">
        <f aca="false">IF(ISBLANK(RawFinancials!C353),"",RawFinancials!C353)</f>
        <v>27824</v>
      </c>
      <c r="D353" s="0" t="n">
        <f aca="false">IF(ISBLANK(RawFinancials!D353),"",RawFinancials!D353)</f>
        <v>391764</v>
      </c>
      <c r="E353" s="0" t="n">
        <f aca="false">IF(ISBLANK(RawFinancials!E353),"",RawFinancials!E353)</f>
        <v>-0.01</v>
      </c>
      <c r="F353" s="0" t="n">
        <f aca="false">IF(ISBLANK(RawFinancials!F353),"",RawFinancials!F353)</f>
        <v>64487</v>
      </c>
      <c r="G353" s="0" t="n">
        <f aca="false">IF(ISBLANK(RawFinancials!G353),"",RawFinancials!G353)</f>
        <v>12.2735127974786</v>
      </c>
      <c r="H353" s="0" t="str">
        <f aca="false">IF(ISBLANK(RawFinancials!H353),"",RawFinancials!H353)</f>
        <v>27824_20230930</v>
      </c>
      <c r="I353" s="0" t="n">
        <f aca="false">IF(ISBLANK(RawFinancials!I353),"",RawFinancials!I353)</f>
        <v>0.710999014635822</v>
      </c>
      <c r="J353" s="0" t="n">
        <f aca="false">IF(ISBLANK(RawFinancials!J353),"",RawFinancials!J353)</f>
        <v>21545</v>
      </c>
      <c r="K353" s="0" t="n">
        <f aca="false">IF(ISBLANK(RawFinancials!K353),"",RawFinancials!K353)</f>
        <v>44503</v>
      </c>
      <c r="L353" s="0" t="n">
        <f aca="false">IF(ISBLANK(RawFinancials!L353),"",RawFinancials!L353)</f>
        <v>442476</v>
      </c>
      <c r="M353" s="0" t="n">
        <f aca="false">IF(ISBLANK(RawFinancials!M353),"",RawFinancials!M353)</f>
        <v>439330</v>
      </c>
      <c r="N353" s="0" t="n">
        <f aca="false">IF(ISBLANK(RawFinancials!N353),"",RawFinancials!N353)</f>
        <v>376428</v>
      </c>
      <c r="O353" s="0" t="n">
        <f aca="false">IF(ISBLANK(RawFinancials!O353),"",RawFinancials!O353)</f>
        <v>1101</v>
      </c>
      <c r="P353" s="0" t="str">
        <f aca="false">IF(ISBLANK(RawFinancials!P353),"",RawFinancials!P353)</f>
        <v>SALEM CO-OPERATIVE BANK</v>
      </c>
      <c r="Q353" s="0" t="n">
        <f aca="false">IF(ISBLANK(RawFinancials!Q353),"",RawFinancials!Q353)</f>
        <v>0.248827055026713</v>
      </c>
      <c r="R353" s="0" t="n">
        <f aca="false">IF(ISBLANK(RawFinancials!R353),"",RawFinancials!R353)</f>
        <v>1.9506679893547</v>
      </c>
      <c r="S353" s="0" t="n">
        <f aca="false">IF(ISBLANK(RawFinancials!S353),"",RawFinancials!S353)</f>
        <v>82</v>
      </c>
      <c r="T353" s="0" t="n">
        <f aca="false">IF(ISBLANK(RawFinancials!T353),"",RawFinancials!T353)</f>
        <v>1118</v>
      </c>
      <c r="U353" s="0" t="n">
        <f aca="false">IF(ISBLANK(RawFinancials!U353),"",RawFinancials!U353)</f>
        <v>0</v>
      </c>
      <c r="V353" s="0" t="n">
        <f aca="false">IF(ISBLANK(RawFinancials!V353),"",RawFinancials!V353)</f>
        <v>21.0095810176617</v>
      </c>
      <c r="W353" s="0" t="n">
        <f aca="false">IF(ISBLANK(RawFinancials!W353),"",RawFinancials!W353)</f>
        <v>20230930</v>
      </c>
      <c r="X353" s="0" t="n">
        <f aca="false">IF(ISBLANK(RawFinancials!X353),"",RawFinancials!X353)</f>
        <v>-0.199629507682116</v>
      </c>
      <c r="Y353" s="0" t="n">
        <f aca="false">IF(ISBLANK(RawFinancials!Y353),"",RawFinancials!Y353)</f>
        <v>-1.53</v>
      </c>
      <c r="Z353" s="0" t="str">
        <f aca="false">IF(ISBLANK(RawFinancials!Z353),"",RawFinancials!Z353)</f>
        <v>NH</v>
      </c>
      <c r="AA353" s="0" t="n">
        <f aca="false">RawFinancials!AA353</f>
        <v>1</v>
      </c>
      <c r="AB353" s="0" t="n">
        <f aca="false">RawFinancials!AB353</f>
        <v>1101</v>
      </c>
      <c r="AC353" s="0" t="n">
        <f aca="false">RawFinancials!AC353</f>
        <v>0.209548243677391</v>
      </c>
      <c r="AD353" s="0" t="n">
        <f aca="false">IF(L353&gt;0,100*N353/L353,"")</f>
        <v>85.0730887098961</v>
      </c>
      <c r="AE353" s="0" t="n">
        <f aca="false">IF(B353&gt;0,100*F353/B353,"")</f>
        <v>12.2735127974786</v>
      </c>
      <c r="AF353" s="0" t="str">
        <f aca="false">RawFinancials!AE353</f>
        <v/>
      </c>
    </row>
    <row r="354" customFormat="false" ht="15" hidden="false" customHeight="false" outlineLevel="0" collapsed="false">
      <c r="A354" s="0" t="n">
        <f aca="false">IF(ISBLANK(RawFinancials!A354),"",RawFinancials!A354)</f>
        <v>354</v>
      </c>
      <c r="B354" s="0" t="n">
        <f aca="false">IF(ISBLANK(RawFinancials!B354),"",RawFinancials!B354)</f>
        <v>298875</v>
      </c>
      <c r="C354" s="0" t="n">
        <f aca="false">IF(ISBLANK(RawFinancials!C354),"",RawFinancials!C354)</f>
        <v>28155</v>
      </c>
      <c r="D354" s="0" t="n">
        <f aca="false">IF(ISBLANK(RawFinancials!D354),"",RawFinancials!D354)</f>
        <v>265401</v>
      </c>
      <c r="E354" s="0" t="n">
        <f aca="false">IF(ISBLANK(RawFinancials!E354),"",RawFinancials!E354)</f>
        <v>-0.04</v>
      </c>
      <c r="F354" s="0" t="n">
        <f aca="false">IF(ISBLANK(RawFinancials!F354),"",RawFinancials!F354)</f>
        <v>27404</v>
      </c>
      <c r="G354" s="0" t="n">
        <f aca="false">IF(ISBLANK(RawFinancials!G354),"",RawFinancials!G354)</f>
        <v>9.16905060644082</v>
      </c>
      <c r="H354" s="0" t="str">
        <f aca="false">IF(ISBLANK(RawFinancials!H354),"",RawFinancials!H354)</f>
        <v>28155_20230930</v>
      </c>
      <c r="I354" s="0" t="n">
        <f aca="false">IF(ISBLANK(RawFinancials!I354),"",RawFinancials!I354)</f>
        <v>0.492209222382439</v>
      </c>
      <c r="J354" s="0" t="n">
        <f aca="false">IF(ISBLANK(RawFinancials!J354),"",RawFinancials!J354)</f>
        <v>11483</v>
      </c>
      <c r="K354" s="0" t="n">
        <f aca="false">IF(ISBLANK(RawFinancials!K354),"",RawFinancials!K354)</f>
        <v>5666</v>
      </c>
      <c r="L354" s="0" t="n">
        <f aca="false">IF(ISBLANK(RawFinancials!L354),"",RawFinancials!L354)</f>
        <v>164361</v>
      </c>
      <c r="M354" s="0" t="n">
        <f aca="false">IF(ISBLANK(RawFinancials!M354),"",RawFinancials!M354)</f>
        <v>163552</v>
      </c>
      <c r="N354" s="0" t="n">
        <f aca="false">IF(ISBLANK(RawFinancials!N354),"",RawFinancials!N354)</f>
        <v>146698</v>
      </c>
      <c r="O354" s="0" t="n">
        <f aca="false">IF(ISBLANK(RawFinancials!O354),"",RawFinancials!O354)</f>
        <v>23</v>
      </c>
      <c r="P354" s="0" t="str">
        <f aca="false">IF(ISBLANK(RawFinancials!P354),"",RawFinancials!P354)</f>
        <v>PROFILE BANK</v>
      </c>
      <c r="Q354" s="0" t="n">
        <f aca="false">IF(ISBLANK(RawFinancials!Q354),"",RawFinancials!Q354)</f>
        <v>0.0139935872865217</v>
      </c>
      <c r="R354" s="0" t="n">
        <f aca="false">IF(ISBLANK(RawFinancials!R354),"",RawFinancials!R354)</f>
        <v>2.46018753591954</v>
      </c>
      <c r="S354" s="0" t="n">
        <f aca="false">IF(ISBLANK(RawFinancials!S354),"",RawFinancials!S354)</f>
        <v>5</v>
      </c>
      <c r="T354" s="0" t="n">
        <f aca="false">IF(ISBLANK(RawFinancials!T354),"",RawFinancials!T354)</f>
        <v>1393</v>
      </c>
      <c r="U354" s="0" t="n">
        <f aca="false">IF(ISBLANK(RawFinancials!U354),"",RawFinancials!U354)</f>
        <v>0</v>
      </c>
      <c r="V354" s="0" t="n">
        <f aca="false">IF(ISBLANK(RawFinancials!V354),"",RawFinancials!V354)</f>
        <v>18.1839172272631</v>
      </c>
      <c r="W354" s="0" t="n">
        <f aca="false">IF(ISBLANK(RawFinancials!W354),"",RawFinancials!W354)</f>
        <v>20230930</v>
      </c>
      <c r="X354" s="0" t="n">
        <f aca="false">IF(ISBLANK(RawFinancials!X354),"",RawFinancials!X354)</f>
        <v>0.0370623139686274</v>
      </c>
      <c r="Y354" s="0" t="n">
        <f aca="false">IF(ISBLANK(RawFinancials!Y354),"",RawFinancials!Y354)</f>
        <v>0.4</v>
      </c>
      <c r="Z354" s="0" t="str">
        <f aca="false">IF(ISBLANK(RawFinancials!Z354),"",RawFinancials!Z354)</f>
        <v>NH</v>
      </c>
      <c r="AA354" s="0" t="n">
        <f aca="false">RawFinancials!AA354</f>
        <v>1</v>
      </c>
      <c r="AB354" s="0" t="n">
        <f aca="false">RawFinancials!AB354</f>
        <v>23</v>
      </c>
      <c r="AC354" s="0" t="n">
        <f aca="false">RawFinancials!AC354</f>
        <v>0.00769552488498536</v>
      </c>
      <c r="AD354" s="0" t="n">
        <f aca="false">IF(L354&gt;0,100*N354/L354,"")</f>
        <v>89.2535333807899</v>
      </c>
      <c r="AE354" s="0" t="n">
        <f aca="false">IF(B354&gt;0,100*F354/B354,"")</f>
        <v>9.16905060644082</v>
      </c>
      <c r="AF354" s="0" t="str">
        <f aca="false">RawFinancials!AE354</f>
        <v/>
      </c>
    </row>
    <row r="355" customFormat="false" ht="15" hidden="false" customHeight="false" outlineLevel="0" collapsed="false">
      <c r="A355" s="0" t="n">
        <f aca="false">IF(ISBLANK(RawFinancials!A355),"",RawFinancials!A355)</f>
        <v>355</v>
      </c>
      <c r="B355" s="0" t="n">
        <f aca="false">IF(ISBLANK(RawFinancials!B355),"",RawFinancials!B355)</f>
        <v>101273</v>
      </c>
      <c r="C355" s="0" t="n">
        <f aca="false">IF(ISBLANK(RawFinancials!C355),"",RawFinancials!C355)</f>
        <v>28288</v>
      </c>
      <c r="D355" s="0" t="n">
        <f aca="false">IF(ISBLANK(RawFinancials!D355),"",RawFinancials!D355)</f>
        <v>77424</v>
      </c>
      <c r="E355" s="0" t="n">
        <f aca="false">IF(ISBLANK(RawFinancials!E355),"",RawFinancials!E355)</f>
        <v>0</v>
      </c>
      <c r="F355" s="0" t="n">
        <f aca="false">IF(ISBLANK(RawFinancials!F355),"",RawFinancials!F355)</f>
        <v>5334</v>
      </c>
      <c r="G355" s="0" t="n">
        <f aca="false">IF(ISBLANK(RawFinancials!G355),"",RawFinancials!G355)</f>
        <v>5.26695170479792</v>
      </c>
      <c r="H355" s="0" t="str">
        <f aca="false">IF(ISBLANK(RawFinancials!H355),"",RawFinancials!H355)</f>
        <v>28288_20230930</v>
      </c>
      <c r="I355" s="0" t="n">
        <f aca="false">IF(ISBLANK(RawFinancials!I355),"",RawFinancials!I355)</f>
        <v>1.07154733899078</v>
      </c>
      <c r="J355" s="0" t="n">
        <f aca="false">IF(ISBLANK(RawFinancials!J355),"",RawFinancials!J355)</f>
        <v>4476</v>
      </c>
      <c r="K355" s="0" t="n">
        <f aca="false">IF(ISBLANK(RawFinancials!K355),"",RawFinancials!K355)</f>
        <v>527</v>
      </c>
      <c r="L355" s="0" t="n">
        <f aca="false">IF(ISBLANK(RawFinancials!L355),"",RawFinancials!L355)</f>
        <v>81191</v>
      </c>
      <c r="M355" s="0" t="n">
        <f aca="false">IF(ISBLANK(RawFinancials!M355),"",RawFinancials!M355)</f>
        <v>80321</v>
      </c>
      <c r="N355" s="0" t="n">
        <f aca="false">IF(ISBLANK(RawFinancials!N355),"",RawFinancials!N355)</f>
        <v>76188</v>
      </c>
      <c r="O355" s="0" t="n">
        <f aca="false">IF(ISBLANK(RawFinancials!O355),"",RawFinancials!O355)</f>
        <v>264</v>
      </c>
      <c r="P355" s="0" t="str">
        <f aca="false">IF(ISBLANK(RawFinancials!P355),"",RawFinancials!P355)</f>
        <v>AUBURN SAVINGS BANK, FSB</v>
      </c>
      <c r="Q355" s="0" t="n">
        <f aca="false">IF(ISBLANK(RawFinancials!Q355),"",RawFinancials!Q355)</f>
        <v>0.325159192521338</v>
      </c>
      <c r="R355" s="0" t="n">
        <f aca="false">IF(ISBLANK(RawFinancials!R355),"",RawFinancials!R355)</f>
        <v>2.73718549820226</v>
      </c>
      <c r="S355" s="0" t="n">
        <f aca="false">IF(ISBLANK(RawFinancials!S355),"",RawFinancials!S355)</f>
        <v>-8</v>
      </c>
      <c r="T355" s="0" t="n">
        <f aca="false">IF(ISBLANK(RawFinancials!T355),"",RawFinancials!T355)</f>
        <v>37</v>
      </c>
      <c r="U355" s="0" t="n">
        <f aca="false">IF(ISBLANK(RawFinancials!U355),"",RawFinancials!U355)</f>
        <v>0</v>
      </c>
      <c r="V355" s="0" t="n">
        <f aca="false">IF(ISBLANK(RawFinancials!V355),"",RawFinancials!V355)</f>
        <v>13.2681105302464</v>
      </c>
      <c r="W355" s="0" t="n">
        <f aca="false">IF(ISBLANK(RawFinancials!W355),"",RawFinancials!W355)</f>
        <v>20230930</v>
      </c>
      <c r="X355" s="0" t="n">
        <f aca="false">IF(ISBLANK(RawFinancials!X355),"",RawFinancials!X355)</f>
        <v>-0.0352437385730334</v>
      </c>
      <c r="Y355" s="0" t="n">
        <f aca="false">IF(ISBLANK(RawFinancials!Y355),"",RawFinancials!Y355)</f>
        <v>-0.62</v>
      </c>
      <c r="Z355" s="0" t="str">
        <f aca="false">IF(ISBLANK(RawFinancials!Z355),"",RawFinancials!Z355)</f>
        <v>ME</v>
      </c>
      <c r="AA355" s="0" t="n">
        <f aca="false">RawFinancials!AA355</f>
        <v>1</v>
      </c>
      <c r="AB355" s="0" t="n">
        <f aca="false">RawFinancials!AB355</f>
        <v>264</v>
      </c>
      <c r="AC355" s="0" t="n">
        <f aca="false">RawFinancials!AC355</f>
        <v>0.260681524196973</v>
      </c>
      <c r="AD355" s="0" t="n">
        <f aca="false">IF(L355&gt;0,100*N355/L355,"")</f>
        <v>93.837986968999</v>
      </c>
      <c r="AE355" s="0" t="n">
        <f aca="false">IF(B355&gt;0,100*F355/B355,"")</f>
        <v>5.26695170479792</v>
      </c>
      <c r="AF355" s="0" t="str">
        <f aca="false">RawFinancials!AE355</f>
        <v/>
      </c>
    </row>
    <row r="356" customFormat="false" ht="15" hidden="false" customHeight="false" outlineLevel="0" collapsed="false">
      <c r="A356" s="0" t="n">
        <f aca="false">IF(ISBLANK(RawFinancials!A356),"",RawFinancials!A356)</f>
        <v>356</v>
      </c>
      <c r="B356" s="0" t="n">
        <f aca="false">IF(ISBLANK(RawFinancials!B356),"",RawFinancials!B356)</f>
        <v>89908</v>
      </c>
      <c r="C356" s="0" t="n">
        <f aca="false">IF(ISBLANK(RawFinancials!C356),"",RawFinancials!C356)</f>
        <v>28369</v>
      </c>
      <c r="D356" s="0" t="n">
        <f aca="false">IF(ISBLANK(RawFinancials!D356),"",RawFinancials!D356)</f>
        <v>79937</v>
      </c>
      <c r="E356" s="0" t="n">
        <f aca="false">IF(ISBLANK(RawFinancials!E356),"",RawFinancials!E356)</f>
        <v>0.04</v>
      </c>
      <c r="F356" s="0" t="n">
        <f aca="false">IF(ISBLANK(RawFinancials!F356),"",RawFinancials!F356)</f>
        <v>9426</v>
      </c>
      <c r="G356" s="0" t="n">
        <f aca="false">IF(ISBLANK(RawFinancials!G356),"",RawFinancials!G356)</f>
        <v>10.4840503625929</v>
      </c>
      <c r="H356" s="0" t="str">
        <f aca="false">IF(ISBLANK(RawFinancials!H356),"",RawFinancials!H356)</f>
        <v>28369_20230930</v>
      </c>
      <c r="I356" s="0" t="n">
        <f aca="false">IF(ISBLANK(RawFinancials!I356),"",RawFinancials!I356)</f>
        <v>0.74635493609095</v>
      </c>
      <c r="J356" s="0" t="n">
        <f aca="false">IF(ISBLANK(RawFinancials!J356),"",RawFinancials!J356)</f>
        <v>11687</v>
      </c>
      <c r="K356" s="0" t="n">
        <f aca="false">IF(ISBLANK(RawFinancials!K356),"",RawFinancials!K356)</f>
        <v>821</v>
      </c>
      <c r="L356" s="0" t="n">
        <f aca="false">IF(ISBLANK(RawFinancials!L356),"",RawFinancials!L356)</f>
        <v>77845</v>
      </c>
      <c r="M356" s="0" t="n">
        <f aca="false">IF(ISBLANK(RawFinancials!M356),"",RawFinancials!M356)</f>
        <v>77264</v>
      </c>
      <c r="N356" s="0" t="n">
        <f aca="false">IF(ISBLANK(RawFinancials!N356),"",RawFinancials!N356)</f>
        <v>65337</v>
      </c>
      <c r="O356" s="0" t="n">
        <f aca="false">IF(ISBLANK(RawFinancials!O356),"",RawFinancials!O356)</f>
        <v>225</v>
      </c>
      <c r="P356" s="0" t="str">
        <f aca="false">IF(ISBLANK(RawFinancials!P356),"",RawFinancials!P356)</f>
        <v>ROCKLAND SAVINGS BANK, FSB</v>
      </c>
      <c r="Q356" s="0" t="n">
        <f aca="false">IF(ISBLANK(RawFinancials!Q356),"",RawFinancials!Q356)</f>
        <v>0.289035904682382</v>
      </c>
      <c r="R356" s="0" t="n">
        <f aca="false">IF(ISBLANK(RawFinancials!R356),"",RawFinancials!R356)</f>
        <v>3.35494907396286</v>
      </c>
      <c r="S356" s="0" t="n">
        <f aca="false">IF(ISBLANK(RawFinancials!S356),"",RawFinancials!S356)</f>
        <v>-1</v>
      </c>
      <c r="T356" s="0" t="n">
        <f aca="false">IF(ISBLANK(RawFinancials!T356),"",RawFinancials!T356)</f>
        <v>180</v>
      </c>
      <c r="U356" s="0" t="n">
        <f aca="false">IF(ISBLANK(RawFinancials!U356),"",RawFinancials!U356)</f>
        <v>0</v>
      </c>
      <c r="V356" s="0" t="n">
        <f aca="false">IF(ISBLANK(RawFinancials!V356),"",RawFinancials!V356)</f>
        <v>0</v>
      </c>
      <c r="W356" s="0" t="n">
        <f aca="false">IF(ISBLANK(RawFinancials!W356),"",RawFinancials!W356)</f>
        <v>20230930</v>
      </c>
      <c r="X356" s="0" t="n">
        <f aca="false">IF(ISBLANK(RawFinancials!X356),"",RawFinancials!X356)</f>
        <v>-0.142809757264821</v>
      </c>
      <c r="Y356" s="0" t="n">
        <f aca="false">IF(ISBLANK(RawFinancials!Y356),"",RawFinancials!Y356)</f>
        <v>-1.32</v>
      </c>
      <c r="Z356" s="0" t="str">
        <f aca="false">IF(ISBLANK(RawFinancials!Z356),"",RawFinancials!Z356)</f>
        <v>ME</v>
      </c>
      <c r="AA356" s="0" t="n">
        <f aca="false">RawFinancials!AA356</f>
        <v>1</v>
      </c>
      <c r="AB356" s="0" t="n">
        <f aca="false">RawFinancials!AB356</f>
        <v>225</v>
      </c>
      <c r="AC356" s="0" t="n">
        <f aca="false">RawFinancials!AC356</f>
        <v>0.250255817057436</v>
      </c>
      <c r="AD356" s="0" t="n">
        <f aca="false">IF(L356&gt;0,100*N356/L356,"")</f>
        <v>83.9321729077012</v>
      </c>
      <c r="AE356" s="0" t="n">
        <f aca="false">IF(B356&gt;0,100*F356/B356,"")</f>
        <v>10.4840503625929</v>
      </c>
      <c r="AF356" s="0" t="str">
        <f aca="false">RawFinancials!AE356</f>
        <v>原始0：需核实适用/报告口径</v>
      </c>
    </row>
    <row r="357" customFormat="false" ht="15" hidden="false" customHeight="false" outlineLevel="0" collapsed="false">
      <c r="A357" s="0" t="n">
        <f aca="false">IF(ISBLANK(RawFinancials!A357),"",RawFinancials!A357)</f>
        <v>357</v>
      </c>
      <c r="B357" s="0" t="n">
        <f aca="false">IF(ISBLANK(RawFinancials!B357),"",RawFinancials!B357)</f>
        <v>282885</v>
      </c>
      <c r="C357" s="0" t="n">
        <f aca="false">IF(ISBLANK(RawFinancials!C357),"",RawFinancials!C357)</f>
        <v>28837</v>
      </c>
      <c r="D357" s="0" t="n">
        <f aca="false">IF(ISBLANK(RawFinancials!D357),"",RawFinancials!D357)</f>
        <v>253635</v>
      </c>
      <c r="E357" s="0" t="n">
        <f aca="false">IF(ISBLANK(RawFinancials!E357),"",RawFinancials!E357)</f>
        <v>0.03</v>
      </c>
      <c r="F357" s="0" t="n">
        <f aca="false">IF(ISBLANK(RawFinancials!F357),"",RawFinancials!F357)</f>
        <v>25486</v>
      </c>
      <c r="G357" s="0" t="n">
        <f aca="false">IF(ISBLANK(RawFinancials!G357),"",RawFinancials!G357)</f>
        <v>9.00931473920498</v>
      </c>
      <c r="H357" s="0" t="str">
        <f aca="false">IF(ISBLANK(RawFinancials!H357),"",RawFinancials!H357)</f>
        <v>28837_20230930</v>
      </c>
      <c r="I357" s="0" t="n">
        <f aca="false">IF(ISBLANK(RawFinancials!I357),"",RawFinancials!I357)</f>
        <v>1.13972726851542</v>
      </c>
      <c r="J357" s="0" t="n">
        <f aca="false">IF(ISBLANK(RawFinancials!J357),"",RawFinancials!J357)</f>
        <v>6214</v>
      </c>
      <c r="K357" s="0" t="n">
        <f aca="false">IF(ISBLANK(RawFinancials!K357),"",RawFinancials!K357)</f>
        <v>1468</v>
      </c>
      <c r="L357" s="0" t="n">
        <f aca="false">IF(ISBLANK(RawFinancials!L357),"",RawFinancials!L357)</f>
        <v>194257</v>
      </c>
      <c r="M357" s="0" t="n">
        <f aca="false">IF(ISBLANK(RawFinancials!M357),"",RawFinancials!M357)</f>
        <v>192043</v>
      </c>
      <c r="N357" s="0" t="n">
        <f aca="false">IF(ISBLANK(RawFinancials!N357),"",RawFinancials!N357)</f>
        <v>185306</v>
      </c>
      <c r="O357" s="0" t="n">
        <f aca="false">IF(ISBLANK(RawFinancials!O357),"",RawFinancials!O357)</f>
        <v>52</v>
      </c>
      <c r="P357" s="0" t="str">
        <f aca="false">IF(ISBLANK(RawFinancials!P357),"",RawFinancials!P357)</f>
        <v>THE BRATTLEBORO SAVINGS AND LOAN ASSOCIATION</v>
      </c>
      <c r="Q357" s="0" t="n">
        <f aca="false">IF(ISBLANK(RawFinancials!Q357),"",RawFinancials!Q357)</f>
        <v>0.0267686621331535</v>
      </c>
      <c r="R357" s="0" t="n">
        <f aca="false">IF(ISBLANK(RawFinancials!R357),"",RawFinancials!R357)</f>
        <v>3.61649026008213</v>
      </c>
      <c r="S357" s="0" t="n">
        <f aca="false">IF(ISBLANK(RawFinancials!S357),"",RawFinancials!S357)</f>
        <v>49</v>
      </c>
      <c r="T357" s="0" t="n">
        <f aca="false">IF(ISBLANK(RawFinancials!T357),"",RawFinancials!T357)</f>
        <v>150</v>
      </c>
      <c r="U357" s="0" t="n">
        <f aca="false">IF(ISBLANK(RawFinancials!U357),"",RawFinancials!U357)</f>
        <v>0</v>
      </c>
      <c r="V357" s="0" t="n">
        <f aca="false">IF(ISBLANK(RawFinancials!V357),"",RawFinancials!V357)</f>
        <v>16.4920250160645</v>
      </c>
      <c r="W357" s="0" t="n">
        <f aca="false">IF(ISBLANK(RawFinancials!W357),"",RawFinancials!W357)</f>
        <v>20230930</v>
      </c>
      <c r="X357" s="0" t="n">
        <f aca="false">IF(ISBLANK(RawFinancials!X357),"",RawFinancials!X357)</f>
        <v>0.916700071704755</v>
      </c>
      <c r="Y357" s="0" t="n">
        <f aca="false">IF(ISBLANK(RawFinancials!Y357),"",RawFinancials!Y357)</f>
        <v>10.87</v>
      </c>
      <c r="Z357" s="0" t="str">
        <f aca="false">IF(ISBLANK(RawFinancials!Z357),"",RawFinancials!Z357)</f>
        <v>VT</v>
      </c>
      <c r="AA357" s="0" t="n">
        <f aca="false">RawFinancials!AA357</f>
        <v>1</v>
      </c>
      <c r="AB357" s="0" t="n">
        <f aca="false">RawFinancials!AB357</f>
        <v>52</v>
      </c>
      <c r="AC357" s="0" t="n">
        <f aca="false">RawFinancials!AC357</f>
        <v>0.0183820280325928</v>
      </c>
      <c r="AD357" s="0" t="n">
        <f aca="false">IF(L357&gt;0,100*N357/L357,"")</f>
        <v>95.3921866393489</v>
      </c>
      <c r="AE357" s="0" t="n">
        <f aca="false">IF(B357&gt;0,100*F357/B357,"")</f>
        <v>9.00931473920498</v>
      </c>
      <c r="AF357" s="0" t="str">
        <f aca="false">RawFinancials!AE357</f>
        <v/>
      </c>
    </row>
    <row r="358" customFormat="false" ht="15" hidden="false" customHeight="false" outlineLevel="0" collapsed="false">
      <c r="A358" s="0" t="n">
        <f aca="false">IF(ISBLANK(RawFinancials!A358),"",RawFinancials!A358)</f>
        <v>358</v>
      </c>
      <c r="B358" s="0" t="n">
        <f aca="false">IF(ISBLANK(RawFinancials!B358),"",RawFinancials!B358)</f>
        <v>180600</v>
      </c>
      <c r="C358" s="0" t="n">
        <f aca="false">IF(ISBLANK(RawFinancials!C358),"",RawFinancials!C358)</f>
        <v>29636</v>
      </c>
      <c r="D358" s="0" t="n">
        <f aca="false">IF(ISBLANK(RawFinancials!D358),"",RawFinancials!D358)</f>
        <v>148201</v>
      </c>
      <c r="E358" s="0" t="n">
        <f aca="false">IF(ISBLANK(RawFinancials!E358),"",RawFinancials!E358)</f>
        <v>0.05</v>
      </c>
      <c r="F358" s="0" t="n">
        <f aca="false">IF(ISBLANK(RawFinancials!F358),"",RawFinancials!F358)</f>
        <v>24993</v>
      </c>
      <c r="G358" s="0" t="n">
        <f aca="false">IF(ISBLANK(RawFinancials!G358),"",RawFinancials!G358)</f>
        <v>13.8388704318937</v>
      </c>
      <c r="H358" s="0" t="str">
        <f aca="false">IF(ISBLANK(RawFinancials!H358),"",RawFinancials!H358)</f>
        <v>29636_20230930</v>
      </c>
      <c r="I358" s="0" t="n">
        <f aca="false">IF(ISBLANK(RawFinancials!I358),"",RawFinancials!I358)</f>
        <v>1.43396511364495</v>
      </c>
      <c r="J358" s="0" t="n">
        <f aca="false">IF(ISBLANK(RawFinancials!J358),"",RawFinancials!J358)</f>
        <v>1905</v>
      </c>
      <c r="K358" s="0" t="n">
        <f aca="false">IF(ISBLANK(RawFinancials!K358),"",RawFinancials!K358)</f>
        <v>1503</v>
      </c>
      <c r="L358" s="0" t="n">
        <f aca="false">IF(ISBLANK(RawFinancials!L358),"",RawFinancials!L358)</f>
        <v>132430</v>
      </c>
      <c r="M358" s="0" t="n">
        <f aca="false">IF(ISBLANK(RawFinancials!M358),"",RawFinancials!M358)</f>
        <v>130531</v>
      </c>
      <c r="N358" s="0" t="n">
        <f aca="false">IF(ISBLANK(RawFinancials!N358),"",RawFinancials!N358)</f>
        <v>129022</v>
      </c>
      <c r="O358" s="0" t="n">
        <f aca="false">IF(ISBLANK(RawFinancials!O358),"",RawFinancials!O358)</f>
        <v>1460</v>
      </c>
      <c r="P358" s="0" t="str">
        <f aca="false">IF(ISBLANK(RawFinancials!P358),"",RawFinancials!P358)</f>
        <v>FIRST FEDERAL SAVINGS AND LOAN ASSOCIATION OF BATH</v>
      </c>
      <c r="Q358" s="0" t="n">
        <f aca="false">IF(ISBLANK(RawFinancials!Q358),"",RawFinancials!Q358)</f>
        <v>1.10246922902666</v>
      </c>
      <c r="R358" s="0" t="n">
        <f aca="false">IF(ISBLANK(RawFinancials!R358),"",RawFinancials!R358)</f>
        <v>3.59795728465481</v>
      </c>
      <c r="S358" s="0" t="n">
        <f aca="false">IF(ISBLANK(RawFinancials!S358),"",RawFinancials!S358)</f>
        <v>-7</v>
      </c>
      <c r="T358" s="0" t="n">
        <f aca="false">IF(ISBLANK(RawFinancials!T358),"",RawFinancials!T358)</f>
        <v>2021</v>
      </c>
      <c r="U358" s="0" t="n">
        <f aca="false">IF(ISBLANK(RawFinancials!U358),"",RawFinancials!U358)</f>
        <v>0</v>
      </c>
      <c r="V358" s="0" t="n">
        <f aca="false">IF(ISBLANK(RawFinancials!V358),"",RawFinancials!V358)</f>
        <v>26.9099099993054</v>
      </c>
      <c r="W358" s="0" t="n">
        <f aca="false">IF(ISBLANK(RawFinancials!W358),"",RawFinancials!W358)</f>
        <v>20230930</v>
      </c>
      <c r="X358" s="0" t="n">
        <f aca="false">IF(ISBLANK(RawFinancials!X358),"",RawFinancials!X358)</f>
        <v>0.435888648144593</v>
      </c>
      <c r="Y358" s="0" t="n">
        <f aca="false">IF(ISBLANK(RawFinancials!Y358),"",RawFinancials!Y358)</f>
        <v>3.22</v>
      </c>
      <c r="Z358" s="0" t="str">
        <f aca="false">IF(ISBLANK(RawFinancials!Z358),"",RawFinancials!Z358)</f>
        <v>ME</v>
      </c>
      <c r="AA358" s="0" t="n">
        <f aca="false">RawFinancials!AA358</f>
        <v>1</v>
      </c>
      <c r="AB358" s="0" t="n">
        <f aca="false">RawFinancials!AB358</f>
        <v>1460</v>
      </c>
      <c r="AC358" s="0" t="n">
        <f aca="false">RawFinancials!AC358</f>
        <v>0.808416389811739</v>
      </c>
      <c r="AD358" s="0" t="n">
        <f aca="false">IF(L358&gt;0,100*N358/L358,"")</f>
        <v>97.4265649777241</v>
      </c>
      <c r="AE358" s="0" t="n">
        <f aca="false">IF(B358&gt;0,100*F358/B358,"")</f>
        <v>13.8388704318937</v>
      </c>
      <c r="AF358" s="0" t="str">
        <f aca="false">RawFinancials!AE358</f>
        <v/>
      </c>
    </row>
    <row r="359" customFormat="false" ht="15" hidden="false" customHeight="false" outlineLevel="0" collapsed="false">
      <c r="A359" s="0" t="n">
        <f aca="false">IF(ISBLANK(RawFinancials!A359),"",RawFinancials!A359)</f>
        <v>359</v>
      </c>
      <c r="B359" s="0" t="n">
        <f aca="false">IF(ISBLANK(RawFinancials!B359),"",RawFinancials!B359)</f>
        <v>181231</v>
      </c>
      <c r="C359" s="0" t="n">
        <f aca="false">IF(ISBLANK(RawFinancials!C359),"",RawFinancials!C359)</f>
        <v>29743</v>
      </c>
      <c r="D359" s="0" t="n">
        <f aca="false">IF(ISBLANK(RawFinancials!D359),"",RawFinancials!D359)</f>
        <v>161163</v>
      </c>
      <c r="E359" s="0" t="n">
        <f aca="false">IF(ISBLANK(RawFinancials!E359),"",RawFinancials!E359)</f>
        <v>-0.01</v>
      </c>
      <c r="F359" s="0" t="n">
        <f aca="false">IF(ISBLANK(RawFinancials!F359),"",RawFinancials!F359)</f>
        <v>15641</v>
      </c>
      <c r="G359" s="0" t="n">
        <f aca="false">IF(ISBLANK(RawFinancials!G359),"",RawFinancials!G359)</f>
        <v>8.63042194768003</v>
      </c>
      <c r="H359" s="0" t="str">
        <f aca="false">IF(ISBLANK(RawFinancials!H359),"",RawFinancials!H359)</f>
        <v>29743_20230930</v>
      </c>
      <c r="I359" s="0" t="n">
        <f aca="false">IF(ISBLANK(RawFinancials!I359),"",RawFinancials!I359)</f>
        <v>0.714732691481261</v>
      </c>
      <c r="J359" s="0" t="n">
        <f aca="false">IF(ISBLANK(RawFinancials!J359),"",RawFinancials!J359)</f>
        <v>27176</v>
      </c>
      <c r="K359" s="0" t="n">
        <f aca="false">IF(ISBLANK(RawFinancials!K359),"",RawFinancials!K359)</f>
        <v>21550</v>
      </c>
      <c r="L359" s="0" t="n">
        <f aca="false">IF(ISBLANK(RawFinancials!L359),"",RawFinancials!L359)</f>
        <v>132637</v>
      </c>
      <c r="M359" s="0" t="n">
        <f aca="false">IF(ISBLANK(RawFinancials!M359),"",RawFinancials!M359)</f>
        <v>131689</v>
      </c>
      <c r="N359" s="0" t="n">
        <f aca="false">IF(ISBLANK(RawFinancials!N359),"",RawFinancials!N359)</f>
        <v>83811</v>
      </c>
      <c r="O359" s="0" t="n">
        <f aca="false">IF(ISBLANK(RawFinancials!O359),"",RawFinancials!O359)</f>
        <v>267</v>
      </c>
      <c r="P359" s="0" t="str">
        <f aca="false">IF(ISBLANK(RawFinancials!P359),"",RawFinancials!P359)</f>
        <v>AROOSTOOK COUNTY FEDERAL SAVINGS AND LOAN ASSOCIATION</v>
      </c>
      <c r="Q359" s="0" t="n">
        <f aca="false">IF(ISBLANK(RawFinancials!Q359),"",RawFinancials!Q359)</f>
        <v>0.201301296018456</v>
      </c>
      <c r="R359" s="0" t="n">
        <f aca="false">IF(ISBLANK(RawFinancials!R359),"",RawFinancials!R359)</f>
        <v>2.41981937458205</v>
      </c>
      <c r="S359" s="0" t="n">
        <f aca="false">IF(ISBLANK(RawFinancials!S359),"",RawFinancials!S359)</f>
        <v>9</v>
      </c>
      <c r="T359" s="0" t="n">
        <f aca="false">IF(ISBLANK(RawFinancials!T359),"",RawFinancials!T359)</f>
        <v>442</v>
      </c>
      <c r="U359" s="0" t="n">
        <f aca="false">IF(ISBLANK(RawFinancials!U359),"",RawFinancials!U359)</f>
        <v>0</v>
      </c>
      <c r="V359" s="0" t="n">
        <f aca="false">IF(ISBLANK(RawFinancials!V359),"",RawFinancials!V359)</f>
        <v>17.9771689497717</v>
      </c>
      <c r="W359" s="0" t="n">
        <f aca="false">IF(ISBLANK(RawFinancials!W359),"",RawFinancials!W359)</f>
        <v>20230930</v>
      </c>
      <c r="X359" s="0" t="n">
        <f aca="false">IF(ISBLANK(RawFinancials!X359),"",RawFinancials!X359)</f>
        <v>0.609728796923956</v>
      </c>
      <c r="Y359" s="0" t="n">
        <f aca="false">IF(ISBLANK(RawFinancials!Y359),"",RawFinancials!Y359)</f>
        <v>7.19</v>
      </c>
      <c r="Z359" s="0" t="str">
        <f aca="false">IF(ISBLANK(RawFinancials!Z359),"",RawFinancials!Z359)</f>
        <v>ME</v>
      </c>
      <c r="AA359" s="0" t="n">
        <f aca="false">RawFinancials!AA359</f>
        <v>1</v>
      </c>
      <c r="AB359" s="0" t="n">
        <f aca="false">RawFinancials!AB359</f>
        <v>267</v>
      </c>
      <c r="AC359" s="0" t="n">
        <f aca="false">RawFinancials!AC359</f>
        <v>0.147325788634395</v>
      </c>
      <c r="AD359" s="0" t="n">
        <f aca="false">IF(L359&gt;0,100*N359/L359,"")</f>
        <v>63.188250638962</v>
      </c>
      <c r="AE359" s="0" t="n">
        <f aca="false">IF(B359&gt;0,100*F359/B359,"")</f>
        <v>8.63042194768003</v>
      </c>
      <c r="AF359" s="0" t="str">
        <f aca="false">RawFinancials!AE359</f>
        <v/>
      </c>
    </row>
    <row r="360" customFormat="false" ht="15" hidden="false" customHeight="false" outlineLevel="0" collapsed="false">
      <c r="A360" s="0" t="n">
        <f aca="false">IF(ISBLANK(RawFinancials!A360),"",RawFinancials!A360)</f>
        <v>360</v>
      </c>
      <c r="B360" s="0" t="n">
        <f aca="false">IF(ISBLANK(RawFinancials!B360),"",RawFinancials!B360)</f>
        <v>556748</v>
      </c>
      <c r="C360" s="0" t="n">
        <f aca="false">IF(ISBLANK(RawFinancials!C360),"",RawFinancials!C360)</f>
        <v>29744</v>
      </c>
      <c r="D360" s="0" t="n">
        <f aca="false">IF(ISBLANK(RawFinancials!D360),"",RawFinancials!D360)</f>
        <v>435499</v>
      </c>
      <c r="E360" s="0" t="n">
        <f aca="false">IF(ISBLANK(RawFinancials!E360),"",RawFinancials!E360)</f>
        <v>0.01</v>
      </c>
      <c r="F360" s="0" t="n">
        <f aca="false">IF(ISBLANK(RawFinancials!F360),"",RawFinancials!F360)</f>
        <v>47207</v>
      </c>
      <c r="G360" s="0" t="n">
        <f aca="false">IF(ISBLANK(RawFinancials!G360),"",RawFinancials!G360)</f>
        <v>8.4790605444474</v>
      </c>
      <c r="H360" s="0" t="str">
        <f aca="false">IF(ISBLANK(RawFinancials!H360),"",RawFinancials!H360)</f>
        <v>29744_20230930</v>
      </c>
      <c r="I360" s="0" t="n">
        <f aca="false">IF(ISBLANK(RawFinancials!I360),"",RawFinancials!I360)</f>
        <v>0.782493089807963</v>
      </c>
      <c r="J360" s="0" t="n">
        <f aca="false">IF(ISBLANK(RawFinancials!J360),"",RawFinancials!J360)</f>
        <v>24875</v>
      </c>
      <c r="K360" s="0" t="n">
        <f aca="false">IF(ISBLANK(RawFinancials!K360),"",RawFinancials!K360)</f>
        <v>9813</v>
      </c>
      <c r="L360" s="0" t="n">
        <f aca="false">IF(ISBLANK(RawFinancials!L360),"",RawFinancials!L360)</f>
        <v>427991</v>
      </c>
      <c r="M360" s="0" t="n">
        <f aca="false">IF(ISBLANK(RawFinancials!M360),"",RawFinancials!M360)</f>
        <v>424642</v>
      </c>
      <c r="N360" s="0" t="n">
        <f aca="false">IF(ISBLANK(RawFinancials!N360),"",RawFinancials!N360)</f>
        <v>393303</v>
      </c>
      <c r="O360" s="0" t="n">
        <f aca="false">IF(ISBLANK(RawFinancials!O360),"",RawFinancials!O360)</f>
        <v>0</v>
      </c>
      <c r="P360" s="0" t="str">
        <f aca="false">IF(ISBLANK(RawFinancials!P360),"",RawFinancials!P360)</f>
        <v>FIRST SEACOAST BANK</v>
      </c>
      <c r="Q360" s="0" t="n">
        <f aca="false">IF(ISBLANK(RawFinancials!Q360),"",RawFinancials!Q360)</f>
        <v>0</v>
      </c>
      <c r="R360" s="0" t="n">
        <f aca="false">IF(ISBLANK(RawFinancials!R360),"",RawFinancials!R360)</f>
        <v>2.23388795792033</v>
      </c>
      <c r="S360" s="0" t="n">
        <f aca="false">IF(ISBLANK(RawFinancials!S360),"",RawFinancials!S360)</f>
        <v>2</v>
      </c>
      <c r="T360" s="0" t="n">
        <f aca="false">IF(ISBLANK(RawFinancials!T360),"",RawFinancials!T360)</f>
        <v>0</v>
      </c>
      <c r="U360" s="0" t="n">
        <f aca="false">IF(ISBLANK(RawFinancials!U360),"",RawFinancials!U360)</f>
        <v>0</v>
      </c>
      <c r="V360" s="0" t="n">
        <f aca="false">IF(ISBLANK(RawFinancials!V360),"",RawFinancials!V360)</f>
        <v>17.9248565206076</v>
      </c>
      <c r="W360" s="0" t="n">
        <f aca="false">IF(ISBLANK(RawFinancials!W360),"",RawFinancials!W360)</f>
        <v>20230930</v>
      </c>
      <c r="X360" s="0" t="n">
        <f aca="false">IF(ISBLANK(RawFinancials!X360),"",RawFinancials!X360)</f>
        <v>-0.23978915883559</v>
      </c>
      <c r="Y360" s="0" t="n">
        <f aca="false">IF(ISBLANK(RawFinancials!Y360),"",RawFinancials!Y360)</f>
        <v>-2.71</v>
      </c>
      <c r="Z360" s="0" t="str">
        <f aca="false">IF(ISBLANK(RawFinancials!Z360),"",RawFinancials!Z360)</f>
        <v>NH</v>
      </c>
      <c r="AA360" s="0" t="n">
        <f aca="false">RawFinancials!AA360</f>
        <v>1</v>
      </c>
      <c r="AB360" s="0" t="n">
        <f aca="false">RawFinancials!AB360</f>
        <v>0</v>
      </c>
      <c r="AC360" s="0" t="n">
        <f aca="false">RawFinancials!AC360</f>
        <v>0</v>
      </c>
      <c r="AD360" s="0" t="n">
        <f aca="false">IF(L360&gt;0,100*N360/L360,"")</f>
        <v>91.8951566738553</v>
      </c>
      <c r="AE360" s="0" t="n">
        <f aca="false">IF(B360&gt;0,100*F360/B360,"")</f>
        <v>8.4790605444474</v>
      </c>
      <c r="AF360" s="0" t="str">
        <f aca="false">RawFinancials!AE360</f>
        <v/>
      </c>
    </row>
    <row r="361" customFormat="false" ht="15" hidden="false" customHeight="false" outlineLevel="0" collapsed="false">
      <c r="A361" s="0" t="n">
        <f aca="false">IF(ISBLANK(RawFinancials!A361),"",RawFinancials!A361)</f>
        <v>361</v>
      </c>
      <c r="B361" s="0" t="n">
        <f aca="false">IF(ISBLANK(RawFinancials!B361),"",RawFinancials!B361)</f>
        <v>558317</v>
      </c>
      <c r="C361" s="0" t="n">
        <f aca="false">IF(ISBLANK(RawFinancials!C361),"",RawFinancials!C361)</f>
        <v>30350</v>
      </c>
      <c r="D361" s="0" t="n">
        <f aca="false">IF(ISBLANK(RawFinancials!D361),"",RawFinancials!D361)</f>
        <v>447436</v>
      </c>
      <c r="E361" s="0" t="n">
        <f aca="false">IF(ISBLANK(RawFinancials!E361),"",RawFinancials!E361)</f>
        <v>0</v>
      </c>
      <c r="F361" s="0" t="n">
        <f aca="false">IF(ISBLANK(RawFinancials!F361),"",RawFinancials!F361)</f>
        <v>53432</v>
      </c>
      <c r="G361" s="0" t="n">
        <f aca="false">IF(ISBLANK(RawFinancials!G361),"",RawFinancials!G361)</f>
        <v>9.5701904115404</v>
      </c>
      <c r="H361" s="0" t="str">
        <f aca="false">IF(ISBLANK(RawFinancials!H361),"",RawFinancials!H361)</f>
        <v>30350_20230930</v>
      </c>
      <c r="I361" s="0" t="n">
        <f aca="false">IF(ISBLANK(RawFinancials!I361),"",RawFinancials!I361)</f>
        <v>1.29940924731448</v>
      </c>
      <c r="J361" s="0" t="n">
        <f aca="false">IF(ISBLANK(RawFinancials!J361),"",RawFinancials!J361)</f>
        <v>16937</v>
      </c>
      <c r="K361" s="0" t="n">
        <f aca="false">IF(ISBLANK(RawFinancials!K361),"",RawFinancials!K361)</f>
        <v>1367</v>
      </c>
      <c r="L361" s="0" t="n">
        <f aca="false">IF(ISBLANK(RawFinancials!L361),"",RawFinancials!L361)</f>
        <v>405415</v>
      </c>
      <c r="M361" s="0" t="n">
        <f aca="false">IF(ISBLANK(RawFinancials!M361),"",RawFinancials!M361)</f>
        <v>400147</v>
      </c>
      <c r="N361" s="0" t="n">
        <f aca="false">IF(ISBLANK(RawFinancials!N361),"",RawFinancials!N361)</f>
        <v>383676</v>
      </c>
      <c r="O361" s="0" t="n">
        <f aca="false">IF(ISBLANK(RawFinancials!O361),"",RawFinancials!O361)</f>
        <v>1501</v>
      </c>
      <c r="P361" s="0" t="str">
        <f aca="false">IF(ISBLANK(RawFinancials!P361),"",RawFinancials!P361)</f>
        <v>THE BANK OF BENNINGTON</v>
      </c>
      <c r="Q361" s="0" t="n">
        <f aca="false">IF(ISBLANK(RawFinancials!Q361),"",RawFinancials!Q361)</f>
        <v>0.370237904369597</v>
      </c>
      <c r="R361" s="0" t="n">
        <f aca="false">IF(ISBLANK(RawFinancials!R361),"",RawFinancials!R361)</f>
        <v>2.88804492626645</v>
      </c>
      <c r="S361" s="0" t="n">
        <f aca="false">IF(ISBLANK(RawFinancials!S361),"",RawFinancials!S361)</f>
        <v>-26</v>
      </c>
      <c r="T361" s="0" t="n">
        <f aca="false">IF(ISBLANK(RawFinancials!T361),"",RawFinancials!T361)</f>
        <v>857</v>
      </c>
      <c r="U361" s="0" t="n">
        <f aca="false">IF(ISBLANK(RawFinancials!U361),"",RawFinancials!U361)</f>
        <v>0</v>
      </c>
      <c r="V361" s="0" t="n">
        <f aca="false">IF(ISBLANK(RawFinancials!V361),"",RawFinancials!V361)</f>
        <v>20.0620932556609</v>
      </c>
      <c r="W361" s="0" t="n">
        <f aca="false">IF(ISBLANK(RawFinancials!W361),"",RawFinancials!W361)</f>
        <v>20230930</v>
      </c>
      <c r="X361" s="0" t="n">
        <f aca="false">IF(ISBLANK(RawFinancials!X361),"",RawFinancials!X361)</f>
        <v>0.68917419304188</v>
      </c>
      <c r="Y361" s="0" t="n">
        <f aca="false">IF(ISBLANK(RawFinancials!Y361),"",RawFinancials!Y361)</f>
        <v>7.24</v>
      </c>
      <c r="Z361" s="0" t="str">
        <f aca="false">IF(ISBLANK(RawFinancials!Z361),"",RawFinancials!Z361)</f>
        <v>VT</v>
      </c>
      <c r="AA361" s="0" t="n">
        <f aca="false">RawFinancials!AA361</f>
        <v>1</v>
      </c>
      <c r="AB361" s="0" t="n">
        <f aca="false">RawFinancials!AB361</f>
        <v>1501</v>
      </c>
      <c r="AC361" s="0" t="n">
        <f aca="false">RawFinancials!AC361</f>
        <v>0.268843685576474</v>
      </c>
      <c r="AD361" s="0" t="n">
        <f aca="false">IF(L361&gt;0,100*N361/L361,"")</f>
        <v>94.637840237781</v>
      </c>
      <c r="AE361" s="0" t="n">
        <f aca="false">IF(B361&gt;0,100*F361/B361,"")</f>
        <v>9.5701904115404</v>
      </c>
      <c r="AF361" s="0" t="str">
        <f aca="false">RawFinancials!AE361</f>
        <v/>
      </c>
    </row>
    <row r="362" customFormat="false" ht="15" hidden="false" customHeight="false" outlineLevel="0" collapsed="false">
      <c r="A362" s="0" t="n">
        <f aca="false">IF(ISBLANK(RawFinancials!A362),"",RawFinancials!A362)</f>
        <v>362</v>
      </c>
      <c r="B362" s="0" t="n">
        <f aca="false">IF(ISBLANK(RawFinancials!B362),"",RawFinancials!B362)</f>
        <v>103998</v>
      </c>
      <c r="C362" s="0" t="n">
        <f aca="false">IF(ISBLANK(RawFinancials!C362),"",RawFinancials!C362)</f>
        <v>30878</v>
      </c>
      <c r="D362" s="0" t="n">
        <f aca="false">IF(ISBLANK(RawFinancials!D362),"",RawFinancials!D362)</f>
        <v>73816</v>
      </c>
      <c r="E362" s="0" t="n">
        <f aca="false">IF(ISBLANK(RawFinancials!E362),"",RawFinancials!E362)</f>
        <v>-0.06</v>
      </c>
      <c r="F362" s="0" t="n">
        <f aca="false">IF(ISBLANK(RawFinancials!F362),"",RawFinancials!F362)</f>
        <v>12376</v>
      </c>
      <c r="G362" s="0" t="n">
        <f aca="false">IF(ISBLANK(RawFinancials!G362),"",RawFinancials!G362)</f>
        <v>11.9002288505548</v>
      </c>
      <c r="H362" s="0" t="str">
        <f aca="false">IF(ISBLANK(RawFinancials!H362),"",RawFinancials!H362)</f>
        <v>30878_20230930</v>
      </c>
      <c r="I362" s="0" t="n">
        <f aca="false">IF(ISBLANK(RawFinancials!I362),"",RawFinancials!I362)</f>
        <v>0.82951017192641</v>
      </c>
      <c r="J362" s="0" t="n">
        <f aca="false">IF(ISBLANK(RawFinancials!J362),"",RawFinancials!J362)</f>
        <v>0</v>
      </c>
      <c r="K362" s="0" t="n">
        <f aca="false">IF(ISBLANK(RawFinancials!K362),"",RawFinancials!K362)</f>
        <v>196</v>
      </c>
      <c r="L362" s="0" t="n">
        <f aca="false">IF(ISBLANK(RawFinancials!L362),"",RawFinancials!L362)</f>
        <v>86316</v>
      </c>
      <c r="M362" s="0" t="n">
        <f aca="false">IF(ISBLANK(RawFinancials!M362),"",RawFinancials!M362)</f>
        <v>85600</v>
      </c>
      <c r="N362" s="0" t="n">
        <f aca="false">IF(ISBLANK(RawFinancials!N362),"",RawFinancials!N362)</f>
        <v>86120</v>
      </c>
      <c r="O362" s="0" t="n">
        <f aca="false">IF(ISBLANK(RawFinancials!O362),"",RawFinancials!O362)</f>
        <v>700</v>
      </c>
      <c r="P362" s="0" t="str">
        <f aca="false">IF(ISBLANK(RawFinancials!P362),"",RawFinancials!P362)</f>
        <v>BAR HARBOR SAVINGS AND LOAN ASSOCIATION</v>
      </c>
      <c r="Q362" s="0" t="n">
        <f aca="false">IF(ISBLANK(RawFinancials!Q362),"",RawFinancials!Q362)</f>
        <v>0.81097363177163</v>
      </c>
      <c r="R362" s="0" t="n">
        <f aca="false">IF(ISBLANK(RawFinancials!R362),"",RawFinancials!R362)</f>
        <v>1.57863495847898</v>
      </c>
      <c r="S362" s="0" t="n">
        <f aca="false">IF(ISBLANK(RawFinancials!S362),"",RawFinancials!S362)</f>
        <v>0</v>
      </c>
      <c r="T362" s="0" t="n">
        <f aca="false">IF(ISBLANK(RawFinancials!T362),"",RawFinancials!T362)</f>
        <v>215</v>
      </c>
      <c r="U362" s="0" t="n">
        <f aca="false">IF(ISBLANK(RawFinancials!U362),"",RawFinancials!U362)</f>
        <v>0</v>
      </c>
      <c r="V362" s="0" t="n">
        <f aca="false">IF(ISBLANK(RawFinancials!V362),"",RawFinancials!V362)</f>
        <v>0</v>
      </c>
      <c r="W362" s="0" t="n">
        <f aca="false">IF(ISBLANK(RawFinancials!W362),"",RawFinancials!W362)</f>
        <v>20230930</v>
      </c>
      <c r="X362" s="0" t="n">
        <f aca="false">IF(ISBLANK(RawFinancials!X362),"",RawFinancials!X362)</f>
        <v>-0.189389204545454</v>
      </c>
      <c r="Y362" s="0" t="n">
        <f aca="false">IF(ISBLANK(RawFinancials!Y362),"",RawFinancials!Y362)</f>
        <v>-1.56</v>
      </c>
      <c r="Z362" s="0" t="str">
        <f aca="false">IF(ISBLANK(RawFinancials!Z362),"",RawFinancials!Z362)</f>
        <v>ME</v>
      </c>
      <c r="AA362" s="0" t="n">
        <f aca="false">RawFinancials!AA362</f>
        <v>1</v>
      </c>
      <c r="AB362" s="0" t="n">
        <f aca="false">RawFinancials!AB362</f>
        <v>700</v>
      </c>
      <c r="AC362" s="0" t="n">
        <f aca="false">RawFinancials!AC362</f>
        <v>0.673089867112829</v>
      </c>
      <c r="AD362" s="0" t="n">
        <f aca="false">IF(L362&gt;0,100*N362/L362,"")</f>
        <v>99.7729273831039</v>
      </c>
      <c r="AE362" s="0" t="n">
        <f aca="false">IF(B362&gt;0,100*F362/B362,"")</f>
        <v>11.9002288505548</v>
      </c>
      <c r="AF362" s="0" t="str">
        <f aca="false">RawFinancials!AE362</f>
        <v>原始0：需核实适用/报告口径</v>
      </c>
    </row>
    <row r="363" customFormat="false" ht="15" hidden="false" customHeight="false" outlineLevel="0" collapsed="false">
      <c r="A363" s="0" t="n">
        <f aca="false">IF(ISBLANK(RawFinancials!A363),"",RawFinancials!A363)</f>
        <v>363</v>
      </c>
      <c r="B363" s="0" t="n">
        <f aca="false">IF(ISBLANK(RawFinancials!B363),"",RawFinancials!B363)</f>
        <v>798886</v>
      </c>
      <c r="C363" s="0" t="n">
        <f aca="false">IF(ISBLANK(RawFinancials!C363),"",RawFinancials!C363)</f>
        <v>33418</v>
      </c>
      <c r="D363" s="0" t="n">
        <f aca="false">IF(ISBLANK(RawFinancials!D363),"",RawFinancials!D363)</f>
        <v>597610</v>
      </c>
      <c r="E363" s="0" t="n">
        <f aca="false">IF(ISBLANK(RawFinancials!E363),"",RawFinancials!E363)</f>
        <v>-0.01</v>
      </c>
      <c r="F363" s="0" t="n">
        <f aca="false">IF(ISBLANK(RawFinancials!F363),"",RawFinancials!F363)</f>
        <v>66192</v>
      </c>
      <c r="G363" s="0" t="n">
        <f aca="false">IF(ISBLANK(RawFinancials!G363),"",RawFinancials!G363)</f>
        <v>8.28553761112349</v>
      </c>
      <c r="H363" s="0" t="str">
        <f aca="false">IF(ISBLANK(RawFinancials!H363),"",RawFinancials!H363)</f>
        <v>33418_20230930</v>
      </c>
      <c r="I363" s="0" t="n">
        <f aca="false">IF(ISBLANK(RawFinancials!I363),"",RawFinancials!I363)</f>
        <v>0.709660157985105</v>
      </c>
      <c r="J363" s="0" t="n">
        <f aca="false">IF(ISBLANK(RawFinancials!J363),"",RawFinancials!J363)</f>
        <v>45738</v>
      </c>
      <c r="K363" s="0" t="n">
        <f aca="false">IF(ISBLANK(RawFinancials!K363),"",RawFinancials!K363)</f>
        <v>10764</v>
      </c>
      <c r="L363" s="0" t="n">
        <f aca="false">IF(ISBLANK(RawFinancials!L363),"",RawFinancials!L363)</f>
        <v>384973</v>
      </c>
      <c r="M363" s="0" t="n">
        <f aca="false">IF(ISBLANK(RawFinancials!M363),"",RawFinancials!M363)</f>
        <v>382241</v>
      </c>
      <c r="N363" s="0" t="n">
        <f aca="false">IF(ISBLANK(RawFinancials!N363),"",RawFinancials!N363)</f>
        <v>329540</v>
      </c>
      <c r="O363" s="0" t="n">
        <f aca="false">IF(ISBLANK(RawFinancials!O363),"",RawFinancials!O363)</f>
        <v>1080</v>
      </c>
      <c r="P363" s="0" t="str">
        <f aca="false">IF(ISBLANK(RawFinancials!P363),"",RawFinancials!P363)</f>
        <v>LEDYARD NATIONAL BANK</v>
      </c>
      <c r="Q363" s="0" t="n">
        <f aca="false">IF(ISBLANK(RawFinancials!Q363),"",RawFinancials!Q363)</f>
        <v>0.280539154693965</v>
      </c>
      <c r="R363" s="0" t="n">
        <f aca="false">IF(ISBLANK(RawFinancials!R363),"",RawFinancials!R363)</f>
        <v>2.64905350409492</v>
      </c>
      <c r="S363" s="0" t="n">
        <f aca="false">IF(ISBLANK(RawFinancials!S363),"",RawFinancials!S363)</f>
        <v>-27</v>
      </c>
      <c r="T363" s="0" t="n">
        <f aca="false">IF(ISBLANK(RawFinancials!T363),"",RawFinancials!T363)</f>
        <v>452</v>
      </c>
      <c r="U363" s="0" t="n">
        <f aca="false">IF(ISBLANK(RawFinancials!U363),"",RawFinancials!U363)</f>
        <v>0</v>
      </c>
      <c r="V363" s="0" t="n">
        <f aca="false">IF(ISBLANK(RawFinancials!V363),"",RawFinancials!V363)</f>
        <v>17.5388397485744</v>
      </c>
      <c r="W363" s="0" t="n">
        <f aca="false">IF(ISBLANK(RawFinancials!W363),"",RawFinancials!W363)</f>
        <v>20230930</v>
      </c>
      <c r="X363" s="0" t="n">
        <f aca="false">IF(ISBLANK(RawFinancials!X363),"",RawFinancials!X363)</f>
        <v>0.6651450346927</v>
      </c>
      <c r="Y363" s="0" t="n">
        <f aca="false">IF(ISBLANK(RawFinancials!Y363),"",RawFinancials!Y363)</f>
        <v>7.55</v>
      </c>
      <c r="Z363" s="0" t="str">
        <f aca="false">IF(ISBLANK(RawFinancials!Z363),"",RawFinancials!Z363)</f>
        <v>VT</v>
      </c>
      <c r="AA363" s="0" t="n">
        <f aca="false">RawFinancials!AA363</f>
        <v>1</v>
      </c>
      <c r="AB363" s="0" t="n">
        <f aca="false">RawFinancials!AB363</f>
        <v>1080</v>
      </c>
      <c r="AC363" s="0" t="n">
        <f aca="false">RawFinancials!AC363</f>
        <v>0.13518824963762</v>
      </c>
      <c r="AD363" s="0" t="n">
        <f aca="false">IF(L363&gt;0,100*N363/L363,"")</f>
        <v>85.6008083683791</v>
      </c>
      <c r="AE363" s="0" t="n">
        <f aca="false">IF(B363&gt;0,100*F363/B363,"")</f>
        <v>8.28553761112349</v>
      </c>
      <c r="AF363" s="0" t="str">
        <f aca="false">RawFinancials!AE363</f>
        <v/>
      </c>
    </row>
    <row r="364" customFormat="false" ht="15" hidden="false" customHeight="false" outlineLevel="0" collapsed="false">
      <c r="A364" s="0" t="n">
        <f aca="false">IF(ISBLANK(RawFinancials!A364),"",RawFinancials!A364)</f>
        <v>364</v>
      </c>
      <c r="B364" s="0" t="n">
        <f aca="false">IF(ISBLANK(RawFinancials!B364),"",RawFinancials!B364)</f>
        <v>71615</v>
      </c>
      <c r="C364" s="0" t="n">
        <f aca="false">IF(ISBLANK(RawFinancials!C364),"",RawFinancials!C364)</f>
        <v>35206</v>
      </c>
      <c r="D364" s="0" t="n">
        <f aca="false">IF(ISBLANK(RawFinancials!D364),"",RawFinancials!D364)</f>
        <v>500</v>
      </c>
      <c r="E364" s="0" t="n">
        <f aca="false">IF(ISBLANK(RawFinancials!E364),"",RawFinancials!E364)</f>
        <v>0</v>
      </c>
      <c r="F364" s="0" t="n">
        <f aca="false">IF(ISBLANK(RawFinancials!F364),"",RawFinancials!F364)</f>
        <v>69069</v>
      </c>
      <c r="G364" s="0" t="n">
        <f aca="false">IF(ISBLANK(RawFinancials!G364),"",RawFinancials!G364)</f>
        <v>96.4448788661593</v>
      </c>
      <c r="H364" s="0" t="str">
        <f aca="false">IF(ISBLANK(RawFinancials!H364),"",RawFinancials!H364)</f>
        <v>35206_20230930</v>
      </c>
      <c r="I364" s="0" t="n">
        <f aca="false">IF(ISBLANK(RawFinancials!I364),"",RawFinancials!I364)</f>
        <v>0</v>
      </c>
      <c r="J364" s="0" t="n">
        <f aca="false">IF(ISBLANK(RawFinancials!J364),"",RawFinancials!J364)</f>
        <v>0</v>
      </c>
      <c r="K364" s="0" t="n">
        <f aca="false">IF(ISBLANK(RawFinancials!K364),"",RawFinancials!K364)</f>
        <v>0</v>
      </c>
      <c r="L364" s="0" t="n">
        <f aca="false">IF(ISBLANK(RawFinancials!L364),"",RawFinancials!L364)</f>
        <v>0</v>
      </c>
      <c r="M364" s="0" t="n">
        <f aca="false">IF(ISBLANK(RawFinancials!M364),"",RawFinancials!M364)</f>
        <v>0</v>
      </c>
      <c r="N364" s="0" t="n">
        <f aca="false">IF(ISBLANK(RawFinancials!N364),"",RawFinancials!N364)</f>
        <v>0</v>
      </c>
      <c r="O364" s="0" t="n">
        <f aca="false">IF(ISBLANK(RawFinancials!O364),"",RawFinancials!O364)</f>
        <v>0</v>
      </c>
      <c r="P364" s="0" t="str">
        <f aca="false">IF(ISBLANK(RawFinancials!P364),"",RawFinancials!P364)</f>
        <v>FIDELITY PERSONAL TRUST COMPANY, FSB</v>
      </c>
      <c r="Q364" s="0" t="n">
        <f aca="false">IF(ISBLANK(RawFinancials!Q364),"",RawFinancials!Q364)</f>
        <v>0</v>
      </c>
      <c r="R364" s="0" t="n">
        <f aca="false">IF(ISBLANK(RawFinancials!R364),"",RawFinancials!R364)</f>
        <v>4.55333780973658</v>
      </c>
      <c r="S364" s="0" t="n">
        <f aca="false">IF(ISBLANK(RawFinancials!S364),"",RawFinancials!S364)</f>
        <v>0</v>
      </c>
      <c r="T364" s="0" t="n">
        <f aca="false">IF(ISBLANK(RawFinancials!T364),"",RawFinancials!T364)</f>
        <v>0</v>
      </c>
      <c r="U364" s="0" t="n">
        <f aca="false">IF(ISBLANK(RawFinancials!U364),"",RawFinancials!U364)</f>
        <v>0</v>
      </c>
      <c r="V364" s="0" t="n">
        <f aca="false">IF(ISBLANK(RawFinancials!V364),"",RawFinancials!V364)</f>
        <v>0</v>
      </c>
      <c r="W364" s="0" t="n">
        <f aca="false">IF(ISBLANK(RawFinancials!W364),"",RawFinancials!W364)</f>
        <v>20230930</v>
      </c>
      <c r="X364" s="0" t="n">
        <f aca="false">IF(ISBLANK(RawFinancials!X364),"",RawFinancials!X364)</f>
        <v>16.5098035393691</v>
      </c>
      <c r="Y364" s="0" t="n">
        <f aca="false">IF(ISBLANK(RawFinancials!Y364),"",RawFinancials!Y364)</f>
        <v>17.27</v>
      </c>
      <c r="Z364" s="0" t="str">
        <f aca="false">IF(ISBLANK(RawFinancials!Z364),"",RawFinancials!Z364)</f>
        <v>NH</v>
      </c>
      <c r="AA364" s="0" t="n">
        <f aca="false">RawFinancials!AA364</f>
        <v>1</v>
      </c>
      <c r="AB364" s="0" t="n">
        <f aca="false">RawFinancials!AB364</f>
        <v>0</v>
      </c>
      <c r="AC364" s="0" t="n">
        <f aca="false">RawFinancials!AC364</f>
        <v>0</v>
      </c>
      <c r="AD364" s="0" t="str">
        <f aca="false">IF(L364&gt;0,100*N364/L364,"")</f>
        <v/>
      </c>
      <c r="AE364" s="0" t="n">
        <f aca="false">IF(B364&gt;0,100*F364/B364,"")</f>
        <v>96.4448788661593</v>
      </c>
      <c r="AF364" s="0" t="str">
        <f aca="false">RawFinancials!AE364</f>
        <v>原始0：需核实适用/报告口径</v>
      </c>
    </row>
    <row r="365" customFormat="false" ht="15" hidden="false" customHeight="false" outlineLevel="0" collapsed="false">
      <c r="A365" s="0" t="n">
        <f aca="false">IF(ISBLANK(RawFinancials!A365),"",RawFinancials!A365)</f>
        <v>365</v>
      </c>
      <c r="B365" s="0" t="n">
        <f aca="false">IF(ISBLANK(RawFinancials!B365),"",RawFinancials!B365)</f>
        <v>5769551</v>
      </c>
      <c r="C365" s="0" t="n">
        <f aca="false">IF(ISBLANK(RawFinancials!C365),"",RawFinancials!C365)</f>
        <v>4255</v>
      </c>
      <c r="D365" s="0" t="n">
        <f aca="false">IF(ISBLANK(RawFinancials!D365),"",RawFinancials!D365)</f>
        <v>4715626</v>
      </c>
      <c r="E365" s="0" t="n">
        <f aca="false">IF(ISBLANK(RawFinancials!E365),"",RawFinancials!E365)</f>
        <v>-0.01</v>
      </c>
      <c r="F365" s="0" t="n">
        <f aca="false">IF(ISBLANK(RawFinancials!F365),"",RawFinancials!F365)</f>
        <v>473807</v>
      </c>
      <c r="G365" s="0" t="n">
        <f aca="false">IF(ISBLANK(RawFinancials!G365),"",RawFinancials!G365)</f>
        <v>8.21219883488334</v>
      </c>
      <c r="H365" s="0" t="str">
        <f aca="false">IF(ISBLANK(RawFinancials!H365),"",RawFinancials!H365)</f>
        <v>4255_20230930</v>
      </c>
      <c r="I365" s="0" t="n">
        <f aca="false">IF(ISBLANK(RawFinancials!I365),"",RawFinancials!I365)</f>
        <v>0.894608806762335</v>
      </c>
      <c r="J365" s="0" t="n">
        <f aca="false">IF(ISBLANK(RawFinancials!J365),"",RawFinancials!J365)</f>
        <v>329244</v>
      </c>
      <c r="K365" s="0" t="n">
        <f aca="false">IF(ISBLANK(RawFinancials!K365),"",RawFinancials!K365)</f>
        <v>19312</v>
      </c>
      <c r="L365" s="0" t="n">
        <f aca="false">IF(ISBLANK(RawFinancials!L365),"",RawFinancials!L365)</f>
        <v>4069600</v>
      </c>
      <c r="M365" s="0" t="n">
        <f aca="false">IF(ISBLANK(RawFinancials!M365),"",RawFinancials!M365)</f>
        <v>4033193</v>
      </c>
      <c r="N365" s="0" t="n">
        <f aca="false">IF(ISBLANK(RawFinancials!N365),"",RawFinancials!N365)</f>
        <v>3692040</v>
      </c>
      <c r="O365" s="0" t="n">
        <f aca="false">IF(ISBLANK(RawFinancials!O365),"",RawFinancials!O365)</f>
        <v>4624</v>
      </c>
      <c r="P365" s="0" t="str">
        <f aca="false">IF(ISBLANK(RawFinancials!P365),"",RawFinancials!P365)</f>
        <v>THE CAMDEN NATIONAL BANK</v>
      </c>
      <c r="Q365" s="0" t="n">
        <f aca="false">IF(ISBLANK(RawFinancials!Q365),"",RawFinancials!Q365)</f>
        <v>0.113622960487517</v>
      </c>
      <c r="R365" s="0" t="n">
        <f aca="false">IF(ISBLANK(RawFinancials!R365),"",RawFinancials!R365)</f>
        <v>2.56474515514667</v>
      </c>
      <c r="S365" s="0" t="n">
        <f aca="false">IF(ISBLANK(RawFinancials!S365),"",RawFinancials!S365)</f>
        <v>803</v>
      </c>
      <c r="T365" s="0" t="n">
        <f aca="false">IF(ISBLANK(RawFinancials!T365),"",RawFinancials!T365)</f>
        <v>3802</v>
      </c>
      <c r="U365" s="0" t="n">
        <f aca="false">IF(ISBLANK(RawFinancials!U365),"",RawFinancials!U365)</f>
        <v>0</v>
      </c>
      <c r="V365" s="0" t="n">
        <f aca="false">IF(ISBLANK(RawFinancials!V365),"",RawFinancials!V365)</f>
        <v>13.4798604676514</v>
      </c>
      <c r="W365" s="0" t="n">
        <f aca="false">IF(ISBLANK(RawFinancials!W365),"",RawFinancials!W365)</f>
        <v>20230930</v>
      </c>
      <c r="X365" s="0" t="n">
        <f aca="false">IF(ISBLANK(RawFinancials!X365),"",RawFinancials!X365)</f>
        <v>0.85843791282139</v>
      </c>
      <c r="Y365" s="0" t="n">
        <f aca="false">IF(ISBLANK(RawFinancials!Y365),"",RawFinancials!Y365)</f>
        <v>10.4</v>
      </c>
      <c r="Z365" s="0" t="str">
        <f aca="false">IF(ISBLANK(RawFinancials!Z365),"",RawFinancials!Z365)</f>
        <v>ME</v>
      </c>
      <c r="AA365" s="0" t="n">
        <f aca="false">RawFinancials!AA365</f>
        <v>1</v>
      </c>
      <c r="AB365" s="0" t="n">
        <f aca="false">RawFinancials!AB365</f>
        <v>4624</v>
      </c>
      <c r="AC365" s="0" t="n">
        <f aca="false">RawFinancials!AC365</f>
        <v>0.08014488475793</v>
      </c>
      <c r="AD365" s="0" t="n">
        <f aca="false">IF(L365&gt;0,100*N365/L365,"")</f>
        <v>90.7224297228229</v>
      </c>
      <c r="AE365" s="0" t="n">
        <f aca="false">IF(B365&gt;0,100*F365/B365,"")</f>
        <v>8.21219883488334</v>
      </c>
      <c r="AF365" s="0" t="str">
        <f aca="false">RawFinancials!AE365</f>
        <v/>
      </c>
    </row>
    <row r="366" customFormat="false" ht="15" hidden="false" customHeight="false" outlineLevel="0" collapsed="false">
      <c r="A366" s="0" t="n">
        <f aca="false">IF(ISBLANK(RawFinancials!A366),"",RawFinancials!A366)</f>
        <v>366</v>
      </c>
      <c r="B366" s="0" t="n">
        <f aca="false">IF(ISBLANK(RawFinancials!B366),"",RawFinancials!B366)</f>
        <v>2908137</v>
      </c>
      <c r="C366" s="0" t="n">
        <f aca="false">IF(ISBLANK(RawFinancials!C366),"",RawFinancials!C366)</f>
        <v>4256</v>
      </c>
      <c r="D366" s="0" t="n">
        <f aca="false">IF(ISBLANK(RawFinancials!D366),"",RawFinancials!D366)</f>
        <v>2600576</v>
      </c>
      <c r="E366" s="0" t="n">
        <f aca="false">IF(ISBLANK(RawFinancials!E366),"",RawFinancials!E366)</f>
        <v>0.02</v>
      </c>
      <c r="F366" s="0" t="n">
        <f aca="false">IF(ISBLANK(RawFinancials!F366),"",RawFinancials!F366)</f>
        <v>198185</v>
      </c>
      <c r="G366" s="0" t="n">
        <f aca="false">IF(ISBLANK(RawFinancials!G366),"",RawFinancials!G366)</f>
        <v>6.814844004942</v>
      </c>
      <c r="H366" s="0" t="str">
        <f aca="false">IF(ISBLANK(RawFinancials!H366),"",RawFinancials!H366)</f>
        <v>4256_20230930</v>
      </c>
      <c r="I366" s="0" t="n">
        <f aca="false">IF(ISBLANK(RawFinancials!I366),"",RawFinancials!I366)</f>
        <v>1.12118100424589</v>
      </c>
      <c r="J366" s="0" t="n">
        <f aca="false">IF(ISBLANK(RawFinancials!J366),"",RawFinancials!J366)</f>
        <v>305649</v>
      </c>
      <c r="K366" s="0" t="n">
        <f aca="false">IF(ISBLANK(RawFinancials!K366),"",RawFinancials!K366)</f>
        <v>19370</v>
      </c>
      <c r="L366" s="0" t="n">
        <f aca="false">IF(ISBLANK(RawFinancials!L366),"",RawFinancials!L366)</f>
        <v>2080128</v>
      </c>
      <c r="M366" s="0" t="n">
        <f aca="false">IF(ISBLANK(RawFinancials!M366),"",RawFinancials!M366)</f>
        <v>2056806</v>
      </c>
      <c r="N366" s="0" t="n">
        <f aca="false">IF(ISBLANK(RawFinancials!N366),"",RawFinancials!N366)</f>
        <v>1651715</v>
      </c>
      <c r="O366" s="0" t="n">
        <f aca="false">IF(ISBLANK(RawFinancials!O366),"",RawFinancials!O366)</f>
        <v>2553</v>
      </c>
      <c r="P366" s="0" t="str">
        <f aca="false">IF(ISBLANK(RawFinancials!P366),"",RawFinancials!P366)</f>
        <v>FIRST NATIONAL BANK</v>
      </c>
      <c r="Q366" s="0" t="n">
        <f aca="false">IF(ISBLANK(RawFinancials!Q366),"",RawFinancials!Q366)</f>
        <v>0.123261645437204</v>
      </c>
      <c r="R366" s="0" t="n">
        <f aca="false">IF(ISBLANK(RawFinancials!R366),"",RawFinancials!R366)</f>
        <v>2.49431632578962</v>
      </c>
      <c r="S366" s="0" t="n">
        <f aca="false">IF(ISBLANK(RawFinancials!S366),"",RawFinancials!S366)</f>
        <v>30</v>
      </c>
      <c r="T366" s="0" t="n">
        <f aca="false">IF(ISBLANK(RawFinancials!T366),"",RawFinancials!T366)</f>
        <v>876</v>
      </c>
      <c r="U366" s="0" t="n">
        <f aca="false">IF(ISBLANK(RawFinancials!U366),"",RawFinancials!U366)</f>
        <v>11</v>
      </c>
      <c r="V366" s="0" t="n">
        <f aca="false">IF(ISBLANK(RawFinancials!V366),"",RawFinancials!V366)</f>
        <v>13.7220466873877</v>
      </c>
      <c r="W366" s="0" t="n">
        <f aca="false">IF(ISBLANK(RawFinancials!W366),"",RawFinancials!W366)</f>
        <v>20230930</v>
      </c>
      <c r="X366" s="0" t="n">
        <f aca="false">IF(ISBLANK(RawFinancials!X366),"",RawFinancials!X366)</f>
        <v>1.11780782530143</v>
      </c>
      <c r="Y366" s="0" t="n">
        <f aca="false">IF(ISBLANK(RawFinancials!Y366),"",RawFinancials!Y366)</f>
        <v>15.66</v>
      </c>
      <c r="Z366" s="0" t="str">
        <f aca="false">IF(ISBLANK(RawFinancials!Z366),"",RawFinancials!Z366)</f>
        <v>ME</v>
      </c>
      <c r="AA366" s="0" t="n">
        <f aca="false">RawFinancials!AA366</f>
        <v>1</v>
      </c>
      <c r="AB366" s="0" t="n">
        <f aca="false">RawFinancials!AB366</f>
        <v>2564</v>
      </c>
      <c r="AC366" s="0" t="n">
        <f aca="false">RawFinancials!AC366</f>
        <v>0.088166410316983</v>
      </c>
      <c r="AD366" s="0" t="n">
        <f aca="false">IF(L366&gt;0,100*N366/L366,"")</f>
        <v>79.4044885699342</v>
      </c>
      <c r="AE366" s="0" t="n">
        <f aca="false">IF(B366&gt;0,100*F366/B366,"")</f>
        <v>6.814844004942</v>
      </c>
      <c r="AF366" s="0" t="str">
        <f aca="false">RawFinancials!AE366</f>
        <v/>
      </c>
    </row>
    <row r="367" customFormat="false" ht="15" hidden="false" customHeight="false" outlineLevel="0" collapsed="false">
      <c r="A367" s="0" t="n">
        <f aca="false">IF(ISBLANK(RawFinancials!A367),"",RawFinancials!A367)</f>
        <v>367</v>
      </c>
      <c r="B367" s="0" t="n">
        <f aca="false">IF(ISBLANK(RawFinancials!B367),"",RawFinancials!B367)</f>
        <v>697563</v>
      </c>
      <c r="C367" s="0" t="n">
        <f aca="false">IF(ISBLANK(RawFinancials!C367),"",RawFinancials!C367)</f>
        <v>59086</v>
      </c>
      <c r="D367" s="0" t="n">
        <f aca="false">IF(ISBLANK(RawFinancials!D367),"",RawFinancials!D367)</f>
        <v>607269</v>
      </c>
      <c r="E367" s="0" t="n">
        <f aca="false">IF(ISBLANK(RawFinancials!E367),"",RawFinancials!E367)</f>
        <v>0.07</v>
      </c>
      <c r="F367" s="0" t="n">
        <f aca="false">IF(ISBLANK(RawFinancials!F367),"",RawFinancials!F367)</f>
        <v>86533</v>
      </c>
      <c r="G367" s="0" t="n">
        <f aca="false">IF(ISBLANK(RawFinancials!G367),"",RawFinancials!G367)</f>
        <v>12.405044418927</v>
      </c>
      <c r="H367" s="0" t="str">
        <f aca="false">IF(ISBLANK(RawFinancials!H367),"",RawFinancials!H367)</f>
        <v>59086_20230930</v>
      </c>
      <c r="I367" s="0" t="n">
        <f aca="false">IF(ISBLANK(RawFinancials!I367),"",RawFinancials!I367)</f>
        <v>1.09824843101201</v>
      </c>
      <c r="J367" s="0" t="n">
        <f aca="false">IF(ISBLANK(RawFinancials!J367),"",RawFinancials!J367)</f>
        <v>115698</v>
      </c>
      <c r="K367" s="0" t="n">
        <f aca="false">IF(ISBLANK(RawFinancials!K367),"",RawFinancials!K367)</f>
        <v>0</v>
      </c>
      <c r="L367" s="0" t="n">
        <f aca="false">IF(ISBLANK(RawFinancials!L367),"",RawFinancials!L367)</f>
        <v>579195</v>
      </c>
      <c r="M367" s="0" t="n">
        <f aca="false">IF(ISBLANK(RawFinancials!M367),"",RawFinancials!M367)</f>
        <v>572834</v>
      </c>
      <c r="N367" s="0" t="n">
        <f aca="false">IF(ISBLANK(RawFinancials!N367),"",RawFinancials!N367)</f>
        <v>463924</v>
      </c>
      <c r="O367" s="0" t="n">
        <f aca="false">IF(ISBLANK(RawFinancials!O367),"",RawFinancials!O367)</f>
        <v>6396</v>
      </c>
      <c r="P367" s="0" t="str">
        <f aca="false">IF(ISBLANK(RawFinancials!P367),"",RawFinancials!P367)</f>
        <v>PRIMARY BANK</v>
      </c>
      <c r="Q367" s="0" t="n">
        <f aca="false">IF(ISBLANK(RawFinancials!Q367),"",RawFinancials!Q367)</f>
        <v>0.98705962586003</v>
      </c>
      <c r="R367" s="0" t="n">
        <f aca="false">IF(ISBLANK(RawFinancials!R367),"",RawFinancials!R367)</f>
        <v>4.07526020642892</v>
      </c>
      <c r="S367" s="0" t="n">
        <f aca="false">IF(ISBLANK(RawFinancials!S367),"",RawFinancials!S367)</f>
        <v>513</v>
      </c>
      <c r="T367" s="0" t="n">
        <f aca="false">IF(ISBLANK(RawFinancials!T367),"",RawFinancials!T367)</f>
        <v>2283</v>
      </c>
      <c r="U367" s="0" t="n">
        <f aca="false">IF(ISBLANK(RawFinancials!U367),"",RawFinancials!U367)</f>
        <v>1232</v>
      </c>
      <c r="V367" s="0" t="n">
        <f aca="false">IF(ISBLANK(RawFinancials!V367),"",RawFinancials!V367)</f>
        <v>15.287885221135</v>
      </c>
      <c r="W367" s="0" t="n">
        <f aca="false">IF(ISBLANK(RawFinancials!W367),"",RawFinancials!W367)</f>
        <v>20230930</v>
      </c>
      <c r="X367" s="0" t="n">
        <f aca="false">IF(ISBLANK(RawFinancials!X367),"",RawFinancials!X367)</f>
        <v>1.59440584811708</v>
      </c>
      <c r="Y367" s="0" t="n">
        <f aca="false">IF(ISBLANK(RawFinancials!Y367),"",RawFinancials!Y367)</f>
        <v>13.35</v>
      </c>
      <c r="Z367" s="0" t="str">
        <f aca="false">IF(ISBLANK(RawFinancials!Z367),"",RawFinancials!Z367)</f>
        <v>NH</v>
      </c>
      <c r="AA367" s="0" t="n">
        <f aca="false">RawFinancials!AA367</f>
        <v>1</v>
      </c>
      <c r="AB367" s="0" t="n">
        <f aca="false">RawFinancials!AB367</f>
        <v>7628</v>
      </c>
      <c r="AC367" s="0" t="n">
        <f aca="false">RawFinancials!AC367</f>
        <v>1.0935213020186</v>
      </c>
      <c r="AD367" s="0" t="n">
        <f aca="false">IF(L367&gt;0,100*N367/L367,"")</f>
        <v>80.0980671449167</v>
      </c>
      <c r="AE367" s="0" t="n">
        <f aca="false">IF(B367&gt;0,100*F367/B367,"")</f>
        <v>12.405044418927</v>
      </c>
      <c r="AF367" s="0" t="str">
        <f aca="false">RawFinancials!AE367</f>
        <v/>
      </c>
    </row>
    <row r="368" customFormat="false" ht="15" hidden="false" customHeight="false" outlineLevel="0" collapsed="false">
      <c r="A368" s="0" t="n">
        <f aca="false">IF(ISBLANK(RawFinancials!A368),"",RawFinancials!A368)</f>
        <v>368</v>
      </c>
      <c r="B368" s="0" t="n">
        <f aca="false">IF(ISBLANK(RawFinancials!B368),"",RawFinancials!B368)</f>
        <v>219071</v>
      </c>
      <c r="C368" s="0" t="n">
        <f aca="false">IF(ISBLANK(RawFinancials!C368),"",RawFinancials!C368)</f>
        <v>59176</v>
      </c>
      <c r="D368" s="0" t="n">
        <f aca="false">IF(ISBLANK(RawFinancials!D368),"",RawFinancials!D368)</f>
        <v>188051</v>
      </c>
      <c r="E368" s="0" t="n">
        <f aca="false">IF(ISBLANK(RawFinancials!E368),"",RawFinancials!E368)</f>
        <v>0.2</v>
      </c>
      <c r="F368" s="0" t="n">
        <f aca="false">IF(ISBLANK(RawFinancials!F368),"",RawFinancials!F368)</f>
        <v>23030</v>
      </c>
      <c r="G368" s="0" t="n">
        <f aca="false">IF(ISBLANK(RawFinancials!G368),"",RawFinancials!G368)</f>
        <v>10.5125735492146</v>
      </c>
      <c r="H368" s="0" t="str">
        <f aca="false">IF(ISBLANK(RawFinancials!H368),"",RawFinancials!H368)</f>
        <v>59176_20230930</v>
      </c>
      <c r="I368" s="0" t="n">
        <f aca="false">IF(ISBLANK(RawFinancials!I368),"",RawFinancials!I368)</f>
        <v>1.05648054772342</v>
      </c>
      <c r="J368" s="0" t="n">
        <f aca="false">IF(ISBLANK(RawFinancials!J368),"",RawFinancials!J368)</f>
        <v>20876</v>
      </c>
      <c r="K368" s="0" t="n">
        <f aca="false">IF(ISBLANK(RawFinancials!K368),"",RawFinancials!K368)</f>
        <v>5</v>
      </c>
      <c r="L368" s="0" t="n">
        <f aca="false">IF(ISBLANK(RawFinancials!L368),"",RawFinancials!L368)</f>
        <v>145767</v>
      </c>
      <c r="M368" s="0" t="n">
        <f aca="false">IF(ISBLANK(RawFinancials!M368),"",RawFinancials!M368)</f>
        <v>144227</v>
      </c>
      <c r="N368" s="0" t="n">
        <f aca="false">IF(ISBLANK(RawFinancials!N368),"",RawFinancials!N368)</f>
        <v>124886</v>
      </c>
      <c r="O368" s="0" t="n">
        <f aca="false">IF(ISBLANK(RawFinancials!O368),"",RawFinancials!O368)</f>
        <v>0</v>
      </c>
      <c r="P368" s="0" t="str">
        <f aca="false">IF(ISBLANK(RawFinancials!P368),"",RawFinancials!P368)</f>
        <v>THE MILLYARD BANK</v>
      </c>
      <c r="Q368" s="0" t="n">
        <f aca="false">IF(ISBLANK(RawFinancials!Q368),"",RawFinancials!Q368)</f>
        <v>0</v>
      </c>
      <c r="R368" s="0" t="n">
        <f aca="false">IF(ISBLANK(RawFinancials!R368),"",RawFinancials!R368)</f>
        <v>2.37742627283054</v>
      </c>
      <c r="S368" s="0" t="n">
        <f aca="false">IF(ISBLANK(RawFinancials!S368),"",RawFinancials!S368)</f>
        <v>34</v>
      </c>
      <c r="T368" s="0" t="n">
        <f aca="false">IF(ISBLANK(RawFinancials!T368),"",RawFinancials!T368)</f>
        <v>0</v>
      </c>
      <c r="U368" s="0" t="n">
        <f aca="false">IF(ISBLANK(RawFinancials!U368),"",RawFinancials!U368)</f>
        <v>0</v>
      </c>
      <c r="V368" s="0" t="n">
        <f aca="false">IF(ISBLANK(RawFinancials!V368),"",RawFinancials!V368)</f>
        <v>17.3183973610061</v>
      </c>
      <c r="W368" s="0" t="n">
        <f aca="false">IF(ISBLANK(RawFinancials!W368),"",RawFinancials!W368)</f>
        <v>20230930</v>
      </c>
      <c r="X368" s="0" t="n">
        <f aca="false">IF(ISBLANK(RawFinancials!X368),"",RawFinancials!X368)</f>
        <v>-0.224099348694985</v>
      </c>
      <c r="Y368" s="0" t="n">
        <f aca="false">IF(ISBLANK(RawFinancials!Y368),"",RawFinancials!Y368)</f>
        <v>-1.9</v>
      </c>
      <c r="Z368" s="0" t="str">
        <f aca="false">IF(ISBLANK(RawFinancials!Z368),"",RawFinancials!Z368)</f>
        <v>NH</v>
      </c>
      <c r="AA368" s="0" t="n">
        <f aca="false">RawFinancials!AA368</f>
        <v>1</v>
      </c>
      <c r="AB368" s="0" t="n">
        <f aca="false">RawFinancials!AB368</f>
        <v>0</v>
      </c>
      <c r="AC368" s="0" t="n">
        <f aca="false">RawFinancials!AC368</f>
        <v>0</v>
      </c>
      <c r="AD368" s="0" t="n">
        <f aca="false">IF(L368&gt;0,100*N368/L368,"")</f>
        <v>85.675084209732</v>
      </c>
      <c r="AE368" s="0" t="n">
        <f aca="false">IF(B368&gt;0,100*F368/B368,"")</f>
        <v>10.5125735492146</v>
      </c>
      <c r="AF368" s="0" t="str">
        <f aca="false">RawFinancials!AE368</f>
        <v/>
      </c>
    </row>
    <row r="369" customFormat="false" ht="15" hidden="false" customHeight="false" outlineLevel="0" collapsed="false">
      <c r="A369" s="0" t="n">
        <f aca="false">IF(ISBLANK(RawFinancials!A369),"",RawFinancials!A369)</f>
        <v>369</v>
      </c>
      <c r="B369" s="0" t="n">
        <f aca="false">IF(ISBLANK(RawFinancials!B369),"",RawFinancials!B369)</f>
        <v>61993</v>
      </c>
      <c r="C369" s="0" t="n">
        <f aca="false">IF(ISBLANK(RawFinancials!C369),"",RawFinancials!C369)</f>
        <v>59289</v>
      </c>
      <c r="D369" s="0" t="n">
        <f aca="false">IF(ISBLANK(RawFinancials!D369),"",RawFinancials!D369)</f>
        <v>41455</v>
      </c>
      <c r="E369" s="0" t="n">
        <f aca="false">IF(ISBLANK(RawFinancials!E369),"",RawFinancials!E369)</f>
        <v>1.02</v>
      </c>
      <c r="F369" s="0" t="n">
        <f aca="false">IF(ISBLANK(RawFinancials!F369),"",RawFinancials!F369)</f>
        <v>19641</v>
      </c>
      <c r="G369" s="0" t="n">
        <f aca="false">IF(ISBLANK(RawFinancials!G369),"",RawFinancials!G369)</f>
        <v>31.6826093268595</v>
      </c>
      <c r="H369" s="0" t="str">
        <f aca="false">IF(ISBLANK(RawFinancials!H369),"",RawFinancials!H369)</f>
        <v>59289_20230930</v>
      </c>
      <c r="I369" s="0" t="n">
        <f aca="false">IF(ISBLANK(RawFinancials!I369),"",RawFinancials!I369)</f>
        <v>1.30161876445325</v>
      </c>
      <c r="J369" s="0" t="n">
        <f aca="false">IF(ISBLANK(RawFinancials!J369),"",RawFinancials!J369)</f>
        <v>16338</v>
      </c>
      <c r="K369" s="0" t="n">
        <f aca="false">IF(ISBLANK(RawFinancials!K369),"",RawFinancials!K369)</f>
        <v>0</v>
      </c>
      <c r="L369" s="0" t="n">
        <f aca="false">IF(ISBLANK(RawFinancials!L369),"",RawFinancials!L369)</f>
        <v>30270</v>
      </c>
      <c r="M369" s="0" t="n">
        <f aca="false">IF(ISBLANK(RawFinancials!M369),"",RawFinancials!M369)</f>
        <v>29876</v>
      </c>
      <c r="N369" s="0" t="n">
        <f aca="false">IF(ISBLANK(RawFinancials!N369),"",RawFinancials!N369)</f>
        <v>13029</v>
      </c>
      <c r="O369" s="0" t="n">
        <f aca="false">IF(ISBLANK(RawFinancials!O369),"",RawFinancials!O369)</f>
        <v>0</v>
      </c>
      <c r="P369" s="0" t="str">
        <f aca="false">IF(ISBLANK(RawFinancials!P369),"",RawFinancials!P369)</f>
        <v>WALDEN MUTUAL BANK</v>
      </c>
      <c r="Q369" s="0" t="n">
        <f aca="false">IF(ISBLANK(RawFinancials!Q369),"",RawFinancials!Q369)</f>
        <v>0</v>
      </c>
      <c r="R369" s="0" t="n">
        <f aca="false">IF(ISBLANK(RawFinancials!R369),"",RawFinancials!R369)</f>
        <v>4.55562914912624</v>
      </c>
      <c r="S369" s="0" t="n">
        <f aca="false">IF(ISBLANK(RawFinancials!S369),"",RawFinancials!S369)</f>
        <v>0</v>
      </c>
      <c r="T369" s="0" t="n">
        <f aca="false">IF(ISBLANK(RawFinancials!T369),"",RawFinancials!T369)</f>
        <v>0</v>
      </c>
      <c r="U369" s="0" t="n">
        <f aca="false">IF(ISBLANK(RawFinancials!U369),"",RawFinancials!U369)</f>
        <v>0</v>
      </c>
      <c r="V369" s="0" t="n">
        <f aca="false">IF(ISBLANK(RawFinancials!V369),"",RawFinancials!V369)</f>
        <v>0</v>
      </c>
      <c r="W369" s="0" t="n">
        <f aca="false">IF(ISBLANK(RawFinancials!W369),"",RawFinancials!W369)</f>
        <v>20230930</v>
      </c>
      <c r="X369" s="0" t="n">
        <f aca="false">IF(ISBLANK(RawFinancials!X369),"",RawFinancials!X369)</f>
        <v>-5.48471220679485</v>
      </c>
      <c r="Y369" s="0" t="n">
        <f aca="false">IF(ISBLANK(RawFinancials!Y369),"",RawFinancials!Y369)</f>
        <v>-11.97</v>
      </c>
      <c r="Z369" s="0" t="str">
        <f aca="false">IF(ISBLANK(RawFinancials!Z369),"",RawFinancials!Z369)</f>
        <v>NH</v>
      </c>
      <c r="AA369" s="0" t="n">
        <f aca="false">RawFinancials!AA369</f>
        <v>1</v>
      </c>
      <c r="AB369" s="0" t="n">
        <f aca="false">RawFinancials!AB369</f>
        <v>0</v>
      </c>
      <c r="AC369" s="0" t="n">
        <f aca="false">RawFinancials!AC369</f>
        <v>0</v>
      </c>
      <c r="AD369" s="0" t="n">
        <f aca="false">IF(L369&gt;0,100*N369/L369,"")</f>
        <v>43.0426164519326</v>
      </c>
      <c r="AE369" s="0" t="n">
        <f aca="false">IF(B369&gt;0,100*F369/B369,"")</f>
        <v>31.6826093268595</v>
      </c>
      <c r="AF369" s="0" t="str">
        <f aca="false">RawFinancials!AE369</f>
        <v>原始0：需核实适用/报告口径</v>
      </c>
    </row>
    <row r="370" customFormat="false" ht="15" hidden="false" customHeight="false" outlineLevel="0" collapsed="false">
      <c r="A370" s="0" t="n">
        <f aca="false">IF(ISBLANK(RawFinancials!A370),"",RawFinancials!A370)</f>
        <v>370</v>
      </c>
      <c r="B370" s="0" t="n">
        <f aca="false">IF(ISBLANK(RawFinancials!B370),"",RawFinancials!B370)</f>
        <v>134128</v>
      </c>
      <c r="C370" s="0" t="n">
        <f aca="false">IF(ISBLANK(RawFinancials!C370),"",RawFinancials!C370)</f>
        <v>59298</v>
      </c>
      <c r="D370" s="0" t="n">
        <f aca="false">IF(ISBLANK(RawFinancials!D370),"",RawFinancials!D370)</f>
        <v>105729</v>
      </c>
      <c r="E370" s="0" t="n">
        <f aca="false">IF(ISBLANK(RawFinancials!E370),"",RawFinancials!E370)</f>
        <v>0.23</v>
      </c>
      <c r="F370" s="0" t="n">
        <f aca="false">IF(ISBLANK(RawFinancials!F370),"",RawFinancials!F370)</f>
        <v>27342</v>
      </c>
      <c r="G370" s="0" t="n">
        <f aca="false">IF(ISBLANK(RawFinancials!G370),"",RawFinancials!G370)</f>
        <v>20.3850053680067</v>
      </c>
      <c r="H370" s="0" t="str">
        <f aca="false">IF(ISBLANK(RawFinancials!H370),"",RawFinancials!H370)</f>
        <v>59298_20230930</v>
      </c>
      <c r="I370" s="0" t="n">
        <f aca="false">IF(ISBLANK(RawFinancials!I370),"",RawFinancials!I370)</f>
        <v>0.789434301107453</v>
      </c>
      <c r="J370" s="0" t="n">
        <f aca="false">IF(ISBLANK(RawFinancials!J370),"",RawFinancials!J370)</f>
        <v>15440</v>
      </c>
      <c r="K370" s="0" t="n">
        <f aca="false">IF(ISBLANK(RawFinancials!K370),"",RawFinancials!K370)</f>
        <v>0</v>
      </c>
      <c r="L370" s="0" t="n">
        <f aca="false">IF(ISBLANK(RawFinancials!L370),"",RawFinancials!L370)</f>
        <v>53456</v>
      </c>
      <c r="M370" s="0" t="n">
        <f aca="false">IF(ISBLANK(RawFinancials!M370),"",RawFinancials!M370)</f>
        <v>53034</v>
      </c>
      <c r="N370" s="0" t="n">
        <f aca="false">IF(ISBLANK(RawFinancials!N370),"",RawFinancials!N370)</f>
        <v>38015</v>
      </c>
      <c r="O370" s="0" t="n">
        <f aca="false">IF(ISBLANK(RawFinancials!O370),"",RawFinancials!O370)</f>
        <v>0</v>
      </c>
      <c r="P370" s="0" t="str">
        <f aca="false">IF(ISBLANK(RawFinancials!P370),"",RawFinancials!P370)</f>
        <v>BANK OF BURLINGTON</v>
      </c>
      <c r="Q370" s="0" t="n">
        <f aca="false">IF(ISBLANK(RawFinancials!Q370),"",RawFinancials!Q370)</f>
        <v>0</v>
      </c>
      <c r="R370" s="0" t="n">
        <f aca="false">IF(ISBLANK(RawFinancials!R370),"",RawFinancials!R370)</f>
        <v>2.77001222612168</v>
      </c>
      <c r="S370" s="0" t="n">
        <f aca="false">IF(ISBLANK(RawFinancials!S370),"",RawFinancials!S370)</f>
        <v>0</v>
      </c>
      <c r="T370" s="0" t="n">
        <f aca="false">IF(ISBLANK(RawFinancials!T370),"",RawFinancials!T370)</f>
        <v>0</v>
      </c>
      <c r="U370" s="0" t="n">
        <f aca="false">IF(ISBLANK(RawFinancials!U370),"",RawFinancials!U370)</f>
        <v>0</v>
      </c>
      <c r="V370" s="0" t="n">
        <f aca="false">IF(ISBLANK(RawFinancials!V370),"",RawFinancials!V370)</f>
        <v>0</v>
      </c>
      <c r="W370" s="0" t="n">
        <f aca="false">IF(ISBLANK(RawFinancials!W370),"",RawFinancials!W370)</f>
        <v>20230930</v>
      </c>
      <c r="X370" s="0" t="n">
        <f aca="false">IF(ISBLANK(RawFinancials!X370),"",RawFinancials!X370)</f>
        <v>-2.33450133372531</v>
      </c>
      <c r="Y370" s="0" t="n">
        <f aca="false">IF(ISBLANK(RawFinancials!Y370),"",RawFinancials!Y370)</f>
        <v>-9.49</v>
      </c>
      <c r="Z370" s="0" t="str">
        <f aca="false">IF(ISBLANK(RawFinancials!Z370),"",RawFinancials!Z370)</f>
        <v>VT</v>
      </c>
      <c r="AA370" s="0" t="n">
        <f aca="false">RawFinancials!AA370</f>
        <v>1</v>
      </c>
      <c r="AB370" s="0" t="n">
        <f aca="false">RawFinancials!AB370</f>
        <v>0</v>
      </c>
      <c r="AC370" s="0" t="n">
        <f aca="false">RawFinancials!AC370</f>
        <v>0</v>
      </c>
      <c r="AD370" s="0" t="n">
        <f aca="false">IF(L370&gt;0,100*N370/L370,"")</f>
        <v>71.1145615085304</v>
      </c>
      <c r="AE370" s="0" t="n">
        <f aca="false">IF(B370&gt;0,100*F370/B370,"")</f>
        <v>20.3850053680067</v>
      </c>
      <c r="AF370" s="0" t="str">
        <f aca="false">RawFinancials!AE370</f>
        <v>原始0：需核实适用/报告口径</v>
      </c>
    </row>
    <row r="371" customFormat="false" ht="15" hidden="false" customHeight="false" outlineLevel="0" collapsed="false">
      <c r="A371" s="0" t="n">
        <f aca="false">IF(ISBLANK(RawFinancials!A371),"",RawFinancials!A371)</f>
        <v>371</v>
      </c>
      <c r="B371" s="0" t="n">
        <f aca="false">IF(ISBLANK(RawFinancials!B371),"",RawFinancials!B371)</f>
        <v>1082666</v>
      </c>
      <c r="C371" s="0" t="n">
        <f aca="false">IF(ISBLANK(RawFinancials!C371),"",RawFinancials!C371)</f>
        <v>6271</v>
      </c>
      <c r="D371" s="0" t="n">
        <f aca="false">IF(ISBLANK(RawFinancials!D371),"",RawFinancials!D371)</f>
        <v>902628</v>
      </c>
      <c r="E371" s="0" t="n">
        <f aca="false">IF(ISBLANK(RawFinancials!E371),"",RawFinancials!E371)</f>
        <v>0.1</v>
      </c>
      <c r="F371" s="0" t="n">
        <f aca="false">IF(ISBLANK(RawFinancials!F371),"",RawFinancials!F371)</f>
        <v>90587</v>
      </c>
      <c r="G371" s="0" t="n">
        <f aca="false">IF(ISBLANK(RawFinancials!G371),"",RawFinancials!G371)</f>
        <v>8.36703101418166</v>
      </c>
      <c r="H371" s="0" t="str">
        <f aca="false">IF(ISBLANK(RawFinancials!H371),"",RawFinancials!H371)</f>
        <v>6271_20230930</v>
      </c>
      <c r="I371" s="0" t="n">
        <f aca="false">IF(ISBLANK(RawFinancials!I371),"",RawFinancials!I371)</f>
        <v>1.13062886464032</v>
      </c>
      <c r="J371" s="0" t="n">
        <f aca="false">IF(ISBLANK(RawFinancials!J371),"",RawFinancials!J371)</f>
        <v>125837</v>
      </c>
      <c r="K371" s="0" t="n">
        <f aca="false">IF(ISBLANK(RawFinancials!K371),"",RawFinancials!K371)</f>
        <v>3320</v>
      </c>
      <c r="L371" s="0" t="n">
        <f aca="false">IF(ISBLANK(RawFinancials!L371),"",RawFinancials!L371)</f>
        <v>839179</v>
      </c>
      <c r="M371" s="0" t="n">
        <f aca="false">IF(ISBLANK(RawFinancials!M371),"",RawFinancials!M371)</f>
        <v>829691</v>
      </c>
      <c r="N371" s="0" t="n">
        <f aca="false">IF(ISBLANK(RawFinancials!N371),"",RawFinancials!N371)</f>
        <v>644820</v>
      </c>
      <c r="O371" s="0" t="n">
        <f aca="false">IF(ISBLANK(RawFinancials!O371),"",RawFinancials!O371)</f>
        <v>7215</v>
      </c>
      <c r="P371" s="0" t="str">
        <f aca="false">IF(ISBLANK(RawFinancials!P371),"",RawFinancials!P371)</f>
        <v>COMMUNITY NATIONAL BANK</v>
      </c>
      <c r="Q371" s="0" t="n">
        <f aca="false">IF(ISBLANK(RawFinancials!Q371),"",RawFinancials!Q371)</f>
        <v>0.978813816837647</v>
      </c>
      <c r="R371" s="0" t="n">
        <f aca="false">IF(ISBLANK(RawFinancials!R371),"",RawFinancials!R371)</f>
        <v>3.50998122320519</v>
      </c>
      <c r="S371" s="0" t="n">
        <f aca="false">IF(ISBLANK(RawFinancials!S371),"",RawFinancials!S371)</f>
        <v>314</v>
      </c>
      <c r="T371" s="0" t="n">
        <f aca="false">IF(ISBLANK(RawFinancials!T371),"",RawFinancials!T371)</f>
        <v>724</v>
      </c>
      <c r="U371" s="0" t="n">
        <f aca="false">IF(ISBLANK(RawFinancials!U371),"",RawFinancials!U371)</f>
        <v>999</v>
      </c>
      <c r="V371" s="0" t="n">
        <f aca="false">IF(ISBLANK(RawFinancials!V371),"",RawFinancials!V371)</f>
        <v>14.6491413757327</v>
      </c>
      <c r="W371" s="0" t="n">
        <f aca="false">IF(ISBLANK(RawFinancials!W371),"",RawFinancials!W371)</f>
        <v>20230930</v>
      </c>
      <c r="X371" s="0" t="n">
        <f aca="false">IF(ISBLANK(RawFinancials!X371),"",RawFinancials!X371)</f>
        <v>1.3701658298972</v>
      </c>
      <c r="Y371" s="0" t="n">
        <f aca="false">IF(ISBLANK(RawFinancials!Y371),"",RawFinancials!Y371)</f>
        <v>15.9</v>
      </c>
      <c r="Z371" s="0" t="str">
        <f aca="false">IF(ISBLANK(RawFinancials!Z371),"",RawFinancials!Z371)</f>
        <v>VT</v>
      </c>
      <c r="AA371" s="0" t="n">
        <f aca="false">RawFinancials!AA371</f>
        <v>1</v>
      </c>
      <c r="AB371" s="0" t="n">
        <f aca="false">RawFinancials!AB371</f>
        <v>8214</v>
      </c>
      <c r="AC371" s="0" t="n">
        <f aca="false">RawFinancials!AC371</f>
        <v>0.758682733179023</v>
      </c>
      <c r="AD371" s="0" t="n">
        <f aca="false">IF(L371&gt;0,100*N371/L371,"")</f>
        <v>76.8393870675982</v>
      </c>
      <c r="AE371" s="0" t="n">
        <f aca="false">IF(B371&gt;0,100*F371/B371,"")</f>
        <v>8.36703101418166</v>
      </c>
      <c r="AF371" s="0" t="str">
        <f aca="false">RawFinancials!AE371</f>
        <v/>
      </c>
    </row>
    <row r="372" customFormat="false" ht="15" hidden="false" customHeight="false" outlineLevel="0" collapsed="false">
      <c r="A372" s="0" t="n">
        <f aca="false">IF(ISBLANK(RawFinancials!A372),"",RawFinancials!A372)</f>
        <v>372</v>
      </c>
      <c r="B372" s="0" t="n">
        <f aca="false">IF(ISBLANK(RawFinancials!B372),"",RawFinancials!B372)</f>
        <v>554170</v>
      </c>
      <c r="C372" s="0" t="n">
        <f aca="false">IF(ISBLANK(RawFinancials!C372),"",RawFinancials!C372)</f>
        <v>6275</v>
      </c>
      <c r="D372" s="0" t="n">
        <f aca="false">IF(ISBLANK(RawFinancials!D372),"",RawFinancials!D372)</f>
        <v>479167</v>
      </c>
      <c r="E372" s="0" t="n">
        <f aca="false">IF(ISBLANK(RawFinancials!E372),"",RawFinancials!E372)</f>
        <v>0.01</v>
      </c>
      <c r="F372" s="0" t="n">
        <f aca="false">IF(ISBLANK(RawFinancials!F372),"",RawFinancials!F372)</f>
        <v>22855</v>
      </c>
      <c r="G372" s="0" t="n">
        <f aca="false">IF(ISBLANK(RawFinancials!G372),"",RawFinancials!G372)</f>
        <v>4.12418571918364</v>
      </c>
      <c r="H372" s="0" t="str">
        <f aca="false">IF(ISBLANK(RawFinancials!H372),"",RawFinancials!H372)</f>
        <v>6275_20230930</v>
      </c>
      <c r="I372" s="0" t="n">
        <f aca="false">IF(ISBLANK(RawFinancials!I372),"",RawFinancials!I372)</f>
        <v>0.406204504196847</v>
      </c>
      <c r="J372" s="0" t="n">
        <f aca="false">IF(ISBLANK(RawFinancials!J372),"",RawFinancials!J372)</f>
        <v>34934</v>
      </c>
      <c r="K372" s="0" t="n">
        <f aca="false">IF(ISBLANK(RawFinancials!K372),"",RawFinancials!K372)</f>
        <v>13861</v>
      </c>
      <c r="L372" s="0" t="n">
        <f aca="false">IF(ISBLANK(RawFinancials!L372),"",RawFinancials!L372)</f>
        <v>333822</v>
      </c>
      <c r="M372" s="0" t="n">
        <f aca="false">IF(ISBLANK(RawFinancials!M372),"",RawFinancials!M372)</f>
        <v>332466</v>
      </c>
      <c r="N372" s="0" t="n">
        <f aca="false">IF(ISBLANK(RawFinancials!N372),"",RawFinancials!N372)</f>
        <v>274189</v>
      </c>
      <c r="O372" s="0" t="n">
        <f aca="false">IF(ISBLANK(RawFinancials!O372),"",RawFinancials!O372)</f>
        <v>1262</v>
      </c>
      <c r="P372" s="0" t="str">
        <f aca="false">IF(ISBLANK(RawFinancials!P372),"",RawFinancials!P372)</f>
        <v>THE NATIONAL BANK OF MIDDLEBURY</v>
      </c>
      <c r="Q372" s="0" t="n">
        <f aca="false">IF(ISBLANK(RawFinancials!Q372),"",RawFinancials!Q372)</f>
        <v>0.378045784879367</v>
      </c>
      <c r="R372" s="0" t="n">
        <f aca="false">IF(ISBLANK(RawFinancials!R372),"",RawFinancials!R372)</f>
        <v>2.89483386017296</v>
      </c>
      <c r="S372" s="0" t="n">
        <f aca="false">IF(ISBLANK(RawFinancials!S372),"",RawFinancials!S372)</f>
        <v>0</v>
      </c>
      <c r="T372" s="0" t="n">
        <f aca="false">IF(ISBLANK(RawFinancials!T372),"",RawFinancials!T372)</f>
        <v>392</v>
      </c>
      <c r="U372" s="0" t="n">
        <f aca="false">IF(ISBLANK(RawFinancials!U372),"",RawFinancials!U372)</f>
        <v>0</v>
      </c>
      <c r="V372" s="0" t="n">
        <f aca="false">IF(ISBLANK(RawFinancials!V372),"",RawFinancials!V372)</f>
        <v>14.7986092970606</v>
      </c>
      <c r="W372" s="0" t="n">
        <f aca="false">IF(ISBLANK(RawFinancials!W372),"",RawFinancials!W372)</f>
        <v>20230930</v>
      </c>
      <c r="X372" s="0" t="n">
        <f aca="false">IF(ISBLANK(RawFinancials!X372),"",RawFinancials!X372)</f>
        <v>0.428313354479842</v>
      </c>
      <c r="Y372" s="0" t="n">
        <f aca="false">IF(ISBLANK(RawFinancials!Y372),"",RawFinancials!Y372)</f>
        <v>9</v>
      </c>
      <c r="Z372" s="0" t="str">
        <f aca="false">IF(ISBLANK(RawFinancials!Z372),"",RawFinancials!Z372)</f>
        <v>VT</v>
      </c>
      <c r="AA372" s="0" t="n">
        <f aca="false">RawFinancials!AA372</f>
        <v>1</v>
      </c>
      <c r="AB372" s="0" t="n">
        <f aca="false">RawFinancials!AB372</f>
        <v>1262</v>
      </c>
      <c r="AC372" s="0" t="n">
        <f aca="false">RawFinancials!AC372</f>
        <v>0.227727953516069</v>
      </c>
      <c r="AD372" s="0" t="n">
        <f aca="false">IF(L372&gt;0,100*N372/L372,"")</f>
        <v>82.1362882014966</v>
      </c>
      <c r="AE372" s="0" t="n">
        <f aca="false">IF(B372&gt;0,100*F372/B372,"")</f>
        <v>4.12418571918364</v>
      </c>
      <c r="AF372" s="0" t="str">
        <f aca="false">RawFinancials!AE372</f>
        <v/>
      </c>
    </row>
    <row r="373" customFormat="false" ht="15" hidden="false" customHeight="false" outlineLevel="0" collapsed="false">
      <c r="A373" s="0" t="n">
        <f aca="false">IF(ISBLANK(RawFinancials!A373),"",RawFinancials!A373)</f>
        <v>373</v>
      </c>
      <c r="B373" s="0" t="n">
        <f aca="false">IF(ISBLANK(RawFinancials!B373),"",RawFinancials!B373)</f>
        <v>81114</v>
      </c>
      <c r="C373" s="0" t="n">
        <f aca="false">IF(ISBLANK(RawFinancials!C373),"",RawFinancials!C373)</f>
        <v>6280</v>
      </c>
      <c r="D373" s="0" t="n">
        <f aca="false">IF(ISBLANK(RawFinancials!D373),"",RawFinancials!D373)</f>
        <v>71481</v>
      </c>
      <c r="E373" s="0" t="n">
        <f aca="false">IF(ISBLANK(RawFinancials!E373),"",RawFinancials!E373)</f>
        <v>0.07</v>
      </c>
      <c r="F373" s="0" t="n">
        <f aca="false">IF(ISBLANK(RawFinancials!F373),"",RawFinancials!F373)</f>
        <v>9381</v>
      </c>
      <c r="G373" s="0" t="n">
        <f aca="false">IF(ISBLANK(RawFinancials!G373),"",RawFinancials!G373)</f>
        <v>11.5652045269621</v>
      </c>
      <c r="H373" s="0" t="str">
        <f aca="false">IF(ISBLANK(RawFinancials!H373),"",RawFinancials!H373)</f>
        <v>6280_20230930</v>
      </c>
      <c r="I373" s="0" t="n">
        <f aca="false">IF(ISBLANK(RawFinancials!I373),"",RawFinancials!I373)</f>
        <v>1.29307111891154</v>
      </c>
      <c r="J373" s="0" t="n">
        <f aca="false">IF(ISBLANK(RawFinancials!J373),"",RawFinancials!J373)</f>
        <v>3368</v>
      </c>
      <c r="K373" s="0" t="n">
        <f aca="false">IF(ISBLANK(RawFinancials!K373),"",RawFinancials!K373)</f>
        <v>1610</v>
      </c>
      <c r="L373" s="0" t="n">
        <f aca="false">IF(ISBLANK(RawFinancials!L373),"",RawFinancials!L373)</f>
        <v>66663</v>
      </c>
      <c r="M373" s="0" t="n">
        <f aca="false">IF(ISBLANK(RawFinancials!M373),"",RawFinancials!M373)</f>
        <v>65801</v>
      </c>
      <c r="N373" s="0" t="n">
        <f aca="false">IF(ISBLANK(RawFinancials!N373),"",RawFinancials!N373)</f>
        <v>59127</v>
      </c>
      <c r="O373" s="0" t="n">
        <f aca="false">IF(ISBLANK(RawFinancials!O373),"",RawFinancials!O373)</f>
        <v>952</v>
      </c>
      <c r="P373" s="0" t="str">
        <f aca="false">IF(ISBLANK(RawFinancials!P373),"",RawFinancials!P373)</f>
        <v>THE FIRST NATIONAL BANK OF ORWELL</v>
      </c>
      <c r="Q373" s="0" t="n">
        <f aca="false">IF(ISBLANK(RawFinancials!Q373),"",RawFinancials!Q373)</f>
        <v>1.42807854431994</v>
      </c>
      <c r="R373" s="0" t="n">
        <f aca="false">IF(ISBLANK(RawFinancials!R373),"",RawFinancials!R373)</f>
        <v>4.97162854589493</v>
      </c>
      <c r="S373" s="0" t="n">
        <f aca="false">IF(ISBLANK(RawFinancials!S373),"",RawFinancials!S373)</f>
        <v>9</v>
      </c>
      <c r="T373" s="0" t="n">
        <f aca="false">IF(ISBLANK(RawFinancials!T373),"",RawFinancials!T373)</f>
        <v>721</v>
      </c>
      <c r="U373" s="0" t="n">
        <f aca="false">IF(ISBLANK(RawFinancials!U373),"",RawFinancials!U373)</f>
        <v>0</v>
      </c>
      <c r="V373" s="0" t="n">
        <f aca="false">IF(ISBLANK(RawFinancials!V373),"",RawFinancials!V373)</f>
        <v>0</v>
      </c>
      <c r="W373" s="0" t="n">
        <f aca="false">IF(ISBLANK(RawFinancials!W373),"",RawFinancials!W373)</f>
        <v>20230930</v>
      </c>
      <c r="X373" s="0" t="n">
        <f aca="false">IF(ISBLANK(RawFinancials!X373),"",RawFinancials!X373)</f>
        <v>1.84180132673071</v>
      </c>
      <c r="Y373" s="0" t="n">
        <f aca="false">IF(ISBLANK(RawFinancials!Y373),"",RawFinancials!Y373)</f>
        <v>17.01</v>
      </c>
      <c r="Z373" s="0" t="str">
        <f aca="false">IF(ISBLANK(RawFinancials!Z373),"",RawFinancials!Z373)</f>
        <v>VT</v>
      </c>
      <c r="AA373" s="0" t="n">
        <f aca="false">RawFinancials!AA373</f>
        <v>1</v>
      </c>
      <c r="AB373" s="0" t="n">
        <f aca="false">RawFinancials!AB373</f>
        <v>952</v>
      </c>
      <c r="AC373" s="0" t="n">
        <f aca="false">RawFinancials!AC373</f>
        <v>1.1736568286609</v>
      </c>
      <c r="AD373" s="0" t="n">
        <f aca="false">IF(L373&gt;0,100*N373/L373,"")</f>
        <v>88.6953782458035</v>
      </c>
      <c r="AE373" s="0" t="n">
        <f aca="false">IF(B373&gt;0,100*F373/B373,"")</f>
        <v>11.5652045269621</v>
      </c>
      <c r="AF373" s="0" t="str">
        <f aca="false">RawFinancials!AE373</f>
        <v>原始0：需核实适用/报告口径</v>
      </c>
    </row>
    <row r="374" customFormat="false" ht="15" hidden="false" customHeight="false" outlineLevel="0" collapsed="false">
      <c r="A374" s="0" t="n">
        <f aca="false">IF(ISBLANK(RawFinancials!A374),"",RawFinancials!A374)</f>
        <v>374</v>
      </c>
      <c r="B374" s="0" t="n">
        <f aca="false">IF(ISBLANK(RawFinancials!B374),"",RawFinancials!B374)</f>
        <v>3967808</v>
      </c>
      <c r="C374" s="0" t="n">
        <f aca="false">IF(ISBLANK(RawFinancials!C374),"",RawFinancials!C374)</f>
        <v>11971</v>
      </c>
      <c r="D374" s="0" t="n">
        <f aca="false">IF(ISBLANK(RawFinancials!D374),"",RawFinancials!D374)</f>
        <v>3149026</v>
      </c>
      <c r="E374" s="0" t="n">
        <f aca="false">IF(ISBLANK(RawFinancials!E374),"",RawFinancials!E374)</f>
        <v>0.07</v>
      </c>
      <c r="F374" s="0" t="n">
        <f aca="false">IF(ISBLANK(RawFinancials!F374),"",RawFinancials!F374)</f>
        <v>483954</v>
      </c>
      <c r="G374" s="0" t="n">
        <f aca="false">IF(ISBLANK(RawFinancials!G374),"",RawFinancials!G374)</f>
        <v>12.1970115489459</v>
      </c>
      <c r="H374" s="0" t="str">
        <f aca="false">IF(ISBLANK(RawFinancials!H374),"",RawFinancials!H374)</f>
        <v>11971_20231231</v>
      </c>
      <c r="I374" s="0" t="n">
        <f aca="false">IF(ISBLANK(RawFinancials!I374),"",RawFinancials!I374)</f>
        <v>0.937679717503244</v>
      </c>
      <c r="J374" s="0" t="n">
        <f aca="false">IF(ISBLANK(RawFinancials!J374),"",RawFinancials!J374)</f>
        <v>218797</v>
      </c>
      <c r="K374" s="0" t="n">
        <f aca="false">IF(ISBLANK(RawFinancials!K374),"",RawFinancials!K374)</f>
        <v>7832</v>
      </c>
      <c r="L374" s="0" t="n">
        <f aca="false">IF(ISBLANK(RawFinancials!L374),"",RawFinancials!L374)</f>
        <v>3001238</v>
      </c>
      <c r="M374" s="0" t="n">
        <f aca="false">IF(ISBLANK(RawFinancials!M374),"",RawFinancials!M374)</f>
        <v>2973096</v>
      </c>
      <c r="N374" s="0" t="n">
        <f aca="false">IF(ISBLANK(RawFinancials!N374),"",RawFinancials!N374)</f>
        <v>2638835</v>
      </c>
      <c r="O374" s="0" t="n">
        <f aca="false">IF(ISBLANK(RawFinancials!O374),"",RawFinancials!O374)</f>
        <v>5529</v>
      </c>
      <c r="P374" s="0" t="str">
        <f aca="false">IF(ISBLANK(RawFinancials!P374),"",RawFinancials!P374)</f>
        <v>BAR HARBOR BANK &amp; TRUST</v>
      </c>
      <c r="Q374" s="0" t="n">
        <f aca="false">IF(ISBLANK(RawFinancials!Q374),"",RawFinancials!Q374)</f>
        <v>0.188922038172248</v>
      </c>
      <c r="R374" s="0" t="n">
        <f aca="false">IF(ISBLANK(RawFinancials!R374),"",RawFinancials!R374)</f>
        <v>3.42069609134703</v>
      </c>
      <c r="S374" s="0" t="n">
        <f aca="false">IF(ISBLANK(RawFinancials!S374),"",RawFinancials!S374)</f>
        <v>626</v>
      </c>
      <c r="T374" s="0" t="n">
        <f aca="false">IF(ISBLANK(RawFinancials!T374),"",RawFinancials!T374)</f>
        <v>2393</v>
      </c>
      <c r="U374" s="0" t="n">
        <f aca="false">IF(ISBLANK(RawFinancials!U374),"",RawFinancials!U374)</f>
        <v>141</v>
      </c>
      <c r="V374" s="0" t="n">
        <f aca="false">IF(ISBLANK(RawFinancials!V374),"",RawFinancials!V374)</f>
        <v>13.9732003897365</v>
      </c>
      <c r="W374" s="0" t="n">
        <f aca="false">IF(ISBLANK(RawFinancials!W374),"",RawFinancials!W374)</f>
        <v>20231231</v>
      </c>
      <c r="X374" s="0" t="n">
        <f aca="false">IF(ISBLANK(RawFinancials!X374),"",RawFinancials!X374)</f>
        <v>1.29383869122729</v>
      </c>
      <c r="Y374" s="0" t="n">
        <f aca="false">IF(ISBLANK(RawFinancials!Y374),"",RawFinancials!Y374)</f>
        <v>11.08</v>
      </c>
      <c r="Z374" s="0" t="str">
        <f aca="false">IF(ISBLANK(RawFinancials!Z374),"",RawFinancials!Z374)</f>
        <v>ME</v>
      </c>
      <c r="AA374" s="0" t="n">
        <f aca="false">RawFinancials!AA374</f>
        <v>1</v>
      </c>
      <c r="AB374" s="0" t="n">
        <f aca="false">RawFinancials!AB374</f>
        <v>5670</v>
      </c>
      <c r="AC374" s="0" t="n">
        <f aca="false">RawFinancials!AC374</f>
        <v>0.142900059680307</v>
      </c>
      <c r="AD374" s="0" t="n">
        <f aca="false">IF(L374&gt;0,100*N374/L374,"")</f>
        <v>87.9248829982827</v>
      </c>
      <c r="AE374" s="0" t="n">
        <f aca="false">IF(B374&gt;0,100*F374/B374,"")</f>
        <v>12.1970115489459</v>
      </c>
      <c r="AF374" s="0" t="str">
        <f aca="false">RawFinancials!AE374</f>
        <v/>
      </c>
    </row>
    <row r="375" customFormat="false" ht="15" hidden="false" customHeight="false" outlineLevel="0" collapsed="false">
      <c r="A375" s="0" t="n">
        <f aca="false">IF(ISBLANK(RawFinancials!A375),"",RawFinancials!A375)</f>
        <v>375</v>
      </c>
      <c r="B375" s="0" t="n">
        <f aca="false">IF(ISBLANK(RawFinancials!B375),"",RawFinancials!B375)</f>
        <v>1032673</v>
      </c>
      <c r="C375" s="0" t="n">
        <f aca="false">IF(ISBLANK(RawFinancials!C375),"",RawFinancials!C375)</f>
        <v>12874</v>
      </c>
      <c r="D375" s="0" t="n">
        <f aca="false">IF(ISBLANK(RawFinancials!D375),"",RawFinancials!D375)</f>
        <v>895094</v>
      </c>
      <c r="E375" s="0" t="n">
        <f aca="false">IF(ISBLANK(RawFinancials!E375),"",RawFinancials!E375)</f>
        <v>0.01</v>
      </c>
      <c r="F375" s="0" t="n">
        <f aca="false">IF(ISBLANK(RawFinancials!F375),"",RawFinancials!F375)</f>
        <v>106976</v>
      </c>
      <c r="G375" s="0" t="n">
        <f aca="false">IF(ISBLANK(RawFinancials!G375),"",RawFinancials!G375)</f>
        <v>10.3591359510707</v>
      </c>
      <c r="H375" s="0" t="str">
        <f aca="false">IF(ISBLANK(RawFinancials!H375),"",RawFinancials!H375)</f>
        <v>12874_20231231</v>
      </c>
      <c r="I375" s="0" t="n">
        <f aca="false">IF(ISBLANK(RawFinancials!I375),"",RawFinancials!I375)</f>
        <v>0.998006489857876</v>
      </c>
      <c r="J375" s="0" t="n">
        <f aca="false">IF(ISBLANK(RawFinancials!J375),"",RawFinancials!J375)</f>
        <v>144853</v>
      </c>
      <c r="K375" s="0" t="n">
        <f aca="false">IF(ISBLANK(RawFinancials!K375),"",RawFinancials!K375)</f>
        <v>5403</v>
      </c>
      <c r="L375" s="0" t="n">
        <f aca="false">IF(ISBLANK(RawFinancials!L375),"",RawFinancials!L375)</f>
        <v>799093</v>
      </c>
      <c r="M375" s="0" t="n">
        <f aca="false">IF(ISBLANK(RawFinancials!M375),"",RawFinancials!M375)</f>
        <v>791118</v>
      </c>
      <c r="N375" s="0" t="n">
        <f aca="false">IF(ISBLANK(RawFinancials!N375),"",RawFinancials!N375)</f>
        <v>632740</v>
      </c>
      <c r="O375" s="0" t="n">
        <f aca="false">IF(ISBLANK(RawFinancials!O375),"",RawFinancials!O375)</f>
        <v>670</v>
      </c>
      <c r="P375" s="0" t="str">
        <f aca="false">IF(ISBLANK(RawFinancials!P375),"",RawFinancials!P375)</f>
        <v>KATAHDIN TRUST COMPANY</v>
      </c>
      <c r="Q375" s="0" t="n">
        <f aca="false">IF(ISBLANK(RawFinancials!Q375),"",RawFinancials!Q375)</f>
        <v>0.0838450593360222</v>
      </c>
      <c r="R375" s="0" t="n">
        <f aca="false">IF(ISBLANK(RawFinancials!R375),"",RawFinancials!R375)</f>
        <v>3.88814771309452</v>
      </c>
      <c r="S375" s="0" t="n">
        <f aca="false">IF(ISBLANK(RawFinancials!S375),"",RawFinancials!S375)</f>
        <v>34</v>
      </c>
      <c r="T375" s="0" t="n">
        <f aca="false">IF(ISBLANK(RawFinancials!T375),"",RawFinancials!T375)</f>
        <v>2266</v>
      </c>
      <c r="U375" s="0" t="n">
        <f aca="false">IF(ISBLANK(RawFinancials!U375),"",RawFinancials!U375)</f>
        <v>0</v>
      </c>
      <c r="V375" s="0" t="n">
        <f aca="false">IF(ISBLANK(RawFinancials!V375),"",RawFinancials!V375)</f>
        <v>15.8859869558655</v>
      </c>
      <c r="W375" s="0" t="n">
        <f aca="false">IF(ISBLANK(RawFinancials!W375),"",RawFinancials!W375)</f>
        <v>20231231</v>
      </c>
      <c r="X375" s="0" t="n">
        <f aca="false">IF(ISBLANK(RawFinancials!X375),"",RawFinancials!X375)</f>
        <v>1.07594276192033</v>
      </c>
      <c r="Y375" s="0" t="n">
        <f aca="false">IF(ISBLANK(RawFinancials!Y375),"",RawFinancials!Y375)</f>
        <v>10.65</v>
      </c>
      <c r="Z375" s="0" t="str">
        <f aca="false">IF(ISBLANK(RawFinancials!Z375),"",RawFinancials!Z375)</f>
        <v>ME</v>
      </c>
      <c r="AA375" s="0" t="n">
        <f aca="false">RawFinancials!AA375</f>
        <v>1</v>
      </c>
      <c r="AB375" s="0" t="n">
        <f aca="false">RawFinancials!AB375</f>
        <v>670</v>
      </c>
      <c r="AC375" s="0" t="n">
        <f aca="false">RawFinancials!AC375</f>
        <v>0.0648801701990853</v>
      </c>
      <c r="AD375" s="0" t="n">
        <f aca="false">IF(L375&gt;0,100*N375/L375,"")</f>
        <v>79.1822729019025</v>
      </c>
      <c r="AE375" s="0" t="n">
        <f aca="false">IF(B375&gt;0,100*F375/B375,"")</f>
        <v>10.3591359510707</v>
      </c>
      <c r="AF375" s="0" t="str">
        <f aca="false">RawFinancials!AE375</f>
        <v/>
      </c>
    </row>
    <row r="376" customFormat="false" ht="15" hidden="false" customHeight="false" outlineLevel="0" collapsed="false">
      <c r="A376" s="0" t="n">
        <f aca="false">IF(ISBLANK(RawFinancials!A376),"",RawFinancials!A376)</f>
        <v>376</v>
      </c>
      <c r="B376" s="0" t="n">
        <f aca="false">IF(ISBLANK(RawFinancials!B376),"",RawFinancials!B376)</f>
        <v>1825832</v>
      </c>
      <c r="C376" s="0" t="n">
        <f aca="false">IF(ISBLANK(RawFinancials!C376),"",RawFinancials!C376)</f>
        <v>13063</v>
      </c>
      <c r="D376" s="0" t="n">
        <f aca="false">IF(ISBLANK(RawFinancials!D376),"",RawFinancials!D376)</f>
        <v>1598543</v>
      </c>
      <c r="E376" s="0" t="n">
        <f aca="false">IF(ISBLANK(RawFinancials!E376),"",RawFinancials!E376)</f>
        <v>0.11</v>
      </c>
      <c r="F376" s="0" t="n">
        <f aca="false">IF(ISBLANK(RawFinancials!F376),"",RawFinancials!F376)</f>
        <v>144898</v>
      </c>
      <c r="G376" s="0" t="n">
        <f aca="false">IF(ISBLANK(RawFinancials!G376),"",RawFinancials!G376)</f>
        <v>7.93599849274194</v>
      </c>
      <c r="H376" s="0" t="str">
        <f aca="false">IF(ISBLANK(RawFinancials!H376),"",RawFinancials!H376)</f>
        <v>13063_20231231</v>
      </c>
      <c r="I376" s="0" t="n">
        <f aca="false">IF(ISBLANK(RawFinancials!I376),"",RawFinancials!I376)</f>
        <v>1.19367542169489</v>
      </c>
      <c r="J376" s="0" t="n">
        <f aca="false">IF(ISBLANK(RawFinancials!J376),"",RawFinancials!J376)</f>
        <v>54417</v>
      </c>
      <c r="K376" s="0" t="n">
        <f aca="false">IF(ISBLANK(RawFinancials!K376),"",RawFinancials!K376)</f>
        <v>842</v>
      </c>
      <c r="L376" s="0" t="n">
        <f aca="false">IF(ISBLANK(RawFinancials!L376),"",RawFinancials!L376)</f>
        <v>1419984</v>
      </c>
      <c r="M376" s="0" t="n">
        <f aca="false">IF(ISBLANK(RawFinancials!M376),"",RawFinancials!M376)</f>
        <v>1403034</v>
      </c>
      <c r="N376" s="0" t="n">
        <f aca="false">IF(ISBLANK(RawFinancials!N376),"",RawFinancials!N376)</f>
        <v>1355009</v>
      </c>
      <c r="O376" s="0" t="n">
        <f aca="false">IF(ISBLANK(RawFinancials!O376),"",RawFinancials!O376)</f>
        <v>809</v>
      </c>
      <c r="P376" s="0" t="str">
        <f aca="false">IF(ISBLANK(RawFinancials!P376),"",RawFinancials!P376)</f>
        <v>KENNEBUNK SAVINGS BANK</v>
      </c>
      <c r="Q376" s="0" t="n">
        <f aca="false">IF(ISBLANK(RawFinancials!Q376),"",RawFinancials!Q376)</f>
        <v>0.0752825383947988</v>
      </c>
      <c r="R376" s="0" t="n">
        <f aca="false">IF(ISBLANK(RawFinancials!R376),"",RawFinancials!R376)</f>
        <v>3.17083919363506</v>
      </c>
      <c r="S376" s="0" t="n">
        <f aca="false">IF(ISBLANK(RawFinancials!S376),"",RawFinancials!S376)</f>
        <v>51</v>
      </c>
      <c r="T376" s="0" t="n">
        <f aca="false">IF(ISBLANK(RawFinancials!T376),"",RawFinancials!T376)</f>
        <v>1108</v>
      </c>
      <c r="U376" s="0" t="n">
        <f aca="false">IF(ISBLANK(RawFinancials!U376),"",RawFinancials!U376)</f>
        <v>260</v>
      </c>
      <c r="V376" s="0" t="n">
        <f aca="false">IF(ISBLANK(RawFinancials!V376),"",RawFinancials!V376)</f>
        <v>0</v>
      </c>
      <c r="W376" s="0" t="n">
        <f aca="false">IF(ISBLANK(RawFinancials!W376),"",RawFinancials!W376)</f>
        <v>20231231</v>
      </c>
      <c r="X376" s="0" t="n">
        <f aca="false">IF(ISBLANK(RawFinancials!X376),"",RawFinancials!X376)</f>
        <v>0.21976508473335</v>
      </c>
      <c r="Y376" s="0" t="n">
        <f aca="false">IF(ISBLANK(RawFinancials!Y376),"",RawFinancials!Y376)</f>
        <v>2.91</v>
      </c>
      <c r="Z376" s="0" t="str">
        <f aca="false">IF(ISBLANK(RawFinancials!Z376),"",RawFinancials!Z376)</f>
        <v>ME</v>
      </c>
      <c r="AA376" s="0" t="n">
        <f aca="false">RawFinancials!AA376</f>
        <v>1</v>
      </c>
      <c r="AB376" s="0" t="n">
        <f aca="false">RawFinancials!AB376</f>
        <v>1069</v>
      </c>
      <c r="AC376" s="0" t="n">
        <f aca="false">RawFinancials!AC376</f>
        <v>0.0585486506973259</v>
      </c>
      <c r="AD376" s="0" t="n">
        <f aca="false">IF(L376&gt;0,100*N376/L376,"")</f>
        <v>95.4242442168362</v>
      </c>
      <c r="AE376" s="0" t="n">
        <f aca="false">IF(B376&gt;0,100*F376/B376,"")</f>
        <v>7.93599849274194</v>
      </c>
      <c r="AF376" s="0" t="str">
        <f aca="false">RawFinancials!AE376</f>
        <v>原始0：需核实适用/报告口径</v>
      </c>
    </row>
    <row r="377" customFormat="false" ht="15" hidden="false" customHeight="false" outlineLevel="0" collapsed="false">
      <c r="A377" s="0" t="n">
        <f aca="false">IF(ISBLANK(RawFinancials!A377),"",RawFinancials!A377)</f>
        <v>377</v>
      </c>
      <c r="B377" s="0" t="n">
        <f aca="false">IF(ISBLANK(RawFinancials!B377),"",RawFinancials!B377)</f>
        <v>854743</v>
      </c>
      <c r="C377" s="0" t="n">
        <f aca="false">IF(ISBLANK(RawFinancials!C377),"",RawFinancials!C377)</f>
        <v>14134</v>
      </c>
      <c r="D377" s="0" t="n">
        <f aca="false">IF(ISBLANK(RawFinancials!D377),"",RawFinancials!D377)</f>
        <v>681633</v>
      </c>
      <c r="E377" s="0" t="n">
        <f aca="false">IF(ISBLANK(RawFinancials!E377),"",RawFinancials!E377)</f>
        <v>0.08</v>
      </c>
      <c r="F377" s="0" t="n">
        <f aca="false">IF(ISBLANK(RawFinancials!F377),"",RawFinancials!F377)</f>
        <v>105791</v>
      </c>
      <c r="G377" s="0" t="n">
        <f aca="false">IF(ISBLANK(RawFinancials!G377),"",RawFinancials!G377)</f>
        <v>12.3769366932517</v>
      </c>
      <c r="H377" s="0" t="str">
        <f aca="false">IF(ISBLANK(RawFinancials!H377),"",RawFinancials!H377)</f>
        <v>14134_20231231</v>
      </c>
      <c r="I377" s="0" t="n">
        <f aca="false">IF(ISBLANK(RawFinancials!I377),"",RawFinancials!I377)</f>
        <v>1.13509060441429</v>
      </c>
      <c r="J377" s="0" t="n">
        <f aca="false">IF(ISBLANK(RawFinancials!J377),"",RawFinancials!J377)</f>
        <v>25773</v>
      </c>
      <c r="K377" s="0" t="n">
        <f aca="false">IF(ISBLANK(RawFinancials!K377),"",RawFinancials!K377)</f>
        <v>27211</v>
      </c>
      <c r="L377" s="0" t="n">
        <f aca="false">IF(ISBLANK(RawFinancials!L377),"",RawFinancials!L377)</f>
        <v>640918</v>
      </c>
      <c r="M377" s="0" t="n">
        <f aca="false">IF(ISBLANK(RawFinancials!M377),"",RawFinancials!M377)</f>
        <v>633643</v>
      </c>
      <c r="N377" s="0" t="n">
        <f aca="false">IF(ISBLANK(RawFinancials!N377),"",RawFinancials!N377)</f>
        <v>566020</v>
      </c>
      <c r="O377" s="0" t="n">
        <f aca="false">IF(ISBLANK(RawFinancials!O377),"",RawFinancials!O377)</f>
        <v>10339</v>
      </c>
      <c r="P377" s="0" t="str">
        <f aca="false">IF(ISBLANK(RawFinancials!P377),"",RawFinancials!P377)</f>
        <v>PASSUMPSIC SAVINGS BANK</v>
      </c>
      <c r="Q377" s="0" t="n">
        <f aca="false">IF(ISBLANK(RawFinancials!Q377),"",RawFinancials!Q377)</f>
        <v>1.61315488096761</v>
      </c>
      <c r="R377" s="0" t="n">
        <f aca="false">IF(ISBLANK(RawFinancials!R377),"",RawFinancials!R377)</f>
        <v>3.22393019720266</v>
      </c>
      <c r="S377" s="0" t="n">
        <f aca="false">IF(ISBLANK(RawFinancials!S377),"",RawFinancials!S377)</f>
        <v>595</v>
      </c>
      <c r="T377" s="0" t="n">
        <f aca="false">IF(ISBLANK(RawFinancials!T377),"",RawFinancials!T377)</f>
        <v>3255</v>
      </c>
      <c r="U377" s="0" t="n">
        <f aca="false">IF(ISBLANK(RawFinancials!U377),"",RawFinancials!U377)</f>
        <v>0</v>
      </c>
      <c r="V377" s="0" t="n">
        <f aca="false">IF(ISBLANK(RawFinancials!V377),"",RawFinancials!V377)</f>
        <v>19.2684553429436</v>
      </c>
      <c r="W377" s="0" t="n">
        <f aca="false">IF(ISBLANK(RawFinancials!W377),"",RawFinancials!W377)</f>
        <v>20231231</v>
      </c>
      <c r="X377" s="0" t="n">
        <f aca="false">IF(ISBLANK(RawFinancials!X377),"",RawFinancials!X377)</f>
        <v>0.845572388097908</v>
      </c>
      <c r="Y377" s="0" t="n">
        <f aca="false">IF(ISBLANK(RawFinancials!Y377),"",RawFinancials!Y377)</f>
        <v>7.15</v>
      </c>
      <c r="Z377" s="0" t="str">
        <f aca="false">IF(ISBLANK(RawFinancials!Z377),"",RawFinancials!Z377)</f>
        <v>VT</v>
      </c>
      <c r="AA377" s="0" t="n">
        <f aca="false">RawFinancials!AA377</f>
        <v>1</v>
      </c>
      <c r="AB377" s="0" t="n">
        <f aca="false">RawFinancials!AB377</f>
        <v>10339</v>
      </c>
      <c r="AC377" s="0" t="n">
        <f aca="false">RawFinancials!AC377</f>
        <v>1.20960335445859</v>
      </c>
      <c r="AD377" s="0" t="n">
        <f aca="false">IF(L377&gt;0,100*N377/L377,"")</f>
        <v>88.31394967843</v>
      </c>
      <c r="AE377" s="0" t="n">
        <f aca="false">IF(B377&gt;0,100*F377/B377,"")</f>
        <v>12.3769366932517</v>
      </c>
      <c r="AF377" s="0" t="str">
        <f aca="false">RawFinancials!AE377</f>
        <v/>
      </c>
    </row>
    <row r="378" customFormat="false" ht="15" hidden="false" customHeight="false" outlineLevel="0" collapsed="false">
      <c r="A378" s="0" t="n">
        <f aca="false">IF(ISBLANK(RawFinancials!A378),"",RawFinancials!A378)</f>
        <v>378</v>
      </c>
      <c r="B378" s="0" t="n">
        <f aca="false">IF(ISBLANK(RawFinancials!B378),"",RawFinancials!B378)</f>
        <v>233858</v>
      </c>
      <c r="C378" s="0" t="n">
        <f aca="false">IF(ISBLANK(RawFinancials!C378),"",RawFinancials!C378)</f>
        <v>14136</v>
      </c>
      <c r="D378" s="0" t="n">
        <f aca="false">IF(ISBLANK(RawFinancials!D378),"",RawFinancials!D378)</f>
        <v>193772</v>
      </c>
      <c r="E378" s="0" t="n">
        <f aca="false">IF(ISBLANK(RawFinancials!E378),"",RawFinancials!E378)</f>
        <v>0.06</v>
      </c>
      <c r="F378" s="0" t="n">
        <f aca="false">IF(ISBLANK(RawFinancials!F378),"",RawFinancials!F378)</f>
        <v>17016</v>
      </c>
      <c r="G378" s="0" t="n">
        <f aca="false">IF(ISBLANK(RawFinancials!G378),"",RawFinancials!G378)</f>
        <v>7.27621034987043</v>
      </c>
      <c r="H378" s="0" t="str">
        <f aca="false">IF(ISBLANK(RawFinancials!H378),"",RawFinancials!H378)</f>
        <v>14136_20231231</v>
      </c>
      <c r="I378" s="0" t="n">
        <f aca="false">IF(ISBLANK(RawFinancials!I378),"",RawFinancials!I378)</f>
        <v>1.25238580803723</v>
      </c>
      <c r="J378" s="0" t="n">
        <f aca="false">IF(ISBLANK(RawFinancials!J378),"",RawFinancials!J378)</f>
        <v>14469</v>
      </c>
      <c r="K378" s="0" t="n">
        <f aca="false">IF(ISBLANK(RawFinancials!K378),"",RawFinancials!K378)</f>
        <v>14725</v>
      </c>
      <c r="L378" s="0" t="n">
        <f aca="false">IF(ISBLANK(RawFinancials!L378),"",RawFinancials!L378)</f>
        <v>152988</v>
      </c>
      <c r="M378" s="0" t="n">
        <f aca="false">IF(ISBLANK(RawFinancials!M378),"",RawFinancials!M378)</f>
        <v>151072</v>
      </c>
      <c r="N378" s="0" t="n">
        <f aca="false">IF(ISBLANK(RawFinancials!N378),"",RawFinancials!N378)</f>
        <v>123494</v>
      </c>
      <c r="O378" s="0" t="n">
        <f aca="false">IF(ISBLANK(RawFinancials!O378),"",RawFinancials!O378)</f>
        <v>6</v>
      </c>
      <c r="P378" s="0" t="str">
        <f aca="false">IF(ISBLANK(RawFinancials!P378),"",RawFinancials!P378)</f>
        <v>WELLS RIVER SAVINGS BANK</v>
      </c>
      <c r="Q378" s="0" t="n">
        <f aca="false">IF(ISBLANK(RawFinancials!Q378),"",RawFinancials!Q378)</f>
        <v>0.33532041728763</v>
      </c>
      <c r="R378" s="0" t="n">
        <f aca="false">IF(ISBLANK(RawFinancials!R378),"",RawFinancials!R378)</f>
        <v>4.02120098867828</v>
      </c>
      <c r="S378" s="0" t="n">
        <f aca="false">IF(ISBLANK(RawFinancials!S378),"",RawFinancials!S378)</f>
        <v>93</v>
      </c>
      <c r="T378" s="0" t="n">
        <f aca="false">IF(ISBLANK(RawFinancials!T378),"",RawFinancials!T378)</f>
        <v>1094</v>
      </c>
      <c r="U378" s="0" t="n">
        <f aca="false">IF(ISBLANK(RawFinancials!U378),"",RawFinancials!U378)</f>
        <v>507</v>
      </c>
      <c r="V378" s="0" t="n">
        <f aca="false">IF(ISBLANK(RawFinancials!V378),"",RawFinancials!V378)</f>
        <v>17.5667789596541</v>
      </c>
      <c r="W378" s="0" t="n">
        <f aca="false">IF(ISBLANK(RawFinancials!W378),"",RawFinancials!W378)</f>
        <v>20231231</v>
      </c>
      <c r="X378" s="0" t="n">
        <f aca="false">IF(ISBLANK(RawFinancials!X378),"",RawFinancials!X378)</f>
        <v>0.594423182066703</v>
      </c>
      <c r="Y378" s="0" t="n">
        <f aca="false">IF(ISBLANK(RawFinancials!Y378),"",RawFinancials!Y378)</f>
        <v>8.72</v>
      </c>
      <c r="Z378" s="0" t="str">
        <f aca="false">IF(ISBLANK(RawFinancials!Z378),"",RawFinancials!Z378)</f>
        <v>VT</v>
      </c>
      <c r="AA378" s="0" t="n">
        <f aca="false">RawFinancials!AA378</f>
        <v>1</v>
      </c>
      <c r="AB378" s="0" t="n">
        <f aca="false">RawFinancials!AB378</f>
        <v>513</v>
      </c>
      <c r="AC378" s="0" t="n">
        <f aca="false">RawFinancials!AC378</f>
        <v>0.219363887487279</v>
      </c>
      <c r="AD378" s="0" t="n">
        <f aca="false">IF(L378&gt;0,100*N378/L378,"")</f>
        <v>80.7213637670928</v>
      </c>
      <c r="AE378" s="0" t="n">
        <f aca="false">IF(B378&gt;0,100*F378/B378,"")</f>
        <v>7.27621034987043</v>
      </c>
      <c r="AF378" s="0" t="str">
        <f aca="false">RawFinancials!AE378</f>
        <v/>
      </c>
    </row>
    <row r="379" customFormat="false" ht="15" hidden="false" customHeight="false" outlineLevel="0" collapsed="false">
      <c r="A379" s="0" t="n">
        <f aca="false">IF(ISBLANK(RawFinancials!A379),"",RawFinancials!A379)</f>
        <v>379</v>
      </c>
      <c r="B379" s="0" t="n">
        <f aca="false">IF(ISBLANK(RawFinancials!B379),"",RawFinancials!B379)</f>
        <v>1504702</v>
      </c>
      <c r="C379" s="0" t="n">
        <f aca="false">IF(ISBLANK(RawFinancials!C379),"",RawFinancials!C379)</f>
        <v>14140</v>
      </c>
      <c r="D379" s="0" t="n">
        <f aca="false">IF(ISBLANK(RawFinancials!D379),"",RawFinancials!D379)</f>
        <v>1190702</v>
      </c>
      <c r="E379" s="0" t="n">
        <f aca="false">IF(ISBLANK(RawFinancials!E379),"",RawFinancials!E379)</f>
        <v>0.03</v>
      </c>
      <c r="F379" s="0" t="n">
        <f aca="false">IF(ISBLANK(RawFinancials!F379),"",RawFinancials!F379)</f>
        <v>126249</v>
      </c>
      <c r="G379" s="0" t="n">
        <f aca="false">IF(ISBLANK(RawFinancials!G379),"",RawFinancials!G379)</f>
        <v>8.39029920874698</v>
      </c>
      <c r="H379" s="0" t="str">
        <f aca="false">IF(ISBLANK(RawFinancials!H379),"",RawFinancials!H379)</f>
        <v>14140_20231231</v>
      </c>
      <c r="I379" s="0" t="n">
        <f aca="false">IF(ISBLANK(RawFinancials!I379),"",RawFinancials!I379)</f>
        <v>0.820739617879485</v>
      </c>
      <c r="J379" s="0" t="n">
        <f aca="false">IF(ISBLANK(RawFinancials!J379),"",RawFinancials!J379)</f>
        <v>93067</v>
      </c>
      <c r="K379" s="0" t="n">
        <f aca="false">IF(ISBLANK(RawFinancials!K379),"",RawFinancials!K379)</f>
        <v>1491</v>
      </c>
      <c r="L379" s="0" t="n">
        <f aca="false">IF(ISBLANK(RawFinancials!L379),"",RawFinancials!L379)</f>
        <v>1039672</v>
      </c>
      <c r="M379" s="0" t="n">
        <f aca="false">IF(ISBLANK(RawFinancials!M379),"",RawFinancials!M379)</f>
        <v>1031139</v>
      </c>
      <c r="N379" s="0" t="n">
        <f aca="false">IF(ISBLANK(RawFinancials!N379),"",RawFinancials!N379)</f>
        <v>927729</v>
      </c>
      <c r="O379" s="0" t="n">
        <f aca="false">IF(ISBLANK(RawFinancials!O379),"",RawFinancials!O379)</f>
        <v>4671</v>
      </c>
      <c r="P379" s="0" t="str">
        <f aca="false">IF(ISBLANK(RawFinancials!P379),"",RawFinancials!P379)</f>
        <v>NORTHFIELD SAVINGS BANK</v>
      </c>
      <c r="Q379" s="0" t="n">
        <f aca="false">IF(ISBLANK(RawFinancials!Q379),"",RawFinancials!Q379)</f>
        <v>0.449276310220916</v>
      </c>
      <c r="R379" s="0" t="n">
        <f aca="false">IF(ISBLANK(RawFinancials!R379),"",RawFinancials!R379)</f>
        <v>2.63872597463427</v>
      </c>
      <c r="S379" s="0" t="n">
        <f aca="false">IF(ISBLANK(RawFinancials!S379),"",RawFinancials!S379)</f>
        <v>67</v>
      </c>
      <c r="T379" s="0" t="n">
        <f aca="false">IF(ISBLANK(RawFinancials!T379),"",RawFinancials!T379)</f>
        <v>1538</v>
      </c>
      <c r="U379" s="0" t="n">
        <f aca="false">IF(ISBLANK(RawFinancials!U379),"",RawFinancials!U379)</f>
        <v>0</v>
      </c>
      <c r="V379" s="0" t="n">
        <f aca="false">IF(ISBLANK(RawFinancials!V379),"",RawFinancials!V379)</f>
        <v>0</v>
      </c>
      <c r="W379" s="0" t="n">
        <f aca="false">IF(ISBLANK(RawFinancials!W379),"",RawFinancials!W379)</f>
        <v>20231231</v>
      </c>
      <c r="X379" s="0" t="n">
        <f aca="false">IF(ISBLANK(RawFinancials!X379),"",RawFinancials!X379)</f>
        <v>0.220681498748757</v>
      </c>
      <c r="Y379" s="0" t="n">
        <f aca="false">IF(ISBLANK(RawFinancials!Y379),"",RawFinancials!Y379)</f>
        <v>2.68</v>
      </c>
      <c r="Z379" s="0" t="str">
        <f aca="false">IF(ISBLANK(RawFinancials!Z379),"",RawFinancials!Z379)</f>
        <v>VT</v>
      </c>
      <c r="AA379" s="0" t="n">
        <f aca="false">RawFinancials!AA379</f>
        <v>1</v>
      </c>
      <c r="AB379" s="0" t="n">
        <f aca="false">RawFinancials!AB379</f>
        <v>4671</v>
      </c>
      <c r="AC379" s="0" t="n">
        <f aca="false">RawFinancials!AC379</f>
        <v>0.31042691509681</v>
      </c>
      <c r="AD379" s="0" t="n">
        <f aca="false">IF(L379&gt;0,100*N379/L379,"")</f>
        <v>89.2328542078656</v>
      </c>
      <c r="AE379" s="0" t="n">
        <f aca="false">IF(B379&gt;0,100*F379/B379,"")</f>
        <v>8.39029920874698</v>
      </c>
      <c r="AF379" s="0" t="str">
        <f aca="false">RawFinancials!AE379</f>
        <v>原始0：需核实适用/报告口径</v>
      </c>
    </row>
    <row r="380" customFormat="false" ht="15" hidden="false" customHeight="false" outlineLevel="0" collapsed="false">
      <c r="A380" s="0" t="n">
        <f aca="false">IF(ISBLANK(RawFinancials!A380),"",RawFinancials!A380)</f>
        <v>380</v>
      </c>
      <c r="B380" s="0" t="n">
        <f aca="false">IF(ISBLANK(RawFinancials!B380),"",RawFinancials!B380)</f>
        <v>1468468</v>
      </c>
      <c r="C380" s="0" t="n">
        <f aca="false">IF(ISBLANK(RawFinancials!C380),"",RawFinancials!C380)</f>
        <v>14158</v>
      </c>
      <c r="D380" s="0" t="n">
        <f aca="false">IF(ISBLANK(RawFinancials!D380),"",RawFinancials!D380)</f>
        <v>1308218</v>
      </c>
      <c r="E380" s="0" t="n">
        <f aca="false">IF(ISBLANK(RawFinancials!E380),"",RawFinancials!E380)</f>
        <v>-0.04</v>
      </c>
      <c r="F380" s="0" t="n">
        <f aca="false">IF(ISBLANK(RawFinancials!F380),"",RawFinancials!F380)</f>
        <v>82122</v>
      </c>
      <c r="G380" s="0" t="n">
        <f aca="false">IF(ISBLANK(RawFinancials!G380),"",RawFinancials!G380)</f>
        <v>5.59235883928012</v>
      </c>
      <c r="H380" s="0" t="str">
        <f aca="false">IF(ISBLANK(RawFinancials!H380),"",RawFinancials!H380)</f>
        <v>14158_20231231</v>
      </c>
      <c r="I380" s="0" t="n">
        <f aca="false">IF(ISBLANK(RawFinancials!I380),"",RawFinancials!I380)</f>
        <v>0.635567790671112</v>
      </c>
      <c r="J380" s="0" t="n">
        <f aca="false">IF(ISBLANK(RawFinancials!J380),"",RawFinancials!J380)</f>
        <v>40326</v>
      </c>
      <c r="K380" s="0" t="n">
        <f aca="false">IF(ISBLANK(RawFinancials!K380),"",RawFinancials!K380)</f>
        <v>2468</v>
      </c>
      <c r="L380" s="0" t="n">
        <f aca="false">IF(ISBLANK(RawFinancials!L380),"",RawFinancials!L380)</f>
        <v>1033092</v>
      </c>
      <c r="M380" s="0" t="n">
        <f aca="false">IF(ISBLANK(RawFinancials!M380),"",RawFinancials!M380)</f>
        <v>1026526</v>
      </c>
      <c r="N380" s="0" t="n">
        <f aca="false">IF(ISBLANK(RawFinancials!N380),"",RawFinancials!N380)</f>
        <v>908227</v>
      </c>
      <c r="O380" s="0" t="n">
        <f aca="false">IF(ISBLANK(RawFinancials!O380),"",RawFinancials!O380)</f>
        <v>1858</v>
      </c>
      <c r="P380" s="0" t="str">
        <f aca="false">IF(ISBLANK(RawFinancials!P380),"",RawFinancials!P380)</f>
        <v>UNION BANK</v>
      </c>
      <c r="Q380" s="0" t="n">
        <f aca="false">IF(ISBLANK(RawFinancials!Q380),"",RawFinancials!Q380)</f>
        <v>0.195529536575639</v>
      </c>
      <c r="R380" s="0" t="n">
        <f aca="false">IF(ISBLANK(RawFinancials!R380),"",RawFinancials!R380)</f>
        <v>2.98715522475713</v>
      </c>
      <c r="S380" s="0" t="n">
        <f aca="false">IF(ISBLANK(RawFinancials!S380),"",RawFinancials!S380)</f>
        <v>4</v>
      </c>
      <c r="T380" s="0" t="n">
        <f aca="false">IF(ISBLANK(RawFinancials!T380),"",RawFinancials!T380)</f>
        <v>3617</v>
      </c>
      <c r="U380" s="0" t="n">
        <f aca="false">IF(ISBLANK(RawFinancials!U380),"",RawFinancials!U380)</f>
        <v>162</v>
      </c>
      <c r="V380" s="0" t="n">
        <f aca="false">IF(ISBLANK(RawFinancials!V380),"",RawFinancials!V380)</f>
        <v>13.3530640668524</v>
      </c>
      <c r="W380" s="0" t="n">
        <f aca="false">IF(ISBLANK(RawFinancials!W380),"",RawFinancials!W380)</f>
        <v>20231231</v>
      </c>
      <c r="X380" s="0" t="n">
        <f aca="false">IF(ISBLANK(RawFinancials!X380),"",RawFinancials!X380)</f>
        <v>0.879855556925219</v>
      </c>
      <c r="Y380" s="0" t="n">
        <f aca="false">IF(ISBLANK(RawFinancials!Y380),"",RawFinancials!Y380)</f>
        <v>16.38</v>
      </c>
      <c r="Z380" s="0" t="str">
        <f aca="false">IF(ISBLANK(RawFinancials!Z380),"",RawFinancials!Z380)</f>
        <v>VT</v>
      </c>
      <c r="AA380" s="0" t="n">
        <f aca="false">RawFinancials!AA380</f>
        <v>1</v>
      </c>
      <c r="AB380" s="0" t="n">
        <f aca="false">RawFinancials!AB380</f>
        <v>2020</v>
      </c>
      <c r="AC380" s="0" t="n">
        <f aca="false">RawFinancials!AC380</f>
        <v>0.137558326092227</v>
      </c>
      <c r="AD380" s="0" t="n">
        <f aca="false">IF(L380&gt;0,100*N380/L380,"")</f>
        <v>87.9134675324172</v>
      </c>
      <c r="AE380" s="0" t="n">
        <f aca="false">IF(B380&gt;0,100*F380/B380,"")</f>
        <v>5.59235883928012</v>
      </c>
      <c r="AF380" s="0" t="str">
        <f aca="false">RawFinancials!AE380</f>
        <v/>
      </c>
    </row>
    <row r="381" customFormat="false" ht="15" hidden="false" customHeight="false" outlineLevel="0" collapsed="false">
      <c r="A381" s="0" t="n">
        <f aca="false">IF(ISBLANK(RawFinancials!A381),"",RawFinancials!A381)</f>
        <v>381</v>
      </c>
      <c r="B381" s="0" t="n">
        <f aca="false">IF(ISBLANK(RawFinancials!B381),"",RawFinancials!B381)</f>
        <v>357709</v>
      </c>
      <c r="C381" s="0" t="n">
        <f aca="false">IF(ISBLANK(RawFinancials!C381),"",RawFinancials!C381)</f>
        <v>14168</v>
      </c>
      <c r="D381" s="0" t="n">
        <f aca="false">IF(ISBLANK(RawFinancials!D381),"",RawFinancials!D381)</f>
        <v>317592</v>
      </c>
      <c r="E381" s="0" t="n">
        <f aca="false">IF(ISBLANK(RawFinancials!E381),"",RawFinancials!E381)</f>
        <v>0.22</v>
      </c>
      <c r="F381" s="0" t="n">
        <f aca="false">IF(ISBLANK(RawFinancials!F381),"",RawFinancials!F381)</f>
        <v>35301</v>
      </c>
      <c r="G381" s="0" t="n">
        <f aca="false">IF(ISBLANK(RawFinancials!G381),"",RawFinancials!G381)</f>
        <v>9.86863623783578</v>
      </c>
      <c r="H381" s="0" t="str">
        <f aca="false">IF(ISBLANK(RawFinancials!H381),"",RawFinancials!H381)</f>
        <v>14168_20231231</v>
      </c>
      <c r="I381" s="0" t="n">
        <f aca="false">IF(ISBLANK(RawFinancials!I381),"",RawFinancials!I381)</f>
        <v>1.67092055190506</v>
      </c>
      <c r="J381" s="0" t="n">
        <f aca="false">IF(ISBLANK(RawFinancials!J381),"",RawFinancials!J381)</f>
        <v>11698</v>
      </c>
      <c r="K381" s="0" t="n">
        <f aca="false">IF(ISBLANK(RawFinancials!K381),"",RawFinancials!K381)</f>
        <v>10178</v>
      </c>
      <c r="L381" s="0" t="n">
        <f aca="false">IF(ISBLANK(RawFinancials!L381),"",RawFinancials!L381)</f>
        <v>239389</v>
      </c>
      <c r="M381" s="0" t="n">
        <f aca="false">IF(ISBLANK(RawFinancials!M381),"",RawFinancials!M381)</f>
        <v>235389</v>
      </c>
      <c r="N381" s="0" t="n">
        <f aca="false">IF(ISBLANK(RawFinancials!N381),"",RawFinancials!N381)</f>
        <v>202849</v>
      </c>
      <c r="O381" s="0" t="n">
        <f aca="false">IF(ISBLANK(RawFinancials!O381),"",RawFinancials!O381)</f>
        <v>1115</v>
      </c>
      <c r="P381" s="0" t="str">
        <f aca="false">IF(ISBLANK(RawFinancials!P381),"",RawFinancials!P381)</f>
        <v>PEOPLES TRUST COMPANY OF ST. ALBANS</v>
      </c>
      <c r="Q381" s="0" t="n">
        <f aca="false">IF(ISBLANK(RawFinancials!Q381),"",RawFinancials!Q381)</f>
        <v>0.465769103843535</v>
      </c>
      <c r="R381" s="0" t="n">
        <f aca="false">IF(ISBLANK(RawFinancials!R381),"",RawFinancials!R381)</f>
        <v>3.99627193623627</v>
      </c>
      <c r="S381" s="0" t="n">
        <f aca="false">IF(ISBLANK(RawFinancials!S381),"",RawFinancials!S381)</f>
        <v>-60</v>
      </c>
      <c r="T381" s="0" t="n">
        <f aca="false">IF(ISBLANK(RawFinancials!T381),"",RawFinancials!T381)</f>
        <v>513</v>
      </c>
      <c r="U381" s="0" t="n">
        <f aca="false">IF(ISBLANK(RawFinancials!U381),"",RawFinancials!U381)</f>
        <v>0</v>
      </c>
      <c r="V381" s="0" t="n">
        <f aca="false">IF(ISBLANK(RawFinancials!V381),"",RawFinancials!V381)</f>
        <v>16.7449070853622</v>
      </c>
      <c r="W381" s="0" t="n">
        <f aca="false">IF(ISBLANK(RawFinancials!W381),"",RawFinancials!W381)</f>
        <v>20231231</v>
      </c>
      <c r="X381" s="0" t="n">
        <f aca="false">IF(ISBLANK(RawFinancials!X381),"",RawFinancials!X381)</f>
        <v>0.791084607348037</v>
      </c>
      <c r="Y381" s="0" t="n">
        <f aca="false">IF(ISBLANK(RawFinancials!Y381),"",RawFinancials!Y381)</f>
        <v>8.63</v>
      </c>
      <c r="Z381" s="0" t="str">
        <f aca="false">IF(ISBLANK(RawFinancials!Z381),"",RawFinancials!Z381)</f>
        <v>VT</v>
      </c>
      <c r="AA381" s="0" t="n">
        <f aca="false">RawFinancials!AA381</f>
        <v>1</v>
      </c>
      <c r="AB381" s="0" t="n">
        <f aca="false">RawFinancials!AB381</f>
        <v>1115</v>
      </c>
      <c r="AC381" s="0" t="n">
        <f aca="false">RawFinancials!AC381</f>
        <v>0.311705883832948</v>
      </c>
      <c r="AD381" s="0" t="n">
        <f aca="false">IF(L381&gt;0,100*N381/L381,"")</f>
        <v>84.7361407583473</v>
      </c>
      <c r="AE381" s="0" t="n">
        <f aca="false">IF(B381&gt;0,100*F381/B381,"")</f>
        <v>9.86863623783578</v>
      </c>
      <c r="AF381" s="0" t="str">
        <f aca="false">RawFinancials!AE381</f>
        <v/>
      </c>
    </row>
    <row r="382" customFormat="false" ht="15" hidden="false" customHeight="false" outlineLevel="0" collapsed="false">
      <c r="A382" s="0" t="n">
        <f aca="false">IF(ISBLANK(RawFinancials!A382),"",RawFinancials!A382)</f>
        <v>382</v>
      </c>
      <c r="B382" s="0" t="n">
        <f aca="false">IF(ISBLANK(RawFinancials!B382),"",RawFinancials!B382)</f>
        <v>1284888</v>
      </c>
      <c r="C382" s="0" t="n">
        <f aca="false">IF(ISBLANK(RawFinancials!C382),"",RawFinancials!C382)</f>
        <v>14240</v>
      </c>
      <c r="D382" s="0" t="n">
        <f aca="false">IF(ISBLANK(RawFinancials!D382),"",RawFinancials!D382)</f>
        <v>1001876</v>
      </c>
      <c r="E382" s="0" t="n">
        <f aca="false">IF(ISBLANK(RawFinancials!E382),"",RawFinancials!E382)</f>
        <v>-0.04</v>
      </c>
      <c r="F382" s="0" t="n">
        <f aca="false">IF(ISBLANK(RawFinancials!F382),"",RawFinancials!F382)</f>
        <v>89997</v>
      </c>
      <c r="G382" s="0" t="n">
        <f aca="false">IF(ISBLANK(RawFinancials!G382),"",RawFinancials!G382)</f>
        <v>7.00426807628369</v>
      </c>
      <c r="H382" s="0" t="str">
        <f aca="false">IF(ISBLANK(RawFinancials!H382),"",RawFinancials!H382)</f>
        <v>14240_20231231</v>
      </c>
      <c r="I382" s="0" t="n">
        <f aca="false">IF(ISBLANK(RawFinancials!I382),"",RawFinancials!I382)</f>
        <v>1.16147877879671</v>
      </c>
      <c r="J382" s="0" t="n">
        <f aca="false">IF(ISBLANK(RawFinancials!J382),"",RawFinancials!J382)</f>
        <v>26444</v>
      </c>
      <c r="K382" s="0" t="n">
        <f aca="false">IF(ISBLANK(RawFinancials!K382),"",RawFinancials!K382)</f>
        <v>16789</v>
      </c>
      <c r="L382" s="0" t="n">
        <f aca="false">IF(ISBLANK(RawFinancials!L382),"",RawFinancials!L382)</f>
        <v>920895</v>
      </c>
      <c r="M382" s="0" t="n">
        <f aca="false">IF(ISBLANK(RawFinancials!M382),"",RawFinancials!M382)</f>
        <v>910199</v>
      </c>
      <c r="N382" s="0" t="n">
        <f aca="false">IF(ISBLANK(RawFinancials!N382),"",RawFinancials!N382)</f>
        <v>809855</v>
      </c>
      <c r="O382" s="0" t="n">
        <f aca="false">IF(ISBLANK(RawFinancials!O382),"",RawFinancials!O382)</f>
        <v>2809</v>
      </c>
      <c r="P382" s="0" t="str">
        <f aca="false">IF(ISBLANK(RawFinancials!P382),"",RawFinancials!P382)</f>
        <v>NORTHWAY BANK</v>
      </c>
      <c r="Q382" s="0" t="n">
        <f aca="false">IF(ISBLANK(RawFinancials!Q382),"",RawFinancials!Q382)</f>
        <v>0.305029346451007</v>
      </c>
      <c r="R382" s="0" t="n">
        <f aca="false">IF(ISBLANK(RawFinancials!R382),"",RawFinancials!R382)</f>
        <v>2.84438328976009</v>
      </c>
      <c r="S382" s="0" t="n">
        <f aca="false">IF(ISBLANK(RawFinancials!S382),"",RawFinancials!S382)</f>
        <v>17</v>
      </c>
      <c r="T382" s="0" t="n">
        <f aca="false">IF(ISBLANK(RawFinancials!T382),"",RawFinancials!T382)</f>
        <v>3092</v>
      </c>
      <c r="U382" s="0" t="n">
        <f aca="false">IF(ISBLANK(RawFinancials!U382),"",RawFinancials!U382)</f>
        <v>0</v>
      </c>
      <c r="V382" s="0" t="n">
        <f aca="false">IF(ISBLANK(RawFinancials!V382),"",RawFinancials!V382)</f>
        <v>15.654705756581</v>
      </c>
      <c r="W382" s="0" t="n">
        <f aca="false">IF(ISBLANK(RawFinancials!W382),"",RawFinancials!W382)</f>
        <v>20231231</v>
      </c>
      <c r="X382" s="0" t="n">
        <f aca="false">IF(ISBLANK(RawFinancials!X382),"",RawFinancials!X382)</f>
        <v>0.476970080763032</v>
      </c>
      <c r="Y382" s="0" t="n">
        <f aca="false">IF(ISBLANK(RawFinancials!Y382),"",RawFinancials!Y382)</f>
        <v>7.62</v>
      </c>
      <c r="Z382" s="0" t="str">
        <f aca="false">IF(ISBLANK(RawFinancials!Z382),"",RawFinancials!Z382)</f>
        <v>NH</v>
      </c>
      <c r="AA382" s="0" t="n">
        <f aca="false">RawFinancials!AA382</f>
        <v>1</v>
      </c>
      <c r="AB382" s="0" t="n">
        <f aca="false">RawFinancials!AB382</f>
        <v>2809</v>
      </c>
      <c r="AC382" s="0" t="n">
        <f aca="false">RawFinancials!AC382</f>
        <v>0.218618276456781</v>
      </c>
      <c r="AD382" s="0" t="n">
        <f aca="false">IF(L382&gt;0,100*N382/L382,"")</f>
        <v>87.9421649590887</v>
      </c>
      <c r="AE382" s="0" t="n">
        <f aca="false">IF(B382&gt;0,100*F382/B382,"")</f>
        <v>7.00426807628369</v>
      </c>
      <c r="AF382" s="0" t="str">
        <f aca="false">RawFinancials!AE382</f>
        <v/>
      </c>
    </row>
    <row r="383" customFormat="false" ht="15" hidden="false" customHeight="false" outlineLevel="0" collapsed="false">
      <c r="A383" s="0" t="n">
        <f aca="false">IF(ISBLANK(RawFinancials!A383),"",RawFinancials!A383)</f>
        <v>383</v>
      </c>
      <c r="B383" s="0" t="n">
        <f aca="false">IF(ISBLANK(RawFinancials!B383),"",RawFinancials!B383)</f>
        <v>1091692</v>
      </c>
      <c r="C383" s="0" t="n">
        <f aca="false">IF(ISBLANK(RawFinancials!C383),"",RawFinancials!C383)</f>
        <v>17115</v>
      </c>
      <c r="D383" s="0" t="n">
        <f aca="false">IF(ISBLANK(RawFinancials!D383),"",RawFinancials!D383)</f>
        <v>771961</v>
      </c>
      <c r="E383" s="0" t="n">
        <f aca="false">IF(ISBLANK(RawFinancials!E383),"",RawFinancials!E383)</f>
        <v>0</v>
      </c>
      <c r="F383" s="0" t="n">
        <f aca="false">IF(ISBLANK(RawFinancials!F383),"",RawFinancials!F383)</f>
        <v>87410</v>
      </c>
      <c r="G383" s="0" t="n">
        <f aca="false">IF(ISBLANK(RawFinancials!G383),"",RawFinancials!G383)</f>
        <v>8.00683709324608</v>
      </c>
      <c r="H383" s="0" t="str">
        <f aca="false">IF(ISBLANK(RawFinancials!H383),"",RawFinancials!H383)</f>
        <v>17115_20231231</v>
      </c>
      <c r="I383" s="0" t="n">
        <f aca="false">IF(ISBLANK(RawFinancials!I383),"",RawFinancials!I383)</f>
        <v>0.991754649683795</v>
      </c>
      <c r="J383" s="0" t="n">
        <f aca="false">IF(ISBLANK(RawFinancials!J383),"",RawFinancials!J383)</f>
        <v>43686</v>
      </c>
      <c r="K383" s="0" t="n">
        <f aca="false">IF(ISBLANK(RawFinancials!K383),"",RawFinancials!K383)</f>
        <v>6112</v>
      </c>
      <c r="L383" s="0" t="n">
        <f aca="false">IF(ISBLANK(RawFinancials!L383),"",RawFinancials!L383)</f>
        <v>899416</v>
      </c>
      <c r="M383" s="0" t="n">
        <f aca="false">IF(ISBLANK(RawFinancials!M383),"",RawFinancials!M383)</f>
        <v>890496</v>
      </c>
      <c r="N383" s="0" t="n">
        <f aca="false">IF(ISBLANK(RawFinancials!N383),"",RawFinancials!N383)</f>
        <v>848763</v>
      </c>
      <c r="O383" s="0" t="n">
        <f aca="false">IF(ISBLANK(RawFinancials!O383),"",RawFinancials!O383)</f>
        <v>2404</v>
      </c>
      <c r="P383" s="0" t="str">
        <f aca="false">IF(ISBLANK(RawFinancials!P383),"",RawFinancials!P383)</f>
        <v>PARTNERS BANK OF NEW ENGLAND</v>
      </c>
      <c r="Q383" s="0" t="n">
        <f aca="false">IF(ISBLANK(RawFinancials!Q383),"",RawFinancials!Q383)</f>
        <v>0.267284549085184</v>
      </c>
      <c r="R383" s="0" t="n">
        <f aca="false">IF(ISBLANK(RawFinancials!R383),"",RawFinancials!R383)</f>
        <v>2.88707546912739</v>
      </c>
      <c r="S383" s="0" t="n">
        <f aca="false">IF(ISBLANK(RawFinancials!S383),"",RawFinancials!S383)</f>
        <v>-27</v>
      </c>
      <c r="T383" s="0" t="n">
        <f aca="false">IF(ISBLANK(RawFinancials!T383),"",RawFinancials!T383)</f>
        <v>124</v>
      </c>
      <c r="U383" s="0" t="n">
        <f aca="false">IF(ISBLANK(RawFinancials!U383),"",RawFinancials!U383)</f>
        <v>0</v>
      </c>
      <c r="V383" s="0" t="n">
        <f aca="false">IF(ISBLANK(RawFinancials!V383),"",RawFinancials!V383)</f>
        <v>13.662485837327</v>
      </c>
      <c r="W383" s="0" t="n">
        <f aca="false">IF(ISBLANK(RawFinancials!W383),"",RawFinancials!W383)</f>
        <v>20231231</v>
      </c>
      <c r="X383" s="0" t="n">
        <f aca="false">IF(ISBLANK(RawFinancials!X383),"",RawFinancials!X383)</f>
        <v>0.666513914056445</v>
      </c>
      <c r="Y383" s="0" t="n">
        <f aca="false">IF(ISBLANK(RawFinancials!Y383),"",RawFinancials!Y383)</f>
        <v>8.6</v>
      </c>
      <c r="Z383" s="0" t="str">
        <f aca="false">IF(ISBLANK(RawFinancials!Z383),"",RawFinancials!Z383)</f>
        <v>ME</v>
      </c>
      <c r="AA383" s="0" t="n">
        <f aca="false">RawFinancials!AA383</f>
        <v>1</v>
      </c>
      <c r="AB383" s="0" t="n">
        <f aca="false">RawFinancials!AB383</f>
        <v>2404</v>
      </c>
      <c r="AC383" s="0" t="n">
        <f aca="false">RawFinancials!AC383</f>
        <v>0.220208630273007</v>
      </c>
      <c r="AD383" s="0" t="n">
        <f aca="false">IF(L383&gt;0,100*N383/L383,"")</f>
        <v>94.3682344988303</v>
      </c>
      <c r="AE383" s="0" t="n">
        <f aca="false">IF(B383&gt;0,100*F383/B383,"")</f>
        <v>8.00683709324608</v>
      </c>
      <c r="AF383" s="0" t="str">
        <f aca="false">RawFinancials!AE383</f>
        <v/>
      </c>
    </row>
    <row r="384" customFormat="false" ht="15" hidden="false" customHeight="false" outlineLevel="0" collapsed="false">
      <c r="A384" s="0" t="n">
        <f aca="false">IF(ISBLANK(RawFinancials!A384),"",RawFinancials!A384)</f>
        <v>384</v>
      </c>
      <c r="B384" s="0" t="n">
        <f aca="false">IF(ISBLANK(RawFinancials!B384),"",RawFinancials!B384)</f>
        <v>1636765</v>
      </c>
      <c r="C384" s="0" t="n">
        <f aca="false">IF(ISBLANK(RawFinancials!C384),"",RawFinancials!C384)</f>
        <v>17180</v>
      </c>
      <c r="D384" s="0" t="n">
        <f aca="false">IF(ISBLANK(RawFinancials!D384),"",RawFinancials!D384)</f>
        <v>1188350</v>
      </c>
      <c r="E384" s="0" t="n">
        <f aca="false">IF(ISBLANK(RawFinancials!E384),"",RawFinancials!E384)</f>
        <v>0.12</v>
      </c>
      <c r="F384" s="0" t="n">
        <f aca="false">IF(ISBLANK(RawFinancials!F384),"",RawFinancials!F384)</f>
        <v>136707</v>
      </c>
      <c r="G384" s="0" t="n">
        <f aca="false">IF(ISBLANK(RawFinancials!G384),"",RawFinancials!G384)</f>
        <v>8.35226804092219</v>
      </c>
      <c r="H384" s="0" t="str">
        <f aca="false">IF(ISBLANK(RawFinancials!H384),"",RawFinancials!H384)</f>
        <v>17180_20231231</v>
      </c>
      <c r="I384" s="0" t="n">
        <f aca="false">IF(ISBLANK(RawFinancials!I384),"",RawFinancials!I384)</f>
        <v>0.96326346447928</v>
      </c>
      <c r="J384" s="0" t="n">
        <f aca="false">IF(ISBLANK(RawFinancials!J384),"",RawFinancials!J384)</f>
        <v>52850</v>
      </c>
      <c r="K384" s="0" t="n">
        <f aca="false">IF(ISBLANK(RawFinancials!K384),"",RawFinancials!K384)</f>
        <v>190591</v>
      </c>
      <c r="L384" s="0" t="n">
        <f aca="false">IF(ISBLANK(RawFinancials!L384),"",RawFinancials!L384)</f>
        <v>1480488</v>
      </c>
      <c r="M384" s="0" t="n">
        <f aca="false">IF(ISBLANK(RawFinancials!M384),"",RawFinancials!M384)</f>
        <v>1466227</v>
      </c>
      <c r="N384" s="0" t="n">
        <f aca="false">IF(ISBLANK(RawFinancials!N384),"",RawFinancials!N384)</f>
        <v>1208918</v>
      </c>
      <c r="O384" s="0" t="n">
        <f aca="false">IF(ISBLANK(RawFinancials!O384),"",RawFinancials!O384)</f>
        <v>4903</v>
      </c>
      <c r="P384" s="0" t="str">
        <f aca="false">IF(ISBLANK(RawFinancials!P384),"",RawFinancials!P384)</f>
        <v>MEREDITH VILLAGE SAVINGS BANK</v>
      </c>
      <c r="Q384" s="0" t="n">
        <f aca="false">IF(ISBLANK(RawFinancials!Q384),"",RawFinancials!Q384)</f>
        <v>0.331174585677155</v>
      </c>
      <c r="R384" s="0" t="n">
        <f aca="false">IF(ISBLANK(RawFinancials!R384),"",RawFinancials!R384)</f>
        <v>2.86567771971113</v>
      </c>
      <c r="S384" s="0" t="n">
        <f aca="false">IF(ISBLANK(RawFinancials!S384),"",RawFinancials!S384)</f>
        <v>626</v>
      </c>
      <c r="T384" s="0" t="n">
        <f aca="false">IF(ISBLANK(RawFinancials!T384),"",RawFinancials!T384)</f>
        <v>3022</v>
      </c>
      <c r="U384" s="0" t="n">
        <f aca="false">IF(ISBLANK(RawFinancials!U384),"",RawFinancials!U384)</f>
        <v>0</v>
      </c>
      <c r="V384" s="0" t="n">
        <f aca="false">IF(ISBLANK(RawFinancials!V384),"",RawFinancials!V384)</f>
        <v>14.1649013448556</v>
      </c>
      <c r="W384" s="0" t="n">
        <f aca="false">IF(ISBLANK(RawFinancials!W384),"",RawFinancials!W384)</f>
        <v>20231231</v>
      </c>
      <c r="X384" s="0" t="n">
        <f aca="false">IF(ISBLANK(RawFinancials!X384),"",RawFinancials!X384)</f>
        <v>0.452272607314059</v>
      </c>
      <c r="Y384" s="0" t="n">
        <f aca="false">IF(ISBLANK(RawFinancials!Y384),"",RawFinancials!Y384)</f>
        <v>5.49</v>
      </c>
      <c r="Z384" s="0" t="str">
        <f aca="false">IF(ISBLANK(RawFinancials!Z384),"",RawFinancials!Z384)</f>
        <v>NH</v>
      </c>
      <c r="AA384" s="0" t="n">
        <f aca="false">RawFinancials!AA384</f>
        <v>1</v>
      </c>
      <c r="AB384" s="0" t="n">
        <f aca="false">RawFinancials!AB384</f>
        <v>4903</v>
      </c>
      <c r="AC384" s="0" t="n">
        <f aca="false">RawFinancials!AC384</f>
        <v>0.299554303763827</v>
      </c>
      <c r="AD384" s="0" t="n">
        <f aca="false">IF(L384&gt;0,100*N384/L384,"")</f>
        <v>81.6567239991138</v>
      </c>
      <c r="AE384" s="0" t="n">
        <f aca="false">IF(B384&gt;0,100*F384/B384,"")</f>
        <v>8.35226804092219</v>
      </c>
      <c r="AF384" s="0" t="str">
        <f aca="false">RawFinancials!AE384</f>
        <v/>
      </c>
    </row>
    <row r="385" customFormat="false" ht="15" hidden="false" customHeight="false" outlineLevel="0" collapsed="false">
      <c r="A385" s="0" t="n">
        <f aca="false">IF(ISBLANK(RawFinancials!A385),"",RawFinancials!A385)</f>
        <v>385</v>
      </c>
      <c r="B385" s="0" t="n">
        <f aca="false">IF(ISBLANK(RawFinancials!B385),"",RawFinancials!B385)</f>
        <v>351163</v>
      </c>
      <c r="C385" s="0" t="n">
        <f aca="false">IF(ISBLANK(RawFinancials!C385),"",RawFinancials!C385)</f>
        <v>17443</v>
      </c>
      <c r="D385" s="0" t="n">
        <f aca="false">IF(ISBLANK(RawFinancials!D385),"",RawFinancials!D385)</f>
        <v>309824</v>
      </c>
      <c r="E385" s="0" t="n">
        <f aca="false">IF(ISBLANK(RawFinancials!E385),"",RawFinancials!E385)</f>
        <v>0</v>
      </c>
      <c r="F385" s="0" t="n">
        <f aca="false">IF(ISBLANK(RawFinancials!F385),"",RawFinancials!F385)</f>
        <v>40157</v>
      </c>
      <c r="G385" s="0" t="n">
        <f aca="false">IF(ISBLANK(RawFinancials!G385),"",RawFinancials!G385)</f>
        <v>11.4354302702734</v>
      </c>
      <c r="H385" s="0" t="str">
        <f aca="false">IF(ISBLANK(RawFinancials!H385),"",RawFinancials!H385)</f>
        <v>17443_20231231</v>
      </c>
      <c r="I385" s="0" t="n">
        <f aca="false">IF(ISBLANK(RawFinancials!I385),"",RawFinancials!I385)</f>
        <v>0.833910405836397</v>
      </c>
      <c r="J385" s="0" t="n">
        <f aca="false">IF(ISBLANK(RawFinancials!J385),"",RawFinancials!J385)</f>
        <v>0</v>
      </c>
      <c r="K385" s="0" t="n">
        <f aca="false">IF(ISBLANK(RawFinancials!K385),"",RawFinancials!K385)</f>
        <v>794</v>
      </c>
      <c r="L385" s="0" t="n">
        <f aca="false">IF(ISBLANK(RawFinancials!L385),"",RawFinancials!L385)</f>
        <v>205058</v>
      </c>
      <c r="M385" s="0" t="n">
        <f aca="false">IF(ISBLANK(RawFinancials!M385),"",RawFinancials!M385)</f>
        <v>203348</v>
      </c>
      <c r="N385" s="0" t="n">
        <f aca="false">IF(ISBLANK(RawFinancials!N385),"",RawFinancials!N385)</f>
        <v>203264</v>
      </c>
      <c r="O385" s="0" t="n">
        <f aca="false">IF(ISBLANK(RawFinancials!O385),"",RawFinancials!O385)</f>
        <v>173</v>
      </c>
      <c r="P385" s="0" t="str">
        <f aca="false">IF(ISBLANK(RawFinancials!P385),"",RawFinancials!P385)</f>
        <v>PISCATAQUA SAVINGS BANK</v>
      </c>
      <c r="Q385" s="0" t="n">
        <f aca="false">IF(ISBLANK(RawFinancials!Q385),"",RawFinancials!Q385)</f>
        <v>0.0843663743916355</v>
      </c>
      <c r="R385" s="0" t="n">
        <f aca="false">IF(ISBLANK(RawFinancials!R385),"",RawFinancials!R385)</f>
        <v>1.55712530163154</v>
      </c>
      <c r="S385" s="0" t="n">
        <f aca="false">IF(ISBLANK(RawFinancials!S385),"",RawFinancials!S385)</f>
        <v>0</v>
      </c>
      <c r="T385" s="0" t="n">
        <f aca="false">IF(ISBLANK(RawFinancials!T385),"",RawFinancials!T385)</f>
        <v>1121</v>
      </c>
      <c r="U385" s="0" t="n">
        <f aca="false">IF(ISBLANK(RawFinancials!U385),"",RawFinancials!U385)</f>
        <v>0</v>
      </c>
      <c r="V385" s="0" t="n">
        <f aca="false">IF(ISBLANK(RawFinancials!V385),"",RawFinancials!V385)</f>
        <v>0</v>
      </c>
      <c r="W385" s="0" t="n">
        <f aca="false">IF(ISBLANK(RawFinancials!W385),"",RawFinancials!W385)</f>
        <v>20231231</v>
      </c>
      <c r="X385" s="0" t="n">
        <f aca="false">IF(ISBLANK(RawFinancials!X385),"",RawFinancials!X385)</f>
        <v>0.0112388748844588</v>
      </c>
      <c r="Y385" s="0" t="n">
        <f aca="false">IF(ISBLANK(RawFinancials!Y385),"",RawFinancials!Y385)</f>
        <v>0.11</v>
      </c>
      <c r="Z385" s="0" t="str">
        <f aca="false">IF(ISBLANK(RawFinancials!Z385),"",RawFinancials!Z385)</f>
        <v>NH</v>
      </c>
      <c r="AA385" s="0" t="n">
        <f aca="false">RawFinancials!AA385</f>
        <v>1</v>
      </c>
      <c r="AB385" s="0" t="n">
        <f aca="false">RawFinancials!AB385</f>
        <v>173</v>
      </c>
      <c r="AC385" s="0" t="n">
        <f aca="false">RawFinancials!AC385</f>
        <v>0.0492648712990833</v>
      </c>
      <c r="AD385" s="0" t="n">
        <f aca="false">IF(L385&gt;0,100*N385/L385,"")</f>
        <v>99.1251255742278</v>
      </c>
      <c r="AE385" s="0" t="n">
        <f aca="false">IF(B385&gt;0,100*F385/B385,"")</f>
        <v>11.4354302702733</v>
      </c>
      <c r="AF385" s="0" t="str">
        <f aca="false">RawFinancials!AE385</f>
        <v>原始0：需核实适用/报告口径</v>
      </c>
    </row>
    <row r="386" customFormat="false" ht="15" hidden="false" customHeight="false" outlineLevel="0" collapsed="false">
      <c r="A386" s="0" t="n">
        <f aca="false">IF(ISBLANK(RawFinancials!A386),"",RawFinancials!A386)</f>
        <v>386</v>
      </c>
      <c r="B386" s="0" t="n">
        <f aca="false">IF(ISBLANK(RawFinancials!B386),"",RawFinancials!B386)</f>
        <v>1865564</v>
      </c>
      <c r="C386" s="0" t="n">
        <f aca="false">IF(ISBLANK(RawFinancials!C386),"",RawFinancials!C386)</f>
        <v>17658</v>
      </c>
      <c r="D386" s="0" t="n">
        <f aca="false">IF(ISBLANK(RawFinancials!D386),"",RawFinancials!D386)</f>
        <v>1489308</v>
      </c>
      <c r="E386" s="0" t="n">
        <f aca="false">IF(ISBLANK(RawFinancials!E386),"",RawFinancials!E386)</f>
        <v>0.09</v>
      </c>
      <c r="F386" s="0" t="n">
        <f aca="false">IF(ISBLANK(RawFinancials!F386),"",RawFinancials!F386)</f>
        <v>208565</v>
      </c>
      <c r="G386" s="0" t="n">
        <f aca="false">IF(ISBLANK(RawFinancials!G386),"",RawFinancials!G386)</f>
        <v>11.1797290256459</v>
      </c>
      <c r="H386" s="0" t="str">
        <f aca="false">IF(ISBLANK(RawFinancials!H386),"",RawFinancials!H386)</f>
        <v>17658_20231231</v>
      </c>
      <c r="I386" s="0" t="n">
        <f aca="false">IF(ISBLANK(RawFinancials!I386),"",RawFinancials!I386)</f>
        <v>0.704655383905784</v>
      </c>
      <c r="J386" s="0" t="n">
        <f aca="false">IF(ISBLANK(RawFinancials!J386),"",RawFinancials!J386)</f>
        <v>101314</v>
      </c>
      <c r="K386" s="0" t="n">
        <f aca="false">IF(ISBLANK(RawFinancials!K386),"",RawFinancials!K386)</f>
        <v>79258</v>
      </c>
      <c r="L386" s="0" t="n">
        <f aca="false">IF(ISBLANK(RawFinancials!L386),"",RawFinancials!L386)</f>
        <v>1305177</v>
      </c>
      <c r="M386" s="0" t="n">
        <f aca="false">IF(ISBLANK(RawFinancials!M386),"",RawFinancials!M386)</f>
        <v>1295980</v>
      </c>
      <c r="N386" s="0" t="n">
        <f aca="false">IF(ISBLANK(RawFinancials!N386),"",RawFinancials!N386)</f>
        <v>1111057</v>
      </c>
      <c r="O386" s="0" t="n">
        <f aca="false">IF(ISBLANK(RawFinancials!O386),"",RawFinancials!O386)</f>
        <v>8793</v>
      </c>
      <c r="P386" s="0" t="str">
        <f aca="false">IF(ISBLANK(RawFinancials!P386),"",RawFinancials!P386)</f>
        <v>NORWAY SAVINGS BANK</v>
      </c>
      <c r="Q386" s="0" t="n">
        <f aca="false">IF(ISBLANK(RawFinancials!Q386),"",RawFinancials!Q386)</f>
        <v>0.67370172781163</v>
      </c>
      <c r="R386" s="0" t="n">
        <f aca="false">IF(ISBLANK(RawFinancials!R386),"",RawFinancials!R386)</f>
        <v>3.36483689960805</v>
      </c>
      <c r="S386" s="0" t="n">
        <f aca="false">IF(ISBLANK(RawFinancials!S386),"",RawFinancials!S386)</f>
        <v>-127</v>
      </c>
      <c r="T386" s="0" t="n">
        <f aca="false">IF(ISBLANK(RawFinancials!T386),"",RawFinancials!T386)</f>
        <v>3070</v>
      </c>
      <c r="U386" s="0" t="n">
        <f aca="false">IF(ISBLANK(RawFinancials!U386),"",RawFinancials!U386)</f>
        <v>0</v>
      </c>
      <c r="V386" s="0" t="n">
        <f aca="false">IF(ISBLANK(RawFinancials!V386),"",RawFinancials!V386)</f>
        <v>0</v>
      </c>
      <c r="W386" s="0" t="n">
        <f aca="false">IF(ISBLANK(RawFinancials!W386),"",RawFinancials!W386)</f>
        <v>20231231</v>
      </c>
      <c r="X386" s="0" t="n">
        <f aca="false">IF(ISBLANK(RawFinancials!X386),"",RawFinancials!X386)</f>
        <v>0.767976387669771</v>
      </c>
      <c r="Y386" s="0" t="n">
        <f aca="false">IF(ISBLANK(RawFinancials!Y386),"",RawFinancials!Y386)</f>
        <v>7.19</v>
      </c>
      <c r="Z386" s="0" t="str">
        <f aca="false">IF(ISBLANK(RawFinancials!Z386),"",RawFinancials!Z386)</f>
        <v>ME</v>
      </c>
      <c r="AA386" s="0" t="n">
        <f aca="false">RawFinancials!AA386</f>
        <v>1</v>
      </c>
      <c r="AB386" s="0" t="n">
        <f aca="false">RawFinancials!AB386</f>
        <v>8793</v>
      </c>
      <c r="AC386" s="0" t="n">
        <f aca="false">RawFinancials!AC386</f>
        <v>0.471331993970724</v>
      </c>
      <c r="AD386" s="0" t="n">
        <f aca="false">IF(L386&gt;0,100*N386/L386,"")</f>
        <v>85.1269214826801</v>
      </c>
      <c r="AE386" s="0" t="n">
        <f aca="false">IF(B386&gt;0,100*F386/B386,"")</f>
        <v>11.1797290256459</v>
      </c>
      <c r="AF386" s="0" t="str">
        <f aca="false">RawFinancials!AE386</f>
        <v>原始0：需核实适用/报告口径</v>
      </c>
    </row>
    <row r="387" customFormat="false" ht="15" hidden="false" customHeight="false" outlineLevel="0" collapsed="false">
      <c r="A387" s="0" t="n">
        <f aca="false">IF(ISBLANK(RawFinancials!A387),"",RawFinancials!A387)</f>
        <v>387</v>
      </c>
      <c r="B387" s="0" t="n">
        <f aca="false">IF(ISBLANK(RawFinancials!B387),"",RawFinancials!B387)</f>
        <v>1084657</v>
      </c>
      <c r="C387" s="0" t="n">
        <f aca="false">IF(ISBLANK(RawFinancials!C387),"",RawFinancials!C387)</f>
        <v>17741</v>
      </c>
      <c r="D387" s="0" t="n">
        <f aca="false">IF(ISBLANK(RawFinancials!D387),"",RawFinancials!D387)</f>
        <v>813318</v>
      </c>
      <c r="E387" s="0" t="n">
        <f aca="false">IF(ISBLANK(RawFinancials!E387),"",RawFinancials!E387)</f>
        <v>0.05</v>
      </c>
      <c r="F387" s="0" t="n">
        <f aca="false">IF(ISBLANK(RawFinancials!F387),"",RawFinancials!F387)</f>
        <v>139308</v>
      </c>
      <c r="G387" s="0" t="n">
        <f aca="false">IF(ISBLANK(RawFinancials!G387),"",RawFinancials!G387)</f>
        <v>12.8435072101134</v>
      </c>
      <c r="H387" s="0" t="str">
        <f aca="false">IF(ISBLANK(RawFinancials!H387),"",RawFinancials!H387)</f>
        <v>17741_20231231</v>
      </c>
      <c r="I387" s="0" t="n">
        <f aca="false">IF(ISBLANK(RawFinancials!I387),"",RawFinancials!I387)</f>
        <v>0.951890806239519</v>
      </c>
      <c r="J387" s="0" t="n">
        <f aca="false">IF(ISBLANK(RawFinancials!J387),"",RawFinancials!J387)</f>
        <v>54439</v>
      </c>
      <c r="K387" s="0" t="n">
        <f aca="false">IF(ISBLANK(RawFinancials!K387),"",RawFinancials!K387)</f>
        <v>4268</v>
      </c>
      <c r="L387" s="0" t="n">
        <f aca="false">IF(ISBLANK(RawFinancials!L387),"",RawFinancials!L387)</f>
        <v>917122</v>
      </c>
      <c r="M387" s="0" t="n">
        <f aca="false">IF(ISBLANK(RawFinancials!M387),"",RawFinancials!M387)</f>
        <v>908392</v>
      </c>
      <c r="N387" s="0" t="n">
        <f aca="false">IF(ISBLANK(RawFinancials!N387),"",RawFinancials!N387)</f>
        <v>853812</v>
      </c>
      <c r="O387" s="0" t="n">
        <f aca="false">IF(ISBLANK(RawFinancials!O387),"",RawFinancials!O387)</f>
        <v>6632</v>
      </c>
      <c r="P387" s="0" t="str">
        <f aca="false">IF(ISBLANK(RawFinancials!P387),"",RawFinancials!P387)</f>
        <v>MAINE COMMUNITY BANK</v>
      </c>
      <c r="Q387" s="0" t="n">
        <f aca="false">IF(ISBLANK(RawFinancials!Q387),"",RawFinancials!Q387)</f>
        <v>0.723131709848853</v>
      </c>
      <c r="R387" s="0" t="n">
        <f aca="false">IF(ISBLANK(RawFinancials!R387),"",RawFinancials!R387)</f>
        <v>3.25992794364075</v>
      </c>
      <c r="S387" s="0" t="n">
        <f aca="false">IF(ISBLANK(RawFinancials!S387),"",RawFinancials!S387)</f>
        <v>-17</v>
      </c>
      <c r="T387" s="0" t="n">
        <f aca="false">IF(ISBLANK(RawFinancials!T387),"",RawFinancials!T387)</f>
        <v>2100</v>
      </c>
      <c r="U387" s="0" t="n">
        <f aca="false">IF(ISBLANK(RawFinancials!U387),"",RawFinancials!U387)</f>
        <v>0</v>
      </c>
      <c r="V387" s="0" t="n">
        <f aca="false">IF(ISBLANK(RawFinancials!V387),"",RawFinancials!V387)</f>
        <v>0</v>
      </c>
      <c r="W387" s="0" t="n">
        <f aca="false">IF(ISBLANK(RawFinancials!W387),"",RawFinancials!W387)</f>
        <v>20231231</v>
      </c>
      <c r="X387" s="0" t="n">
        <f aca="false">IF(ISBLANK(RawFinancials!X387),"",RawFinancials!X387)</f>
        <v>0.623237286824956</v>
      </c>
      <c r="Y387" s="0" t="n">
        <f aca="false">IF(ISBLANK(RawFinancials!Y387),"",RawFinancials!Y387)</f>
        <v>4.85</v>
      </c>
      <c r="Z387" s="0" t="str">
        <f aca="false">IF(ISBLANK(RawFinancials!Z387),"",RawFinancials!Z387)</f>
        <v>ME</v>
      </c>
      <c r="AA387" s="0" t="n">
        <f aca="false">RawFinancials!AA387</f>
        <v>1</v>
      </c>
      <c r="AB387" s="0" t="n">
        <f aca="false">RawFinancials!AB387</f>
        <v>6632</v>
      </c>
      <c r="AC387" s="0" t="n">
        <f aca="false">RawFinancials!AC387</f>
        <v>0.611437532786862</v>
      </c>
      <c r="AD387" s="0" t="n">
        <f aca="false">IF(L387&gt;0,100*N387/L387,"")</f>
        <v>93.0968835116811</v>
      </c>
      <c r="AE387" s="0" t="n">
        <f aca="false">IF(B387&gt;0,100*F387/B387,"")</f>
        <v>12.8435072101134</v>
      </c>
      <c r="AF387" s="0" t="str">
        <f aca="false">RawFinancials!AE387</f>
        <v>原始0：需核实适用/报告口径</v>
      </c>
    </row>
    <row r="388" customFormat="false" ht="15" hidden="false" customHeight="false" outlineLevel="0" collapsed="false">
      <c r="A388" s="0" t="n">
        <f aca="false">IF(ISBLANK(RawFinancials!A388),"",RawFinancials!A388)</f>
        <v>388</v>
      </c>
      <c r="B388" s="0" t="n">
        <f aca="false">IF(ISBLANK(RawFinancials!B388),"",RawFinancials!B388)</f>
        <v>1380826</v>
      </c>
      <c r="C388" s="0" t="n">
        <f aca="false">IF(ISBLANK(RawFinancials!C388),"",RawFinancials!C388)</f>
        <v>17743</v>
      </c>
      <c r="D388" s="0" t="n">
        <f aca="false">IF(ISBLANK(RawFinancials!D388),"",RawFinancials!D388)</f>
        <v>963516</v>
      </c>
      <c r="E388" s="0" t="n">
        <f aca="false">IF(ISBLANK(RawFinancials!E388),"",RawFinancials!E388)</f>
        <v>0</v>
      </c>
      <c r="F388" s="0" t="n">
        <f aca="false">IF(ISBLANK(RawFinancials!F388),"",RawFinancials!F388)</f>
        <v>122659</v>
      </c>
      <c r="G388" s="0" t="n">
        <f aca="false">IF(ISBLANK(RawFinancials!G388),"",RawFinancials!G388)</f>
        <v>8.88301639743168</v>
      </c>
      <c r="H388" s="0" t="str">
        <f aca="false">IF(ISBLANK(RawFinancials!H388),"",RawFinancials!H388)</f>
        <v>17743_20231231</v>
      </c>
      <c r="I388" s="0" t="n">
        <f aca="false">IF(ISBLANK(RawFinancials!I388),"",RawFinancials!I388)</f>
        <v>0.429064247882617</v>
      </c>
      <c r="J388" s="0" t="n">
        <f aca="false">IF(ISBLANK(RawFinancials!J388),"",RawFinancials!J388)</f>
        <v>16284</v>
      </c>
      <c r="K388" s="0" t="n">
        <f aca="false">IF(ISBLANK(RawFinancials!K388),"",RawFinancials!K388)</f>
        <v>9354</v>
      </c>
      <c r="L388" s="0" t="n">
        <f aca="false">IF(ISBLANK(RawFinancials!L388),"",RawFinancials!L388)</f>
        <v>1091678</v>
      </c>
      <c r="M388" s="0" t="n">
        <f aca="false">IF(ISBLANK(RawFinancials!M388),"",RawFinancials!M388)</f>
        <v>1086994</v>
      </c>
      <c r="N388" s="0" t="n">
        <f aca="false">IF(ISBLANK(RawFinancials!N388),"",RawFinancials!N388)</f>
        <v>1054307</v>
      </c>
      <c r="O388" s="0" t="n">
        <f aca="false">IF(ISBLANK(RawFinancials!O388),"",RawFinancials!O388)</f>
        <v>1762</v>
      </c>
      <c r="P388" s="0" t="str">
        <f aca="false">IF(ISBLANK(RawFinancials!P388),"",RawFinancials!P388)</f>
        <v>SACO &amp; BIDDEFORD SAVINGS INSTITUTION</v>
      </c>
      <c r="Q388" s="0" t="n">
        <f aca="false">IF(ISBLANK(RawFinancials!Q388),"",RawFinancials!Q388)</f>
        <v>0.161402904519465</v>
      </c>
      <c r="R388" s="0" t="n">
        <f aca="false">IF(ISBLANK(RawFinancials!R388),"",RawFinancials!R388)</f>
        <v>2.02539734976566</v>
      </c>
      <c r="S388" s="0" t="n">
        <f aca="false">IF(ISBLANK(RawFinancials!S388),"",RawFinancials!S388)</f>
        <v>13</v>
      </c>
      <c r="T388" s="0" t="n">
        <f aca="false">IF(ISBLANK(RawFinancials!T388),"",RawFinancials!T388)</f>
        <v>3339</v>
      </c>
      <c r="U388" s="0" t="n">
        <f aca="false">IF(ISBLANK(RawFinancials!U388),"",RawFinancials!U388)</f>
        <v>0</v>
      </c>
      <c r="V388" s="0" t="n">
        <f aca="false">IF(ISBLANK(RawFinancials!V388),"",RawFinancials!V388)</f>
        <v>0</v>
      </c>
      <c r="W388" s="0" t="n">
        <f aca="false">IF(ISBLANK(RawFinancials!W388),"",RawFinancials!W388)</f>
        <v>20231231</v>
      </c>
      <c r="X388" s="0" t="n">
        <f aca="false">IF(ISBLANK(RawFinancials!X388),"",RawFinancials!X388)</f>
        <v>0.0464740506827768</v>
      </c>
      <c r="Y388" s="0" t="n">
        <f aca="false">IF(ISBLANK(RawFinancials!Y388),"",RawFinancials!Y388)</f>
        <v>0.51</v>
      </c>
      <c r="Z388" s="0" t="str">
        <f aca="false">IF(ISBLANK(RawFinancials!Z388),"",RawFinancials!Z388)</f>
        <v>ME</v>
      </c>
      <c r="AA388" s="0" t="n">
        <f aca="false">RawFinancials!AA388</f>
        <v>1</v>
      </c>
      <c r="AB388" s="0" t="n">
        <f aca="false">RawFinancials!AB388</f>
        <v>1762</v>
      </c>
      <c r="AC388" s="0" t="n">
        <f aca="false">RawFinancials!AC388</f>
        <v>0.127604781485864</v>
      </c>
      <c r="AD388" s="0" t="n">
        <f aca="false">IF(L388&gt;0,100*N388/L388,"")</f>
        <v>96.5767378292867</v>
      </c>
      <c r="AE388" s="0" t="n">
        <f aca="false">IF(B388&gt;0,100*F388/B388,"")</f>
        <v>8.88301639743168</v>
      </c>
      <c r="AF388" s="0" t="str">
        <f aca="false">RawFinancials!AE388</f>
        <v>原始0：需核实适用/报告口径</v>
      </c>
    </row>
    <row r="389" customFormat="false" ht="15" hidden="false" customHeight="false" outlineLevel="0" collapsed="false">
      <c r="A389" s="0" t="n">
        <f aca="false">IF(ISBLANK(RawFinancials!A389),"",RawFinancials!A389)</f>
        <v>389</v>
      </c>
      <c r="B389" s="0" t="n">
        <f aca="false">IF(ISBLANK(RawFinancials!B389),"",RawFinancials!B389)</f>
        <v>1668860</v>
      </c>
      <c r="C389" s="0" t="n">
        <f aca="false">IF(ISBLANK(RawFinancials!C389),"",RawFinancials!C389)</f>
        <v>17748</v>
      </c>
      <c r="D389" s="0" t="n">
        <f aca="false">IF(ISBLANK(RawFinancials!D389),"",RawFinancials!D389)</f>
        <v>1336828</v>
      </c>
      <c r="E389" s="0" t="n">
        <f aca="false">IF(ISBLANK(RawFinancials!E389),"",RawFinancials!E389)</f>
        <v>-0.04</v>
      </c>
      <c r="F389" s="0" t="n">
        <f aca="false">IF(ISBLANK(RawFinancials!F389),"",RawFinancials!F389)</f>
        <v>114376</v>
      </c>
      <c r="G389" s="0" t="n">
        <f aca="false">IF(ISBLANK(RawFinancials!G389),"",RawFinancials!G389)</f>
        <v>6.85354074038565</v>
      </c>
      <c r="H389" s="0" t="str">
        <f aca="false">IF(ISBLANK(RawFinancials!H389),"",RawFinancials!H389)</f>
        <v>17748_20231231</v>
      </c>
      <c r="I389" s="0" t="n">
        <f aca="false">IF(ISBLANK(RawFinancials!I389),"",RawFinancials!I389)</f>
        <v>0.774689870119317</v>
      </c>
      <c r="J389" s="0" t="n">
        <f aca="false">IF(ISBLANK(RawFinancials!J389),"",RawFinancials!J389)</f>
        <v>175931</v>
      </c>
      <c r="K389" s="0" t="n">
        <f aca="false">IF(ISBLANK(RawFinancials!K389),"",RawFinancials!K389)</f>
        <v>3416</v>
      </c>
      <c r="L389" s="0" t="n">
        <f aca="false">IF(ISBLANK(RawFinancials!L389),"",RawFinancials!L389)</f>
        <v>1279867</v>
      </c>
      <c r="M389" s="0" t="n">
        <f aca="false">IF(ISBLANK(RawFinancials!M389),"",RawFinancials!M389)</f>
        <v>1269952</v>
      </c>
      <c r="N389" s="0" t="n">
        <f aca="false">IF(ISBLANK(RawFinancials!N389),"",RawFinancials!N389)</f>
        <v>1067583</v>
      </c>
      <c r="O389" s="0" t="n">
        <f aca="false">IF(ISBLANK(RawFinancials!O389),"",RawFinancials!O389)</f>
        <v>7520</v>
      </c>
      <c r="P389" s="0" t="str">
        <f aca="false">IF(ISBLANK(RawFinancials!P389),"",RawFinancials!P389)</f>
        <v>GORHAM SAVINGS BANK</v>
      </c>
      <c r="Q389" s="0" t="n">
        <f aca="false">IF(ISBLANK(RawFinancials!Q389),"",RawFinancials!Q389)</f>
        <v>0.587561051265483</v>
      </c>
      <c r="R389" s="0" t="n">
        <f aca="false">IF(ISBLANK(RawFinancials!R389),"",RawFinancials!R389)</f>
        <v>2.48310737904527</v>
      </c>
      <c r="S389" s="0" t="n">
        <f aca="false">IF(ISBLANK(RawFinancials!S389),"",RawFinancials!S389)</f>
        <v>1213</v>
      </c>
      <c r="T389" s="0" t="n">
        <f aca="false">IF(ISBLANK(RawFinancials!T389),"",RawFinancials!T389)</f>
        <v>8168</v>
      </c>
      <c r="U389" s="0" t="n">
        <f aca="false">IF(ISBLANK(RawFinancials!U389),"",RawFinancials!U389)</f>
        <v>0</v>
      </c>
      <c r="V389" s="0" t="n">
        <f aca="false">IF(ISBLANK(RawFinancials!V389),"",RawFinancials!V389)</f>
        <v>0</v>
      </c>
      <c r="W389" s="0" t="n">
        <f aca="false">IF(ISBLANK(RawFinancials!W389),"",RawFinancials!W389)</f>
        <v>20231231</v>
      </c>
      <c r="X389" s="0" t="n">
        <f aca="false">IF(ISBLANK(RawFinancials!X389),"",RawFinancials!X389)</f>
        <v>0.322207444052572</v>
      </c>
      <c r="Y389" s="0" t="n">
        <f aca="false">IF(ISBLANK(RawFinancials!Y389),"",RawFinancials!Y389)</f>
        <v>4.89</v>
      </c>
      <c r="Z389" s="0" t="str">
        <f aca="false">IF(ISBLANK(RawFinancials!Z389),"",RawFinancials!Z389)</f>
        <v>ME</v>
      </c>
      <c r="AA389" s="0" t="n">
        <f aca="false">RawFinancials!AA389</f>
        <v>1</v>
      </c>
      <c r="AB389" s="0" t="n">
        <f aca="false">RawFinancials!AB389</f>
        <v>7520</v>
      </c>
      <c r="AC389" s="0" t="n">
        <f aca="false">RawFinancials!AC389</f>
        <v>0.450607001186439</v>
      </c>
      <c r="AD389" s="0" t="n">
        <f aca="false">IF(L389&gt;0,100*N389/L389,"")</f>
        <v>83.4135890682391</v>
      </c>
      <c r="AE389" s="0" t="n">
        <f aca="false">IF(B389&gt;0,100*F389/B389,"")</f>
        <v>6.85354074038565</v>
      </c>
      <c r="AF389" s="0" t="str">
        <f aca="false">RawFinancials!AE389</f>
        <v>原始0：需核实适用/报告口径</v>
      </c>
    </row>
    <row r="390" customFormat="false" ht="15" hidden="false" customHeight="false" outlineLevel="0" collapsed="false">
      <c r="A390" s="0" t="n">
        <f aca="false">IF(ISBLANK(RawFinancials!A390),"",RawFinancials!A390)</f>
        <v>390</v>
      </c>
      <c r="B390" s="0" t="n">
        <f aca="false">IF(ISBLANK(RawFinancials!B390),"",RawFinancials!B390)</f>
        <v>1355181</v>
      </c>
      <c r="C390" s="0" t="n">
        <f aca="false">IF(ISBLANK(RawFinancials!C390),"",RawFinancials!C390)</f>
        <v>17749</v>
      </c>
      <c r="D390" s="0" t="n">
        <f aca="false">IF(ISBLANK(RawFinancials!D390),"",RawFinancials!D390)</f>
        <v>1052313</v>
      </c>
      <c r="E390" s="0" t="n">
        <f aca="false">IF(ISBLANK(RawFinancials!E390),"",RawFinancials!E390)</f>
        <v>0.03</v>
      </c>
      <c r="F390" s="0" t="n">
        <f aca="false">IF(ISBLANK(RawFinancials!F390),"",RawFinancials!F390)</f>
        <v>172387</v>
      </c>
      <c r="G390" s="0" t="n">
        <f aca="false">IF(ISBLANK(RawFinancials!G390),"",RawFinancials!G390)</f>
        <v>12.7205886151001</v>
      </c>
      <c r="H390" s="0" t="str">
        <f aca="false">IF(ISBLANK(RawFinancials!H390),"",RawFinancials!H390)</f>
        <v>17749_20231231</v>
      </c>
      <c r="I390" s="0" t="n">
        <f aca="false">IF(ISBLANK(RawFinancials!I390),"",RawFinancials!I390)</f>
        <v>1.38040774735024</v>
      </c>
      <c r="J390" s="0" t="n">
        <f aca="false">IF(ISBLANK(RawFinancials!J390),"",RawFinancials!J390)</f>
        <v>48794</v>
      </c>
      <c r="K390" s="0" t="n">
        <f aca="false">IF(ISBLANK(RawFinancials!K390),"",RawFinancials!K390)</f>
        <v>10226</v>
      </c>
      <c r="L390" s="0" t="n">
        <f aca="false">IF(ISBLANK(RawFinancials!L390),"",RawFinancials!L390)</f>
        <v>796866</v>
      </c>
      <c r="M390" s="0" t="n">
        <f aca="false">IF(ISBLANK(RawFinancials!M390),"",RawFinancials!M390)</f>
        <v>785866</v>
      </c>
      <c r="N390" s="0" t="n">
        <f aca="false">IF(ISBLANK(RawFinancials!N390),"",RawFinancials!N390)</f>
        <v>724667</v>
      </c>
      <c r="O390" s="0" t="n">
        <f aca="false">IF(ISBLANK(RawFinancials!O390),"",RawFinancials!O390)</f>
        <v>247</v>
      </c>
      <c r="P390" s="0" t="str">
        <f aca="false">IF(ISBLANK(RawFinancials!P390),"",RawFinancials!P390)</f>
        <v>BATH SAVINGS INSTITUTION</v>
      </c>
      <c r="Q390" s="0" t="n">
        <f aca="false">IF(ISBLANK(RawFinancials!Q390),"",RawFinancials!Q390)</f>
        <v>0.0491927124510268</v>
      </c>
      <c r="R390" s="0" t="n">
        <f aca="false">IF(ISBLANK(RawFinancials!R390),"",RawFinancials!R390)</f>
        <v>2.72937346562349</v>
      </c>
      <c r="S390" s="0" t="n">
        <f aca="false">IF(ISBLANK(RawFinancials!S390),"",RawFinancials!S390)</f>
        <v>47</v>
      </c>
      <c r="T390" s="0" t="n">
        <f aca="false">IF(ISBLANK(RawFinancials!T390),"",RawFinancials!T390)</f>
        <v>630</v>
      </c>
      <c r="U390" s="0" t="n">
        <f aca="false">IF(ISBLANK(RawFinancials!U390),"",RawFinancials!U390)</f>
        <v>145</v>
      </c>
      <c r="V390" s="0" t="n">
        <f aca="false">IF(ISBLANK(RawFinancials!V390),"",RawFinancials!V390)</f>
        <v>0</v>
      </c>
      <c r="W390" s="0" t="n">
        <f aca="false">IF(ISBLANK(RawFinancials!W390),"",RawFinancials!W390)</f>
        <v>20231231</v>
      </c>
      <c r="X390" s="0" t="n">
        <f aca="false">IF(ISBLANK(RawFinancials!X390),"",RawFinancials!X390)</f>
        <v>1.21574319970484</v>
      </c>
      <c r="Y390" s="0" t="n">
        <f aca="false">IF(ISBLANK(RawFinancials!Y390),"",RawFinancials!Y390)</f>
        <v>9.92</v>
      </c>
      <c r="Z390" s="0" t="str">
        <f aca="false">IF(ISBLANK(RawFinancials!Z390),"",RawFinancials!Z390)</f>
        <v>ME</v>
      </c>
      <c r="AA390" s="0" t="n">
        <f aca="false">RawFinancials!AA390</f>
        <v>1</v>
      </c>
      <c r="AB390" s="0" t="n">
        <f aca="false">RawFinancials!AB390</f>
        <v>392</v>
      </c>
      <c r="AC390" s="0" t="n">
        <f aca="false">RawFinancials!AC390</f>
        <v>0.0289260253796356</v>
      </c>
      <c r="AD390" s="0" t="n">
        <f aca="false">IF(L390&gt;0,100*N390/L390,"")</f>
        <v>90.93963100446</v>
      </c>
      <c r="AE390" s="0" t="n">
        <f aca="false">IF(B390&gt;0,100*F390/B390,"")</f>
        <v>12.7205886151001</v>
      </c>
      <c r="AF390" s="0" t="str">
        <f aca="false">RawFinancials!AE390</f>
        <v>原始0：需核实适用/报告口径</v>
      </c>
    </row>
    <row r="391" customFormat="false" ht="15" hidden="false" customHeight="false" outlineLevel="0" collapsed="false">
      <c r="A391" s="0" t="n">
        <f aca="false">IF(ISBLANK(RawFinancials!A391),"",RawFinancials!A391)</f>
        <v>391</v>
      </c>
      <c r="B391" s="0" t="n">
        <f aca="false">IF(ISBLANK(RawFinancials!B391),"",RawFinancials!B391)</f>
        <v>1594063</v>
      </c>
      <c r="C391" s="0" t="n">
        <f aca="false">IF(ISBLANK(RawFinancials!C391),"",RawFinancials!C391)</f>
        <v>17751</v>
      </c>
      <c r="D391" s="0" t="n">
        <f aca="false">IF(ISBLANK(RawFinancials!D391),"",RawFinancials!D391)</f>
        <v>1298128</v>
      </c>
      <c r="E391" s="0" t="n">
        <f aca="false">IF(ISBLANK(RawFinancials!E391),"",RawFinancials!E391)</f>
        <v>0.04</v>
      </c>
      <c r="F391" s="0" t="n">
        <f aca="false">IF(ISBLANK(RawFinancials!F391),"",RawFinancials!F391)</f>
        <v>137906</v>
      </c>
      <c r="G391" s="0" t="n">
        <f aca="false">IF(ISBLANK(RawFinancials!G391),"",RawFinancials!G391)</f>
        <v>8.65122645717265</v>
      </c>
      <c r="H391" s="0" t="str">
        <f aca="false">IF(ISBLANK(RawFinancials!H391),"",RawFinancials!H391)</f>
        <v>17751_20231231</v>
      </c>
      <c r="I391" s="0" t="n">
        <f aca="false">IF(ISBLANK(RawFinancials!I391),"",RawFinancials!I391)</f>
        <v>0.915292945996871</v>
      </c>
      <c r="J391" s="0" t="n">
        <f aca="false">IF(ISBLANK(RawFinancials!J391),"",RawFinancials!J391)</f>
        <v>128172</v>
      </c>
      <c r="K391" s="0" t="n">
        <f aca="false">IF(ISBLANK(RawFinancials!K391),"",RawFinancials!K391)</f>
        <v>3312</v>
      </c>
      <c r="L391" s="0" t="n">
        <f aca="false">IF(ISBLANK(RawFinancials!L391),"",RawFinancials!L391)</f>
        <v>1301332</v>
      </c>
      <c r="M391" s="0" t="n">
        <f aca="false">IF(ISBLANK(RawFinancials!M391),"",RawFinancials!M391)</f>
        <v>1289421</v>
      </c>
      <c r="N391" s="0" t="n">
        <f aca="false">IF(ISBLANK(RawFinancials!N391),"",RawFinancials!N391)</f>
        <v>1106344</v>
      </c>
      <c r="O391" s="0" t="n">
        <f aca="false">IF(ISBLANK(RawFinancials!O391),"",RawFinancials!O391)</f>
        <v>868</v>
      </c>
      <c r="P391" s="0" t="str">
        <f aca="false">IF(ISBLANK(RawFinancials!P391),"",RawFinancials!P391)</f>
        <v>ANDROSCOGGIN SAVINGS BANK</v>
      </c>
      <c r="Q391" s="0" t="n">
        <f aca="false">IF(ISBLANK(RawFinancials!Q391),"",RawFinancials!Q391)</f>
        <v>0.0667008880132049</v>
      </c>
      <c r="R391" s="0" t="n">
        <f aca="false">IF(ISBLANK(RawFinancials!R391),"",RawFinancials!R391)</f>
        <v>3.06166841264483</v>
      </c>
      <c r="S391" s="0" t="n">
        <f aca="false">IF(ISBLANK(RawFinancials!S391),"",RawFinancials!S391)</f>
        <v>4158</v>
      </c>
      <c r="T391" s="0" t="n">
        <f aca="false">IF(ISBLANK(RawFinancials!T391),"",RawFinancials!T391)</f>
        <v>5195</v>
      </c>
      <c r="U391" s="0" t="n">
        <f aca="false">IF(ISBLANK(RawFinancials!U391),"",RawFinancials!U391)</f>
        <v>0</v>
      </c>
      <c r="V391" s="0" t="n">
        <f aca="false">IF(ISBLANK(RawFinancials!V391),"",RawFinancials!V391)</f>
        <v>12.1764467340533</v>
      </c>
      <c r="W391" s="0" t="n">
        <f aca="false">IF(ISBLANK(RawFinancials!W391),"",RawFinancials!W391)</f>
        <v>20231231</v>
      </c>
      <c r="X391" s="0" t="n">
        <f aca="false">IF(ISBLANK(RawFinancials!X391),"",RawFinancials!X391)</f>
        <v>0.596513557387332</v>
      </c>
      <c r="Y391" s="0" t="n">
        <f aca="false">IF(ISBLANK(RawFinancials!Y391),"",RawFinancials!Y391)</f>
        <v>7.02</v>
      </c>
      <c r="Z391" s="0" t="str">
        <f aca="false">IF(ISBLANK(RawFinancials!Z391),"",RawFinancials!Z391)</f>
        <v>ME</v>
      </c>
      <c r="AA391" s="0" t="n">
        <f aca="false">RawFinancials!AA391</f>
        <v>1</v>
      </c>
      <c r="AB391" s="0" t="n">
        <f aca="false">RawFinancials!AB391</f>
        <v>868</v>
      </c>
      <c r="AC391" s="0" t="n">
        <f aca="false">RawFinancials!AC391</f>
        <v>0.0544520511422698</v>
      </c>
      <c r="AD391" s="0" t="n">
        <f aca="false">IF(L391&gt;0,100*N391/L391,"")</f>
        <v>85.0162756314299</v>
      </c>
      <c r="AE391" s="0" t="n">
        <f aca="false">IF(B391&gt;0,100*F391/B391,"")</f>
        <v>8.65122645717265</v>
      </c>
      <c r="AF391" s="0" t="str">
        <f aca="false">RawFinancials!AE391</f>
        <v/>
      </c>
    </row>
    <row r="392" customFormat="false" ht="15" hidden="false" customHeight="false" outlineLevel="0" collapsed="false">
      <c r="A392" s="0" t="n">
        <f aca="false">IF(ISBLANK(RawFinancials!A392),"",RawFinancials!A392)</f>
        <v>392</v>
      </c>
      <c r="B392" s="0" t="n">
        <f aca="false">IF(ISBLANK(RawFinancials!B392),"",RawFinancials!B392)</f>
        <v>1710496</v>
      </c>
      <c r="C392" s="0" t="n">
        <f aca="false">IF(ISBLANK(RawFinancials!C392),"",RawFinancials!C392)</f>
        <v>17897</v>
      </c>
      <c r="D392" s="0" t="n">
        <f aca="false">IF(ISBLANK(RawFinancials!D392),"",RawFinancials!D392)</f>
        <v>1305375</v>
      </c>
      <c r="E392" s="0" t="n">
        <f aca="false">IF(ISBLANK(RawFinancials!E392),"",RawFinancials!E392)</f>
        <v>-0.02</v>
      </c>
      <c r="F392" s="0" t="n">
        <f aca="false">IF(ISBLANK(RawFinancials!F392),"",RawFinancials!F392)</f>
        <v>207718</v>
      </c>
      <c r="G392" s="0" t="n">
        <f aca="false">IF(ISBLANK(RawFinancials!G392),"",RawFinancials!G392)</f>
        <v>12.1437290703983</v>
      </c>
      <c r="H392" s="0" t="str">
        <f aca="false">IF(ISBLANK(RawFinancials!H392),"",RawFinancials!H392)</f>
        <v>17897_20231231</v>
      </c>
      <c r="I392" s="0" t="n">
        <f aca="false">IF(ISBLANK(RawFinancials!I392),"",RawFinancials!I392)</f>
        <v>0.621882876184048</v>
      </c>
      <c r="J392" s="0" t="n">
        <f aca="false">IF(ISBLANK(RawFinancials!J392),"",RawFinancials!J392)</f>
        <v>72247</v>
      </c>
      <c r="K392" s="0" t="n">
        <f aca="false">IF(ISBLANK(RawFinancials!K392),"",RawFinancials!K392)</f>
        <v>3995</v>
      </c>
      <c r="L392" s="0" t="n">
        <f aca="false">IF(ISBLANK(RawFinancials!L392),"",RawFinancials!L392)</f>
        <v>1443037</v>
      </c>
      <c r="M392" s="0" t="n">
        <f aca="false">IF(ISBLANK(RawFinancials!M392),"",RawFinancials!M392)</f>
        <v>1434063</v>
      </c>
      <c r="N392" s="0" t="n">
        <f aca="false">IF(ISBLANK(RawFinancials!N392),"",RawFinancials!N392)</f>
        <v>1358198</v>
      </c>
      <c r="O392" s="0" t="n">
        <f aca="false">IF(ISBLANK(RawFinancials!O392),"",RawFinancials!O392)</f>
        <v>3022</v>
      </c>
      <c r="P392" s="0" t="str">
        <f aca="false">IF(ISBLANK(RawFinancials!P392),"",RawFinancials!P392)</f>
        <v>KENNEBEC SAVINGS BANK</v>
      </c>
      <c r="Q392" s="0" t="n">
        <f aca="false">IF(ISBLANK(RawFinancials!Q392),"",RawFinancials!Q392)</f>
        <v>0.209419439695586</v>
      </c>
      <c r="R392" s="0" t="n">
        <f aca="false">IF(ISBLANK(RawFinancials!R392),"",RawFinancials!R392)</f>
        <v>2.54413608727822</v>
      </c>
      <c r="S392" s="0" t="n">
        <f aca="false">IF(ISBLANK(RawFinancials!S392),"",RawFinancials!S392)</f>
        <v>-105</v>
      </c>
      <c r="T392" s="0" t="n">
        <f aca="false">IF(ISBLANK(RawFinancials!T392),"",RawFinancials!T392)</f>
        <v>2841</v>
      </c>
      <c r="U392" s="0" t="n">
        <f aca="false">IF(ISBLANK(RawFinancials!U392),"",RawFinancials!U392)</f>
        <v>0</v>
      </c>
      <c r="V392" s="0" t="n">
        <f aca="false">IF(ISBLANK(RawFinancials!V392),"",RawFinancials!V392)</f>
        <v>17.2376294794173</v>
      </c>
      <c r="W392" s="0" t="n">
        <f aca="false">IF(ISBLANK(RawFinancials!W392),"",RawFinancials!W392)</f>
        <v>20231231</v>
      </c>
      <c r="X392" s="0" t="n">
        <f aca="false">IF(ISBLANK(RawFinancials!X392),"",RawFinancials!X392)</f>
        <v>0.65399363820256</v>
      </c>
      <c r="Y392" s="0" t="n">
        <f aca="false">IF(ISBLANK(RawFinancials!Y392),"",RawFinancials!Y392)</f>
        <v>5.45</v>
      </c>
      <c r="Z392" s="0" t="str">
        <f aca="false">IF(ISBLANK(RawFinancials!Z392),"",RawFinancials!Z392)</f>
        <v>ME</v>
      </c>
      <c r="AA392" s="0" t="n">
        <f aca="false">RawFinancials!AA392</f>
        <v>1</v>
      </c>
      <c r="AB392" s="0" t="n">
        <f aca="false">RawFinancials!AB392</f>
        <v>3022</v>
      </c>
      <c r="AC392" s="0" t="n">
        <f aca="false">RawFinancials!AC392</f>
        <v>0.176673900435897</v>
      </c>
      <c r="AD392" s="0" t="n">
        <f aca="false">IF(L392&gt;0,100*N392/L392,"")</f>
        <v>94.1208021693138</v>
      </c>
      <c r="AE392" s="0" t="n">
        <f aca="false">IF(B392&gt;0,100*F392/B392,"")</f>
        <v>12.1437290703983</v>
      </c>
      <c r="AF392" s="0" t="str">
        <f aca="false">RawFinancials!AE392</f>
        <v/>
      </c>
    </row>
    <row r="393" customFormat="false" ht="15" hidden="false" customHeight="false" outlineLevel="0" collapsed="false">
      <c r="A393" s="0" t="n">
        <f aca="false">IF(ISBLANK(RawFinancials!A393),"",RawFinancials!A393)</f>
        <v>393</v>
      </c>
      <c r="B393" s="0" t="n">
        <f aca="false">IF(ISBLANK(RawFinancials!B393),"",RawFinancials!B393)</f>
        <v>786047</v>
      </c>
      <c r="C393" s="0" t="n">
        <f aca="false">IF(ISBLANK(RawFinancials!C393),"",RawFinancials!C393)</f>
        <v>17951</v>
      </c>
      <c r="D393" s="0" t="n">
        <f aca="false">IF(ISBLANK(RawFinancials!D393),"",RawFinancials!D393)</f>
        <v>667956</v>
      </c>
      <c r="E393" s="0" t="n">
        <f aca="false">IF(ISBLANK(RawFinancials!E393),"",RawFinancials!E393)</f>
        <v>0.1</v>
      </c>
      <c r="F393" s="0" t="n">
        <f aca="false">IF(ISBLANK(RawFinancials!F393),"",RawFinancials!F393)</f>
        <v>61893</v>
      </c>
      <c r="G393" s="0" t="n">
        <f aca="false">IF(ISBLANK(RawFinancials!G393),"",RawFinancials!G393)</f>
        <v>7.8739566463583</v>
      </c>
      <c r="H393" s="0" t="str">
        <f aca="false">IF(ISBLANK(RawFinancials!H393),"",RawFinancials!H393)</f>
        <v>17951_20231231</v>
      </c>
      <c r="I393" s="0" t="n">
        <f aca="false">IF(ISBLANK(RawFinancials!I393),"",RawFinancials!I393)</f>
        <v>0.85332385770691</v>
      </c>
      <c r="J393" s="0" t="n">
        <f aca="false">IF(ISBLANK(RawFinancials!J393),"",RawFinancials!J393)</f>
        <v>24625</v>
      </c>
      <c r="K393" s="0" t="n">
        <f aca="false">IF(ISBLANK(RawFinancials!K393),"",RawFinancials!K393)</f>
        <v>2014</v>
      </c>
      <c r="L393" s="0" t="n">
        <f aca="false">IF(ISBLANK(RawFinancials!L393),"",RawFinancials!L393)</f>
        <v>579733</v>
      </c>
      <c r="M393" s="0" t="n">
        <f aca="false">IF(ISBLANK(RawFinancials!M393),"",RawFinancials!M393)</f>
        <v>574786</v>
      </c>
      <c r="N393" s="0" t="n">
        <f aca="false">IF(ISBLANK(RawFinancials!N393),"",RawFinancials!N393)</f>
        <v>540903</v>
      </c>
      <c r="O393" s="0" t="n">
        <f aca="false">IF(ISBLANK(RawFinancials!O393),"",RawFinancials!O393)</f>
        <v>175</v>
      </c>
      <c r="P393" s="0" t="str">
        <f aca="false">IF(ISBLANK(RawFinancials!P393),"",RawFinancials!P393)</f>
        <v>FRANKLIN SAVINGS BANK</v>
      </c>
      <c r="Q393" s="0" t="n">
        <f aca="false">IF(ISBLANK(RawFinancials!Q393),"",RawFinancials!Q393)</f>
        <v>0.030186309904732</v>
      </c>
      <c r="R393" s="0" t="n">
        <f aca="false">IF(ISBLANK(RawFinancials!R393),"",RawFinancials!R393)</f>
        <v>2.70000309550974</v>
      </c>
      <c r="S393" s="0" t="n">
        <f aca="false">IF(ISBLANK(RawFinancials!S393),"",RawFinancials!S393)</f>
        <v>-192</v>
      </c>
      <c r="T393" s="0" t="n">
        <f aca="false">IF(ISBLANK(RawFinancials!T393),"",RawFinancials!T393)</f>
        <v>24</v>
      </c>
      <c r="U393" s="0" t="n">
        <f aca="false">IF(ISBLANK(RawFinancials!U393),"",RawFinancials!U393)</f>
        <v>0</v>
      </c>
      <c r="V393" s="0" t="n">
        <f aca="false">IF(ISBLANK(RawFinancials!V393),"",RawFinancials!V393)</f>
        <v>14.5884941078829</v>
      </c>
      <c r="W393" s="0" t="n">
        <f aca="false">IF(ISBLANK(RawFinancials!W393),"",RawFinancials!W393)</f>
        <v>20231231</v>
      </c>
      <c r="X393" s="0" t="n">
        <f aca="false">IF(ISBLANK(RawFinancials!X393),"",RawFinancials!X393)</f>
        <v>0.589256193210774</v>
      </c>
      <c r="Y393" s="0" t="n">
        <f aca="false">IF(ISBLANK(RawFinancials!Y393),"",RawFinancials!Y393)</f>
        <v>7.91</v>
      </c>
      <c r="Z393" s="0" t="str">
        <f aca="false">IF(ISBLANK(RawFinancials!Z393),"",RawFinancials!Z393)</f>
        <v>NH</v>
      </c>
      <c r="AA393" s="0" t="n">
        <f aca="false">RawFinancials!AA393</f>
        <v>1</v>
      </c>
      <c r="AB393" s="0" t="n">
        <f aca="false">RawFinancials!AB393</f>
        <v>175</v>
      </c>
      <c r="AC393" s="0" t="n">
        <f aca="false">RawFinancials!AC393</f>
        <v>0.0222632997772398</v>
      </c>
      <c r="AD393" s="0" t="n">
        <f aca="false">IF(L393&gt;0,100*N393/L393,"")</f>
        <v>93.3020890651386</v>
      </c>
      <c r="AE393" s="0" t="n">
        <f aca="false">IF(B393&gt;0,100*F393/B393,"")</f>
        <v>7.8739566463583</v>
      </c>
      <c r="AF393" s="0" t="str">
        <f aca="false">RawFinancials!AE393</f>
        <v/>
      </c>
    </row>
    <row r="394" customFormat="false" ht="15" hidden="false" customHeight="false" outlineLevel="0" collapsed="false">
      <c r="A394" s="0" t="n">
        <f aca="false">IF(ISBLANK(RawFinancials!A394),"",RawFinancials!A394)</f>
        <v>394</v>
      </c>
      <c r="B394" s="0" t="n">
        <f aca="false">IF(ISBLANK(RawFinancials!B394),"",RawFinancials!B394)</f>
        <v>1368285</v>
      </c>
      <c r="C394" s="0" t="n">
        <f aca="false">IF(ISBLANK(RawFinancials!C394),"",RawFinancials!C394)</f>
        <v>17960</v>
      </c>
      <c r="D394" s="0" t="n">
        <f aca="false">IF(ISBLANK(RawFinancials!D394),"",RawFinancials!D394)</f>
        <v>1030269</v>
      </c>
      <c r="E394" s="0" t="n">
        <f aca="false">IF(ISBLANK(RawFinancials!E394),"",RawFinancials!E394)</f>
        <v>0.05</v>
      </c>
      <c r="F394" s="0" t="n">
        <f aca="false">IF(ISBLANK(RawFinancials!F394),"",RawFinancials!F394)</f>
        <v>113530</v>
      </c>
      <c r="G394" s="0" t="n">
        <f aca="false">IF(ISBLANK(RawFinancials!G394),"",RawFinancials!G394)</f>
        <v>8.29724801485071</v>
      </c>
      <c r="H394" s="0" t="str">
        <f aca="false">IF(ISBLANK(RawFinancials!H394),"",RawFinancials!H394)</f>
        <v>17960_20231231</v>
      </c>
      <c r="I394" s="0" t="n">
        <f aca="false">IF(ISBLANK(RawFinancials!I394),"",RawFinancials!I394)</f>
        <v>0.979023979950907</v>
      </c>
      <c r="J394" s="0" t="n">
        <f aca="false">IF(ISBLANK(RawFinancials!J394),"",RawFinancials!J394)</f>
        <v>105296</v>
      </c>
      <c r="K394" s="0" t="n">
        <f aca="false">IF(ISBLANK(RawFinancials!K394),"",RawFinancials!K394)</f>
        <v>223057</v>
      </c>
      <c r="L394" s="0" t="n">
        <f aca="false">IF(ISBLANK(RawFinancials!L394),"",RawFinancials!L394)</f>
        <v>1165140</v>
      </c>
      <c r="M394" s="0" t="n">
        <f aca="false">IF(ISBLANK(RawFinancials!M394),"",RawFinancials!M394)</f>
        <v>1153733</v>
      </c>
      <c r="N394" s="0" t="n">
        <f aca="false">IF(ISBLANK(RawFinancials!N394),"",RawFinancials!N394)</f>
        <v>832768</v>
      </c>
      <c r="O394" s="0" t="n">
        <f aca="false">IF(ISBLANK(RawFinancials!O394),"",RawFinancials!O394)</f>
        <v>8829</v>
      </c>
      <c r="P394" s="0" t="str">
        <f aca="false">IF(ISBLANK(RawFinancials!P394),"",RawFinancials!P394)</f>
        <v>MERRIMACK COUNTY SAVINGS BANK</v>
      </c>
      <c r="Q394" s="0" t="n">
        <f aca="false">IF(ISBLANK(RawFinancials!Q394),"",RawFinancials!Q394)</f>
        <v>0.782137768851812</v>
      </c>
      <c r="R394" s="0" t="n">
        <f aca="false">IF(ISBLANK(RawFinancials!R394),"",RawFinancials!R394)</f>
        <v>2.79041633518132</v>
      </c>
      <c r="S394" s="0" t="n">
        <f aca="false">IF(ISBLANK(RawFinancials!S394),"",RawFinancials!S394)</f>
        <v>199</v>
      </c>
      <c r="T394" s="0" t="n">
        <f aca="false">IF(ISBLANK(RawFinancials!T394),"",RawFinancials!T394)</f>
        <v>2370</v>
      </c>
      <c r="U394" s="0" t="n">
        <f aca="false">IF(ISBLANK(RawFinancials!U394),"",RawFinancials!U394)</f>
        <v>284</v>
      </c>
      <c r="V394" s="0" t="n">
        <f aca="false">IF(ISBLANK(RawFinancials!V394),"",RawFinancials!V394)</f>
        <v>13.2488524274602</v>
      </c>
      <c r="W394" s="0" t="n">
        <f aca="false">IF(ISBLANK(RawFinancials!W394),"",RawFinancials!W394)</f>
        <v>20231231</v>
      </c>
      <c r="X394" s="0" t="n">
        <f aca="false">IF(ISBLANK(RawFinancials!X394),"",RawFinancials!X394)</f>
        <v>0.517619709580597</v>
      </c>
      <c r="Y394" s="0" t="n">
        <f aca="false">IF(ISBLANK(RawFinancials!Y394),"",RawFinancials!Y394)</f>
        <v>6.46</v>
      </c>
      <c r="Z394" s="0" t="str">
        <f aca="false">IF(ISBLANK(RawFinancials!Z394),"",RawFinancials!Z394)</f>
        <v>NH</v>
      </c>
      <c r="AA394" s="0" t="n">
        <f aca="false">RawFinancials!AA394</f>
        <v>1</v>
      </c>
      <c r="AB394" s="0" t="n">
        <f aca="false">RawFinancials!AB394</f>
        <v>9113</v>
      </c>
      <c r="AC394" s="0" t="n">
        <f aca="false">RawFinancials!AC394</f>
        <v>0.666016217381613</v>
      </c>
      <c r="AD394" s="0" t="n">
        <f aca="false">IF(L394&gt;0,100*N394/L394,"")</f>
        <v>71.4736426523851</v>
      </c>
      <c r="AE394" s="0" t="n">
        <f aca="false">IF(B394&gt;0,100*F394/B394,"")</f>
        <v>8.29724801485071</v>
      </c>
      <c r="AF394" s="0" t="str">
        <f aca="false">RawFinancials!AE394</f>
        <v/>
      </c>
    </row>
    <row r="395" customFormat="false" ht="15" hidden="false" customHeight="false" outlineLevel="0" collapsed="false">
      <c r="A395" s="0" t="n">
        <f aca="false">IF(ISBLANK(RawFinancials!A395),"",RawFinancials!A395)</f>
        <v>395</v>
      </c>
      <c r="B395" s="0" t="n">
        <f aca="false">IF(ISBLANK(RawFinancials!B395),"",RawFinancials!B395)</f>
        <v>2515915</v>
      </c>
      <c r="C395" s="0" t="n">
        <f aca="false">IF(ISBLANK(RawFinancials!C395),"",RawFinancials!C395)</f>
        <v>18012</v>
      </c>
      <c r="D395" s="0" t="n">
        <f aca="false">IF(ISBLANK(RawFinancials!D395),"",RawFinancials!D395)</f>
        <v>2106019</v>
      </c>
      <c r="E395" s="0" t="n">
        <f aca="false">IF(ISBLANK(RawFinancials!E395),"",RawFinancials!E395)</f>
        <v>-0.02</v>
      </c>
      <c r="F395" s="0" t="n">
        <f aca="false">IF(ISBLANK(RawFinancials!F395),"",RawFinancials!F395)</f>
        <v>266248</v>
      </c>
      <c r="G395" s="0" t="n">
        <f aca="false">IF(ISBLANK(RawFinancials!G395),"",RawFinancials!G395)</f>
        <v>10.5825514772955</v>
      </c>
      <c r="H395" s="0" t="str">
        <f aca="false">IF(ISBLANK(RawFinancials!H395),"",RawFinancials!H395)</f>
        <v>18012_20231231</v>
      </c>
      <c r="I395" s="0" t="n">
        <f aca="false">IF(ISBLANK(RawFinancials!I395),"",RawFinancials!I395)</f>
        <v>1.20429468902431</v>
      </c>
      <c r="J395" s="0" t="n">
        <f aca="false">IF(ISBLANK(RawFinancials!J395),"",RawFinancials!J395)</f>
        <v>49841</v>
      </c>
      <c r="K395" s="0" t="n">
        <f aca="false">IF(ISBLANK(RawFinancials!K395),"",RawFinancials!K395)</f>
        <v>33148</v>
      </c>
      <c r="L395" s="0" t="n">
        <f aca="false">IF(ISBLANK(RawFinancials!L395),"",RawFinancials!L395)</f>
        <v>1993532</v>
      </c>
      <c r="M395" s="0" t="n">
        <f aca="false">IF(ISBLANK(RawFinancials!M395),"",RawFinancials!M395)</f>
        <v>1969524</v>
      </c>
      <c r="N395" s="0" t="n">
        <f aca="false">IF(ISBLANK(RawFinancials!N395),"",RawFinancials!N395)</f>
        <v>1887130</v>
      </c>
      <c r="O395" s="0" t="n">
        <f aca="false">IF(ISBLANK(RawFinancials!O395),"",RawFinancials!O395)</f>
        <v>555</v>
      </c>
      <c r="P395" s="0" t="str">
        <f aca="false">IF(ISBLANK(RawFinancials!P395),"",RawFinancials!P395)</f>
        <v>BANK OF NEW HAMPSHIRE</v>
      </c>
      <c r="Q395" s="0" t="n">
        <f aca="false">IF(ISBLANK(RawFinancials!Q395),"",RawFinancials!Q395)</f>
        <v>0.0278400346721296</v>
      </c>
      <c r="R395" s="0" t="n">
        <f aca="false">IF(ISBLANK(RawFinancials!R395),"",RawFinancials!R395)</f>
        <v>3.00536889829927</v>
      </c>
      <c r="S395" s="0" t="n">
        <f aca="false">IF(ISBLANK(RawFinancials!S395),"",RawFinancials!S395)</f>
        <v>162</v>
      </c>
      <c r="T395" s="0" t="n">
        <f aca="false">IF(ISBLANK(RawFinancials!T395),"",RawFinancials!T395)</f>
        <v>3215</v>
      </c>
      <c r="U395" s="0" t="n">
        <f aca="false">IF(ISBLANK(RawFinancials!U395),"",RawFinancials!U395)</f>
        <v>0</v>
      </c>
      <c r="V395" s="0" t="n">
        <f aca="false">IF(ISBLANK(RawFinancials!V395),"",RawFinancials!V395)</f>
        <v>14.2074219489544</v>
      </c>
      <c r="W395" s="0" t="n">
        <f aca="false">IF(ISBLANK(RawFinancials!W395),"",RawFinancials!W395)</f>
        <v>20231231</v>
      </c>
      <c r="X395" s="0" t="n">
        <f aca="false">IF(ISBLANK(RawFinancials!X395),"",RawFinancials!X395)</f>
        <v>0.877971664486964</v>
      </c>
      <c r="Y395" s="0" t="n">
        <f aca="false">IF(ISBLANK(RawFinancials!Y395),"",RawFinancials!Y395)</f>
        <v>8.58</v>
      </c>
      <c r="Z395" s="0" t="str">
        <f aca="false">IF(ISBLANK(RawFinancials!Z395),"",RawFinancials!Z395)</f>
        <v>NH</v>
      </c>
      <c r="AA395" s="0" t="n">
        <f aca="false">RawFinancials!AA395</f>
        <v>1</v>
      </c>
      <c r="AB395" s="0" t="n">
        <f aca="false">RawFinancials!AB395</f>
        <v>555</v>
      </c>
      <c r="AC395" s="0" t="n">
        <f aca="false">RawFinancials!AC395</f>
        <v>0.022059568785114</v>
      </c>
      <c r="AD395" s="0" t="n">
        <f aca="false">IF(L395&gt;0,100*N395/L395,"")</f>
        <v>94.6626389744434</v>
      </c>
      <c r="AE395" s="0" t="n">
        <f aca="false">IF(B395&gt;0,100*F395/B395,"")</f>
        <v>10.5825514772955</v>
      </c>
      <c r="AF395" s="0" t="str">
        <f aca="false">RawFinancials!AE395</f>
        <v/>
      </c>
    </row>
    <row r="396" customFormat="false" ht="15" hidden="false" customHeight="false" outlineLevel="0" collapsed="false">
      <c r="A396" s="0" t="n">
        <f aca="false">IF(ISBLANK(RawFinancials!A396),"",RawFinancials!A396)</f>
        <v>396</v>
      </c>
      <c r="B396" s="0" t="n">
        <f aca="false">IF(ISBLANK(RawFinancials!B396),"",RawFinancials!B396)</f>
        <v>2931539</v>
      </c>
      <c r="C396" s="0" t="n">
        <f aca="false">IF(ISBLANK(RawFinancials!C396),"",RawFinancials!C396)</f>
        <v>18013</v>
      </c>
      <c r="D396" s="0" t="n">
        <f aca="false">IF(ISBLANK(RawFinancials!D396),"",RawFinancials!D396)</f>
        <v>2493477</v>
      </c>
      <c r="E396" s="0" t="n">
        <f aca="false">IF(ISBLANK(RawFinancials!E396),"",RawFinancials!E396)</f>
        <v>0.05</v>
      </c>
      <c r="F396" s="0" t="n">
        <f aca="false">IF(ISBLANK(RawFinancials!F396),"",RawFinancials!F396)</f>
        <v>220301</v>
      </c>
      <c r="G396" s="0" t="n">
        <f aca="false">IF(ISBLANK(RawFinancials!G396),"",RawFinancials!G396)</f>
        <v>7.51485823657812</v>
      </c>
      <c r="H396" s="0" t="str">
        <f aca="false">IF(ISBLANK(RawFinancials!H396),"",RawFinancials!H396)</f>
        <v>18013_20231231</v>
      </c>
      <c r="I396" s="0" t="n">
        <f aca="false">IF(ISBLANK(RawFinancials!I396),"",RawFinancials!I396)</f>
        <v>0.71005314133557</v>
      </c>
      <c r="J396" s="0" t="n">
        <f aca="false">IF(ISBLANK(RawFinancials!J396),"",RawFinancials!J396)</f>
        <v>110574</v>
      </c>
      <c r="K396" s="0" t="n">
        <f aca="false">IF(ISBLANK(RawFinancials!K396),"",RawFinancials!K396)</f>
        <v>26129</v>
      </c>
      <c r="L396" s="0" t="n">
        <f aca="false">IF(ISBLANK(RawFinancials!L396),"",RawFinancials!L396)</f>
        <v>2374611</v>
      </c>
      <c r="M396" s="0" t="n">
        <f aca="false">IF(ISBLANK(RawFinancials!M396),"",RawFinancials!M396)</f>
        <v>2357750</v>
      </c>
      <c r="N396" s="0" t="n">
        <f aca="false">IF(ISBLANK(RawFinancials!N396),"",RawFinancials!N396)</f>
        <v>2161468</v>
      </c>
      <c r="O396" s="0" t="n">
        <f aca="false">IF(ISBLANK(RawFinancials!O396),"",RawFinancials!O396)</f>
        <v>686</v>
      </c>
      <c r="P396" s="0" t="str">
        <f aca="false">IF(ISBLANK(RawFinancials!P396),"",RawFinancials!P396)</f>
        <v>MASCOMA BANK</v>
      </c>
      <c r="Q396" s="0" t="n">
        <f aca="false">IF(ISBLANK(RawFinancials!Q396),"",RawFinancials!Q396)</f>
        <v>0.0298996340874357</v>
      </c>
      <c r="R396" s="0" t="n">
        <f aca="false">IF(ISBLANK(RawFinancials!R396),"",RawFinancials!R396)</f>
        <v>2.73279494803359</v>
      </c>
      <c r="S396" s="0" t="n">
        <f aca="false">IF(ISBLANK(RawFinancials!S396),"",RawFinancials!S396)</f>
        <v>320</v>
      </c>
      <c r="T396" s="0" t="n">
        <f aca="false">IF(ISBLANK(RawFinancials!T396),"",RawFinancials!T396)</f>
        <v>5925</v>
      </c>
      <c r="U396" s="0" t="n">
        <f aca="false">IF(ISBLANK(RawFinancials!U396),"",RawFinancials!U396)</f>
        <v>24</v>
      </c>
      <c r="V396" s="0" t="n">
        <f aca="false">IF(ISBLANK(RawFinancials!V396),"",RawFinancials!V396)</f>
        <v>12.6829971931169</v>
      </c>
      <c r="W396" s="0" t="n">
        <f aca="false">IF(ISBLANK(RawFinancials!W396),"",RawFinancials!W396)</f>
        <v>20231231</v>
      </c>
      <c r="X396" s="0" t="n">
        <f aca="false">IF(ISBLANK(RawFinancials!X396),"",RawFinancials!X396)</f>
        <v>0.394516829891397</v>
      </c>
      <c r="Y396" s="0" t="n">
        <f aca="false">IF(ISBLANK(RawFinancials!Y396),"",RawFinancials!Y396)</f>
        <v>5.28</v>
      </c>
      <c r="Z396" s="0" t="str">
        <f aca="false">IF(ISBLANK(RawFinancials!Z396),"",RawFinancials!Z396)</f>
        <v>NH</v>
      </c>
      <c r="AA396" s="0" t="n">
        <f aca="false">RawFinancials!AA396</f>
        <v>1</v>
      </c>
      <c r="AB396" s="0" t="n">
        <f aca="false">RawFinancials!AB396</f>
        <v>710</v>
      </c>
      <c r="AC396" s="0" t="n">
        <f aca="false">RawFinancials!AC396</f>
        <v>0.0242193605474803</v>
      </c>
      <c r="AD396" s="0" t="n">
        <f aca="false">IF(L396&gt;0,100*N396/L396,"")</f>
        <v>91.0240877347911</v>
      </c>
      <c r="AE396" s="0" t="n">
        <f aca="false">IF(B396&gt;0,100*F396/B396,"")</f>
        <v>7.51485823657813</v>
      </c>
      <c r="AF396" s="0" t="str">
        <f aca="false">RawFinancials!AE396</f>
        <v/>
      </c>
    </row>
    <row r="397" customFormat="false" ht="15" hidden="false" customHeight="false" outlineLevel="0" collapsed="false">
      <c r="A397" s="0" t="n">
        <f aca="false">IF(ISBLANK(RawFinancials!A397),"",RawFinancials!A397)</f>
        <v>397</v>
      </c>
      <c r="B397" s="0" t="n">
        <f aca="false">IF(ISBLANK(RawFinancials!B397),"",RawFinancials!B397)</f>
        <v>392854</v>
      </c>
      <c r="C397" s="0" t="n">
        <f aca="false">IF(ISBLANK(RawFinancials!C397),"",RawFinancials!C397)</f>
        <v>18028</v>
      </c>
      <c r="D397" s="0" t="n">
        <f aca="false">IF(ISBLANK(RawFinancials!D397),"",RawFinancials!D397)</f>
        <v>313497</v>
      </c>
      <c r="E397" s="0" t="n">
        <f aca="false">IF(ISBLANK(RawFinancials!E397),"",RawFinancials!E397)</f>
        <v>0.07</v>
      </c>
      <c r="F397" s="0" t="n">
        <f aca="false">IF(ISBLANK(RawFinancials!F397),"",RawFinancials!F397)</f>
        <v>40632</v>
      </c>
      <c r="G397" s="0" t="n">
        <f aca="false">IF(ISBLANK(RawFinancials!G397),"",RawFinancials!G397)</f>
        <v>10.3427736512801</v>
      </c>
      <c r="H397" s="0" t="str">
        <f aca="false">IF(ISBLANK(RawFinancials!H397),"",RawFinancials!H397)</f>
        <v>18028_20231231</v>
      </c>
      <c r="I397" s="0" t="n">
        <f aca="false">IF(ISBLANK(RawFinancials!I397),"",RawFinancials!I397)</f>
        <v>0.877133414821857</v>
      </c>
      <c r="J397" s="0" t="n">
        <f aca="false">IF(ISBLANK(RawFinancials!J397),"",RawFinancials!J397)</f>
        <v>15393</v>
      </c>
      <c r="K397" s="0" t="n">
        <f aca="false">IF(ISBLANK(RawFinancials!K397),"",RawFinancials!K397)</f>
        <v>6367</v>
      </c>
      <c r="L397" s="0" t="n">
        <f aca="false">IF(ISBLANK(RawFinancials!L397),"",RawFinancials!L397)</f>
        <v>265068</v>
      </c>
      <c r="M397" s="0" t="n">
        <f aca="false">IF(ISBLANK(RawFinancials!M397),"",RawFinancials!M397)</f>
        <v>262743</v>
      </c>
      <c r="N397" s="0" t="n">
        <f aca="false">IF(ISBLANK(RawFinancials!N397),"",RawFinancials!N397)</f>
        <v>237654</v>
      </c>
      <c r="O397" s="0" t="n">
        <f aca="false">IF(ISBLANK(RawFinancials!O397),"",RawFinancials!O397)</f>
        <v>817</v>
      </c>
      <c r="P397" s="0" t="str">
        <f aca="false">IF(ISBLANK(RawFinancials!P397),"",RawFinancials!P397)</f>
        <v>SUGAR RIVER BANK</v>
      </c>
      <c r="Q397" s="0" t="n">
        <f aca="false">IF(ISBLANK(RawFinancials!Q397),"",RawFinancials!Q397)</f>
        <v>0.347458010774594</v>
      </c>
      <c r="R397" s="0" t="n">
        <f aca="false">IF(ISBLANK(RawFinancials!R397),"",RawFinancials!R397)</f>
        <v>3.41924397656439</v>
      </c>
      <c r="S397" s="0" t="n">
        <f aca="false">IF(ISBLANK(RawFinancials!S397),"",RawFinancials!S397)</f>
        <v>383</v>
      </c>
      <c r="T397" s="0" t="n">
        <f aca="false">IF(ISBLANK(RawFinancials!T397),"",RawFinancials!T397)</f>
        <v>1644</v>
      </c>
      <c r="U397" s="0" t="n">
        <f aca="false">IF(ISBLANK(RawFinancials!U397),"",RawFinancials!U397)</f>
        <v>104</v>
      </c>
      <c r="V397" s="0" t="n">
        <f aca="false">IF(ISBLANK(RawFinancials!V397),"",RawFinancials!V397)</f>
        <v>0</v>
      </c>
      <c r="W397" s="0" t="n">
        <f aca="false">IF(ISBLANK(RawFinancials!W397),"",RawFinancials!W397)</f>
        <v>20231231</v>
      </c>
      <c r="X397" s="0" t="n">
        <f aca="false">IF(ISBLANK(RawFinancials!X397),"",RawFinancials!X397)</f>
        <v>0.610395045804293</v>
      </c>
      <c r="Y397" s="0" t="n">
        <f aca="false">IF(ISBLANK(RawFinancials!Y397),"",RawFinancials!Y397)</f>
        <v>6.26</v>
      </c>
      <c r="Z397" s="0" t="str">
        <f aca="false">IF(ISBLANK(RawFinancials!Z397),"",RawFinancials!Z397)</f>
        <v>NH</v>
      </c>
      <c r="AA397" s="0" t="n">
        <f aca="false">RawFinancials!AA397</f>
        <v>1</v>
      </c>
      <c r="AB397" s="0" t="n">
        <f aca="false">RawFinancials!AB397</f>
        <v>921</v>
      </c>
      <c r="AC397" s="0" t="n">
        <f aca="false">RawFinancials!AC397</f>
        <v>0.234438239142277</v>
      </c>
      <c r="AD397" s="0" t="n">
        <f aca="false">IF(L397&gt;0,100*N397/L397,"")</f>
        <v>89.6577482004618</v>
      </c>
      <c r="AE397" s="0" t="n">
        <f aca="false">IF(B397&gt;0,100*F397/B397,"")</f>
        <v>10.3427736512801</v>
      </c>
      <c r="AF397" s="0" t="str">
        <f aca="false">RawFinancials!AE397</f>
        <v>原始0：需核实适用/报告口径</v>
      </c>
    </row>
    <row r="398" customFormat="false" ht="15" hidden="false" customHeight="false" outlineLevel="0" collapsed="false">
      <c r="A398" s="0" t="n">
        <f aca="false">IF(ISBLANK(RawFinancials!A398),"",RawFinancials!A398)</f>
        <v>398</v>
      </c>
      <c r="B398" s="0" t="n">
        <f aca="false">IF(ISBLANK(RawFinancials!B398),"",RawFinancials!B398)</f>
        <v>727730</v>
      </c>
      <c r="C398" s="0" t="n">
        <f aca="false">IF(ISBLANK(RawFinancials!C398),"",RawFinancials!C398)</f>
        <v>18030</v>
      </c>
      <c r="D398" s="0" t="n">
        <f aca="false">IF(ISBLANK(RawFinancials!D398),"",RawFinancials!D398)</f>
        <v>660214</v>
      </c>
      <c r="E398" s="0" t="n">
        <f aca="false">IF(ISBLANK(RawFinancials!E398),"",RawFinancials!E398)</f>
        <v>0.04</v>
      </c>
      <c r="F398" s="0" t="n">
        <f aca="false">IF(ISBLANK(RawFinancials!F398),"",RawFinancials!F398)</f>
        <v>49050</v>
      </c>
      <c r="G398" s="0" t="n">
        <f aca="false">IF(ISBLANK(RawFinancials!G398),"",RawFinancials!G398)</f>
        <v>6.740137138774</v>
      </c>
      <c r="H398" s="0" t="str">
        <f aca="false">IF(ISBLANK(RawFinancials!H398),"",RawFinancials!H398)</f>
        <v>18030_20231231</v>
      </c>
      <c r="I398" s="0" t="n">
        <f aca="false">IF(ISBLANK(RawFinancials!I398),"",RawFinancials!I398)</f>
        <v>1.01574394610824</v>
      </c>
      <c r="J398" s="0" t="n">
        <f aca="false">IF(ISBLANK(RawFinancials!J398),"",RawFinancials!J398)</f>
        <v>41412</v>
      </c>
      <c r="K398" s="0" t="n">
        <f aca="false">IF(ISBLANK(RawFinancials!K398),"",RawFinancials!K398)</f>
        <v>95210</v>
      </c>
      <c r="L398" s="0" t="n">
        <f aca="false">IF(ISBLANK(RawFinancials!L398),"",RawFinancials!L398)</f>
        <v>587845</v>
      </c>
      <c r="M398" s="0" t="n">
        <f aca="false">IF(ISBLANK(RawFinancials!M398),"",RawFinancials!M398)</f>
        <v>581874</v>
      </c>
      <c r="N398" s="0" t="n">
        <f aca="false">IF(ISBLANK(RawFinancials!N398),"",RawFinancials!N398)</f>
        <v>451120</v>
      </c>
      <c r="O398" s="0" t="n">
        <f aca="false">IF(ISBLANK(RawFinancials!O398),"",RawFinancials!O398)</f>
        <v>456</v>
      </c>
      <c r="P398" s="0" t="str">
        <f aca="false">IF(ISBLANK(RawFinancials!P398),"",RawFinancials!P398)</f>
        <v>SAVINGS BANK OF WALPOLE</v>
      </c>
      <c r="Q398" s="0" t="n">
        <f aca="false">IF(ISBLANK(RawFinancials!Q398),"",RawFinancials!Q398)</f>
        <v>0.0775714686694621</v>
      </c>
      <c r="R398" s="0" t="n">
        <f aca="false">IF(ISBLANK(RawFinancials!R398),"",RawFinancials!R398)</f>
        <v>3.49141875348247</v>
      </c>
      <c r="S398" s="0" t="n">
        <f aca="false">IF(ISBLANK(RawFinancials!S398),"",RawFinancials!S398)</f>
        <v>-350</v>
      </c>
      <c r="T398" s="0" t="n">
        <f aca="false">IF(ISBLANK(RawFinancials!T398),"",RawFinancials!T398)</f>
        <v>829</v>
      </c>
      <c r="U398" s="0" t="n">
        <f aca="false">IF(ISBLANK(RawFinancials!U398),"",RawFinancials!U398)</f>
        <v>0</v>
      </c>
      <c r="V398" s="0" t="n">
        <f aca="false">IF(ISBLANK(RawFinancials!V398),"",RawFinancials!V398)</f>
        <v>13.2959890498966</v>
      </c>
      <c r="W398" s="0" t="n">
        <f aca="false">IF(ISBLANK(RawFinancials!W398),"",RawFinancials!W398)</f>
        <v>20231231</v>
      </c>
      <c r="X398" s="0" t="n">
        <f aca="false">IF(ISBLANK(RawFinancials!X398),"",RawFinancials!X398)</f>
        <v>0.703209915440082</v>
      </c>
      <c r="Y398" s="0" t="n">
        <f aca="false">IF(ISBLANK(RawFinancials!Y398),"",RawFinancials!Y398)</f>
        <v>11.34</v>
      </c>
      <c r="Z398" s="0" t="str">
        <f aca="false">IF(ISBLANK(RawFinancials!Z398),"",RawFinancials!Z398)</f>
        <v>NH</v>
      </c>
      <c r="AA398" s="0" t="n">
        <f aca="false">RawFinancials!AA398</f>
        <v>1</v>
      </c>
      <c r="AB398" s="0" t="n">
        <f aca="false">RawFinancials!AB398</f>
        <v>456</v>
      </c>
      <c r="AC398" s="0" t="n">
        <f aca="false">RawFinancials!AC398</f>
        <v>0.0626606021464005</v>
      </c>
      <c r="AD398" s="0" t="n">
        <f aca="false">IF(L398&gt;0,100*N398/L398,"")</f>
        <v>76.741317864403</v>
      </c>
      <c r="AE398" s="0" t="n">
        <f aca="false">IF(B398&gt;0,100*F398/B398,"")</f>
        <v>6.740137138774</v>
      </c>
      <c r="AF398" s="0" t="str">
        <f aca="false">RawFinancials!AE398</f>
        <v/>
      </c>
    </row>
    <row r="399" customFormat="false" ht="15" hidden="false" customHeight="false" outlineLevel="0" collapsed="false">
      <c r="A399" s="0" t="n">
        <f aca="false">IF(ISBLANK(RawFinancials!A399),"",RawFinancials!A399)</f>
        <v>399</v>
      </c>
      <c r="B399" s="0" t="n">
        <f aca="false">IF(ISBLANK(RawFinancials!B399),"",RawFinancials!B399)</f>
        <v>684364</v>
      </c>
      <c r="C399" s="0" t="n">
        <f aca="false">IF(ISBLANK(RawFinancials!C399),"",RawFinancials!C399)</f>
        <v>18031</v>
      </c>
      <c r="D399" s="0" t="n">
        <f aca="false">IF(ISBLANK(RawFinancials!D399),"",RawFinancials!D399)</f>
        <v>562404</v>
      </c>
      <c r="E399" s="0" t="n">
        <f aca="false">IF(ISBLANK(RawFinancials!E399),"",RawFinancials!E399)</f>
        <v>-0.01</v>
      </c>
      <c r="F399" s="0" t="n">
        <f aca="false">IF(ISBLANK(RawFinancials!F399),"",RawFinancials!F399)</f>
        <v>37606</v>
      </c>
      <c r="G399" s="0" t="n">
        <f aca="false">IF(ISBLANK(RawFinancials!G399),"",RawFinancials!G399)</f>
        <v>5.49502896119609</v>
      </c>
      <c r="H399" s="0" t="str">
        <f aca="false">IF(ISBLANK(RawFinancials!H399),"",RawFinancials!H399)</f>
        <v>18031_20231231</v>
      </c>
      <c r="I399" s="0" t="n">
        <f aca="false">IF(ISBLANK(RawFinancials!I399),"",RawFinancials!I399)</f>
        <v>0.836002015566503</v>
      </c>
      <c r="J399" s="0" t="n">
        <f aca="false">IF(ISBLANK(RawFinancials!J399),"",RawFinancials!J399)</f>
        <v>23262</v>
      </c>
      <c r="K399" s="0" t="n">
        <f aca="false">IF(ISBLANK(RawFinancials!K399),"",RawFinancials!K399)</f>
        <v>10669</v>
      </c>
      <c r="L399" s="0" t="n">
        <f aca="false">IF(ISBLANK(RawFinancials!L399),"",RawFinancials!L399)</f>
        <v>480262</v>
      </c>
      <c r="M399" s="0" t="n">
        <f aca="false">IF(ISBLANK(RawFinancials!M399),"",RawFinancials!M399)</f>
        <v>476247</v>
      </c>
      <c r="N399" s="0" t="n">
        <f aca="false">IF(ISBLANK(RawFinancials!N399),"",RawFinancials!N399)</f>
        <v>439722</v>
      </c>
      <c r="O399" s="0" t="n">
        <f aca="false">IF(ISBLANK(RawFinancials!O399),"",RawFinancials!O399)</f>
        <v>697</v>
      </c>
      <c r="P399" s="0" t="str">
        <f aca="false">IF(ISBLANK(RawFinancials!P399),"",RawFinancials!P399)</f>
        <v>WOODSVILLE GUARANTY SAVINGS BANK</v>
      </c>
      <c r="Q399" s="0" t="n">
        <f aca="false">IF(ISBLANK(RawFinancials!Q399),"",RawFinancials!Q399)</f>
        <v>0.145129117023625</v>
      </c>
      <c r="R399" s="0" t="n">
        <f aca="false">IF(ISBLANK(RawFinancials!R399),"",RawFinancials!R399)</f>
        <v>2.72156004022497</v>
      </c>
      <c r="S399" s="0" t="n">
        <f aca="false">IF(ISBLANK(RawFinancials!S399),"",RawFinancials!S399)</f>
        <v>-8</v>
      </c>
      <c r="T399" s="0" t="n">
        <f aca="false">IF(ISBLANK(RawFinancials!T399),"",RawFinancials!T399)</f>
        <v>1155</v>
      </c>
      <c r="U399" s="0" t="n">
        <f aca="false">IF(ISBLANK(RawFinancials!U399),"",RawFinancials!U399)</f>
        <v>0</v>
      </c>
      <c r="V399" s="0" t="n">
        <f aca="false">IF(ISBLANK(RawFinancials!V399),"",RawFinancials!V399)</f>
        <v>16.0938463078374</v>
      </c>
      <c r="W399" s="0" t="n">
        <f aca="false">IF(ISBLANK(RawFinancials!W399),"",RawFinancials!W399)</f>
        <v>20231231</v>
      </c>
      <c r="X399" s="0" t="n">
        <f aca="false">IF(ISBLANK(RawFinancials!X399),"",RawFinancials!X399)</f>
        <v>0.257383867860736</v>
      </c>
      <c r="Y399" s="0" t="n">
        <f aca="false">IF(ISBLANK(RawFinancials!Y399),"",RawFinancials!Y399)</f>
        <v>4.84</v>
      </c>
      <c r="Z399" s="0" t="str">
        <f aca="false">IF(ISBLANK(RawFinancials!Z399),"",RawFinancials!Z399)</f>
        <v>NH</v>
      </c>
      <c r="AA399" s="0" t="n">
        <f aca="false">RawFinancials!AA399</f>
        <v>1</v>
      </c>
      <c r="AB399" s="0" t="n">
        <f aca="false">RawFinancials!AB399</f>
        <v>697</v>
      </c>
      <c r="AC399" s="0" t="n">
        <f aca="false">RawFinancials!AC399</f>
        <v>0.101846385841453</v>
      </c>
      <c r="AD399" s="0" t="n">
        <f aca="false">IF(L399&gt;0,100*N399/L399,"")</f>
        <v>91.5587741690994</v>
      </c>
      <c r="AE399" s="0" t="n">
        <f aca="false">IF(B399&gt;0,100*F399/B399,"")</f>
        <v>5.49502896119609</v>
      </c>
      <c r="AF399" s="0" t="str">
        <f aca="false">RawFinancials!AE399</f>
        <v/>
      </c>
    </row>
    <row r="400" customFormat="false" ht="15" hidden="false" customHeight="false" outlineLevel="0" collapsed="false">
      <c r="A400" s="0" t="n">
        <f aca="false">IF(ISBLANK(RawFinancials!A400),"",RawFinancials!A400)</f>
        <v>400</v>
      </c>
      <c r="B400" s="0" t="n">
        <f aca="false">IF(ISBLANK(RawFinancials!B400),"",RawFinancials!B400)</f>
        <v>552093</v>
      </c>
      <c r="C400" s="0" t="n">
        <f aca="false">IF(ISBLANK(RawFinancials!C400),"",RawFinancials!C400)</f>
        <v>18038</v>
      </c>
      <c r="D400" s="0" t="n">
        <f aca="false">IF(ISBLANK(RawFinancials!D400),"",RawFinancials!D400)</f>
        <v>419606</v>
      </c>
      <c r="E400" s="0" t="n">
        <f aca="false">IF(ISBLANK(RawFinancials!E400),"",RawFinancials!E400)</f>
        <v>-0.04</v>
      </c>
      <c r="F400" s="0" t="n">
        <f aca="false">IF(ISBLANK(RawFinancials!F400),"",RawFinancials!F400)</f>
        <v>66547</v>
      </c>
      <c r="G400" s="0" t="n">
        <f aca="false">IF(ISBLANK(RawFinancials!G400),"",RawFinancials!G400)</f>
        <v>12.0535851749615</v>
      </c>
      <c r="H400" s="0" t="str">
        <f aca="false">IF(ISBLANK(RawFinancials!H400),"",RawFinancials!H400)</f>
        <v>18038_20231231</v>
      </c>
      <c r="I400" s="0" t="n">
        <f aca="false">IF(ISBLANK(RawFinancials!I400),"",RawFinancials!I400)</f>
        <v>0.92744461393534</v>
      </c>
      <c r="J400" s="0" t="n">
        <f aca="false">IF(ISBLANK(RawFinancials!J400),"",RawFinancials!J400)</f>
        <v>21976</v>
      </c>
      <c r="K400" s="0" t="n">
        <f aca="false">IF(ISBLANK(RawFinancials!K400),"",RawFinancials!K400)</f>
        <v>3848</v>
      </c>
      <c r="L400" s="0" t="n">
        <f aca="false">IF(ISBLANK(RawFinancials!L400),"",RawFinancials!L400)</f>
        <v>418246</v>
      </c>
      <c r="M400" s="0" t="n">
        <f aca="false">IF(ISBLANK(RawFinancials!M400),"",RawFinancials!M400)</f>
        <v>414367</v>
      </c>
      <c r="N400" s="0" t="n">
        <f aca="false">IF(ISBLANK(RawFinancials!N400),"",RawFinancials!N400)</f>
        <v>392161</v>
      </c>
      <c r="O400" s="0" t="n">
        <f aca="false">IF(ISBLANK(RawFinancials!O400),"",RawFinancials!O400)</f>
        <v>2367</v>
      </c>
      <c r="P400" s="0" t="str">
        <f aca="false">IF(ISBLANK(RawFinancials!P400),"",RawFinancials!P400)</f>
        <v>CLAREMONT SAVINGS BANK</v>
      </c>
      <c r="Q400" s="0" t="n">
        <f aca="false">IF(ISBLANK(RawFinancials!Q400),"",RawFinancials!Q400)</f>
        <v>0.565934880429221</v>
      </c>
      <c r="R400" s="0" t="n">
        <f aca="false">IF(ISBLANK(RawFinancials!R400),"",RawFinancials!R400)</f>
        <v>2.45051426504837</v>
      </c>
      <c r="S400" s="0" t="n">
        <f aca="false">IF(ISBLANK(RawFinancials!S400),"",RawFinancials!S400)</f>
        <v>-77</v>
      </c>
      <c r="T400" s="0" t="n">
        <f aca="false">IF(ISBLANK(RawFinancials!T400),"",RawFinancials!T400)</f>
        <v>822</v>
      </c>
      <c r="U400" s="0" t="n">
        <f aca="false">IF(ISBLANK(RawFinancials!U400),"",RawFinancials!U400)</f>
        <v>0</v>
      </c>
      <c r="V400" s="0" t="n">
        <f aca="false">IF(ISBLANK(RawFinancials!V400),"",RawFinancials!V400)</f>
        <v>0</v>
      </c>
      <c r="W400" s="0" t="n">
        <f aca="false">IF(ISBLANK(RawFinancials!W400),"",RawFinancials!W400)</f>
        <v>20231231</v>
      </c>
      <c r="X400" s="0" t="n">
        <f aca="false">IF(ISBLANK(RawFinancials!X400),"",RawFinancials!X400)</f>
        <v>0.311938300906613</v>
      </c>
      <c r="Y400" s="0" t="n">
        <f aca="false">IF(ISBLANK(RawFinancials!Y400),"",RawFinancials!Y400)</f>
        <v>2.64</v>
      </c>
      <c r="Z400" s="0" t="str">
        <f aca="false">IF(ISBLANK(RawFinancials!Z400),"",RawFinancials!Z400)</f>
        <v>NH</v>
      </c>
      <c r="AA400" s="0" t="n">
        <f aca="false">RawFinancials!AA400</f>
        <v>1</v>
      </c>
      <c r="AB400" s="0" t="n">
        <f aca="false">RawFinancials!AB400</f>
        <v>2367</v>
      </c>
      <c r="AC400" s="0" t="n">
        <f aca="false">RawFinancials!AC400</f>
        <v>0.428732115784841</v>
      </c>
      <c r="AD400" s="0" t="n">
        <f aca="false">IF(L400&gt;0,100*N400/L400,"")</f>
        <v>93.7632398158022</v>
      </c>
      <c r="AE400" s="0" t="n">
        <f aca="false">IF(B400&gt;0,100*F400/B400,"")</f>
        <v>12.0535851749615</v>
      </c>
      <c r="AF400" s="0" t="str">
        <f aca="false">RawFinancials!AE400</f>
        <v>原始0：需核实适用/报告口径</v>
      </c>
    </row>
    <row r="401" customFormat="false" ht="15" hidden="false" customHeight="false" outlineLevel="0" collapsed="false">
      <c r="A401" s="0" t="n">
        <f aca="false">IF(ISBLANK(RawFinancials!A401),"",RawFinancials!A401)</f>
        <v>401</v>
      </c>
      <c r="B401" s="0" t="n">
        <f aca="false">IF(ISBLANK(RawFinancials!B401),"",RawFinancials!B401)</f>
        <v>7260613</v>
      </c>
      <c r="C401" s="0" t="n">
        <f aca="false">IF(ISBLANK(RawFinancials!C401),"",RawFinancials!C401)</f>
        <v>18408</v>
      </c>
      <c r="D401" s="0" t="n">
        <f aca="false">IF(ISBLANK(RawFinancials!D401),"",RawFinancials!D401)</f>
        <v>5329154</v>
      </c>
      <c r="E401" s="0" t="n">
        <f aca="false">IF(ISBLANK(RawFinancials!E401),"",RawFinancials!E401)</f>
        <v>-0.07</v>
      </c>
      <c r="F401" s="0" t="n">
        <f aca="false">IF(ISBLANK(RawFinancials!F401),"",RawFinancials!F401)</f>
        <v>408311</v>
      </c>
      <c r="G401" s="0" t="n">
        <f aca="false">IF(ISBLANK(RawFinancials!G401),"",RawFinancials!G401)</f>
        <v>5.62364362347918</v>
      </c>
      <c r="H401" s="0" t="str">
        <f aca="false">IF(ISBLANK(RawFinancials!H401),"",RawFinancials!H401)</f>
        <v>18408_20231231</v>
      </c>
      <c r="I401" s="0" t="n">
        <f aca="false">IF(ISBLANK(RawFinancials!I401),"",RawFinancials!I401)</f>
        <v>0.658884158350031</v>
      </c>
      <c r="J401" s="0" t="n">
        <f aca="false">IF(ISBLANK(RawFinancials!J401),"",RawFinancials!J401)</f>
        <v>333151</v>
      </c>
      <c r="K401" s="0" t="n">
        <f aca="false">IF(ISBLANK(RawFinancials!K401),"",RawFinancials!K401)</f>
        <v>34286</v>
      </c>
      <c r="L401" s="0" t="n">
        <f aca="false">IF(ISBLANK(RawFinancials!L401),"",RawFinancials!L401)</f>
        <v>4829377</v>
      </c>
      <c r="M401" s="0" t="n">
        <f aca="false">IF(ISBLANK(RawFinancials!M401),"",RawFinancials!M401)</f>
        <v>4797557</v>
      </c>
      <c r="N401" s="0" t="n">
        <f aca="false">IF(ISBLANK(RawFinancials!N401),"",RawFinancials!N401)</f>
        <v>4395557</v>
      </c>
      <c r="O401" s="0" t="n">
        <f aca="false">IF(ISBLANK(RawFinancials!O401),"",RawFinancials!O401)</f>
        <v>3682</v>
      </c>
      <c r="P401" s="0" t="str">
        <f aca="false">IF(ISBLANK(RawFinancials!P401),"",RawFinancials!P401)</f>
        <v>BANGOR SAVINGS BANK</v>
      </c>
      <c r="Q401" s="0" t="n">
        <f aca="false">IF(ISBLANK(RawFinancials!Q401),"",RawFinancials!Q401)</f>
        <v>0.0762417181346579</v>
      </c>
      <c r="R401" s="0" t="n">
        <f aca="false">IF(ISBLANK(RawFinancials!R401),"",RawFinancials!R401)</f>
        <v>2.09802163979008</v>
      </c>
      <c r="S401" s="0" t="n">
        <f aca="false">IF(ISBLANK(RawFinancials!S401),"",RawFinancials!S401)</f>
        <v>1220</v>
      </c>
      <c r="T401" s="0" t="n">
        <f aca="false">IF(ISBLANK(RawFinancials!T401),"",RawFinancials!T401)</f>
        <v>7936</v>
      </c>
      <c r="U401" s="0" t="n">
        <f aca="false">IF(ISBLANK(RawFinancials!U401),"",RawFinancials!U401)</f>
        <v>0</v>
      </c>
      <c r="V401" s="0" t="n">
        <f aca="false">IF(ISBLANK(RawFinancials!V401),"",RawFinancials!V401)</f>
        <v>11.8012092146704</v>
      </c>
      <c r="W401" s="0" t="n">
        <f aca="false">IF(ISBLANK(RawFinancials!W401),"",RawFinancials!W401)</f>
        <v>20231231</v>
      </c>
      <c r="X401" s="0" t="n">
        <f aca="false">IF(ISBLANK(RawFinancials!X401),"",RawFinancials!X401)</f>
        <v>0.245774438397451</v>
      </c>
      <c r="Y401" s="0" t="n">
        <f aca="false">IF(ISBLANK(RawFinancials!Y401),"",RawFinancials!Y401)</f>
        <v>4.9</v>
      </c>
      <c r="Z401" s="0" t="str">
        <f aca="false">IF(ISBLANK(RawFinancials!Z401),"",RawFinancials!Z401)</f>
        <v>ME</v>
      </c>
      <c r="AA401" s="0" t="n">
        <f aca="false">RawFinancials!AA401</f>
        <v>1</v>
      </c>
      <c r="AB401" s="0" t="n">
        <f aca="false">RawFinancials!AB401</f>
        <v>3682</v>
      </c>
      <c r="AC401" s="0" t="n">
        <f aca="false">RawFinancials!AC401</f>
        <v>0.0507119715649354</v>
      </c>
      <c r="AD401" s="0" t="n">
        <f aca="false">IF(L401&gt;0,100*N401/L401,"")</f>
        <v>91.0170607927275</v>
      </c>
      <c r="AE401" s="0" t="n">
        <f aca="false">IF(B401&gt;0,100*F401/B401,"")</f>
        <v>5.62364362347917</v>
      </c>
      <c r="AF401" s="0" t="str">
        <f aca="false">RawFinancials!AE401</f>
        <v/>
      </c>
    </row>
    <row r="402" customFormat="false" ht="15" hidden="false" customHeight="false" outlineLevel="0" collapsed="false">
      <c r="A402" s="0" t="n">
        <f aca="false">IF(ISBLANK(RawFinancials!A402),"",RawFinancials!A402)</f>
        <v>402</v>
      </c>
      <c r="B402" s="0" t="n">
        <f aca="false">IF(ISBLANK(RawFinancials!B402),"",RawFinancials!B402)</f>
        <v>2483046</v>
      </c>
      <c r="C402" s="0" t="n">
        <f aca="false">IF(ISBLANK(RawFinancials!C402),"",RawFinancials!C402)</f>
        <v>19531</v>
      </c>
      <c r="D402" s="0" t="n">
        <f aca="false">IF(ISBLANK(RawFinancials!D402),"",RawFinancials!D402)</f>
        <v>2045823</v>
      </c>
      <c r="E402" s="0" t="n">
        <f aca="false">IF(ISBLANK(RawFinancials!E402),"",RawFinancials!E402)</f>
        <v>-0.1</v>
      </c>
      <c r="F402" s="0" t="n">
        <f aca="false">IF(ISBLANK(RawFinancials!F402),"",RawFinancials!F402)</f>
        <v>242363</v>
      </c>
      <c r="G402" s="0" t="n">
        <f aca="false">IF(ISBLANK(RawFinancials!G402),"",RawFinancials!G402)</f>
        <v>9.76071325299652</v>
      </c>
      <c r="H402" s="0" t="str">
        <f aca="false">IF(ISBLANK(RawFinancials!H402),"",RawFinancials!H402)</f>
        <v>19531_20231231</v>
      </c>
      <c r="I402" s="0" t="n">
        <f aca="false">IF(ISBLANK(RawFinancials!I402),"",RawFinancials!I402)</f>
        <v>1.05420592953895</v>
      </c>
      <c r="J402" s="0" t="n">
        <f aca="false">IF(ISBLANK(RawFinancials!J402),"",RawFinancials!J402)</f>
        <v>248052</v>
      </c>
      <c r="K402" s="0" t="n">
        <f aca="false">IF(ISBLANK(RawFinancials!K402),"",RawFinancials!K402)</f>
        <v>14524</v>
      </c>
      <c r="L402" s="0" t="n">
        <f aca="false">IF(ISBLANK(RawFinancials!L402),"",RawFinancials!L402)</f>
        <v>1996479</v>
      </c>
      <c r="M402" s="0" t="n">
        <f aca="false">IF(ISBLANK(RawFinancials!M402),"",RawFinancials!M402)</f>
        <v>1975432</v>
      </c>
      <c r="N402" s="0" t="n">
        <f aca="false">IF(ISBLANK(RawFinancials!N402),"",RawFinancials!N402)</f>
        <v>1632308</v>
      </c>
      <c r="O402" s="0" t="n">
        <f aca="false">IF(ISBLANK(RawFinancials!O402),"",RawFinancials!O402)</f>
        <v>6950</v>
      </c>
      <c r="P402" s="0" t="str">
        <f aca="false">IF(ISBLANK(RawFinancials!P402),"",RawFinancials!P402)</f>
        <v>MACHIAS SAVINGS BANK</v>
      </c>
      <c r="Q402" s="0" t="n">
        <f aca="false">IF(ISBLANK(RawFinancials!Q402),"",RawFinancials!Q402)</f>
        <v>0.350767526229928</v>
      </c>
      <c r="R402" s="0" t="n">
        <f aca="false">IF(ISBLANK(RawFinancials!R402),"",RawFinancials!R402)</f>
        <v>2.72825941963083</v>
      </c>
      <c r="S402" s="0" t="n">
        <f aca="false">IF(ISBLANK(RawFinancials!S402),"",RawFinancials!S402)</f>
        <v>433</v>
      </c>
      <c r="T402" s="0" t="n">
        <f aca="false">IF(ISBLANK(RawFinancials!T402),"",RawFinancials!T402)</f>
        <v>8747</v>
      </c>
      <c r="U402" s="0" t="n">
        <f aca="false">IF(ISBLANK(RawFinancials!U402),"",RawFinancials!U402)</f>
        <v>53</v>
      </c>
      <c r="V402" s="0" t="n">
        <f aca="false">IF(ISBLANK(RawFinancials!V402),"",RawFinancials!V402)</f>
        <v>14.4325224821325</v>
      </c>
      <c r="W402" s="0" t="n">
        <f aca="false">IF(ISBLANK(RawFinancials!W402),"",RawFinancials!W402)</f>
        <v>20231231</v>
      </c>
      <c r="X402" s="0" t="n">
        <f aca="false">IF(ISBLANK(RawFinancials!X402),"",RawFinancials!X402)</f>
        <v>0.483130976497632</v>
      </c>
      <c r="Y402" s="0" t="n">
        <f aca="false">IF(ISBLANK(RawFinancials!Y402),"",RawFinancials!Y402)</f>
        <v>5.05</v>
      </c>
      <c r="Z402" s="0" t="str">
        <f aca="false">IF(ISBLANK(RawFinancials!Z402),"",RawFinancials!Z402)</f>
        <v>ME</v>
      </c>
      <c r="AA402" s="0" t="n">
        <f aca="false">RawFinancials!AA402</f>
        <v>1</v>
      </c>
      <c r="AB402" s="0" t="n">
        <f aca="false">RawFinancials!AB402</f>
        <v>7003</v>
      </c>
      <c r="AC402" s="0" t="n">
        <f aca="false">RawFinancials!AC402</f>
        <v>0.282032632500566</v>
      </c>
      <c r="AD402" s="0" t="n">
        <f aca="false">IF(L402&gt;0,100*N402/L402,"")</f>
        <v>81.7593373133401</v>
      </c>
      <c r="AE402" s="0" t="n">
        <f aca="false">IF(B402&gt;0,100*F402/B402,"")</f>
        <v>9.76071325299652</v>
      </c>
      <c r="AF402" s="0" t="str">
        <f aca="false">RawFinancials!AE402</f>
        <v/>
      </c>
    </row>
    <row r="403" customFormat="false" ht="15" hidden="false" customHeight="false" outlineLevel="0" collapsed="false">
      <c r="A403" s="0" t="n">
        <f aca="false">IF(ISBLANK(RawFinancials!A403),"",RawFinancials!A403)</f>
        <v>403</v>
      </c>
      <c r="B403" s="0" t="n">
        <f aca="false">IF(ISBLANK(RawFinancials!B403),"",RawFinancials!B403)</f>
        <v>876702</v>
      </c>
      <c r="C403" s="0" t="n">
        <f aca="false">IF(ISBLANK(RawFinancials!C403),"",RawFinancials!C403)</f>
        <v>19532</v>
      </c>
      <c r="D403" s="0" t="n">
        <f aca="false">IF(ISBLANK(RawFinancials!D403),"",RawFinancials!D403)</f>
        <v>727881</v>
      </c>
      <c r="E403" s="0" t="n">
        <f aca="false">IF(ISBLANK(RawFinancials!E403),"",RawFinancials!E403)</f>
        <v>0.03</v>
      </c>
      <c r="F403" s="0" t="n">
        <f aca="false">IF(ISBLANK(RawFinancials!F403),"",RawFinancials!F403)</f>
        <v>96676</v>
      </c>
      <c r="G403" s="0" t="n">
        <f aca="false">IF(ISBLANK(RawFinancials!G403),"",RawFinancials!G403)</f>
        <v>11.0272361646261</v>
      </c>
      <c r="H403" s="0" t="str">
        <f aca="false">IF(ISBLANK(RawFinancials!H403),"",RawFinancials!H403)</f>
        <v>19532_20231231</v>
      </c>
      <c r="I403" s="0" t="n">
        <f aca="false">IF(ISBLANK(RawFinancials!I403),"",RawFinancials!I403)</f>
        <v>1.0106237616998</v>
      </c>
      <c r="J403" s="0" t="n">
        <f aca="false">IF(ISBLANK(RawFinancials!J403),"",RawFinancials!J403)</f>
        <v>43720</v>
      </c>
      <c r="K403" s="0" t="n">
        <f aca="false">IF(ISBLANK(RawFinancials!K403),"",RawFinancials!K403)</f>
        <v>53648</v>
      </c>
      <c r="L403" s="0" t="n">
        <f aca="false">IF(ISBLANK(RawFinancials!L403),"",RawFinancials!L403)</f>
        <v>585480</v>
      </c>
      <c r="M403" s="0" t="n">
        <f aca="false">IF(ISBLANK(RawFinancials!M403),"",RawFinancials!M403)</f>
        <v>579563</v>
      </c>
      <c r="N403" s="0" t="n">
        <f aca="false">IF(ISBLANK(RawFinancials!N403),"",RawFinancials!N403)</f>
        <v>482338</v>
      </c>
      <c r="O403" s="0" t="n">
        <f aca="false">IF(ISBLANK(RawFinancials!O403),"",RawFinancials!O403)</f>
        <v>1128</v>
      </c>
      <c r="P403" s="0" t="str">
        <f aca="false">IF(ISBLANK(RawFinancials!P403),"",RawFinancials!P403)</f>
        <v>SKOWHEGAN SAVINGS BANK</v>
      </c>
      <c r="Q403" s="0" t="n">
        <f aca="false">IF(ISBLANK(RawFinancials!Q403),"",RawFinancials!Q403)</f>
        <v>0.194712031153925</v>
      </c>
      <c r="R403" s="0" t="n">
        <f aca="false">IF(ISBLANK(RawFinancials!R403),"",RawFinancials!R403)</f>
        <v>3.29213749359693</v>
      </c>
      <c r="S403" s="0" t="n">
        <f aca="false">IF(ISBLANK(RawFinancials!S403),"",RawFinancials!S403)</f>
        <v>102</v>
      </c>
      <c r="T403" s="0" t="n">
        <f aca="false">IF(ISBLANK(RawFinancials!T403),"",RawFinancials!T403)</f>
        <v>1388</v>
      </c>
      <c r="U403" s="0" t="n">
        <f aca="false">IF(ISBLANK(RawFinancials!U403),"",RawFinancials!U403)</f>
        <v>12</v>
      </c>
      <c r="V403" s="0" t="n">
        <f aca="false">IF(ISBLANK(RawFinancials!V403),"",RawFinancials!V403)</f>
        <v>20.8402581908709</v>
      </c>
      <c r="W403" s="0" t="n">
        <f aca="false">IF(ISBLANK(RawFinancials!W403),"",RawFinancials!W403)</f>
        <v>20231231</v>
      </c>
      <c r="X403" s="0" t="n">
        <f aca="false">IF(ISBLANK(RawFinancials!X403),"",RawFinancials!X403)</f>
        <v>0.768323735574911</v>
      </c>
      <c r="Y403" s="0" t="n">
        <f aca="false">IF(ISBLANK(RawFinancials!Y403),"",RawFinancials!Y403)</f>
        <v>6.79</v>
      </c>
      <c r="Z403" s="0" t="str">
        <f aca="false">IF(ISBLANK(RawFinancials!Z403),"",RawFinancials!Z403)</f>
        <v>ME</v>
      </c>
      <c r="AA403" s="0" t="n">
        <f aca="false">RawFinancials!AA403</f>
        <v>1</v>
      </c>
      <c r="AB403" s="0" t="n">
        <f aca="false">RawFinancials!AB403</f>
        <v>1140</v>
      </c>
      <c r="AC403" s="0" t="n">
        <f aca="false">RawFinancials!AC403</f>
        <v>0.130032781948712</v>
      </c>
      <c r="AD403" s="0" t="n">
        <f aca="false">IF(L403&gt;0,100*N403/L403,"")</f>
        <v>82.383343581335</v>
      </c>
      <c r="AE403" s="0" t="n">
        <f aca="false">IF(B403&gt;0,100*F403/B403,"")</f>
        <v>11.0272361646261</v>
      </c>
      <c r="AF403" s="0" t="str">
        <f aca="false">RawFinancials!AE403</f>
        <v/>
      </c>
    </row>
    <row r="404" customFormat="false" ht="15" hidden="false" customHeight="false" outlineLevel="0" collapsed="false">
      <c r="A404" s="0" t="n">
        <f aca="false">IF(ISBLANK(RawFinancials!A404),"",RawFinancials!A404)</f>
        <v>404</v>
      </c>
      <c r="B404" s="0" t="n">
        <f aca="false">IF(ISBLANK(RawFinancials!B404),"",RawFinancials!B404)</f>
        <v>2968976</v>
      </c>
      <c r="C404" s="0" t="n">
        <f aca="false">IF(ISBLANK(RawFinancials!C404),"",RawFinancials!C404)</f>
        <v>19690</v>
      </c>
      <c r="D404" s="0" t="n">
        <f aca="false">IF(ISBLANK(RawFinancials!D404),"",RawFinancials!D404)</f>
        <v>2150988</v>
      </c>
      <c r="E404" s="0" t="n">
        <f aca="false">IF(ISBLANK(RawFinancials!E404),"",RawFinancials!E404)</f>
        <v>0.06</v>
      </c>
      <c r="F404" s="0" t="n">
        <f aca="false">IF(ISBLANK(RawFinancials!F404),"",RawFinancials!F404)</f>
        <v>327540</v>
      </c>
      <c r="G404" s="0" t="n">
        <f aca="false">IF(ISBLANK(RawFinancials!G404),"",RawFinancials!G404)</f>
        <v>11.03208648369</v>
      </c>
      <c r="H404" s="0" t="str">
        <f aca="false">IF(ISBLANK(RawFinancials!H404),"",RawFinancials!H404)</f>
        <v>19690_20231231</v>
      </c>
      <c r="I404" s="0" t="n">
        <f aca="false">IF(ISBLANK(RawFinancials!I404),"",RawFinancials!I404)</f>
        <v>1.05681298538753</v>
      </c>
      <c r="J404" s="0" t="n">
        <f aca="false">IF(ISBLANK(RawFinancials!J404),"",RawFinancials!J404)</f>
        <v>48038</v>
      </c>
      <c r="K404" s="0" t="n">
        <f aca="false">IF(ISBLANK(RawFinancials!K404),"",RawFinancials!K404)</f>
        <v>382</v>
      </c>
      <c r="L404" s="0" t="n">
        <f aca="false">IF(ISBLANK(RawFinancials!L404),"",RawFinancials!L404)</f>
        <v>2611058</v>
      </c>
      <c r="M404" s="0" t="n">
        <f aca="false">IF(ISBLANK(RawFinancials!M404),"",RawFinancials!M404)</f>
        <v>2583464</v>
      </c>
      <c r="N404" s="0" t="n">
        <f aca="false">IF(ISBLANK(RawFinancials!N404),"",RawFinancials!N404)</f>
        <v>2127332</v>
      </c>
      <c r="O404" s="0" t="n">
        <f aca="false">IF(ISBLANK(RawFinancials!O404),"",RawFinancials!O404)</f>
        <v>30772</v>
      </c>
      <c r="P404" s="0" t="str">
        <f aca="false">IF(ISBLANK(RawFinancials!P404),"",RawFinancials!P404)</f>
        <v>NORTHEAST BANK</v>
      </c>
      <c r="Q404" s="0" t="n">
        <f aca="false">IF(ISBLANK(RawFinancials!Q404),"",RawFinancials!Q404)</f>
        <v>1.17852609938194</v>
      </c>
      <c r="R404" s="0" t="n">
        <f aca="false">IF(ISBLANK(RawFinancials!R404),"",RawFinancials!R404)</f>
        <v>5.06398378833269</v>
      </c>
      <c r="S404" s="0" t="n">
        <f aca="false">IF(ISBLANK(RawFinancials!S404),"",RawFinancials!S404)</f>
        <v>2768</v>
      </c>
      <c r="T404" s="0" t="n">
        <f aca="false">IF(ISBLANK(RawFinancials!T404),"",RawFinancials!T404)</f>
        <v>3570</v>
      </c>
      <c r="U404" s="0" t="n">
        <f aca="false">IF(ISBLANK(RawFinancials!U404),"",RawFinancials!U404)</f>
        <v>0</v>
      </c>
      <c r="V404" s="0" t="n">
        <f aca="false">IF(ISBLANK(RawFinancials!V404),"",RawFinancials!V404)</f>
        <v>13.7063330070435</v>
      </c>
      <c r="W404" s="0" t="n">
        <f aca="false">IF(ISBLANK(RawFinancials!W404),"",RawFinancials!W404)</f>
        <v>20231231</v>
      </c>
      <c r="X404" s="0" t="n">
        <f aca="false">IF(ISBLANK(RawFinancials!X404),"",RawFinancials!X404)</f>
        <v>1.87023078988431</v>
      </c>
      <c r="Y404" s="0" t="n">
        <f aca="false">IF(ISBLANK(RawFinancials!Y404),"",RawFinancials!Y404)</f>
        <v>18.15</v>
      </c>
      <c r="Z404" s="0" t="str">
        <f aca="false">IF(ISBLANK(RawFinancials!Z404),"",RawFinancials!Z404)</f>
        <v>ME</v>
      </c>
      <c r="AA404" s="0" t="n">
        <f aca="false">RawFinancials!AA404</f>
        <v>1</v>
      </c>
      <c r="AB404" s="0" t="n">
        <f aca="false">RawFinancials!AB404</f>
        <v>30772</v>
      </c>
      <c r="AC404" s="0" t="n">
        <f aca="false">RawFinancials!AC404</f>
        <v>1.03645162507208</v>
      </c>
      <c r="AD404" s="0" t="n">
        <f aca="false">IF(L404&gt;0,100*N404/L404,"")</f>
        <v>81.4739465764453</v>
      </c>
      <c r="AE404" s="0" t="n">
        <f aca="false">IF(B404&gt;0,100*F404/B404,"")</f>
        <v>11.03208648369</v>
      </c>
      <c r="AF404" s="0" t="str">
        <f aca="false">RawFinancials!AE404</f>
        <v/>
      </c>
    </row>
    <row r="405" customFormat="false" ht="15" hidden="false" customHeight="false" outlineLevel="0" collapsed="false">
      <c r="A405" s="0" t="n">
        <f aca="false">IF(ISBLANK(RawFinancials!A405),"",RawFinancials!A405)</f>
        <v>405</v>
      </c>
      <c r="B405" s="0" t="n">
        <f aca="false">IF(ISBLANK(RawFinancials!B405),"",RawFinancials!B405)</f>
        <v>659684</v>
      </c>
      <c r="C405" s="0" t="n">
        <f aca="false">IF(ISBLANK(RawFinancials!C405),"",RawFinancials!C405)</f>
        <v>19836</v>
      </c>
      <c r="D405" s="0" t="n">
        <f aca="false">IF(ISBLANK(RawFinancials!D405),"",RawFinancials!D405)</f>
        <v>484649</v>
      </c>
      <c r="E405" s="0" t="n">
        <f aca="false">IF(ISBLANK(RawFinancials!E405),"",RawFinancials!E405)</f>
        <v>0.04</v>
      </c>
      <c r="F405" s="0" t="n">
        <f aca="false">IF(ISBLANK(RawFinancials!F405),"",RawFinancials!F405)</f>
        <v>120787</v>
      </c>
      <c r="G405" s="0" t="n">
        <f aca="false">IF(ISBLANK(RawFinancials!G405),"",RawFinancials!G405)</f>
        <v>18.3098271293528</v>
      </c>
      <c r="H405" s="0" t="str">
        <f aca="false">IF(ISBLANK(RawFinancials!H405),"",RawFinancials!H405)</f>
        <v>19836_20231231</v>
      </c>
      <c r="I405" s="0" t="n">
        <f aca="false">IF(ISBLANK(RawFinancials!I405),"",RawFinancials!I405)</f>
        <v>0.815597782188061</v>
      </c>
      <c r="J405" s="0" t="n">
        <f aca="false">IF(ISBLANK(RawFinancials!J405),"",RawFinancials!J405)</f>
        <v>49815</v>
      </c>
      <c r="K405" s="0" t="n">
        <f aca="false">IF(ISBLANK(RawFinancials!K405),"",RawFinancials!K405)</f>
        <v>11959</v>
      </c>
      <c r="L405" s="0" t="n">
        <f aca="false">IF(ISBLANK(RawFinancials!L405),"",RawFinancials!L405)</f>
        <v>547206</v>
      </c>
      <c r="M405" s="0" t="n">
        <f aca="false">IF(ISBLANK(RawFinancials!M405),"",RawFinancials!M405)</f>
        <v>542743</v>
      </c>
      <c r="N405" s="0" t="n">
        <f aca="false">IF(ISBLANK(RawFinancials!N405),"",RawFinancials!N405)</f>
        <v>481157</v>
      </c>
      <c r="O405" s="0" t="n">
        <f aca="false">IF(ISBLANK(RawFinancials!O405),"",RawFinancials!O405)</f>
        <v>3751</v>
      </c>
      <c r="P405" s="0" t="str">
        <f aca="false">IF(ISBLANK(RawFinancials!P405),"",RawFinancials!P405)</f>
        <v>FRANKLIN SAVINGS BANK</v>
      </c>
      <c r="Q405" s="0" t="n">
        <f aca="false">IF(ISBLANK(RawFinancials!Q405),"",RawFinancials!Q405)</f>
        <v>0.707960073537205</v>
      </c>
      <c r="R405" s="0" t="n">
        <f aca="false">IF(ISBLANK(RawFinancials!R405),"",RawFinancials!R405)</f>
        <v>3.92169622453003</v>
      </c>
      <c r="S405" s="0" t="n">
        <f aca="false">IF(ISBLANK(RawFinancials!S405),"",RawFinancials!S405)</f>
        <v>72</v>
      </c>
      <c r="T405" s="0" t="n">
        <f aca="false">IF(ISBLANK(RawFinancials!T405),"",RawFinancials!T405)</f>
        <v>3494</v>
      </c>
      <c r="U405" s="0" t="n">
        <f aca="false">IF(ISBLANK(RawFinancials!U405),"",RawFinancials!U405)</f>
        <v>123</v>
      </c>
      <c r="V405" s="0" t="n">
        <f aca="false">IF(ISBLANK(RawFinancials!V405),"",RawFinancials!V405)</f>
        <v>25.7908734334641</v>
      </c>
      <c r="W405" s="0" t="n">
        <f aca="false">IF(ISBLANK(RawFinancials!W405),"",RawFinancials!W405)</f>
        <v>20231231</v>
      </c>
      <c r="X405" s="0" t="n">
        <f aca="false">IF(ISBLANK(RawFinancials!X405),"",RawFinancials!X405)</f>
        <v>0.787682704932891</v>
      </c>
      <c r="Y405" s="0" t="n">
        <f aca="false">IF(ISBLANK(RawFinancials!Y405),"",RawFinancials!Y405)</f>
        <v>4.09</v>
      </c>
      <c r="Z405" s="0" t="str">
        <f aca="false">IF(ISBLANK(RawFinancials!Z405),"",RawFinancials!Z405)</f>
        <v>ME</v>
      </c>
      <c r="AA405" s="0" t="n">
        <f aca="false">RawFinancials!AA405</f>
        <v>1</v>
      </c>
      <c r="AB405" s="0" t="n">
        <f aca="false">RawFinancials!AB405</f>
        <v>3874</v>
      </c>
      <c r="AC405" s="0" t="n">
        <f aca="false">RawFinancials!AC405</f>
        <v>0.587250865565938</v>
      </c>
      <c r="AD405" s="0" t="n">
        <f aca="false">IF(L405&gt;0,100*N405/L405,"")</f>
        <v>87.929774161833</v>
      </c>
      <c r="AE405" s="0" t="n">
        <f aca="false">IF(B405&gt;0,100*F405/B405,"")</f>
        <v>18.3098271293528</v>
      </c>
      <c r="AF405" s="0" t="str">
        <f aca="false">RawFinancials!AE405</f>
        <v/>
      </c>
    </row>
    <row r="406" customFormat="false" ht="15" hidden="false" customHeight="false" outlineLevel="0" collapsed="false">
      <c r="A406" s="0" t="n">
        <f aca="false">IF(ISBLANK(RawFinancials!A406),"",RawFinancials!A406)</f>
        <v>406</v>
      </c>
      <c r="B406" s="0" t="n">
        <f aca="false">IF(ISBLANK(RawFinancials!B406),"",RawFinancials!B406)</f>
        <v>1381838</v>
      </c>
      <c r="C406" s="0" t="n">
        <f aca="false">IF(ISBLANK(RawFinancials!C406),"",RawFinancials!C406)</f>
        <v>24540</v>
      </c>
      <c r="D406" s="0" t="n">
        <f aca="false">IF(ISBLANK(RawFinancials!D406),"",RawFinancials!D406)</f>
        <v>1106164</v>
      </c>
      <c r="E406" s="0" t="n">
        <f aca="false">IF(ISBLANK(RawFinancials!E406),"",RawFinancials!E406)</f>
        <v>0.3</v>
      </c>
      <c r="F406" s="0" t="n">
        <f aca="false">IF(ISBLANK(RawFinancials!F406),"",RawFinancials!F406)</f>
        <v>246470</v>
      </c>
      <c r="G406" s="0" t="n">
        <f aca="false">IF(ISBLANK(RawFinancials!G406),"",RawFinancials!G406)</f>
        <v>17.8363889254746</v>
      </c>
      <c r="H406" s="0" t="str">
        <f aca="false">IF(ISBLANK(RawFinancials!H406),"",RawFinancials!H406)</f>
        <v>24540_20231231</v>
      </c>
      <c r="I406" s="0" t="n">
        <f aca="false">IF(ISBLANK(RawFinancials!I406),"",RawFinancials!I406)</f>
        <v>0.963960448647168</v>
      </c>
      <c r="J406" s="0" t="n">
        <f aca="false">IF(ISBLANK(RawFinancials!J406),"",RawFinancials!J406)</f>
        <v>42620</v>
      </c>
      <c r="K406" s="0" t="n">
        <f aca="false">IF(ISBLANK(RawFinancials!K406),"",RawFinancials!K406)</f>
        <v>66</v>
      </c>
      <c r="L406" s="0" t="n">
        <f aca="false">IF(ISBLANK(RawFinancials!L406),"",RawFinancials!L406)</f>
        <v>1204510</v>
      </c>
      <c r="M406" s="0" t="n">
        <f aca="false">IF(ISBLANK(RawFinancials!M406),"",RawFinancials!M406)</f>
        <v>1192899</v>
      </c>
      <c r="N406" s="0" t="n">
        <f aca="false">IF(ISBLANK(RawFinancials!N406),"",RawFinancials!N406)</f>
        <v>1166184</v>
      </c>
      <c r="O406" s="0" t="n">
        <f aca="false">IF(ISBLANK(RawFinancials!O406),"",RawFinancials!O406)</f>
        <v>430</v>
      </c>
      <c r="P406" s="0" t="str">
        <f aca="false">IF(ISBLANK(RawFinancials!P406),"",RawFinancials!P406)</f>
        <v>BANK OF NEW ENGLAND</v>
      </c>
      <c r="Q406" s="0" t="n">
        <f aca="false">IF(ISBLANK(RawFinancials!Q406),"",RawFinancials!Q406)</f>
        <v>0.0356991639753924</v>
      </c>
      <c r="R406" s="0" t="n">
        <f aca="false">IF(ISBLANK(RawFinancials!R406),"",RawFinancials!R406)</f>
        <v>4.94178638574564</v>
      </c>
      <c r="S406" s="0" t="n">
        <f aca="false">IF(ISBLANK(RawFinancials!S406),"",RawFinancials!S406)</f>
        <v>0</v>
      </c>
      <c r="T406" s="0" t="n">
        <f aca="false">IF(ISBLANK(RawFinancials!T406),"",RawFinancials!T406)</f>
        <v>21674</v>
      </c>
      <c r="U406" s="0" t="n">
        <f aca="false">IF(ISBLANK(RawFinancials!U406),"",RawFinancials!U406)</f>
        <v>0</v>
      </c>
      <c r="V406" s="0" t="n">
        <f aca="false">IF(ISBLANK(RawFinancials!V406),"",RawFinancials!V406)</f>
        <v>19.0652745831146</v>
      </c>
      <c r="W406" s="0" t="n">
        <f aca="false">IF(ISBLANK(RawFinancials!W406),"",RawFinancials!W406)</f>
        <v>20231231</v>
      </c>
      <c r="X406" s="0" t="n">
        <f aca="false">IF(ISBLANK(RawFinancials!X406),"",RawFinancials!X406)</f>
        <v>2.38776188693731</v>
      </c>
      <c r="Y406" s="0" t="n">
        <f aca="false">IF(ISBLANK(RawFinancials!Y406),"",RawFinancials!Y406)</f>
        <v>13.82</v>
      </c>
      <c r="Z406" s="0" t="str">
        <f aca="false">IF(ISBLANK(RawFinancials!Z406),"",RawFinancials!Z406)</f>
        <v>NH</v>
      </c>
      <c r="AA406" s="0" t="n">
        <f aca="false">RawFinancials!AA406</f>
        <v>1</v>
      </c>
      <c r="AB406" s="0" t="n">
        <f aca="false">RawFinancials!AB406</f>
        <v>430</v>
      </c>
      <c r="AC406" s="0" t="n">
        <f aca="false">RawFinancials!AC406</f>
        <v>0.0311179747553621</v>
      </c>
      <c r="AD406" s="0" t="n">
        <f aca="false">IF(L406&gt;0,100*N406/L406,"")</f>
        <v>96.8181252127421</v>
      </c>
      <c r="AE406" s="0" t="n">
        <f aca="false">IF(B406&gt;0,100*F406/B406,"")</f>
        <v>17.8363889254746</v>
      </c>
      <c r="AF406" s="0" t="str">
        <f aca="false">RawFinancials!AE406</f>
        <v/>
      </c>
    </row>
    <row r="407" customFormat="false" ht="15" hidden="false" customHeight="false" outlineLevel="0" collapsed="false">
      <c r="A407" s="0" t="n">
        <f aca="false">IF(ISBLANK(RawFinancials!A407),"",RawFinancials!A407)</f>
        <v>407</v>
      </c>
      <c r="B407" s="0" t="n">
        <f aca="false">IF(ISBLANK(RawFinancials!B407),"",RawFinancials!B407)</f>
        <v>540887</v>
      </c>
      <c r="C407" s="0" t="n">
        <f aca="false">IF(ISBLANK(RawFinancials!C407),"",RawFinancials!C407)</f>
        <v>27824</v>
      </c>
      <c r="D407" s="0" t="n">
        <f aca="false">IF(ISBLANK(RawFinancials!D407),"",RawFinancials!D407)</f>
        <v>387033</v>
      </c>
      <c r="E407" s="0" t="n">
        <f aca="false">IF(ISBLANK(RawFinancials!E407),"",RawFinancials!E407)</f>
        <v>-0.04</v>
      </c>
      <c r="F407" s="0" t="n">
        <f aca="false">IF(ISBLANK(RawFinancials!F407),"",RawFinancials!F407)</f>
        <v>65160</v>
      </c>
      <c r="G407" s="0" t="n">
        <f aca="false">IF(ISBLANK(RawFinancials!G407),"",RawFinancials!G407)</f>
        <v>12.0468785531913</v>
      </c>
      <c r="H407" s="0" t="str">
        <f aca="false">IF(ISBLANK(RawFinancials!H407),"",RawFinancials!H407)</f>
        <v>27824_20231231</v>
      </c>
      <c r="I407" s="0" t="n">
        <f aca="false">IF(ISBLANK(RawFinancials!I407),"",RawFinancials!I407)</f>
        <v>0.66170826605966</v>
      </c>
      <c r="J407" s="0" t="n">
        <f aca="false">IF(ISBLANK(RawFinancials!J407),"",RawFinancials!J407)</f>
        <v>21688</v>
      </c>
      <c r="K407" s="0" t="n">
        <f aca="false">IF(ISBLANK(RawFinancials!K407),"",RawFinancials!K407)</f>
        <v>43401</v>
      </c>
      <c r="L407" s="0" t="n">
        <f aca="false">IF(ISBLANK(RawFinancials!L407),"",RawFinancials!L407)</f>
        <v>453372</v>
      </c>
      <c r="M407" s="0" t="n">
        <f aca="false">IF(ISBLANK(RawFinancials!M407),"",RawFinancials!M407)</f>
        <v>450372</v>
      </c>
      <c r="N407" s="0" t="n">
        <f aca="false">IF(ISBLANK(RawFinancials!N407),"",RawFinancials!N407)</f>
        <v>388283</v>
      </c>
      <c r="O407" s="0" t="n">
        <f aca="false">IF(ISBLANK(RawFinancials!O407),"",RawFinancials!O407)</f>
        <v>1178</v>
      </c>
      <c r="P407" s="0" t="str">
        <f aca="false">IF(ISBLANK(RawFinancials!P407),"",RawFinancials!P407)</f>
        <v>SALEM CO-OPERATIVE BANK</v>
      </c>
      <c r="Q407" s="0" t="n">
        <f aca="false">IF(ISBLANK(RawFinancials!Q407),"",RawFinancials!Q407)</f>
        <v>0.259830779139426</v>
      </c>
      <c r="R407" s="0" t="n">
        <f aca="false">IF(ISBLANK(RawFinancials!R407),"",RawFinancials!R407)</f>
        <v>1.87494551404564</v>
      </c>
      <c r="S407" s="0" t="n">
        <f aca="false">IF(ISBLANK(RawFinancials!S407),"",RawFinancials!S407)</f>
        <v>122</v>
      </c>
      <c r="T407" s="0" t="n">
        <f aca="false">IF(ISBLANK(RawFinancials!T407),"",RawFinancials!T407)</f>
        <v>1408</v>
      </c>
      <c r="U407" s="0" t="n">
        <f aca="false">IF(ISBLANK(RawFinancials!U407),"",RawFinancials!U407)</f>
        <v>0</v>
      </c>
      <c r="V407" s="0" t="n">
        <f aca="false">IF(ISBLANK(RawFinancials!V407),"",RawFinancials!V407)</f>
        <v>21.059017196498</v>
      </c>
      <c r="W407" s="0" t="n">
        <f aca="false">IF(ISBLANK(RawFinancials!W407),"",RawFinancials!W407)</f>
        <v>20231231</v>
      </c>
      <c r="X407" s="0" t="n">
        <f aca="false">IF(ISBLANK(RawFinancials!X407),"",RawFinancials!X407)</f>
        <v>-0.189996164928387</v>
      </c>
      <c r="Y407" s="0" t="n">
        <f aca="false">IF(ISBLANK(RawFinancials!Y407),"",RawFinancials!Y407)</f>
        <v>-1.48</v>
      </c>
      <c r="Z407" s="0" t="str">
        <f aca="false">IF(ISBLANK(RawFinancials!Z407),"",RawFinancials!Z407)</f>
        <v>NH</v>
      </c>
      <c r="AA407" s="0" t="n">
        <f aca="false">RawFinancials!AA407</f>
        <v>1</v>
      </c>
      <c r="AB407" s="0" t="n">
        <f aca="false">RawFinancials!AB407</f>
        <v>1178</v>
      </c>
      <c r="AC407" s="0" t="n">
        <f aca="false">RawFinancials!AC407</f>
        <v>0.21779040723848</v>
      </c>
      <c r="AD407" s="0" t="n">
        <f aca="false">IF(L407&gt;0,100*N407/L407,"")</f>
        <v>85.6433568901476</v>
      </c>
      <c r="AE407" s="0" t="n">
        <f aca="false">IF(B407&gt;0,100*F407/B407,"")</f>
        <v>12.0468785531913</v>
      </c>
      <c r="AF407" s="0" t="str">
        <f aca="false">RawFinancials!AE407</f>
        <v/>
      </c>
    </row>
    <row r="408" customFormat="false" ht="15" hidden="false" customHeight="false" outlineLevel="0" collapsed="false">
      <c r="A408" s="0" t="n">
        <f aca="false">IF(ISBLANK(RawFinancials!A408),"",RawFinancials!A408)</f>
        <v>408</v>
      </c>
      <c r="B408" s="0" t="n">
        <f aca="false">IF(ISBLANK(RawFinancials!B408),"",RawFinancials!B408)</f>
        <v>300333</v>
      </c>
      <c r="C408" s="0" t="n">
        <f aca="false">IF(ISBLANK(RawFinancials!C408),"",RawFinancials!C408)</f>
        <v>28155</v>
      </c>
      <c r="D408" s="0" t="n">
        <f aca="false">IF(ISBLANK(RawFinancials!D408),"",RawFinancials!D408)</f>
        <v>262408</v>
      </c>
      <c r="E408" s="0" t="n">
        <f aca="false">IF(ISBLANK(RawFinancials!E408),"",RawFinancials!E408)</f>
        <v>-0.03</v>
      </c>
      <c r="F408" s="0" t="n">
        <f aca="false">IF(ISBLANK(RawFinancials!F408),"",RawFinancials!F408)</f>
        <v>27418</v>
      </c>
      <c r="G408" s="0" t="n">
        <f aca="false">IF(ISBLANK(RawFinancials!G408),"",RawFinancials!G408)</f>
        <v>9.12919992142056</v>
      </c>
      <c r="H408" s="0" t="str">
        <f aca="false">IF(ISBLANK(RawFinancials!H408),"",RawFinancials!H408)</f>
        <v>28155_20231231</v>
      </c>
      <c r="I408" s="0" t="n">
        <f aca="false">IF(ISBLANK(RawFinancials!I408),"",RawFinancials!I408)</f>
        <v>0.483537001352467</v>
      </c>
      <c r="J408" s="0" t="n">
        <f aca="false">IF(ISBLANK(RawFinancials!J408),"",RawFinancials!J408)</f>
        <v>11200</v>
      </c>
      <c r="K408" s="0" t="n">
        <f aca="false">IF(ISBLANK(RawFinancials!K408),"",RawFinancials!K408)</f>
        <v>5939</v>
      </c>
      <c r="L408" s="0" t="n">
        <f aca="false">IF(ISBLANK(RawFinancials!L408),"",RawFinancials!L408)</f>
        <v>167102</v>
      </c>
      <c r="M408" s="0" t="n">
        <f aca="false">IF(ISBLANK(RawFinancials!M408),"",RawFinancials!M408)</f>
        <v>166294</v>
      </c>
      <c r="N408" s="0" t="n">
        <f aca="false">IF(ISBLANK(RawFinancials!N408),"",RawFinancials!N408)</f>
        <v>149453</v>
      </c>
      <c r="O408" s="0" t="n">
        <f aca="false">IF(ISBLANK(RawFinancials!O408),"",RawFinancials!O408)</f>
        <v>0</v>
      </c>
      <c r="P408" s="0" t="str">
        <f aca="false">IF(ISBLANK(RawFinancials!P408),"",RawFinancials!P408)</f>
        <v>PROFILE BANK</v>
      </c>
      <c r="Q408" s="0" t="n">
        <f aca="false">IF(ISBLANK(RawFinancials!Q408),"",RawFinancials!Q408)</f>
        <v>0</v>
      </c>
      <c r="R408" s="0" t="n">
        <f aca="false">IF(ISBLANK(RawFinancials!R408),"",RawFinancials!R408)</f>
        <v>2.44769608992379</v>
      </c>
      <c r="S408" s="0" t="n">
        <f aca="false">IF(ISBLANK(RawFinancials!S408),"",RawFinancials!S408)</f>
        <v>5</v>
      </c>
      <c r="T408" s="0" t="n">
        <f aca="false">IF(ISBLANK(RawFinancials!T408),"",RawFinancials!T408)</f>
        <v>931</v>
      </c>
      <c r="U408" s="0" t="n">
        <f aca="false">IF(ISBLANK(RawFinancials!U408),"",RawFinancials!U408)</f>
        <v>0</v>
      </c>
      <c r="V408" s="0" t="n">
        <f aca="false">IF(ISBLANK(RawFinancials!V408),"",RawFinancials!V408)</f>
        <v>17.465163376961</v>
      </c>
      <c r="W408" s="0" t="n">
        <f aca="false">IF(ISBLANK(RawFinancials!W408),"",RawFinancials!W408)</f>
        <v>20231231</v>
      </c>
      <c r="X408" s="0" t="n">
        <f aca="false">IF(ISBLANK(RawFinancials!X408),"",RawFinancials!X408)</f>
        <v>-0.0555299835149542</v>
      </c>
      <c r="Y408" s="0" t="n">
        <f aca="false">IF(ISBLANK(RawFinancials!Y408),"",RawFinancials!Y408)</f>
        <v>-0.6</v>
      </c>
      <c r="Z408" s="0" t="str">
        <f aca="false">IF(ISBLANK(RawFinancials!Z408),"",RawFinancials!Z408)</f>
        <v>NH</v>
      </c>
      <c r="AA408" s="0" t="n">
        <f aca="false">RawFinancials!AA408</f>
        <v>1</v>
      </c>
      <c r="AB408" s="0" t="n">
        <f aca="false">RawFinancials!AB408</f>
        <v>0</v>
      </c>
      <c r="AC408" s="0" t="n">
        <f aca="false">RawFinancials!AC408</f>
        <v>0</v>
      </c>
      <c r="AD408" s="0" t="n">
        <f aca="false">IF(L408&gt;0,100*N408/L408,"")</f>
        <v>89.4381874543692</v>
      </c>
      <c r="AE408" s="0" t="n">
        <f aca="false">IF(B408&gt;0,100*F408/B408,"")</f>
        <v>9.12919992142056</v>
      </c>
      <c r="AF408" s="0" t="str">
        <f aca="false">RawFinancials!AE408</f>
        <v/>
      </c>
    </row>
    <row r="409" customFormat="false" ht="15" hidden="false" customHeight="false" outlineLevel="0" collapsed="false">
      <c r="A409" s="0" t="n">
        <f aca="false">IF(ISBLANK(RawFinancials!A409),"",RawFinancials!A409)</f>
        <v>409</v>
      </c>
      <c r="B409" s="0" t="n">
        <f aca="false">IF(ISBLANK(RawFinancials!B409),"",RawFinancials!B409)</f>
        <v>105413</v>
      </c>
      <c r="C409" s="0" t="n">
        <f aca="false">IF(ISBLANK(RawFinancials!C409),"",RawFinancials!C409)</f>
        <v>28288</v>
      </c>
      <c r="D409" s="0" t="n">
        <f aca="false">IF(ISBLANK(RawFinancials!D409),"",RawFinancials!D409)</f>
        <v>79221</v>
      </c>
      <c r="E409" s="0" t="n">
        <f aca="false">IF(ISBLANK(RawFinancials!E409),"",RawFinancials!E409)</f>
        <v>0</v>
      </c>
      <c r="F409" s="0" t="n">
        <f aca="false">IF(ISBLANK(RawFinancials!F409),"",RawFinancials!F409)</f>
        <v>6044</v>
      </c>
      <c r="G409" s="0" t="n">
        <f aca="false">IF(ISBLANK(RawFinancials!G409),"",RawFinancials!G409)</f>
        <v>5.7336381660706</v>
      </c>
      <c r="H409" s="0" t="str">
        <f aca="false">IF(ISBLANK(RawFinancials!H409),"",RawFinancials!H409)</f>
        <v>28288_20231231</v>
      </c>
      <c r="I409" s="0" t="n">
        <f aca="false">IF(ISBLANK(RawFinancials!I409),"",RawFinancials!I409)</f>
        <v>1.0243006499011</v>
      </c>
      <c r="J409" s="0" t="n">
        <f aca="false">IF(ISBLANK(RawFinancials!J409),"",RawFinancials!J409)</f>
        <v>5007</v>
      </c>
      <c r="K409" s="0" t="n">
        <f aca="false">IF(ISBLANK(RawFinancials!K409),"",RawFinancials!K409)</f>
        <v>3064</v>
      </c>
      <c r="L409" s="0" t="n">
        <f aca="false">IF(ISBLANK(RawFinancials!L409),"",RawFinancials!L409)</f>
        <v>84936</v>
      </c>
      <c r="M409" s="0" t="n">
        <f aca="false">IF(ISBLANK(RawFinancials!M409),"",RawFinancials!M409)</f>
        <v>84066</v>
      </c>
      <c r="N409" s="0" t="n">
        <f aca="false">IF(ISBLANK(RawFinancials!N409),"",RawFinancials!N409)</f>
        <v>76865</v>
      </c>
      <c r="O409" s="0" t="n">
        <f aca="false">IF(ISBLANK(RawFinancials!O409),"",RawFinancials!O409)</f>
        <v>257</v>
      </c>
      <c r="P409" s="0" t="str">
        <f aca="false">IF(ISBLANK(RawFinancials!P409),"",RawFinancials!P409)</f>
        <v>AUBURN SAVINGS BANK, FSB</v>
      </c>
      <c r="Q409" s="0" t="n">
        <f aca="false">IF(ISBLANK(RawFinancials!Q409),"",RawFinancials!Q409)</f>
        <v>0.302580766694923</v>
      </c>
      <c r="R409" s="0" t="n">
        <f aca="false">IF(ISBLANK(RawFinancials!R409),"",RawFinancials!R409)</f>
        <v>2.66046881663987</v>
      </c>
      <c r="S409" s="0" t="n">
        <f aca="false">IF(ISBLANK(RawFinancials!S409),"",RawFinancials!S409)</f>
        <v>-8</v>
      </c>
      <c r="T409" s="0" t="n">
        <f aca="false">IF(ISBLANK(RawFinancials!T409),"",RawFinancials!T409)</f>
        <v>125</v>
      </c>
      <c r="U409" s="0" t="n">
        <f aca="false">IF(ISBLANK(RawFinancials!U409),"",RawFinancials!U409)</f>
        <v>0</v>
      </c>
      <c r="V409" s="0" t="n">
        <f aca="false">IF(ISBLANK(RawFinancials!V409),"",RawFinancials!V409)</f>
        <v>12.817178197792</v>
      </c>
      <c r="W409" s="0" t="n">
        <f aca="false">IF(ISBLANK(RawFinancials!W409),"",RawFinancials!W409)</f>
        <v>20231231</v>
      </c>
      <c r="X409" s="0" t="n">
        <f aca="false">IF(ISBLANK(RawFinancials!X409),"",RawFinancials!X409)</f>
        <v>-0.0661496616639363</v>
      </c>
      <c r="Y409" s="0" t="n">
        <f aca="false">IF(ISBLANK(RawFinancials!Y409),"",RawFinancials!Y409)</f>
        <v>-1.16</v>
      </c>
      <c r="Z409" s="0" t="str">
        <f aca="false">IF(ISBLANK(RawFinancials!Z409),"",RawFinancials!Z409)</f>
        <v>ME</v>
      </c>
      <c r="AA409" s="0" t="n">
        <f aca="false">RawFinancials!AA409</f>
        <v>1</v>
      </c>
      <c r="AB409" s="0" t="n">
        <f aca="false">RawFinancials!AB409</f>
        <v>257</v>
      </c>
      <c r="AC409" s="0" t="n">
        <f aca="false">RawFinancials!AC409</f>
        <v>0.243802946505649</v>
      </c>
      <c r="AD409" s="0" t="n">
        <f aca="false">IF(L409&gt;0,100*N409/L409,"")</f>
        <v>90.4975510972968</v>
      </c>
      <c r="AE409" s="0" t="n">
        <f aca="false">IF(B409&gt;0,100*F409/B409,"")</f>
        <v>5.7336381660706</v>
      </c>
      <c r="AF409" s="0" t="str">
        <f aca="false">RawFinancials!AE409</f>
        <v/>
      </c>
    </row>
    <row r="410" customFormat="false" ht="15" hidden="false" customHeight="false" outlineLevel="0" collapsed="false">
      <c r="A410" s="0" t="n">
        <f aca="false">IF(ISBLANK(RawFinancials!A410),"",RawFinancials!A410)</f>
        <v>410</v>
      </c>
      <c r="B410" s="0" t="n">
        <f aca="false">IF(ISBLANK(RawFinancials!B410),"",RawFinancials!B410)</f>
        <v>93947</v>
      </c>
      <c r="C410" s="0" t="n">
        <f aca="false">IF(ISBLANK(RawFinancials!C410),"",RawFinancials!C410)</f>
        <v>28369</v>
      </c>
      <c r="D410" s="0" t="n">
        <f aca="false">IF(ISBLANK(RawFinancials!D410),"",RawFinancials!D410)</f>
        <v>77109</v>
      </c>
      <c r="E410" s="0" t="n">
        <f aca="false">IF(ISBLANK(RawFinancials!E410),"",RawFinancials!E410)</f>
        <v>0.03</v>
      </c>
      <c r="F410" s="0" t="n">
        <f aca="false">IF(ISBLANK(RawFinancials!F410),"",RawFinancials!F410)</f>
        <v>9350</v>
      </c>
      <c r="G410" s="0" t="n">
        <f aca="false">IF(ISBLANK(RawFinancials!G410),"",RawFinancials!G410)</f>
        <v>9.95241998147892</v>
      </c>
      <c r="H410" s="0" t="str">
        <f aca="false">IF(ISBLANK(RawFinancials!H410),"",RawFinancials!H410)</f>
        <v>28369_20231231</v>
      </c>
      <c r="I410" s="0" t="n">
        <f aca="false">IF(ISBLANK(RawFinancials!I410),"",RawFinancials!I410)</f>
        <v>0.747895750938039</v>
      </c>
      <c r="J410" s="0" t="n">
        <f aca="false">IF(ISBLANK(RawFinancials!J410),"",RawFinancials!J410)</f>
        <v>12166</v>
      </c>
      <c r="K410" s="0" t="n">
        <f aca="false">IF(ISBLANK(RawFinancials!K410),"",RawFinancials!K410)</f>
        <v>834</v>
      </c>
      <c r="L410" s="0" t="n">
        <f aca="false">IF(ISBLANK(RawFinancials!L410),"",RawFinancials!L410)</f>
        <v>78888</v>
      </c>
      <c r="M410" s="0" t="n">
        <f aca="false">IF(ISBLANK(RawFinancials!M410),"",RawFinancials!M410)</f>
        <v>78298</v>
      </c>
      <c r="N410" s="0" t="n">
        <f aca="false">IF(ISBLANK(RawFinancials!N410),"",RawFinancials!N410)</f>
        <v>65888</v>
      </c>
      <c r="O410" s="0" t="n">
        <f aca="false">IF(ISBLANK(RawFinancials!O410),"",RawFinancials!O410)</f>
        <v>178</v>
      </c>
      <c r="P410" s="0" t="str">
        <f aca="false">IF(ISBLANK(RawFinancials!P410),"",RawFinancials!P410)</f>
        <v>ROCKLAND SAVINGS BANK, FSB</v>
      </c>
      <c r="Q410" s="0" t="n">
        <f aca="false">IF(ISBLANK(RawFinancials!Q410),"",RawFinancials!Q410)</f>
        <v>0.225636345198256</v>
      </c>
      <c r="R410" s="0" t="n">
        <f aca="false">IF(ISBLANK(RawFinancials!R410),"",RawFinancials!R410)</f>
        <v>3.31528724993313</v>
      </c>
      <c r="S410" s="0" t="n">
        <f aca="false">IF(ISBLANK(RawFinancials!S410),"",RawFinancials!S410)</f>
        <v>-2</v>
      </c>
      <c r="T410" s="0" t="n">
        <f aca="false">IF(ISBLANK(RawFinancials!T410),"",RawFinancials!T410)</f>
        <v>102</v>
      </c>
      <c r="U410" s="0" t="n">
        <f aca="false">IF(ISBLANK(RawFinancials!U410),"",RawFinancials!U410)</f>
        <v>0</v>
      </c>
      <c r="V410" s="0" t="n">
        <f aca="false">IF(ISBLANK(RawFinancials!V410),"",RawFinancials!V410)</f>
        <v>0</v>
      </c>
      <c r="W410" s="0" t="n">
        <f aca="false">IF(ISBLANK(RawFinancials!W410),"",RawFinancials!W410)</f>
        <v>20231231</v>
      </c>
      <c r="X410" s="0" t="n">
        <f aca="false">IF(ISBLANK(RawFinancials!X410),"",RawFinancials!X410)</f>
        <v>-0.191016386958749</v>
      </c>
      <c r="Y410" s="0" t="n">
        <f aca="false">IF(ISBLANK(RawFinancials!Y410),"",RawFinancials!Y410)</f>
        <v>-1.8</v>
      </c>
      <c r="Z410" s="0" t="str">
        <f aca="false">IF(ISBLANK(RawFinancials!Z410),"",RawFinancials!Z410)</f>
        <v>ME</v>
      </c>
      <c r="AA410" s="0" t="n">
        <f aca="false">RawFinancials!AA410</f>
        <v>1</v>
      </c>
      <c r="AB410" s="0" t="n">
        <f aca="false">RawFinancials!AB410</f>
        <v>178</v>
      </c>
      <c r="AC410" s="0" t="n">
        <f aca="false">RawFinancials!AC410</f>
        <v>0.18946853012869</v>
      </c>
      <c r="AD410" s="0" t="n">
        <f aca="false">IF(L410&gt;0,100*N410/L410,"")</f>
        <v>83.5209410810263</v>
      </c>
      <c r="AE410" s="0" t="n">
        <f aca="false">IF(B410&gt;0,100*F410/B410,"")</f>
        <v>9.95241998147892</v>
      </c>
      <c r="AF410" s="0" t="str">
        <f aca="false">RawFinancials!AE410</f>
        <v>原始0：需核实适用/报告口径</v>
      </c>
    </row>
    <row r="411" customFormat="false" ht="15" hidden="false" customHeight="false" outlineLevel="0" collapsed="false">
      <c r="A411" s="0" t="n">
        <f aca="false">IF(ISBLANK(RawFinancials!A411),"",RawFinancials!A411)</f>
        <v>411</v>
      </c>
      <c r="B411" s="0" t="n">
        <f aca="false">IF(ISBLANK(RawFinancials!B411),"",RawFinancials!B411)</f>
        <v>285205</v>
      </c>
      <c r="C411" s="0" t="n">
        <f aca="false">IF(ISBLANK(RawFinancials!C411),"",RawFinancials!C411)</f>
        <v>28837</v>
      </c>
      <c r="D411" s="0" t="n">
        <f aca="false">IF(ISBLANK(RawFinancials!D411),"",RawFinancials!D411)</f>
        <v>255839</v>
      </c>
      <c r="E411" s="0" t="n">
        <f aca="false">IF(ISBLANK(RawFinancials!E411),"",RawFinancials!E411)</f>
        <v>0.06</v>
      </c>
      <c r="F411" s="0" t="n">
        <f aca="false">IF(ISBLANK(RawFinancials!F411),"",RawFinancials!F411)</f>
        <v>26107</v>
      </c>
      <c r="G411" s="0" t="n">
        <f aca="false">IF(ISBLANK(RawFinancials!G411),"",RawFinancials!G411)</f>
        <v>9.15376658894479</v>
      </c>
      <c r="H411" s="0" t="str">
        <f aca="false">IF(ISBLANK(RawFinancials!H411),"",RawFinancials!H411)</f>
        <v>28837_20231231</v>
      </c>
      <c r="I411" s="0" t="n">
        <f aca="false">IF(ISBLANK(RawFinancials!I411),"",RawFinancials!I411)</f>
        <v>1.16905750090664</v>
      </c>
      <c r="J411" s="0" t="n">
        <f aca="false">IF(ISBLANK(RawFinancials!J411),"",RawFinancials!J411)</f>
        <v>6136</v>
      </c>
      <c r="K411" s="0" t="n">
        <f aca="false">IF(ISBLANK(RawFinancials!K411),"",RawFinancials!K411)</f>
        <v>790</v>
      </c>
      <c r="L411" s="0" t="n">
        <f aca="false">IF(ISBLANK(RawFinancials!L411),"",RawFinancials!L411)</f>
        <v>198536</v>
      </c>
      <c r="M411" s="0" t="n">
        <f aca="false">IF(ISBLANK(RawFinancials!M411),"",RawFinancials!M411)</f>
        <v>196215</v>
      </c>
      <c r="N411" s="0" t="n">
        <f aca="false">IF(ISBLANK(RawFinancials!N411),"",RawFinancials!N411)</f>
        <v>190865</v>
      </c>
      <c r="O411" s="0" t="n">
        <f aca="false">IF(ISBLANK(RawFinancials!O411),"",RawFinancials!O411)</f>
        <v>89</v>
      </c>
      <c r="P411" s="0" t="str">
        <f aca="false">IF(ISBLANK(RawFinancials!P411),"",RawFinancials!P411)</f>
        <v>THE BRATTLEBORO SAVINGS AND LOAN ASSOCIATION</v>
      </c>
      <c r="Q411" s="0" t="n">
        <f aca="false">IF(ISBLANK(RawFinancials!Q411),"",RawFinancials!Q411)</f>
        <v>0.0448281419994358</v>
      </c>
      <c r="R411" s="0" t="n">
        <f aca="false">IF(ISBLANK(RawFinancials!R411),"",RawFinancials!R411)</f>
        <v>3.60337323936935</v>
      </c>
      <c r="S411" s="0" t="n">
        <f aca="false">IF(ISBLANK(RawFinancials!S411),"",RawFinancials!S411)</f>
        <v>44</v>
      </c>
      <c r="T411" s="0" t="n">
        <f aca="false">IF(ISBLANK(RawFinancials!T411),"",RawFinancials!T411)</f>
        <v>689</v>
      </c>
      <c r="U411" s="0" t="n">
        <f aca="false">IF(ISBLANK(RawFinancials!U411),"",RawFinancials!U411)</f>
        <v>0</v>
      </c>
      <c r="V411" s="0" t="n">
        <f aca="false">IF(ISBLANK(RawFinancials!V411),"",RawFinancials!V411)</f>
        <v>16.6032466838163</v>
      </c>
      <c r="W411" s="0" t="n">
        <f aca="false">IF(ISBLANK(RawFinancials!W411),"",RawFinancials!W411)</f>
        <v>20231231</v>
      </c>
      <c r="X411" s="0" t="n">
        <f aca="false">IF(ISBLANK(RawFinancials!X411),"",RawFinancials!X411)</f>
        <v>0.843499779821749</v>
      </c>
      <c r="Y411" s="0" t="n">
        <f aca="false">IF(ISBLANK(RawFinancials!Y411),"",RawFinancials!Y411)</f>
        <v>9.84</v>
      </c>
      <c r="Z411" s="0" t="str">
        <f aca="false">IF(ISBLANK(RawFinancials!Z411),"",RawFinancials!Z411)</f>
        <v>VT</v>
      </c>
      <c r="AA411" s="0" t="n">
        <f aca="false">RawFinancials!AA411</f>
        <v>1</v>
      </c>
      <c r="AB411" s="0" t="n">
        <f aca="false">RawFinancials!AB411</f>
        <v>89</v>
      </c>
      <c r="AC411" s="0" t="n">
        <f aca="false">RawFinancials!AC411</f>
        <v>0.0312056240248242</v>
      </c>
      <c r="AD411" s="0" t="n">
        <f aca="false">IF(L411&gt;0,100*N411/L411,"")</f>
        <v>96.1362171092396</v>
      </c>
      <c r="AE411" s="0" t="n">
        <f aca="false">IF(B411&gt;0,100*F411/B411,"")</f>
        <v>9.15376658894479</v>
      </c>
      <c r="AF411" s="0" t="str">
        <f aca="false">RawFinancials!AE411</f>
        <v/>
      </c>
    </row>
    <row r="412" customFormat="false" ht="15" hidden="false" customHeight="false" outlineLevel="0" collapsed="false">
      <c r="A412" s="0" t="n">
        <f aca="false">IF(ISBLANK(RawFinancials!A412),"",RawFinancials!A412)</f>
        <v>412</v>
      </c>
      <c r="B412" s="0" t="n">
        <f aca="false">IF(ISBLANK(RawFinancials!B412),"",RawFinancials!B412)</f>
        <v>179139</v>
      </c>
      <c r="C412" s="0" t="n">
        <f aca="false">IF(ISBLANK(RawFinancials!C412),"",RawFinancials!C412)</f>
        <v>29636</v>
      </c>
      <c r="D412" s="0" t="n">
        <f aca="false">IF(ISBLANK(RawFinancials!D412),"",RawFinancials!D412)</f>
        <v>140257</v>
      </c>
      <c r="E412" s="0" t="n">
        <f aca="false">IF(ISBLANK(RawFinancials!E412),"",RawFinancials!E412)</f>
        <v>0.04</v>
      </c>
      <c r="F412" s="0" t="n">
        <f aca="false">IF(ISBLANK(RawFinancials!F412),"",RawFinancials!F412)</f>
        <v>25841</v>
      </c>
      <c r="G412" s="0" t="n">
        <f aca="false">IF(ISBLANK(RawFinancials!G412),"",RawFinancials!G412)</f>
        <v>14.4251112264778</v>
      </c>
      <c r="H412" s="0" t="str">
        <f aca="false">IF(ISBLANK(RawFinancials!H412),"",RawFinancials!H412)</f>
        <v>29636_20231231</v>
      </c>
      <c r="I412" s="0" t="n">
        <f aca="false">IF(ISBLANK(RawFinancials!I412),"",RawFinancials!I412)</f>
        <v>1.41134110743973</v>
      </c>
      <c r="J412" s="0" t="n">
        <f aca="false">IF(ISBLANK(RawFinancials!J412),"",RawFinancials!J412)</f>
        <v>1690</v>
      </c>
      <c r="K412" s="0" t="n">
        <f aca="false">IF(ISBLANK(RawFinancials!K412),"",RawFinancials!K412)</f>
        <v>1505</v>
      </c>
      <c r="L412" s="0" t="n">
        <f aca="false">IF(ISBLANK(RawFinancials!L412),"",RawFinancials!L412)</f>
        <v>134978</v>
      </c>
      <c r="M412" s="0" t="n">
        <f aca="false">IF(ISBLANK(RawFinancials!M412),"",RawFinancials!M412)</f>
        <v>133073</v>
      </c>
      <c r="N412" s="0" t="n">
        <f aca="false">IF(ISBLANK(RawFinancials!N412),"",RawFinancials!N412)</f>
        <v>131783</v>
      </c>
      <c r="O412" s="0" t="n">
        <f aca="false">IF(ISBLANK(RawFinancials!O412),"",RawFinancials!O412)</f>
        <v>1361</v>
      </c>
      <c r="P412" s="0" t="str">
        <f aca="false">IF(ISBLANK(RawFinancials!P412),"",RawFinancials!P412)</f>
        <v>FIRST FEDERAL SAVINGS AND LOAN ASSOCIATION OF BATH</v>
      </c>
      <c r="Q412" s="0" t="n">
        <f aca="false">IF(ISBLANK(RawFinancials!Q412),"",RawFinancials!Q412)</f>
        <v>1.00831246573516</v>
      </c>
      <c r="R412" s="0" t="n">
        <f aca="false">IF(ISBLANK(RawFinancials!R412),"",RawFinancials!R412)</f>
        <v>3.65429206434729</v>
      </c>
      <c r="S412" s="0" t="n">
        <f aca="false">IF(ISBLANK(RawFinancials!S412),"",RawFinancials!S412)</f>
        <v>-10</v>
      </c>
      <c r="T412" s="0" t="n">
        <f aca="false">IF(ISBLANK(RawFinancials!T412),"",RawFinancials!T412)</f>
        <v>2467</v>
      </c>
      <c r="U412" s="0" t="n">
        <f aca="false">IF(ISBLANK(RawFinancials!U412),"",RawFinancials!U412)</f>
        <v>0</v>
      </c>
      <c r="V412" s="0" t="n">
        <f aca="false">IF(ISBLANK(RawFinancials!V412),"",RawFinancials!V412)</f>
        <v>27.101782005029</v>
      </c>
      <c r="W412" s="0" t="n">
        <f aca="false">IF(ISBLANK(RawFinancials!W412),"",RawFinancials!W412)</f>
        <v>20231231</v>
      </c>
      <c r="X412" s="0" t="n">
        <f aca="false">IF(ISBLANK(RawFinancials!X412),"",RawFinancials!X412)</f>
        <v>0.411731485018589</v>
      </c>
      <c r="Y412" s="0" t="n">
        <f aca="false">IF(ISBLANK(RawFinancials!Y412),"",RawFinancials!Y412)</f>
        <v>3</v>
      </c>
      <c r="Z412" s="0" t="str">
        <f aca="false">IF(ISBLANK(RawFinancials!Z412),"",RawFinancials!Z412)</f>
        <v>ME</v>
      </c>
      <c r="AA412" s="0" t="n">
        <f aca="false">RawFinancials!AA412</f>
        <v>1</v>
      </c>
      <c r="AB412" s="0" t="n">
        <f aca="false">RawFinancials!AB412</f>
        <v>1361</v>
      </c>
      <c r="AC412" s="0" t="n">
        <f aca="false">RawFinancials!AC412</f>
        <v>0.759745225774399</v>
      </c>
      <c r="AD412" s="0" t="n">
        <f aca="false">IF(L412&gt;0,100*N412/L412,"")</f>
        <v>97.6329475914594</v>
      </c>
      <c r="AE412" s="0" t="n">
        <f aca="false">IF(B412&gt;0,100*F412/B412,"")</f>
        <v>14.4251112264778</v>
      </c>
      <c r="AF412" s="0" t="str">
        <f aca="false">RawFinancials!AE412</f>
        <v/>
      </c>
    </row>
    <row r="413" customFormat="false" ht="15" hidden="false" customHeight="false" outlineLevel="0" collapsed="false">
      <c r="A413" s="0" t="n">
        <f aca="false">IF(ISBLANK(RawFinancials!A413),"",RawFinancials!A413)</f>
        <v>413</v>
      </c>
      <c r="B413" s="0" t="n">
        <f aca="false">IF(ISBLANK(RawFinancials!B413),"",RawFinancials!B413)</f>
        <v>188129</v>
      </c>
      <c r="C413" s="0" t="n">
        <f aca="false">IF(ISBLANK(RawFinancials!C413),"",RawFinancials!C413)</f>
        <v>29743</v>
      </c>
      <c r="D413" s="0" t="n">
        <f aca="false">IF(ISBLANK(RawFinancials!D413),"",RawFinancials!D413)</f>
        <v>163831</v>
      </c>
      <c r="E413" s="0" t="n">
        <f aca="false">IF(ISBLANK(RawFinancials!E413),"",RawFinancials!E413)</f>
        <v>-0.03</v>
      </c>
      <c r="F413" s="0" t="n">
        <f aca="false">IF(ISBLANK(RawFinancials!F413),"",RawFinancials!F413)</f>
        <v>16795</v>
      </c>
      <c r="G413" s="0" t="n">
        <f aca="false">IF(ISBLANK(RawFinancials!G413),"",RawFinancials!G413)</f>
        <v>8.92738493267917</v>
      </c>
      <c r="H413" s="0" t="str">
        <f aca="false">IF(ISBLANK(RawFinancials!H413),"",RawFinancials!H413)</f>
        <v>29743_20231231</v>
      </c>
      <c r="I413" s="0" t="n">
        <f aca="false">IF(ISBLANK(RawFinancials!I413),"",RawFinancials!I413)</f>
        <v>0.666427589504513</v>
      </c>
      <c r="J413" s="0" t="n">
        <f aca="false">IF(ISBLANK(RawFinancials!J413),"",RawFinancials!J413)</f>
        <v>26224</v>
      </c>
      <c r="K413" s="0" t="n">
        <f aca="false">IF(ISBLANK(RawFinancials!K413),"",RawFinancials!K413)</f>
        <v>21579</v>
      </c>
      <c r="L413" s="0" t="n">
        <f aca="false">IF(ISBLANK(RawFinancials!L413),"",RawFinancials!L413)</f>
        <v>133848</v>
      </c>
      <c r="M413" s="0" t="n">
        <f aca="false">IF(ISBLANK(RawFinancials!M413),"",RawFinancials!M413)</f>
        <v>132956</v>
      </c>
      <c r="N413" s="0" t="n">
        <f aca="false">IF(ISBLANK(RawFinancials!N413),"",RawFinancials!N413)</f>
        <v>85948</v>
      </c>
      <c r="O413" s="0" t="n">
        <f aca="false">IF(ISBLANK(RawFinancials!O413),"",RawFinancials!O413)</f>
        <v>436</v>
      </c>
      <c r="P413" s="0" t="str">
        <f aca="false">IF(ISBLANK(RawFinancials!P413),"",RawFinancials!P413)</f>
        <v>AROOSTOOK COUNTY FEDERAL SAVINGS AND LOAN ASSOCIATION</v>
      </c>
      <c r="Q413" s="0" t="n">
        <f aca="false">IF(ISBLANK(RawFinancials!Q413),"",RawFinancials!Q413)</f>
        <v>0.325742633434941</v>
      </c>
      <c r="R413" s="0" t="n">
        <f aca="false">IF(ISBLANK(RawFinancials!R413),"",RawFinancials!R413)</f>
        <v>2.35417694416758</v>
      </c>
      <c r="S413" s="0" t="n">
        <f aca="false">IF(ISBLANK(RawFinancials!S413),"",RawFinancials!S413)</f>
        <v>10</v>
      </c>
      <c r="T413" s="0" t="n">
        <f aca="false">IF(ISBLANK(RawFinancials!T413),"",RawFinancials!T413)</f>
        <v>573</v>
      </c>
      <c r="U413" s="0" t="n">
        <f aca="false">IF(ISBLANK(RawFinancials!U413),"",RawFinancials!U413)</f>
        <v>0</v>
      </c>
      <c r="V413" s="0" t="n">
        <f aca="false">IF(ISBLANK(RawFinancials!V413),"",RawFinancials!V413)</f>
        <v>17.8279612561101</v>
      </c>
      <c r="W413" s="0" t="n">
        <f aca="false">IF(ISBLANK(RawFinancials!W413),"",RawFinancials!W413)</f>
        <v>20231231</v>
      </c>
      <c r="X413" s="0" t="n">
        <f aca="false">IF(ISBLANK(RawFinancials!X413),"",RawFinancials!X413)</f>
        <v>0.530724484627272</v>
      </c>
      <c r="Y413" s="0" t="n">
        <f aca="false">IF(ISBLANK(RawFinancials!Y413),"",RawFinancials!Y413)</f>
        <v>6.19</v>
      </c>
      <c r="Z413" s="0" t="str">
        <f aca="false">IF(ISBLANK(RawFinancials!Z413),"",RawFinancials!Z413)</f>
        <v>ME</v>
      </c>
      <c r="AA413" s="0" t="n">
        <f aca="false">RawFinancials!AA413</f>
        <v>1</v>
      </c>
      <c r="AB413" s="0" t="n">
        <f aca="false">RawFinancials!AB413</f>
        <v>436</v>
      </c>
      <c r="AC413" s="0" t="n">
        <f aca="false">RawFinancials!AC413</f>
        <v>0.231755869642639</v>
      </c>
      <c r="AD413" s="0" t="n">
        <f aca="false">IF(L413&gt;0,100*N413/L413,"")</f>
        <v>64.2131372900604</v>
      </c>
      <c r="AE413" s="0" t="n">
        <f aca="false">IF(B413&gt;0,100*F413/B413,"")</f>
        <v>8.92738493267917</v>
      </c>
      <c r="AF413" s="0" t="str">
        <f aca="false">RawFinancials!AE413</f>
        <v/>
      </c>
    </row>
    <row r="414" customFormat="false" ht="15" hidden="false" customHeight="false" outlineLevel="0" collapsed="false">
      <c r="A414" s="0" t="n">
        <f aca="false">IF(ISBLANK(RawFinancials!A414),"",RawFinancials!A414)</f>
        <v>414</v>
      </c>
      <c r="B414" s="0" t="n">
        <f aca="false">IF(ISBLANK(RawFinancials!B414),"",RawFinancials!B414)</f>
        <v>571301</v>
      </c>
      <c r="C414" s="0" t="n">
        <f aca="false">IF(ISBLANK(RawFinancials!C414),"",RawFinancials!C414)</f>
        <v>29744</v>
      </c>
      <c r="D414" s="0" t="n">
        <f aca="false">IF(ISBLANK(RawFinancials!D414),"",RawFinancials!D414)</f>
        <v>426673</v>
      </c>
      <c r="E414" s="0" t="n">
        <f aca="false">IF(ISBLANK(RawFinancials!E414),"",RawFinancials!E414)</f>
        <v>0.02</v>
      </c>
      <c r="F414" s="0" t="n">
        <f aca="false">IF(ISBLANK(RawFinancials!F414),"",RawFinancials!F414)</f>
        <v>46181</v>
      </c>
      <c r="G414" s="0" t="n">
        <f aca="false">IF(ISBLANK(RawFinancials!G414),"",RawFinancials!G414)</f>
        <v>8.08347963682892</v>
      </c>
      <c r="H414" s="0" t="str">
        <f aca="false">IF(ISBLANK(RawFinancials!H414),"",RawFinancials!H414)</f>
        <v>29744_20231231</v>
      </c>
      <c r="I414" s="0" t="n">
        <f aca="false">IF(ISBLANK(RawFinancials!I414),"",RawFinancials!I414)</f>
        <v>0.788983096211717</v>
      </c>
      <c r="J414" s="0" t="n">
        <f aca="false">IF(ISBLANK(RawFinancials!J414),"",RawFinancials!J414)</f>
        <v>25511</v>
      </c>
      <c r="K414" s="0" t="n">
        <f aca="false">IF(ISBLANK(RawFinancials!K414),"",RawFinancials!K414)</f>
        <v>9826</v>
      </c>
      <c r="L414" s="0" t="n">
        <f aca="false">IF(ISBLANK(RawFinancials!L414),"",RawFinancials!L414)</f>
        <v>429667</v>
      </c>
      <c r="M414" s="0" t="n">
        <f aca="false">IF(ISBLANK(RawFinancials!M414),"",RawFinancials!M414)</f>
        <v>426277</v>
      </c>
      <c r="N414" s="0" t="n">
        <f aca="false">IF(ISBLANK(RawFinancials!N414),"",RawFinancials!N414)</f>
        <v>394330</v>
      </c>
      <c r="O414" s="0" t="n">
        <f aca="false">IF(ISBLANK(RawFinancials!O414),"",RawFinancials!O414)</f>
        <v>141</v>
      </c>
      <c r="P414" s="0" t="str">
        <f aca="false">IF(ISBLANK(RawFinancials!P414),"",RawFinancials!P414)</f>
        <v>FIRST SEACOAST BANK</v>
      </c>
      <c r="Q414" s="0" t="n">
        <f aca="false">IF(ISBLANK(RawFinancials!Q414),"",RawFinancials!Q414)</f>
        <v>0.0328161110813723</v>
      </c>
      <c r="R414" s="0" t="n">
        <f aca="false">IF(ISBLANK(RawFinancials!R414),"",RawFinancials!R414)</f>
        <v>2.18195327583115</v>
      </c>
      <c r="S414" s="0" t="n">
        <f aca="false">IF(ISBLANK(RawFinancials!S414),"",RawFinancials!S414)</f>
        <v>1</v>
      </c>
      <c r="T414" s="0" t="n">
        <f aca="false">IF(ISBLANK(RawFinancials!T414),"",RawFinancials!T414)</f>
        <v>4</v>
      </c>
      <c r="U414" s="0" t="n">
        <f aca="false">IF(ISBLANK(RawFinancials!U414),"",RawFinancials!U414)</f>
        <v>0</v>
      </c>
      <c r="V414" s="0" t="n">
        <f aca="false">IF(ISBLANK(RawFinancials!V414),"",RawFinancials!V414)</f>
        <v>15.3066612398453</v>
      </c>
      <c r="W414" s="0" t="n">
        <f aca="false">IF(ISBLANK(RawFinancials!W414),"",RawFinancials!W414)</f>
        <v>20231231</v>
      </c>
      <c r="X414" s="0" t="n">
        <f aca="false">IF(ISBLANK(RawFinancials!X414),"",RawFinancials!X414)</f>
        <v>-1.92589358136684</v>
      </c>
      <c r="Y414" s="0" t="n">
        <f aca="false">IF(ISBLANK(RawFinancials!Y414),"",RawFinancials!Y414)</f>
        <v>-22.17</v>
      </c>
      <c r="Z414" s="0" t="str">
        <f aca="false">IF(ISBLANK(RawFinancials!Z414),"",RawFinancials!Z414)</f>
        <v>NH</v>
      </c>
      <c r="AA414" s="0" t="n">
        <f aca="false">RawFinancials!AA414</f>
        <v>1</v>
      </c>
      <c r="AB414" s="0" t="n">
        <f aca="false">RawFinancials!AB414</f>
        <v>141</v>
      </c>
      <c r="AC414" s="0" t="n">
        <f aca="false">RawFinancials!AC414</f>
        <v>0.0246805099238405</v>
      </c>
      <c r="AD414" s="0" t="n">
        <f aca="false">IF(L414&gt;0,100*N414/L414,"")</f>
        <v>91.7757239909046</v>
      </c>
      <c r="AE414" s="0" t="n">
        <f aca="false">IF(B414&gt;0,100*F414/B414,"")</f>
        <v>8.08347963682892</v>
      </c>
      <c r="AF414" s="0" t="str">
        <f aca="false">RawFinancials!AE414</f>
        <v/>
      </c>
    </row>
    <row r="415" customFormat="false" ht="15" hidden="false" customHeight="false" outlineLevel="0" collapsed="false">
      <c r="A415" s="0" t="n">
        <f aca="false">IF(ISBLANK(RawFinancials!A415),"",RawFinancials!A415)</f>
        <v>415</v>
      </c>
      <c r="B415" s="0" t="n">
        <f aca="false">IF(ISBLANK(RawFinancials!B415),"",RawFinancials!B415)</f>
        <v>552031</v>
      </c>
      <c r="C415" s="0" t="n">
        <f aca="false">IF(ISBLANK(RawFinancials!C415),"",RawFinancials!C415)</f>
        <v>30350</v>
      </c>
      <c r="D415" s="0" t="n">
        <f aca="false">IF(ISBLANK(RawFinancials!D415),"",RawFinancials!D415)</f>
        <v>441306</v>
      </c>
      <c r="E415" s="0" t="n">
        <f aca="false">IF(ISBLANK(RawFinancials!E415),"",RawFinancials!E415)</f>
        <v>0</v>
      </c>
      <c r="F415" s="0" t="n">
        <f aca="false">IF(ISBLANK(RawFinancials!F415),"",RawFinancials!F415)</f>
        <v>56419</v>
      </c>
      <c r="G415" s="0" t="n">
        <f aca="false">IF(ISBLANK(RawFinancials!G415),"",RawFinancials!G415)</f>
        <v>10.2202593694919</v>
      </c>
      <c r="H415" s="0" t="str">
        <f aca="false">IF(ISBLANK(RawFinancials!H415),"",RawFinancials!H415)</f>
        <v>30350_20231231</v>
      </c>
      <c r="I415" s="0" t="n">
        <f aca="false">IF(ISBLANK(RawFinancials!I415),"",RawFinancials!I415)</f>
        <v>1.30472183865874</v>
      </c>
      <c r="J415" s="0" t="n">
        <f aca="false">IF(ISBLANK(RawFinancials!J415),"",RawFinancials!J415)</f>
        <v>16929</v>
      </c>
      <c r="K415" s="0" t="n">
        <f aca="false">IF(ISBLANK(RawFinancials!K415),"",RawFinancials!K415)</f>
        <v>1371</v>
      </c>
      <c r="L415" s="0" t="n">
        <f aca="false">IF(ISBLANK(RawFinancials!L415),"",RawFinancials!L415)</f>
        <v>403381</v>
      </c>
      <c r="M415" s="0" t="n">
        <f aca="false">IF(ISBLANK(RawFinancials!M415),"",RawFinancials!M415)</f>
        <v>398118</v>
      </c>
      <c r="N415" s="0" t="n">
        <f aca="false">IF(ISBLANK(RawFinancials!N415),"",RawFinancials!N415)</f>
        <v>383810</v>
      </c>
      <c r="O415" s="0" t="n">
        <f aca="false">IF(ISBLANK(RawFinancials!O415),"",RawFinancials!O415)</f>
        <v>2020</v>
      </c>
      <c r="P415" s="0" t="str">
        <f aca="false">IF(ISBLANK(RawFinancials!P415),"",RawFinancials!P415)</f>
        <v>THE BANK OF BENNINGTON</v>
      </c>
      <c r="Q415" s="0" t="n">
        <f aca="false">IF(ISBLANK(RawFinancials!Q415),"",RawFinancials!Q415)</f>
        <v>0.500767264695164</v>
      </c>
      <c r="R415" s="0" t="n">
        <f aca="false">IF(ISBLANK(RawFinancials!R415),"",RawFinancials!R415)</f>
        <v>2.83298526110028</v>
      </c>
      <c r="S415" s="0" t="n">
        <f aca="false">IF(ISBLANK(RawFinancials!S415),"",RawFinancials!S415)</f>
        <v>-22</v>
      </c>
      <c r="T415" s="0" t="n">
        <f aca="false">IF(ISBLANK(RawFinancials!T415),"",RawFinancials!T415)</f>
        <v>904</v>
      </c>
      <c r="U415" s="0" t="n">
        <f aca="false">IF(ISBLANK(RawFinancials!U415),"",RawFinancials!U415)</f>
        <v>0</v>
      </c>
      <c r="V415" s="0" t="n">
        <f aca="false">IF(ISBLANK(RawFinancials!V415),"",RawFinancials!V415)</f>
        <v>20.7187970391521</v>
      </c>
      <c r="W415" s="0" t="n">
        <f aca="false">IF(ISBLANK(RawFinancials!W415),"",RawFinancials!W415)</f>
        <v>20231231</v>
      </c>
      <c r="X415" s="0" t="n">
        <f aca="false">IF(ISBLANK(RawFinancials!X415),"",RawFinancials!X415)</f>
        <v>0.694638101857136</v>
      </c>
      <c r="Y415" s="0" t="n">
        <f aca="false">IF(ISBLANK(RawFinancials!Y415),"",RawFinancials!Y415)</f>
        <v>7.19</v>
      </c>
      <c r="Z415" s="0" t="str">
        <f aca="false">IF(ISBLANK(RawFinancials!Z415),"",RawFinancials!Z415)</f>
        <v>VT</v>
      </c>
      <c r="AA415" s="0" t="n">
        <f aca="false">RawFinancials!AA415</f>
        <v>1</v>
      </c>
      <c r="AB415" s="0" t="n">
        <f aca="false">RawFinancials!AB415</f>
        <v>2020</v>
      </c>
      <c r="AC415" s="0" t="n">
        <f aca="false">RawFinancials!AC415</f>
        <v>0.365921479047372</v>
      </c>
      <c r="AD415" s="0" t="n">
        <f aca="false">IF(L415&gt;0,100*N415/L415,"")</f>
        <v>95.148259337946</v>
      </c>
      <c r="AE415" s="0" t="n">
        <f aca="false">IF(B415&gt;0,100*F415/B415,"")</f>
        <v>10.2202593694919</v>
      </c>
      <c r="AF415" s="0" t="str">
        <f aca="false">RawFinancials!AE415</f>
        <v/>
      </c>
    </row>
    <row r="416" customFormat="false" ht="15" hidden="false" customHeight="false" outlineLevel="0" collapsed="false">
      <c r="A416" s="0" t="n">
        <f aca="false">IF(ISBLANK(RawFinancials!A416),"",RawFinancials!A416)</f>
        <v>416</v>
      </c>
      <c r="B416" s="0" t="n">
        <f aca="false">IF(ISBLANK(RawFinancials!B416),"",RawFinancials!B416)</f>
        <v>105203</v>
      </c>
      <c r="C416" s="0" t="n">
        <f aca="false">IF(ISBLANK(RawFinancials!C416),"",RawFinancials!C416)</f>
        <v>30878</v>
      </c>
      <c r="D416" s="0" t="n">
        <f aca="false">IF(ISBLANK(RawFinancials!D416),"",RawFinancials!D416)</f>
        <v>73899</v>
      </c>
      <c r="E416" s="0" t="n">
        <f aca="false">IF(ISBLANK(RawFinancials!E416),"",RawFinancials!E416)</f>
        <v>-0.05</v>
      </c>
      <c r="F416" s="0" t="n">
        <f aca="false">IF(ISBLANK(RawFinancials!F416),"",RawFinancials!F416)</f>
        <v>12316</v>
      </c>
      <c r="G416" s="0" t="n">
        <f aca="false">IF(ISBLANK(RawFinancials!G416),"",RawFinancials!G416)</f>
        <v>11.7068904879138</v>
      </c>
      <c r="H416" s="0" t="str">
        <f aca="false">IF(ISBLANK(RawFinancials!H416),"",RawFinancials!H416)</f>
        <v>30878_20231231</v>
      </c>
      <c r="I416" s="0" t="n">
        <f aca="false">IF(ISBLANK(RawFinancials!I416),"",RawFinancials!I416)</f>
        <v>0.814884923474688</v>
      </c>
      <c r="J416" s="0" t="n">
        <f aca="false">IF(ISBLANK(RawFinancials!J416),"",RawFinancials!J416)</f>
        <v>0</v>
      </c>
      <c r="K416" s="0" t="n">
        <f aca="false">IF(ISBLANK(RawFinancials!K416),"",RawFinancials!K416)</f>
        <v>104</v>
      </c>
      <c r="L416" s="0" t="n">
        <f aca="false">IF(ISBLANK(RawFinancials!L416),"",RawFinancials!L416)</f>
        <v>86638</v>
      </c>
      <c r="M416" s="0" t="n">
        <f aca="false">IF(ISBLANK(RawFinancials!M416),"",RawFinancials!M416)</f>
        <v>85932</v>
      </c>
      <c r="N416" s="0" t="n">
        <f aca="false">IF(ISBLANK(RawFinancials!N416),"",RawFinancials!N416)</f>
        <v>86535</v>
      </c>
      <c r="O416" s="0" t="n">
        <f aca="false">IF(ISBLANK(RawFinancials!O416),"",RawFinancials!O416)</f>
        <v>584</v>
      </c>
      <c r="P416" s="0" t="str">
        <f aca="false">IF(ISBLANK(RawFinancials!P416),"",RawFinancials!P416)</f>
        <v>BAR HARBOR SAVINGS AND LOAN ASSOCIATION</v>
      </c>
      <c r="Q416" s="0" t="n">
        <f aca="false">IF(ISBLANK(RawFinancials!Q416),"",RawFinancials!Q416)</f>
        <v>0.674069115168864</v>
      </c>
      <c r="R416" s="0" t="n">
        <f aca="false">IF(ISBLANK(RawFinancials!R416),"",RawFinancials!R416)</f>
        <v>1.43139746208405</v>
      </c>
      <c r="S416" s="0" t="n">
        <f aca="false">IF(ISBLANK(RawFinancials!S416),"",RawFinancials!S416)</f>
        <v>0</v>
      </c>
      <c r="T416" s="0" t="n">
        <f aca="false">IF(ISBLANK(RawFinancials!T416),"",RawFinancials!T416)</f>
        <v>151</v>
      </c>
      <c r="U416" s="0" t="n">
        <f aca="false">IF(ISBLANK(RawFinancials!U416),"",RawFinancials!U416)</f>
        <v>0</v>
      </c>
      <c r="V416" s="0" t="n">
        <f aca="false">IF(ISBLANK(RawFinancials!V416),"",RawFinancials!V416)</f>
        <v>0</v>
      </c>
      <c r="W416" s="0" t="n">
        <f aca="false">IF(ISBLANK(RawFinancials!W416),"",RawFinancials!W416)</f>
        <v>20231231</v>
      </c>
      <c r="X416" s="0" t="n">
        <f aca="false">IF(ISBLANK(RawFinancials!X416),"",RawFinancials!X416)</f>
        <v>-0.284696681831123</v>
      </c>
      <c r="Y416" s="0" t="n">
        <f aca="false">IF(ISBLANK(RawFinancials!Y416),"",RawFinancials!Y416)</f>
        <v>-2.36</v>
      </c>
      <c r="Z416" s="0" t="str">
        <f aca="false">IF(ISBLANK(RawFinancials!Z416),"",RawFinancials!Z416)</f>
        <v>ME</v>
      </c>
      <c r="AA416" s="0" t="n">
        <f aca="false">RawFinancials!AA416</f>
        <v>1</v>
      </c>
      <c r="AB416" s="0" t="n">
        <f aca="false">RawFinancials!AB416</f>
        <v>584</v>
      </c>
      <c r="AC416" s="0" t="n">
        <f aca="false">RawFinancials!AC416</f>
        <v>0.555117249508094</v>
      </c>
      <c r="AD416" s="0" t="n">
        <f aca="false">IF(L416&gt;0,100*N416/L416,"")</f>
        <v>99.8811145224959</v>
      </c>
      <c r="AE416" s="0" t="n">
        <f aca="false">IF(B416&gt;0,100*F416/B416,"")</f>
        <v>11.7068904879138</v>
      </c>
      <c r="AF416" s="0" t="str">
        <f aca="false">RawFinancials!AE416</f>
        <v>原始0：需核实适用/报告口径</v>
      </c>
    </row>
    <row r="417" customFormat="false" ht="15" hidden="false" customHeight="false" outlineLevel="0" collapsed="false">
      <c r="A417" s="0" t="n">
        <f aca="false">IF(ISBLANK(RawFinancials!A417),"",RawFinancials!A417)</f>
        <v>417</v>
      </c>
      <c r="B417" s="0" t="n">
        <f aca="false">IF(ISBLANK(RawFinancials!B417),"",RawFinancials!B417)</f>
        <v>854116</v>
      </c>
      <c r="C417" s="0" t="n">
        <f aca="false">IF(ISBLANK(RawFinancials!C417),"",RawFinancials!C417)</f>
        <v>33418</v>
      </c>
      <c r="D417" s="0" t="n">
        <f aca="false">IF(ISBLANK(RawFinancials!D417),"",RawFinancials!D417)</f>
        <v>664122</v>
      </c>
      <c r="E417" s="0" t="n">
        <f aca="false">IF(ISBLANK(RawFinancials!E417),"",RawFinancials!E417)</f>
        <v>0.09</v>
      </c>
      <c r="F417" s="0" t="n">
        <f aca="false">IF(ISBLANK(RawFinancials!F417),"",RawFinancials!F417)</f>
        <v>68784</v>
      </c>
      <c r="G417" s="0" t="n">
        <f aca="false">IF(ISBLANK(RawFinancials!G417),"",RawFinancials!G417)</f>
        <v>8.05323867015721</v>
      </c>
      <c r="H417" s="0" t="str">
        <f aca="false">IF(ISBLANK(RawFinancials!H417),"",RawFinancials!H417)</f>
        <v>33418_20231231</v>
      </c>
      <c r="I417" s="0" t="n">
        <f aca="false">IF(ISBLANK(RawFinancials!I417),"",RawFinancials!I417)</f>
        <v>0.663833038827069</v>
      </c>
      <c r="J417" s="0" t="n">
        <f aca="false">IF(ISBLANK(RawFinancials!J417),"",RawFinancials!J417)</f>
        <v>52712</v>
      </c>
      <c r="K417" s="0" t="n">
        <f aca="false">IF(ISBLANK(RawFinancials!K417),"",RawFinancials!K417)</f>
        <v>11771</v>
      </c>
      <c r="L417" s="0" t="n">
        <f aca="false">IF(ISBLANK(RawFinancials!L417),"",RawFinancials!L417)</f>
        <v>418780</v>
      </c>
      <c r="M417" s="0" t="n">
        <f aca="false">IF(ISBLANK(RawFinancials!M417),"",RawFinancials!M417)</f>
        <v>416000</v>
      </c>
      <c r="N417" s="0" t="n">
        <f aca="false">IF(ISBLANK(RawFinancials!N417),"",RawFinancials!N417)</f>
        <v>354004</v>
      </c>
      <c r="O417" s="0" t="n">
        <f aca="false">IF(ISBLANK(RawFinancials!O417),"",RawFinancials!O417)</f>
        <v>1741</v>
      </c>
      <c r="P417" s="0" t="str">
        <f aca="false">IF(ISBLANK(RawFinancials!P417),"",RawFinancials!P417)</f>
        <v>LEDYARD NATIONAL BANK</v>
      </c>
      <c r="Q417" s="0" t="n">
        <f aca="false">IF(ISBLANK(RawFinancials!Q417),"",RawFinancials!Q417)</f>
        <v>0.415731410287024</v>
      </c>
      <c r="R417" s="0" t="n">
        <f aca="false">IF(ISBLANK(RawFinancials!R417),"",RawFinancials!R417)</f>
        <v>2.54550855392525</v>
      </c>
      <c r="S417" s="0" t="n">
        <f aca="false">IF(ISBLANK(RawFinancials!S417),"",RawFinancials!S417)</f>
        <v>-50</v>
      </c>
      <c r="T417" s="0" t="n">
        <f aca="false">IF(ISBLANK(RawFinancials!T417),"",RawFinancials!T417)</f>
        <v>1957</v>
      </c>
      <c r="U417" s="0" t="n">
        <f aca="false">IF(ISBLANK(RawFinancials!U417),"",RawFinancials!U417)</f>
        <v>0</v>
      </c>
      <c r="V417" s="0" t="n">
        <f aca="false">IF(ISBLANK(RawFinancials!V417),"",RawFinancials!V417)</f>
        <v>16.202753847616</v>
      </c>
      <c r="W417" s="0" t="n">
        <f aca="false">IF(ISBLANK(RawFinancials!W417),"",RawFinancials!W417)</f>
        <v>20231231</v>
      </c>
      <c r="X417" s="0" t="n">
        <f aca="false">IF(ISBLANK(RawFinancials!X417),"",RawFinancials!X417)</f>
        <v>0.532293820018618</v>
      </c>
      <c r="Y417" s="0" t="n">
        <f aca="false">IF(ISBLANK(RawFinancials!Y417),"",RawFinancials!Y417)</f>
        <v>6.16</v>
      </c>
      <c r="Z417" s="0" t="str">
        <f aca="false">IF(ISBLANK(RawFinancials!Z417),"",RawFinancials!Z417)</f>
        <v>VT</v>
      </c>
      <c r="AA417" s="0" t="n">
        <f aca="false">RawFinancials!AA417</f>
        <v>1</v>
      </c>
      <c r="AB417" s="0" t="n">
        <f aca="false">RawFinancials!AB417</f>
        <v>1741</v>
      </c>
      <c r="AC417" s="0" t="n">
        <f aca="false">RawFinancials!AC417</f>
        <v>0.203836481227374</v>
      </c>
      <c r="AD417" s="0" t="n">
        <f aca="false">IF(L417&gt;0,100*N417/L417,"")</f>
        <v>84.5322126176035</v>
      </c>
      <c r="AE417" s="0" t="n">
        <f aca="false">IF(B417&gt;0,100*F417/B417,"")</f>
        <v>8.05323867015722</v>
      </c>
      <c r="AF417" s="0" t="str">
        <f aca="false">RawFinancials!AE417</f>
        <v/>
      </c>
    </row>
    <row r="418" customFormat="false" ht="15" hidden="false" customHeight="false" outlineLevel="0" collapsed="false">
      <c r="A418" s="0" t="n">
        <f aca="false">IF(ISBLANK(RawFinancials!A418),"",RawFinancials!A418)</f>
        <v>418</v>
      </c>
      <c r="B418" s="0" t="n">
        <f aca="false">IF(ISBLANK(RawFinancials!B418),"",RawFinancials!B418)</f>
        <v>78004</v>
      </c>
      <c r="C418" s="0" t="n">
        <f aca="false">IF(ISBLANK(RawFinancials!C418),"",RawFinancials!C418)</f>
        <v>35206</v>
      </c>
      <c r="D418" s="0" t="n">
        <f aca="false">IF(ISBLANK(RawFinancials!D418),"",RawFinancials!D418)</f>
        <v>500</v>
      </c>
      <c r="E418" s="0" t="n">
        <f aca="false">IF(ISBLANK(RawFinancials!E418),"",RawFinancials!E418)</f>
        <v>0</v>
      </c>
      <c r="F418" s="0" t="n">
        <f aca="false">IF(ISBLANK(RawFinancials!F418),"",RawFinancials!F418)</f>
        <v>74403</v>
      </c>
      <c r="G418" s="0" t="n">
        <f aca="false">IF(ISBLANK(RawFinancials!G418),"",RawFinancials!G418)</f>
        <v>95.3835700733296</v>
      </c>
      <c r="H418" s="0" t="str">
        <f aca="false">IF(ISBLANK(RawFinancials!H418),"",RawFinancials!H418)</f>
        <v>35206_20231231</v>
      </c>
      <c r="I418" s="0" t="n">
        <f aca="false">IF(ISBLANK(RawFinancials!I418),"",RawFinancials!I418)</f>
        <v>0</v>
      </c>
      <c r="J418" s="0" t="n">
        <f aca="false">IF(ISBLANK(RawFinancials!J418),"",RawFinancials!J418)</f>
        <v>0</v>
      </c>
      <c r="K418" s="0" t="n">
        <f aca="false">IF(ISBLANK(RawFinancials!K418),"",RawFinancials!K418)</f>
        <v>0</v>
      </c>
      <c r="L418" s="0" t="n">
        <f aca="false">IF(ISBLANK(RawFinancials!L418),"",RawFinancials!L418)</f>
        <v>0</v>
      </c>
      <c r="M418" s="0" t="n">
        <f aca="false">IF(ISBLANK(RawFinancials!M418),"",RawFinancials!M418)</f>
        <v>0</v>
      </c>
      <c r="N418" s="0" t="n">
        <f aca="false">IF(ISBLANK(RawFinancials!N418),"",RawFinancials!N418)</f>
        <v>0</v>
      </c>
      <c r="O418" s="0" t="n">
        <f aca="false">IF(ISBLANK(RawFinancials!O418),"",RawFinancials!O418)</f>
        <v>0</v>
      </c>
      <c r="P418" s="0" t="str">
        <f aca="false">IF(ISBLANK(RawFinancials!P418),"",RawFinancials!P418)</f>
        <v>FIDELITY PERSONAL TRUST COMPANY, FSB</v>
      </c>
      <c r="Q418" s="0" t="n">
        <f aca="false">IF(ISBLANK(RawFinancials!Q418),"",RawFinancials!Q418)</f>
        <v>0</v>
      </c>
      <c r="R418" s="0" t="n">
        <f aca="false">IF(ISBLANK(RawFinancials!R418),"",RawFinancials!R418)</f>
        <v>4.44282523941103</v>
      </c>
      <c r="S418" s="0" t="n">
        <f aca="false">IF(ISBLANK(RawFinancials!S418),"",RawFinancials!S418)</f>
        <v>0</v>
      </c>
      <c r="T418" s="0" t="n">
        <f aca="false">IF(ISBLANK(RawFinancials!T418),"",RawFinancials!T418)</f>
        <v>0</v>
      </c>
      <c r="U418" s="0" t="n">
        <f aca="false">IF(ISBLANK(RawFinancials!U418),"",RawFinancials!U418)</f>
        <v>0</v>
      </c>
      <c r="V418" s="0" t="n">
        <f aca="false">IF(ISBLANK(RawFinancials!V418),"",RawFinancials!V418)</f>
        <v>0</v>
      </c>
      <c r="W418" s="0" t="n">
        <f aca="false">IF(ISBLANK(RawFinancials!W418),"",RawFinancials!W418)</f>
        <v>20231231</v>
      </c>
      <c r="X418" s="0" t="n">
        <f aca="false">IF(ISBLANK(RawFinancials!X418),"",RawFinancials!X418)</f>
        <v>19.6375956732605</v>
      </c>
      <c r="Y418" s="0" t="n">
        <f aca="false">IF(ISBLANK(RawFinancials!Y418),"",RawFinancials!Y418)</f>
        <v>20.55</v>
      </c>
      <c r="Z418" s="0" t="str">
        <f aca="false">IF(ISBLANK(RawFinancials!Z418),"",RawFinancials!Z418)</f>
        <v>NH</v>
      </c>
      <c r="AA418" s="0" t="n">
        <f aca="false">RawFinancials!AA418</f>
        <v>1</v>
      </c>
      <c r="AB418" s="0" t="n">
        <f aca="false">RawFinancials!AB418</f>
        <v>0</v>
      </c>
      <c r="AC418" s="0" t="n">
        <f aca="false">RawFinancials!AC418</f>
        <v>0</v>
      </c>
      <c r="AD418" s="0" t="str">
        <f aca="false">IF(L418&gt;0,100*N418/L418,"")</f>
        <v/>
      </c>
      <c r="AE418" s="0" t="n">
        <f aca="false">IF(B418&gt;0,100*F418/B418,"")</f>
        <v>95.3835700733296</v>
      </c>
      <c r="AF418" s="0" t="str">
        <f aca="false">RawFinancials!AE418</f>
        <v>原始0：需核实适用/报告口径</v>
      </c>
    </row>
    <row r="419" customFormat="false" ht="15" hidden="false" customHeight="false" outlineLevel="0" collapsed="false">
      <c r="A419" s="0" t="n">
        <f aca="false">IF(ISBLANK(RawFinancials!A419),"",RawFinancials!A419)</f>
        <v>419</v>
      </c>
      <c r="B419" s="0" t="n">
        <f aca="false">IF(ISBLANK(RawFinancials!B419),"",RawFinancials!B419)</f>
        <v>5700364</v>
      </c>
      <c r="C419" s="0" t="n">
        <f aca="false">IF(ISBLANK(RawFinancials!C419),"",RawFinancials!C419)</f>
        <v>4255</v>
      </c>
      <c r="D419" s="0" t="n">
        <f aca="false">IF(ISBLANK(RawFinancials!D419),"",RawFinancials!D419)</f>
        <v>4632579</v>
      </c>
      <c r="E419" s="0" t="n">
        <f aca="false">IF(ISBLANK(RawFinancials!E419),"",RawFinancials!E419)</f>
        <v>0</v>
      </c>
      <c r="F419" s="0" t="n">
        <f aca="false">IF(ISBLANK(RawFinancials!F419),"",RawFinancials!F419)</f>
        <v>508674</v>
      </c>
      <c r="G419" s="0" t="n">
        <f aca="false">IF(ISBLANK(RawFinancials!G419),"",RawFinancials!G419)</f>
        <v>8.92353540931772</v>
      </c>
      <c r="H419" s="0" t="str">
        <f aca="false">IF(ISBLANK(RawFinancials!H419),"",RawFinancials!H419)</f>
        <v>4255_20231231</v>
      </c>
      <c r="I419" s="0" t="n">
        <f aca="false">IF(ISBLANK(RawFinancials!I419),"",RawFinancials!I419)</f>
        <v>0.899008717232489</v>
      </c>
      <c r="J419" s="0" t="n">
        <f aca="false">IF(ISBLANK(RawFinancials!J419),"",RawFinancials!J419)</f>
        <v>335214</v>
      </c>
      <c r="K419" s="0" t="n">
        <f aca="false">IF(ISBLANK(RawFinancials!K419),"",RawFinancials!K419)</f>
        <v>18237</v>
      </c>
      <c r="L419" s="0" t="n">
        <f aca="false">IF(ISBLANK(RawFinancials!L419),"",RawFinancials!L419)</f>
        <v>4108414</v>
      </c>
      <c r="M419" s="0" t="n">
        <f aca="false">IF(ISBLANK(RawFinancials!M419),"",RawFinancials!M419)</f>
        <v>4071479</v>
      </c>
      <c r="N419" s="0" t="n">
        <f aca="false">IF(ISBLANK(RawFinancials!N419),"",RawFinancials!N419)</f>
        <v>3717758</v>
      </c>
      <c r="O419" s="0" t="n">
        <f aca="false">IF(ISBLANK(RawFinancials!O419),"",RawFinancials!O419)</f>
        <v>5448</v>
      </c>
      <c r="P419" s="0" t="str">
        <f aca="false">IF(ISBLANK(RawFinancials!P419),"",RawFinancials!P419)</f>
        <v>THE CAMDEN NATIONAL BANK</v>
      </c>
      <c r="Q419" s="0" t="n">
        <f aca="false">IF(ISBLANK(RawFinancials!Q419),"",RawFinancials!Q419)</f>
        <v>0.132605915567418</v>
      </c>
      <c r="R419" s="0" t="n">
        <f aca="false">IF(ISBLANK(RawFinancials!R419),"",RawFinancials!R419)</f>
        <v>2.55844446697609</v>
      </c>
      <c r="S419" s="0" t="n">
        <f aca="false">IF(ISBLANK(RawFinancials!S419),"",RawFinancials!S419)</f>
        <v>1161</v>
      </c>
      <c r="T419" s="0" t="n">
        <f aca="false">IF(ISBLANK(RawFinancials!T419),"",RawFinancials!T419)</f>
        <v>4959</v>
      </c>
      <c r="U419" s="0" t="n">
        <f aca="false">IF(ISBLANK(RawFinancials!U419),"",RawFinancials!U419)</f>
        <v>0</v>
      </c>
      <c r="V419" s="0" t="n">
        <f aca="false">IF(ISBLANK(RawFinancials!V419),"",RawFinancials!V419)</f>
        <v>13.6976813844604</v>
      </c>
      <c r="W419" s="0" t="n">
        <f aca="false">IF(ISBLANK(RawFinancials!W419),"",RawFinancials!W419)</f>
        <v>20231231</v>
      </c>
      <c r="X419" s="0" t="n">
        <f aca="false">IF(ISBLANK(RawFinancials!X419),"",RawFinancials!X419)</f>
        <v>0.80297935806377</v>
      </c>
      <c r="Y419" s="0" t="n">
        <f aca="false">IF(ISBLANK(RawFinancials!Y419),"",RawFinancials!Y419)</f>
        <v>9.57</v>
      </c>
      <c r="Z419" s="0" t="str">
        <f aca="false">IF(ISBLANK(RawFinancials!Z419),"",RawFinancials!Z419)</f>
        <v>ME</v>
      </c>
      <c r="AA419" s="0" t="n">
        <f aca="false">RawFinancials!AA419</f>
        <v>1</v>
      </c>
      <c r="AB419" s="0" t="n">
        <f aca="false">RawFinancials!AB419</f>
        <v>5448</v>
      </c>
      <c r="AC419" s="0" t="n">
        <f aca="false">RawFinancials!AC419</f>
        <v>0.0955728441201299</v>
      </c>
      <c r="AD419" s="0" t="n">
        <f aca="false">IF(L419&gt;0,100*N419/L419,"")</f>
        <v>90.4913185477413</v>
      </c>
      <c r="AE419" s="0" t="n">
        <f aca="false">IF(B419&gt;0,100*F419/B419,"")</f>
        <v>8.92353540931772</v>
      </c>
      <c r="AF419" s="0" t="str">
        <f aca="false">RawFinancials!AE419</f>
        <v/>
      </c>
    </row>
    <row r="420" customFormat="false" ht="15" hidden="false" customHeight="false" outlineLevel="0" collapsed="false">
      <c r="A420" s="0" t="n">
        <f aca="false">IF(ISBLANK(RawFinancials!A420),"",RawFinancials!A420)</f>
        <v>420</v>
      </c>
      <c r="B420" s="0" t="n">
        <f aca="false">IF(ISBLANK(RawFinancials!B420),"",RawFinancials!B420)</f>
        <v>2911223</v>
      </c>
      <c r="C420" s="0" t="n">
        <f aca="false">IF(ISBLANK(RawFinancials!C420),"",RawFinancials!C420)</f>
        <v>4256</v>
      </c>
      <c r="D420" s="0" t="n">
        <f aca="false">IF(ISBLANK(RawFinancials!D420),"",RawFinancials!D420)</f>
        <v>2600329</v>
      </c>
      <c r="E420" s="0" t="n">
        <f aca="false">IF(ISBLANK(RawFinancials!E420),"",RawFinancials!E420)</f>
        <v>0.04</v>
      </c>
      <c r="F420" s="0" t="n">
        <f aca="false">IF(ISBLANK(RawFinancials!F420),"",RawFinancials!F420)</f>
        <v>214531</v>
      </c>
      <c r="G420" s="0" t="n">
        <f aca="false">IF(ISBLANK(RawFinancials!G420),"",RawFinancials!G420)</f>
        <v>7.3691022638939</v>
      </c>
      <c r="H420" s="0" t="str">
        <f aca="false">IF(ISBLANK(RawFinancials!H420),"",RawFinancials!H420)</f>
        <v>4256_20231231</v>
      </c>
      <c r="I420" s="0" t="n">
        <f aca="false">IF(ISBLANK(RawFinancials!I420),"",RawFinancials!I420)</f>
        <v>1.12845828085509</v>
      </c>
      <c r="J420" s="0" t="n">
        <f aca="false">IF(ISBLANK(RawFinancials!J420),"",RawFinancials!J420)</f>
        <v>314127</v>
      </c>
      <c r="K420" s="0" t="n">
        <f aca="false">IF(ISBLANK(RawFinancials!K420),"",RawFinancials!K420)</f>
        <v>19401</v>
      </c>
      <c r="L420" s="0" t="n">
        <f aca="false">IF(ISBLANK(RawFinancials!L420),"",RawFinancials!L420)</f>
        <v>2129454</v>
      </c>
      <c r="M420" s="0" t="n">
        <f aca="false">IF(ISBLANK(RawFinancials!M420),"",RawFinancials!M420)</f>
        <v>2105424</v>
      </c>
      <c r="N420" s="0" t="n">
        <f aca="false">IF(ISBLANK(RawFinancials!N420),"",RawFinancials!N420)</f>
        <v>1701843</v>
      </c>
      <c r="O420" s="0" t="n">
        <f aca="false">IF(ISBLANK(RawFinancials!O420),"",RawFinancials!O420)</f>
        <v>2178</v>
      </c>
      <c r="P420" s="0" t="str">
        <f aca="false">IF(ISBLANK(RawFinancials!P420),"",RawFinancials!P420)</f>
        <v>FIRST NATIONAL BANK</v>
      </c>
      <c r="Q420" s="0" t="n">
        <f aca="false">IF(ISBLANK(RawFinancials!Q420),"",RawFinancials!Q420)</f>
        <v>0.122425748572169</v>
      </c>
      <c r="R420" s="0" t="n">
        <f aca="false">IF(ISBLANK(RawFinancials!R420),"",RawFinancials!R420)</f>
        <v>2.45271276205377</v>
      </c>
      <c r="S420" s="0" t="n">
        <f aca="false">IF(ISBLANK(RawFinancials!S420),"",RawFinancials!S420)</f>
        <v>233</v>
      </c>
      <c r="T420" s="0" t="n">
        <f aca="false">IF(ISBLANK(RawFinancials!T420),"",RawFinancials!T420)</f>
        <v>2617</v>
      </c>
      <c r="U420" s="0" t="n">
        <f aca="false">IF(ISBLANK(RawFinancials!U420),"",RawFinancials!U420)</f>
        <v>429</v>
      </c>
      <c r="V420" s="0" t="n">
        <f aca="false">IF(ISBLANK(RawFinancials!V420),"",RawFinancials!V420)</f>
        <v>13.6193252605501</v>
      </c>
      <c r="W420" s="0" t="n">
        <f aca="false">IF(ISBLANK(RawFinancials!W420),"",RawFinancials!W420)</f>
        <v>20231231</v>
      </c>
      <c r="X420" s="0" t="n">
        <f aca="false">IF(ISBLANK(RawFinancials!X420),"",RawFinancials!X420)</f>
        <v>1.07604648622624</v>
      </c>
      <c r="Y420" s="0" t="n">
        <f aca="false">IF(ISBLANK(RawFinancials!Y420),"",RawFinancials!Y420)</f>
        <v>14.98</v>
      </c>
      <c r="Z420" s="0" t="str">
        <f aca="false">IF(ISBLANK(RawFinancials!Z420),"",RawFinancials!Z420)</f>
        <v>ME</v>
      </c>
      <c r="AA420" s="0" t="n">
        <f aca="false">RawFinancials!AA420</f>
        <v>1</v>
      </c>
      <c r="AB420" s="0" t="n">
        <f aca="false">RawFinancials!AB420</f>
        <v>2607</v>
      </c>
      <c r="AC420" s="0" t="n">
        <f aca="false">RawFinancials!AC420</f>
        <v>0.0895499932502594</v>
      </c>
      <c r="AD420" s="0" t="n">
        <f aca="false">IF(L420&gt;0,100*N420/L420,"")</f>
        <v>79.9192187293081</v>
      </c>
      <c r="AE420" s="0" t="n">
        <f aca="false">IF(B420&gt;0,100*F420/B420,"")</f>
        <v>7.3691022638939</v>
      </c>
      <c r="AF420" s="0" t="str">
        <f aca="false">RawFinancials!AE420</f>
        <v/>
      </c>
    </row>
    <row r="421" customFormat="false" ht="15" hidden="false" customHeight="false" outlineLevel="0" collapsed="false">
      <c r="A421" s="0" t="n">
        <f aca="false">IF(ISBLANK(RawFinancials!A421),"",RawFinancials!A421)</f>
        <v>421</v>
      </c>
      <c r="B421" s="0" t="n">
        <f aca="false">IF(ISBLANK(RawFinancials!B421),"",RawFinancials!B421)</f>
        <v>693138</v>
      </c>
      <c r="C421" s="0" t="n">
        <f aca="false">IF(ISBLANK(RawFinancials!C421),"",RawFinancials!C421)</f>
        <v>59086</v>
      </c>
      <c r="D421" s="0" t="n">
        <f aca="false">IF(ISBLANK(RawFinancials!D421),"",RawFinancials!D421)</f>
        <v>600781</v>
      </c>
      <c r="E421" s="0" t="n">
        <f aca="false">IF(ISBLANK(RawFinancials!E421),"",RawFinancials!E421)</f>
        <v>0.11</v>
      </c>
      <c r="F421" s="0" t="n">
        <f aca="false">IF(ISBLANK(RawFinancials!F421),"",RawFinancials!F421)</f>
        <v>88263</v>
      </c>
      <c r="G421" s="0" t="n">
        <f aca="false">IF(ISBLANK(RawFinancials!G421),"",RawFinancials!G421)</f>
        <v>12.7338278957437</v>
      </c>
      <c r="H421" s="0" t="str">
        <f aca="false">IF(ISBLANK(RawFinancials!H421),"",RawFinancials!H421)</f>
        <v>59086_20231231</v>
      </c>
      <c r="I421" s="0" t="n">
        <f aca="false">IF(ISBLANK(RawFinancials!I421),"",RawFinancials!I421)</f>
        <v>1.14039111745417</v>
      </c>
      <c r="J421" s="0" t="n">
        <f aca="false">IF(ISBLANK(RawFinancials!J421),"",RawFinancials!J421)</f>
        <v>115313</v>
      </c>
      <c r="K421" s="0" t="n">
        <f aca="false">IF(ISBLANK(RawFinancials!K421),"",RawFinancials!K421)</f>
        <v>0</v>
      </c>
      <c r="L421" s="0" t="n">
        <f aca="false">IF(ISBLANK(RawFinancials!L421),"",RawFinancials!L421)</f>
        <v>588570</v>
      </c>
      <c r="M421" s="0" t="n">
        <f aca="false">IF(ISBLANK(RawFinancials!M421),"",RawFinancials!M421)</f>
        <v>581858</v>
      </c>
      <c r="N421" s="0" t="n">
        <f aca="false">IF(ISBLANK(RawFinancials!N421),"",RawFinancials!N421)</f>
        <v>473617</v>
      </c>
      <c r="O421" s="0" t="n">
        <f aca="false">IF(ISBLANK(RawFinancials!O421),"",RawFinancials!O421)</f>
        <v>4555</v>
      </c>
      <c r="P421" s="0" t="str">
        <f aca="false">IF(ISBLANK(RawFinancials!P421),"",RawFinancials!P421)</f>
        <v>PRIMARY BANK</v>
      </c>
      <c r="Q421" s="0" t="n">
        <f aca="false">IF(ISBLANK(RawFinancials!Q421),"",RawFinancials!Q421)</f>
        <v>0.638156888730313</v>
      </c>
      <c r="R421" s="0" t="n">
        <f aca="false">IF(ISBLANK(RawFinancials!R421),"",RawFinancials!R421)</f>
        <v>4.0764259406766</v>
      </c>
      <c r="S421" s="0" t="n">
        <f aca="false">IF(ISBLANK(RawFinancials!S421),"",RawFinancials!S421)</f>
        <v>540</v>
      </c>
      <c r="T421" s="0" t="n">
        <f aca="false">IF(ISBLANK(RawFinancials!T421),"",RawFinancials!T421)</f>
        <v>0</v>
      </c>
      <c r="U421" s="0" t="n">
        <f aca="false">IF(ISBLANK(RawFinancials!U421),"",RawFinancials!U421)</f>
        <v>1112</v>
      </c>
      <c r="V421" s="0" t="n">
        <f aca="false">IF(ISBLANK(RawFinancials!V421),"",RawFinancials!V421)</f>
        <v>15.2351344587961</v>
      </c>
      <c r="W421" s="0" t="n">
        <f aca="false">IF(ISBLANK(RawFinancials!W421),"",RawFinancials!W421)</f>
        <v>20231231</v>
      </c>
      <c r="X421" s="0" t="n">
        <f aca="false">IF(ISBLANK(RawFinancials!X421),"",RawFinancials!X421)</f>
        <v>1.45617949519887</v>
      </c>
      <c r="Y421" s="0" t="n">
        <f aca="false">IF(ISBLANK(RawFinancials!Y421),"",RawFinancials!Y421)</f>
        <v>12.03</v>
      </c>
      <c r="Z421" s="0" t="str">
        <f aca="false">IF(ISBLANK(RawFinancials!Z421),"",RawFinancials!Z421)</f>
        <v>NH</v>
      </c>
      <c r="AA421" s="0" t="n">
        <f aca="false">RawFinancials!AA421</f>
        <v>1</v>
      </c>
      <c r="AB421" s="0" t="n">
        <f aca="false">RawFinancials!AB421</f>
        <v>5667</v>
      </c>
      <c r="AC421" s="0" t="n">
        <f aca="false">RawFinancials!AC421</f>
        <v>0.817586108393999</v>
      </c>
      <c r="AD421" s="0" t="n">
        <f aca="false">IF(L421&gt;0,100*N421/L421,"")</f>
        <v>80.4691030803473</v>
      </c>
      <c r="AE421" s="0" t="n">
        <f aca="false">IF(B421&gt;0,100*F421/B421,"")</f>
        <v>12.7338278957437</v>
      </c>
      <c r="AF421" s="0" t="str">
        <f aca="false">RawFinancials!AE421</f>
        <v/>
      </c>
    </row>
    <row r="422" customFormat="false" ht="15" hidden="false" customHeight="false" outlineLevel="0" collapsed="false">
      <c r="A422" s="0" t="n">
        <f aca="false">IF(ISBLANK(RawFinancials!A422),"",RawFinancials!A422)</f>
        <v>422</v>
      </c>
      <c r="B422" s="0" t="n">
        <f aca="false">IF(ISBLANK(RawFinancials!B422),"",RawFinancials!B422)</f>
        <v>238058</v>
      </c>
      <c r="C422" s="0" t="n">
        <f aca="false">IF(ISBLANK(RawFinancials!C422),"",RawFinancials!C422)</f>
        <v>59176</v>
      </c>
      <c r="D422" s="0" t="n">
        <f aca="false">IF(ISBLANK(RawFinancials!D422),"",RawFinancials!D422)</f>
        <v>197828</v>
      </c>
      <c r="E422" s="0" t="n">
        <f aca="false">IF(ISBLANK(RawFinancials!E422),"",RawFinancials!E422)</f>
        <v>0.2</v>
      </c>
      <c r="F422" s="0" t="n">
        <f aca="false">IF(ISBLANK(RawFinancials!F422),"",RawFinancials!F422)</f>
        <v>23051</v>
      </c>
      <c r="G422" s="0" t="n">
        <f aca="false">IF(ISBLANK(RawFinancials!G422),"",RawFinancials!G422)</f>
        <v>9.68293441094187</v>
      </c>
      <c r="H422" s="0" t="str">
        <f aca="false">IF(ISBLANK(RawFinancials!H422),"",RawFinancials!H422)</f>
        <v>59176_20231231</v>
      </c>
      <c r="I422" s="0" t="n">
        <f aca="false">IF(ISBLANK(RawFinancials!I422),"",RawFinancials!I422)</f>
        <v>0.981727498239865</v>
      </c>
      <c r="J422" s="0" t="n">
        <f aca="false">IF(ISBLANK(RawFinancials!J422),"",RawFinancials!J422)</f>
        <v>23200</v>
      </c>
      <c r="K422" s="0" t="n">
        <f aca="false">IF(ISBLANK(RawFinancials!K422),"",RawFinancials!K422)</f>
        <v>4</v>
      </c>
      <c r="L422" s="0" t="n">
        <f aca="false">IF(ISBLANK(RawFinancials!L422),"",RawFinancials!L422)</f>
        <v>151977</v>
      </c>
      <c r="M422" s="0" t="n">
        <f aca="false">IF(ISBLANK(RawFinancials!M422),"",RawFinancials!M422)</f>
        <v>150485</v>
      </c>
      <c r="N422" s="0" t="n">
        <f aca="false">IF(ISBLANK(RawFinancials!N422),"",RawFinancials!N422)</f>
        <v>128774</v>
      </c>
      <c r="O422" s="0" t="n">
        <f aca="false">IF(ISBLANK(RawFinancials!O422),"",RawFinancials!O422)</f>
        <v>0</v>
      </c>
      <c r="P422" s="0" t="str">
        <f aca="false">IF(ISBLANK(RawFinancials!P422),"",RawFinancials!P422)</f>
        <v>THE MILLYARD BANK</v>
      </c>
      <c r="Q422" s="0" t="n">
        <f aca="false">IF(ISBLANK(RawFinancials!Q422),"",RawFinancials!Q422)</f>
        <v>0</v>
      </c>
      <c r="R422" s="0" t="n">
        <f aca="false">IF(ISBLANK(RawFinancials!R422),"",RawFinancials!R422)</f>
        <v>2.3031848814327</v>
      </c>
      <c r="S422" s="0" t="n">
        <f aca="false">IF(ISBLANK(RawFinancials!S422),"",RawFinancials!S422)</f>
        <v>66</v>
      </c>
      <c r="T422" s="0" t="n">
        <f aca="false">IF(ISBLANK(RawFinancials!T422),"",RawFinancials!T422)</f>
        <v>0</v>
      </c>
      <c r="U422" s="0" t="n">
        <f aca="false">IF(ISBLANK(RawFinancials!U422),"",RawFinancials!U422)</f>
        <v>0</v>
      </c>
      <c r="V422" s="0" t="n">
        <f aca="false">IF(ISBLANK(RawFinancials!V422),"",RawFinancials!V422)</f>
        <v>16.0544884234369</v>
      </c>
      <c r="W422" s="0" t="n">
        <f aca="false">IF(ISBLANK(RawFinancials!W422),"",RawFinancials!W422)</f>
        <v>20231231</v>
      </c>
      <c r="X422" s="0" t="n">
        <f aca="false">IF(ISBLANK(RawFinancials!X422),"",RawFinancials!X422)</f>
        <v>-0.191603674122027</v>
      </c>
      <c r="Y422" s="0" t="n">
        <f aca="false">IF(ISBLANK(RawFinancials!Y422),"",RawFinancials!Y422)</f>
        <v>-1.7</v>
      </c>
      <c r="Z422" s="0" t="str">
        <f aca="false">IF(ISBLANK(RawFinancials!Z422),"",RawFinancials!Z422)</f>
        <v>NH</v>
      </c>
      <c r="AA422" s="0" t="n">
        <f aca="false">RawFinancials!AA422</f>
        <v>1</v>
      </c>
      <c r="AB422" s="0" t="n">
        <f aca="false">RawFinancials!AB422</f>
        <v>0</v>
      </c>
      <c r="AC422" s="0" t="n">
        <f aca="false">RawFinancials!AC422</f>
        <v>0</v>
      </c>
      <c r="AD422" s="0" t="n">
        <f aca="false">IF(L422&gt;0,100*N422/L422,"")</f>
        <v>84.7325582160459</v>
      </c>
      <c r="AE422" s="0" t="n">
        <f aca="false">IF(B422&gt;0,100*F422/B422,"")</f>
        <v>9.68293441094187</v>
      </c>
      <c r="AF422" s="0" t="str">
        <f aca="false">RawFinancials!AE422</f>
        <v/>
      </c>
    </row>
    <row r="423" customFormat="false" ht="15" hidden="false" customHeight="false" outlineLevel="0" collapsed="false">
      <c r="A423" s="0" t="n">
        <f aca="false">IF(ISBLANK(RawFinancials!A423),"",RawFinancials!A423)</f>
        <v>423</v>
      </c>
      <c r="B423" s="0" t="n">
        <f aca="false">IF(ISBLANK(RawFinancials!B423),"",RawFinancials!B423)</f>
        <v>75597</v>
      </c>
      <c r="C423" s="0" t="n">
        <f aca="false">IF(ISBLANK(RawFinancials!C423),"",RawFinancials!C423)</f>
        <v>59289</v>
      </c>
      <c r="D423" s="0" t="n">
        <f aca="false">IF(ISBLANK(RawFinancials!D423),"",RawFinancials!D423)</f>
        <v>55515</v>
      </c>
      <c r="E423" s="0" t="n">
        <f aca="false">IF(ISBLANK(RawFinancials!E423),"",RawFinancials!E423)</f>
        <v>0.81</v>
      </c>
      <c r="F423" s="0" t="n">
        <f aca="false">IF(ISBLANK(RawFinancials!F423),"",RawFinancials!F423)</f>
        <v>19214</v>
      </c>
      <c r="G423" s="0" t="n">
        <f aca="false">IF(ISBLANK(RawFinancials!G423),"",RawFinancials!G423)</f>
        <v>25.4163525007606</v>
      </c>
      <c r="H423" s="0" t="str">
        <f aca="false">IF(ISBLANK(RawFinancials!H423),"",RawFinancials!H423)</f>
        <v>59289_20231231</v>
      </c>
      <c r="I423" s="0" t="n">
        <f aca="false">IF(ISBLANK(RawFinancials!I423),"",RawFinancials!I423)</f>
        <v>1.35699069075204</v>
      </c>
      <c r="J423" s="0" t="n">
        <f aca="false">IF(ISBLANK(RawFinancials!J423),"",RawFinancials!J423)</f>
        <v>19039</v>
      </c>
      <c r="K423" s="0" t="n">
        <f aca="false">IF(ISBLANK(RawFinancials!K423),"",RawFinancials!K423)</f>
        <v>0</v>
      </c>
      <c r="L423" s="0" t="n">
        <f aca="false">IF(ISBLANK(RawFinancials!L423),"",RawFinancials!L423)</f>
        <v>34267</v>
      </c>
      <c r="M423" s="0" t="n">
        <f aca="false">IF(ISBLANK(RawFinancials!M423),"",RawFinancials!M423)</f>
        <v>33802</v>
      </c>
      <c r="N423" s="0" t="n">
        <f aca="false">IF(ISBLANK(RawFinancials!N423),"",RawFinancials!N423)</f>
        <v>13703</v>
      </c>
      <c r="O423" s="0" t="n">
        <f aca="false">IF(ISBLANK(RawFinancials!O423),"",RawFinancials!O423)</f>
        <v>0</v>
      </c>
      <c r="P423" s="0" t="str">
        <f aca="false">IF(ISBLANK(RawFinancials!P423),"",RawFinancials!P423)</f>
        <v>WALDEN MUTUAL BANK</v>
      </c>
      <c r="Q423" s="0" t="n">
        <f aca="false">IF(ISBLANK(RawFinancials!Q423),"",RawFinancials!Q423)</f>
        <v>0</v>
      </c>
      <c r="R423" s="0" t="n">
        <f aca="false">IF(ISBLANK(RawFinancials!R423),"",RawFinancials!R423)</f>
        <v>4.5859950609221</v>
      </c>
      <c r="S423" s="0" t="n">
        <f aca="false">IF(ISBLANK(RawFinancials!S423),"",RawFinancials!S423)</f>
        <v>0</v>
      </c>
      <c r="T423" s="0" t="n">
        <f aca="false">IF(ISBLANK(RawFinancials!T423),"",RawFinancials!T423)</f>
        <v>0</v>
      </c>
      <c r="U423" s="0" t="n">
        <f aca="false">IF(ISBLANK(RawFinancials!U423),"",RawFinancials!U423)</f>
        <v>0</v>
      </c>
      <c r="V423" s="0" t="n">
        <f aca="false">IF(ISBLANK(RawFinancials!V423),"",RawFinancials!V423)</f>
        <v>0</v>
      </c>
      <c r="W423" s="0" t="n">
        <f aca="false">IF(ISBLANK(RawFinancials!W423),"",RawFinancials!W423)</f>
        <v>20231231</v>
      </c>
      <c r="X423" s="0" t="n">
        <f aca="false">IF(ISBLANK(RawFinancials!X423),"",RawFinancials!X423)</f>
        <v>-4.45568212086552</v>
      </c>
      <c r="Y423" s="0" t="n">
        <f aca="false">IF(ISBLANK(RawFinancials!Y423),"",RawFinancials!Y423)</f>
        <v>-11.2</v>
      </c>
      <c r="Z423" s="0" t="str">
        <f aca="false">IF(ISBLANK(RawFinancials!Z423),"",RawFinancials!Z423)</f>
        <v>NH</v>
      </c>
      <c r="AA423" s="0" t="n">
        <f aca="false">RawFinancials!AA423</f>
        <v>1</v>
      </c>
      <c r="AB423" s="0" t="n">
        <f aca="false">RawFinancials!AB423</f>
        <v>0</v>
      </c>
      <c r="AC423" s="0" t="n">
        <f aca="false">RawFinancials!AC423</f>
        <v>0</v>
      </c>
      <c r="AD423" s="0" t="n">
        <f aca="false">IF(L423&gt;0,100*N423/L423,"")</f>
        <v>39.98891061371</v>
      </c>
      <c r="AE423" s="0" t="n">
        <f aca="false">IF(B423&gt;0,100*F423/B423,"")</f>
        <v>25.4163525007606</v>
      </c>
      <c r="AF423" s="0" t="str">
        <f aca="false">RawFinancials!AE423</f>
        <v>原始0：需核实适用/报告口径</v>
      </c>
    </row>
    <row r="424" customFormat="false" ht="15" hidden="false" customHeight="false" outlineLevel="0" collapsed="false">
      <c r="A424" s="0" t="n">
        <f aca="false">IF(ISBLANK(RawFinancials!A424),"",RawFinancials!A424)</f>
        <v>424</v>
      </c>
      <c r="B424" s="0" t="n">
        <f aca="false">IF(ISBLANK(RawFinancials!B424),"",RawFinancials!B424)</f>
        <v>159178</v>
      </c>
      <c r="C424" s="0" t="n">
        <f aca="false">IF(ISBLANK(RawFinancials!C424),"",RawFinancials!C424)</f>
        <v>59298</v>
      </c>
      <c r="D424" s="0" t="n">
        <f aca="false">IF(ISBLANK(RawFinancials!D424),"",RawFinancials!D424)</f>
        <v>130214</v>
      </c>
      <c r="E424" s="0" t="n">
        <f aca="false">IF(ISBLANK(RawFinancials!E424),"",RawFinancials!E424)</f>
        <v>0.31</v>
      </c>
      <c r="F424" s="0" t="n">
        <f aca="false">IF(ISBLANK(RawFinancials!F424),"",RawFinancials!F424)</f>
        <v>27360</v>
      </c>
      <c r="G424" s="0" t="n">
        <f aca="false">IF(ISBLANK(RawFinancials!G424),"",RawFinancials!G424)</f>
        <v>17.1883049165086</v>
      </c>
      <c r="H424" s="0" t="str">
        <f aca="false">IF(ISBLANK(RawFinancials!H424),"",RawFinancials!H424)</f>
        <v>59298_20231231</v>
      </c>
      <c r="I424" s="0" t="n">
        <f aca="false">IF(ISBLANK(RawFinancials!I424),"",RawFinancials!I424)</f>
        <v>0.790432154573399</v>
      </c>
      <c r="J424" s="0" t="n">
        <f aca="false">IF(ISBLANK(RawFinancials!J424),"",RawFinancials!J424)</f>
        <v>19027</v>
      </c>
      <c r="K424" s="0" t="n">
        <f aca="false">IF(ISBLANK(RawFinancials!K424),"",RawFinancials!K424)</f>
        <v>0</v>
      </c>
      <c r="L424" s="0" t="n">
        <f aca="false">IF(ISBLANK(RawFinancials!L424),"",RawFinancials!L424)</f>
        <v>77426</v>
      </c>
      <c r="M424" s="0" t="n">
        <f aca="false">IF(ISBLANK(RawFinancials!M424),"",RawFinancials!M424)</f>
        <v>76814</v>
      </c>
      <c r="N424" s="0" t="n">
        <f aca="false">IF(ISBLANK(RawFinancials!N424),"",RawFinancials!N424)</f>
        <v>58407</v>
      </c>
      <c r="O424" s="0" t="n">
        <f aca="false">IF(ISBLANK(RawFinancials!O424),"",RawFinancials!O424)</f>
        <v>0</v>
      </c>
      <c r="P424" s="0" t="str">
        <f aca="false">IF(ISBLANK(RawFinancials!P424),"",RawFinancials!P424)</f>
        <v>BANK OF BURLINGTON</v>
      </c>
      <c r="Q424" s="0" t="n">
        <f aca="false">IF(ISBLANK(RawFinancials!Q424),"",RawFinancials!Q424)</f>
        <v>0</v>
      </c>
      <c r="R424" s="0" t="n">
        <f aca="false">IF(ISBLANK(RawFinancials!R424),"",RawFinancials!R424)</f>
        <v>2.77710579481781</v>
      </c>
      <c r="S424" s="0" t="n">
        <f aca="false">IF(ISBLANK(RawFinancials!S424),"",RawFinancials!S424)</f>
        <v>0</v>
      </c>
      <c r="T424" s="0" t="n">
        <f aca="false">IF(ISBLANK(RawFinancials!T424),"",RawFinancials!T424)</f>
        <v>0</v>
      </c>
      <c r="U424" s="0" t="n">
        <f aca="false">IF(ISBLANK(RawFinancials!U424),"",RawFinancials!U424)</f>
        <v>0</v>
      </c>
      <c r="V424" s="0" t="n">
        <f aca="false">IF(ISBLANK(RawFinancials!V424),"",RawFinancials!V424)</f>
        <v>0</v>
      </c>
      <c r="W424" s="0" t="n">
        <f aca="false">IF(ISBLANK(RawFinancials!W424),"",RawFinancials!W424)</f>
        <v>20231231</v>
      </c>
      <c r="X424" s="0" t="n">
        <f aca="false">IF(ISBLANK(RawFinancials!X424),"",RawFinancials!X424)</f>
        <v>-2.10600972672534</v>
      </c>
      <c r="Y424" s="0" t="n">
        <f aca="false">IF(ISBLANK(RawFinancials!Y424),"",RawFinancials!Y424)</f>
        <v>-9.28</v>
      </c>
      <c r="Z424" s="0" t="str">
        <f aca="false">IF(ISBLANK(RawFinancials!Z424),"",RawFinancials!Z424)</f>
        <v>VT</v>
      </c>
      <c r="AA424" s="0" t="n">
        <f aca="false">RawFinancials!AA424</f>
        <v>1</v>
      </c>
      <c r="AB424" s="0" t="n">
        <f aca="false">RawFinancials!AB424</f>
        <v>0</v>
      </c>
      <c r="AC424" s="0" t="n">
        <f aca="false">RawFinancials!AC424</f>
        <v>0</v>
      </c>
      <c r="AD424" s="0" t="n">
        <f aca="false">IF(L424&gt;0,100*N424/L424,"")</f>
        <v>75.4359000852427</v>
      </c>
      <c r="AE424" s="0" t="n">
        <f aca="false">IF(B424&gt;0,100*F424/B424,"")</f>
        <v>17.1883049165086</v>
      </c>
      <c r="AF424" s="0" t="str">
        <f aca="false">RawFinancials!AE424</f>
        <v>原始0：需核实适用/报告口径</v>
      </c>
    </row>
    <row r="425" customFormat="false" ht="15" hidden="false" customHeight="false" outlineLevel="0" collapsed="false">
      <c r="A425" s="0" t="n">
        <f aca="false">IF(ISBLANK(RawFinancials!A425),"",RawFinancials!A425)</f>
        <v>425</v>
      </c>
      <c r="B425" s="0" t="n">
        <f aca="false">IF(ISBLANK(RawFinancials!B425),"",RawFinancials!B425)</f>
        <v>1098634</v>
      </c>
      <c r="C425" s="0" t="n">
        <f aca="false">IF(ISBLANK(RawFinancials!C425),"",RawFinancials!C425)</f>
        <v>6271</v>
      </c>
      <c r="D425" s="0" t="n">
        <f aca="false">IF(ISBLANK(RawFinancials!D425),"",RawFinancials!D425)</f>
        <v>898049</v>
      </c>
      <c r="E425" s="0" t="n">
        <f aca="false">IF(ISBLANK(RawFinancials!E425),"",RawFinancials!E425)</f>
        <v>0.14</v>
      </c>
      <c r="F425" s="0" t="n">
        <f aca="false">IF(ISBLANK(RawFinancials!F425),"",RawFinancials!F425)</f>
        <v>101032</v>
      </c>
      <c r="G425" s="0" t="n">
        <f aca="false">IF(ISBLANK(RawFinancials!G425),"",RawFinancials!G425)</f>
        <v>9.19614721554221</v>
      </c>
      <c r="H425" s="0" t="str">
        <f aca="false">IF(ISBLANK(RawFinancials!H425),"",RawFinancials!H425)</f>
        <v>6271_20231231</v>
      </c>
      <c r="I425" s="0" t="n">
        <f aca="false">IF(ISBLANK(RawFinancials!I425),"",RawFinancials!I425)</f>
        <v>1.16347105152109</v>
      </c>
      <c r="J425" s="0" t="n">
        <f aca="false">IF(ISBLANK(RawFinancials!J425),"",RawFinancials!J425)</f>
        <v>122908</v>
      </c>
      <c r="K425" s="0" t="n">
        <f aca="false">IF(ISBLANK(RawFinancials!K425),"",RawFinancials!K425)</f>
        <v>7945</v>
      </c>
      <c r="L425" s="0" t="n">
        <f aca="false">IF(ISBLANK(RawFinancials!L425),"",RawFinancials!L425)</f>
        <v>846003</v>
      </c>
      <c r="M425" s="0" t="n">
        <f aca="false">IF(ISBLANK(RawFinancials!M425),"",RawFinancials!M425)</f>
        <v>836160</v>
      </c>
      <c r="N425" s="0" t="n">
        <f aca="false">IF(ISBLANK(RawFinancials!N425),"",RawFinancials!N425)</f>
        <v>655964</v>
      </c>
      <c r="O425" s="0" t="n">
        <f aca="false">IF(ISBLANK(RawFinancials!O425),"",RawFinancials!O425)</f>
        <v>6955</v>
      </c>
      <c r="P425" s="0" t="str">
        <f aca="false">IF(ISBLANK(RawFinancials!P425),"",RawFinancials!P425)</f>
        <v>COMMUNITY NATIONAL BANK</v>
      </c>
      <c r="Q425" s="0" t="n">
        <f aca="false">IF(ISBLANK(RawFinancials!Q425),"",RawFinancials!Q425)</f>
        <v>0.879429505569129</v>
      </c>
      <c r="R425" s="0" t="n">
        <f aca="false">IF(ISBLANK(RawFinancials!R425),"",RawFinancials!R425)</f>
        <v>3.53792271157194</v>
      </c>
      <c r="S425" s="0" t="n">
        <f aca="false">IF(ISBLANK(RawFinancials!S425),"",RawFinancials!S425)</f>
        <v>341</v>
      </c>
      <c r="T425" s="0" t="n">
        <f aca="false">IF(ISBLANK(RawFinancials!T425),"",RawFinancials!T425)</f>
        <v>2530</v>
      </c>
      <c r="U425" s="0" t="n">
        <f aca="false">IF(ISBLANK(RawFinancials!U425),"",RawFinancials!U425)</f>
        <v>485</v>
      </c>
      <c r="V425" s="0" t="n">
        <f aca="false">IF(ISBLANK(RawFinancials!V425),"",RawFinancials!V425)</f>
        <v>14.9041762421334</v>
      </c>
      <c r="W425" s="0" t="n">
        <f aca="false">IF(ISBLANK(RawFinancials!W425),"",RawFinancials!W425)</f>
        <v>20231231</v>
      </c>
      <c r="X425" s="0" t="n">
        <f aca="false">IF(ISBLANK(RawFinancials!X425),"",RawFinancials!X425)</f>
        <v>1.3825664132056</v>
      </c>
      <c r="Y425" s="0" t="n">
        <f aca="false">IF(ISBLANK(RawFinancials!Y425),"",RawFinancials!Y425)</f>
        <v>15.83</v>
      </c>
      <c r="Z425" s="0" t="str">
        <f aca="false">IF(ISBLANK(RawFinancials!Z425),"",RawFinancials!Z425)</f>
        <v>VT</v>
      </c>
      <c r="AA425" s="0" t="n">
        <f aca="false">RawFinancials!AA425</f>
        <v>1</v>
      </c>
      <c r="AB425" s="0" t="n">
        <f aca="false">RawFinancials!AB425</f>
        <v>7440</v>
      </c>
      <c r="AC425" s="0" t="n">
        <f aca="false">RawFinancials!AC425</f>
        <v>0.677204601350404</v>
      </c>
      <c r="AD425" s="0" t="n">
        <f aca="false">IF(L425&gt;0,100*N425/L425,"")</f>
        <v>77.536840885907</v>
      </c>
      <c r="AE425" s="0" t="n">
        <f aca="false">IF(B425&gt;0,100*F425/B425,"")</f>
        <v>9.19614721554221</v>
      </c>
      <c r="AF425" s="0" t="str">
        <f aca="false">RawFinancials!AE425</f>
        <v/>
      </c>
    </row>
    <row r="426" customFormat="false" ht="15" hidden="false" customHeight="false" outlineLevel="0" collapsed="false">
      <c r="A426" s="0" t="n">
        <f aca="false">IF(ISBLANK(RawFinancials!A426),"",RawFinancials!A426)</f>
        <v>426</v>
      </c>
      <c r="B426" s="0" t="n">
        <f aca="false">IF(ISBLANK(RawFinancials!B426),"",RawFinancials!B426)</f>
        <v>560588</v>
      </c>
      <c r="C426" s="0" t="n">
        <f aca="false">IF(ISBLANK(RawFinancials!C426),"",RawFinancials!C426)</f>
        <v>6275</v>
      </c>
      <c r="D426" s="0" t="n">
        <f aca="false">IF(ISBLANK(RawFinancials!D426),"",RawFinancials!D426)</f>
        <v>486814</v>
      </c>
      <c r="E426" s="0" t="n">
        <f aca="false">IF(ISBLANK(RawFinancials!E426),"",RawFinancials!E426)</f>
        <v>0.01</v>
      </c>
      <c r="F426" s="0" t="n">
        <f aca="false">IF(ISBLANK(RawFinancials!F426),"",RawFinancials!F426)</f>
        <v>30793</v>
      </c>
      <c r="G426" s="0" t="n">
        <f aca="false">IF(ISBLANK(RawFinancials!G426),"",RawFinancials!G426)</f>
        <v>5.49298236851306</v>
      </c>
      <c r="H426" s="0" t="str">
        <f aca="false">IF(ISBLANK(RawFinancials!H426),"",RawFinancials!H426)</f>
        <v>6275_20231231</v>
      </c>
      <c r="I426" s="0" t="n">
        <f aca="false">IF(ISBLANK(RawFinancials!I426),"",RawFinancials!I426)</f>
        <v>0.408028820188376</v>
      </c>
      <c r="J426" s="0" t="n">
        <f aca="false">IF(ISBLANK(RawFinancials!J426),"",RawFinancials!J426)</f>
        <v>35545</v>
      </c>
      <c r="K426" s="0" t="n">
        <f aca="false">IF(ISBLANK(RawFinancials!K426),"",RawFinancials!K426)</f>
        <v>12925</v>
      </c>
      <c r="L426" s="0" t="n">
        <f aca="false">IF(ISBLANK(RawFinancials!L426),"",RawFinancials!L426)</f>
        <v>336986</v>
      </c>
      <c r="M426" s="0" t="n">
        <f aca="false">IF(ISBLANK(RawFinancials!M426),"",RawFinancials!M426)</f>
        <v>335611</v>
      </c>
      <c r="N426" s="0" t="n">
        <f aca="false">IF(ISBLANK(RawFinancials!N426),"",RawFinancials!N426)</f>
        <v>278886</v>
      </c>
      <c r="O426" s="0" t="n">
        <f aca="false">IF(ISBLANK(RawFinancials!O426),"",RawFinancials!O426)</f>
        <v>1221</v>
      </c>
      <c r="P426" s="0" t="str">
        <f aca="false">IF(ISBLANK(RawFinancials!P426),"",RawFinancials!P426)</f>
        <v>THE NATIONAL BANK OF MIDDLEBURY</v>
      </c>
      <c r="Q426" s="0" t="n">
        <f aca="false">IF(ISBLANK(RawFinancials!Q426),"",RawFinancials!Q426)</f>
        <v>0.393191408545162</v>
      </c>
      <c r="R426" s="0" t="n">
        <f aca="false">IF(ISBLANK(RawFinancials!R426),"",RawFinancials!R426)</f>
        <v>2.86365448541739</v>
      </c>
      <c r="S426" s="0" t="n">
        <f aca="false">IF(ISBLANK(RawFinancials!S426),"",RawFinancials!S426)</f>
        <v>8</v>
      </c>
      <c r="T426" s="0" t="n">
        <f aca="false">IF(ISBLANK(RawFinancials!T426),"",RawFinancials!T426)</f>
        <v>326</v>
      </c>
      <c r="U426" s="0" t="n">
        <f aca="false">IF(ISBLANK(RawFinancials!U426),"",RawFinancials!U426)</f>
        <v>104</v>
      </c>
      <c r="V426" s="0" t="n">
        <f aca="false">IF(ISBLANK(RawFinancials!V426),"",RawFinancials!V426)</f>
        <v>14.8417408506429</v>
      </c>
      <c r="W426" s="0" t="n">
        <f aca="false">IF(ISBLANK(RawFinancials!W426),"",RawFinancials!W426)</f>
        <v>20231231</v>
      </c>
      <c r="X426" s="0" t="n">
        <f aca="false">IF(ISBLANK(RawFinancials!X426),"",RawFinancials!X426)</f>
        <v>0.433314521647085</v>
      </c>
      <c r="Y426" s="0" t="n">
        <f aca="false">IF(ISBLANK(RawFinancials!Y426),"",RawFinancials!Y426)</f>
        <v>8.83</v>
      </c>
      <c r="Z426" s="0" t="str">
        <f aca="false">IF(ISBLANK(RawFinancials!Z426),"",RawFinancials!Z426)</f>
        <v>VT</v>
      </c>
      <c r="AA426" s="0" t="n">
        <f aca="false">RawFinancials!AA426</f>
        <v>1</v>
      </c>
      <c r="AB426" s="0" t="n">
        <f aca="false">RawFinancials!AB426</f>
        <v>1325</v>
      </c>
      <c r="AC426" s="0" t="n">
        <f aca="false">RawFinancials!AC426</f>
        <v>0.236358965942903</v>
      </c>
      <c r="AD426" s="0" t="n">
        <f aca="false">IF(L426&gt;0,100*N426/L426,"")</f>
        <v>82.7589276705857</v>
      </c>
      <c r="AE426" s="0" t="n">
        <f aca="false">IF(B426&gt;0,100*F426/B426,"")</f>
        <v>5.49298236851306</v>
      </c>
      <c r="AF426" s="0" t="str">
        <f aca="false">RawFinancials!AE426</f>
        <v/>
      </c>
    </row>
    <row r="427" customFormat="false" ht="15" hidden="false" customHeight="false" outlineLevel="0" collapsed="false">
      <c r="A427" s="0" t="n">
        <f aca="false">IF(ISBLANK(RawFinancials!A427),"",RawFinancials!A427)</f>
        <v>427</v>
      </c>
      <c r="B427" s="0" t="n">
        <f aca="false">IF(ISBLANK(RawFinancials!B427),"",RawFinancials!B427)</f>
        <v>78840</v>
      </c>
      <c r="C427" s="0" t="n">
        <f aca="false">IF(ISBLANK(RawFinancials!C427),"",RawFinancials!C427)</f>
        <v>6280</v>
      </c>
      <c r="D427" s="0" t="n">
        <f aca="false">IF(ISBLANK(RawFinancials!D427),"",RawFinancials!D427)</f>
        <v>68883</v>
      </c>
      <c r="E427" s="0" t="n">
        <f aca="false">IF(ISBLANK(RawFinancials!E427),"",RawFinancials!E427)</f>
        <v>0.09</v>
      </c>
      <c r="F427" s="0" t="n">
        <f aca="false">IF(ISBLANK(RawFinancials!F427),"",RawFinancials!F427)</f>
        <v>9375</v>
      </c>
      <c r="G427" s="0" t="n">
        <f aca="false">IF(ISBLANK(RawFinancials!G427),"",RawFinancials!G427)</f>
        <v>11.8911719939117</v>
      </c>
      <c r="H427" s="0" t="str">
        <f aca="false">IF(ISBLANK(RawFinancials!H427),"",RawFinancials!H427)</f>
        <v>6280_20231231</v>
      </c>
      <c r="I427" s="0" t="n">
        <f aca="false">IF(ISBLANK(RawFinancials!I427),"",RawFinancials!I427)</f>
        <v>1.31923790453194</v>
      </c>
      <c r="J427" s="0" t="n">
        <f aca="false">IF(ISBLANK(RawFinancials!J427),"",RawFinancials!J427)</f>
        <v>3335</v>
      </c>
      <c r="K427" s="0" t="n">
        <f aca="false">IF(ISBLANK(RawFinancials!K427),"",RawFinancials!K427)</f>
        <v>2153</v>
      </c>
      <c r="L427" s="0" t="n">
        <f aca="false">IF(ISBLANK(RawFinancials!L427),"",RawFinancials!L427)</f>
        <v>67918</v>
      </c>
      <c r="M427" s="0" t="n">
        <f aca="false">IF(ISBLANK(RawFinancials!M427),"",RawFinancials!M427)</f>
        <v>67022</v>
      </c>
      <c r="N427" s="0" t="n">
        <f aca="false">IF(ISBLANK(RawFinancials!N427),"",RawFinancials!N427)</f>
        <v>59964</v>
      </c>
      <c r="O427" s="0" t="n">
        <f aca="false">IF(ISBLANK(RawFinancials!O427),"",RawFinancials!O427)</f>
        <v>956</v>
      </c>
      <c r="P427" s="0" t="str">
        <f aca="false">IF(ISBLANK(RawFinancials!P427),"",RawFinancials!P427)</f>
        <v>THE FIRST NATIONAL BANK OF ORWELL</v>
      </c>
      <c r="Q427" s="0" t="n">
        <f aca="false">IF(ISBLANK(RawFinancials!Q427),"",RawFinancials!Q427)</f>
        <v>1.40757972849613</v>
      </c>
      <c r="R427" s="0" t="n">
        <f aca="false">IF(ISBLANK(RawFinancials!R427),"",RawFinancials!R427)</f>
        <v>5.13228352094596</v>
      </c>
      <c r="S427" s="0" t="n">
        <f aca="false">IF(ISBLANK(RawFinancials!S427),"",RawFinancials!S427)</f>
        <v>9</v>
      </c>
      <c r="T427" s="0" t="n">
        <f aca="false">IF(ISBLANK(RawFinancials!T427),"",RawFinancials!T427)</f>
        <v>1133</v>
      </c>
      <c r="U427" s="0" t="n">
        <f aca="false">IF(ISBLANK(RawFinancials!U427),"",RawFinancials!U427)</f>
        <v>0</v>
      </c>
      <c r="V427" s="0" t="n">
        <f aca="false">IF(ISBLANK(RawFinancials!V427),"",RawFinancials!V427)</f>
        <v>0</v>
      </c>
      <c r="W427" s="0" t="n">
        <f aca="false">IF(ISBLANK(RawFinancials!W427),"",RawFinancials!W427)</f>
        <v>20231231</v>
      </c>
      <c r="X427" s="0" t="n">
        <f aca="false">IF(ISBLANK(RawFinancials!X427),"",RawFinancials!X427)</f>
        <v>1.84538132619786</v>
      </c>
      <c r="Y427" s="0" t="n">
        <f aca="false">IF(ISBLANK(RawFinancials!Y427),"",RawFinancials!Y427)</f>
        <v>16.73</v>
      </c>
      <c r="Z427" s="0" t="str">
        <f aca="false">IF(ISBLANK(RawFinancials!Z427),"",RawFinancials!Z427)</f>
        <v>VT</v>
      </c>
      <c r="AA427" s="0" t="n">
        <f aca="false">RawFinancials!AA427</f>
        <v>1</v>
      </c>
      <c r="AB427" s="0" t="n">
        <f aca="false">RawFinancials!AB427</f>
        <v>956</v>
      </c>
      <c r="AC427" s="0" t="n">
        <f aca="false">RawFinancials!AC427</f>
        <v>1.21258244545916</v>
      </c>
      <c r="AD427" s="0" t="n">
        <f aca="false">IF(L427&gt;0,100*N427/L427,"")</f>
        <v>88.2888188698136</v>
      </c>
      <c r="AE427" s="0" t="n">
        <f aca="false">IF(B427&gt;0,100*F427/B427,"")</f>
        <v>11.8911719939117</v>
      </c>
      <c r="AF427" s="0" t="str">
        <f aca="false">RawFinancials!AE427</f>
        <v>原始0：需核实适用/报告口径</v>
      </c>
    </row>
    <row r="428" customFormat="false" ht="15" hidden="false" customHeight="false" outlineLevel="0" collapsed="false">
      <c r="A428" s="0" t="n">
        <f aca="false">IF(ISBLANK(RawFinancials!A428),"",RawFinancials!A428)</f>
        <v>428</v>
      </c>
      <c r="B428" s="0" t="n">
        <f aca="false">IF(ISBLANK(RawFinancials!B428),"",RawFinancials!B428)</f>
        <v>3955727</v>
      </c>
      <c r="C428" s="0" t="n">
        <f aca="false">IF(ISBLANK(RawFinancials!C428),"",RawFinancials!C428)</f>
        <v>11971</v>
      </c>
      <c r="D428" s="0" t="n">
        <f aca="false">IF(ISBLANK(RawFinancials!D428),"",RawFinancials!D428)</f>
        <v>3137892</v>
      </c>
      <c r="E428" s="0" t="n">
        <f aca="false">IF(ISBLANK(RawFinancials!E428),"",RawFinancials!E428)</f>
        <v>0.01</v>
      </c>
      <c r="F428" s="0" t="n">
        <f aca="false">IF(ISBLANK(RawFinancials!F428),"",RawFinancials!F428)</f>
        <v>487592</v>
      </c>
      <c r="G428" s="0" t="n">
        <f aca="false">IF(ISBLANK(RawFinancials!G428),"",RawFinancials!G428)</f>
        <v>12.3262297929053</v>
      </c>
      <c r="H428" s="0" t="str">
        <f aca="false">IF(ISBLANK(RawFinancials!H428),"",RawFinancials!H428)</f>
        <v>11971_20240331</v>
      </c>
      <c r="I428" s="0" t="n">
        <f aca="false">IF(ISBLANK(RawFinancials!I428),"",RawFinancials!I428)</f>
        <v>0.940523927054749</v>
      </c>
      <c r="J428" s="0" t="n">
        <f aca="false">IF(ISBLANK(RawFinancials!J428),"",RawFinancials!J428)</f>
        <v>200453</v>
      </c>
      <c r="K428" s="0" t="n">
        <f aca="false">IF(ISBLANK(RawFinancials!K428),"",RawFinancials!K428)</f>
        <v>7629</v>
      </c>
      <c r="L428" s="0" t="n">
        <f aca="false">IF(ISBLANK(RawFinancials!L428),"",RawFinancials!L428)</f>
        <v>3014809</v>
      </c>
      <c r="M428" s="0" t="n">
        <f aca="false">IF(ISBLANK(RawFinancials!M428),"",RawFinancials!M428)</f>
        <v>2986454</v>
      </c>
      <c r="N428" s="0" t="n">
        <f aca="false">IF(ISBLANK(RawFinancials!N428),"",RawFinancials!N428)</f>
        <v>2661075</v>
      </c>
      <c r="O428" s="0" t="n">
        <f aca="false">IF(ISBLANK(RawFinancials!O428),"",RawFinancials!O428)</f>
        <v>6869</v>
      </c>
      <c r="P428" s="0" t="str">
        <f aca="false">IF(ISBLANK(RawFinancials!P428),"",RawFinancials!P428)</f>
        <v>BAR HARBOR BANK &amp; TRUST</v>
      </c>
      <c r="Q428" s="0" t="n">
        <f aca="false">IF(ISBLANK(RawFinancials!Q428),"",RawFinancials!Q428)</f>
        <v>0.227841962791009</v>
      </c>
      <c r="R428" s="0" t="n">
        <f aca="false">IF(ISBLANK(RawFinancials!R428),"",RawFinancials!R428)</f>
        <v>3.25579709921018</v>
      </c>
      <c r="S428" s="0" t="n">
        <f aca="false">IF(ISBLANK(RawFinancials!S428),"",RawFinancials!S428)</f>
        <v>76</v>
      </c>
      <c r="T428" s="0" t="n">
        <f aca="false">IF(ISBLANK(RawFinancials!T428),"",RawFinancials!T428)</f>
        <v>2796</v>
      </c>
      <c r="U428" s="0" t="n">
        <f aca="false">IF(ISBLANK(RawFinancials!U428),"",RawFinancials!U428)</f>
        <v>0</v>
      </c>
      <c r="V428" s="0" t="n">
        <f aca="false">IF(ISBLANK(RawFinancials!V428),"",RawFinancials!V428)</f>
        <v>14.0984467343394</v>
      </c>
      <c r="W428" s="0" t="n">
        <f aca="false">IF(ISBLANK(RawFinancials!W428),"",RawFinancials!W428)</f>
        <v>20240331</v>
      </c>
      <c r="X428" s="0" t="n">
        <f aca="false">IF(ISBLANK(RawFinancials!X428),"",RawFinancials!X428)</f>
        <v>1.1683674016711</v>
      </c>
      <c r="Y428" s="0" t="n">
        <f aca="false">IF(ISBLANK(RawFinancials!Y428),"",RawFinancials!Y428)</f>
        <v>9.53</v>
      </c>
      <c r="Z428" s="0" t="str">
        <f aca="false">IF(ISBLANK(RawFinancials!Z428),"",RawFinancials!Z428)</f>
        <v>ME</v>
      </c>
      <c r="AA428" s="0" t="n">
        <f aca="false">RawFinancials!AA428</f>
        <v>1</v>
      </c>
      <c r="AB428" s="0" t="n">
        <f aca="false">RawFinancials!AB428</f>
        <v>6869</v>
      </c>
      <c r="AC428" s="0" t="n">
        <f aca="false">RawFinancials!AC428</f>
        <v>0.173646968054166</v>
      </c>
      <c r="AD428" s="0" t="n">
        <f aca="false">IF(L428&gt;0,100*N428/L428,"")</f>
        <v>88.2667857234074</v>
      </c>
      <c r="AE428" s="0" t="n">
        <f aca="false">IF(B428&gt;0,100*F428/B428,"")</f>
        <v>12.3262297929053</v>
      </c>
      <c r="AF428" s="0" t="str">
        <f aca="false">RawFinancials!AE428</f>
        <v/>
      </c>
    </row>
    <row r="429" customFormat="false" ht="15" hidden="false" customHeight="false" outlineLevel="0" collapsed="false">
      <c r="A429" s="0" t="n">
        <f aca="false">IF(ISBLANK(RawFinancials!A429),"",RawFinancials!A429)</f>
        <v>429</v>
      </c>
      <c r="B429" s="0" t="n">
        <f aca="false">IF(ISBLANK(RawFinancials!B429),"",RawFinancials!B429)</f>
        <v>1024449</v>
      </c>
      <c r="C429" s="0" t="n">
        <f aca="false">IF(ISBLANK(RawFinancials!C429),"",RawFinancials!C429)</f>
        <v>12874</v>
      </c>
      <c r="D429" s="0" t="n">
        <f aca="false">IF(ISBLANK(RawFinancials!D429),"",RawFinancials!D429)</f>
        <v>876882</v>
      </c>
      <c r="E429" s="0" t="n">
        <f aca="false">IF(ISBLANK(RawFinancials!E429),"",RawFinancials!E429)</f>
        <v>-0.05</v>
      </c>
      <c r="F429" s="0" t="n">
        <f aca="false">IF(ISBLANK(RawFinancials!F429),"",RawFinancials!F429)</f>
        <v>106671</v>
      </c>
      <c r="G429" s="0" t="n">
        <f aca="false">IF(ISBLANK(RawFinancials!G429),"",RawFinancials!G429)</f>
        <v>10.4125241959336</v>
      </c>
      <c r="H429" s="0" t="str">
        <f aca="false">IF(ISBLANK(RawFinancials!H429),"",RawFinancials!H429)</f>
        <v>12874_20240331</v>
      </c>
      <c r="I429" s="0" t="n">
        <f aca="false">IF(ISBLANK(RawFinancials!I429),"",RawFinancials!I429)</f>
        <v>0.989606313425053</v>
      </c>
      <c r="J429" s="0" t="n">
        <f aca="false">IF(ISBLANK(RawFinancials!J429),"",RawFinancials!J429)</f>
        <v>149340</v>
      </c>
      <c r="K429" s="0" t="n">
        <f aca="false">IF(ISBLANK(RawFinancials!K429),"",RawFinancials!K429)</f>
        <v>5156</v>
      </c>
      <c r="L429" s="0" t="n">
        <f aca="false">IF(ISBLANK(RawFinancials!L429),"",RawFinancials!L429)</f>
        <v>797792</v>
      </c>
      <c r="M429" s="0" t="n">
        <f aca="false">IF(ISBLANK(RawFinancials!M429),"",RawFinancials!M429)</f>
        <v>789897</v>
      </c>
      <c r="N429" s="0" t="n">
        <f aca="false">IF(ISBLANK(RawFinancials!N429),"",RawFinancials!N429)</f>
        <v>629564</v>
      </c>
      <c r="O429" s="0" t="n">
        <f aca="false">IF(ISBLANK(RawFinancials!O429),"",RawFinancials!O429)</f>
        <v>1466</v>
      </c>
      <c r="P429" s="0" t="str">
        <f aca="false">IF(ISBLANK(RawFinancials!P429),"",RawFinancials!P429)</f>
        <v>KATAHDIN TRUST COMPANY</v>
      </c>
      <c r="Q429" s="0" t="n">
        <f aca="false">IF(ISBLANK(RawFinancials!Q429),"",RawFinancials!Q429)</f>
        <v>0.183757169788617</v>
      </c>
      <c r="R429" s="0" t="n">
        <f aca="false">IF(ISBLANK(RawFinancials!R429),"",RawFinancials!R429)</f>
        <v>3.63748180471991</v>
      </c>
      <c r="S429" s="0" t="n">
        <f aca="false">IF(ISBLANK(RawFinancials!S429),"",RawFinancials!S429)</f>
        <v>-40</v>
      </c>
      <c r="T429" s="0" t="n">
        <f aca="false">IF(ISBLANK(RawFinancials!T429),"",RawFinancials!T429)</f>
        <v>286</v>
      </c>
      <c r="U429" s="0" t="n">
        <f aca="false">IF(ISBLANK(RawFinancials!U429),"",RawFinancials!U429)</f>
        <v>0</v>
      </c>
      <c r="V429" s="0" t="n">
        <f aca="false">IF(ISBLANK(RawFinancials!V429),"",RawFinancials!V429)</f>
        <v>16.0884328878907</v>
      </c>
      <c r="W429" s="0" t="n">
        <f aca="false">IF(ISBLANK(RawFinancials!W429),"",RawFinancials!W429)</f>
        <v>20240331</v>
      </c>
      <c r="X429" s="0" t="n">
        <f aca="false">IF(ISBLANK(RawFinancials!X429),"",RawFinancials!X429)</f>
        <v>0.884731192413479</v>
      </c>
      <c r="Y429" s="0" t="n">
        <f aca="false">IF(ISBLANK(RawFinancials!Y429),"",RawFinancials!Y429)</f>
        <v>8.52</v>
      </c>
      <c r="Z429" s="0" t="str">
        <f aca="false">IF(ISBLANK(RawFinancials!Z429),"",RawFinancials!Z429)</f>
        <v>ME</v>
      </c>
      <c r="AA429" s="0" t="n">
        <f aca="false">RawFinancials!AA429</f>
        <v>1</v>
      </c>
      <c r="AB429" s="0" t="n">
        <f aca="false">RawFinancials!AB429</f>
        <v>1466</v>
      </c>
      <c r="AC429" s="0" t="n">
        <f aca="false">RawFinancials!AC429</f>
        <v>0.143101315926903</v>
      </c>
      <c r="AD429" s="0" t="n">
        <f aca="false">IF(L429&gt;0,100*N429/L429,"")</f>
        <v>78.9133007099595</v>
      </c>
      <c r="AE429" s="0" t="n">
        <f aca="false">IF(B429&gt;0,100*F429/B429,"")</f>
        <v>10.4125241959336</v>
      </c>
      <c r="AF429" s="0" t="str">
        <f aca="false">RawFinancials!AE429</f>
        <v/>
      </c>
    </row>
    <row r="430" customFormat="false" ht="15" hidden="false" customHeight="false" outlineLevel="0" collapsed="false">
      <c r="A430" s="0" t="n">
        <f aca="false">IF(ISBLANK(RawFinancials!A430),"",RawFinancials!A430)</f>
        <v>430</v>
      </c>
      <c r="B430" s="0" t="n">
        <f aca="false">IF(ISBLANK(RawFinancials!B430),"",RawFinancials!B430)</f>
        <v>1806517</v>
      </c>
      <c r="C430" s="0" t="n">
        <f aca="false">IF(ISBLANK(RawFinancials!C430),"",RawFinancials!C430)</f>
        <v>13063</v>
      </c>
      <c r="D430" s="0" t="n">
        <f aca="false">IF(ISBLANK(RawFinancials!D430),"",RawFinancials!D430)</f>
        <v>1572488</v>
      </c>
      <c r="E430" s="0" t="n">
        <f aca="false">IF(ISBLANK(RawFinancials!E430),"",RawFinancials!E430)</f>
        <v>0.06</v>
      </c>
      <c r="F430" s="0" t="n">
        <f aca="false">IF(ISBLANK(RawFinancials!F430),"",RawFinancials!F430)</f>
        <v>144426</v>
      </c>
      <c r="G430" s="0" t="n">
        <f aca="false">IF(ISBLANK(RawFinancials!G430),"",RawFinancials!G430)</f>
        <v>7.994721333926</v>
      </c>
      <c r="H430" s="0" t="str">
        <f aca="false">IF(ISBLANK(RawFinancials!H430),"",RawFinancials!H430)</f>
        <v>13063_20240331</v>
      </c>
      <c r="I430" s="0" t="n">
        <f aca="false">IF(ISBLANK(RawFinancials!I430),"",RawFinancials!I430)</f>
        <v>1.20322501230921</v>
      </c>
      <c r="J430" s="0" t="n">
        <f aca="false">IF(ISBLANK(RawFinancials!J430),"",RawFinancials!J430)</f>
        <v>57837</v>
      </c>
      <c r="K430" s="0" t="n">
        <f aca="false">IF(ISBLANK(RawFinancials!K430),"",RawFinancials!K430)</f>
        <v>758</v>
      </c>
      <c r="L430" s="0" t="n">
        <f aca="false">IF(ISBLANK(RawFinancials!L430),"",RawFinancials!L430)</f>
        <v>1429824</v>
      </c>
      <c r="M430" s="0" t="n">
        <f aca="false">IF(ISBLANK(RawFinancials!M430),"",RawFinancials!M430)</f>
        <v>1412620</v>
      </c>
      <c r="N430" s="0" t="n">
        <f aca="false">IF(ISBLANK(RawFinancials!N430),"",RawFinancials!N430)</f>
        <v>1360729</v>
      </c>
      <c r="O430" s="0" t="n">
        <f aca="false">IF(ISBLANK(RawFinancials!O430),"",RawFinancials!O430)</f>
        <v>510</v>
      </c>
      <c r="P430" s="0" t="str">
        <f aca="false">IF(ISBLANK(RawFinancials!P430),"",RawFinancials!P430)</f>
        <v>KENNEBUNK SAVINGS BANK</v>
      </c>
      <c r="Q430" s="0" t="n">
        <f aca="false">IF(ISBLANK(RawFinancials!Q430),"",RawFinancials!Q430)</f>
        <v>0.0356687256613401</v>
      </c>
      <c r="R430" s="0" t="n">
        <f aca="false">IF(ISBLANK(RawFinancials!R430),"",RawFinancials!R430)</f>
        <v>2.96240345136222</v>
      </c>
      <c r="S430" s="0" t="n">
        <f aca="false">IF(ISBLANK(RawFinancials!S430),"",RawFinancials!S430)</f>
        <v>-4</v>
      </c>
      <c r="T430" s="0" t="n">
        <f aca="false">IF(ISBLANK(RawFinancials!T430),"",RawFinancials!T430)</f>
        <v>3365</v>
      </c>
      <c r="U430" s="0" t="n">
        <f aca="false">IF(ISBLANK(RawFinancials!U430),"",RawFinancials!U430)</f>
        <v>0</v>
      </c>
      <c r="V430" s="0" t="n">
        <f aca="false">IF(ISBLANK(RawFinancials!V430),"",RawFinancials!V430)</f>
        <v>0</v>
      </c>
      <c r="W430" s="0" t="n">
        <f aca="false">IF(ISBLANK(RawFinancials!W430),"",RawFinancials!W430)</f>
        <v>20240331</v>
      </c>
      <c r="X430" s="0" t="n">
        <f aca="false">IF(ISBLANK(RawFinancials!X430),"",RawFinancials!X430)</f>
        <v>0.280149291821904</v>
      </c>
      <c r="Y430" s="0" t="n">
        <f aca="false">IF(ISBLANK(RawFinancials!Y430),"",RawFinancials!Y430)</f>
        <v>3.52</v>
      </c>
      <c r="Z430" s="0" t="str">
        <f aca="false">IF(ISBLANK(RawFinancials!Z430),"",RawFinancials!Z430)</f>
        <v>ME</v>
      </c>
      <c r="AA430" s="0" t="n">
        <f aca="false">RawFinancials!AA430</f>
        <v>1</v>
      </c>
      <c r="AB430" s="0" t="n">
        <f aca="false">RawFinancials!AB430</f>
        <v>510</v>
      </c>
      <c r="AC430" s="0" t="n">
        <f aca="false">RawFinancials!AC430</f>
        <v>0.0282311209913884</v>
      </c>
      <c r="AD430" s="0" t="n">
        <f aca="false">IF(L430&gt;0,100*N430/L430,"")</f>
        <v>95.1675870596661</v>
      </c>
      <c r="AE430" s="0" t="n">
        <f aca="false">IF(B430&gt;0,100*F430/B430,"")</f>
        <v>7.994721333926</v>
      </c>
      <c r="AF430" s="0" t="str">
        <f aca="false">RawFinancials!AE430</f>
        <v>原始0：需核实适用/报告口径</v>
      </c>
    </row>
    <row r="431" customFormat="false" ht="15" hidden="false" customHeight="false" outlineLevel="0" collapsed="false">
      <c r="A431" s="0" t="n">
        <f aca="false">IF(ISBLANK(RawFinancials!A431),"",RawFinancials!A431)</f>
        <v>431</v>
      </c>
      <c r="B431" s="0" t="n">
        <f aca="false">IF(ISBLANK(RawFinancials!B431),"",RawFinancials!B431)</f>
        <v>842231</v>
      </c>
      <c r="C431" s="0" t="n">
        <f aca="false">IF(ISBLANK(RawFinancials!C431),"",RawFinancials!C431)</f>
        <v>14134</v>
      </c>
      <c r="D431" s="0" t="n">
        <f aca="false">IF(ISBLANK(RawFinancials!D431),"",RawFinancials!D431)</f>
        <v>674131</v>
      </c>
      <c r="E431" s="0" t="n">
        <f aca="false">IF(ISBLANK(RawFinancials!E431),"",RawFinancials!E431)</f>
        <v>0.09</v>
      </c>
      <c r="F431" s="0" t="n">
        <f aca="false">IF(ISBLANK(RawFinancials!F431),"",RawFinancials!F431)</f>
        <v>108189</v>
      </c>
      <c r="G431" s="0" t="n">
        <f aca="false">IF(ISBLANK(RawFinancials!G431),"",RawFinancials!G431)</f>
        <v>12.8455257524361</v>
      </c>
      <c r="H431" s="0" t="str">
        <f aca="false">IF(ISBLANK(RawFinancials!H431),"",RawFinancials!H431)</f>
        <v>14134_20240331</v>
      </c>
      <c r="I431" s="0" t="n">
        <f aca="false">IF(ISBLANK(RawFinancials!I431),"",RawFinancials!I431)</f>
        <v>1.15496383334913</v>
      </c>
      <c r="J431" s="0" t="n">
        <f aca="false">IF(ISBLANK(RawFinancials!J431),"",RawFinancials!J431)</f>
        <v>25471</v>
      </c>
      <c r="K431" s="0" t="n">
        <f aca="false">IF(ISBLANK(RawFinancials!K431),"",RawFinancials!K431)</f>
        <v>24735</v>
      </c>
      <c r="L431" s="0" t="n">
        <f aca="false">IF(ISBLANK(RawFinancials!L431),"",RawFinancials!L431)</f>
        <v>633180</v>
      </c>
      <c r="M431" s="0" t="n">
        <f aca="false">IF(ISBLANK(RawFinancials!M431),"",RawFinancials!M431)</f>
        <v>625867</v>
      </c>
      <c r="N431" s="0" t="n">
        <f aca="false">IF(ISBLANK(RawFinancials!N431),"",RawFinancials!N431)</f>
        <v>560872</v>
      </c>
      <c r="O431" s="0" t="n">
        <f aca="false">IF(ISBLANK(RawFinancials!O431),"",RawFinancials!O431)</f>
        <v>10903</v>
      </c>
      <c r="P431" s="0" t="str">
        <f aca="false">IF(ISBLANK(RawFinancials!P431),"",RawFinancials!P431)</f>
        <v>PASSUMPSIC SAVINGS BANK</v>
      </c>
      <c r="Q431" s="0" t="n">
        <f aca="false">IF(ISBLANK(RawFinancials!Q431),"",RawFinancials!Q431)</f>
        <v>1.72194320730282</v>
      </c>
      <c r="R431" s="0" t="n">
        <f aca="false">IF(ISBLANK(RawFinancials!R431),"",RawFinancials!R431)</f>
        <v>3.06668550800971</v>
      </c>
      <c r="S431" s="0" t="n">
        <f aca="false">IF(ISBLANK(RawFinancials!S431),"",RawFinancials!S431)</f>
        <v>150</v>
      </c>
      <c r="T431" s="0" t="n">
        <f aca="false">IF(ISBLANK(RawFinancials!T431),"",RawFinancials!T431)</f>
        <v>4407</v>
      </c>
      <c r="U431" s="0" t="n">
        <f aca="false">IF(ISBLANK(RawFinancials!U431),"",RawFinancials!U431)</f>
        <v>0</v>
      </c>
      <c r="V431" s="0" t="n">
        <f aca="false">IF(ISBLANK(RawFinancials!V431),"",RawFinancials!V431)</f>
        <v>19.5631605084554</v>
      </c>
      <c r="W431" s="0" t="n">
        <f aca="false">IF(ISBLANK(RawFinancials!W431),"",RawFinancials!W431)</f>
        <v>20240331</v>
      </c>
      <c r="X431" s="0" t="n">
        <f aca="false">IF(ISBLANK(RawFinancials!X431),"",RawFinancials!X431)</f>
        <v>1.52742469831594</v>
      </c>
      <c r="Y431" s="0" t="n">
        <f aca="false">IF(ISBLANK(RawFinancials!Y431),"",RawFinancials!Y431)</f>
        <v>12.11</v>
      </c>
      <c r="Z431" s="0" t="str">
        <f aca="false">IF(ISBLANK(RawFinancials!Z431),"",RawFinancials!Z431)</f>
        <v>VT</v>
      </c>
      <c r="AA431" s="0" t="n">
        <f aca="false">RawFinancials!AA431</f>
        <v>1</v>
      </c>
      <c r="AB431" s="0" t="n">
        <f aca="false">RawFinancials!AB431</f>
        <v>10903</v>
      </c>
      <c r="AC431" s="0" t="n">
        <f aca="false">RawFinancials!AC431</f>
        <v>1.29453795930095</v>
      </c>
      <c r="AD431" s="0" t="n">
        <f aca="false">IF(L431&gt;0,100*N431/L431,"")</f>
        <v>88.5801825705171</v>
      </c>
      <c r="AE431" s="0" t="n">
        <f aca="false">IF(B431&gt;0,100*F431/B431,"")</f>
        <v>12.8455257524361</v>
      </c>
      <c r="AF431" s="0" t="str">
        <f aca="false">RawFinancials!AE431</f>
        <v/>
      </c>
    </row>
    <row r="432" customFormat="false" ht="15" hidden="false" customHeight="false" outlineLevel="0" collapsed="false">
      <c r="A432" s="0" t="n">
        <f aca="false">IF(ISBLANK(RawFinancials!A432),"",RawFinancials!A432)</f>
        <v>432</v>
      </c>
      <c r="B432" s="0" t="n">
        <f aca="false">IF(ISBLANK(RawFinancials!B432),"",RawFinancials!B432)</f>
        <v>239150</v>
      </c>
      <c r="C432" s="0" t="n">
        <f aca="false">IF(ISBLANK(RawFinancials!C432),"",RawFinancials!C432)</f>
        <v>14136</v>
      </c>
      <c r="D432" s="0" t="n">
        <f aca="false">IF(ISBLANK(RawFinancials!D432),"",RawFinancials!D432)</f>
        <v>196243</v>
      </c>
      <c r="E432" s="0" t="n">
        <f aca="false">IF(ISBLANK(RawFinancials!E432),"",RawFinancials!E432)</f>
        <v>-0.18</v>
      </c>
      <c r="F432" s="0" t="n">
        <f aca="false">IF(ISBLANK(RawFinancials!F432),"",RawFinancials!F432)</f>
        <v>17389</v>
      </c>
      <c r="G432" s="0" t="n">
        <f aca="false">IF(ISBLANK(RawFinancials!G432),"",RawFinancials!G432)</f>
        <v>7.27116872255906</v>
      </c>
      <c r="H432" s="0" t="str">
        <f aca="false">IF(ISBLANK(RawFinancials!H432),"",RawFinancials!H432)</f>
        <v>14136_20240331</v>
      </c>
      <c r="I432" s="0" t="n">
        <f aca="false">IF(ISBLANK(RawFinancials!I432),"",RawFinancials!I432)</f>
        <v>1.10535834372531</v>
      </c>
      <c r="J432" s="0" t="n">
        <f aca="false">IF(ISBLANK(RawFinancials!J432),"",RawFinancials!J432)</f>
        <v>14438</v>
      </c>
      <c r="K432" s="0" t="n">
        <f aca="false">IF(ISBLANK(RawFinancials!K432),"",RawFinancials!K432)</f>
        <v>14594</v>
      </c>
      <c r="L432" s="0" t="n">
        <f aca="false">IF(ISBLANK(RawFinancials!L432),"",RawFinancials!L432)</f>
        <v>153163</v>
      </c>
      <c r="M432" s="0" t="n">
        <f aca="false">IF(ISBLANK(RawFinancials!M432),"",RawFinancials!M432)</f>
        <v>151470</v>
      </c>
      <c r="N432" s="0" t="n">
        <f aca="false">IF(ISBLANK(RawFinancials!N432),"",RawFinancials!N432)</f>
        <v>123830</v>
      </c>
      <c r="O432" s="0" t="n">
        <f aca="false">IF(ISBLANK(RawFinancials!O432),"",RawFinancials!O432)</f>
        <v>502</v>
      </c>
      <c r="P432" s="0" t="str">
        <f aca="false">IF(ISBLANK(RawFinancials!P432),"",RawFinancials!P432)</f>
        <v>WELLS RIVER SAVINGS BANK</v>
      </c>
      <c r="Q432" s="0" t="n">
        <f aca="false">IF(ISBLANK(RawFinancials!Q432),"",RawFinancials!Q432)</f>
        <v>0.633965122124795</v>
      </c>
      <c r="R432" s="0" t="n">
        <f aca="false">IF(ISBLANK(RawFinancials!R432),"",RawFinancials!R432)</f>
        <v>3.75432733834968</v>
      </c>
      <c r="S432" s="0" t="n">
        <f aca="false">IF(ISBLANK(RawFinancials!S432),"",RawFinancials!S432)</f>
        <v>82</v>
      </c>
      <c r="T432" s="0" t="n">
        <f aca="false">IF(ISBLANK(RawFinancials!T432),"",RawFinancials!T432)</f>
        <v>634</v>
      </c>
      <c r="U432" s="0" t="n">
        <f aca="false">IF(ISBLANK(RawFinancials!U432),"",RawFinancials!U432)</f>
        <v>469</v>
      </c>
      <c r="V432" s="0" t="n">
        <f aca="false">IF(ISBLANK(RawFinancials!V432),"",RawFinancials!V432)</f>
        <v>17.5483668012374</v>
      </c>
      <c r="W432" s="0" t="n">
        <f aca="false">IF(ISBLANK(RawFinancials!W432),"",RawFinancials!W432)</f>
        <v>20240331</v>
      </c>
      <c r="X432" s="0" t="n">
        <f aca="false">IF(ISBLANK(RawFinancials!X432),"",RawFinancials!X432)</f>
        <v>0.678212630653181</v>
      </c>
      <c r="Y432" s="0" t="n">
        <f aca="false">IF(ISBLANK(RawFinancials!Y432),"",RawFinancials!Y432)</f>
        <v>9.32</v>
      </c>
      <c r="Z432" s="0" t="str">
        <f aca="false">IF(ISBLANK(RawFinancials!Z432),"",RawFinancials!Z432)</f>
        <v>VT</v>
      </c>
      <c r="AA432" s="0" t="n">
        <f aca="false">RawFinancials!AA432</f>
        <v>1</v>
      </c>
      <c r="AB432" s="0" t="n">
        <f aca="false">RawFinancials!AB432</f>
        <v>971</v>
      </c>
      <c r="AC432" s="0" t="n">
        <f aca="false">RawFinancials!AC432</f>
        <v>0.406021325527911</v>
      </c>
      <c r="AD432" s="0" t="n">
        <f aca="false">IF(L432&gt;0,100*N432/L432,"")</f>
        <v>80.8485077988809</v>
      </c>
      <c r="AE432" s="0" t="n">
        <f aca="false">IF(B432&gt;0,100*F432/B432,"")</f>
        <v>7.27116872255906</v>
      </c>
      <c r="AF432" s="0" t="str">
        <f aca="false">RawFinancials!AE432</f>
        <v/>
      </c>
    </row>
    <row r="433" customFormat="false" ht="15" hidden="false" customHeight="false" outlineLevel="0" collapsed="false">
      <c r="A433" s="0" t="n">
        <f aca="false">IF(ISBLANK(RawFinancials!A433),"",RawFinancials!A433)</f>
        <v>433</v>
      </c>
      <c r="B433" s="0" t="n">
        <f aca="false">IF(ISBLANK(RawFinancials!B433),"",RawFinancials!B433)</f>
        <v>1501419</v>
      </c>
      <c r="C433" s="0" t="n">
        <f aca="false">IF(ISBLANK(RawFinancials!C433),"",RawFinancials!C433)</f>
        <v>14140</v>
      </c>
      <c r="D433" s="0" t="n">
        <f aca="false">IF(ISBLANK(RawFinancials!D433),"",RawFinancials!D433)</f>
        <v>1223701</v>
      </c>
      <c r="E433" s="0" t="n">
        <f aca="false">IF(ISBLANK(RawFinancials!E433),"",RawFinancials!E433)</f>
        <v>0.03</v>
      </c>
      <c r="F433" s="0" t="n">
        <f aca="false">IF(ISBLANK(RawFinancials!F433),"",RawFinancials!F433)</f>
        <v>125756</v>
      </c>
      <c r="G433" s="0" t="n">
        <f aca="false">IF(ISBLANK(RawFinancials!G433),"",RawFinancials!G433)</f>
        <v>8.37580981724622</v>
      </c>
      <c r="H433" s="0" t="str">
        <f aca="false">IF(ISBLANK(RawFinancials!H433),"",RawFinancials!H433)</f>
        <v>14140_20240331</v>
      </c>
      <c r="I433" s="0" t="n">
        <f aca="false">IF(ISBLANK(RawFinancials!I433),"",RawFinancials!I433)</f>
        <v>0.842063813594939</v>
      </c>
      <c r="J433" s="0" t="n">
        <f aca="false">IF(ISBLANK(RawFinancials!J433),"",RawFinancials!J433)</f>
        <v>86843</v>
      </c>
      <c r="K433" s="0" t="n">
        <f aca="false">IF(ISBLANK(RawFinancials!K433),"",RawFinancials!K433)</f>
        <v>1578</v>
      </c>
      <c r="L433" s="0" t="n">
        <f aca="false">IF(ISBLANK(RawFinancials!L433),"",RawFinancials!L433)</f>
        <v>1056452</v>
      </c>
      <c r="M433" s="0" t="n">
        <f aca="false">IF(ISBLANK(RawFinancials!M433),"",RawFinancials!M433)</f>
        <v>1047556</v>
      </c>
      <c r="N433" s="0" t="n">
        <f aca="false">IF(ISBLANK(RawFinancials!N433),"",RawFinancials!N433)</f>
        <v>938480</v>
      </c>
      <c r="O433" s="0" t="n">
        <f aca="false">IF(ISBLANK(RawFinancials!O433),"",RawFinancials!O433)</f>
        <v>4548</v>
      </c>
      <c r="P433" s="0" t="str">
        <f aca="false">IF(ISBLANK(RawFinancials!P433),"",RawFinancials!P433)</f>
        <v>NORTHFIELD SAVINGS BANK</v>
      </c>
      <c r="Q433" s="0" t="n">
        <f aca="false">IF(ISBLANK(RawFinancials!Q433),"",RawFinancials!Q433)</f>
        <v>0.430497552184103</v>
      </c>
      <c r="R433" s="0" t="n">
        <f aca="false">IF(ISBLANK(RawFinancials!R433),"",RawFinancials!R433)</f>
        <v>2.39161561031373</v>
      </c>
      <c r="S433" s="0" t="n">
        <f aca="false">IF(ISBLANK(RawFinancials!S433),"",RawFinancials!S433)</f>
        <v>7</v>
      </c>
      <c r="T433" s="0" t="n">
        <f aca="false">IF(ISBLANK(RawFinancials!T433),"",RawFinancials!T433)</f>
        <v>85</v>
      </c>
      <c r="U433" s="0" t="n">
        <f aca="false">IF(ISBLANK(RawFinancials!U433),"",RawFinancials!U433)</f>
        <v>0</v>
      </c>
      <c r="V433" s="0" t="n">
        <f aca="false">IF(ISBLANK(RawFinancials!V433),"",RawFinancials!V433)</f>
        <v>0</v>
      </c>
      <c r="W433" s="0" t="n">
        <f aca="false">IF(ISBLANK(RawFinancials!W433),"",RawFinancials!W433)</f>
        <v>20240331</v>
      </c>
      <c r="X433" s="0" t="n">
        <f aca="false">IF(ISBLANK(RawFinancials!X433),"",RawFinancials!X433)</f>
        <v>0.266123685640066</v>
      </c>
      <c r="Y433" s="0" t="n">
        <f aca="false">IF(ISBLANK(RawFinancials!Y433),"",RawFinancials!Y433)</f>
        <v>3.17</v>
      </c>
      <c r="Z433" s="0" t="str">
        <f aca="false">IF(ISBLANK(RawFinancials!Z433),"",RawFinancials!Z433)</f>
        <v>VT</v>
      </c>
      <c r="AA433" s="0" t="n">
        <f aca="false">RawFinancials!AA433</f>
        <v>1</v>
      </c>
      <c r="AB433" s="0" t="n">
        <f aca="false">RawFinancials!AB433</f>
        <v>4548</v>
      </c>
      <c r="AC433" s="0" t="n">
        <f aca="false">RawFinancials!AC433</f>
        <v>0.302913443882088</v>
      </c>
      <c r="AD433" s="0" t="n">
        <f aca="false">IF(L433&gt;0,100*N433/L433,"")</f>
        <v>88.8331888244804</v>
      </c>
      <c r="AE433" s="0" t="n">
        <f aca="false">IF(B433&gt;0,100*F433/B433,"")</f>
        <v>8.37580981724622</v>
      </c>
      <c r="AF433" s="0" t="str">
        <f aca="false">RawFinancials!AE433</f>
        <v>原始0：需核实适用/报告口径</v>
      </c>
    </row>
    <row r="434" customFormat="false" ht="15" hidden="false" customHeight="false" outlineLevel="0" collapsed="false">
      <c r="A434" s="0" t="n">
        <f aca="false">IF(ISBLANK(RawFinancials!A434),"",RawFinancials!A434)</f>
        <v>434</v>
      </c>
      <c r="B434" s="0" t="n">
        <f aca="false">IF(ISBLANK(RawFinancials!B434),"",RawFinancials!B434)</f>
        <v>1416981</v>
      </c>
      <c r="C434" s="0" t="n">
        <f aca="false">IF(ISBLANK(RawFinancials!C434),"",RawFinancials!C434)</f>
        <v>14158</v>
      </c>
      <c r="D434" s="0" t="n">
        <f aca="false">IF(ISBLANK(RawFinancials!D434),"",RawFinancials!D434)</f>
        <v>1175239</v>
      </c>
      <c r="E434" s="0" t="n">
        <f aca="false">IF(ISBLANK(RawFinancials!E434),"",RawFinancials!E434)</f>
        <v>-0.06</v>
      </c>
      <c r="F434" s="0" t="n">
        <f aca="false">IF(ISBLANK(RawFinancials!F434),"",RawFinancials!F434)</f>
        <v>79774</v>
      </c>
      <c r="G434" s="0" t="n">
        <f aca="false">IF(ISBLANK(RawFinancials!G434),"",RawFinancials!G434)</f>
        <v>5.62985671649796</v>
      </c>
      <c r="H434" s="0" t="str">
        <f aca="false">IF(ISBLANK(RawFinancials!H434),"",RawFinancials!H434)</f>
        <v>14158_20240331</v>
      </c>
      <c r="I434" s="0" t="n">
        <f aca="false">IF(ISBLANK(RawFinancials!I434),"",RawFinancials!I434)</f>
        <v>0.639316676784771</v>
      </c>
      <c r="J434" s="0" t="n">
        <f aca="false">IF(ISBLANK(RawFinancials!J434),"",RawFinancials!J434)</f>
        <v>40567</v>
      </c>
      <c r="K434" s="0" t="n">
        <f aca="false">IF(ISBLANK(RawFinancials!K434),"",RawFinancials!K434)</f>
        <v>2275</v>
      </c>
      <c r="L434" s="0" t="n">
        <f aca="false">IF(ISBLANK(RawFinancials!L434),"",RawFinancials!L434)</f>
        <v>1039391</v>
      </c>
      <c r="M434" s="0" t="n">
        <f aca="false">IF(ISBLANK(RawFinancials!M434),"",RawFinancials!M434)</f>
        <v>1032746</v>
      </c>
      <c r="N434" s="0" t="n">
        <f aca="false">IF(ISBLANK(RawFinancials!N434),"",RawFinancials!N434)</f>
        <v>909000</v>
      </c>
      <c r="O434" s="0" t="n">
        <f aca="false">IF(ISBLANK(RawFinancials!O434),"",RawFinancials!O434)</f>
        <v>1813</v>
      </c>
      <c r="P434" s="0" t="str">
        <f aca="false">IF(ISBLANK(RawFinancials!P434),"",RawFinancials!P434)</f>
        <v>UNION BANK</v>
      </c>
      <c r="Q434" s="0" t="n">
        <f aca="false">IF(ISBLANK(RawFinancials!Q434),"",RawFinancials!Q434)</f>
        <v>0.180201675788996</v>
      </c>
      <c r="R434" s="0" t="n">
        <f aca="false">IF(ISBLANK(RawFinancials!R434),"",RawFinancials!R434)</f>
        <v>2.72025620948648</v>
      </c>
      <c r="S434" s="0" t="n">
        <f aca="false">IF(ISBLANK(RawFinancials!S434),"",RawFinancials!S434)</f>
        <v>-1</v>
      </c>
      <c r="T434" s="0" t="n">
        <f aca="false">IF(ISBLANK(RawFinancials!T434),"",RawFinancials!T434)</f>
        <v>2549</v>
      </c>
      <c r="U434" s="0" t="n">
        <f aca="false">IF(ISBLANK(RawFinancials!U434),"",RawFinancials!U434)</f>
        <v>60</v>
      </c>
      <c r="V434" s="0" t="n">
        <f aca="false">IF(ISBLANK(RawFinancials!V434),"",RawFinancials!V434)</f>
        <v>13.3404695925329</v>
      </c>
      <c r="W434" s="0" t="n">
        <f aca="false">IF(ISBLANK(RawFinancials!W434),"",RawFinancials!W434)</f>
        <v>20240331</v>
      </c>
      <c r="X434" s="0" t="n">
        <f aca="false">IF(ISBLANK(RawFinancials!X434),"",RawFinancials!X434)</f>
        <v>0.733611995914674</v>
      </c>
      <c r="Y434" s="0" t="n">
        <f aca="false">IF(ISBLANK(RawFinancials!Y434),"",RawFinancials!Y434)</f>
        <v>13.08</v>
      </c>
      <c r="Z434" s="0" t="str">
        <f aca="false">IF(ISBLANK(RawFinancials!Z434),"",RawFinancials!Z434)</f>
        <v>VT</v>
      </c>
      <c r="AA434" s="0" t="n">
        <f aca="false">RawFinancials!AA434</f>
        <v>1</v>
      </c>
      <c r="AB434" s="0" t="n">
        <f aca="false">RawFinancials!AB434</f>
        <v>1873</v>
      </c>
      <c r="AC434" s="0" t="n">
        <f aca="false">RawFinancials!AC434</f>
        <v>0.132182435756019</v>
      </c>
      <c r="AD434" s="0" t="n">
        <f aca="false">IF(L434&gt;0,100*N434/L434,"")</f>
        <v>87.4550578175105</v>
      </c>
      <c r="AE434" s="0" t="n">
        <f aca="false">IF(B434&gt;0,100*F434/B434,"")</f>
        <v>5.62985671649796</v>
      </c>
      <c r="AF434" s="0" t="str">
        <f aca="false">RawFinancials!AE434</f>
        <v/>
      </c>
    </row>
    <row r="435" customFormat="false" ht="15" hidden="false" customHeight="false" outlineLevel="0" collapsed="false">
      <c r="A435" s="0" t="n">
        <f aca="false">IF(ISBLANK(RawFinancials!A435),"",RawFinancials!A435)</f>
        <v>435</v>
      </c>
      <c r="B435" s="0" t="n">
        <f aca="false">IF(ISBLANK(RawFinancials!B435),"",RawFinancials!B435)</f>
        <v>363663</v>
      </c>
      <c r="C435" s="0" t="n">
        <f aca="false">IF(ISBLANK(RawFinancials!C435),"",RawFinancials!C435)</f>
        <v>14168</v>
      </c>
      <c r="D435" s="0" t="n">
        <f aca="false">IF(ISBLANK(RawFinancials!D435),"",RawFinancials!D435)</f>
        <v>323430</v>
      </c>
      <c r="E435" s="0" t="n">
        <f aca="false">IF(ISBLANK(RawFinancials!E435),"",RawFinancials!E435)</f>
        <v>0.11</v>
      </c>
      <c r="F435" s="0" t="n">
        <f aca="false">IF(ISBLANK(RawFinancials!F435),"",RawFinancials!F435)</f>
        <v>35210</v>
      </c>
      <c r="G435" s="0" t="n">
        <f aca="false">IF(ISBLANK(RawFinancials!G435),"",RawFinancials!G435)</f>
        <v>9.6820407905121</v>
      </c>
      <c r="H435" s="0" t="str">
        <f aca="false">IF(ISBLANK(RawFinancials!H435),"",RawFinancials!H435)</f>
        <v>14168_20240331</v>
      </c>
      <c r="I435" s="0" t="n">
        <f aca="false">IF(ISBLANK(RawFinancials!I435),"",RawFinancials!I435)</f>
        <v>1.64537977359574</v>
      </c>
      <c r="J435" s="0" t="n">
        <f aca="false">IF(ISBLANK(RawFinancials!J435),"",RawFinancials!J435)</f>
        <v>12376</v>
      </c>
      <c r="K435" s="0" t="n">
        <f aca="false">IF(ISBLANK(RawFinancials!K435),"",RawFinancials!K435)</f>
        <v>10104</v>
      </c>
      <c r="L435" s="0" t="n">
        <f aca="false">IF(ISBLANK(RawFinancials!L435),"",RawFinancials!L435)</f>
        <v>250702</v>
      </c>
      <c r="M435" s="0" t="n">
        <f aca="false">IF(ISBLANK(RawFinancials!M435),"",RawFinancials!M435)</f>
        <v>246577</v>
      </c>
      <c r="N435" s="0" t="n">
        <f aca="false">IF(ISBLANK(RawFinancials!N435),"",RawFinancials!N435)</f>
        <v>213218</v>
      </c>
      <c r="O435" s="0" t="n">
        <f aca="false">IF(ISBLANK(RawFinancials!O435),"",RawFinancials!O435)</f>
        <v>1095</v>
      </c>
      <c r="P435" s="0" t="str">
        <f aca="false">IF(ISBLANK(RawFinancials!P435),"",RawFinancials!P435)</f>
        <v>PEOPLES TRUST COMPANY OF ST. ALBANS</v>
      </c>
      <c r="Q435" s="0" t="n">
        <f aca="false">IF(ISBLANK(RawFinancials!Q435),"",RawFinancials!Q435)</f>
        <v>0.437172419845075</v>
      </c>
      <c r="R435" s="0" t="n">
        <f aca="false">IF(ISBLANK(RawFinancials!R435),"",RawFinancials!R435)</f>
        <v>3.9809390262742</v>
      </c>
      <c r="S435" s="0" t="n">
        <f aca="false">IF(ISBLANK(RawFinancials!S435),"",RawFinancials!S435)</f>
        <v>-25</v>
      </c>
      <c r="T435" s="0" t="n">
        <f aca="false">IF(ISBLANK(RawFinancials!T435),"",RawFinancials!T435)</f>
        <v>1276</v>
      </c>
      <c r="U435" s="0" t="n">
        <f aca="false">IF(ISBLANK(RawFinancials!U435),"",RawFinancials!U435)</f>
        <v>1</v>
      </c>
      <c r="V435" s="0" t="n">
        <f aca="false">IF(ISBLANK(RawFinancials!V435),"",RawFinancials!V435)</f>
        <v>16.3907253005299</v>
      </c>
      <c r="W435" s="0" t="n">
        <f aca="false">IF(ISBLANK(RawFinancials!W435),"",RawFinancials!W435)</f>
        <v>20240331</v>
      </c>
      <c r="X435" s="0" t="n">
        <f aca="false">IF(ISBLANK(RawFinancials!X435),"",RawFinancials!X435)</f>
        <v>0.787388476403298</v>
      </c>
      <c r="Y435" s="0" t="n">
        <f aca="false">IF(ISBLANK(RawFinancials!Y435),"",RawFinancials!Y435)</f>
        <v>8.06</v>
      </c>
      <c r="Z435" s="0" t="str">
        <f aca="false">IF(ISBLANK(RawFinancials!Z435),"",RawFinancials!Z435)</f>
        <v>VT</v>
      </c>
      <c r="AA435" s="0" t="n">
        <f aca="false">RawFinancials!AA435</f>
        <v>1</v>
      </c>
      <c r="AB435" s="0" t="n">
        <f aca="false">RawFinancials!AB435</f>
        <v>1096</v>
      </c>
      <c r="AC435" s="0" t="n">
        <f aca="false">RawFinancials!AC435</f>
        <v>0.301377924067062</v>
      </c>
      <c r="AD435" s="0" t="n">
        <f aca="false">IF(L435&gt;0,100*N435/L435,"")</f>
        <v>85.0483841373423</v>
      </c>
      <c r="AE435" s="0" t="n">
        <f aca="false">IF(B435&gt;0,100*F435/B435,"")</f>
        <v>9.6820407905121</v>
      </c>
      <c r="AF435" s="0" t="str">
        <f aca="false">RawFinancials!AE435</f>
        <v/>
      </c>
    </row>
    <row r="436" customFormat="false" ht="15" hidden="false" customHeight="false" outlineLevel="0" collapsed="false">
      <c r="A436" s="0" t="n">
        <f aca="false">IF(ISBLANK(RawFinancials!A436),"",RawFinancials!A436)</f>
        <v>436</v>
      </c>
      <c r="B436" s="0" t="n">
        <f aca="false">IF(ISBLANK(RawFinancials!B436),"",RawFinancials!B436)</f>
        <v>1238358</v>
      </c>
      <c r="C436" s="0" t="n">
        <f aca="false">IF(ISBLANK(RawFinancials!C436),"",RawFinancials!C436)</f>
        <v>14240</v>
      </c>
      <c r="D436" s="0" t="n">
        <f aca="false">IF(ISBLANK(RawFinancials!D436),"",RawFinancials!D436)</f>
        <v>983728</v>
      </c>
      <c r="E436" s="0" t="n">
        <f aca="false">IF(ISBLANK(RawFinancials!E436),"",RawFinancials!E436)</f>
        <v>0</v>
      </c>
      <c r="F436" s="0" t="n">
        <f aca="false">IF(ISBLANK(RawFinancials!F436),"",RawFinancials!F436)</f>
        <v>87867</v>
      </c>
      <c r="G436" s="0" t="n">
        <f aca="false">IF(ISBLANK(RawFinancials!G436),"",RawFinancials!G436)</f>
        <v>7.09544412843459</v>
      </c>
      <c r="H436" s="0" t="str">
        <f aca="false">IF(ISBLANK(RawFinancials!H436),"",RawFinancials!H436)</f>
        <v>14240_20240331</v>
      </c>
      <c r="I436" s="0" t="n">
        <f aca="false">IF(ISBLANK(RawFinancials!I436),"",RawFinancials!I436)</f>
        <v>1.16311800833159</v>
      </c>
      <c r="J436" s="0" t="n">
        <f aca="false">IF(ISBLANK(RawFinancials!J436),"",RawFinancials!J436)</f>
        <v>26576</v>
      </c>
      <c r="K436" s="0" t="n">
        <f aca="false">IF(ISBLANK(RawFinancials!K436),"",RawFinancials!K436)</f>
        <v>15838</v>
      </c>
      <c r="L436" s="0" t="n">
        <f aca="false">IF(ISBLANK(RawFinancials!L436),"",RawFinancials!L436)</f>
        <v>920113</v>
      </c>
      <c r="M436" s="0" t="n">
        <f aca="false">IF(ISBLANK(RawFinancials!M436),"",RawFinancials!M436)</f>
        <v>909411</v>
      </c>
      <c r="N436" s="0" t="n">
        <f aca="false">IF(ISBLANK(RawFinancials!N436),"",RawFinancials!N436)</f>
        <v>804017</v>
      </c>
      <c r="O436" s="0" t="n">
        <f aca="false">IF(ISBLANK(RawFinancials!O436),"",RawFinancials!O436)</f>
        <v>3281</v>
      </c>
      <c r="P436" s="0" t="str">
        <f aca="false">IF(ISBLANK(RawFinancials!P436),"",RawFinancials!P436)</f>
        <v>NORTHWAY BANK</v>
      </c>
      <c r="Q436" s="0" t="n">
        <f aca="false">IF(ISBLANK(RawFinancials!Q436),"",RawFinancials!Q436)</f>
        <v>0.356586636641369</v>
      </c>
      <c r="R436" s="0" t="n">
        <f aca="false">IF(ISBLANK(RawFinancials!R436),"",RawFinancials!R436)</f>
        <v>2.8576455097097</v>
      </c>
      <c r="S436" s="0" t="n">
        <f aca="false">IF(ISBLANK(RawFinancials!S436),"",RawFinancials!S436)</f>
        <v>-6</v>
      </c>
      <c r="T436" s="0" t="n">
        <f aca="false">IF(ISBLANK(RawFinancials!T436),"",RawFinancials!T436)</f>
        <v>2878</v>
      </c>
      <c r="U436" s="0" t="n">
        <f aca="false">IF(ISBLANK(RawFinancials!U436),"",RawFinancials!U436)</f>
        <v>0</v>
      </c>
      <c r="V436" s="0" t="n">
        <f aca="false">IF(ISBLANK(RawFinancials!V436),"",RawFinancials!V436)</f>
        <v>16.0804516584333</v>
      </c>
      <c r="W436" s="0" t="n">
        <f aca="false">IF(ISBLANK(RawFinancials!W436),"",RawFinancials!W436)</f>
        <v>20240331</v>
      </c>
      <c r="X436" s="0" t="n">
        <f aca="false">IF(ISBLANK(RawFinancials!X436),"",RawFinancials!X436)</f>
        <v>0.489845223176813</v>
      </c>
      <c r="Y436" s="0" t="n">
        <f aca="false">IF(ISBLANK(RawFinancials!Y436),"",RawFinancials!Y436)</f>
        <v>6.95</v>
      </c>
      <c r="Z436" s="0" t="str">
        <f aca="false">IF(ISBLANK(RawFinancials!Z436),"",RawFinancials!Z436)</f>
        <v>NH</v>
      </c>
      <c r="AA436" s="0" t="n">
        <f aca="false">RawFinancials!AA436</f>
        <v>1</v>
      </c>
      <c r="AB436" s="0" t="n">
        <f aca="false">RawFinancials!AB436</f>
        <v>3281</v>
      </c>
      <c r="AC436" s="0" t="n">
        <f aca="false">RawFinancials!AC436</f>
        <v>0.264947616117472</v>
      </c>
      <c r="AD436" s="0" t="n">
        <f aca="false">IF(L436&gt;0,100*N436/L436,"")</f>
        <v>87.3824193332775</v>
      </c>
      <c r="AE436" s="0" t="n">
        <f aca="false">IF(B436&gt;0,100*F436/B436,"")</f>
        <v>7.09544412843459</v>
      </c>
      <c r="AF436" s="0" t="str">
        <f aca="false">RawFinancials!AE436</f>
        <v/>
      </c>
    </row>
    <row r="437" customFormat="false" ht="15" hidden="false" customHeight="false" outlineLevel="0" collapsed="false">
      <c r="A437" s="0" t="n">
        <f aca="false">IF(ISBLANK(RawFinancials!A437),"",RawFinancials!A437)</f>
        <v>437</v>
      </c>
      <c r="B437" s="0" t="n">
        <f aca="false">IF(ISBLANK(RawFinancials!B437),"",RawFinancials!B437)</f>
        <v>1079745</v>
      </c>
      <c r="C437" s="0" t="n">
        <f aca="false">IF(ISBLANK(RawFinancials!C437),"",RawFinancials!C437)</f>
        <v>17115</v>
      </c>
      <c r="D437" s="0" t="n">
        <f aca="false">IF(ISBLANK(RawFinancials!D437),"",RawFinancials!D437)</f>
        <v>803428</v>
      </c>
      <c r="E437" s="0" t="n">
        <f aca="false">IF(ISBLANK(RawFinancials!E437),"",RawFinancials!E437)</f>
        <v>0.03</v>
      </c>
      <c r="F437" s="0" t="n">
        <f aca="false">IF(ISBLANK(RawFinancials!F437),"",RawFinancials!F437)</f>
        <v>88109</v>
      </c>
      <c r="G437" s="0" t="n">
        <f aca="false">IF(ISBLANK(RawFinancials!G437),"",RawFinancials!G437)</f>
        <v>8.16016744694349</v>
      </c>
      <c r="H437" s="0" t="str">
        <f aca="false">IF(ISBLANK(RawFinancials!H437),"",RawFinancials!H437)</f>
        <v>17115_20240331</v>
      </c>
      <c r="I437" s="0" t="n">
        <f aca="false">IF(ISBLANK(RawFinancials!I437),"",RawFinancials!I437)</f>
        <v>1.00294702167807</v>
      </c>
      <c r="J437" s="0" t="n">
        <f aca="false">IF(ISBLANK(RawFinancials!J437),"",RawFinancials!J437)</f>
        <v>43323</v>
      </c>
      <c r="K437" s="0" t="n">
        <f aca="false">IF(ISBLANK(RawFinancials!K437),"",RawFinancials!K437)</f>
        <v>6768</v>
      </c>
      <c r="L437" s="0" t="n">
        <f aca="false">IF(ISBLANK(RawFinancials!L437),"",RawFinancials!L437)</f>
        <v>896159</v>
      </c>
      <c r="M437" s="0" t="n">
        <f aca="false">IF(ISBLANK(RawFinancials!M437),"",RawFinancials!M437)</f>
        <v>887171</v>
      </c>
      <c r="N437" s="0" t="n">
        <f aca="false">IF(ISBLANK(RawFinancials!N437),"",RawFinancials!N437)</f>
        <v>845242</v>
      </c>
      <c r="O437" s="0" t="n">
        <f aca="false">IF(ISBLANK(RawFinancials!O437),"",RawFinancials!O437)</f>
        <v>2344</v>
      </c>
      <c r="P437" s="0" t="str">
        <f aca="false">IF(ISBLANK(RawFinancials!P437),"",RawFinancials!P437)</f>
        <v>PARTNERS BANK OF NEW ENGLAND</v>
      </c>
      <c r="Q437" s="0" t="n">
        <f aca="false">IF(ISBLANK(RawFinancials!Q437),"",RawFinancials!Q437)</f>
        <v>0.261560727504829</v>
      </c>
      <c r="R437" s="0" t="n">
        <f aca="false">IF(ISBLANK(RawFinancials!R437),"",RawFinancials!R437)</f>
        <v>2.59385352969745</v>
      </c>
      <c r="S437" s="0" t="n">
        <f aca="false">IF(ISBLANK(RawFinancials!S437),"",RawFinancials!S437)</f>
        <v>8</v>
      </c>
      <c r="T437" s="0" t="n">
        <f aca="false">IF(ISBLANK(RawFinancials!T437),"",RawFinancials!T437)</f>
        <v>1163</v>
      </c>
      <c r="U437" s="0" t="n">
        <f aca="false">IF(ISBLANK(RawFinancials!U437),"",RawFinancials!U437)</f>
        <v>0</v>
      </c>
      <c r="V437" s="0" t="n">
        <f aca="false">IF(ISBLANK(RawFinancials!V437),"",RawFinancials!V437)</f>
        <v>13.958856660342</v>
      </c>
      <c r="W437" s="0" t="n">
        <f aca="false">IF(ISBLANK(RawFinancials!W437),"",RawFinancials!W437)</f>
        <v>20240331</v>
      </c>
      <c r="X437" s="0" t="n">
        <f aca="false">IF(ISBLANK(RawFinancials!X437),"",RawFinancials!X437)</f>
        <v>0.534576872366088</v>
      </c>
      <c r="Y437" s="0" t="n">
        <f aca="false">IF(ISBLANK(RawFinancials!Y437),"",RawFinancials!Y437)</f>
        <v>6.61</v>
      </c>
      <c r="Z437" s="0" t="str">
        <f aca="false">IF(ISBLANK(RawFinancials!Z437),"",RawFinancials!Z437)</f>
        <v>ME</v>
      </c>
      <c r="AA437" s="0" t="n">
        <f aca="false">RawFinancials!AA437</f>
        <v>1</v>
      </c>
      <c r="AB437" s="0" t="n">
        <f aca="false">RawFinancials!AB437</f>
        <v>2344</v>
      </c>
      <c r="AC437" s="0" t="n">
        <f aca="false">RawFinancials!AC437</f>
        <v>0.217088293995341</v>
      </c>
      <c r="AD437" s="0" t="n">
        <f aca="false">IF(L437&gt;0,100*N437/L437,"")</f>
        <v>94.3183073539406</v>
      </c>
      <c r="AE437" s="0" t="n">
        <f aca="false">IF(B437&gt;0,100*F437/B437,"")</f>
        <v>8.16016744694349</v>
      </c>
      <c r="AF437" s="0" t="str">
        <f aca="false">RawFinancials!AE437</f>
        <v/>
      </c>
    </row>
    <row r="438" customFormat="false" ht="15" hidden="false" customHeight="false" outlineLevel="0" collapsed="false">
      <c r="A438" s="0" t="n">
        <f aca="false">IF(ISBLANK(RawFinancials!A438),"",RawFinancials!A438)</f>
        <v>438</v>
      </c>
      <c r="B438" s="0" t="n">
        <f aca="false">IF(ISBLANK(RawFinancials!B438),"",RawFinancials!B438)</f>
        <v>1658628</v>
      </c>
      <c r="C438" s="0" t="n">
        <f aca="false">IF(ISBLANK(RawFinancials!C438),"",RawFinancials!C438)</f>
        <v>17180</v>
      </c>
      <c r="D438" s="0" t="n">
        <f aca="false">IF(ISBLANK(RawFinancials!D438),"",RawFinancials!D438)</f>
        <v>1184689</v>
      </c>
      <c r="E438" s="0" t="n">
        <f aca="false">IF(ISBLANK(RawFinancials!E438),"",RawFinancials!E438)</f>
        <v>0.13</v>
      </c>
      <c r="F438" s="0" t="n">
        <f aca="false">IF(ISBLANK(RawFinancials!F438),"",RawFinancials!F438)</f>
        <v>137543</v>
      </c>
      <c r="G438" s="0" t="n">
        <f aca="false">IF(ISBLANK(RawFinancials!G438),"",RawFinancials!G438)</f>
        <v>8.29257675621056</v>
      </c>
      <c r="H438" s="0" t="str">
        <f aca="false">IF(ISBLANK(RawFinancials!H438),"",RawFinancials!H438)</f>
        <v>17180_20240331</v>
      </c>
      <c r="I438" s="0" t="n">
        <f aca="false">IF(ISBLANK(RawFinancials!I438),"",RawFinancials!I438)</f>
        <v>0.985514879460849</v>
      </c>
      <c r="J438" s="0" t="n">
        <f aca="false">IF(ISBLANK(RawFinancials!J438),"",RawFinancials!J438)</f>
        <v>54013</v>
      </c>
      <c r="K438" s="0" t="n">
        <f aca="false">IF(ISBLANK(RawFinancials!K438),"",RawFinancials!K438)</f>
        <v>183116</v>
      </c>
      <c r="L438" s="0" t="n">
        <f aca="false">IF(ISBLANK(RawFinancials!L438),"",RawFinancials!L438)</f>
        <v>1488562</v>
      </c>
      <c r="M438" s="0" t="n">
        <f aca="false">IF(ISBLANK(RawFinancials!M438),"",RawFinancials!M438)</f>
        <v>1473892</v>
      </c>
      <c r="N438" s="0" t="n">
        <f aca="false">IF(ISBLANK(RawFinancials!N438),"",RawFinancials!N438)</f>
        <v>1225328</v>
      </c>
      <c r="O438" s="0" t="n">
        <f aca="false">IF(ISBLANK(RawFinancials!O438),"",RawFinancials!O438)</f>
        <v>6109</v>
      </c>
      <c r="P438" s="0" t="str">
        <f aca="false">IF(ISBLANK(RawFinancials!P438),"",RawFinancials!P438)</f>
        <v>MEREDITH VILLAGE SAVINGS BANK</v>
      </c>
      <c r="Q438" s="0" t="n">
        <f aca="false">IF(ISBLANK(RawFinancials!Q438),"",RawFinancials!Q438)</f>
        <v>0.410396073525993</v>
      </c>
      <c r="R438" s="0" t="n">
        <f aca="false">IF(ISBLANK(RawFinancials!R438),"",RawFinancials!R438)</f>
        <v>2.65361488045845</v>
      </c>
      <c r="S438" s="0" t="n">
        <f aca="false">IF(ISBLANK(RawFinancials!S438),"",RawFinancials!S438)</f>
        <v>108</v>
      </c>
      <c r="T438" s="0" t="n">
        <f aca="false">IF(ISBLANK(RawFinancials!T438),"",RawFinancials!T438)</f>
        <v>1366</v>
      </c>
      <c r="U438" s="0" t="n">
        <f aca="false">IF(ISBLANK(RawFinancials!U438),"",RawFinancials!U438)</f>
        <v>0</v>
      </c>
      <c r="V438" s="0" t="n">
        <f aca="false">IF(ISBLANK(RawFinancials!V438),"",RawFinancials!V438)</f>
        <v>14.3313029893451</v>
      </c>
      <c r="W438" s="0" t="n">
        <f aca="false">IF(ISBLANK(RawFinancials!W438),"",RawFinancials!W438)</f>
        <v>20240331</v>
      </c>
      <c r="X438" s="0" t="n">
        <f aca="false">IF(ISBLANK(RawFinancials!X438),"",RawFinancials!X438)</f>
        <v>0.387207231428846</v>
      </c>
      <c r="Y438" s="0" t="n">
        <f aca="false">IF(ISBLANK(RawFinancials!Y438),"",RawFinancials!Y438)</f>
        <v>4.65</v>
      </c>
      <c r="Z438" s="0" t="str">
        <f aca="false">IF(ISBLANK(RawFinancials!Z438),"",RawFinancials!Z438)</f>
        <v>NH</v>
      </c>
      <c r="AA438" s="0" t="n">
        <f aca="false">RawFinancials!AA438</f>
        <v>1</v>
      </c>
      <c r="AB438" s="0" t="n">
        <f aca="false">RawFinancials!AB438</f>
        <v>6109</v>
      </c>
      <c r="AC438" s="0" t="n">
        <f aca="false">RawFinancials!AC438</f>
        <v>0.368316463969015</v>
      </c>
      <c r="AD438" s="0" t="n">
        <f aca="false">IF(L438&gt;0,100*N438/L438,"")</f>
        <v>82.3162219645537</v>
      </c>
      <c r="AE438" s="0" t="n">
        <f aca="false">IF(B438&gt;0,100*F438/B438,"")</f>
        <v>8.29257675621055</v>
      </c>
      <c r="AF438" s="0" t="str">
        <f aca="false">RawFinancials!AE438</f>
        <v/>
      </c>
    </row>
    <row r="439" customFormat="false" ht="15" hidden="false" customHeight="false" outlineLevel="0" collapsed="false">
      <c r="A439" s="0" t="n">
        <f aca="false">IF(ISBLANK(RawFinancials!A439),"",RawFinancials!A439)</f>
        <v>439</v>
      </c>
      <c r="B439" s="0" t="n">
        <f aca="false">IF(ISBLANK(RawFinancials!B439),"",RawFinancials!B439)</f>
        <v>343636</v>
      </c>
      <c r="C439" s="0" t="n">
        <f aca="false">IF(ISBLANK(RawFinancials!C439),"",RawFinancials!C439)</f>
        <v>17443</v>
      </c>
      <c r="D439" s="0" t="n">
        <f aca="false">IF(ISBLANK(RawFinancials!D439),"",RawFinancials!D439)</f>
        <v>303567</v>
      </c>
      <c r="E439" s="0" t="n">
        <f aca="false">IF(ISBLANK(RawFinancials!E439),"",RawFinancials!E439)</f>
        <v>-0.07</v>
      </c>
      <c r="F439" s="0" t="n">
        <f aca="false">IF(ISBLANK(RawFinancials!F439),"",RawFinancials!F439)</f>
        <v>38886</v>
      </c>
      <c r="G439" s="0" t="n">
        <f aca="false">IF(ISBLANK(RawFinancials!G439),"",RawFinancials!G439)</f>
        <v>11.3160437206812</v>
      </c>
      <c r="H439" s="0" t="str">
        <f aca="false">IF(ISBLANK(RawFinancials!H439),"",RawFinancials!H439)</f>
        <v>17443_20240331</v>
      </c>
      <c r="I439" s="0" t="n">
        <f aca="false">IF(ISBLANK(RawFinancials!I439),"",RawFinancials!I439)</f>
        <v>0.825663372655385</v>
      </c>
      <c r="J439" s="0" t="n">
        <f aca="false">IF(ISBLANK(RawFinancials!J439),"",RawFinancials!J439)</f>
        <v>0</v>
      </c>
      <c r="K439" s="0" t="n">
        <f aca="false">IF(ISBLANK(RawFinancials!K439),"",RawFinancials!K439)</f>
        <v>725</v>
      </c>
      <c r="L439" s="0" t="n">
        <f aca="false">IF(ISBLANK(RawFinancials!L439),"",RawFinancials!L439)</f>
        <v>200566</v>
      </c>
      <c r="M439" s="0" t="n">
        <f aca="false">IF(ISBLANK(RawFinancials!M439),"",RawFinancials!M439)</f>
        <v>198910</v>
      </c>
      <c r="N439" s="0" t="n">
        <f aca="false">IF(ISBLANK(RawFinancials!N439),"",RawFinancials!N439)</f>
        <v>198841</v>
      </c>
      <c r="O439" s="0" t="n">
        <f aca="false">IF(ISBLANK(RawFinancials!O439),"",RawFinancials!O439)</f>
        <v>1048</v>
      </c>
      <c r="P439" s="0" t="str">
        <f aca="false">IF(ISBLANK(RawFinancials!P439),"",RawFinancials!P439)</f>
        <v>PISCATAQUA SAVINGS BANK</v>
      </c>
      <c r="Q439" s="0" t="n">
        <f aca="false">IF(ISBLANK(RawFinancials!Q439),"",RawFinancials!Q439)</f>
        <v>0.522521264820558</v>
      </c>
      <c r="R439" s="0" t="n">
        <f aca="false">IF(ISBLANK(RawFinancials!R439),"",RawFinancials!R439)</f>
        <v>1.18845740550462</v>
      </c>
      <c r="S439" s="0" t="n">
        <f aca="false">IF(ISBLANK(RawFinancials!S439),"",RawFinancials!S439)</f>
        <v>0</v>
      </c>
      <c r="T439" s="0" t="n">
        <f aca="false">IF(ISBLANK(RawFinancials!T439),"",RawFinancials!T439)</f>
        <v>366</v>
      </c>
      <c r="U439" s="0" t="n">
        <f aca="false">IF(ISBLANK(RawFinancials!U439),"",RawFinancials!U439)</f>
        <v>0</v>
      </c>
      <c r="V439" s="0" t="n">
        <f aca="false">IF(ISBLANK(RawFinancials!V439),"",RawFinancials!V439)</f>
        <v>0</v>
      </c>
      <c r="W439" s="0" t="n">
        <f aca="false">IF(ISBLANK(RawFinancials!W439),"",RawFinancials!W439)</f>
        <v>20240331</v>
      </c>
      <c r="X439" s="0" t="n">
        <f aca="false">IF(ISBLANK(RawFinancials!X439),"",RawFinancials!X439)</f>
        <v>-0.50316710300389</v>
      </c>
      <c r="Y439" s="0" t="n">
        <f aca="false">IF(ISBLANK(RawFinancials!Y439),"",RawFinancials!Y439)</f>
        <v>-4.42</v>
      </c>
      <c r="Z439" s="0" t="str">
        <f aca="false">IF(ISBLANK(RawFinancials!Z439),"",RawFinancials!Z439)</f>
        <v>NH</v>
      </c>
      <c r="AA439" s="0" t="n">
        <f aca="false">RawFinancials!AA439</f>
        <v>1</v>
      </c>
      <c r="AB439" s="0" t="n">
        <f aca="false">RawFinancials!AB439</f>
        <v>1048</v>
      </c>
      <c r="AC439" s="0" t="n">
        <f aca="false">RawFinancials!AC439</f>
        <v>0.304973867697214</v>
      </c>
      <c r="AD439" s="0" t="n">
        <f aca="false">IF(L439&gt;0,100*N439/L439,"")</f>
        <v>99.1399339868173</v>
      </c>
      <c r="AE439" s="0" t="n">
        <f aca="false">IF(B439&gt;0,100*F439/B439,"")</f>
        <v>11.3160437206812</v>
      </c>
      <c r="AF439" s="0" t="str">
        <f aca="false">RawFinancials!AE439</f>
        <v>原始0：需核实适用/报告口径</v>
      </c>
    </row>
    <row r="440" customFormat="false" ht="15" hidden="false" customHeight="false" outlineLevel="0" collapsed="false">
      <c r="A440" s="0" t="n">
        <f aca="false">IF(ISBLANK(RawFinancials!A440),"",RawFinancials!A440)</f>
        <v>440</v>
      </c>
      <c r="B440" s="0" t="n">
        <f aca="false">IF(ISBLANK(RawFinancials!B440),"",RawFinancials!B440)</f>
        <v>1866220</v>
      </c>
      <c r="C440" s="0" t="n">
        <f aca="false">IF(ISBLANK(RawFinancials!C440),"",RawFinancials!C440)</f>
        <v>17658</v>
      </c>
      <c r="D440" s="0" t="n">
        <f aca="false">IF(ISBLANK(RawFinancials!D440),"",RawFinancials!D440)</f>
        <v>1503369</v>
      </c>
      <c r="E440" s="0" t="n">
        <f aca="false">IF(ISBLANK(RawFinancials!E440),"",RawFinancials!E440)</f>
        <v>-0.01</v>
      </c>
      <c r="F440" s="0" t="n">
        <f aca="false">IF(ISBLANK(RawFinancials!F440),"",RawFinancials!F440)</f>
        <v>208139</v>
      </c>
      <c r="G440" s="0" t="n">
        <f aca="false">IF(ISBLANK(RawFinancials!G440),"",RawFinancials!G440)</f>
        <v>11.1529723183762</v>
      </c>
      <c r="H440" s="0" t="str">
        <f aca="false">IF(ISBLANK(RawFinancials!H440),"",RawFinancials!H440)</f>
        <v>17658_20240331</v>
      </c>
      <c r="I440" s="0" t="n">
        <f aca="false">IF(ISBLANK(RawFinancials!I440),"",RawFinancials!I440)</f>
        <v>0.684069283706091</v>
      </c>
      <c r="J440" s="0" t="n">
        <f aca="false">IF(ISBLANK(RawFinancials!J440),"",RawFinancials!J440)</f>
        <v>99126</v>
      </c>
      <c r="K440" s="0" t="n">
        <f aca="false">IF(ISBLANK(RawFinancials!K440),"",RawFinancials!K440)</f>
        <v>78729</v>
      </c>
      <c r="L440" s="0" t="n">
        <f aca="false">IF(ISBLANK(RawFinancials!L440),"",RawFinancials!L440)</f>
        <v>1313902</v>
      </c>
      <c r="M440" s="0" t="n">
        <f aca="false">IF(ISBLANK(RawFinancials!M440),"",RawFinancials!M440)</f>
        <v>1304914</v>
      </c>
      <c r="N440" s="0" t="n">
        <f aca="false">IF(ISBLANK(RawFinancials!N440),"",RawFinancials!N440)</f>
        <v>1122390</v>
      </c>
      <c r="O440" s="0" t="n">
        <f aca="false">IF(ISBLANK(RawFinancials!O440),"",RawFinancials!O440)</f>
        <v>9256</v>
      </c>
      <c r="P440" s="0" t="str">
        <f aca="false">IF(ISBLANK(RawFinancials!P440),"",RawFinancials!P440)</f>
        <v>NORWAY SAVINGS BANK</v>
      </c>
      <c r="Q440" s="0" t="n">
        <f aca="false">IF(ISBLANK(RawFinancials!Q440),"",RawFinancials!Q440)</f>
        <v>0.733768576347399</v>
      </c>
      <c r="R440" s="0" t="n">
        <f aca="false">IF(ISBLANK(RawFinancials!R440),"",RawFinancials!R440)</f>
        <v>3.03780900395487</v>
      </c>
      <c r="S440" s="0" t="n">
        <f aca="false">IF(ISBLANK(RawFinancials!S440),"",RawFinancials!S440)</f>
        <v>-125</v>
      </c>
      <c r="T440" s="0" t="n">
        <f aca="false">IF(ISBLANK(RawFinancials!T440),"",RawFinancials!T440)</f>
        <v>2838</v>
      </c>
      <c r="U440" s="0" t="n">
        <f aca="false">IF(ISBLANK(RawFinancials!U440),"",RawFinancials!U440)</f>
        <v>385</v>
      </c>
      <c r="V440" s="0" t="n">
        <f aca="false">IF(ISBLANK(RawFinancials!V440),"",RawFinancials!V440)</f>
        <v>0</v>
      </c>
      <c r="W440" s="0" t="n">
        <f aca="false">IF(ISBLANK(RawFinancials!W440),"",RawFinancials!W440)</f>
        <v>20240331</v>
      </c>
      <c r="X440" s="0" t="n">
        <f aca="false">IF(ISBLANK(RawFinancials!X440),"",RawFinancials!X440)</f>
        <v>0.958254818606865</v>
      </c>
      <c r="Y440" s="0" t="n">
        <f aca="false">IF(ISBLANK(RawFinancials!Y440),"",RawFinancials!Y440)</f>
        <v>8.58</v>
      </c>
      <c r="Z440" s="0" t="str">
        <f aca="false">IF(ISBLANK(RawFinancials!Z440),"",RawFinancials!Z440)</f>
        <v>ME</v>
      </c>
      <c r="AA440" s="0" t="n">
        <f aca="false">RawFinancials!AA440</f>
        <v>1</v>
      </c>
      <c r="AB440" s="0" t="n">
        <f aca="false">RawFinancials!AB440</f>
        <v>9641</v>
      </c>
      <c r="AC440" s="0" t="n">
        <f aca="false">RawFinancials!AC440</f>
        <v>0.516605759235246</v>
      </c>
      <c r="AD440" s="0" t="n">
        <f aca="false">IF(L440&gt;0,100*N440/L440,"")</f>
        <v>85.4241792766888</v>
      </c>
      <c r="AE440" s="0" t="n">
        <f aca="false">IF(B440&gt;0,100*F440/B440,"")</f>
        <v>11.1529723183762</v>
      </c>
      <c r="AF440" s="0" t="str">
        <f aca="false">RawFinancials!AE440</f>
        <v>原始0：需核实适用/报告口径</v>
      </c>
    </row>
    <row r="441" customFormat="false" ht="15" hidden="false" customHeight="false" outlineLevel="0" collapsed="false">
      <c r="A441" s="0" t="n">
        <f aca="false">IF(ISBLANK(RawFinancials!A441),"",RawFinancials!A441)</f>
        <v>441</v>
      </c>
      <c r="B441" s="0" t="n">
        <f aca="false">IF(ISBLANK(RawFinancials!B441),"",RawFinancials!B441)</f>
        <v>1107414</v>
      </c>
      <c r="C441" s="0" t="n">
        <f aca="false">IF(ISBLANK(RawFinancials!C441),"",RawFinancials!C441)</f>
        <v>17741</v>
      </c>
      <c r="D441" s="0" t="n">
        <f aca="false">IF(ISBLANK(RawFinancials!D441),"",RawFinancials!D441)</f>
        <v>821220</v>
      </c>
      <c r="E441" s="0" t="n">
        <f aca="false">IF(ISBLANK(RawFinancials!E441),"",RawFinancials!E441)</f>
        <v>0.04</v>
      </c>
      <c r="F441" s="0" t="n">
        <f aca="false">IF(ISBLANK(RawFinancials!F441),"",RawFinancials!F441)</f>
        <v>140357</v>
      </c>
      <c r="G441" s="0" t="n">
        <f aca="false">IF(ISBLANK(RawFinancials!G441),"",RawFinancials!G441)</f>
        <v>12.6743024740522</v>
      </c>
      <c r="H441" s="0" t="str">
        <f aca="false">IF(ISBLANK(RawFinancials!H441),"",RawFinancials!H441)</f>
        <v>17741_20240331</v>
      </c>
      <c r="I441" s="0" t="n">
        <f aca="false">IF(ISBLANK(RawFinancials!I441),"",RawFinancials!I441)</f>
        <v>0.959463787197014</v>
      </c>
      <c r="J441" s="0" t="n">
        <f aca="false">IF(ISBLANK(RawFinancials!J441),"",RawFinancials!J441)</f>
        <v>56338</v>
      </c>
      <c r="K441" s="0" t="n">
        <f aca="false">IF(ISBLANK(RawFinancials!K441),"",RawFinancials!K441)</f>
        <v>4181</v>
      </c>
      <c r="L441" s="0" t="n">
        <f aca="false">IF(ISBLANK(RawFinancials!L441),"",RawFinancials!L441)</f>
        <v>927393</v>
      </c>
      <c r="M441" s="0" t="n">
        <f aca="false">IF(ISBLANK(RawFinancials!M441),"",RawFinancials!M441)</f>
        <v>918495</v>
      </c>
      <c r="N441" s="0" t="n">
        <f aca="false">IF(ISBLANK(RawFinancials!N441),"",RawFinancials!N441)</f>
        <v>863345</v>
      </c>
      <c r="O441" s="0" t="n">
        <f aca="false">IF(ISBLANK(RawFinancials!O441),"",RawFinancials!O441)</f>
        <v>7415</v>
      </c>
      <c r="P441" s="0" t="str">
        <f aca="false">IF(ISBLANK(RawFinancials!P441),"",RawFinancials!P441)</f>
        <v>MAINE COMMUNITY BANK</v>
      </c>
      <c r="Q441" s="0" t="n">
        <f aca="false">IF(ISBLANK(RawFinancials!Q441),"",RawFinancials!Q441)</f>
        <v>0.799553155997511</v>
      </c>
      <c r="R441" s="0" t="n">
        <f aca="false">IF(ISBLANK(RawFinancials!R441),"",RawFinancials!R441)</f>
        <v>2.9839273577202</v>
      </c>
      <c r="S441" s="0" t="n">
        <f aca="false">IF(ISBLANK(RawFinancials!S441),"",RawFinancials!S441)</f>
        <v>48</v>
      </c>
      <c r="T441" s="0" t="n">
        <f aca="false">IF(ISBLANK(RawFinancials!T441),"",RawFinancials!T441)</f>
        <v>2790</v>
      </c>
      <c r="U441" s="0" t="n">
        <f aca="false">IF(ISBLANK(RawFinancials!U441),"",RawFinancials!U441)</f>
        <v>0</v>
      </c>
      <c r="V441" s="0" t="n">
        <f aca="false">IF(ISBLANK(RawFinancials!V441),"",RawFinancials!V441)</f>
        <v>0</v>
      </c>
      <c r="W441" s="0" t="n">
        <f aca="false">IF(ISBLANK(RawFinancials!W441),"",RawFinancials!W441)</f>
        <v>20240331</v>
      </c>
      <c r="X441" s="0" t="n">
        <f aca="false">IF(ISBLANK(RawFinancials!X441),"",RawFinancials!X441)</f>
        <v>0.564580253103116</v>
      </c>
      <c r="Y441" s="0" t="n">
        <f aca="false">IF(ISBLANK(RawFinancials!Y441),"",RawFinancials!Y441)</f>
        <v>4.43</v>
      </c>
      <c r="Z441" s="0" t="str">
        <f aca="false">IF(ISBLANK(RawFinancials!Z441),"",RawFinancials!Z441)</f>
        <v>ME</v>
      </c>
      <c r="AA441" s="0" t="n">
        <f aca="false">RawFinancials!AA441</f>
        <v>1</v>
      </c>
      <c r="AB441" s="0" t="n">
        <f aca="false">RawFinancials!AB441</f>
        <v>7415</v>
      </c>
      <c r="AC441" s="0" t="n">
        <f aca="false">RawFinancials!AC441</f>
        <v>0.669577953683085</v>
      </c>
      <c r="AD441" s="0" t="n">
        <f aca="false">IF(L441&gt;0,100*N441/L441,"")</f>
        <v>93.0937585252423</v>
      </c>
      <c r="AE441" s="0" t="n">
        <f aca="false">IF(B441&gt;0,100*F441/B441,"")</f>
        <v>12.6743024740522</v>
      </c>
      <c r="AF441" s="0" t="str">
        <f aca="false">RawFinancials!AE441</f>
        <v>原始0：需核实适用/报告口径</v>
      </c>
    </row>
    <row r="442" customFormat="false" ht="15" hidden="false" customHeight="false" outlineLevel="0" collapsed="false">
      <c r="A442" s="0" t="n">
        <f aca="false">IF(ISBLANK(RawFinancials!A442),"",RawFinancials!A442)</f>
        <v>442</v>
      </c>
      <c r="B442" s="0" t="n">
        <f aca="false">IF(ISBLANK(RawFinancials!B442),"",RawFinancials!B442)</f>
        <v>1393711</v>
      </c>
      <c r="C442" s="0" t="n">
        <f aca="false">IF(ISBLANK(RawFinancials!C442),"",RawFinancials!C442)</f>
        <v>17743</v>
      </c>
      <c r="D442" s="0" t="n">
        <f aca="false">IF(ISBLANK(RawFinancials!D442),"",RawFinancials!D442)</f>
        <v>978717</v>
      </c>
      <c r="E442" s="0" t="n">
        <f aca="false">IF(ISBLANK(RawFinancials!E442),"",RawFinancials!E442)</f>
        <v>-0.01</v>
      </c>
      <c r="F442" s="0" t="n">
        <f aca="false">IF(ISBLANK(RawFinancials!F442),"",RawFinancials!F442)</f>
        <v>122061</v>
      </c>
      <c r="G442" s="0" t="n">
        <f aca="false">IF(ISBLANK(RawFinancials!G442),"",RawFinancials!G442)</f>
        <v>8.75798497679935</v>
      </c>
      <c r="H442" s="0" t="str">
        <f aca="false">IF(ISBLANK(RawFinancials!H442),"",RawFinancials!H442)</f>
        <v>17743_20240331</v>
      </c>
      <c r="I442" s="0" t="n">
        <f aca="false">IF(ISBLANK(RawFinancials!I442),"",RawFinancials!I442)</f>
        <v>0.426144114191345</v>
      </c>
      <c r="J442" s="0" t="n">
        <f aca="false">IF(ISBLANK(RawFinancials!J442),"",RawFinancials!J442)</f>
        <v>15543</v>
      </c>
      <c r="K442" s="0" t="n">
        <f aca="false">IF(ISBLANK(RawFinancials!K442),"",RawFinancials!K442)</f>
        <v>9685</v>
      </c>
      <c r="L442" s="0" t="n">
        <f aca="false">IF(ISBLANK(RawFinancials!L442),"",RawFinancials!L442)</f>
        <v>1099628</v>
      </c>
      <c r="M442" s="0" t="n">
        <f aca="false">IF(ISBLANK(RawFinancials!M442),"",RawFinancials!M442)</f>
        <v>1094942</v>
      </c>
      <c r="N442" s="0" t="n">
        <f aca="false">IF(ISBLANK(RawFinancials!N442),"",RawFinancials!N442)</f>
        <v>1062851</v>
      </c>
      <c r="O442" s="0" t="n">
        <f aca="false">IF(ISBLANK(RawFinancials!O442),"",RawFinancials!O442)</f>
        <v>3695</v>
      </c>
      <c r="P442" s="0" t="str">
        <f aca="false">IF(ISBLANK(RawFinancials!P442),"",RawFinancials!P442)</f>
        <v>SACO &amp; BIDDEFORD SAVINGS INSTITUTION</v>
      </c>
      <c r="Q442" s="0" t="n">
        <f aca="false">IF(ISBLANK(RawFinancials!Q442),"",RawFinancials!Q442)</f>
        <v>0.33602272768609</v>
      </c>
      <c r="R442" s="0" t="n">
        <f aca="false">IF(ISBLANK(RawFinancials!R442),"",RawFinancials!R442)</f>
        <v>1.83483584309946</v>
      </c>
      <c r="S442" s="0" t="n">
        <f aca="false">IF(ISBLANK(RawFinancials!S442),"",RawFinancials!S442)</f>
        <v>-2</v>
      </c>
      <c r="T442" s="0" t="n">
        <f aca="false">IF(ISBLANK(RawFinancials!T442),"",RawFinancials!T442)</f>
        <v>8713</v>
      </c>
      <c r="U442" s="0" t="n">
        <f aca="false">IF(ISBLANK(RawFinancials!U442),"",RawFinancials!U442)</f>
        <v>0</v>
      </c>
      <c r="V442" s="0" t="n">
        <f aca="false">IF(ISBLANK(RawFinancials!V442),"",RawFinancials!V442)</f>
        <v>0</v>
      </c>
      <c r="W442" s="0" t="n">
        <f aca="false">IF(ISBLANK(RawFinancials!W442),"",RawFinancials!W442)</f>
        <v>20240331</v>
      </c>
      <c r="X442" s="0" t="n">
        <f aca="false">IF(ISBLANK(RawFinancials!X442),"",RawFinancials!X442)</f>
        <v>-0.0366187223309691</v>
      </c>
      <c r="Y442" s="0" t="n">
        <f aca="false">IF(ISBLANK(RawFinancials!Y442),"",RawFinancials!Y442)</f>
        <v>-0.42</v>
      </c>
      <c r="Z442" s="0" t="str">
        <f aca="false">IF(ISBLANK(RawFinancials!Z442),"",RawFinancials!Z442)</f>
        <v>ME</v>
      </c>
      <c r="AA442" s="0" t="n">
        <f aca="false">RawFinancials!AA442</f>
        <v>1</v>
      </c>
      <c r="AB442" s="0" t="n">
        <f aca="false">RawFinancials!AB442</f>
        <v>3695</v>
      </c>
      <c r="AC442" s="0" t="n">
        <f aca="false">RawFinancials!AC442</f>
        <v>0.265119526214545</v>
      </c>
      <c r="AD442" s="0" t="n">
        <f aca="false">IF(L442&gt;0,100*N442/L442,"")</f>
        <v>96.6555053163433</v>
      </c>
      <c r="AE442" s="0" t="n">
        <f aca="false">IF(B442&gt;0,100*F442/B442,"")</f>
        <v>8.75798497679935</v>
      </c>
      <c r="AF442" s="0" t="str">
        <f aca="false">RawFinancials!AE442</f>
        <v>原始0：需核实适用/报告口径</v>
      </c>
    </row>
    <row r="443" customFormat="false" ht="15" hidden="false" customHeight="false" outlineLevel="0" collapsed="false">
      <c r="A443" s="0" t="n">
        <f aca="false">IF(ISBLANK(RawFinancials!A443),"",RawFinancials!A443)</f>
        <v>443</v>
      </c>
      <c r="B443" s="0" t="n">
        <f aca="false">IF(ISBLANK(RawFinancials!B443),"",RawFinancials!B443)</f>
        <v>1644996</v>
      </c>
      <c r="C443" s="0" t="n">
        <f aca="false">IF(ISBLANK(RawFinancials!C443),"",RawFinancials!C443)</f>
        <v>17748</v>
      </c>
      <c r="D443" s="0" t="n">
        <f aca="false">IF(ISBLANK(RawFinancials!D443),"",RawFinancials!D443)</f>
        <v>1346317</v>
      </c>
      <c r="E443" s="0" t="n">
        <f aca="false">IF(ISBLANK(RawFinancials!E443),"",RawFinancials!E443)</f>
        <v>0.03</v>
      </c>
      <c r="F443" s="0" t="n">
        <f aca="false">IF(ISBLANK(RawFinancials!F443),"",RawFinancials!F443)</f>
        <v>112176</v>
      </c>
      <c r="G443" s="0" t="n">
        <f aca="false">IF(ISBLANK(RawFinancials!G443),"",RawFinancials!G443)</f>
        <v>6.81922630814908</v>
      </c>
      <c r="H443" s="0" t="str">
        <f aca="false">IF(ISBLANK(RawFinancials!H443),"",RawFinancials!H443)</f>
        <v>17748_20240331</v>
      </c>
      <c r="I443" s="0" t="n">
        <f aca="false">IF(ISBLANK(RawFinancials!I443),"",RawFinancials!I443)</f>
        <v>0.770771997075619</v>
      </c>
      <c r="J443" s="0" t="n">
        <f aca="false">IF(ISBLANK(RawFinancials!J443),"",RawFinancials!J443)</f>
        <v>176024</v>
      </c>
      <c r="K443" s="0" t="n">
        <f aca="false">IF(ISBLANK(RawFinancials!K443),"",RawFinancials!K443)</f>
        <v>3218</v>
      </c>
      <c r="L443" s="0" t="n">
        <f aca="false">IF(ISBLANK(RawFinancials!L443),"",RawFinancials!L443)</f>
        <v>1265225</v>
      </c>
      <c r="M443" s="0" t="n">
        <f aca="false">IF(ISBLANK(RawFinancials!M443),"",RawFinancials!M443)</f>
        <v>1255473</v>
      </c>
      <c r="N443" s="0" t="n">
        <f aca="false">IF(ISBLANK(RawFinancials!N443),"",RawFinancials!N443)</f>
        <v>1052324</v>
      </c>
      <c r="O443" s="0" t="n">
        <f aca="false">IF(ISBLANK(RawFinancials!O443),"",RawFinancials!O443)</f>
        <v>9414</v>
      </c>
      <c r="P443" s="0" t="str">
        <f aca="false">IF(ISBLANK(RawFinancials!P443),"",RawFinancials!P443)</f>
        <v>GORHAM SAVINGS BANK</v>
      </c>
      <c r="Q443" s="0" t="n">
        <f aca="false">IF(ISBLANK(RawFinancials!Q443),"",RawFinancials!Q443)</f>
        <v>0.744057381098224</v>
      </c>
      <c r="R443" s="0" t="n">
        <f aca="false">IF(ISBLANK(RawFinancials!R443),"",RawFinancials!R443)</f>
        <v>2.34329764353995</v>
      </c>
      <c r="S443" s="0" t="n">
        <f aca="false">IF(ISBLANK(RawFinancials!S443),"",RawFinancials!S443)</f>
        <v>326</v>
      </c>
      <c r="T443" s="0" t="n">
        <f aca="false">IF(ISBLANK(RawFinancials!T443),"",RawFinancials!T443)</f>
        <v>726</v>
      </c>
      <c r="U443" s="0" t="n">
        <f aca="false">IF(ISBLANK(RawFinancials!U443),"",RawFinancials!U443)</f>
        <v>0</v>
      </c>
      <c r="V443" s="0" t="n">
        <f aca="false">IF(ISBLANK(RawFinancials!V443),"",RawFinancials!V443)</f>
        <v>0</v>
      </c>
      <c r="W443" s="0" t="n">
        <f aca="false">IF(ISBLANK(RawFinancials!W443),"",RawFinancials!W443)</f>
        <v>20240331</v>
      </c>
      <c r="X443" s="0" t="n">
        <f aca="false">IF(ISBLANK(RawFinancials!X443),"",RawFinancials!X443)</f>
        <v>0.186368991289905</v>
      </c>
      <c r="Y443" s="0" t="n">
        <f aca="false">IF(ISBLANK(RawFinancials!Y443),"",RawFinancials!Y443)</f>
        <v>2.73</v>
      </c>
      <c r="Z443" s="0" t="str">
        <f aca="false">IF(ISBLANK(RawFinancials!Z443),"",RawFinancials!Z443)</f>
        <v>ME</v>
      </c>
      <c r="AA443" s="0" t="n">
        <f aca="false">RawFinancials!AA443</f>
        <v>1</v>
      </c>
      <c r="AB443" s="0" t="n">
        <f aca="false">RawFinancials!AB443</f>
        <v>9414</v>
      </c>
      <c r="AC443" s="0" t="n">
        <f aca="false">RawFinancials!AC443</f>
        <v>0.572281026823165</v>
      </c>
      <c r="AD443" s="0" t="n">
        <f aca="false">IF(L443&gt;0,100*N443/L443,"")</f>
        <v>83.1728743899306</v>
      </c>
      <c r="AE443" s="0" t="n">
        <f aca="false">IF(B443&gt;0,100*F443/B443,"")</f>
        <v>6.81922630814908</v>
      </c>
      <c r="AF443" s="0" t="str">
        <f aca="false">RawFinancials!AE443</f>
        <v>原始0：需核实适用/报告口径</v>
      </c>
    </row>
    <row r="444" customFormat="false" ht="15" hidden="false" customHeight="false" outlineLevel="0" collapsed="false">
      <c r="A444" s="0" t="n">
        <f aca="false">IF(ISBLANK(RawFinancials!A444),"",RawFinancials!A444)</f>
        <v>444</v>
      </c>
      <c r="B444" s="0" t="n">
        <f aca="false">IF(ISBLANK(RawFinancials!B444),"",RawFinancials!B444)</f>
        <v>1350095</v>
      </c>
      <c r="C444" s="0" t="n">
        <f aca="false">IF(ISBLANK(RawFinancials!C444),"",RawFinancials!C444)</f>
        <v>17749</v>
      </c>
      <c r="D444" s="0" t="n">
        <f aca="false">IF(ISBLANK(RawFinancials!D444),"",RawFinancials!D444)</f>
        <v>1048039</v>
      </c>
      <c r="E444" s="0" t="n">
        <f aca="false">IF(ISBLANK(RawFinancials!E444),"",RawFinancials!E444)</f>
        <v>0.07</v>
      </c>
      <c r="F444" s="0" t="n">
        <f aca="false">IF(ISBLANK(RawFinancials!F444),"",RawFinancials!F444)</f>
        <v>173084</v>
      </c>
      <c r="G444" s="0" t="n">
        <f aca="false">IF(ISBLANK(RawFinancials!G444),"",RawFinancials!G444)</f>
        <v>12.8201348793974</v>
      </c>
      <c r="H444" s="0" t="str">
        <f aca="false">IF(ISBLANK(RawFinancials!H444),"",RawFinancials!H444)</f>
        <v>17749_20240331</v>
      </c>
      <c r="I444" s="0" t="n">
        <f aca="false">IF(ISBLANK(RawFinancials!I444),"",RawFinancials!I444)</f>
        <v>1.37475437631579</v>
      </c>
      <c r="J444" s="0" t="n">
        <f aca="false">IF(ISBLANK(RawFinancials!J444),"",RawFinancials!J444)</f>
        <v>50316</v>
      </c>
      <c r="K444" s="0" t="n">
        <f aca="false">IF(ISBLANK(RawFinancials!K444),"",RawFinancials!K444)</f>
        <v>10949</v>
      </c>
      <c r="L444" s="0" t="n">
        <f aca="false">IF(ISBLANK(RawFinancials!L444),"",RawFinancials!L444)</f>
        <v>812727</v>
      </c>
      <c r="M444" s="0" t="n">
        <f aca="false">IF(ISBLANK(RawFinancials!M444),"",RawFinancials!M444)</f>
        <v>801554</v>
      </c>
      <c r="N444" s="0" t="n">
        <f aca="false">IF(ISBLANK(RawFinancials!N444),"",RawFinancials!N444)</f>
        <v>738584</v>
      </c>
      <c r="O444" s="0" t="n">
        <f aca="false">IF(ISBLANK(RawFinancials!O444),"",RawFinancials!O444)</f>
        <v>546</v>
      </c>
      <c r="P444" s="0" t="str">
        <f aca="false">IF(ISBLANK(RawFinancials!P444),"",RawFinancials!P444)</f>
        <v>BATH SAVINGS INSTITUTION</v>
      </c>
      <c r="Q444" s="0" t="n">
        <f aca="false">IF(ISBLANK(RawFinancials!Q444),"",RawFinancials!Q444)</f>
        <v>0.0675503582383752</v>
      </c>
      <c r="R444" s="0" t="n">
        <f aca="false">IF(ISBLANK(RawFinancials!R444),"",RawFinancials!R444)</f>
        <v>2.50316352302883</v>
      </c>
      <c r="S444" s="0" t="n">
        <f aca="false">IF(ISBLANK(RawFinancials!S444),"",RawFinancials!S444)</f>
        <v>4</v>
      </c>
      <c r="T444" s="0" t="n">
        <f aca="false">IF(ISBLANK(RawFinancials!T444),"",RawFinancials!T444)</f>
        <v>361</v>
      </c>
      <c r="U444" s="0" t="n">
        <f aca="false">IF(ISBLANK(RawFinancials!U444),"",RawFinancials!U444)</f>
        <v>3</v>
      </c>
      <c r="V444" s="0" t="n">
        <f aca="false">IF(ISBLANK(RawFinancials!V444),"",RawFinancials!V444)</f>
        <v>0</v>
      </c>
      <c r="W444" s="0" t="n">
        <f aca="false">IF(ISBLANK(RawFinancials!W444),"",RawFinancials!W444)</f>
        <v>20240331</v>
      </c>
      <c r="X444" s="0" t="n">
        <f aca="false">IF(ISBLANK(RawFinancials!X444),"",RawFinancials!X444)</f>
        <v>1.20534836371594</v>
      </c>
      <c r="Y444" s="0" t="n">
        <f aca="false">IF(ISBLANK(RawFinancials!Y444),"",RawFinancials!Y444)</f>
        <v>9.44</v>
      </c>
      <c r="Z444" s="0" t="str">
        <f aca="false">IF(ISBLANK(RawFinancials!Z444),"",RawFinancials!Z444)</f>
        <v>ME</v>
      </c>
      <c r="AA444" s="0" t="n">
        <f aca="false">RawFinancials!AA444</f>
        <v>1</v>
      </c>
      <c r="AB444" s="0" t="n">
        <f aca="false">RawFinancials!AB444</f>
        <v>549</v>
      </c>
      <c r="AC444" s="0" t="n">
        <f aca="false">RawFinancials!AC444</f>
        <v>0.0406638051396383</v>
      </c>
      <c r="AD444" s="0" t="n">
        <f aca="false">IF(L444&gt;0,100*N444/L444,"")</f>
        <v>90.8772564465066</v>
      </c>
      <c r="AE444" s="0" t="n">
        <f aca="false">IF(B444&gt;0,100*F444/B444,"")</f>
        <v>12.8201348793974</v>
      </c>
      <c r="AF444" s="0" t="str">
        <f aca="false">RawFinancials!AE444</f>
        <v>原始0：需核实适用/报告口径</v>
      </c>
    </row>
    <row r="445" customFormat="false" ht="15" hidden="false" customHeight="false" outlineLevel="0" collapsed="false">
      <c r="A445" s="0" t="n">
        <f aca="false">IF(ISBLANK(RawFinancials!A445),"",RawFinancials!A445)</f>
        <v>445</v>
      </c>
      <c r="B445" s="0" t="n">
        <f aca="false">IF(ISBLANK(RawFinancials!B445),"",RawFinancials!B445)</f>
        <v>1632063</v>
      </c>
      <c r="C445" s="0" t="n">
        <f aca="false">IF(ISBLANK(RawFinancials!C445),"",RawFinancials!C445)</f>
        <v>17751</v>
      </c>
      <c r="D445" s="0" t="n">
        <f aca="false">IF(ISBLANK(RawFinancials!D445),"",RawFinancials!D445)</f>
        <v>1308912</v>
      </c>
      <c r="E445" s="0" t="n">
        <f aca="false">IF(ISBLANK(RawFinancials!E445),"",RawFinancials!E445)</f>
        <v>0.03</v>
      </c>
      <c r="F445" s="0" t="n">
        <f aca="false">IF(ISBLANK(RawFinancials!F445),"",RawFinancials!F445)</f>
        <v>138475</v>
      </c>
      <c r="G445" s="0" t="n">
        <f aca="false">IF(ISBLANK(RawFinancials!G445),"",RawFinancials!G445)</f>
        <v>8.48466021225896</v>
      </c>
      <c r="H445" s="0" t="str">
        <f aca="false">IF(ISBLANK(RawFinancials!H445),"",RawFinancials!H445)</f>
        <v>17751_20240331</v>
      </c>
      <c r="I445" s="0" t="n">
        <f aca="false">IF(ISBLANK(RawFinancials!I445),"",RawFinancials!I445)</f>
        <v>0.904967865233651</v>
      </c>
      <c r="J445" s="0" t="n">
        <f aca="false">IF(ISBLANK(RawFinancials!J445),"",RawFinancials!J445)</f>
        <v>135811</v>
      </c>
      <c r="K445" s="0" t="n">
        <f aca="false">IF(ISBLANK(RawFinancials!K445),"",RawFinancials!K445)</f>
        <v>2663</v>
      </c>
      <c r="L445" s="0" t="n">
        <f aca="false">IF(ISBLANK(RawFinancials!L445),"",RawFinancials!L445)</f>
        <v>1332202</v>
      </c>
      <c r="M445" s="0" t="n">
        <f aca="false">IF(ISBLANK(RawFinancials!M445),"",RawFinancials!M445)</f>
        <v>1320146</v>
      </c>
      <c r="N445" s="0" t="n">
        <f aca="false">IF(ISBLANK(RawFinancials!N445),"",RawFinancials!N445)</f>
        <v>1123971</v>
      </c>
      <c r="O445" s="0" t="n">
        <f aca="false">IF(ISBLANK(RawFinancials!O445),"",RawFinancials!O445)</f>
        <v>805</v>
      </c>
      <c r="P445" s="0" t="str">
        <f aca="false">IF(ISBLANK(RawFinancials!P445),"",RawFinancials!P445)</f>
        <v>ANDROSCOGGIN SAVINGS BANK</v>
      </c>
      <c r="Q445" s="0" t="n">
        <f aca="false">IF(ISBLANK(RawFinancials!Q445),"",RawFinancials!Q445)</f>
        <v>0.0604262716915302</v>
      </c>
      <c r="R445" s="0" t="n">
        <f aca="false">IF(ISBLANK(RawFinancials!R445),"",RawFinancials!R445)</f>
        <v>2.63611632629603</v>
      </c>
      <c r="S445" s="0" t="n">
        <f aca="false">IF(ISBLANK(RawFinancials!S445),"",RawFinancials!S445)</f>
        <v>-18</v>
      </c>
      <c r="T445" s="0" t="n">
        <f aca="false">IF(ISBLANK(RawFinancials!T445),"",RawFinancials!T445)</f>
        <v>2865</v>
      </c>
      <c r="U445" s="0" t="n">
        <f aca="false">IF(ISBLANK(RawFinancials!U445),"",RawFinancials!U445)</f>
        <v>0</v>
      </c>
      <c r="V445" s="0" t="n">
        <f aca="false">IF(ISBLANK(RawFinancials!V445),"",RawFinancials!V445)</f>
        <v>11.9941117035014</v>
      </c>
      <c r="W445" s="0" t="n">
        <f aca="false">IF(ISBLANK(RawFinancials!W445),"",RawFinancials!W445)</f>
        <v>20240331</v>
      </c>
      <c r="X445" s="0" t="n">
        <f aca="false">IF(ISBLANK(RawFinancials!X445),"",RawFinancials!X445)</f>
        <v>0.407671616049714</v>
      </c>
      <c r="Y445" s="0" t="n">
        <f aca="false">IF(ISBLANK(RawFinancials!Y445),"",RawFinancials!Y445)</f>
        <v>4.76</v>
      </c>
      <c r="Z445" s="0" t="str">
        <f aca="false">IF(ISBLANK(RawFinancials!Z445),"",RawFinancials!Z445)</f>
        <v>ME</v>
      </c>
      <c r="AA445" s="0" t="n">
        <f aca="false">RawFinancials!AA445</f>
        <v>1</v>
      </c>
      <c r="AB445" s="0" t="n">
        <f aca="false">RawFinancials!AB445</f>
        <v>805</v>
      </c>
      <c r="AC445" s="0" t="n">
        <f aca="false">RawFinancials!AC445</f>
        <v>0.0493240763377394</v>
      </c>
      <c r="AD445" s="0" t="n">
        <f aca="false">IF(L445&gt;0,100*N445/L445,"")</f>
        <v>84.3694124464608</v>
      </c>
      <c r="AE445" s="0" t="n">
        <f aca="false">IF(B445&gt;0,100*F445/B445,"")</f>
        <v>8.48466021225896</v>
      </c>
      <c r="AF445" s="0" t="str">
        <f aca="false">RawFinancials!AE445</f>
        <v/>
      </c>
    </row>
    <row r="446" customFormat="false" ht="15" hidden="false" customHeight="false" outlineLevel="0" collapsed="false">
      <c r="A446" s="0" t="n">
        <f aca="false">IF(ISBLANK(RawFinancials!A446),"",RawFinancials!A446)</f>
        <v>446</v>
      </c>
      <c r="B446" s="0" t="n">
        <f aca="false">IF(ISBLANK(RawFinancials!B446),"",RawFinancials!B446)</f>
        <v>1717181</v>
      </c>
      <c r="C446" s="0" t="n">
        <f aca="false">IF(ISBLANK(RawFinancials!C446),"",RawFinancials!C446)</f>
        <v>17897</v>
      </c>
      <c r="D446" s="0" t="n">
        <f aca="false">IF(ISBLANK(RawFinancials!D446),"",RawFinancials!D446)</f>
        <v>1296371</v>
      </c>
      <c r="E446" s="0" t="n">
        <f aca="false">IF(ISBLANK(RawFinancials!E446),"",RawFinancials!E446)</f>
        <v>-0.08</v>
      </c>
      <c r="F446" s="0" t="n">
        <f aca="false">IF(ISBLANK(RawFinancials!F446),"",RawFinancials!F446)</f>
        <v>211359</v>
      </c>
      <c r="G446" s="0" t="n">
        <f aca="false">IF(ISBLANK(RawFinancials!G446),"",RawFinancials!G446)</f>
        <v>12.3084869911792</v>
      </c>
      <c r="H446" s="0" t="str">
        <f aca="false">IF(ISBLANK(RawFinancials!H446),"",RawFinancials!H446)</f>
        <v>17897_20240331</v>
      </c>
      <c r="I446" s="0" t="n">
        <f aca="false">IF(ISBLANK(RawFinancials!I446),"",RawFinancials!I446)</f>
        <v>0.608158800279979</v>
      </c>
      <c r="J446" s="0" t="n">
        <f aca="false">IF(ISBLANK(RawFinancials!J446),"",RawFinancials!J446)</f>
        <v>73033</v>
      </c>
      <c r="K446" s="0" t="n">
        <f aca="false">IF(ISBLANK(RawFinancials!K446),"",RawFinancials!K446)</f>
        <v>3094</v>
      </c>
      <c r="L446" s="0" t="n">
        <f aca="false">IF(ISBLANK(RawFinancials!L446),"",RawFinancials!L446)</f>
        <v>1431534</v>
      </c>
      <c r="M446" s="0" t="n">
        <f aca="false">IF(ISBLANK(RawFinancials!M446),"",RawFinancials!M446)</f>
        <v>1422828</v>
      </c>
      <c r="N446" s="0" t="n">
        <f aca="false">IF(ISBLANK(RawFinancials!N446),"",RawFinancials!N446)</f>
        <v>1346782</v>
      </c>
      <c r="O446" s="0" t="n">
        <f aca="false">IF(ISBLANK(RawFinancials!O446),"",RawFinancials!O446)</f>
        <v>3411</v>
      </c>
      <c r="P446" s="0" t="str">
        <f aca="false">IF(ISBLANK(RawFinancials!P446),"",RawFinancials!P446)</f>
        <v>KENNEBEC SAVINGS BANK</v>
      </c>
      <c r="Q446" s="0" t="n">
        <f aca="false">IF(ISBLANK(RawFinancials!Q446),"",RawFinancials!Q446)</f>
        <v>0.238275863514244</v>
      </c>
      <c r="R446" s="0" t="n">
        <f aca="false">IF(ISBLANK(RawFinancials!R446),"",RawFinancials!R446)</f>
        <v>2.29920093008967</v>
      </c>
      <c r="S446" s="0" t="n">
        <f aca="false">IF(ISBLANK(RawFinancials!S446),"",RawFinancials!S446)</f>
        <v>-32</v>
      </c>
      <c r="T446" s="0" t="n">
        <f aca="false">IF(ISBLANK(RawFinancials!T446),"",RawFinancials!T446)</f>
        <v>2066</v>
      </c>
      <c r="U446" s="0" t="n">
        <f aca="false">IF(ISBLANK(RawFinancials!U446),"",RawFinancials!U446)</f>
        <v>0</v>
      </c>
      <c r="V446" s="0" t="n">
        <f aca="false">IF(ISBLANK(RawFinancials!V446),"",RawFinancials!V446)</f>
        <v>17.5420163258205</v>
      </c>
      <c r="W446" s="0" t="n">
        <f aca="false">IF(ISBLANK(RawFinancials!W446),"",RawFinancials!W446)</f>
        <v>20240331</v>
      </c>
      <c r="X446" s="0" t="n">
        <f aca="false">IF(ISBLANK(RawFinancials!X446),"",RawFinancials!X446)</f>
        <v>1.19917950261941</v>
      </c>
      <c r="Y446" s="0" t="n">
        <f aca="false">IF(ISBLANK(RawFinancials!Y446),"",RawFinancials!Y446)</f>
        <v>9.81</v>
      </c>
      <c r="Z446" s="0" t="str">
        <f aca="false">IF(ISBLANK(RawFinancials!Z446),"",RawFinancials!Z446)</f>
        <v>ME</v>
      </c>
      <c r="AA446" s="0" t="n">
        <f aca="false">RawFinancials!AA446</f>
        <v>1</v>
      </c>
      <c r="AB446" s="0" t="n">
        <f aca="false">RawFinancials!AB446</f>
        <v>3411</v>
      </c>
      <c r="AC446" s="0" t="n">
        <f aca="false">RawFinancials!AC446</f>
        <v>0.198639514413449</v>
      </c>
      <c r="AD446" s="0" t="n">
        <f aca="false">IF(L446&gt;0,100*N446/L446,"")</f>
        <v>94.0796376474467</v>
      </c>
      <c r="AE446" s="0" t="n">
        <f aca="false">IF(B446&gt;0,100*F446/B446,"")</f>
        <v>12.3084869911791</v>
      </c>
      <c r="AF446" s="0" t="str">
        <f aca="false">RawFinancials!AE446</f>
        <v/>
      </c>
    </row>
    <row r="447" customFormat="false" ht="15" hidden="false" customHeight="false" outlineLevel="0" collapsed="false">
      <c r="A447" s="0" t="n">
        <f aca="false">IF(ISBLANK(RawFinancials!A447),"",RawFinancials!A447)</f>
        <v>447</v>
      </c>
      <c r="B447" s="0" t="n">
        <f aca="false">IF(ISBLANK(RawFinancials!B447),"",RawFinancials!B447)</f>
        <v>794635</v>
      </c>
      <c r="C447" s="0" t="n">
        <f aca="false">IF(ISBLANK(RawFinancials!C447),"",RawFinancials!C447)</f>
        <v>17951</v>
      </c>
      <c r="D447" s="0" t="n">
        <f aca="false">IF(ISBLANK(RawFinancials!D447),"",RawFinancials!D447)</f>
        <v>661495</v>
      </c>
      <c r="E447" s="0" t="n">
        <f aca="false">IF(ISBLANK(RawFinancials!E447),"",RawFinancials!E447)</f>
        <v>-0.03</v>
      </c>
      <c r="F447" s="0" t="n">
        <f aca="false">IF(ISBLANK(RawFinancials!F447),"",RawFinancials!F447)</f>
        <v>61632</v>
      </c>
      <c r="G447" s="0" t="n">
        <f aca="false">IF(ISBLANK(RawFinancials!G447),"",RawFinancials!G447)</f>
        <v>7.75601376732714</v>
      </c>
      <c r="H447" s="0" t="str">
        <f aca="false">IF(ISBLANK(RawFinancials!H447),"",RawFinancials!H447)</f>
        <v>17951_20240331</v>
      </c>
      <c r="I447" s="0" t="n">
        <f aca="false">IF(ISBLANK(RawFinancials!I447),"",RawFinancials!I447)</f>
        <v>0.852312015857921</v>
      </c>
      <c r="J447" s="0" t="n">
        <f aca="false">IF(ISBLANK(RawFinancials!J447),"",RawFinancials!J447)</f>
        <v>27259</v>
      </c>
      <c r="K447" s="0" t="n">
        <f aca="false">IF(ISBLANK(RawFinancials!K447),"",RawFinancials!K447)</f>
        <v>1980</v>
      </c>
      <c r="L447" s="0" t="n">
        <f aca="false">IF(ISBLANK(RawFinancials!L447),"",RawFinancials!L447)</f>
        <v>585701</v>
      </c>
      <c r="M447" s="0" t="n">
        <f aca="false">IF(ISBLANK(RawFinancials!M447),"",RawFinancials!M447)</f>
        <v>580709</v>
      </c>
      <c r="N447" s="0" t="n">
        <f aca="false">IF(ISBLANK(RawFinancials!N447),"",RawFinancials!N447)</f>
        <v>544281</v>
      </c>
      <c r="O447" s="0" t="n">
        <f aca="false">IF(ISBLANK(RawFinancials!O447),"",RawFinancials!O447)</f>
        <v>174</v>
      </c>
      <c r="P447" s="0" t="str">
        <f aca="false">IF(ISBLANK(RawFinancials!P447),"",RawFinancials!P447)</f>
        <v>FRANKLIN SAVINGS BANK</v>
      </c>
      <c r="Q447" s="0" t="n">
        <f aca="false">IF(ISBLANK(RawFinancials!Q447),"",RawFinancials!Q447)</f>
        <v>0.0297079909373554</v>
      </c>
      <c r="R447" s="0" t="n">
        <f aca="false">IF(ISBLANK(RawFinancials!R447),"",RawFinancials!R447)</f>
        <v>2.50658748853139</v>
      </c>
      <c r="S447" s="0" t="n">
        <f aca="false">IF(ISBLANK(RawFinancials!S447),"",RawFinancials!S447)</f>
        <v>-125</v>
      </c>
      <c r="T447" s="0" t="n">
        <f aca="false">IF(ISBLANK(RawFinancials!T447),"",RawFinancials!T447)</f>
        <v>137</v>
      </c>
      <c r="U447" s="0" t="n">
        <f aca="false">IF(ISBLANK(RawFinancials!U447),"",RawFinancials!U447)</f>
        <v>0</v>
      </c>
      <c r="V447" s="0" t="n">
        <f aca="false">IF(ISBLANK(RawFinancials!V447),"",RawFinancials!V447)</f>
        <v>14.6324208046485</v>
      </c>
      <c r="W447" s="0" t="n">
        <f aca="false">IF(ISBLANK(RawFinancials!W447),"",RawFinancials!W447)</f>
        <v>20240331</v>
      </c>
      <c r="X447" s="0" t="n">
        <f aca="false">IF(ISBLANK(RawFinancials!X447),"",RawFinancials!X447)</f>
        <v>0.56026449342752</v>
      </c>
      <c r="Y447" s="0" t="n">
        <f aca="false">IF(ISBLANK(RawFinancials!Y447),"",RawFinancials!Y447)</f>
        <v>7.17</v>
      </c>
      <c r="Z447" s="0" t="str">
        <f aca="false">IF(ISBLANK(RawFinancials!Z447),"",RawFinancials!Z447)</f>
        <v>NH</v>
      </c>
      <c r="AA447" s="0" t="n">
        <f aca="false">RawFinancials!AA447</f>
        <v>1</v>
      </c>
      <c r="AB447" s="0" t="n">
        <f aca="false">RawFinancials!AB447</f>
        <v>174</v>
      </c>
      <c r="AC447" s="0" t="n">
        <f aca="false">RawFinancials!AC447</f>
        <v>0.0218968457216206</v>
      </c>
      <c r="AD447" s="0" t="n">
        <f aca="false">IF(L447&gt;0,100*N447/L447,"")</f>
        <v>92.9281322722686</v>
      </c>
      <c r="AE447" s="0" t="n">
        <f aca="false">IF(B447&gt;0,100*F447/B447,"")</f>
        <v>7.75601376732714</v>
      </c>
      <c r="AF447" s="0" t="str">
        <f aca="false">RawFinancials!AE447</f>
        <v/>
      </c>
    </row>
    <row r="448" customFormat="false" ht="15" hidden="false" customHeight="false" outlineLevel="0" collapsed="false">
      <c r="A448" s="0" t="n">
        <f aca="false">IF(ISBLANK(RawFinancials!A448),"",RawFinancials!A448)</f>
        <v>448</v>
      </c>
      <c r="B448" s="0" t="n">
        <f aca="false">IF(ISBLANK(RawFinancials!B448),"",RawFinancials!B448)</f>
        <v>1358652</v>
      </c>
      <c r="C448" s="0" t="n">
        <f aca="false">IF(ISBLANK(RawFinancials!C448),"",RawFinancials!C448)</f>
        <v>17960</v>
      </c>
      <c r="D448" s="0" t="n">
        <f aca="false">IF(ISBLANK(RawFinancials!D448),"",RawFinancials!D448)</f>
        <v>1003157</v>
      </c>
      <c r="E448" s="0" t="n">
        <f aca="false">IF(ISBLANK(RawFinancials!E448),"",RawFinancials!E448)</f>
        <v>0.07</v>
      </c>
      <c r="F448" s="0" t="n">
        <f aca="false">IF(ISBLANK(RawFinancials!F448),"",RawFinancials!F448)</f>
        <v>113634</v>
      </c>
      <c r="G448" s="0" t="n">
        <f aca="false">IF(ISBLANK(RawFinancials!G448),"",RawFinancials!G448)</f>
        <v>8.3637311099531</v>
      </c>
      <c r="H448" s="0" t="str">
        <f aca="false">IF(ISBLANK(RawFinancials!H448),"",RawFinancials!H448)</f>
        <v>17960_20240331</v>
      </c>
      <c r="I448" s="0" t="n">
        <f aca="false">IF(ISBLANK(RawFinancials!I448),"",RawFinancials!I448)</f>
        <v>0.98143999342281</v>
      </c>
      <c r="J448" s="0" t="n">
        <f aca="false">IF(ISBLANK(RawFinancials!J448),"",RawFinancials!J448)</f>
        <v>110468</v>
      </c>
      <c r="K448" s="0" t="n">
        <f aca="false">IF(ISBLANK(RawFinancials!K448),"",RawFinancials!K448)</f>
        <v>221886</v>
      </c>
      <c r="L448" s="0" t="n">
        <f aca="false">IF(ISBLANK(RawFinancials!L448),"",RawFinancials!L448)</f>
        <v>1167672</v>
      </c>
      <c r="M448" s="0" t="n">
        <f aca="false">IF(ISBLANK(RawFinancials!M448),"",RawFinancials!M448)</f>
        <v>1156212</v>
      </c>
      <c r="N448" s="0" t="n">
        <f aca="false">IF(ISBLANK(RawFinancials!N448),"",RawFinancials!N448)</f>
        <v>831348</v>
      </c>
      <c r="O448" s="0" t="n">
        <f aca="false">IF(ISBLANK(RawFinancials!O448),"",RawFinancials!O448)</f>
        <v>9231</v>
      </c>
      <c r="P448" s="0" t="str">
        <f aca="false">IF(ISBLANK(RawFinancials!P448),"",RawFinancials!P448)</f>
        <v>MERRIMACK COUNTY SAVINGS BANK</v>
      </c>
      <c r="Q448" s="0" t="n">
        <f aca="false">IF(ISBLANK(RawFinancials!Q448),"",RawFinancials!Q448)</f>
        <v>0.790547345487431</v>
      </c>
      <c r="R448" s="0" t="n">
        <f aca="false">IF(ISBLANK(RawFinancials!R448),"",RawFinancials!R448)</f>
        <v>2.71200769173513</v>
      </c>
      <c r="S448" s="0" t="n">
        <f aca="false">IF(ISBLANK(RawFinancials!S448),"",RawFinancials!S448)</f>
        <v>175</v>
      </c>
      <c r="T448" s="0" t="n">
        <f aca="false">IF(ISBLANK(RawFinancials!T448),"",RawFinancials!T448)</f>
        <v>2013</v>
      </c>
      <c r="U448" s="0" t="n">
        <f aca="false">IF(ISBLANK(RawFinancials!U448),"",RawFinancials!U448)</f>
        <v>0</v>
      </c>
      <c r="V448" s="0" t="n">
        <f aca="false">IF(ISBLANK(RawFinancials!V448),"",RawFinancials!V448)</f>
        <v>13.3536414605849</v>
      </c>
      <c r="W448" s="0" t="n">
        <f aca="false">IF(ISBLANK(RawFinancials!W448),"",RawFinancials!W448)</f>
        <v>20240331</v>
      </c>
      <c r="X448" s="0" t="n">
        <f aca="false">IF(ISBLANK(RawFinancials!X448),"",RawFinancials!X448)</f>
        <v>0.376099631197934</v>
      </c>
      <c r="Y448" s="0" t="n">
        <f aca="false">IF(ISBLANK(RawFinancials!Y448),"",RawFinancials!Y448)</f>
        <v>4.51</v>
      </c>
      <c r="Z448" s="0" t="str">
        <f aca="false">IF(ISBLANK(RawFinancials!Z448),"",RawFinancials!Z448)</f>
        <v>NH</v>
      </c>
      <c r="AA448" s="0" t="n">
        <f aca="false">RawFinancials!AA448</f>
        <v>1</v>
      </c>
      <c r="AB448" s="0" t="n">
        <f aca="false">RawFinancials!AB448</f>
        <v>9231</v>
      </c>
      <c r="AC448" s="0" t="n">
        <f aca="false">RawFinancials!AC448</f>
        <v>0.679423428515911</v>
      </c>
      <c r="AD448" s="0" t="n">
        <f aca="false">IF(L448&gt;0,100*N448/L448,"")</f>
        <v>71.1970484862187</v>
      </c>
      <c r="AE448" s="0" t="n">
        <f aca="false">IF(B448&gt;0,100*F448/B448,"")</f>
        <v>8.3637311099531</v>
      </c>
      <c r="AF448" s="0" t="str">
        <f aca="false">RawFinancials!AE448</f>
        <v/>
      </c>
    </row>
    <row r="449" customFormat="false" ht="15" hidden="false" customHeight="false" outlineLevel="0" collapsed="false">
      <c r="A449" s="0" t="n">
        <f aca="false">IF(ISBLANK(RawFinancials!A449),"",RawFinancials!A449)</f>
        <v>449</v>
      </c>
      <c r="B449" s="0" t="n">
        <f aca="false">IF(ISBLANK(RawFinancials!B449),"",RawFinancials!B449)</f>
        <v>2475597</v>
      </c>
      <c r="C449" s="0" t="n">
        <f aca="false">IF(ISBLANK(RawFinancials!C449),"",RawFinancials!C449)</f>
        <v>18012</v>
      </c>
      <c r="D449" s="0" t="n">
        <f aca="false">IF(ISBLANK(RawFinancials!D449),"",RawFinancials!D449)</f>
        <v>2087993</v>
      </c>
      <c r="E449" s="0" t="n">
        <f aca="false">IF(ISBLANK(RawFinancials!E449),"",RawFinancials!E449)</f>
        <v>0.06</v>
      </c>
      <c r="F449" s="0" t="n">
        <f aca="false">IF(ISBLANK(RawFinancials!F449),"",RawFinancials!F449)</f>
        <v>269535</v>
      </c>
      <c r="G449" s="0" t="n">
        <f aca="false">IF(ISBLANK(RawFinancials!G449),"",RawFinancials!G449)</f>
        <v>10.8876767906893</v>
      </c>
      <c r="H449" s="0" t="str">
        <f aca="false">IF(ISBLANK(RawFinancials!H449),"",RawFinancials!H449)</f>
        <v>18012_20240331</v>
      </c>
      <c r="I449" s="0" t="n">
        <f aca="false">IF(ISBLANK(RawFinancials!I449),"",RawFinancials!I449)</f>
        <v>1.22122512094325</v>
      </c>
      <c r="J449" s="0" t="n">
        <f aca="false">IF(ISBLANK(RawFinancials!J449),"",RawFinancials!J449)</f>
        <v>50469</v>
      </c>
      <c r="K449" s="0" t="n">
        <f aca="false">IF(ISBLANK(RawFinancials!K449),"",RawFinancials!K449)</f>
        <v>31306</v>
      </c>
      <c r="L449" s="0" t="n">
        <f aca="false">IF(ISBLANK(RawFinancials!L449),"",RawFinancials!L449)</f>
        <v>1997011</v>
      </c>
      <c r="M449" s="0" t="n">
        <f aca="false">IF(ISBLANK(RawFinancials!M449),"",RawFinancials!M449)</f>
        <v>1972623</v>
      </c>
      <c r="N449" s="0" t="n">
        <f aca="false">IF(ISBLANK(RawFinancials!N449),"",RawFinancials!N449)</f>
        <v>1892259</v>
      </c>
      <c r="O449" s="0" t="n">
        <f aca="false">IF(ISBLANK(RawFinancials!O449),"",RawFinancials!O449)</f>
        <v>790</v>
      </c>
      <c r="P449" s="0" t="str">
        <f aca="false">IF(ISBLANK(RawFinancials!P449),"",RawFinancials!P449)</f>
        <v>BANK OF NEW HAMPSHIRE</v>
      </c>
      <c r="Q449" s="0" t="n">
        <f aca="false">IF(ISBLANK(RawFinancials!Q449),"",RawFinancials!Q449)</f>
        <v>0.0395591211064936</v>
      </c>
      <c r="R449" s="0" t="n">
        <f aca="false">IF(ISBLANK(RawFinancials!R449),"",RawFinancials!R449)</f>
        <v>2.68109876927255</v>
      </c>
      <c r="S449" s="0" t="n">
        <f aca="false">IF(ISBLANK(RawFinancials!S449),"",RawFinancials!S449)</f>
        <v>22</v>
      </c>
      <c r="T449" s="0" t="n">
        <f aca="false">IF(ISBLANK(RawFinancials!T449),"",RawFinancials!T449)</f>
        <v>4940</v>
      </c>
      <c r="U449" s="0" t="n">
        <f aca="false">IF(ISBLANK(RawFinancials!U449),"",RawFinancials!U449)</f>
        <v>0</v>
      </c>
      <c r="V449" s="0" t="n">
        <f aca="false">IF(ISBLANK(RawFinancials!V449),"",RawFinancials!V449)</f>
        <v>14.3710292966398</v>
      </c>
      <c r="W449" s="0" t="n">
        <f aca="false">IF(ISBLANK(RawFinancials!W449),"",RawFinancials!W449)</f>
        <v>20240331</v>
      </c>
      <c r="X449" s="0" t="n">
        <f aca="false">IF(ISBLANK(RawFinancials!X449),"",RawFinancials!X449)</f>
        <v>0.667372932289855</v>
      </c>
      <c r="Y449" s="0" t="n">
        <f aca="false">IF(ISBLANK(RawFinancials!Y449),"",RawFinancials!Y449)</f>
        <v>6.22</v>
      </c>
      <c r="Z449" s="0" t="str">
        <f aca="false">IF(ISBLANK(RawFinancials!Z449),"",RawFinancials!Z449)</f>
        <v>NH</v>
      </c>
      <c r="AA449" s="0" t="n">
        <f aca="false">RawFinancials!AA449</f>
        <v>1</v>
      </c>
      <c r="AB449" s="0" t="n">
        <f aca="false">RawFinancials!AB449</f>
        <v>790</v>
      </c>
      <c r="AC449" s="0" t="n">
        <f aca="false">RawFinancials!AC449</f>
        <v>0.0319114944799174</v>
      </c>
      <c r="AD449" s="0" t="n">
        <f aca="false">IF(L449&gt;0,100*N449/L449,"")</f>
        <v>94.7545606909526</v>
      </c>
      <c r="AE449" s="0" t="n">
        <f aca="false">IF(B449&gt;0,100*F449/B449,"")</f>
        <v>10.8876767906893</v>
      </c>
      <c r="AF449" s="0" t="str">
        <f aca="false">RawFinancials!AE449</f>
        <v/>
      </c>
    </row>
    <row r="450" customFormat="false" ht="15" hidden="false" customHeight="false" outlineLevel="0" collapsed="false">
      <c r="A450" s="0" t="n">
        <f aca="false">IF(ISBLANK(RawFinancials!A450),"",RawFinancials!A450)</f>
        <v>450</v>
      </c>
      <c r="B450" s="0" t="n">
        <f aca="false">IF(ISBLANK(RawFinancials!B450),"",RawFinancials!B450)</f>
        <v>2943126</v>
      </c>
      <c r="C450" s="0" t="n">
        <f aca="false">IF(ISBLANK(RawFinancials!C450),"",RawFinancials!C450)</f>
        <v>18013</v>
      </c>
      <c r="D450" s="0" t="n">
        <f aca="false">IF(ISBLANK(RawFinancials!D450),"",RawFinancials!D450)</f>
        <v>2511525</v>
      </c>
      <c r="E450" s="0" t="n">
        <f aca="false">IF(ISBLANK(RawFinancials!E450),"",RawFinancials!E450)</f>
        <v>-0.01</v>
      </c>
      <c r="F450" s="0" t="n">
        <f aca="false">IF(ISBLANK(RawFinancials!F450),"",RawFinancials!F450)</f>
        <v>220450</v>
      </c>
      <c r="G450" s="0" t="n">
        <f aca="false">IF(ISBLANK(RawFinancials!G450),"",RawFinancials!G450)</f>
        <v>7.49033510627816</v>
      </c>
      <c r="H450" s="0" t="str">
        <f aca="false">IF(ISBLANK(RawFinancials!H450),"",RawFinancials!H450)</f>
        <v>18013_20240331</v>
      </c>
      <c r="I450" s="0" t="n">
        <f aca="false">IF(ISBLANK(RawFinancials!I450),"",RawFinancials!I450)</f>
        <v>0.700546377577824</v>
      </c>
      <c r="J450" s="0" t="n">
        <f aca="false">IF(ISBLANK(RawFinancials!J450),"",RawFinancials!J450)</f>
        <v>113938</v>
      </c>
      <c r="K450" s="0" t="n">
        <f aca="false">IF(ISBLANK(RawFinancials!K450),"",RawFinancials!K450)</f>
        <v>28036</v>
      </c>
      <c r="L450" s="0" t="n">
        <f aca="false">IF(ISBLANK(RawFinancials!L450),"",RawFinancials!L450)</f>
        <v>2386994</v>
      </c>
      <c r="M450" s="0" t="n">
        <f aca="false">IF(ISBLANK(RawFinancials!M450),"",RawFinancials!M450)</f>
        <v>2370272</v>
      </c>
      <c r="N450" s="0" t="n">
        <f aca="false">IF(ISBLANK(RawFinancials!N450),"",RawFinancials!N450)</f>
        <v>2170356</v>
      </c>
      <c r="O450" s="0" t="n">
        <f aca="false">IF(ISBLANK(RawFinancials!O450),"",RawFinancials!O450)</f>
        <v>990</v>
      </c>
      <c r="P450" s="0" t="str">
        <f aca="false">IF(ISBLANK(RawFinancials!P450),"",RawFinancials!P450)</f>
        <v>MASCOMA BANK</v>
      </c>
      <c r="Q450" s="0" t="n">
        <f aca="false">IF(ISBLANK(RawFinancials!Q450),"",RawFinancials!Q450)</f>
        <v>0.0564308079534343</v>
      </c>
      <c r="R450" s="0" t="n">
        <f aca="false">IF(ISBLANK(RawFinancials!R450),"",RawFinancials!R450)</f>
        <v>2.46666204557587</v>
      </c>
      <c r="S450" s="0" t="n">
        <f aca="false">IF(ISBLANK(RawFinancials!S450),"",RawFinancials!S450)</f>
        <v>12</v>
      </c>
      <c r="T450" s="0" t="n">
        <f aca="false">IF(ISBLANK(RawFinancials!T450),"",RawFinancials!T450)</f>
        <v>4721</v>
      </c>
      <c r="U450" s="0" t="n">
        <f aca="false">IF(ISBLANK(RawFinancials!U450),"",RawFinancials!U450)</f>
        <v>357</v>
      </c>
      <c r="V450" s="0" t="n">
        <f aca="false">IF(ISBLANK(RawFinancials!V450),"",RawFinancials!V450)</f>
        <v>12.4379068806188</v>
      </c>
      <c r="W450" s="0" t="n">
        <f aca="false">IF(ISBLANK(RawFinancials!W450),"",RawFinancials!W450)</f>
        <v>20240331</v>
      </c>
      <c r="X450" s="0" t="n">
        <f aca="false">IF(ISBLANK(RawFinancials!X450),"",RawFinancials!X450)</f>
        <v>0.262414963236201</v>
      </c>
      <c r="Y450" s="0" t="n">
        <f aca="false">IF(ISBLANK(RawFinancials!Y450),"",RawFinancials!Y450)</f>
        <v>3.5</v>
      </c>
      <c r="Z450" s="0" t="str">
        <f aca="false">IF(ISBLANK(RawFinancials!Z450),"",RawFinancials!Z450)</f>
        <v>NH</v>
      </c>
      <c r="AA450" s="0" t="n">
        <f aca="false">RawFinancials!AA450</f>
        <v>1</v>
      </c>
      <c r="AB450" s="0" t="n">
        <f aca="false">RawFinancials!AB450</f>
        <v>1347</v>
      </c>
      <c r="AC450" s="0" t="n">
        <f aca="false">RawFinancials!AC450</f>
        <v>0.0457676633620171</v>
      </c>
      <c r="AD450" s="0" t="n">
        <f aca="false">IF(L450&gt;0,100*N450/L450,"")</f>
        <v>90.9242335757861</v>
      </c>
      <c r="AE450" s="0" t="n">
        <f aca="false">IF(B450&gt;0,100*F450/B450,"")</f>
        <v>7.49033510627815</v>
      </c>
      <c r="AF450" s="0" t="str">
        <f aca="false">RawFinancials!AE450</f>
        <v/>
      </c>
    </row>
    <row r="451" customFormat="false" ht="15" hidden="false" customHeight="false" outlineLevel="0" collapsed="false">
      <c r="A451" s="0" t="n">
        <f aca="false">IF(ISBLANK(RawFinancials!A451),"",RawFinancials!A451)</f>
        <v>451</v>
      </c>
      <c r="B451" s="0" t="n">
        <f aca="false">IF(ISBLANK(RawFinancials!B451),"",RawFinancials!B451)</f>
        <v>397277</v>
      </c>
      <c r="C451" s="0" t="n">
        <f aca="false">IF(ISBLANK(RawFinancials!C451),"",RawFinancials!C451)</f>
        <v>18028</v>
      </c>
      <c r="D451" s="0" t="n">
        <f aca="false">IF(ISBLANK(RawFinancials!D451),"",RawFinancials!D451)</f>
        <v>325871</v>
      </c>
      <c r="E451" s="0" t="n">
        <f aca="false">IF(ISBLANK(RawFinancials!E451),"",RawFinancials!E451)</f>
        <v>0.03</v>
      </c>
      <c r="F451" s="0" t="n">
        <f aca="false">IF(ISBLANK(RawFinancials!F451),"",RawFinancials!F451)</f>
        <v>40522</v>
      </c>
      <c r="G451" s="0" t="n">
        <f aca="false">IF(ISBLANK(RawFinancials!G451),"",RawFinancials!G451)</f>
        <v>10.1999360647609</v>
      </c>
      <c r="H451" s="0" t="str">
        <f aca="false">IF(ISBLANK(RawFinancials!H451),"",RawFinancials!H451)</f>
        <v>18028_20240331</v>
      </c>
      <c r="I451" s="0" t="n">
        <f aca="false">IF(ISBLANK(RawFinancials!I451),"",RawFinancials!I451)</f>
        <v>0.844460726408182</v>
      </c>
      <c r="J451" s="0" t="n">
        <f aca="false">IF(ISBLANK(RawFinancials!J451),"",RawFinancials!J451)</f>
        <v>14766</v>
      </c>
      <c r="K451" s="0" t="n">
        <f aca="false">IF(ISBLANK(RawFinancials!K451),"",RawFinancials!K451)</f>
        <v>6592</v>
      </c>
      <c r="L451" s="0" t="n">
        <f aca="false">IF(ISBLANK(RawFinancials!L451),"",RawFinancials!L451)</f>
        <v>267508</v>
      </c>
      <c r="M451" s="0" t="n">
        <f aca="false">IF(ISBLANK(RawFinancials!M451),"",RawFinancials!M451)</f>
        <v>265249</v>
      </c>
      <c r="N451" s="0" t="n">
        <f aca="false">IF(ISBLANK(RawFinancials!N451),"",RawFinancials!N451)</f>
        <v>240691</v>
      </c>
      <c r="O451" s="0" t="n">
        <f aca="false">IF(ISBLANK(RawFinancials!O451),"",RawFinancials!O451)</f>
        <v>704</v>
      </c>
      <c r="P451" s="0" t="str">
        <f aca="false">IF(ISBLANK(RawFinancials!P451),"",RawFinancials!P451)</f>
        <v>SUGAR RIVER BANK</v>
      </c>
      <c r="Q451" s="0" t="n">
        <f aca="false">IF(ISBLANK(RawFinancials!Q451),"",RawFinancials!Q451)</f>
        <v>0.285225114762923</v>
      </c>
      <c r="R451" s="0" t="n">
        <f aca="false">IF(ISBLANK(RawFinancials!R451),"",RawFinancials!R451)</f>
        <v>3.21726110492571</v>
      </c>
      <c r="S451" s="0" t="n">
        <f aca="false">IF(ISBLANK(RawFinancials!S451),"",RawFinancials!S451)</f>
        <v>99</v>
      </c>
      <c r="T451" s="0" t="n">
        <f aca="false">IF(ISBLANK(RawFinancials!T451),"",RawFinancials!T451)</f>
        <v>2237</v>
      </c>
      <c r="U451" s="0" t="n">
        <f aca="false">IF(ISBLANK(RawFinancials!U451),"",RawFinancials!U451)</f>
        <v>59</v>
      </c>
      <c r="V451" s="0" t="n">
        <f aca="false">IF(ISBLANK(RawFinancials!V451),"",RawFinancials!V451)</f>
        <v>0</v>
      </c>
      <c r="W451" s="0" t="n">
        <f aca="false">IF(ISBLANK(RawFinancials!W451),"",RawFinancials!W451)</f>
        <v>20240331</v>
      </c>
      <c r="X451" s="0" t="n">
        <f aca="false">IF(ISBLANK(RawFinancials!X451),"",RawFinancials!X451)</f>
        <v>0.397908701215368</v>
      </c>
      <c r="Y451" s="0" t="n">
        <f aca="false">IF(ISBLANK(RawFinancials!Y451),"",RawFinancials!Y451)</f>
        <v>3.87</v>
      </c>
      <c r="Z451" s="0" t="str">
        <f aca="false">IF(ISBLANK(RawFinancials!Z451),"",RawFinancials!Z451)</f>
        <v>NH</v>
      </c>
      <c r="AA451" s="0" t="n">
        <f aca="false">RawFinancials!AA451</f>
        <v>1</v>
      </c>
      <c r="AB451" s="0" t="n">
        <f aca="false">RawFinancials!AB451</f>
        <v>763</v>
      </c>
      <c r="AC451" s="0" t="n">
        <f aca="false">RawFinancials!AC451</f>
        <v>0.192057430961269</v>
      </c>
      <c r="AD451" s="0" t="n">
        <f aca="false">IF(L451&gt;0,100*N451/L451,"")</f>
        <v>89.9752530765435</v>
      </c>
      <c r="AE451" s="0" t="n">
        <f aca="false">IF(B451&gt;0,100*F451/B451,"")</f>
        <v>10.1999360647609</v>
      </c>
      <c r="AF451" s="0" t="str">
        <f aca="false">RawFinancials!AE451</f>
        <v>原始0：需核实适用/报告口径</v>
      </c>
    </row>
    <row r="452" customFormat="false" ht="15" hidden="false" customHeight="false" outlineLevel="0" collapsed="false">
      <c r="A452" s="0" t="n">
        <f aca="false">IF(ISBLANK(RawFinancials!A452),"",RawFinancials!A452)</f>
        <v>452</v>
      </c>
      <c r="B452" s="0" t="n">
        <f aca="false">IF(ISBLANK(RawFinancials!B452),"",RawFinancials!B452)</f>
        <v>760475</v>
      </c>
      <c r="C452" s="0" t="n">
        <f aca="false">IF(ISBLANK(RawFinancials!C452),"",RawFinancials!C452)</f>
        <v>18030</v>
      </c>
      <c r="D452" s="0" t="n">
        <f aca="false">IF(ISBLANK(RawFinancials!D452),"",RawFinancials!D452)</f>
        <v>679167</v>
      </c>
      <c r="E452" s="0" t="n">
        <f aca="false">IF(ISBLANK(RawFinancials!E452),"",RawFinancials!E452)</f>
        <v>-0.01</v>
      </c>
      <c r="F452" s="0" t="n">
        <f aca="false">IF(ISBLANK(RawFinancials!F452),"",RawFinancials!F452)</f>
        <v>49359</v>
      </c>
      <c r="G452" s="0" t="n">
        <f aca="false">IF(ISBLANK(RawFinancials!G452),"",RawFinancials!G452)</f>
        <v>6.490548670239</v>
      </c>
      <c r="H452" s="0" t="str">
        <f aca="false">IF(ISBLANK(RawFinancials!H452),"",RawFinancials!H452)</f>
        <v>18030_20240331</v>
      </c>
      <c r="I452" s="0" t="n">
        <f aca="false">IF(ISBLANK(RawFinancials!I452),"",RawFinancials!I452)</f>
        <v>1.02982177764044</v>
      </c>
      <c r="J452" s="0" t="n">
        <f aca="false">IF(ISBLANK(RawFinancials!J452),"",RawFinancials!J452)</f>
        <v>36835</v>
      </c>
      <c r="K452" s="0" t="n">
        <f aca="false">IF(ISBLANK(RawFinancials!K452),"",RawFinancials!K452)</f>
        <v>94431</v>
      </c>
      <c r="L452" s="0" t="n">
        <f aca="false">IF(ISBLANK(RawFinancials!L452),"",RawFinancials!L452)</f>
        <v>576022</v>
      </c>
      <c r="M452" s="0" t="n">
        <f aca="false">IF(ISBLANK(RawFinancials!M452),"",RawFinancials!M452)</f>
        <v>570090</v>
      </c>
      <c r="N452" s="0" t="n">
        <f aca="false">IF(ISBLANK(RawFinancials!N452),"",RawFinancials!N452)</f>
        <v>444671</v>
      </c>
      <c r="O452" s="0" t="n">
        <f aca="false">IF(ISBLANK(RawFinancials!O452),"",RawFinancials!O452)</f>
        <v>508</v>
      </c>
      <c r="P452" s="0" t="str">
        <f aca="false">IF(ISBLANK(RawFinancials!P452),"",RawFinancials!P452)</f>
        <v>SAVINGS BANK OF WALPOLE</v>
      </c>
      <c r="Q452" s="0" t="n">
        <f aca="false">IF(ISBLANK(RawFinancials!Q452),"",RawFinancials!Q452)</f>
        <v>0.111280471926419</v>
      </c>
      <c r="R452" s="0" t="n">
        <f aca="false">IF(ISBLANK(RawFinancials!R452),"",RawFinancials!R452)</f>
        <v>3.43622712156946</v>
      </c>
      <c r="S452" s="0" t="n">
        <f aca="false">IF(ISBLANK(RawFinancials!S452),"",RawFinancials!S452)</f>
        <v>-1</v>
      </c>
      <c r="T452" s="0" t="n">
        <f aca="false">IF(ISBLANK(RawFinancials!T452),"",RawFinancials!T452)</f>
        <v>2582</v>
      </c>
      <c r="U452" s="0" t="n">
        <f aca="false">IF(ISBLANK(RawFinancials!U452),"",RawFinancials!U452)</f>
        <v>133</v>
      </c>
      <c r="V452" s="0" t="n">
        <f aca="false">IF(ISBLANK(RawFinancials!V452),"",RawFinancials!V452)</f>
        <v>13.5007684922143</v>
      </c>
      <c r="W452" s="0" t="n">
        <f aca="false">IF(ISBLANK(RawFinancials!W452),"",RawFinancials!W452)</f>
        <v>20240331</v>
      </c>
      <c r="X452" s="0" t="n">
        <f aca="false">IF(ISBLANK(RawFinancials!X452),"",RawFinancials!X452)</f>
        <v>0.68055140252855</v>
      </c>
      <c r="Y452" s="0" t="n">
        <f aca="false">IF(ISBLANK(RawFinancials!Y452),"",RawFinancials!Y452)</f>
        <v>10.29</v>
      </c>
      <c r="Z452" s="0" t="str">
        <f aca="false">IF(ISBLANK(RawFinancials!Z452),"",RawFinancials!Z452)</f>
        <v>NH</v>
      </c>
      <c r="AA452" s="0" t="n">
        <f aca="false">RawFinancials!AA452</f>
        <v>1</v>
      </c>
      <c r="AB452" s="0" t="n">
        <f aca="false">RawFinancials!AB452</f>
        <v>641</v>
      </c>
      <c r="AC452" s="0" t="n">
        <f aca="false">RawFinancials!AC452</f>
        <v>0.0842894243729248</v>
      </c>
      <c r="AD452" s="0" t="n">
        <f aca="false">IF(L452&gt;0,100*N452/L452,"")</f>
        <v>77.1968778970248</v>
      </c>
      <c r="AE452" s="0" t="n">
        <f aca="false">IF(B452&gt;0,100*F452/B452,"")</f>
        <v>6.490548670239</v>
      </c>
      <c r="AF452" s="0" t="str">
        <f aca="false">RawFinancials!AE452</f>
        <v/>
      </c>
    </row>
    <row r="453" customFormat="false" ht="15" hidden="false" customHeight="false" outlineLevel="0" collapsed="false">
      <c r="A453" s="0" t="n">
        <f aca="false">IF(ISBLANK(RawFinancials!A453),"",RawFinancials!A453)</f>
        <v>453</v>
      </c>
      <c r="B453" s="0" t="n">
        <f aca="false">IF(ISBLANK(RawFinancials!B453),"",RawFinancials!B453)</f>
        <v>669872</v>
      </c>
      <c r="C453" s="0" t="n">
        <f aca="false">IF(ISBLANK(RawFinancials!C453),"",RawFinancials!C453)</f>
        <v>18031</v>
      </c>
      <c r="D453" s="0" t="n">
        <f aca="false">IF(ISBLANK(RawFinancials!D453),"",RawFinancials!D453)</f>
        <v>532494</v>
      </c>
      <c r="E453" s="0" t="n">
        <f aca="false">IF(ISBLANK(RawFinancials!E453),"",RawFinancials!E453)</f>
        <v>-0.1</v>
      </c>
      <c r="F453" s="0" t="n">
        <f aca="false">IF(ISBLANK(RawFinancials!F453),"",RawFinancials!F453)</f>
        <v>36392</v>
      </c>
      <c r="G453" s="0" t="n">
        <f aca="false">IF(ISBLANK(RawFinancials!G453),"",RawFinancials!G453)</f>
        <v>5.43267967611723</v>
      </c>
      <c r="H453" s="0" t="str">
        <f aca="false">IF(ISBLANK(RawFinancials!H453),"",RawFinancials!H453)</f>
        <v>18031_20240331</v>
      </c>
      <c r="I453" s="0" t="n">
        <f aca="false">IF(ISBLANK(RawFinancials!I453),"",RawFinancials!I453)</f>
        <v>0.807860857452731</v>
      </c>
      <c r="J453" s="0" t="n">
        <f aca="false">IF(ISBLANK(RawFinancials!J453),"",RawFinancials!J453)</f>
        <v>23631</v>
      </c>
      <c r="K453" s="0" t="n">
        <f aca="false">IF(ISBLANK(RawFinancials!K453),"",RawFinancials!K453)</f>
        <v>10269</v>
      </c>
      <c r="L453" s="0" t="n">
        <f aca="false">IF(ISBLANK(RawFinancials!L453),"",RawFinancials!L453)</f>
        <v>476691</v>
      </c>
      <c r="M453" s="0" t="n">
        <f aca="false">IF(ISBLANK(RawFinancials!M453),"",RawFinancials!M453)</f>
        <v>472840</v>
      </c>
      <c r="N453" s="0" t="n">
        <f aca="false">IF(ISBLANK(RawFinancials!N453),"",RawFinancials!N453)</f>
        <v>436768</v>
      </c>
      <c r="O453" s="0" t="n">
        <f aca="false">IF(ISBLANK(RawFinancials!O453),"",RawFinancials!O453)</f>
        <v>893</v>
      </c>
      <c r="P453" s="0" t="str">
        <f aca="false">IF(ISBLANK(RawFinancials!P453),"",RawFinancials!P453)</f>
        <v>WOODSVILLE GUARANTY SAVINGS BANK</v>
      </c>
      <c r="Q453" s="0" t="n">
        <f aca="false">IF(ISBLANK(RawFinancials!Q453),"",RawFinancials!Q453)</f>
        <v>0.189011330190836</v>
      </c>
      <c r="R453" s="0" t="n">
        <f aca="false">IF(ISBLANK(RawFinancials!R453),"",RawFinancials!R453)</f>
        <v>2.6129414762646</v>
      </c>
      <c r="S453" s="0" t="n">
        <f aca="false">IF(ISBLANK(RawFinancials!S453),"",RawFinancials!S453)</f>
        <v>13</v>
      </c>
      <c r="T453" s="0" t="n">
        <f aca="false">IF(ISBLANK(RawFinancials!T453),"",RawFinancials!T453)</f>
        <v>1463</v>
      </c>
      <c r="U453" s="0" t="n">
        <f aca="false">IF(ISBLANK(RawFinancials!U453),"",RawFinancials!U453)</f>
        <v>8</v>
      </c>
      <c r="V453" s="0" t="n">
        <f aca="false">IF(ISBLANK(RawFinancials!V453),"",RawFinancials!V453)</f>
        <v>16.3361319436295</v>
      </c>
      <c r="W453" s="0" t="n">
        <f aca="false">IF(ISBLANK(RawFinancials!W453),"",RawFinancials!W453)</f>
        <v>20240331</v>
      </c>
      <c r="X453" s="0" t="n">
        <f aca="false">IF(ISBLANK(RawFinancials!X453),"",RawFinancials!X453)</f>
        <v>0.457822713323232</v>
      </c>
      <c r="Y453" s="0" t="n">
        <f aca="false">IF(ISBLANK(RawFinancials!Y453),"",RawFinancials!Y453)</f>
        <v>8.38</v>
      </c>
      <c r="Z453" s="0" t="str">
        <f aca="false">IF(ISBLANK(RawFinancials!Z453),"",RawFinancials!Z453)</f>
        <v>NH</v>
      </c>
      <c r="AA453" s="0" t="n">
        <f aca="false">RawFinancials!AA453</f>
        <v>1</v>
      </c>
      <c r="AB453" s="0" t="n">
        <f aca="false">RawFinancials!AB453</f>
        <v>901</v>
      </c>
      <c r="AC453" s="0" t="n">
        <f aca="false">RawFinancials!AC453</f>
        <v>0.134503308094681</v>
      </c>
      <c r="AD453" s="0" t="n">
        <f aca="false">IF(L453&gt;0,100*N453/L453,"")</f>
        <v>91.6249729908893</v>
      </c>
      <c r="AE453" s="0" t="n">
        <f aca="false">IF(B453&gt;0,100*F453/B453,"")</f>
        <v>5.43267967611723</v>
      </c>
      <c r="AF453" s="0" t="str">
        <f aca="false">RawFinancials!AE453</f>
        <v/>
      </c>
    </row>
    <row r="454" customFormat="false" ht="15" hidden="false" customHeight="false" outlineLevel="0" collapsed="false">
      <c r="A454" s="0" t="n">
        <f aca="false">IF(ISBLANK(RawFinancials!A454),"",RawFinancials!A454)</f>
        <v>454</v>
      </c>
      <c r="B454" s="0" t="n">
        <f aca="false">IF(ISBLANK(RawFinancials!B454),"",RawFinancials!B454)</f>
        <v>522345</v>
      </c>
      <c r="C454" s="0" t="n">
        <f aca="false">IF(ISBLANK(RawFinancials!C454),"",RawFinancials!C454)</f>
        <v>18038</v>
      </c>
      <c r="D454" s="0" t="n">
        <f aca="false">IF(ISBLANK(RawFinancials!D454),"",RawFinancials!D454)</f>
        <v>409953</v>
      </c>
      <c r="E454" s="0" t="n">
        <f aca="false">IF(ISBLANK(RawFinancials!E454),"",RawFinancials!E454)</f>
        <v>0</v>
      </c>
      <c r="F454" s="0" t="n">
        <f aca="false">IF(ISBLANK(RawFinancials!F454),"",RawFinancials!F454)</f>
        <v>65908</v>
      </c>
      <c r="G454" s="0" t="n">
        <f aca="false">IF(ISBLANK(RawFinancials!G454),"",RawFinancials!G454)</f>
        <v>12.6177143458825</v>
      </c>
      <c r="H454" s="0" t="str">
        <f aca="false">IF(ISBLANK(RawFinancials!H454),"",RawFinancials!H454)</f>
        <v>18038_20240331</v>
      </c>
      <c r="I454" s="0" t="n">
        <f aca="false">IF(ISBLANK(RawFinancials!I454),"",RawFinancials!I454)</f>
        <v>0.932183863906916</v>
      </c>
      <c r="J454" s="0" t="n">
        <f aca="false">IF(ISBLANK(RawFinancials!J454),"",RawFinancials!J454)</f>
        <v>23498</v>
      </c>
      <c r="K454" s="0" t="n">
        <f aca="false">IF(ISBLANK(RawFinancials!K454),"",RawFinancials!K454)</f>
        <v>3734</v>
      </c>
      <c r="L454" s="0" t="n">
        <f aca="false">IF(ISBLANK(RawFinancials!L454),"",RawFinancials!L454)</f>
        <v>416656</v>
      </c>
      <c r="M454" s="0" t="n">
        <f aca="false">IF(ISBLANK(RawFinancials!M454),"",RawFinancials!M454)</f>
        <v>412772</v>
      </c>
      <c r="N454" s="0" t="n">
        <f aca="false">IF(ISBLANK(RawFinancials!N454),"",RawFinancials!N454)</f>
        <v>389167</v>
      </c>
      <c r="O454" s="0" t="n">
        <f aca="false">IF(ISBLANK(RawFinancials!O454),"",RawFinancials!O454)</f>
        <v>2189</v>
      </c>
      <c r="P454" s="0" t="str">
        <f aca="false">IF(ISBLANK(RawFinancials!P454),"",RawFinancials!P454)</f>
        <v>CLAREMONT SAVINGS BANK</v>
      </c>
      <c r="Q454" s="0" t="n">
        <f aca="false">IF(ISBLANK(RawFinancials!Q454),"",RawFinancials!Q454)</f>
        <v>0.525373449560309</v>
      </c>
      <c r="R454" s="0" t="n">
        <f aca="false">IF(ISBLANK(RawFinancials!R454),"",RawFinancials!R454)</f>
        <v>2.4034256360768</v>
      </c>
      <c r="S454" s="0" t="n">
        <f aca="false">IF(ISBLANK(RawFinancials!S454),"",RawFinancials!S454)</f>
        <v>-3</v>
      </c>
      <c r="T454" s="0" t="n">
        <f aca="false">IF(ISBLANK(RawFinancials!T454),"",RawFinancials!T454)</f>
        <v>1700</v>
      </c>
      <c r="U454" s="0" t="n">
        <f aca="false">IF(ISBLANK(RawFinancials!U454),"",RawFinancials!U454)</f>
        <v>0</v>
      </c>
      <c r="V454" s="0" t="n">
        <f aca="false">IF(ISBLANK(RawFinancials!V454),"",RawFinancials!V454)</f>
        <v>0</v>
      </c>
      <c r="W454" s="0" t="n">
        <f aca="false">IF(ISBLANK(RawFinancials!W454),"",RawFinancials!W454)</f>
        <v>20240331</v>
      </c>
      <c r="X454" s="0" t="n">
        <f aca="false">IF(ISBLANK(RawFinancials!X454),"",RawFinancials!X454)</f>
        <v>1.0870799431889</v>
      </c>
      <c r="Y454" s="0" t="n">
        <f aca="false">IF(ISBLANK(RawFinancials!Y454),"",RawFinancials!Y454)</f>
        <v>8.82</v>
      </c>
      <c r="Z454" s="0" t="str">
        <f aca="false">IF(ISBLANK(RawFinancials!Z454),"",RawFinancials!Z454)</f>
        <v>NH</v>
      </c>
      <c r="AA454" s="0" t="n">
        <f aca="false">RawFinancials!AA454</f>
        <v>1</v>
      </c>
      <c r="AB454" s="0" t="n">
        <f aca="false">RawFinancials!AB454</f>
        <v>2189</v>
      </c>
      <c r="AC454" s="0" t="n">
        <f aca="false">RawFinancials!AC454</f>
        <v>0.419071686337574</v>
      </c>
      <c r="AD454" s="0" t="n">
        <f aca="false">IF(L454&gt;0,100*N454/L454,"")</f>
        <v>93.4024711032602</v>
      </c>
      <c r="AE454" s="0" t="n">
        <f aca="false">IF(B454&gt;0,100*F454/B454,"")</f>
        <v>12.6177143458825</v>
      </c>
      <c r="AF454" s="0" t="str">
        <f aca="false">RawFinancials!AE454</f>
        <v>原始0：需核实适用/报告口径</v>
      </c>
    </row>
    <row r="455" customFormat="false" ht="15" hidden="false" customHeight="false" outlineLevel="0" collapsed="false">
      <c r="A455" s="0" t="n">
        <f aca="false">IF(ISBLANK(RawFinancials!A455),"",RawFinancials!A455)</f>
        <v>455</v>
      </c>
      <c r="B455" s="0" t="n">
        <f aca="false">IF(ISBLANK(RawFinancials!B455),"",RawFinancials!B455)</f>
        <v>7209064</v>
      </c>
      <c r="C455" s="0" t="n">
        <f aca="false">IF(ISBLANK(RawFinancials!C455),"",RawFinancials!C455)</f>
        <v>18408</v>
      </c>
      <c r="D455" s="0" t="n">
        <f aca="false">IF(ISBLANK(RawFinancials!D455),"",RawFinancials!D455)</f>
        <v>5243296</v>
      </c>
      <c r="E455" s="0" t="n">
        <f aca="false">IF(ISBLANK(RawFinancials!E455),"",RawFinancials!E455)</f>
        <v>0.02</v>
      </c>
      <c r="F455" s="0" t="n">
        <f aca="false">IF(ISBLANK(RawFinancials!F455),"",RawFinancials!F455)</f>
        <v>402922</v>
      </c>
      <c r="G455" s="0" t="n">
        <f aca="false">IF(ISBLANK(RawFinancials!G455),"",RawFinancials!G455)</f>
        <v>5.58910282943805</v>
      </c>
      <c r="H455" s="0" t="str">
        <f aca="false">IF(ISBLANK(RawFinancials!H455),"",RawFinancials!H455)</f>
        <v>18408_20240331</v>
      </c>
      <c r="I455" s="0" t="n">
        <f aca="false">IF(ISBLANK(RawFinancials!I455),"",RawFinancials!I455)</f>
        <v>0.662341673113531</v>
      </c>
      <c r="J455" s="0" t="n">
        <f aca="false">IF(ISBLANK(RawFinancials!J455),"",RawFinancials!J455)</f>
        <v>359864</v>
      </c>
      <c r="K455" s="0" t="n">
        <f aca="false">IF(ISBLANK(RawFinancials!K455),"",RawFinancials!K455)</f>
        <v>34725</v>
      </c>
      <c r="L455" s="0" t="n">
        <f aca="false">IF(ISBLANK(RawFinancials!L455),"",RawFinancials!L455)</f>
        <v>4840855</v>
      </c>
      <c r="M455" s="0" t="n">
        <f aca="false">IF(ISBLANK(RawFinancials!M455),"",RawFinancials!M455)</f>
        <v>4808792</v>
      </c>
      <c r="N455" s="0" t="n">
        <f aca="false">IF(ISBLANK(RawFinancials!N455),"",RawFinancials!N455)</f>
        <v>4375722</v>
      </c>
      <c r="O455" s="0" t="n">
        <f aca="false">IF(ISBLANK(RawFinancials!O455),"",RawFinancials!O455)</f>
        <v>4530</v>
      </c>
      <c r="P455" s="0" t="str">
        <f aca="false">IF(ISBLANK(RawFinancials!P455),"",RawFinancials!P455)</f>
        <v>BANGOR SAVINGS BANK</v>
      </c>
      <c r="Q455" s="0" t="n">
        <f aca="false">IF(ISBLANK(RawFinancials!Q455),"",RawFinancials!Q455)</f>
        <v>0.0935785104077688</v>
      </c>
      <c r="R455" s="0" t="n">
        <f aca="false">IF(ISBLANK(RawFinancials!R455),"",RawFinancials!R455)</f>
        <v>2.02641372858428</v>
      </c>
      <c r="S455" s="0" t="n">
        <f aca="false">IF(ISBLANK(RawFinancials!S455),"",RawFinancials!S455)</f>
        <v>-238</v>
      </c>
      <c r="T455" s="0" t="n">
        <f aca="false">IF(ISBLANK(RawFinancials!T455),"",RawFinancials!T455)</f>
        <v>7195</v>
      </c>
      <c r="U455" s="0" t="n">
        <f aca="false">IF(ISBLANK(RawFinancials!U455),"",RawFinancials!U455)</f>
        <v>0</v>
      </c>
      <c r="V455" s="0" t="n">
        <f aca="false">IF(ISBLANK(RawFinancials!V455),"",RawFinancials!V455)</f>
        <v>11.6477404589509</v>
      </c>
      <c r="W455" s="0" t="n">
        <f aca="false">IF(ISBLANK(RawFinancials!W455),"",RawFinancials!W455)</f>
        <v>20240331</v>
      </c>
      <c r="X455" s="0" t="n">
        <f aca="false">IF(ISBLANK(RawFinancials!X455),"",RawFinancials!X455)</f>
        <v>-0.0140431607422888</v>
      </c>
      <c r="Y455" s="0" t="n">
        <f aca="false">IF(ISBLANK(RawFinancials!Y455),"",RawFinancials!Y455)</f>
        <v>-0.25</v>
      </c>
      <c r="Z455" s="0" t="str">
        <f aca="false">IF(ISBLANK(RawFinancials!Z455),"",RawFinancials!Z455)</f>
        <v>ME</v>
      </c>
      <c r="AA455" s="0" t="n">
        <f aca="false">RawFinancials!AA455</f>
        <v>1</v>
      </c>
      <c r="AB455" s="0" t="n">
        <f aca="false">RawFinancials!AB455</f>
        <v>4530</v>
      </c>
      <c r="AC455" s="0" t="n">
        <f aca="false">RawFinancials!AC455</f>
        <v>0.0628375611591186</v>
      </c>
      <c r="AD455" s="0" t="n">
        <f aca="false">IF(L455&gt;0,100*N455/L455,"")</f>
        <v>90.3915114168881</v>
      </c>
      <c r="AE455" s="0" t="n">
        <f aca="false">IF(B455&gt;0,100*F455/B455,"")</f>
        <v>5.58910282943805</v>
      </c>
      <c r="AF455" s="0" t="str">
        <f aca="false">RawFinancials!AE455</f>
        <v/>
      </c>
    </row>
    <row r="456" customFormat="false" ht="15" hidden="false" customHeight="false" outlineLevel="0" collapsed="false">
      <c r="A456" s="0" t="n">
        <f aca="false">IF(ISBLANK(RawFinancials!A456),"",RawFinancials!A456)</f>
        <v>456</v>
      </c>
      <c r="B456" s="0" t="n">
        <f aca="false">IF(ISBLANK(RawFinancials!B456),"",RawFinancials!B456)</f>
        <v>2536962</v>
      </c>
      <c r="C456" s="0" t="n">
        <f aca="false">IF(ISBLANK(RawFinancials!C456),"",RawFinancials!C456)</f>
        <v>19531</v>
      </c>
      <c r="D456" s="0" t="n">
        <f aca="false">IF(ISBLANK(RawFinancials!D456),"",RawFinancials!D456)</f>
        <v>1943034</v>
      </c>
      <c r="E456" s="0" t="n">
        <f aca="false">IF(ISBLANK(RawFinancials!E456),"",RawFinancials!E456)</f>
        <v>0</v>
      </c>
      <c r="F456" s="0" t="n">
        <f aca="false">IF(ISBLANK(RawFinancials!F456),"",RawFinancials!F456)</f>
        <v>242536</v>
      </c>
      <c r="G456" s="0" t="n">
        <f aca="false">IF(ISBLANK(RawFinancials!G456),"",RawFinancials!G456)</f>
        <v>9.56009589422309</v>
      </c>
      <c r="H456" s="0" t="str">
        <f aca="false">IF(ISBLANK(RawFinancials!H456),"",RawFinancials!H456)</f>
        <v>19531_20240331</v>
      </c>
      <c r="I456" s="0" t="n">
        <f aca="false">IF(ISBLANK(RawFinancials!I456),"",RawFinancials!I456)</f>
        <v>1.027663134959</v>
      </c>
      <c r="J456" s="0" t="n">
        <f aca="false">IF(ISBLANK(RawFinancials!J456),"",RawFinancials!J456)</f>
        <v>257202</v>
      </c>
      <c r="K456" s="0" t="n">
        <f aca="false">IF(ISBLANK(RawFinancials!K456),"",RawFinancials!K456)</f>
        <v>12370</v>
      </c>
      <c r="L456" s="0" t="n">
        <f aca="false">IF(ISBLANK(RawFinancials!L456),"",RawFinancials!L456)</f>
        <v>2037730</v>
      </c>
      <c r="M456" s="0" t="n">
        <f aca="false">IF(ISBLANK(RawFinancials!M456),"",RawFinancials!M456)</f>
        <v>2016789</v>
      </c>
      <c r="N456" s="0" t="n">
        <f aca="false">IF(ISBLANK(RawFinancials!N456),"",RawFinancials!N456)</f>
        <v>1667925</v>
      </c>
      <c r="O456" s="0" t="n">
        <f aca="false">IF(ISBLANK(RawFinancials!O456),"",RawFinancials!O456)</f>
        <v>8011</v>
      </c>
      <c r="P456" s="0" t="str">
        <f aca="false">IF(ISBLANK(RawFinancials!P456),"",RawFinancials!P456)</f>
        <v>MACHIAS SAVINGS BANK</v>
      </c>
      <c r="Q456" s="0" t="n">
        <f aca="false">IF(ISBLANK(RawFinancials!Q456),"",RawFinancials!Q456)</f>
        <v>0.394409465434577</v>
      </c>
      <c r="R456" s="0" t="n">
        <f aca="false">IF(ISBLANK(RawFinancials!R456),"",RawFinancials!R456)</f>
        <v>2.58073221173921</v>
      </c>
      <c r="S456" s="0" t="n">
        <f aca="false">IF(ISBLANK(RawFinancials!S456),"",RawFinancials!S456)</f>
        <v>141</v>
      </c>
      <c r="T456" s="0" t="n">
        <f aca="false">IF(ISBLANK(RawFinancials!T456),"",RawFinancials!T456)</f>
        <v>9492</v>
      </c>
      <c r="U456" s="0" t="n">
        <f aca="false">IF(ISBLANK(RawFinancials!U456),"",RawFinancials!U456)</f>
        <v>26</v>
      </c>
      <c r="V456" s="0" t="n">
        <f aca="false">IF(ISBLANK(RawFinancials!V456),"",RawFinancials!V456)</f>
        <v>14.3160659623927</v>
      </c>
      <c r="W456" s="0" t="n">
        <f aca="false">IF(ISBLANK(RawFinancials!W456),"",RawFinancials!W456)</f>
        <v>20240331</v>
      </c>
      <c r="X456" s="0" t="n">
        <f aca="false">IF(ISBLANK(RawFinancials!X456),"",RawFinancials!X456)</f>
        <v>0.303107086681934</v>
      </c>
      <c r="Y456" s="0" t="n">
        <f aca="false">IF(ISBLANK(RawFinancials!Y456),"",RawFinancials!Y456)</f>
        <v>3.14</v>
      </c>
      <c r="Z456" s="0" t="str">
        <f aca="false">IF(ISBLANK(RawFinancials!Z456),"",RawFinancials!Z456)</f>
        <v>ME</v>
      </c>
      <c r="AA456" s="0" t="n">
        <f aca="false">RawFinancials!AA456</f>
        <v>1</v>
      </c>
      <c r="AB456" s="0" t="n">
        <f aca="false">RawFinancials!AB456</f>
        <v>8037</v>
      </c>
      <c r="AC456" s="0" t="n">
        <f aca="false">RawFinancials!AC456</f>
        <v>0.316796231082689</v>
      </c>
      <c r="AD456" s="0" t="n">
        <f aca="false">IF(L456&gt;0,100*N456/L456,"")</f>
        <v>81.8521099458711</v>
      </c>
      <c r="AE456" s="0" t="n">
        <f aca="false">IF(B456&gt;0,100*F456/B456,"")</f>
        <v>9.56009589422309</v>
      </c>
      <c r="AF456" s="0" t="str">
        <f aca="false">RawFinancials!AE456</f>
        <v/>
      </c>
    </row>
    <row r="457" customFormat="false" ht="15" hidden="false" customHeight="false" outlineLevel="0" collapsed="false">
      <c r="A457" s="0" t="n">
        <f aca="false">IF(ISBLANK(RawFinancials!A457),"",RawFinancials!A457)</f>
        <v>457</v>
      </c>
      <c r="B457" s="0" t="n">
        <f aca="false">IF(ISBLANK(RawFinancials!B457),"",RawFinancials!B457)</f>
        <v>898226</v>
      </c>
      <c r="C457" s="0" t="n">
        <f aca="false">IF(ISBLANK(RawFinancials!C457),"",RawFinancials!C457)</f>
        <v>19532</v>
      </c>
      <c r="D457" s="0" t="n">
        <f aca="false">IF(ISBLANK(RawFinancials!D457),"",RawFinancials!D457)</f>
        <v>728574</v>
      </c>
      <c r="E457" s="0" t="n">
        <f aca="false">IF(ISBLANK(RawFinancials!E457),"",RawFinancials!E457)</f>
        <v>0.02</v>
      </c>
      <c r="F457" s="0" t="n">
        <f aca="false">IF(ISBLANK(RawFinancials!F457),"",RawFinancials!F457)</f>
        <v>97076</v>
      </c>
      <c r="G457" s="0" t="n">
        <f aca="false">IF(ISBLANK(RawFinancials!G457),"",RawFinancials!G457)</f>
        <v>10.8075250549416</v>
      </c>
      <c r="H457" s="0" t="str">
        <f aca="false">IF(ISBLANK(RawFinancials!H457),"",RawFinancials!H457)</f>
        <v>19532_20240331</v>
      </c>
      <c r="I457" s="0" t="n">
        <f aca="false">IF(ISBLANK(RawFinancials!I457),"",RawFinancials!I457)</f>
        <v>1.0027023783972</v>
      </c>
      <c r="J457" s="0" t="n">
        <f aca="false">IF(ISBLANK(RawFinancials!J457),"",RawFinancials!J457)</f>
        <v>47376</v>
      </c>
      <c r="K457" s="0" t="n">
        <f aca="false">IF(ISBLANK(RawFinancials!K457),"",RawFinancials!K457)</f>
        <v>51912</v>
      </c>
      <c r="L457" s="0" t="n">
        <f aca="false">IF(ISBLANK(RawFinancials!L457),"",RawFinancials!L457)</f>
        <v>591701</v>
      </c>
      <c r="M457" s="0" t="n">
        <f aca="false">IF(ISBLANK(RawFinancials!M457),"",RawFinancials!M457)</f>
        <v>585768</v>
      </c>
      <c r="N457" s="0" t="n">
        <f aca="false">IF(ISBLANK(RawFinancials!N457),"",RawFinancials!N457)</f>
        <v>486940</v>
      </c>
      <c r="O457" s="0" t="n">
        <f aca="false">IF(ISBLANK(RawFinancials!O457),"",RawFinancials!O457)</f>
        <v>1722</v>
      </c>
      <c r="P457" s="0" t="str">
        <f aca="false">IF(ISBLANK(RawFinancials!P457),"",RawFinancials!P457)</f>
        <v>SKOWHEGAN SAVINGS BANK</v>
      </c>
      <c r="Q457" s="0" t="n">
        <f aca="false">IF(ISBLANK(RawFinancials!Q457),"",RawFinancials!Q457)</f>
        <v>0.29102536585201</v>
      </c>
      <c r="R457" s="0" t="n">
        <f aca="false">IF(ISBLANK(RawFinancials!R457),"",RawFinancials!R457)</f>
        <v>2.92777746211838</v>
      </c>
      <c r="S457" s="0" t="n">
        <f aca="false">IF(ISBLANK(RawFinancials!S457),"",RawFinancials!S457)</f>
        <v>26</v>
      </c>
      <c r="T457" s="0" t="n">
        <f aca="false">IF(ISBLANK(RawFinancials!T457),"",RawFinancials!T457)</f>
        <v>894</v>
      </c>
      <c r="U457" s="0" t="n">
        <f aca="false">IF(ISBLANK(RawFinancials!U457),"",RawFinancials!U457)</f>
        <v>0</v>
      </c>
      <c r="V457" s="0" t="n">
        <f aca="false">IF(ISBLANK(RawFinancials!V457),"",RawFinancials!V457)</f>
        <v>20.9615309283706</v>
      </c>
      <c r="W457" s="0" t="n">
        <f aca="false">IF(ISBLANK(RawFinancials!W457),"",RawFinancials!W457)</f>
        <v>20240331</v>
      </c>
      <c r="X457" s="0" t="n">
        <f aca="false">IF(ISBLANK(RawFinancials!X457),"",RawFinancials!X457)</f>
        <v>0.943362209622024</v>
      </c>
      <c r="Y457" s="0" t="n">
        <f aca="false">IF(ISBLANK(RawFinancials!Y457),"",RawFinancials!Y457)</f>
        <v>8.64</v>
      </c>
      <c r="Z457" s="0" t="str">
        <f aca="false">IF(ISBLANK(RawFinancials!Z457),"",RawFinancials!Z457)</f>
        <v>ME</v>
      </c>
      <c r="AA457" s="0" t="n">
        <f aca="false">RawFinancials!AA457</f>
        <v>1</v>
      </c>
      <c r="AB457" s="0" t="n">
        <f aca="false">RawFinancials!AB457</f>
        <v>1722</v>
      </c>
      <c r="AC457" s="0" t="n">
        <f aca="false">RawFinancials!AC457</f>
        <v>0.191711217444162</v>
      </c>
      <c r="AD457" s="0" t="n">
        <f aca="false">IF(L457&gt;0,100*N457/L457,"")</f>
        <v>82.2949428850044</v>
      </c>
      <c r="AE457" s="0" t="n">
        <f aca="false">IF(B457&gt;0,100*F457/B457,"")</f>
        <v>10.8075250549416</v>
      </c>
      <c r="AF457" s="0" t="str">
        <f aca="false">RawFinancials!AE457</f>
        <v/>
      </c>
    </row>
    <row r="458" customFormat="false" ht="15" hidden="false" customHeight="false" outlineLevel="0" collapsed="false">
      <c r="A458" s="0" t="n">
        <f aca="false">IF(ISBLANK(RawFinancials!A458),"",RawFinancials!A458)</f>
        <v>458</v>
      </c>
      <c r="B458" s="0" t="n">
        <f aca="false">IF(ISBLANK(RawFinancials!B458),"",RawFinancials!B458)</f>
        <v>3001015</v>
      </c>
      <c r="C458" s="0" t="n">
        <f aca="false">IF(ISBLANK(RawFinancials!C458),"",RawFinancials!C458)</f>
        <v>19690</v>
      </c>
      <c r="D458" s="0" t="n">
        <f aca="false">IF(ISBLANK(RawFinancials!D458),"",RawFinancials!D458)</f>
        <v>2249394</v>
      </c>
      <c r="E458" s="0" t="n">
        <f aca="false">IF(ISBLANK(RawFinancials!E458),"",RawFinancials!E458)</f>
        <v>0.07</v>
      </c>
      <c r="F458" s="0" t="n">
        <f aca="false">IF(ISBLANK(RawFinancials!F458),"",RawFinancials!F458)</f>
        <v>351913</v>
      </c>
      <c r="G458" s="0" t="n">
        <f aca="false">IF(ISBLANK(RawFinancials!G458),"",RawFinancials!G458)</f>
        <v>11.7264658790443</v>
      </c>
      <c r="H458" s="0" t="str">
        <f aca="false">IF(ISBLANK(RawFinancials!H458),"",RawFinancials!H458)</f>
        <v>19690_20240331</v>
      </c>
      <c r="I458" s="0" t="n">
        <f aca="false">IF(ISBLANK(RawFinancials!I458),"",RawFinancials!I458)</f>
        <v>0.976444802940099</v>
      </c>
      <c r="J458" s="0" t="n">
        <f aca="false">IF(ISBLANK(RawFinancials!J458),"",RawFinancials!J458)</f>
        <v>53076</v>
      </c>
      <c r="K458" s="0" t="n">
        <f aca="false">IF(ISBLANK(RawFinancials!K458),"",RawFinancials!K458)</f>
        <v>319</v>
      </c>
      <c r="L458" s="0" t="n">
        <f aca="false">IF(ISBLANK(RawFinancials!L458),"",RawFinancials!L458)</f>
        <v>2656781</v>
      </c>
      <c r="M458" s="0" t="n">
        <f aca="false">IF(ISBLANK(RawFinancials!M458),"",RawFinancials!M458)</f>
        <v>2630839</v>
      </c>
      <c r="N458" s="0" t="n">
        <f aca="false">IF(ISBLANK(RawFinancials!N458),"",RawFinancials!N458)</f>
        <v>2071416</v>
      </c>
      <c r="O458" s="0" t="n">
        <f aca="false">IF(ISBLANK(RawFinancials!O458),"",RawFinancials!O458)</f>
        <v>27951</v>
      </c>
      <c r="P458" s="0" t="str">
        <f aca="false">IF(ISBLANK(RawFinancials!P458),"",RawFinancials!P458)</f>
        <v>NORTHEAST BANK</v>
      </c>
      <c r="Q458" s="0" t="n">
        <f aca="false">IF(ISBLANK(RawFinancials!Q458),"",RawFinancials!Q458)</f>
        <v>1.0520626276686</v>
      </c>
      <c r="R458" s="0" t="n">
        <f aca="false">IF(ISBLANK(RawFinancials!R458),"",RawFinancials!R458)</f>
        <v>5.07860865095937</v>
      </c>
      <c r="S458" s="0" t="n">
        <f aca="false">IF(ISBLANK(RawFinancials!S458),"",RawFinancials!S458)</f>
        <v>2248</v>
      </c>
      <c r="T458" s="0" t="n">
        <f aca="false">IF(ISBLANK(RawFinancials!T458),"",RawFinancials!T458)</f>
        <v>5111</v>
      </c>
      <c r="U458" s="0" t="n">
        <f aca="false">IF(ISBLANK(RawFinancials!U458),"",RawFinancials!U458)</f>
        <v>0</v>
      </c>
      <c r="V458" s="0" t="n">
        <f aca="false">IF(ISBLANK(RawFinancials!V458),"",RawFinancials!V458)</f>
        <v>14.2226449666769</v>
      </c>
      <c r="W458" s="0" t="n">
        <f aca="false">IF(ISBLANK(RawFinancials!W458),"",RawFinancials!W458)</f>
        <v>20240331</v>
      </c>
      <c r="X458" s="0" t="n">
        <f aca="false">IF(ISBLANK(RawFinancials!X458),"",RawFinancials!X458)</f>
        <v>1.85795924985482</v>
      </c>
      <c r="Y458" s="0" t="n">
        <f aca="false">IF(ISBLANK(RawFinancials!Y458),"",RawFinancials!Y458)</f>
        <v>16.32</v>
      </c>
      <c r="Z458" s="0" t="str">
        <f aca="false">IF(ISBLANK(RawFinancials!Z458),"",RawFinancials!Z458)</f>
        <v>ME</v>
      </c>
      <c r="AA458" s="0" t="n">
        <f aca="false">RawFinancials!AA458</f>
        <v>1</v>
      </c>
      <c r="AB458" s="0" t="n">
        <f aca="false">RawFinancials!AB458</f>
        <v>27951</v>
      </c>
      <c r="AC458" s="0" t="n">
        <f aca="false">RawFinancials!AC458</f>
        <v>0.931384881448443</v>
      </c>
      <c r="AD458" s="0" t="n">
        <f aca="false">IF(L458&gt;0,100*N458/L458,"")</f>
        <v>77.9671339113009</v>
      </c>
      <c r="AE458" s="0" t="n">
        <f aca="false">IF(B458&gt;0,100*F458/B458,"")</f>
        <v>11.7264658790443</v>
      </c>
      <c r="AF458" s="0" t="str">
        <f aca="false">RawFinancials!AE458</f>
        <v/>
      </c>
    </row>
    <row r="459" customFormat="false" ht="15" hidden="false" customHeight="false" outlineLevel="0" collapsed="false">
      <c r="A459" s="0" t="n">
        <f aca="false">IF(ISBLANK(RawFinancials!A459),"",RawFinancials!A459)</f>
        <v>459</v>
      </c>
      <c r="B459" s="0" t="n">
        <f aca="false">IF(ISBLANK(RawFinancials!B459),"",RawFinancials!B459)</f>
        <v>677132</v>
      </c>
      <c r="C459" s="0" t="n">
        <f aca="false">IF(ISBLANK(RawFinancials!C459),"",RawFinancials!C459)</f>
        <v>19836</v>
      </c>
      <c r="D459" s="0" t="n">
        <f aca="false">IF(ISBLANK(RawFinancials!D459),"",RawFinancials!D459)</f>
        <v>501943</v>
      </c>
      <c r="E459" s="0" t="n">
        <f aca="false">IF(ISBLANK(RawFinancials!E459),"",RawFinancials!E459)</f>
        <v>0</v>
      </c>
      <c r="F459" s="0" t="n">
        <f aca="false">IF(ISBLANK(RawFinancials!F459),"",RawFinancials!F459)</f>
        <v>121076</v>
      </c>
      <c r="G459" s="0" t="n">
        <f aca="false">IF(ISBLANK(RawFinancials!G459),"",RawFinancials!G459)</f>
        <v>17.8807086358347</v>
      </c>
      <c r="H459" s="0" t="str">
        <f aca="false">IF(ISBLANK(RawFinancials!H459),"",RawFinancials!H459)</f>
        <v>19836_20240331</v>
      </c>
      <c r="I459" s="0" t="n">
        <f aca="false">IF(ISBLANK(RawFinancials!I459),"",RawFinancials!I459)</f>
        <v>0.791438350091327</v>
      </c>
      <c r="J459" s="0" t="n">
        <f aca="false">IF(ISBLANK(RawFinancials!J459),"",RawFinancials!J459)</f>
        <v>47004</v>
      </c>
      <c r="K459" s="0" t="n">
        <f aca="false">IF(ISBLANK(RawFinancials!K459),"",RawFinancials!K459)</f>
        <v>11321</v>
      </c>
      <c r="L459" s="0" t="n">
        <f aca="false">IF(ISBLANK(RawFinancials!L459),"",RawFinancials!L459)</f>
        <v>563910</v>
      </c>
      <c r="M459" s="0" t="n">
        <f aca="false">IF(ISBLANK(RawFinancials!M459),"",RawFinancials!M459)</f>
        <v>559447</v>
      </c>
      <c r="N459" s="0" t="n">
        <f aca="false">IF(ISBLANK(RawFinancials!N459),"",RawFinancials!N459)</f>
        <v>501814</v>
      </c>
      <c r="O459" s="0" t="n">
        <f aca="false">IF(ISBLANK(RawFinancials!O459),"",RawFinancials!O459)</f>
        <v>4708</v>
      </c>
      <c r="P459" s="0" t="str">
        <f aca="false">IF(ISBLANK(RawFinancials!P459),"",RawFinancials!P459)</f>
        <v>FRANKLIN SAVINGS BANK</v>
      </c>
      <c r="Q459" s="0" t="n">
        <f aca="false">IF(ISBLANK(RawFinancials!Q459),"",RawFinancials!Q459)</f>
        <v>0.858647656540937</v>
      </c>
      <c r="R459" s="0" t="n">
        <f aca="false">IF(ISBLANK(RawFinancials!R459),"",RawFinancials!R459)</f>
        <v>3.55685564125512</v>
      </c>
      <c r="S459" s="0" t="n">
        <f aca="false">IF(ISBLANK(RawFinancials!S459),"",RawFinancials!S459)</f>
        <v>-6</v>
      </c>
      <c r="T459" s="0" t="n">
        <f aca="false">IF(ISBLANK(RawFinancials!T459),"",RawFinancials!T459)</f>
        <v>1775</v>
      </c>
      <c r="U459" s="0" t="n">
        <f aca="false">IF(ISBLANK(RawFinancials!U459),"",RawFinancials!U459)</f>
        <v>134</v>
      </c>
      <c r="V459" s="0" t="n">
        <f aca="false">IF(ISBLANK(RawFinancials!V459),"",RawFinancials!V459)</f>
        <v>25.4067359742023</v>
      </c>
      <c r="W459" s="0" t="n">
        <f aca="false">IF(ISBLANK(RawFinancials!W459),"",RawFinancials!W459)</f>
        <v>20240331</v>
      </c>
      <c r="X459" s="0" t="n">
        <f aca="false">IF(ISBLANK(RawFinancials!X459),"",RawFinancials!X459)</f>
        <v>0.619382173762133</v>
      </c>
      <c r="Y459" s="0" t="n">
        <f aca="false">IF(ISBLANK(RawFinancials!Y459),"",RawFinancials!Y459)</f>
        <v>3.42</v>
      </c>
      <c r="Z459" s="0" t="str">
        <f aca="false">IF(ISBLANK(RawFinancials!Z459),"",RawFinancials!Z459)</f>
        <v>ME</v>
      </c>
      <c r="AA459" s="0" t="n">
        <f aca="false">RawFinancials!AA459</f>
        <v>1</v>
      </c>
      <c r="AB459" s="0" t="n">
        <f aca="false">RawFinancials!AB459</f>
        <v>4842</v>
      </c>
      <c r="AC459" s="0" t="n">
        <f aca="false">RawFinancials!AC459</f>
        <v>0.715074756472889</v>
      </c>
      <c r="AD459" s="0" t="n">
        <f aca="false">IF(L459&gt;0,100*N459/L459,"")</f>
        <v>88.9883137380078</v>
      </c>
      <c r="AE459" s="0" t="n">
        <f aca="false">IF(B459&gt;0,100*F459/B459,"")</f>
        <v>17.8807086358347</v>
      </c>
      <c r="AF459" s="0" t="str">
        <f aca="false">RawFinancials!AE459</f>
        <v/>
      </c>
    </row>
    <row r="460" customFormat="false" ht="15" hidden="false" customHeight="false" outlineLevel="0" collapsed="false">
      <c r="A460" s="0" t="n">
        <f aca="false">IF(ISBLANK(RawFinancials!A460),"",RawFinancials!A460)</f>
        <v>460</v>
      </c>
      <c r="B460" s="0" t="n">
        <f aca="false">IF(ISBLANK(RawFinancials!B460),"",RawFinancials!B460)</f>
        <v>1433532</v>
      </c>
      <c r="C460" s="0" t="n">
        <f aca="false">IF(ISBLANK(RawFinancials!C460),"",RawFinancials!C460)</f>
        <v>24540</v>
      </c>
      <c r="D460" s="0" t="n">
        <f aca="false">IF(ISBLANK(RawFinancials!D460),"",RawFinancials!D460)</f>
        <v>1156113</v>
      </c>
      <c r="E460" s="0" t="n">
        <f aca="false">IF(ISBLANK(RawFinancials!E460),"",RawFinancials!E460)</f>
        <v>0.06</v>
      </c>
      <c r="F460" s="0" t="n">
        <f aca="false">IF(ISBLANK(RawFinancials!F460),"",RawFinancials!F460)</f>
        <v>252599</v>
      </c>
      <c r="G460" s="0" t="n">
        <f aca="false">IF(ISBLANK(RawFinancials!G460),"",RawFinancials!G460)</f>
        <v>17.6207437294738</v>
      </c>
      <c r="H460" s="0" t="str">
        <f aca="false">IF(ISBLANK(RawFinancials!H460),"",RawFinancials!H460)</f>
        <v>24540_20240331</v>
      </c>
      <c r="I460" s="0" t="n">
        <f aca="false">IF(ISBLANK(RawFinancials!I460),"",RawFinancials!I460)</f>
        <v>0.952699451724457</v>
      </c>
      <c r="J460" s="0" t="n">
        <f aca="false">IF(ISBLANK(RawFinancials!J460),"",RawFinancials!J460)</f>
        <v>42959</v>
      </c>
      <c r="K460" s="0" t="n">
        <f aca="false">IF(ISBLANK(RawFinancials!K460),"",RawFinancials!K460)</f>
        <v>75</v>
      </c>
      <c r="L460" s="0" t="n">
        <f aca="false">IF(ISBLANK(RawFinancials!L460),"",RawFinancials!L460)</f>
        <v>1220007</v>
      </c>
      <c r="M460" s="0" t="n">
        <f aca="false">IF(ISBLANK(RawFinancials!M460),"",RawFinancials!M460)</f>
        <v>1208384</v>
      </c>
      <c r="N460" s="0" t="n">
        <f aca="false">IF(ISBLANK(RawFinancials!N460),"",RawFinancials!N460)</f>
        <v>1181027</v>
      </c>
      <c r="O460" s="0" t="n">
        <f aca="false">IF(ISBLANK(RawFinancials!O460),"",RawFinancials!O460)</f>
        <v>30157</v>
      </c>
      <c r="P460" s="0" t="str">
        <f aca="false">IF(ISBLANK(RawFinancials!P460),"",RawFinancials!P460)</f>
        <v>BANK OF NEW ENGLAND</v>
      </c>
      <c r="Q460" s="0" t="n">
        <f aca="false">IF(ISBLANK(RawFinancials!Q460),"",RawFinancials!Q460)</f>
        <v>2.47187106303488</v>
      </c>
      <c r="R460" s="0" t="n">
        <f aca="false">IF(ISBLANK(RawFinancials!R460),"",RawFinancials!R460)</f>
        <v>4.09894292806512</v>
      </c>
      <c r="S460" s="0" t="n">
        <f aca="false">IF(ISBLANK(RawFinancials!S460),"",RawFinancials!S460)</f>
        <v>0</v>
      </c>
      <c r="T460" s="0" t="n">
        <f aca="false">IF(ISBLANK(RawFinancials!T460),"",RawFinancials!T460)</f>
        <v>0</v>
      </c>
      <c r="U460" s="0" t="n">
        <f aca="false">IF(ISBLANK(RawFinancials!U460),"",RawFinancials!U460)</f>
        <v>0</v>
      </c>
      <c r="V460" s="0" t="n">
        <f aca="false">IF(ISBLANK(RawFinancials!V460),"",RawFinancials!V460)</f>
        <v>18.9186492671387</v>
      </c>
      <c r="W460" s="0" t="n">
        <f aca="false">IF(ISBLANK(RawFinancials!W460),"",RawFinancials!W460)</f>
        <v>20240331</v>
      </c>
      <c r="X460" s="0" t="n">
        <f aca="false">IF(ISBLANK(RawFinancials!X460),"",RawFinancials!X460)</f>
        <v>1.89104806828232</v>
      </c>
      <c r="Y460" s="0" t="n">
        <f aca="false">IF(ISBLANK(RawFinancials!Y460),"",RawFinancials!Y460)</f>
        <v>10.67</v>
      </c>
      <c r="Z460" s="0" t="str">
        <f aca="false">IF(ISBLANK(RawFinancials!Z460),"",RawFinancials!Z460)</f>
        <v>NH</v>
      </c>
      <c r="AA460" s="0" t="n">
        <f aca="false">RawFinancials!AA460</f>
        <v>1</v>
      </c>
      <c r="AB460" s="0" t="n">
        <f aca="false">RawFinancials!AB460</f>
        <v>30157</v>
      </c>
      <c r="AC460" s="0" t="n">
        <f aca="false">RawFinancials!AC460</f>
        <v>2.10368516363778</v>
      </c>
      <c r="AD460" s="0" t="n">
        <f aca="false">IF(L460&gt;0,100*N460/L460,"")</f>
        <v>96.8049363651192</v>
      </c>
      <c r="AE460" s="0" t="n">
        <f aca="false">IF(B460&gt;0,100*F460/B460,"")</f>
        <v>17.6207437294738</v>
      </c>
      <c r="AF460" s="0" t="str">
        <f aca="false">RawFinancials!AE460</f>
        <v/>
      </c>
    </row>
    <row r="461" customFormat="false" ht="15" hidden="false" customHeight="false" outlineLevel="0" collapsed="false">
      <c r="A461" s="0" t="n">
        <f aca="false">IF(ISBLANK(RawFinancials!A461),"",RawFinancials!A461)</f>
        <v>461</v>
      </c>
      <c r="B461" s="0" t="n">
        <f aca="false">IF(ISBLANK(RawFinancials!B461),"",RawFinancials!B461)</f>
        <v>541415</v>
      </c>
      <c r="C461" s="0" t="n">
        <f aca="false">IF(ISBLANK(RawFinancials!C461),"",RawFinancials!C461)</f>
        <v>27824</v>
      </c>
      <c r="D461" s="0" t="n">
        <f aca="false">IF(ISBLANK(RawFinancials!D461),"",RawFinancials!D461)</f>
        <v>385991</v>
      </c>
      <c r="E461" s="0" t="n">
        <f aca="false">IF(ISBLANK(RawFinancials!E461),"",RawFinancials!E461)</f>
        <v>0.09</v>
      </c>
      <c r="F461" s="0" t="n">
        <f aca="false">IF(ISBLANK(RawFinancials!F461),"",RawFinancials!F461)</f>
        <v>64777</v>
      </c>
      <c r="G461" s="0" t="n">
        <f aca="false">IF(ISBLANK(RawFinancials!G461),"",RawFinancials!G461)</f>
        <v>11.9643896087105</v>
      </c>
      <c r="H461" s="0" t="str">
        <f aca="false">IF(ISBLANK(RawFinancials!H461),"",RawFinancials!H461)</f>
        <v>27824_20240331</v>
      </c>
      <c r="I461" s="0" t="n">
        <f aca="false">IF(ISBLANK(RawFinancials!I461),"",RawFinancials!I461)</f>
        <v>0.645518543766643</v>
      </c>
      <c r="J461" s="0" t="n">
        <f aca="false">IF(ISBLANK(RawFinancials!J461),"",RawFinancials!J461)</f>
        <v>20617</v>
      </c>
      <c r="K461" s="0" t="n">
        <f aca="false">IF(ISBLANK(RawFinancials!K461),"",RawFinancials!K461)</f>
        <v>41816</v>
      </c>
      <c r="L461" s="0" t="n">
        <f aca="false">IF(ISBLANK(RawFinancials!L461),"",RawFinancials!L461)</f>
        <v>453279</v>
      </c>
      <c r="M461" s="0" t="n">
        <f aca="false">IF(ISBLANK(RawFinancials!M461),"",RawFinancials!M461)</f>
        <v>450353</v>
      </c>
      <c r="N461" s="0" t="n">
        <f aca="false">IF(ISBLANK(RawFinancials!N461),"",RawFinancials!N461)</f>
        <v>390846</v>
      </c>
      <c r="O461" s="0" t="n">
        <f aca="false">IF(ISBLANK(RawFinancials!O461),"",RawFinancials!O461)</f>
        <v>1045</v>
      </c>
      <c r="P461" s="0" t="str">
        <f aca="false">IF(ISBLANK(RawFinancials!P461),"",RawFinancials!P461)</f>
        <v>SALEM CO-OPERATIVE BANK</v>
      </c>
      <c r="Q461" s="0" t="n">
        <f aca="false">IF(ISBLANK(RawFinancials!Q461),"",RawFinancials!Q461)</f>
        <v>0.230542337059515</v>
      </c>
      <c r="R461" s="0" t="n">
        <f aca="false">IF(ISBLANK(RawFinancials!R461),"",RawFinancials!R461)</f>
        <v>1.62890150261009</v>
      </c>
      <c r="S461" s="0" t="n">
        <f aca="false">IF(ISBLANK(RawFinancials!S461),"",RawFinancials!S461)</f>
        <v>116</v>
      </c>
      <c r="T461" s="0" t="n">
        <f aca="false">IF(ISBLANK(RawFinancials!T461),"",RawFinancials!T461)</f>
        <v>1418</v>
      </c>
      <c r="U461" s="0" t="n">
        <f aca="false">IF(ISBLANK(RawFinancials!U461),"",RawFinancials!U461)</f>
        <v>0</v>
      </c>
      <c r="V461" s="0" t="n">
        <f aca="false">IF(ISBLANK(RawFinancials!V461),"",RawFinancials!V461)</f>
        <v>21.0236173119163</v>
      </c>
      <c r="W461" s="0" t="n">
        <f aca="false">IF(ISBLANK(RawFinancials!W461),"",RawFinancials!W461)</f>
        <v>20240331</v>
      </c>
      <c r="X461" s="0" t="n">
        <f aca="false">IF(ISBLANK(RawFinancials!X461),"",RawFinancials!X461)</f>
        <v>-0.393235899037422</v>
      </c>
      <c r="Y461" s="0" t="n">
        <f aca="false">IF(ISBLANK(RawFinancials!Y461),"",RawFinancials!Y461)</f>
        <v>-3.28</v>
      </c>
      <c r="Z461" s="0" t="str">
        <f aca="false">IF(ISBLANK(RawFinancials!Z461),"",RawFinancials!Z461)</f>
        <v>NH</v>
      </c>
      <c r="AA461" s="0" t="n">
        <f aca="false">RawFinancials!AA461</f>
        <v>1</v>
      </c>
      <c r="AB461" s="0" t="n">
        <f aca="false">RawFinancials!AB461</f>
        <v>1045</v>
      </c>
      <c r="AC461" s="0" t="n">
        <f aca="false">RawFinancials!AC461</f>
        <v>0.193012753617835</v>
      </c>
      <c r="AD461" s="0" t="n">
        <f aca="false">IF(L461&gt;0,100*N461/L461,"")</f>
        <v>86.2263638950845</v>
      </c>
      <c r="AE461" s="0" t="n">
        <f aca="false">IF(B461&gt;0,100*F461/B461,"")</f>
        <v>11.9643896087105</v>
      </c>
      <c r="AF461" s="0" t="str">
        <f aca="false">RawFinancials!AE461</f>
        <v/>
      </c>
    </row>
    <row r="462" customFormat="false" ht="15" hidden="false" customHeight="false" outlineLevel="0" collapsed="false">
      <c r="A462" s="0" t="n">
        <f aca="false">IF(ISBLANK(RawFinancials!A462),"",RawFinancials!A462)</f>
        <v>462</v>
      </c>
      <c r="B462" s="0" t="n">
        <f aca="false">IF(ISBLANK(RawFinancials!B462),"",RawFinancials!B462)</f>
        <v>297031</v>
      </c>
      <c r="C462" s="0" t="n">
        <f aca="false">IF(ISBLANK(RawFinancials!C462),"",RawFinancials!C462)</f>
        <v>28155</v>
      </c>
      <c r="D462" s="0" t="n">
        <f aca="false">IF(ISBLANK(RawFinancials!D462),"",RawFinancials!D462)</f>
        <v>249108</v>
      </c>
      <c r="E462" s="0" t="n">
        <f aca="false">IF(ISBLANK(RawFinancials!E462),"",RawFinancials!E462)</f>
        <v>-0.03</v>
      </c>
      <c r="F462" s="0" t="n">
        <f aca="false">IF(ISBLANK(RawFinancials!F462),"",RawFinancials!F462)</f>
        <v>27388</v>
      </c>
      <c r="G462" s="0" t="n">
        <f aca="false">IF(ISBLANK(RawFinancials!G462),"",RawFinancials!G462)</f>
        <v>9.22058640343937</v>
      </c>
      <c r="H462" s="0" t="str">
        <f aca="false">IF(ISBLANK(RawFinancials!H462),"",RawFinancials!H462)</f>
        <v>28155_20240331</v>
      </c>
      <c r="I462" s="0" t="n">
        <f aca="false">IF(ISBLANK(RawFinancials!I462),"",RawFinancials!I462)</f>
        <v>0.472481547437027</v>
      </c>
      <c r="J462" s="0" t="n">
        <f aca="false">IF(ISBLANK(RawFinancials!J462),"",RawFinancials!J462)</f>
        <v>10532</v>
      </c>
      <c r="K462" s="0" t="n">
        <f aca="false">IF(ISBLANK(RawFinancials!K462),"",RawFinancials!K462)</f>
        <v>5990</v>
      </c>
      <c r="L462" s="0" t="n">
        <f aca="false">IF(ISBLANK(RawFinancials!L462),"",RawFinancials!L462)</f>
        <v>166779</v>
      </c>
      <c r="M462" s="0" t="n">
        <f aca="false">IF(ISBLANK(RawFinancials!M462),"",RawFinancials!M462)</f>
        <v>165991</v>
      </c>
      <c r="N462" s="0" t="n">
        <f aca="false">IF(ISBLANK(RawFinancials!N462),"",RawFinancials!N462)</f>
        <v>149746</v>
      </c>
      <c r="O462" s="0" t="n">
        <f aca="false">IF(ISBLANK(RawFinancials!O462),"",RawFinancials!O462)</f>
        <v>130</v>
      </c>
      <c r="P462" s="0" t="str">
        <f aca="false">IF(ISBLANK(RawFinancials!P462),"",RawFinancials!P462)</f>
        <v>PROFILE BANK</v>
      </c>
      <c r="Q462" s="0" t="n">
        <f aca="false">IF(ISBLANK(RawFinancials!Q462),"",RawFinancials!Q462)</f>
        <v>0.0779474634096619</v>
      </c>
      <c r="R462" s="0" t="n">
        <f aca="false">IF(ISBLANK(RawFinancials!R462),"",RawFinancials!R462)</f>
        <v>2.36750375517175</v>
      </c>
      <c r="S462" s="0" t="n">
        <f aca="false">IF(ISBLANK(RawFinancials!S462),"",RawFinancials!S462)</f>
        <v>1</v>
      </c>
      <c r="T462" s="0" t="n">
        <f aca="false">IF(ISBLANK(RawFinancials!T462),"",RawFinancials!T462)</f>
        <v>447</v>
      </c>
      <c r="U462" s="0" t="n">
        <f aca="false">IF(ISBLANK(RawFinancials!U462),"",RawFinancials!U462)</f>
        <v>0</v>
      </c>
      <c r="V462" s="0" t="n">
        <f aca="false">IF(ISBLANK(RawFinancials!V462),"",RawFinancials!V462)</f>
        <v>17.7250205933339</v>
      </c>
      <c r="W462" s="0" t="n">
        <f aca="false">IF(ISBLANK(RawFinancials!W462),"",RawFinancials!W462)</f>
        <v>20240331</v>
      </c>
      <c r="X462" s="0" t="n">
        <f aca="false">IF(ISBLANK(RawFinancials!X462),"",RawFinancials!X462)</f>
        <v>-0.0455333766346816</v>
      </c>
      <c r="Y462" s="0" t="n">
        <f aca="false">IF(ISBLANK(RawFinancials!Y462),"",RawFinancials!Y462)</f>
        <v>-0.5</v>
      </c>
      <c r="Z462" s="0" t="str">
        <f aca="false">IF(ISBLANK(RawFinancials!Z462),"",RawFinancials!Z462)</f>
        <v>NH</v>
      </c>
      <c r="AA462" s="0" t="n">
        <f aca="false">RawFinancials!AA462</f>
        <v>1</v>
      </c>
      <c r="AB462" s="0" t="n">
        <f aca="false">RawFinancials!AB462</f>
        <v>130</v>
      </c>
      <c r="AC462" s="0" t="n">
        <f aca="false">RawFinancials!AC462</f>
        <v>0.0437664755530568</v>
      </c>
      <c r="AD462" s="0" t="n">
        <f aca="false">IF(L462&gt;0,100*N462/L462,"")</f>
        <v>89.7870835057172</v>
      </c>
      <c r="AE462" s="0" t="n">
        <f aca="false">IF(B462&gt;0,100*F462/B462,"")</f>
        <v>9.22058640343937</v>
      </c>
      <c r="AF462" s="0" t="str">
        <f aca="false">RawFinancials!AE462</f>
        <v/>
      </c>
    </row>
    <row r="463" customFormat="false" ht="15" hidden="false" customHeight="false" outlineLevel="0" collapsed="false">
      <c r="A463" s="0" t="n">
        <f aca="false">IF(ISBLANK(RawFinancials!A463),"",RawFinancials!A463)</f>
        <v>463</v>
      </c>
      <c r="B463" s="0" t="n">
        <f aca="false">IF(ISBLANK(RawFinancials!B463),"",RawFinancials!B463)</f>
        <v>103458</v>
      </c>
      <c r="C463" s="0" t="n">
        <f aca="false">IF(ISBLANK(RawFinancials!C463),"",RawFinancials!C463)</f>
        <v>28288</v>
      </c>
      <c r="D463" s="0" t="n">
        <f aca="false">IF(ISBLANK(RawFinancials!D463),"",RawFinancials!D463)</f>
        <v>74972</v>
      </c>
      <c r="E463" s="0" t="n">
        <f aca="false">IF(ISBLANK(RawFinancials!E463),"",RawFinancials!E463)</f>
        <v>0</v>
      </c>
      <c r="F463" s="0" t="n">
        <f aca="false">IF(ISBLANK(RawFinancials!F463),"",RawFinancials!F463)</f>
        <v>5859</v>
      </c>
      <c r="G463" s="0" t="n">
        <f aca="false">IF(ISBLANK(RawFinancials!G463),"",RawFinancials!G463)</f>
        <v>5.66316766223975</v>
      </c>
      <c r="H463" s="0" t="str">
        <f aca="false">IF(ISBLANK(RawFinancials!H463),"",RawFinancials!H463)</f>
        <v>28288_20240331</v>
      </c>
      <c r="I463" s="0" t="n">
        <f aca="false">IF(ISBLANK(RawFinancials!I463),"",RawFinancials!I463)</f>
        <v>1.03855795630894</v>
      </c>
      <c r="J463" s="0" t="n">
        <f aca="false">IF(ISBLANK(RawFinancials!J463),"",RawFinancials!J463)</f>
        <v>4949</v>
      </c>
      <c r="K463" s="0" t="n">
        <f aca="false">IF(ISBLANK(RawFinancials!K463),"",RawFinancials!K463)</f>
        <v>2908</v>
      </c>
      <c r="L463" s="0" t="n">
        <f aca="false">IF(ISBLANK(RawFinancials!L463),"",RawFinancials!L463)</f>
        <v>83770</v>
      </c>
      <c r="M463" s="0" t="n">
        <f aca="false">IF(ISBLANK(RawFinancials!M463),"",RawFinancials!M463)</f>
        <v>82900</v>
      </c>
      <c r="N463" s="0" t="n">
        <f aca="false">IF(ISBLANK(RawFinancials!N463),"",RawFinancials!N463)</f>
        <v>75913</v>
      </c>
      <c r="O463" s="0" t="n">
        <f aca="false">IF(ISBLANK(RawFinancials!O463),"",RawFinancials!O463)</f>
        <v>254</v>
      </c>
      <c r="P463" s="0" t="str">
        <f aca="false">IF(ISBLANK(RawFinancials!P463),"",RawFinancials!P463)</f>
        <v>AUBURN SAVINGS BANK, FSB</v>
      </c>
      <c r="Q463" s="0" t="n">
        <f aca="false">IF(ISBLANK(RawFinancials!Q463),"",RawFinancials!Q463)</f>
        <v>0.303211173451116</v>
      </c>
      <c r="R463" s="0" t="n">
        <f aca="false">IF(ISBLANK(RawFinancials!R463),"",RawFinancials!R463)</f>
        <v>2.71613383497978</v>
      </c>
      <c r="S463" s="0" t="n">
        <f aca="false">IF(ISBLANK(RawFinancials!S463),"",RawFinancials!S463)</f>
        <v>0</v>
      </c>
      <c r="T463" s="0" t="n">
        <f aca="false">IF(ISBLANK(RawFinancials!T463),"",RawFinancials!T463)</f>
        <v>107</v>
      </c>
      <c r="U463" s="0" t="n">
        <f aca="false">IF(ISBLANK(RawFinancials!U463),"",RawFinancials!U463)</f>
        <v>0</v>
      </c>
      <c r="V463" s="0" t="n">
        <f aca="false">IF(ISBLANK(RawFinancials!V463),"",RawFinancials!V463)</f>
        <v>13.7396501276225</v>
      </c>
      <c r="W463" s="0" t="n">
        <f aca="false">IF(ISBLANK(RawFinancials!W463),"",RawFinancials!W463)</f>
        <v>20240331</v>
      </c>
      <c r="X463" s="0" t="n">
        <f aca="false">IF(ISBLANK(RawFinancials!X463),"",RawFinancials!X463)</f>
        <v>0.0727721895332525</v>
      </c>
      <c r="Y463" s="0" t="n">
        <f aca="false">IF(ISBLANK(RawFinancials!Y463),"",RawFinancials!Y463)</f>
        <v>1.28</v>
      </c>
      <c r="Z463" s="0" t="str">
        <f aca="false">IF(ISBLANK(RawFinancials!Z463),"",RawFinancials!Z463)</f>
        <v>ME</v>
      </c>
      <c r="AA463" s="0" t="n">
        <f aca="false">RawFinancials!AA463</f>
        <v>1</v>
      </c>
      <c r="AB463" s="0" t="n">
        <f aca="false">RawFinancials!AB463</f>
        <v>254</v>
      </c>
      <c r="AC463" s="0" t="n">
        <f aca="false">RawFinancials!AC463</f>
        <v>0.245510255369329</v>
      </c>
      <c r="AD463" s="0" t="n">
        <f aca="false">IF(L463&gt;0,100*N463/L463,"")</f>
        <v>90.6207472842306</v>
      </c>
      <c r="AE463" s="0" t="n">
        <f aca="false">IF(B463&gt;0,100*F463/B463,"")</f>
        <v>5.66316766223975</v>
      </c>
      <c r="AF463" s="0" t="str">
        <f aca="false">RawFinancials!AE463</f>
        <v/>
      </c>
    </row>
    <row r="464" customFormat="false" ht="15" hidden="false" customHeight="false" outlineLevel="0" collapsed="false">
      <c r="A464" s="0" t="n">
        <f aca="false">IF(ISBLANK(RawFinancials!A464),"",RawFinancials!A464)</f>
        <v>464</v>
      </c>
      <c r="B464" s="0" t="n">
        <f aca="false">IF(ISBLANK(RawFinancials!B464),"",RawFinancials!B464)</f>
        <v>95113</v>
      </c>
      <c r="C464" s="0" t="n">
        <f aca="false">IF(ISBLANK(RawFinancials!C464),"",RawFinancials!C464)</f>
        <v>28369</v>
      </c>
      <c r="D464" s="0" t="n">
        <f aca="false">IF(ISBLANK(RawFinancials!D464),"",RawFinancials!D464)</f>
        <v>75369</v>
      </c>
      <c r="E464" s="0" t="n">
        <f aca="false">IF(ISBLANK(RawFinancials!E464),"",RawFinancials!E464)</f>
        <v>0.03</v>
      </c>
      <c r="F464" s="0" t="n">
        <f aca="false">IF(ISBLANK(RawFinancials!F464),"",RawFinancials!F464)</f>
        <v>9266</v>
      </c>
      <c r="G464" s="0" t="n">
        <f aca="false">IF(ISBLANK(RawFinancials!G464),"",RawFinancials!G464)</f>
        <v>9.74209624341573</v>
      </c>
      <c r="H464" s="0" t="str">
        <f aca="false">IF(ISBLANK(RawFinancials!H464),"",RawFinancials!H464)</f>
        <v>28369_20240331</v>
      </c>
      <c r="I464" s="0" t="n">
        <f aca="false">IF(ISBLANK(RawFinancials!I464),"",RawFinancials!I464)</f>
        <v>0.741162350437397</v>
      </c>
      <c r="J464" s="0" t="n">
        <f aca="false">IF(ISBLANK(RawFinancials!J464),"",RawFinancials!J464)</f>
        <v>12521</v>
      </c>
      <c r="K464" s="0" t="n">
        <f aca="false">IF(ISBLANK(RawFinancials!K464),"",RawFinancials!K464)</f>
        <v>832</v>
      </c>
      <c r="L464" s="0" t="n">
        <f aca="false">IF(ISBLANK(RawFinancials!L464),"",RawFinancials!L464)</f>
        <v>80819</v>
      </c>
      <c r="M464" s="0" t="n">
        <f aca="false">IF(ISBLANK(RawFinancials!M464),"",RawFinancials!M464)</f>
        <v>80220</v>
      </c>
      <c r="N464" s="0" t="n">
        <f aca="false">IF(ISBLANK(RawFinancials!N464),"",RawFinancials!N464)</f>
        <v>67466</v>
      </c>
      <c r="O464" s="0" t="n">
        <f aca="false">IF(ISBLANK(RawFinancials!O464),"",RawFinancials!O464)</f>
        <v>174</v>
      </c>
      <c r="P464" s="0" t="str">
        <f aca="false">IF(ISBLANK(RawFinancials!P464),"",RawFinancials!P464)</f>
        <v>ROCKLAND SAVINGS BANK, FSB</v>
      </c>
      <c r="Q464" s="0" t="n">
        <f aca="false">IF(ISBLANK(RawFinancials!Q464),"",RawFinancials!Q464)</f>
        <v>0.215295908140412</v>
      </c>
      <c r="R464" s="0" t="n">
        <f aca="false">IF(ISBLANK(RawFinancials!R464),"",RawFinancials!R464)</f>
        <v>3.0142140002894</v>
      </c>
      <c r="S464" s="0" t="n">
        <f aca="false">IF(ISBLANK(RawFinancials!S464),"",RawFinancials!S464)</f>
        <v>-1</v>
      </c>
      <c r="T464" s="0" t="n">
        <f aca="false">IF(ISBLANK(RawFinancials!T464),"",RawFinancials!T464)</f>
        <v>4</v>
      </c>
      <c r="U464" s="0" t="n">
        <f aca="false">IF(ISBLANK(RawFinancials!U464),"",RawFinancials!U464)</f>
        <v>0</v>
      </c>
      <c r="V464" s="0" t="n">
        <f aca="false">IF(ISBLANK(RawFinancials!V464),"",RawFinancials!V464)</f>
        <v>13.8289808112487</v>
      </c>
      <c r="W464" s="0" t="n">
        <f aca="false">IF(ISBLANK(RawFinancials!W464),"",RawFinancials!W464)</f>
        <v>20240331</v>
      </c>
      <c r="X464" s="0" t="n">
        <f aca="false">IF(ISBLANK(RawFinancials!X464),"",RawFinancials!X464)</f>
        <v>-0.355442716597905</v>
      </c>
      <c r="Y464" s="0" t="n">
        <f aca="false">IF(ISBLANK(RawFinancials!Y464),"",RawFinancials!Y464)</f>
        <v>-3.61</v>
      </c>
      <c r="Z464" s="0" t="str">
        <f aca="false">IF(ISBLANK(RawFinancials!Z464),"",RawFinancials!Z464)</f>
        <v>ME</v>
      </c>
      <c r="AA464" s="0" t="n">
        <f aca="false">RawFinancials!AA464</f>
        <v>1</v>
      </c>
      <c r="AB464" s="0" t="n">
        <f aca="false">RawFinancials!AB464</f>
        <v>174</v>
      </c>
      <c r="AC464" s="0" t="n">
        <f aca="false">RawFinancials!AC464</f>
        <v>0.182940292073639</v>
      </c>
      <c r="AD464" s="0" t="n">
        <f aca="false">IF(L464&gt;0,100*N464/L464,"")</f>
        <v>83.4778950494314</v>
      </c>
      <c r="AE464" s="0" t="n">
        <f aca="false">IF(B464&gt;0,100*F464/B464,"")</f>
        <v>9.74209624341573</v>
      </c>
      <c r="AF464" s="0" t="str">
        <f aca="false">RawFinancials!AE464</f>
        <v/>
      </c>
    </row>
    <row r="465" customFormat="false" ht="15" hidden="false" customHeight="false" outlineLevel="0" collapsed="false">
      <c r="A465" s="0" t="n">
        <f aca="false">IF(ISBLANK(RawFinancials!A465),"",RawFinancials!A465)</f>
        <v>465</v>
      </c>
      <c r="B465" s="0" t="n">
        <f aca="false">IF(ISBLANK(RawFinancials!B465),"",RawFinancials!B465)</f>
        <v>280957</v>
      </c>
      <c r="C465" s="0" t="n">
        <f aca="false">IF(ISBLANK(RawFinancials!C465),"",RawFinancials!C465)</f>
        <v>28837</v>
      </c>
      <c r="D465" s="0" t="n">
        <f aca="false">IF(ISBLANK(RawFinancials!D465),"",RawFinancials!D465)</f>
        <v>251772</v>
      </c>
      <c r="E465" s="0" t="n">
        <f aca="false">IF(ISBLANK(RawFinancials!E465),"",RawFinancials!E465)</f>
        <v>-0.21</v>
      </c>
      <c r="F465" s="0" t="n">
        <f aca="false">IF(ISBLANK(RawFinancials!F465),"",RawFinancials!F465)</f>
        <v>26570</v>
      </c>
      <c r="G465" s="0" t="n">
        <f aca="false">IF(ISBLANK(RawFinancials!G465),"",RawFinancials!G465)</f>
        <v>9.45696316518186</v>
      </c>
      <c r="H465" s="0" t="str">
        <f aca="false">IF(ISBLANK(RawFinancials!H465),"",RawFinancials!H465)</f>
        <v>28837_20240331</v>
      </c>
      <c r="I465" s="0" t="n">
        <f aca="false">IF(ISBLANK(RawFinancials!I465),"",RawFinancials!I465)</f>
        <v>1.08329443283067</v>
      </c>
      <c r="J465" s="0" t="n">
        <f aca="false">IF(ISBLANK(RawFinancials!J465),"",RawFinancials!J465)</f>
        <v>6456</v>
      </c>
      <c r="K465" s="0" t="n">
        <f aca="false">IF(ISBLANK(RawFinancials!K465),"",RawFinancials!K465)</f>
        <v>1299</v>
      </c>
      <c r="L465" s="0" t="n">
        <f aca="false">IF(ISBLANK(RawFinancials!L465),"",RawFinancials!L465)</f>
        <v>197084</v>
      </c>
      <c r="M465" s="0" t="n">
        <f aca="false">IF(ISBLANK(RawFinancials!M465),"",RawFinancials!M465)</f>
        <v>194949</v>
      </c>
      <c r="N465" s="0" t="n">
        <f aca="false">IF(ISBLANK(RawFinancials!N465),"",RawFinancials!N465)</f>
        <v>188594</v>
      </c>
      <c r="O465" s="0" t="n">
        <f aca="false">IF(ISBLANK(RawFinancials!O465),"",RawFinancials!O465)</f>
        <v>89</v>
      </c>
      <c r="P465" s="0" t="str">
        <f aca="false">IF(ISBLANK(RawFinancials!P465),"",RawFinancials!P465)</f>
        <v>THE BRATTLEBORO SAVINGS AND LOAN ASSOCIATION</v>
      </c>
      <c r="Q465" s="0" t="n">
        <f aca="false">IF(ISBLANK(RawFinancials!Q465),"",RawFinancials!Q465)</f>
        <v>0.0644395283229486</v>
      </c>
      <c r="R465" s="0" t="n">
        <f aca="false">IF(ISBLANK(RawFinancials!R465),"",RawFinancials!R465)</f>
        <v>3.63569551050099</v>
      </c>
      <c r="S465" s="0" t="n">
        <f aca="false">IF(ISBLANK(RawFinancials!S465),"",RawFinancials!S465)</f>
        <v>0</v>
      </c>
      <c r="T465" s="0" t="n">
        <f aca="false">IF(ISBLANK(RawFinancials!T465),"",RawFinancials!T465)</f>
        <v>795</v>
      </c>
      <c r="U465" s="0" t="n">
        <f aca="false">IF(ISBLANK(RawFinancials!U465),"",RawFinancials!U465)</f>
        <v>38</v>
      </c>
      <c r="V465" s="0" t="n">
        <f aca="false">IF(ISBLANK(RawFinancials!V465),"",RawFinancials!V465)</f>
        <v>16.8987480781902</v>
      </c>
      <c r="W465" s="0" t="n">
        <f aca="false">IF(ISBLANK(RawFinancials!W465),"",RawFinancials!W465)</f>
        <v>20240331</v>
      </c>
      <c r="X465" s="0" t="n">
        <f aca="false">IF(ISBLANK(RawFinancials!X465),"",RawFinancials!X465)</f>
        <v>0.73901109576411</v>
      </c>
      <c r="Y465" s="0" t="n">
        <f aca="false">IF(ISBLANK(RawFinancials!Y465),"",RawFinancials!Y465)</f>
        <v>7.94</v>
      </c>
      <c r="Z465" s="0" t="str">
        <f aca="false">IF(ISBLANK(RawFinancials!Z465),"",RawFinancials!Z465)</f>
        <v>VT</v>
      </c>
      <c r="AA465" s="0" t="n">
        <f aca="false">RawFinancials!AA465</f>
        <v>1</v>
      </c>
      <c r="AB465" s="0" t="n">
        <f aca="false">RawFinancials!AB465</f>
        <v>127</v>
      </c>
      <c r="AC465" s="0" t="n">
        <f aca="false">RawFinancials!AC465</f>
        <v>0.0452026466683514</v>
      </c>
      <c r="AD465" s="0" t="n">
        <f aca="false">IF(L465&gt;0,100*N465/L465,"")</f>
        <v>95.6921921617179</v>
      </c>
      <c r="AE465" s="0" t="n">
        <f aca="false">IF(B465&gt;0,100*F465/B465,"")</f>
        <v>9.45696316518186</v>
      </c>
      <c r="AF465" s="0" t="str">
        <f aca="false">RawFinancials!AE465</f>
        <v/>
      </c>
    </row>
    <row r="466" customFormat="false" ht="15" hidden="false" customHeight="false" outlineLevel="0" collapsed="false">
      <c r="A466" s="0" t="n">
        <f aca="false">IF(ISBLANK(RawFinancials!A466),"",RawFinancials!A466)</f>
        <v>466</v>
      </c>
      <c r="B466" s="0" t="n">
        <f aca="false">IF(ISBLANK(RawFinancials!B466),"",RawFinancials!B466)</f>
        <v>178210</v>
      </c>
      <c r="C466" s="0" t="n">
        <f aca="false">IF(ISBLANK(RawFinancials!C466),"",RawFinancials!C466)</f>
        <v>29636</v>
      </c>
      <c r="D466" s="0" t="n">
        <f aca="false">IF(ISBLANK(RawFinancials!D466),"",RawFinancials!D466)</f>
        <v>137138</v>
      </c>
      <c r="E466" s="0" t="n">
        <f aca="false">IF(ISBLANK(RawFinancials!E466),"",RawFinancials!E466)</f>
        <v>0.01</v>
      </c>
      <c r="F466" s="0" t="n">
        <f aca="false">IF(ISBLANK(RawFinancials!F466),"",RawFinancials!F466)</f>
        <v>25969</v>
      </c>
      <c r="G466" s="0" t="n">
        <f aca="false">IF(ISBLANK(RawFinancials!G466),"",RawFinancials!G466)</f>
        <v>14.5721339992144</v>
      </c>
      <c r="H466" s="0" t="str">
        <f aca="false">IF(ISBLANK(RawFinancials!H466),"",RawFinancials!H466)</f>
        <v>29636_20240331</v>
      </c>
      <c r="I466" s="0" t="n">
        <f aca="false">IF(ISBLANK(RawFinancials!I466),"",RawFinancials!I466)</f>
        <v>1.40696473365796</v>
      </c>
      <c r="J466" s="0" t="n">
        <f aca="false">IF(ISBLANK(RawFinancials!J466),"",RawFinancials!J466)</f>
        <v>1456</v>
      </c>
      <c r="K466" s="0" t="n">
        <f aca="false">IF(ISBLANK(RawFinancials!K466),"",RawFinancials!K466)</f>
        <v>1571</v>
      </c>
      <c r="L466" s="0" t="n">
        <f aca="false">IF(ISBLANK(RawFinancials!L466),"",RawFinancials!L466)</f>
        <v>135540</v>
      </c>
      <c r="M466" s="0" t="n">
        <f aca="false">IF(ISBLANK(RawFinancials!M466),"",RawFinancials!M466)</f>
        <v>133633</v>
      </c>
      <c r="N466" s="0" t="n">
        <f aca="false">IF(ISBLANK(RawFinancials!N466),"",RawFinancials!N466)</f>
        <v>132513</v>
      </c>
      <c r="O466" s="0" t="n">
        <f aca="false">IF(ISBLANK(RawFinancials!O466),"",RawFinancials!O466)</f>
        <v>899</v>
      </c>
      <c r="P466" s="0" t="str">
        <f aca="false">IF(ISBLANK(RawFinancials!P466),"",RawFinancials!P466)</f>
        <v>FIRST FEDERAL SAVINGS AND LOAN ASSOCIATION OF BATH</v>
      </c>
      <c r="Q466" s="0" t="n">
        <f aca="false">IF(ISBLANK(RawFinancials!Q466),"",RawFinancials!Q466)</f>
        <v>0.663272834587576</v>
      </c>
      <c r="R466" s="0" t="n">
        <f aca="false">IF(ISBLANK(RawFinancials!R466),"",RawFinancials!R466)</f>
        <v>3.5569459283869</v>
      </c>
      <c r="S466" s="0" t="n">
        <f aca="false">IF(ISBLANK(RawFinancials!S466),"",RawFinancials!S466)</f>
        <v>0</v>
      </c>
      <c r="T466" s="0" t="n">
        <f aca="false">IF(ISBLANK(RawFinancials!T466),"",RawFinancials!T466)</f>
        <v>3809</v>
      </c>
      <c r="U466" s="0" t="n">
        <f aca="false">IF(ISBLANK(RawFinancials!U466),"",RawFinancials!U466)</f>
        <v>0</v>
      </c>
      <c r="V466" s="0" t="n">
        <f aca="false">IF(ISBLANK(RawFinancials!V466),"",RawFinancials!V466)</f>
        <v>27.410238197661</v>
      </c>
      <c r="W466" s="0" t="n">
        <f aca="false">IF(ISBLANK(RawFinancials!W466),"",RawFinancials!W466)</f>
        <v>20240331</v>
      </c>
      <c r="X466" s="0" t="n">
        <f aca="false">IF(ISBLANK(RawFinancials!X466),"",RawFinancials!X466)</f>
        <v>0.311180386680808</v>
      </c>
      <c r="Y466" s="0" t="n">
        <f aca="false">IF(ISBLANK(RawFinancials!Y466),"",RawFinancials!Y466)</f>
        <v>2.15</v>
      </c>
      <c r="Z466" s="0" t="str">
        <f aca="false">IF(ISBLANK(RawFinancials!Z466),"",RawFinancials!Z466)</f>
        <v>ME</v>
      </c>
      <c r="AA466" s="0" t="n">
        <f aca="false">RawFinancials!AA466</f>
        <v>1</v>
      </c>
      <c r="AB466" s="0" t="n">
        <f aca="false">RawFinancials!AB466</f>
        <v>899</v>
      </c>
      <c r="AC466" s="0" t="n">
        <f aca="false">RawFinancials!AC466</f>
        <v>0.504461029122945</v>
      </c>
      <c r="AD466" s="0" t="n">
        <f aca="false">IF(L466&gt;0,100*N466/L466,"")</f>
        <v>97.7667109340416</v>
      </c>
      <c r="AE466" s="0" t="n">
        <f aca="false">IF(B466&gt;0,100*F466/B466,"")</f>
        <v>14.5721339992144</v>
      </c>
      <c r="AF466" s="0" t="str">
        <f aca="false">RawFinancials!AE466</f>
        <v/>
      </c>
    </row>
    <row r="467" customFormat="false" ht="15" hidden="false" customHeight="false" outlineLevel="0" collapsed="false">
      <c r="A467" s="0" t="n">
        <f aca="false">IF(ISBLANK(RawFinancials!A467),"",RawFinancials!A467)</f>
        <v>467</v>
      </c>
      <c r="B467" s="0" t="n">
        <f aca="false">IF(ISBLANK(RawFinancials!B467),"",RawFinancials!B467)</f>
        <v>184760</v>
      </c>
      <c r="C467" s="0" t="n">
        <f aca="false">IF(ISBLANK(RawFinancials!C467),"",RawFinancials!C467)</f>
        <v>29743</v>
      </c>
      <c r="D467" s="0" t="n">
        <f aca="false">IF(ISBLANK(RawFinancials!D467),"",RawFinancials!D467)</f>
        <v>160737</v>
      </c>
      <c r="E467" s="0" t="n">
        <f aca="false">IF(ISBLANK(RawFinancials!E467),"",RawFinancials!E467)</f>
        <v>0</v>
      </c>
      <c r="F467" s="0" t="n">
        <f aca="false">IF(ISBLANK(RawFinancials!F467),"",RawFinancials!F467)</f>
        <v>16808</v>
      </c>
      <c r="G467" s="0" t="n">
        <f aca="false">IF(ISBLANK(RawFinancials!G467),"",RawFinancials!G467)</f>
        <v>9.09720718770296</v>
      </c>
      <c r="H467" s="0" t="str">
        <f aca="false">IF(ISBLANK(RawFinancials!H467),"",RawFinancials!H467)</f>
        <v>29743_20240331</v>
      </c>
      <c r="I467" s="0" t="n">
        <f aca="false">IF(ISBLANK(RawFinancials!I467),"",RawFinancials!I467)</f>
        <v>0.670601060030824</v>
      </c>
      <c r="J467" s="0" t="n">
        <f aca="false">IF(ISBLANK(RawFinancials!J467),"",RawFinancials!J467)</f>
        <v>26800</v>
      </c>
      <c r="K467" s="0" t="n">
        <f aca="false">IF(ISBLANK(RawFinancials!K467),"",RawFinancials!K467)</f>
        <v>20933</v>
      </c>
      <c r="L467" s="0" t="n">
        <f aca="false">IF(ISBLANK(RawFinancials!L467),"",RawFinancials!L467)</f>
        <v>133015</v>
      </c>
      <c r="M467" s="0" t="n">
        <f aca="false">IF(ISBLANK(RawFinancials!M467),"",RawFinancials!M467)</f>
        <v>132123</v>
      </c>
      <c r="N467" s="0" t="n">
        <f aca="false">IF(ISBLANK(RawFinancials!N467),"",RawFinancials!N467)</f>
        <v>85228</v>
      </c>
      <c r="O467" s="0" t="n">
        <f aca="false">IF(ISBLANK(RawFinancials!O467),"",RawFinancials!O467)</f>
        <v>140</v>
      </c>
      <c r="P467" s="0" t="str">
        <f aca="false">IF(ISBLANK(RawFinancials!P467),"",RawFinancials!P467)</f>
        <v>AROOSTOOK COUNTY FEDERAL SAVINGS AND LOAN ASSOCIATION</v>
      </c>
      <c r="Q467" s="0" t="n">
        <f aca="false">IF(ISBLANK(RawFinancials!Q467),"",RawFinancials!Q467)</f>
        <v>0.105251287448784</v>
      </c>
      <c r="R467" s="0" t="n">
        <f aca="false">IF(ISBLANK(RawFinancials!R467),"",RawFinancials!R467)</f>
        <v>2.19674669047229</v>
      </c>
      <c r="S467" s="0" t="n">
        <f aca="false">IF(ISBLANK(RawFinancials!S467),"",RawFinancials!S467)</f>
        <v>0</v>
      </c>
      <c r="T467" s="0" t="n">
        <f aca="false">IF(ISBLANK(RawFinancials!T467),"",RawFinancials!T467)</f>
        <v>596</v>
      </c>
      <c r="U467" s="0" t="n">
        <f aca="false">IF(ISBLANK(RawFinancials!U467),"",RawFinancials!U467)</f>
        <v>0</v>
      </c>
      <c r="V467" s="0" t="n">
        <f aca="false">IF(ISBLANK(RawFinancials!V467),"",RawFinancials!V467)</f>
        <v>18.3034236752105</v>
      </c>
      <c r="W467" s="0" t="n">
        <f aca="false">IF(ISBLANK(RawFinancials!W467),"",RawFinancials!W467)</f>
        <v>20240331</v>
      </c>
      <c r="X467" s="0" t="n">
        <f aca="false">IF(ISBLANK(RawFinancials!X467),"",RawFinancials!X467)</f>
        <v>0.300357479035316</v>
      </c>
      <c r="Y467" s="0" t="n">
        <f aca="false">IF(ISBLANK(RawFinancials!Y467),"",RawFinancials!Y467)</f>
        <v>3.33</v>
      </c>
      <c r="Z467" s="0" t="str">
        <f aca="false">IF(ISBLANK(RawFinancials!Z467),"",RawFinancials!Z467)</f>
        <v>ME</v>
      </c>
      <c r="AA467" s="0" t="n">
        <f aca="false">RawFinancials!AA467</f>
        <v>1</v>
      </c>
      <c r="AB467" s="0" t="n">
        <f aca="false">RawFinancials!AB467</f>
        <v>140</v>
      </c>
      <c r="AC467" s="0" t="n">
        <f aca="false">RawFinancials!AC467</f>
        <v>0.0757739770513098</v>
      </c>
      <c r="AD467" s="0" t="n">
        <f aca="false">IF(L467&gt;0,100*N467/L467,"")</f>
        <v>64.0739766191783</v>
      </c>
      <c r="AE467" s="0" t="n">
        <f aca="false">IF(B467&gt;0,100*F467/B467,"")</f>
        <v>9.09720718770297</v>
      </c>
      <c r="AF467" s="0" t="str">
        <f aca="false">RawFinancials!AE467</f>
        <v/>
      </c>
    </row>
    <row r="468" customFormat="false" ht="15" hidden="false" customHeight="false" outlineLevel="0" collapsed="false">
      <c r="A468" s="0" t="n">
        <f aca="false">IF(ISBLANK(RawFinancials!A468),"",RawFinancials!A468)</f>
        <v>468</v>
      </c>
      <c r="B468" s="0" t="n">
        <f aca="false">IF(ISBLANK(RawFinancials!B468),"",RawFinancials!B468)</f>
        <v>576540</v>
      </c>
      <c r="C468" s="0" t="n">
        <f aca="false">IF(ISBLANK(RawFinancials!C468),"",RawFinancials!C468)</f>
        <v>29744</v>
      </c>
      <c r="D468" s="0" t="n">
        <f aca="false">IF(ISBLANK(RawFinancials!D468),"",RawFinancials!D468)</f>
        <v>428893</v>
      </c>
      <c r="E468" s="0" t="n">
        <f aca="false">IF(ISBLANK(RawFinancials!E468),"",RawFinancials!E468)</f>
        <v>-0.01</v>
      </c>
      <c r="F468" s="0" t="n">
        <f aca="false">IF(ISBLANK(RawFinancials!F468),"",RawFinancials!F468)</f>
        <v>44302</v>
      </c>
      <c r="G468" s="0" t="n">
        <f aca="false">IF(ISBLANK(RawFinancials!G468),"",RawFinancials!G468)</f>
        <v>7.68411558608249</v>
      </c>
      <c r="H468" s="0" t="str">
        <f aca="false">IF(ISBLANK(RawFinancials!H468),"",RawFinancials!H468)</f>
        <v>29744_20240331</v>
      </c>
      <c r="I468" s="0" t="n">
        <f aca="false">IF(ISBLANK(RawFinancials!I468),"",RawFinancials!I468)</f>
        <v>0.792385683305221</v>
      </c>
      <c r="J468" s="0" t="n">
        <f aca="false">IF(ISBLANK(RawFinancials!J468),"",RawFinancials!J468)</f>
        <v>25394</v>
      </c>
      <c r="K468" s="0" t="n">
        <f aca="false">IF(ISBLANK(RawFinancials!K468),"",RawFinancials!K468)</f>
        <v>9990</v>
      </c>
      <c r="L468" s="0" t="n">
        <f aca="false">IF(ISBLANK(RawFinancials!L468),"",RawFinancials!L468)</f>
        <v>431608</v>
      </c>
      <c r="M468" s="0" t="n">
        <f aca="false">IF(ISBLANK(RawFinancials!M468),"",RawFinancials!M468)</f>
        <v>428188</v>
      </c>
      <c r="N468" s="0" t="n">
        <f aca="false">IF(ISBLANK(RawFinancials!N468),"",RawFinancials!N468)</f>
        <v>396224</v>
      </c>
      <c r="O468" s="0" t="n">
        <f aca="false">IF(ISBLANK(RawFinancials!O468),"",RawFinancials!O468)</f>
        <v>141</v>
      </c>
      <c r="P468" s="0" t="str">
        <f aca="false">IF(ISBLANK(RawFinancials!P468),"",RawFinancials!P468)</f>
        <v>FIRST SEACOAST BANK</v>
      </c>
      <c r="Q468" s="0" t="n">
        <f aca="false">IF(ISBLANK(RawFinancials!Q468),"",RawFinancials!Q468)</f>
        <v>0.0326685325573205</v>
      </c>
      <c r="R468" s="0" t="n">
        <f aca="false">IF(ISBLANK(RawFinancials!R468),"",RawFinancials!R468)</f>
        <v>2.09105523042831</v>
      </c>
      <c r="S468" s="0" t="n">
        <f aca="false">IF(ISBLANK(RawFinancials!S468),"",RawFinancials!S468)</f>
        <v>0</v>
      </c>
      <c r="T468" s="0" t="n">
        <f aca="false">IF(ISBLANK(RawFinancials!T468),"",RawFinancials!T468)</f>
        <v>0</v>
      </c>
      <c r="U468" s="0" t="n">
        <f aca="false">IF(ISBLANK(RawFinancials!U468),"",RawFinancials!U468)</f>
        <v>0</v>
      </c>
      <c r="V468" s="0" t="n">
        <f aca="false">IF(ISBLANK(RawFinancials!V468),"",RawFinancials!V468)</f>
        <v>14.8696742059058</v>
      </c>
      <c r="W468" s="0" t="n">
        <f aca="false">IF(ISBLANK(RawFinancials!W468),"",RawFinancials!W468)</f>
        <v>20240331</v>
      </c>
      <c r="X468" s="0" t="n">
        <f aca="false">IF(ISBLANK(RawFinancials!X468),"",RawFinancials!X468)</f>
        <v>-0.803595619950847</v>
      </c>
      <c r="Y468" s="0" t="n">
        <f aca="false">IF(ISBLANK(RawFinancials!Y468),"",RawFinancials!Y468)</f>
        <v>-10.19</v>
      </c>
      <c r="Z468" s="0" t="str">
        <f aca="false">IF(ISBLANK(RawFinancials!Z468),"",RawFinancials!Z468)</f>
        <v>NH</v>
      </c>
      <c r="AA468" s="0" t="n">
        <f aca="false">RawFinancials!AA468</f>
        <v>1</v>
      </c>
      <c r="AB468" s="0" t="n">
        <f aca="false">RawFinancials!AB468</f>
        <v>141</v>
      </c>
      <c r="AC468" s="0" t="n">
        <f aca="false">RawFinancials!AC468</f>
        <v>0.0244562389426579</v>
      </c>
      <c r="AD468" s="0" t="n">
        <f aca="false">IF(L468&gt;0,100*N468/L468,"")</f>
        <v>91.8018201701544</v>
      </c>
      <c r="AE468" s="0" t="n">
        <f aca="false">IF(B468&gt;0,100*F468/B468,"")</f>
        <v>7.68411558608249</v>
      </c>
      <c r="AF468" s="0" t="str">
        <f aca="false">RawFinancials!AE468</f>
        <v/>
      </c>
    </row>
    <row r="469" customFormat="false" ht="15" hidden="false" customHeight="false" outlineLevel="0" collapsed="false">
      <c r="A469" s="0" t="n">
        <f aca="false">IF(ISBLANK(RawFinancials!A469),"",RawFinancials!A469)</f>
        <v>469</v>
      </c>
      <c r="B469" s="0" t="n">
        <f aca="false">IF(ISBLANK(RawFinancials!B469),"",RawFinancials!B469)</f>
        <v>558824</v>
      </c>
      <c r="C469" s="0" t="n">
        <f aca="false">IF(ISBLANK(RawFinancials!C469),"",RawFinancials!C469)</f>
        <v>30350</v>
      </c>
      <c r="D469" s="0" t="n">
        <f aca="false">IF(ISBLANK(RawFinancials!D469),"",RawFinancials!D469)</f>
        <v>445096</v>
      </c>
      <c r="E469" s="0" t="n">
        <f aca="false">IF(ISBLANK(RawFinancials!E469),"",RawFinancials!E469)</f>
        <v>0.04</v>
      </c>
      <c r="F469" s="0" t="n">
        <f aca="false">IF(ISBLANK(RawFinancials!F469),"",RawFinancials!F469)</f>
        <v>56764</v>
      </c>
      <c r="G469" s="0" t="n">
        <f aca="false">IF(ISBLANK(RawFinancials!G469),"",RawFinancials!G469)</f>
        <v>10.1577598671496</v>
      </c>
      <c r="H469" s="0" t="str">
        <f aca="false">IF(ISBLANK(RawFinancials!H469),"",RawFinancials!H469)</f>
        <v>30350_20240331</v>
      </c>
      <c r="I469" s="0" t="n">
        <f aca="false">IF(ISBLANK(RawFinancials!I469),"",RawFinancials!I469)</f>
        <v>1.27184711105831</v>
      </c>
      <c r="J469" s="0" t="n">
        <f aca="false">IF(ISBLANK(RawFinancials!J469),"",RawFinancials!J469)</f>
        <v>16001</v>
      </c>
      <c r="K469" s="0" t="n">
        <f aca="false">IF(ISBLANK(RawFinancials!K469),"",RawFinancials!K469)</f>
        <v>1534</v>
      </c>
      <c r="L469" s="0" t="n">
        <f aca="false">IF(ISBLANK(RawFinancials!L469),"",RawFinancials!L469)</f>
        <v>404058</v>
      </c>
      <c r="M469" s="0" t="n">
        <f aca="false">IF(ISBLANK(RawFinancials!M469),"",RawFinancials!M469)</f>
        <v>398919</v>
      </c>
      <c r="N469" s="0" t="n">
        <f aca="false">IF(ISBLANK(RawFinancials!N469),"",RawFinancials!N469)</f>
        <v>385261</v>
      </c>
      <c r="O469" s="0" t="n">
        <f aca="false">IF(ISBLANK(RawFinancials!O469),"",RawFinancials!O469)</f>
        <v>1795</v>
      </c>
      <c r="P469" s="0" t="str">
        <f aca="false">IF(ISBLANK(RawFinancials!P469),"",RawFinancials!P469)</f>
        <v>THE BANK OF BENNINGTON</v>
      </c>
      <c r="Q469" s="0" t="n">
        <f aca="false">IF(ISBLANK(RawFinancials!Q469),"",RawFinancials!Q469)</f>
        <v>0.444243153210678</v>
      </c>
      <c r="R469" s="0" t="n">
        <f aca="false">IF(ISBLANK(RawFinancials!R469),"",RawFinancials!R469)</f>
        <v>2.55278608364277</v>
      </c>
      <c r="S469" s="0" t="n">
        <f aca="false">IF(ISBLANK(RawFinancials!S469),"",RawFinancials!S469)</f>
        <v>-7</v>
      </c>
      <c r="T469" s="0" t="n">
        <f aca="false">IF(ISBLANK(RawFinancials!T469),"",RawFinancials!T469)</f>
        <v>726</v>
      </c>
      <c r="U469" s="0" t="n">
        <f aca="false">IF(ISBLANK(RawFinancials!U469),"",RawFinancials!U469)</f>
        <v>0</v>
      </c>
      <c r="V469" s="0" t="n">
        <f aca="false">IF(ISBLANK(RawFinancials!V469),"",RawFinancials!V469)</f>
        <v>20.9443498153697</v>
      </c>
      <c r="W469" s="0" t="n">
        <f aca="false">IF(ISBLANK(RawFinancials!W469),"",RawFinancials!W469)</f>
        <v>20240331</v>
      </c>
      <c r="X469" s="0" t="n">
        <f aca="false">IF(ISBLANK(RawFinancials!X469),"",RawFinancials!X469)</f>
        <v>0.456585242898488</v>
      </c>
      <c r="Y469" s="0" t="n">
        <f aca="false">IF(ISBLANK(RawFinancials!Y469),"",RawFinancials!Y469)</f>
        <v>4.48</v>
      </c>
      <c r="Z469" s="0" t="str">
        <f aca="false">IF(ISBLANK(RawFinancials!Z469),"",RawFinancials!Z469)</f>
        <v>VT</v>
      </c>
      <c r="AA469" s="0" t="n">
        <f aca="false">RawFinancials!AA469</f>
        <v>1</v>
      </c>
      <c r="AB469" s="0" t="n">
        <f aca="false">RawFinancials!AB469</f>
        <v>1795</v>
      </c>
      <c r="AC469" s="0" t="n">
        <f aca="false">RawFinancials!AC469</f>
        <v>0.321210255822942</v>
      </c>
      <c r="AD469" s="0" t="n">
        <f aca="false">IF(L469&gt;0,100*N469/L469,"")</f>
        <v>95.347945096991</v>
      </c>
      <c r="AE469" s="0" t="n">
        <f aca="false">IF(B469&gt;0,100*F469/B469,"")</f>
        <v>10.1577598671496</v>
      </c>
      <c r="AF469" s="0" t="str">
        <f aca="false">RawFinancials!AE469</f>
        <v/>
      </c>
    </row>
    <row r="470" customFormat="false" ht="15" hidden="false" customHeight="false" outlineLevel="0" collapsed="false">
      <c r="A470" s="0" t="n">
        <f aca="false">IF(ISBLANK(RawFinancials!A470),"",RawFinancials!A470)</f>
        <v>470</v>
      </c>
      <c r="B470" s="0" t="n">
        <f aca="false">IF(ISBLANK(RawFinancials!B470),"",RawFinancials!B470)</f>
        <v>102792</v>
      </c>
      <c r="C470" s="0" t="n">
        <f aca="false">IF(ISBLANK(RawFinancials!C470),"",RawFinancials!C470)</f>
        <v>30878</v>
      </c>
      <c r="D470" s="0" t="n">
        <f aca="false">IF(ISBLANK(RawFinancials!D470),"",RawFinancials!D470)</f>
        <v>74987</v>
      </c>
      <c r="E470" s="0" t="n">
        <f aca="false">IF(ISBLANK(RawFinancials!E470),"",RawFinancials!E470)</f>
        <v>-0.62</v>
      </c>
      <c r="F470" s="0" t="n">
        <f aca="false">IF(ISBLANK(RawFinancials!F470),"",RawFinancials!F470)</f>
        <v>12317</v>
      </c>
      <c r="G470" s="0" t="n">
        <f aca="false">IF(ISBLANK(RawFinancials!G470),"",RawFinancials!G470)</f>
        <v>11.9824499961086</v>
      </c>
      <c r="H470" s="0" t="str">
        <f aca="false">IF(ISBLANK(RawFinancials!H470),"",RawFinancials!H470)</f>
        <v>30878_20240331</v>
      </c>
      <c r="I470" s="0" t="n">
        <f aca="false">IF(ISBLANK(RawFinancials!I470),"",RawFinancials!I470)</f>
        <v>0.622482190408995</v>
      </c>
      <c r="J470" s="0" t="n">
        <f aca="false">IF(ISBLANK(RawFinancials!J470),"",RawFinancials!J470)</f>
        <v>0</v>
      </c>
      <c r="K470" s="0" t="n">
        <f aca="false">IF(ISBLANK(RawFinancials!K470),"",RawFinancials!K470)</f>
        <v>105</v>
      </c>
      <c r="L470" s="0" t="n">
        <f aca="false">IF(ISBLANK(RawFinancials!L470),"",RawFinancials!L470)</f>
        <v>87874</v>
      </c>
      <c r="M470" s="0" t="n">
        <f aca="false">IF(ISBLANK(RawFinancials!M470),"",RawFinancials!M470)</f>
        <v>87327</v>
      </c>
      <c r="N470" s="0" t="n">
        <f aca="false">IF(ISBLANK(RawFinancials!N470),"",RawFinancials!N470)</f>
        <v>87769</v>
      </c>
      <c r="O470" s="0" t="n">
        <f aca="false">IF(ISBLANK(RawFinancials!O470),"",RawFinancials!O470)</f>
        <v>836</v>
      </c>
      <c r="P470" s="0" t="str">
        <f aca="false">IF(ISBLANK(RawFinancials!P470),"",RawFinancials!P470)</f>
        <v>BAR HARBOR SAVINGS AND LOAN ASSOCIATION</v>
      </c>
      <c r="Q470" s="0" t="n">
        <f aca="false">IF(ISBLANK(RawFinancials!Q470),"",RawFinancials!Q470)</f>
        <v>0.951362177663473</v>
      </c>
      <c r="R470" s="0" t="n">
        <f aca="false">IF(ISBLANK(RawFinancials!R470),"",RawFinancials!R470)</f>
        <v>0.966458498694582</v>
      </c>
      <c r="S470" s="0" t="n">
        <f aca="false">IF(ISBLANK(RawFinancials!S470),"",RawFinancials!S470)</f>
        <v>0</v>
      </c>
      <c r="T470" s="0" t="n">
        <f aca="false">IF(ISBLANK(RawFinancials!T470),"",RawFinancials!T470)</f>
        <v>1125</v>
      </c>
      <c r="U470" s="0" t="n">
        <f aca="false">IF(ISBLANK(RawFinancials!U470),"",RawFinancials!U470)</f>
        <v>0</v>
      </c>
      <c r="V470" s="0" t="n">
        <f aca="false">IF(ISBLANK(RawFinancials!V470),"",RawFinancials!V470)</f>
        <v>0</v>
      </c>
      <c r="W470" s="0" t="n">
        <f aca="false">IF(ISBLANK(RawFinancials!W470),"",RawFinancials!W470)</f>
        <v>20240331</v>
      </c>
      <c r="X470" s="0" t="n">
        <f aca="false">IF(ISBLANK(RawFinancials!X470),"",RawFinancials!X470)</f>
        <v>0.061539940863963</v>
      </c>
      <c r="Y470" s="0" t="n">
        <f aca="false">IF(ISBLANK(RawFinancials!Y470),"",RawFinancials!Y470)</f>
        <v>0.52</v>
      </c>
      <c r="Z470" s="0" t="str">
        <f aca="false">IF(ISBLANK(RawFinancials!Z470),"",RawFinancials!Z470)</f>
        <v>ME</v>
      </c>
      <c r="AA470" s="0" t="n">
        <f aca="false">RawFinancials!AA470</f>
        <v>1</v>
      </c>
      <c r="AB470" s="0" t="n">
        <f aca="false">RawFinancials!AB470</f>
        <v>836</v>
      </c>
      <c r="AC470" s="0" t="n">
        <f aca="false">RawFinancials!AC470</f>
        <v>0.813292863257841</v>
      </c>
      <c r="AD470" s="0" t="n">
        <f aca="false">IF(L470&gt;0,100*N470/L470,"")</f>
        <v>99.8805107312743</v>
      </c>
      <c r="AE470" s="0" t="n">
        <f aca="false">IF(B470&gt;0,100*F470/B470,"")</f>
        <v>11.9824499961086</v>
      </c>
      <c r="AF470" s="0" t="str">
        <f aca="false">RawFinancials!AE470</f>
        <v>原始0：需核实适用/报告口径</v>
      </c>
    </row>
    <row r="471" customFormat="false" ht="15" hidden="false" customHeight="false" outlineLevel="0" collapsed="false">
      <c r="A471" s="0" t="n">
        <f aca="false">IF(ISBLANK(RawFinancials!A471),"",RawFinancials!A471)</f>
        <v>471</v>
      </c>
      <c r="B471" s="0" t="n">
        <f aca="false">IF(ISBLANK(RawFinancials!B471),"",RawFinancials!B471)</f>
        <v>893621</v>
      </c>
      <c r="C471" s="0" t="n">
        <f aca="false">IF(ISBLANK(RawFinancials!C471),"",RawFinancials!C471)</f>
        <v>33418</v>
      </c>
      <c r="D471" s="0" t="n">
        <f aca="false">IF(ISBLANK(RawFinancials!D471),"",RawFinancials!D471)</f>
        <v>783873</v>
      </c>
      <c r="E471" s="0" t="n">
        <f aca="false">IF(ISBLANK(RawFinancials!E471),"",RawFinancials!E471)</f>
        <v>0.22</v>
      </c>
      <c r="F471" s="0" t="n">
        <f aca="false">IF(ISBLANK(RawFinancials!F471),"",RawFinancials!F471)</f>
        <v>68407</v>
      </c>
      <c r="G471" s="0" t="n">
        <f aca="false">IF(ISBLANK(RawFinancials!G471),"",RawFinancials!G471)</f>
        <v>7.65503496448718</v>
      </c>
      <c r="H471" s="0" t="str">
        <f aca="false">IF(ISBLANK(RawFinancials!H471),"",RawFinancials!H471)</f>
        <v>33418_20240331</v>
      </c>
      <c r="I471" s="0" t="n">
        <f aca="false">IF(ISBLANK(RawFinancials!I471),"",RawFinancials!I471)</f>
        <v>0.726201172152524</v>
      </c>
      <c r="J471" s="0" t="n">
        <f aca="false">IF(ISBLANK(RawFinancials!J471),"",RawFinancials!J471)</f>
        <v>61228</v>
      </c>
      <c r="K471" s="0" t="n">
        <f aca="false">IF(ISBLANK(RawFinancials!K471),"",RawFinancials!K471)</f>
        <v>14835</v>
      </c>
      <c r="L471" s="0" t="n">
        <f aca="false">IF(ISBLANK(RawFinancials!L471),"",RawFinancials!L471)</f>
        <v>457449</v>
      </c>
      <c r="M471" s="0" t="n">
        <f aca="false">IF(ISBLANK(RawFinancials!M471),"",RawFinancials!M471)</f>
        <v>454127</v>
      </c>
      <c r="N471" s="0" t="n">
        <f aca="false">IF(ISBLANK(RawFinancials!N471),"",RawFinancials!N471)</f>
        <v>381804</v>
      </c>
      <c r="O471" s="0" t="n">
        <f aca="false">IF(ISBLANK(RawFinancials!O471),"",RawFinancials!O471)</f>
        <v>1692</v>
      </c>
      <c r="P471" s="0" t="str">
        <f aca="false">IF(ISBLANK(RawFinancials!P471),"",RawFinancials!P471)</f>
        <v>LEDYARD NATIONAL BANK</v>
      </c>
      <c r="Q471" s="0" t="n">
        <f aca="false">IF(ISBLANK(RawFinancials!Q471),"",RawFinancials!Q471)</f>
        <v>0.369877297797131</v>
      </c>
      <c r="R471" s="0" t="n">
        <f aca="false">IF(ISBLANK(RawFinancials!R471),"",RawFinancials!R471)</f>
        <v>2.16942321806463</v>
      </c>
      <c r="S471" s="0" t="n">
        <f aca="false">IF(ISBLANK(RawFinancials!S471),"",RawFinancials!S471)</f>
        <v>-5</v>
      </c>
      <c r="T471" s="0" t="n">
        <f aca="false">IF(ISBLANK(RawFinancials!T471),"",RawFinancials!T471)</f>
        <v>118</v>
      </c>
      <c r="U471" s="0" t="n">
        <f aca="false">IF(ISBLANK(RawFinancials!U471),"",RawFinancials!U471)</f>
        <v>0</v>
      </c>
      <c r="V471" s="0" t="n">
        <f aca="false">IF(ISBLANK(RawFinancials!V471),"",RawFinancials!V471)</f>
        <v>14.9143227744402</v>
      </c>
      <c r="W471" s="0" t="n">
        <f aca="false">IF(ISBLANK(RawFinancials!W471),"",RawFinancials!W471)</f>
        <v>20240331</v>
      </c>
      <c r="X471" s="0" t="n">
        <f aca="false">IF(ISBLANK(RawFinancials!X471),"",RawFinancials!X471)</f>
        <v>0.317210198101888</v>
      </c>
      <c r="Y471" s="0" t="n">
        <f aca="false">IF(ISBLANK(RawFinancials!Y471),"",RawFinancials!Y471)</f>
        <v>4.04</v>
      </c>
      <c r="Z471" s="0" t="str">
        <f aca="false">IF(ISBLANK(RawFinancials!Z471),"",RawFinancials!Z471)</f>
        <v>VT</v>
      </c>
      <c r="AA471" s="0" t="n">
        <f aca="false">RawFinancials!AA471</f>
        <v>1</v>
      </c>
      <c r="AB471" s="0" t="n">
        <f aca="false">RawFinancials!AB471</f>
        <v>1692</v>
      </c>
      <c r="AC471" s="0" t="n">
        <f aca="false">RawFinancials!AC471</f>
        <v>0.18934201412008</v>
      </c>
      <c r="AD471" s="0" t="n">
        <f aca="false">IF(L471&gt;0,100*N471/L471,"")</f>
        <v>83.4637303830591</v>
      </c>
      <c r="AE471" s="0" t="n">
        <f aca="false">IF(B471&gt;0,100*F471/B471,"")</f>
        <v>7.65503496448718</v>
      </c>
      <c r="AF471" s="0" t="str">
        <f aca="false">RawFinancials!AE471</f>
        <v/>
      </c>
    </row>
    <row r="472" customFormat="false" ht="15" hidden="false" customHeight="false" outlineLevel="0" collapsed="false">
      <c r="A472" s="0" t="n">
        <f aca="false">IF(ISBLANK(RawFinancials!A472),"",RawFinancials!A472)</f>
        <v>472</v>
      </c>
      <c r="B472" s="0" t="n">
        <f aca="false">IF(ISBLANK(RawFinancials!B472),"",RawFinancials!B472)</f>
        <v>79848</v>
      </c>
      <c r="C472" s="0" t="n">
        <f aca="false">IF(ISBLANK(RawFinancials!C472),"",RawFinancials!C472)</f>
        <v>35206</v>
      </c>
      <c r="D472" s="0" t="n">
        <f aca="false">IF(ISBLANK(RawFinancials!D472),"",RawFinancials!D472)</f>
        <v>500</v>
      </c>
      <c r="E472" s="0" t="n">
        <f aca="false">IF(ISBLANK(RawFinancials!E472),"",RawFinancials!E472)</f>
        <v>0</v>
      </c>
      <c r="F472" s="0" t="n">
        <f aca="false">IF(ISBLANK(RawFinancials!F472),"",RawFinancials!F472)</f>
        <v>77369</v>
      </c>
      <c r="G472" s="0" t="n">
        <f aca="false">IF(ISBLANK(RawFinancials!G472),"",RawFinancials!G472)</f>
        <v>96.8953511672177</v>
      </c>
      <c r="H472" s="0" t="str">
        <f aca="false">IF(ISBLANK(RawFinancials!H472),"",RawFinancials!H472)</f>
        <v>35206_20240331</v>
      </c>
      <c r="I472" s="0" t="n">
        <f aca="false">IF(ISBLANK(RawFinancials!I472),"",RawFinancials!I472)</f>
        <v>0</v>
      </c>
      <c r="J472" s="0" t="n">
        <f aca="false">IF(ISBLANK(RawFinancials!J472),"",RawFinancials!J472)</f>
        <v>0</v>
      </c>
      <c r="K472" s="0" t="n">
        <f aca="false">IF(ISBLANK(RawFinancials!K472),"",RawFinancials!K472)</f>
        <v>0</v>
      </c>
      <c r="L472" s="0" t="n">
        <f aca="false">IF(ISBLANK(RawFinancials!L472),"",RawFinancials!L472)</f>
        <v>0</v>
      </c>
      <c r="M472" s="0" t="n">
        <f aca="false">IF(ISBLANK(RawFinancials!M472),"",RawFinancials!M472)</f>
        <v>0</v>
      </c>
      <c r="N472" s="0" t="n">
        <f aca="false">IF(ISBLANK(RawFinancials!N472),"",RawFinancials!N472)</f>
        <v>0</v>
      </c>
      <c r="O472" s="0" t="n">
        <f aca="false">IF(ISBLANK(RawFinancials!O472),"",RawFinancials!O472)</f>
        <v>0</v>
      </c>
      <c r="P472" s="0" t="str">
        <f aca="false">IF(ISBLANK(RawFinancials!P472),"",RawFinancials!P472)</f>
        <v>FIDELITY PERSONAL TRUST COMPANY, FSB</v>
      </c>
      <c r="Q472" s="0" t="n">
        <f aca="false">IF(ISBLANK(RawFinancials!Q472),"",RawFinancials!Q472)</f>
        <v>0</v>
      </c>
      <c r="R472" s="0" t="n">
        <f aca="false">IF(ISBLANK(RawFinancials!R472),"",RawFinancials!R472)</f>
        <v>4.56962007745589</v>
      </c>
      <c r="S472" s="0" t="n">
        <f aca="false">IF(ISBLANK(RawFinancials!S472),"",RawFinancials!S472)</f>
        <v>0</v>
      </c>
      <c r="T472" s="0" t="n">
        <f aca="false">IF(ISBLANK(RawFinancials!T472),"",RawFinancials!T472)</f>
        <v>0</v>
      </c>
      <c r="U472" s="0" t="n">
        <f aca="false">IF(ISBLANK(RawFinancials!U472),"",RawFinancials!U472)</f>
        <v>0</v>
      </c>
      <c r="V472" s="0" t="n">
        <f aca="false">IF(ISBLANK(RawFinancials!V472),"",RawFinancials!V472)</f>
        <v>0</v>
      </c>
      <c r="W472" s="0" t="n">
        <f aca="false">IF(ISBLANK(RawFinancials!W472),"",RawFinancials!W472)</f>
        <v>20240331</v>
      </c>
      <c r="X472" s="0" t="n">
        <f aca="false">IF(ISBLANK(RawFinancials!X472),"",RawFinancials!X472)</f>
        <v>15.0318019410587</v>
      </c>
      <c r="Y472" s="0" t="n">
        <f aca="false">IF(ISBLANK(RawFinancials!Y472),"",RawFinancials!Y472)</f>
        <v>15.63</v>
      </c>
      <c r="Z472" s="0" t="str">
        <f aca="false">IF(ISBLANK(RawFinancials!Z472),"",RawFinancials!Z472)</f>
        <v>NH</v>
      </c>
      <c r="AA472" s="0" t="n">
        <f aca="false">RawFinancials!AA472</f>
        <v>1</v>
      </c>
      <c r="AB472" s="0" t="n">
        <f aca="false">RawFinancials!AB472</f>
        <v>0</v>
      </c>
      <c r="AC472" s="0" t="n">
        <f aca="false">RawFinancials!AC472</f>
        <v>0</v>
      </c>
      <c r="AD472" s="0" t="str">
        <f aca="false">IF(L472&gt;0,100*N472/L472,"")</f>
        <v/>
      </c>
      <c r="AE472" s="0" t="n">
        <f aca="false">IF(B472&gt;0,100*F472/B472,"")</f>
        <v>96.8953511672177</v>
      </c>
      <c r="AF472" s="0" t="str">
        <f aca="false">RawFinancials!AE472</f>
        <v>原始0：需核实适用/报告口径</v>
      </c>
    </row>
    <row r="473" customFormat="false" ht="15" hidden="false" customHeight="false" outlineLevel="0" collapsed="false">
      <c r="A473" s="0" t="n">
        <f aca="false">IF(ISBLANK(RawFinancials!A473),"",RawFinancials!A473)</f>
        <v>473</v>
      </c>
      <c r="B473" s="0" t="n">
        <f aca="false">IF(ISBLANK(RawFinancials!B473),"",RawFinancials!B473)</f>
        <v>5784624</v>
      </c>
      <c r="C473" s="0" t="n">
        <f aca="false">IF(ISBLANK(RawFinancials!C473),"",RawFinancials!C473)</f>
        <v>4255</v>
      </c>
      <c r="D473" s="0" t="n">
        <f aca="false">IF(ISBLANK(RawFinancials!D473),"",RawFinancials!D473)</f>
        <v>4586176</v>
      </c>
      <c r="E473" s="0" t="n">
        <f aca="false">IF(ISBLANK(RawFinancials!E473),"",RawFinancials!E473)</f>
        <v>-0.08</v>
      </c>
      <c r="F473" s="0" t="n">
        <f aca="false">IF(ISBLANK(RawFinancials!F473),"",RawFinancials!F473)</f>
        <v>514258</v>
      </c>
      <c r="G473" s="0" t="n">
        <f aca="false">IF(ISBLANK(RawFinancials!G473),"",RawFinancials!G473)</f>
        <v>8.89008516370295</v>
      </c>
      <c r="H473" s="0" t="str">
        <f aca="false">IF(ISBLANK(RawFinancials!H473),"",RawFinancials!H473)</f>
        <v>4255_20240331</v>
      </c>
      <c r="I473" s="0" t="n">
        <f aca="false">IF(ISBLANK(RawFinancials!I473),"",RawFinancials!I473)</f>
        <v>0.862182500985338</v>
      </c>
      <c r="J473" s="0" t="n">
        <f aca="false">IF(ISBLANK(RawFinancials!J473),"",RawFinancials!J473)</f>
        <v>330311</v>
      </c>
      <c r="K473" s="0" t="n">
        <f aca="false">IF(ISBLANK(RawFinancials!K473),"",RawFinancials!K473)</f>
        <v>17653</v>
      </c>
      <c r="L473" s="0" t="n">
        <f aca="false">IF(ISBLANK(RawFinancials!L473),"",RawFinancials!L473)</f>
        <v>4130564</v>
      </c>
      <c r="M473" s="0" t="n">
        <f aca="false">IF(ISBLANK(RawFinancials!M473),"",RawFinancials!M473)</f>
        <v>4094951</v>
      </c>
      <c r="N473" s="0" t="n">
        <f aca="false">IF(ISBLANK(RawFinancials!N473),"",RawFinancials!N473)</f>
        <v>3749893</v>
      </c>
      <c r="O473" s="0" t="n">
        <f aca="false">IF(ISBLANK(RawFinancials!O473),"",RawFinancials!O473)</f>
        <v>5658</v>
      </c>
      <c r="P473" s="0" t="str">
        <f aca="false">IF(ISBLANK(RawFinancials!P473),"",RawFinancials!P473)</f>
        <v>THE CAMDEN NATIONAL BANK</v>
      </c>
      <c r="Q473" s="0" t="n">
        <f aca="false">IF(ISBLANK(RawFinancials!Q473),"",RawFinancials!Q473)</f>
        <v>0.136978872618848</v>
      </c>
      <c r="R473" s="0" t="n">
        <f aca="false">IF(ISBLANK(RawFinancials!R473),"",RawFinancials!R473)</f>
        <v>2.41335932567702</v>
      </c>
      <c r="S473" s="0" t="n">
        <f aca="false">IF(ISBLANK(RawFinancials!S473),"",RawFinancials!S473)</f>
        <v>158</v>
      </c>
      <c r="T473" s="0" t="n">
        <f aca="false">IF(ISBLANK(RawFinancials!T473),"",RawFinancials!T473)</f>
        <v>2044</v>
      </c>
      <c r="U473" s="0" t="n">
        <f aca="false">IF(ISBLANK(RawFinancials!U473),"",RawFinancials!U473)</f>
        <v>0</v>
      </c>
      <c r="V473" s="0" t="n">
        <f aca="false">IF(ISBLANK(RawFinancials!V473),"",RawFinancials!V473)</f>
        <v>13.8464365654592</v>
      </c>
      <c r="W473" s="0" t="n">
        <f aca="false">IF(ISBLANK(RawFinancials!W473),"",RawFinancials!W473)</f>
        <v>20240331</v>
      </c>
      <c r="X473" s="0" t="n">
        <f aca="false">IF(ISBLANK(RawFinancials!X473),"",RawFinancials!X473)</f>
        <v>0.965155557846469</v>
      </c>
      <c r="Y473" s="0" t="n">
        <f aca="false">IF(ISBLANK(RawFinancials!Y473),"",RawFinancials!Y473)</f>
        <v>10.84</v>
      </c>
      <c r="Z473" s="0" t="str">
        <f aca="false">IF(ISBLANK(RawFinancials!Z473),"",RawFinancials!Z473)</f>
        <v>ME</v>
      </c>
      <c r="AA473" s="0" t="n">
        <f aca="false">RawFinancials!AA473</f>
        <v>1</v>
      </c>
      <c r="AB473" s="0" t="n">
        <f aca="false">RawFinancials!AB473</f>
        <v>5658</v>
      </c>
      <c r="AC473" s="0" t="n">
        <f aca="false">RawFinancials!AC473</f>
        <v>0.097811024536772</v>
      </c>
      <c r="AD473" s="0" t="n">
        <f aca="false">IF(L473&gt;0,100*N473/L473,"")</f>
        <v>90.7840430507795</v>
      </c>
      <c r="AE473" s="0" t="n">
        <f aca="false">IF(B473&gt;0,100*F473/B473,"")</f>
        <v>8.89008516370295</v>
      </c>
      <c r="AF473" s="0" t="str">
        <f aca="false">RawFinancials!AE473</f>
        <v/>
      </c>
    </row>
    <row r="474" customFormat="false" ht="15" hidden="false" customHeight="false" outlineLevel="0" collapsed="false">
      <c r="A474" s="0" t="n">
        <f aca="false">IF(ISBLANK(RawFinancials!A474),"",RawFinancials!A474)</f>
        <v>474</v>
      </c>
      <c r="B474" s="0" t="n">
        <f aca="false">IF(ISBLANK(RawFinancials!B474),"",RawFinancials!B474)</f>
        <v>2942447</v>
      </c>
      <c r="C474" s="0" t="n">
        <f aca="false">IF(ISBLANK(RawFinancials!C474),"",RawFinancials!C474)</f>
        <v>4256</v>
      </c>
      <c r="D474" s="0" t="n">
        <f aca="false">IF(ISBLANK(RawFinancials!D474),"",RawFinancials!D474)</f>
        <v>2549402</v>
      </c>
      <c r="E474" s="0" t="n">
        <f aca="false">IF(ISBLANK(RawFinancials!E474),"",RawFinancials!E474)</f>
        <v>-0.07</v>
      </c>
      <c r="F474" s="0" t="n">
        <f aca="false">IF(ISBLANK(RawFinancials!F474),"",RawFinancials!F474)</f>
        <v>214088</v>
      </c>
      <c r="G474" s="0" t="n">
        <f aca="false">IF(ISBLANK(RawFinancials!G474),"",RawFinancials!G474)</f>
        <v>7.27584897875816</v>
      </c>
      <c r="H474" s="0" t="str">
        <f aca="false">IF(ISBLANK(RawFinancials!H474),"",RawFinancials!H474)</f>
        <v>4256_20240331</v>
      </c>
      <c r="I474" s="0" t="n">
        <f aca="false">IF(ISBLANK(RawFinancials!I474),"",RawFinancials!I474)</f>
        <v>1.11360756960565</v>
      </c>
      <c r="J474" s="0" t="n">
        <f aca="false">IF(ISBLANK(RawFinancials!J474),"",RawFinancials!J474)</f>
        <v>320658</v>
      </c>
      <c r="K474" s="0" t="n">
        <f aca="false">IF(ISBLANK(RawFinancials!K474),"",RawFinancials!K474)</f>
        <v>19035</v>
      </c>
      <c r="L474" s="0" t="n">
        <f aca="false">IF(ISBLANK(RawFinancials!L474),"",RawFinancials!L474)</f>
        <v>2173746</v>
      </c>
      <c r="M474" s="0" t="n">
        <f aca="false">IF(ISBLANK(RawFinancials!M474),"",RawFinancials!M474)</f>
        <v>2149539</v>
      </c>
      <c r="N474" s="0" t="n">
        <f aca="false">IF(ISBLANK(RawFinancials!N474),"",RawFinancials!N474)</f>
        <v>1739026</v>
      </c>
      <c r="O474" s="0" t="n">
        <f aca="false">IF(ISBLANK(RawFinancials!O474),"",RawFinancials!O474)</f>
        <v>2710</v>
      </c>
      <c r="P474" s="0" t="str">
        <f aca="false">IF(ISBLANK(RawFinancials!P474),"",RawFinancials!P474)</f>
        <v>FIRST NATIONAL BANK</v>
      </c>
      <c r="Q474" s="0" t="n">
        <f aca="false">IF(ISBLANK(RawFinancials!Q474),"",RawFinancials!Q474)</f>
        <v>0.126923752821167</v>
      </c>
      <c r="R474" s="0" t="n">
        <f aca="false">IF(ISBLANK(RawFinancials!R474),"",RawFinancials!R474)</f>
        <v>2.15958502147942</v>
      </c>
      <c r="S474" s="0" t="n">
        <f aca="false">IF(ISBLANK(RawFinancials!S474),"",RawFinancials!S474)</f>
        <v>-78</v>
      </c>
      <c r="T474" s="0" t="n">
        <f aca="false">IF(ISBLANK(RawFinancials!T474),"",RawFinancials!T474)</f>
        <v>1164</v>
      </c>
      <c r="U474" s="0" t="n">
        <f aca="false">IF(ISBLANK(RawFinancials!U474),"",RawFinancials!U474)</f>
        <v>49</v>
      </c>
      <c r="V474" s="0" t="n">
        <f aca="false">IF(ISBLANK(RawFinancials!V474),"",RawFinancials!V474)</f>
        <v>13.4945885990368</v>
      </c>
      <c r="W474" s="0" t="n">
        <f aca="false">IF(ISBLANK(RawFinancials!W474),"",RawFinancials!W474)</f>
        <v>20240331</v>
      </c>
      <c r="X474" s="0" t="n">
        <f aca="false">IF(ISBLANK(RawFinancials!X474),"",RawFinancials!X474)</f>
        <v>0.85553165791717</v>
      </c>
      <c r="Y474" s="0" t="n">
        <f aca="false">IF(ISBLANK(RawFinancials!Y474),"",RawFinancials!Y474)</f>
        <v>11.68</v>
      </c>
      <c r="Z474" s="0" t="str">
        <f aca="false">IF(ISBLANK(RawFinancials!Z474),"",RawFinancials!Z474)</f>
        <v>ME</v>
      </c>
      <c r="AA474" s="0" t="n">
        <f aca="false">RawFinancials!AA474</f>
        <v>1</v>
      </c>
      <c r="AB474" s="0" t="n">
        <f aca="false">RawFinancials!AB474</f>
        <v>2759</v>
      </c>
      <c r="AC474" s="0" t="n">
        <f aca="false">RawFinancials!AC474</f>
        <v>0.0937654951813915</v>
      </c>
      <c r="AD474" s="0" t="n">
        <f aca="false">IF(L474&gt;0,100*N474/L474,"")</f>
        <v>80.0013433032194</v>
      </c>
      <c r="AE474" s="0" t="n">
        <f aca="false">IF(B474&gt;0,100*F474/B474,"")</f>
        <v>7.27584897875816</v>
      </c>
      <c r="AF474" s="0" t="str">
        <f aca="false">RawFinancials!AE474</f>
        <v/>
      </c>
    </row>
    <row r="475" customFormat="false" ht="15" hidden="false" customHeight="false" outlineLevel="0" collapsed="false">
      <c r="A475" s="0" t="n">
        <f aca="false">IF(ISBLANK(RawFinancials!A475),"",RawFinancials!A475)</f>
        <v>475</v>
      </c>
      <c r="B475" s="0" t="n">
        <f aca="false">IF(ISBLANK(RawFinancials!B475),"",RawFinancials!B475)</f>
        <v>697280</v>
      </c>
      <c r="C475" s="0" t="n">
        <f aca="false">IF(ISBLANK(RawFinancials!C475),"",RawFinancials!C475)</f>
        <v>59086</v>
      </c>
      <c r="D475" s="0" t="n">
        <f aca="false">IF(ISBLANK(RawFinancials!D475),"",RawFinancials!D475)</f>
        <v>594743</v>
      </c>
      <c r="E475" s="0" t="n">
        <f aca="false">IF(ISBLANK(RawFinancials!E475),"",RawFinancials!E475)</f>
        <v>0.09</v>
      </c>
      <c r="F475" s="0" t="n">
        <f aca="false">IF(ISBLANK(RawFinancials!F475),"",RawFinancials!F475)</f>
        <v>90844</v>
      </c>
      <c r="G475" s="0" t="n">
        <f aca="false">IF(ISBLANK(RawFinancials!G475),"",RawFinancials!G475)</f>
        <v>13.0283386874713</v>
      </c>
      <c r="H475" s="0" t="str">
        <f aca="false">IF(ISBLANK(RawFinancials!H475),"",RawFinancials!H475)</f>
        <v>59086_20240331</v>
      </c>
      <c r="I475" s="0" t="n">
        <f aca="false">IF(ISBLANK(RawFinancials!I475),"",RawFinancials!I475)</f>
        <v>1.03077642944236</v>
      </c>
      <c r="J475" s="0" t="n">
        <f aca="false">IF(ISBLANK(RawFinancials!J475),"",RawFinancials!J475)</f>
        <v>111257</v>
      </c>
      <c r="K475" s="0" t="n">
        <f aca="false">IF(ISBLANK(RawFinancials!K475),"",RawFinancials!K475)</f>
        <v>0</v>
      </c>
      <c r="L475" s="0" t="n">
        <f aca="false">IF(ISBLANK(RawFinancials!L475),"",RawFinancials!L475)</f>
        <v>585578</v>
      </c>
      <c r="M475" s="0" t="n">
        <f aca="false">IF(ISBLANK(RawFinancials!M475),"",RawFinancials!M475)</f>
        <v>579542</v>
      </c>
      <c r="N475" s="0" t="n">
        <f aca="false">IF(ISBLANK(RawFinancials!N475),"",RawFinancials!N475)</f>
        <v>474718</v>
      </c>
      <c r="O475" s="0" t="n">
        <f aca="false">IF(ISBLANK(RawFinancials!O475),"",RawFinancials!O475)</f>
        <v>4483</v>
      </c>
      <c r="P475" s="0" t="str">
        <f aca="false">IF(ISBLANK(RawFinancials!P475),"",RawFinancials!P475)</f>
        <v>PRIMARY BANK</v>
      </c>
      <c r="Q475" s="0" t="n">
        <f aca="false">IF(ISBLANK(RawFinancials!Q475),"",RawFinancials!Q475)</f>
        <v>0.439224151180543</v>
      </c>
      <c r="R475" s="0" t="n">
        <f aca="false">IF(ISBLANK(RawFinancials!R475),"",RawFinancials!R475)</f>
        <v>3.69176625852335</v>
      </c>
      <c r="S475" s="0" t="n">
        <f aca="false">IF(ISBLANK(RawFinancials!S475),"",RawFinancials!S475)</f>
        <v>160</v>
      </c>
      <c r="T475" s="0" t="n">
        <f aca="false">IF(ISBLANK(RawFinancials!T475),"",RawFinancials!T475)</f>
        <v>366</v>
      </c>
      <c r="U475" s="0" t="n">
        <f aca="false">IF(ISBLANK(RawFinancials!U475),"",RawFinancials!U475)</f>
        <v>0</v>
      </c>
      <c r="V475" s="0" t="n">
        <f aca="false">IF(ISBLANK(RawFinancials!V475),"",RawFinancials!V475)</f>
        <v>15.5722724532851</v>
      </c>
      <c r="W475" s="0" t="n">
        <f aca="false">IF(ISBLANK(RawFinancials!W475),"",RawFinancials!W475)</f>
        <v>20240331</v>
      </c>
      <c r="X475" s="0" t="n">
        <f aca="false">IF(ISBLANK(RawFinancials!X475),"",RawFinancials!X475)</f>
        <v>1.50861107954586</v>
      </c>
      <c r="Y475" s="0" t="n">
        <f aca="false">IF(ISBLANK(RawFinancials!Y475),"",RawFinancials!Y475)</f>
        <v>11.71</v>
      </c>
      <c r="Z475" s="0" t="str">
        <f aca="false">IF(ISBLANK(RawFinancials!Z475),"",RawFinancials!Z475)</f>
        <v>NH</v>
      </c>
      <c r="AA475" s="0" t="n">
        <f aca="false">RawFinancials!AA475</f>
        <v>1</v>
      </c>
      <c r="AB475" s="0" t="n">
        <f aca="false">RawFinancials!AB475</f>
        <v>4483</v>
      </c>
      <c r="AC475" s="0" t="n">
        <f aca="false">RawFinancials!AC475</f>
        <v>0.642926801284993</v>
      </c>
      <c r="AD475" s="0" t="n">
        <f aca="false">IF(L475&gt;0,100*N475/L475,"")</f>
        <v>81.0682778383068</v>
      </c>
      <c r="AE475" s="0" t="n">
        <f aca="false">IF(B475&gt;0,100*F475/B475,"")</f>
        <v>13.0283386874713</v>
      </c>
      <c r="AF475" s="0" t="str">
        <f aca="false">RawFinancials!AE475</f>
        <v/>
      </c>
    </row>
    <row r="476" customFormat="false" ht="15" hidden="false" customHeight="false" outlineLevel="0" collapsed="false">
      <c r="A476" s="0" t="n">
        <f aca="false">IF(ISBLANK(RawFinancials!A476),"",RawFinancials!A476)</f>
        <v>476</v>
      </c>
      <c r="B476" s="0" t="n">
        <f aca="false">IF(ISBLANK(RawFinancials!B476),"",RawFinancials!B476)</f>
        <v>222037</v>
      </c>
      <c r="C476" s="0" t="n">
        <f aca="false">IF(ISBLANK(RawFinancials!C476),"",RawFinancials!C476)</f>
        <v>59176</v>
      </c>
      <c r="D476" s="0" t="n">
        <f aca="false">IF(ISBLANK(RawFinancials!D476),"",RawFinancials!D476)</f>
        <v>182535</v>
      </c>
      <c r="E476" s="0" t="n">
        <f aca="false">IF(ISBLANK(RawFinancials!E476),"",RawFinancials!E476)</f>
        <v>0.05</v>
      </c>
      <c r="F476" s="0" t="n">
        <f aca="false">IF(ISBLANK(RawFinancials!F476),"",RawFinancials!F476)</f>
        <v>26809</v>
      </c>
      <c r="G476" s="0" t="n">
        <f aca="false">IF(ISBLANK(RawFinancials!G476),"",RawFinancials!G476)</f>
        <v>12.0741137738305</v>
      </c>
      <c r="H476" s="0" t="str">
        <f aca="false">IF(ISBLANK(RawFinancials!H476),"",RawFinancials!H476)</f>
        <v>59176_20240331</v>
      </c>
      <c r="I476" s="0" t="n">
        <f aca="false">IF(ISBLANK(RawFinancials!I476),"",RawFinancials!I476)</f>
        <v>0.965149176954732</v>
      </c>
      <c r="J476" s="0" t="n">
        <f aca="false">IF(ISBLANK(RawFinancials!J476),"",RawFinancials!J476)</f>
        <v>23317</v>
      </c>
      <c r="K476" s="0" t="n">
        <f aca="false">IF(ISBLANK(RawFinancials!K476),"",RawFinancials!K476)</f>
        <v>93</v>
      </c>
      <c r="L476" s="0" t="n">
        <f aca="false">IF(ISBLANK(RawFinancials!L476),"",RawFinancials!L476)</f>
        <v>155520</v>
      </c>
      <c r="M476" s="0" t="n">
        <f aca="false">IF(ISBLANK(RawFinancials!M476),"",RawFinancials!M476)</f>
        <v>154019</v>
      </c>
      <c r="N476" s="0" t="n">
        <f aca="false">IF(ISBLANK(RawFinancials!N476),"",RawFinancials!N476)</f>
        <v>132126</v>
      </c>
      <c r="O476" s="0" t="n">
        <f aca="false">IF(ISBLANK(RawFinancials!O476),"",RawFinancials!O476)</f>
        <v>0</v>
      </c>
      <c r="P476" s="0" t="str">
        <f aca="false">IF(ISBLANK(RawFinancials!P476),"",RawFinancials!P476)</f>
        <v>THE MILLYARD BANK</v>
      </c>
      <c r="Q476" s="0" t="n">
        <f aca="false">IF(ISBLANK(RawFinancials!Q476),"",RawFinancials!Q476)</f>
        <v>0</v>
      </c>
      <c r="R476" s="0" t="n">
        <f aca="false">IF(ISBLANK(RawFinancials!R476),"",RawFinancials!R476)</f>
        <v>2.28395268572195</v>
      </c>
      <c r="S476" s="0" t="n">
        <f aca="false">IF(ISBLANK(RawFinancials!S476),"",RawFinancials!S476)</f>
        <v>-32</v>
      </c>
      <c r="T476" s="0" t="n">
        <f aca="false">IF(ISBLANK(RawFinancials!T476),"",RawFinancials!T476)</f>
        <v>0</v>
      </c>
      <c r="U476" s="0" t="n">
        <f aca="false">IF(ISBLANK(RawFinancials!U476),"",RawFinancials!U476)</f>
        <v>0</v>
      </c>
      <c r="V476" s="0" t="n">
        <f aca="false">IF(ISBLANK(RawFinancials!V476),"",RawFinancials!V476)</f>
        <v>18.0162937093356</v>
      </c>
      <c r="W476" s="0" t="n">
        <f aca="false">IF(ISBLANK(RawFinancials!W476),"",RawFinancials!W476)</f>
        <v>20240331</v>
      </c>
      <c r="X476" s="0" t="n">
        <f aca="false">IF(ISBLANK(RawFinancials!X476),"",RawFinancials!X476)</f>
        <v>-0.0643345396059509</v>
      </c>
      <c r="Y476" s="0" t="n">
        <f aca="false">IF(ISBLANK(RawFinancials!Y476),"",RawFinancials!Y476)</f>
        <v>-0.59</v>
      </c>
      <c r="Z476" s="0" t="str">
        <f aca="false">IF(ISBLANK(RawFinancials!Z476),"",RawFinancials!Z476)</f>
        <v>NH</v>
      </c>
      <c r="AA476" s="0" t="n">
        <f aca="false">RawFinancials!AA476</f>
        <v>1</v>
      </c>
      <c r="AB476" s="0" t="n">
        <f aca="false">RawFinancials!AB476</f>
        <v>0</v>
      </c>
      <c r="AC476" s="0" t="n">
        <f aca="false">RawFinancials!AC476</f>
        <v>0</v>
      </c>
      <c r="AD476" s="0" t="n">
        <f aca="false">IF(L476&gt;0,100*N476/L476,"")</f>
        <v>84.9575617283951</v>
      </c>
      <c r="AE476" s="0" t="n">
        <f aca="false">IF(B476&gt;0,100*F476/B476,"")</f>
        <v>12.0741137738305</v>
      </c>
      <c r="AF476" s="0" t="str">
        <f aca="false">RawFinancials!AE476</f>
        <v/>
      </c>
    </row>
    <row r="477" customFormat="false" ht="15" hidden="false" customHeight="false" outlineLevel="0" collapsed="false">
      <c r="A477" s="0" t="n">
        <f aca="false">IF(ISBLANK(RawFinancials!A477),"",RawFinancials!A477)</f>
        <v>477</v>
      </c>
      <c r="B477" s="0" t="n">
        <f aca="false">IF(ISBLANK(RawFinancials!B477),"",RawFinancials!B477)</f>
        <v>93964</v>
      </c>
      <c r="C477" s="0" t="n">
        <f aca="false">IF(ISBLANK(RawFinancials!C477),"",RawFinancials!C477)</f>
        <v>59289</v>
      </c>
      <c r="D477" s="0" t="n">
        <f aca="false">IF(ISBLANK(RawFinancials!D477),"",RawFinancials!D477)</f>
        <v>74106</v>
      </c>
      <c r="E477" s="0" t="n">
        <f aca="false">IF(ISBLANK(RawFinancials!E477),"",RawFinancials!E477)</f>
        <v>0.65</v>
      </c>
      <c r="F477" s="0" t="n">
        <f aca="false">IF(ISBLANK(RawFinancials!F477),"",RawFinancials!F477)</f>
        <v>18864</v>
      </c>
      <c r="G477" s="0" t="n">
        <f aca="false">IF(ISBLANK(RawFinancials!G477),"",RawFinancials!G477)</f>
        <v>20.0757737005662</v>
      </c>
      <c r="H477" s="0" t="str">
        <f aca="false">IF(ISBLANK(RawFinancials!H477),"",RawFinancials!H477)</f>
        <v>59289_20240331</v>
      </c>
      <c r="I477" s="0" t="n">
        <f aca="false">IF(ISBLANK(RawFinancials!I477),"",RawFinancials!I477)</f>
        <v>1.32408159680288</v>
      </c>
      <c r="J477" s="0" t="n">
        <f aca="false">IF(ISBLANK(RawFinancials!J477),"",RawFinancials!J477)</f>
        <v>25938</v>
      </c>
      <c r="K477" s="0" t="n">
        <f aca="false">IF(ISBLANK(RawFinancials!K477),"",RawFinancials!K477)</f>
        <v>0</v>
      </c>
      <c r="L477" s="0" t="n">
        <f aca="false">IF(ISBLANK(RawFinancials!L477),"",RawFinancials!L477)</f>
        <v>45541</v>
      </c>
      <c r="M477" s="0" t="n">
        <f aca="false">IF(ISBLANK(RawFinancials!M477),"",RawFinancials!M477)</f>
        <v>44938</v>
      </c>
      <c r="N477" s="0" t="n">
        <f aca="false">IF(ISBLANK(RawFinancials!N477),"",RawFinancials!N477)</f>
        <v>18119</v>
      </c>
      <c r="O477" s="0" t="n">
        <f aca="false">IF(ISBLANK(RawFinancials!O477),"",RawFinancials!O477)</f>
        <v>327</v>
      </c>
      <c r="P477" s="0" t="str">
        <f aca="false">IF(ISBLANK(RawFinancials!P477),"",RawFinancials!P477)</f>
        <v>WALDEN MUTUAL BANK</v>
      </c>
      <c r="Q477" s="0" t="n">
        <f aca="false">IF(ISBLANK(RawFinancials!Q477),"",RawFinancials!Q477)</f>
        <v>0.718034298763751</v>
      </c>
      <c r="R477" s="0" t="n">
        <f aca="false">IF(ISBLANK(RawFinancials!R477),"",RawFinancials!R477)</f>
        <v>4.14001571851762</v>
      </c>
      <c r="S477" s="0" t="n">
        <f aca="false">IF(ISBLANK(RawFinancials!S477),"",RawFinancials!S477)</f>
        <v>0</v>
      </c>
      <c r="T477" s="0" t="n">
        <f aca="false">IF(ISBLANK(RawFinancials!T477),"",RawFinancials!T477)</f>
        <v>0</v>
      </c>
      <c r="U477" s="0" t="n">
        <f aca="false">IF(ISBLANK(RawFinancials!U477),"",RawFinancials!U477)</f>
        <v>0</v>
      </c>
      <c r="V477" s="0" t="n">
        <f aca="false">IF(ISBLANK(RawFinancials!V477),"",RawFinancials!V477)</f>
        <v>0</v>
      </c>
      <c r="W477" s="0" t="n">
        <f aca="false">IF(ISBLANK(RawFinancials!W477),"",RawFinancials!W477)</f>
        <v>20240331</v>
      </c>
      <c r="X477" s="0" t="n">
        <f aca="false">IF(ISBLANK(RawFinancials!X477),"",RawFinancials!X477)</f>
        <v>-1.65604118871675</v>
      </c>
      <c r="Y477" s="0" t="n">
        <f aca="false">IF(ISBLANK(RawFinancials!Y477),"",RawFinancials!Y477)</f>
        <v>-7.37</v>
      </c>
      <c r="Z477" s="0" t="str">
        <f aca="false">IF(ISBLANK(RawFinancials!Z477),"",RawFinancials!Z477)</f>
        <v>NH</v>
      </c>
      <c r="AA477" s="0" t="n">
        <f aca="false">RawFinancials!AA477</f>
        <v>1</v>
      </c>
      <c r="AB477" s="0" t="n">
        <f aca="false">RawFinancials!AB477</f>
        <v>327</v>
      </c>
      <c r="AC477" s="0" t="n">
        <f aca="false">RawFinancials!AC477</f>
        <v>0.3480056191733</v>
      </c>
      <c r="AD477" s="0" t="n">
        <f aca="false">IF(L477&gt;0,100*N477/L477,"")</f>
        <v>39.7861267868514</v>
      </c>
      <c r="AE477" s="0" t="n">
        <f aca="false">IF(B477&gt;0,100*F477/B477,"")</f>
        <v>20.0757737005662</v>
      </c>
      <c r="AF477" s="0" t="str">
        <f aca="false">RawFinancials!AE477</f>
        <v>原始0：需核实适用/报告口径</v>
      </c>
    </row>
    <row r="478" customFormat="false" ht="15" hidden="false" customHeight="false" outlineLevel="0" collapsed="false">
      <c r="A478" s="0" t="n">
        <f aca="false">IF(ISBLANK(RawFinancials!A478),"",RawFinancials!A478)</f>
        <v>478</v>
      </c>
      <c r="B478" s="0" t="n">
        <f aca="false">IF(ISBLANK(RawFinancials!B478),"",RawFinancials!B478)</f>
        <v>169806</v>
      </c>
      <c r="C478" s="0" t="n">
        <f aca="false">IF(ISBLANK(RawFinancials!C478),"",RawFinancials!C478)</f>
        <v>59298</v>
      </c>
      <c r="D478" s="0" t="n">
        <f aca="false">IF(ISBLANK(RawFinancials!D478),"",RawFinancials!D478)</f>
        <v>142779</v>
      </c>
      <c r="E478" s="0" t="n">
        <f aca="false">IF(ISBLANK(RawFinancials!E478),"",RawFinancials!E478)</f>
        <v>0.17</v>
      </c>
      <c r="F478" s="0" t="n">
        <f aca="false">IF(ISBLANK(RawFinancials!F478),"",RawFinancials!F478)</f>
        <v>26235</v>
      </c>
      <c r="G478" s="0" t="n">
        <f aca="false">IF(ISBLANK(RawFinancials!G478),"",RawFinancials!G478)</f>
        <v>15.4499840995018</v>
      </c>
      <c r="H478" s="0" t="str">
        <f aca="false">IF(ISBLANK(RawFinancials!H478),"",RawFinancials!H478)</f>
        <v>59298_20240331</v>
      </c>
      <c r="I478" s="0" t="n">
        <f aca="false">IF(ISBLANK(RawFinancials!I478),"",RawFinancials!I478)</f>
        <v>0.79995287464656</v>
      </c>
      <c r="J478" s="0" t="n">
        <f aca="false">IF(ISBLANK(RawFinancials!J478),"",RawFinancials!J478)</f>
        <v>18628</v>
      </c>
      <c r="K478" s="0" t="n">
        <f aca="false">IF(ISBLANK(RawFinancials!K478),"",RawFinancials!K478)</f>
        <v>0</v>
      </c>
      <c r="L478" s="0" t="n">
        <f aca="false">IF(ISBLANK(RawFinancials!L478),"",RawFinancials!L478)</f>
        <v>84880</v>
      </c>
      <c r="M478" s="0" t="n">
        <f aca="false">IF(ISBLANK(RawFinancials!M478),"",RawFinancials!M478)</f>
        <v>84201</v>
      </c>
      <c r="N478" s="0" t="n">
        <f aca="false">IF(ISBLANK(RawFinancials!N478),"",RawFinancials!N478)</f>
        <v>66264</v>
      </c>
      <c r="O478" s="0" t="n">
        <f aca="false">IF(ISBLANK(RawFinancials!O478),"",RawFinancials!O478)</f>
        <v>0</v>
      </c>
      <c r="P478" s="0" t="str">
        <f aca="false">IF(ISBLANK(RawFinancials!P478),"",RawFinancials!P478)</f>
        <v>BANK OF BURLINGTON</v>
      </c>
      <c r="Q478" s="0" t="n">
        <f aca="false">IF(ISBLANK(RawFinancials!Q478),"",RawFinancials!Q478)</f>
        <v>0</v>
      </c>
      <c r="R478" s="0" t="n">
        <f aca="false">IF(ISBLANK(RawFinancials!R478),"",RawFinancials!R478)</f>
        <v>2.25176342919154</v>
      </c>
      <c r="S478" s="0" t="n">
        <f aca="false">IF(ISBLANK(RawFinancials!S478),"",RawFinancials!S478)</f>
        <v>0</v>
      </c>
      <c r="T478" s="0" t="n">
        <f aca="false">IF(ISBLANK(RawFinancials!T478),"",RawFinancials!T478)</f>
        <v>0</v>
      </c>
      <c r="U478" s="0" t="n">
        <f aca="false">IF(ISBLANK(RawFinancials!U478),"",RawFinancials!U478)</f>
        <v>0</v>
      </c>
      <c r="V478" s="0" t="n">
        <f aca="false">IF(ISBLANK(RawFinancials!V478),"",RawFinancials!V478)</f>
        <v>0</v>
      </c>
      <c r="W478" s="0" t="n">
        <f aca="false">IF(ISBLANK(RawFinancials!W478),"",RawFinancials!W478)</f>
        <v>20240331</v>
      </c>
      <c r="X478" s="0" t="n">
        <f aca="false">IF(ISBLANK(RawFinancials!X478),"",RawFinancials!X478)</f>
        <v>-1.2766578313839</v>
      </c>
      <c r="Y478" s="0" t="n">
        <f aca="false">IF(ISBLANK(RawFinancials!Y478),"",RawFinancials!Y478)</f>
        <v>-7.84</v>
      </c>
      <c r="Z478" s="0" t="str">
        <f aca="false">IF(ISBLANK(RawFinancials!Z478),"",RawFinancials!Z478)</f>
        <v>VT</v>
      </c>
      <c r="AA478" s="0" t="n">
        <f aca="false">RawFinancials!AA478</f>
        <v>1</v>
      </c>
      <c r="AB478" s="0" t="n">
        <f aca="false">RawFinancials!AB478</f>
        <v>0</v>
      </c>
      <c r="AC478" s="0" t="n">
        <f aca="false">RawFinancials!AC478</f>
        <v>0</v>
      </c>
      <c r="AD478" s="0" t="n">
        <f aca="false">IF(L478&gt;0,100*N478/L478,"")</f>
        <v>78.0678605089538</v>
      </c>
      <c r="AE478" s="0" t="n">
        <f aca="false">IF(B478&gt;0,100*F478/B478,"")</f>
        <v>15.4499840995018</v>
      </c>
      <c r="AF478" s="0" t="str">
        <f aca="false">RawFinancials!AE478</f>
        <v>原始0：需核实适用/报告口径</v>
      </c>
    </row>
    <row r="479" customFormat="false" ht="15" hidden="false" customHeight="false" outlineLevel="0" collapsed="false">
      <c r="A479" s="0" t="n">
        <f aca="false">IF(ISBLANK(RawFinancials!A479),"",RawFinancials!A479)</f>
        <v>479</v>
      </c>
      <c r="B479" s="0" t="n">
        <f aca="false">IF(ISBLANK(RawFinancials!B479),"",RawFinancials!B479)</f>
        <v>1106658</v>
      </c>
      <c r="C479" s="0" t="n">
        <f aca="false">IF(ISBLANK(RawFinancials!C479),"",RawFinancials!C479)</f>
        <v>6271</v>
      </c>
      <c r="D479" s="0" t="n">
        <f aca="false">IF(ISBLANK(RawFinancials!D479),"",RawFinancials!D479)</f>
        <v>884850</v>
      </c>
      <c r="E479" s="0" t="n">
        <f aca="false">IF(ISBLANK(RawFinancials!E479),"",RawFinancials!E479)</f>
        <v>0.11</v>
      </c>
      <c r="F479" s="0" t="n">
        <f aca="false">IF(ISBLANK(RawFinancials!F479),"",RawFinancials!F479)</f>
        <v>101645</v>
      </c>
      <c r="G479" s="0" t="n">
        <f aca="false">IF(ISBLANK(RawFinancials!G479),"",RawFinancials!G479)</f>
        <v>9.18486108626152</v>
      </c>
      <c r="H479" s="0" t="str">
        <f aca="false">IF(ISBLANK(RawFinancials!H479),"",RawFinancials!H479)</f>
        <v>6271_20240331</v>
      </c>
      <c r="I479" s="0" t="n">
        <f aca="false">IF(ISBLANK(RawFinancials!I479),"",RawFinancials!I479)</f>
        <v>1.15612267720566</v>
      </c>
      <c r="J479" s="0" t="n">
        <f aca="false">IF(ISBLANK(RawFinancials!J479),"",RawFinancials!J479)</f>
        <v>129701</v>
      </c>
      <c r="K479" s="0" t="n">
        <f aca="false">IF(ISBLANK(RawFinancials!K479),"",RawFinancials!K479)</f>
        <v>7634</v>
      </c>
      <c r="L479" s="0" t="n">
        <f aca="false">IF(ISBLANK(RawFinancials!L479),"",RawFinancials!L479)</f>
        <v>867382</v>
      </c>
      <c r="M479" s="0" t="n">
        <f aca="false">IF(ISBLANK(RawFinancials!M479),"",RawFinancials!M479)</f>
        <v>857354</v>
      </c>
      <c r="N479" s="0" t="n">
        <f aca="false">IF(ISBLANK(RawFinancials!N479),"",RawFinancials!N479)</f>
        <v>668396</v>
      </c>
      <c r="O479" s="0" t="n">
        <f aca="false">IF(ISBLANK(RawFinancials!O479),"",RawFinancials!O479)</f>
        <v>6384</v>
      </c>
      <c r="P479" s="0" t="str">
        <f aca="false">IF(ISBLANK(RawFinancials!P479),"",RawFinancials!P479)</f>
        <v>COMMUNITY NATIONAL BANK</v>
      </c>
      <c r="Q479" s="0" t="n">
        <f aca="false">IF(ISBLANK(RawFinancials!Q479),"",RawFinancials!Q479)</f>
        <v>0.826740697870143</v>
      </c>
      <c r="R479" s="0" t="n">
        <f aca="false">IF(ISBLANK(RawFinancials!R479),"",RawFinancials!R479)</f>
        <v>3.32582939701992</v>
      </c>
      <c r="S479" s="0" t="n">
        <f aca="false">IF(ISBLANK(RawFinancials!S479),"",RawFinancials!S479)</f>
        <v>133</v>
      </c>
      <c r="T479" s="0" t="n">
        <f aca="false">IF(ISBLANK(RawFinancials!T479),"",RawFinancials!T479)</f>
        <v>2165</v>
      </c>
      <c r="U479" s="0" t="n">
        <f aca="false">IF(ISBLANK(RawFinancials!U479),"",RawFinancials!U479)</f>
        <v>787</v>
      </c>
      <c r="V479" s="0" t="n">
        <f aca="false">IF(ISBLANK(RawFinancials!V479),"",RawFinancials!V479)</f>
        <v>14.9516406498885</v>
      </c>
      <c r="W479" s="0" t="n">
        <f aca="false">IF(ISBLANK(RawFinancials!W479),"",RawFinancials!W479)</f>
        <v>20240331</v>
      </c>
      <c r="X479" s="0" t="n">
        <f aca="false">IF(ISBLANK(RawFinancials!X479),"",RawFinancials!X479)</f>
        <v>1.1249303947051</v>
      </c>
      <c r="Y479" s="0" t="n">
        <f aca="false">IF(ISBLANK(RawFinancials!Y479),"",RawFinancials!Y479)</f>
        <v>12.24</v>
      </c>
      <c r="Z479" s="0" t="str">
        <f aca="false">IF(ISBLANK(RawFinancials!Z479),"",RawFinancials!Z479)</f>
        <v>VT</v>
      </c>
      <c r="AA479" s="0" t="n">
        <f aca="false">RawFinancials!AA479</f>
        <v>1</v>
      </c>
      <c r="AB479" s="0" t="n">
        <f aca="false">RawFinancials!AB479</f>
        <v>7171</v>
      </c>
      <c r="AC479" s="0" t="n">
        <f aca="false">RawFinancials!AC479</f>
        <v>0.647987002307849</v>
      </c>
      <c r="AD479" s="0" t="n">
        <f aca="false">IF(L479&gt;0,100*N479/L479,"")</f>
        <v>77.059012061583</v>
      </c>
      <c r="AE479" s="0" t="n">
        <f aca="false">IF(B479&gt;0,100*F479/B479,"")</f>
        <v>9.18486108626152</v>
      </c>
      <c r="AF479" s="0" t="str">
        <f aca="false">RawFinancials!AE479</f>
        <v/>
      </c>
    </row>
    <row r="480" customFormat="false" ht="15" hidden="false" customHeight="false" outlineLevel="0" collapsed="false">
      <c r="A480" s="0" t="n">
        <f aca="false">IF(ISBLANK(RawFinancials!A480),"",RawFinancials!A480)</f>
        <v>480</v>
      </c>
      <c r="B480" s="0" t="n">
        <f aca="false">IF(ISBLANK(RawFinancials!B480),"",RawFinancials!B480)</f>
        <v>560771</v>
      </c>
      <c r="C480" s="0" t="n">
        <f aca="false">IF(ISBLANK(RawFinancials!C480),"",RawFinancials!C480)</f>
        <v>6275</v>
      </c>
      <c r="D480" s="0" t="n">
        <f aca="false">IF(ISBLANK(RawFinancials!D480),"",RawFinancials!D480)</f>
        <v>481992</v>
      </c>
      <c r="E480" s="0" t="n">
        <f aca="false">IF(ISBLANK(RawFinancials!E480),"",RawFinancials!E480)</f>
        <v>0.02</v>
      </c>
      <c r="F480" s="0" t="n">
        <f aca="false">IF(ISBLANK(RawFinancials!F480),"",RawFinancials!F480)</f>
        <v>30328</v>
      </c>
      <c r="G480" s="0" t="n">
        <f aca="false">IF(ISBLANK(RawFinancials!G480),"",RawFinancials!G480)</f>
        <v>5.40826825923594</v>
      </c>
      <c r="H480" s="0" t="str">
        <f aca="false">IF(ISBLANK(RawFinancials!H480),"",RawFinancials!H480)</f>
        <v>6275_20240331</v>
      </c>
      <c r="I480" s="0" t="n">
        <f aca="false">IF(ISBLANK(RawFinancials!I480),"",RawFinancials!I480)</f>
        <v>0.411599680549502</v>
      </c>
      <c r="J480" s="0" t="n">
        <f aca="false">IF(ISBLANK(RawFinancials!J480),"",RawFinancials!J480)</f>
        <v>38194</v>
      </c>
      <c r="K480" s="0" t="n">
        <f aca="false">IF(ISBLANK(RawFinancials!K480),"",RawFinancials!K480)</f>
        <v>11822</v>
      </c>
      <c r="L480" s="0" t="n">
        <f aca="false">IF(ISBLANK(RawFinancials!L480),"",RawFinancials!L480)</f>
        <v>341837</v>
      </c>
      <c r="M480" s="0" t="n">
        <f aca="false">IF(ISBLANK(RawFinancials!M480),"",RawFinancials!M480)</f>
        <v>340430</v>
      </c>
      <c r="N480" s="0" t="n">
        <f aca="false">IF(ISBLANK(RawFinancials!N480),"",RawFinancials!N480)</f>
        <v>282409</v>
      </c>
      <c r="O480" s="0" t="n">
        <f aca="false">IF(ISBLANK(RawFinancials!O480),"",RawFinancials!O480)</f>
        <v>1168</v>
      </c>
      <c r="P480" s="0" t="str">
        <f aca="false">IF(ISBLANK(RawFinancials!P480),"",RawFinancials!P480)</f>
        <v>THE NATIONAL BANK OF MIDDLEBURY</v>
      </c>
      <c r="Q480" s="0" t="n">
        <f aca="false">IF(ISBLANK(RawFinancials!Q480),"",RawFinancials!Q480)</f>
        <v>0.460453373976486</v>
      </c>
      <c r="R480" s="0" t="n">
        <f aca="false">IF(ISBLANK(RawFinancials!R480),"",RawFinancials!R480)</f>
        <v>2.73703548739257</v>
      </c>
      <c r="S480" s="0" t="n">
        <f aca="false">IF(ISBLANK(RawFinancials!S480),"",RawFinancials!S480)</f>
        <v>0</v>
      </c>
      <c r="T480" s="0" t="n">
        <f aca="false">IF(ISBLANK(RawFinancials!T480),"",RawFinancials!T480)</f>
        <v>140</v>
      </c>
      <c r="U480" s="0" t="n">
        <f aca="false">IF(ISBLANK(RawFinancials!U480),"",RawFinancials!U480)</f>
        <v>406</v>
      </c>
      <c r="V480" s="0" t="n">
        <f aca="false">IF(ISBLANK(RawFinancials!V480),"",RawFinancials!V480)</f>
        <v>14.7583990455872</v>
      </c>
      <c r="W480" s="0" t="n">
        <f aca="false">IF(ISBLANK(RawFinancials!W480),"",RawFinancials!W480)</f>
        <v>20240331</v>
      </c>
      <c r="X480" s="0" t="n">
        <f aca="false">IF(ISBLANK(RawFinancials!X480),"",RawFinancials!X480)</f>
        <v>0.470857236620922</v>
      </c>
      <c r="Y480" s="0" t="n">
        <f aca="false">IF(ISBLANK(RawFinancials!Y480),"",RawFinancials!Y480)</f>
        <v>8.64</v>
      </c>
      <c r="Z480" s="0" t="str">
        <f aca="false">IF(ISBLANK(RawFinancials!Z480),"",RawFinancials!Z480)</f>
        <v>VT</v>
      </c>
      <c r="AA480" s="0" t="n">
        <f aca="false">RawFinancials!AA480</f>
        <v>1</v>
      </c>
      <c r="AB480" s="0" t="n">
        <f aca="false">RawFinancials!AB480</f>
        <v>1574</v>
      </c>
      <c r="AC480" s="0" t="n">
        <f aca="false">RawFinancials!AC480</f>
        <v>0.280684985493187</v>
      </c>
      <c r="AD480" s="0" t="n">
        <f aca="false">IF(L480&gt;0,100*N480/L480,"")</f>
        <v>82.615106030067</v>
      </c>
      <c r="AE480" s="0" t="n">
        <f aca="false">IF(B480&gt;0,100*F480/B480,"")</f>
        <v>5.40826825923595</v>
      </c>
      <c r="AF480" s="0" t="str">
        <f aca="false">RawFinancials!AE480</f>
        <v/>
      </c>
    </row>
    <row r="481" customFormat="false" ht="15" hidden="false" customHeight="false" outlineLevel="0" collapsed="false">
      <c r="A481" s="0" t="n">
        <f aca="false">IF(ISBLANK(RawFinancials!A481),"",RawFinancials!A481)</f>
        <v>481</v>
      </c>
      <c r="B481" s="0" t="n">
        <f aca="false">IF(ISBLANK(RawFinancials!B481),"",RawFinancials!B481)</f>
        <v>78008</v>
      </c>
      <c r="C481" s="0" t="n">
        <f aca="false">IF(ISBLANK(RawFinancials!C481),"",RawFinancials!C481)</f>
        <v>6280</v>
      </c>
      <c r="D481" s="0" t="n">
        <f aca="false">IF(ISBLANK(RawFinancials!D481),"",RawFinancials!D481)</f>
        <v>68177</v>
      </c>
      <c r="E481" s="0" t="n">
        <f aca="false">IF(ISBLANK(RawFinancials!E481),"",RawFinancials!E481)</f>
        <v>0.02</v>
      </c>
      <c r="F481" s="0" t="n">
        <f aca="false">IF(ISBLANK(RawFinancials!F481),"",RawFinancials!F481)</f>
        <v>9657</v>
      </c>
      <c r="G481" s="0" t="n">
        <f aca="false">IF(ISBLANK(RawFinancials!G481),"",RawFinancials!G481)</f>
        <v>12.3794995385089</v>
      </c>
      <c r="H481" s="0" t="str">
        <f aca="false">IF(ISBLANK(RawFinancials!H481),"",RawFinancials!H481)</f>
        <v>6280_20240331</v>
      </c>
      <c r="I481" s="0" t="n">
        <f aca="false">IF(ISBLANK(RawFinancials!I481),"",RawFinancials!I481)</f>
        <v>1.3355716662705</v>
      </c>
      <c r="J481" s="0" t="n">
        <f aca="false">IF(ISBLANK(RawFinancials!J481),"",RawFinancials!J481)</f>
        <v>4453</v>
      </c>
      <c r="K481" s="0" t="n">
        <f aca="false">IF(ISBLANK(RawFinancials!K481),"",RawFinancials!K481)</f>
        <v>1569</v>
      </c>
      <c r="L481" s="0" t="n">
        <f aca="false">IF(ISBLANK(RawFinancials!L481),"",RawFinancials!L481)</f>
        <v>67312</v>
      </c>
      <c r="M481" s="0" t="n">
        <f aca="false">IF(ISBLANK(RawFinancials!M481),"",RawFinancials!M481)</f>
        <v>66413</v>
      </c>
      <c r="N481" s="0" t="n">
        <f aca="false">IF(ISBLANK(RawFinancials!N481),"",RawFinancials!N481)</f>
        <v>59060</v>
      </c>
      <c r="O481" s="0" t="n">
        <f aca="false">IF(ISBLANK(RawFinancials!O481),"",RawFinancials!O481)</f>
        <v>1333</v>
      </c>
      <c r="P481" s="0" t="str">
        <f aca="false">IF(ISBLANK(RawFinancials!P481),"",RawFinancials!P481)</f>
        <v>THE FIRST NATIONAL BANK OF ORWELL</v>
      </c>
      <c r="Q481" s="0" t="n">
        <f aca="false">IF(ISBLANK(RawFinancials!Q481),"",RawFinancials!Q481)</f>
        <v>1.98033040171143</v>
      </c>
      <c r="R481" s="0" t="n">
        <f aca="false">IF(ISBLANK(RawFinancials!R481),"",RawFinancials!R481)</f>
        <v>4.7369521381701</v>
      </c>
      <c r="S481" s="0" t="n">
        <f aca="false">IF(ISBLANK(RawFinancials!S481),"",RawFinancials!S481)</f>
        <v>0</v>
      </c>
      <c r="T481" s="0" t="n">
        <f aca="false">IF(ISBLANK(RawFinancials!T481),"",RawFinancials!T481)</f>
        <v>398</v>
      </c>
      <c r="U481" s="0" t="n">
        <f aca="false">IF(ISBLANK(RawFinancials!U481),"",RawFinancials!U481)</f>
        <v>0</v>
      </c>
      <c r="V481" s="0" t="n">
        <f aca="false">IF(ISBLANK(RawFinancials!V481),"",RawFinancials!V481)</f>
        <v>0</v>
      </c>
      <c r="W481" s="0" t="n">
        <f aca="false">IF(ISBLANK(RawFinancials!W481),"",RawFinancials!W481)</f>
        <v>20240331</v>
      </c>
      <c r="X481" s="0" t="n">
        <f aca="false">IF(ISBLANK(RawFinancials!X481),"",RawFinancials!X481)</f>
        <v>1.43833520350913</v>
      </c>
      <c r="Y481" s="0" t="n">
        <f aca="false">IF(ISBLANK(RawFinancials!Y481),"",RawFinancials!Y481)</f>
        <v>11.85</v>
      </c>
      <c r="Z481" s="0" t="str">
        <f aca="false">IF(ISBLANK(RawFinancials!Z481),"",RawFinancials!Z481)</f>
        <v>VT</v>
      </c>
      <c r="AA481" s="0" t="n">
        <f aca="false">RawFinancials!AA481</f>
        <v>1</v>
      </c>
      <c r="AB481" s="0" t="n">
        <f aca="false">RawFinancials!AB481</f>
        <v>1333</v>
      </c>
      <c r="AC481" s="0" t="n">
        <f aca="false">RawFinancials!AC481</f>
        <v>1.70879909752846</v>
      </c>
      <c r="AD481" s="0" t="n">
        <f aca="false">IF(L481&gt;0,100*N481/L481,"")</f>
        <v>87.7406703113858</v>
      </c>
      <c r="AE481" s="0" t="n">
        <f aca="false">IF(B481&gt;0,100*F481/B481,"")</f>
        <v>12.3794995385089</v>
      </c>
      <c r="AF481" s="0" t="str">
        <f aca="false">RawFinancials!AE481</f>
        <v>原始0：需核实适用/报告口径</v>
      </c>
    </row>
    <row r="482" customFormat="false" ht="15" hidden="false" customHeight="false" outlineLevel="0" collapsed="false">
      <c r="A482" s="0" t="n">
        <f aca="false">IF(ISBLANK(RawFinancials!A482),"",RawFinancials!A482)</f>
        <v>482</v>
      </c>
      <c r="B482" s="0" t="n">
        <f aca="false">IF(ISBLANK(RawFinancials!B482),"",RawFinancials!B482)</f>
        <v>4030143</v>
      </c>
      <c r="C482" s="0" t="n">
        <f aca="false">IF(ISBLANK(RawFinancials!C482),"",RawFinancials!C482)</f>
        <v>11971</v>
      </c>
      <c r="D482" s="0" t="n">
        <f aca="false">IF(ISBLANK(RawFinancials!D482),"",RawFinancials!D482)</f>
        <v>3147483</v>
      </c>
      <c r="E482" s="0" t="n">
        <f aca="false">IF(ISBLANK(RawFinancials!E482),"",RawFinancials!E482)</f>
        <v>0.03</v>
      </c>
      <c r="F482" s="0" t="n">
        <f aca="false">IF(ISBLANK(RawFinancials!F482),"",RawFinancials!F482)</f>
        <v>493698</v>
      </c>
      <c r="G482" s="0" t="n">
        <f aca="false">IF(ISBLANK(RawFinancials!G482),"",RawFinancials!G482)</f>
        <v>12.2501360373565</v>
      </c>
      <c r="H482" s="0" t="str">
        <f aca="false">IF(ISBLANK(RawFinancials!H482),"",RawFinancials!H482)</f>
        <v>11971_20240630</v>
      </c>
      <c r="I482" s="0" t="n">
        <f aca="false">IF(ISBLANK(RawFinancials!I482),"",RawFinancials!I482)</f>
        <v>0.940491389231756</v>
      </c>
      <c r="J482" s="0" t="n">
        <f aca="false">IF(ISBLANK(RawFinancials!J482),"",RawFinancials!J482)</f>
        <v>217956</v>
      </c>
      <c r="K482" s="0" t="n">
        <f aca="false">IF(ISBLANK(RawFinancials!K482),"",RawFinancials!K482)</f>
        <v>8227</v>
      </c>
      <c r="L482" s="0" t="n">
        <f aca="false">IF(ISBLANK(RawFinancials!L482),"",RawFinancials!L482)</f>
        <v>3068077</v>
      </c>
      <c r="M482" s="0" t="n">
        <f aca="false">IF(ISBLANK(RawFinancials!M482),"",RawFinancials!M482)</f>
        <v>3039222</v>
      </c>
      <c r="N482" s="0" t="n">
        <f aca="false">IF(ISBLANK(RawFinancials!N482),"",RawFinancials!N482)</f>
        <v>2699076</v>
      </c>
      <c r="O482" s="0" t="n">
        <f aca="false">IF(ISBLANK(RawFinancials!O482),"",RawFinancials!O482)</f>
        <v>6276</v>
      </c>
      <c r="P482" s="0" t="str">
        <f aca="false">IF(ISBLANK(RawFinancials!P482),"",RawFinancials!P482)</f>
        <v>BAR HARBOR BANK &amp; TRUST</v>
      </c>
      <c r="Q482" s="0" t="n">
        <f aca="false">IF(ISBLANK(RawFinancials!Q482),"",RawFinancials!Q482)</f>
        <v>0.205666285428951</v>
      </c>
      <c r="R482" s="0" t="n">
        <f aca="false">IF(ISBLANK(RawFinancials!R482),"",RawFinancials!R482)</f>
        <v>3.22079982739227</v>
      </c>
      <c r="S482" s="0" t="n">
        <f aca="false">IF(ISBLANK(RawFinancials!S482),"",RawFinancials!S482)</f>
        <v>161</v>
      </c>
      <c r="T482" s="0" t="n">
        <f aca="false">IF(ISBLANK(RawFinancials!T482),"",RawFinancials!T482)</f>
        <v>1636</v>
      </c>
      <c r="U482" s="0" t="n">
        <f aca="false">IF(ISBLANK(RawFinancials!U482),"",RawFinancials!U482)</f>
        <v>34</v>
      </c>
      <c r="V482" s="0" t="n">
        <f aca="false">IF(ISBLANK(RawFinancials!V482),"",RawFinancials!V482)</f>
        <v>14.1219990069339</v>
      </c>
      <c r="W482" s="0" t="n">
        <f aca="false">IF(ISBLANK(RawFinancials!W482),"",RawFinancials!W482)</f>
        <v>20240630</v>
      </c>
      <c r="X482" s="0" t="n">
        <f aca="false">IF(ISBLANK(RawFinancials!X482),"",RawFinancials!X482)</f>
        <v>1.18607846053742</v>
      </c>
      <c r="Y482" s="0" t="n">
        <f aca="false">IF(ISBLANK(RawFinancials!Y482),"",RawFinancials!Y482)</f>
        <v>9.68</v>
      </c>
      <c r="Z482" s="0" t="str">
        <f aca="false">IF(ISBLANK(RawFinancials!Z482),"",RawFinancials!Z482)</f>
        <v>ME</v>
      </c>
      <c r="AA482" s="0" t="n">
        <f aca="false">RawFinancials!AA482</f>
        <v>1</v>
      </c>
      <c r="AB482" s="0" t="n">
        <f aca="false">RawFinancials!AB482</f>
        <v>6310</v>
      </c>
      <c r="AC482" s="0" t="n">
        <f aca="false">RawFinancials!AC482</f>
        <v>0.156570126667962</v>
      </c>
      <c r="AD482" s="0" t="n">
        <f aca="false">IF(L482&gt;0,100*N482/L482,"")</f>
        <v>87.9728898590225</v>
      </c>
      <c r="AE482" s="0" t="n">
        <f aca="false">IF(B482&gt;0,100*F482/B482,"")</f>
        <v>12.2501360373565</v>
      </c>
      <c r="AF482" s="0" t="str">
        <f aca="false">RawFinancials!AE482</f>
        <v/>
      </c>
    </row>
    <row r="483" customFormat="false" ht="15" hidden="false" customHeight="false" outlineLevel="0" collapsed="false">
      <c r="A483" s="0" t="n">
        <f aca="false">IF(ISBLANK(RawFinancials!A483),"",RawFinancials!A483)</f>
        <v>483</v>
      </c>
      <c r="B483" s="0" t="n">
        <f aca="false">IF(ISBLANK(RawFinancials!B483),"",RawFinancials!B483)</f>
        <v>1036850</v>
      </c>
      <c r="C483" s="0" t="n">
        <f aca="false">IF(ISBLANK(RawFinancials!C483),"",RawFinancials!C483)</f>
        <v>12874</v>
      </c>
      <c r="D483" s="0" t="n">
        <f aca="false">IF(ISBLANK(RawFinancials!D483),"",RawFinancials!D483)</f>
        <v>862144</v>
      </c>
      <c r="E483" s="0" t="n">
        <f aca="false">IF(ISBLANK(RawFinancials!E483),"",RawFinancials!E483)</f>
        <v>0</v>
      </c>
      <c r="F483" s="0" t="n">
        <f aca="false">IF(ISBLANK(RawFinancials!F483),"",RawFinancials!F483)</f>
        <v>108474</v>
      </c>
      <c r="G483" s="0" t="n">
        <f aca="false">IF(ISBLANK(RawFinancials!G483),"",RawFinancials!G483)</f>
        <v>10.4618797318802</v>
      </c>
      <c r="H483" s="0" t="str">
        <f aca="false">IF(ISBLANK(RawFinancials!H483),"",RawFinancials!H483)</f>
        <v>12874_20240630</v>
      </c>
      <c r="I483" s="0" t="n">
        <f aca="false">IF(ISBLANK(RawFinancials!I483),"",RawFinancials!I483)</f>
        <v>0.984456403258062</v>
      </c>
      <c r="J483" s="0" t="n">
        <f aca="false">IF(ISBLANK(RawFinancials!J483),"",RawFinancials!J483)</f>
        <v>156322</v>
      </c>
      <c r="K483" s="0" t="n">
        <f aca="false">IF(ISBLANK(RawFinancials!K483),"",RawFinancials!K483)</f>
        <v>5026</v>
      </c>
      <c r="L483" s="0" t="n">
        <f aca="false">IF(ISBLANK(RawFinancials!L483),"",RawFinancials!L483)</f>
        <v>815577</v>
      </c>
      <c r="M483" s="0" t="n">
        <f aca="false">IF(ISBLANK(RawFinancials!M483),"",RawFinancials!M483)</f>
        <v>807548</v>
      </c>
      <c r="N483" s="0" t="n">
        <f aca="false">IF(ISBLANK(RawFinancials!N483),"",RawFinancials!N483)</f>
        <v>639776</v>
      </c>
      <c r="O483" s="0" t="n">
        <f aca="false">IF(ISBLANK(RawFinancials!O483),"",RawFinancials!O483)</f>
        <v>1516</v>
      </c>
      <c r="P483" s="0" t="str">
        <f aca="false">IF(ISBLANK(RawFinancials!P483),"",RawFinancials!P483)</f>
        <v>KATAHDIN TRUST COMPANY</v>
      </c>
      <c r="Q483" s="0" t="n">
        <f aca="false">IF(ISBLANK(RawFinancials!Q483),"",RawFinancials!Q483)</f>
        <v>0.185880670985082</v>
      </c>
      <c r="R483" s="0" t="n">
        <f aca="false">IF(ISBLANK(RawFinancials!R483),"",RawFinancials!R483)</f>
        <v>3.63376838650805</v>
      </c>
      <c r="S483" s="0" t="n">
        <f aca="false">IF(ISBLANK(RawFinancials!S483),"",RawFinancials!S483)</f>
        <v>-27</v>
      </c>
      <c r="T483" s="0" t="n">
        <f aca="false">IF(ISBLANK(RawFinancials!T483),"",RawFinancials!T483)</f>
        <v>749</v>
      </c>
      <c r="U483" s="0" t="n">
        <f aca="false">IF(ISBLANK(RawFinancials!U483),"",RawFinancials!U483)</f>
        <v>0</v>
      </c>
      <c r="V483" s="0" t="n">
        <f aca="false">IF(ISBLANK(RawFinancials!V483),"",RawFinancials!V483)</f>
        <v>15.9291126336225</v>
      </c>
      <c r="W483" s="0" t="n">
        <f aca="false">IF(ISBLANK(RawFinancials!W483),"",RawFinancials!W483)</f>
        <v>20240630</v>
      </c>
      <c r="X483" s="0" t="n">
        <f aca="false">IF(ISBLANK(RawFinancials!X483),"",RawFinancials!X483)</f>
        <v>0.873634279818951</v>
      </c>
      <c r="Y483" s="0" t="n">
        <f aca="false">IF(ISBLANK(RawFinancials!Y483),"",RawFinancials!Y483)</f>
        <v>8.39</v>
      </c>
      <c r="Z483" s="0" t="str">
        <f aca="false">IF(ISBLANK(RawFinancials!Z483),"",RawFinancials!Z483)</f>
        <v>ME</v>
      </c>
      <c r="AA483" s="0" t="n">
        <f aca="false">RawFinancials!AA483</f>
        <v>1</v>
      </c>
      <c r="AB483" s="0" t="n">
        <f aca="false">RawFinancials!AB483</f>
        <v>1516</v>
      </c>
      <c r="AC483" s="0" t="n">
        <f aca="false">RawFinancials!AC483</f>
        <v>0.146212084679558</v>
      </c>
      <c r="AD483" s="0" t="n">
        <f aca="false">IF(L483&gt;0,100*N483/L483,"")</f>
        <v>78.4445858576198</v>
      </c>
      <c r="AE483" s="0" t="n">
        <f aca="false">IF(B483&gt;0,100*F483/B483,"")</f>
        <v>10.4618797318802</v>
      </c>
      <c r="AF483" s="0" t="str">
        <f aca="false">RawFinancials!AE483</f>
        <v/>
      </c>
    </row>
    <row r="484" customFormat="false" ht="15" hidden="false" customHeight="false" outlineLevel="0" collapsed="false">
      <c r="A484" s="0" t="n">
        <f aca="false">IF(ISBLANK(RawFinancials!A484),"",RawFinancials!A484)</f>
        <v>484</v>
      </c>
      <c r="B484" s="0" t="n">
        <f aca="false">IF(ISBLANK(RawFinancials!B484),"",RawFinancials!B484)</f>
        <v>1848882</v>
      </c>
      <c r="C484" s="0" t="n">
        <f aca="false">IF(ISBLANK(RawFinancials!C484),"",RawFinancials!C484)</f>
        <v>13063</v>
      </c>
      <c r="D484" s="0" t="n">
        <f aca="false">IF(ISBLANK(RawFinancials!D484),"",RawFinancials!D484)</f>
        <v>1607298</v>
      </c>
      <c r="E484" s="0" t="n">
        <f aca="false">IF(ISBLANK(RawFinancials!E484),"",RawFinancials!E484)</f>
        <v>0</v>
      </c>
      <c r="F484" s="0" t="n">
        <f aca="false">IF(ISBLANK(RawFinancials!F484),"",RawFinancials!F484)</f>
        <v>147977</v>
      </c>
      <c r="G484" s="0" t="n">
        <f aca="false">IF(ISBLANK(RawFinancials!G484),"",RawFinancials!G484)</f>
        <v>8.00359352300471</v>
      </c>
      <c r="H484" s="0" t="str">
        <f aca="false">IF(ISBLANK(RawFinancials!H484),"",RawFinancials!H484)</f>
        <v>13063_20240630</v>
      </c>
      <c r="I484" s="0" t="n">
        <f aca="false">IF(ISBLANK(RawFinancials!I484),"",RawFinancials!I484)</f>
        <v>1.12241046930303</v>
      </c>
      <c r="J484" s="0" t="n">
        <f aca="false">IF(ISBLANK(RawFinancials!J484),"",RawFinancials!J484)</f>
        <v>55491</v>
      </c>
      <c r="K484" s="0" t="n">
        <f aca="false">IF(ISBLANK(RawFinancials!K484),"",RawFinancials!K484)</f>
        <v>738</v>
      </c>
      <c r="L484" s="0" t="n">
        <f aca="false">IF(ISBLANK(RawFinancials!L484),"",RawFinancials!L484)</f>
        <v>1470585</v>
      </c>
      <c r="M484" s="0" t="n">
        <f aca="false">IF(ISBLANK(RawFinancials!M484),"",RawFinancials!M484)</f>
        <v>1454079</v>
      </c>
      <c r="N484" s="0" t="n">
        <f aca="false">IF(ISBLANK(RawFinancials!N484),"",RawFinancials!N484)</f>
        <v>1404637</v>
      </c>
      <c r="O484" s="0" t="n">
        <f aca="false">IF(ISBLANK(RawFinancials!O484),"",RawFinancials!O484)</f>
        <v>701</v>
      </c>
      <c r="P484" s="0" t="str">
        <f aca="false">IF(ISBLANK(RawFinancials!P484),"",RawFinancials!P484)</f>
        <v>KENNEBUNK SAVINGS BANK</v>
      </c>
      <c r="Q484" s="0" t="n">
        <f aca="false">IF(ISBLANK(RawFinancials!Q484),"",RawFinancials!Q484)</f>
        <v>0.0476681048698307</v>
      </c>
      <c r="R484" s="0" t="n">
        <f aca="false">IF(ISBLANK(RawFinancials!R484),"",RawFinancials!R484)</f>
        <v>2.96664932851109</v>
      </c>
      <c r="S484" s="0" t="n">
        <f aca="false">IF(ISBLANK(RawFinancials!S484),"",RawFinancials!S484)</f>
        <v>-17</v>
      </c>
      <c r="T484" s="0" t="n">
        <f aca="false">IF(ISBLANK(RawFinancials!T484),"",RawFinancials!T484)</f>
        <v>5182</v>
      </c>
      <c r="U484" s="0" t="n">
        <f aca="false">IF(ISBLANK(RawFinancials!U484),"",RawFinancials!U484)</f>
        <v>0</v>
      </c>
      <c r="V484" s="0" t="n">
        <f aca="false">IF(ISBLANK(RawFinancials!V484),"",RawFinancials!V484)</f>
        <v>0</v>
      </c>
      <c r="W484" s="0" t="n">
        <f aca="false">IF(ISBLANK(RawFinancials!W484),"",RawFinancials!W484)</f>
        <v>20240630</v>
      </c>
      <c r="X484" s="0" t="n">
        <f aca="false">IF(ISBLANK(RawFinancials!X484),"",RawFinancials!X484)</f>
        <v>0.367034339548908</v>
      </c>
      <c r="Y484" s="0" t="n">
        <f aca="false">IF(ISBLANK(RawFinancials!Y484),"",RawFinancials!Y484)</f>
        <v>4.6</v>
      </c>
      <c r="Z484" s="0" t="str">
        <f aca="false">IF(ISBLANK(RawFinancials!Z484),"",RawFinancials!Z484)</f>
        <v>ME</v>
      </c>
      <c r="AA484" s="0" t="n">
        <f aca="false">RawFinancials!AA484</f>
        <v>1</v>
      </c>
      <c r="AB484" s="0" t="n">
        <f aca="false">RawFinancials!AB484</f>
        <v>701</v>
      </c>
      <c r="AC484" s="0" t="n">
        <f aca="false">RawFinancials!AC484</f>
        <v>0.0379148047306426</v>
      </c>
      <c r="AD484" s="0" t="n">
        <f aca="false">IF(L484&gt;0,100*N484/L484,"")</f>
        <v>95.5155261341575</v>
      </c>
      <c r="AE484" s="0" t="n">
        <f aca="false">IF(B484&gt;0,100*F484/B484,"")</f>
        <v>8.00359352300471</v>
      </c>
      <c r="AF484" s="0" t="str">
        <f aca="false">RawFinancials!AE484</f>
        <v>原始0：需核实适用/报告口径</v>
      </c>
    </row>
    <row r="485" customFormat="false" ht="15" hidden="false" customHeight="false" outlineLevel="0" collapsed="false">
      <c r="A485" s="0" t="n">
        <f aca="false">IF(ISBLANK(RawFinancials!A485),"",RawFinancials!A485)</f>
        <v>485</v>
      </c>
      <c r="B485" s="0" t="n">
        <f aca="false">IF(ISBLANK(RawFinancials!B485),"",RawFinancials!B485)</f>
        <v>842999</v>
      </c>
      <c r="C485" s="0" t="n">
        <f aca="false">IF(ISBLANK(RawFinancials!C485),"",RawFinancials!C485)</f>
        <v>14134</v>
      </c>
      <c r="D485" s="0" t="n">
        <f aca="false">IF(ISBLANK(RawFinancials!D485),"",RawFinancials!D485)</f>
        <v>661992</v>
      </c>
      <c r="E485" s="0" t="n">
        <f aca="false">IF(ISBLANK(RawFinancials!E485),"",RawFinancials!E485)</f>
        <v>0.09</v>
      </c>
      <c r="F485" s="0" t="n">
        <f aca="false">IF(ISBLANK(RawFinancials!F485),"",RawFinancials!F485)</f>
        <v>108954</v>
      </c>
      <c r="G485" s="0" t="n">
        <f aca="false">IF(ISBLANK(RawFinancials!G485),"",RawFinancials!G485)</f>
        <v>12.9245704917799</v>
      </c>
      <c r="H485" s="0" t="str">
        <f aca="false">IF(ISBLANK(RawFinancials!H485),"",RawFinancials!H485)</f>
        <v>14134_20240630</v>
      </c>
      <c r="I485" s="0" t="n">
        <f aca="false">IF(ISBLANK(RawFinancials!I485),"",RawFinancials!I485)</f>
        <v>1.17521027903694</v>
      </c>
      <c r="J485" s="0" t="n">
        <f aca="false">IF(ISBLANK(RawFinancials!J485),"",RawFinancials!J485)</f>
        <v>25715</v>
      </c>
      <c r="K485" s="0" t="n">
        <f aca="false">IF(ISBLANK(RawFinancials!K485),"",RawFinancials!K485)</f>
        <v>23101</v>
      </c>
      <c r="L485" s="0" t="n">
        <f aca="false">IF(ISBLANK(RawFinancials!L485),"",RawFinancials!L485)</f>
        <v>629164</v>
      </c>
      <c r="M485" s="0" t="n">
        <f aca="false">IF(ISBLANK(RawFinancials!M485),"",RawFinancials!M485)</f>
        <v>621770</v>
      </c>
      <c r="N485" s="0" t="n">
        <f aca="false">IF(ISBLANK(RawFinancials!N485),"",RawFinancials!N485)</f>
        <v>563428</v>
      </c>
      <c r="O485" s="0" t="n">
        <f aca="false">IF(ISBLANK(RawFinancials!O485),"",RawFinancials!O485)</f>
        <v>9888</v>
      </c>
      <c r="P485" s="0" t="str">
        <f aca="false">IF(ISBLANK(RawFinancials!P485),"",RawFinancials!P485)</f>
        <v>PASSUMPSIC SAVINGS BANK</v>
      </c>
      <c r="Q485" s="0" t="n">
        <f aca="false">IF(ISBLANK(RawFinancials!Q485),"",RawFinancials!Q485)</f>
        <v>1.57160931013218</v>
      </c>
      <c r="R485" s="0" t="n">
        <f aca="false">IF(ISBLANK(RawFinancials!R485),"",RawFinancials!R485)</f>
        <v>3.05636859777717</v>
      </c>
      <c r="S485" s="0" t="n">
        <f aca="false">IF(ISBLANK(RawFinancials!S485),"",RawFinancials!S485)</f>
        <v>256</v>
      </c>
      <c r="T485" s="0" t="n">
        <f aca="false">IF(ISBLANK(RawFinancials!T485),"",RawFinancials!T485)</f>
        <v>4284</v>
      </c>
      <c r="U485" s="0" t="n">
        <f aca="false">IF(ISBLANK(RawFinancials!U485),"",RawFinancials!U485)</f>
        <v>0</v>
      </c>
      <c r="V485" s="0" t="n">
        <f aca="false">IF(ISBLANK(RawFinancials!V485),"",RawFinancials!V485)</f>
        <v>19.8068345450076</v>
      </c>
      <c r="W485" s="0" t="n">
        <f aca="false">IF(ISBLANK(RawFinancials!W485),"",RawFinancials!W485)</f>
        <v>20240630</v>
      </c>
      <c r="X485" s="0" t="n">
        <f aca="false">IF(ISBLANK(RawFinancials!X485),"",RawFinancials!X485)</f>
        <v>0.900954458964721</v>
      </c>
      <c r="Y485" s="0" t="n">
        <f aca="false">IF(ISBLANK(RawFinancials!Y485),"",RawFinancials!Y485)</f>
        <v>7.09</v>
      </c>
      <c r="Z485" s="0" t="str">
        <f aca="false">IF(ISBLANK(RawFinancials!Z485),"",RawFinancials!Z485)</f>
        <v>VT</v>
      </c>
      <c r="AA485" s="0" t="n">
        <f aca="false">RawFinancials!AA485</f>
        <v>1</v>
      </c>
      <c r="AB485" s="0" t="n">
        <f aca="false">RawFinancials!AB485</f>
        <v>9888</v>
      </c>
      <c r="AC485" s="0" t="n">
        <f aca="false">RawFinancials!AC485</f>
        <v>1.17295512806065</v>
      </c>
      <c r="AD485" s="0" t="n">
        <f aca="false">IF(L485&gt;0,100*N485/L485,"")</f>
        <v>89.5518497561844</v>
      </c>
      <c r="AE485" s="0" t="n">
        <f aca="false">IF(B485&gt;0,100*F485/B485,"")</f>
        <v>12.9245704917799</v>
      </c>
      <c r="AF485" s="0" t="str">
        <f aca="false">RawFinancials!AE485</f>
        <v/>
      </c>
    </row>
    <row r="486" customFormat="false" ht="15" hidden="false" customHeight="false" outlineLevel="0" collapsed="false">
      <c r="A486" s="0" t="n">
        <f aca="false">IF(ISBLANK(RawFinancials!A486),"",RawFinancials!A486)</f>
        <v>486</v>
      </c>
      <c r="B486" s="0" t="n">
        <f aca="false">IF(ISBLANK(RawFinancials!B486),"",RawFinancials!B486)</f>
        <v>234689</v>
      </c>
      <c r="C486" s="0" t="n">
        <f aca="false">IF(ISBLANK(RawFinancials!C486),"",RawFinancials!C486)</f>
        <v>14136</v>
      </c>
      <c r="D486" s="0" t="n">
        <f aca="false">IF(ISBLANK(RawFinancials!D486),"",RawFinancials!D486)</f>
        <v>196106</v>
      </c>
      <c r="E486" s="0" t="n">
        <f aca="false">IF(ISBLANK(RawFinancials!E486),"",RawFinancials!E486)</f>
        <v>-0.05</v>
      </c>
      <c r="F486" s="0" t="n">
        <f aca="false">IF(ISBLANK(RawFinancials!F486),"",RawFinancials!F486)</f>
        <v>18072</v>
      </c>
      <c r="G486" s="0" t="n">
        <f aca="false">IF(ISBLANK(RawFinancials!G486),"",RawFinancials!G486)</f>
        <v>7.70040351273387</v>
      </c>
      <c r="H486" s="0" t="str">
        <f aca="false">IF(ISBLANK(RawFinancials!H486),"",RawFinancials!H486)</f>
        <v>14136_20240630</v>
      </c>
      <c r="I486" s="0" t="n">
        <f aca="false">IF(ISBLANK(RawFinancials!I486),"",RawFinancials!I486)</f>
        <v>1.10004431001599</v>
      </c>
      <c r="J486" s="0" t="n">
        <f aca="false">IF(ISBLANK(RawFinancials!J486),"",RawFinancials!J486)</f>
        <v>15081</v>
      </c>
      <c r="K486" s="0" t="n">
        <f aca="false">IF(ISBLANK(RawFinancials!K486),"",RawFinancials!K486)</f>
        <v>14888</v>
      </c>
      <c r="L486" s="0" t="n">
        <f aca="false">IF(ISBLANK(RawFinancials!L486),"",RawFinancials!L486)</f>
        <v>155721</v>
      </c>
      <c r="M486" s="0" t="n">
        <f aca="false">IF(ISBLANK(RawFinancials!M486),"",RawFinancials!M486)</f>
        <v>154008</v>
      </c>
      <c r="N486" s="0" t="n">
        <f aca="false">IF(ISBLANK(RawFinancials!N486),"",RawFinancials!N486)</f>
        <v>125414</v>
      </c>
      <c r="O486" s="0" t="n">
        <f aca="false">IF(ISBLANK(RawFinancials!O486),"",RawFinancials!O486)</f>
        <v>483</v>
      </c>
      <c r="P486" s="0" t="str">
        <f aca="false">IF(ISBLANK(RawFinancials!P486),"",RawFinancials!P486)</f>
        <v>WELLS RIVER SAVINGS BANK</v>
      </c>
      <c r="Q486" s="0" t="n">
        <f aca="false">IF(ISBLANK(RawFinancials!Q486),"",RawFinancials!Q486)</f>
        <v>0.484199305167575</v>
      </c>
      <c r="R486" s="0" t="n">
        <f aca="false">IF(ISBLANK(RawFinancials!R486),"",RawFinancials!R486)</f>
        <v>3.75543484022213</v>
      </c>
      <c r="S486" s="0" t="n">
        <f aca="false">IF(ISBLANK(RawFinancials!S486),"",RawFinancials!S486)</f>
        <v>107</v>
      </c>
      <c r="T486" s="0" t="n">
        <f aca="false">IF(ISBLANK(RawFinancials!T486),"",RawFinancials!T486)</f>
        <v>1456</v>
      </c>
      <c r="U486" s="0" t="n">
        <f aca="false">IF(ISBLANK(RawFinancials!U486),"",RawFinancials!U486)</f>
        <v>271</v>
      </c>
      <c r="V486" s="0" t="n">
        <f aca="false">IF(ISBLANK(RawFinancials!V486),"",RawFinancials!V486)</f>
        <v>17.8729116356195</v>
      </c>
      <c r="W486" s="0" t="n">
        <f aca="false">IF(ISBLANK(RawFinancials!W486),"",RawFinancials!W486)</f>
        <v>20240630</v>
      </c>
      <c r="X486" s="0" t="n">
        <f aca="false">IF(ISBLANK(RawFinancials!X486),"",RawFinancials!X486)</f>
        <v>0.61382201704967</v>
      </c>
      <c r="Y486" s="0" t="n">
        <f aca="false">IF(ISBLANK(RawFinancials!Y486),"",RawFinancials!Y486)</f>
        <v>8.28</v>
      </c>
      <c r="Z486" s="0" t="str">
        <f aca="false">IF(ISBLANK(RawFinancials!Z486),"",RawFinancials!Z486)</f>
        <v>VT</v>
      </c>
      <c r="AA486" s="0" t="n">
        <f aca="false">RawFinancials!AA486</f>
        <v>1</v>
      </c>
      <c r="AB486" s="0" t="n">
        <f aca="false">RawFinancials!AB486</f>
        <v>754</v>
      </c>
      <c r="AC486" s="0" t="n">
        <f aca="false">RawFinancials!AC486</f>
        <v>0.321276242175816</v>
      </c>
      <c r="AD486" s="0" t="n">
        <f aca="false">IF(L486&gt;0,100*N486/L486,"")</f>
        <v>80.5376281940137</v>
      </c>
      <c r="AE486" s="0" t="n">
        <f aca="false">IF(B486&gt;0,100*F486/B486,"")</f>
        <v>7.70040351273387</v>
      </c>
      <c r="AF486" s="0" t="str">
        <f aca="false">RawFinancials!AE486</f>
        <v/>
      </c>
    </row>
    <row r="487" customFormat="false" ht="15" hidden="false" customHeight="false" outlineLevel="0" collapsed="false">
      <c r="A487" s="0" t="n">
        <f aca="false">IF(ISBLANK(RawFinancials!A487),"",RawFinancials!A487)</f>
        <v>487</v>
      </c>
      <c r="B487" s="0" t="n">
        <f aca="false">IF(ISBLANK(RawFinancials!B487),"",RawFinancials!B487)</f>
        <v>1498757</v>
      </c>
      <c r="C487" s="0" t="n">
        <f aca="false">IF(ISBLANK(RawFinancials!C487),"",RawFinancials!C487)</f>
        <v>14140</v>
      </c>
      <c r="D487" s="0" t="n">
        <f aca="false">IF(ISBLANK(RawFinancials!D487),"",RawFinancials!D487)</f>
        <v>1198797</v>
      </c>
      <c r="E487" s="0" t="n">
        <f aca="false">IF(ISBLANK(RawFinancials!E487),"",RawFinancials!E487)</f>
        <v>-0.07</v>
      </c>
      <c r="F487" s="0" t="n">
        <f aca="false">IF(ISBLANK(RawFinancials!F487),"",RawFinancials!F487)</f>
        <v>127558</v>
      </c>
      <c r="G487" s="0" t="n">
        <f aca="false">IF(ISBLANK(RawFinancials!G487),"",RawFinancials!G487)</f>
        <v>8.5109193818611</v>
      </c>
      <c r="H487" s="0" t="str">
        <f aca="false">IF(ISBLANK(RawFinancials!H487),"",RawFinancials!H487)</f>
        <v>14140_20240630</v>
      </c>
      <c r="I487" s="0" t="n">
        <f aca="false">IF(ISBLANK(RawFinancials!I487),"",RawFinancials!I487)</f>
        <v>0.795551451667741</v>
      </c>
      <c r="J487" s="0" t="n">
        <f aca="false">IF(ISBLANK(RawFinancials!J487),"",RawFinancials!J487)</f>
        <v>93355</v>
      </c>
      <c r="K487" s="0" t="n">
        <f aca="false">IF(ISBLANK(RawFinancials!K487),"",RawFinancials!K487)</f>
        <v>1569</v>
      </c>
      <c r="L487" s="0" t="n">
        <f aca="false">IF(ISBLANK(RawFinancials!L487),"",RawFinancials!L487)</f>
        <v>1076486</v>
      </c>
      <c r="M487" s="0" t="n">
        <f aca="false">IF(ISBLANK(RawFinancials!M487),"",RawFinancials!M487)</f>
        <v>1067922</v>
      </c>
      <c r="N487" s="0" t="n">
        <f aca="false">IF(ISBLANK(RawFinancials!N487),"",RawFinancials!N487)</f>
        <v>949990</v>
      </c>
      <c r="O487" s="0" t="n">
        <f aca="false">IF(ISBLANK(RawFinancials!O487),"",RawFinancials!O487)</f>
        <v>2046</v>
      </c>
      <c r="P487" s="0" t="str">
        <f aca="false">IF(ISBLANK(RawFinancials!P487),"",RawFinancials!P487)</f>
        <v>NORTHFIELD SAVINGS BANK</v>
      </c>
      <c r="Q487" s="0" t="n">
        <f aca="false">IF(ISBLANK(RawFinancials!Q487),"",RawFinancials!Q487)</f>
        <v>0.190062852652055</v>
      </c>
      <c r="R487" s="0" t="n">
        <f aca="false">IF(ISBLANK(RawFinancials!R487),"",RawFinancials!R487)</f>
        <v>2.37450563986306</v>
      </c>
      <c r="S487" s="0" t="n">
        <f aca="false">IF(ISBLANK(RawFinancials!S487),"",RawFinancials!S487)</f>
        <v>39</v>
      </c>
      <c r="T487" s="0" t="n">
        <f aca="false">IF(ISBLANK(RawFinancials!T487),"",RawFinancials!T487)</f>
        <v>23</v>
      </c>
      <c r="U487" s="0" t="n">
        <f aca="false">IF(ISBLANK(RawFinancials!U487),"",RawFinancials!U487)</f>
        <v>0</v>
      </c>
      <c r="V487" s="0" t="n">
        <f aca="false">IF(ISBLANK(RawFinancials!V487),"",RawFinancials!V487)</f>
        <v>0</v>
      </c>
      <c r="W487" s="0" t="n">
        <f aca="false">IF(ISBLANK(RawFinancials!W487),"",RawFinancials!W487)</f>
        <v>20240630</v>
      </c>
      <c r="X487" s="0" t="n">
        <f aca="false">IF(ISBLANK(RawFinancials!X487),"",RawFinancials!X487)</f>
        <v>0.291683814744817</v>
      </c>
      <c r="Y487" s="0" t="n">
        <f aca="false">IF(ISBLANK(RawFinancials!Y487),"",RawFinancials!Y487)</f>
        <v>3.46</v>
      </c>
      <c r="Z487" s="0" t="str">
        <f aca="false">IF(ISBLANK(RawFinancials!Z487),"",RawFinancials!Z487)</f>
        <v>VT</v>
      </c>
      <c r="AA487" s="0" t="n">
        <f aca="false">RawFinancials!AA487</f>
        <v>1</v>
      </c>
      <c r="AB487" s="0" t="n">
        <f aca="false">RawFinancials!AB487</f>
        <v>2046</v>
      </c>
      <c r="AC487" s="0" t="n">
        <f aca="false">RawFinancials!AC487</f>
        <v>0.136513123875318</v>
      </c>
      <c r="AD487" s="0" t="n">
        <f aca="false">IF(L487&gt;0,100*N487/L487,"")</f>
        <v>88.2491737003547</v>
      </c>
      <c r="AE487" s="0" t="n">
        <f aca="false">IF(B487&gt;0,100*F487/B487,"")</f>
        <v>8.5109193818611</v>
      </c>
      <c r="AF487" s="0" t="str">
        <f aca="false">RawFinancials!AE487</f>
        <v>原始0：需核实适用/报告口径</v>
      </c>
    </row>
    <row r="488" customFormat="false" ht="15" hidden="false" customHeight="false" outlineLevel="0" collapsed="false">
      <c r="A488" s="0" t="n">
        <f aca="false">IF(ISBLANK(RawFinancials!A488),"",RawFinancials!A488)</f>
        <v>488</v>
      </c>
      <c r="B488" s="0" t="n">
        <f aca="false">IF(ISBLANK(RawFinancials!B488),"",RawFinancials!B488)</f>
        <v>1397831</v>
      </c>
      <c r="C488" s="0" t="n">
        <f aca="false">IF(ISBLANK(RawFinancials!C488),"",RawFinancials!C488)</f>
        <v>14158</v>
      </c>
      <c r="D488" s="0" t="n">
        <f aca="false">IF(ISBLANK(RawFinancials!D488),"",RawFinancials!D488)</f>
        <v>1057053</v>
      </c>
      <c r="E488" s="0" t="n">
        <f aca="false">IF(ISBLANK(RawFinancials!E488),"",RawFinancials!E488)</f>
        <v>0.02</v>
      </c>
      <c r="F488" s="0" t="n">
        <f aca="false">IF(ISBLANK(RawFinancials!F488),"",RawFinancials!F488)</f>
        <v>80058</v>
      </c>
      <c r="G488" s="0" t="n">
        <f aca="false">IF(ISBLANK(RawFinancials!G488),"",RawFinancials!G488)</f>
        <v>5.72730179828606</v>
      </c>
      <c r="H488" s="0" t="str">
        <f aca="false">IF(ISBLANK(RawFinancials!H488),"",RawFinancials!H488)</f>
        <v>14158_20240630</v>
      </c>
      <c r="I488" s="0" t="n">
        <f aca="false">IF(ISBLANK(RawFinancials!I488),"",RawFinancials!I488)</f>
        <v>0.679686513946737</v>
      </c>
      <c r="J488" s="0" t="n">
        <f aca="false">IF(ISBLANK(RawFinancials!J488),"",RawFinancials!J488)</f>
        <v>40549</v>
      </c>
      <c r="K488" s="0" t="n">
        <f aca="false">IF(ISBLANK(RawFinancials!K488),"",RawFinancials!K488)</f>
        <v>2209</v>
      </c>
      <c r="L488" s="0" t="n">
        <f aca="false">IF(ISBLANK(RawFinancials!L488),"",RawFinancials!L488)</f>
        <v>1014144</v>
      </c>
      <c r="M488" s="0" t="n">
        <f aca="false">IF(ISBLANK(RawFinancials!M488),"",RawFinancials!M488)</f>
        <v>1007251</v>
      </c>
      <c r="N488" s="0" t="n">
        <f aca="false">IF(ISBLANK(RawFinancials!N488),"",RawFinancials!N488)</f>
        <v>936491</v>
      </c>
      <c r="O488" s="0" t="n">
        <f aca="false">IF(ISBLANK(RawFinancials!O488),"",RawFinancials!O488)</f>
        <v>1771</v>
      </c>
      <c r="P488" s="0" t="str">
        <f aca="false">IF(ISBLANK(RawFinancials!P488),"",RawFinancials!P488)</f>
        <v>UNION BANK</v>
      </c>
      <c r="Q488" s="0" t="n">
        <f aca="false">IF(ISBLANK(RawFinancials!Q488),"",RawFinancials!Q488)</f>
        <v>0.190111069039505</v>
      </c>
      <c r="R488" s="0" t="n">
        <f aca="false">IF(ISBLANK(RawFinancials!R488),"",RawFinancials!R488)</f>
        <v>2.84016956010422</v>
      </c>
      <c r="S488" s="0" t="n">
        <f aca="false">IF(ISBLANK(RawFinancials!S488),"",RawFinancials!S488)</f>
        <v>-11</v>
      </c>
      <c r="T488" s="0" t="n">
        <f aca="false">IF(ISBLANK(RawFinancials!T488),"",RawFinancials!T488)</f>
        <v>579</v>
      </c>
      <c r="U488" s="0" t="n">
        <f aca="false">IF(ISBLANK(RawFinancials!U488),"",RawFinancials!U488)</f>
        <v>157</v>
      </c>
      <c r="V488" s="0" t="n">
        <f aca="false">IF(ISBLANK(RawFinancials!V488),"",RawFinancials!V488)</f>
        <v>13.1336578060651</v>
      </c>
      <c r="W488" s="0" t="n">
        <f aca="false">IF(ISBLANK(RawFinancials!W488),"",RawFinancials!W488)</f>
        <v>20240630</v>
      </c>
      <c r="X488" s="0" t="n">
        <f aca="false">IF(ISBLANK(RawFinancials!X488),"",RawFinancials!X488)</f>
        <v>0.687930744662969</v>
      </c>
      <c r="Y488" s="0" t="n">
        <f aca="false">IF(ISBLANK(RawFinancials!Y488),"",RawFinancials!Y488)</f>
        <v>12.18</v>
      </c>
      <c r="Z488" s="0" t="str">
        <f aca="false">IF(ISBLANK(RawFinancials!Z488),"",RawFinancials!Z488)</f>
        <v>VT</v>
      </c>
      <c r="AA488" s="0" t="n">
        <f aca="false">RawFinancials!AA488</f>
        <v>1</v>
      </c>
      <c r="AB488" s="0" t="n">
        <f aca="false">RawFinancials!AB488</f>
        <v>1928</v>
      </c>
      <c r="AC488" s="0" t="n">
        <f aca="false">RawFinancials!AC488</f>
        <v>0.137927975556416</v>
      </c>
      <c r="AD488" s="0" t="n">
        <f aca="false">IF(L488&gt;0,100*N488/L488,"")</f>
        <v>92.3430005995204</v>
      </c>
      <c r="AE488" s="0" t="n">
        <f aca="false">IF(B488&gt;0,100*F488/B488,"")</f>
        <v>5.72730179828606</v>
      </c>
      <c r="AF488" s="0" t="str">
        <f aca="false">RawFinancials!AE488</f>
        <v/>
      </c>
    </row>
    <row r="489" customFormat="false" ht="15" hidden="false" customHeight="false" outlineLevel="0" collapsed="false">
      <c r="A489" s="0" t="n">
        <f aca="false">IF(ISBLANK(RawFinancials!A489),"",RawFinancials!A489)</f>
        <v>489</v>
      </c>
      <c r="B489" s="0" t="n">
        <f aca="false">IF(ISBLANK(RawFinancials!B489),"",RawFinancials!B489)</f>
        <v>371774</v>
      </c>
      <c r="C489" s="0" t="n">
        <f aca="false">IF(ISBLANK(RawFinancials!C489),"",RawFinancials!C489)</f>
        <v>14168</v>
      </c>
      <c r="D489" s="0" t="n">
        <f aca="false">IF(ISBLANK(RawFinancials!D489),"",RawFinancials!D489)</f>
        <v>330926</v>
      </c>
      <c r="E489" s="0" t="n">
        <f aca="false">IF(ISBLANK(RawFinancials!E489),"",RawFinancials!E489)</f>
        <v>0.07</v>
      </c>
      <c r="F489" s="0" t="n">
        <f aca="false">IF(ISBLANK(RawFinancials!F489),"",RawFinancials!F489)</f>
        <v>35832</v>
      </c>
      <c r="G489" s="0" t="n">
        <f aca="false">IF(ISBLANK(RawFinancials!G489),"",RawFinancials!G489)</f>
        <v>9.63811347754281</v>
      </c>
      <c r="H489" s="0" t="str">
        <f aca="false">IF(ISBLANK(RawFinancials!H489),"",RawFinancials!H489)</f>
        <v>14168_20240630</v>
      </c>
      <c r="I489" s="0" t="n">
        <f aca="false">IF(ISBLANK(RawFinancials!I489),"",RawFinancials!I489)</f>
        <v>1.56174320288932</v>
      </c>
      <c r="J489" s="0" t="n">
        <f aca="false">IF(ISBLANK(RawFinancials!J489),"",RawFinancials!J489)</f>
        <v>12486</v>
      </c>
      <c r="K489" s="0" t="n">
        <f aca="false">IF(ISBLANK(RawFinancials!K489),"",RawFinancials!K489)</f>
        <v>10566</v>
      </c>
      <c r="L489" s="0" t="n">
        <f aca="false">IF(ISBLANK(RawFinancials!L489),"",RawFinancials!L489)</f>
        <v>262207</v>
      </c>
      <c r="M489" s="0" t="n">
        <f aca="false">IF(ISBLANK(RawFinancials!M489),"",RawFinancials!M489)</f>
        <v>258112</v>
      </c>
      <c r="N489" s="0" t="n">
        <f aca="false">IF(ISBLANK(RawFinancials!N489),"",RawFinancials!N489)</f>
        <v>222296</v>
      </c>
      <c r="O489" s="0" t="n">
        <f aca="false">IF(ISBLANK(RawFinancials!O489),"",RawFinancials!O489)</f>
        <v>1042</v>
      </c>
      <c r="P489" s="0" t="str">
        <f aca="false">IF(ISBLANK(RawFinancials!P489),"",RawFinancials!P489)</f>
        <v>PEOPLES TRUST COMPANY OF ST. ALBANS</v>
      </c>
      <c r="Q489" s="0" t="n">
        <f aca="false">IF(ISBLANK(RawFinancials!Q489),"",RawFinancials!Q489)</f>
        <v>0.39777732859916</v>
      </c>
      <c r="R489" s="0" t="n">
        <f aca="false">IF(ISBLANK(RawFinancials!R489),"",RawFinancials!R489)</f>
        <v>4.04893048233613</v>
      </c>
      <c r="S489" s="0" t="n">
        <f aca="false">IF(ISBLANK(RawFinancials!S489),"",RawFinancials!S489)</f>
        <v>35</v>
      </c>
      <c r="T489" s="0" t="n">
        <f aca="false">IF(ISBLANK(RawFinancials!T489),"",RawFinancials!T489)</f>
        <v>415</v>
      </c>
      <c r="U489" s="0" t="n">
        <f aca="false">IF(ISBLANK(RawFinancials!U489),"",RawFinancials!U489)</f>
        <v>1</v>
      </c>
      <c r="V489" s="0" t="n">
        <f aca="false">IF(ISBLANK(RawFinancials!V489),"",RawFinancials!V489)</f>
        <v>16.1143275437546</v>
      </c>
      <c r="W489" s="0" t="n">
        <f aca="false">IF(ISBLANK(RawFinancials!W489),"",RawFinancials!W489)</f>
        <v>20240630</v>
      </c>
      <c r="X489" s="0" t="n">
        <f aca="false">IF(ISBLANK(RawFinancials!X489),"",RawFinancials!X489)</f>
        <v>0.916620469726825</v>
      </c>
      <c r="Y489" s="0" t="n">
        <f aca="false">IF(ISBLANK(RawFinancials!Y489),"",RawFinancials!Y489)</f>
        <v>9.42</v>
      </c>
      <c r="Z489" s="0" t="str">
        <f aca="false">IF(ISBLANK(RawFinancials!Z489),"",RawFinancials!Z489)</f>
        <v>VT</v>
      </c>
      <c r="AA489" s="0" t="n">
        <f aca="false">RawFinancials!AA489</f>
        <v>1</v>
      </c>
      <c r="AB489" s="0" t="n">
        <f aca="false">RawFinancials!AB489</f>
        <v>1043</v>
      </c>
      <c r="AC489" s="0" t="n">
        <f aca="false">RawFinancials!AC489</f>
        <v>0.280546783798759</v>
      </c>
      <c r="AD489" s="0" t="n">
        <f aca="false">IF(L489&gt;0,100*N489/L489,"")</f>
        <v>84.7788197874199</v>
      </c>
      <c r="AE489" s="0" t="n">
        <f aca="false">IF(B489&gt;0,100*F489/B489,"")</f>
        <v>9.63811347754281</v>
      </c>
      <c r="AF489" s="0" t="str">
        <f aca="false">RawFinancials!AE489</f>
        <v/>
      </c>
    </row>
    <row r="490" customFormat="false" ht="15" hidden="false" customHeight="false" outlineLevel="0" collapsed="false">
      <c r="A490" s="0" t="n">
        <f aca="false">IF(ISBLANK(RawFinancials!A490),"",RawFinancials!A490)</f>
        <v>490</v>
      </c>
      <c r="B490" s="0" t="n">
        <f aca="false">IF(ISBLANK(RawFinancials!B490),"",RawFinancials!B490)</f>
        <v>1270696</v>
      </c>
      <c r="C490" s="0" t="n">
        <f aca="false">IF(ISBLANK(RawFinancials!C490),"",RawFinancials!C490)</f>
        <v>14240</v>
      </c>
      <c r="D490" s="0" t="n">
        <f aca="false">IF(ISBLANK(RawFinancials!D490),"",RawFinancials!D490)</f>
        <v>1022140</v>
      </c>
      <c r="E490" s="0" t="n">
        <f aca="false">IF(ISBLANK(RawFinancials!E490),"",RawFinancials!E490)</f>
        <v>0</v>
      </c>
      <c r="F490" s="0" t="n">
        <f aca="false">IF(ISBLANK(RawFinancials!F490),"",RawFinancials!F490)</f>
        <v>88523</v>
      </c>
      <c r="G490" s="0" t="n">
        <f aca="false">IF(ISBLANK(RawFinancials!G490),"",RawFinancials!G490)</f>
        <v>6.96649710080145</v>
      </c>
      <c r="H490" s="0" t="str">
        <f aca="false">IF(ISBLANK(RawFinancials!H490),"",RawFinancials!H490)</f>
        <v>14240_20240630</v>
      </c>
      <c r="I490" s="0" t="n">
        <f aca="false">IF(ISBLANK(RawFinancials!I490),"",RawFinancials!I490)</f>
        <v>1.15043325284062</v>
      </c>
      <c r="J490" s="0" t="n">
        <f aca="false">IF(ISBLANK(RawFinancials!J490),"",RawFinancials!J490)</f>
        <v>30527</v>
      </c>
      <c r="K490" s="0" t="n">
        <f aca="false">IF(ISBLANK(RawFinancials!K490),"",RawFinancials!K490)</f>
        <v>14400</v>
      </c>
      <c r="L490" s="0" t="n">
        <f aca="false">IF(ISBLANK(RawFinancials!L490),"",RawFinancials!L490)</f>
        <v>930519</v>
      </c>
      <c r="M490" s="0" t="n">
        <f aca="false">IF(ISBLANK(RawFinancials!M490),"",RawFinancials!M490)</f>
        <v>919814</v>
      </c>
      <c r="N490" s="0" t="n">
        <f aca="false">IF(ISBLANK(RawFinancials!N490),"",RawFinancials!N490)</f>
        <v>787415</v>
      </c>
      <c r="O490" s="0" t="n">
        <f aca="false">IF(ISBLANK(RawFinancials!O490),"",RawFinancials!O490)</f>
        <v>3555</v>
      </c>
      <c r="P490" s="0" t="str">
        <f aca="false">IF(ISBLANK(RawFinancials!P490),"",RawFinancials!P490)</f>
        <v>NORTHWAY BANK</v>
      </c>
      <c r="Q490" s="0" t="n">
        <f aca="false">IF(ISBLANK(RawFinancials!Q490),"",RawFinancials!Q490)</f>
        <v>0.382044858836843</v>
      </c>
      <c r="R490" s="0" t="n">
        <f aca="false">IF(ISBLANK(RawFinancials!R490),"",RawFinancials!R490)</f>
        <v>2.71037129489864</v>
      </c>
      <c r="S490" s="0" t="n">
        <f aca="false">IF(ISBLANK(RawFinancials!S490),"",RawFinancials!S490)</f>
        <v>-9</v>
      </c>
      <c r="T490" s="0" t="n">
        <f aca="false">IF(ISBLANK(RawFinancials!T490),"",RawFinancials!T490)</f>
        <v>671</v>
      </c>
      <c r="U490" s="0" t="n">
        <f aca="false">IF(ISBLANK(RawFinancials!U490),"",RawFinancials!U490)</f>
        <v>0</v>
      </c>
      <c r="V490" s="0" t="n">
        <f aca="false">IF(ISBLANK(RawFinancials!V490),"",RawFinancials!V490)</f>
        <v>16.0006617207284</v>
      </c>
      <c r="W490" s="0" t="n">
        <f aca="false">IF(ISBLANK(RawFinancials!W490),"",RawFinancials!W490)</f>
        <v>20240630</v>
      </c>
      <c r="X490" s="0" t="n">
        <f aca="false">IF(ISBLANK(RawFinancials!X490),"",RawFinancials!X490)</f>
        <v>0.413870322740833</v>
      </c>
      <c r="Y490" s="0" t="n">
        <f aca="false">IF(ISBLANK(RawFinancials!Y490),"",RawFinancials!Y490)</f>
        <v>5.89</v>
      </c>
      <c r="Z490" s="0" t="str">
        <f aca="false">IF(ISBLANK(RawFinancials!Z490),"",RawFinancials!Z490)</f>
        <v>NH</v>
      </c>
      <c r="AA490" s="0" t="n">
        <f aca="false">RawFinancials!AA490</f>
        <v>1</v>
      </c>
      <c r="AB490" s="0" t="n">
        <f aca="false">RawFinancials!AB490</f>
        <v>3555</v>
      </c>
      <c r="AC490" s="0" t="n">
        <f aca="false">RawFinancials!AC490</f>
        <v>0.279767938200797</v>
      </c>
      <c r="AD490" s="0" t="n">
        <f aca="false">IF(L490&gt;0,100*N490/L490,"")</f>
        <v>84.6210555614662</v>
      </c>
      <c r="AE490" s="0" t="n">
        <f aca="false">IF(B490&gt;0,100*F490/B490,"")</f>
        <v>6.96649710080145</v>
      </c>
      <c r="AF490" s="0" t="str">
        <f aca="false">RawFinancials!AE490</f>
        <v/>
      </c>
    </row>
    <row r="491" customFormat="false" ht="15" hidden="false" customHeight="false" outlineLevel="0" collapsed="false">
      <c r="A491" s="0" t="n">
        <f aca="false">IF(ISBLANK(RawFinancials!A491),"",RawFinancials!A491)</f>
        <v>491</v>
      </c>
      <c r="B491" s="0" t="n">
        <f aca="false">IF(ISBLANK(RawFinancials!B491),"",RawFinancials!B491)</f>
        <v>1071403</v>
      </c>
      <c r="C491" s="0" t="n">
        <f aca="false">IF(ISBLANK(RawFinancials!C491),"",RawFinancials!C491)</f>
        <v>17115</v>
      </c>
      <c r="D491" s="0" t="n">
        <f aca="false">IF(ISBLANK(RawFinancials!D491),"",RawFinancials!D491)</f>
        <v>787661</v>
      </c>
      <c r="E491" s="0" t="n">
        <f aca="false">IF(ISBLANK(RawFinancials!E491),"",RawFinancials!E491)</f>
        <v>0.02</v>
      </c>
      <c r="F491" s="0" t="n">
        <f aca="false">IF(ISBLANK(RawFinancials!F491),"",RawFinancials!F491)</f>
        <v>89467</v>
      </c>
      <c r="G491" s="0" t="n">
        <f aca="false">IF(ISBLANK(RawFinancials!G491),"",RawFinancials!G491)</f>
        <v>8.35045263080279</v>
      </c>
      <c r="H491" s="0" t="str">
        <f aca="false">IF(ISBLANK(RawFinancials!H491),"",RawFinancials!H491)</f>
        <v>17115_20240630</v>
      </c>
      <c r="I491" s="0" t="n">
        <f aca="false">IF(ISBLANK(RawFinancials!I491),"",RawFinancials!I491)</f>
        <v>1.00108309873653</v>
      </c>
      <c r="J491" s="0" t="n">
        <f aca="false">IF(ISBLANK(RawFinancials!J491),"",RawFinancials!J491)</f>
        <v>41618</v>
      </c>
      <c r="K491" s="0" t="n">
        <f aca="false">IF(ISBLANK(RawFinancials!K491),"",RawFinancials!K491)</f>
        <v>7168</v>
      </c>
      <c r="L491" s="0" t="n">
        <f aca="false">IF(ISBLANK(RawFinancials!L491),"",RawFinancials!L491)</f>
        <v>893732</v>
      </c>
      <c r="M491" s="0" t="n">
        <f aca="false">IF(ISBLANK(RawFinancials!M491),"",RawFinancials!M491)</f>
        <v>884785</v>
      </c>
      <c r="N491" s="0" t="n">
        <f aca="false">IF(ISBLANK(RawFinancials!N491),"",RawFinancials!N491)</f>
        <v>843758</v>
      </c>
      <c r="O491" s="0" t="n">
        <f aca="false">IF(ISBLANK(RawFinancials!O491),"",RawFinancials!O491)</f>
        <v>2433</v>
      </c>
      <c r="P491" s="0" t="str">
        <f aca="false">IF(ISBLANK(RawFinancials!P491),"",RawFinancials!P491)</f>
        <v>PARTNERS BANK OF NEW ENGLAND</v>
      </c>
      <c r="Q491" s="0" t="n">
        <f aca="false">IF(ISBLANK(RawFinancials!Q491),"",RawFinancials!Q491)</f>
        <v>0.272229258882976</v>
      </c>
      <c r="R491" s="0" t="n">
        <f aca="false">IF(ISBLANK(RawFinancials!R491),"",RawFinancials!R491)</f>
        <v>2.58286310414264</v>
      </c>
      <c r="S491" s="0" t="n">
        <f aca="false">IF(ISBLANK(RawFinancials!S491),"",RawFinancials!S491)</f>
        <v>47</v>
      </c>
      <c r="T491" s="0" t="n">
        <f aca="false">IF(ISBLANK(RawFinancials!T491),"",RawFinancials!T491)</f>
        <v>414</v>
      </c>
      <c r="U491" s="0" t="n">
        <f aca="false">IF(ISBLANK(RawFinancials!U491),"",RawFinancials!U491)</f>
        <v>0</v>
      </c>
      <c r="V491" s="0" t="n">
        <f aca="false">IF(ISBLANK(RawFinancials!V491),"",RawFinancials!V491)</f>
        <v>14.2345042759811</v>
      </c>
      <c r="W491" s="0" t="n">
        <f aca="false">IF(ISBLANK(RawFinancials!W491),"",RawFinancials!W491)</f>
        <v>20240630</v>
      </c>
      <c r="X491" s="0" t="n">
        <f aca="false">IF(ISBLANK(RawFinancials!X491),"",RawFinancials!X491)</f>
        <v>0.369675963044738</v>
      </c>
      <c r="Y491" s="0" t="n">
        <f aca="false">IF(ISBLANK(RawFinancials!Y491),"",RawFinancials!Y491)</f>
        <v>4.52</v>
      </c>
      <c r="Z491" s="0" t="str">
        <f aca="false">IF(ISBLANK(RawFinancials!Z491),"",RawFinancials!Z491)</f>
        <v>ME</v>
      </c>
      <c r="AA491" s="0" t="n">
        <f aca="false">RawFinancials!AA491</f>
        <v>1</v>
      </c>
      <c r="AB491" s="0" t="n">
        <f aca="false">RawFinancials!AB491</f>
        <v>2433</v>
      </c>
      <c r="AC491" s="0" t="n">
        <f aca="false">RawFinancials!AC491</f>
        <v>0.227085419772019</v>
      </c>
      <c r="AD491" s="0" t="n">
        <f aca="false">IF(L491&gt;0,100*N491/L491,"")</f>
        <v>94.4083908822779</v>
      </c>
      <c r="AE491" s="0" t="n">
        <f aca="false">IF(B491&gt;0,100*F491/B491,"")</f>
        <v>8.35045263080279</v>
      </c>
      <c r="AF491" s="0" t="str">
        <f aca="false">RawFinancials!AE491</f>
        <v/>
      </c>
    </row>
    <row r="492" customFormat="false" ht="15" hidden="false" customHeight="false" outlineLevel="0" collapsed="false">
      <c r="A492" s="0" t="n">
        <f aca="false">IF(ISBLANK(RawFinancials!A492),"",RawFinancials!A492)</f>
        <v>492</v>
      </c>
      <c r="B492" s="0" t="n">
        <f aca="false">IF(ISBLANK(RawFinancials!B492),"",RawFinancials!B492)</f>
        <v>1640511</v>
      </c>
      <c r="C492" s="0" t="n">
        <f aca="false">IF(ISBLANK(RawFinancials!C492),"",RawFinancials!C492)</f>
        <v>17180</v>
      </c>
      <c r="D492" s="0" t="n">
        <f aca="false">IF(ISBLANK(RawFinancials!D492),"",RawFinancials!D492)</f>
        <v>1189680</v>
      </c>
      <c r="E492" s="0" t="n">
        <f aca="false">IF(ISBLANK(RawFinancials!E492),"",RawFinancials!E492)</f>
        <v>0.09</v>
      </c>
      <c r="F492" s="0" t="n">
        <f aca="false">IF(ISBLANK(RawFinancials!F492),"",RawFinancials!F492)</f>
        <v>139135</v>
      </c>
      <c r="G492" s="0" t="n">
        <f aca="false">IF(ISBLANK(RawFinancials!G492),"",RawFinancials!G492)</f>
        <v>8.48119884596934</v>
      </c>
      <c r="H492" s="0" t="str">
        <f aca="false">IF(ISBLANK(RawFinancials!H492),"",RawFinancials!H492)</f>
        <v>17180_20240630</v>
      </c>
      <c r="I492" s="0" t="n">
        <f aca="false">IF(ISBLANK(RawFinancials!I492),"",RawFinancials!I492)</f>
        <v>1.01977570413492</v>
      </c>
      <c r="J492" s="0" t="n">
        <f aca="false">IF(ISBLANK(RawFinancials!J492),"",RawFinancials!J492)</f>
        <v>42253</v>
      </c>
      <c r="K492" s="0" t="n">
        <f aca="false">IF(ISBLANK(RawFinancials!K492),"",RawFinancials!K492)</f>
        <v>177428</v>
      </c>
      <c r="L492" s="0" t="n">
        <f aca="false">IF(ISBLANK(RawFinancials!L492),"",RawFinancials!L492)</f>
        <v>1460125</v>
      </c>
      <c r="M492" s="0" t="n">
        <f aca="false">IF(ISBLANK(RawFinancials!M492),"",RawFinancials!M492)</f>
        <v>1445235</v>
      </c>
      <c r="N492" s="0" t="n">
        <f aca="false">IF(ISBLANK(RawFinancials!N492),"",RawFinancials!N492)</f>
        <v>1213990</v>
      </c>
      <c r="O492" s="0" t="n">
        <f aca="false">IF(ISBLANK(RawFinancials!O492),"",RawFinancials!O492)</f>
        <v>5092</v>
      </c>
      <c r="P492" s="0" t="str">
        <f aca="false">IF(ISBLANK(RawFinancials!P492),"",RawFinancials!P492)</f>
        <v>MEREDITH VILLAGE SAVINGS BANK</v>
      </c>
      <c r="Q492" s="0" t="n">
        <f aca="false">IF(ISBLANK(RawFinancials!Q492),"",RawFinancials!Q492)</f>
        <v>0.348737265645065</v>
      </c>
      <c r="R492" s="0" t="n">
        <f aca="false">IF(ISBLANK(RawFinancials!R492),"",RawFinancials!R492)</f>
        <v>2.63148893135731</v>
      </c>
      <c r="S492" s="0" t="n">
        <f aca="false">IF(ISBLANK(RawFinancials!S492),"",RawFinancials!S492)</f>
        <v>29</v>
      </c>
      <c r="T492" s="0" t="n">
        <f aca="false">IF(ISBLANK(RawFinancials!T492),"",RawFinancials!T492)</f>
        <v>3256</v>
      </c>
      <c r="U492" s="0" t="n">
        <f aca="false">IF(ISBLANK(RawFinancials!U492),"",RawFinancials!U492)</f>
        <v>0</v>
      </c>
      <c r="V492" s="0" t="n">
        <f aca="false">IF(ISBLANK(RawFinancials!V492),"",RawFinancials!V492)</f>
        <v>14.6981446942181</v>
      </c>
      <c r="W492" s="0" t="n">
        <f aca="false">IF(ISBLANK(RawFinancials!W492),"",RawFinancials!W492)</f>
        <v>20240630</v>
      </c>
      <c r="X492" s="0" t="n">
        <f aca="false">IF(ISBLANK(RawFinancials!X492),"",RawFinancials!X492)</f>
        <v>0.39737401699871</v>
      </c>
      <c r="Y492" s="0" t="n">
        <f aca="false">IF(ISBLANK(RawFinancials!Y492),"",RawFinancials!Y492)</f>
        <v>4.74</v>
      </c>
      <c r="Z492" s="0" t="str">
        <f aca="false">IF(ISBLANK(RawFinancials!Z492),"",RawFinancials!Z492)</f>
        <v>NH</v>
      </c>
      <c r="AA492" s="0" t="n">
        <f aca="false">RawFinancials!AA492</f>
        <v>1</v>
      </c>
      <c r="AB492" s="0" t="n">
        <f aca="false">RawFinancials!AB492</f>
        <v>5092</v>
      </c>
      <c r="AC492" s="0" t="n">
        <f aca="false">RawFinancials!AC492</f>
        <v>0.310391091556228</v>
      </c>
      <c r="AD492" s="0" t="n">
        <f aca="false">IF(L492&gt;0,100*N492/L492,"")</f>
        <v>83.1428816026025</v>
      </c>
      <c r="AE492" s="0" t="n">
        <f aca="false">IF(B492&gt;0,100*F492/B492,"")</f>
        <v>8.48119884596933</v>
      </c>
      <c r="AF492" s="0" t="str">
        <f aca="false">RawFinancials!AE492</f>
        <v/>
      </c>
    </row>
    <row r="493" customFormat="false" ht="15" hidden="false" customHeight="false" outlineLevel="0" collapsed="false">
      <c r="A493" s="0" t="n">
        <f aca="false">IF(ISBLANK(RawFinancials!A493),"",RawFinancials!A493)</f>
        <v>493</v>
      </c>
      <c r="B493" s="0" t="n">
        <f aca="false">IF(ISBLANK(RawFinancials!B493),"",RawFinancials!B493)</f>
        <v>365097</v>
      </c>
      <c r="C493" s="0" t="n">
        <f aca="false">IF(ISBLANK(RawFinancials!C493),"",RawFinancials!C493)</f>
        <v>17443</v>
      </c>
      <c r="D493" s="0" t="n">
        <f aca="false">IF(ISBLANK(RawFinancials!D493),"",RawFinancials!D493)</f>
        <v>300117</v>
      </c>
      <c r="E493" s="0" t="n">
        <f aca="false">IF(ISBLANK(RawFinancials!E493),"",RawFinancials!E493)</f>
        <v>-0.07</v>
      </c>
      <c r="F493" s="0" t="n">
        <f aca="false">IF(ISBLANK(RawFinancials!F493),"",RawFinancials!F493)</f>
        <v>38871</v>
      </c>
      <c r="G493" s="0" t="n">
        <f aca="false">IF(ISBLANK(RawFinancials!G493),"",RawFinancials!G493)</f>
        <v>10.6467596282632</v>
      </c>
      <c r="H493" s="0" t="str">
        <f aca="false">IF(ISBLANK(RawFinancials!H493),"",RawFinancials!H493)</f>
        <v>17443_20240630</v>
      </c>
      <c r="I493" s="0" t="n">
        <f aca="false">IF(ISBLANK(RawFinancials!I493),"",RawFinancials!I493)</f>
        <v>0.793698275002493</v>
      </c>
      <c r="J493" s="0" t="n">
        <f aca="false">IF(ISBLANK(RawFinancials!J493),"",RawFinancials!J493)</f>
        <v>0</v>
      </c>
      <c r="K493" s="0" t="n">
        <f aca="false">IF(ISBLANK(RawFinancials!K493),"",RawFinancials!K493)</f>
        <v>675</v>
      </c>
      <c r="L493" s="0" t="n">
        <f aca="false">IF(ISBLANK(RawFinancials!L493),"",RawFinancials!L493)</f>
        <v>200580</v>
      </c>
      <c r="M493" s="0" t="n">
        <f aca="false">IF(ISBLANK(RawFinancials!M493),"",RawFinancials!M493)</f>
        <v>198988</v>
      </c>
      <c r="N493" s="0" t="n">
        <f aca="false">IF(ISBLANK(RawFinancials!N493),"",RawFinancials!N493)</f>
        <v>198905</v>
      </c>
      <c r="O493" s="0" t="n">
        <f aca="false">IF(ISBLANK(RawFinancials!O493),"",RawFinancials!O493)</f>
        <v>1042</v>
      </c>
      <c r="P493" s="0" t="str">
        <f aca="false">IF(ISBLANK(RawFinancials!P493),"",RawFinancials!P493)</f>
        <v>PISCATAQUA SAVINGS BANK</v>
      </c>
      <c r="Q493" s="0" t="n">
        <f aca="false">IF(ISBLANK(RawFinancials!Q493),"",RawFinancials!Q493)</f>
        <v>0.519493468940074</v>
      </c>
      <c r="R493" s="0" t="n">
        <f aca="false">IF(ISBLANK(RawFinancials!R493),"",RawFinancials!R493)</f>
        <v>1.18436879928444</v>
      </c>
      <c r="S493" s="0" t="n">
        <f aca="false">IF(ISBLANK(RawFinancials!S493),"",RawFinancials!S493)</f>
        <v>0</v>
      </c>
      <c r="T493" s="0" t="n">
        <f aca="false">IF(ISBLANK(RawFinancials!T493),"",RawFinancials!T493)</f>
        <v>375</v>
      </c>
      <c r="U493" s="0" t="n">
        <f aca="false">IF(ISBLANK(RawFinancials!U493),"",RawFinancials!U493)</f>
        <v>0</v>
      </c>
      <c r="V493" s="0" t="n">
        <f aca="false">IF(ISBLANK(RawFinancials!V493),"",RawFinancials!V493)</f>
        <v>0</v>
      </c>
      <c r="W493" s="0" t="n">
        <f aca="false">IF(ISBLANK(RawFinancials!W493),"",RawFinancials!W493)</f>
        <v>20240630</v>
      </c>
      <c r="X493" s="0" t="n">
        <f aca="false">IF(ISBLANK(RawFinancials!X493),"",RawFinancials!X493)</f>
        <v>-0.190207341097617</v>
      </c>
      <c r="Y493" s="0" t="n">
        <f aca="false">IF(ISBLANK(RawFinancials!Y493),"",RawFinancials!Y493)</f>
        <v>-1.71</v>
      </c>
      <c r="Z493" s="0" t="str">
        <f aca="false">IF(ISBLANK(RawFinancials!Z493),"",RawFinancials!Z493)</f>
        <v>NH</v>
      </c>
      <c r="AA493" s="0" t="n">
        <f aca="false">RawFinancials!AA493</f>
        <v>1</v>
      </c>
      <c r="AB493" s="0" t="n">
        <f aca="false">RawFinancials!AB493</f>
        <v>1042</v>
      </c>
      <c r="AC493" s="0" t="n">
        <f aca="false">RawFinancials!AC493</f>
        <v>0.285403605069338</v>
      </c>
      <c r="AD493" s="0" t="n">
        <f aca="false">IF(L493&gt;0,100*N493/L493,"")</f>
        <v>99.1649217269917</v>
      </c>
      <c r="AE493" s="0" t="n">
        <f aca="false">IF(B493&gt;0,100*F493/B493,"")</f>
        <v>10.6467596282632</v>
      </c>
      <c r="AF493" s="0" t="str">
        <f aca="false">RawFinancials!AE493</f>
        <v>原始0：需核实适用/报告口径</v>
      </c>
    </row>
    <row r="494" customFormat="false" ht="15" hidden="false" customHeight="false" outlineLevel="0" collapsed="false">
      <c r="A494" s="0" t="n">
        <f aca="false">IF(ISBLANK(RawFinancials!A494),"",RawFinancials!A494)</f>
        <v>494</v>
      </c>
      <c r="B494" s="0" t="n">
        <f aca="false">IF(ISBLANK(RawFinancials!B494),"",RawFinancials!B494)</f>
        <v>1912692</v>
      </c>
      <c r="C494" s="0" t="n">
        <f aca="false">IF(ISBLANK(RawFinancials!C494),"",RawFinancials!C494)</f>
        <v>17658</v>
      </c>
      <c r="D494" s="0" t="n">
        <f aca="false">IF(ISBLANK(RawFinancials!D494),"",RawFinancials!D494)</f>
        <v>1503955</v>
      </c>
      <c r="E494" s="0" t="n">
        <f aca="false">IF(ISBLANK(RawFinancials!E494),"",RawFinancials!E494)</f>
        <v>0.06</v>
      </c>
      <c r="F494" s="0" t="n">
        <f aca="false">IF(ISBLANK(RawFinancials!F494),"",RawFinancials!F494)</f>
        <v>211101</v>
      </c>
      <c r="G494" s="0" t="n">
        <f aca="false">IF(ISBLANK(RawFinancials!G494),"",RawFinancials!G494)</f>
        <v>11.0368527708591</v>
      </c>
      <c r="H494" s="0" t="str">
        <f aca="false">IF(ISBLANK(RawFinancials!H494),"",RawFinancials!H494)</f>
        <v>17658_20240630</v>
      </c>
      <c r="I494" s="0" t="n">
        <f aca="false">IF(ISBLANK(RawFinancials!I494),"",RawFinancials!I494)</f>
        <v>0.700689302550412</v>
      </c>
      <c r="J494" s="0" t="n">
        <f aca="false">IF(ISBLANK(RawFinancials!J494),"",RawFinancials!J494)</f>
        <v>108864</v>
      </c>
      <c r="K494" s="0" t="n">
        <f aca="false">IF(ISBLANK(RawFinancials!K494),"",RawFinancials!K494)</f>
        <v>79908</v>
      </c>
      <c r="L494" s="0" t="n">
        <f aca="false">IF(ISBLANK(RawFinancials!L494),"",RawFinancials!L494)</f>
        <v>1361231</v>
      </c>
      <c r="M494" s="0" t="n">
        <f aca="false">IF(ISBLANK(RawFinancials!M494),"",RawFinancials!M494)</f>
        <v>1351693</v>
      </c>
      <c r="N494" s="0" t="n">
        <f aca="false">IF(ISBLANK(RawFinancials!N494),"",RawFinancials!N494)</f>
        <v>1158750</v>
      </c>
      <c r="O494" s="0" t="n">
        <f aca="false">IF(ISBLANK(RawFinancials!O494),"",RawFinancials!O494)</f>
        <v>10806</v>
      </c>
      <c r="P494" s="0" t="str">
        <f aca="false">IF(ISBLANK(RawFinancials!P494),"",RawFinancials!P494)</f>
        <v>NORWAY SAVINGS BANK</v>
      </c>
      <c r="Q494" s="0" t="n">
        <f aca="false">IF(ISBLANK(RawFinancials!Q494),"",RawFinancials!Q494)</f>
        <v>0.794942225088908</v>
      </c>
      <c r="R494" s="0" t="n">
        <f aca="false">IF(ISBLANK(RawFinancials!R494),"",RawFinancials!R494)</f>
        <v>3.04141628372805</v>
      </c>
      <c r="S494" s="0" t="n">
        <f aca="false">IF(ISBLANK(RawFinancials!S494),"",RawFinancials!S494)</f>
        <v>-110</v>
      </c>
      <c r="T494" s="0" t="n">
        <f aca="false">IF(ISBLANK(RawFinancials!T494),"",RawFinancials!T494)</f>
        <v>2245</v>
      </c>
      <c r="U494" s="0" t="n">
        <f aca="false">IF(ISBLANK(RawFinancials!U494),"",RawFinancials!U494)</f>
        <v>15</v>
      </c>
      <c r="V494" s="0" t="n">
        <f aca="false">IF(ISBLANK(RawFinancials!V494),"",RawFinancials!V494)</f>
        <v>0</v>
      </c>
      <c r="W494" s="0" t="n">
        <f aca="false">IF(ISBLANK(RawFinancials!W494),"",RawFinancials!W494)</f>
        <v>20240630</v>
      </c>
      <c r="X494" s="0" t="n">
        <f aca="false">IF(ISBLANK(RawFinancials!X494),"",RawFinancials!X494)</f>
        <v>0.777361795851378</v>
      </c>
      <c r="Y494" s="0" t="n">
        <f aca="false">IF(ISBLANK(RawFinancials!Y494),"",RawFinancials!Y494)</f>
        <v>6.99</v>
      </c>
      <c r="Z494" s="0" t="str">
        <f aca="false">IF(ISBLANK(RawFinancials!Z494),"",RawFinancials!Z494)</f>
        <v>ME</v>
      </c>
      <c r="AA494" s="0" t="n">
        <f aca="false">RawFinancials!AA494</f>
        <v>1</v>
      </c>
      <c r="AB494" s="0" t="n">
        <f aca="false">RawFinancials!AB494</f>
        <v>10821</v>
      </c>
      <c r="AC494" s="0" t="n">
        <f aca="false">RawFinancials!AC494</f>
        <v>0.56574712499451</v>
      </c>
      <c r="AD494" s="0" t="n">
        <f aca="false">IF(L494&gt;0,100*N494/L494,"")</f>
        <v>85.1251550985836</v>
      </c>
      <c r="AE494" s="0" t="n">
        <f aca="false">IF(B494&gt;0,100*F494/B494,"")</f>
        <v>11.0368527708591</v>
      </c>
      <c r="AF494" s="0" t="str">
        <f aca="false">RawFinancials!AE494</f>
        <v>原始0：需核实适用/报告口径</v>
      </c>
    </row>
    <row r="495" customFormat="false" ht="15" hidden="false" customHeight="false" outlineLevel="0" collapsed="false">
      <c r="A495" s="0" t="n">
        <f aca="false">IF(ISBLANK(RawFinancials!A495),"",RawFinancials!A495)</f>
        <v>495</v>
      </c>
      <c r="B495" s="0" t="n">
        <f aca="false">IF(ISBLANK(RawFinancials!B495),"",RawFinancials!B495)</f>
        <v>1160635</v>
      </c>
      <c r="C495" s="0" t="n">
        <f aca="false">IF(ISBLANK(RawFinancials!C495),"",RawFinancials!C495)</f>
        <v>17741</v>
      </c>
      <c r="D495" s="0" t="n">
        <f aca="false">IF(ISBLANK(RawFinancials!D495),"",RawFinancials!D495)</f>
        <v>863648</v>
      </c>
      <c r="E495" s="0" t="n">
        <f aca="false">IF(ISBLANK(RawFinancials!E495),"",RawFinancials!E495)</f>
        <v>0.06</v>
      </c>
      <c r="F495" s="0" t="n">
        <f aca="false">IF(ISBLANK(RawFinancials!F495),"",RawFinancials!F495)</f>
        <v>141966</v>
      </c>
      <c r="G495" s="0" t="n">
        <f aca="false">IF(ISBLANK(RawFinancials!G495),"",RawFinancials!G495)</f>
        <v>12.2317524458594</v>
      </c>
      <c r="H495" s="0" t="str">
        <f aca="false">IF(ISBLANK(RawFinancials!H495),"",RawFinancials!H495)</f>
        <v>17741_20240630</v>
      </c>
      <c r="I495" s="0" t="n">
        <f aca="false">IF(ISBLANK(RawFinancials!I495),"",RawFinancials!I495)</f>
        <v>0.949701746558932</v>
      </c>
      <c r="J495" s="0" t="n">
        <f aca="false">IF(ISBLANK(RawFinancials!J495),"",RawFinancials!J495)</f>
        <v>55240</v>
      </c>
      <c r="K495" s="0" t="n">
        <f aca="false">IF(ISBLANK(RawFinancials!K495),"",RawFinancials!K495)</f>
        <v>4399</v>
      </c>
      <c r="L495" s="0" t="n">
        <f aca="false">IF(ISBLANK(RawFinancials!L495),"",RawFinancials!L495)</f>
        <v>968304</v>
      </c>
      <c r="M495" s="0" t="n">
        <f aca="false">IF(ISBLANK(RawFinancials!M495),"",RawFinancials!M495)</f>
        <v>959108</v>
      </c>
      <c r="N495" s="0" t="n">
        <f aca="false">IF(ISBLANK(RawFinancials!N495),"",RawFinancials!N495)</f>
        <v>905457</v>
      </c>
      <c r="O495" s="0" t="n">
        <f aca="false">IF(ISBLANK(RawFinancials!O495),"",RawFinancials!O495)</f>
        <v>7132</v>
      </c>
      <c r="P495" s="0" t="str">
        <f aca="false">IF(ISBLANK(RawFinancials!P495),"",RawFinancials!P495)</f>
        <v>MAINE COMMUNITY BANK</v>
      </c>
      <c r="Q495" s="0" t="n">
        <f aca="false">IF(ISBLANK(RawFinancials!Q495),"",RawFinancials!Q495)</f>
        <v>0.736545547679241</v>
      </c>
      <c r="R495" s="0" t="n">
        <f aca="false">IF(ISBLANK(RawFinancials!R495),"",RawFinancials!R495)</f>
        <v>2.99731459453249</v>
      </c>
      <c r="S495" s="0" t="n">
        <f aca="false">IF(ISBLANK(RawFinancials!S495),"",RawFinancials!S495)</f>
        <v>60</v>
      </c>
      <c r="T495" s="0" t="n">
        <f aca="false">IF(ISBLANK(RawFinancials!T495),"",RawFinancials!T495)</f>
        <v>3043</v>
      </c>
      <c r="U495" s="0" t="n">
        <f aca="false">IF(ISBLANK(RawFinancials!U495),"",RawFinancials!U495)</f>
        <v>0</v>
      </c>
      <c r="V495" s="0" t="n">
        <f aca="false">IF(ISBLANK(RawFinancials!V495),"",RawFinancials!V495)</f>
        <v>0</v>
      </c>
      <c r="W495" s="0" t="n">
        <f aca="false">IF(ISBLANK(RawFinancials!W495),"",RawFinancials!W495)</f>
        <v>20240630</v>
      </c>
      <c r="X495" s="0" t="n">
        <f aca="false">IF(ISBLANK(RawFinancials!X495),"",RawFinancials!X495)</f>
        <v>0.576787824521446</v>
      </c>
      <c r="Y495" s="0" t="n">
        <f aca="false">IF(ISBLANK(RawFinancials!Y495),"",RawFinancials!Y495)</f>
        <v>4.59</v>
      </c>
      <c r="Z495" s="0" t="str">
        <f aca="false">IF(ISBLANK(RawFinancials!Z495),"",RawFinancials!Z495)</f>
        <v>ME</v>
      </c>
      <c r="AA495" s="0" t="n">
        <f aca="false">RawFinancials!AA495</f>
        <v>1</v>
      </c>
      <c r="AB495" s="0" t="n">
        <f aca="false">RawFinancials!AB495</f>
        <v>7132</v>
      </c>
      <c r="AC495" s="0" t="n">
        <f aca="false">RawFinancials!AC495</f>
        <v>0.614491205245404</v>
      </c>
      <c r="AD495" s="0" t="n">
        <f aca="false">IF(L495&gt;0,100*N495/L495,"")</f>
        <v>93.5095796361473</v>
      </c>
      <c r="AE495" s="0" t="n">
        <f aca="false">IF(B495&gt;0,100*F495/B495,"")</f>
        <v>12.2317524458594</v>
      </c>
      <c r="AF495" s="0" t="str">
        <f aca="false">RawFinancials!AE495</f>
        <v>原始0：需核实适用/报告口径</v>
      </c>
    </row>
    <row r="496" customFormat="false" ht="15" hidden="false" customHeight="false" outlineLevel="0" collapsed="false">
      <c r="A496" s="0" t="n">
        <f aca="false">IF(ISBLANK(RawFinancials!A496),"",RawFinancials!A496)</f>
        <v>496</v>
      </c>
      <c r="B496" s="0" t="n">
        <f aca="false">IF(ISBLANK(RawFinancials!B496),"",RawFinancials!B496)</f>
        <v>1404406</v>
      </c>
      <c r="C496" s="0" t="n">
        <f aca="false">IF(ISBLANK(RawFinancials!C496),"",RawFinancials!C496)</f>
        <v>17743</v>
      </c>
      <c r="D496" s="0" t="n">
        <f aca="false">IF(ISBLANK(RawFinancials!D496),"",RawFinancials!D496)</f>
        <v>980636</v>
      </c>
      <c r="E496" s="0" t="n">
        <f aca="false">IF(ISBLANK(RawFinancials!E496),"",RawFinancials!E496)</f>
        <v>0</v>
      </c>
      <c r="F496" s="0" t="n">
        <f aca="false">IF(ISBLANK(RawFinancials!F496),"",RawFinancials!F496)</f>
        <v>121628</v>
      </c>
      <c r="G496" s="0" t="n">
        <f aca="false">IF(ISBLANK(RawFinancials!G496),"",RawFinancials!G496)</f>
        <v>8.66045858533786</v>
      </c>
      <c r="H496" s="0" t="str">
        <f aca="false">IF(ISBLANK(RawFinancials!H496),"",RawFinancials!H496)</f>
        <v>17743_20240630</v>
      </c>
      <c r="I496" s="0" t="n">
        <f aca="false">IF(ISBLANK(RawFinancials!I496),"",RawFinancials!I496)</f>
        <v>0.418671348352252</v>
      </c>
      <c r="J496" s="0" t="n">
        <f aca="false">IF(ISBLANK(RawFinancials!J496),"",RawFinancials!J496)</f>
        <v>18094</v>
      </c>
      <c r="K496" s="0" t="n">
        <f aca="false">IF(ISBLANK(RawFinancials!K496),"",RawFinancials!K496)</f>
        <v>10298</v>
      </c>
      <c r="L496" s="0" t="n">
        <f aca="false">IF(ISBLANK(RawFinancials!L496),"",RawFinancials!L496)</f>
        <v>1119255</v>
      </c>
      <c r="M496" s="0" t="n">
        <f aca="false">IF(ISBLANK(RawFinancials!M496),"",RawFinancials!M496)</f>
        <v>1114569</v>
      </c>
      <c r="N496" s="0" t="n">
        <f aca="false">IF(ISBLANK(RawFinancials!N496),"",RawFinancials!N496)</f>
        <v>1079649</v>
      </c>
      <c r="O496" s="0" t="n">
        <f aca="false">IF(ISBLANK(RawFinancials!O496),"",RawFinancials!O496)</f>
        <v>3998</v>
      </c>
      <c r="P496" s="0" t="str">
        <f aca="false">IF(ISBLANK(RawFinancials!P496),"",RawFinancials!P496)</f>
        <v>SACO &amp; BIDDEFORD SAVINGS INSTITUTION</v>
      </c>
      <c r="Q496" s="0" t="n">
        <f aca="false">IF(ISBLANK(RawFinancials!Q496),"",RawFinancials!Q496)</f>
        <v>0.35720188875636</v>
      </c>
      <c r="R496" s="0" t="n">
        <f aca="false">IF(ISBLANK(RawFinancials!R496),"",RawFinancials!R496)</f>
        <v>1.85173719140557</v>
      </c>
      <c r="S496" s="0" t="n">
        <f aca="false">IF(ISBLANK(RawFinancials!S496),"",RawFinancials!S496)</f>
        <v>-3</v>
      </c>
      <c r="T496" s="0" t="n">
        <f aca="false">IF(ISBLANK(RawFinancials!T496),"",RawFinancials!T496)</f>
        <v>1402</v>
      </c>
      <c r="U496" s="0" t="n">
        <f aca="false">IF(ISBLANK(RawFinancials!U496),"",RawFinancials!U496)</f>
        <v>0</v>
      </c>
      <c r="V496" s="0" t="n">
        <f aca="false">IF(ISBLANK(RawFinancials!V496),"",RawFinancials!V496)</f>
        <v>0</v>
      </c>
      <c r="W496" s="0" t="n">
        <f aca="false">IF(ISBLANK(RawFinancials!W496),"",RawFinancials!W496)</f>
        <v>20240630</v>
      </c>
      <c r="X496" s="0" t="n">
        <f aca="false">IF(ISBLANK(RawFinancials!X496),"",RawFinancials!X496)</f>
        <v>-0.0312997808297457</v>
      </c>
      <c r="Y496" s="0" t="n">
        <f aca="false">IF(ISBLANK(RawFinancials!Y496),"",RawFinancials!Y496)</f>
        <v>-0.36</v>
      </c>
      <c r="Z496" s="0" t="str">
        <f aca="false">IF(ISBLANK(RawFinancials!Z496),"",RawFinancials!Z496)</f>
        <v>ME</v>
      </c>
      <c r="AA496" s="0" t="n">
        <f aca="false">RawFinancials!AA496</f>
        <v>1</v>
      </c>
      <c r="AB496" s="0" t="n">
        <f aca="false">RawFinancials!AB496</f>
        <v>3998</v>
      </c>
      <c r="AC496" s="0" t="n">
        <f aca="false">RawFinancials!AC496</f>
        <v>0.284675514060749</v>
      </c>
      <c r="AD496" s="0" t="n">
        <f aca="false">IF(L496&gt;0,100*N496/L496,"")</f>
        <v>96.4613961965772</v>
      </c>
      <c r="AE496" s="0" t="n">
        <f aca="false">IF(B496&gt;0,100*F496/B496,"")</f>
        <v>8.66045858533786</v>
      </c>
      <c r="AF496" s="0" t="str">
        <f aca="false">RawFinancials!AE496</f>
        <v>原始0：需核实适用/报告口径</v>
      </c>
    </row>
    <row r="497" customFormat="false" ht="15" hidden="false" customHeight="false" outlineLevel="0" collapsed="false">
      <c r="A497" s="0" t="n">
        <f aca="false">IF(ISBLANK(RawFinancials!A497),"",RawFinancials!A497)</f>
        <v>497</v>
      </c>
      <c r="B497" s="0" t="n">
        <f aca="false">IF(ISBLANK(RawFinancials!B497),"",RawFinancials!B497)</f>
        <v>1653584</v>
      </c>
      <c r="C497" s="0" t="n">
        <f aca="false">IF(ISBLANK(RawFinancials!C497),"",RawFinancials!C497)</f>
        <v>17748</v>
      </c>
      <c r="D497" s="0" t="n">
        <f aca="false">IF(ISBLANK(RawFinancials!D497),"",RawFinancials!D497)</f>
        <v>1349536</v>
      </c>
      <c r="E497" s="0" t="n">
        <f aca="false">IF(ISBLANK(RawFinancials!E497),"",RawFinancials!E497)</f>
        <v>-0.08</v>
      </c>
      <c r="F497" s="0" t="n">
        <f aca="false">IF(ISBLANK(RawFinancials!F497),"",RawFinancials!F497)</f>
        <v>113727</v>
      </c>
      <c r="G497" s="0" t="n">
        <f aca="false">IF(ISBLANK(RawFinancials!G497),"",RawFinancials!G497)</f>
        <v>6.87760645966579</v>
      </c>
      <c r="H497" s="0" t="str">
        <f aca="false">IF(ISBLANK(RawFinancials!H497),"",RawFinancials!H497)</f>
        <v>17748_20240630</v>
      </c>
      <c r="I497" s="0" t="n">
        <f aca="false">IF(ISBLANK(RawFinancials!I497),"",RawFinancials!I497)</f>
        <v>0.72112771899647</v>
      </c>
      <c r="J497" s="0" t="n">
        <f aca="false">IF(ISBLANK(RawFinancials!J497),"",RawFinancials!J497)</f>
        <v>171859</v>
      </c>
      <c r="K497" s="0" t="n">
        <f aca="false">IF(ISBLANK(RawFinancials!K497),"",RawFinancials!K497)</f>
        <v>3225</v>
      </c>
      <c r="L497" s="0" t="n">
        <f aca="false">IF(ISBLANK(RawFinancials!L497),"",RawFinancials!L497)</f>
        <v>1269678</v>
      </c>
      <c r="M497" s="0" t="n">
        <f aca="false">IF(ISBLANK(RawFinancials!M497),"",RawFinancials!M497)</f>
        <v>1260522</v>
      </c>
      <c r="N497" s="0" t="n">
        <f aca="false">IF(ISBLANK(RawFinancials!N497),"",RawFinancials!N497)</f>
        <v>1060225</v>
      </c>
      <c r="O497" s="0" t="n">
        <f aca="false">IF(ISBLANK(RawFinancials!O497),"",RawFinancials!O497)</f>
        <v>7932</v>
      </c>
      <c r="P497" s="0" t="str">
        <f aca="false">IF(ISBLANK(RawFinancials!P497),"",RawFinancials!P497)</f>
        <v>GORHAM SAVINGS BANK</v>
      </c>
      <c r="Q497" s="0" t="n">
        <f aca="false">IF(ISBLANK(RawFinancials!Q497),"",RawFinancials!Q497)</f>
        <v>0.624725324058541</v>
      </c>
      <c r="R497" s="0" t="n">
        <f aca="false">IF(ISBLANK(RawFinancials!R497),"",RawFinancials!R497)</f>
        <v>2.36555254962578</v>
      </c>
      <c r="S497" s="0" t="n">
        <f aca="false">IF(ISBLANK(RawFinancials!S497),"",RawFinancials!S497)</f>
        <v>-7</v>
      </c>
      <c r="T497" s="0" t="n">
        <f aca="false">IF(ISBLANK(RawFinancials!T497),"",RawFinancials!T497)</f>
        <v>10728</v>
      </c>
      <c r="U497" s="0" t="n">
        <f aca="false">IF(ISBLANK(RawFinancials!U497),"",RawFinancials!U497)</f>
        <v>0</v>
      </c>
      <c r="V497" s="0" t="n">
        <f aca="false">IF(ISBLANK(RawFinancials!V497),"",RawFinancials!V497)</f>
        <v>0</v>
      </c>
      <c r="W497" s="0" t="n">
        <f aca="false">IF(ISBLANK(RawFinancials!W497),"",RawFinancials!W497)</f>
        <v>20240630</v>
      </c>
      <c r="X497" s="0" t="n">
        <f aca="false">IF(ISBLANK(RawFinancials!X497),"",RawFinancials!X497)</f>
        <v>0.279983250930056</v>
      </c>
      <c r="Y497" s="0" t="n">
        <f aca="false">IF(ISBLANK(RawFinancials!Y497),"",RawFinancials!Y497)</f>
        <v>4.09</v>
      </c>
      <c r="Z497" s="0" t="str">
        <f aca="false">IF(ISBLANK(RawFinancials!Z497),"",RawFinancials!Z497)</f>
        <v>ME</v>
      </c>
      <c r="AA497" s="0" t="n">
        <f aca="false">RawFinancials!AA497</f>
        <v>1</v>
      </c>
      <c r="AB497" s="0" t="n">
        <f aca="false">RawFinancials!AB497</f>
        <v>7932</v>
      </c>
      <c r="AC497" s="0" t="n">
        <f aca="false">RawFinancials!AC497</f>
        <v>0.479685338029396</v>
      </c>
      <c r="AD497" s="0" t="n">
        <f aca="false">IF(L497&gt;0,100*N497/L497,"")</f>
        <v>83.5034552067532</v>
      </c>
      <c r="AE497" s="0" t="n">
        <f aca="false">IF(B497&gt;0,100*F497/B497,"")</f>
        <v>6.87760645966579</v>
      </c>
      <c r="AF497" s="0" t="str">
        <f aca="false">RawFinancials!AE497</f>
        <v>原始0：需核实适用/报告口径</v>
      </c>
    </row>
    <row r="498" customFormat="false" ht="15" hidden="false" customHeight="false" outlineLevel="0" collapsed="false">
      <c r="A498" s="0" t="n">
        <f aca="false">IF(ISBLANK(RawFinancials!A498),"",RawFinancials!A498)</f>
        <v>498</v>
      </c>
      <c r="B498" s="0" t="n">
        <f aca="false">IF(ISBLANK(RawFinancials!B498),"",RawFinancials!B498)</f>
        <v>1395226</v>
      </c>
      <c r="C498" s="0" t="n">
        <f aca="false">IF(ISBLANK(RawFinancials!C498),"",RawFinancials!C498)</f>
        <v>17749</v>
      </c>
      <c r="D498" s="0" t="n">
        <f aca="false">IF(ISBLANK(RawFinancials!D498),"",RawFinancials!D498)</f>
        <v>1095901</v>
      </c>
      <c r="E498" s="0" t="n">
        <f aca="false">IF(ISBLANK(RawFinancials!E498),"",RawFinancials!E498)</f>
        <v>0.07</v>
      </c>
      <c r="F498" s="0" t="n">
        <f aca="false">IF(ISBLANK(RawFinancials!F498),"",RawFinancials!F498)</f>
        <v>177800</v>
      </c>
      <c r="G498" s="0" t="n">
        <f aca="false">IF(ISBLANK(RawFinancials!G498),"",RawFinancials!G498)</f>
        <v>12.7434551821712</v>
      </c>
      <c r="H498" s="0" t="str">
        <f aca="false">IF(ISBLANK(RawFinancials!H498),"",RawFinancials!H498)</f>
        <v>17749_20240630</v>
      </c>
      <c r="I498" s="0" t="n">
        <f aca="false">IF(ISBLANK(RawFinancials!I498),"",RawFinancials!I498)</f>
        <v>1.4044106645192</v>
      </c>
      <c r="J498" s="0" t="n">
        <f aca="false">IF(ISBLANK(RawFinancials!J498),"",RawFinancials!J498)</f>
        <v>53678</v>
      </c>
      <c r="K498" s="0" t="n">
        <f aca="false">IF(ISBLANK(RawFinancials!K498),"",RawFinancials!K498)</f>
        <v>11558</v>
      </c>
      <c r="L498" s="0" t="n">
        <f aca="false">IF(ISBLANK(RawFinancials!L498),"",RawFinancials!L498)</f>
        <v>822053</v>
      </c>
      <c r="M498" s="0" t="n">
        <f aca="false">IF(ISBLANK(RawFinancials!M498),"",RawFinancials!M498)</f>
        <v>810508</v>
      </c>
      <c r="N498" s="0" t="n">
        <f aca="false">IF(ISBLANK(RawFinancials!N498),"",RawFinancials!N498)</f>
        <v>744624</v>
      </c>
      <c r="O498" s="0" t="n">
        <f aca="false">IF(ISBLANK(RawFinancials!O498),"",RawFinancials!O498)</f>
        <v>243</v>
      </c>
      <c r="P498" s="0" t="str">
        <f aca="false">IF(ISBLANK(RawFinancials!P498),"",RawFinancials!P498)</f>
        <v>BATH SAVINGS INSTITUTION</v>
      </c>
      <c r="Q498" s="0" t="n">
        <f aca="false">IF(ISBLANK(RawFinancials!Q498),"",RawFinancials!Q498)</f>
        <v>0.0295601378499926</v>
      </c>
      <c r="R498" s="0" t="n">
        <f aca="false">IF(ISBLANK(RawFinancials!R498),"",RawFinancials!R498)</f>
        <v>2.4652286426857</v>
      </c>
      <c r="S498" s="0" t="n">
        <f aca="false">IF(ISBLANK(RawFinancials!S498),"",RawFinancials!S498)</f>
        <v>10</v>
      </c>
      <c r="T498" s="0" t="n">
        <f aca="false">IF(ISBLANK(RawFinancials!T498),"",RawFinancials!T498)</f>
        <v>1207</v>
      </c>
      <c r="U498" s="0" t="n">
        <f aca="false">IF(ISBLANK(RawFinancials!U498),"",RawFinancials!U498)</f>
        <v>0</v>
      </c>
      <c r="V498" s="0" t="n">
        <f aca="false">IF(ISBLANK(RawFinancials!V498),"",RawFinancials!V498)</f>
        <v>0</v>
      </c>
      <c r="W498" s="0" t="n">
        <f aca="false">IF(ISBLANK(RawFinancials!W498),"",RawFinancials!W498)</f>
        <v>20240630</v>
      </c>
      <c r="X498" s="0" t="n">
        <f aca="false">IF(ISBLANK(RawFinancials!X498),"",RawFinancials!X498)</f>
        <v>0.98007512250939</v>
      </c>
      <c r="Y498" s="0" t="n">
        <f aca="false">IF(ISBLANK(RawFinancials!Y498),"",RawFinancials!Y498)</f>
        <v>7.68</v>
      </c>
      <c r="Z498" s="0" t="str">
        <f aca="false">IF(ISBLANK(RawFinancials!Z498),"",RawFinancials!Z498)</f>
        <v>ME</v>
      </c>
      <c r="AA498" s="0" t="n">
        <f aca="false">RawFinancials!AA498</f>
        <v>1</v>
      </c>
      <c r="AB498" s="0" t="n">
        <f aca="false">RawFinancials!AB498</f>
        <v>243</v>
      </c>
      <c r="AC498" s="0" t="n">
        <f aca="false">RawFinancials!AC498</f>
        <v>0.0174165332354758</v>
      </c>
      <c r="AD498" s="0" t="n">
        <f aca="false">IF(L498&gt;0,100*N498/L498,"")</f>
        <v>90.5810209317404</v>
      </c>
      <c r="AE498" s="0" t="n">
        <f aca="false">IF(B498&gt;0,100*F498/B498,"")</f>
        <v>12.7434551821712</v>
      </c>
      <c r="AF498" s="0" t="str">
        <f aca="false">RawFinancials!AE498</f>
        <v>原始0：需核实适用/报告口径</v>
      </c>
    </row>
    <row r="499" customFormat="false" ht="15" hidden="false" customHeight="false" outlineLevel="0" collapsed="false">
      <c r="A499" s="0" t="n">
        <f aca="false">IF(ISBLANK(RawFinancials!A499),"",RawFinancials!A499)</f>
        <v>499</v>
      </c>
      <c r="B499" s="0" t="n">
        <f aca="false">IF(ISBLANK(RawFinancials!B499),"",RawFinancials!B499)</f>
        <v>1628666</v>
      </c>
      <c r="C499" s="0" t="n">
        <f aca="false">IF(ISBLANK(RawFinancials!C499),"",RawFinancials!C499)</f>
        <v>17751</v>
      </c>
      <c r="D499" s="0" t="n">
        <f aca="false">IF(ISBLANK(RawFinancials!D499),"",RawFinancials!D499)</f>
        <v>1314857</v>
      </c>
      <c r="E499" s="0" t="n">
        <f aca="false">IF(ISBLANK(RawFinancials!E499),"",RawFinancials!E499)</f>
        <v>0.04</v>
      </c>
      <c r="F499" s="0" t="n">
        <f aca="false">IF(ISBLANK(RawFinancials!F499),"",RawFinancials!F499)</f>
        <v>140560</v>
      </c>
      <c r="G499" s="0" t="n">
        <f aca="false">IF(ISBLANK(RawFinancials!G499),"",RawFinancials!G499)</f>
        <v>8.63037602553255</v>
      </c>
      <c r="H499" s="0" t="str">
        <f aca="false">IF(ISBLANK(RawFinancials!H499),"",RawFinancials!H499)</f>
        <v>17751_20240630</v>
      </c>
      <c r="I499" s="0" t="n">
        <f aca="false">IF(ISBLANK(RawFinancials!I499),"",RawFinancials!I499)</f>
        <v>0.911993686712</v>
      </c>
      <c r="J499" s="0" t="n">
        <f aca="false">IF(ISBLANK(RawFinancials!J499),"",RawFinancials!J499)</f>
        <v>134212</v>
      </c>
      <c r="K499" s="0" t="n">
        <f aca="false">IF(ISBLANK(RawFinancials!K499),"",RawFinancials!K499)</f>
        <v>4482</v>
      </c>
      <c r="L499" s="0" t="n">
        <f aca="false">IF(ISBLANK(RawFinancials!L499),"",RawFinancials!L499)</f>
        <v>1345733</v>
      </c>
      <c r="M499" s="0" t="n">
        <f aca="false">IF(ISBLANK(RawFinancials!M499),"",RawFinancials!M499)</f>
        <v>1333460</v>
      </c>
      <c r="N499" s="0" t="n">
        <f aca="false">IF(ISBLANK(RawFinancials!N499),"",RawFinancials!N499)</f>
        <v>1148666</v>
      </c>
      <c r="O499" s="0" t="n">
        <f aca="false">IF(ISBLANK(RawFinancials!O499),"",RawFinancials!O499)</f>
        <v>4863</v>
      </c>
      <c r="P499" s="0" t="str">
        <f aca="false">IF(ISBLANK(RawFinancials!P499),"",RawFinancials!P499)</f>
        <v>ANDROSCOGGIN SAVINGS BANK</v>
      </c>
      <c r="Q499" s="0" t="n">
        <f aca="false">IF(ISBLANK(RawFinancials!Q499),"",RawFinancials!Q499)</f>
        <v>0.361364401408006</v>
      </c>
      <c r="R499" s="0" t="n">
        <f aca="false">IF(ISBLANK(RawFinancials!R499),"",RawFinancials!R499)</f>
        <v>2.67176233579369</v>
      </c>
      <c r="S499" s="0" t="n">
        <f aca="false">IF(ISBLANK(RawFinancials!S499),"",RawFinancials!S499)</f>
        <v>-34</v>
      </c>
      <c r="T499" s="0" t="n">
        <f aca="false">IF(ISBLANK(RawFinancials!T499),"",RawFinancials!T499)</f>
        <v>4693</v>
      </c>
      <c r="U499" s="0" t="n">
        <f aca="false">IF(ISBLANK(RawFinancials!U499),"",RawFinancials!U499)</f>
        <v>0</v>
      </c>
      <c r="V499" s="0" t="n">
        <f aca="false">IF(ISBLANK(RawFinancials!V499),"",RawFinancials!V499)</f>
        <v>12.7562003813965</v>
      </c>
      <c r="W499" s="0" t="n">
        <f aca="false">IF(ISBLANK(RawFinancials!W499),"",RawFinancials!W499)</f>
        <v>20240630</v>
      </c>
      <c r="X499" s="0" t="n">
        <f aca="false">IF(ISBLANK(RawFinancials!X499),"",RawFinancials!X499)</f>
        <v>0.443314564249097</v>
      </c>
      <c r="Y499" s="0" t="n">
        <f aca="false">IF(ISBLANK(RawFinancials!Y499),"",RawFinancials!Y499)</f>
        <v>5.16</v>
      </c>
      <c r="Z499" s="0" t="str">
        <f aca="false">IF(ISBLANK(RawFinancials!Z499),"",RawFinancials!Z499)</f>
        <v>ME</v>
      </c>
      <c r="AA499" s="0" t="n">
        <f aca="false">RawFinancials!AA499</f>
        <v>1</v>
      </c>
      <c r="AB499" s="0" t="n">
        <f aca="false">RawFinancials!AB499</f>
        <v>4863</v>
      </c>
      <c r="AC499" s="0" t="n">
        <f aca="false">RawFinancials!AC499</f>
        <v>0.298587924104758</v>
      </c>
      <c r="AD499" s="0" t="n">
        <f aca="false">IF(L499&gt;0,100*N499/L499,"")</f>
        <v>85.3561590597838</v>
      </c>
      <c r="AE499" s="0" t="n">
        <f aca="false">IF(B499&gt;0,100*F499/B499,"")</f>
        <v>8.63037602553255</v>
      </c>
      <c r="AF499" s="0" t="str">
        <f aca="false">RawFinancials!AE499</f>
        <v/>
      </c>
    </row>
    <row r="500" customFormat="false" ht="15" hidden="false" customHeight="false" outlineLevel="0" collapsed="false">
      <c r="A500" s="0" t="n">
        <f aca="false">IF(ISBLANK(RawFinancials!A500),"",RawFinancials!A500)</f>
        <v>500</v>
      </c>
      <c r="B500" s="0" t="n">
        <f aca="false">IF(ISBLANK(RawFinancials!B500),"",RawFinancials!B500)</f>
        <v>1732333</v>
      </c>
      <c r="C500" s="0" t="n">
        <f aca="false">IF(ISBLANK(RawFinancials!C500),"",RawFinancials!C500)</f>
        <v>17897</v>
      </c>
      <c r="D500" s="0" t="n">
        <f aca="false">IF(ISBLANK(RawFinancials!D500),"",RawFinancials!D500)</f>
        <v>1311255</v>
      </c>
      <c r="E500" s="0" t="n">
        <f aca="false">IF(ISBLANK(RawFinancials!E500),"",RawFinancials!E500)</f>
        <v>-0.03</v>
      </c>
      <c r="F500" s="0" t="n">
        <f aca="false">IF(ISBLANK(RawFinancials!F500),"",RawFinancials!F500)</f>
        <v>211953</v>
      </c>
      <c r="G500" s="0" t="n">
        <f aca="false">IF(ISBLANK(RawFinancials!G500),"",RawFinancials!G500)</f>
        <v>12.2351187675811</v>
      </c>
      <c r="H500" s="0" t="str">
        <f aca="false">IF(ISBLANK(RawFinancials!H500),"",RawFinancials!H500)</f>
        <v>17897_20240630</v>
      </c>
      <c r="I500" s="0" t="n">
        <f aca="false">IF(ISBLANK(RawFinancials!I500),"",RawFinancials!I500)</f>
        <v>0.61338829499859</v>
      </c>
      <c r="J500" s="0" t="n">
        <f aca="false">IF(ISBLANK(RawFinancials!J500),"",RawFinancials!J500)</f>
        <v>74859</v>
      </c>
      <c r="K500" s="0" t="n">
        <f aca="false">IF(ISBLANK(RawFinancials!K500),"",RawFinancials!K500)</f>
        <v>3188</v>
      </c>
      <c r="L500" s="0" t="n">
        <f aca="false">IF(ISBLANK(RawFinancials!L500),"",RawFinancials!L500)</f>
        <v>1440034</v>
      </c>
      <c r="M500" s="0" t="n">
        <f aca="false">IF(ISBLANK(RawFinancials!M500),"",RawFinancials!M500)</f>
        <v>1431201</v>
      </c>
      <c r="N500" s="0" t="n">
        <f aca="false">IF(ISBLANK(RawFinancials!N500),"",RawFinancials!N500)</f>
        <v>1352677</v>
      </c>
      <c r="O500" s="0" t="n">
        <f aca="false">IF(ISBLANK(RawFinancials!O500),"",RawFinancials!O500)</f>
        <v>4016</v>
      </c>
      <c r="P500" s="0" t="str">
        <f aca="false">IF(ISBLANK(RawFinancials!P500),"",RawFinancials!P500)</f>
        <v>KENNEBEC SAVINGS BANK</v>
      </c>
      <c r="Q500" s="0" t="n">
        <f aca="false">IF(ISBLANK(RawFinancials!Q500),"",RawFinancials!Q500)</f>
        <v>0.278882304167818</v>
      </c>
      <c r="R500" s="0" t="n">
        <f aca="false">IF(ISBLANK(RawFinancials!R500),"",RawFinancials!R500)</f>
        <v>2.32674770453677</v>
      </c>
      <c r="S500" s="0" t="n">
        <f aca="false">IF(ISBLANK(RawFinancials!S500),"",RawFinancials!S500)</f>
        <v>-89</v>
      </c>
      <c r="T500" s="0" t="n">
        <f aca="false">IF(ISBLANK(RawFinancials!T500),"",RawFinancials!T500)</f>
        <v>2867</v>
      </c>
      <c r="U500" s="0" t="n">
        <f aca="false">IF(ISBLANK(RawFinancials!U500),"",RawFinancials!U500)</f>
        <v>0</v>
      </c>
      <c r="V500" s="0" t="n">
        <f aca="false">IF(ISBLANK(RawFinancials!V500),"",RawFinancials!V500)</f>
        <v>18.0579734151777</v>
      </c>
      <c r="W500" s="0" t="n">
        <f aca="false">IF(ISBLANK(RawFinancials!W500),"",RawFinancials!W500)</f>
        <v>20240630</v>
      </c>
      <c r="X500" s="0" t="n">
        <f aca="false">IF(ISBLANK(RawFinancials!X500),"",RawFinancials!X500)</f>
        <v>0.719533489276184</v>
      </c>
      <c r="Y500" s="0" t="n">
        <f aca="false">IF(ISBLANK(RawFinancials!Y500),"",RawFinancials!Y500)</f>
        <v>5.88</v>
      </c>
      <c r="Z500" s="0" t="str">
        <f aca="false">IF(ISBLANK(RawFinancials!Z500),"",RawFinancials!Z500)</f>
        <v>ME</v>
      </c>
      <c r="AA500" s="0" t="n">
        <f aca="false">RawFinancials!AA500</f>
        <v>1</v>
      </c>
      <c r="AB500" s="0" t="n">
        <f aca="false">RawFinancials!AB500</f>
        <v>4016</v>
      </c>
      <c r="AC500" s="0" t="n">
        <f aca="false">RawFinancials!AC500</f>
        <v>0.231826098100077</v>
      </c>
      <c r="AD500" s="0" t="n">
        <f aca="false">IF(L500&gt;0,100*N500/L500,"")</f>
        <v>93.9336848991066</v>
      </c>
      <c r="AE500" s="0" t="n">
        <f aca="false">IF(B500&gt;0,100*F500/B500,"")</f>
        <v>12.2351187675811</v>
      </c>
      <c r="AF500" s="0" t="str">
        <f aca="false">RawFinancials!AE500</f>
        <v/>
      </c>
    </row>
    <row r="501" customFormat="false" ht="15" hidden="false" customHeight="false" outlineLevel="0" collapsed="false">
      <c r="A501" s="0" t="n">
        <f aca="false">IF(ISBLANK(RawFinancials!A501),"",RawFinancials!A501)</f>
        <v>501</v>
      </c>
      <c r="B501" s="0" t="n">
        <f aca="false">IF(ISBLANK(RawFinancials!B501),"",RawFinancials!B501)</f>
        <v>810464</v>
      </c>
      <c r="C501" s="0" t="n">
        <f aca="false">IF(ISBLANK(RawFinancials!C501),"",RawFinancials!C501)</f>
        <v>17951</v>
      </c>
      <c r="D501" s="0" t="n">
        <f aca="false">IF(ISBLANK(RawFinancials!D501),"",RawFinancials!D501)</f>
        <v>665540</v>
      </c>
      <c r="E501" s="0" t="n">
        <f aca="false">IF(ISBLANK(RawFinancials!E501),"",RawFinancials!E501)</f>
        <v>0</v>
      </c>
      <c r="F501" s="0" t="n">
        <f aca="false">IF(ISBLANK(RawFinancials!F501),"",RawFinancials!F501)</f>
        <v>63303</v>
      </c>
      <c r="G501" s="0" t="n">
        <f aca="false">IF(ISBLANK(RawFinancials!G501),"",RawFinancials!G501)</f>
        <v>7.81071090140956</v>
      </c>
      <c r="H501" s="0" t="str">
        <f aca="false">IF(ISBLANK(RawFinancials!H501),"",RawFinancials!H501)</f>
        <v>17951_20240630</v>
      </c>
      <c r="I501" s="0" t="n">
        <f aca="false">IF(ISBLANK(RawFinancials!I501),"",RawFinancials!I501)</f>
        <v>0.849375508526468</v>
      </c>
      <c r="J501" s="0" t="n">
        <f aca="false">IF(ISBLANK(RawFinancials!J501),"",RawFinancials!J501)</f>
        <v>28255</v>
      </c>
      <c r="K501" s="0" t="n">
        <f aca="false">IF(ISBLANK(RawFinancials!K501),"",RawFinancials!K501)</f>
        <v>1838</v>
      </c>
      <c r="L501" s="0" t="n">
        <f aca="false">IF(ISBLANK(RawFinancials!L501),"",RawFinancials!L501)</f>
        <v>596085</v>
      </c>
      <c r="M501" s="0" t="n">
        <f aca="false">IF(ISBLANK(RawFinancials!M501),"",RawFinancials!M501)</f>
        <v>591022</v>
      </c>
      <c r="N501" s="0" t="n">
        <f aca="false">IF(ISBLANK(RawFinancials!N501),"",RawFinancials!N501)</f>
        <v>552786</v>
      </c>
      <c r="O501" s="0" t="n">
        <f aca="false">IF(ISBLANK(RawFinancials!O501),"",RawFinancials!O501)</f>
        <v>62</v>
      </c>
      <c r="P501" s="0" t="str">
        <f aca="false">IF(ISBLANK(RawFinancials!P501),"",RawFinancials!P501)</f>
        <v>FRANKLIN SAVINGS BANK</v>
      </c>
      <c r="Q501" s="0" t="n">
        <f aca="false">IF(ISBLANK(RawFinancials!Q501),"",RawFinancials!Q501)</f>
        <v>0.0104012011709739</v>
      </c>
      <c r="R501" s="0" t="n">
        <f aca="false">IF(ISBLANK(RawFinancials!R501),"",RawFinancials!R501)</f>
        <v>2.46499599476083</v>
      </c>
      <c r="S501" s="0" t="n">
        <f aca="false">IF(ISBLANK(RawFinancials!S501),"",RawFinancials!S501)</f>
        <v>-144</v>
      </c>
      <c r="T501" s="0" t="n">
        <f aca="false">IF(ISBLANK(RawFinancials!T501),"",RawFinancials!T501)</f>
        <v>1757</v>
      </c>
      <c r="U501" s="0" t="n">
        <f aca="false">IF(ISBLANK(RawFinancials!U501),"",RawFinancials!U501)</f>
        <v>0</v>
      </c>
      <c r="V501" s="0" t="n">
        <f aca="false">IF(ISBLANK(RawFinancials!V501),"",RawFinancials!V501)</f>
        <v>14.6203235537616</v>
      </c>
      <c r="W501" s="0" t="n">
        <f aca="false">IF(ISBLANK(RawFinancials!W501),"",RawFinancials!W501)</f>
        <v>20240630</v>
      </c>
      <c r="X501" s="0" t="n">
        <f aca="false">IF(ISBLANK(RawFinancials!X501),"",RawFinancials!X501)</f>
        <v>0.501098636386068</v>
      </c>
      <c r="Y501" s="0" t="n">
        <f aca="false">IF(ISBLANK(RawFinancials!Y501),"",RawFinancials!Y501)</f>
        <v>6.41</v>
      </c>
      <c r="Z501" s="0" t="str">
        <f aca="false">IF(ISBLANK(RawFinancials!Z501),"",RawFinancials!Z501)</f>
        <v>NH</v>
      </c>
      <c r="AA501" s="0" t="n">
        <f aca="false">RawFinancials!AA501</f>
        <v>1</v>
      </c>
      <c r="AB501" s="0" t="n">
        <f aca="false">RawFinancials!AB501</f>
        <v>62</v>
      </c>
      <c r="AC501" s="0" t="n">
        <f aca="false">RawFinancials!AC501</f>
        <v>0.0076499388004896</v>
      </c>
      <c r="AD501" s="0" t="n">
        <f aca="false">IF(L501&gt;0,100*N501/L501,"")</f>
        <v>92.7361030725484</v>
      </c>
      <c r="AE501" s="0" t="n">
        <f aca="false">IF(B501&gt;0,100*F501/B501,"")</f>
        <v>7.81071090140956</v>
      </c>
      <c r="AF501" s="0" t="str">
        <f aca="false">RawFinancials!AE501</f>
        <v/>
      </c>
    </row>
    <row r="502" customFormat="false" ht="15" hidden="false" customHeight="false" outlineLevel="0" collapsed="false">
      <c r="A502" s="0" t="n">
        <f aca="false">IF(ISBLANK(RawFinancials!A502),"",RawFinancials!A502)</f>
        <v>502</v>
      </c>
      <c r="B502" s="0" t="n">
        <f aca="false">IF(ISBLANK(RawFinancials!B502),"",RawFinancials!B502)</f>
        <v>1384318</v>
      </c>
      <c r="C502" s="0" t="n">
        <f aca="false">IF(ISBLANK(RawFinancials!C502),"",RawFinancials!C502)</f>
        <v>17960</v>
      </c>
      <c r="D502" s="0" t="n">
        <f aca="false">IF(ISBLANK(RawFinancials!D502),"",RawFinancials!D502)</f>
        <v>1047199</v>
      </c>
      <c r="E502" s="0" t="n">
        <f aca="false">IF(ISBLANK(RawFinancials!E502),"",RawFinancials!E502)</f>
        <v>0.14</v>
      </c>
      <c r="F502" s="0" t="n">
        <f aca="false">IF(ISBLANK(RawFinancials!F502),"",RawFinancials!F502)</f>
        <v>114741</v>
      </c>
      <c r="G502" s="0" t="n">
        <f aca="false">IF(ISBLANK(RawFinancials!G502),"",RawFinancials!G502)</f>
        <v>8.28863021357809</v>
      </c>
      <c r="H502" s="0" t="str">
        <f aca="false">IF(ISBLANK(RawFinancials!H502),"",RawFinancials!H502)</f>
        <v>17960_20240630</v>
      </c>
      <c r="I502" s="0" t="n">
        <f aca="false">IF(ISBLANK(RawFinancials!I502),"",RawFinancials!I502)</f>
        <v>1.02485426540083</v>
      </c>
      <c r="J502" s="0" t="n">
        <f aca="false">IF(ISBLANK(RawFinancials!J502),"",RawFinancials!J502)</f>
        <v>105881</v>
      </c>
      <c r="K502" s="0" t="n">
        <f aca="false">IF(ISBLANK(RawFinancials!K502),"",RawFinancials!K502)</f>
        <v>233313</v>
      </c>
      <c r="L502" s="0" t="n">
        <f aca="false">IF(ISBLANK(RawFinancials!L502),"",RawFinancials!L502)</f>
        <v>1177826</v>
      </c>
      <c r="M502" s="0" t="n">
        <f aca="false">IF(ISBLANK(RawFinancials!M502),"",RawFinancials!M502)</f>
        <v>1165755</v>
      </c>
      <c r="N502" s="0" t="n">
        <f aca="false">IF(ISBLANK(RawFinancials!N502),"",RawFinancials!N502)</f>
        <v>834712</v>
      </c>
      <c r="O502" s="0" t="n">
        <f aca="false">IF(ISBLANK(RawFinancials!O502),"",RawFinancials!O502)</f>
        <v>9254</v>
      </c>
      <c r="P502" s="0" t="str">
        <f aca="false">IF(ISBLANK(RawFinancials!P502),"",RawFinancials!P502)</f>
        <v>MERRIMACK COUNTY SAVINGS BANK</v>
      </c>
      <c r="Q502" s="0" t="n">
        <f aca="false">IF(ISBLANK(RawFinancials!Q502),"",RawFinancials!Q502)</f>
        <v>0.785684812527487</v>
      </c>
      <c r="R502" s="0" t="n">
        <f aca="false">IF(ISBLANK(RawFinancials!R502),"",RawFinancials!R502)</f>
        <v>2.71137816235978</v>
      </c>
      <c r="S502" s="0" t="n">
        <f aca="false">IF(ISBLANK(RawFinancials!S502),"",RawFinancials!S502)</f>
        <v>250</v>
      </c>
      <c r="T502" s="0" t="n">
        <f aca="false">IF(ISBLANK(RawFinancials!T502),"",RawFinancials!T502)</f>
        <v>2898</v>
      </c>
      <c r="U502" s="0" t="n">
        <f aca="false">IF(ISBLANK(RawFinancials!U502),"",RawFinancials!U502)</f>
        <v>0</v>
      </c>
      <c r="V502" s="0" t="n">
        <f aca="false">IF(ISBLANK(RawFinancials!V502),"",RawFinancials!V502)</f>
        <v>13.2905193445561</v>
      </c>
      <c r="W502" s="0" t="n">
        <f aca="false">IF(ISBLANK(RawFinancials!W502),"",RawFinancials!W502)</f>
        <v>20240630</v>
      </c>
      <c r="X502" s="0" t="n">
        <f aca="false">IF(ISBLANK(RawFinancials!X502),"",RawFinancials!X502)</f>
        <v>0.355511881408475</v>
      </c>
      <c r="Y502" s="0" t="n">
        <f aca="false">IF(ISBLANK(RawFinancials!Y502),"",RawFinancials!Y502)</f>
        <v>4.27</v>
      </c>
      <c r="Z502" s="0" t="str">
        <f aca="false">IF(ISBLANK(RawFinancials!Z502),"",RawFinancials!Z502)</f>
        <v>NH</v>
      </c>
      <c r="AA502" s="0" t="n">
        <f aca="false">RawFinancials!AA502</f>
        <v>1</v>
      </c>
      <c r="AB502" s="0" t="n">
        <f aca="false">RawFinancials!AB502</f>
        <v>9254</v>
      </c>
      <c r="AC502" s="0" t="n">
        <f aca="false">RawFinancials!AC502</f>
        <v>0.668488020816026</v>
      </c>
      <c r="AD502" s="0" t="n">
        <f aca="false">IF(L502&gt;0,100*N502/L502,"")</f>
        <v>70.8688719726004</v>
      </c>
      <c r="AE502" s="0" t="n">
        <f aca="false">IF(B502&gt;0,100*F502/B502,"")</f>
        <v>8.28863021357809</v>
      </c>
      <c r="AF502" s="0" t="str">
        <f aca="false">RawFinancials!AE502</f>
        <v/>
      </c>
    </row>
    <row r="503" customFormat="false" ht="15" hidden="false" customHeight="false" outlineLevel="0" collapsed="false">
      <c r="A503" s="0" t="n">
        <f aca="false">IF(ISBLANK(RawFinancials!A503),"",RawFinancials!A503)</f>
        <v>503</v>
      </c>
      <c r="B503" s="0" t="n">
        <f aca="false">IF(ISBLANK(RawFinancials!B503),"",RawFinancials!B503)</f>
        <v>2499818</v>
      </c>
      <c r="C503" s="0" t="n">
        <f aca="false">IF(ISBLANK(RawFinancials!C503),"",RawFinancials!C503)</f>
        <v>18012</v>
      </c>
      <c r="D503" s="0" t="n">
        <f aca="false">IF(ISBLANK(RawFinancials!D503),"",RawFinancials!D503)</f>
        <v>2102355</v>
      </c>
      <c r="E503" s="0" t="n">
        <f aca="false">IF(ISBLANK(RawFinancials!E503),"",RawFinancials!E503)</f>
        <v>0.04</v>
      </c>
      <c r="F503" s="0" t="n">
        <f aca="false">IF(ISBLANK(RawFinancials!F503),"",RawFinancials!F503)</f>
        <v>274634</v>
      </c>
      <c r="G503" s="0" t="n">
        <f aca="false">IF(ISBLANK(RawFinancials!G503),"",RawFinancials!G503)</f>
        <v>10.9861597924329</v>
      </c>
      <c r="H503" s="0" t="str">
        <f aca="false">IF(ISBLANK(RawFinancials!H503),"",RawFinancials!H503)</f>
        <v>18012_20240630</v>
      </c>
      <c r="I503" s="0" t="n">
        <f aca="false">IF(ISBLANK(RawFinancials!I503),"",RawFinancials!I503)</f>
        <v>1.19338755097338</v>
      </c>
      <c r="J503" s="0" t="n">
        <f aca="false">IF(ISBLANK(RawFinancials!J503),"",RawFinancials!J503)</f>
        <v>51095</v>
      </c>
      <c r="K503" s="0" t="n">
        <f aca="false">IF(ISBLANK(RawFinancials!K503),"",RawFinancials!K503)</f>
        <v>30545</v>
      </c>
      <c r="L503" s="0" t="n">
        <f aca="false">IF(ISBLANK(RawFinancials!L503),"",RawFinancials!L503)</f>
        <v>2035131</v>
      </c>
      <c r="M503" s="0" t="n">
        <f aca="false">IF(ISBLANK(RawFinancials!M503),"",RawFinancials!M503)</f>
        <v>2010844</v>
      </c>
      <c r="N503" s="0" t="n">
        <f aca="false">IF(ISBLANK(RawFinancials!N503),"",RawFinancials!N503)</f>
        <v>1928747</v>
      </c>
      <c r="O503" s="0" t="n">
        <f aca="false">IF(ISBLANK(RawFinancials!O503),"",RawFinancials!O503)</f>
        <v>990</v>
      </c>
      <c r="P503" s="0" t="str">
        <f aca="false">IF(ISBLANK(RawFinancials!P503),"",RawFinancials!P503)</f>
        <v>BANK OF NEW HAMPSHIRE</v>
      </c>
      <c r="Q503" s="0" t="n">
        <f aca="false">IF(ISBLANK(RawFinancials!Q503),"",RawFinancials!Q503)</f>
        <v>0.0486455171681822</v>
      </c>
      <c r="R503" s="0" t="n">
        <f aca="false">IF(ISBLANK(RawFinancials!R503),"",RawFinancials!R503)</f>
        <v>2.68205710330269</v>
      </c>
      <c r="S503" s="0" t="n">
        <f aca="false">IF(ISBLANK(RawFinancials!S503),"",RawFinancials!S503)</f>
        <v>49</v>
      </c>
      <c r="T503" s="0" t="n">
        <f aca="false">IF(ISBLANK(RawFinancials!T503),"",RawFinancials!T503)</f>
        <v>2843</v>
      </c>
      <c r="U503" s="0" t="n">
        <f aca="false">IF(ISBLANK(RawFinancials!U503),"",RawFinancials!U503)</f>
        <v>0</v>
      </c>
      <c r="V503" s="0" t="n">
        <f aca="false">IF(ISBLANK(RawFinancials!V503),"",RawFinancials!V503)</f>
        <v>14.6041845930891</v>
      </c>
      <c r="W503" s="0" t="n">
        <f aca="false">IF(ISBLANK(RawFinancials!W503),"",RawFinancials!W503)</f>
        <v>20240630</v>
      </c>
      <c r="X503" s="0" t="n">
        <f aca="false">IF(ISBLANK(RawFinancials!X503),"",RawFinancials!X503)</f>
        <v>0.658441157978623</v>
      </c>
      <c r="Y503" s="0" t="n">
        <f aca="false">IF(ISBLANK(RawFinancials!Y503),"",RawFinancials!Y503)</f>
        <v>6.09</v>
      </c>
      <c r="Z503" s="0" t="str">
        <f aca="false">IF(ISBLANK(RawFinancials!Z503),"",RawFinancials!Z503)</f>
        <v>NH</v>
      </c>
      <c r="AA503" s="0" t="n">
        <f aca="false">RawFinancials!AA503</f>
        <v>1</v>
      </c>
      <c r="AB503" s="0" t="n">
        <f aca="false">RawFinancials!AB503</f>
        <v>990</v>
      </c>
      <c r="AC503" s="0" t="n">
        <f aca="false">RawFinancials!AC503</f>
        <v>0.0396028830898889</v>
      </c>
      <c r="AD503" s="0" t="n">
        <f aca="false">IF(L503&gt;0,100*N503/L503,"")</f>
        <v>94.7726215167476</v>
      </c>
      <c r="AE503" s="0" t="n">
        <f aca="false">IF(B503&gt;0,100*F503/B503,"")</f>
        <v>10.9861597924329</v>
      </c>
      <c r="AF503" s="0" t="str">
        <f aca="false">RawFinancials!AE503</f>
        <v/>
      </c>
    </row>
    <row r="504" customFormat="false" ht="15" hidden="false" customHeight="false" outlineLevel="0" collapsed="false">
      <c r="A504" s="0" t="n">
        <f aca="false">IF(ISBLANK(RawFinancials!A504),"",RawFinancials!A504)</f>
        <v>504</v>
      </c>
      <c r="B504" s="0" t="n">
        <f aca="false">IF(ISBLANK(RawFinancials!B504),"",RawFinancials!B504)</f>
        <v>2913389</v>
      </c>
      <c r="C504" s="0" t="n">
        <f aca="false">IF(ISBLANK(RawFinancials!C504),"",RawFinancials!C504)</f>
        <v>18013</v>
      </c>
      <c r="D504" s="0" t="n">
        <f aca="false">IF(ISBLANK(RawFinancials!D504),"",RawFinancials!D504)</f>
        <v>2458436</v>
      </c>
      <c r="E504" s="0" t="n">
        <f aca="false">IF(ISBLANK(RawFinancials!E504),"",RawFinancials!E504)</f>
        <v>0.01</v>
      </c>
      <c r="F504" s="0" t="n">
        <f aca="false">IF(ISBLANK(RawFinancials!F504),"",RawFinancials!F504)</f>
        <v>223415</v>
      </c>
      <c r="G504" s="0" t="n">
        <f aca="false">IF(ISBLANK(RawFinancials!G504),"",RawFinancials!G504)</f>
        <v>7.66856056640565</v>
      </c>
      <c r="H504" s="0" t="str">
        <f aca="false">IF(ISBLANK(RawFinancials!H504),"",RawFinancials!H504)</f>
        <v>18013_20240630</v>
      </c>
      <c r="I504" s="0" t="n">
        <f aca="false">IF(ISBLANK(RawFinancials!I504),"",RawFinancials!I504)</f>
        <v>0.706242718986724</v>
      </c>
      <c r="J504" s="0" t="n">
        <f aca="false">IF(ISBLANK(RawFinancials!J504),"",RawFinancials!J504)</f>
        <v>108697</v>
      </c>
      <c r="K504" s="0" t="n">
        <f aca="false">IF(ISBLANK(RawFinancials!K504),"",RawFinancials!K504)</f>
        <v>24275</v>
      </c>
      <c r="L504" s="0" t="n">
        <f aca="false">IF(ISBLANK(RawFinancials!L504),"",RawFinancials!L504)</f>
        <v>2408662</v>
      </c>
      <c r="M504" s="0" t="n">
        <f aca="false">IF(ISBLANK(RawFinancials!M504),"",RawFinancials!M504)</f>
        <v>2391651</v>
      </c>
      <c r="N504" s="0" t="n">
        <f aca="false">IF(ISBLANK(RawFinancials!N504),"",RawFinancials!N504)</f>
        <v>2192853</v>
      </c>
      <c r="O504" s="0" t="n">
        <f aca="false">IF(ISBLANK(RawFinancials!O504),"",RawFinancials!O504)</f>
        <v>1084</v>
      </c>
      <c r="P504" s="0" t="str">
        <f aca="false">IF(ISBLANK(RawFinancials!P504),"",RawFinancials!P504)</f>
        <v>MASCOMA BANK</v>
      </c>
      <c r="Q504" s="0" t="n">
        <f aca="false">IF(ISBLANK(RawFinancials!Q504),"",RawFinancials!Q504)</f>
        <v>0.0543040077852351</v>
      </c>
      <c r="R504" s="0" t="n">
        <f aca="false">IF(ISBLANK(RawFinancials!R504),"",RawFinancials!R504)</f>
        <v>2.42371924301835</v>
      </c>
      <c r="S504" s="0" t="n">
        <f aca="false">IF(ISBLANK(RawFinancials!S504),"",RawFinancials!S504)</f>
        <v>107</v>
      </c>
      <c r="T504" s="0" t="n">
        <f aca="false">IF(ISBLANK(RawFinancials!T504),"",RawFinancials!T504)</f>
        <v>5903</v>
      </c>
      <c r="U504" s="0" t="n">
        <f aca="false">IF(ISBLANK(RawFinancials!U504),"",RawFinancials!U504)</f>
        <v>224</v>
      </c>
      <c r="V504" s="0" t="n">
        <f aca="false">IF(ISBLANK(RawFinancials!V504),"",RawFinancials!V504)</f>
        <v>12.2970178752133</v>
      </c>
      <c r="W504" s="0" t="n">
        <f aca="false">IF(ISBLANK(RawFinancials!W504),"",RawFinancials!W504)</f>
        <v>20240630</v>
      </c>
      <c r="X504" s="0" t="n">
        <f aca="false">IF(ISBLANK(RawFinancials!X504),"",RawFinancials!X504)</f>
        <v>0.222779696164816</v>
      </c>
      <c r="Y504" s="0" t="n">
        <f aca="false">IF(ISBLANK(RawFinancials!Y504),"",RawFinancials!Y504)</f>
        <v>2.95</v>
      </c>
      <c r="Z504" s="0" t="str">
        <f aca="false">IF(ISBLANK(RawFinancials!Z504),"",RawFinancials!Z504)</f>
        <v>NH</v>
      </c>
      <c r="AA504" s="0" t="n">
        <f aca="false">RawFinancials!AA504</f>
        <v>1</v>
      </c>
      <c r="AB504" s="0" t="n">
        <f aca="false">RawFinancials!AB504</f>
        <v>1308</v>
      </c>
      <c r="AC504" s="0" t="n">
        <f aca="false">RawFinancials!AC504</f>
        <v>0.0448961673157961</v>
      </c>
      <c r="AD504" s="0" t="n">
        <f aca="false">IF(L504&gt;0,100*N504/L504,"")</f>
        <v>91.040295400517</v>
      </c>
      <c r="AE504" s="0" t="n">
        <f aca="false">IF(B504&gt;0,100*F504/B504,"")</f>
        <v>7.66856056640565</v>
      </c>
      <c r="AF504" s="0" t="str">
        <f aca="false">RawFinancials!AE504</f>
        <v/>
      </c>
    </row>
    <row r="505" customFormat="false" ht="15" hidden="false" customHeight="false" outlineLevel="0" collapsed="false">
      <c r="A505" s="0" t="n">
        <f aca="false">IF(ISBLANK(RawFinancials!A505),"",RawFinancials!A505)</f>
        <v>505</v>
      </c>
      <c r="B505" s="0" t="n">
        <f aca="false">IF(ISBLANK(RawFinancials!B505),"",RawFinancials!B505)</f>
        <v>393662</v>
      </c>
      <c r="C505" s="0" t="n">
        <f aca="false">IF(ISBLANK(RawFinancials!C505),"",RawFinancials!C505)</f>
        <v>18028</v>
      </c>
      <c r="D505" s="0" t="n">
        <f aca="false">IF(ISBLANK(RawFinancials!D505),"",RawFinancials!D505)</f>
        <v>324859</v>
      </c>
      <c r="E505" s="0" t="n">
        <f aca="false">IF(ISBLANK(RawFinancials!E505),"",RawFinancials!E505)</f>
        <v>0.02</v>
      </c>
      <c r="F505" s="0" t="n">
        <f aca="false">IF(ISBLANK(RawFinancials!F505),"",RawFinancials!F505)</f>
        <v>40845</v>
      </c>
      <c r="G505" s="0" t="n">
        <f aca="false">IF(ISBLANK(RawFinancials!G505),"",RawFinancials!G505)</f>
        <v>10.3756522092557</v>
      </c>
      <c r="H505" s="0" t="str">
        <f aca="false">IF(ISBLANK(RawFinancials!H505),"",RawFinancials!H505)</f>
        <v>18028_20240630</v>
      </c>
      <c r="I505" s="0" t="n">
        <f aca="false">IF(ISBLANK(RawFinancials!I505),"",RawFinancials!I505)</f>
        <v>0.762347437994508</v>
      </c>
      <c r="J505" s="0" t="n">
        <f aca="false">IF(ISBLANK(RawFinancials!J505),"",RawFinancials!J505)</f>
        <v>14637</v>
      </c>
      <c r="K505" s="0" t="n">
        <f aca="false">IF(ISBLANK(RawFinancials!K505),"",RawFinancials!K505)</f>
        <v>6650</v>
      </c>
      <c r="L505" s="0" t="n">
        <f aca="false">IF(ISBLANK(RawFinancials!L505),"",RawFinancials!L505)</f>
        <v>270218</v>
      </c>
      <c r="M505" s="0" t="n">
        <f aca="false">IF(ISBLANK(RawFinancials!M505),"",RawFinancials!M505)</f>
        <v>268158</v>
      </c>
      <c r="N505" s="0" t="n">
        <f aca="false">IF(ISBLANK(RawFinancials!N505),"",RawFinancials!N505)</f>
        <v>243503</v>
      </c>
      <c r="O505" s="0" t="n">
        <f aca="false">IF(ISBLANK(RawFinancials!O505),"",RawFinancials!O505)</f>
        <v>548</v>
      </c>
      <c r="P505" s="0" t="str">
        <f aca="false">IF(ISBLANK(RawFinancials!P505),"",RawFinancials!P505)</f>
        <v>SUGAR RIVER BANK</v>
      </c>
      <c r="Q505" s="0" t="n">
        <f aca="false">IF(ISBLANK(RawFinancials!Q505),"",RawFinancials!Q505)</f>
        <v>0.227964088254668</v>
      </c>
      <c r="R505" s="0" t="n">
        <f aca="false">IF(ISBLANK(RawFinancials!R505),"",RawFinancials!R505)</f>
        <v>3.25736775755223</v>
      </c>
      <c r="S505" s="0" t="n">
        <f aca="false">IF(ISBLANK(RawFinancials!S505),"",RawFinancials!S505)</f>
        <v>299</v>
      </c>
      <c r="T505" s="0" t="n">
        <f aca="false">IF(ISBLANK(RawFinancials!T505),"",RawFinancials!T505)</f>
        <v>1523</v>
      </c>
      <c r="U505" s="0" t="n">
        <f aca="false">IF(ISBLANK(RawFinancials!U505),"",RawFinancials!U505)</f>
        <v>68</v>
      </c>
      <c r="V505" s="0" t="n">
        <f aca="false">IF(ISBLANK(RawFinancials!V505),"",RawFinancials!V505)</f>
        <v>0</v>
      </c>
      <c r="W505" s="0" t="n">
        <f aca="false">IF(ISBLANK(RawFinancials!W505),"",RawFinancials!W505)</f>
        <v>20240630</v>
      </c>
      <c r="X505" s="0" t="n">
        <f aca="false">IF(ISBLANK(RawFinancials!X505),"",RawFinancials!X505)</f>
        <v>0.470352502506773</v>
      </c>
      <c r="Y505" s="0" t="n">
        <f aca="false">IF(ISBLANK(RawFinancials!Y505),"",RawFinancials!Y505)</f>
        <v>4.56</v>
      </c>
      <c r="Z505" s="0" t="str">
        <f aca="false">IF(ISBLANK(RawFinancials!Z505),"",RawFinancials!Z505)</f>
        <v>NH</v>
      </c>
      <c r="AA505" s="0" t="n">
        <f aca="false">RawFinancials!AA505</f>
        <v>1</v>
      </c>
      <c r="AB505" s="0" t="n">
        <f aca="false">RawFinancials!AB505</f>
        <v>616</v>
      </c>
      <c r="AC505" s="0" t="n">
        <f aca="false">RawFinancials!AC505</f>
        <v>0.156479416352099</v>
      </c>
      <c r="AD505" s="0" t="n">
        <f aca="false">IF(L505&gt;0,100*N505/L505,"")</f>
        <v>90.1135379582411</v>
      </c>
      <c r="AE505" s="0" t="n">
        <f aca="false">IF(B505&gt;0,100*F505/B505,"")</f>
        <v>10.3756522092557</v>
      </c>
      <c r="AF505" s="0" t="str">
        <f aca="false">RawFinancials!AE505</f>
        <v>原始0：需核实适用/报告口径</v>
      </c>
    </row>
    <row r="506" customFormat="false" ht="15" hidden="false" customHeight="false" outlineLevel="0" collapsed="false">
      <c r="A506" s="0" t="n">
        <f aca="false">IF(ISBLANK(RawFinancials!A506),"",RawFinancials!A506)</f>
        <v>506</v>
      </c>
      <c r="B506" s="0" t="n">
        <f aca="false">IF(ISBLANK(RawFinancials!B506),"",RawFinancials!B506)</f>
        <v>764903</v>
      </c>
      <c r="C506" s="0" t="n">
        <f aca="false">IF(ISBLANK(RawFinancials!C506),"",RawFinancials!C506)</f>
        <v>18030</v>
      </c>
      <c r="D506" s="0" t="n">
        <f aca="false">IF(ISBLANK(RawFinancials!D506),"",RawFinancials!D506)</f>
        <v>682796</v>
      </c>
      <c r="E506" s="0" t="n">
        <f aca="false">IF(ISBLANK(RawFinancials!E506),"",RawFinancials!E506)</f>
        <v>0.02</v>
      </c>
      <c r="F506" s="0" t="n">
        <f aca="false">IF(ISBLANK(RawFinancials!F506),"",RawFinancials!F506)</f>
        <v>50593</v>
      </c>
      <c r="G506" s="0" t="n">
        <f aca="false">IF(ISBLANK(RawFinancials!G506),"",RawFinancials!G506)</f>
        <v>6.61430272858127</v>
      </c>
      <c r="H506" s="0" t="str">
        <f aca="false">IF(ISBLANK(RawFinancials!H506),"",RawFinancials!H506)</f>
        <v>18030_20240630</v>
      </c>
      <c r="I506" s="0" t="n">
        <f aca="false">IF(ISBLANK(RawFinancials!I506),"",RawFinancials!I506)</f>
        <v>0.992613150648899</v>
      </c>
      <c r="J506" s="0" t="n">
        <f aca="false">IF(ISBLANK(RawFinancials!J506),"",RawFinancials!J506)</f>
        <v>41777</v>
      </c>
      <c r="K506" s="0" t="n">
        <f aca="false">IF(ISBLANK(RawFinancials!K506),"",RawFinancials!K506)</f>
        <v>99073</v>
      </c>
      <c r="L506" s="0" t="n">
        <f aca="false">IF(ISBLANK(RawFinancials!L506),"",RawFinancials!L506)</f>
        <v>593081</v>
      </c>
      <c r="M506" s="0" t="n">
        <f aca="false">IF(ISBLANK(RawFinancials!M506),"",RawFinancials!M506)</f>
        <v>587194</v>
      </c>
      <c r="N506" s="0" t="n">
        <f aca="false">IF(ISBLANK(RawFinancials!N506),"",RawFinancials!N506)</f>
        <v>452116</v>
      </c>
      <c r="O506" s="0" t="n">
        <f aca="false">IF(ISBLANK(RawFinancials!O506),"",RawFinancials!O506)</f>
        <v>1934</v>
      </c>
      <c r="P506" s="0" t="str">
        <f aca="false">IF(ISBLANK(RawFinancials!P506),"",RawFinancials!P506)</f>
        <v>SAVINGS BANK OF WALPOLE</v>
      </c>
      <c r="Q506" s="0" t="n">
        <f aca="false">IF(ISBLANK(RawFinancials!Q506),"",RawFinancials!Q506)</f>
        <v>0.326093737617627</v>
      </c>
      <c r="R506" s="0" t="n">
        <f aca="false">IF(ISBLANK(RawFinancials!R506),"",RawFinancials!R506)</f>
        <v>3.4152717577477</v>
      </c>
      <c r="S506" s="0" t="n">
        <f aca="false">IF(ISBLANK(RawFinancials!S506),"",RawFinancials!S506)</f>
        <v>79</v>
      </c>
      <c r="T506" s="0" t="n">
        <f aca="false">IF(ISBLANK(RawFinancials!T506),"",RawFinancials!T506)</f>
        <v>1233</v>
      </c>
      <c r="U506" s="0" t="n">
        <f aca="false">IF(ISBLANK(RawFinancials!U506),"",RawFinancials!U506)</f>
        <v>0</v>
      </c>
      <c r="V506" s="0" t="n">
        <f aca="false">IF(ISBLANK(RawFinancials!V506),"",RawFinancials!V506)</f>
        <v>13.4436887474241</v>
      </c>
      <c r="W506" s="0" t="n">
        <f aca="false">IF(ISBLANK(RawFinancials!W506),"",RawFinancials!W506)</f>
        <v>20240630</v>
      </c>
      <c r="X506" s="0" t="n">
        <f aca="false">IF(ISBLANK(RawFinancials!X506),"",RawFinancials!X506)</f>
        <v>0.674002311473751</v>
      </c>
      <c r="Y506" s="0" t="n">
        <f aca="false">IF(ISBLANK(RawFinancials!Y506),"",RawFinancials!Y506)</f>
        <v>10.19</v>
      </c>
      <c r="Z506" s="0" t="str">
        <f aca="false">IF(ISBLANK(RawFinancials!Z506),"",RawFinancials!Z506)</f>
        <v>NH</v>
      </c>
      <c r="AA506" s="0" t="n">
        <f aca="false">RawFinancials!AA506</f>
        <v>1</v>
      </c>
      <c r="AB506" s="0" t="n">
        <f aca="false">RawFinancials!AB506</f>
        <v>1934</v>
      </c>
      <c r="AC506" s="0" t="n">
        <f aca="false">RawFinancials!AC506</f>
        <v>0.252842517286506</v>
      </c>
      <c r="AD506" s="0" t="n">
        <f aca="false">IF(L506&gt;0,100*N506/L506,"")</f>
        <v>76.2317457480513</v>
      </c>
      <c r="AE506" s="0" t="n">
        <f aca="false">IF(B506&gt;0,100*F506/B506,"")</f>
        <v>6.61430272858127</v>
      </c>
      <c r="AF506" s="0" t="str">
        <f aca="false">RawFinancials!AE506</f>
        <v/>
      </c>
    </row>
    <row r="507" customFormat="false" ht="15" hidden="false" customHeight="false" outlineLevel="0" collapsed="false">
      <c r="A507" s="0" t="n">
        <f aca="false">IF(ISBLANK(RawFinancials!A507),"",RawFinancials!A507)</f>
        <v>507</v>
      </c>
      <c r="B507" s="0" t="n">
        <f aca="false">IF(ISBLANK(RawFinancials!B507),"",RawFinancials!B507)</f>
        <v>669965</v>
      </c>
      <c r="C507" s="0" t="n">
        <f aca="false">IF(ISBLANK(RawFinancials!C507),"",RawFinancials!C507)</f>
        <v>18031</v>
      </c>
      <c r="D507" s="0" t="n">
        <f aca="false">IF(ISBLANK(RawFinancials!D507),"",RawFinancials!D507)</f>
        <v>520982</v>
      </c>
      <c r="E507" s="0" t="n">
        <f aca="false">IF(ISBLANK(RawFinancials!E507),"",RawFinancials!E507)</f>
        <v>-0.05</v>
      </c>
      <c r="F507" s="0" t="n">
        <f aca="false">IF(ISBLANK(RawFinancials!F507),"",RawFinancials!F507)</f>
        <v>36939</v>
      </c>
      <c r="G507" s="0" t="n">
        <f aca="false">IF(ISBLANK(RawFinancials!G507),"",RawFinancials!G507)</f>
        <v>5.5135716044868</v>
      </c>
      <c r="H507" s="0" t="str">
        <f aca="false">IF(ISBLANK(RawFinancials!H507),"",RawFinancials!H507)</f>
        <v>18031_20240630</v>
      </c>
      <c r="I507" s="0" t="n">
        <f aca="false">IF(ISBLANK(RawFinancials!I507),"",RawFinancials!I507)</f>
        <v>0.814426254463804</v>
      </c>
      <c r="J507" s="0" t="n">
        <f aca="false">IF(ISBLANK(RawFinancials!J507),"",RawFinancials!J507)</f>
        <v>24050</v>
      </c>
      <c r="K507" s="0" t="n">
        <f aca="false">IF(ISBLANK(RawFinancials!K507),"",RawFinancials!K507)</f>
        <v>9330</v>
      </c>
      <c r="L507" s="0" t="n">
        <f aca="false">IF(ISBLANK(RawFinancials!L507),"",RawFinancials!L507)</f>
        <v>472971</v>
      </c>
      <c r="M507" s="0" t="n">
        <f aca="false">IF(ISBLANK(RawFinancials!M507),"",RawFinancials!M507)</f>
        <v>469119</v>
      </c>
      <c r="N507" s="0" t="n">
        <f aca="false">IF(ISBLANK(RawFinancials!N507),"",RawFinancials!N507)</f>
        <v>433316</v>
      </c>
      <c r="O507" s="0" t="n">
        <f aca="false">IF(ISBLANK(RawFinancials!O507),"",RawFinancials!O507)</f>
        <v>900</v>
      </c>
      <c r="P507" s="0" t="str">
        <f aca="false">IF(ISBLANK(RawFinancials!P507),"",RawFinancials!P507)</f>
        <v>WOODSVILLE GUARANTY SAVINGS BANK</v>
      </c>
      <c r="Q507" s="0" t="n">
        <f aca="false">IF(ISBLANK(RawFinancials!Q507),"",RawFinancials!Q507)</f>
        <v>0.195995103293859</v>
      </c>
      <c r="R507" s="0" t="n">
        <f aca="false">IF(ISBLANK(RawFinancials!R507),"",RawFinancials!R507)</f>
        <v>2.62341205153674</v>
      </c>
      <c r="S507" s="0" t="n">
        <f aca="false">IF(ISBLANK(RawFinancials!S507),"",RawFinancials!S507)</f>
        <v>13</v>
      </c>
      <c r="T507" s="0" t="n">
        <f aca="false">IF(ISBLANK(RawFinancials!T507),"",RawFinancials!T507)</f>
        <v>286</v>
      </c>
      <c r="U507" s="0" t="n">
        <f aca="false">IF(ISBLANK(RawFinancials!U507),"",RawFinancials!U507)</f>
        <v>27</v>
      </c>
      <c r="V507" s="0" t="n">
        <f aca="false">IF(ISBLANK(RawFinancials!V507),"",RawFinancials!V507)</f>
        <v>16.5316455015501</v>
      </c>
      <c r="W507" s="0" t="n">
        <f aca="false">IF(ISBLANK(RawFinancials!W507),"",RawFinancials!W507)</f>
        <v>20240630</v>
      </c>
      <c r="X507" s="0" t="n">
        <f aca="false">IF(ISBLANK(RawFinancials!X507),"",RawFinancials!X507)</f>
        <v>0.428613561597885</v>
      </c>
      <c r="Y507" s="0" t="n">
        <f aca="false">IF(ISBLANK(RawFinancials!Y507),"",RawFinancials!Y507)</f>
        <v>7.82</v>
      </c>
      <c r="Z507" s="0" t="str">
        <f aca="false">IF(ISBLANK(RawFinancials!Z507),"",RawFinancials!Z507)</f>
        <v>NH</v>
      </c>
      <c r="AA507" s="0" t="n">
        <f aca="false">RawFinancials!AA507</f>
        <v>1</v>
      </c>
      <c r="AB507" s="0" t="n">
        <f aca="false">RawFinancials!AB507</f>
        <v>927</v>
      </c>
      <c r="AC507" s="0" t="n">
        <f aca="false">RawFinancials!AC507</f>
        <v>0.13836543700044</v>
      </c>
      <c r="AD507" s="0" t="n">
        <f aca="false">IF(L507&gt;0,100*N507/L507,"")</f>
        <v>91.6157650257627</v>
      </c>
      <c r="AE507" s="0" t="n">
        <f aca="false">IF(B507&gt;0,100*F507/B507,"")</f>
        <v>5.5135716044868</v>
      </c>
      <c r="AF507" s="0" t="str">
        <f aca="false">RawFinancials!AE507</f>
        <v/>
      </c>
    </row>
    <row r="508" customFormat="false" ht="15" hidden="false" customHeight="false" outlineLevel="0" collapsed="false">
      <c r="A508" s="0" t="n">
        <f aca="false">IF(ISBLANK(RawFinancials!A508),"",RawFinancials!A508)</f>
        <v>508</v>
      </c>
      <c r="B508" s="0" t="n">
        <f aca="false">IF(ISBLANK(RawFinancials!B508),"",RawFinancials!B508)</f>
        <v>528195</v>
      </c>
      <c r="C508" s="0" t="n">
        <f aca="false">IF(ISBLANK(RawFinancials!C508),"",RawFinancials!C508)</f>
        <v>18038</v>
      </c>
      <c r="D508" s="0" t="n">
        <f aca="false">IF(ISBLANK(RawFinancials!D508),"",RawFinancials!D508)</f>
        <v>406919</v>
      </c>
      <c r="E508" s="0" t="n">
        <f aca="false">IF(ISBLANK(RawFinancials!E508),"",RawFinancials!E508)</f>
        <v>0.03</v>
      </c>
      <c r="F508" s="0" t="n">
        <f aca="false">IF(ISBLANK(RawFinancials!F508),"",RawFinancials!F508)</f>
        <v>66574</v>
      </c>
      <c r="G508" s="0" t="n">
        <f aca="false">IF(ISBLANK(RawFinancials!G508),"",RawFinancials!G508)</f>
        <v>12.6040572137184</v>
      </c>
      <c r="H508" s="0" t="str">
        <f aca="false">IF(ISBLANK(RawFinancials!H508),"",RawFinancials!H508)</f>
        <v>18038_20240630</v>
      </c>
      <c r="I508" s="0" t="n">
        <f aca="false">IF(ISBLANK(RawFinancials!I508),"",RawFinancials!I508)</f>
        <v>0.938844668233402</v>
      </c>
      <c r="J508" s="0" t="n">
        <f aca="false">IF(ISBLANK(RawFinancials!J508),"",RawFinancials!J508)</f>
        <v>27415</v>
      </c>
      <c r="K508" s="0" t="n">
        <f aca="false">IF(ISBLANK(RawFinancials!K508),"",RawFinancials!K508)</f>
        <v>4069</v>
      </c>
      <c r="L508" s="0" t="n">
        <f aca="false">IF(ISBLANK(RawFinancials!L508),"",RawFinancials!L508)</f>
        <v>417854</v>
      </c>
      <c r="M508" s="0" t="n">
        <f aca="false">IF(ISBLANK(RawFinancials!M508),"",RawFinancials!M508)</f>
        <v>413931</v>
      </c>
      <c r="N508" s="0" t="n">
        <f aca="false">IF(ISBLANK(RawFinancials!N508),"",RawFinancials!N508)</f>
        <v>385504</v>
      </c>
      <c r="O508" s="0" t="n">
        <f aca="false">IF(ISBLANK(RawFinancials!O508),"",RawFinancials!O508)</f>
        <v>2632</v>
      </c>
      <c r="P508" s="0" t="str">
        <f aca="false">IF(ISBLANK(RawFinancials!P508),"",RawFinancials!P508)</f>
        <v>CLAREMONT SAVINGS BANK</v>
      </c>
      <c r="Q508" s="0" t="n">
        <f aca="false">IF(ISBLANK(RawFinancials!Q508),"",RawFinancials!Q508)</f>
        <v>0.629885079477521</v>
      </c>
      <c r="R508" s="0" t="n">
        <f aca="false">IF(ISBLANK(RawFinancials!R508),"",RawFinancials!R508)</f>
        <v>2.45039463696265</v>
      </c>
      <c r="S508" s="0" t="n">
        <f aca="false">IF(ISBLANK(RawFinancials!S508),"",RawFinancials!S508)</f>
        <v>-4</v>
      </c>
      <c r="T508" s="0" t="n">
        <f aca="false">IF(ISBLANK(RawFinancials!T508),"",RawFinancials!T508)</f>
        <v>1085</v>
      </c>
      <c r="U508" s="0" t="n">
        <f aca="false">IF(ISBLANK(RawFinancials!U508),"",RawFinancials!U508)</f>
        <v>0</v>
      </c>
      <c r="V508" s="0" t="n">
        <f aca="false">IF(ISBLANK(RawFinancials!V508),"",RawFinancials!V508)</f>
        <v>0</v>
      </c>
      <c r="W508" s="0" t="n">
        <f aca="false">IF(ISBLANK(RawFinancials!W508),"",RawFinancials!W508)</f>
        <v>20240630</v>
      </c>
      <c r="X508" s="0" t="n">
        <f aca="false">IF(ISBLANK(RawFinancials!X508),"",RawFinancials!X508)</f>
        <v>0.655171832852562</v>
      </c>
      <c r="Y508" s="0" t="n">
        <f aca="false">IF(ISBLANK(RawFinancials!Y508),"",RawFinancials!Y508)</f>
        <v>5.28</v>
      </c>
      <c r="Z508" s="0" t="str">
        <f aca="false">IF(ISBLANK(RawFinancials!Z508),"",RawFinancials!Z508)</f>
        <v>NH</v>
      </c>
      <c r="AA508" s="0" t="n">
        <f aca="false">RawFinancials!AA508</f>
        <v>1</v>
      </c>
      <c r="AB508" s="0" t="n">
        <f aca="false">RawFinancials!AB508</f>
        <v>2632</v>
      </c>
      <c r="AC508" s="0" t="n">
        <f aca="false">RawFinancials!AC508</f>
        <v>0.49830081693314</v>
      </c>
      <c r="AD508" s="0" t="n">
        <f aca="false">IF(L508&gt;0,100*N508/L508,"")</f>
        <v>92.2580614281543</v>
      </c>
      <c r="AE508" s="0" t="n">
        <f aca="false">IF(B508&gt;0,100*F508/B508,"")</f>
        <v>12.6040572137184</v>
      </c>
      <c r="AF508" s="0" t="str">
        <f aca="false">RawFinancials!AE508</f>
        <v>原始0：需核实适用/报告口径</v>
      </c>
    </row>
    <row r="509" customFormat="false" ht="15" hidden="false" customHeight="false" outlineLevel="0" collapsed="false">
      <c r="A509" s="0" t="n">
        <f aca="false">IF(ISBLANK(RawFinancials!A509),"",RawFinancials!A509)</f>
        <v>509</v>
      </c>
      <c r="B509" s="0" t="n">
        <f aca="false">IF(ISBLANK(RawFinancials!B509),"",RawFinancials!B509)</f>
        <v>7222033</v>
      </c>
      <c r="C509" s="0" t="n">
        <f aca="false">IF(ISBLANK(RawFinancials!C509),"",RawFinancials!C509)</f>
        <v>18408</v>
      </c>
      <c r="D509" s="0" t="n">
        <f aca="false">IF(ISBLANK(RawFinancials!D509),"",RawFinancials!D509)</f>
        <v>5353465</v>
      </c>
      <c r="E509" s="0" t="n">
        <f aca="false">IF(ISBLANK(RawFinancials!E509),"",RawFinancials!E509)</f>
        <v>0.01</v>
      </c>
      <c r="F509" s="0" t="n">
        <f aca="false">IF(ISBLANK(RawFinancials!F509),"",RawFinancials!F509)</f>
        <v>408904</v>
      </c>
      <c r="G509" s="0" t="n">
        <f aca="false">IF(ISBLANK(RawFinancials!G509),"",RawFinancials!G509)</f>
        <v>5.66189603398378</v>
      </c>
      <c r="H509" s="0" t="str">
        <f aca="false">IF(ISBLANK(RawFinancials!H509),"",RawFinancials!H509)</f>
        <v>18408_20240630</v>
      </c>
      <c r="I509" s="0" t="n">
        <f aca="false">IF(ISBLANK(RawFinancials!I509),"",RawFinancials!I509)</f>
        <v>0.662450982699054</v>
      </c>
      <c r="J509" s="0" t="n">
        <f aca="false">IF(ISBLANK(RawFinancials!J509),"",RawFinancials!J509)</f>
        <v>370343</v>
      </c>
      <c r="K509" s="0" t="n">
        <f aca="false">IF(ISBLANK(RawFinancials!K509),"",RawFinancials!K509)</f>
        <v>36119</v>
      </c>
      <c r="L509" s="0" t="n">
        <f aca="false">IF(ISBLANK(RawFinancials!L509),"",RawFinancials!L509)</f>
        <v>4887305</v>
      </c>
      <c r="M509" s="0" t="n">
        <f aca="false">IF(ISBLANK(RawFinancials!M509),"",RawFinancials!M509)</f>
        <v>4854929</v>
      </c>
      <c r="N509" s="0" t="n">
        <f aca="false">IF(ISBLANK(RawFinancials!N509),"",RawFinancials!N509)</f>
        <v>4394120</v>
      </c>
      <c r="O509" s="0" t="n">
        <f aca="false">IF(ISBLANK(RawFinancials!O509),"",RawFinancials!O509)</f>
        <v>4032</v>
      </c>
      <c r="P509" s="0" t="str">
        <f aca="false">IF(ISBLANK(RawFinancials!P509),"",RawFinancials!P509)</f>
        <v>BANGOR SAVINGS BANK</v>
      </c>
      <c r="Q509" s="0" t="n">
        <f aca="false">IF(ISBLANK(RawFinancials!Q509),"",RawFinancials!Q509)</f>
        <v>0.0824994552212313</v>
      </c>
      <c r="R509" s="0" t="n">
        <f aca="false">IF(ISBLANK(RawFinancials!R509),"",RawFinancials!R509)</f>
        <v>2.06214064657911</v>
      </c>
      <c r="S509" s="0" t="n">
        <f aca="false">IF(ISBLANK(RawFinancials!S509),"",RawFinancials!S509)</f>
        <v>-491</v>
      </c>
      <c r="T509" s="0" t="n">
        <f aca="false">IF(ISBLANK(RawFinancials!T509),"",RawFinancials!T509)</f>
        <v>4991</v>
      </c>
      <c r="U509" s="0" t="n">
        <f aca="false">IF(ISBLANK(RawFinancials!U509),"",RawFinancials!U509)</f>
        <v>0</v>
      </c>
      <c r="V509" s="0" t="n">
        <f aca="false">IF(ISBLANK(RawFinancials!V509),"",RawFinancials!V509)</f>
        <v>11.3956962361995</v>
      </c>
      <c r="W509" s="0" t="n">
        <f aca="false">IF(ISBLANK(RawFinancials!W509),"",RawFinancials!W509)</f>
        <v>20240630</v>
      </c>
      <c r="X509" s="0" t="n">
        <f aca="false">IF(ISBLANK(RawFinancials!X509),"",RawFinancials!X509)</f>
        <v>0.0504801142925108</v>
      </c>
      <c r="Y509" s="0" t="n">
        <f aca="false">IF(ISBLANK(RawFinancials!Y509),"",RawFinancials!Y509)</f>
        <v>0.9</v>
      </c>
      <c r="Z509" s="0" t="str">
        <f aca="false">IF(ISBLANK(RawFinancials!Z509),"",RawFinancials!Z509)</f>
        <v>ME</v>
      </c>
      <c r="AA509" s="0" t="n">
        <f aca="false">RawFinancials!AA509</f>
        <v>1</v>
      </c>
      <c r="AB509" s="0" t="n">
        <f aca="false">RawFinancials!AB509</f>
        <v>4032</v>
      </c>
      <c r="AC509" s="0" t="n">
        <f aca="false">RawFinancials!AC509</f>
        <v>0.0558291550315541</v>
      </c>
      <c r="AD509" s="0" t="n">
        <f aca="false">IF(L509&gt;0,100*N509/L509,"")</f>
        <v>89.9088556985905</v>
      </c>
      <c r="AE509" s="0" t="n">
        <f aca="false">IF(B509&gt;0,100*F509/B509,"")</f>
        <v>5.66189603398378</v>
      </c>
      <c r="AF509" s="0" t="str">
        <f aca="false">RawFinancials!AE509</f>
        <v/>
      </c>
    </row>
    <row r="510" customFormat="false" ht="15" hidden="false" customHeight="false" outlineLevel="0" collapsed="false">
      <c r="A510" s="0" t="n">
        <f aca="false">IF(ISBLANK(RawFinancials!A510),"",RawFinancials!A510)</f>
        <v>510</v>
      </c>
      <c r="B510" s="0" t="n">
        <f aca="false">IF(ISBLANK(RawFinancials!B510),"",RawFinancials!B510)</f>
        <v>2602801</v>
      </c>
      <c r="C510" s="0" t="n">
        <f aca="false">IF(ISBLANK(RawFinancials!C510),"",RawFinancials!C510)</f>
        <v>19531</v>
      </c>
      <c r="D510" s="0" t="n">
        <f aca="false">IF(ISBLANK(RawFinancials!D510),"",RawFinancials!D510)</f>
        <v>2007423</v>
      </c>
      <c r="E510" s="0" t="n">
        <f aca="false">IF(ISBLANK(RawFinancials!E510),"",RawFinancials!E510)</f>
        <v>0</v>
      </c>
      <c r="F510" s="0" t="n">
        <f aca="false">IF(ISBLANK(RawFinancials!F510),"",RawFinancials!F510)</f>
        <v>245672</v>
      </c>
      <c r="G510" s="0" t="n">
        <f aca="false">IF(ISBLANK(RawFinancials!G510),"",RawFinancials!G510)</f>
        <v>9.43875463395012</v>
      </c>
      <c r="H510" s="0" t="str">
        <f aca="false">IF(ISBLANK(RawFinancials!H510),"",RawFinancials!H510)</f>
        <v>19531_20240630</v>
      </c>
      <c r="I510" s="0" t="n">
        <f aca="false">IF(ISBLANK(RawFinancials!I510),"",RawFinancials!I510)</f>
        <v>0.956383471621509</v>
      </c>
      <c r="J510" s="0" t="n">
        <f aca="false">IF(ISBLANK(RawFinancials!J510),"",RawFinancials!J510)</f>
        <v>263338</v>
      </c>
      <c r="K510" s="0" t="n">
        <f aca="false">IF(ISBLANK(RawFinancials!K510),"",RawFinancials!K510)</f>
        <v>10817</v>
      </c>
      <c r="L510" s="0" t="n">
        <f aca="false">IF(ISBLANK(RawFinancials!L510),"",RawFinancials!L510)</f>
        <v>2138891</v>
      </c>
      <c r="M510" s="0" t="n">
        <f aca="false">IF(ISBLANK(RawFinancials!M510),"",RawFinancials!M510)</f>
        <v>2118435</v>
      </c>
      <c r="N510" s="0" t="n">
        <f aca="false">IF(ISBLANK(RawFinancials!N510),"",RawFinancials!N510)</f>
        <v>1752265</v>
      </c>
      <c r="O510" s="0" t="n">
        <f aca="false">IF(ISBLANK(RawFinancials!O510),"",RawFinancials!O510)</f>
        <v>8076</v>
      </c>
      <c r="P510" s="0" t="str">
        <f aca="false">IF(ISBLANK(RawFinancials!P510),"",RawFinancials!P510)</f>
        <v>MACHIAS SAVINGS BANK</v>
      </c>
      <c r="Q510" s="0" t="n">
        <f aca="false">IF(ISBLANK(RawFinancials!Q510),"",RawFinancials!Q510)</f>
        <v>0.378139886511281</v>
      </c>
      <c r="R510" s="0" t="n">
        <f aca="false">IF(ISBLANK(RawFinancials!R510),"",RawFinancials!R510)</f>
        <v>2.59185271893759</v>
      </c>
      <c r="S510" s="0" t="n">
        <f aca="false">IF(ISBLANK(RawFinancials!S510),"",RawFinancials!S510)</f>
        <v>452</v>
      </c>
      <c r="T510" s="0" t="n">
        <f aca="false">IF(ISBLANK(RawFinancials!T510),"",RawFinancials!T510)</f>
        <v>3260</v>
      </c>
      <c r="U510" s="0" t="n">
        <f aca="false">IF(ISBLANK(RawFinancials!U510),"",RawFinancials!U510)</f>
        <v>12</v>
      </c>
      <c r="V510" s="0" t="n">
        <f aca="false">IF(ISBLANK(RawFinancials!V510),"",RawFinancials!V510)</f>
        <v>13.7246237828604</v>
      </c>
      <c r="W510" s="0" t="n">
        <f aca="false">IF(ISBLANK(RawFinancials!W510),"",RawFinancials!W510)</f>
        <v>20240630</v>
      </c>
      <c r="X510" s="0" t="n">
        <f aca="false">IF(ISBLANK(RawFinancials!X510),"",RawFinancials!X510)</f>
        <v>0.363488052763751</v>
      </c>
      <c r="Y510" s="0" t="n">
        <f aca="false">IF(ISBLANK(RawFinancials!Y510),"",RawFinancials!Y510)</f>
        <v>3.79</v>
      </c>
      <c r="Z510" s="0" t="str">
        <f aca="false">IF(ISBLANK(RawFinancials!Z510),"",RawFinancials!Z510)</f>
        <v>ME</v>
      </c>
      <c r="AA510" s="0" t="n">
        <f aca="false">RawFinancials!AA510</f>
        <v>1</v>
      </c>
      <c r="AB510" s="0" t="n">
        <f aca="false">RawFinancials!AB510</f>
        <v>8088</v>
      </c>
      <c r="AC510" s="0" t="n">
        <f aca="false">RawFinancials!AC510</f>
        <v>0.310742158159613</v>
      </c>
      <c r="AD510" s="0" t="n">
        <f aca="false">IF(L510&gt;0,100*N510/L510,"")</f>
        <v>81.9239970620289</v>
      </c>
      <c r="AE510" s="0" t="n">
        <f aca="false">IF(B510&gt;0,100*F510/B510,"")</f>
        <v>9.43875463395012</v>
      </c>
      <c r="AF510" s="0" t="str">
        <f aca="false">RawFinancials!AE510</f>
        <v/>
      </c>
    </row>
    <row r="511" customFormat="false" ht="15" hidden="false" customHeight="false" outlineLevel="0" collapsed="false">
      <c r="A511" s="0" t="n">
        <f aca="false">IF(ISBLANK(RawFinancials!A511),"",RawFinancials!A511)</f>
        <v>511</v>
      </c>
      <c r="B511" s="0" t="n">
        <f aca="false">IF(ISBLANK(RawFinancials!B511),"",RawFinancials!B511)</f>
        <v>880879</v>
      </c>
      <c r="C511" s="0" t="n">
        <f aca="false">IF(ISBLANK(RawFinancials!C511),"",RawFinancials!C511)</f>
        <v>19532</v>
      </c>
      <c r="D511" s="0" t="n">
        <f aca="false">IF(ISBLANK(RawFinancials!D511),"",RawFinancials!D511)</f>
        <v>709469</v>
      </c>
      <c r="E511" s="0" t="n">
        <f aca="false">IF(ISBLANK(RawFinancials!E511),"",RawFinancials!E511)</f>
        <v>0.01</v>
      </c>
      <c r="F511" s="0" t="n">
        <f aca="false">IF(ISBLANK(RawFinancials!F511),"",RawFinancials!F511)</f>
        <v>98709</v>
      </c>
      <c r="G511" s="0" t="n">
        <f aca="false">IF(ISBLANK(RawFinancials!G511),"",RawFinancials!G511)</f>
        <v>11.2057388131628</v>
      </c>
      <c r="H511" s="0" t="str">
        <f aca="false">IF(ISBLANK(RawFinancials!H511),"",RawFinancials!H511)</f>
        <v>19532_20240630</v>
      </c>
      <c r="I511" s="0" t="n">
        <f aca="false">IF(ISBLANK(RawFinancials!I511),"",RawFinancials!I511)</f>
        <v>0.992356939958884</v>
      </c>
      <c r="J511" s="0" t="n">
        <f aca="false">IF(ISBLANK(RawFinancials!J511),"",RawFinancials!J511)</f>
        <v>49136</v>
      </c>
      <c r="K511" s="0" t="n">
        <f aca="false">IF(ISBLANK(RawFinancials!K511),"",RawFinancials!K511)</f>
        <v>51678</v>
      </c>
      <c r="L511" s="0" t="n">
        <f aca="false">IF(ISBLANK(RawFinancials!L511),"",RawFinancials!L511)</f>
        <v>596358</v>
      </c>
      <c r="M511" s="0" t="n">
        <f aca="false">IF(ISBLANK(RawFinancials!M511),"",RawFinancials!M511)</f>
        <v>590440</v>
      </c>
      <c r="N511" s="0" t="n">
        <f aca="false">IF(ISBLANK(RawFinancials!N511),"",RawFinancials!N511)</f>
        <v>490094</v>
      </c>
      <c r="O511" s="0" t="n">
        <f aca="false">IF(ISBLANK(RawFinancials!O511),"",RawFinancials!O511)</f>
        <v>1611</v>
      </c>
      <c r="P511" s="0" t="str">
        <f aca="false">IF(ISBLANK(RawFinancials!P511),"",RawFinancials!P511)</f>
        <v>SKOWHEGAN SAVINGS BANK</v>
      </c>
      <c r="Q511" s="0" t="n">
        <f aca="false">IF(ISBLANK(RawFinancials!Q511),"",RawFinancials!Q511)</f>
        <v>0.270139748272011</v>
      </c>
      <c r="R511" s="0" t="n">
        <f aca="false">IF(ISBLANK(RawFinancials!R511),"",RawFinancials!R511)</f>
        <v>3.02981359606163</v>
      </c>
      <c r="S511" s="0" t="n">
        <f aca="false">IF(ISBLANK(RawFinancials!S511),"",RawFinancials!S511)</f>
        <v>40</v>
      </c>
      <c r="T511" s="0" t="n">
        <f aca="false">IF(ISBLANK(RawFinancials!T511),"",RawFinancials!T511)</f>
        <v>1413</v>
      </c>
      <c r="U511" s="0" t="n">
        <f aca="false">IF(ISBLANK(RawFinancials!U511),"",RawFinancials!U511)</f>
        <v>0</v>
      </c>
      <c r="V511" s="0" t="n">
        <f aca="false">IF(ISBLANK(RawFinancials!V511),"",RawFinancials!V511)</f>
        <v>21.2603406906925</v>
      </c>
      <c r="W511" s="0" t="n">
        <f aca="false">IF(ISBLANK(RawFinancials!W511),"",RawFinancials!W511)</f>
        <v>20240630</v>
      </c>
      <c r="X511" s="0" t="n">
        <f aca="false">IF(ISBLANK(RawFinancials!X511),"",RawFinancials!X511)</f>
        <v>0.858496118129066</v>
      </c>
      <c r="Y511" s="0" t="n">
        <f aca="false">IF(ISBLANK(RawFinancials!Y511),"",RawFinancials!Y511)</f>
        <v>7.8</v>
      </c>
      <c r="Z511" s="0" t="str">
        <f aca="false">IF(ISBLANK(RawFinancials!Z511),"",RawFinancials!Z511)</f>
        <v>ME</v>
      </c>
      <c r="AA511" s="0" t="n">
        <f aca="false">RawFinancials!AA511</f>
        <v>1</v>
      </c>
      <c r="AB511" s="0" t="n">
        <f aca="false">RawFinancials!AB511</f>
        <v>1611</v>
      </c>
      <c r="AC511" s="0" t="n">
        <f aca="false">RawFinancials!AC511</f>
        <v>0.18288550413848</v>
      </c>
      <c r="AD511" s="0" t="n">
        <f aca="false">IF(L511&gt;0,100*N511/L511,"")</f>
        <v>82.1811730537697</v>
      </c>
      <c r="AE511" s="0" t="n">
        <f aca="false">IF(B511&gt;0,100*F511/B511,"")</f>
        <v>11.2057388131628</v>
      </c>
      <c r="AF511" s="0" t="str">
        <f aca="false">RawFinancials!AE511</f>
        <v/>
      </c>
    </row>
    <row r="512" customFormat="false" ht="15" hidden="false" customHeight="false" outlineLevel="0" collapsed="false">
      <c r="A512" s="0" t="n">
        <f aca="false">IF(ISBLANK(RawFinancials!A512),"",RawFinancials!A512)</f>
        <v>512</v>
      </c>
      <c r="B512" s="0" t="n">
        <f aca="false">IF(ISBLANK(RawFinancials!B512),"",RawFinancials!B512)</f>
        <v>3132203</v>
      </c>
      <c r="C512" s="0" t="n">
        <f aca="false">IF(ISBLANK(RawFinancials!C512),"",RawFinancials!C512)</f>
        <v>19690</v>
      </c>
      <c r="D512" s="0" t="n">
        <f aca="false">IF(ISBLANK(RawFinancials!D512),"",RawFinancials!D512)</f>
        <v>2362286</v>
      </c>
      <c r="E512" s="0" t="n">
        <f aca="false">IF(ISBLANK(RawFinancials!E512),"",RawFinancials!E512)</f>
        <v>0.07</v>
      </c>
      <c r="F512" s="0" t="n">
        <f aca="false">IF(ISBLANK(RawFinancials!F512),"",RawFinancials!F512)</f>
        <v>376634</v>
      </c>
      <c r="G512" s="0" t="n">
        <f aca="false">IF(ISBLANK(RawFinancials!G512),"",RawFinancials!G512)</f>
        <v>12.024571842885</v>
      </c>
      <c r="H512" s="0" t="str">
        <f aca="false">IF(ISBLANK(RawFinancials!H512),"",RawFinancials!H512)</f>
        <v>19690_20240630</v>
      </c>
      <c r="I512" s="0" t="n">
        <f aca="false">IF(ISBLANK(RawFinancials!I512),"",RawFinancials!I512)</f>
        <v>0.967311891355689</v>
      </c>
      <c r="J512" s="0" t="n">
        <f aca="false">IF(ISBLANK(RawFinancials!J512),"",RawFinancials!J512)</f>
        <v>66187</v>
      </c>
      <c r="K512" s="0" t="n">
        <f aca="false">IF(ISBLANK(RawFinancials!K512),"",RawFinancials!K512)</f>
        <v>285</v>
      </c>
      <c r="L512" s="0" t="n">
        <f aca="false">IF(ISBLANK(RawFinancials!L512),"",RawFinancials!L512)</f>
        <v>2761157</v>
      </c>
      <c r="M512" s="0" t="n">
        <f aca="false">IF(ISBLANK(RawFinancials!M512),"",RawFinancials!M512)</f>
        <v>2734448</v>
      </c>
      <c r="N512" s="0" t="n">
        <f aca="false">IF(ISBLANK(RawFinancials!N512),"",RawFinancials!N512)</f>
        <v>2127514</v>
      </c>
      <c r="O512" s="0" t="n">
        <f aca="false">IF(ISBLANK(RawFinancials!O512),"",RawFinancials!O512)</f>
        <v>28260</v>
      </c>
      <c r="P512" s="0" t="str">
        <f aca="false">IF(ISBLANK(RawFinancials!P512),"",RawFinancials!P512)</f>
        <v>NORTHEAST BANK</v>
      </c>
      <c r="Q512" s="0" t="n">
        <f aca="false">IF(ISBLANK(RawFinancials!Q512),"",RawFinancials!Q512)</f>
        <v>1.02348399602051</v>
      </c>
      <c r="R512" s="0" t="n">
        <f aca="false">IF(ISBLANK(RawFinancials!R512),"",RawFinancials!R512)</f>
        <v>5.08970460803265</v>
      </c>
      <c r="S512" s="0" t="n">
        <f aca="false">IF(ISBLANK(RawFinancials!S512),"",RawFinancials!S512)</f>
        <v>3594</v>
      </c>
      <c r="T512" s="0" t="n">
        <f aca="false">IF(ISBLANK(RawFinancials!T512),"",RawFinancials!T512)</f>
        <v>3926</v>
      </c>
      <c r="U512" s="0" t="n">
        <f aca="false">IF(ISBLANK(RawFinancials!U512),"",RawFinancials!U512)</f>
        <v>0</v>
      </c>
      <c r="V512" s="0" t="n">
        <f aca="false">IF(ISBLANK(RawFinancials!V512),"",RawFinancials!V512)</f>
        <v>14.822901584382</v>
      </c>
      <c r="W512" s="0" t="n">
        <f aca="false">IF(ISBLANK(RawFinancials!W512),"",RawFinancials!W512)</f>
        <v>20240630</v>
      </c>
      <c r="X512" s="0" t="n">
        <f aca="false">IF(ISBLANK(RawFinancials!X512),"",RawFinancials!X512)</f>
        <v>1.9118906936064</v>
      </c>
      <c r="Y512" s="0" t="n">
        <f aca="false">IF(ISBLANK(RawFinancials!Y512),"",RawFinancials!Y512)</f>
        <v>16.48</v>
      </c>
      <c r="Z512" s="0" t="str">
        <f aca="false">IF(ISBLANK(RawFinancials!Z512),"",RawFinancials!Z512)</f>
        <v>ME</v>
      </c>
      <c r="AA512" s="0" t="n">
        <f aca="false">RawFinancials!AA512</f>
        <v>1</v>
      </c>
      <c r="AB512" s="0" t="n">
        <f aca="false">RawFinancials!AB512</f>
        <v>28260</v>
      </c>
      <c r="AC512" s="0" t="n">
        <f aca="false">RawFinancials!AC512</f>
        <v>0.902240372032081</v>
      </c>
      <c r="AD512" s="0" t="n">
        <f aca="false">IF(L512&gt;0,100*N512/L512,"")</f>
        <v>77.0515403506573</v>
      </c>
      <c r="AE512" s="0" t="n">
        <f aca="false">IF(B512&gt;0,100*F512/B512,"")</f>
        <v>12.024571842885</v>
      </c>
      <c r="AF512" s="0" t="str">
        <f aca="false">RawFinancials!AE512</f>
        <v/>
      </c>
    </row>
    <row r="513" customFormat="false" ht="15" hidden="false" customHeight="false" outlineLevel="0" collapsed="false">
      <c r="A513" s="0" t="n">
        <f aca="false">IF(ISBLANK(RawFinancials!A513),"",RawFinancials!A513)</f>
        <v>513</v>
      </c>
      <c r="B513" s="0" t="n">
        <f aca="false">IF(ISBLANK(RawFinancials!B513),"",RawFinancials!B513)</f>
        <v>693631</v>
      </c>
      <c r="C513" s="0" t="n">
        <f aca="false">IF(ISBLANK(RawFinancials!C513),"",RawFinancials!C513)</f>
        <v>19836</v>
      </c>
      <c r="D513" s="0" t="n">
        <f aca="false">IF(ISBLANK(RawFinancials!D513),"",RawFinancials!D513)</f>
        <v>494603</v>
      </c>
      <c r="E513" s="0" t="n">
        <f aca="false">IF(ISBLANK(RawFinancials!E513),"",RawFinancials!E513)</f>
        <v>0</v>
      </c>
      <c r="F513" s="0" t="n">
        <f aca="false">IF(ISBLANK(RawFinancials!F513),"",RawFinancials!F513)</f>
        <v>122241</v>
      </c>
      <c r="G513" s="0" t="n">
        <f aca="false">IF(ISBLANK(RawFinancials!G513),"",RawFinancials!G513)</f>
        <v>17.6233472840747</v>
      </c>
      <c r="H513" s="0" t="str">
        <f aca="false">IF(ISBLANK(RawFinancials!H513),"",RawFinancials!H513)</f>
        <v>19836_20240630</v>
      </c>
      <c r="I513" s="0" t="n">
        <f aca="false">IF(ISBLANK(RawFinancials!I513),"",RawFinancials!I513)</f>
        <v>0.765486391734188</v>
      </c>
      <c r="J513" s="0" t="n">
        <f aca="false">IF(ISBLANK(RawFinancials!J513),"",RawFinancials!J513)</f>
        <v>47016</v>
      </c>
      <c r="K513" s="0" t="n">
        <f aca="false">IF(ISBLANK(RawFinancials!K513),"",RawFinancials!K513)</f>
        <v>11688</v>
      </c>
      <c r="L513" s="0" t="n">
        <f aca="false">IF(ISBLANK(RawFinancials!L513),"",RawFinancials!L513)</f>
        <v>583028</v>
      </c>
      <c r="M513" s="0" t="n">
        <f aca="false">IF(ISBLANK(RawFinancials!M513),"",RawFinancials!M513)</f>
        <v>578565</v>
      </c>
      <c r="N513" s="0" t="n">
        <f aca="false">IF(ISBLANK(RawFinancials!N513),"",RawFinancials!N513)</f>
        <v>520353</v>
      </c>
      <c r="O513" s="0" t="n">
        <f aca="false">IF(ISBLANK(RawFinancials!O513),"",RawFinancials!O513)</f>
        <v>5114</v>
      </c>
      <c r="P513" s="0" t="str">
        <f aca="false">IF(ISBLANK(RawFinancials!P513),"",RawFinancials!P513)</f>
        <v>FRANKLIN SAVINGS BANK</v>
      </c>
      <c r="Q513" s="0" t="n">
        <f aca="false">IF(ISBLANK(RawFinancials!Q513),"",RawFinancials!Q513)</f>
        <v>0.969593227083433</v>
      </c>
      <c r="R513" s="0" t="n">
        <f aca="false">IF(ISBLANK(RawFinancials!R513),"",RawFinancials!R513)</f>
        <v>3.57096502129516</v>
      </c>
      <c r="S513" s="0" t="n">
        <f aca="false">IF(ISBLANK(RawFinancials!S513),"",RawFinancials!S513)</f>
        <v>9</v>
      </c>
      <c r="T513" s="0" t="n">
        <f aca="false">IF(ISBLANK(RawFinancials!T513),"",RawFinancials!T513)</f>
        <v>2908</v>
      </c>
      <c r="U513" s="0" t="n">
        <f aca="false">IF(ISBLANK(RawFinancials!U513),"",RawFinancials!U513)</f>
        <v>539</v>
      </c>
      <c r="V513" s="0" t="n">
        <f aca="false">IF(ISBLANK(RawFinancials!V513),"",RawFinancials!V513)</f>
        <v>24.7547146632848</v>
      </c>
      <c r="W513" s="0" t="n">
        <f aca="false">IF(ISBLANK(RawFinancials!W513),"",RawFinancials!W513)</f>
        <v>20240630</v>
      </c>
      <c r="X513" s="0" t="n">
        <f aca="false">IF(ISBLANK(RawFinancials!X513),"",RawFinancials!X513)</f>
        <v>0.6592636990771</v>
      </c>
      <c r="Y513" s="0" t="n">
        <f aca="false">IF(ISBLANK(RawFinancials!Y513),"",RawFinancials!Y513)</f>
        <v>3.68</v>
      </c>
      <c r="Z513" s="0" t="str">
        <f aca="false">IF(ISBLANK(RawFinancials!Z513),"",RawFinancials!Z513)</f>
        <v>ME</v>
      </c>
      <c r="AA513" s="0" t="n">
        <f aca="false">RawFinancials!AA513</f>
        <v>1</v>
      </c>
      <c r="AB513" s="0" t="n">
        <f aca="false">RawFinancials!AB513</f>
        <v>5653</v>
      </c>
      <c r="AC513" s="0" t="n">
        <f aca="false">RawFinancials!AC513</f>
        <v>0.814986642753856</v>
      </c>
      <c r="AD513" s="0" t="n">
        <f aca="false">IF(L513&gt;0,100*N513/L513,"")</f>
        <v>89.250087474358</v>
      </c>
      <c r="AE513" s="0" t="n">
        <f aca="false">IF(B513&gt;0,100*F513/B513,"")</f>
        <v>17.6233472840747</v>
      </c>
      <c r="AF513" s="0" t="str">
        <f aca="false">RawFinancials!AE513</f>
        <v/>
      </c>
    </row>
    <row r="514" customFormat="false" ht="15" hidden="false" customHeight="false" outlineLevel="0" collapsed="false">
      <c r="A514" s="0" t="n">
        <f aca="false">IF(ISBLANK(RawFinancials!A514),"",RawFinancials!A514)</f>
        <v>514</v>
      </c>
      <c r="B514" s="0" t="n">
        <f aca="false">IF(ISBLANK(RawFinancials!B514),"",RawFinancials!B514)</f>
        <v>1450962</v>
      </c>
      <c r="C514" s="0" t="n">
        <f aca="false">IF(ISBLANK(RawFinancials!C514),"",RawFinancials!C514)</f>
        <v>24540</v>
      </c>
      <c r="D514" s="0" t="n">
        <f aca="false">IF(ISBLANK(RawFinancials!D514),"",RawFinancials!D514)</f>
        <v>1167579</v>
      </c>
      <c r="E514" s="0" t="n">
        <f aca="false">IF(ISBLANK(RawFinancials!E514),"",RawFinancials!E514)</f>
        <v>0.15</v>
      </c>
      <c r="F514" s="0" t="n">
        <f aca="false">IF(ISBLANK(RawFinancials!F514),"",RawFinancials!F514)</f>
        <v>259158</v>
      </c>
      <c r="G514" s="0" t="n">
        <f aca="false">IF(ISBLANK(RawFinancials!G514),"",RawFinancials!G514)</f>
        <v>17.8611155908976</v>
      </c>
      <c r="H514" s="0" t="str">
        <f aca="false">IF(ISBLANK(RawFinancials!H514),"",RawFinancials!H514)</f>
        <v>24540_20240630</v>
      </c>
      <c r="I514" s="0" t="n">
        <f aca="false">IF(ISBLANK(RawFinancials!I514),"",RawFinancials!I514)</f>
        <v>0.976943236202351</v>
      </c>
      <c r="J514" s="0" t="n">
        <f aca="false">IF(ISBLANK(RawFinancials!J514),"",RawFinancials!J514)</f>
        <v>43419</v>
      </c>
      <c r="K514" s="0" t="n">
        <f aca="false">IF(ISBLANK(RawFinancials!K514),"",RawFinancials!K514)</f>
        <v>169</v>
      </c>
      <c r="L514" s="0" t="n">
        <f aca="false">IF(ISBLANK(RawFinancials!L514),"",RawFinancials!L514)</f>
        <v>1284005</v>
      </c>
      <c r="M514" s="0" t="n">
        <f aca="false">IF(ISBLANK(RawFinancials!M514),"",RawFinancials!M514)</f>
        <v>1271461</v>
      </c>
      <c r="N514" s="0" t="n">
        <f aca="false">IF(ISBLANK(RawFinancials!N514),"",RawFinancials!N514)</f>
        <v>1244382</v>
      </c>
      <c r="O514" s="0" t="n">
        <f aca="false">IF(ISBLANK(RawFinancials!O514),"",RawFinancials!O514)</f>
        <v>30086</v>
      </c>
      <c r="P514" s="0" t="str">
        <f aca="false">IF(ISBLANK(RawFinancials!P514),"",RawFinancials!P514)</f>
        <v>BANK OF NEW ENGLAND</v>
      </c>
      <c r="Q514" s="0" t="n">
        <f aca="false">IF(ISBLANK(RawFinancials!Q514),"",RawFinancials!Q514)</f>
        <v>2.34313729307908</v>
      </c>
      <c r="R514" s="0" t="n">
        <f aca="false">IF(ISBLANK(RawFinancials!R514),"",RawFinancials!R514)</f>
        <v>4.20518977151503</v>
      </c>
      <c r="S514" s="0" t="n">
        <f aca="false">IF(ISBLANK(RawFinancials!S514),"",RawFinancials!S514)</f>
        <v>0</v>
      </c>
      <c r="T514" s="0" t="n">
        <f aca="false">IF(ISBLANK(RawFinancials!T514),"",RawFinancials!T514)</f>
        <v>0</v>
      </c>
      <c r="U514" s="0" t="n">
        <f aca="false">IF(ISBLANK(RawFinancials!U514),"",RawFinancials!U514)</f>
        <v>0</v>
      </c>
      <c r="V514" s="0" t="n">
        <f aca="false">IF(ISBLANK(RawFinancials!V514),"",RawFinancials!V514)</f>
        <v>18.6244989044056</v>
      </c>
      <c r="W514" s="0" t="n">
        <f aca="false">IF(ISBLANK(RawFinancials!W514),"",RawFinancials!W514)</f>
        <v>20240630</v>
      </c>
      <c r="X514" s="0" t="n">
        <f aca="false">IF(ISBLANK(RawFinancials!X514),"",RawFinancials!X514)</f>
        <v>1.93262033990791</v>
      </c>
      <c r="Y514" s="0" t="n">
        <f aca="false">IF(ISBLANK(RawFinancials!Y514),"",RawFinancials!Y514)</f>
        <v>10.87</v>
      </c>
      <c r="Z514" s="0" t="str">
        <f aca="false">IF(ISBLANK(RawFinancials!Z514),"",RawFinancials!Z514)</f>
        <v>NH</v>
      </c>
      <c r="AA514" s="0" t="n">
        <f aca="false">RawFinancials!AA514</f>
        <v>1</v>
      </c>
      <c r="AB514" s="0" t="n">
        <f aca="false">RawFinancials!AB514</f>
        <v>30086</v>
      </c>
      <c r="AC514" s="0" t="n">
        <f aca="false">RawFinancials!AC514</f>
        <v>2.07352087787275</v>
      </c>
      <c r="AD514" s="0" t="n">
        <f aca="false">IF(L514&gt;0,100*N514/L514,"")</f>
        <v>96.9141085899198</v>
      </c>
      <c r="AE514" s="0" t="n">
        <f aca="false">IF(B514&gt;0,100*F514/B514,"")</f>
        <v>17.8611155908976</v>
      </c>
      <c r="AF514" s="0" t="str">
        <f aca="false">RawFinancials!AE514</f>
        <v/>
      </c>
    </row>
    <row r="515" customFormat="false" ht="15" hidden="false" customHeight="false" outlineLevel="0" collapsed="false">
      <c r="A515" s="0" t="n">
        <f aca="false">IF(ISBLANK(RawFinancials!A515),"",RawFinancials!A515)</f>
        <v>515</v>
      </c>
      <c r="B515" s="0" t="n">
        <f aca="false">IF(ISBLANK(RawFinancials!B515),"",RawFinancials!B515)</f>
        <v>557168</v>
      </c>
      <c r="C515" s="0" t="n">
        <f aca="false">IF(ISBLANK(RawFinancials!C515),"",RawFinancials!C515)</f>
        <v>27824</v>
      </c>
      <c r="D515" s="0" t="n">
        <f aca="false">IF(ISBLANK(RawFinancials!D515),"",RawFinancials!D515)</f>
        <v>362991</v>
      </c>
      <c r="E515" s="0" t="n">
        <f aca="false">IF(ISBLANK(RawFinancials!E515),"",RawFinancials!E515)</f>
        <v>0.05</v>
      </c>
      <c r="F515" s="0" t="n">
        <f aca="false">IF(ISBLANK(RawFinancials!F515),"",RawFinancials!F515)</f>
        <v>64563</v>
      </c>
      <c r="G515" s="0" t="n">
        <f aca="false">IF(ISBLANK(RawFinancials!G515),"",RawFinancials!G515)</f>
        <v>11.5877078367745</v>
      </c>
      <c r="H515" s="0" t="str">
        <f aca="false">IF(ISBLANK(RawFinancials!H515),"",RawFinancials!H515)</f>
        <v>27824_20240630</v>
      </c>
      <c r="I515" s="0" t="n">
        <f aca="false">IF(ISBLANK(RawFinancials!I515),"",RawFinancials!I515)</f>
        <v>0.624029703292766</v>
      </c>
      <c r="J515" s="0" t="n">
        <f aca="false">IF(ISBLANK(RawFinancials!J515),"",RawFinancials!J515)</f>
        <v>18789</v>
      </c>
      <c r="K515" s="0" t="n">
        <f aca="false">IF(ISBLANK(RawFinancials!K515),"",RawFinancials!K515)</f>
        <v>43133</v>
      </c>
      <c r="L515" s="0" t="n">
        <f aca="false">IF(ISBLANK(RawFinancials!L515),"",RawFinancials!L515)</f>
        <v>460555</v>
      </c>
      <c r="M515" s="0" t="n">
        <f aca="false">IF(ISBLANK(RawFinancials!M515),"",RawFinancials!M515)</f>
        <v>457681</v>
      </c>
      <c r="N515" s="0" t="n">
        <f aca="false">IF(ISBLANK(RawFinancials!N515),"",RawFinancials!N515)</f>
        <v>398633</v>
      </c>
      <c r="O515" s="0" t="n">
        <f aca="false">IF(ISBLANK(RawFinancials!O515),"",RawFinancials!O515)</f>
        <v>1077</v>
      </c>
      <c r="P515" s="0" t="str">
        <f aca="false">IF(ISBLANK(RawFinancials!P515),"",RawFinancials!P515)</f>
        <v>SALEM CO-OPERATIVE BANK</v>
      </c>
      <c r="Q515" s="0" t="n">
        <f aca="false">IF(ISBLANK(RawFinancials!Q515),"",RawFinancials!Q515)</f>
        <v>0.233848291734972</v>
      </c>
      <c r="R515" s="0" t="n">
        <f aca="false">IF(ISBLANK(RawFinancials!R515),"",RawFinancials!R515)</f>
        <v>1.62444979000168</v>
      </c>
      <c r="S515" s="0" t="n">
        <f aca="false">IF(ISBLANK(RawFinancials!S515),"",RawFinancials!S515)</f>
        <v>118</v>
      </c>
      <c r="T515" s="0" t="n">
        <f aca="false">IF(ISBLANK(RawFinancials!T515),"",RawFinancials!T515)</f>
        <v>2739</v>
      </c>
      <c r="U515" s="0" t="n">
        <f aca="false">IF(ISBLANK(RawFinancials!U515),"",RawFinancials!U515)</f>
        <v>0</v>
      </c>
      <c r="V515" s="0" t="n">
        <f aca="false">IF(ISBLANK(RawFinancials!V515),"",RawFinancials!V515)</f>
        <v>20.3577838503214</v>
      </c>
      <c r="W515" s="0" t="n">
        <f aca="false">IF(ISBLANK(RawFinancials!W515),"",RawFinancials!W515)</f>
        <v>20240630</v>
      </c>
      <c r="X515" s="0" t="n">
        <f aca="false">IF(ISBLANK(RawFinancials!X515),"",RawFinancials!X515)</f>
        <v>-0.374023312411938</v>
      </c>
      <c r="Y515" s="0" t="n">
        <f aca="false">IF(ISBLANK(RawFinancials!Y515),"",RawFinancials!Y515)</f>
        <v>-3.15</v>
      </c>
      <c r="Z515" s="0" t="str">
        <f aca="false">IF(ISBLANK(RawFinancials!Z515),"",RawFinancials!Z515)</f>
        <v>NH</v>
      </c>
      <c r="AA515" s="0" t="n">
        <f aca="false">RawFinancials!AA515</f>
        <v>1</v>
      </c>
      <c r="AB515" s="0" t="n">
        <f aca="false">RawFinancials!AB515</f>
        <v>1077</v>
      </c>
      <c r="AC515" s="0" t="n">
        <f aca="false">RawFinancials!AC515</f>
        <v>0.193298969072165</v>
      </c>
      <c r="AD515" s="0" t="n">
        <f aca="false">IF(L515&gt;0,100*N515/L515,"")</f>
        <v>86.5549174365711</v>
      </c>
      <c r="AE515" s="0" t="n">
        <f aca="false">IF(B515&gt;0,100*F515/B515,"")</f>
        <v>11.5877078367745</v>
      </c>
      <c r="AF515" s="0" t="str">
        <f aca="false">RawFinancials!AE515</f>
        <v/>
      </c>
    </row>
    <row r="516" customFormat="false" ht="15" hidden="false" customHeight="false" outlineLevel="0" collapsed="false">
      <c r="A516" s="0" t="n">
        <f aca="false">IF(ISBLANK(RawFinancials!A516),"",RawFinancials!A516)</f>
        <v>516</v>
      </c>
      <c r="B516" s="0" t="n">
        <f aca="false">IF(ISBLANK(RawFinancials!B516),"",RawFinancials!B516)</f>
        <v>302055</v>
      </c>
      <c r="C516" s="0" t="n">
        <f aca="false">IF(ISBLANK(RawFinancials!C516),"",RawFinancials!C516)</f>
        <v>28155</v>
      </c>
      <c r="D516" s="0" t="n">
        <f aca="false">IF(ISBLANK(RawFinancials!D516),"",RawFinancials!D516)</f>
        <v>259692</v>
      </c>
      <c r="E516" s="0" t="n">
        <f aca="false">IF(ISBLANK(RawFinancials!E516),"",RawFinancials!E516)</f>
        <v>-0.01</v>
      </c>
      <c r="F516" s="0" t="n">
        <f aca="false">IF(ISBLANK(RawFinancials!F516),"",RawFinancials!F516)</f>
        <v>27301</v>
      </c>
      <c r="G516" s="0" t="n">
        <f aca="false">IF(ISBLANK(RawFinancials!G516),"",RawFinancials!G516)</f>
        <v>9.03842015526974</v>
      </c>
      <c r="H516" s="0" t="str">
        <f aca="false">IF(ISBLANK(RawFinancials!H516),"",RawFinancials!H516)</f>
        <v>28155_20240630</v>
      </c>
      <c r="I516" s="0" t="n">
        <f aca="false">IF(ISBLANK(RawFinancials!I516),"",RawFinancials!I516)</f>
        <v>0.454831429544418</v>
      </c>
      <c r="J516" s="0" t="n">
        <f aca="false">IF(ISBLANK(RawFinancials!J516),"",RawFinancials!J516)</f>
        <v>11217</v>
      </c>
      <c r="K516" s="0" t="n">
        <f aca="false">IF(ISBLANK(RawFinancials!K516),"",RawFinancials!K516)</f>
        <v>6116</v>
      </c>
      <c r="L516" s="0" t="n">
        <f aca="false">IF(ISBLANK(RawFinancials!L516),"",RawFinancials!L516)</f>
        <v>173251</v>
      </c>
      <c r="M516" s="0" t="n">
        <f aca="false">IF(ISBLANK(RawFinancials!M516),"",RawFinancials!M516)</f>
        <v>172463</v>
      </c>
      <c r="N516" s="0" t="n">
        <f aca="false">IF(ISBLANK(RawFinancials!N516),"",RawFinancials!N516)</f>
        <v>155404</v>
      </c>
      <c r="O516" s="0" t="n">
        <f aca="false">IF(ISBLANK(RawFinancials!O516),"",RawFinancials!O516)</f>
        <v>0</v>
      </c>
      <c r="P516" s="0" t="str">
        <f aca="false">IF(ISBLANK(RawFinancials!P516),"",RawFinancials!P516)</f>
        <v>PROFILE BANK</v>
      </c>
      <c r="Q516" s="0" t="n">
        <f aca="false">IF(ISBLANK(RawFinancials!Q516),"",RawFinancials!Q516)</f>
        <v>0</v>
      </c>
      <c r="R516" s="0" t="n">
        <f aca="false">IF(ISBLANK(RawFinancials!R516),"",RawFinancials!R516)</f>
        <v>2.34100079031654</v>
      </c>
      <c r="S516" s="0" t="n">
        <f aca="false">IF(ISBLANK(RawFinancials!S516),"",RawFinancials!S516)</f>
        <v>1</v>
      </c>
      <c r="T516" s="0" t="n">
        <f aca="false">IF(ISBLANK(RawFinancials!T516),"",RawFinancials!T516)</f>
        <v>1271</v>
      </c>
      <c r="U516" s="0" t="n">
        <f aca="false">IF(ISBLANK(RawFinancials!U516),"",RawFinancials!U516)</f>
        <v>0</v>
      </c>
      <c r="V516" s="0" t="n">
        <f aca="false">IF(ISBLANK(RawFinancials!V516),"",RawFinancials!V516)</f>
        <v>16.9262702346722</v>
      </c>
      <c r="W516" s="0" t="n">
        <f aca="false">IF(ISBLANK(RawFinancials!W516),"",RawFinancials!W516)</f>
        <v>20240630</v>
      </c>
      <c r="X516" s="0" t="n">
        <f aca="false">IF(ISBLANK(RawFinancials!X516),"",RawFinancials!X516)</f>
        <v>-0.0547019798336481</v>
      </c>
      <c r="Y516" s="0" t="n">
        <f aca="false">IF(ISBLANK(RawFinancials!Y516),"",RawFinancials!Y516)</f>
        <v>-0.6</v>
      </c>
      <c r="Z516" s="0" t="str">
        <f aca="false">IF(ISBLANK(RawFinancials!Z516),"",RawFinancials!Z516)</f>
        <v>NH</v>
      </c>
      <c r="AA516" s="0" t="n">
        <f aca="false">RawFinancials!AA516</f>
        <v>1</v>
      </c>
      <c r="AB516" s="0" t="n">
        <f aca="false">RawFinancials!AB516</f>
        <v>0</v>
      </c>
      <c r="AC516" s="0" t="n">
        <f aca="false">RawFinancials!AC516</f>
        <v>0</v>
      </c>
      <c r="AD516" s="0" t="n">
        <f aca="false">IF(L516&gt;0,100*N516/L516,"")</f>
        <v>89.6987607575137</v>
      </c>
      <c r="AE516" s="0" t="n">
        <f aca="false">IF(B516&gt;0,100*F516/B516,"")</f>
        <v>9.03842015526974</v>
      </c>
      <c r="AF516" s="0" t="str">
        <f aca="false">RawFinancials!AE516</f>
        <v/>
      </c>
    </row>
    <row r="517" customFormat="false" ht="15" hidden="false" customHeight="false" outlineLevel="0" collapsed="false">
      <c r="A517" s="0" t="n">
        <f aca="false">IF(ISBLANK(RawFinancials!A517),"",RawFinancials!A517)</f>
        <v>517</v>
      </c>
      <c r="B517" s="0" t="n">
        <f aca="false">IF(ISBLANK(RawFinancials!B517),"",RawFinancials!B517)</f>
        <v>102466</v>
      </c>
      <c r="C517" s="0" t="n">
        <f aca="false">IF(ISBLANK(RawFinancials!C517),"",RawFinancials!C517)</f>
        <v>28288</v>
      </c>
      <c r="D517" s="0" t="n">
        <f aca="false">IF(ISBLANK(RawFinancials!D517),"",RawFinancials!D517)</f>
        <v>74553</v>
      </c>
      <c r="E517" s="0" t="n">
        <f aca="false">IF(ISBLANK(RawFinancials!E517),"",RawFinancials!E517)</f>
        <v>-0.02</v>
      </c>
      <c r="F517" s="0" t="n">
        <f aca="false">IF(ISBLANK(RawFinancials!F517),"",RawFinancials!F517)</f>
        <v>5947</v>
      </c>
      <c r="G517" s="0" t="n">
        <f aca="false">IF(ISBLANK(RawFinancials!G517),"",RawFinancials!G517)</f>
        <v>5.80387640778404</v>
      </c>
      <c r="H517" s="0" t="str">
        <f aca="false">IF(ISBLANK(RawFinancials!H517),"",RawFinancials!H517)</f>
        <v>28288_20240630</v>
      </c>
      <c r="I517" s="0" t="n">
        <f aca="false">IF(ISBLANK(RawFinancials!I517),"",RawFinancials!I517)</f>
        <v>1.05668095052591</v>
      </c>
      <c r="J517" s="0" t="n">
        <f aca="false">IF(ISBLANK(RawFinancials!J517),"",RawFinancials!J517)</f>
        <v>4600</v>
      </c>
      <c r="K517" s="0" t="n">
        <f aca="false">IF(ISBLANK(RawFinancials!K517),"",RawFinancials!K517)</f>
        <v>2714</v>
      </c>
      <c r="L517" s="0" t="n">
        <f aca="false">IF(ISBLANK(RawFinancials!L517),"",RawFinancials!L517)</f>
        <v>82144</v>
      </c>
      <c r="M517" s="0" t="n">
        <f aca="false">IF(ISBLANK(RawFinancials!M517),"",RawFinancials!M517)</f>
        <v>81276</v>
      </c>
      <c r="N517" s="0" t="n">
        <f aca="false">IF(ISBLANK(RawFinancials!N517),"",RawFinancials!N517)</f>
        <v>74830</v>
      </c>
      <c r="O517" s="0" t="n">
        <f aca="false">IF(ISBLANK(RawFinancials!O517),"",RawFinancials!O517)</f>
        <v>251</v>
      </c>
      <c r="P517" s="0" t="str">
        <f aca="false">IF(ISBLANK(RawFinancials!P517),"",RawFinancials!P517)</f>
        <v>AUBURN SAVINGS BANK, FSB</v>
      </c>
      <c r="Q517" s="0" t="n">
        <f aca="false">IF(ISBLANK(RawFinancials!Q517),"",RawFinancials!Q517)</f>
        <v>0.305560966108298</v>
      </c>
      <c r="R517" s="0" t="n">
        <f aca="false">IF(ISBLANK(RawFinancials!R517),"",RawFinancials!R517)</f>
        <v>2.67533222086354</v>
      </c>
      <c r="S517" s="0" t="n">
        <f aca="false">IF(ISBLANK(RawFinancials!S517),"",RawFinancials!S517)</f>
        <v>0</v>
      </c>
      <c r="T517" s="0" t="n">
        <f aca="false">IF(ISBLANK(RawFinancials!T517),"",RawFinancials!T517)</f>
        <v>111</v>
      </c>
      <c r="U517" s="0" t="n">
        <f aca="false">IF(ISBLANK(RawFinancials!U517),"",RawFinancials!U517)</f>
        <v>0</v>
      </c>
      <c r="V517" s="0" t="n">
        <f aca="false">IF(ISBLANK(RawFinancials!V517),"",RawFinancials!V517)</f>
        <v>13.1640405593165</v>
      </c>
      <c r="W517" s="0" t="n">
        <f aca="false">IF(ISBLANK(RawFinancials!W517),"",RawFinancials!W517)</f>
        <v>20240630</v>
      </c>
      <c r="X517" s="0" t="n">
        <f aca="false">IF(ISBLANK(RawFinancials!X517),"",RawFinancials!X517)</f>
        <v>0.104067296851964</v>
      </c>
      <c r="Y517" s="0" t="n">
        <f aca="false">IF(ISBLANK(RawFinancials!Y517),"",RawFinancials!Y517)</f>
        <v>1.82</v>
      </c>
      <c r="Z517" s="0" t="str">
        <f aca="false">IF(ISBLANK(RawFinancials!Z517),"",RawFinancials!Z517)</f>
        <v>ME</v>
      </c>
      <c r="AA517" s="0" t="n">
        <f aca="false">RawFinancials!AA517</f>
        <v>1</v>
      </c>
      <c r="AB517" s="0" t="n">
        <f aca="false">RawFinancials!AB517</f>
        <v>251</v>
      </c>
      <c r="AC517" s="0" t="n">
        <f aca="false">RawFinancials!AC517</f>
        <v>0.244959303573868</v>
      </c>
      <c r="AD517" s="0" t="n">
        <f aca="false">IF(L517&gt;0,100*N517/L517,"")</f>
        <v>91.0961238800156</v>
      </c>
      <c r="AE517" s="0" t="n">
        <f aca="false">IF(B517&gt;0,100*F517/B517,"")</f>
        <v>5.80387640778405</v>
      </c>
      <c r="AF517" s="0" t="str">
        <f aca="false">RawFinancials!AE517</f>
        <v/>
      </c>
    </row>
    <row r="518" customFormat="false" ht="15" hidden="false" customHeight="false" outlineLevel="0" collapsed="false">
      <c r="A518" s="0" t="n">
        <f aca="false">IF(ISBLANK(RawFinancials!A518),"",RawFinancials!A518)</f>
        <v>518</v>
      </c>
      <c r="B518" s="0" t="n">
        <f aca="false">IF(ISBLANK(RawFinancials!B518),"",RawFinancials!B518)</f>
        <v>95722</v>
      </c>
      <c r="C518" s="0" t="n">
        <f aca="false">IF(ISBLANK(RawFinancials!C518),"",RawFinancials!C518)</f>
        <v>28369</v>
      </c>
      <c r="D518" s="0" t="n">
        <f aca="false">IF(ISBLANK(RawFinancials!D518),"",RawFinancials!D518)</f>
        <v>71038</v>
      </c>
      <c r="E518" s="0" t="n">
        <f aca="false">IF(ISBLANK(RawFinancials!E518),"",RawFinancials!E518)</f>
        <v>0.02</v>
      </c>
      <c r="F518" s="0" t="n">
        <f aca="false">IF(ISBLANK(RawFinancials!F518),"",RawFinancials!F518)</f>
        <v>9198</v>
      </c>
      <c r="G518" s="0" t="n">
        <f aca="false">IF(ISBLANK(RawFinancials!G518),"",RawFinancials!G518)</f>
        <v>9.60907628340402</v>
      </c>
      <c r="H518" s="0" t="str">
        <f aca="false">IF(ISBLANK(RawFinancials!H518),"",RawFinancials!H518)</f>
        <v>28369_20240630</v>
      </c>
      <c r="I518" s="0" t="n">
        <f aca="false">IF(ISBLANK(RawFinancials!I518),"",RawFinancials!I518)</f>
        <v>0.734458443827983</v>
      </c>
      <c r="J518" s="0" t="n">
        <f aca="false">IF(ISBLANK(RawFinancials!J518),"",RawFinancials!J518)</f>
        <v>12761</v>
      </c>
      <c r="K518" s="0" t="n">
        <f aca="false">IF(ISBLANK(RawFinancials!K518),"",RawFinancials!K518)</f>
        <v>852</v>
      </c>
      <c r="L518" s="0" t="n">
        <f aca="false">IF(ISBLANK(RawFinancials!L518),"",RawFinancials!L518)</f>
        <v>81829</v>
      </c>
      <c r="M518" s="0" t="n">
        <f aca="false">IF(ISBLANK(RawFinancials!M518),"",RawFinancials!M518)</f>
        <v>81228</v>
      </c>
      <c r="N518" s="0" t="n">
        <f aca="false">IF(ISBLANK(RawFinancials!N518),"",RawFinancials!N518)</f>
        <v>68216</v>
      </c>
      <c r="O518" s="0" t="n">
        <f aca="false">IF(ISBLANK(RawFinancials!O518),"",RawFinancials!O518)</f>
        <v>141</v>
      </c>
      <c r="P518" s="0" t="str">
        <f aca="false">IF(ISBLANK(RawFinancials!P518),"",RawFinancials!P518)</f>
        <v>ROCKLAND SAVINGS BANK, FSB</v>
      </c>
      <c r="Q518" s="0" t="n">
        <f aca="false">IF(ISBLANK(RawFinancials!Q518),"",RawFinancials!Q518)</f>
        <v>0.172310550049493</v>
      </c>
      <c r="R518" s="0" t="n">
        <f aca="false">IF(ISBLANK(RawFinancials!R518),"",RawFinancials!R518)</f>
        <v>2.92722951770937</v>
      </c>
      <c r="S518" s="0" t="n">
        <f aca="false">IF(ISBLANK(RawFinancials!S518),"",RawFinancials!S518)</f>
        <v>-2</v>
      </c>
      <c r="T518" s="0" t="n">
        <f aca="false">IF(ISBLANK(RawFinancials!T518),"",RawFinancials!T518)</f>
        <v>168</v>
      </c>
      <c r="U518" s="0" t="n">
        <f aca="false">IF(ISBLANK(RawFinancials!U518),"",RawFinancials!U518)</f>
        <v>0</v>
      </c>
      <c r="V518" s="0" t="n">
        <f aca="false">IF(ISBLANK(RawFinancials!V518),"",RawFinancials!V518)</f>
        <v>13.6709423889672</v>
      </c>
      <c r="W518" s="0" t="n">
        <f aca="false">IF(ISBLANK(RawFinancials!W518),"",RawFinancials!W518)</f>
        <v>20240630</v>
      </c>
      <c r="X518" s="0" t="n">
        <f aca="false">IF(ISBLANK(RawFinancials!X518),"",RawFinancials!X518)</f>
        <v>-0.320244959302203</v>
      </c>
      <c r="Y518" s="0" t="n">
        <f aca="false">IF(ISBLANK(RawFinancials!Y518),"",RawFinancials!Y518)</f>
        <v>-3.28</v>
      </c>
      <c r="Z518" s="0" t="str">
        <f aca="false">IF(ISBLANK(RawFinancials!Z518),"",RawFinancials!Z518)</f>
        <v>ME</v>
      </c>
      <c r="AA518" s="0" t="n">
        <f aca="false">RawFinancials!AA518</f>
        <v>1</v>
      </c>
      <c r="AB518" s="0" t="n">
        <f aca="false">RawFinancials!AB518</f>
        <v>141</v>
      </c>
      <c r="AC518" s="0" t="n">
        <f aca="false">RawFinancials!AC518</f>
        <v>0.147301560769729</v>
      </c>
      <c r="AD518" s="0" t="n">
        <f aca="false">IF(L518&gt;0,100*N518/L518,"")</f>
        <v>83.3640885260727</v>
      </c>
      <c r="AE518" s="0" t="n">
        <f aca="false">IF(B518&gt;0,100*F518/B518,"")</f>
        <v>9.60907628340402</v>
      </c>
      <c r="AF518" s="0" t="str">
        <f aca="false">RawFinancials!AE518</f>
        <v/>
      </c>
    </row>
    <row r="519" customFormat="false" ht="15" hidden="false" customHeight="false" outlineLevel="0" collapsed="false">
      <c r="A519" s="0" t="n">
        <f aca="false">IF(ISBLANK(RawFinancials!A519),"",RawFinancials!A519)</f>
        <v>519</v>
      </c>
      <c r="B519" s="0" t="n">
        <f aca="false">IF(ISBLANK(RawFinancials!B519),"",RawFinancials!B519)</f>
        <v>285118</v>
      </c>
      <c r="C519" s="0" t="n">
        <f aca="false">IF(ISBLANK(RawFinancials!C519),"",RawFinancials!C519)</f>
        <v>28837</v>
      </c>
      <c r="D519" s="0" t="n">
        <f aca="false">IF(ISBLANK(RawFinancials!D519),"",RawFinancials!D519)</f>
        <v>254557</v>
      </c>
      <c r="E519" s="0" t="n">
        <f aca="false">IF(ISBLANK(RawFinancials!E519),"",RawFinancials!E519)</f>
        <v>-0.1</v>
      </c>
      <c r="F519" s="0" t="n">
        <f aca="false">IF(ISBLANK(RawFinancials!F519),"",RawFinancials!F519)</f>
        <v>27060</v>
      </c>
      <c r="G519" s="0" t="n">
        <f aca="false">IF(ISBLANK(RawFinancials!G519),"",RawFinancials!G519)</f>
        <v>9.49080731486613</v>
      </c>
      <c r="H519" s="0" t="str">
        <f aca="false">IF(ISBLANK(RawFinancials!H519),"",RawFinancials!H519)</f>
        <v>28837_20240630</v>
      </c>
      <c r="I519" s="0" t="n">
        <f aca="false">IF(ISBLANK(RawFinancials!I519),"",RawFinancials!I519)</f>
        <v>1.10493686781297</v>
      </c>
      <c r="J519" s="0" t="n">
        <f aca="false">IF(ISBLANK(RawFinancials!J519),"",RawFinancials!J519)</f>
        <v>7061</v>
      </c>
      <c r="K519" s="0" t="n">
        <f aca="false">IF(ISBLANK(RawFinancials!K519),"",RawFinancials!K519)</f>
        <v>834</v>
      </c>
      <c r="L519" s="0" t="n">
        <f aca="false">IF(ISBLANK(RawFinancials!L519),"",RawFinancials!L519)</f>
        <v>202274</v>
      </c>
      <c r="M519" s="0" t="n">
        <f aca="false">IF(ISBLANK(RawFinancials!M519),"",RawFinancials!M519)</f>
        <v>200039</v>
      </c>
      <c r="N519" s="0" t="n">
        <f aca="false">IF(ISBLANK(RawFinancials!N519),"",RawFinancials!N519)</f>
        <v>192922</v>
      </c>
      <c r="O519" s="0" t="n">
        <f aca="false">IF(ISBLANK(RawFinancials!O519),"",RawFinancials!O519)</f>
        <v>155</v>
      </c>
      <c r="P519" s="0" t="str">
        <f aca="false">IF(ISBLANK(RawFinancials!P519),"",RawFinancials!P519)</f>
        <v>THE BRATTLEBORO SAVINGS AND LOAN ASSOCIATION</v>
      </c>
      <c r="Q519" s="0" t="n">
        <f aca="false">IF(ISBLANK(RawFinancials!Q519),"",RawFinancials!Q519)</f>
        <v>0.0766287313248366</v>
      </c>
      <c r="R519" s="0" t="n">
        <f aca="false">IF(ISBLANK(RawFinancials!R519),"",RawFinancials!R519)</f>
        <v>3.68099996257625</v>
      </c>
      <c r="S519" s="0" t="n">
        <f aca="false">IF(ISBLANK(RawFinancials!S519),"",RawFinancials!S519)</f>
        <v>0</v>
      </c>
      <c r="T519" s="0" t="n">
        <f aca="false">IF(ISBLANK(RawFinancials!T519),"",RawFinancials!T519)</f>
        <v>105</v>
      </c>
      <c r="U519" s="0" t="n">
        <f aca="false">IF(ISBLANK(RawFinancials!U519),"",RawFinancials!U519)</f>
        <v>0</v>
      </c>
      <c r="V519" s="0" t="n">
        <f aca="false">IF(ISBLANK(RawFinancials!V519),"",RawFinancials!V519)</f>
        <v>16.7395381692405</v>
      </c>
      <c r="W519" s="0" t="n">
        <f aca="false">IF(ISBLANK(RawFinancials!W519),"",RawFinancials!W519)</f>
        <v>20240630</v>
      </c>
      <c r="X519" s="0" t="n">
        <f aca="false">IF(ISBLANK(RawFinancials!X519),"",RawFinancials!X519)</f>
        <v>0.716098111079786</v>
      </c>
      <c r="Y519" s="0" t="n">
        <f aca="false">IF(ISBLANK(RawFinancials!Y519),"",RawFinancials!Y519)</f>
        <v>7.65</v>
      </c>
      <c r="Z519" s="0" t="str">
        <f aca="false">IF(ISBLANK(RawFinancials!Z519),"",RawFinancials!Z519)</f>
        <v>VT</v>
      </c>
      <c r="AA519" s="0" t="n">
        <f aca="false">RawFinancials!AA519</f>
        <v>1</v>
      </c>
      <c r="AB519" s="0" t="n">
        <f aca="false">RawFinancials!AB519</f>
        <v>155</v>
      </c>
      <c r="AC519" s="0" t="n">
        <f aca="false">RawFinancials!AC519</f>
        <v>0.054363456533786</v>
      </c>
      <c r="AD519" s="0" t="n">
        <f aca="false">IF(L519&gt;0,100*N519/L519,"")</f>
        <v>95.3765684170976</v>
      </c>
      <c r="AE519" s="0" t="n">
        <f aca="false">IF(B519&gt;0,100*F519/B519,"")</f>
        <v>9.49080731486613</v>
      </c>
      <c r="AF519" s="0" t="str">
        <f aca="false">RawFinancials!AE519</f>
        <v/>
      </c>
    </row>
    <row r="520" customFormat="false" ht="15" hidden="false" customHeight="false" outlineLevel="0" collapsed="false">
      <c r="A520" s="0" t="n">
        <f aca="false">IF(ISBLANK(RawFinancials!A520),"",RawFinancials!A520)</f>
        <v>520</v>
      </c>
      <c r="B520" s="0" t="n">
        <f aca="false">IF(ISBLANK(RawFinancials!B520),"",RawFinancials!B520)</f>
        <v>180255</v>
      </c>
      <c r="C520" s="0" t="n">
        <f aca="false">IF(ISBLANK(RawFinancials!C520),"",RawFinancials!C520)</f>
        <v>29636</v>
      </c>
      <c r="D520" s="0" t="n">
        <f aca="false">IF(ISBLANK(RawFinancials!D520),"",RawFinancials!D520)</f>
        <v>137021</v>
      </c>
      <c r="E520" s="0" t="n">
        <f aca="false">IF(ISBLANK(RawFinancials!E520),"",RawFinancials!E520)</f>
        <v>0.02</v>
      </c>
      <c r="F520" s="0" t="n">
        <f aca="false">IF(ISBLANK(RawFinancials!F520),"",RawFinancials!F520)</f>
        <v>26121</v>
      </c>
      <c r="G520" s="0" t="n">
        <f aca="false">IF(ISBLANK(RawFinancials!G520),"",RawFinancials!G520)</f>
        <v>14.4911375551302</v>
      </c>
      <c r="H520" s="0" t="str">
        <f aca="false">IF(ISBLANK(RawFinancials!H520),"",RawFinancials!H520)</f>
        <v>29636_20240630</v>
      </c>
      <c r="I520" s="0" t="n">
        <f aca="false">IF(ISBLANK(RawFinancials!I520),"",RawFinancials!I520)</f>
        <v>1.39056264748118</v>
      </c>
      <c r="J520" s="0" t="n">
        <f aca="false">IF(ISBLANK(RawFinancials!J520),"",RawFinancials!J520)</f>
        <v>1433</v>
      </c>
      <c r="K520" s="0" t="n">
        <f aca="false">IF(ISBLANK(RawFinancials!K520),"",RawFinancials!K520)</f>
        <v>1772</v>
      </c>
      <c r="L520" s="0" t="n">
        <f aca="false">IF(ISBLANK(RawFinancials!L520),"",RawFinancials!L520)</f>
        <v>138577</v>
      </c>
      <c r="M520" s="0" t="n">
        <f aca="false">IF(ISBLANK(RawFinancials!M520),"",RawFinancials!M520)</f>
        <v>136650</v>
      </c>
      <c r="N520" s="0" t="n">
        <f aca="false">IF(ISBLANK(RawFinancials!N520),"",RawFinancials!N520)</f>
        <v>135371</v>
      </c>
      <c r="O520" s="0" t="n">
        <f aca="false">IF(ISBLANK(RawFinancials!O520),"",RawFinancials!O520)</f>
        <v>2731</v>
      </c>
      <c r="P520" s="0" t="str">
        <f aca="false">IF(ISBLANK(RawFinancials!P520),"",RawFinancials!P520)</f>
        <v>FIRST FEDERAL SAVINGS AND LOAN ASSOCIATION OF BATH</v>
      </c>
      <c r="Q520" s="0" t="n">
        <f aca="false">IF(ISBLANK(RawFinancials!Q520),"",RawFinancials!Q520)</f>
        <v>1.97074550610852</v>
      </c>
      <c r="R520" s="0" t="n">
        <f aca="false">IF(ISBLANK(RawFinancials!R520),"",RawFinancials!R520)</f>
        <v>3.44418295303387</v>
      </c>
      <c r="S520" s="0" t="n">
        <f aca="false">IF(ISBLANK(RawFinancials!S520),"",RawFinancials!S520)</f>
        <v>-1</v>
      </c>
      <c r="T520" s="0" t="n">
        <f aca="false">IF(ISBLANK(RawFinancials!T520),"",RawFinancials!T520)</f>
        <v>3204</v>
      </c>
      <c r="U520" s="0" t="n">
        <f aca="false">IF(ISBLANK(RawFinancials!U520),"",RawFinancials!U520)</f>
        <v>0</v>
      </c>
      <c r="V520" s="0" t="n">
        <f aca="false">IF(ISBLANK(RawFinancials!V520),"",RawFinancials!V520)</f>
        <v>26.8583867787312</v>
      </c>
      <c r="W520" s="0" t="n">
        <f aca="false">IF(ISBLANK(RawFinancials!W520),"",RawFinancials!W520)</f>
        <v>20240630</v>
      </c>
      <c r="X520" s="0" t="n">
        <f aca="false">IF(ISBLANK(RawFinancials!X520),"",RawFinancials!X520)</f>
        <v>0.247766013645732</v>
      </c>
      <c r="Y520" s="0" t="n">
        <f aca="false">IF(ISBLANK(RawFinancials!Y520),"",RawFinancials!Y520)</f>
        <v>1.71</v>
      </c>
      <c r="Z520" s="0" t="str">
        <f aca="false">IF(ISBLANK(RawFinancials!Z520),"",RawFinancials!Z520)</f>
        <v>ME</v>
      </c>
      <c r="AA520" s="0" t="n">
        <f aca="false">RawFinancials!AA520</f>
        <v>1</v>
      </c>
      <c r="AB520" s="0" t="n">
        <f aca="false">RawFinancials!AB520</f>
        <v>2731</v>
      </c>
      <c r="AC520" s="0" t="n">
        <f aca="false">RawFinancials!AC520</f>
        <v>1.51507586474716</v>
      </c>
      <c r="AD520" s="0" t="n">
        <f aca="false">IF(L520&gt;0,100*N520/L520,"")</f>
        <v>97.6864847702</v>
      </c>
      <c r="AE520" s="0" t="n">
        <f aca="false">IF(B520&gt;0,100*F520/B520,"")</f>
        <v>14.4911375551302</v>
      </c>
      <c r="AF520" s="0" t="str">
        <f aca="false">RawFinancials!AE520</f>
        <v/>
      </c>
    </row>
    <row r="521" customFormat="false" ht="15" hidden="false" customHeight="false" outlineLevel="0" collapsed="false">
      <c r="A521" s="0" t="n">
        <f aca="false">IF(ISBLANK(RawFinancials!A521),"",RawFinancials!A521)</f>
        <v>521</v>
      </c>
      <c r="B521" s="0" t="n">
        <f aca="false">IF(ISBLANK(RawFinancials!B521),"",RawFinancials!B521)</f>
        <v>189887</v>
      </c>
      <c r="C521" s="0" t="n">
        <f aca="false">IF(ISBLANK(RawFinancials!C521),"",RawFinancials!C521)</f>
        <v>29743</v>
      </c>
      <c r="D521" s="0" t="n">
        <f aca="false">IF(ISBLANK(RawFinancials!D521),"",RawFinancials!D521)</f>
        <v>166017</v>
      </c>
      <c r="E521" s="0" t="n">
        <f aca="false">IF(ISBLANK(RawFinancials!E521),"",RawFinancials!E521)</f>
        <v>-0.04</v>
      </c>
      <c r="F521" s="0" t="n">
        <f aca="false">IF(ISBLANK(RawFinancials!F521),"",RawFinancials!F521)</f>
        <v>17099</v>
      </c>
      <c r="G521" s="0" t="n">
        <f aca="false">IF(ISBLANK(RawFinancials!G521),"",RawFinancials!G521)</f>
        <v>9.00482918788543</v>
      </c>
      <c r="H521" s="0" t="str">
        <f aca="false">IF(ISBLANK(RawFinancials!H521),"",RawFinancials!H521)</f>
        <v>29743_20240630</v>
      </c>
      <c r="I521" s="0" t="n">
        <f aca="false">IF(ISBLANK(RawFinancials!I521),"",RawFinancials!I521)</f>
        <v>0.649321537449937</v>
      </c>
      <c r="J521" s="0" t="n">
        <f aca="false">IF(ISBLANK(RawFinancials!J521),"",RawFinancials!J521)</f>
        <v>25921</v>
      </c>
      <c r="K521" s="0" t="n">
        <f aca="false">IF(ISBLANK(RawFinancials!K521),"",RawFinancials!K521)</f>
        <v>20978</v>
      </c>
      <c r="L521" s="0" t="n">
        <f aca="false">IF(ISBLANK(RawFinancials!L521),"",RawFinancials!L521)</f>
        <v>133832</v>
      </c>
      <c r="M521" s="0" t="n">
        <f aca="false">IF(ISBLANK(RawFinancials!M521),"",RawFinancials!M521)</f>
        <v>132963</v>
      </c>
      <c r="N521" s="0" t="n">
        <f aca="false">IF(ISBLANK(RawFinancials!N521),"",RawFinancials!N521)</f>
        <v>86883</v>
      </c>
      <c r="O521" s="0" t="n">
        <f aca="false">IF(ISBLANK(RawFinancials!O521),"",RawFinancials!O521)</f>
        <v>167</v>
      </c>
      <c r="P521" s="0" t="str">
        <f aca="false">IF(ISBLANK(RawFinancials!P521),"",RawFinancials!P521)</f>
        <v>AROOSTOOK COUNTY FEDERAL SAVINGS AND LOAN ASSOCIATION</v>
      </c>
      <c r="Q521" s="0" t="n">
        <f aca="false">IF(ISBLANK(RawFinancials!Q521),"",RawFinancials!Q521)</f>
        <v>0.124783310419033</v>
      </c>
      <c r="R521" s="0" t="n">
        <f aca="false">IF(ISBLANK(RawFinancials!R521),"",RawFinancials!R521)</f>
        <v>2.15546538885176</v>
      </c>
      <c r="S521" s="0" t="n">
        <f aca="false">IF(ISBLANK(RawFinancials!S521),"",RawFinancials!S521)</f>
        <v>-17</v>
      </c>
      <c r="T521" s="0" t="n">
        <f aca="false">IF(ISBLANK(RawFinancials!T521),"",RawFinancials!T521)</f>
        <v>907</v>
      </c>
      <c r="U521" s="0" t="n">
        <f aca="false">IF(ISBLANK(RawFinancials!U521),"",RawFinancials!U521)</f>
        <v>0</v>
      </c>
      <c r="V521" s="0" t="n">
        <f aca="false">IF(ISBLANK(RawFinancials!V521),"",RawFinancials!V521)</f>
        <v>18.342035357699</v>
      </c>
      <c r="W521" s="0" t="n">
        <f aca="false">IF(ISBLANK(RawFinancials!W521),"",RawFinancials!W521)</f>
        <v>20240630</v>
      </c>
      <c r="X521" s="0" t="n">
        <f aca="false">IF(ISBLANK(RawFinancials!X521),"",RawFinancials!X521)</f>
        <v>0.296387905667619</v>
      </c>
      <c r="Y521" s="0" t="n">
        <f aca="false">IF(ISBLANK(RawFinancials!Y521),"",RawFinancials!Y521)</f>
        <v>3.29</v>
      </c>
      <c r="Z521" s="0" t="str">
        <f aca="false">IF(ISBLANK(RawFinancials!Z521),"",RawFinancials!Z521)</f>
        <v>ME</v>
      </c>
      <c r="AA521" s="0" t="n">
        <f aca="false">RawFinancials!AA521</f>
        <v>1</v>
      </c>
      <c r="AB521" s="0" t="n">
        <f aca="false">RawFinancials!AB521</f>
        <v>167</v>
      </c>
      <c r="AC521" s="0" t="n">
        <f aca="false">RawFinancials!AC521</f>
        <v>0.0879470421882488</v>
      </c>
      <c r="AD521" s="0" t="n">
        <f aca="false">IF(L521&gt;0,100*N521/L521,"")</f>
        <v>64.9194512523163</v>
      </c>
      <c r="AE521" s="0" t="n">
        <f aca="false">IF(B521&gt;0,100*F521/B521,"")</f>
        <v>9.00482918788543</v>
      </c>
      <c r="AF521" s="0" t="str">
        <f aca="false">RawFinancials!AE521</f>
        <v/>
      </c>
    </row>
    <row r="522" customFormat="false" ht="15" hidden="false" customHeight="false" outlineLevel="0" collapsed="false">
      <c r="A522" s="0" t="n">
        <f aca="false">IF(ISBLANK(RawFinancials!A522),"",RawFinancials!A522)</f>
        <v>522</v>
      </c>
      <c r="B522" s="0" t="n">
        <f aca="false">IF(ISBLANK(RawFinancials!B522),"",RawFinancials!B522)</f>
        <v>602018</v>
      </c>
      <c r="C522" s="0" t="n">
        <f aca="false">IF(ISBLANK(RawFinancials!C522),"",RawFinancials!C522)</f>
        <v>29744</v>
      </c>
      <c r="D522" s="0" t="n">
        <f aca="false">IF(ISBLANK(RawFinancials!D522),"",RawFinancials!D522)</f>
        <v>471240</v>
      </c>
      <c r="E522" s="0" t="n">
        <f aca="false">IF(ISBLANK(RawFinancials!E522),"",RawFinancials!E522)</f>
        <v>-0.01</v>
      </c>
      <c r="F522" s="0" t="n">
        <f aca="false">IF(ISBLANK(RawFinancials!F522),"",RawFinancials!F522)</f>
        <v>46233</v>
      </c>
      <c r="G522" s="0" t="n">
        <f aca="false">IF(ISBLANK(RawFinancials!G522),"",RawFinancials!G522)</f>
        <v>7.67967070752037</v>
      </c>
      <c r="H522" s="0" t="str">
        <f aca="false">IF(ISBLANK(RawFinancials!H522),"",RawFinancials!H522)</f>
        <v>29744_20240630</v>
      </c>
      <c r="I522" s="0" t="n">
        <f aca="false">IF(ISBLANK(RawFinancials!I522),"",RawFinancials!I522)</f>
        <v>0.793548594791231</v>
      </c>
      <c r="J522" s="0" t="n">
        <f aca="false">IF(ISBLANK(RawFinancials!J522),"",RawFinancials!J522)</f>
        <v>23531</v>
      </c>
      <c r="K522" s="0" t="n">
        <f aca="false">IF(ISBLANK(RawFinancials!K522),"",RawFinancials!K522)</f>
        <v>11348</v>
      </c>
      <c r="L522" s="0" t="n">
        <f aca="false">IF(ISBLANK(RawFinancials!L522),"",RawFinancials!L522)</f>
        <v>434882</v>
      </c>
      <c r="M522" s="0" t="n">
        <f aca="false">IF(ISBLANK(RawFinancials!M522),"",RawFinancials!M522)</f>
        <v>431431</v>
      </c>
      <c r="N522" s="0" t="n">
        <f aca="false">IF(ISBLANK(RawFinancials!N522),"",RawFinancials!N522)</f>
        <v>400003</v>
      </c>
      <c r="O522" s="0" t="n">
        <f aca="false">IF(ISBLANK(RawFinancials!O522),"",RawFinancials!O522)</f>
        <v>141</v>
      </c>
      <c r="P522" s="0" t="str">
        <f aca="false">IF(ISBLANK(RawFinancials!P522),"",RawFinancials!P522)</f>
        <v>FIRST SEACOAST BANK</v>
      </c>
      <c r="Q522" s="0" t="n">
        <f aca="false">IF(ISBLANK(RawFinancials!Q522),"",RawFinancials!Q522)</f>
        <v>0.0324225881963383</v>
      </c>
      <c r="R522" s="0" t="n">
        <f aca="false">IF(ISBLANK(RawFinancials!R522),"",RawFinancials!R522)</f>
        <v>2.1079483156263</v>
      </c>
      <c r="S522" s="0" t="n">
        <f aca="false">IF(ISBLANK(RawFinancials!S522),"",RawFinancials!S522)</f>
        <v>-1</v>
      </c>
      <c r="T522" s="0" t="n">
        <f aca="false">IF(ISBLANK(RawFinancials!T522),"",RawFinancials!T522)</f>
        <v>0</v>
      </c>
      <c r="U522" s="0" t="n">
        <f aca="false">IF(ISBLANK(RawFinancials!U522),"",RawFinancials!U522)</f>
        <v>0</v>
      </c>
      <c r="V522" s="0" t="n">
        <f aca="false">IF(ISBLANK(RawFinancials!V522),"",RawFinancials!V522)</f>
        <v>15.527357074635</v>
      </c>
      <c r="W522" s="0" t="n">
        <f aca="false">IF(ISBLANK(RawFinancials!W522),"",RawFinancials!W522)</f>
        <v>20240630</v>
      </c>
      <c r="X522" s="0" t="n">
        <f aca="false">IF(ISBLANK(RawFinancials!X522),"",RawFinancials!X522)</f>
        <v>0.296595325680526</v>
      </c>
      <c r="Y522" s="0" t="n">
        <f aca="false">IF(ISBLANK(RawFinancials!Y522),"",RawFinancials!Y522)</f>
        <v>3.8</v>
      </c>
      <c r="Z522" s="0" t="str">
        <f aca="false">IF(ISBLANK(RawFinancials!Z522),"",RawFinancials!Z522)</f>
        <v>NH</v>
      </c>
      <c r="AA522" s="0" t="n">
        <f aca="false">RawFinancials!AA522</f>
        <v>1</v>
      </c>
      <c r="AB522" s="0" t="n">
        <f aca="false">RawFinancials!AB522</f>
        <v>141</v>
      </c>
      <c r="AC522" s="0" t="n">
        <f aca="false">RawFinancials!AC522</f>
        <v>0.0234212266078423</v>
      </c>
      <c r="AD522" s="0" t="n">
        <f aca="false">IF(L522&gt;0,100*N522/L522,"")</f>
        <v>91.9796634489356</v>
      </c>
      <c r="AE522" s="0" t="n">
        <f aca="false">IF(B522&gt;0,100*F522/B522,"")</f>
        <v>7.67967070752037</v>
      </c>
      <c r="AF522" s="0" t="str">
        <f aca="false">RawFinancials!AE522</f>
        <v/>
      </c>
    </row>
    <row r="523" customFormat="false" ht="15" hidden="false" customHeight="false" outlineLevel="0" collapsed="false">
      <c r="A523" s="0" t="n">
        <f aca="false">IF(ISBLANK(RawFinancials!A523),"",RawFinancials!A523)</f>
        <v>523</v>
      </c>
      <c r="B523" s="0" t="n">
        <f aca="false">IF(ISBLANK(RawFinancials!B523),"",RawFinancials!B523)</f>
        <v>564787</v>
      </c>
      <c r="C523" s="0" t="n">
        <f aca="false">IF(ISBLANK(RawFinancials!C523),"",RawFinancials!C523)</f>
        <v>30350</v>
      </c>
      <c r="D523" s="0" t="n">
        <f aca="false">IF(ISBLANK(RawFinancials!D523),"",RawFinancials!D523)</f>
        <v>443952</v>
      </c>
      <c r="E523" s="0" t="n">
        <f aca="false">IF(ISBLANK(RawFinancials!E523),"",RawFinancials!E523)</f>
        <v>0.02</v>
      </c>
      <c r="F523" s="0" t="n">
        <f aca="false">IF(ISBLANK(RawFinancials!F523),"",RawFinancials!F523)</f>
        <v>57863</v>
      </c>
      <c r="G523" s="0" t="n">
        <f aca="false">IF(ISBLANK(RawFinancials!G523),"",RawFinancials!G523)</f>
        <v>10.24510125056</v>
      </c>
      <c r="H523" s="0" t="str">
        <f aca="false">IF(ISBLANK(RawFinancials!H523),"",RawFinancials!H523)</f>
        <v>30350_20240630</v>
      </c>
      <c r="I523" s="0" t="n">
        <f aca="false">IF(ISBLANK(RawFinancials!I523),"",RawFinancials!I523)</f>
        <v>1.27341994255429</v>
      </c>
      <c r="J523" s="0" t="n">
        <f aca="false">IF(ISBLANK(RawFinancials!J523),"",RawFinancials!J523)</f>
        <v>16189</v>
      </c>
      <c r="K523" s="0" t="n">
        <f aca="false">IF(ISBLANK(RawFinancials!K523),"",RawFinancials!K523)</f>
        <v>1741</v>
      </c>
      <c r="L523" s="0" t="n">
        <f aca="false">IF(ISBLANK(RawFinancials!L523),"",RawFinancials!L523)</f>
        <v>416045</v>
      </c>
      <c r="M523" s="0" t="n">
        <f aca="false">IF(ISBLANK(RawFinancials!M523),"",RawFinancials!M523)</f>
        <v>410747</v>
      </c>
      <c r="N523" s="0" t="n">
        <f aca="false">IF(ISBLANK(RawFinancials!N523),"",RawFinancials!N523)</f>
        <v>396859</v>
      </c>
      <c r="O523" s="0" t="n">
        <f aca="false">IF(ISBLANK(RawFinancials!O523),"",RawFinancials!O523)</f>
        <v>1683</v>
      </c>
      <c r="P523" s="0" t="str">
        <f aca="false">IF(ISBLANK(RawFinancials!P523),"",RawFinancials!P523)</f>
        <v>THE BANK OF BENNINGTON</v>
      </c>
      <c r="Q523" s="0" t="n">
        <f aca="false">IF(ISBLANK(RawFinancials!Q523),"",RawFinancials!Q523)</f>
        <v>0.40452354913531</v>
      </c>
      <c r="R523" s="0" t="n">
        <f aca="false">IF(ISBLANK(RawFinancials!R523),"",RawFinancials!R523)</f>
        <v>2.61238644826905</v>
      </c>
      <c r="S523" s="0" t="n">
        <f aca="false">IF(ISBLANK(RawFinancials!S523),"",RawFinancials!S523)</f>
        <v>-210</v>
      </c>
      <c r="T523" s="0" t="n">
        <f aca="false">IF(ISBLANK(RawFinancials!T523),"",RawFinancials!T523)</f>
        <v>1867</v>
      </c>
      <c r="U523" s="0" t="n">
        <f aca="false">IF(ISBLANK(RawFinancials!U523),"",RawFinancials!U523)</f>
        <v>0</v>
      </c>
      <c r="V523" s="0" t="n">
        <f aca="false">IF(ISBLANK(RawFinancials!V523),"",RawFinancials!V523)</f>
        <v>20.7901181982749</v>
      </c>
      <c r="W523" s="0" t="n">
        <f aca="false">IF(ISBLANK(RawFinancials!W523),"",RawFinancials!W523)</f>
        <v>20240630</v>
      </c>
      <c r="X523" s="0" t="n">
        <f aca="false">IF(ISBLANK(RawFinancials!X523),"",RawFinancials!X523)</f>
        <v>0.535675281474205</v>
      </c>
      <c r="Y523" s="0" t="n">
        <f aca="false">IF(ISBLANK(RawFinancials!Y523),"",RawFinancials!Y523)</f>
        <v>5.25</v>
      </c>
      <c r="Z523" s="0" t="str">
        <f aca="false">IF(ISBLANK(RawFinancials!Z523),"",RawFinancials!Z523)</f>
        <v>VT</v>
      </c>
      <c r="AA523" s="0" t="n">
        <f aca="false">RawFinancials!AA523</f>
        <v>1</v>
      </c>
      <c r="AB523" s="0" t="n">
        <f aca="false">RawFinancials!AB523</f>
        <v>1683</v>
      </c>
      <c r="AC523" s="0" t="n">
        <f aca="false">RawFinancials!AC523</f>
        <v>0.297988445201465</v>
      </c>
      <c r="AD523" s="0" t="n">
        <f aca="false">IF(L523&gt;0,100*N523/L523,"")</f>
        <v>95.3884796115805</v>
      </c>
      <c r="AE523" s="0" t="n">
        <f aca="false">IF(B523&gt;0,100*F523/B523,"")</f>
        <v>10.2451012505599</v>
      </c>
      <c r="AF523" s="0" t="str">
        <f aca="false">RawFinancials!AE523</f>
        <v/>
      </c>
    </row>
    <row r="524" customFormat="false" ht="15" hidden="false" customHeight="false" outlineLevel="0" collapsed="false">
      <c r="A524" s="0" t="n">
        <f aca="false">IF(ISBLANK(RawFinancials!A524),"",RawFinancials!A524)</f>
        <v>524</v>
      </c>
      <c r="B524" s="0" t="n">
        <f aca="false">IF(ISBLANK(RawFinancials!B524),"",RawFinancials!B524)</f>
        <v>102920</v>
      </c>
      <c r="C524" s="0" t="n">
        <f aca="false">IF(ISBLANK(RawFinancials!C524),"",RawFinancials!C524)</f>
        <v>30878</v>
      </c>
      <c r="D524" s="0" t="n">
        <f aca="false">IF(ISBLANK(RawFinancials!D524),"",RawFinancials!D524)</f>
        <v>76575</v>
      </c>
      <c r="E524" s="0" t="n">
        <f aca="false">IF(ISBLANK(RawFinancials!E524),"",RawFinancials!E524)</f>
        <v>-0.41</v>
      </c>
      <c r="F524" s="0" t="n">
        <f aca="false">IF(ISBLANK(RawFinancials!F524),"",RawFinancials!F524)</f>
        <v>12189</v>
      </c>
      <c r="G524" s="0" t="n">
        <f aca="false">IF(ISBLANK(RawFinancials!G524),"",RawFinancials!G524)</f>
        <v>11.843179168286</v>
      </c>
      <c r="H524" s="0" t="str">
        <f aca="false">IF(ISBLANK(RawFinancials!H524),"",RawFinancials!H524)</f>
        <v>30878_20240630</v>
      </c>
      <c r="I524" s="0" t="n">
        <f aca="false">IF(ISBLANK(RawFinancials!I524),"",RawFinancials!I524)</f>
        <v>0.594400834883615</v>
      </c>
      <c r="J524" s="0" t="n">
        <f aca="false">IF(ISBLANK(RawFinancials!J524),"",RawFinancials!J524)</f>
        <v>0</v>
      </c>
      <c r="K524" s="0" t="n">
        <f aca="false">IF(ISBLANK(RawFinancials!K524),"",RawFinancials!K524)</f>
        <v>172</v>
      </c>
      <c r="L524" s="0" t="n">
        <f aca="false">IF(ISBLANK(RawFinancials!L524),"",RawFinancials!L524)</f>
        <v>88156</v>
      </c>
      <c r="M524" s="0" t="n">
        <f aca="false">IF(ISBLANK(RawFinancials!M524),"",RawFinancials!M524)</f>
        <v>87632</v>
      </c>
      <c r="N524" s="0" t="n">
        <f aca="false">IF(ISBLANK(RawFinancials!N524),"",RawFinancials!N524)</f>
        <v>87984</v>
      </c>
      <c r="O524" s="0" t="n">
        <f aca="false">IF(ISBLANK(RawFinancials!O524),"",RawFinancials!O524)</f>
        <v>1829</v>
      </c>
      <c r="P524" s="0" t="str">
        <f aca="false">IF(ISBLANK(RawFinancials!P524),"",RawFinancials!P524)</f>
        <v>BAR HARBOR SAVINGS AND LOAN ASSOCIATION</v>
      </c>
      <c r="Q524" s="0" t="n">
        <f aca="false">IF(ISBLANK(RawFinancials!Q524),"",RawFinancials!Q524)</f>
        <v>2.07473115840102</v>
      </c>
      <c r="R524" s="0" t="n">
        <f aca="false">IF(ISBLANK(RawFinancials!R524),"",RawFinancials!R524)</f>
        <v>0.954583739989572</v>
      </c>
      <c r="S524" s="0" t="n">
        <f aca="false">IF(ISBLANK(RawFinancials!S524),"",RawFinancials!S524)</f>
        <v>0</v>
      </c>
      <c r="T524" s="0" t="n">
        <f aca="false">IF(ISBLANK(RawFinancials!T524),"",RawFinancials!T524)</f>
        <v>1197</v>
      </c>
      <c r="U524" s="0" t="n">
        <f aca="false">IF(ISBLANK(RawFinancials!U524),"",RawFinancials!U524)</f>
        <v>0</v>
      </c>
      <c r="V524" s="0" t="n">
        <f aca="false">IF(ISBLANK(RawFinancials!V524),"",RawFinancials!V524)</f>
        <v>0</v>
      </c>
      <c r="W524" s="0" t="n">
        <f aca="false">IF(ISBLANK(RawFinancials!W524),"",RawFinancials!W524)</f>
        <v>20240630</v>
      </c>
      <c r="X524" s="0" t="n">
        <f aca="false">IF(ISBLANK(RawFinancials!X524),"",RawFinancials!X524)</f>
        <v>-0.227714970329511</v>
      </c>
      <c r="Y524" s="0" t="n">
        <f aca="false">IF(ISBLANK(RawFinancials!Y524),"",RawFinancials!Y524)</f>
        <v>-1.92</v>
      </c>
      <c r="Z524" s="0" t="str">
        <f aca="false">IF(ISBLANK(RawFinancials!Z524),"",RawFinancials!Z524)</f>
        <v>ME</v>
      </c>
      <c r="AA524" s="0" t="n">
        <f aca="false">RawFinancials!AA524</f>
        <v>1</v>
      </c>
      <c r="AB524" s="0" t="n">
        <f aca="false">RawFinancials!AB524</f>
        <v>1829</v>
      </c>
      <c r="AC524" s="0" t="n">
        <f aca="false">RawFinancials!AC524</f>
        <v>1.77710843373494</v>
      </c>
      <c r="AD524" s="0" t="n">
        <f aca="false">IF(L524&gt;0,100*N524/L524,"")</f>
        <v>99.8048913290077</v>
      </c>
      <c r="AE524" s="0" t="n">
        <f aca="false">IF(B524&gt;0,100*F524/B524,"")</f>
        <v>11.843179168286</v>
      </c>
      <c r="AF524" s="0" t="str">
        <f aca="false">RawFinancials!AE524</f>
        <v>原始0：需核实适用/报告口径</v>
      </c>
    </row>
    <row r="525" customFormat="false" ht="15" hidden="false" customHeight="false" outlineLevel="0" collapsed="false">
      <c r="A525" s="0" t="n">
        <f aca="false">IF(ISBLANK(RawFinancials!A525),"",RawFinancials!A525)</f>
        <v>525</v>
      </c>
      <c r="B525" s="0" t="n">
        <f aca="false">IF(ISBLANK(RawFinancials!B525),"",RawFinancials!B525)</f>
        <v>907185</v>
      </c>
      <c r="C525" s="0" t="n">
        <f aca="false">IF(ISBLANK(RawFinancials!C525),"",RawFinancials!C525)</f>
        <v>33418</v>
      </c>
      <c r="D525" s="0" t="n">
        <f aca="false">IF(ISBLANK(RawFinancials!D525),"",RawFinancials!D525)</f>
        <v>797623</v>
      </c>
      <c r="E525" s="0" t="n">
        <f aca="false">IF(ISBLANK(RawFinancials!E525),"",RawFinancials!E525)</f>
        <v>0.14</v>
      </c>
      <c r="F525" s="0" t="n">
        <f aca="false">IF(ISBLANK(RawFinancials!F525),"",RawFinancials!F525)</f>
        <v>68495</v>
      </c>
      <c r="G525" s="0" t="n">
        <f aca="false">IF(ISBLANK(RawFinancials!G525),"",RawFinancials!G525)</f>
        <v>7.55027916025948</v>
      </c>
      <c r="H525" s="0" t="str">
        <f aca="false">IF(ISBLANK(RawFinancials!H525),"",RawFinancials!H525)</f>
        <v>33418_20240630</v>
      </c>
      <c r="I525" s="0" t="n">
        <f aca="false">IF(ISBLANK(RawFinancials!I525),"",RawFinancials!I525)</f>
        <v>0.687190320876959</v>
      </c>
      <c r="J525" s="0" t="n">
        <f aca="false">IF(ISBLANK(RawFinancials!J525),"",RawFinancials!J525)</f>
        <v>70095</v>
      </c>
      <c r="K525" s="0" t="n">
        <f aca="false">IF(ISBLANK(RawFinancials!K525),"",RawFinancials!K525)</f>
        <v>17201</v>
      </c>
      <c r="L525" s="0" t="n">
        <f aca="false">IF(ISBLANK(RawFinancials!L525),"",RawFinancials!L525)</f>
        <v>496078</v>
      </c>
      <c r="M525" s="0" t="n">
        <f aca="false">IF(ISBLANK(RawFinancials!M525),"",RawFinancials!M525)</f>
        <v>492669</v>
      </c>
      <c r="N525" s="0" t="n">
        <f aca="false">IF(ISBLANK(RawFinancials!N525),"",RawFinancials!N525)</f>
        <v>409365</v>
      </c>
      <c r="O525" s="0" t="n">
        <f aca="false">IF(ISBLANK(RawFinancials!O525),"",RawFinancials!O525)</f>
        <v>964</v>
      </c>
      <c r="P525" s="0" t="str">
        <f aca="false">IF(ISBLANK(RawFinancials!P525),"",RawFinancials!P525)</f>
        <v>LEDYARD NATIONAL BANK</v>
      </c>
      <c r="Q525" s="0" t="n">
        <f aca="false">IF(ISBLANK(RawFinancials!Q525),"",RawFinancials!Q525)</f>
        <v>0.194324279649571</v>
      </c>
      <c r="R525" s="0" t="n">
        <f aca="false">IF(ISBLANK(RawFinancials!R525),"",RawFinancials!R525)</f>
        <v>2.21373217341351</v>
      </c>
      <c r="S525" s="0" t="n">
        <f aca="false">IF(ISBLANK(RawFinancials!S525),"",RawFinancials!S525)</f>
        <v>-4</v>
      </c>
      <c r="T525" s="0" t="n">
        <f aca="false">IF(ISBLANK(RawFinancials!T525),"",RawFinancials!T525)</f>
        <v>641</v>
      </c>
      <c r="U525" s="0" t="n">
        <f aca="false">IF(ISBLANK(RawFinancials!U525),"",RawFinancials!U525)</f>
        <v>0</v>
      </c>
      <c r="V525" s="0" t="n">
        <f aca="false">IF(ISBLANK(RawFinancials!V525),"",RawFinancials!V525)</f>
        <v>14.3976303978601</v>
      </c>
      <c r="W525" s="0" t="n">
        <f aca="false">IF(ISBLANK(RawFinancials!W525),"",RawFinancials!W525)</f>
        <v>20240630</v>
      </c>
      <c r="X525" s="0" t="n">
        <f aca="false">IF(ISBLANK(RawFinancials!X525),"",RawFinancials!X525)</f>
        <v>0.374700273680357</v>
      </c>
      <c r="Y525" s="0" t="n">
        <f aca="false">IF(ISBLANK(RawFinancials!Y525),"",RawFinancials!Y525)</f>
        <v>4.84</v>
      </c>
      <c r="Z525" s="0" t="str">
        <f aca="false">IF(ISBLANK(RawFinancials!Z525),"",RawFinancials!Z525)</f>
        <v>VT</v>
      </c>
      <c r="AA525" s="0" t="n">
        <f aca="false">RawFinancials!AA525</f>
        <v>1</v>
      </c>
      <c r="AB525" s="0" t="n">
        <f aca="false">RawFinancials!AB525</f>
        <v>964</v>
      </c>
      <c r="AC525" s="0" t="n">
        <f aca="false">RawFinancials!AC525</f>
        <v>0.106262779918098</v>
      </c>
      <c r="AD525" s="0" t="n">
        <f aca="false">IF(L525&gt;0,100*N525/L525,"")</f>
        <v>82.5202891480775</v>
      </c>
      <c r="AE525" s="0" t="n">
        <f aca="false">IF(B525&gt;0,100*F525/B525,"")</f>
        <v>7.55027916025948</v>
      </c>
      <c r="AF525" s="0" t="str">
        <f aca="false">RawFinancials!AE525</f>
        <v/>
      </c>
    </row>
    <row r="526" customFormat="false" ht="15" hidden="false" customHeight="false" outlineLevel="0" collapsed="false">
      <c r="A526" s="0" t="n">
        <f aca="false">IF(ISBLANK(RawFinancials!A526),"",RawFinancials!A526)</f>
        <v>526</v>
      </c>
      <c r="B526" s="0" t="n">
        <f aca="false">IF(ISBLANK(RawFinancials!B526),"",RawFinancials!B526)</f>
        <v>84424</v>
      </c>
      <c r="C526" s="0" t="n">
        <f aca="false">IF(ISBLANK(RawFinancials!C526),"",RawFinancials!C526)</f>
        <v>35206</v>
      </c>
      <c r="D526" s="0" t="n">
        <f aca="false">IF(ISBLANK(RawFinancials!D526),"",RawFinancials!D526)</f>
        <v>500</v>
      </c>
      <c r="E526" s="0" t="n">
        <f aca="false">IF(ISBLANK(RawFinancials!E526),"",RawFinancials!E526)</f>
        <v>0</v>
      </c>
      <c r="F526" s="0" t="n">
        <f aca="false">IF(ISBLANK(RawFinancials!F526),"",RawFinancials!F526)</f>
        <v>82008</v>
      </c>
      <c r="G526" s="0" t="n">
        <f aca="false">IF(ISBLANK(RawFinancials!G526),"",RawFinancials!G526)</f>
        <v>97.1382545247797</v>
      </c>
      <c r="H526" s="0" t="str">
        <f aca="false">IF(ISBLANK(RawFinancials!H526),"",RawFinancials!H526)</f>
        <v>35206_20240630</v>
      </c>
      <c r="I526" s="0" t="n">
        <f aca="false">IF(ISBLANK(RawFinancials!I526),"",RawFinancials!I526)</f>
        <v>0</v>
      </c>
      <c r="J526" s="0" t="n">
        <f aca="false">IF(ISBLANK(RawFinancials!J526),"",RawFinancials!J526)</f>
        <v>0</v>
      </c>
      <c r="K526" s="0" t="n">
        <f aca="false">IF(ISBLANK(RawFinancials!K526),"",RawFinancials!K526)</f>
        <v>0</v>
      </c>
      <c r="L526" s="0" t="n">
        <f aca="false">IF(ISBLANK(RawFinancials!L526),"",RawFinancials!L526)</f>
        <v>0</v>
      </c>
      <c r="M526" s="0" t="n">
        <f aca="false">IF(ISBLANK(RawFinancials!M526),"",RawFinancials!M526)</f>
        <v>0</v>
      </c>
      <c r="N526" s="0" t="n">
        <f aca="false">IF(ISBLANK(RawFinancials!N526),"",RawFinancials!N526)</f>
        <v>0</v>
      </c>
      <c r="O526" s="0" t="n">
        <f aca="false">IF(ISBLANK(RawFinancials!O526),"",RawFinancials!O526)</f>
        <v>0</v>
      </c>
      <c r="P526" s="0" t="str">
        <f aca="false">IF(ISBLANK(RawFinancials!P526),"",RawFinancials!P526)</f>
        <v>FIDELITY PERSONAL TRUST COMPANY, FSB</v>
      </c>
      <c r="Q526" s="0" t="n">
        <f aca="false">IF(ISBLANK(RawFinancials!Q526),"",RawFinancials!Q526)</f>
        <v>0</v>
      </c>
      <c r="R526" s="0" t="n">
        <f aca="false">IF(ISBLANK(RawFinancials!R526),"",RawFinancials!R526)</f>
        <v>4.69597610771469</v>
      </c>
      <c r="S526" s="0" t="n">
        <f aca="false">IF(ISBLANK(RawFinancials!S526),"",RawFinancials!S526)</f>
        <v>0</v>
      </c>
      <c r="T526" s="0" t="n">
        <f aca="false">IF(ISBLANK(RawFinancials!T526),"",RawFinancials!T526)</f>
        <v>0</v>
      </c>
      <c r="U526" s="0" t="n">
        <f aca="false">IF(ISBLANK(RawFinancials!U526),"",RawFinancials!U526)</f>
        <v>0</v>
      </c>
      <c r="V526" s="0" t="n">
        <f aca="false">IF(ISBLANK(RawFinancials!V526),"",RawFinancials!V526)</f>
        <v>0</v>
      </c>
      <c r="W526" s="0" t="n">
        <f aca="false">IF(ISBLANK(RawFinancials!W526),"",RawFinancials!W526)</f>
        <v>20240630</v>
      </c>
      <c r="X526" s="0" t="n">
        <f aca="false">IF(ISBLANK(RawFinancials!X526),"",RawFinancials!X526)</f>
        <v>18.8338919249121</v>
      </c>
      <c r="Y526" s="0" t="n">
        <f aca="false">IF(ISBLANK(RawFinancials!Y526),"",RawFinancials!Y526)</f>
        <v>19.52</v>
      </c>
      <c r="Z526" s="0" t="str">
        <f aca="false">IF(ISBLANK(RawFinancials!Z526),"",RawFinancials!Z526)</f>
        <v>NH</v>
      </c>
      <c r="AA526" s="0" t="n">
        <f aca="false">RawFinancials!AA526</f>
        <v>1</v>
      </c>
      <c r="AB526" s="0" t="n">
        <f aca="false">RawFinancials!AB526</f>
        <v>0</v>
      </c>
      <c r="AC526" s="0" t="n">
        <f aca="false">RawFinancials!AC526</f>
        <v>0</v>
      </c>
      <c r="AD526" s="0" t="str">
        <f aca="false">IF(L526&gt;0,100*N526/L526,"")</f>
        <v/>
      </c>
      <c r="AE526" s="0" t="n">
        <f aca="false">IF(B526&gt;0,100*F526/B526,"")</f>
        <v>97.1382545247797</v>
      </c>
      <c r="AF526" s="0" t="str">
        <f aca="false">RawFinancials!AE526</f>
        <v>原始0：需核实适用/报告口径</v>
      </c>
    </row>
    <row r="527" customFormat="false" ht="15" hidden="false" customHeight="false" outlineLevel="0" collapsed="false">
      <c r="A527" s="0" t="n">
        <f aca="false">IF(ISBLANK(RawFinancials!A527),"",RawFinancials!A527)</f>
        <v>527</v>
      </c>
      <c r="B527" s="0" t="n">
        <f aca="false">IF(ISBLANK(RawFinancials!B527),"",RawFinancials!B527)</f>
        <v>5709625</v>
      </c>
      <c r="C527" s="0" t="n">
        <f aca="false">IF(ISBLANK(RawFinancials!C527),"",RawFinancials!C527)</f>
        <v>4255</v>
      </c>
      <c r="D527" s="0" t="n">
        <f aca="false">IF(ISBLANK(RawFinancials!D527),"",RawFinancials!D527)</f>
        <v>4547560</v>
      </c>
      <c r="E527" s="0" t="n">
        <f aca="false">IF(ISBLANK(RawFinancials!E527),"",RawFinancials!E527)</f>
        <v>-0.02</v>
      </c>
      <c r="F527" s="0" t="n">
        <f aca="false">IF(ISBLANK(RawFinancials!F527),"",RawFinancials!F527)</f>
        <v>521498</v>
      </c>
      <c r="G527" s="0" t="n">
        <f aca="false">IF(ISBLANK(RawFinancials!G527),"",RawFinancials!G527)</f>
        <v>9.13366464522627</v>
      </c>
      <c r="H527" s="0" t="str">
        <f aca="false">IF(ISBLANK(RawFinancials!H527),"",RawFinancials!H527)</f>
        <v>4255_20240630</v>
      </c>
      <c r="I527" s="0" t="n">
        <f aca="false">IF(ISBLANK(RawFinancials!I527),"",RawFinancials!I527)</f>
        <v>0.852544802418673</v>
      </c>
      <c r="J527" s="0" t="n">
        <f aca="false">IF(ISBLANK(RawFinancials!J527),"",RawFinancials!J527)</f>
        <v>336171</v>
      </c>
      <c r="K527" s="0" t="n">
        <f aca="false">IF(ISBLANK(RawFinancials!K527),"",RawFinancials!K527)</f>
        <v>16595</v>
      </c>
      <c r="L527" s="0" t="n">
        <f aca="false">IF(ISBLANK(RawFinancials!L527),"",RawFinancials!L527)</f>
        <v>4153682</v>
      </c>
      <c r="M527" s="0" t="n">
        <f aca="false">IF(ISBLANK(RawFinancials!M527),"",RawFinancials!M527)</f>
        <v>4118270</v>
      </c>
      <c r="N527" s="0" t="n">
        <f aca="false">IF(ISBLANK(RawFinancials!N527),"",RawFinancials!N527)</f>
        <v>3763309</v>
      </c>
      <c r="O527" s="0" t="n">
        <f aca="false">IF(ISBLANK(RawFinancials!O527),"",RawFinancials!O527)</f>
        <v>7795</v>
      </c>
      <c r="P527" s="0" t="str">
        <f aca="false">IF(ISBLANK(RawFinancials!P527),"",RawFinancials!P527)</f>
        <v>THE CAMDEN NATIONAL BANK</v>
      </c>
      <c r="Q527" s="0" t="n">
        <f aca="false">IF(ISBLANK(RawFinancials!Q527),"",RawFinancials!Q527)</f>
        <v>0.187664823643216</v>
      </c>
      <c r="R527" s="0" t="n">
        <f aca="false">IF(ISBLANK(RawFinancials!R527),"",RawFinancials!R527)</f>
        <v>2.45330570465421</v>
      </c>
      <c r="S527" s="0" t="n">
        <f aca="false">IF(ISBLANK(RawFinancials!S527),"",RawFinancials!S527)</f>
        <v>547</v>
      </c>
      <c r="T527" s="0" t="n">
        <f aca="false">IF(ISBLANK(RawFinancials!T527),"",RawFinancials!T527)</f>
        <v>2245</v>
      </c>
      <c r="U527" s="0" t="n">
        <f aca="false">IF(ISBLANK(RawFinancials!U527),"",RawFinancials!U527)</f>
        <v>0</v>
      </c>
      <c r="V527" s="0" t="n">
        <f aca="false">IF(ISBLANK(RawFinancials!V527),"",RawFinancials!V527)</f>
        <v>13.8306326550339</v>
      </c>
      <c r="W527" s="0" t="n">
        <f aca="false">IF(ISBLANK(RawFinancials!W527),"",RawFinancials!W527)</f>
        <v>20240630</v>
      </c>
      <c r="X527" s="0" t="n">
        <f aca="false">IF(ISBLANK(RawFinancials!X527),"",RawFinancials!X527)</f>
        <v>0.924812905065092</v>
      </c>
      <c r="Y527" s="0" t="n">
        <f aca="false">IF(ISBLANK(RawFinancials!Y527),"",RawFinancials!Y527)</f>
        <v>10.3</v>
      </c>
      <c r="Z527" s="0" t="str">
        <f aca="false">IF(ISBLANK(RawFinancials!Z527),"",RawFinancials!Z527)</f>
        <v>ME</v>
      </c>
      <c r="AA527" s="0" t="n">
        <f aca="false">RawFinancials!AA527</f>
        <v>1</v>
      </c>
      <c r="AB527" s="0" t="n">
        <f aca="false">RawFinancials!AB527</f>
        <v>7795</v>
      </c>
      <c r="AC527" s="0" t="n">
        <f aca="false">RawFinancials!AC527</f>
        <v>0.136523852267005</v>
      </c>
      <c r="AD527" s="0" t="n">
        <f aca="false">IF(L527&gt;0,100*N527/L527,"")</f>
        <v>90.601760076963</v>
      </c>
      <c r="AE527" s="0" t="n">
        <f aca="false">IF(B527&gt;0,100*F527/B527,"")</f>
        <v>9.13366464522626</v>
      </c>
      <c r="AF527" s="0" t="str">
        <f aca="false">RawFinancials!AE527</f>
        <v/>
      </c>
    </row>
    <row r="528" customFormat="false" ht="15" hidden="false" customHeight="false" outlineLevel="0" collapsed="false">
      <c r="A528" s="0" t="n">
        <f aca="false">IF(ISBLANK(RawFinancials!A528),"",RawFinancials!A528)</f>
        <v>528</v>
      </c>
      <c r="B528" s="0" t="n">
        <f aca="false">IF(ISBLANK(RawFinancials!B528),"",RawFinancials!B528)</f>
        <v>3049270</v>
      </c>
      <c r="C528" s="0" t="n">
        <f aca="false">IF(ISBLANK(RawFinancials!C528),"",RawFinancials!C528)</f>
        <v>4256</v>
      </c>
      <c r="D528" s="0" t="n">
        <f aca="false">IF(ISBLANK(RawFinancials!D528),"",RawFinancials!D528)</f>
        <v>2578790</v>
      </c>
      <c r="E528" s="0" t="n">
        <f aca="false">IF(ISBLANK(RawFinancials!E528),"",RawFinancials!E528)</f>
        <v>0</v>
      </c>
      <c r="F528" s="0" t="n">
        <f aca="false">IF(ISBLANK(RawFinancials!F528),"",RawFinancials!F528)</f>
        <v>215996</v>
      </c>
      <c r="G528" s="0" t="n">
        <f aca="false">IF(ISBLANK(RawFinancials!G528),"",RawFinancials!G528)</f>
        <v>7.08353146818747</v>
      </c>
      <c r="H528" s="0" t="str">
        <f aca="false">IF(ISBLANK(RawFinancials!H528),"",RawFinancials!H528)</f>
        <v>4256_20240630</v>
      </c>
      <c r="I528" s="0" t="n">
        <f aca="false">IF(ISBLANK(RawFinancials!I528),"",RawFinancials!I528)</f>
        <v>1.09860433248653</v>
      </c>
      <c r="J528" s="0" t="n">
        <f aca="false">IF(ISBLANK(RawFinancials!J528),"",RawFinancials!J528)</f>
        <v>328850</v>
      </c>
      <c r="K528" s="0" t="n">
        <f aca="false">IF(ISBLANK(RawFinancials!K528),"",RawFinancials!K528)</f>
        <v>20514</v>
      </c>
      <c r="L528" s="0" t="n">
        <f aca="false">IF(ISBLANK(RawFinancials!L528),"",RawFinancials!L528)</f>
        <v>2247670</v>
      </c>
      <c r="M528" s="0" t="n">
        <f aca="false">IF(ISBLANK(RawFinancials!M528),"",RawFinancials!M528)</f>
        <v>2222977</v>
      </c>
      <c r="N528" s="0" t="n">
        <f aca="false">IF(ISBLANK(RawFinancials!N528),"",RawFinancials!N528)</f>
        <v>1791622</v>
      </c>
      <c r="O528" s="0" t="n">
        <f aca="false">IF(ISBLANK(RawFinancials!O528),"",RawFinancials!O528)</f>
        <v>2564</v>
      </c>
      <c r="P528" s="0" t="str">
        <f aca="false">IF(ISBLANK(RawFinancials!P528),"",RawFinancials!P528)</f>
        <v>FIRST NATIONAL BANK</v>
      </c>
      <c r="Q528" s="0" t="n">
        <f aca="false">IF(ISBLANK(RawFinancials!Q528),"",RawFinancials!Q528)</f>
        <v>0.117944360159632</v>
      </c>
      <c r="R528" s="0" t="n">
        <f aca="false">IF(ISBLANK(RawFinancials!R528),"",RawFinancials!R528)</f>
        <v>2.15400167285319</v>
      </c>
      <c r="S528" s="0" t="n">
        <f aca="false">IF(ISBLANK(RawFinancials!S528),"",RawFinancials!S528)</f>
        <v>-25</v>
      </c>
      <c r="T528" s="0" t="n">
        <f aca="false">IF(ISBLANK(RawFinancials!T528),"",RawFinancials!T528)</f>
        <v>2235</v>
      </c>
      <c r="U528" s="0" t="n">
        <f aca="false">IF(ISBLANK(RawFinancials!U528),"",RawFinancials!U528)</f>
        <v>87</v>
      </c>
      <c r="V528" s="0" t="n">
        <f aca="false">IF(ISBLANK(RawFinancials!V528),"",RawFinancials!V528)</f>
        <v>13.1885325111592</v>
      </c>
      <c r="W528" s="0" t="n">
        <f aca="false">IF(ISBLANK(RawFinancials!W528),"",RawFinancials!W528)</f>
        <v>20240630</v>
      </c>
      <c r="X528" s="0" t="n">
        <f aca="false">IF(ISBLANK(RawFinancials!X528),"",RawFinancials!X528)</f>
        <v>0.857312303576122</v>
      </c>
      <c r="Y528" s="0" t="n">
        <f aca="false">IF(ISBLANK(RawFinancials!Y528),"",RawFinancials!Y528)</f>
        <v>11.84</v>
      </c>
      <c r="Z528" s="0" t="str">
        <f aca="false">IF(ISBLANK(RawFinancials!Z528),"",RawFinancials!Z528)</f>
        <v>ME</v>
      </c>
      <c r="AA528" s="0" t="n">
        <f aca="false">RawFinancials!AA528</f>
        <v>1</v>
      </c>
      <c r="AB528" s="0" t="n">
        <f aca="false">RawFinancials!AB528</f>
        <v>2651</v>
      </c>
      <c r="AC528" s="0" t="n">
        <f aca="false">RawFinancials!AC528</f>
        <v>0.086938841099673</v>
      </c>
      <c r="AD528" s="0" t="n">
        <f aca="false">IF(L528&gt;0,100*N528/L528,"")</f>
        <v>79.710188773263</v>
      </c>
      <c r="AE528" s="0" t="n">
        <f aca="false">IF(B528&gt;0,100*F528/B528,"")</f>
        <v>7.08353146818747</v>
      </c>
      <c r="AF528" s="0" t="str">
        <f aca="false">RawFinancials!AE528</f>
        <v/>
      </c>
    </row>
    <row r="529" customFormat="false" ht="15" hidden="false" customHeight="false" outlineLevel="0" collapsed="false">
      <c r="A529" s="0" t="n">
        <f aca="false">IF(ISBLANK(RawFinancials!A529),"",RawFinancials!A529)</f>
        <v>529</v>
      </c>
      <c r="B529" s="0" t="n">
        <f aca="false">IF(ISBLANK(RawFinancials!B529),"",RawFinancials!B529)</f>
        <v>706680</v>
      </c>
      <c r="C529" s="0" t="n">
        <f aca="false">IF(ISBLANK(RawFinancials!C529),"",RawFinancials!C529)</f>
        <v>59086</v>
      </c>
      <c r="D529" s="0" t="n">
        <f aca="false">IF(ISBLANK(RawFinancials!D529),"",RawFinancials!D529)</f>
        <v>602024</v>
      </c>
      <c r="E529" s="0" t="n">
        <f aca="false">IF(ISBLANK(RawFinancials!E529),"",RawFinancials!E529)</f>
        <v>0.13</v>
      </c>
      <c r="F529" s="0" t="n">
        <f aca="false">IF(ISBLANK(RawFinancials!F529),"",RawFinancials!F529)</f>
        <v>93282</v>
      </c>
      <c r="G529" s="0" t="n">
        <f aca="false">IF(ISBLANK(RawFinancials!G529),"",RawFinancials!G529)</f>
        <v>13.2000339616234</v>
      </c>
      <c r="H529" s="0" t="str">
        <f aca="false">IF(ISBLANK(RawFinancials!H529),"",RawFinancials!H529)</f>
        <v>59086_20240630</v>
      </c>
      <c r="I529" s="0" t="n">
        <f aca="false">IF(ISBLANK(RawFinancials!I529),"",RawFinancials!I529)</f>
        <v>0.973145162782327</v>
      </c>
      <c r="J529" s="0" t="n">
        <f aca="false">IF(ISBLANK(RawFinancials!J529),"",RawFinancials!J529)</f>
        <v>119550</v>
      </c>
      <c r="K529" s="0" t="n">
        <f aca="false">IF(ISBLANK(RawFinancials!K529),"",RawFinancials!K529)</f>
        <v>0</v>
      </c>
      <c r="L529" s="0" t="n">
        <f aca="false">IF(ISBLANK(RawFinancials!L529),"",RawFinancials!L529)</f>
        <v>594567</v>
      </c>
      <c r="M529" s="0" t="n">
        <f aca="false">IF(ISBLANK(RawFinancials!M529),"",RawFinancials!M529)</f>
        <v>588781</v>
      </c>
      <c r="N529" s="0" t="n">
        <f aca="false">IF(ISBLANK(RawFinancials!N529),"",RawFinancials!N529)</f>
        <v>475386</v>
      </c>
      <c r="O529" s="0" t="n">
        <f aca="false">IF(ISBLANK(RawFinancials!O529),"",RawFinancials!O529)</f>
        <v>4045</v>
      </c>
      <c r="P529" s="0" t="str">
        <f aca="false">IF(ISBLANK(RawFinancials!P529),"",RawFinancials!P529)</f>
        <v>PRIMARY BANK</v>
      </c>
      <c r="Q529" s="0" t="n">
        <f aca="false">IF(ISBLANK(RawFinancials!Q529),"",RawFinancials!Q529)</f>
        <v>0.358916656995763</v>
      </c>
      <c r="R529" s="0" t="n">
        <f aca="false">IF(ISBLANK(RawFinancials!R529),"",RawFinancials!R529)</f>
        <v>3.75691693165665</v>
      </c>
      <c r="S529" s="0" t="n">
        <f aca="false">IF(ISBLANK(RawFinancials!S529),"",RawFinancials!S529)</f>
        <v>326</v>
      </c>
      <c r="T529" s="0" t="n">
        <f aca="false">IF(ISBLANK(RawFinancials!T529),"",RawFinancials!T529)</f>
        <v>4573</v>
      </c>
      <c r="U529" s="0" t="n">
        <f aca="false">IF(ISBLANK(RawFinancials!U529),"",RawFinancials!U529)</f>
        <v>0</v>
      </c>
      <c r="V529" s="0" t="n">
        <f aca="false">IF(ISBLANK(RawFinancials!V529),"",RawFinancials!V529)</f>
        <v>15.7258590273076</v>
      </c>
      <c r="W529" s="0" t="n">
        <f aca="false">IF(ISBLANK(RawFinancials!W529),"",RawFinancials!W529)</f>
        <v>20240630</v>
      </c>
      <c r="X529" s="0" t="n">
        <f aca="false">IF(ISBLANK(RawFinancials!X529),"",RawFinancials!X529)</f>
        <v>1.41567060766831</v>
      </c>
      <c r="Y529" s="0" t="n">
        <f aca="false">IF(ISBLANK(RawFinancials!Y529),"",RawFinancials!Y529)</f>
        <v>10.9</v>
      </c>
      <c r="Z529" s="0" t="str">
        <f aca="false">IF(ISBLANK(RawFinancials!Z529),"",RawFinancials!Z529)</f>
        <v>NH</v>
      </c>
      <c r="AA529" s="0" t="n">
        <f aca="false">RawFinancials!AA529</f>
        <v>1</v>
      </c>
      <c r="AB529" s="0" t="n">
        <f aca="false">RawFinancials!AB529</f>
        <v>4045</v>
      </c>
      <c r="AC529" s="0" t="n">
        <f aca="false">RawFinancials!AC529</f>
        <v>0.572394860474331</v>
      </c>
      <c r="AD529" s="0" t="n">
        <f aca="false">IF(L529&gt;0,100*N529/L529,"")</f>
        <v>79.9549924566954</v>
      </c>
      <c r="AE529" s="0" t="n">
        <f aca="false">IF(B529&gt;0,100*F529/B529,"")</f>
        <v>13.2000339616234</v>
      </c>
      <c r="AF529" s="0" t="str">
        <f aca="false">RawFinancials!AE529</f>
        <v/>
      </c>
    </row>
    <row r="530" customFormat="false" ht="15" hidden="false" customHeight="false" outlineLevel="0" collapsed="false">
      <c r="A530" s="0" t="n">
        <f aca="false">IF(ISBLANK(RawFinancials!A530),"",RawFinancials!A530)</f>
        <v>530</v>
      </c>
      <c r="B530" s="0" t="n">
        <f aca="false">IF(ISBLANK(RawFinancials!B530),"",RawFinancials!B530)</f>
        <v>229589</v>
      </c>
      <c r="C530" s="0" t="n">
        <f aca="false">IF(ISBLANK(RawFinancials!C530),"",RawFinancials!C530)</f>
        <v>59176</v>
      </c>
      <c r="D530" s="0" t="n">
        <f aca="false">IF(ISBLANK(RawFinancials!D530),"",RawFinancials!D530)</f>
        <v>190049</v>
      </c>
      <c r="E530" s="0" t="n">
        <f aca="false">IF(ISBLANK(RawFinancials!E530),"",RawFinancials!E530)</f>
        <v>0.09</v>
      </c>
      <c r="F530" s="0" t="n">
        <f aca="false">IF(ISBLANK(RawFinancials!F530),"",RawFinancials!F530)</f>
        <v>26811</v>
      </c>
      <c r="G530" s="0" t="n">
        <f aca="false">IF(ISBLANK(RawFinancials!G530),"",RawFinancials!G530)</f>
        <v>11.6778242860067</v>
      </c>
      <c r="H530" s="0" t="str">
        <f aca="false">IF(ISBLANK(RawFinancials!H530),"",RawFinancials!H530)</f>
        <v>59176_20240630</v>
      </c>
      <c r="I530" s="0" t="n">
        <f aca="false">IF(ISBLANK(RawFinancials!I530),"",RawFinancials!I530)</f>
        <v>0.961262725230607</v>
      </c>
      <c r="J530" s="0" t="n">
        <f aca="false">IF(ISBLANK(RawFinancials!J530),"",RawFinancials!J530)</f>
        <v>21990</v>
      </c>
      <c r="K530" s="0" t="n">
        <f aca="false">IF(ISBLANK(RawFinancials!K530),"",RawFinancials!K530)</f>
        <v>1</v>
      </c>
      <c r="L530" s="0" t="n">
        <f aca="false">IF(ISBLANK(RawFinancials!L530),"",RawFinancials!L530)</f>
        <v>167384</v>
      </c>
      <c r="M530" s="0" t="n">
        <f aca="false">IF(ISBLANK(RawFinancials!M530),"",RawFinancials!M530)</f>
        <v>165775</v>
      </c>
      <c r="N530" s="0" t="n">
        <f aca="false">IF(ISBLANK(RawFinancials!N530),"",RawFinancials!N530)</f>
        <v>145359</v>
      </c>
      <c r="O530" s="0" t="n">
        <f aca="false">IF(ISBLANK(RawFinancials!O530),"",RawFinancials!O530)</f>
        <v>0</v>
      </c>
      <c r="P530" s="0" t="str">
        <f aca="false">IF(ISBLANK(RawFinancials!P530),"",RawFinancials!P530)</f>
        <v>THE MILLYARD BANK</v>
      </c>
      <c r="Q530" s="0" t="n">
        <f aca="false">IF(ISBLANK(RawFinancials!Q530),"",RawFinancials!Q530)</f>
        <v>0</v>
      </c>
      <c r="R530" s="0" t="n">
        <f aca="false">IF(ISBLANK(RawFinancials!R530),"",RawFinancials!R530)</f>
        <v>2.33544128301684</v>
      </c>
      <c r="S530" s="0" t="n">
        <f aca="false">IF(ISBLANK(RawFinancials!S530),"",RawFinancials!S530)</f>
        <v>-32</v>
      </c>
      <c r="T530" s="0" t="n">
        <f aca="false">IF(ISBLANK(RawFinancials!T530),"",RawFinancials!T530)</f>
        <v>2371</v>
      </c>
      <c r="U530" s="0" t="n">
        <f aca="false">IF(ISBLANK(RawFinancials!U530),"",RawFinancials!U530)</f>
        <v>0</v>
      </c>
      <c r="V530" s="0" t="n">
        <f aca="false">IF(ISBLANK(RawFinancials!V530),"",RawFinancials!V530)</f>
        <v>0</v>
      </c>
      <c r="W530" s="0" t="n">
        <f aca="false">IF(ISBLANK(RawFinancials!W530),"",RawFinancials!W530)</f>
        <v>20240630</v>
      </c>
      <c r="X530" s="0" t="n">
        <f aca="false">IF(ISBLANK(RawFinancials!X530),"",RawFinancials!X530)</f>
        <v>-0.0574175999443223</v>
      </c>
      <c r="Y530" s="0" t="n">
        <f aca="false">IF(ISBLANK(RawFinancials!Y530),"",RawFinancials!Y530)</f>
        <v>-0.52</v>
      </c>
      <c r="Z530" s="0" t="str">
        <f aca="false">IF(ISBLANK(RawFinancials!Z530),"",RawFinancials!Z530)</f>
        <v>NH</v>
      </c>
      <c r="AA530" s="0" t="n">
        <f aca="false">RawFinancials!AA530</f>
        <v>1</v>
      </c>
      <c r="AB530" s="0" t="n">
        <f aca="false">RawFinancials!AB530</f>
        <v>0</v>
      </c>
      <c r="AC530" s="0" t="n">
        <f aca="false">RawFinancials!AC530</f>
        <v>0</v>
      </c>
      <c r="AD530" s="0" t="n">
        <f aca="false">IF(L530&gt;0,100*N530/L530,"")</f>
        <v>86.8416336089471</v>
      </c>
      <c r="AE530" s="0" t="n">
        <f aca="false">IF(B530&gt;0,100*F530/B530,"")</f>
        <v>11.6778242860067</v>
      </c>
      <c r="AF530" s="0" t="str">
        <f aca="false">RawFinancials!AE530</f>
        <v>原始0：需核实适用/报告口径</v>
      </c>
    </row>
    <row r="531" customFormat="false" ht="15" hidden="false" customHeight="false" outlineLevel="0" collapsed="false">
      <c r="A531" s="0" t="n">
        <f aca="false">IF(ISBLANK(RawFinancials!A531),"",RawFinancials!A531)</f>
        <v>531</v>
      </c>
      <c r="B531" s="0" t="n">
        <f aca="false">IF(ISBLANK(RawFinancials!B531),"",RawFinancials!B531)</f>
        <v>105919</v>
      </c>
      <c r="C531" s="0" t="n">
        <f aca="false">IF(ISBLANK(RawFinancials!C531),"",RawFinancials!C531)</f>
        <v>59289</v>
      </c>
      <c r="D531" s="0" t="n">
        <f aca="false">IF(ISBLANK(RawFinancials!D531),"",RawFinancials!D531)</f>
        <v>86145</v>
      </c>
      <c r="E531" s="0" t="n">
        <f aca="false">IF(ISBLANK(RawFinancials!E531),"",RawFinancials!E531)</f>
        <v>0.29</v>
      </c>
      <c r="F531" s="0" t="n">
        <f aca="false">IF(ISBLANK(RawFinancials!F531),"",RawFinancials!F531)</f>
        <v>18695</v>
      </c>
      <c r="G531" s="0" t="n">
        <f aca="false">IF(ISBLANK(RawFinancials!G531),"",RawFinancials!G531)</f>
        <v>17.6502799308906</v>
      </c>
      <c r="H531" s="0" t="str">
        <f aca="false">IF(ISBLANK(RawFinancials!H531),"",RawFinancials!H531)</f>
        <v>59289_20240630</v>
      </c>
      <c r="I531" s="0" t="n">
        <f aca="false">IF(ISBLANK(RawFinancials!I531),"",RawFinancials!I531)</f>
        <v>1.16018765451325</v>
      </c>
      <c r="J531" s="0" t="n">
        <f aca="false">IF(ISBLANK(RawFinancials!J531),"",RawFinancials!J531)</f>
        <v>29253</v>
      </c>
      <c r="K531" s="0" t="n">
        <f aca="false">IF(ISBLANK(RawFinancials!K531),"",RawFinancials!K531)</f>
        <v>0</v>
      </c>
      <c r="L531" s="0" t="n">
        <f aca="false">IF(ISBLANK(RawFinancials!L531),"",RawFinancials!L531)</f>
        <v>51371</v>
      </c>
      <c r="M531" s="0" t="n">
        <f aca="false">IF(ISBLANK(RawFinancials!M531),"",RawFinancials!M531)</f>
        <v>50775</v>
      </c>
      <c r="N531" s="0" t="n">
        <f aca="false">IF(ISBLANK(RawFinancials!N531),"",RawFinancials!N531)</f>
        <v>20661</v>
      </c>
      <c r="O531" s="0" t="n">
        <f aca="false">IF(ISBLANK(RawFinancials!O531),"",RawFinancials!O531)</f>
        <v>326</v>
      </c>
      <c r="P531" s="0" t="str">
        <f aca="false">IF(ISBLANK(RawFinancials!P531),"",RawFinancials!P531)</f>
        <v>WALDEN MUTUAL BANK</v>
      </c>
      <c r="Q531" s="0" t="n">
        <f aca="false">IF(ISBLANK(RawFinancials!Q531),"",RawFinancials!Q531)</f>
        <v>0.634599287535769</v>
      </c>
      <c r="R531" s="0" t="n">
        <f aca="false">IF(ISBLANK(RawFinancials!R531),"",RawFinancials!R531)</f>
        <v>4.06258129250437</v>
      </c>
      <c r="S531" s="0" t="n">
        <f aca="false">IF(ISBLANK(RawFinancials!S531),"",RawFinancials!S531)</f>
        <v>0</v>
      </c>
      <c r="T531" s="0" t="n">
        <f aca="false">IF(ISBLANK(RawFinancials!T531),"",RawFinancials!T531)</f>
        <v>4505</v>
      </c>
      <c r="U531" s="0" t="n">
        <f aca="false">IF(ISBLANK(RawFinancials!U531),"",RawFinancials!U531)</f>
        <v>0</v>
      </c>
      <c r="V531" s="0" t="n">
        <f aca="false">IF(ISBLANK(RawFinancials!V531),"",RawFinancials!V531)</f>
        <v>0</v>
      </c>
      <c r="W531" s="0" t="n">
        <f aca="false">IF(ISBLANK(RawFinancials!W531),"",RawFinancials!W531)</f>
        <v>20240630</v>
      </c>
      <c r="X531" s="0" t="n">
        <f aca="false">IF(ISBLANK(RawFinancials!X531),"",RawFinancials!X531)</f>
        <v>-1.13039059096849</v>
      </c>
      <c r="Y531" s="0" t="n">
        <f aca="false">IF(ISBLANK(RawFinancials!Y531),"",RawFinancials!Y531)</f>
        <v>-5.49</v>
      </c>
      <c r="Z531" s="0" t="str">
        <f aca="false">IF(ISBLANK(RawFinancials!Z531),"",RawFinancials!Z531)</f>
        <v>NH</v>
      </c>
      <c r="AA531" s="0" t="n">
        <f aca="false">RawFinancials!AA531</f>
        <v>1</v>
      </c>
      <c r="AB531" s="0" t="n">
        <f aca="false">RawFinancials!AB531</f>
        <v>326</v>
      </c>
      <c r="AC531" s="0" t="n">
        <f aca="false">RawFinancials!AC531</f>
        <v>0.307782361993599</v>
      </c>
      <c r="AD531" s="0" t="n">
        <f aca="false">IF(L531&gt;0,100*N531/L531,"")</f>
        <v>40.2191898152654</v>
      </c>
      <c r="AE531" s="0" t="n">
        <f aca="false">IF(B531&gt;0,100*F531/B531,"")</f>
        <v>17.6502799308906</v>
      </c>
      <c r="AF531" s="0" t="str">
        <f aca="false">RawFinancials!AE531</f>
        <v>原始0：需核实适用/报告口径</v>
      </c>
    </row>
    <row r="532" customFormat="false" ht="15" hidden="false" customHeight="false" outlineLevel="0" collapsed="false">
      <c r="A532" s="0" t="n">
        <f aca="false">IF(ISBLANK(RawFinancials!A532),"",RawFinancials!A532)</f>
        <v>532</v>
      </c>
      <c r="B532" s="0" t="n">
        <f aca="false">IF(ISBLANK(RawFinancials!B532),"",RawFinancials!B532)</f>
        <v>218470</v>
      </c>
      <c r="C532" s="0" t="n">
        <f aca="false">IF(ISBLANK(RawFinancials!C532),"",RawFinancials!C532)</f>
        <v>59298</v>
      </c>
      <c r="D532" s="0" t="n">
        <f aca="false">IF(ISBLANK(RawFinancials!D532),"",RawFinancials!D532)</f>
        <v>191471</v>
      </c>
      <c r="E532" s="0" t="n">
        <f aca="false">IF(ISBLANK(RawFinancials!E532),"",RawFinancials!E532)</f>
        <v>0.25</v>
      </c>
      <c r="F532" s="0" t="n">
        <f aca="false">IF(ISBLANK(RawFinancials!F532),"",RawFinancials!F532)</f>
        <v>25754</v>
      </c>
      <c r="G532" s="0" t="n">
        <f aca="false">IF(ISBLANK(RawFinancials!G532),"",RawFinancials!G532)</f>
        <v>11.7883462260265</v>
      </c>
      <c r="H532" s="0" t="str">
        <f aca="false">IF(ISBLANK(RawFinancials!H532),"",RawFinancials!H532)</f>
        <v>59298_20240630</v>
      </c>
      <c r="I532" s="0" t="n">
        <f aca="false">IF(ISBLANK(RawFinancials!I532),"",RawFinancials!I532)</f>
        <v>0.788515972503033</v>
      </c>
      <c r="J532" s="0" t="n">
        <f aca="false">IF(ISBLANK(RawFinancials!J532),"",RawFinancials!J532)</f>
        <v>19454</v>
      </c>
      <c r="K532" s="0" t="n">
        <f aca="false">IF(ISBLANK(RawFinancials!K532),"",RawFinancials!K532)</f>
        <v>0</v>
      </c>
      <c r="L532" s="0" t="n">
        <f aca="false">IF(ISBLANK(RawFinancials!L532),"",RawFinancials!L532)</f>
        <v>98920</v>
      </c>
      <c r="M532" s="0" t="n">
        <f aca="false">IF(ISBLANK(RawFinancials!M532),"",RawFinancials!M532)</f>
        <v>98140</v>
      </c>
      <c r="N532" s="0" t="n">
        <f aca="false">IF(ISBLANK(RawFinancials!N532),"",RawFinancials!N532)</f>
        <v>79488</v>
      </c>
      <c r="O532" s="0" t="n">
        <f aca="false">IF(ISBLANK(RawFinancials!O532),"",RawFinancials!O532)</f>
        <v>0</v>
      </c>
      <c r="P532" s="0" t="str">
        <f aca="false">IF(ISBLANK(RawFinancials!P532),"",RawFinancials!P532)</f>
        <v>BANK OF BURLINGTON</v>
      </c>
      <c r="Q532" s="0" t="n">
        <f aca="false">IF(ISBLANK(RawFinancials!Q532),"",RawFinancials!Q532)</f>
        <v>0</v>
      </c>
      <c r="R532" s="0" t="n">
        <f aca="false">IF(ISBLANK(RawFinancials!R532),"",RawFinancials!R532)</f>
        <v>2.09333816771864</v>
      </c>
      <c r="S532" s="0" t="n">
        <f aca="false">IF(ISBLANK(RawFinancials!S532),"",RawFinancials!S532)</f>
        <v>0</v>
      </c>
      <c r="T532" s="0" t="n">
        <f aca="false">IF(ISBLANK(RawFinancials!T532),"",RawFinancials!T532)</f>
        <v>0</v>
      </c>
      <c r="U532" s="0" t="n">
        <f aca="false">IF(ISBLANK(RawFinancials!U532),"",RawFinancials!U532)</f>
        <v>0</v>
      </c>
      <c r="V532" s="0" t="n">
        <f aca="false">IF(ISBLANK(RawFinancials!V532),"",RawFinancials!V532)</f>
        <v>0</v>
      </c>
      <c r="W532" s="0" t="n">
        <f aca="false">IF(ISBLANK(RawFinancials!W532),"",RawFinancials!W532)</f>
        <v>20240630</v>
      </c>
      <c r="X532" s="0" t="n">
        <f aca="false">IF(ISBLANK(RawFinancials!X532),"",RawFinancials!X532)</f>
        <v>-1.24942004259719</v>
      </c>
      <c r="Y532" s="0" t="n">
        <f aca="false">IF(ISBLANK(RawFinancials!Y532),"",RawFinancials!Y532)</f>
        <v>-8.62</v>
      </c>
      <c r="Z532" s="0" t="str">
        <f aca="false">IF(ISBLANK(RawFinancials!Z532),"",RawFinancials!Z532)</f>
        <v>VT</v>
      </c>
      <c r="AA532" s="0" t="n">
        <f aca="false">RawFinancials!AA532</f>
        <v>1</v>
      </c>
      <c r="AB532" s="0" t="n">
        <f aca="false">RawFinancials!AB532</f>
        <v>0</v>
      </c>
      <c r="AC532" s="0" t="n">
        <f aca="false">RawFinancials!AC532</f>
        <v>0</v>
      </c>
      <c r="AD532" s="0" t="n">
        <f aca="false">IF(L532&gt;0,100*N532/L532,"")</f>
        <v>80.3558431055398</v>
      </c>
      <c r="AE532" s="0" t="n">
        <f aca="false">IF(B532&gt;0,100*F532/B532,"")</f>
        <v>11.7883462260265</v>
      </c>
      <c r="AF532" s="0" t="str">
        <f aca="false">RawFinancials!AE532</f>
        <v>原始0：需核实适用/报告口径</v>
      </c>
    </row>
    <row r="533" customFormat="false" ht="15" hidden="false" customHeight="false" outlineLevel="0" collapsed="false">
      <c r="A533" s="0" t="n">
        <f aca="false">IF(ISBLANK(RawFinancials!A533),"",RawFinancials!A533)</f>
        <v>533</v>
      </c>
      <c r="B533" s="0" t="n">
        <f aca="false">IF(ISBLANK(RawFinancials!B533),"",RawFinancials!B533)</f>
        <v>1099892</v>
      </c>
      <c r="C533" s="0" t="n">
        <f aca="false">IF(ISBLANK(RawFinancials!C533),"",RawFinancials!C533)</f>
        <v>6271</v>
      </c>
      <c r="D533" s="0" t="n">
        <f aca="false">IF(ISBLANK(RawFinancials!D533),"",RawFinancials!D533)</f>
        <v>850097</v>
      </c>
      <c r="E533" s="0" t="n">
        <f aca="false">IF(ISBLANK(RawFinancials!E533),"",RawFinancials!E533)</f>
        <v>0.12</v>
      </c>
      <c r="F533" s="0" t="n">
        <f aca="false">IF(ISBLANK(RawFinancials!F533),"",RawFinancials!F533)</f>
        <v>103229</v>
      </c>
      <c r="G533" s="0" t="n">
        <f aca="false">IF(ISBLANK(RawFinancials!G533),"",RawFinancials!G533)</f>
        <v>9.38537601873639</v>
      </c>
      <c r="H533" s="0" t="str">
        <f aca="false">IF(ISBLANK(RawFinancials!H533),"",RawFinancials!H533)</f>
        <v>6271_20240630</v>
      </c>
      <c r="I533" s="0" t="n">
        <f aca="false">IF(ISBLANK(RawFinancials!I533),"",RawFinancials!I533)</f>
        <v>1.1977144234435</v>
      </c>
      <c r="J533" s="0" t="n">
        <f aca="false">IF(ISBLANK(RawFinancials!J533),"",RawFinancials!J533)</f>
        <v>129288</v>
      </c>
      <c r="K533" s="0" t="n">
        <f aca="false">IF(ISBLANK(RawFinancials!K533),"",RawFinancials!K533)</f>
        <v>7297</v>
      </c>
      <c r="L533" s="0" t="n">
        <f aca="false">IF(ISBLANK(RawFinancials!L533),"",RawFinancials!L533)</f>
        <v>862977</v>
      </c>
      <c r="M533" s="0" t="n">
        <f aca="false">IF(ISBLANK(RawFinancials!M533),"",RawFinancials!M533)</f>
        <v>852641</v>
      </c>
      <c r="N533" s="0" t="n">
        <f aca="false">IF(ISBLANK(RawFinancials!N533),"",RawFinancials!N533)</f>
        <v>686602</v>
      </c>
      <c r="O533" s="0" t="n">
        <f aca="false">IF(ISBLANK(RawFinancials!O533),"",RawFinancials!O533)</f>
        <v>5816</v>
      </c>
      <c r="P533" s="0" t="str">
        <f aca="false">IF(ISBLANK(RawFinancials!P533),"",RawFinancials!P533)</f>
        <v>COMMUNITY NATIONAL BANK</v>
      </c>
      <c r="Q533" s="0" t="n">
        <f aca="false">IF(ISBLANK(RawFinancials!Q533),"",RawFinancials!Q533)</f>
        <v>0.751584341181746</v>
      </c>
      <c r="R533" s="0" t="n">
        <f aca="false">IF(ISBLANK(RawFinancials!R533),"",RawFinancials!R533)</f>
        <v>3.28546061949211</v>
      </c>
      <c r="S533" s="0" t="n">
        <f aca="false">IF(ISBLANK(RawFinancials!S533),"",RawFinancials!S533)</f>
        <v>177</v>
      </c>
      <c r="T533" s="0" t="n">
        <f aca="false">IF(ISBLANK(RawFinancials!T533),"",RawFinancials!T533)</f>
        <v>1210</v>
      </c>
      <c r="U533" s="0" t="n">
        <f aca="false">IF(ISBLANK(RawFinancials!U533),"",RawFinancials!U533)</f>
        <v>670</v>
      </c>
      <c r="V533" s="0" t="n">
        <f aca="false">IF(ISBLANK(RawFinancials!V533),"",RawFinancials!V533)</f>
        <v>14.8842709917216</v>
      </c>
      <c r="W533" s="0" t="n">
        <f aca="false">IF(ISBLANK(RawFinancials!W533),"",RawFinancials!W533)</f>
        <v>20240630</v>
      </c>
      <c r="X533" s="0" t="n">
        <f aca="false">IF(ISBLANK(RawFinancials!X533),"",RawFinancials!X533)</f>
        <v>1.11624647825961</v>
      </c>
      <c r="Y533" s="0" t="n">
        <f aca="false">IF(ISBLANK(RawFinancials!Y533),"",RawFinancials!Y533)</f>
        <v>12.06</v>
      </c>
      <c r="Z533" s="0" t="str">
        <f aca="false">IF(ISBLANK(RawFinancials!Z533),"",RawFinancials!Z533)</f>
        <v>VT</v>
      </c>
      <c r="AA533" s="0" t="n">
        <f aca="false">RawFinancials!AA533</f>
        <v>1</v>
      </c>
      <c r="AB533" s="0" t="n">
        <f aca="false">RawFinancials!AB533</f>
        <v>6486</v>
      </c>
      <c r="AC533" s="0" t="n">
        <f aca="false">RawFinancials!AC533</f>
        <v>0.589694260891069</v>
      </c>
      <c r="AD533" s="0" t="n">
        <f aca="false">IF(L533&gt;0,100*N533/L533,"")</f>
        <v>79.5620277249568</v>
      </c>
      <c r="AE533" s="0" t="n">
        <f aca="false">IF(B533&gt;0,100*F533/B533,"")</f>
        <v>9.38537601873639</v>
      </c>
      <c r="AF533" s="0" t="str">
        <f aca="false">RawFinancials!AE533</f>
        <v/>
      </c>
    </row>
    <row r="534" customFormat="false" ht="15" hidden="false" customHeight="false" outlineLevel="0" collapsed="false">
      <c r="A534" s="0" t="n">
        <f aca="false">IF(ISBLANK(RawFinancials!A534),"",RawFinancials!A534)</f>
        <v>534</v>
      </c>
      <c r="B534" s="0" t="n">
        <f aca="false">IF(ISBLANK(RawFinancials!B534),"",RawFinancials!B534)</f>
        <v>555322</v>
      </c>
      <c r="C534" s="0" t="n">
        <f aca="false">IF(ISBLANK(RawFinancials!C534),"",RawFinancials!C534)</f>
        <v>6275</v>
      </c>
      <c r="D534" s="0" t="n">
        <f aca="false">IF(ISBLANK(RawFinancials!D534),"",RawFinancials!D534)</f>
        <v>475950</v>
      </c>
      <c r="E534" s="0" t="n">
        <f aca="false">IF(ISBLANK(RawFinancials!E534),"",RawFinancials!E534)</f>
        <v>0.02</v>
      </c>
      <c r="F534" s="0" t="n">
        <f aca="false">IF(ISBLANK(RawFinancials!F534),"",RawFinancials!F534)</f>
        <v>30528</v>
      </c>
      <c r="G534" s="0" t="n">
        <f aca="false">IF(ISBLANK(RawFinancials!G534),"",RawFinancials!G534)</f>
        <v>5.49735108639672</v>
      </c>
      <c r="H534" s="0" t="str">
        <f aca="false">IF(ISBLANK(RawFinancials!H534),"",RawFinancials!H534)</f>
        <v>6275_20240630</v>
      </c>
      <c r="I534" s="0" t="n">
        <f aca="false">IF(ISBLANK(RawFinancials!I534),"",RawFinancials!I534)</f>
        <v>0.408619415053366</v>
      </c>
      <c r="J534" s="0" t="n">
        <f aca="false">IF(ISBLANK(RawFinancials!J534),"",RawFinancials!J534)</f>
        <v>39014</v>
      </c>
      <c r="K534" s="0" t="n">
        <f aca="false">IF(ISBLANK(RawFinancials!K534),"",RawFinancials!K534)</f>
        <v>10906</v>
      </c>
      <c r="L534" s="0" t="n">
        <f aca="false">IF(ISBLANK(RawFinancials!L534),"",RawFinancials!L534)</f>
        <v>346288</v>
      </c>
      <c r="M534" s="0" t="n">
        <f aca="false">IF(ISBLANK(RawFinancials!M534),"",RawFinancials!M534)</f>
        <v>344873</v>
      </c>
      <c r="N534" s="0" t="n">
        <f aca="false">IF(ISBLANK(RawFinancials!N534),"",RawFinancials!N534)</f>
        <v>286833</v>
      </c>
      <c r="O534" s="0" t="n">
        <f aca="false">IF(ISBLANK(RawFinancials!O534),"",RawFinancials!O534)</f>
        <v>1132</v>
      </c>
      <c r="P534" s="0" t="str">
        <f aca="false">IF(ISBLANK(RawFinancials!P534),"",RawFinancials!P534)</f>
        <v>THE NATIONAL BANK OF MIDDLEBURY</v>
      </c>
      <c r="Q534" s="0" t="n">
        <f aca="false">IF(ISBLANK(RawFinancials!Q534),"",RawFinancials!Q534)</f>
        <v>0.326895532042693</v>
      </c>
      <c r="R534" s="0" t="n">
        <f aca="false">IF(ISBLANK(RawFinancials!R534),"",RawFinancials!R534)</f>
        <v>2.76773551547238</v>
      </c>
      <c r="S534" s="0" t="n">
        <f aca="false">IF(ISBLANK(RawFinancials!S534),"",RawFinancials!S534)</f>
        <v>10</v>
      </c>
      <c r="T534" s="0" t="n">
        <f aca="false">IF(ISBLANK(RawFinancials!T534),"",RawFinancials!T534)</f>
        <v>525</v>
      </c>
      <c r="U534" s="0" t="n">
        <f aca="false">IF(ISBLANK(RawFinancials!U534),"",RawFinancials!U534)</f>
        <v>0</v>
      </c>
      <c r="V534" s="0" t="n">
        <f aca="false">IF(ISBLANK(RawFinancials!V534),"",RawFinancials!V534)</f>
        <v>14.8227959202203</v>
      </c>
      <c r="W534" s="0" t="n">
        <f aca="false">IF(ISBLANK(RawFinancials!W534),"",RawFinancials!W534)</f>
        <v>20240630</v>
      </c>
      <c r="X534" s="0" t="n">
        <f aca="false">IF(ISBLANK(RawFinancials!X534),"",RawFinancials!X534)</f>
        <v>0.484528661086993</v>
      </c>
      <c r="Y534" s="0" t="n">
        <f aca="false">IF(ISBLANK(RawFinancials!Y534),"",RawFinancials!Y534)</f>
        <v>8.86</v>
      </c>
      <c r="Z534" s="0" t="str">
        <f aca="false">IF(ISBLANK(RawFinancials!Z534),"",RawFinancials!Z534)</f>
        <v>VT</v>
      </c>
      <c r="AA534" s="0" t="n">
        <f aca="false">RawFinancials!AA534</f>
        <v>1</v>
      </c>
      <c r="AB534" s="0" t="n">
        <f aca="false">RawFinancials!AB534</f>
        <v>1132</v>
      </c>
      <c r="AC534" s="0" t="n">
        <f aca="false">RawFinancials!AC534</f>
        <v>0.203845696730906</v>
      </c>
      <c r="AD534" s="0" t="n">
        <f aca="false">IF(L534&gt;0,100*N534/L534,"")</f>
        <v>82.8307651434644</v>
      </c>
      <c r="AE534" s="0" t="n">
        <f aca="false">IF(B534&gt;0,100*F534/B534,"")</f>
        <v>5.49735108639672</v>
      </c>
      <c r="AF534" s="0" t="str">
        <f aca="false">RawFinancials!AE534</f>
        <v/>
      </c>
    </row>
    <row r="535" customFormat="false" ht="15" hidden="false" customHeight="false" outlineLevel="0" collapsed="false">
      <c r="A535" s="0" t="n">
        <f aca="false">IF(ISBLANK(RawFinancials!A535),"",RawFinancials!A535)</f>
        <v>535</v>
      </c>
      <c r="B535" s="0" t="n">
        <f aca="false">IF(ISBLANK(RawFinancials!B535),"",RawFinancials!B535)</f>
        <v>81265</v>
      </c>
      <c r="C535" s="0" t="n">
        <f aca="false">IF(ISBLANK(RawFinancials!C535),"",RawFinancials!C535)</f>
        <v>6280</v>
      </c>
      <c r="D535" s="0" t="n">
        <f aca="false">IF(ISBLANK(RawFinancials!D535),"",RawFinancials!D535)</f>
        <v>71124</v>
      </c>
      <c r="E535" s="0" t="n">
        <f aca="false">IF(ISBLANK(RawFinancials!E535),"",RawFinancials!E535)</f>
        <v>0.01</v>
      </c>
      <c r="F535" s="0" t="n">
        <f aca="false">IF(ISBLANK(RawFinancials!F535),"",RawFinancials!F535)</f>
        <v>9570</v>
      </c>
      <c r="G535" s="0" t="n">
        <f aca="false">IF(ISBLANK(RawFinancials!G535),"",RawFinancials!G535)</f>
        <v>11.7762874546238</v>
      </c>
      <c r="H535" s="0" t="str">
        <f aca="false">IF(ISBLANK(RawFinancials!H535),"",RawFinancials!H535)</f>
        <v>6280_20240630</v>
      </c>
      <c r="I535" s="0" t="n">
        <f aca="false">IF(ISBLANK(RawFinancials!I535),"",RawFinancials!I535)</f>
        <v>1.30825599860142</v>
      </c>
      <c r="J535" s="0" t="n">
        <f aca="false">IF(ISBLANK(RawFinancials!J535),"",RawFinancials!J535)</f>
        <v>4325</v>
      </c>
      <c r="K535" s="0" t="n">
        <f aca="false">IF(ISBLANK(RawFinancials!K535),"",RawFinancials!K535)</f>
        <v>1574</v>
      </c>
      <c r="L535" s="0" t="n">
        <f aca="false">IF(ISBLANK(RawFinancials!L535),"",RawFinancials!L535)</f>
        <v>68641</v>
      </c>
      <c r="M535" s="0" t="n">
        <f aca="false">IF(ISBLANK(RawFinancials!M535),"",RawFinancials!M535)</f>
        <v>67743</v>
      </c>
      <c r="N535" s="0" t="n">
        <f aca="false">IF(ISBLANK(RawFinancials!N535),"",RawFinancials!N535)</f>
        <v>59949</v>
      </c>
      <c r="O535" s="0" t="n">
        <f aca="false">IF(ISBLANK(RawFinancials!O535),"",RawFinancials!O535)</f>
        <v>1206</v>
      </c>
      <c r="P535" s="0" t="str">
        <f aca="false">IF(ISBLANK(RawFinancials!P535),"",RawFinancials!P535)</f>
        <v>THE FIRST NATIONAL BANK OF ORWELL</v>
      </c>
      <c r="Q535" s="0" t="n">
        <f aca="false">IF(ISBLANK(RawFinancials!Q535),"",RawFinancials!Q535)</f>
        <v>1.75696741014845</v>
      </c>
      <c r="R535" s="0" t="n">
        <f aca="false">IF(ISBLANK(RawFinancials!R535),"",RawFinancials!R535)</f>
        <v>4.66340562662571</v>
      </c>
      <c r="S535" s="0" t="n">
        <f aca="false">IF(ISBLANK(RawFinancials!S535),"",RawFinancials!S535)</f>
        <v>1</v>
      </c>
      <c r="T535" s="0" t="n">
        <f aca="false">IF(ISBLANK(RawFinancials!T535),"",RawFinancials!T535)</f>
        <v>566</v>
      </c>
      <c r="U535" s="0" t="n">
        <f aca="false">IF(ISBLANK(RawFinancials!U535),"",RawFinancials!U535)</f>
        <v>0</v>
      </c>
      <c r="V535" s="0" t="n">
        <f aca="false">IF(ISBLANK(RawFinancials!V535),"",RawFinancials!V535)</f>
        <v>0</v>
      </c>
      <c r="W535" s="0" t="n">
        <f aca="false">IF(ISBLANK(RawFinancials!W535),"",RawFinancials!W535)</f>
        <v>20240630</v>
      </c>
      <c r="X535" s="0" t="n">
        <f aca="false">IF(ISBLANK(RawFinancials!X535),"",RawFinancials!X535)</f>
        <v>1.4362928525532</v>
      </c>
      <c r="Y535" s="0" t="n">
        <f aca="false">IF(ISBLANK(RawFinancials!Y535),"",RawFinancials!Y535)</f>
        <v>11.96</v>
      </c>
      <c r="Z535" s="0" t="str">
        <f aca="false">IF(ISBLANK(RawFinancials!Z535),"",RawFinancials!Z535)</f>
        <v>VT</v>
      </c>
      <c r="AA535" s="0" t="n">
        <f aca="false">RawFinancials!AA535</f>
        <v>1</v>
      </c>
      <c r="AB535" s="0" t="n">
        <f aca="false">RawFinancials!AB535</f>
        <v>1206</v>
      </c>
      <c r="AC535" s="0" t="n">
        <f aca="false">RawFinancials!AC535</f>
        <v>1.48403371685227</v>
      </c>
      <c r="AD535" s="0" t="n">
        <f aca="false">IF(L535&gt;0,100*N535/L535,"")</f>
        <v>87.3370143208869</v>
      </c>
      <c r="AE535" s="0" t="n">
        <f aca="false">IF(B535&gt;0,100*F535/B535,"")</f>
        <v>11.7762874546238</v>
      </c>
      <c r="AF535" s="0" t="str">
        <f aca="false">RawFinancials!AE535</f>
        <v>原始0：需核实适用/报告口径</v>
      </c>
    </row>
    <row r="536" customFormat="false" ht="15" hidden="false" customHeight="false" outlineLevel="0" collapsed="false">
      <c r="A536" s="0" t="n">
        <f aca="false">IF(ISBLANK(RawFinancials!A536),"",RawFinancials!A536)</f>
        <v>536</v>
      </c>
      <c r="B536" s="0" t="n">
        <f aca="false">IF(ISBLANK(RawFinancials!B536),"",RawFinancials!B536)</f>
        <v>4025992</v>
      </c>
      <c r="C536" s="0" t="n">
        <f aca="false">IF(ISBLANK(RawFinancials!C536),"",RawFinancials!C536)</f>
        <v>11971</v>
      </c>
      <c r="D536" s="0" t="n">
        <f aca="false">IF(ISBLANK(RawFinancials!D536),"",RawFinancials!D536)</f>
        <v>3269616</v>
      </c>
      <c r="E536" s="0" t="n">
        <f aca="false">IF(ISBLANK(RawFinancials!E536),"",RawFinancials!E536)</f>
        <v>0.03</v>
      </c>
      <c r="F536" s="0" t="n">
        <f aca="false">IF(ISBLANK(RawFinancials!F536),"",RawFinancials!F536)</f>
        <v>513464</v>
      </c>
      <c r="G536" s="0" t="n">
        <f aca="false">IF(ISBLANK(RawFinancials!G536),"",RawFinancials!G536)</f>
        <v>12.7537262865897</v>
      </c>
      <c r="H536" s="0" t="str">
        <f aca="false">IF(ISBLANK(RawFinancials!H536),"",RawFinancials!H536)</f>
        <v>11971_20240930</v>
      </c>
      <c r="I536" s="0" t="n">
        <f aca="false">IF(ISBLANK(RawFinancials!I536),"",RawFinancials!I536)</f>
        <v>0.941386120758078</v>
      </c>
      <c r="J536" s="0" t="n">
        <f aca="false">IF(ISBLANK(RawFinancials!J536),"",RawFinancials!J536)</f>
        <v>208964</v>
      </c>
      <c r="K536" s="0" t="n">
        <f aca="false">IF(ISBLANK(RawFinancials!K536),"",RawFinancials!K536)</f>
        <v>7873</v>
      </c>
      <c r="L536" s="0" t="n">
        <f aca="false">IF(ISBLANK(RawFinancials!L536),"",RawFinancials!L536)</f>
        <v>3083007</v>
      </c>
      <c r="M536" s="0" t="n">
        <f aca="false">IF(ISBLANK(RawFinancials!M536),"",RawFinancials!M536)</f>
        <v>3053984</v>
      </c>
      <c r="N536" s="0" t="n">
        <f aca="false">IF(ISBLANK(RawFinancials!N536),"",RawFinancials!N536)</f>
        <v>2726474</v>
      </c>
      <c r="O536" s="0" t="n">
        <f aca="false">IF(ISBLANK(RawFinancials!O536),"",RawFinancials!O536)</f>
        <v>7100</v>
      </c>
      <c r="P536" s="0" t="str">
        <f aca="false">IF(ISBLANK(RawFinancials!P536),"",RawFinancials!P536)</f>
        <v>BAR HARBOR BANK &amp; TRUST</v>
      </c>
      <c r="Q536" s="0" t="n">
        <f aca="false">IF(ISBLANK(RawFinancials!Q536),"",RawFinancials!Q536)</f>
        <v>0.230294644157473</v>
      </c>
      <c r="R536" s="0" t="n">
        <f aca="false">IF(ISBLANK(RawFinancials!R536),"",RawFinancials!R536)</f>
        <v>3.2481714510262</v>
      </c>
      <c r="S536" s="0" t="n">
        <f aca="false">IF(ISBLANK(RawFinancials!S536),"",RawFinancials!S536)</f>
        <v>221</v>
      </c>
      <c r="T536" s="0" t="n">
        <f aca="false">IF(ISBLANK(RawFinancials!T536),"",RawFinancials!T536)</f>
        <v>2038</v>
      </c>
      <c r="U536" s="0" t="n">
        <f aca="false">IF(ISBLANK(RawFinancials!U536),"",RawFinancials!U536)</f>
        <v>0</v>
      </c>
      <c r="V536" s="0" t="n">
        <f aca="false">IF(ISBLANK(RawFinancials!V536),"",RawFinancials!V536)</f>
        <v>14.1709737676617</v>
      </c>
      <c r="W536" s="0" t="n">
        <f aca="false">IF(ISBLANK(RawFinancials!W536),"",RawFinancials!W536)</f>
        <v>20240930</v>
      </c>
      <c r="X536" s="0" t="n">
        <f aca="false">IF(ISBLANK(RawFinancials!X536),"",RawFinancials!X536)</f>
        <v>1.25603124970666</v>
      </c>
      <c r="Y536" s="0" t="n">
        <f aca="false">IF(ISBLANK(RawFinancials!Y536),"",RawFinancials!Y536)</f>
        <v>10.14</v>
      </c>
      <c r="Z536" s="0" t="str">
        <f aca="false">IF(ISBLANK(RawFinancials!Z536),"",RawFinancials!Z536)</f>
        <v>ME</v>
      </c>
      <c r="AA536" s="0" t="n">
        <f aca="false">RawFinancials!AA536</f>
        <v>1</v>
      </c>
      <c r="AB536" s="0" t="n">
        <f aca="false">RawFinancials!AB536</f>
        <v>7100</v>
      </c>
      <c r="AC536" s="0" t="n">
        <f aca="false">RawFinancials!AC536</f>
        <v>0.176354051374171</v>
      </c>
      <c r="AD536" s="0" t="n">
        <f aca="false">IF(L536&gt;0,100*N536/L536,"")</f>
        <v>88.4355436105075</v>
      </c>
      <c r="AE536" s="0" t="n">
        <f aca="false">IF(B536&gt;0,100*F536/B536,"")</f>
        <v>12.7537262865897</v>
      </c>
      <c r="AF536" s="0" t="str">
        <f aca="false">RawFinancials!AE536</f>
        <v/>
      </c>
    </row>
    <row r="537" customFormat="false" ht="15" hidden="false" customHeight="false" outlineLevel="0" collapsed="false">
      <c r="A537" s="0" t="n">
        <f aca="false">IF(ISBLANK(RawFinancials!A537),"",RawFinancials!A537)</f>
        <v>537</v>
      </c>
      <c r="B537" s="0" t="n">
        <f aca="false">IF(ISBLANK(RawFinancials!B537),"",RawFinancials!B537)</f>
        <v>1048081</v>
      </c>
      <c r="C537" s="0" t="n">
        <f aca="false">IF(ISBLANK(RawFinancials!C537),"",RawFinancials!C537)</f>
        <v>12874</v>
      </c>
      <c r="D537" s="0" t="n">
        <f aca="false">IF(ISBLANK(RawFinancials!D537),"",RawFinancials!D537)</f>
        <v>886959</v>
      </c>
      <c r="E537" s="0" t="n">
        <f aca="false">IF(ISBLANK(RawFinancials!E537),"",RawFinancials!E537)</f>
        <v>-0.01</v>
      </c>
      <c r="F537" s="0" t="n">
        <f aca="false">IF(ISBLANK(RawFinancials!F537),"",RawFinancials!F537)</f>
        <v>113573</v>
      </c>
      <c r="G537" s="0" t="n">
        <f aca="false">IF(ISBLANK(RawFinancials!G537),"",RawFinancials!G537)</f>
        <v>10.8362807836417</v>
      </c>
      <c r="H537" s="0" t="str">
        <f aca="false">IF(ISBLANK(RawFinancials!H537),"",RawFinancials!H537)</f>
        <v>12874_20240930</v>
      </c>
      <c r="I537" s="0" t="n">
        <f aca="false">IF(ISBLANK(RawFinancials!I537),"",RawFinancials!I537)</f>
        <v>0.962254165632872</v>
      </c>
      <c r="J537" s="0" t="n">
        <f aca="false">IF(ISBLANK(RawFinancials!J537),"",RawFinancials!J537)</f>
        <v>162708</v>
      </c>
      <c r="K537" s="0" t="n">
        <f aca="false">IF(ISBLANK(RawFinancials!K537),"",RawFinancials!K537)</f>
        <v>4774</v>
      </c>
      <c r="L537" s="0" t="n">
        <f aca="false">IF(ISBLANK(RawFinancials!L537),"",RawFinancials!L537)</f>
        <v>818183</v>
      </c>
      <c r="M537" s="0" t="n">
        <f aca="false">IF(ISBLANK(RawFinancials!M537),"",RawFinancials!M537)</f>
        <v>810310</v>
      </c>
      <c r="N537" s="0" t="n">
        <f aca="false">IF(ISBLANK(RawFinancials!N537),"",RawFinancials!N537)</f>
        <v>635002</v>
      </c>
      <c r="O537" s="0" t="n">
        <f aca="false">IF(ISBLANK(RawFinancials!O537),"",RawFinancials!O537)</f>
        <v>1535</v>
      </c>
      <c r="P537" s="0" t="str">
        <f aca="false">IF(ISBLANK(RawFinancials!P537),"",RawFinancials!P537)</f>
        <v>KATAHDIN TRUST COMPANY</v>
      </c>
      <c r="Q537" s="0" t="n">
        <f aca="false">IF(ISBLANK(RawFinancials!Q537),"",RawFinancials!Q537)</f>
        <v>0.190910835351016</v>
      </c>
      <c r="R537" s="0" t="n">
        <f aca="false">IF(ISBLANK(RawFinancials!R537),"",RawFinancials!R537)</f>
        <v>3.64517832397801</v>
      </c>
      <c r="S537" s="0" t="n">
        <f aca="false">IF(ISBLANK(RawFinancials!S537),"",RawFinancials!S537)</f>
        <v>-18</v>
      </c>
      <c r="T537" s="0" t="n">
        <f aca="false">IF(ISBLANK(RawFinancials!T537),"",RawFinancials!T537)</f>
        <v>568</v>
      </c>
      <c r="U537" s="0" t="n">
        <f aca="false">IF(ISBLANK(RawFinancials!U537),"",RawFinancials!U537)</f>
        <v>27</v>
      </c>
      <c r="V537" s="0" t="n">
        <f aca="false">IF(ISBLANK(RawFinancials!V537),"",RawFinancials!V537)</f>
        <v>16.2659086030794</v>
      </c>
      <c r="W537" s="0" t="n">
        <f aca="false">IF(ISBLANK(RawFinancials!W537),"",RawFinancials!W537)</f>
        <v>20240930</v>
      </c>
      <c r="X537" s="0" t="n">
        <f aca="false">IF(ISBLANK(RawFinancials!X537),"",RawFinancials!X537)</f>
        <v>0.901173084941212</v>
      </c>
      <c r="Y537" s="0" t="n">
        <f aca="false">IF(ISBLANK(RawFinancials!Y537),"",RawFinancials!Y537)</f>
        <v>8.57</v>
      </c>
      <c r="Z537" s="0" t="str">
        <f aca="false">IF(ISBLANK(RawFinancials!Z537),"",RawFinancials!Z537)</f>
        <v>ME</v>
      </c>
      <c r="AA537" s="0" t="n">
        <f aca="false">RawFinancials!AA537</f>
        <v>1</v>
      </c>
      <c r="AB537" s="0" t="n">
        <f aca="false">RawFinancials!AB537</f>
        <v>1562</v>
      </c>
      <c r="AC537" s="0" t="n">
        <f aca="false">RawFinancials!AC537</f>
        <v>0.149034282655634</v>
      </c>
      <c r="AD537" s="0" t="n">
        <f aca="false">IF(L537&gt;0,100*N537/L537,"")</f>
        <v>77.6112434504261</v>
      </c>
      <c r="AE537" s="0" t="n">
        <f aca="false">IF(B537&gt;0,100*F537/B537,"")</f>
        <v>10.8362807836417</v>
      </c>
      <c r="AF537" s="0" t="str">
        <f aca="false">RawFinancials!AE537</f>
        <v/>
      </c>
    </row>
    <row r="538" customFormat="false" ht="15" hidden="false" customHeight="false" outlineLevel="0" collapsed="false">
      <c r="A538" s="0" t="n">
        <f aca="false">IF(ISBLANK(RawFinancials!A538),"",RawFinancials!A538)</f>
        <v>538</v>
      </c>
      <c r="B538" s="0" t="n">
        <f aca="false">IF(ISBLANK(RawFinancials!B538),"",RawFinancials!B538)</f>
        <v>1856523</v>
      </c>
      <c r="C538" s="0" t="n">
        <f aca="false">IF(ISBLANK(RawFinancials!C538),"",RawFinancials!C538)</f>
        <v>13063</v>
      </c>
      <c r="D538" s="0" t="n">
        <f aca="false">IF(ISBLANK(RawFinancials!D538),"",RawFinancials!D538)</f>
        <v>1649721</v>
      </c>
      <c r="E538" s="0" t="n">
        <f aca="false">IF(ISBLANK(RawFinancials!E538),"",RawFinancials!E538)</f>
        <v>0</v>
      </c>
      <c r="F538" s="0" t="n">
        <f aca="false">IF(ISBLANK(RawFinancials!F538),"",RawFinancials!F538)</f>
        <v>158562</v>
      </c>
      <c r="G538" s="0" t="n">
        <f aca="false">IF(ISBLANK(RawFinancials!G538),"",RawFinancials!G538)</f>
        <v>8.54080450390326</v>
      </c>
      <c r="H538" s="0" t="str">
        <f aca="false">IF(ISBLANK(RawFinancials!H538),"",RawFinancials!H538)</f>
        <v>13063_20240930</v>
      </c>
      <c r="I538" s="0" t="n">
        <f aca="false">IF(ISBLANK(RawFinancials!I538),"",RawFinancials!I538)</f>
        <v>1.11857156495075</v>
      </c>
      <c r="J538" s="0" t="n">
        <f aca="false">IF(ISBLANK(RawFinancials!J538),"",RawFinancials!J538)</f>
        <v>54955</v>
      </c>
      <c r="K538" s="0" t="n">
        <f aca="false">IF(ISBLANK(RawFinancials!K538),"",RawFinancials!K538)</f>
        <v>756</v>
      </c>
      <c r="L538" s="0" t="n">
        <f aca="false">IF(ISBLANK(RawFinancials!L538),"",RawFinancials!L538)</f>
        <v>1476973</v>
      </c>
      <c r="M538" s="0" t="n">
        <f aca="false">IF(ISBLANK(RawFinancials!M538),"",RawFinancials!M538)</f>
        <v>1460452</v>
      </c>
      <c r="N538" s="0" t="n">
        <f aca="false">IF(ISBLANK(RawFinancials!N538),"",RawFinancials!N538)</f>
        <v>1407554</v>
      </c>
      <c r="O538" s="0" t="n">
        <f aca="false">IF(ISBLANK(RawFinancials!O538),"",RawFinancials!O538)</f>
        <v>503</v>
      </c>
      <c r="P538" s="0" t="str">
        <f aca="false">IF(ISBLANK(RawFinancials!P538),"",RawFinancials!P538)</f>
        <v>KENNEBUNK SAVINGS BANK</v>
      </c>
      <c r="Q538" s="0" t="n">
        <f aca="false">IF(ISBLANK(RawFinancials!Q538),"",RawFinancials!Q538)</f>
        <v>0.0340561404981675</v>
      </c>
      <c r="R538" s="0" t="n">
        <f aca="false">IF(ISBLANK(RawFinancials!R538),"",RawFinancials!R538)</f>
        <v>3.09312941385462</v>
      </c>
      <c r="S538" s="0" t="n">
        <f aca="false">IF(ISBLANK(RawFinancials!S538),"",RawFinancials!S538)</f>
        <v>-33</v>
      </c>
      <c r="T538" s="0" t="n">
        <f aca="false">IF(ISBLANK(RawFinancials!T538),"",RawFinancials!T538)</f>
        <v>5182</v>
      </c>
      <c r="U538" s="0" t="n">
        <f aca="false">IF(ISBLANK(RawFinancials!U538),"",RawFinancials!U538)</f>
        <v>0</v>
      </c>
      <c r="V538" s="0" t="n">
        <f aca="false">IF(ISBLANK(RawFinancials!V538),"",RawFinancials!V538)</f>
        <v>0</v>
      </c>
      <c r="W538" s="0" t="n">
        <f aca="false">IF(ISBLANK(RawFinancials!W538),"",RawFinancials!W538)</f>
        <v>20240930</v>
      </c>
      <c r="X538" s="0" t="n">
        <f aca="false">IF(ISBLANK(RawFinancials!X538),"",RawFinancials!X538)</f>
        <v>0.459638695982449</v>
      </c>
      <c r="Y538" s="0" t="n">
        <f aca="false">IF(ISBLANK(RawFinancials!Y538),"",RawFinancials!Y538)</f>
        <v>5.66</v>
      </c>
      <c r="Z538" s="0" t="str">
        <f aca="false">IF(ISBLANK(RawFinancials!Z538),"",RawFinancials!Z538)</f>
        <v>ME</v>
      </c>
      <c r="AA538" s="0" t="n">
        <f aca="false">RawFinancials!AA538</f>
        <v>1</v>
      </c>
      <c r="AB538" s="0" t="n">
        <f aca="false">RawFinancials!AB538</f>
        <v>503</v>
      </c>
      <c r="AC538" s="0" t="n">
        <f aca="false">RawFinancials!AC538</f>
        <v>0.027093658414143</v>
      </c>
      <c r="AD538" s="0" t="n">
        <f aca="false">IF(L538&gt;0,100*N538/L538,"")</f>
        <v>95.2999140810292</v>
      </c>
      <c r="AE538" s="0" t="n">
        <f aca="false">IF(B538&gt;0,100*F538/B538,"")</f>
        <v>8.54080450390326</v>
      </c>
      <c r="AF538" s="0" t="str">
        <f aca="false">RawFinancials!AE538</f>
        <v>原始0：需核实适用/报告口径</v>
      </c>
    </row>
    <row r="539" customFormat="false" ht="15" hidden="false" customHeight="false" outlineLevel="0" collapsed="false">
      <c r="A539" s="0" t="n">
        <f aca="false">IF(ISBLANK(RawFinancials!A539),"",RawFinancials!A539)</f>
        <v>539</v>
      </c>
      <c r="B539" s="0" t="n">
        <f aca="false">IF(ISBLANK(RawFinancials!B539),"",RawFinancials!B539)</f>
        <v>881237</v>
      </c>
      <c r="C539" s="0" t="n">
        <f aca="false">IF(ISBLANK(RawFinancials!C539),"",RawFinancials!C539)</f>
        <v>14134</v>
      </c>
      <c r="D539" s="0" t="n">
        <f aca="false">IF(ISBLANK(RawFinancials!D539),"",RawFinancials!D539)</f>
        <v>697247</v>
      </c>
      <c r="E539" s="0" t="n">
        <f aca="false">IF(ISBLANK(RawFinancials!E539),"",RawFinancials!E539)</f>
        <v>0.09</v>
      </c>
      <c r="F539" s="0" t="n">
        <f aca="false">IF(ISBLANK(RawFinancials!F539),"",RawFinancials!F539)</f>
        <v>113479</v>
      </c>
      <c r="G539" s="0" t="n">
        <f aca="false">IF(ISBLANK(RawFinancials!G539),"",RawFinancials!G539)</f>
        <v>12.8772396075063</v>
      </c>
      <c r="H539" s="0" t="str">
        <f aca="false">IF(ISBLANK(RawFinancials!H539),"",RawFinancials!H539)</f>
        <v>14134_20240930</v>
      </c>
      <c r="I539" s="0" t="n">
        <f aca="false">IF(ISBLANK(RawFinancials!I539),"",RawFinancials!I539)</f>
        <v>1.14027999143992</v>
      </c>
      <c r="J539" s="0" t="n">
        <f aca="false">IF(ISBLANK(RawFinancials!J539),"",RawFinancials!J539)</f>
        <v>25355</v>
      </c>
      <c r="K539" s="0" t="n">
        <f aca="false">IF(ISBLANK(RawFinancials!K539),"",RawFinancials!K539)</f>
        <v>21380</v>
      </c>
      <c r="L539" s="0" t="n">
        <f aca="false">IF(ISBLANK(RawFinancials!L539),"",RawFinancials!L539)</f>
        <v>626162</v>
      </c>
      <c r="M539" s="0" t="n">
        <f aca="false">IF(ISBLANK(RawFinancials!M539),"",RawFinancials!M539)</f>
        <v>619022</v>
      </c>
      <c r="N539" s="0" t="n">
        <f aca="false">IF(ISBLANK(RawFinancials!N539),"",RawFinancials!N539)</f>
        <v>553522</v>
      </c>
      <c r="O539" s="0" t="n">
        <f aca="false">IF(ISBLANK(RawFinancials!O539),"",RawFinancials!O539)</f>
        <v>8606</v>
      </c>
      <c r="P539" s="0" t="str">
        <f aca="false">IF(ISBLANK(RawFinancials!P539),"",RawFinancials!P539)</f>
        <v>PASSUMPSIC SAVINGS BANK</v>
      </c>
      <c r="Q539" s="0" t="n">
        <f aca="false">IF(ISBLANK(RawFinancials!Q539),"",RawFinancials!Q539)</f>
        <v>1.37440470676918</v>
      </c>
      <c r="R539" s="0" t="n">
        <f aca="false">IF(ISBLANK(RawFinancials!R539),"",RawFinancials!R539)</f>
        <v>2.99437200701751</v>
      </c>
      <c r="S539" s="0" t="n">
        <f aca="false">IF(ISBLANK(RawFinancials!S539),"",RawFinancials!S539)</f>
        <v>698</v>
      </c>
      <c r="T539" s="0" t="n">
        <f aca="false">IF(ISBLANK(RawFinancials!T539),"",RawFinancials!T539)</f>
        <v>4368</v>
      </c>
      <c r="U539" s="0" t="n">
        <f aca="false">IF(ISBLANK(RawFinancials!U539),"",RawFinancials!U539)</f>
        <v>0</v>
      </c>
      <c r="V539" s="0" t="n">
        <f aca="false">IF(ISBLANK(RawFinancials!V539),"",RawFinancials!V539)</f>
        <v>19.944591622946</v>
      </c>
      <c r="W539" s="0" t="n">
        <f aca="false">IF(ISBLANK(RawFinancials!W539),"",RawFinancials!W539)</f>
        <v>20240930</v>
      </c>
      <c r="X539" s="0" t="n">
        <f aca="false">IF(ISBLANK(RawFinancials!X539),"",RawFinancials!X539)</f>
        <v>0.952621592945186</v>
      </c>
      <c r="Y539" s="0" t="n">
        <f aca="false">IF(ISBLANK(RawFinancials!Y539),"",RawFinancials!Y539)</f>
        <v>7.47</v>
      </c>
      <c r="Z539" s="0" t="str">
        <f aca="false">IF(ISBLANK(RawFinancials!Z539),"",RawFinancials!Z539)</f>
        <v>VT</v>
      </c>
      <c r="AA539" s="0" t="n">
        <f aca="false">RawFinancials!AA539</f>
        <v>1</v>
      </c>
      <c r="AB539" s="0" t="n">
        <f aca="false">RawFinancials!AB539</f>
        <v>8606</v>
      </c>
      <c r="AC539" s="0" t="n">
        <f aca="false">RawFinancials!AC539</f>
        <v>0.97658178219934</v>
      </c>
      <c r="AD539" s="0" t="n">
        <f aca="false">IF(L539&gt;0,100*N539/L539,"")</f>
        <v>88.3991682663592</v>
      </c>
      <c r="AE539" s="0" t="n">
        <f aca="false">IF(B539&gt;0,100*F539/B539,"")</f>
        <v>12.8772396075063</v>
      </c>
      <c r="AF539" s="0" t="str">
        <f aca="false">RawFinancials!AE539</f>
        <v/>
      </c>
    </row>
    <row r="540" customFormat="false" ht="15" hidden="false" customHeight="false" outlineLevel="0" collapsed="false">
      <c r="A540" s="0" t="n">
        <f aca="false">IF(ISBLANK(RawFinancials!A540),"",RawFinancials!A540)</f>
        <v>540</v>
      </c>
      <c r="B540" s="0" t="n">
        <f aca="false">IF(ISBLANK(RawFinancials!B540),"",RawFinancials!B540)</f>
        <v>238286</v>
      </c>
      <c r="C540" s="0" t="n">
        <f aca="false">IF(ISBLANK(RawFinancials!C540),"",RawFinancials!C540)</f>
        <v>14136</v>
      </c>
      <c r="D540" s="0" t="n">
        <f aca="false">IF(ISBLANK(RawFinancials!D540),"",RawFinancials!D540)</f>
        <v>200050</v>
      </c>
      <c r="E540" s="0" t="n">
        <f aca="false">IF(ISBLANK(RawFinancials!E540),"",RawFinancials!E540)</f>
        <v>-0.02</v>
      </c>
      <c r="F540" s="0" t="n">
        <f aca="false">IF(ISBLANK(RawFinancials!F540),"",RawFinancials!F540)</f>
        <v>19934</v>
      </c>
      <c r="G540" s="0" t="n">
        <f aca="false">IF(ISBLANK(RawFinancials!G540),"",RawFinancials!G540)</f>
        <v>8.36557749930756</v>
      </c>
      <c r="H540" s="0" t="str">
        <f aca="false">IF(ISBLANK(RawFinancials!H540),"",RawFinancials!H540)</f>
        <v>14136_20240930</v>
      </c>
      <c r="I540" s="0" t="n">
        <f aca="false">IF(ISBLANK(RawFinancials!I540),"",RawFinancials!I540)</f>
        <v>1.0047907211296</v>
      </c>
      <c r="J540" s="0" t="n">
        <f aca="false">IF(ISBLANK(RawFinancials!J540),"",RawFinancials!J540)</f>
        <v>14936</v>
      </c>
      <c r="K540" s="0" t="n">
        <f aca="false">IF(ISBLANK(RawFinancials!K540),"",RawFinancials!K540)</f>
        <v>15174</v>
      </c>
      <c r="L540" s="0" t="n">
        <f aca="false">IF(ISBLANK(RawFinancials!L540),"",RawFinancials!L540)</f>
        <v>158640</v>
      </c>
      <c r="M540" s="0" t="n">
        <f aca="false">IF(ISBLANK(RawFinancials!M540),"",RawFinancials!M540)</f>
        <v>157046</v>
      </c>
      <c r="N540" s="0" t="n">
        <f aca="false">IF(ISBLANK(RawFinancials!N540),"",RawFinancials!N540)</f>
        <v>128174</v>
      </c>
      <c r="O540" s="0" t="n">
        <f aca="false">IF(ISBLANK(RawFinancials!O540),"",RawFinancials!O540)</f>
        <v>517</v>
      </c>
      <c r="P540" s="0" t="str">
        <f aca="false">IF(ISBLANK(RawFinancials!P540),"",RawFinancials!P540)</f>
        <v>WELLS RIVER SAVINGS BANK</v>
      </c>
      <c r="Q540" s="0" t="n">
        <f aca="false">IF(ISBLANK(RawFinancials!Q540),"",RawFinancials!Q540)</f>
        <v>0.724911749873928</v>
      </c>
      <c r="R540" s="0" t="n">
        <f aca="false">IF(ISBLANK(RawFinancials!R540),"",RawFinancials!R540)</f>
        <v>3.7688092309468</v>
      </c>
      <c r="S540" s="0" t="n">
        <f aca="false">IF(ISBLANK(RawFinancials!S540),"",RawFinancials!S540)</f>
        <v>263</v>
      </c>
      <c r="T540" s="0" t="n">
        <f aca="false">IF(ISBLANK(RawFinancials!T540),"",RawFinancials!T540)</f>
        <v>735</v>
      </c>
      <c r="U540" s="0" t="n">
        <f aca="false">IF(ISBLANK(RawFinancials!U540),"",RawFinancials!U540)</f>
        <v>633</v>
      </c>
      <c r="V540" s="0" t="n">
        <f aca="false">IF(ISBLANK(RawFinancials!V540),"",RawFinancials!V540)</f>
        <v>18.0331440644395</v>
      </c>
      <c r="W540" s="0" t="n">
        <f aca="false">IF(ISBLANK(RawFinancials!W540),"",RawFinancials!W540)</f>
        <v>20240930</v>
      </c>
      <c r="X540" s="0" t="n">
        <f aca="false">IF(ISBLANK(RawFinancials!X540),"",RawFinancials!X540)</f>
        <v>0.549679011145021</v>
      </c>
      <c r="Y540" s="0" t="n">
        <f aca="false">IF(ISBLANK(RawFinancials!Y540),"",RawFinancials!Y540)</f>
        <v>7.18</v>
      </c>
      <c r="Z540" s="0" t="str">
        <f aca="false">IF(ISBLANK(RawFinancials!Z540),"",RawFinancials!Z540)</f>
        <v>VT</v>
      </c>
      <c r="AA540" s="0" t="n">
        <f aca="false">RawFinancials!AA540</f>
        <v>1</v>
      </c>
      <c r="AB540" s="0" t="n">
        <f aca="false">RawFinancials!AB540</f>
        <v>1150</v>
      </c>
      <c r="AC540" s="0" t="n">
        <f aca="false">RawFinancials!AC540</f>
        <v>0.482613330199844</v>
      </c>
      <c r="AD540" s="0" t="n">
        <f aca="false">IF(L540&gt;0,100*N540/L540,"")</f>
        <v>80.7955118507312</v>
      </c>
      <c r="AE540" s="0" t="n">
        <f aca="false">IF(B540&gt;0,100*F540/B540,"")</f>
        <v>8.36557749930756</v>
      </c>
      <c r="AF540" s="0" t="str">
        <f aca="false">RawFinancials!AE540</f>
        <v/>
      </c>
    </row>
    <row r="541" customFormat="false" ht="15" hidden="false" customHeight="false" outlineLevel="0" collapsed="false">
      <c r="A541" s="0" t="n">
        <f aca="false">IF(ISBLANK(RawFinancials!A541),"",RawFinancials!A541)</f>
        <v>541</v>
      </c>
      <c r="B541" s="0" t="n">
        <f aca="false">IF(ISBLANK(RawFinancials!B541),"",RawFinancials!B541)</f>
        <v>1527182</v>
      </c>
      <c r="C541" s="0" t="n">
        <f aca="false">IF(ISBLANK(RawFinancials!C541),"",RawFinancials!C541)</f>
        <v>14140</v>
      </c>
      <c r="D541" s="0" t="n">
        <f aca="false">IF(ISBLANK(RawFinancials!D541),"",RawFinancials!D541)</f>
        <v>1238363</v>
      </c>
      <c r="E541" s="0" t="n">
        <f aca="false">IF(ISBLANK(RawFinancials!E541),"",RawFinancials!E541)</f>
        <v>-0.04</v>
      </c>
      <c r="F541" s="0" t="n">
        <f aca="false">IF(ISBLANK(RawFinancials!F541),"",RawFinancials!F541)</f>
        <v>137226</v>
      </c>
      <c r="G541" s="0" t="n">
        <f aca="false">IF(ISBLANK(RawFinancials!G541),"",RawFinancials!G541)</f>
        <v>8.98556949990244</v>
      </c>
      <c r="H541" s="0" t="str">
        <f aca="false">IF(ISBLANK(RawFinancials!H541),"",RawFinancials!H541)</f>
        <v>14140_20240930</v>
      </c>
      <c r="I541" s="0" t="n">
        <f aca="false">IF(ISBLANK(RawFinancials!I541),"",RawFinancials!I541)</f>
        <v>0.783171740270773</v>
      </c>
      <c r="J541" s="0" t="n">
        <f aca="false">IF(ISBLANK(RawFinancials!J541),"",RawFinancials!J541)</f>
        <v>88796</v>
      </c>
      <c r="K541" s="0" t="n">
        <f aca="false">IF(ISBLANK(RawFinancials!K541),"",RawFinancials!K541)</f>
        <v>1620</v>
      </c>
      <c r="L541" s="0" t="n">
        <f aca="false">IF(ISBLANK(RawFinancials!L541),"",RawFinancials!L541)</f>
        <v>1092353</v>
      </c>
      <c r="M541" s="0" t="n">
        <f aca="false">IF(ISBLANK(RawFinancials!M541),"",RawFinancials!M541)</f>
        <v>1083798</v>
      </c>
      <c r="N541" s="0" t="n">
        <f aca="false">IF(ISBLANK(RawFinancials!N541),"",RawFinancials!N541)</f>
        <v>974171</v>
      </c>
      <c r="O541" s="0" t="n">
        <f aca="false">IF(ISBLANK(RawFinancials!O541),"",RawFinancials!O541)</f>
        <v>2124</v>
      </c>
      <c r="P541" s="0" t="str">
        <f aca="false">IF(ISBLANK(RawFinancials!P541),"",RawFinancials!P541)</f>
        <v>NORTHFIELD SAVINGS BANK</v>
      </c>
      <c r="Q541" s="0" t="n">
        <f aca="false">IF(ISBLANK(RawFinancials!Q541),"",RawFinancials!Q541)</f>
        <v>0.194442638963778</v>
      </c>
      <c r="R541" s="0" t="n">
        <f aca="false">IF(ISBLANK(RawFinancials!R541),"",RawFinancials!R541)</f>
        <v>2.38536873804973</v>
      </c>
      <c r="S541" s="0" t="n">
        <f aca="false">IF(ISBLANK(RawFinancials!S541),"",RawFinancials!S541)</f>
        <v>48</v>
      </c>
      <c r="T541" s="0" t="n">
        <f aca="false">IF(ISBLANK(RawFinancials!T541),"",RawFinancials!T541)</f>
        <v>25</v>
      </c>
      <c r="U541" s="0" t="n">
        <f aca="false">IF(ISBLANK(RawFinancials!U541),"",RawFinancials!U541)</f>
        <v>0</v>
      </c>
      <c r="V541" s="0" t="n">
        <f aca="false">IF(ISBLANK(RawFinancials!V541),"",RawFinancials!V541)</f>
        <v>0</v>
      </c>
      <c r="W541" s="0" t="n">
        <f aca="false">IF(ISBLANK(RawFinancials!W541),"",RawFinancials!W541)</f>
        <v>20240930</v>
      </c>
      <c r="X541" s="0" t="n">
        <f aca="false">IF(ISBLANK(RawFinancials!X541),"",RawFinancials!X541)</f>
        <v>0.289026150270388</v>
      </c>
      <c r="Y541" s="0" t="n">
        <f aca="false">IF(ISBLANK(RawFinancials!Y541),"",RawFinancials!Y541)</f>
        <v>3.37</v>
      </c>
      <c r="Z541" s="0" t="str">
        <f aca="false">IF(ISBLANK(RawFinancials!Z541),"",RawFinancials!Z541)</f>
        <v>VT</v>
      </c>
      <c r="AA541" s="0" t="n">
        <f aca="false">RawFinancials!AA541</f>
        <v>1</v>
      </c>
      <c r="AB541" s="0" t="n">
        <f aca="false">RawFinancials!AB541</f>
        <v>2124</v>
      </c>
      <c r="AC541" s="0" t="n">
        <f aca="false">RawFinancials!AC541</f>
        <v>0.139079690567333</v>
      </c>
      <c r="AD541" s="0" t="n">
        <f aca="false">IF(L541&gt;0,100*N541/L541,"")</f>
        <v>89.1809698879392</v>
      </c>
      <c r="AE541" s="0" t="n">
        <f aca="false">IF(B541&gt;0,100*F541/B541,"")</f>
        <v>8.98556949990243</v>
      </c>
      <c r="AF541" s="0" t="str">
        <f aca="false">RawFinancials!AE541</f>
        <v>原始0：需核实适用/报告口径</v>
      </c>
    </row>
    <row r="542" customFormat="false" ht="15" hidden="false" customHeight="false" outlineLevel="0" collapsed="false">
      <c r="A542" s="0" t="n">
        <f aca="false">IF(ISBLANK(RawFinancials!A542),"",RawFinancials!A542)</f>
        <v>542</v>
      </c>
      <c r="B542" s="0" t="n">
        <f aca="false">IF(ISBLANK(RawFinancials!B542),"",RawFinancials!B542)</f>
        <v>1518788</v>
      </c>
      <c r="C542" s="0" t="n">
        <f aca="false">IF(ISBLANK(RawFinancials!C542),"",RawFinancials!C542)</f>
        <v>14158</v>
      </c>
      <c r="D542" s="0" t="n">
        <f aca="false">IF(ISBLANK(RawFinancials!D542),"",RawFinancials!D542)</f>
        <v>1176600</v>
      </c>
      <c r="E542" s="0" t="n">
        <f aca="false">IF(ISBLANK(RawFinancials!E542),"",RawFinancials!E542)</f>
        <v>0.05</v>
      </c>
      <c r="F542" s="0" t="n">
        <f aca="false">IF(ISBLANK(RawFinancials!F542),"",RawFinancials!F542)</f>
        <v>88128</v>
      </c>
      <c r="G542" s="0" t="n">
        <f aca="false">IF(ISBLANK(RawFinancials!G542),"",RawFinancials!G542)</f>
        <v>5.80252148423612</v>
      </c>
      <c r="H542" s="0" t="str">
        <f aca="false">IF(ISBLANK(RawFinancials!H542),"",RawFinancials!H542)</f>
        <v>14158_20240930</v>
      </c>
      <c r="I542" s="0" t="n">
        <f aca="false">IF(ISBLANK(RawFinancials!I542),"",RawFinancials!I542)</f>
        <v>0.65305528982764</v>
      </c>
      <c r="J542" s="0" t="n">
        <f aca="false">IF(ISBLANK(RawFinancials!J542),"",RawFinancials!J542)</f>
        <v>38744</v>
      </c>
      <c r="K542" s="0" t="n">
        <f aca="false">IF(ISBLANK(RawFinancials!K542),"",RawFinancials!K542)</f>
        <v>2036</v>
      </c>
      <c r="L542" s="0" t="n">
        <f aca="false">IF(ISBLANK(RawFinancials!L542),"",RawFinancials!L542)</f>
        <v>1127929</v>
      </c>
      <c r="M542" s="0" t="n">
        <f aca="false">IF(ISBLANK(RawFinancials!M542),"",RawFinancials!M542)</f>
        <v>1120563</v>
      </c>
      <c r="N542" s="0" t="n">
        <f aca="false">IF(ISBLANK(RawFinancials!N542),"",RawFinancials!N542)</f>
        <v>979666</v>
      </c>
      <c r="O542" s="0" t="n">
        <f aca="false">IF(ISBLANK(RawFinancials!O542),"",RawFinancials!O542)</f>
        <v>1709</v>
      </c>
      <c r="P542" s="0" t="str">
        <f aca="false">IF(ISBLANK(RawFinancials!P542),"",RawFinancials!P542)</f>
        <v>UNION BANK</v>
      </c>
      <c r="Q542" s="0" t="n">
        <f aca="false">IF(ISBLANK(RawFinancials!Q542),"",RawFinancials!Q542)</f>
        <v>0.174124435137318</v>
      </c>
      <c r="R542" s="0" t="n">
        <f aca="false">IF(ISBLANK(RawFinancials!R542),"",RawFinancials!R542)</f>
        <v>2.80849544548636</v>
      </c>
      <c r="S542" s="0" t="n">
        <f aca="false">IF(ISBLANK(RawFinancials!S542),"",RawFinancials!S542)</f>
        <v>-16</v>
      </c>
      <c r="T542" s="0" t="n">
        <f aca="false">IF(ISBLANK(RawFinancials!T542),"",RawFinancials!T542)</f>
        <v>1116</v>
      </c>
      <c r="U542" s="0" t="n">
        <f aca="false">IF(ISBLANK(RawFinancials!U542),"",RawFinancials!U542)</f>
        <v>255</v>
      </c>
      <c r="V542" s="0" t="n">
        <f aca="false">IF(ISBLANK(RawFinancials!V542),"",RawFinancials!V542)</f>
        <v>12.7326927079282</v>
      </c>
      <c r="W542" s="0" t="n">
        <f aca="false">IF(ISBLANK(RawFinancials!W542),"",RawFinancials!W542)</f>
        <v>20240930</v>
      </c>
      <c r="X542" s="0" t="n">
        <f aca="false">IF(ISBLANK(RawFinancials!X542),"",RawFinancials!X542)</f>
        <v>0.591958039788572</v>
      </c>
      <c r="Y542" s="0" t="n">
        <f aca="false">IF(ISBLANK(RawFinancials!Y542),"",RawFinancials!Y542)</f>
        <v>10.41</v>
      </c>
      <c r="Z542" s="0" t="str">
        <f aca="false">IF(ISBLANK(RawFinancials!Z542),"",RawFinancials!Z542)</f>
        <v>VT</v>
      </c>
      <c r="AA542" s="0" t="n">
        <f aca="false">RawFinancials!AA542</f>
        <v>1</v>
      </c>
      <c r="AB542" s="0" t="n">
        <f aca="false">RawFinancials!AB542</f>
        <v>1964</v>
      </c>
      <c r="AC542" s="0" t="n">
        <f aca="false">RawFinancials!AC542</f>
        <v>0.129313636926286</v>
      </c>
      <c r="AD542" s="0" t="n">
        <f aca="false">IF(L542&gt;0,100*N542/L542,"")</f>
        <v>86.8552896503237</v>
      </c>
      <c r="AE542" s="0" t="n">
        <f aca="false">IF(B542&gt;0,100*F542/B542,"")</f>
        <v>5.80252148423612</v>
      </c>
      <c r="AF542" s="0" t="str">
        <f aca="false">RawFinancials!AE542</f>
        <v/>
      </c>
    </row>
    <row r="543" customFormat="false" ht="15" hidden="false" customHeight="false" outlineLevel="0" collapsed="false">
      <c r="A543" s="0" t="n">
        <f aca="false">IF(ISBLANK(RawFinancials!A543),"",RawFinancials!A543)</f>
        <v>543</v>
      </c>
      <c r="B543" s="0" t="n">
        <f aca="false">IF(ISBLANK(RawFinancials!B543),"",RawFinancials!B543)</f>
        <v>371732</v>
      </c>
      <c r="C543" s="0" t="n">
        <f aca="false">IF(ISBLANK(RawFinancials!C543),"",RawFinancials!C543)</f>
        <v>14168</v>
      </c>
      <c r="D543" s="0" t="n">
        <f aca="false">IF(ISBLANK(RawFinancials!D543),"",RawFinancials!D543)</f>
        <v>328030</v>
      </c>
      <c r="E543" s="0" t="n">
        <f aca="false">IF(ISBLANK(RawFinancials!E543),"",RawFinancials!E543)</f>
        <v>0.05</v>
      </c>
      <c r="F543" s="0" t="n">
        <f aca="false">IF(ISBLANK(RawFinancials!F543),"",RawFinancials!F543)</f>
        <v>38425</v>
      </c>
      <c r="G543" s="0" t="n">
        <f aca="false">IF(ISBLANK(RawFinancials!G543),"",RawFinancials!G543)</f>
        <v>10.3367479797273</v>
      </c>
      <c r="H543" s="0" t="str">
        <f aca="false">IF(ISBLANK(RawFinancials!H543),"",RawFinancials!H543)</f>
        <v>14168_20240930</v>
      </c>
      <c r="I543" s="0" t="n">
        <f aca="false">IF(ISBLANK(RawFinancials!I543),"",RawFinancials!I543)</f>
        <v>1.52776381114128</v>
      </c>
      <c r="J543" s="0" t="n">
        <f aca="false">IF(ISBLANK(RawFinancials!J543),"",RawFinancials!J543)</f>
        <v>11832</v>
      </c>
      <c r="K543" s="0" t="n">
        <f aca="false">IF(ISBLANK(RawFinancials!K543),"",RawFinancials!K543)</f>
        <v>10190</v>
      </c>
      <c r="L543" s="0" t="n">
        <f aca="false">IF(ISBLANK(RawFinancials!L543),"",RawFinancials!L543)</f>
        <v>268497</v>
      </c>
      <c r="M543" s="0" t="n">
        <f aca="false">IF(ISBLANK(RawFinancials!M543),"",RawFinancials!M543)</f>
        <v>264395</v>
      </c>
      <c r="N543" s="0" t="n">
        <f aca="false">IF(ISBLANK(RawFinancials!N543),"",RawFinancials!N543)</f>
        <v>228801</v>
      </c>
      <c r="O543" s="0" t="n">
        <f aca="false">IF(ISBLANK(RawFinancials!O543),"",RawFinancials!O543)</f>
        <v>865</v>
      </c>
      <c r="P543" s="0" t="str">
        <f aca="false">IF(ISBLANK(RawFinancials!P543),"",RawFinancials!P543)</f>
        <v>PEOPLES TRUST COMPANY OF ST. ALBANS</v>
      </c>
      <c r="Q543" s="0" t="n">
        <f aca="false">IF(ISBLANK(RawFinancials!Q543),"",RawFinancials!Q543)</f>
        <v>0.32290863585068</v>
      </c>
      <c r="R543" s="0" t="n">
        <f aca="false">IF(ISBLANK(RawFinancials!R543),"",RawFinancials!R543)</f>
        <v>4.10567266565625</v>
      </c>
      <c r="S543" s="0" t="n">
        <f aca="false">IF(ISBLANK(RawFinancials!S543),"",RawFinancials!S543)</f>
        <v>48</v>
      </c>
      <c r="T543" s="0" t="n">
        <f aca="false">IF(ISBLANK(RawFinancials!T543),"",RawFinancials!T543)</f>
        <v>569</v>
      </c>
      <c r="U543" s="0" t="n">
        <f aca="false">IF(ISBLANK(RawFinancials!U543),"",RawFinancials!U543)</f>
        <v>2</v>
      </c>
      <c r="V543" s="0" t="n">
        <f aca="false">IF(ISBLANK(RawFinancials!V543),"",RawFinancials!V543)</f>
        <v>16.4355401593798</v>
      </c>
      <c r="W543" s="0" t="n">
        <f aca="false">IF(ISBLANK(RawFinancials!W543),"",RawFinancials!W543)</f>
        <v>20240930</v>
      </c>
      <c r="X543" s="0" t="n">
        <f aca="false">IF(ISBLANK(RawFinancials!X543),"",RawFinancials!X543)</f>
        <v>1.07473840142319</v>
      </c>
      <c r="Y543" s="0" t="n">
        <f aca="false">IF(ISBLANK(RawFinancials!Y543),"",RawFinancials!Y543)</f>
        <v>10.88</v>
      </c>
      <c r="Z543" s="0" t="str">
        <f aca="false">IF(ISBLANK(RawFinancials!Z543),"",RawFinancials!Z543)</f>
        <v>VT</v>
      </c>
      <c r="AA543" s="0" t="n">
        <f aca="false">RawFinancials!AA543</f>
        <v>1</v>
      </c>
      <c r="AB543" s="0" t="n">
        <f aca="false">RawFinancials!AB543</f>
        <v>867</v>
      </c>
      <c r="AC543" s="0" t="n">
        <f aca="false">RawFinancials!AC543</f>
        <v>0.233232543875695</v>
      </c>
      <c r="AD543" s="0" t="n">
        <f aca="false">IF(L543&gt;0,100*N543/L543,"")</f>
        <v>85.2154772679024</v>
      </c>
      <c r="AE543" s="0" t="n">
        <f aca="false">IF(B543&gt;0,100*F543/B543,"")</f>
        <v>10.3367479797273</v>
      </c>
      <c r="AF543" s="0" t="str">
        <f aca="false">RawFinancials!AE543</f>
        <v/>
      </c>
    </row>
    <row r="544" customFormat="false" ht="15" hidden="false" customHeight="false" outlineLevel="0" collapsed="false">
      <c r="A544" s="0" t="n">
        <f aca="false">IF(ISBLANK(RawFinancials!A544),"",RawFinancials!A544)</f>
        <v>544</v>
      </c>
      <c r="B544" s="0" t="n">
        <f aca="false">IF(ISBLANK(RawFinancials!B544),"",RawFinancials!B544)</f>
        <v>1215556</v>
      </c>
      <c r="C544" s="0" t="n">
        <f aca="false">IF(ISBLANK(RawFinancials!C544),"",RawFinancials!C544)</f>
        <v>14240</v>
      </c>
      <c r="D544" s="0" t="n">
        <f aca="false">IF(ISBLANK(RawFinancials!D544),"",RawFinancials!D544)</f>
        <v>1013911</v>
      </c>
      <c r="E544" s="0" t="n">
        <f aca="false">IF(ISBLANK(RawFinancials!E544),"",RawFinancials!E544)</f>
        <v>0</v>
      </c>
      <c r="F544" s="0" t="n">
        <f aca="false">IF(ISBLANK(RawFinancials!F544),"",RawFinancials!F544)</f>
        <v>96896</v>
      </c>
      <c r="G544" s="0" t="n">
        <f aca="false">IF(ISBLANK(RawFinancials!G544),"",RawFinancials!G544)</f>
        <v>7.97133163753871</v>
      </c>
      <c r="H544" s="0" t="str">
        <f aca="false">IF(ISBLANK(RawFinancials!H544),"",RawFinancials!H544)</f>
        <v>14240_20240930</v>
      </c>
      <c r="I544" s="0" t="n">
        <f aca="false">IF(ISBLANK(RawFinancials!I544),"",RawFinancials!I544)</f>
        <v>1.17326404027878</v>
      </c>
      <c r="J544" s="0" t="n">
        <f aca="false">IF(ISBLANK(RawFinancials!J544),"",RawFinancials!J544)</f>
        <v>28907</v>
      </c>
      <c r="K544" s="0" t="n">
        <f aca="false">IF(ISBLANK(RawFinancials!K544),"",RawFinancials!K544)</f>
        <v>13307</v>
      </c>
      <c r="L544" s="0" t="n">
        <f aca="false">IF(ISBLANK(RawFinancials!L544),"",RawFinancials!L544)</f>
        <v>912838</v>
      </c>
      <c r="M544" s="0" t="n">
        <f aca="false">IF(ISBLANK(RawFinancials!M544),"",RawFinancials!M544)</f>
        <v>902128</v>
      </c>
      <c r="N544" s="0" t="n">
        <f aca="false">IF(ISBLANK(RawFinancials!N544),"",RawFinancials!N544)</f>
        <v>772079</v>
      </c>
      <c r="O544" s="0" t="n">
        <f aca="false">IF(ISBLANK(RawFinancials!O544),"",RawFinancials!O544)</f>
        <v>3698</v>
      </c>
      <c r="P544" s="0" t="str">
        <f aca="false">IF(ISBLANK(RawFinancials!P544),"",RawFinancials!P544)</f>
        <v>NORTHWAY BANK</v>
      </c>
      <c r="Q544" s="0" t="n">
        <f aca="false">IF(ISBLANK(RawFinancials!Q544),"",RawFinancials!Q544)</f>
        <v>0.40511021670877</v>
      </c>
      <c r="R544" s="0" t="n">
        <f aca="false">IF(ISBLANK(RawFinancials!R544),"",RawFinancials!R544)</f>
        <v>2.72606205313891</v>
      </c>
      <c r="S544" s="0" t="n">
        <f aca="false">IF(ISBLANK(RawFinancials!S544),"",RawFinancials!S544)</f>
        <v>-14</v>
      </c>
      <c r="T544" s="0" t="n">
        <f aca="false">IF(ISBLANK(RawFinancials!T544),"",RawFinancials!T544)</f>
        <v>516</v>
      </c>
      <c r="U544" s="0" t="n">
        <f aca="false">IF(ISBLANK(RawFinancials!U544),"",RawFinancials!U544)</f>
        <v>0</v>
      </c>
      <c r="V544" s="0" t="n">
        <f aca="false">IF(ISBLANK(RawFinancials!V544),"",RawFinancials!V544)</f>
        <v>16.518911598904</v>
      </c>
      <c r="W544" s="0" t="n">
        <f aca="false">IF(ISBLANK(RawFinancials!W544),"",RawFinancials!W544)</f>
        <v>20240930</v>
      </c>
      <c r="X544" s="0" t="n">
        <f aca="false">IF(ISBLANK(RawFinancials!X544),"",RawFinancials!X544)</f>
        <v>0.459382516970762</v>
      </c>
      <c r="Y544" s="0" t="n">
        <f aca="false">IF(ISBLANK(RawFinancials!Y544),"",RawFinancials!Y544)</f>
        <v>6.33</v>
      </c>
      <c r="Z544" s="0" t="str">
        <f aca="false">IF(ISBLANK(RawFinancials!Z544),"",RawFinancials!Z544)</f>
        <v>NH</v>
      </c>
      <c r="AA544" s="0" t="n">
        <f aca="false">RawFinancials!AA544</f>
        <v>1</v>
      </c>
      <c r="AB544" s="0" t="n">
        <f aca="false">RawFinancials!AB544</f>
        <v>3698</v>
      </c>
      <c r="AC544" s="0" t="n">
        <f aca="false">RawFinancials!AC544</f>
        <v>0.304222923501673</v>
      </c>
      <c r="AD544" s="0" t="n">
        <f aca="false">IF(L544&gt;0,100*N544/L544,"")</f>
        <v>84.5800678762278</v>
      </c>
      <c r="AE544" s="0" t="n">
        <f aca="false">IF(B544&gt;0,100*F544/B544,"")</f>
        <v>7.97133163753871</v>
      </c>
      <c r="AF544" s="0" t="str">
        <f aca="false">RawFinancials!AE544</f>
        <v/>
      </c>
    </row>
    <row r="545" customFormat="false" ht="15" hidden="false" customHeight="false" outlineLevel="0" collapsed="false">
      <c r="A545" s="0" t="n">
        <f aca="false">IF(ISBLANK(RawFinancials!A545),"",RawFinancials!A545)</f>
        <v>545</v>
      </c>
      <c r="B545" s="0" t="n">
        <f aca="false">IF(ISBLANK(RawFinancials!B545),"",RawFinancials!B545)</f>
        <v>1064825</v>
      </c>
      <c r="C545" s="0" t="n">
        <f aca="false">IF(ISBLANK(RawFinancials!C545),"",RawFinancials!C545)</f>
        <v>17115</v>
      </c>
      <c r="D545" s="0" t="n">
        <f aca="false">IF(ISBLANK(RawFinancials!D545),"",RawFinancials!D545)</f>
        <v>811295</v>
      </c>
      <c r="E545" s="0" t="n">
        <f aca="false">IF(ISBLANK(RawFinancials!E545),"",RawFinancials!E545)</f>
        <v>0.01</v>
      </c>
      <c r="F545" s="0" t="n">
        <f aca="false">IF(ISBLANK(RawFinancials!F545),"",RawFinancials!F545)</f>
        <v>93281</v>
      </c>
      <c r="G545" s="0" t="n">
        <f aca="false">IF(ISBLANK(RawFinancials!G545),"",RawFinancials!G545)</f>
        <v>8.76021881529829</v>
      </c>
      <c r="H545" s="0" t="str">
        <f aca="false">IF(ISBLANK(RawFinancials!H545),"",RawFinancials!H545)</f>
        <v>17115_20240930</v>
      </c>
      <c r="I545" s="0" t="n">
        <f aca="false">IF(ISBLANK(RawFinancials!I545),"",RawFinancials!I545)</f>
        <v>1.00700683936323</v>
      </c>
      <c r="J545" s="0" t="n">
        <f aca="false">IF(ISBLANK(RawFinancials!J545),"",RawFinancials!J545)</f>
        <v>40658</v>
      </c>
      <c r="K545" s="0" t="n">
        <f aca="false">IF(ISBLANK(RawFinancials!K545),"",RawFinancials!K545)</f>
        <v>6674</v>
      </c>
      <c r="L545" s="0" t="n">
        <f aca="false">IF(ISBLANK(RawFinancials!L545),"",RawFinancials!L545)</f>
        <v>883708</v>
      </c>
      <c r="M545" s="0" t="n">
        <f aca="false">IF(ISBLANK(RawFinancials!M545),"",RawFinancials!M545)</f>
        <v>874809</v>
      </c>
      <c r="N545" s="0" t="n">
        <f aca="false">IF(ISBLANK(RawFinancials!N545),"",RawFinancials!N545)</f>
        <v>834346</v>
      </c>
      <c r="O545" s="0" t="n">
        <f aca="false">IF(ISBLANK(RawFinancials!O545),"",RawFinancials!O545)</f>
        <v>2417</v>
      </c>
      <c r="P545" s="0" t="str">
        <f aca="false">IF(ISBLANK(RawFinancials!P545),"",RawFinancials!P545)</f>
        <v>PARTNERS BANK OF NEW ENGLAND</v>
      </c>
      <c r="Q545" s="0" t="n">
        <f aca="false">IF(ISBLANK(RawFinancials!Q545),"",RawFinancials!Q545)</f>
        <v>0.273506633412847</v>
      </c>
      <c r="R545" s="0" t="n">
        <f aca="false">IF(ISBLANK(RawFinancials!R545),"",RawFinancials!R545)</f>
        <v>2.59571965861029</v>
      </c>
      <c r="S545" s="0" t="n">
        <f aca="false">IF(ISBLANK(RawFinancials!S545),"",RawFinancials!S545)</f>
        <v>74</v>
      </c>
      <c r="T545" s="0" t="n">
        <f aca="false">IF(ISBLANK(RawFinancials!T545),"",RawFinancials!T545)</f>
        <v>395</v>
      </c>
      <c r="U545" s="0" t="n">
        <f aca="false">IF(ISBLANK(RawFinancials!U545),"",RawFinancials!U545)</f>
        <v>0</v>
      </c>
      <c r="V545" s="0" t="n">
        <f aca="false">IF(ISBLANK(RawFinancials!V545),"",RawFinancials!V545)</f>
        <v>14.1631497814056</v>
      </c>
      <c r="W545" s="0" t="n">
        <f aca="false">IF(ISBLANK(RawFinancials!W545),"",RawFinancials!W545)</f>
        <v>20240930</v>
      </c>
      <c r="X545" s="0" t="n">
        <f aca="false">IF(ISBLANK(RawFinancials!X545),"",RawFinancials!X545)</f>
        <v>0.320784489973106</v>
      </c>
      <c r="Y545" s="0" t="n">
        <f aca="false">IF(ISBLANK(RawFinancials!Y545),"",RawFinancials!Y545)</f>
        <v>3.86</v>
      </c>
      <c r="Z545" s="0" t="str">
        <f aca="false">IF(ISBLANK(RawFinancials!Z545),"",RawFinancials!Z545)</f>
        <v>ME</v>
      </c>
      <c r="AA545" s="0" t="n">
        <f aca="false">RawFinancials!AA545</f>
        <v>1</v>
      </c>
      <c r="AB545" s="0" t="n">
        <f aca="false">RawFinancials!AB545</f>
        <v>2417</v>
      </c>
      <c r="AC545" s="0" t="n">
        <f aca="false">RawFinancials!AC545</f>
        <v>0.226985654919822</v>
      </c>
      <c r="AD545" s="0" t="n">
        <f aca="false">IF(L545&gt;0,100*N545/L545,"")</f>
        <v>94.4142182711937</v>
      </c>
      <c r="AE545" s="0" t="n">
        <f aca="false">IF(B545&gt;0,100*F545/B545,"")</f>
        <v>8.76021881529829</v>
      </c>
      <c r="AF545" s="0" t="str">
        <f aca="false">RawFinancials!AE545</f>
        <v/>
      </c>
    </row>
    <row r="546" customFormat="false" ht="15" hidden="false" customHeight="false" outlineLevel="0" collapsed="false">
      <c r="A546" s="0" t="n">
        <f aca="false">IF(ISBLANK(RawFinancials!A546),"",RawFinancials!A546)</f>
        <v>546</v>
      </c>
      <c r="B546" s="0" t="n">
        <f aca="false">IF(ISBLANK(RawFinancials!B546),"",RawFinancials!B546)</f>
        <v>1621350</v>
      </c>
      <c r="C546" s="0" t="n">
        <f aca="false">IF(ISBLANK(RawFinancials!C546),"",RawFinancials!C546)</f>
        <v>17180</v>
      </c>
      <c r="D546" s="0" t="n">
        <f aca="false">IF(ISBLANK(RawFinancials!D546),"",RawFinancials!D546)</f>
        <v>1203070</v>
      </c>
      <c r="E546" s="0" t="n">
        <f aca="false">IF(ISBLANK(RawFinancials!E546),"",RawFinancials!E546)</f>
        <v>0.08</v>
      </c>
      <c r="F546" s="0" t="n">
        <f aca="false">IF(ISBLANK(RawFinancials!F546),"",RawFinancials!F546)</f>
        <v>143061</v>
      </c>
      <c r="G546" s="0" t="n">
        <f aca="false">IF(ISBLANK(RawFinancials!G546),"",RawFinancials!G546)</f>
        <v>8.82357294846887</v>
      </c>
      <c r="H546" s="0" t="str">
        <f aca="false">IF(ISBLANK(RawFinancials!H546),"",RawFinancials!H546)</f>
        <v>17180_20240930</v>
      </c>
      <c r="I546" s="0" t="n">
        <f aca="false">IF(ISBLANK(RawFinancials!I546),"",RawFinancials!I546)</f>
        <v>1.03190149955549</v>
      </c>
      <c r="J546" s="0" t="n">
        <f aca="false">IF(ISBLANK(RawFinancials!J546),"",RawFinancials!J546)</f>
        <v>40098</v>
      </c>
      <c r="K546" s="0" t="n">
        <f aca="false">IF(ISBLANK(RawFinancials!K546),"",RawFinancials!K546)</f>
        <v>171858</v>
      </c>
      <c r="L546" s="0" t="n">
        <f aca="false">IF(ISBLANK(RawFinancials!L546),"",RawFinancials!L546)</f>
        <v>1443161</v>
      </c>
      <c r="M546" s="0" t="n">
        <f aca="false">IF(ISBLANK(RawFinancials!M546),"",RawFinancials!M546)</f>
        <v>1428269</v>
      </c>
      <c r="N546" s="0" t="n">
        <f aca="false">IF(ISBLANK(RawFinancials!N546),"",RawFinancials!N546)</f>
        <v>1205697</v>
      </c>
      <c r="O546" s="0" t="n">
        <f aca="false">IF(ISBLANK(RawFinancials!O546),"",RawFinancials!O546)</f>
        <v>5975</v>
      </c>
      <c r="P546" s="0" t="str">
        <f aca="false">IF(ISBLANK(RawFinancials!P546),"",RawFinancials!P546)</f>
        <v>MEREDITH VILLAGE SAVINGS BANK</v>
      </c>
      <c r="Q546" s="0" t="n">
        <f aca="false">IF(ISBLANK(RawFinancials!Q546),"",RawFinancials!Q546)</f>
        <v>0.414021720376313</v>
      </c>
      <c r="R546" s="0" t="n">
        <f aca="false">IF(ISBLANK(RawFinancials!R546),"",RawFinancials!R546)</f>
        <v>2.64602130327718</v>
      </c>
      <c r="S546" s="0" t="n">
        <f aca="false">IF(ISBLANK(RawFinancials!S546),"",RawFinancials!S546)</f>
        <v>172</v>
      </c>
      <c r="T546" s="0" t="n">
        <f aca="false">IF(ISBLANK(RawFinancials!T546),"",RawFinancials!T546)</f>
        <v>1130</v>
      </c>
      <c r="U546" s="0" t="n">
        <f aca="false">IF(ISBLANK(RawFinancials!U546),"",RawFinancials!U546)</f>
        <v>0</v>
      </c>
      <c r="V546" s="0" t="n">
        <f aca="false">IF(ISBLANK(RawFinancials!V546),"",RawFinancials!V546)</f>
        <v>15.09738503074</v>
      </c>
      <c r="W546" s="0" t="n">
        <f aca="false">IF(ISBLANK(RawFinancials!W546),"",RawFinancials!W546)</f>
        <v>20240930</v>
      </c>
      <c r="X546" s="0" t="n">
        <f aca="false">IF(ISBLANK(RawFinancials!X546),"",RawFinancials!X546)</f>
        <v>0.397392188864424</v>
      </c>
      <c r="Y546" s="0" t="n">
        <f aca="false">IF(ISBLANK(RawFinancials!Y546),"",RawFinancials!Y546)</f>
        <v>4.68</v>
      </c>
      <c r="Z546" s="0" t="str">
        <f aca="false">IF(ISBLANK(RawFinancials!Z546),"",RawFinancials!Z546)</f>
        <v>NH</v>
      </c>
      <c r="AA546" s="0" t="n">
        <f aca="false">RawFinancials!AA546</f>
        <v>1</v>
      </c>
      <c r="AB546" s="0" t="n">
        <f aca="false">RawFinancials!AB546</f>
        <v>5975</v>
      </c>
      <c r="AC546" s="0" t="n">
        <f aca="false">RawFinancials!AC546</f>
        <v>0.368520060443458</v>
      </c>
      <c r="AD546" s="0" t="n">
        <f aca="false">IF(L546&gt;0,100*N546/L546,"")</f>
        <v>83.5455642163279</v>
      </c>
      <c r="AE546" s="0" t="n">
        <f aca="false">IF(B546&gt;0,100*F546/B546,"")</f>
        <v>8.82357294846887</v>
      </c>
      <c r="AF546" s="0" t="str">
        <f aca="false">RawFinancials!AE546</f>
        <v/>
      </c>
    </row>
    <row r="547" customFormat="false" ht="15" hidden="false" customHeight="false" outlineLevel="0" collapsed="false">
      <c r="A547" s="0" t="n">
        <f aca="false">IF(ISBLANK(RawFinancials!A547),"",RawFinancials!A547)</f>
        <v>547</v>
      </c>
      <c r="B547" s="0" t="n">
        <f aca="false">IF(ISBLANK(RawFinancials!B547),"",RawFinancials!B547)</f>
        <v>366752</v>
      </c>
      <c r="C547" s="0" t="n">
        <f aca="false">IF(ISBLANK(RawFinancials!C547),"",RawFinancials!C547)</f>
        <v>17443</v>
      </c>
      <c r="D547" s="0" t="n">
        <f aca="false">IF(ISBLANK(RawFinancials!D547),"",RawFinancials!D547)</f>
        <v>299271</v>
      </c>
      <c r="E547" s="0" t="n">
        <f aca="false">IF(ISBLANK(RawFinancials!E547),"",RawFinancials!E547)</f>
        <v>-0.08</v>
      </c>
      <c r="F547" s="0" t="n">
        <f aca="false">IF(ISBLANK(RawFinancials!F547),"",RawFinancials!F547)</f>
        <v>41324</v>
      </c>
      <c r="G547" s="0" t="n">
        <f aca="false">IF(ISBLANK(RawFinancials!G547),"",RawFinancials!G547)</f>
        <v>11.2675595497775</v>
      </c>
      <c r="H547" s="0" t="str">
        <f aca="false">IF(ISBLANK(RawFinancials!H547),"",RawFinancials!H547)</f>
        <v>17443_20240930</v>
      </c>
      <c r="I547" s="0" t="n">
        <f aca="false">IF(ISBLANK(RawFinancials!I547),"",RawFinancials!I547)</f>
        <v>0.765294478620948</v>
      </c>
      <c r="J547" s="0" t="n">
        <f aca="false">IF(ISBLANK(RawFinancials!J547),"",RawFinancials!J547)</f>
        <v>0</v>
      </c>
      <c r="K547" s="0" t="n">
        <f aca="false">IF(ISBLANK(RawFinancials!K547),"",RawFinancials!K547)</f>
        <v>958</v>
      </c>
      <c r="L547" s="0" t="n">
        <f aca="false">IF(ISBLANK(RawFinancials!L547),"",RawFinancials!L547)</f>
        <v>197179</v>
      </c>
      <c r="M547" s="0" t="n">
        <f aca="false">IF(ISBLANK(RawFinancials!M547),"",RawFinancials!M547)</f>
        <v>195670</v>
      </c>
      <c r="N547" s="0" t="n">
        <f aca="false">IF(ISBLANK(RawFinancials!N547),"",RawFinancials!N547)</f>
        <v>195221</v>
      </c>
      <c r="O547" s="0" t="n">
        <f aca="false">IF(ISBLANK(RawFinancials!O547),"",RawFinancials!O547)</f>
        <v>1019</v>
      </c>
      <c r="P547" s="0" t="str">
        <f aca="false">IF(ISBLANK(RawFinancials!P547),"",RawFinancials!P547)</f>
        <v>PISCATAQUA SAVINGS BANK</v>
      </c>
      <c r="Q547" s="0" t="n">
        <f aca="false">IF(ISBLANK(RawFinancials!Q547),"",RawFinancials!Q547)</f>
        <v>0.516789313263583</v>
      </c>
      <c r="R547" s="0" t="n">
        <f aca="false">IF(ISBLANK(RawFinancials!R547),"",RawFinancials!R547)</f>
        <v>1.1639677406299</v>
      </c>
      <c r="S547" s="0" t="n">
        <f aca="false">IF(ISBLANK(RawFinancials!S547),"",RawFinancials!S547)</f>
        <v>0</v>
      </c>
      <c r="T547" s="0" t="n">
        <f aca="false">IF(ISBLANK(RawFinancials!T547),"",RawFinancials!T547)</f>
        <v>1323</v>
      </c>
      <c r="U547" s="0" t="n">
        <f aca="false">IF(ISBLANK(RawFinancials!U547),"",RawFinancials!U547)</f>
        <v>0</v>
      </c>
      <c r="V547" s="0" t="n">
        <f aca="false">IF(ISBLANK(RawFinancials!V547),"",RawFinancials!V547)</f>
        <v>0</v>
      </c>
      <c r="W547" s="0" t="n">
        <f aca="false">IF(ISBLANK(RawFinancials!W547),"",RawFinancials!W547)</f>
        <v>20240930</v>
      </c>
      <c r="X547" s="0" t="n">
        <f aca="false">IF(ISBLANK(RawFinancials!X547),"",RawFinancials!X547)</f>
        <v>-0.182427732699306</v>
      </c>
      <c r="Y547" s="0" t="n">
        <f aca="false">IF(ISBLANK(RawFinancials!Y547),"",RawFinancials!Y547)</f>
        <v>-1.63</v>
      </c>
      <c r="Z547" s="0" t="str">
        <f aca="false">IF(ISBLANK(RawFinancials!Z547),"",RawFinancials!Z547)</f>
        <v>NH</v>
      </c>
      <c r="AA547" s="0" t="n">
        <f aca="false">RawFinancials!AA547</f>
        <v>1</v>
      </c>
      <c r="AB547" s="0" t="n">
        <f aca="false">RawFinancials!AB547</f>
        <v>1019</v>
      </c>
      <c r="AC547" s="0" t="n">
        <f aca="false">RawFinancials!AC547</f>
        <v>0.277844428932903</v>
      </c>
      <c r="AD547" s="0" t="n">
        <f aca="false">IF(L547&gt;0,100*N547/L547,"")</f>
        <v>99.0069936453679</v>
      </c>
      <c r="AE547" s="0" t="n">
        <f aca="false">IF(B547&gt;0,100*F547/B547,"")</f>
        <v>11.2675595497775</v>
      </c>
      <c r="AF547" s="0" t="str">
        <f aca="false">RawFinancials!AE547</f>
        <v>原始0：需核实适用/报告口径</v>
      </c>
    </row>
    <row r="548" customFormat="false" ht="15" hidden="false" customHeight="false" outlineLevel="0" collapsed="false">
      <c r="A548" s="0" t="n">
        <f aca="false">IF(ISBLANK(RawFinancials!A548),"",RawFinancials!A548)</f>
        <v>548</v>
      </c>
      <c r="B548" s="0" t="n">
        <f aca="false">IF(ISBLANK(RawFinancials!B548),"",RawFinancials!B548)</f>
        <v>1980951</v>
      </c>
      <c r="C548" s="0" t="n">
        <f aca="false">IF(ISBLANK(RawFinancials!C548),"",RawFinancials!C548)</f>
        <v>17658</v>
      </c>
      <c r="D548" s="0" t="n">
        <f aca="false">IF(ISBLANK(RawFinancials!D548),"",RawFinancials!D548)</f>
        <v>1559068</v>
      </c>
      <c r="E548" s="0" t="n">
        <f aca="false">IF(ISBLANK(RawFinancials!E548),"",RawFinancials!E548)</f>
        <v>0.03</v>
      </c>
      <c r="F548" s="0" t="n">
        <f aca="false">IF(ISBLANK(RawFinancials!F548),"",RawFinancials!F548)</f>
        <v>230579</v>
      </c>
      <c r="G548" s="0" t="n">
        <f aca="false">IF(ISBLANK(RawFinancials!G548),"",RawFinancials!G548)</f>
        <v>11.6398134027545</v>
      </c>
      <c r="H548" s="0" t="str">
        <f aca="false">IF(ISBLANK(RawFinancials!H548),"",RawFinancials!H548)</f>
        <v>17658_20240930</v>
      </c>
      <c r="I548" s="0" t="n">
        <f aca="false">IF(ISBLANK(RawFinancials!I548),"",RawFinancials!I548)</f>
        <v>0.660677081283106</v>
      </c>
      <c r="J548" s="0" t="n">
        <f aca="false">IF(ISBLANK(RawFinancials!J548),"",RawFinancials!J548)</f>
        <v>108891</v>
      </c>
      <c r="K548" s="0" t="n">
        <f aca="false">IF(ISBLANK(RawFinancials!K548),"",RawFinancials!K548)</f>
        <v>80000</v>
      </c>
      <c r="L548" s="0" t="n">
        <f aca="false">IF(ISBLANK(RawFinancials!L548),"",RawFinancials!L548)</f>
        <v>1397203</v>
      </c>
      <c r="M548" s="0" t="n">
        <f aca="false">IF(ISBLANK(RawFinancials!M548),"",RawFinancials!M548)</f>
        <v>1387972</v>
      </c>
      <c r="N548" s="0" t="n">
        <f aca="false">IF(ISBLANK(RawFinancials!N548),"",RawFinancials!N548)</f>
        <v>1195334</v>
      </c>
      <c r="O548" s="0" t="n">
        <f aca="false">IF(ISBLANK(RawFinancials!O548),"",RawFinancials!O548)</f>
        <v>9425</v>
      </c>
      <c r="P548" s="0" t="str">
        <f aca="false">IF(ISBLANK(RawFinancials!P548),"",RawFinancials!P548)</f>
        <v>NORWAY SAVINGS BANK</v>
      </c>
      <c r="Q548" s="0" t="n">
        <f aca="false">IF(ISBLANK(RawFinancials!Q548),"",RawFinancials!Q548)</f>
        <v>0.674561964152668</v>
      </c>
      <c r="R548" s="0" t="n">
        <f aca="false">IF(ISBLANK(RawFinancials!R548),"",RawFinancials!R548)</f>
        <v>3.06913574640286</v>
      </c>
      <c r="S548" s="0" t="n">
        <f aca="false">IF(ISBLANK(RawFinancials!S548),"",RawFinancials!S548)</f>
        <v>-16</v>
      </c>
      <c r="T548" s="0" t="n">
        <f aca="false">IF(ISBLANK(RawFinancials!T548),"",RawFinancials!T548)</f>
        <v>2259</v>
      </c>
      <c r="U548" s="0" t="n">
        <f aca="false">IF(ISBLANK(RawFinancials!U548),"",RawFinancials!U548)</f>
        <v>0</v>
      </c>
      <c r="V548" s="0" t="n">
        <f aca="false">IF(ISBLANK(RawFinancials!V548),"",RawFinancials!V548)</f>
        <v>0</v>
      </c>
      <c r="W548" s="0" t="n">
        <f aca="false">IF(ISBLANK(RawFinancials!W548),"",RawFinancials!W548)</f>
        <v>20240930</v>
      </c>
      <c r="X548" s="0" t="n">
        <f aca="false">IF(ISBLANK(RawFinancials!X548),"",RawFinancials!X548)</f>
        <v>0.960411822183859</v>
      </c>
      <c r="Y548" s="0" t="n">
        <f aca="false">IF(ISBLANK(RawFinancials!Y548),"",RawFinancials!Y548)</f>
        <v>8.53</v>
      </c>
      <c r="Z548" s="0" t="str">
        <f aca="false">IF(ISBLANK(RawFinancials!Z548),"",RawFinancials!Z548)</f>
        <v>ME</v>
      </c>
      <c r="AA548" s="0" t="n">
        <f aca="false">RawFinancials!AA548</f>
        <v>1</v>
      </c>
      <c r="AB548" s="0" t="n">
        <f aca="false">RawFinancials!AB548</f>
        <v>9425</v>
      </c>
      <c r="AC548" s="0" t="n">
        <f aca="false">RawFinancials!AC548</f>
        <v>0.47578158167466</v>
      </c>
      <c r="AD548" s="0" t="n">
        <f aca="false">IF(L548&gt;0,100*N548/L548,"")</f>
        <v>85.551920515487</v>
      </c>
      <c r="AE548" s="0" t="n">
        <f aca="false">IF(B548&gt;0,100*F548/B548,"")</f>
        <v>11.6398134027545</v>
      </c>
      <c r="AF548" s="0" t="str">
        <f aca="false">RawFinancials!AE548</f>
        <v>原始0：需核实适用/报告口径</v>
      </c>
    </row>
    <row r="549" customFormat="false" ht="15" hidden="false" customHeight="false" outlineLevel="0" collapsed="false">
      <c r="A549" s="0" t="n">
        <f aca="false">IF(ISBLANK(RawFinancials!A549),"",RawFinancials!A549)</f>
        <v>549</v>
      </c>
      <c r="B549" s="0" t="n">
        <f aca="false">IF(ISBLANK(RawFinancials!B549),"",RawFinancials!B549)</f>
        <v>1162261</v>
      </c>
      <c r="C549" s="0" t="n">
        <f aca="false">IF(ISBLANK(RawFinancials!C549),"",RawFinancials!C549)</f>
        <v>17741</v>
      </c>
      <c r="D549" s="0" t="n">
        <f aca="false">IF(ISBLANK(RawFinancials!D549),"",RawFinancials!D549)</f>
        <v>905592</v>
      </c>
      <c r="E549" s="0" t="n">
        <f aca="false">IF(ISBLANK(RawFinancials!E549),"",RawFinancials!E549)</f>
        <v>0.05</v>
      </c>
      <c r="F549" s="0" t="n">
        <f aca="false">IF(ISBLANK(RawFinancials!F549),"",RawFinancials!F549)</f>
        <v>146197</v>
      </c>
      <c r="G549" s="0" t="n">
        <f aca="false">IF(ISBLANK(RawFinancials!G549),"",RawFinancials!G549)</f>
        <v>12.5786720882831</v>
      </c>
      <c r="H549" s="0" t="str">
        <f aca="false">IF(ISBLANK(RawFinancials!H549),"",RawFinancials!H549)</f>
        <v>17741_20240930</v>
      </c>
      <c r="I549" s="0" t="n">
        <f aca="false">IF(ISBLANK(RawFinancials!I549),"",RawFinancials!I549)</f>
        <v>0.944982635715591</v>
      </c>
      <c r="J549" s="0" t="n">
        <f aca="false">IF(ISBLANK(RawFinancials!J549),"",RawFinancials!J549)</f>
        <v>49845</v>
      </c>
      <c r="K549" s="0" t="n">
        <f aca="false">IF(ISBLANK(RawFinancials!K549),"",RawFinancials!K549)</f>
        <v>3969</v>
      </c>
      <c r="L549" s="0" t="n">
        <f aca="false">IF(ISBLANK(RawFinancials!L549),"",RawFinancials!L549)</f>
        <v>984780</v>
      </c>
      <c r="M549" s="0" t="n">
        <f aca="false">IF(ISBLANK(RawFinancials!M549),"",RawFinancials!M549)</f>
        <v>975474</v>
      </c>
      <c r="N549" s="0" t="n">
        <f aca="false">IF(ISBLANK(RawFinancials!N549),"",RawFinancials!N549)</f>
        <v>925810</v>
      </c>
      <c r="O549" s="0" t="n">
        <f aca="false">IF(ISBLANK(RawFinancials!O549),"",RawFinancials!O549)</f>
        <v>2723</v>
      </c>
      <c r="P549" s="0" t="str">
        <f aca="false">IF(ISBLANK(RawFinancials!P549),"",RawFinancials!P549)</f>
        <v>MAINE COMMUNITY BANK</v>
      </c>
      <c r="Q549" s="0" t="n">
        <f aca="false">IF(ISBLANK(RawFinancials!Q549),"",RawFinancials!Q549)</f>
        <v>0.276508458742054</v>
      </c>
      <c r="R549" s="0" t="n">
        <f aca="false">IF(ISBLANK(RawFinancials!R549),"",RawFinancials!R549)</f>
        <v>3.04519795213915</v>
      </c>
      <c r="S549" s="0" t="n">
        <f aca="false">IF(ISBLANK(RawFinancials!S549),"",RawFinancials!S549)</f>
        <v>56</v>
      </c>
      <c r="T549" s="0" t="n">
        <f aca="false">IF(ISBLANK(RawFinancials!T549),"",RawFinancials!T549)</f>
        <v>2027</v>
      </c>
      <c r="U549" s="0" t="n">
        <f aca="false">IF(ISBLANK(RawFinancials!U549),"",RawFinancials!U549)</f>
        <v>0</v>
      </c>
      <c r="V549" s="0" t="n">
        <f aca="false">IF(ISBLANK(RawFinancials!V549),"",RawFinancials!V549)</f>
        <v>0</v>
      </c>
      <c r="W549" s="0" t="n">
        <f aca="false">IF(ISBLANK(RawFinancials!W549),"",RawFinancials!W549)</f>
        <v>20240930</v>
      </c>
      <c r="X549" s="0" t="n">
        <f aca="false">IF(ISBLANK(RawFinancials!X549),"",RawFinancials!X549)</f>
        <v>0.623215257165778</v>
      </c>
      <c r="Y549" s="0" t="n">
        <f aca="false">IF(ISBLANK(RawFinancials!Y549),"",RawFinancials!Y549)</f>
        <v>4.96</v>
      </c>
      <c r="Z549" s="0" t="str">
        <f aca="false">IF(ISBLANK(RawFinancials!Z549),"",RawFinancials!Z549)</f>
        <v>ME</v>
      </c>
      <c r="AA549" s="0" t="n">
        <f aca="false">RawFinancials!AA549</f>
        <v>1</v>
      </c>
      <c r="AB549" s="0" t="n">
        <f aca="false">RawFinancials!AB549</f>
        <v>2723</v>
      </c>
      <c r="AC549" s="0" t="n">
        <f aca="false">RawFinancials!AC549</f>
        <v>0.234284726064111</v>
      </c>
      <c r="AD549" s="0" t="n">
        <f aca="false">IF(L549&gt;0,100*N549/L549,"")</f>
        <v>94.0118605170698</v>
      </c>
      <c r="AE549" s="0" t="n">
        <f aca="false">IF(B549&gt;0,100*F549/B549,"")</f>
        <v>12.5786720882831</v>
      </c>
      <c r="AF549" s="0" t="str">
        <f aca="false">RawFinancials!AE549</f>
        <v>原始0：需核实适用/报告口径</v>
      </c>
    </row>
    <row r="550" customFormat="false" ht="15" hidden="false" customHeight="false" outlineLevel="0" collapsed="false">
      <c r="A550" s="0" t="n">
        <f aca="false">IF(ISBLANK(RawFinancials!A550),"",RawFinancials!A550)</f>
        <v>550</v>
      </c>
      <c r="B550" s="0" t="n">
        <f aca="false">IF(ISBLANK(RawFinancials!B550),"",RawFinancials!B550)</f>
        <v>1427194</v>
      </c>
      <c r="C550" s="0" t="n">
        <f aca="false">IF(ISBLANK(RawFinancials!C550),"",RawFinancials!C550)</f>
        <v>17743</v>
      </c>
      <c r="D550" s="0" t="n">
        <f aca="false">IF(ISBLANK(RawFinancials!D550),"",RawFinancials!D550)</f>
        <v>1006052</v>
      </c>
      <c r="E550" s="0" t="n">
        <f aca="false">IF(ISBLANK(RawFinancials!E550),"",RawFinancials!E550)</f>
        <v>0</v>
      </c>
      <c r="F550" s="0" t="n">
        <f aca="false">IF(ISBLANK(RawFinancials!F550),"",RawFinancials!F550)</f>
        <v>126250</v>
      </c>
      <c r="G550" s="0" t="n">
        <f aca="false">IF(ISBLANK(RawFinancials!G550),"",RawFinancials!G550)</f>
        <v>8.84602934149107</v>
      </c>
      <c r="H550" s="0" t="str">
        <f aca="false">IF(ISBLANK(RawFinancials!H550),"",RawFinancials!H550)</f>
        <v>17743_20240930</v>
      </c>
      <c r="I550" s="0" t="n">
        <f aca="false">IF(ISBLANK(RawFinancials!I550),"",RawFinancials!I550)</f>
        <v>0.419704871404992</v>
      </c>
      <c r="J550" s="0" t="n">
        <f aca="false">IF(ISBLANK(RawFinancials!J550),"",RawFinancials!J550)</f>
        <v>14864</v>
      </c>
      <c r="K550" s="0" t="n">
        <f aca="false">IF(ISBLANK(RawFinancials!K550),"",RawFinancials!K550)</f>
        <v>10164</v>
      </c>
      <c r="L550" s="0" t="n">
        <f aca="false">IF(ISBLANK(RawFinancials!L550),"",RawFinancials!L550)</f>
        <v>1138419</v>
      </c>
      <c r="M550" s="0" t="n">
        <f aca="false">IF(ISBLANK(RawFinancials!M550),"",RawFinancials!M550)</f>
        <v>1133641</v>
      </c>
      <c r="N550" s="0" t="n">
        <f aca="false">IF(ISBLANK(RawFinancials!N550),"",RawFinancials!N550)</f>
        <v>1102493</v>
      </c>
      <c r="O550" s="0" t="n">
        <f aca="false">IF(ISBLANK(RawFinancials!O550),"",RawFinancials!O550)</f>
        <v>1621</v>
      </c>
      <c r="P550" s="0" t="str">
        <f aca="false">IF(ISBLANK(RawFinancials!P550),"",RawFinancials!P550)</f>
        <v>SACO &amp; BIDDEFORD SAVINGS INSTITUTION</v>
      </c>
      <c r="Q550" s="0" t="n">
        <f aca="false">IF(ISBLANK(RawFinancials!Q550),"",RawFinancials!Q550)</f>
        <v>0.142390455535264</v>
      </c>
      <c r="R550" s="0" t="n">
        <f aca="false">IF(ISBLANK(RawFinancials!R550),"",RawFinancials!R550)</f>
        <v>1.89647843215573</v>
      </c>
      <c r="S550" s="0" t="n">
        <f aca="false">IF(ISBLANK(RawFinancials!S550),"",RawFinancials!S550)</f>
        <v>-25</v>
      </c>
      <c r="T550" s="0" t="n">
        <f aca="false">IF(ISBLANK(RawFinancials!T550),"",RawFinancials!T550)</f>
        <v>779</v>
      </c>
      <c r="U550" s="0" t="n">
        <f aca="false">IF(ISBLANK(RawFinancials!U550),"",RawFinancials!U550)</f>
        <v>0</v>
      </c>
      <c r="V550" s="0" t="n">
        <f aca="false">IF(ISBLANK(RawFinancials!V550),"",RawFinancials!V550)</f>
        <v>0</v>
      </c>
      <c r="W550" s="0" t="n">
        <f aca="false">IF(ISBLANK(RawFinancials!W550),"",RawFinancials!W550)</f>
        <v>20240930</v>
      </c>
      <c r="X550" s="0" t="n">
        <f aca="false">IF(ISBLANK(RawFinancials!X550),"",RawFinancials!X550)</f>
        <v>0.0586009796050292</v>
      </c>
      <c r="Y550" s="0" t="n">
        <f aca="false">IF(ISBLANK(RawFinancials!Y550),"",RawFinancials!Y550)</f>
        <v>0.67</v>
      </c>
      <c r="Z550" s="0" t="str">
        <f aca="false">IF(ISBLANK(RawFinancials!Z550),"",RawFinancials!Z550)</f>
        <v>ME</v>
      </c>
      <c r="AA550" s="0" t="n">
        <f aca="false">RawFinancials!AA550</f>
        <v>1</v>
      </c>
      <c r="AB550" s="0" t="n">
        <f aca="false">RawFinancials!AB550</f>
        <v>1621</v>
      </c>
      <c r="AC550" s="0" t="n">
        <f aca="false">RawFinancials!AC550</f>
        <v>0.113579513366788</v>
      </c>
      <c r="AD550" s="0" t="n">
        <f aca="false">IF(L550&gt;0,100*N550/L550,"")</f>
        <v>96.8442199225417</v>
      </c>
      <c r="AE550" s="0" t="n">
        <f aca="false">IF(B550&gt;0,100*F550/B550,"")</f>
        <v>8.84602934149107</v>
      </c>
      <c r="AF550" s="0" t="str">
        <f aca="false">RawFinancials!AE550</f>
        <v>原始0：需核实适用/报告口径</v>
      </c>
    </row>
    <row r="551" customFormat="false" ht="15" hidden="false" customHeight="false" outlineLevel="0" collapsed="false">
      <c r="A551" s="0" t="n">
        <f aca="false">IF(ISBLANK(RawFinancials!A551),"",RawFinancials!A551)</f>
        <v>551</v>
      </c>
      <c r="B551" s="0" t="n">
        <f aca="false">IF(ISBLANK(RawFinancials!B551),"",RawFinancials!B551)</f>
        <v>1623796</v>
      </c>
      <c r="C551" s="0" t="n">
        <f aca="false">IF(ISBLANK(RawFinancials!C551),"",RawFinancials!C551)</f>
        <v>17748</v>
      </c>
      <c r="D551" s="0" t="n">
        <f aca="false">IF(ISBLANK(RawFinancials!D551),"",RawFinancials!D551)</f>
        <v>1375485</v>
      </c>
      <c r="E551" s="0" t="n">
        <f aca="false">IF(ISBLANK(RawFinancials!E551),"",RawFinancials!E551)</f>
        <v>-0.1</v>
      </c>
      <c r="F551" s="0" t="n">
        <f aca="false">IF(ISBLANK(RawFinancials!F551),"",RawFinancials!F551)</f>
        <v>122957</v>
      </c>
      <c r="G551" s="0" t="n">
        <f aca="false">IF(ISBLANK(RawFinancials!G551),"",RawFinancials!G551)</f>
        <v>7.57219502942488</v>
      </c>
      <c r="H551" s="0" t="str">
        <f aca="false">IF(ISBLANK(RawFinancials!H551),"",RawFinancials!H551)</f>
        <v>17748_20240930</v>
      </c>
      <c r="I551" s="0" t="n">
        <f aca="false">IF(ISBLANK(RawFinancials!I551),"",RawFinancials!I551)</f>
        <v>0.709247032697206</v>
      </c>
      <c r="J551" s="0" t="n">
        <f aca="false">IF(ISBLANK(RawFinancials!J551),"",RawFinancials!J551)</f>
        <v>156031</v>
      </c>
      <c r="K551" s="0" t="n">
        <f aca="false">IF(ISBLANK(RawFinancials!K551),"",RawFinancials!K551)</f>
        <v>3252</v>
      </c>
      <c r="L551" s="0" t="n">
        <f aca="false">IF(ISBLANK(RawFinancials!L551),"",RawFinancials!L551)</f>
        <v>1252737</v>
      </c>
      <c r="M551" s="0" t="n">
        <f aca="false">IF(ISBLANK(RawFinancials!M551),"",RawFinancials!M551)</f>
        <v>1243852</v>
      </c>
      <c r="N551" s="0" t="n">
        <f aca="false">IF(ISBLANK(RawFinancials!N551),"",RawFinancials!N551)</f>
        <v>1057786</v>
      </c>
      <c r="O551" s="0" t="n">
        <f aca="false">IF(ISBLANK(RawFinancials!O551),"",RawFinancials!O551)</f>
        <v>5501</v>
      </c>
      <c r="P551" s="0" t="str">
        <f aca="false">IF(ISBLANK(RawFinancials!P551),"",RawFinancials!P551)</f>
        <v>GORHAM SAVINGS BANK</v>
      </c>
      <c r="Q551" s="0" t="n">
        <f aca="false">IF(ISBLANK(RawFinancials!Q551),"",RawFinancials!Q551)</f>
        <v>0.439118506119002</v>
      </c>
      <c r="R551" s="0" t="n">
        <f aca="false">IF(ISBLANK(RawFinancials!R551),"",RawFinancials!R551)</f>
        <v>2.49460134726616</v>
      </c>
      <c r="S551" s="0" t="n">
        <f aca="false">IF(ISBLANK(RawFinancials!S551),"",RawFinancials!S551)</f>
        <v>-239</v>
      </c>
      <c r="T551" s="0" t="n">
        <f aca="false">IF(ISBLANK(RawFinancials!T551),"",RawFinancials!T551)</f>
        <v>1443</v>
      </c>
      <c r="U551" s="0" t="n">
        <f aca="false">IF(ISBLANK(RawFinancials!U551),"",RawFinancials!U551)</f>
        <v>0</v>
      </c>
      <c r="V551" s="0" t="n">
        <f aca="false">IF(ISBLANK(RawFinancials!V551),"",RawFinancials!V551)</f>
        <v>0</v>
      </c>
      <c r="W551" s="0" t="n">
        <f aca="false">IF(ISBLANK(RawFinancials!W551),"",RawFinancials!W551)</f>
        <v>20240930</v>
      </c>
      <c r="X551" s="0" t="n">
        <f aca="false">IF(ISBLANK(RawFinancials!X551),"",RawFinancials!X551)</f>
        <v>0.356747638834355</v>
      </c>
      <c r="Y551" s="0" t="n">
        <f aca="false">IF(ISBLANK(RawFinancials!Y551),"",RawFinancials!Y551)</f>
        <v>5.08</v>
      </c>
      <c r="Z551" s="0" t="str">
        <f aca="false">IF(ISBLANK(RawFinancials!Z551),"",RawFinancials!Z551)</f>
        <v>ME</v>
      </c>
      <c r="AA551" s="0" t="n">
        <f aca="false">RawFinancials!AA551</f>
        <v>1</v>
      </c>
      <c r="AB551" s="0" t="n">
        <f aca="false">RawFinancials!AB551</f>
        <v>5501</v>
      </c>
      <c r="AC551" s="0" t="n">
        <f aca="false">RawFinancials!AC551</f>
        <v>0.338774082458634</v>
      </c>
      <c r="AD551" s="0" t="n">
        <f aca="false">IF(L551&gt;0,100*N551/L551,"")</f>
        <v>84.4379945670959</v>
      </c>
      <c r="AE551" s="0" t="n">
        <f aca="false">IF(B551&gt;0,100*F551/B551,"")</f>
        <v>7.57219502942488</v>
      </c>
      <c r="AF551" s="0" t="str">
        <f aca="false">RawFinancials!AE551</f>
        <v>原始0：需核实适用/报告口径</v>
      </c>
    </row>
    <row r="552" customFormat="false" ht="15" hidden="false" customHeight="false" outlineLevel="0" collapsed="false">
      <c r="A552" s="0" t="n">
        <f aca="false">IF(ISBLANK(RawFinancials!A552),"",RawFinancials!A552)</f>
        <v>552</v>
      </c>
      <c r="B552" s="0" t="n">
        <f aca="false">IF(ISBLANK(RawFinancials!B552),"",RawFinancials!B552)</f>
        <v>1372601</v>
      </c>
      <c r="C552" s="0" t="n">
        <f aca="false">IF(ISBLANK(RawFinancials!C552),"",RawFinancials!C552)</f>
        <v>17749</v>
      </c>
      <c r="D552" s="0" t="n">
        <f aca="false">IF(ISBLANK(RawFinancials!D552),"",RawFinancials!D552)</f>
        <v>1059435</v>
      </c>
      <c r="E552" s="0" t="n">
        <f aca="false">IF(ISBLANK(RawFinancials!E552),"",RawFinancials!E552)</f>
        <v>0.07</v>
      </c>
      <c r="F552" s="0" t="n">
        <f aca="false">IF(ISBLANK(RawFinancials!F552),"",RawFinancials!F552)</f>
        <v>190135</v>
      </c>
      <c r="G552" s="0" t="n">
        <f aca="false">IF(ISBLANK(RawFinancials!G552),"",RawFinancials!G552)</f>
        <v>13.8521682557422</v>
      </c>
      <c r="H552" s="0" t="str">
        <f aca="false">IF(ISBLANK(RawFinancials!H552),"",RawFinancials!H552)</f>
        <v>17749_20240930</v>
      </c>
      <c r="I552" s="0" t="n">
        <f aca="false">IF(ISBLANK(RawFinancials!I552),"",RawFinancials!I552)</f>
        <v>1.42870371272894</v>
      </c>
      <c r="J552" s="0" t="n">
        <f aca="false">IF(ISBLANK(RawFinancials!J552),"",RawFinancials!J552)</f>
        <v>48457</v>
      </c>
      <c r="K552" s="0" t="n">
        <f aca="false">IF(ISBLANK(RawFinancials!K552),"",RawFinancials!K552)</f>
        <v>12482</v>
      </c>
      <c r="L552" s="0" t="n">
        <f aca="false">IF(ISBLANK(RawFinancials!L552),"",RawFinancials!L552)</f>
        <v>820744</v>
      </c>
      <c r="M552" s="0" t="n">
        <f aca="false">IF(ISBLANK(RawFinancials!M552),"",RawFinancials!M552)</f>
        <v>809018</v>
      </c>
      <c r="N552" s="0" t="n">
        <f aca="false">IF(ISBLANK(RawFinancials!N552),"",RawFinancials!N552)</f>
        <v>748076</v>
      </c>
      <c r="O552" s="0" t="n">
        <f aca="false">IF(ISBLANK(RawFinancials!O552),"",RawFinancials!O552)</f>
        <v>617</v>
      </c>
      <c r="P552" s="0" t="str">
        <f aca="false">IF(ISBLANK(RawFinancials!P552),"",RawFinancials!P552)</f>
        <v>BATH SAVINGS INSTITUTION</v>
      </c>
      <c r="Q552" s="0" t="n">
        <f aca="false">IF(ISBLANK(RawFinancials!Q552),"",RawFinancials!Q552)</f>
        <v>0.0756630569337089</v>
      </c>
      <c r="R552" s="0" t="n">
        <f aca="false">IF(ISBLANK(RawFinancials!R552),"",RawFinancials!R552)</f>
        <v>2.48516533343538</v>
      </c>
      <c r="S552" s="0" t="n">
        <f aca="false">IF(ISBLANK(RawFinancials!S552),"",RawFinancials!S552)</f>
        <v>6</v>
      </c>
      <c r="T552" s="0" t="n">
        <f aca="false">IF(ISBLANK(RawFinancials!T552),"",RawFinancials!T552)</f>
        <v>1026</v>
      </c>
      <c r="U552" s="0" t="n">
        <f aca="false">IF(ISBLANK(RawFinancials!U552),"",RawFinancials!U552)</f>
        <v>4</v>
      </c>
      <c r="V552" s="0" t="n">
        <f aca="false">IF(ISBLANK(RawFinancials!V552),"",RawFinancials!V552)</f>
        <v>0</v>
      </c>
      <c r="W552" s="0" t="n">
        <f aca="false">IF(ISBLANK(RawFinancials!W552),"",RawFinancials!W552)</f>
        <v>20240930</v>
      </c>
      <c r="X552" s="0" t="n">
        <f aca="false">IF(ISBLANK(RawFinancials!X552),"",RawFinancials!X552)</f>
        <v>1.09049365962965</v>
      </c>
      <c r="Y552" s="0" t="n">
        <f aca="false">IF(ISBLANK(RawFinancials!Y552),"",RawFinancials!Y552)</f>
        <v>8.37</v>
      </c>
      <c r="Z552" s="0" t="str">
        <f aca="false">IF(ISBLANK(RawFinancials!Z552),"",RawFinancials!Z552)</f>
        <v>ME</v>
      </c>
      <c r="AA552" s="0" t="n">
        <f aca="false">RawFinancials!AA552</f>
        <v>1</v>
      </c>
      <c r="AB552" s="0" t="n">
        <f aca="false">RawFinancials!AB552</f>
        <v>621</v>
      </c>
      <c r="AC552" s="0" t="n">
        <f aca="false">RawFinancials!AC552</f>
        <v>0.04524257231344</v>
      </c>
      <c r="AD552" s="0" t="n">
        <f aca="false">IF(L552&gt;0,100*N552/L552,"")</f>
        <v>91.1460820913708</v>
      </c>
      <c r="AE552" s="0" t="n">
        <f aca="false">IF(B552&gt;0,100*F552/B552,"")</f>
        <v>13.8521682557422</v>
      </c>
      <c r="AF552" s="0" t="str">
        <f aca="false">RawFinancials!AE552</f>
        <v>原始0：需核实适用/报告口径</v>
      </c>
    </row>
    <row r="553" customFormat="false" ht="15" hidden="false" customHeight="false" outlineLevel="0" collapsed="false">
      <c r="A553" s="0" t="n">
        <f aca="false">IF(ISBLANK(RawFinancials!A553),"",RawFinancials!A553)</f>
        <v>553</v>
      </c>
      <c r="B553" s="0" t="n">
        <f aca="false">IF(ISBLANK(RawFinancials!B553),"",RawFinancials!B553)</f>
        <v>1665363</v>
      </c>
      <c r="C553" s="0" t="n">
        <f aca="false">IF(ISBLANK(RawFinancials!C553),"",RawFinancials!C553)</f>
        <v>17751</v>
      </c>
      <c r="D553" s="0" t="n">
        <f aca="false">IF(ISBLANK(RawFinancials!D553),"",RawFinancials!D553)</f>
        <v>1312346</v>
      </c>
      <c r="E553" s="0" t="n">
        <f aca="false">IF(ISBLANK(RawFinancials!E553),"",RawFinancials!E553)</f>
        <v>0.04</v>
      </c>
      <c r="F553" s="0" t="n">
        <f aca="false">IF(ISBLANK(RawFinancials!F553),"",RawFinancials!F553)</f>
        <v>146041</v>
      </c>
      <c r="G553" s="0" t="n">
        <f aca="false">IF(ISBLANK(RawFinancials!G553),"",RawFinancials!G553)</f>
        <v>8.76931936160465</v>
      </c>
      <c r="H553" s="0" t="str">
        <f aca="false">IF(ISBLANK(RawFinancials!H553),"",RawFinancials!H553)</f>
        <v>17751_20240930</v>
      </c>
      <c r="I553" s="0" t="n">
        <f aca="false">IF(ISBLANK(RawFinancials!I553),"",RawFinancials!I553)</f>
        <v>0.904466664869343</v>
      </c>
      <c r="J553" s="0" t="n">
        <f aca="false">IF(ISBLANK(RawFinancials!J553),"",RawFinancials!J553)</f>
        <v>136330</v>
      </c>
      <c r="K553" s="0" t="n">
        <f aca="false">IF(ISBLANK(RawFinancials!K553),"",RawFinancials!K553)</f>
        <v>2825</v>
      </c>
      <c r="L553" s="0" t="n">
        <f aca="false">IF(ISBLANK(RawFinancials!L553),"",RawFinancials!L553)</f>
        <v>1372411</v>
      </c>
      <c r="M553" s="0" t="n">
        <f aca="false">IF(ISBLANK(RawFinancials!M553),"",RawFinancials!M553)</f>
        <v>1359998</v>
      </c>
      <c r="N553" s="0" t="n">
        <f aca="false">IF(ISBLANK(RawFinancials!N553),"",RawFinancials!N553)</f>
        <v>1170198</v>
      </c>
      <c r="O553" s="0" t="n">
        <f aca="false">IF(ISBLANK(RawFinancials!O553),"",RawFinancials!O553)</f>
        <v>5637</v>
      </c>
      <c r="P553" s="0" t="str">
        <f aca="false">IF(ISBLANK(RawFinancials!P553),"",RawFinancials!P553)</f>
        <v>ANDROSCOGGIN SAVINGS BANK</v>
      </c>
      <c r="Q553" s="0" t="n">
        <f aca="false">IF(ISBLANK(RawFinancials!Q553),"",RawFinancials!Q553)</f>
        <v>0.410737016826592</v>
      </c>
      <c r="R553" s="0" t="n">
        <f aca="false">IF(ISBLANK(RawFinancials!R553),"",RawFinancials!R553)</f>
        <v>2.66147221338077</v>
      </c>
      <c r="S553" s="0" t="n">
        <f aca="false">IF(ISBLANK(RawFinancials!S553),"",RawFinancials!S553)</f>
        <v>-41</v>
      </c>
      <c r="T553" s="0" t="n">
        <f aca="false">IF(ISBLANK(RawFinancials!T553),"",RawFinancials!T553)</f>
        <v>2877</v>
      </c>
      <c r="U553" s="0" t="n">
        <f aca="false">IF(ISBLANK(RawFinancials!U553),"",RawFinancials!U553)</f>
        <v>0</v>
      </c>
      <c r="V553" s="0" t="n">
        <f aca="false">IF(ISBLANK(RawFinancials!V553),"",RawFinancials!V553)</f>
        <v>12.6616730688762</v>
      </c>
      <c r="W553" s="0" t="n">
        <f aca="false">IF(ISBLANK(RawFinancials!W553),"",RawFinancials!W553)</f>
        <v>20240930</v>
      </c>
      <c r="X553" s="0" t="n">
        <f aca="false">IF(ISBLANK(RawFinancials!X553),"",RawFinancials!X553)</f>
        <v>0.432944118659756</v>
      </c>
      <c r="Y553" s="0" t="n">
        <f aca="false">IF(ISBLANK(RawFinancials!Y553),"",RawFinancials!Y553)</f>
        <v>5.01</v>
      </c>
      <c r="Z553" s="0" t="str">
        <f aca="false">IF(ISBLANK(RawFinancials!Z553),"",RawFinancials!Z553)</f>
        <v>ME</v>
      </c>
      <c r="AA553" s="0" t="n">
        <f aca="false">RawFinancials!AA553</f>
        <v>1</v>
      </c>
      <c r="AB553" s="0" t="n">
        <f aca="false">RawFinancials!AB553</f>
        <v>5637</v>
      </c>
      <c r="AC553" s="0" t="n">
        <f aca="false">RawFinancials!AC553</f>
        <v>0.338484762781448</v>
      </c>
      <c r="AD553" s="0" t="n">
        <f aca="false">IF(L553&gt;0,100*N553/L553,"")</f>
        <v>85.2658569481008</v>
      </c>
      <c r="AE553" s="0" t="n">
        <f aca="false">IF(B553&gt;0,100*F553/B553,"")</f>
        <v>8.76931936160465</v>
      </c>
      <c r="AF553" s="0" t="str">
        <f aca="false">RawFinancials!AE553</f>
        <v/>
      </c>
    </row>
    <row r="554" customFormat="false" ht="15" hidden="false" customHeight="false" outlineLevel="0" collapsed="false">
      <c r="A554" s="0" t="n">
        <f aca="false">IF(ISBLANK(RawFinancials!A554),"",RawFinancials!A554)</f>
        <v>554</v>
      </c>
      <c r="B554" s="0" t="n">
        <f aca="false">IF(ISBLANK(RawFinancials!B554),"",RawFinancials!B554)</f>
        <v>1743721</v>
      </c>
      <c r="C554" s="0" t="n">
        <f aca="false">IF(ISBLANK(RawFinancials!C554),"",RawFinancials!C554)</f>
        <v>17897</v>
      </c>
      <c r="D554" s="0" t="n">
        <f aca="false">IF(ISBLANK(RawFinancials!D554),"",RawFinancials!D554)</f>
        <v>1323557</v>
      </c>
      <c r="E554" s="0" t="n">
        <f aca="false">IF(ISBLANK(RawFinancials!E554),"",RawFinancials!E554)</f>
        <v>-0.01</v>
      </c>
      <c r="F554" s="0" t="n">
        <f aca="false">IF(ISBLANK(RawFinancials!F554),"",RawFinancials!F554)</f>
        <v>219695</v>
      </c>
      <c r="G554" s="0" t="n">
        <f aca="false">IF(ISBLANK(RawFinancials!G554),"",RawFinancials!G554)</f>
        <v>12.599205950952</v>
      </c>
      <c r="H554" s="0" t="str">
        <f aca="false">IF(ISBLANK(RawFinancials!H554),"",RawFinancials!H554)</f>
        <v>17897_20240930</v>
      </c>
      <c r="I554" s="0" t="n">
        <f aca="false">IF(ISBLANK(RawFinancials!I554),"",RawFinancials!I554)</f>
        <v>0.608336306544413</v>
      </c>
      <c r="J554" s="0" t="n">
        <f aca="false">IF(ISBLANK(RawFinancials!J554),"",RawFinancials!J554)</f>
        <v>72858</v>
      </c>
      <c r="K554" s="0" t="n">
        <f aca="false">IF(ISBLANK(RawFinancials!K554),"",RawFinancials!K554)</f>
        <v>3119</v>
      </c>
      <c r="L554" s="0" t="n">
        <f aca="false">IF(ISBLANK(RawFinancials!L554),"",RawFinancials!L554)</f>
        <v>1443445</v>
      </c>
      <c r="M554" s="0" t="n">
        <f aca="false">IF(ISBLANK(RawFinancials!M554),"",RawFinancials!M554)</f>
        <v>1434664</v>
      </c>
      <c r="N554" s="0" t="n">
        <f aca="false">IF(ISBLANK(RawFinancials!N554),"",RawFinancials!N554)</f>
        <v>1355336</v>
      </c>
      <c r="O554" s="0" t="n">
        <f aca="false">IF(ISBLANK(RawFinancials!O554),"",RawFinancials!O554)</f>
        <v>4826</v>
      </c>
      <c r="P554" s="0" t="str">
        <f aca="false">IF(ISBLANK(RawFinancials!P554),"",RawFinancials!P554)</f>
        <v>KENNEBEC SAVINGS BANK</v>
      </c>
      <c r="Q554" s="0" t="n">
        <f aca="false">IF(ISBLANK(RawFinancials!Q554),"",RawFinancials!Q554)</f>
        <v>0.33433902919751</v>
      </c>
      <c r="R554" s="0" t="n">
        <f aca="false">IF(ISBLANK(RawFinancials!R554),"",RawFinancials!R554)</f>
        <v>2.3623944322489</v>
      </c>
      <c r="S554" s="0" t="n">
        <f aca="false">IF(ISBLANK(RawFinancials!S554),"",RawFinancials!S554)</f>
        <v>-47</v>
      </c>
      <c r="T554" s="0" t="n">
        <f aca="false">IF(ISBLANK(RawFinancials!T554),"",RawFinancials!T554)</f>
        <v>1719</v>
      </c>
      <c r="U554" s="0" t="n">
        <f aca="false">IF(ISBLANK(RawFinancials!U554),"",RawFinancials!U554)</f>
        <v>0</v>
      </c>
      <c r="V554" s="0" t="n">
        <f aca="false">IF(ISBLANK(RawFinancials!V554),"",RawFinancials!V554)</f>
        <v>18.0101447735768</v>
      </c>
      <c r="W554" s="0" t="n">
        <f aca="false">IF(ISBLANK(RawFinancials!W554),"",RawFinancials!W554)</f>
        <v>20240930</v>
      </c>
      <c r="X554" s="0" t="n">
        <f aca="false">IF(ISBLANK(RawFinancials!X554),"",RawFinancials!X554)</f>
        <v>0.828207779242847</v>
      </c>
      <c r="Y554" s="0" t="n">
        <f aca="false">IF(ISBLANK(RawFinancials!Y554),"",RawFinancials!Y554)</f>
        <v>6.72</v>
      </c>
      <c r="Z554" s="0" t="str">
        <f aca="false">IF(ISBLANK(RawFinancials!Z554),"",RawFinancials!Z554)</f>
        <v>ME</v>
      </c>
      <c r="AA554" s="0" t="n">
        <f aca="false">RawFinancials!AA554</f>
        <v>1</v>
      </c>
      <c r="AB554" s="0" t="n">
        <f aca="false">RawFinancials!AB554</f>
        <v>4826</v>
      </c>
      <c r="AC554" s="0" t="n">
        <f aca="false">RawFinancials!AC554</f>
        <v>0.276764459451942</v>
      </c>
      <c r="AD554" s="0" t="n">
        <f aca="false">IF(L554&gt;0,100*N554/L554,"")</f>
        <v>93.895922601831</v>
      </c>
      <c r="AE554" s="0" t="n">
        <f aca="false">IF(B554&gt;0,100*F554/B554,"")</f>
        <v>12.599205950952</v>
      </c>
      <c r="AF554" s="0" t="str">
        <f aca="false">RawFinancials!AE554</f>
        <v/>
      </c>
    </row>
    <row r="555" customFormat="false" ht="15" hidden="false" customHeight="false" outlineLevel="0" collapsed="false">
      <c r="A555" s="0" t="n">
        <f aca="false">IF(ISBLANK(RawFinancials!A555),"",RawFinancials!A555)</f>
        <v>555</v>
      </c>
      <c r="B555" s="0" t="n">
        <f aca="false">IF(ISBLANK(RawFinancials!B555),"",RawFinancials!B555)</f>
        <v>819978</v>
      </c>
      <c r="C555" s="0" t="n">
        <f aca="false">IF(ISBLANK(RawFinancials!C555),"",RawFinancials!C555)</f>
        <v>17951</v>
      </c>
      <c r="D555" s="0" t="n">
        <f aca="false">IF(ISBLANK(RawFinancials!D555),"",RawFinancials!D555)</f>
        <v>688357</v>
      </c>
      <c r="E555" s="0" t="n">
        <f aca="false">IF(ISBLANK(RawFinancials!E555),"",RawFinancials!E555)</f>
        <v>0.01</v>
      </c>
      <c r="F555" s="0" t="n">
        <f aca="false">IF(ISBLANK(RawFinancials!F555),"",RawFinancials!F555)</f>
        <v>67870</v>
      </c>
      <c r="G555" s="0" t="n">
        <f aca="false">IF(ISBLANK(RawFinancials!G555),"",RawFinancials!G555)</f>
        <v>8.27705133552364</v>
      </c>
      <c r="H555" s="0" t="str">
        <f aca="false">IF(ISBLANK(RawFinancials!H555),"",RawFinancials!H555)</f>
        <v>17951_20240930</v>
      </c>
      <c r="I555" s="0" t="n">
        <f aca="false">IF(ISBLANK(RawFinancials!I555),"",RawFinancials!I555)</f>
        <v>0.849789886200166</v>
      </c>
      <c r="J555" s="0" t="n">
        <f aca="false">IF(ISBLANK(RawFinancials!J555),"",RawFinancials!J555)</f>
        <v>30902</v>
      </c>
      <c r="K555" s="0" t="n">
        <f aca="false">IF(ISBLANK(RawFinancials!K555),"",RawFinancials!K555)</f>
        <v>1766</v>
      </c>
      <c r="L555" s="0" t="n">
        <f aca="false">IF(ISBLANK(RawFinancials!L555),"",RawFinancials!L555)</f>
        <v>599913</v>
      </c>
      <c r="M555" s="0" t="n">
        <f aca="false">IF(ISBLANK(RawFinancials!M555),"",RawFinancials!M555)</f>
        <v>594815</v>
      </c>
      <c r="N555" s="0" t="n">
        <f aca="false">IF(ISBLANK(RawFinancials!N555),"",RawFinancials!N555)</f>
        <v>550875</v>
      </c>
      <c r="O555" s="0" t="n">
        <f aca="false">IF(ISBLANK(RawFinancials!O555),"",RawFinancials!O555)</f>
        <v>61</v>
      </c>
      <c r="P555" s="0" t="str">
        <f aca="false">IF(ISBLANK(RawFinancials!P555),"",RawFinancials!P555)</f>
        <v>FRANKLIN SAVINGS BANK</v>
      </c>
      <c r="Q555" s="0" t="n">
        <f aca="false">IF(ISBLANK(RawFinancials!Q555),"",RawFinancials!Q555)</f>
        <v>0.0101681410471184</v>
      </c>
      <c r="R555" s="0" t="n">
        <f aca="false">IF(ISBLANK(RawFinancials!R555),"",RawFinancials!R555)</f>
        <v>2.48058120647071</v>
      </c>
      <c r="S555" s="0" t="n">
        <f aca="false">IF(ISBLANK(RawFinancials!S555),"",RawFinancials!S555)</f>
        <v>-141</v>
      </c>
      <c r="T555" s="0" t="n">
        <f aca="false">IF(ISBLANK(RawFinancials!T555),"",RawFinancials!T555)</f>
        <v>540</v>
      </c>
      <c r="U555" s="0" t="n">
        <f aca="false">IF(ISBLANK(RawFinancials!U555),"",RawFinancials!U555)</f>
        <v>0</v>
      </c>
      <c r="V555" s="0" t="n">
        <f aca="false">IF(ISBLANK(RawFinancials!V555),"",RawFinancials!V555)</f>
        <v>14.5460942258817</v>
      </c>
      <c r="W555" s="0" t="n">
        <f aca="false">IF(ISBLANK(RawFinancials!W555),"",RawFinancials!W555)</f>
        <v>20240930</v>
      </c>
      <c r="X555" s="0" t="n">
        <f aca="false">IF(ISBLANK(RawFinancials!X555),"",RawFinancials!X555)</f>
        <v>0.511043995809567</v>
      </c>
      <c r="Y555" s="0" t="n">
        <f aca="false">IF(ISBLANK(RawFinancials!Y555),"",RawFinancials!Y555)</f>
        <v>6.44</v>
      </c>
      <c r="Z555" s="0" t="str">
        <f aca="false">IF(ISBLANK(RawFinancials!Z555),"",RawFinancials!Z555)</f>
        <v>NH</v>
      </c>
      <c r="AA555" s="0" t="n">
        <f aca="false">RawFinancials!AA555</f>
        <v>1</v>
      </c>
      <c r="AB555" s="0" t="n">
        <f aca="false">RawFinancials!AB555</f>
        <v>61</v>
      </c>
      <c r="AC555" s="0" t="n">
        <f aca="false">RawFinancials!AC555</f>
        <v>0.00743922397917993</v>
      </c>
      <c r="AD555" s="0" t="n">
        <f aca="false">IF(L555&gt;0,100*N555/L555,"")</f>
        <v>91.8258147431378</v>
      </c>
      <c r="AE555" s="0" t="n">
        <f aca="false">IF(B555&gt;0,100*F555/B555,"")</f>
        <v>8.27705133552364</v>
      </c>
      <c r="AF555" s="0" t="str">
        <f aca="false">RawFinancials!AE555</f>
        <v/>
      </c>
    </row>
    <row r="556" customFormat="false" ht="15" hidden="false" customHeight="false" outlineLevel="0" collapsed="false">
      <c r="A556" s="0" t="n">
        <f aca="false">IF(ISBLANK(RawFinancials!A556),"",RawFinancials!A556)</f>
        <v>556</v>
      </c>
      <c r="B556" s="0" t="n">
        <f aca="false">IF(ISBLANK(RawFinancials!B556),"",RawFinancials!B556)</f>
        <v>1380640</v>
      </c>
      <c r="C556" s="0" t="n">
        <f aca="false">IF(ISBLANK(RawFinancials!C556),"",RawFinancials!C556)</f>
        <v>17960</v>
      </c>
      <c r="D556" s="0" t="n">
        <f aca="false">IF(ISBLANK(RawFinancials!D556),"",RawFinancials!D556)</f>
        <v>1050589</v>
      </c>
      <c r="E556" s="0" t="n">
        <f aca="false">IF(ISBLANK(RawFinancials!E556),"",RawFinancials!E556)</f>
        <v>0.32</v>
      </c>
      <c r="F556" s="0" t="n">
        <f aca="false">IF(ISBLANK(RawFinancials!F556),"",RawFinancials!F556)</f>
        <v>117711</v>
      </c>
      <c r="G556" s="0" t="n">
        <f aca="false">IF(ISBLANK(RawFinancials!G556),"",RawFinancials!G556)</f>
        <v>8.52582860122842</v>
      </c>
      <c r="H556" s="0" t="str">
        <f aca="false">IF(ISBLANK(RawFinancials!H556),"",RawFinancials!H556)</f>
        <v>17960_20240930</v>
      </c>
      <c r="I556" s="0" t="n">
        <f aca="false">IF(ISBLANK(RawFinancials!I556),"",RawFinancials!I556)</f>
        <v>1.01304715678853</v>
      </c>
      <c r="J556" s="0" t="n">
        <f aca="false">IF(ISBLANK(RawFinancials!J556),"",RawFinancials!J556)</f>
        <v>105315</v>
      </c>
      <c r="K556" s="0" t="n">
        <f aca="false">IF(ISBLANK(RawFinancials!K556),"",RawFinancials!K556)</f>
        <v>230816</v>
      </c>
      <c r="L556" s="0" t="n">
        <f aca="false">IF(ISBLANK(RawFinancials!L556),"",RawFinancials!L556)</f>
        <v>1167764</v>
      </c>
      <c r="M556" s="0" t="n">
        <f aca="false">IF(ISBLANK(RawFinancials!M556),"",RawFinancials!M556)</f>
        <v>1155934</v>
      </c>
      <c r="N556" s="0" t="n">
        <f aca="false">IF(ISBLANK(RawFinancials!N556),"",RawFinancials!N556)</f>
        <v>827763</v>
      </c>
      <c r="O556" s="0" t="n">
        <f aca="false">IF(ISBLANK(RawFinancials!O556),"",RawFinancials!O556)</f>
        <v>6798</v>
      </c>
      <c r="P556" s="0" t="str">
        <f aca="false">IF(ISBLANK(RawFinancials!P556),"",RawFinancials!P556)</f>
        <v>MERRIMACK COUNTY SAVINGS BANK</v>
      </c>
      <c r="Q556" s="0" t="n">
        <f aca="false">IF(ISBLANK(RawFinancials!Q556),"",RawFinancials!Q556)</f>
        <v>0.585906056360703</v>
      </c>
      <c r="R556" s="0" t="n">
        <f aca="false">IF(ISBLANK(RawFinancials!R556),"",RawFinancials!R556)</f>
        <v>2.71332263065168</v>
      </c>
      <c r="S556" s="0" t="n">
        <f aca="false">IF(ISBLANK(RawFinancials!S556),"",RawFinancials!S556)</f>
        <v>2883</v>
      </c>
      <c r="T556" s="0" t="n">
        <f aca="false">IF(ISBLANK(RawFinancials!T556),"",RawFinancials!T556)</f>
        <v>5539</v>
      </c>
      <c r="U556" s="0" t="n">
        <f aca="false">IF(ISBLANK(RawFinancials!U556),"",RawFinancials!U556)</f>
        <v>44</v>
      </c>
      <c r="V556" s="0" t="n">
        <f aca="false">IF(ISBLANK(RawFinancials!V556),"",RawFinancials!V556)</f>
        <v>13.4452092505768</v>
      </c>
      <c r="W556" s="0" t="n">
        <f aca="false">IF(ISBLANK(RawFinancials!W556),"",RawFinancials!W556)</f>
        <v>20240930</v>
      </c>
      <c r="X556" s="0" t="n">
        <f aca="false">IF(ISBLANK(RawFinancials!X556),"",RawFinancials!X556)</f>
        <v>0.211894845039827</v>
      </c>
      <c r="Y556" s="0" t="n">
        <f aca="false">IF(ISBLANK(RawFinancials!Y556),"",RawFinancials!Y556)</f>
        <v>2.53</v>
      </c>
      <c r="Z556" s="0" t="str">
        <f aca="false">IF(ISBLANK(RawFinancials!Z556),"",RawFinancials!Z556)</f>
        <v>NH</v>
      </c>
      <c r="AA556" s="0" t="n">
        <f aca="false">RawFinancials!AA556</f>
        <v>1</v>
      </c>
      <c r="AB556" s="0" t="n">
        <f aca="false">RawFinancials!AB556</f>
        <v>6842</v>
      </c>
      <c r="AC556" s="0" t="n">
        <f aca="false">RawFinancials!AC556</f>
        <v>0.495567273148685</v>
      </c>
      <c r="AD556" s="0" t="n">
        <f aca="false">IF(L556&gt;0,100*N556/L556,"")</f>
        <v>70.8844424044584</v>
      </c>
      <c r="AE556" s="0" t="n">
        <f aca="false">IF(B556&gt;0,100*F556/B556,"")</f>
        <v>8.52582860122842</v>
      </c>
      <c r="AF556" s="0" t="str">
        <f aca="false">RawFinancials!AE556</f>
        <v/>
      </c>
    </row>
    <row r="557" customFormat="false" ht="15" hidden="false" customHeight="false" outlineLevel="0" collapsed="false">
      <c r="A557" s="0" t="n">
        <f aca="false">IF(ISBLANK(RawFinancials!A557),"",RawFinancials!A557)</f>
        <v>557</v>
      </c>
      <c r="B557" s="0" t="n">
        <f aca="false">IF(ISBLANK(RawFinancials!B557),"",RawFinancials!B557)</f>
        <v>2583718</v>
      </c>
      <c r="C557" s="0" t="n">
        <f aca="false">IF(ISBLANK(RawFinancials!C557),"",RawFinancials!C557)</f>
        <v>18012</v>
      </c>
      <c r="D557" s="0" t="n">
        <f aca="false">IF(ISBLANK(RawFinancials!D557),"",RawFinancials!D557)</f>
        <v>2179694</v>
      </c>
      <c r="E557" s="0" t="n">
        <f aca="false">IF(ISBLANK(RawFinancials!E557),"",RawFinancials!E557)</f>
        <v>0.03</v>
      </c>
      <c r="F557" s="0" t="n">
        <f aca="false">IF(ISBLANK(RawFinancials!F557),"",RawFinancials!F557)</f>
        <v>287158</v>
      </c>
      <c r="G557" s="0" t="n">
        <f aca="false">IF(ISBLANK(RawFinancials!G557),"",RawFinancials!G557)</f>
        <v>11.1141386172949</v>
      </c>
      <c r="H557" s="0" t="str">
        <f aca="false">IF(ISBLANK(RawFinancials!H557),"",RawFinancials!H557)</f>
        <v>18012_20240930</v>
      </c>
      <c r="I557" s="0" t="n">
        <f aca="false">IF(ISBLANK(RawFinancials!I557),"",RawFinancials!I557)</f>
        <v>1.16726312238675</v>
      </c>
      <c r="J557" s="0" t="n">
        <f aca="false">IF(ISBLANK(RawFinancials!J557),"",RawFinancials!J557)</f>
        <v>48301</v>
      </c>
      <c r="K557" s="0" t="n">
        <f aca="false">IF(ISBLANK(RawFinancials!K557),"",RawFinancials!K557)</f>
        <v>28594</v>
      </c>
      <c r="L557" s="0" t="n">
        <f aca="false">IF(ISBLANK(RawFinancials!L557),"",RawFinancials!L557)</f>
        <v>2078109</v>
      </c>
      <c r="M557" s="0" t="n">
        <f aca="false">IF(ISBLANK(RawFinancials!M557),"",RawFinancials!M557)</f>
        <v>2053852</v>
      </c>
      <c r="N557" s="0" t="n">
        <f aca="false">IF(ISBLANK(RawFinancials!N557),"",RawFinancials!N557)</f>
        <v>1973661</v>
      </c>
      <c r="O557" s="0" t="n">
        <f aca="false">IF(ISBLANK(RawFinancials!O557),"",RawFinancials!O557)</f>
        <v>551</v>
      </c>
      <c r="P557" s="0" t="str">
        <f aca="false">IF(ISBLANK(RawFinancials!P557),"",RawFinancials!P557)</f>
        <v>BANK OF NEW HAMPSHIRE</v>
      </c>
      <c r="Q557" s="0" t="n">
        <f aca="false">IF(ISBLANK(RawFinancials!Q557),"",RawFinancials!Q557)</f>
        <v>0.0265144898559218</v>
      </c>
      <c r="R557" s="0" t="n">
        <f aca="false">IF(ISBLANK(RawFinancials!R557),"",RawFinancials!R557)</f>
        <v>2.69914361948279</v>
      </c>
      <c r="S557" s="0" t="n">
        <f aca="false">IF(ISBLANK(RawFinancials!S557),"",RawFinancials!S557)</f>
        <v>81</v>
      </c>
      <c r="T557" s="0" t="n">
        <f aca="false">IF(ISBLANK(RawFinancials!T557),"",RawFinancials!T557)</f>
        <v>4359</v>
      </c>
      <c r="U557" s="0" t="n">
        <f aca="false">IF(ISBLANK(RawFinancials!U557),"",RawFinancials!U557)</f>
        <v>0</v>
      </c>
      <c r="V557" s="0" t="n">
        <f aca="false">IF(ISBLANK(RawFinancials!V557),"",RawFinancials!V557)</f>
        <v>14.420969624268</v>
      </c>
      <c r="W557" s="0" t="n">
        <f aca="false">IF(ISBLANK(RawFinancials!W557),"",RawFinancials!W557)</f>
        <v>20240930</v>
      </c>
      <c r="X557" s="0" t="n">
        <f aca="false">IF(ISBLANK(RawFinancials!X557),"",RawFinancials!X557)</f>
        <v>0.708107955416192</v>
      </c>
      <c r="Y557" s="0" t="n">
        <f aca="false">IF(ISBLANK(RawFinancials!Y557),"",RawFinancials!Y557)</f>
        <v>6.5</v>
      </c>
      <c r="Z557" s="0" t="str">
        <f aca="false">IF(ISBLANK(RawFinancials!Z557),"",RawFinancials!Z557)</f>
        <v>NH</v>
      </c>
      <c r="AA557" s="0" t="n">
        <f aca="false">RawFinancials!AA557</f>
        <v>1</v>
      </c>
      <c r="AB557" s="0" t="n">
        <f aca="false">RawFinancials!AB557</f>
        <v>551</v>
      </c>
      <c r="AC557" s="0" t="n">
        <f aca="false">RawFinancials!AC557</f>
        <v>0.0213258567691985</v>
      </c>
      <c r="AD557" s="0" t="n">
        <f aca="false">IF(L557&gt;0,100*N557/L557,"")</f>
        <v>94.9738921298161</v>
      </c>
      <c r="AE557" s="0" t="n">
        <f aca="false">IF(B557&gt;0,100*F557/B557,"")</f>
        <v>11.1141386172949</v>
      </c>
      <c r="AF557" s="0" t="str">
        <f aca="false">RawFinancials!AE557</f>
        <v/>
      </c>
    </row>
    <row r="558" customFormat="false" ht="15" hidden="false" customHeight="false" outlineLevel="0" collapsed="false">
      <c r="A558" s="0" t="n">
        <f aca="false">IF(ISBLANK(RawFinancials!A558),"",RawFinancials!A558)</f>
        <v>558</v>
      </c>
      <c r="B558" s="0" t="n">
        <f aca="false">IF(ISBLANK(RawFinancials!B558),"",RawFinancials!B558)</f>
        <v>2889853</v>
      </c>
      <c r="C558" s="0" t="n">
        <f aca="false">IF(ISBLANK(RawFinancials!C558),"",RawFinancials!C558)</f>
        <v>18013</v>
      </c>
      <c r="D558" s="0" t="n">
        <f aca="false">IF(ISBLANK(RawFinancials!D558),"",RawFinancials!D558)</f>
        <v>2534229</v>
      </c>
      <c r="E558" s="0" t="n">
        <f aca="false">IF(ISBLANK(RawFinancials!E558),"",RawFinancials!E558)</f>
        <v>0</v>
      </c>
      <c r="F558" s="0" t="n">
        <f aca="false">IF(ISBLANK(RawFinancials!F558),"",RawFinancials!F558)</f>
        <v>234630</v>
      </c>
      <c r="G558" s="0" t="n">
        <f aca="false">IF(ISBLANK(RawFinancials!G558),"",RawFinancials!G558)</f>
        <v>8.1190980994535</v>
      </c>
      <c r="H558" s="0" t="str">
        <f aca="false">IF(ISBLANK(RawFinancials!H558),"",RawFinancials!H558)</f>
        <v>18013_20240930</v>
      </c>
      <c r="I558" s="0" t="n">
        <f aca="false">IF(ISBLANK(RawFinancials!I558),"",RawFinancials!I558)</f>
        <v>0.701417666667641</v>
      </c>
      <c r="J558" s="0" t="n">
        <f aca="false">IF(ISBLANK(RawFinancials!J558),"",RawFinancials!J558)</f>
        <v>105437</v>
      </c>
      <c r="K558" s="0" t="n">
        <f aca="false">IF(ISBLANK(RawFinancials!K558),"",RawFinancials!K558)</f>
        <v>23430</v>
      </c>
      <c r="L558" s="0" t="n">
        <f aca="false">IF(ISBLANK(RawFinancials!L558),"",RawFinancials!L558)</f>
        <v>2393581</v>
      </c>
      <c r="M558" s="0" t="n">
        <f aca="false">IF(ISBLANK(RawFinancials!M558),"",RawFinancials!M558)</f>
        <v>2376792</v>
      </c>
      <c r="N558" s="0" t="n">
        <f aca="false">IF(ISBLANK(RawFinancials!N558),"",RawFinancials!N558)</f>
        <v>2183396</v>
      </c>
      <c r="O558" s="0" t="n">
        <f aca="false">IF(ISBLANK(RawFinancials!O558),"",RawFinancials!O558)</f>
        <v>1627</v>
      </c>
      <c r="P558" s="0" t="str">
        <f aca="false">IF(ISBLANK(RawFinancials!P558),"",RawFinancials!P558)</f>
        <v>MASCOMA BANK</v>
      </c>
      <c r="Q558" s="0" t="n">
        <f aca="false">IF(ISBLANK(RawFinancials!Q558),"",RawFinancials!Q558)</f>
        <v>0.071065069450334</v>
      </c>
      <c r="R558" s="0" t="n">
        <f aca="false">IF(ISBLANK(RawFinancials!R558),"",RawFinancials!R558)</f>
        <v>2.452484291317</v>
      </c>
      <c r="S558" s="0" t="n">
        <f aca="false">IF(ISBLANK(RawFinancials!S558),"",RawFinancials!S558)</f>
        <v>296</v>
      </c>
      <c r="T558" s="0" t="n">
        <f aca="false">IF(ISBLANK(RawFinancials!T558),"",RawFinancials!T558)</f>
        <v>5926</v>
      </c>
      <c r="U558" s="0" t="n">
        <f aca="false">IF(ISBLANK(RawFinancials!U558),"",RawFinancials!U558)</f>
        <v>74</v>
      </c>
      <c r="V558" s="0" t="n">
        <f aca="false">IF(ISBLANK(RawFinancials!V558),"",RawFinancials!V558)</f>
        <v>12.6133265662941</v>
      </c>
      <c r="W558" s="0" t="n">
        <f aca="false">IF(ISBLANK(RawFinancials!W558),"",RawFinancials!W558)</f>
        <v>20240930</v>
      </c>
      <c r="X558" s="0" t="n">
        <f aca="false">IF(ISBLANK(RawFinancials!X558),"",RawFinancials!X558)</f>
        <v>0.25337240311984</v>
      </c>
      <c r="Y558" s="0" t="n">
        <f aca="false">IF(ISBLANK(RawFinancials!Y558),"",RawFinancials!Y558)</f>
        <v>3.29</v>
      </c>
      <c r="Z558" s="0" t="str">
        <f aca="false">IF(ISBLANK(RawFinancials!Z558),"",RawFinancials!Z558)</f>
        <v>NH</v>
      </c>
      <c r="AA558" s="0" t="n">
        <f aca="false">RawFinancials!AA558</f>
        <v>1</v>
      </c>
      <c r="AB558" s="0" t="n">
        <f aca="false">RawFinancials!AB558</f>
        <v>1701</v>
      </c>
      <c r="AC558" s="0" t="n">
        <f aca="false">RawFinancials!AC558</f>
        <v>0.058861125462091</v>
      </c>
      <c r="AD558" s="0" t="n">
        <f aca="false">IF(L558&gt;0,100*N558/L558,"")</f>
        <v>91.2188056305594</v>
      </c>
      <c r="AE558" s="0" t="n">
        <f aca="false">IF(B558&gt;0,100*F558/B558,"")</f>
        <v>8.1190980994535</v>
      </c>
      <c r="AF558" s="0" t="str">
        <f aca="false">RawFinancials!AE558</f>
        <v/>
      </c>
    </row>
    <row r="559" customFormat="false" ht="15" hidden="false" customHeight="false" outlineLevel="0" collapsed="false">
      <c r="A559" s="0" t="n">
        <f aca="false">IF(ISBLANK(RawFinancials!A559),"",RawFinancials!A559)</f>
        <v>559</v>
      </c>
      <c r="B559" s="0" t="n">
        <f aca="false">IF(ISBLANK(RawFinancials!B559),"",RawFinancials!B559)</f>
        <v>407460</v>
      </c>
      <c r="C559" s="0" t="n">
        <f aca="false">IF(ISBLANK(RawFinancials!C559),"",RawFinancials!C559)</f>
        <v>18028</v>
      </c>
      <c r="D559" s="0" t="n">
        <f aca="false">IF(ISBLANK(RawFinancials!D559),"",RawFinancials!D559)</f>
        <v>337570</v>
      </c>
      <c r="E559" s="0" t="n">
        <f aca="false">IF(ISBLANK(RawFinancials!E559),"",RawFinancials!E559)</f>
        <v>0.09</v>
      </c>
      <c r="F559" s="0" t="n">
        <f aca="false">IF(ISBLANK(RawFinancials!F559),"",RawFinancials!F559)</f>
        <v>43831</v>
      </c>
      <c r="G559" s="0" t="n">
        <f aca="false">IF(ISBLANK(RawFinancials!G559),"",RawFinancials!G559)</f>
        <v>10.7571295341874</v>
      </c>
      <c r="H559" s="0" t="str">
        <f aca="false">IF(ISBLANK(RawFinancials!H559),"",RawFinancials!H559)</f>
        <v>18028_20240930</v>
      </c>
      <c r="I559" s="0" t="n">
        <f aca="false">IF(ISBLANK(RawFinancials!I559),"",RawFinancials!I559)</f>
        <v>0.821197853936275</v>
      </c>
      <c r="J559" s="0" t="n">
        <f aca="false">IF(ISBLANK(RawFinancials!J559),"",RawFinancials!J559)</f>
        <v>12374</v>
      </c>
      <c r="K559" s="0" t="n">
        <f aca="false">IF(ISBLANK(RawFinancials!K559),"",RawFinancials!K559)</f>
        <v>6660</v>
      </c>
      <c r="L559" s="0" t="n">
        <f aca="false">IF(ISBLANK(RawFinancials!L559),"",RawFinancials!L559)</f>
        <v>273990</v>
      </c>
      <c r="M559" s="0" t="n">
        <f aca="false">IF(ISBLANK(RawFinancials!M559),"",RawFinancials!M559)</f>
        <v>271740</v>
      </c>
      <c r="N559" s="0" t="n">
        <f aca="false">IF(ISBLANK(RawFinancials!N559),"",RawFinancials!N559)</f>
        <v>249806</v>
      </c>
      <c r="O559" s="0" t="n">
        <f aca="false">IF(ISBLANK(RawFinancials!O559),"",RawFinancials!O559)</f>
        <v>908</v>
      </c>
      <c r="P559" s="0" t="str">
        <f aca="false">IF(ISBLANK(RawFinancials!P559),"",RawFinancials!P559)</f>
        <v>SUGAR RIVER BANK</v>
      </c>
      <c r="Q559" s="0" t="n">
        <f aca="false">IF(ISBLANK(RawFinancials!Q559),"",RawFinancials!Q559)</f>
        <v>0.462060659148144</v>
      </c>
      <c r="R559" s="0" t="n">
        <f aca="false">IF(ISBLANK(RawFinancials!R559),"",RawFinancials!R559)</f>
        <v>3.29966188951613</v>
      </c>
      <c r="S559" s="0" t="n">
        <f aca="false">IF(ISBLANK(RawFinancials!S559),"",RawFinancials!S559)</f>
        <v>376</v>
      </c>
      <c r="T559" s="0" t="n">
        <f aca="false">IF(ISBLANK(RawFinancials!T559),"",RawFinancials!T559)</f>
        <v>845</v>
      </c>
      <c r="U559" s="0" t="n">
        <f aca="false">IF(ISBLANK(RawFinancials!U559),"",RawFinancials!U559)</f>
        <v>358</v>
      </c>
      <c r="V559" s="0" t="n">
        <f aca="false">IF(ISBLANK(RawFinancials!V559),"",RawFinancials!V559)</f>
        <v>0</v>
      </c>
      <c r="W559" s="0" t="n">
        <f aca="false">IF(ISBLANK(RawFinancials!W559),"",RawFinancials!W559)</f>
        <v>20240930</v>
      </c>
      <c r="X559" s="0" t="n">
        <f aca="false">IF(ISBLANK(RawFinancials!X559),"",RawFinancials!X559)</f>
        <v>0.449445889497145</v>
      </c>
      <c r="Y559" s="0" t="n">
        <f aca="false">IF(ISBLANK(RawFinancials!Y559),"",RawFinancials!Y559)</f>
        <v>4.31</v>
      </c>
      <c r="Z559" s="0" t="str">
        <f aca="false">IF(ISBLANK(RawFinancials!Z559),"",RawFinancials!Z559)</f>
        <v>NH</v>
      </c>
      <c r="AA559" s="0" t="n">
        <f aca="false">RawFinancials!AA559</f>
        <v>1</v>
      </c>
      <c r="AB559" s="0" t="n">
        <f aca="false">RawFinancials!AB559</f>
        <v>1266</v>
      </c>
      <c r="AC559" s="0" t="n">
        <f aca="false">RawFinancials!AC559</f>
        <v>0.310705345309969</v>
      </c>
      <c r="AD559" s="0" t="n">
        <f aca="false">IF(L559&gt;0,100*N559/L559,"")</f>
        <v>91.1734004890689</v>
      </c>
      <c r="AE559" s="0" t="n">
        <f aca="false">IF(B559&gt;0,100*F559/B559,"")</f>
        <v>10.7571295341874</v>
      </c>
      <c r="AF559" s="0" t="str">
        <f aca="false">RawFinancials!AE559</f>
        <v>原始0：需核实适用/报告口径</v>
      </c>
    </row>
    <row r="560" customFormat="false" ht="15" hidden="false" customHeight="false" outlineLevel="0" collapsed="false">
      <c r="A560" s="0" t="n">
        <f aca="false">IF(ISBLANK(RawFinancials!A560),"",RawFinancials!A560)</f>
        <v>560</v>
      </c>
      <c r="B560" s="0" t="n">
        <f aca="false">IF(ISBLANK(RawFinancials!B560),"",RawFinancials!B560)</f>
        <v>794567</v>
      </c>
      <c r="C560" s="0" t="n">
        <f aca="false">IF(ISBLANK(RawFinancials!C560),"",RawFinancials!C560)</f>
        <v>18030</v>
      </c>
      <c r="D560" s="0" t="n">
        <f aca="false">IF(ISBLANK(RawFinancials!D560),"",RawFinancials!D560)</f>
        <v>707506</v>
      </c>
      <c r="E560" s="0" t="n">
        <f aca="false">IF(ISBLANK(RawFinancials!E560),"",RawFinancials!E560)</f>
        <v>0.01</v>
      </c>
      <c r="F560" s="0" t="n">
        <f aca="false">IF(ISBLANK(RawFinancials!F560),"",RawFinancials!F560)</f>
        <v>54737</v>
      </c>
      <c r="G560" s="0" t="n">
        <f aca="false">IF(ISBLANK(RawFinancials!G560),"",RawFinancials!G560)</f>
        <v>6.88890930531975</v>
      </c>
      <c r="H560" s="0" t="str">
        <f aca="false">IF(ISBLANK(RawFinancials!H560),"",RawFinancials!H560)</f>
        <v>18030_20240930</v>
      </c>
      <c r="I560" s="0" t="n">
        <f aca="false">IF(ISBLANK(RawFinancials!I560),"",RawFinancials!I560)</f>
        <v>0.994435914507385</v>
      </c>
      <c r="J560" s="0" t="n">
        <f aca="false">IF(ISBLANK(RawFinancials!J560),"",RawFinancials!J560)</f>
        <v>42189</v>
      </c>
      <c r="K560" s="0" t="n">
        <f aca="false">IF(ISBLANK(RawFinancials!K560),"",RawFinancials!K560)</f>
        <v>98640</v>
      </c>
      <c r="L560" s="0" t="n">
        <f aca="false">IF(ISBLANK(RawFinancials!L560),"",RawFinancials!L560)</f>
        <v>588776</v>
      </c>
      <c r="M560" s="0" t="n">
        <f aca="false">IF(ISBLANK(RawFinancials!M560),"",RawFinancials!M560)</f>
        <v>582921</v>
      </c>
      <c r="N560" s="0" t="n">
        <f aca="false">IF(ISBLANK(RawFinancials!N560),"",RawFinancials!N560)</f>
        <v>447654</v>
      </c>
      <c r="O560" s="0" t="n">
        <f aca="false">IF(ISBLANK(RawFinancials!O560),"",RawFinancials!O560)</f>
        <v>1967</v>
      </c>
      <c r="P560" s="0" t="str">
        <f aca="false">IF(ISBLANK(RawFinancials!P560),"",RawFinancials!P560)</f>
        <v>SAVINGS BANK OF WALPOLE</v>
      </c>
      <c r="Q560" s="0" t="n">
        <f aca="false">IF(ISBLANK(RawFinancials!Q560),"",RawFinancials!Q560)</f>
        <v>0.33408291098822</v>
      </c>
      <c r="R560" s="0" t="n">
        <f aca="false">IF(ISBLANK(RawFinancials!R560),"",RawFinancials!R560)</f>
        <v>3.41619145057046</v>
      </c>
      <c r="S560" s="0" t="n">
        <f aca="false">IF(ISBLANK(RawFinancials!S560),"",RawFinancials!S560)</f>
        <v>111</v>
      </c>
      <c r="T560" s="0" t="n">
        <f aca="false">IF(ISBLANK(RawFinancials!T560),"",RawFinancials!T560)</f>
        <v>1330</v>
      </c>
      <c r="U560" s="0" t="n">
        <f aca="false">IF(ISBLANK(RawFinancials!U560),"",RawFinancials!U560)</f>
        <v>0</v>
      </c>
      <c r="V560" s="0" t="n">
        <f aca="false">IF(ISBLANK(RawFinancials!V560),"",RawFinancials!V560)</f>
        <v>13.6705393261032</v>
      </c>
      <c r="W560" s="0" t="n">
        <f aca="false">IF(ISBLANK(RawFinancials!W560),"",RawFinancials!W560)</f>
        <v>20240930</v>
      </c>
      <c r="X560" s="0" t="n">
        <f aca="false">IF(ISBLANK(RawFinancials!X560),"",RawFinancials!X560)</f>
        <v>0.697344762810995</v>
      </c>
      <c r="Y560" s="0" t="n">
        <f aca="false">IF(ISBLANK(RawFinancials!Y560),"",RawFinancials!Y560)</f>
        <v>10.43</v>
      </c>
      <c r="Z560" s="0" t="str">
        <f aca="false">IF(ISBLANK(RawFinancials!Z560),"",RawFinancials!Z560)</f>
        <v>NH</v>
      </c>
      <c r="AA560" s="0" t="n">
        <f aca="false">RawFinancials!AA560</f>
        <v>1</v>
      </c>
      <c r="AB560" s="0" t="n">
        <f aca="false">RawFinancials!AB560</f>
        <v>1967</v>
      </c>
      <c r="AC560" s="0" t="n">
        <f aca="false">RawFinancials!AC560</f>
        <v>0.247556216152949</v>
      </c>
      <c r="AD560" s="0" t="n">
        <f aca="false">IF(L560&gt;0,100*N560/L560,"")</f>
        <v>76.0312920363602</v>
      </c>
      <c r="AE560" s="0" t="n">
        <f aca="false">IF(B560&gt;0,100*F560/B560,"")</f>
        <v>6.88890930531975</v>
      </c>
      <c r="AF560" s="0" t="str">
        <f aca="false">RawFinancials!AE560</f>
        <v/>
      </c>
    </row>
    <row r="561" customFormat="false" ht="15" hidden="false" customHeight="false" outlineLevel="0" collapsed="false">
      <c r="A561" s="0" t="n">
        <f aca="false">IF(ISBLANK(RawFinancials!A561),"",RawFinancials!A561)</f>
        <v>561</v>
      </c>
      <c r="B561" s="0" t="n">
        <f aca="false">IF(ISBLANK(RawFinancials!B561),"",RawFinancials!B561)</f>
        <v>677501</v>
      </c>
      <c r="C561" s="0" t="n">
        <f aca="false">IF(ISBLANK(RawFinancials!C561),"",RawFinancials!C561)</f>
        <v>18031</v>
      </c>
      <c r="D561" s="0" t="n">
        <f aca="false">IF(ISBLANK(RawFinancials!D561),"",RawFinancials!D561)</f>
        <v>528633</v>
      </c>
      <c r="E561" s="0" t="n">
        <f aca="false">IF(ISBLANK(RawFinancials!E561),"",RawFinancials!E561)</f>
        <v>-0.03</v>
      </c>
      <c r="F561" s="0" t="n">
        <f aca="false">IF(ISBLANK(RawFinancials!F561),"",RawFinancials!F561)</f>
        <v>41575</v>
      </c>
      <c r="G561" s="0" t="n">
        <f aca="false">IF(ISBLANK(RawFinancials!G561),"",RawFinancials!G561)</f>
        <v>6.13652230771615</v>
      </c>
      <c r="H561" s="0" t="str">
        <f aca="false">IF(ISBLANK(RawFinancials!H561),"",RawFinancials!H561)</f>
        <v>18031_20240930</v>
      </c>
      <c r="I561" s="0" t="n">
        <f aca="false">IF(ISBLANK(RawFinancials!I561),"",RawFinancials!I561)</f>
        <v>0.822693702506098</v>
      </c>
      <c r="J561" s="0" t="n">
        <f aca="false">IF(ISBLANK(RawFinancials!J561),"",RawFinancials!J561)</f>
        <v>22338</v>
      </c>
      <c r="K561" s="0" t="n">
        <f aca="false">IF(ISBLANK(RawFinancials!K561),"",RawFinancials!K561)</f>
        <v>8244</v>
      </c>
      <c r="L561" s="0" t="n">
        <f aca="false">IF(ISBLANK(RawFinancials!L561),"",RawFinancials!L561)</f>
        <v>468218</v>
      </c>
      <c r="M561" s="0" t="n">
        <f aca="false">IF(ISBLANK(RawFinancials!M561),"",RawFinancials!M561)</f>
        <v>464366</v>
      </c>
      <c r="N561" s="0" t="n">
        <f aca="false">IF(ISBLANK(RawFinancials!N561),"",RawFinancials!N561)</f>
        <v>431155</v>
      </c>
      <c r="O561" s="0" t="n">
        <f aca="false">IF(ISBLANK(RawFinancials!O561),"",RawFinancials!O561)</f>
        <v>973</v>
      </c>
      <c r="P561" s="0" t="str">
        <f aca="false">IF(ISBLANK(RawFinancials!P561),"",RawFinancials!P561)</f>
        <v>WOODSVILLE GUARANTY SAVINGS BANK</v>
      </c>
      <c r="Q561" s="0" t="n">
        <f aca="false">IF(ISBLANK(RawFinancials!Q561),"",RawFinancials!Q561)</f>
        <v>0.207809182901981</v>
      </c>
      <c r="R561" s="0" t="n">
        <f aca="false">IF(ISBLANK(RawFinancials!R561),"",RawFinancials!R561)</f>
        <v>2.63046277328617</v>
      </c>
      <c r="S561" s="0" t="n">
        <f aca="false">IF(ISBLANK(RawFinancials!S561),"",RawFinancials!S561)</f>
        <v>34</v>
      </c>
      <c r="T561" s="0" t="n">
        <f aca="false">IF(ISBLANK(RawFinancials!T561),"",RawFinancials!T561)</f>
        <v>243</v>
      </c>
      <c r="U561" s="0" t="n">
        <f aca="false">IF(ISBLANK(RawFinancials!U561),"",RawFinancials!U561)</f>
        <v>0</v>
      </c>
      <c r="V561" s="0" t="n">
        <f aca="false">IF(ISBLANK(RawFinancials!V561),"",RawFinancials!V561)</f>
        <v>16.7487150865234</v>
      </c>
      <c r="W561" s="0" t="n">
        <f aca="false">IF(ISBLANK(RawFinancials!W561),"",RawFinancials!W561)</f>
        <v>20240930</v>
      </c>
      <c r="X561" s="0" t="n">
        <f aca="false">IF(ISBLANK(RawFinancials!X561),"",RawFinancials!X561)</f>
        <v>0.42618981664151</v>
      </c>
      <c r="Y561" s="0" t="n">
        <f aca="false">IF(ISBLANK(RawFinancials!Y561),"",RawFinancials!Y561)</f>
        <v>7.55</v>
      </c>
      <c r="Z561" s="0" t="str">
        <f aca="false">IF(ISBLANK(RawFinancials!Z561),"",RawFinancials!Z561)</f>
        <v>NH</v>
      </c>
      <c r="AA561" s="0" t="n">
        <f aca="false">RawFinancials!AA561</f>
        <v>1</v>
      </c>
      <c r="AB561" s="0" t="n">
        <f aca="false">RawFinancials!AB561</f>
        <v>973</v>
      </c>
      <c r="AC561" s="0" t="n">
        <f aca="false">RawFinancials!AC561</f>
        <v>0.14361602418299</v>
      </c>
      <c r="AD561" s="0" t="n">
        <f aca="false">IF(L561&gt;0,100*N561/L561,"")</f>
        <v>92.0842428099731</v>
      </c>
      <c r="AE561" s="0" t="n">
        <f aca="false">IF(B561&gt;0,100*F561/B561,"")</f>
        <v>6.13652230771615</v>
      </c>
      <c r="AF561" s="0" t="str">
        <f aca="false">RawFinancials!AE561</f>
        <v/>
      </c>
    </row>
    <row r="562" customFormat="false" ht="15" hidden="false" customHeight="false" outlineLevel="0" collapsed="false">
      <c r="A562" s="0" t="n">
        <f aca="false">IF(ISBLANK(RawFinancials!A562),"",RawFinancials!A562)</f>
        <v>562</v>
      </c>
      <c r="B562" s="0" t="n">
        <f aca="false">IF(ISBLANK(RawFinancials!B562),"",RawFinancials!B562)</f>
        <v>578941</v>
      </c>
      <c r="C562" s="0" t="n">
        <f aca="false">IF(ISBLANK(RawFinancials!C562),"",RawFinancials!C562)</f>
        <v>18038</v>
      </c>
      <c r="D562" s="0" t="n">
        <f aca="false">IF(ISBLANK(RawFinancials!D562),"",RawFinancials!D562)</f>
        <v>436224</v>
      </c>
      <c r="E562" s="0" t="n">
        <f aca="false">IF(ISBLANK(RawFinancials!E562),"",RawFinancials!E562)</f>
        <v>0.02</v>
      </c>
      <c r="F562" s="0" t="n">
        <f aca="false">IF(ISBLANK(RawFinancials!F562),"",RawFinancials!F562)</f>
        <v>68568</v>
      </c>
      <c r="G562" s="0" t="n">
        <f aca="false">IF(ISBLANK(RawFinancials!G562),"",RawFinancials!G562)</f>
        <v>11.8436939169967</v>
      </c>
      <c r="H562" s="0" t="str">
        <f aca="false">IF(ISBLANK(RawFinancials!H562),"",RawFinancials!H562)</f>
        <v>18038_20240930</v>
      </c>
      <c r="I562" s="0" t="n">
        <f aca="false">IF(ISBLANK(RawFinancials!I562),"",RawFinancials!I562)</f>
        <v>0.933914033237053</v>
      </c>
      <c r="J562" s="0" t="n">
        <f aca="false">IF(ISBLANK(RawFinancials!J562),"",RawFinancials!J562)</f>
        <v>28944</v>
      </c>
      <c r="K562" s="0" t="n">
        <f aca="false">IF(ISBLANK(RawFinancials!K562),"",RawFinancials!K562)</f>
        <v>4689</v>
      </c>
      <c r="L562" s="0" t="n">
        <f aca="false">IF(ISBLANK(RawFinancials!L562),"",RawFinancials!L562)</f>
        <v>419953</v>
      </c>
      <c r="M562" s="0" t="n">
        <f aca="false">IF(ISBLANK(RawFinancials!M562),"",RawFinancials!M562)</f>
        <v>416031</v>
      </c>
      <c r="N562" s="0" t="n">
        <f aca="false">IF(ISBLANK(RawFinancials!N562),"",RawFinancials!N562)</f>
        <v>385462</v>
      </c>
      <c r="O562" s="0" t="n">
        <f aca="false">IF(ISBLANK(RawFinancials!O562),"",RawFinancials!O562)</f>
        <v>2472</v>
      </c>
      <c r="P562" s="0" t="str">
        <f aca="false">IF(ISBLANK(RawFinancials!P562),"",RawFinancials!P562)</f>
        <v>CLAREMONT SAVINGS BANK</v>
      </c>
      <c r="Q562" s="0" t="n">
        <f aca="false">IF(ISBLANK(RawFinancials!Q562),"",RawFinancials!Q562)</f>
        <v>0.588637299888321</v>
      </c>
      <c r="R562" s="0" t="n">
        <f aca="false">IF(ISBLANK(RawFinancials!R562),"",RawFinancials!R562)</f>
        <v>2.50311359932842</v>
      </c>
      <c r="S562" s="0" t="n">
        <f aca="false">IF(ISBLANK(RawFinancials!S562),"",RawFinancials!S562)</f>
        <v>-9</v>
      </c>
      <c r="T562" s="0" t="n">
        <f aca="false">IF(ISBLANK(RawFinancials!T562),"",RawFinancials!T562)</f>
        <v>765</v>
      </c>
      <c r="U562" s="0" t="n">
        <f aca="false">IF(ISBLANK(RawFinancials!U562),"",RawFinancials!U562)</f>
        <v>0</v>
      </c>
      <c r="V562" s="0" t="n">
        <f aca="false">IF(ISBLANK(RawFinancials!V562),"",RawFinancials!V562)</f>
        <v>0</v>
      </c>
      <c r="W562" s="0" t="n">
        <f aca="false">IF(ISBLANK(RawFinancials!W562),"",RawFinancials!W562)</f>
        <v>20240930</v>
      </c>
      <c r="X562" s="0" t="n">
        <f aca="false">IF(ISBLANK(RawFinancials!X562),"",RawFinancials!X562)</f>
        <v>0.480130621285366</v>
      </c>
      <c r="Y562" s="0" t="n">
        <f aca="false">IF(ISBLANK(RawFinancials!Y562),"",RawFinancials!Y562)</f>
        <v>3.91</v>
      </c>
      <c r="Z562" s="0" t="str">
        <f aca="false">IF(ISBLANK(RawFinancials!Z562),"",RawFinancials!Z562)</f>
        <v>NH</v>
      </c>
      <c r="AA562" s="0" t="n">
        <f aca="false">RawFinancials!AA562</f>
        <v>1</v>
      </c>
      <c r="AB562" s="0" t="n">
        <f aca="false">RawFinancials!AB562</f>
        <v>2472</v>
      </c>
      <c r="AC562" s="0" t="n">
        <f aca="false">RawFinancials!AC562</f>
        <v>0.426986515033484</v>
      </c>
      <c r="AD562" s="0" t="n">
        <f aca="false">IF(L562&gt;0,100*N562/L562,"")</f>
        <v>91.7869380621165</v>
      </c>
      <c r="AE562" s="0" t="n">
        <f aca="false">IF(B562&gt;0,100*F562/B562,"")</f>
        <v>11.8436939169967</v>
      </c>
      <c r="AF562" s="0" t="str">
        <f aca="false">RawFinancials!AE562</f>
        <v>原始0：需核实适用/报告口径</v>
      </c>
    </row>
    <row r="563" customFormat="false" ht="15" hidden="false" customHeight="false" outlineLevel="0" collapsed="false">
      <c r="A563" s="0" t="n">
        <f aca="false">IF(ISBLANK(RawFinancials!A563),"",RawFinancials!A563)</f>
        <v>563</v>
      </c>
      <c r="B563" s="0" t="n">
        <f aca="false">IF(ISBLANK(RawFinancials!B563),"",RawFinancials!B563)</f>
        <v>7218777</v>
      </c>
      <c r="C563" s="0" t="n">
        <f aca="false">IF(ISBLANK(RawFinancials!C563),"",RawFinancials!C563)</f>
        <v>18408</v>
      </c>
      <c r="D563" s="0" t="n">
        <f aca="false">IF(ISBLANK(RawFinancials!D563),"",RawFinancials!D563)</f>
        <v>5440947</v>
      </c>
      <c r="E563" s="0" t="n">
        <f aca="false">IF(ISBLANK(RawFinancials!E563),"",RawFinancials!E563)</f>
        <v>-0.02</v>
      </c>
      <c r="F563" s="0" t="n">
        <f aca="false">IF(ISBLANK(RawFinancials!F563),"",RawFinancials!F563)</f>
        <v>451617</v>
      </c>
      <c r="G563" s="0" t="n">
        <f aca="false">IF(ISBLANK(RawFinancials!G563),"",RawFinancials!G563)</f>
        <v>6.25614283416706</v>
      </c>
      <c r="H563" s="0" t="str">
        <f aca="false">IF(ISBLANK(RawFinancials!H563),"",RawFinancials!H563)</f>
        <v>18408_20240930</v>
      </c>
      <c r="I563" s="0" t="n">
        <f aca="false">IF(ISBLANK(RawFinancials!I563),"",RawFinancials!I563)</f>
        <v>0.63910242784092</v>
      </c>
      <c r="J563" s="0" t="n">
        <f aca="false">IF(ISBLANK(RawFinancials!J563),"",RawFinancials!J563)</f>
        <v>361664</v>
      </c>
      <c r="K563" s="0" t="n">
        <f aca="false">IF(ISBLANK(RawFinancials!K563),"",RawFinancials!K563)</f>
        <v>37287</v>
      </c>
      <c r="L563" s="0" t="n">
        <f aca="false">IF(ISBLANK(RawFinancials!L563),"",RawFinancials!L563)</f>
        <v>4864322</v>
      </c>
      <c r="M563" s="0" t="n">
        <f aca="false">IF(ISBLANK(RawFinancials!M563),"",RawFinancials!M563)</f>
        <v>4833234</v>
      </c>
      <c r="N563" s="0" t="n">
        <f aca="false">IF(ISBLANK(RawFinancials!N563),"",RawFinancials!N563)</f>
        <v>4390169</v>
      </c>
      <c r="O563" s="0" t="n">
        <f aca="false">IF(ISBLANK(RawFinancials!O563),"",RawFinancials!O563)</f>
        <v>3776</v>
      </c>
      <c r="P563" s="0" t="str">
        <f aca="false">IF(ISBLANK(RawFinancials!P563),"",RawFinancials!P563)</f>
        <v>BANGOR SAVINGS BANK</v>
      </c>
      <c r="Q563" s="0" t="n">
        <f aca="false">IF(ISBLANK(RawFinancials!Q563),"",RawFinancials!Q563)</f>
        <v>0.0776264400259686</v>
      </c>
      <c r="R563" s="0" t="n">
        <f aca="false">IF(ISBLANK(RawFinancials!R563),"",RawFinancials!R563)</f>
        <v>2.12612207544725</v>
      </c>
      <c r="S563" s="0" t="n">
        <f aca="false">IF(ISBLANK(RawFinancials!S563),"",RawFinancials!S563)</f>
        <v>-375</v>
      </c>
      <c r="T563" s="0" t="n">
        <f aca="false">IF(ISBLANK(RawFinancials!T563),"",RawFinancials!T563)</f>
        <v>4839</v>
      </c>
      <c r="U563" s="0" t="n">
        <f aca="false">IF(ISBLANK(RawFinancials!U563),"",RawFinancials!U563)</f>
        <v>0</v>
      </c>
      <c r="V563" s="0" t="n">
        <f aca="false">IF(ISBLANK(RawFinancials!V563),"",RawFinancials!V563)</f>
        <v>11.5300926753721</v>
      </c>
      <c r="W563" s="0" t="n">
        <f aca="false">IF(ISBLANK(RawFinancials!W563),"",RawFinancials!W563)</f>
        <v>20240930</v>
      </c>
      <c r="X563" s="0" t="n">
        <f aca="false">IF(ISBLANK(RawFinancials!X563),"",RawFinancials!X563)</f>
        <v>0.155178563405037</v>
      </c>
      <c r="Y563" s="0" t="n">
        <f aca="false">IF(ISBLANK(RawFinancials!Y563),"",RawFinancials!Y563)</f>
        <v>2.68</v>
      </c>
      <c r="Z563" s="0" t="str">
        <f aca="false">IF(ISBLANK(RawFinancials!Z563),"",RawFinancials!Z563)</f>
        <v>ME</v>
      </c>
      <c r="AA563" s="0" t="n">
        <f aca="false">RawFinancials!AA563</f>
        <v>1</v>
      </c>
      <c r="AB563" s="0" t="n">
        <f aca="false">RawFinancials!AB563</f>
        <v>3776</v>
      </c>
      <c r="AC563" s="0" t="n">
        <f aca="false">RawFinancials!AC563</f>
        <v>0.0523080294626084</v>
      </c>
      <c r="AD563" s="0" t="n">
        <f aca="false">IF(L563&gt;0,100*N563/L563,"")</f>
        <v>90.2524339466014</v>
      </c>
      <c r="AE563" s="0" t="n">
        <f aca="false">IF(B563&gt;0,100*F563/B563,"")</f>
        <v>6.25614283416706</v>
      </c>
      <c r="AF563" s="0" t="str">
        <f aca="false">RawFinancials!AE563</f>
        <v/>
      </c>
    </row>
    <row r="564" customFormat="false" ht="15" hidden="false" customHeight="false" outlineLevel="0" collapsed="false">
      <c r="A564" s="0" t="n">
        <f aca="false">IF(ISBLANK(RawFinancials!A564),"",RawFinancials!A564)</f>
        <v>564</v>
      </c>
      <c r="B564" s="0" t="n">
        <f aca="false">IF(ISBLANK(RawFinancials!B564),"",RawFinancials!B564)</f>
        <v>2632240</v>
      </c>
      <c r="C564" s="0" t="n">
        <f aca="false">IF(ISBLANK(RawFinancials!C564),"",RawFinancials!C564)</f>
        <v>19531</v>
      </c>
      <c r="D564" s="0" t="n">
        <f aca="false">IF(ISBLANK(RawFinancials!D564),"",RawFinancials!D564)</f>
        <v>2115575</v>
      </c>
      <c r="E564" s="0" t="n">
        <f aca="false">IF(ISBLANK(RawFinancials!E564),"",RawFinancials!E564)</f>
        <v>-0.05</v>
      </c>
      <c r="F564" s="0" t="n">
        <f aca="false">IF(ISBLANK(RawFinancials!F564),"",RawFinancials!F564)</f>
        <v>257463</v>
      </c>
      <c r="G564" s="0" t="n">
        <f aca="false">IF(ISBLANK(RawFinancials!G564),"",RawFinancials!G564)</f>
        <v>9.78113697839103</v>
      </c>
      <c r="H564" s="0" t="str">
        <f aca="false">IF(ISBLANK(RawFinancials!H564),"",RawFinancials!H564)</f>
        <v>19531_20240930</v>
      </c>
      <c r="I564" s="0" t="n">
        <f aca="false">IF(ISBLANK(RawFinancials!I564),"",RawFinancials!I564)</f>
        <v>0.900086011097699</v>
      </c>
      <c r="J564" s="0" t="n">
        <f aca="false">IF(ISBLANK(RawFinancials!J564),"",RawFinancials!J564)</f>
        <v>265218</v>
      </c>
      <c r="K564" s="0" t="n">
        <f aca="false">IF(ISBLANK(RawFinancials!K564),"",RawFinancials!K564)</f>
        <v>9142</v>
      </c>
      <c r="L564" s="0" t="n">
        <f aca="false">IF(ISBLANK(RawFinancials!L564),"",RawFinancials!L564)</f>
        <v>2161349</v>
      </c>
      <c r="M564" s="0" t="n">
        <f aca="false">IF(ISBLANK(RawFinancials!M564),"",RawFinancials!M564)</f>
        <v>2141895</v>
      </c>
      <c r="N564" s="0" t="n">
        <f aca="false">IF(ISBLANK(RawFinancials!N564),"",RawFinancials!N564)</f>
        <v>1773165</v>
      </c>
      <c r="O564" s="0" t="n">
        <f aca="false">IF(ISBLANK(RawFinancials!O564),"",RawFinancials!O564)</f>
        <v>6917</v>
      </c>
      <c r="P564" s="0" t="str">
        <f aca="false">IF(ISBLANK(RawFinancials!P564),"",RawFinancials!P564)</f>
        <v>MACHIAS SAVINGS BANK</v>
      </c>
      <c r="Q564" s="0" t="n">
        <f aca="false">IF(ISBLANK(RawFinancials!Q564),"",RawFinancials!Q564)</f>
        <v>0.320401749092812</v>
      </c>
      <c r="R564" s="0" t="n">
        <f aca="false">IF(ISBLANK(RawFinancials!R564),"",RawFinancials!R564)</f>
        <v>2.67251082299445</v>
      </c>
      <c r="S564" s="0" t="n">
        <f aca="false">IF(ISBLANK(RawFinancials!S564),"",RawFinancials!S564)</f>
        <v>495</v>
      </c>
      <c r="T564" s="0" t="n">
        <f aca="false">IF(ISBLANK(RawFinancials!T564),"",RawFinancials!T564)</f>
        <v>3153</v>
      </c>
      <c r="U564" s="0" t="n">
        <f aca="false">IF(ISBLANK(RawFinancials!U564),"",RawFinancials!U564)</f>
        <v>8</v>
      </c>
      <c r="V564" s="0" t="n">
        <f aca="false">IF(ISBLANK(RawFinancials!V564),"",RawFinancials!V564)</f>
        <v>13.8153054969781</v>
      </c>
      <c r="W564" s="0" t="n">
        <f aca="false">IF(ISBLANK(RawFinancials!W564),"",RawFinancials!W564)</f>
        <v>20240930</v>
      </c>
      <c r="X564" s="0" t="n">
        <f aca="false">IF(ISBLANK(RawFinancials!X564),"",RawFinancials!X564)</f>
        <v>0.454164925004259</v>
      </c>
      <c r="Y564" s="0" t="n">
        <f aca="false">IF(ISBLANK(RawFinancials!Y564),"",RawFinancials!Y564)</f>
        <v>4.71</v>
      </c>
      <c r="Z564" s="0" t="str">
        <f aca="false">IF(ISBLANK(RawFinancials!Z564),"",RawFinancials!Z564)</f>
        <v>ME</v>
      </c>
      <c r="AA564" s="0" t="n">
        <f aca="false">RawFinancials!AA564</f>
        <v>1</v>
      </c>
      <c r="AB564" s="0" t="n">
        <f aca="false">RawFinancials!AB564</f>
        <v>6925</v>
      </c>
      <c r="AC564" s="0" t="n">
        <f aca="false">RawFinancials!AC564</f>
        <v>0.263083913320974</v>
      </c>
      <c r="AD564" s="0" t="n">
        <f aca="false">IF(L564&gt;0,100*N564/L564,"")</f>
        <v>82.0397353689756</v>
      </c>
      <c r="AE564" s="0" t="n">
        <f aca="false">IF(B564&gt;0,100*F564/B564,"")</f>
        <v>9.78113697839103</v>
      </c>
      <c r="AF564" s="0" t="str">
        <f aca="false">RawFinancials!AE564</f>
        <v/>
      </c>
    </row>
    <row r="565" customFormat="false" ht="15" hidden="false" customHeight="false" outlineLevel="0" collapsed="false">
      <c r="A565" s="0" t="n">
        <f aca="false">IF(ISBLANK(RawFinancials!A565),"",RawFinancials!A565)</f>
        <v>565</v>
      </c>
      <c r="B565" s="0" t="n">
        <f aca="false">IF(ISBLANK(RawFinancials!B565),"",RawFinancials!B565)</f>
        <v>870742</v>
      </c>
      <c r="C565" s="0" t="n">
        <f aca="false">IF(ISBLANK(RawFinancials!C565),"",RawFinancials!C565)</f>
        <v>19532</v>
      </c>
      <c r="D565" s="0" t="n">
        <f aca="false">IF(ISBLANK(RawFinancials!D565),"",RawFinancials!D565)</f>
        <v>721893</v>
      </c>
      <c r="E565" s="0" t="n">
        <f aca="false">IF(ISBLANK(RawFinancials!E565),"",RawFinancials!E565)</f>
        <v>0.01</v>
      </c>
      <c r="F565" s="0" t="n">
        <f aca="false">IF(ISBLANK(RawFinancials!F565),"",RawFinancials!F565)</f>
        <v>105663</v>
      </c>
      <c r="G565" s="0" t="n">
        <f aca="false">IF(ISBLANK(RawFinancials!G565),"",RawFinancials!G565)</f>
        <v>12.1348229441097</v>
      </c>
      <c r="H565" s="0" t="str">
        <f aca="false">IF(ISBLANK(RawFinancials!H565),"",RawFinancials!H565)</f>
        <v>19532_20240930</v>
      </c>
      <c r="I565" s="0" t="n">
        <f aca="false">IF(ISBLANK(RawFinancials!I565),"",RawFinancials!I565)</f>
        <v>0.98232378700023</v>
      </c>
      <c r="J565" s="0" t="n">
        <f aca="false">IF(ISBLANK(RawFinancials!J565),"",RawFinancials!J565)</f>
        <v>49678</v>
      </c>
      <c r="K565" s="0" t="n">
        <f aca="false">IF(ISBLANK(RawFinancials!K565),"",RawFinancials!K565)</f>
        <v>50753</v>
      </c>
      <c r="L565" s="0" t="n">
        <f aca="false">IF(ISBLANK(RawFinancials!L565),"",RawFinancials!L565)</f>
        <v>605503</v>
      </c>
      <c r="M565" s="0" t="n">
        <f aca="false">IF(ISBLANK(RawFinancials!M565),"",RawFinancials!M565)</f>
        <v>599555</v>
      </c>
      <c r="N565" s="0" t="n">
        <f aca="false">IF(ISBLANK(RawFinancials!N565),"",RawFinancials!N565)</f>
        <v>500065</v>
      </c>
      <c r="O565" s="0" t="n">
        <f aca="false">IF(ISBLANK(RawFinancials!O565),"",RawFinancials!O565)</f>
        <v>1698</v>
      </c>
      <c r="P565" s="0" t="str">
        <f aca="false">IF(ISBLANK(RawFinancials!P565),"",RawFinancials!P565)</f>
        <v>SKOWHEGAN SAVINGS BANK</v>
      </c>
      <c r="Q565" s="0" t="n">
        <f aca="false">IF(ISBLANK(RawFinancials!Q565),"",RawFinancials!Q565)</f>
        <v>0.280428007788566</v>
      </c>
      <c r="R565" s="0" t="n">
        <f aca="false">IF(ISBLANK(RawFinancials!R565),"",RawFinancials!R565)</f>
        <v>3.08744646214214</v>
      </c>
      <c r="S565" s="0" t="n">
        <f aca="false">IF(ISBLANK(RawFinancials!S565),"",RawFinancials!S565)</f>
        <v>57</v>
      </c>
      <c r="T565" s="0" t="n">
        <f aca="false">IF(ISBLANK(RawFinancials!T565),"",RawFinancials!T565)</f>
        <v>1374</v>
      </c>
      <c r="U565" s="0" t="n">
        <f aca="false">IF(ISBLANK(RawFinancials!U565),"",RawFinancials!U565)</f>
        <v>0</v>
      </c>
      <c r="V565" s="0" t="n">
        <f aca="false">IF(ISBLANK(RawFinancials!V565),"",RawFinancials!V565)</f>
        <v>21.3137628374641</v>
      </c>
      <c r="W565" s="0" t="n">
        <f aca="false">IF(ISBLANK(RawFinancials!W565),"",RawFinancials!W565)</f>
        <v>20240930</v>
      </c>
      <c r="X565" s="0" t="n">
        <f aca="false">IF(ISBLANK(RawFinancials!X565),"",RawFinancials!X565)</f>
        <v>0.89346683117121</v>
      </c>
      <c r="Y565" s="0" t="n">
        <f aca="false">IF(ISBLANK(RawFinancials!Y565),"",RawFinancials!Y565)</f>
        <v>7.91</v>
      </c>
      <c r="Z565" s="0" t="str">
        <f aca="false">IF(ISBLANK(RawFinancials!Z565),"",RawFinancials!Z565)</f>
        <v>ME</v>
      </c>
      <c r="AA565" s="0" t="n">
        <f aca="false">RawFinancials!AA565</f>
        <v>1</v>
      </c>
      <c r="AB565" s="0" t="n">
        <f aca="false">RawFinancials!AB565</f>
        <v>1698</v>
      </c>
      <c r="AC565" s="0" t="n">
        <f aca="false">RawFinancials!AC565</f>
        <v>0.195006098247242</v>
      </c>
      <c r="AD565" s="0" t="n">
        <f aca="false">IF(L565&gt;0,100*N565/L565,"")</f>
        <v>82.5867089015248</v>
      </c>
      <c r="AE565" s="0" t="n">
        <f aca="false">IF(B565&gt;0,100*F565/B565,"")</f>
        <v>12.1348229441097</v>
      </c>
      <c r="AF565" s="0" t="str">
        <f aca="false">RawFinancials!AE565</f>
        <v/>
      </c>
    </row>
    <row r="566" customFormat="false" ht="15" hidden="false" customHeight="false" outlineLevel="0" collapsed="false">
      <c r="A566" s="0" t="n">
        <f aca="false">IF(ISBLANK(RawFinancials!A566),"",RawFinancials!A566)</f>
        <v>566</v>
      </c>
      <c r="B566" s="0" t="n">
        <f aca="false">IF(ISBLANK(RawFinancials!B566),"",RawFinancials!B566)</f>
        <v>3939898</v>
      </c>
      <c r="C566" s="0" t="n">
        <f aca="false">IF(ISBLANK(RawFinancials!C566),"",RawFinancials!C566)</f>
        <v>19690</v>
      </c>
      <c r="D566" s="0" t="n">
        <f aca="false">IF(ISBLANK(RawFinancials!D566),"",RawFinancials!D566)</f>
        <v>3161567</v>
      </c>
      <c r="E566" s="0" t="n">
        <f aca="false">IF(ISBLANK(RawFinancials!E566),"",RawFinancials!E566)</f>
        <v>0.06</v>
      </c>
      <c r="F566" s="0" t="n">
        <f aca="false">IF(ISBLANK(RawFinancials!F566),"",RawFinancials!F566)</f>
        <v>392557</v>
      </c>
      <c r="G566" s="0" t="n">
        <f aca="false">IF(ISBLANK(RawFinancials!G566),"",RawFinancials!G566)</f>
        <v>9.96363357630071</v>
      </c>
      <c r="H566" s="0" t="str">
        <f aca="false">IF(ISBLANK(RawFinancials!H566),"",RawFinancials!H566)</f>
        <v>19690_20240930</v>
      </c>
      <c r="I566" s="0" t="n">
        <f aca="false">IF(ISBLANK(RawFinancials!I566),"",RawFinancials!I566)</f>
        <v>1.23956073421534</v>
      </c>
      <c r="J566" s="0" t="n">
        <f aca="false">IF(ISBLANK(RawFinancials!J566),"",RawFinancials!J566)</f>
        <v>90449</v>
      </c>
      <c r="K566" s="0" t="n">
        <f aca="false">IF(ISBLANK(RawFinancials!K566),"",RawFinancials!K566)</f>
        <v>223</v>
      </c>
      <c r="L566" s="0" t="n">
        <f aca="false">IF(ISBLANK(RawFinancials!L566),"",RawFinancials!L566)</f>
        <v>3520602</v>
      </c>
      <c r="M566" s="0" t="n">
        <f aca="false">IF(ISBLANK(RawFinancials!M566),"",RawFinancials!M566)</f>
        <v>3476962</v>
      </c>
      <c r="N566" s="0" t="n">
        <f aca="false">IF(ISBLANK(RawFinancials!N566),"",RawFinancials!N566)</f>
        <v>2821610</v>
      </c>
      <c r="O566" s="0" t="n">
        <f aca="false">IF(ISBLANK(RawFinancials!O566),"",RawFinancials!O566)</f>
        <v>37172</v>
      </c>
      <c r="P566" s="0" t="str">
        <f aca="false">IF(ISBLANK(RawFinancials!P566),"",RawFinancials!P566)</f>
        <v>NORTHEAST BANK</v>
      </c>
      <c r="Q566" s="0" t="n">
        <f aca="false">IF(ISBLANK(RawFinancials!Q566),"",RawFinancials!Q566)</f>
        <v>1.05584215426794</v>
      </c>
      <c r="R566" s="0" t="n">
        <f aca="false">IF(ISBLANK(RawFinancials!R566),"",RawFinancials!R566)</f>
        <v>4.79885538409899</v>
      </c>
      <c r="S566" s="0" t="n">
        <f aca="false">IF(ISBLANK(RawFinancials!S566),"",RawFinancials!S566)</f>
        <v>5198</v>
      </c>
      <c r="T566" s="0" t="n">
        <f aca="false">IF(ISBLANK(RawFinancials!T566),"",RawFinancials!T566)</f>
        <v>1367</v>
      </c>
      <c r="U566" s="0" t="n">
        <f aca="false">IF(ISBLANK(RawFinancials!U566),"",RawFinancials!U566)</f>
        <v>0</v>
      </c>
      <c r="V566" s="0" t="n">
        <f aca="false">IF(ISBLANK(RawFinancials!V566),"",RawFinancials!V566)</f>
        <v>12.6993196381174</v>
      </c>
      <c r="W566" s="0" t="n">
        <f aca="false">IF(ISBLANK(RawFinancials!W566),"",RawFinancials!W566)</f>
        <v>20240930</v>
      </c>
      <c r="X566" s="0" t="n">
        <f aca="false">IF(ISBLANK(RawFinancials!X566),"",RawFinancials!X566)</f>
        <v>1.88570349603423</v>
      </c>
      <c r="Y566" s="0" t="n">
        <f aca="false">IF(ISBLANK(RawFinancials!Y566),"",RawFinancials!Y566)</f>
        <v>16.98</v>
      </c>
      <c r="Z566" s="0" t="str">
        <f aca="false">IF(ISBLANK(RawFinancials!Z566),"",RawFinancials!Z566)</f>
        <v>ME</v>
      </c>
      <c r="AA566" s="0" t="n">
        <f aca="false">RawFinancials!AA566</f>
        <v>1</v>
      </c>
      <c r="AB566" s="0" t="n">
        <f aca="false">RawFinancials!AB566</f>
        <v>37172</v>
      </c>
      <c r="AC566" s="0" t="n">
        <f aca="false">RawFinancials!AC566</f>
        <v>0.943476201668165</v>
      </c>
      <c r="AD566" s="0" t="n">
        <f aca="false">IF(L566&gt;0,100*N566/L566,"")</f>
        <v>80.1456682692335</v>
      </c>
      <c r="AE566" s="0" t="n">
        <f aca="false">IF(B566&gt;0,100*F566/B566,"")</f>
        <v>9.96363357630071</v>
      </c>
      <c r="AF566" s="0" t="str">
        <f aca="false">RawFinancials!AE566</f>
        <v/>
      </c>
    </row>
    <row r="567" customFormat="false" ht="15" hidden="false" customHeight="false" outlineLevel="0" collapsed="false">
      <c r="A567" s="0" t="n">
        <f aca="false">IF(ISBLANK(RawFinancials!A567),"",RawFinancials!A567)</f>
        <v>567</v>
      </c>
      <c r="B567" s="0" t="n">
        <f aca="false">IF(ISBLANK(RawFinancials!B567),"",RawFinancials!B567)</f>
        <v>712547</v>
      </c>
      <c r="C567" s="0" t="n">
        <f aca="false">IF(ISBLANK(RawFinancials!C567),"",RawFinancials!C567)</f>
        <v>19836</v>
      </c>
      <c r="D567" s="0" t="n">
        <f aca="false">IF(ISBLANK(RawFinancials!D567),"",RawFinancials!D567)</f>
        <v>529260</v>
      </c>
      <c r="E567" s="0" t="n">
        <f aca="false">IF(ISBLANK(RawFinancials!E567),"",RawFinancials!E567)</f>
        <v>0.01</v>
      </c>
      <c r="F567" s="0" t="n">
        <f aca="false">IF(ISBLANK(RawFinancials!F567),"",RawFinancials!F567)</f>
        <v>125592</v>
      </c>
      <c r="G567" s="0" t="n">
        <f aca="false">IF(ISBLANK(RawFinancials!G567),"",RawFinancials!G567)</f>
        <v>17.6257846850804</v>
      </c>
      <c r="H567" s="0" t="str">
        <f aca="false">IF(ISBLANK(RawFinancials!H567),"",RawFinancials!H567)</f>
        <v>19836_20240930</v>
      </c>
      <c r="I567" s="0" t="n">
        <f aca="false">IF(ISBLANK(RawFinancials!I567),"",RawFinancials!I567)</f>
        <v>0.732983949244598</v>
      </c>
      <c r="J567" s="0" t="n">
        <f aca="false">IF(ISBLANK(RawFinancials!J567),"",RawFinancials!J567)</f>
        <v>45189</v>
      </c>
      <c r="K567" s="0" t="n">
        <f aca="false">IF(ISBLANK(RawFinancials!K567),"",RawFinancials!K567)</f>
        <v>11613</v>
      </c>
      <c r="L567" s="0" t="n">
        <f aca="false">IF(ISBLANK(RawFinancials!L567),"",RawFinancials!L567)</f>
        <v>608881</v>
      </c>
      <c r="M567" s="0" t="n">
        <f aca="false">IF(ISBLANK(RawFinancials!M567),"",RawFinancials!M567)</f>
        <v>604418</v>
      </c>
      <c r="N567" s="0" t="n">
        <f aca="false">IF(ISBLANK(RawFinancials!N567),"",RawFinancials!N567)</f>
        <v>548608</v>
      </c>
      <c r="O567" s="0" t="n">
        <f aca="false">IF(ISBLANK(RawFinancials!O567),"",RawFinancials!O567)</f>
        <v>5741</v>
      </c>
      <c r="P567" s="0" t="str">
        <f aca="false">IF(ISBLANK(RawFinancials!P567),"",RawFinancials!P567)</f>
        <v>FRANKLIN SAVINGS BANK</v>
      </c>
      <c r="Q567" s="0" t="n">
        <f aca="false">IF(ISBLANK(RawFinancials!Q567),"",RawFinancials!Q567)</f>
        <v>1.00101661901094</v>
      </c>
      <c r="R567" s="0" t="n">
        <f aca="false">IF(ISBLANK(RawFinancials!R567),"",RawFinancials!R567)</f>
        <v>3.61397468567174</v>
      </c>
      <c r="S567" s="0" t="n">
        <f aca="false">IF(ISBLANK(RawFinancials!S567),"",RawFinancials!S567)</f>
        <v>33</v>
      </c>
      <c r="T567" s="0" t="n">
        <f aca="false">IF(ISBLANK(RawFinancials!T567),"",RawFinancials!T567)</f>
        <v>1912</v>
      </c>
      <c r="U567" s="0" t="n">
        <f aca="false">IF(ISBLANK(RawFinancials!U567),"",RawFinancials!U567)</f>
        <v>354</v>
      </c>
      <c r="V567" s="0" t="n">
        <f aca="false">IF(ISBLANK(RawFinancials!V567),"",RawFinancials!V567)</f>
        <v>23.9355177549039</v>
      </c>
      <c r="W567" s="0" t="n">
        <f aca="false">IF(ISBLANK(RawFinancials!W567),"",RawFinancials!W567)</f>
        <v>20240930</v>
      </c>
      <c r="X567" s="0" t="n">
        <f aca="false">IF(ISBLANK(RawFinancials!X567),"",RawFinancials!X567)</f>
        <v>0.72911205784628</v>
      </c>
      <c r="Y567" s="0" t="n">
        <f aca="false">IF(ISBLANK(RawFinancials!Y567),"",RawFinancials!Y567)</f>
        <v>4.08</v>
      </c>
      <c r="Z567" s="0" t="str">
        <f aca="false">IF(ISBLANK(RawFinancials!Z567),"",RawFinancials!Z567)</f>
        <v>ME</v>
      </c>
      <c r="AA567" s="0" t="n">
        <f aca="false">RawFinancials!AA567</f>
        <v>1</v>
      </c>
      <c r="AB567" s="0" t="n">
        <f aca="false">RawFinancials!AB567</f>
        <v>6095</v>
      </c>
      <c r="AC567" s="0" t="n">
        <f aca="false">RawFinancials!AC567</f>
        <v>0.855382171281333</v>
      </c>
      <c r="AD567" s="0" t="n">
        <f aca="false">IF(L567&gt;0,100*N567/L567,"")</f>
        <v>90.1010213818464</v>
      </c>
      <c r="AE567" s="0" t="n">
        <f aca="false">IF(B567&gt;0,100*F567/B567,"")</f>
        <v>17.6257846850804</v>
      </c>
      <c r="AF567" s="0" t="str">
        <f aca="false">RawFinancials!AE567</f>
        <v/>
      </c>
    </row>
    <row r="568" customFormat="false" ht="15" hidden="false" customHeight="false" outlineLevel="0" collapsed="false">
      <c r="A568" s="0" t="n">
        <f aca="false">IF(ISBLANK(RawFinancials!A568),"",RawFinancials!A568)</f>
        <v>568</v>
      </c>
      <c r="B568" s="0" t="n">
        <f aca="false">IF(ISBLANK(RawFinancials!B568),"",RawFinancials!B568)</f>
        <v>1490469</v>
      </c>
      <c r="C568" s="0" t="n">
        <f aca="false">IF(ISBLANK(RawFinancials!C568),"",RawFinancials!C568)</f>
        <v>24540</v>
      </c>
      <c r="D568" s="0" t="n">
        <f aca="false">IF(ISBLANK(RawFinancials!D568),"",RawFinancials!D568)</f>
        <v>1197002</v>
      </c>
      <c r="E568" s="0" t="n">
        <f aca="false">IF(ISBLANK(RawFinancials!E568),"",RawFinancials!E568)</f>
        <v>0.05</v>
      </c>
      <c r="F568" s="0" t="n">
        <f aca="false">IF(ISBLANK(RawFinancials!F568),"",RawFinancials!F568)</f>
        <v>267573</v>
      </c>
      <c r="G568" s="0" t="n">
        <f aca="false">IF(ISBLANK(RawFinancials!G568),"",RawFinancials!G568)</f>
        <v>17.9522687154178</v>
      </c>
      <c r="H568" s="0" t="str">
        <f aca="false">IF(ISBLANK(RawFinancials!H568),"",RawFinancials!H568)</f>
        <v>24540_20240930</v>
      </c>
      <c r="I568" s="0" t="n">
        <f aca="false">IF(ISBLANK(RawFinancials!I568),"",RawFinancials!I568)</f>
        <v>0.96353540769226</v>
      </c>
      <c r="J568" s="0" t="n">
        <f aca="false">IF(ISBLANK(RawFinancials!J568),"",RawFinancials!J568)</f>
        <v>45011</v>
      </c>
      <c r="K568" s="0" t="n">
        <f aca="false">IF(ISBLANK(RawFinancials!K568),"",RawFinancials!K568)</f>
        <v>65</v>
      </c>
      <c r="L568" s="0" t="n">
        <f aca="false">IF(ISBLANK(RawFinancials!L568),"",RawFinancials!L568)</f>
        <v>1298136</v>
      </c>
      <c r="M568" s="0" t="n">
        <f aca="false">IF(ISBLANK(RawFinancials!M568),"",RawFinancials!M568)</f>
        <v>1285628</v>
      </c>
      <c r="N568" s="0" t="n">
        <f aca="false">IF(ISBLANK(RawFinancials!N568),"",RawFinancials!N568)</f>
        <v>1257005</v>
      </c>
      <c r="O568" s="0" t="n">
        <f aca="false">IF(ISBLANK(RawFinancials!O568),"",RawFinancials!O568)</f>
        <v>22568</v>
      </c>
      <c r="P568" s="0" t="str">
        <f aca="false">IF(ISBLANK(RawFinancials!P568),"",RawFinancials!P568)</f>
        <v>BANK OF NEW ENGLAND</v>
      </c>
      <c r="Q568" s="0" t="n">
        <f aca="false">IF(ISBLANK(RawFinancials!Q568),"",RawFinancials!Q568)</f>
        <v>1.738492731116</v>
      </c>
      <c r="R568" s="0" t="n">
        <f aca="false">IF(ISBLANK(RawFinancials!R568),"",RawFinancials!R568)</f>
        <v>4.3092921578505</v>
      </c>
      <c r="S568" s="0" t="n">
        <f aca="false">IF(ISBLANK(RawFinancials!S568),"",RawFinancials!S568)</f>
        <v>5</v>
      </c>
      <c r="T568" s="0" t="n">
        <f aca="false">IF(ISBLANK(RawFinancials!T568),"",RawFinancials!T568)</f>
        <v>0</v>
      </c>
      <c r="U568" s="0" t="n">
        <f aca="false">IF(ISBLANK(RawFinancials!U568),"",RawFinancials!U568)</f>
        <v>0</v>
      </c>
      <c r="V568" s="0" t="n">
        <f aca="false">IF(ISBLANK(RawFinancials!V568),"",RawFinancials!V568)</f>
        <v>19.0478995737024</v>
      </c>
      <c r="W568" s="0" t="n">
        <f aca="false">IF(ISBLANK(RawFinancials!W568),"",RawFinancials!W568)</f>
        <v>20240930</v>
      </c>
      <c r="X568" s="0" t="n">
        <f aca="false">IF(ISBLANK(RawFinancials!X568),"",RawFinancials!X568)</f>
        <v>2.09759403529842</v>
      </c>
      <c r="Y568" s="0" t="n">
        <f aca="false">IF(ISBLANK(RawFinancials!Y568),"",RawFinancials!Y568)</f>
        <v>11.77</v>
      </c>
      <c r="Z568" s="0" t="str">
        <f aca="false">IF(ISBLANK(RawFinancials!Z568),"",RawFinancials!Z568)</f>
        <v>NH</v>
      </c>
      <c r="AA568" s="0" t="n">
        <f aca="false">RawFinancials!AA568</f>
        <v>1</v>
      </c>
      <c r="AB568" s="0" t="n">
        <f aca="false">RawFinancials!AB568</f>
        <v>22568</v>
      </c>
      <c r="AC568" s="0" t="n">
        <f aca="false">RawFinancials!AC568</f>
        <v>1.51415426956213</v>
      </c>
      <c r="AD568" s="0" t="n">
        <f aca="false">IF(L568&gt;0,100*N568/L568,"")</f>
        <v>96.8315338300456</v>
      </c>
      <c r="AE568" s="0" t="n">
        <f aca="false">IF(B568&gt;0,100*F568/B568,"")</f>
        <v>17.9522687154178</v>
      </c>
      <c r="AF568" s="0" t="str">
        <f aca="false">RawFinancials!AE568</f>
        <v/>
      </c>
    </row>
    <row r="569" customFormat="false" ht="15" hidden="false" customHeight="false" outlineLevel="0" collapsed="false">
      <c r="A569" s="0" t="n">
        <f aca="false">IF(ISBLANK(RawFinancials!A569),"",RawFinancials!A569)</f>
        <v>569</v>
      </c>
      <c r="B569" s="0" t="n">
        <f aca="false">IF(ISBLANK(RawFinancials!B569),"",RawFinancials!B569)</f>
        <v>565595</v>
      </c>
      <c r="C569" s="0" t="n">
        <f aca="false">IF(ISBLANK(RawFinancials!C569),"",RawFinancials!C569)</f>
        <v>27824</v>
      </c>
      <c r="D569" s="0" t="n">
        <f aca="false">IF(ISBLANK(RawFinancials!D569),"",RawFinancials!D569)</f>
        <v>371884</v>
      </c>
      <c r="E569" s="0" t="n">
        <f aca="false">IF(ISBLANK(RawFinancials!E569),"",RawFinancials!E569)</f>
        <v>0.02</v>
      </c>
      <c r="F569" s="0" t="n">
        <f aca="false">IF(ISBLANK(RawFinancials!F569),"",RawFinancials!F569)</f>
        <v>63535</v>
      </c>
      <c r="G569" s="0" t="n">
        <f aca="false">IF(ISBLANK(RawFinancials!G569),"",RawFinancials!G569)</f>
        <v>11.2333029818156</v>
      </c>
      <c r="H569" s="0" t="str">
        <f aca="false">IF(ISBLANK(RawFinancials!H569),"",RawFinancials!H569)</f>
        <v>27824_20240930</v>
      </c>
      <c r="I569" s="0" t="n">
        <f aca="false">IF(ISBLANK(RawFinancials!I569),"",RawFinancials!I569)</f>
        <v>0.603999171023423</v>
      </c>
      <c r="J569" s="0" t="n">
        <f aca="false">IF(ISBLANK(RawFinancials!J569),"",RawFinancials!J569)</f>
        <v>18226</v>
      </c>
      <c r="K569" s="0" t="n">
        <f aca="false">IF(ISBLANK(RawFinancials!K569),"",RawFinancials!K569)</f>
        <v>42626</v>
      </c>
      <c r="L569" s="0" t="n">
        <f aca="false">IF(ISBLANK(RawFinancials!L569),"",RawFinancials!L569)</f>
        <v>468047</v>
      </c>
      <c r="M569" s="0" t="n">
        <f aca="false">IF(ISBLANK(RawFinancials!M569),"",RawFinancials!M569)</f>
        <v>465220</v>
      </c>
      <c r="N569" s="0" t="n">
        <f aca="false">IF(ISBLANK(RawFinancials!N569),"",RawFinancials!N569)</f>
        <v>407195</v>
      </c>
      <c r="O569" s="0" t="n">
        <f aca="false">IF(ISBLANK(RawFinancials!O569),"",RawFinancials!O569)</f>
        <v>2900</v>
      </c>
      <c r="P569" s="0" t="str">
        <f aca="false">IF(ISBLANK(RawFinancials!P569),"",RawFinancials!P569)</f>
        <v>SALEM CO-OPERATIVE BANK</v>
      </c>
      <c r="Q569" s="0" t="n">
        <f aca="false">IF(ISBLANK(RawFinancials!Q569),"",RawFinancials!Q569)</f>
        <v>0.619595895284021</v>
      </c>
      <c r="R569" s="0" t="n">
        <f aca="false">IF(ISBLANK(RawFinancials!R569),"",RawFinancials!R569)</f>
        <v>1.60859037600862</v>
      </c>
      <c r="S569" s="0" t="n">
        <f aca="false">IF(ISBLANK(RawFinancials!S569),"",RawFinancials!S569)</f>
        <v>183</v>
      </c>
      <c r="T569" s="0" t="n">
        <f aca="false">IF(ISBLANK(RawFinancials!T569),"",RawFinancials!T569)</f>
        <v>3537</v>
      </c>
      <c r="U569" s="0" t="n">
        <f aca="false">IF(ISBLANK(RawFinancials!U569),"",RawFinancials!U569)</f>
        <v>0</v>
      </c>
      <c r="V569" s="0" t="n">
        <f aca="false">IF(ISBLANK(RawFinancials!V569),"",RawFinancials!V569)</f>
        <v>19.3955916631453</v>
      </c>
      <c r="W569" s="0" t="n">
        <f aca="false">IF(ISBLANK(RawFinancials!W569),"",RawFinancials!W569)</f>
        <v>20240930</v>
      </c>
      <c r="X569" s="0" t="n">
        <f aca="false">IF(ISBLANK(RawFinancials!X569),"",RawFinancials!X569)</f>
        <v>-0.656895429386435</v>
      </c>
      <c r="Y569" s="0" t="n">
        <f aca="false">IF(ISBLANK(RawFinancials!Y569),"",RawFinancials!Y569)</f>
        <v>-5.61</v>
      </c>
      <c r="Z569" s="0" t="str">
        <f aca="false">IF(ISBLANK(RawFinancials!Z569),"",RawFinancials!Z569)</f>
        <v>NH</v>
      </c>
      <c r="AA569" s="0" t="n">
        <f aca="false">RawFinancials!AA569</f>
        <v>1</v>
      </c>
      <c r="AB569" s="0" t="n">
        <f aca="false">RawFinancials!AB569</f>
        <v>2900</v>
      </c>
      <c r="AC569" s="0" t="n">
        <f aca="false">RawFinancials!AC569</f>
        <v>0.512734377071933</v>
      </c>
      <c r="AD569" s="0" t="n">
        <f aca="false">IF(L569&gt;0,100*N569/L569,"")</f>
        <v>86.9987415793713</v>
      </c>
      <c r="AE569" s="0" t="n">
        <f aca="false">IF(B569&gt;0,100*F569/B569,"")</f>
        <v>11.2333029818156</v>
      </c>
      <c r="AF569" s="0" t="str">
        <f aca="false">RawFinancials!AE569</f>
        <v/>
      </c>
    </row>
    <row r="570" customFormat="false" ht="15" hidden="false" customHeight="false" outlineLevel="0" collapsed="false">
      <c r="A570" s="0" t="n">
        <f aca="false">IF(ISBLANK(RawFinancials!A570),"",RawFinancials!A570)</f>
        <v>570</v>
      </c>
      <c r="B570" s="0" t="n">
        <f aca="false">IF(ISBLANK(RawFinancials!B570),"",RawFinancials!B570)</f>
        <v>298193</v>
      </c>
      <c r="C570" s="0" t="n">
        <f aca="false">IF(ISBLANK(RawFinancials!C570),"",RawFinancials!C570)</f>
        <v>28155</v>
      </c>
      <c r="D570" s="0" t="n">
        <f aca="false">IF(ISBLANK(RawFinancials!D570),"",RawFinancials!D570)</f>
        <v>259984</v>
      </c>
      <c r="E570" s="0" t="n">
        <f aca="false">IF(ISBLANK(RawFinancials!E570),"",RawFinancials!E570)</f>
        <v>-0.01</v>
      </c>
      <c r="F570" s="0" t="n">
        <f aca="false">IF(ISBLANK(RawFinancials!F570),"",RawFinancials!F570)</f>
        <v>27490</v>
      </c>
      <c r="G570" s="0" t="n">
        <f aca="false">IF(ISBLANK(RawFinancials!G570),"",RawFinancials!G570)</f>
        <v>9.2188616097628</v>
      </c>
      <c r="H570" s="0" t="str">
        <f aca="false">IF(ISBLANK(RawFinancials!H570),"",RawFinancials!H570)</f>
        <v>28155_20240930</v>
      </c>
      <c r="I570" s="0" t="n">
        <f aca="false">IF(ISBLANK(RawFinancials!I570),"",RawFinancials!I570)</f>
        <v>0.453786351857184</v>
      </c>
      <c r="J570" s="0" t="n">
        <f aca="false">IF(ISBLANK(RawFinancials!J570),"",RawFinancials!J570)</f>
        <v>10105</v>
      </c>
      <c r="K570" s="0" t="n">
        <f aca="false">IF(ISBLANK(RawFinancials!K570),"",RawFinancials!K570)</f>
        <v>6248</v>
      </c>
      <c r="L570" s="0" t="n">
        <f aca="false">IF(ISBLANK(RawFinancials!L570),"",RawFinancials!L570)</f>
        <v>173650</v>
      </c>
      <c r="M570" s="0" t="n">
        <f aca="false">IF(ISBLANK(RawFinancials!M570),"",RawFinancials!M570)</f>
        <v>172862</v>
      </c>
      <c r="N570" s="0" t="n">
        <f aca="false">IF(ISBLANK(RawFinancials!N570),"",RawFinancials!N570)</f>
        <v>156786</v>
      </c>
      <c r="O570" s="0" t="n">
        <f aca="false">IF(ISBLANK(RawFinancials!O570),"",RawFinancials!O570)</f>
        <v>46</v>
      </c>
      <c r="P570" s="0" t="str">
        <f aca="false">IF(ISBLANK(RawFinancials!P570),"",RawFinancials!P570)</f>
        <v>PROFILE BANK</v>
      </c>
      <c r="Q570" s="0" t="n">
        <f aca="false">IF(ISBLANK(RawFinancials!Q570),"",RawFinancials!Q570)</f>
        <v>0.0264900662251655</v>
      </c>
      <c r="R570" s="0" t="n">
        <f aca="false">IF(ISBLANK(RawFinancials!R570),"",RawFinancials!R570)</f>
        <v>2.42072302479044</v>
      </c>
      <c r="S570" s="0" t="n">
        <f aca="false">IF(ISBLANK(RawFinancials!S570),"",RawFinancials!S570)</f>
        <v>1</v>
      </c>
      <c r="T570" s="0" t="n">
        <f aca="false">IF(ISBLANK(RawFinancials!T570),"",RawFinancials!T570)</f>
        <v>1482</v>
      </c>
      <c r="U570" s="0" t="n">
        <f aca="false">IF(ISBLANK(RawFinancials!U570),"",RawFinancials!U570)</f>
        <v>0</v>
      </c>
      <c r="V570" s="0" t="n">
        <f aca="false">IF(ISBLANK(RawFinancials!V570),"",RawFinancials!V570)</f>
        <v>17.5684475088697</v>
      </c>
      <c r="W570" s="0" t="n">
        <f aca="false">IF(ISBLANK(RawFinancials!W570),"",RawFinancials!W570)</f>
        <v>20240930</v>
      </c>
      <c r="X570" s="0" t="n">
        <f aca="false">IF(ISBLANK(RawFinancials!X570),"",RawFinancials!X570)</f>
        <v>0</v>
      </c>
      <c r="Y570" s="0" t="n">
        <f aca="false">IF(ISBLANK(RawFinancials!Y570),"",RawFinancials!Y570)</f>
        <v>0</v>
      </c>
      <c r="Z570" s="0" t="str">
        <f aca="false">IF(ISBLANK(RawFinancials!Z570),"",RawFinancials!Z570)</f>
        <v>NH</v>
      </c>
      <c r="AA570" s="0" t="n">
        <f aca="false">RawFinancials!AA570</f>
        <v>1</v>
      </c>
      <c r="AB570" s="0" t="n">
        <f aca="false">RawFinancials!AB570</f>
        <v>46</v>
      </c>
      <c r="AC570" s="0" t="n">
        <f aca="false">RawFinancials!AC570</f>
        <v>0.0154262507838883</v>
      </c>
      <c r="AD570" s="0" t="n">
        <f aca="false">IF(L570&gt;0,100*N570/L570,"")</f>
        <v>90.2885113734524</v>
      </c>
      <c r="AE570" s="0" t="n">
        <f aca="false">IF(B570&gt;0,100*F570/B570,"")</f>
        <v>9.2188616097628</v>
      </c>
      <c r="AF570" s="0" t="str">
        <f aca="false">RawFinancials!AE570</f>
        <v/>
      </c>
    </row>
    <row r="571" customFormat="false" ht="15" hidden="false" customHeight="false" outlineLevel="0" collapsed="false">
      <c r="A571" s="0" t="n">
        <f aca="false">IF(ISBLANK(RawFinancials!A571),"",RawFinancials!A571)</f>
        <v>571</v>
      </c>
      <c r="B571" s="0" t="n">
        <f aca="false">IF(ISBLANK(RawFinancials!B571),"",RawFinancials!B571)</f>
        <v>102402</v>
      </c>
      <c r="C571" s="0" t="n">
        <f aca="false">IF(ISBLANK(RawFinancials!C571),"",RawFinancials!C571)</f>
        <v>28288</v>
      </c>
      <c r="D571" s="0" t="n">
        <f aca="false">IF(ISBLANK(RawFinancials!D571),"",RawFinancials!D571)</f>
        <v>74874</v>
      </c>
      <c r="E571" s="0" t="n">
        <f aca="false">IF(ISBLANK(RawFinancials!E571),"",RawFinancials!E571)</f>
        <v>-0.05</v>
      </c>
      <c r="F571" s="0" t="n">
        <f aca="false">IF(ISBLANK(RawFinancials!F571),"",RawFinancials!F571)</f>
        <v>6447</v>
      </c>
      <c r="G571" s="0" t="n">
        <f aca="false">IF(ISBLANK(RawFinancials!G571),"",RawFinancials!G571)</f>
        <v>6.29577547313529</v>
      </c>
      <c r="H571" s="0" t="str">
        <f aca="false">IF(ISBLANK(RawFinancials!H571),"",RawFinancials!H571)</f>
        <v>28288_20240930</v>
      </c>
      <c r="I571" s="0" t="n">
        <f aca="false">IF(ISBLANK(RawFinancials!I571),"",RawFinancials!I571)</f>
        <v>1.03295075897816</v>
      </c>
      <c r="J571" s="0" t="n">
        <f aca="false">IF(ISBLANK(RawFinancials!J571),"",RawFinancials!J571)</f>
        <v>4248</v>
      </c>
      <c r="K571" s="0" t="n">
        <f aca="false">IF(ISBLANK(RawFinancials!K571),"",RawFinancials!K571)</f>
        <v>2557</v>
      </c>
      <c r="L571" s="0" t="n">
        <f aca="false">IF(ISBLANK(RawFinancials!L571),"",RawFinancials!L571)</f>
        <v>81030</v>
      </c>
      <c r="M571" s="0" t="n">
        <f aca="false">IF(ISBLANK(RawFinancials!M571),"",RawFinancials!M571)</f>
        <v>80193</v>
      </c>
      <c r="N571" s="0" t="n">
        <f aca="false">IF(ISBLANK(RawFinancials!N571),"",RawFinancials!N571)</f>
        <v>74225</v>
      </c>
      <c r="O571" s="0" t="n">
        <f aca="false">IF(ISBLANK(RawFinancials!O571),"",RawFinancials!O571)</f>
        <v>140</v>
      </c>
      <c r="P571" s="0" t="str">
        <f aca="false">IF(ISBLANK(RawFinancials!P571),"",RawFinancials!P571)</f>
        <v>AUBURN SAVINGS BANK, FSB</v>
      </c>
      <c r="Q571" s="0" t="n">
        <f aca="false">IF(ISBLANK(RawFinancials!Q571),"",RawFinancials!Q571)</f>
        <v>0.172775515241269</v>
      </c>
      <c r="R571" s="0" t="n">
        <f aca="false">IF(ISBLANK(RawFinancials!R571),"",RawFinancials!R571)</f>
        <v>2.64944575444701</v>
      </c>
      <c r="S571" s="0" t="n">
        <f aca="false">IF(ISBLANK(RawFinancials!S571),"",RawFinancials!S571)</f>
        <v>0</v>
      </c>
      <c r="T571" s="0" t="n">
        <f aca="false">IF(ISBLANK(RawFinancials!T571),"",RawFinancials!T571)</f>
        <v>6</v>
      </c>
      <c r="U571" s="0" t="n">
        <f aca="false">IF(ISBLANK(RawFinancials!U571),"",RawFinancials!U571)</f>
        <v>0</v>
      </c>
      <c r="V571" s="0" t="n">
        <f aca="false">IF(ISBLANK(RawFinancials!V571),"",RawFinancials!V571)</f>
        <v>13.3806203414282</v>
      </c>
      <c r="W571" s="0" t="n">
        <f aca="false">IF(ISBLANK(RawFinancials!W571),"",RawFinancials!W571)</f>
        <v>20240930</v>
      </c>
      <c r="X571" s="0" t="n">
        <f aca="false">IF(ISBLANK(RawFinancials!X571),"",RawFinancials!X571)</f>
        <v>0.0863646888497337</v>
      </c>
      <c r="Y571" s="0" t="n">
        <f aca="false">IF(ISBLANK(RawFinancials!Y571),"",RawFinancials!Y571)</f>
        <v>1.47</v>
      </c>
      <c r="Z571" s="0" t="str">
        <f aca="false">IF(ISBLANK(RawFinancials!Z571),"",RawFinancials!Z571)</f>
        <v>ME</v>
      </c>
      <c r="AA571" s="0" t="n">
        <f aca="false">RawFinancials!AA571</f>
        <v>1</v>
      </c>
      <c r="AB571" s="0" t="n">
        <f aca="false">RawFinancials!AB571</f>
        <v>140</v>
      </c>
      <c r="AC571" s="0" t="n">
        <f aca="false">RawFinancials!AC571</f>
        <v>0.136716079764067</v>
      </c>
      <c r="AD571" s="0" t="n">
        <f aca="false">IF(L571&gt;0,100*N571/L571,"")</f>
        <v>91.6018758484512</v>
      </c>
      <c r="AE571" s="0" t="n">
        <f aca="false">IF(B571&gt;0,100*F571/B571,"")</f>
        <v>6.29577547313529</v>
      </c>
      <c r="AF571" s="0" t="str">
        <f aca="false">RawFinancials!AE571</f>
        <v/>
      </c>
    </row>
    <row r="572" customFormat="false" ht="15" hidden="false" customHeight="false" outlineLevel="0" collapsed="false">
      <c r="A572" s="0" t="n">
        <f aca="false">IF(ISBLANK(RawFinancials!A572),"",RawFinancials!A572)</f>
        <v>572</v>
      </c>
      <c r="B572" s="0" t="n">
        <f aca="false">IF(ISBLANK(RawFinancials!B572),"",RawFinancials!B572)</f>
        <v>94545</v>
      </c>
      <c r="C572" s="0" t="n">
        <f aca="false">IF(ISBLANK(RawFinancials!C572),"",RawFinancials!C572)</f>
        <v>28369</v>
      </c>
      <c r="D572" s="0" t="n">
        <f aca="false">IF(ISBLANK(RawFinancials!D572),"",RawFinancials!D572)</f>
        <v>75881</v>
      </c>
      <c r="E572" s="0" t="n">
        <f aca="false">IF(ISBLANK(RawFinancials!E572),"",RawFinancials!E572)</f>
        <v>0.02</v>
      </c>
      <c r="F572" s="0" t="n">
        <f aca="false">IF(ISBLANK(RawFinancials!F572),"",RawFinancials!F572)</f>
        <v>9202</v>
      </c>
      <c r="G572" s="0" t="n">
        <f aca="false">IF(ISBLANK(RawFinancials!G572),"",RawFinancials!G572)</f>
        <v>9.73293140832408</v>
      </c>
      <c r="H572" s="0" t="str">
        <f aca="false">IF(ISBLANK(RawFinancials!H572),"",RawFinancials!H572)</f>
        <v>28369_20240930</v>
      </c>
      <c r="I572" s="0" t="n">
        <f aca="false">IF(ISBLANK(RawFinancials!I572),"",RawFinancials!I572)</f>
        <v>0.739091064829544</v>
      </c>
      <c r="J572" s="0" t="n">
        <f aca="false">IF(ISBLANK(RawFinancials!J572),"",RawFinancials!J572)</f>
        <v>12366</v>
      </c>
      <c r="K572" s="0" t="n">
        <f aca="false">IF(ISBLANK(RawFinancials!K572),"",RawFinancials!K572)</f>
        <v>720</v>
      </c>
      <c r="L572" s="0" t="n">
        <f aca="false">IF(ISBLANK(RawFinancials!L572),"",RawFinancials!L572)</f>
        <v>81722</v>
      </c>
      <c r="M572" s="0" t="n">
        <f aca="false">IF(ISBLANK(RawFinancials!M572),"",RawFinancials!M572)</f>
        <v>81118</v>
      </c>
      <c r="N572" s="0" t="n">
        <f aca="false">IF(ISBLANK(RawFinancials!N572),"",RawFinancials!N572)</f>
        <v>68636</v>
      </c>
      <c r="O572" s="0" t="n">
        <f aca="false">IF(ISBLANK(RawFinancials!O572),"",RawFinancials!O572)</f>
        <v>135</v>
      </c>
      <c r="P572" s="0" t="str">
        <f aca="false">IF(ISBLANK(RawFinancials!P572),"",RawFinancials!P572)</f>
        <v>ROCKLAND SAVINGS BANK, FSB</v>
      </c>
      <c r="Q572" s="0" t="n">
        <f aca="false">IF(ISBLANK(RawFinancials!Q572),"",RawFinancials!Q572)</f>
        <v>0.165194194953623</v>
      </c>
      <c r="R572" s="0" t="n">
        <f aca="false">IF(ISBLANK(RawFinancials!R572),"",RawFinancials!R572)</f>
        <v>2.86311227272601</v>
      </c>
      <c r="S572" s="0" t="n">
        <f aca="false">IF(ISBLANK(RawFinancials!S572),"",RawFinancials!S572)</f>
        <v>-3</v>
      </c>
      <c r="T572" s="0" t="n">
        <f aca="false">IF(ISBLANK(RawFinancials!T572),"",RawFinancials!T572)</f>
        <v>232</v>
      </c>
      <c r="U572" s="0" t="n">
        <f aca="false">IF(ISBLANK(RawFinancials!U572),"",RawFinancials!U572)</f>
        <v>0</v>
      </c>
      <c r="V572" s="0" t="n">
        <f aca="false">IF(ISBLANK(RawFinancials!V572),"",RawFinancials!V572)</f>
        <v>13.8902686836758</v>
      </c>
      <c r="W572" s="0" t="n">
        <f aca="false">IF(ISBLANK(RawFinancials!W572),"",RawFinancials!W572)</f>
        <v>20240930</v>
      </c>
      <c r="X572" s="0" t="n">
        <f aca="false">IF(ISBLANK(RawFinancials!X572),"",RawFinancials!X572)</f>
        <v>-0.208082630553586</v>
      </c>
      <c r="Y572" s="0" t="n">
        <f aca="false">IF(ISBLANK(RawFinancials!Y572),"",RawFinancials!Y572)</f>
        <v>-2.13</v>
      </c>
      <c r="Z572" s="0" t="str">
        <f aca="false">IF(ISBLANK(RawFinancials!Z572),"",RawFinancials!Z572)</f>
        <v>ME</v>
      </c>
      <c r="AA572" s="0" t="n">
        <f aca="false">RawFinancials!AA572</f>
        <v>1</v>
      </c>
      <c r="AB572" s="0" t="n">
        <f aca="false">RawFinancials!AB572</f>
        <v>135</v>
      </c>
      <c r="AC572" s="0" t="n">
        <f aca="false">RawFinancials!AC572</f>
        <v>0.14278914802475</v>
      </c>
      <c r="AD572" s="0" t="n">
        <f aca="false">IF(L572&gt;0,100*N572/L572,"")</f>
        <v>83.9871760358288</v>
      </c>
      <c r="AE572" s="0" t="n">
        <f aca="false">IF(B572&gt;0,100*F572/B572,"")</f>
        <v>9.73293140832408</v>
      </c>
      <c r="AF572" s="0" t="str">
        <f aca="false">RawFinancials!AE572</f>
        <v/>
      </c>
    </row>
    <row r="573" customFormat="false" ht="15" hidden="false" customHeight="false" outlineLevel="0" collapsed="false">
      <c r="A573" s="0" t="n">
        <f aca="false">IF(ISBLANK(RawFinancials!A573),"",RawFinancials!A573)</f>
        <v>573</v>
      </c>
      <c r="B573" s="0" t="n">
        <f aca="false">IF(ISBLANK(RawFinancials!B573),"",RawFinancials!B573)</f>
        <v>283014</v>
      </c>
      <c r="C573" s="0" t="n">
        <f aca="false">IF(ISBLANK(RawFinancials!C573),"",RawFinancials!C573)</f>
        <v>28837</v>
      </c>
      <c r="D573" s="0" t="n">
        <f aca="false">IF(ISBLANK(RawFinancials!D573),"",RawFinancials!D573)</f>
        <v>251476</v>
      </c>
      <c r="E573" s="0" t="n">
        <f aca="false">IF(ISBLANK(RawFinancials!E573),"",RawFinancials!E573)</f>
        <v>-0.07</v>
      </c>
      <c r="F573" s="0" t="n">
        <f aca="false">IF(ISBLANK(RawFinancials!F573),"",RawFinancials!F573)</f>
        <v>28217</v>
      </c>
      <c r="G573" s="0" t="n">
        <f aca="false">IF(ISBLANK(RawFinancials!G573),"",RawFinancials!G573)</f>
        <v>9.97017815373091</v>
      </c>
      <c r="H573" s="0" t="str">
        <f aca="false">IF(ISBLANK(RawFinancials!H573),"",RawFinancials!H573)</f>
        <v>28837_20240930</v>
      </c>
      <c r="I573" s="0" t="n">
        <f aca="false">IF(ISBLANK(RawFinancials!I573),"",RawFinancials!I573)</f>
        <v>1.12678821191078</v>
      </c>
      <c r="J573" s="0" t="n">
        <f aca="false">IF(ISBLANK(RawFinancials!J573),"",RawFinancials!J573)</f>
        <v>6862</v>
      </c>
      <c r="K573" s="0" t="n">
        <f aca="false">IF(ISBLANK(RawFinancials!K573),"",RawFinancials!K573)</f>
        <v>1628</v>
      </c>
      <c r="L573" s="0" t="n">
        <f aca="false">IF(ISBLANK(RawFinancials!L573),"",RawFinancials!L573)</f>
        <v>203765</v>
      </c>
      <c r="M573" s="0" t="n">
        <f aca="false">IF(ISBLANK(RawFinancials!M573),"",RawFinancials!M573)</f>
        <v>201469</v>
      </c>
      <c r="N573" s="0" t="n">
        <f aca="false">IF(ISBLANK(RawFinancials!N573),"",RawFinancials!N573)</f>
        <v>194609</v>
      </c>
      <c r="O573" s="0" t="n">
        <f aca="false">IF(ISBLANK(RawFinancials!O573),"",RawFinancials!O573)</f>
        <v>30</v>
      </c>
      <c r="P573" s="0" t="str">
        <f aca="false">IF(ISBLANK(RawFinancials!P573),"",RawFinancials!P573)</f>
        <v>THE BRATTLEBORO SAVINGS AND LOAN ASSOCIATION</v>
      </c>
      <c r="Q573" s="0" t="n">
        <f aca="false">IF(ISBLANK(RawFinancials!Q573),"",RawFinancials!Q573)</f>
        <v>0.0147228424901234</v>
      </c>
      <c r="R573" s="0" t="n">
        <f aca="false">IF(ISBLANK(RawFinancials!R573),"",RawFinancials!R573)</f>
        <v>3.77863202834045</v>
      </c>
      <c r="S573" s="0" t="n">
        <f aca="false">IF(ISBLANK(RawFinancials!S573),"",RawFinancials!S573)</f>
        <v>-56</v>
      </c>
      <c r="T573" s="0" t="n">
        <f aca="false">IF(ISBLANK(RawFinancials!T573),"",RawFinancials!T573)</f>
        <v>79</v>
      </c>
      <c r="U573" s="0" t="n">
        <f aca="false">IF(ISBLANK(RawFinancials!U573),"",RawFinancials!U573)</f>
        <v>0</v>
      </c>
      <c r="V573" s="0" t="n">
        <f aca="false">IF(ISBLANK(RawFinancials!V573),"",RawFinancials!V573)</f>
        <v>17.7307318906392</v>
      </c>
      <c r="W573" s="0" t="n">
        <f aca="false">IF(ISBLANK(RawFinancials!W573),"",RawFinancials!W573)</f>
        <v>20240930</v>
      </c>
      <c r="X573" s="0" t="n">
        <f aca="false">IF(ISBLANK(RawFinancials!X573),"",RawFinancials!X573)</f>
        <v>0.88534503400353</v>
      </c>
      <c r="Y573" s="0" t="n">
        <f aca="false">IF(ISBLANK(RawFinancials!Y573),"",RawFinancials!Y573)</f>
        <v>9.3</v>
      </c>
      <c r="Z573" s="0" t="str">
        <f aca="false">IF(ISBLANK(RawFinancials!Z573),"",RawFinancials!Z573)</f>
        <v>VT</v>
      </c>
      <c r="AA573" s="0" t="n">
        <f aca="false">RawFinancials!AA573</f>
        <v>1</v>
      </c>
      <c r="AB573" s="0" t="n">
        <f aca="false">RawFinancials!AB573</f>
        <v>30</v>
      </c>
      <c r="AC573" s="0" t="n">
        <f aca="false">RawFinancials!AC573</f>
        <v>0.010600182323136</v>
      </c>
      <c r="AD573" s="0" t="n">
        <f aca="false">IF(L573&gt;0,100*N573/L573,"")</f>
        <v>95.5065884720143</v>
      </c>
      <c r="AE573" s="0" t="n">
        <f aca="false">IF(B573&gt;0,100*F573/B573,"")</f>
        <v>9.97017815373091</v>
      </c>
      <c r="AF573" s="0" t="str">
        <f aca="false">RawFinancials!AE573</f>
        <v/>
      </c>
    </row>
    <row r="574" customFormat="false" ht="15" hidden="false" customHeight="false" outlineLevel="0" collapsed="false">
      <c r="A574" s="0" t="n">
        <f aca="false">IF(ISBLANK(RawFinancials!A574),"",RawFinancials!A574)</f>
        <v>574</v>
      </c>
      <c r="B574" s="0" t="n">
        <f aca="false">IF(ISBLANK(RawFinancials!B574),"",RawFinancials!B574)</f>
        <v>181616</v>
      </c>
      <c r="C574" s="0" t="n">
        <f aca="false">IF(ISBLANK(RawFinancials!C574),"",RawFinancials!C574)</f>
        <v>29636</v>
      </c>
      <c r="D574" s="0" t="n">
        <f aca="false">IF(ISBLANK(RawFinancials!D574),"",RawFinancials!D574)</f>
        <v>140789</v>
      </c>
      <c r="E574" s="0" t="n">
        <f aca="false">IF(ISBLANK(RawFinancials!E574),"",RawFinancials!E574)</f>
        <v>0.04</v>
      </c>
      <c r="F574" s="0" t="n">
        <f aca="false">IF(ISBLANK(RawFinancials!F574),"",RawFinancials!F574)</f>
        <v>26607</v>
      </c>
      <c r="G574" s="0" t="n">
        <f aca="false">IF(ISBLANK(RawFinancials!G574),"",RawFinancials!G574)</f>
        <v>14.6501409567439</v>
      </c>
      <c r="H574" s="0" t="str">
        <f aca="false">IF(ISBLANK(RawFinancials!H574),"",RawFinancials!H574)</f>
        <v>29636_20240930</v>
      </c>
      <c r="I574" s="0" t="n">
        <f aca="false">IF(ISBLANK(RawFinancials!I574),"",RawFinancials!I574)</f>
        <v>1.40185912711191</v>
      </c>
      <c r="J574" s="0" t="n">
        <f aca="false">IF(ISBLANK(RawFinancials!J574),"",RawFinancials!J574)</f>
        <v>1634</v>
      </c>
      <c r="K574" s="0" t="n">
        <f aca="false">IF(ISBLANK(RawFinancials!K574),"",RawFinancials!K574)</f>
        <v>1790</v>
      </c>
      <c r="L574" s="0" t="n">
        <f aca="false">IF(ISBLANK(RawFinancials!L574),"",RawFinancials!L574)</f>
        <v>139743</v>
      </c>
      <c r="M574" s="0" t="n">
        <f aca="false">IF(ISBLANK(RawFinancials!M574),"",RawFinancials!M574)</f>
        <v>137784</v>
      </c>
      <c r="N574" s="0" t="n">
        <f aca="false">IF(ISBLANK(RawFinancials!N574),"",RawFinancials!N574)</f>
        <v>136319</v>
      </c>
      <c r="O574" s="0" t="n">
        <f aca="false">IF(ISBLANK(RawFinancials!O574),"",RawFinancials!O574)</f>
        <v>2870</v>
      </c>
      <c r="P574" s="0" t="str">
        <f aca="false">IF(ISBLANK(RawFinancials!P574),"",RawFinancials!P574)</f>
        <v>FIRST FEDERAL SAVINGS AND LOAN ASSOCIATION OF BATH</v>
      </c>
      <c r="Q574" s="0" t="n">
        <f aca="false">IF(ISBLANK(RawFinancials!Q574),"",RawFinancials!Q574)</f>
        <v>2.05377013517672</v>
      </c>
      <c r="R574" s="0" t="n">
        <f aca="false">IF(ISBLANK(RawFinancials!R574),"",RawFinancials!R574)</f>
        <v>3.53035431343076</v>
      </c>
      <c r="S574" s="0" t="n">
        <f aca="false">IF(ISBLANK(RawFinancials!S574),"",RawFinancials!S574)</f>
        <v>-2</v>
      </c>
      <c r="T574" s="0" t="n">
        <f aca="false">IF(ISBLANK(RawFinancials!T574),"",RawFinancials!T574)</f>
        <v>2593</v>
      </c>
      <c r="U574" s="0" t="n">
        <f aca="false">IF(ISBLANK(RawFinancials!U574),"",RawFinancials!U574)</f>
        <v>0</v>
      </c>
      <c r="V574" s="0" t="n">
        <f aca="false">IF(ISBLANK(RawFinancials!V574),"",RawFinancials!V574)</f>
        <v>27.01771126452</v>
      </c>
      <c r="W574" s="0" t="n">
        <f aca="false">IF(ISBLANK(RawFinancials!W574),"",RawFinancials!W574)</f>
        <v>20240930</v>
      </c>
      <c r="X574" s="0" t="n">
        <f aca="false">IF(ISBLANK(RawFinancials!X574),"",RawFinancials!X574)</f>
        <v>0.335911070326187</v>
      </c>
      <c r="Y574" s="0" t="n">
        <f aca="false">IF(ISBLANK(RawFinancials!Y574),"",RawFinancials!Y574)</f>
        <v>2.31</v>
      </c>
      <c r="Z574" s="0" t="str">
        <f aca="false">IF(ISBLANK(RawFinancials!Z574),"",RawFinancials!Z574)</f>
        <v>ME</v>
      </c>
      <c r="AA574" s="0" t="n">
        <f aca="false">RawFinancials!AA574</f>
        <v>1</v>
      </c>
      <c r="AB574" s="0" t="n">
        <f aca="false">RawFinancials!AB574</f>
        <v>2870</v>
      </c>
      <c r="AC574" s="0" t="n">
        <f aca="false">RawFinancials!AC574</f>
        <v>1.58025724605762</v>
      </c>
      <c r="AD574" s="0" t="n">
        <f aca="false">IF(L574&gt;0,100*N574/L574,"")</f>
        <v>97.5497878247927</v>
      </c>
      <c r="AE574" s="0" t="n">
        <f aca="false">IF(B574&gt;0,100*F574/B574,"")</f>
        <v>14.6501409567439</v>
      </c>
      <c r="AF574" s="0" t="str">
        <f aca="false">RawFinancials!AE574</f>
        <v/>
      </c>
    </row>
    <row r="575" customFormat="false" ht="15" hidden="false" customHeight="false" outlineLevel="0" collapsed="false">
      <c r="A575" s="0" t="n">
        <f aca="false">IF(ISBLANK(RawFinancials!A575),"",RawFinancials!A575)</f>
        <v>575</v>
      </c>
      <c r="B575" s="0" t="n">
        <f aca="false">IF(ISBLANK(RawFinancials!B575),"",RawFinancials!B575)</f>
        <v>194865</v>
      </c>
      <c r="C575" s="0" t="n">
        <f aca="false">IF(ISBLANK(RawFinancials!C575),"",RawFinancials!C575)</f>
        <v>29743</v>
      </c>
      <c r="D575" s="0" t="n">
        <f aca="false">IF(ISBLANK(RawFinancials!D575),"",RawFinancials!D575)</f>
        <v>169632</v>
      </c>
      <c r="E575" s="0" t="n">
        <f aca="false">IF(ISBLANK(RawFinancials!E575),"",RawFinancials!E575)</f>
        <v>-0.03</v>
      </c>
      <c r="F575" s="0" t="n">
        <f aca="false">IF(ISBLANK(RawFinancials!F575),"",RawFinancials!F575)</f>
        <v>18304</v>
      </c>
      <c r="G575" s="0" t="n">
        <f aca="false">IF(ISBLANK(RawFinancials!G575),"",RawFinancials!G575)</f>
        <v>9.39316963025684</v>
      </c>
      <c r="H575" s="0" t="str">
        <f aca="false">IF(ISBLANK(RawFinancials!H575),"",RawFinancials!H575)</f>
        <v>29743_20240930</v>
      </c>
      <c r="I575" s="0" t="n">
        <f aca="false">IF(ISBLANK(RawFinancials!I575),"",RawFinancials!I575)</f>
        <v>0.634070006052822</v>
      </c>
      <c r="J575" s="0" t="n">
        <f aca="false">IF(ISBLANK(RawFinancials!J575),"",RawFinancials!J575)</f>
        <v>25149</v>
      </c>
      <c r="K575" s="0" t="n">
        <f aca="false">IF(ISBLANK(RawFinancials!K575),"",RawFinancials!K575)</f>
        <v>21525</v>
      </c>
      <c r="L575" s="0" t="n">
        <f aca="false">IF(ISBLANK(RawFinancials!L575),"",RawFinancials!L575)</f>
        <v>135474</v>
      </c>
      <c r="M575" s="0" t="n">
        <f aca="false">IF(ISBLANK(RawFinancials!M575),"",RawFinancials!M575)</f>
        <v>134615</v>
      </c>
      <c r="N575" s="0" t="n">
        <f aca="false">IF(ISBLANK(RawFinancials!N575),"",RawFinancials!N575)</f>
        <v>88755</v>
      </c>
      <c r="O575" s="0" t="n">
        <f aca="false">IF(ISBLANK(RawFinancials!O575),"",RawFinancials!O575)</f>
        <v>713</v>
      </c>
      <c r="P575" s="0" t="str">
        <f aca="false">IF(ISBLANK(RawFinancials!P575),"",RawFinancials!P575)</f>
        <v>AROOSTOOK COUNTY FEDERAL SAVINGS AND LOAN ASSOCIATION</v>
      </c>
      <c r="Q575" s="0" t="n">
        <f aca="false">IF(ISBLANK(RawFinancials!Q575),"",RawFinancials!Q575)</f>
        <v>0.526300249494368</v>
      </c>
      <c r="R575" s="0" t="n">
        <f aca="false">IF(ISBLANK(RawFinancials!R575),"",RawFinancials!R575)</f>
        <v>2.17302516204695</v>
      </c>
      <c r="S575" s="0" t="n">
        <f aca="false">IF(ISBLANK(RawFinancials!S575),"",RawFinancials!S575)</f>
        <v>-7</v>
      </c>
      <c r="T575" s="0" t="n">
        <f aca="false">IF(ISBLANK(RawFinancials!T575),"",RawFinancials!T575)</f>
        <v>555</v>
      </c>
      <c r="U575" s="0" t="n">
        <f aca="false">IF(ISBLANK(RawFinancials!U575),"",RawFinancials!U575)</f>
        <v>0</v>
      </c>
      <c r="V575" s="0" t="n">
        <f aca="false">IF(ISBLANK(RawFinancials!V575),"",RawFinancials!V575)</f>
        <v>18.2276559407954</v>
      </c>
      <c r="W575" s="0" t="n">
        <f aca="false">IF(ISBLANK(RawFinancials!W575),"",RawFinancials!W575)</f>
        <v>20240930</v>
      </c>
      <c r="X575" s="0" t="n">
        <f aca="false">IF(ISBLANK(RawFinancials!X575),"",RawFinancials!X575)</f>
        <v>0.307613817098071</v>
      </c>
      <c r="Y575" s="0" t="n">
        <f aca="false">IF(ISBLANK(RawFinancials!Y575),"",RawFinancials!Y575)</f>
        <v>3.38</v>
      </c>
      <c r="Z575" s="0" t="str">
        <f aca="false">IF(ISBLANK(RawFinancials!Z575),"",RawFinancials!Z575)</f>
        <v>ME</v>
      </c>
      <c r="AA575" s="0" t="n">
        <f aca="false">RawFinancials!AA575</f>
        <v>1</v>
      </c>
      <c r="AB575" s="0" t="n">
        <f aca="false">RawFinancials!AB575</f>
        <v>713</v>
      </c>
      <c r="AC575" s="0" t="n">
        <f aca="false">RawFinancials!AC575</f>
        <v>0.365894337105175</v>
      </c>
      <c r="AD575" s="0" t="n">
        <f aca="false">IF(L575&gt;0,100*N575/L575,"")</f>
        <v>65.5144160503122</v>
      </c>
      <c r="AE575" s="0" t="n">
        <f aca="false">IF(B575&gt;0,100*F575/B575,"")</f>
        <v>9.39316963025684</v>
      </c>
      <c r="AF575" s="0" t="str">
        <f aca="false">RawFinancials!AE575</f>
        <v/>
      </c>
    </row>
    <row r="576" customFormat="false" ht="15" hidden="false" customHeight="false" outlineLevel="0" collapsed="false">
      <c r="A576" s="0" t="n">
        <f aca="false">IF(ISBLANK(RawFinancials!A576),"",RawFinancials!A576)</f>
        <v>576</v>
      </c>
      <c r="B576" s="0" t="n">
        <f aca="false">IF(ISBLANK(RawFinancials!B576),"",RawFinancials!B576)</f>
        <v>602075</v>
      </c>
      <c r="C576" s="0" t="n">
        <f aca="false">IF(ISBLANK(RawFinancials!C576),"",RawFinancials!C576)</f>
        <v>29744</v>
      </c>
      <c r="D576" s="0" t="n">
        <f aca="false">IF(ISBLANK(RawFinancials!D576),"",RawFinancials!D576)</f>
        <v>467670</v>
      </c>
      <c r="E576" s="0" t="n">
        <f aca="false">IF(ISBLANK(RawFinancials!E576),"",RawFinancials!E576)</f>
        <v>0</v>
      </c>
      <c r="F576" s="0" t="n">
        <f aca="false">IF(ISBLANK(RawFinancials!F576),"",RawFinancials!F576)</f>
        <v>48662</v>
      </c>
      <c r="G576" s="0" t="n">
        <f aca="false">IF(ISBLANK(RawFinancials!G576),"",RawFinancials!G576)</f>
        <v>8.08238176306939</v>
      </c>
      <c r="H576" s="0" t="str">
        <f aca="false">IF(ISBLANK(RawFinancials!H576),"",RawFinancials!H576)</f>
        <v>29744_20240930</v>
      </c>
      <c r="I576" s="0" t="n">
        <f aca="false">IF(ISBLANK(RawFinancials!I576),"",RawFinancials!I576)</f>
        <v>0.788717561271564</v>
      </c>
      <c r="J576" s="0" t="n">
        <f aca="false">IF(ISBLANK(RawFinancials!J576),"",RawFinancials!J576)</f>
        <v>24096</v>
      </c>
      <c r="K576" s="0" t="n">
        <f aca="false">IF(ISBLANK(RawFinancials!K576),"",RawFinancials!K576)</f>
        <v>12270</v>
      </c>
      <c r="L576" s="0" t="n">
        <f aca="false">IF(ISBLANK(RawFinancials!L576),"",RawFinancials!L576)</f>
        <v>436785</v>
      </c>
      <c r="M576" s="0" t="n">
        <f aca="false">IF(ISBLANK(RawFinancials!M576),"",RawFinancials!M576)</f>
        <v>433340</v>
      </c>
      <c r="N576" s="0" t="n">
        <f aca="false">IF(ISBLANK(RawFinancials!N576),"",RawFinancials!N576)</f>
        <v>400419</v>
      </c>
      <c r="O576" s="0" t="n">
        <f aca="false">IF(ISBLANK(RawFinancials!O576),"",RawFinancials!O576)</f>
        <v>0</v>
      </c>
      <c r="P576" s="0" t="str">
        <f aca="false">IF(ISBLANK(RawFinancials!P576),"",RawFinancials!P576)</f>
        <v>FIRST SEACOAST BANK</v>
      </c>
      <c r="Q576" s="0" t="n">
        <f aca="false">IF(ISBLANK(RawFinancials!Q576),"",RawFinancials!Q576)</f>
        <v>0</v>
      </c>
      <c r="R576" s="0" t="n">
        <f aca="false">IF(ISBLANK(RawFinancials!R576),"",RawFinancials!R576)</f>
        <v>2.09710586176728</v>
      </c>
      <c r="S576" s="0" t="n">
        <f aca="false">IF(ISBLANK(RawFinancials!S576),"",RawFinancials!S576)</f>
        <v>25</v>
      </c>
      <c r="T576" s="0" t="n">
        <f aca="false">IF(ISBLANK(RawFinancials!T576),"",RawFinancials!T576)</f>
        <v>0</v>
      </c>
      <c r="U576" s="0" t="n">
        <f aca="false">IF(ISBLANK(RawFinancials!U576),"",RawFinancials!U576)</f>
        <v>0</v>
      </c>
      <c r="V576" s="0" t="n">
        <f aca="false">IF(ISBLANK(RawFinancials!V576),"",RawFinancials!V576)</f>
        <v>15.6619539212435</v>
      </c>
      <c r="W576" s="0" t="n">
        <f aca="false">IF(ISBLANK(RawFinancials!W576),"",RawFinancials!W576)</f>
        <v>20240930</v>
      </c>
      <c r="X576" s="0" t="n">
        <f aca="false">IF(ISBLANK(RawFinancials!X576),"",RawFinancials!X576)</f>
        <v>0.207937144494701</v>
      </c>
      <c r="Y576" s="0" t="n">
        <f aca="false">IF(ISBLANK(RawFinancials!Y576),"",RawFinancials!Y576)</f>
        <v>2.64</v>
      </c>
      <c r="Z576" s="0" t="str">
        <f aca="false">IF(ISBLANK(RawFinancials!Z576),"",RawFinancials!Z576)</f>
        <v>NH</v>
      </c>
      <c r="AA576" s="0" t="n">
        <f aca="false">RawFinancials!AA576</f>
        <v>1</v>
      </c>
      <c r="AB576" s="0" t="n">
        <f aca="false">RawFinancials!AB576</f>
        <v>0</v>
      </c>
      <c r="AC576" s="0" t="n">
        <f aca="false">RawFinancials!AC576</f>
        <v>0</v>
      </c>
      <c r="AD576" s="0" t="n">
        <f aca="false">IF(L576&gt;0,100*N576/L576,"")</f>
        <v>91.6741646347746</v>
      </c>
      <c r="AE576" s="0" t="n">
        <f aca="false">IF(B576&gt;0,100*F576/B576,"")</f>
        <v>8.08238176306939</v>
      </c>
      <c r="AF576" s="0" t="str">
        <f aca="false">RawFinancials!AE576</f>
        <v/>
      </c>
    </row>
    <row r="577" customFormat="false" ht="15" hidden="false" customHeight="false" outlineLevel="0" collapsed="false">
      <c r="A577" s="0" t="n">
        <f aca="false">IF(ISBLANK(RawFinancials!A577),"",RawFinancials!A577)</f>
        <v>577</v>
      </c>
      <c r="B577" s="0" t="n">
        <f aca="false">IF(ISBLANK(RawFinancials!B577),"",RawFinancials!B577)</f>
        <v>583685</v>
      </c>
      <c r="C577" s="0" t="n">
        <f aca="false">IF(ISBLANK(RawFinancials!C577),"",RawFinancials!C577)</f>
        <v>30350</v>
      </c>
      <c r="D577" s="0" t="n">
        <f aca="false">IF(ISBLANK(RawFinancials!D577),"",RawFinancials!D577)</f>
        <v>462099</v>
      </c>
      <c r="E577" s="0" t="n">
        <f aca="false">IF(ISBLANK(RawFinancials!E577),"",RawFinancials!E577)</f>
        <v>-0.01</v>
      </c>
      <c r="F577" s="0" t="n">
        <f aca="false">IF(ISBLANK(RawFinancials!F577),"",RawFinancials!F577)</f>
        <v>60586</v>
      </c>
      <c r="G577" s="0" t="n">
        <f aca="false">IF(ISBLANK(RawFinancials!G577),"",RawFinancials!G577)</f>
        <v>10.3799138233808</v>
      </c>
      <c r="H577" s="0" t="str">
        <f aca="false">IF(ISBLANK(RawFinancials!H577),"",RawFinancials!H577)</f>
        <v>30350_20240930</v>
      </c>
      <c r="I577" s="0" t="n">
        <f aca="false">IF(ISBLANK(RawFinancials!I577),"",RawFinancials!I577)</f>
        <v>1.21923445878643</v>
      </c>
      <c r="J577" s="0" t="n">
        <f aca="false">IF(ISBLANK(RawFinancials!J577),"",RawFinancials!J577)</f>
        <v>14987</v>
      </c>
      <c r="K577" s="0" t="n">
        <f aca="false">IF(ISBLANK(RawFinancials!K577),"",RawFinancials!K577)</f>
        <v>1823</v>
      </c>
      <c r="L577" s="0" t="n">
        <f aca="false">IF(ISBLANK(RawFinancials!L577),"",RawFinancials!L577)</f>
        <v>434699</v>
      </c>
      <c r="M577" s="0" t="n">
        <f aca="false">IF(ISBLANK(RawFinancials!M577),"",RawFinancials!M577)</f>
        <v>429399</v>
      </c>
      <c r="N577" s="0" t="n">
        <f aca="false">IF(ISBLANK(RawFinancials!N577),"",RawFinancials!N577)</f>
        <v>415141</v>
      </c>
      <c r="O577" s="0" t="n">
        <f aca="false">IF(ISBLANK(RawFinancials!O577),"",RawFinancials!O577)</f>
        <v>1774</v>
      </c>
      <c r="P577" s="0" t="str">
        <f aca="false">IF(ISBLANK(RawFinancials!P577),"",RawFinancials!P577)</f>
        <v>THE BANK OF BENNINGTON</v>
      </c>
      <c r="Q577" s="0" t="n">
        <f aca="false">IF(ISBLANK(RawFinancials!Q577),"",RawFinancials!Q577)</f>
        <v>0.408098477337192</v>
      </c>
      <c r="R577" s="0" t="n">
        <f aca="false">IF(ISBLANK(RawFinancials!R577),"",RawFinancials!R577)</f>
        <v>2.61400574385989</v>
      </c>
      <c r="S577" s="0" t="n">
        <f aca="false">IF(ISBLANK(RawFinancials!S577),"",RawFinancials!S577)</f>
        <v>-211</v>
      </c>
      <c r="T577" s="0" t="n">
        <f aca="false">IF(ISBLANK(RawFinancials!T577),"",RawFinancials!T577)</f>
        <v>639</v>
      </c>
      <c r="U577" s="0" t="n">
        <f aca="false">IF(ISBLANK(RawFinancials!U577),"",RawFinancials!U577)</f>
        <v>0</v>
      </c>
      <c r="V577" s="0" t="n">
        <f aca="false">IF(ISBLANK(RawFinancials!V577),"",RawFinancials!V577)</f>
        <v>20.683350032556</v>
      </c>
      <c r="W577" s="0" t="n">
        <f aca="false">IF(ISBLANK(RawFinancials!W577),"",RawFinancials!W577)</f>
        <v>20240930</v>
      </c>
      <c r="X577" s="0" t="n">
        <f aca="false">IF(ISBLANK(RawFinancials!X577),"",RawFinancials!X577)</f>
        <v>0.62176253371026</v>
      </c>
      <c r="Y577" s="0" t="n">
        <f aca="false">IF(ISBLANK(RawFinancials!Y577),"",RawFinancials!Y577)</f>
        <v>6.06</v>
      </c>
      <c r="Z577" s="0" t="str">
        <f aca="false">IF(ISBLANK(RawFinancials!Z577),"",RawFinancials!Z577)</f>
        <v>VT</v>
      </c>
      <c r="AA577" s="0" t="n">
        <f aca="false">RawFinancials!AA577</f>
        <v>1</v>
      </c>
      <c r="AB577" s="0" t="n">
        <f aca="false">RawFinancials!AB577</f>
        <v>1774</v>
      </c>
      <c r="AC577" s="0" t="n">
        <f aca="false">RawFinancials!AC577</f>
        <v>0.303931058704609</v>
      </c>
      <c r="AD577" s="0" t="n">
        <f aca="false">IF(L577&gt;0,100*N577/L577,"")</f>
        <v>95.5007948028406</v>
      </c>
      <c r="AE577" s="0" t="n">
        <f aca="false">IF(B577&gt;0,100*F577/B577,"")</f>
        <v>10.3799138233808</v>
      </c>
      <c r="AF577" s="0" t="str">
        <f aca="false">RawFinancials!AE577</f>
        <v/>
      </c>
    </row>
    <row r="578" customFormat="false" ht="15" hidden="false" customHeight="false" outlineLevel="0" collapsed="false">
      <c r="A578" s="0" t="n">
        <f aca="false">IF(ISBLANK(RawFinancials!A578),"",RawFinancials!A578)</f>
        <v>578</v>
      </c>
      <c r="B578" s="0" t="n">
        <f aca="false">IF(ISBLANK(RawFinancials!B578),"",RawFinancials!B578)</f>
        <v>101059</v>
      </c>
      <c r="C578" s="0" t="n">
        <f aca="false">IF(ISBLANK(RawFinancials!C578),"",RawFinancials!C578)</f>
        <v>30878</v>
      </c>
      <c r="D578" s="0" t="n">
        <f aca="false">IF(ISBLANK(RawFinancials!D578),"",RawFinancials!D578)</f>
        <v>76246</v>
      </c>
      <c r="E578" s="0" t="n">
        <f aca="false">IF(ISBLANK(RawFinancials!E578),"",RawFinancials!E578)</f>
        <v>-0.04</v>
      </c>
      <c r="F578" s="0" t="n">
        <f aca="false">IF(ISBLANK(RawFinancials!F578),"",RawFinancials!F578)</f>
        <v>11989</v>
      </c>
      <c r="G578" s="0" t="n">
        <f aca="false">IF(ISBLANK(RawFinancials!G578),"",RawFinancials!G578)</f>
        <v>11.8633669440624</v>
      </c>
      <c r="H578" s="0" t="str">
        <f aca="false">IF(ISBLANK(RawFinancials!H578),"",RawFinancials!H578)</f>
        <v>30878_20240930</v>
      </c>
      <c r="I578" s="0" t="n">
        <f aca="false">IF(ISBLANK(RawFinancials!I578),"",RawFinancials!I578)</f>
        <v>0.792990691474211</v>
      </c>
      <c r="J578" s="0" t="n">
        <f aca="false">IF(ISBLANK(RawFinancials!J578),"",RawFinancials!J578)</f>
        <v>0</v>
      </c>
      <c r="K578" s="0" t="n">
        <f aca="false">IF(ISBLANK(RawFinancials!K578),"",RawFinancials!K578)</f>
        <v>166</v>
      </c>
      <c r="L578" s="0" t="n">
        <f aca="false">IF(ISBLANK(RawFinancials!L578),"",RawFinancials!L578)</f>
        <v>87769</v>
      </c>
      <c r="M578" s="0" t="n">
        <f aca="false">IF(ISBLANK(RawFinancials!M578),"",RawFinancials!M578)</f>
        <v>87073</v>
      </c>
      <c r="N578" s="0" t="n">
        <f aca="false">IF(ISBLANK(RawFinancials!N578),"",RawFinancials!N578)</f>
        <v>87603</v>
      </c>
      <c r="O578" s="0" t="n">
        <f aca="false">IF(ISBLANK(RawFinancials!O578),"",RawFinancials!O578)</f>
        <v>1674</v>
      </c>
      <c r="P578" s="0" t="str">
        <f aca="false">IF(ISBLANK(RawFinancials!P578),"",RawFinancials!P578)</f>
        <v>BAR HARBOR SAVINGS AND LOAN ASSOCIATION</v>
      </c>
      <c r="Q578" s="0" t="n">
        <f aca="false">IF(ISBLANK(RawFinancials!Q578),"",RawFinancials!Q578)</f>
        <v>1.90727933552849</v>
      </c>
      <c r="R578" s="0" t="n">
        <f aca="false">IF(ISBLANK(RawFinancials!R578),"",RawFinancials!R578)</f>
        <v>1.00204128984096</v>
      </c>
      <c r="S578" s="0" t="n">
        <f aca="false">IF(ISBLANK(RawFinancials!S578),"",RawFinancials!S578)</f>
        <v>0</v>
      </c>
      <c r="T578" s="0" t="n">
        <f aca="false">IF(ISBLANK(RawFinancials!T578),"",RawFinancials!T578)</f>
        <v>365</v>
      </c>
      <c r="U578" s="0" t="n">
        <f aca="false">IF(ISBLANK(RawFinancials!U578),"",RawFinancials!U578)</f>
        <v>0</v>
      </c>
      <c r="V578" s="0" t="n">
        <f aca="false">IF(ISBLANK(RawFinancials!V578),"",RawFinancials!V578)</f>
        <v>0</v>
      </c>
      <c r="W578" s="0" t="n">
        <f aca="false">IF(ISBLANK(RawFinancials!W578),"",RawFinancials!W578)</f>
        <v>20240930</v>
      </c>
      <c r="X578" s="0" t="n">
        <f aca="false">IF(ISBLANK(RawFinancials!X578),"",RawFinancials!X578)</f>
        <v>-0.533353658240568</v>
      </c>
      <c r="Y578" s="0" t="n">
        <f aca="false">IF(ISBLANK(RawFinancials!Y578),"",RawFinancials!Y578)</f>
        <v>-4.5</v>
      </c>
      <c r="Z578" s="0" t="str">
        <f aca="false">IF(ISBLANK(RawFinancials!Z578),"",RawFinancials!Z578)</f>
        <v>ME</v>
      </c>
      <c r="AA578" s="0" t="n">
        <f aca="false">RawFinancials!AA578</f>
        <v>1</v>
      </c>
      <c r="AB578" s="0" t="n">
        <f aca="false">RawFinancials!AB578</f>
        <v>1674</v>
      </c>
      <c r="AC578" s="0" t="n">
        <f aca="false">RawFinancials!AC578</f>
        <v>1.65645810862961</v>
      </c>
      <c r="AD578" s="0" t="n">
        <f aca="false">IF(L578&gt;0,100*N578/L578,"")</f>
        <v>99.8108671626656</v>
      </c>
      <c r="AE578" s="0" t="n">
        <f aca="false">IF(B578&gt;0,100*F578/B578,"")</f>
        <v>11.8633669440624</v>
      </c>
      <c r="AF578" s="0" t="str">
        <f aca="false">RawFinancials!AE578</f>
        <v>原始0：需核实适用/报告口径</v>
      </c>
    </row>
    <row r="579" customFormat="false" ht="15" hidden="false" customHeight="false" outlineLevel="0" collapsed="false">
      <c r="A579" s="0" t="n">
        <f aca="false">IF(ISBLANK(RawFinancials!A579),"",RawFinancials!A579)</f>
        <v>579</v>
      </c>
      <c r="B579" s="0" t="n">
        <f aca="false">IF(ISBLANK(RawFinancials!B579),"",RawFinancials!B579)</f>
        <v>938865</v>
      </c>
      <c r="C579" s="0" t="n">
        <f aca="false">IF(ISBLANK(RawFinancials!C579),"",RawFinancials!C579)</f>
        <v>33418</v>
      </c>
      <c r="D579" s="0" t="n">
        <f aca="false">IF(ISBLANK(RawFinancials!D579),"",RawFinancials!D579)</f>
        <v>826469</v>
      </c>
      <c r="E579" s="0" t="n">
        <f aca="false">IF(ISBLANK(RawFinancials!E579),"",RawFinancials!E579)</f>
        <v>0.12</v>
      </c>
      <c r="F579" s="0" t="n">
        <f aca="false">IF(ISBLANK(RawFinancials!F579),"",RawFinancials!F579)</f>
        <v>69813</v>
      </c>
      <c r="G579" s="0" t="n">
        <f aca="false">IF(ISBLANK(RawFinancials!G579),"",RawFinancials!G579)</f>
        <v>7.43589333929798</v>
      </c>
      <c r="H579" s="0" t="str">
        <f aca="false">IF(ISBLANK(RawFinancials!H579),"",RawFinancials!H579)</f>
        <v>33418_20240930</v>
      </c>
      <c r="I579" s="0" t="n">
        <f aca="false">IF(ISBLANK(RawFinancials!I579),"",RawFinancials!I579)</f>
        <v>0.689839200380342</v>
      </c>
      <c r="J579" s="0" t="n">
        <f aca="false">IF(ISBLANK(RawFinancials!J579),"",RawFinancials!J579)</f>
        <v>72013</v>
      </c>
      <c r="K579" s="0" t="n">
        <f aca="false">IF(ISBLANK(RawFinancials!K579),"",RawFinancials!K579)</f>
        <v>16431</v>
      </c>
      <c r="L579" s="0" t="n">
        <f aca="false">IF(ISBLANK(RawFinancials!L579),"",RawFinancials!L579)</f>
        <v>532153</v>
      </c>
      <c r="M579" s="0" t="n">
        <f aca="false">IF(ISBLANK(RawFinancials!M579),"",RawFinancials!M579)</f>
        <v>528482</v>
      </c>
      <c r="N579" s="0" t="n">
        <f aca="false">IF(ISBLANK(RawFinancials!N579),"",RawFinancials!N579)</f>
        <v>442986</v>
      </c>
      <c r="O579" s="0" t="n">
        <f aca="false">IF(ISBLANK(RawFinancials!O579),"",RawFinancials!O579)</f>
        <v>1024</v>
      </c>
      <c r="P579" s="0" t="str">
        <f aca="false">IF(ISBLANK(RawFinancials!P579),"",RawFinancials!P579)</f>
        <v>LEDYARD NATIONAL BANK</v>
      </c>
      <c r="Q579" s="0" t="n">
        <f aca="false">IF(ISBLANK(RawFinancials!Q579),"",RawFinancials!Q579)</f>
        <v>0.192425862486916</v>
      </c>
      <c r="R579" s="0" t="n">
        <f aca="false">IF(ISBLANK(RawFinancials!R579),"",RawFinancials!R579)</f>
        <v>2.23329594620879</v>
      </c>
      <c r="S579" s="0" t="n">
        <f aca="false">IF(ISBLANK(RawFinancials!S579),"",RawFinancials!S579)</f>
        <v>-5</v>
      </c>
      <c r="T579" s="0" t="n">
        <f aca="false">IF(ISBLANK(RawFinancials!T579),"",RawFinancials!T579)</f>
        <v>278</v>
      </c>
      <c r="U579" s="0" t="n">
        <f aca="false">IF(ISBLANK(RawFinancials!U579),"",RawFinancials!U579)</f>
        <v>0</v>
      </c>
      <c r="V579" s="0" t="n">
        <f aca="false">IF(ISBLANK(RawFinancials!V579),"",RawFinancials!V579)</f>
        <v>13.9529252381118</v>
      </c>
      <c r="W579" s="0" t="n">
        <f aca="false">IF(ISBLANK(RawFinancials!W579),"",RawFinancials!W579)</f>
        <v>20240930</v>
      </c>
      <c r="X579" s="0" t="n">
        <f aca="false">IF(ISBLANK(RawFinancials!X579),"",RawFinancials!X579)</f>
        <v>0.395784291055647</v>
      </c>
      <c r="Y579" s="0" t="n">
        <f aca="false">IF(ISBLANK(RawFinancials!Y579),"",RawFinancials!Y579)</f>
        <v>5.16</v>
      </c>
      <c r="Z579" s="0" t="str">
        <f aca="false">IF(ISBLANK(RawFinancials!Z579),"",RawFinancials!Z579)</f>
        <v>VT</v>
      </c>
      <c r="AA579" s="0" t="n">
        <f aca="false">RawFinancials!AA579</f>
        <v>1</v>
      </c>
      <c r="AB579" s="0" t="n">
        <f aca="false">RawFinancials!AB579</f>
        <v>1024</v>
      </c>
      <c r="AC579" s="0" t="n">
        <f aca="false">RawFinancials!AC579</f>
        <v>0.109067863856891</v>
      </c>
      <c r="AD579" s="0" t="n">
        <f aca="false">IF(L579&gt;0,100*N579/L579,"")</f>
        <v>83.2441046090128</v>
      </c>
      <c r="AE579" s="0" t="n">
        <f aca="false">IF(B579&gt;0,100*F579/B579,"")</f>
        <v>7.43589333929798</v>
      </c>
      <c r="AF579" s="0" t="str">
        <f aca="false">RawFinancials!AE579</f>
        <v/>
      </c>
    </row>
    <row r="580" customFormat="false" ht="15" hidden="false" customHeight="false" outlineLevel="0" collapsed="false">
      <c r="A580" s="0" t="n">
        <f aca="false">IF(ISBLANK(RawFinancials!A580),"",RawFinancials!A580)</f>
        <v>580</v>
      </c>
      <c r="B580" s="0" t="n">
        <f aca="false">IF(ISBLANK(RawFinancials!B580),"",RawFinancials!B580)</f>
        <v>90470</v>
      </c>
      <c r="C580" s="0" t="n">
        <f aca="false">IF(ISBLANK(RawFinancials!C580),"",RawFinancials!C580)</f>
        <v>35206</v>
      </c>
      <c r="D580" s="0" t="n">
        <f aca="false">IF(ISBLANK(RawFinancials!D580),"",RawFinancials!D580)</f>
        <v>500</v>
      </c>
      <c r="E580" s="0" t="n">
        <f aca="false">IF(ISBLANK(RawFinancials!E580),"",RawFinancials!E580)</f>
        <v>0</v>
      </c>
      <c r="F580" s="0" t="n">
        <f aca="false">IF(ISBLANK(RawFinancials!F580),"",RawFinancials!F580)</f>
        <v>87835</v>
      </c>
      <c r="G580" s="0" t="n">
        <f aca="false">IF(ISBLANK(RawFinancials!G580),"",RawFinancials!G580)</f>
        <v>97.0874322979993</v>
      </c>
      <c r="H580" s="0" t="str">
        <f aca="false">IF(ISBLANK(RawFinancials!H580),"",RawFinancials!H580)</f>
        <v>35206_20240930</v>
      </c>
      <c r="I580" s="0" t="n">
        <f aca="false">IF(ISBLANK(RawFinancials!I580),"",RawFinancials!I580)</f>
        <v>0</v>
      </c>
      <c r="J580" s="0" t="n">
        <f aca="false">IF(ISBLANK(RawFinancials!J580),"",RawFinancials!J580)</f>
        <v>0</v>
      </c>
      <c r="K580" s="0" t="n">
        <f aca="false">IF(ISBLANK(RawFinancials!K580),"",RawFinancials!K580)</f>
        <v>0</v>
      </c>
      <c r="L580" s="0" t="n">
        <f aca="false">IF(ISBLANK(RawFinancials!L580),"",RawFinancials!L580)</f>
        <v>0</v>
      </c>
      <c r="M580" s="0" t="n">
        <f aca="false">IF(ISBLANK(RawFinancials!M580),"",RawFinancials!M580)</f>
        <v>0</v>
      </c>
      <c r="N580" s="0" t="n">
        <f aca="false">IF(ISBLANK(RawFinancials!N580),"",RawFinancials!N580)</f>
        <v>0</v>
      </c>
      <c r="O580" s="0" t="n">
        <f aca="false">IF(ISBLANK(RawFinancials!O580),"",RawFinancials!O580)</f>
        <v>0</v>
      </c>
      <c r="P580" s="0" t="str">
        <f aca="false">IF(ISBLANK(RawFinancials!P580),"",RawFinancials!P580)</f>
        <v>FIDELITY PERSONAL TRUST COMPANY, FSB</v>
      </c>
      <c r="Q580" s="0" t="n">
        <f aca="false">IF(ISBLANK(RawFinancials!Q580),"",RawFinancials!Q580)</f>
        <v>0</v>
      </c>
      <c r="R580" s="0" t="n">
        <f aca="false">IF(ISBLANK(RawFinancials!R580),"",RawFinancials!R580)</f>
        <v>4.71607983660487</v>
      </c>
      <c r="S580" s="0" t="n">
        <f aca="false">IF(ISBLANK(RawFinancials!S580),"",RawFinancials!S580)</f>
        <v>0</v>
      </c>
      <c r="T580" s="0" t="n">
        <f aca="false">IF(ISBLANK(RawFinancials!T580),"",RawFinancials!T580)</f>
        <v>0</v>
      </c>
      <c r="U580" s="0" t="n">
        <f aca="false">IF(ISBLANK(RawFinancials!U580),"",RawFinancials!U580)</f>
        <v>0</v>
      </c>
      <c r="V580" s="0" t="n">
        <f aca="false">IF(ISBLANK(RawFinancials!V580),"",RawFinancials!V580)</f>
        <v>0</v>
      </c>
      <c r="W580" s="0" t="n">
        <f aca="false">IF(ISBLANK(RawFinancials!W580),"",RawFinancials!W580)</f>
        <v>20240930</v>
      </c>
      <c r="X580" s="0" t="n">
        <f aca="false">IF(ISBLANK(RawFinancials!X580),"",RawFinancials!X580)</f>
        <v>21.5285961063394</v>
      </c>
      <c r="Y580" s="0" t="n">
        <f aca="false">IF(ISBLANK(RawFinancials!Y580),"",RawFinancials!Y580)</f>
        <v>22.27</v>
      </c>
      <c r="Z580" s="0" t="str">
        <f aca="false">IF(ISBLANK(RawFinancials!Z580),"",RawFinancials!Z580)</f>
        <v>NH</v>
      </c>
      <c r="AA580" s="0" t="n">
        <f aca="false">RawFinancials!AA580</f>
        <v>1</v>
      </c>
      <c r="AB580" s="0" t="n">
        <f aca="false">RawFinancials!AB580</f>
        <v>0</v>
      </c>
      <c r="AC580" s="0" t="n">
        <f aca="false">RawFinancials!AC580</f>
        <v>0</v>
      </c>
      <c r="AD580" s="0" t="str">
        <f aca="false">IF(L580&gt;0,100*N580/L580,"")</f>
        <v/>
      </c>
      <c r="AE580" s="0" t="n">
        <f aca="false">IF(B580&gt;0,100*F580/B580,"")</f>
        <v>97.0874322979993</v>
      </c>
      <c r="AF580" s="0" t="str">
        <f aca="false">RawFinancials!AE580</f>
        <v>原始0：需核实适用/报告口径</v>
      </c>
    </row>
    <row r="581" customFormat="false" ht="15" hidden="false" customHeight="false" outlineLevel="0" collapsed="false">
      <c r="A581" s="0" t="n">
        <f aca="false">IF(ISBLANK(RawFinancials!A581),"",RawFinancials!A581)</f>
        <v>581</v>
      </c>
      <c r="B581" s="0" t="n">
        <f aca="false">IF(ISBLANK(RawFinancials!B581),"",RawFinancials!B581)</f>
        <v>5730254</v>
      </c>
      <c r="C581" s="0" t="n">
        <f aca="false">IF(ISBLANK(RawFinancials!C581),"",RawFinancials!C581)</f>
        <v>4255</v>
      </c>
      <c r="D581" s="0" t="n">
        <f aca="false">IF(ISBLANK(RawFinancials!D581),"",RawFinancials!D581)</f>
        <v>4609875</v>
      </c>
      <c r="E581" s="0" t="n">
        <f aca="false">IF(ISBLANK(RawFinancials!E581),"",RawFinancials!E581)</f>
        <v>-0.01</v>
      </c>
      <c r="F581" s="0" t="n">
        <f aca="false">IF(ISBLANK(RawFinancials!F581),"",RawFinancials!F581)</f>
        <v>543598</v>
      </c>
      <c r="G581" s="0" t="n">
        <f aca="false">IF(ISBLANK(RawFinancials!G581),"",RawFinancials!G581)</f>
        <v>9.48645557422062</v>
      </c>
      <c r="H581" s="0" t="str">
        <f aca="false">IF(ISBLANK(RawFinancials!H581),"",RawFinancials!H581)</f>
        <v>4255_20240930</v>
      </c>
      <c r="I581" s="0" t="n">
        <f aca="false">IF(ISBLANK(RawFinancials!I581),"",RawFinancials!I581)</f>
        <v>0.857806892926739</v>
      </c>
      <c r="J581" s="0" t="n">
        <f aca="false">IF(ISBLANK(RawFinancials!J581),"",RawFinancials!J581)</f>
        <v>319799</v>
      </c>
      <c r="K581" s="0" t="n">
        <f aca="false">IF(ISBLANK(RawFinancials!K581),"",RawFinancials!K581)</f>
        <v>16003</v>
      </c>
      <c r="L581" s="0" t="n">
        <f aca="false">IF(ISBLANK(RawFinancials!L581),"",RawFinancials!L581)</f>
        <v>4128435</v>
      </c>
      <c r="M581" s="0" t="n">
        <f aca="false">IF(ISBLANK(RawFinancials!M581),"",RawFinancials!M581)</f>
        <v>4093021</v>
      </c>
      <c r="N581" s="0" t="n">
        <f aca="false">IF(ISBLANK(RawFinancials!N581),"",RawFinancials!N581)</f>
        <v>3753732</v>
      </c>
      <c r="O581" s="0" t="n">
        <f aca="false">IF(ISBLANK(RawFinancials!O581),"",RawFinancials!O581)</f>
        <v>5350</v>
      </c>
      <c r="P581" s="0" t="str">
        <f aca="false">IF(ISBLANK(RawFinancials!P581),"",RawFinancials!P581)</f>
        <v>THE CAMDEN NATIONAL BANK</v>
      </c>
      <c r="Q581" s="0" t="n">
        <f aca="false">IF(ISBLANK(RawFinancials!Q581),"",RawFinancials!Q581)</f>
        <v>0.129589057354663</v>
      </c>
      <c r="R581" s="0" t="n">
        <f aca="false">IF(ISBLANK(RawFinancials!R581),"",RawFinancials!R581)</f>
        <v>2.49933669790916</v>
      </c>
      <c r="S581" s="0" t="n">
        <f aca="false">IF(ISBLANK(RawFinancials!S581),"",RawFinancials!S581)</f>
        <v>828</v>
      </c>
      <c r="T581" s="0" t="n">
        <f aca="false">IF(ISBLANK(RawFinancials!T581),"",RawFinancials!T581)</f>
        <v>1391</v>
      </c>
      <c r="U581" s="0" t="n">
        <f aca="false">IF(ISBLANK(RawFinancials!U581),"",RawFinancials!U581)</f>
        <v>0</v>
      </c>
      <c r="V581" s="0" t="n">
        <f aca="false">IF(ISBLANK(RawFinancials!V581),"",RawFinancials!V581)</f>
        <v>14.1867246818839</v>
      </c>
      <c r="W581" s="0" t="n">
        <f aca="false">IF(ISBLANK(RawFinancials!W581),"",RawFinancials!W581)</f>
        <v>20240930</v>
      </c>
      <c r="X581" s="0" t="n">
        <f aca="false">IF(ISBLANK(RawFinancials!X581),"",RawFinancials!X581)</f>
        <v>0.9337865070275</v>
      </c>
      <c r="Y581" s="0" t="n">
        <f aca="false">IF(ISBLANK(RawFinancials!Y581),"",RawFinancials!Y581)</f>
        <v>10.25</v>
      </c>
      <c r="Z581" s="0" t="str">
        <f aca="false">IF(ISBLANK(RawFinancials!Z581),"",RawFinancials!Z581)</f>
        <v>ME</v>
      </c>
      <c r="AA581" s="0" t="n">
        <f aca="false">RawFinancials!AA581</f>
        <v>1</v>
      </c>
      <c r="AB581" s="0" t="n">
        <f aca="false">RawFinancials!AB581</f>
        <v>5350</v>
      </c>
      <c r="AC581" s="0" t="n">
        <f aca="false">RawFinancials!AC581</f>
        <v>0.0933640986944034</v>
      </c>
      <c r="AD581" s="0" t="n">
        <f aca="false">IF(L581&gt;0,100*N581/L581,"")</f>
        <v>90.9238488676702</v>
      </c>
      <c r="AE581" s="0" t="n">
        <f aca="false">IF(B581&gt;0,100*F581/B581,"")</f>
        <v>9.48645557422062</v>
      </c>
      <c r="AF581" s="0" t="str">
        <f aca="false">RawFinancials!AE581</f>
        <v/>
      </c>
    </row>
    <row r="582" customFormat="false" ht="15" hidden="false" customHeight="false" outlineLevel="0" collapsed="false">
      <c r="A582" s="0" t="n">
        <f aca="false">IF(ISBLANK(RawFinancials!A582),"",RawFinancials!A582)</f>
        <v>582</v>
      </c>
      <c r="B582" s="0" t="n">
        <f aca="false">IF(ISBLANK(RawFinancials!B582),"",RawFinancials!B582)</f>
        <v>3107311</v>
      </c>
      <c r="C582" s="0" t="n">
        <f aca="false">IF(ISBLANK(RawFinancials!C582),"",RawFinancials!C582)</f>
        <v>4256</v>
      </c>
      <c r="D582" s="0" t="n">
        <f aca="false">IF(ISBLANK(RawFinancials!D582),"",RawFinancials!D582)</f>
        <v>2703552</v>
      </c>
      <c r="E582" s="0" t="n">
        <f aca="false">IF(ISBLANK(RawFinancials!E582),"",RawFinancials!E582)</f>
        <v>-0.03</v>
      </c>
      <c r="F582" s="0" t="n">
        <f aca="false">IF(ISBLANK(RawFinancials!F582),"",RawFinancials!F582)</f>
        <v>227931</v>
      </c>
      <c r="G582" s="0" t="n">
        <f aca="false">IF(ISBLANK(RawFinancials!G582),"",RawFinancials!G582)</f>
        <v>7.3353133947648</v>
      </c>
      <c r="H582" s="0" t="str">
        <f aca="false">IF(ISBLANK(RawFinancials!H582),"",RawFinancials!H582)</f>
        <v>4256_20240930</v>
      </c>
      <c r="I582" s="0" t="n">
        <f aca="false">IF(ISBLANK(RawFinancials!I582),"",RawFinancials!I582)</f>
        <v>1.04015467744543</v>
      </c>
      <c r="J582" s="0" t="n">
        <f aca="false">IF(ISBLANK(RawFinancials!J582),"",RawFinancials!J582)</f>
        <v>366701</v>
      </c>
      <c r="K582" s="0" t="n">
        <f aca="false">IF(ISBLANK(RawFinancials!K582),"",RawFinancials!K582)</f>
        <v>19784</v>
      </c>
      <c r="L582" s="0" t="n">
        <f aca="false">IF(ISBLANK(RawFinancials!L582),"",RawFinancials!L582)</f>
        <v>2307253</v>
      </c>
      <c r="M582" s="0" t="n">
        <f aca="false">IF(ISBLANK(RawFinancials!M582),"",RawFinancials!M582)</f>
        <v>2283254</v>
      </c>
      <c r="N582" s="0" t="n">
        <f aca="false">IF(ISBLANK(RawFinancials!N582),"",RawFinancials!N582)</f>
        <v>1810714</v>
      </c>
      <c r="O582" s="0" t="n">
        <f aca="false">IF(ISBLANK(RawFinancials!O582),"",RawFinancials!O582)</f>
        <v>2497</v>
      </c>
      <c r="P582" s="0" t="str">
        <f aca="false">IF(ISBLANK(RawFinancials!P582),"",RawFinancials!P582)</f>
        <v>FIRST NATIONAL BANK</v>
      </c>
      <c r="Q582" s="0" t="n">
        <f aca="false">IF(ISBLANK(RawFinancials!Q582),"",RawFinancials!Q582)</f>
        <v>0.125777277134324</v>
      </c>
      <c r="R582" s="0" t="n">
        <f aca="false">IF(ISBLANK(RawFinancials!R582),"",RawFinancials!R582)</f>
        <v>2.19455333352659</v>
      </c>
      <c r="S582" s="0" t="n">
        <f aca="false">IF(ISBLANK(RawFinancials!S582),"",RawFinancials!S582)</f>
        <v>89</v>
      </c>
      <c r="T582" s="0" t="n">
        <f aca="false">IF(ISBLANK(RawFinancials!T582),"",RawFinancials!T582)</f>
        <v>2396</v>
      </c>
      <c r="U582" s="0" t="n">
        <f aca="false">IF(ISBLANK(RawFinancials!U582),"",RawFinancials!U582)</f>
        <v>405</v>
      </c>
      <c r="V582" s="0" t="n">
        <f aca="false">IF(ISBLANK(RawFinancials!V582),"",RawFinancials!V582)</f>
        <v>13.0554366502324</v>
      </c>
      <c r="W582" s="0" t="n">
        <f aca="false">IF(ISBLANK(RawFinancials!W582),"",RawFinancials!W582)</f>
        <v>20240930</v>
      </c>
      <c r="X582" s="0" t="n">
        <f aca="false">IF(ISBLANK(RawFinancials!X582),"",RawFinancials!X582)</f>
        <v>0.912442159618479</v>
      </c>
      <c r="Y582" s="0" t="n">
        <f aca="false">IF(ISBLANK(RawFinancials!Y582),"",RawFinancials!Y582)</f>
        <v>12.56</v>
      </c>
      <c r="Z582" s="0" t="str">
        <f aca="false">IF(ISBLANK(RawFinancials!Z582),"",RawFinancials!Z582)</f>
        <v>ME</v>
      </c>
      <c r="AA582" s="0" t="n">
        <f aca="false">RawFinancials!AA582</f>
        <v>1</v>
      </c>
      <c r="AB582" s="0" t="n">
        <f aca="false">RawFinancials!AB582</f>
        <v>2902</v>
      </c>
      <c r="AC582" s="0" t="n">
        <f aca="false">RawFinancials!AC582</f>
        <v>0.0933926472116888</v>
      </c>
      <c r="AD582" s="0" t="n">
        <f aca="false">IF(L582&gt;0,100*N582/L582,"")</f>
        <v>78.4792131595451</v>
      </c>
      <c r="AE582" s="0" t="n">
        <f aca="false">IF(B582&gt;0,100*F582/B582,"")</f>
        <v>7.3353133947648</v>
      </c>
      <c r="AF582" s="0" t="str">
        <f aca="false">RawFinancials!AE582</f>
        <v/>
      </c>
    </row>
    <row r="583" customFormat="false" ht="15" hidden="false" customHeight="false" outlineLevel="0" collapsed="false">
      <c r="A583" s="0" t="n">
        <f aca="false">IF(ISBLANK(RawFinancials!A583),"",RawFinancials!A583)</f>
        <v>583</v>
      </c>
      <c r="B583" s="0" t="n">
        <f aca="false">IF(ISBLANK(RawFinancials!B583),"",RawFinancials!B583)</f>
        <v>716744</v>
      </c>
      <c r="C583" s="0" t="n">
        <f aca="false">IF(ISBLANK(RawFinancials!C583),"",RawFinancials!C583)</f>
        <v>59086</v>
      </c>
      <c r="D583" s="0" t="n">
        <f aca="false">IF(ISBLANK(RawFinancials!D583),"",RawFinancials!D583)</f>
        <v>614764</v>
      </c>
      <c r="E583" s="0" t="n">
        <f aca="false">IF(ISBLANK(RawFinancials!E583),"",RawFinancials!E583)</f>
        <v>0.1</v>
      </c>
      <c r="F583" s="0" t="n">
        <f aca="false">IF(ISBLANK(RawFinancials!F583),"",RawFinancials!F583)</f>
        <v>96571</v>
      </c>
      <c r="G583" s="0" t="n">
        <f aca="false">IF(ISBLANK(RawFinancials!G583),"",RawFinancials!G583)</f>
        <v>13.473569363678</v>
      </c>
      <c r="H583" s="0" t="str">
        <f aca="false">IF(ISBLANK(RawFinancials!H583),"",RawFinancials!H583)</f>
        <v>59086_20240930</v>
      </c>
      <c r="I583" s="0" t="n">
        <f aca="false">IF(ISBLANK(RawFinancials!I583),"",RawFinancials!I583)</f>
        <v>0.974100217486735</v>
      </c>
      <c r="J583" s="0" t="n">
        <f aca="false">IF(ISBLANK(RawFinancials!J583),"",RawFinancials!J583)</f>
        <v>125183</v>
      </c>
      <c r="K583" s="0" t="n">
        <f aca="false">IF(ISBLANK(RawFinancials!K583),"",RawFinancials!K583)</f>
        <v>0</v>
      </c>
      <c r="L583" s="0" t="n">
        <f aca="false">IF(ISBLANK(RawFinancials!L583),"",RawFinancials!L583)</f>
        <v>599117</v>
      </c>
      <c r="M583" s="0" t="n">
        <f aca="false">IF(ISBLANK(RawFinancials!M583),"",RawFinancials!M583)</f>
        <v>593281</v>
      </c>
      <c r="N583" s="0" t="n">
        <f aca="false">IF(ISBLANK(RawFinancials!N583),"",RawFinancials!N583)</f>
        <v>474334</v>
      </c>
      <c r="O583" s="0" t="n">
        <f aca="false">IF(ISBLANK(RawFinancials!O583),"",RawFinancials!O583)</f>
        <v>3521</v>
      </c>
      <c r="P583" s="0" t="str">
        <f aca="false">IF(ISBLANK(RawFinancials!P583),"",RawFinancials!P583)</f>
        <v>PRIMARY BANK</v>
      </c>
      <c r="Q583" s="0" t="n">
        <f aca="false">IF(ISBLANK(RawFinancials!Q583),"",RawFinancials!Q583)</f>
        <v>1.40573544065683</v>
      </c>
      <c r="R583" s="0" t="n">
        <f aca="false">IF(ISBLANK(RawFinancials!R583),"",RawFinancials!R583)</f>
        <v>3.76669432270729</v>
      </c>
      <c r="S583" s="0" t="n">
        <f aca="false">IF(ISBLANK(RawFinancials!S583),"",RawFinancials!S583)</f>
        <v>325</v>
      </c>
      <c r="T583" s="0" t="n">
        <f aca="false">IF(ISBLANK(RawFinancials!T583),"",RawFinancials!T583)</f>
        <v>2343</v>
      </c>
      <c r="U583" s="0" t="n">
        <f aca="false">IF(ISBLANK(RawFinancials!U583),"",RawFinancials!U583)</f>
        <v>6307</v>
      </c>
      <c r="V583" s="0" t="n">
        <f aca="false">IF(ISBLANK(RawFinancials!V583),"",RawFinancials!V583)</f>
        <v>16.0439870513234</v>
      </c>
      <c r="W583" s="0" t="n">
        <f aca="false">IF(ISBLANK(RawFinancials!W583),"",RawFinancials!W583)</f>
        <v>20240930</v>
      </c>
      <c r="X583" s="0" t="n">
        <f aca="false">IF(ISBLANK(RawFinancials!X583),"",RawFinancials!X583)</f>
        <v>1.44425252021969</v>
      </c>
      <c r="Y583" s="0" t="n">
        <f aca="false">IF(ISBLANK(RawFinancials!Y583),"",RawFinancials!Y583)</f>
        <v>11.01</v>
      </c>
      <c r="Z583" s="0" t="str">
        <f aca="false">IF(ISBLANK(RawFinancials!Z583),"",RawFinancials!Z583)</f>
        <v>NH</v>
      </c>
      <c r="AA583" s="0" t="n">
        <f aca="false">RawFinancials!AA583</f>
        <v>1</v>
      </c>
      <c r="AB583" s="0" t="n">
        <f aca="false">RawFinancials!AB583</f>
        <v>9828</v>
      </c>
      <c r="AC583" s="0" t="n">
        <f aca="false">RawFinancials!AC583</f>
        <v>1.37120087506836</v>
      </c>
      <c r="AD583" s="0" t="n">
        <f aca="false">IF(L583&gt;0,100*N583/L583,"")</f>
        <v>79.1721817274422</v>
      </c>
      <c r="AE583" s="0" t="n">
        <f aca="false">IF(B583&gt;0,100*F583/B583,"")</f>
        <v>13.473569363678</v>
      </c>
      <c r="AF583" s="0" t="str">
        <f aca="false">RawFinancials!AE583</f>
        <v/>
      </c>
    </row>
    <row r="584" customFormat="false" ht="15" hidden="false" customHeight="false" outlineLevel="0" collapsed="false">
      <c r="A584" s="0" t="n">
        <f aca="false">IF(ISBLANK(RawFinancials!A584),"",RawFinancials!A584)</f>
        <v>584</v>
      </c>
      <c r="B584" s="0" t="n">
        <f aca="false">IF(ISBLANK(RawFinancials!B584),"",RawFinancials!B584)</f>
        <v>228046</v>
      </c>
      <c r="C584" s="0" t="n">
        <f aca="false">IF(ISBLANK(RawFinancials!C584),"",RawFinancials!C584)</f>
        <v>59176</v>
      </c>
      <c r="D584" s="0" t="n">
        <f aca="false">IF(ISBLANK(RawFinancials!D584),"",RawFinancials!D584)</f>
        <v>192544</v>
      </c>
      <c r="E584" s="0" t="n">
        <f aca="false">IF(ISBLANK(RawFinancials!E584),"",RawFinancials!E584)</f>
        <v>0.06</v>
      </c>
      <c r="F584" s="0" t="n">
        <f aca="false">IF(ISBLANK(RawFinancials!F584),"",RawFinancials!F584)</f>
        <v>27016</v>
      </c>
      <c r="G584" s="0" t="n">
        <f aca="false">IF(ISBLANK(RawFinancials!G584),"",RawFinancials!G584)</f>
        <v>11.8467326767407</v>
      </c>
      <c r="H584" s="0" t="str">
        <f aca="false">IF(ISBLANK(RawFinancials!H584),"",RawFinancials!H584)</f>
        <v>59176_20240930</v>
      </c>
      <c r="I584" s="0" t="n">
        <f aca="false">IF(ISBLANK(RawFinancials!I584),"",RawFinancials!I584)</f>
        <v>0.9519076608156</v>
      </c>
      <c r="J584" s="0" t="n">
        <f aca="false">IF(ISBLANK(RawFinancials!J584),"",RawFinancials!J584)</f>
        <v>22234</v>
      </c>
      <c r="K584" s="0" t="n">
        <f aca="false">IF(ISBLANK(RawFinancials!K584),"",RawFinancials!K584)</f>
        <v>0</v>
      </c>
      <c r="L584" s="0" t="n">
        <f aca="false">IF(ISBLANK(RawFinancials!L584),"",RawFinancials!L584)</f>
        <v>169029</v>
      </c>
      <c r="M584" s="0" t="n">
        <f aca="false">IF(ISBLANK(RawFinancials!M584),"",RawFinancials!M584)</f>
        <v>167420</v>
      </c>
      <c r="N584" s="0" t="n">
        <f aca="false">IF(ISBLANK(RawFinancials!N584),"",RawFinancials!N584)</f>
        <v>146756</v>
      </c>
      <c r="O584" s="0" t="n">
        <f aca="false">IF(ISBLANK(RawFinancials!O584),"",RawFinancials!O584)</f>
        <v>0</v>
      </c>
      <c r="P584" s="0" t="str">
        <f aca="false">IF(ISBLANK(RawFinancials!P584),"",RawFinancials!P584)</f>
        <v>THE MILLYARD BANK</v>
      </c>
      <c r="Q584" s="0" t="n">
        <f aca="false">IF(ISBLANK(RawFinancials!Q584),"",RawFinancials!Q584)</f>
        <v>0</v>
      </c>
      <c r="R584" s="0" t="n">
        <f aca="false">IF(ISBLANK(RawFinancials!R584),"",RawFinancials!R584)</f>
        <v>2.448461114472</v>
      </c>
      <c r="S584" s="0" t="n">
        <f aca="false">IF(ISBLANK(RawFinancials!S584),"",RawFinancials!S584)</f>
        <v>-32</v>
      </c>
      <c r="T584" s="0" t="n">
        <f aca="false">IF(ISBLANK(RawFinancials!T584),"",RawFinancials!T584)</f>
        <v>0</v>
      </c>
      <c r="U584" s="0" t="n">
        <f aca="false">IF(ISBLANK(RawFinancials!U584),"",RawFinancials!U584)</f>
        <v>0</v>
      </c>
      <c r="V584" s="0" t="n">
        <f aca="false">IF(ISBLANK(RawFinancials!V584),"",RawFinancials!V584)</f>
        <v>0</v>
      </c>
      <c r="W584" s="0" t="n">
        <f aca="false">IF(ISBLANK(RawFinancials!W584),"",RawFinancials!W584)</f>
        <v>20240930</v>
      </c>
      <c r="X584" s="0" t="n">
        <f aca="false">IF(ISBLANK(RawFinancials!X584),"",RawFinancials!X584)</f>
        <v>0.0476526211412942</v>
      </c>
      <c r="Y584" s="0" t="n">
        <f aca="false">IF(ISBLANK(RawFinancials!Y584),"",RawFinancials!Y584)</f>
        <v>0.42</v>
      </c>
      <c r="Z584" s="0" t="str">
        <f aca="false">IF(ISBLANK(RawFinancials!Z584),"",RawFinancials!Z584)</f>
        <v>NH</v>
      </c>
      <c r="AA584" s="0" t="n">
        <f aca="false">RawFinancials!AA584</f>
        <v>1</v>
      </c>
      <c r="AB584" s="0" t="n">
        <f aca="false">RawFinancials!AB584</f>
        <v>0</v>
      </c>
      <c r="AC584" s="0" t="n">
        <f aca="false">RawFinancials!AC584</f>
        <v>0</v>
      </c>
      <c r="AD584" s="0" t="n">
        <f aca="false">IF(L584&gt;0,100*N584/L584,"")</f>
        <v>86.8229712061244</v>
      </c>
      <c r="AE584" s="0" t="n">
        <f aca="false">IF(B584&gt;0,100*F584/B584,"")</f>
        <v>11.8467326767407</v>
      </c>
      <c r="AF584" s="0" t="str">
        <f aca="false">RawFinancials!AE584</f>
        <v>原始0：需核实适用/报告口径</v>
      </c>
    </row>
    <row r="585" customFormat="false" ht="15" hidden="false" customHeight="false" outlineLevel="0" collapsed="false">
      <c r="A585" s="0" t="n">
        <f aca="false">IF(ISBLANK(RawFinancials!A585),"",RawFinancials!A585)</f>
        <v>585</v>
      </c>
      <c r="B585" s="0" t="n">
        <f aca="false">IF(ISBLANK(RawFinancials!B585),"",RawFinancials!B585)</f>
        <v>120497</v>
      </c>
      <c r="C585" s="0" t="n">
        <f aca="false">IF(ISBLANK(RawFinancials!C585),"",RawFinancials!C585)</f>
        <v>59289</v>
      </c>
      <c r="D585" s="0" t="n">
        <f aca="false">IF(ISBLANK(RawFinancials!D585),"",RawFinancials!D585)</f>
        <v>102833</v>
      </c>
      <c r="E585" s="0" t="n">
        <f aca="false">IF(ISBLANK(RawFinancials!E585),"",RawFinancials!E585)</f>
        <v>2.66</v>
      </c>
      <c r="F585" s="0" t="n">
        <f aca="false">IF(ISBLANK(RawFinancials!F585),"",RawFinancials!F585)</f>
        <v>16578</v>
      </c>
      <c r="G585" s="0" t="n">
        <f aca="false">IF(ISBLANK(RawFinancials!G585),"",RawFinancials!G585)</f>
        <v>13.7580188718391</v>
      </c>
      <c r="H585" s="0" t="str">
        <f aca="false">IF(ISBLANK(RawFinancials!H585),"",RawFinancials!H585)</f>
        <v>59289_20240930</v>
      </c>
      <c r="I585" s="0" t="n">
        <f aca="false">IF(ISBLANK(RawFinancials!I585),"",RawFinancials!I585)</f>
        <v>3.3359733449858</v>
      </c>
      <c r="J585" s="0" t="n">
        <f aca="false">IF(ISBLANK(RawFinancials!J585),"",RawFinancials!J585)</f>
        <v>37285</v>
      </c>
      <c r="K585" s="0" t="n">
        <f aca="false">IF(ISBLANK(RawFinancials!K585),"",RawFinancials!K585)</f>
        <v>0</v>
      </c>
      <c r="L585" s="0" t="n">
        <f aca="false">IF(ISBLANK(RawFinancials!L585),"",RawFinancials!L585)</f>
        <v>73232</v>
      </c>
      <c r="M585" s="0" t="n">
        <f aca="false">IF(ISBLANK(RawFinancials!M585),"",RawFinancials!M585)</f>
        <v>70789</v>
      </c>
      <c r="N585" s="0" t="n">
        <f aca="false">IF(ISBLANK(RawFinancials!N585),"",RawFinancials!N585)</f>
        <v>31000</v>
      </c>
      <c r="O585" s="0" t="n">
        <f aca="false">IF(ISBLANK(RawFinancials!O585),"",RawFinancials!O585)</f>
        <v>4832</v>
      </c>
      <c r="P585" s="0" t="str">
        <f aca="false">IF(ISBLANK(RawFinancials!P585),"",RawFinancials!P585)</f>
        <v>WALDEN MUTUAL BANK</v>
      </c>
      <c r="Q585" s="0" t="n">
        <f aca="false">IF(ISBLANK(RawFinancials!Q585),"",RawFinancials!Q585)</f>
        <v>6.59820843347171</v>
      </c>
      <c r="R585" s="0" t="n">
        <f aca="false">IF(ISBLANK(RawFinancials!R585),"",RawFinancials!R585)</f>
        <v>3.76116711341111</v>
      </c>
      <c r="S585" s="0" t="n">
        <f aca="false">IF(ISBLANK(RawFinancials!S585),"",RawFinancials!S585)</f>
        <v>0</v>
      </c>
      <c r="T585" s="0" t="n">
        <f aca="false">IF(ISBLANK(RawFinancials!T585),"",RawFinancials!T585)</f>
        <v>0</v>
      </c>
      <c r="U585" s="0" t="n">
        <f aca="false">IF(ISBLANK(RawFinancials!U585),"",RawFinancials!U585)</f>
        <v>0</v>
      </c>
      <c r="V585" s="0" t="n">
        <f aca="false">IF(ISBLANK(RawFinancials!V585),"",RawFinancials!V585)</f>
        <v>0</v>
      </c>
      <c r="W585" s="0" t="n">
        <f aca="false">IF(ISBLANK(RawFinancials!W585),"",RawFinancials!W585)</f>
        <v>20240930</v>
      </c>
      <c r="X585" s="0" t="n">
        <f aca="false">IF(ISBLANK(RawFinancials!X585),"",RawFinancials!X585)</f>
        <v>-3.55028579942774</v>
      </c>
      <c r="Y585" s="0" t="n">
        <f aca="false">IF(ISBLANK(RawFinancials!Y585),"",RawFinancials!Y585)</f>
        <v>-19.17</v>
      </c>
      <c r="Z585" s="0" t="str">
        <f aca="false">IF(ISBLANK(RawFinancials!Z585),"",RawFinancials!Z585)</f>
        <v>NH</v>
      </c>
      <c r="AA585" s="0" t="n">
        <f aca="false">RawFinancials!AA585</f>
        <v>1</v>
      </c>
      <c r="AB585" s="0" t="n">
        <f aca="false">RawFinancials!AB585</f>
        <v>4832</v>
      </c>
      <c r="AC585" s="0" t="n">
        <f aca="false">RawFinancials!AC585</f>
        <v>4.01005834170145</v>
      </c>
      <c r="AD585" s="0" t="n">
        <f aca="false">IF(L585&gt;0,100*N585/L585,"")</f>
        <v>42.3312213240114</v>
      </c>
      <c r="AE585" s="0" t="n">
        <f aca="false">IF(B585&gt;0,100*F585/B585,"")</f>
        <v>13.7580188718391</v>
      </c>
      <c r="AF585" s="0" t="str">
        <f aca="false">RawFinancials!AE585</f>
        <v>原始0：需核实适用/报告口径</v>
      </c>
    </row>
    <row r="586" customFormat="false" ht="15" hidden="false" customHeight="false" outlineLevel="0" collapsed="false">
      <c r="A586" s="0" t="n">
        <f aca="false">IF(ISBLANK(RawFinancials!A586),"",RawFinancials!A586)</f>
        <v>586</v>
      </c>
      <c r="B586" s="0" t="n">
        <f aca="false">IF(ISBLANK(RawFinancials!B586),"",RawFinancials!B586)</f>
        <v>257839</v>
      </c>
      <c r="C586" s="0" t="n">
        <f aca="false">IF(ISBLANK(RawFinancials!C586),"",RawFinancials!C586)</f>
        <v>59298</v>
      </c>
      <c r="D586" s="0" t="n">
        <f aca="false">IF(ISBLANK(RawFinancials!D586),"",RawFinancials!D586)</f>
        <v>230108</v>
      </c>
      <c r="E586" s="0" t="n">
        <f aca="false">IF(ISBLANK(RawFinancials!E586),"",RawFinancials!E586)</f>
        <v>0.2</v>
      </c>
      <c r="F586" s="0" t="n">
        <f aca="false">IF(ISBLANK(RawFinancials!F586),"",RawFinancials!F586)</f>
        <v>26808</v>
      </c>
      <c r="G586" s="0" t="n">
        <f aca="false">IF(ISBLANK(RawFinancials!G586),"",RawFinancials!G586)</f>
        <v>10.3971858407766</v>
      </c>
      <c r="H586" s="0" t="str">
        <f aca="false">IF(ISBLANK(RawFinancials!H586),"",RawFinancials!H586)</f>
        <v>59298_20240930</v>
      </c>
      <c r="I586" s="0" t="n">
        <f aca="false">IF(ISBLANK(RawFinancials!I586),"",RawFinancials!I586)</f>
        <v>0.787373425923443</v>
      </c>
      <c r="J586" s="0" t="n">
        <f aca="false">IF(ISBLANK(RawFinancials!J586),"",RawFinancials!J586)</f>
        <v>23764</v>
      </c>
      <c r="K586" s="0" t="n">
        <f aca="false">IF(ISBLANK(RawFinancials!K586),"",RawFinancials!K586)</f>
        <v>0</v>
      </c>
      <c r="L586" s="0" t="n">
        <f aca="false">IF(ISBLANK(RawFinancials!L586),"",RawFinancials!L586)</f>
        <v>111891</v>
      </c>
      <c r="M586" s="0" t="n">
        <f aca="false">IF(ISBLANK(RawFinancials!M586),"",RawFinancials!M586)</f>
        <v>111010</v>
      </c>
      <c r="N586" s="0" t="n">
        <f aca="false">IF(ISBLANK(RawFinancials!N586),"",RawFinancials!N586)</f>
        <v>88153</v>
      </c>
      <c r="O586" s="0" t="n">
        <f aca="false">IF(ISBLANK(RawFinancials!O586),"",RawFinancials!O586)</f>
        <v>0</v>
      </c>
      <c r="P586" s="0" t="str">
        <f aca="false">IF(ISBLANK(RawFinancials!P586),"",RawFinancials!P586)</f>
        <v>BANK OF BURLINGTON</v>
      </c>
      <c r="Q586" s="0" t="n">
        <f aca="false">IF(ISBLANK(RawFinancials!Q586),"",RawFinancials!Q586)</f>
        <v>0</v>
      </c>
      <c r="R586" s="0" t="n">
        <f aca="false">IF(ISBLANK(RawFinancials!R586),"",RawFinancials!R586)</f>
        <v>1.98479257946533</v>
      </c>
      <c r="S586" s="0" t="n">
        <f aca="false">IF(ISBLANK(RawFinancials!S586),"",RawFinancials!S586)</f>
        <v>0</v>
      </c>
      <c r="T586" s="0" t="n">
        <f aca="false">IF(ISBLANK(RawFinancials!T586),"",RawFinancials!T586)</f>
        <v>0</v>
      </c>
      <c r="U586" s="0" t="n">
        <f aca="false">IF(ISBLANK(RawFinancials!U586),"",RawFinancials!U586)</f>
        <v>0</v>
      </c>
      <c r="V586" s="0" t="n">
        <f aca="false">IF(ISBLANK(RawFinancials!V586),"",RawFinancials!V586)</f>
        <v>0</v>
      </c>
      <c r="W586" s="0" t="n">
        <f aca="false">IF(ISBLANK(RawFinancials!W586),"",RawFinancials!W586)</f>
        <v>20240930</v>
      </c>
      <c r="X586" s="0" t="n">
        <f aca="false">IF(ISBLANK(RawFinancials!X586),"",RawFinancials!X586)</f>
        <v>-1.04704613103554</v>
      </c>
      <c r="Y586" s="0" t="n">
        <f aca="false">IF(ISBLANK(RawFinancials!Y586),"",RawFinancials!Y586)</f>
        <v>-7.94</v>
      </c>
      <c r="Z586" s="0" t="str">
        <f aca="false">IF(ISBLANK(RawFinancials!Z586),"",RawFinancials!Z586)</f>
        <v>VT</v>
      </c>
      <c r="AA586" s="0" t="n">
        <f aca="false">RawFinancials!AA586</f>
        <v>1</v>
      </c>
      <c r="AB586" s="0" t="n">
        <f aca="false">RawFinancials!AB586</f>
        <v>0</v>
      </c>
      <c r="AC586" s="0" t="n">
        <f aca="false">RawFinancials!AC586</f>
        <v>0</v>
      </c>
      <c r="AD586" s="0" t="n">
        <f aca="false">IF(L586&gt;0,100*N586/L586,"")</f>
        <v>78.78471011967</v>
      </c>
      <c r="AE586" s="0" t="n">
        <f aca="false">IF(B586&gt;0,100*F586/B586,"")</f>
        <v>10.3971858407766</v>
      </c>
      <c r="AF586" s="0" t="str">
        <f aca="false">RawFinancials!AE586</f>
        <v>原始0：需核实适用/报告口径</v>
      </c>
    </row>
    <row r="587" customFormat="false" ht="15" hidden="false" customHeight="false" outlineLevel="0" collapsed="false">
      <c r="A587" s="0" t="n">
        <f aca="false">IF(ISBLANK(RawFinancials!A587),"",RawFinancials!A587)</f>
        <v>587</v>
      </c>
      <c r="B587" s="0" t="n">
        <f aca="false">IF(ISBLANK(RawFinancials!B587),"",RawFinancials!B587)</f>
        <v>1176660</v>
      </c>
      <c r="C587" s="0" t="n">
        <f aca="false">IF(ISBLANK(RawFinancials!C587),"",RawFinancials!C587)</f>
        <v>6271</v>
      </c>
      <c r="D587" s="0" t="n">
        <f aca="false">IF(ISBLANK(RawFinancials!D587),"",RawFinancials!D587)</f>
        <v>930724</v>
      </c>
      <c r="E587" s="0" t="n">
        <f aca="false">IF(ISBLANK(RawFinancials!E587),"",RawFinancials!E587)</f>
        <v>0.13</v>
      </c>
      <c r="F587" s="0" t="n">
        <f aca="false">IF(ISBLANK(RawFinancials!F587),"",RawFinancials!F587)</f>
        <v>110390</v>
      </c>
      <c r="G587" s="0" t="n">
        <f aca="false">IF(ISBLANK(RawFinancials!G587),"",RawFinancials!G587)</f>
        <v>9.38163955603148</v>
      </c>
      <c r="H587" s="0" t="str">
        <f aca="false">IF(ISBLANK(RawFinancials!H587),"",RawFinancials!H587)</f>
        <v>6271_20240930</v>
      </c>
      <c r="I587" s="0" t="n">
        <f aca="false">IF(ISBLANK(RawFinancials!I587),"",RawFinancials!I587)</f>
        <v>1.04450763070852</v>
      </c>
      <c r="J587" s="0" t="n">
        <f aca="false">IF(ISBLANK(RawFinancials!J587),"",RawFinancials!J587)</f>
        <v>123877</v>
      </c>
      <c r="K587" s="0" t="n">
        <f aca="false">IF(ISBLANK(RawFinancials!K587),"",RawFinancials!K587)</f>
        <v>7088</v>
      </c>
      <c r="L587" s="0" t="n">
        <f aca="false">IF(ISBLANK(RawFinancials!L587),"",RawFinancials!L587)</f>
        <v>913349</v>
      </c>
      <c r="M587" s="0" t="n">
        <f aca="false">IF(ISBLANK(RawFinancials!M587),"",RawFinancials!M587)</f>
        <v>903809</v>
      </c>
      <c r="N587" s="0" t="n">
        <f aca="false">IF(ISBLANK(RawFinancials!N587),"",RawFinancials!N587)</f>
        <v>709642</v>
      </c>
      <c r="O587" s="0" t="n">
        <f aca="false">IF(ISBLANK(RawFinancials!O587),"",RawFinancials!O587)</f>
        <v>4487</v>
      </c>
      <c r="P587" s="0" t="str">
        <f aca="false">IF(ISBLANK(RawFinancials!P587),"",RawFinancials!P587)</f>
        <v>COMMUNITY NATIONAL BANK</v>
      </c>
      <c r="Q587" s="0" t="n">
        <f aca="false">IF(ISBLANK(RawFinancials!Q587),"",RawFinancials!Q587)</f>
        <v>0.586851247442106</v>
      </c>
      <c r="R587" s="0" t="n">
        <f aca="false">IF(ISBLANK(RawFinancials!R587),"",RawFinancials!R587)</f>
        <v>3.28231818568022</v>
      </c>
      <c r="S587" s="0" t="n">
        <f aca="false">IF(ISBLANK(RawFinancials!S587),"",RawFinancials!S587)</f>
        <v>1380</v>
      </c>
      <c r="T587" s="0" t="n">
        <f aca="false">IF(ISBLANK(RawFinancials!T587),"",RawFinancials!T587)</f>
        <v>141</v>
      </c>
      <c r="U587" s="0" t="n">
        <f aca="false">IF(ISBLANK(RawFinancials!U587),"",RawFinancials!U587)</f>
        <v>873</v>
      </c>
      <c r="V587" s="0" t="n">
        <f aca="false">IF(ISBLANK(RawFinancials!V587),"",RawFinancials!V587)</f>
        <v>14.7664225949049</v>
      </c>
      <c r="W587" s="0" t="n">
        <f aca="false">IF(ISBLANK(RawFinancials!W587),"",RawFinancials!W587)</f>
        <v>20240930</v>
      </c>
      <c r="X587" s="0" t="n">
        <f aca="false">IF(ISBLANK(RawFinancials!X587),"",RawFinancials!X587)</f>
        <v>1.13807452468225</v>
      </c>
      <c r="Y587" s="0" t="n">
        <f aca="false">IF(ISBLANK(RawFinancials!Y587),"",RawFinancials!Y587)</f>
        <v>12.25</v>
      </c>
      <c r="Z587" s="0" t="str">
        <f aca="false">IF(ISBLANK(RawFinancials!Z587),"",RawFinancials!Z587)</f>
        <v>VT</v>
      </c>
      <c r="AA587" s="0" t="n">
        <f aca="false">RawFinancials!AA587</f>
        <v>1</v>
      </c>
      <c r="AB587" s="0" t="n">
        <f aca="false">RawFinancials!AB587</f>
        <v>5360</v>
      </c>
      <c r="AC587" s="0" t="n">
        <f aca="false">RawFinancials!AC587</f>
        <v>0.455526660207707</v>
      </c>
      <c r="AD587" s="0" t="n">
        <f aca="false">IF(L587&gt;0,100*N587/L587,"")</f>
        <v>77.6966964435282</v>
      </c>
      <c r="AE587" s="0" t="n">
        <f aca="false">IF(B587&gt;0,100*F587/B587,"")</f>
        <v>9.38163955603148</v>
      </c>
      <c r="AF587" s="0" t="str">
        <f aca="false">RawFinancials!AE587</f>
        <v/>
      </c>
    </row>
    <row r="588" customFormat="false" ht="15" hidden="false" customHeight="false" outlineLevel="0" collapsed="false">
      <c r="A588" s="0" t="n">
        <f aca="false">IF(ISBLANK(RawFinancials!A588),"",RawFinancials!A588)</f>
        <v>588</v>
      </c>
      <c r="B588" s="0" t="n">
        <f aca="false">IF(ISBLANK(RawFinancials!B588),"",RawFinancials!B588)</f>
        <v>558754</v>
      </c>
      <c r="C588" s="0" t="n">
        <f aca="false">IF(ISBLANK(RawFinancials!C588),"",RawFinancials!C588)</f>
        <v>6275</v>
      </c>
      <c r="D588" s="0" t="n">
        <f aca="false">IF(ISBLANK(RawFinancials!D588),"",RawFinancials!D588)</f>
        <v>473501</v>
      </c>
      <c r="E588" s="0" t="n">
        <f aca="false">IF(ISBLANK(RawFinancials!E588),"",RawFinancials!E588)</f>
        <v>0</v>
      </c>
      <c r="F588" s="0" t="n">
        <f aca="false">IF(ISBLANK(RawFinancials!F588),"",RawFinancials!F588)</f>
        <v>36242</v>
      </c>
      <c r="G588" s="0" t="n">
        <f aca="false">IF(ISBLANK(RawFinancials!G588),"",RawFinancials!G588)</f>
        <v>6.48621754833075</v>
      </c>
      <c r="H588" s="0" t="str">
        <f aca="false">IF(ISBLANK(RawFinancials!H588),"",RawFinancials!H588)</f>
        <v>6275_20240930</v>
      </c>
      <c r="I588" s="0" t="n">
        <f aca="false">IF(ISBLANK(RawFinancials!I588),"",RawFinancials!I588)</f>
        <v>0.409030988856934</v>
      </c>
      <c r="J588" s="0" t="n">
        <f aca="false">IF(ISBLANK(RawFinancials!J588),"",RawFinancials!J588)</f>
        <v>38226</v>
      </c>
      <c r="K588" s="0" t="n">
        <f aca="false">IF(ISBLANK(RawFinancials!K588),"",RawFinancials!K588)</f>
        <v>9769</v>
      </c>
      <c r="L588" s="0" t="n">
        <f aca="false">IF(ISBLANK(RawFinancials!L588),"",RawFinancials!L588)</f>
        <v>346673</v>
      </c>
      <c r="M588" s="0" t="n">
        <f aca="false">IF(ISBLANK(RawFinancials!M588),"",RawFinancials!M588)</f>
        <v>345255</v>
      </c>
      <c r="N588" s="0" t="n">
        <f aca="false">IF(ISBLANK(RawFinancials!N588),"",RawFinancials!N588)</f>
        <v>288795</v>
      </c>
      <c r="O588" s="0" t="n">
        <f aca="false">IF(ISBLANK(RawFinancials!O588),"",RawFinancials!O588)</f>
        <v>745</v>
      </c>
      <c r="P588" s="0" t="str">
        <f aca="false">IF(ISBLANK(RawFinancials!P588),"",RawFinancials!P588)</f>
        <v>THE NATIONAL BANK OF MIDDLEBURY</v>
      </c>
      <c r="Q588" s="0" t="n">
        <f aca="false">IF(ISBLANK(RawFinancials!Q588),"",RawFinancials!Q588)</f>
        <v>0.234514946361557</v>
      </c>
      <c r="R588" s="0" t="n">
        <f aca="false">IF(ISBLANK(RawFinancials!R588),"",RawFinancials!R588)</f>
        <v>2.90157241979757</v>
      </c>
      <c r="S588" s="0" t="n">
        <f aca="false">IF(ISBLANK(RawFinancials!S588),"",RawFinancials!S588)</f>
        <v>-26</v>
      </c>
      <c r="T588" s="0" t="n">
        <f aca="false">IF(ISBLANK(RawFinancials!T588),"",RawFinancials!T588)</f>
        <v>41</v>
      </c>
      <c r="U588" s="0" t="n">
        <f aca="false">IF(ISBLANK(RawFinancials!U588),"",RawFinancials!U588)</f>
        <v>68</v>
      </c>
      <c r="V588" s="0" t="n">
        <f aca="false">IF(ISBLANK(RawFinancials!V588),"",RawFinancials!V588)</f>
        <v>15.2047103929892</v>
      </c>
      <c r="W588" s="0" t="n">
        <f aca="false">IF(ISBLANK(RawFinancials!W588),"",RawFinancials!W588)</f>
        <v>20240930</v>
      </c>
      <c r="X588" s="0" t="n">
        <f aca="false">IF(ISBLANK(RawFinancials!X588),"",RawFinancials!X588)</f>
        <v>0.610514678351193</v>
      </c>
      <c r="Y588" s="0" t="n">
        <f aca="false">IF(ISBLANK(RawFinancials!Y588),"",RawFinancials!Y588)</f>
        <v>10.67</v>
      </c>
      <c r="Z588" s="0" t="str">
        <f aca="false">IF(ISBLANK(RawFinancials!Z588),"",RawFinancials!Z588)</f>
        <v>VT</v>
      </c>
      <c r="AA588" s="0" t="n">
        <f aca="false">RawFinancials!AA588</f>
        <v>1</v>
      </c>
      <c r="AB588" s="0" t="n">
        <f aca="false">RawFinancials!AB588</f>
        <v>813</v>
      </c>
      <c r="AC588" s="0" t="n">
        <f aca="false">RawFinancials!AC588</f>
        <v>0.145502314077394</v>
      </c>
      <c r="AD588" s="0" t="n">
        <f aca="false">IF(L588&gt;0,100*N588/L588,"")</f>
        <v>83.3047280866984</v>
      </c>
      <c r="AE588" s="0" t="n">
        <f aca="false">IF(B588&gt;0,100*F588/B588,"")</f>
        <v>6.48621754833075</v>
      </c>
      <c r="AF588" s="0" t="str">
        <f aca="false">RawFinancials!AE588</f>
        <v/>
      </c>
    </row>
    <row r="589" customFormat="false" ht="15" hidden="false" customHeight="false" outlineLevel="0" collapsed="false">
      <c r="A589" s="0" t="n">
        <f aca="false">IF(ISBLANK(RawFinancials!A589),"",RawFinancials!A589)</f>
        <v>589</v>
      </c>
      <c r="B589" s="0" t="n">
        <f aca="false">IF(ISBLANK(RawFinancials!B589),"",RawFinancials!B589)</f>
        <v>85714</v>
      </c>
      <c r="C589" s="0" t="n">
        <f aca="false">IF(ISBLANK(RawFinancials!C589),"",RawFinancials!C589)</f>
        <v>6280</v>
      </c>
      <c r="D589" s="0" t="n">
        <f aca="false">IF(ISBLANK(RawFinancials!D589),"",RawFinancials!D589)</f>
        <v>75614</v>
      </c>
      <c r="E589" s="0" t="n">
        <f aca="false">IF(ISBLANK(RawFinancials!E589),"",RawFinancials!E589)</f>
        <v>0.09</v>
      </c>
      <c r="F589" s="0" t="n">
        <f aca="false">IF(ISBLANK(RawFinancials!F589),"",RawFinancials!F589)</f>
        <v>9836</v>
      </c>
      <c r="G589" s="0" t="n">
        <f aca="false">IF(ISBLANK(RawFinancials!G589),"",RawFinancials!G589)</f>
        <v>11.475371584572</v>
      </c>
      <c r="H589" s="0" t="str">
        <f aca="false">IF(ISBLANK(RawFinancials!H589),"",RawFinancials!H589)</f>
        <v>6280_20240930</v>
      </c>
      <c r="I589" s="0" t="n">
        <f aca="false">IF(ISBLANK(RawFinancials!I589),"",RawFinancials!I589)</f>
        <v>1.32484076433121</v>
      </c>
      <c r="J589" s="0" t="n">
        <f aca="false">IF(ISBLANK(RawFinancials!J589),"",RawFinancials!J589)</f>
        <v>3992</v>
      </c>
      <c r="K589" s="0" t="n">
        <f aca="false">IF(ISBLANK(RawFinancials!K589),"",RawFinancials!K589)</f>
        <v>1471</v>
      </c>
      <c r="L589" s="0" t="n">
        <f aca="false">IF(ISBLANK(RawFinancials!L589),"",RawFinancials!L589)</f>
        <v>70650</v>
      </c>
      <c r="M589" s="0" t="n">
        <f aca="false">IF(ISBLANK(RawFinancials!M589),"",RawFinancials!M589)</f>
        <v>69714</v>
      </c>
      <c r="N589" s="0" t="n">
        <f aca="false">IF(ISBLANK(RawFinancials!N589),"",RawFinancials!N589)</f>
        <v>62411</v>
      </c>
      <c r="O589" s="0" t="n">
        <f aca="false">IF(ISBLANK(RawFinancials!O589),"",RawFinancials!O589)</f>
        <v>1121</v>
      </c>
      <c r="P589" s="0" t="str">
        <f aca="false">IF(ISBLANK(RawFinancials!P589),"",RawFinancials!P589)</f>
        <v>THE FIRST NATIONAL BANK OF ORWELL</v>
      </c>
      <c r="Q589" s="0" t="n">
        <f aca="false">IF(ISBLANK(RawFinancials!Q589),"",RawFinancials!Q589)</f>
        <v>1.58669497523001</v>
      </c>
      <c r="R589" s="0" t="n">
        <f aca="false">IF(ISBLANK(RawFinancials!R589),"",RawFinancials!R589)</f>
        <v>4.61800872747197</v>
      </c>
      <c r="S589" s="0" t="n">
        <f aca="false">IF(ISBLANK(RawFinancials!S589),"",RawFinancials!S589)</f>
        <v>12</v>
      </c>
      <c r="T589" s="0" t="n">
        <f aca="false">IF(ISBLANK(RawFinancials!T589),"",RawFinancials!T589)</f>
        <v>644</v>
      </c>
      <c r="U589" s="0" t="n">
        <f aca="false">IF(ISBLANK(RawFinancials!U589),"",RawFinancials!U589)</f>
        <v>0</v>
      </c>
      <c r="V589" s="0" t="n">
        <f aca="false">IF(ISBLANK(RawFinancials!V589),"",RawFinancials!V589)</f>
        <v>0</v>
      </c>
      <c r="W589" s="0" t="n">
        <f aca="false">IF(ISBLANK(RawFinancials!W589),"",RawFinancials!W589)</f>
        <v>20240930</v>
      </c>
      <c r="X589" s="0" t="n">
        <f aca="false">IF(ISBLANK(RawFinancials!X589),"",RawFinancials!X589)</f>
        <v>1.37847937324559</v>
      </c>
      <c r="Y589" s="0" t="n">
        <f aca="false">IF(ISBLANK(RawFinancials!Y589),"",RawFinancials!Y589)</f>
        <v>11.61</v>
      </c>
      <c r="Z589" s="0" t="str">
        <f aca="false">IF(ISBLANK(RawFinancials!Z589),"",RawFinancials!Z589)</f>
        <v>VT</v>
      </c>
      <c r="AA589" s="0" t="n">
        <f aca="false">RawFinancials!AA589</f>
        <v>1</v>
      </c>
      <c r="AB589" s="0" t="n">
        <f aca="false">RawFinancials!AB589</f>
        <v>1121</v>
      </c>
      <c r="AC589" s="0" t="n">
        <f aca="false">RawFinancials!AC589</f>
        <v>1.30783769279231</v>
      </c>
      <c r="AD589" s="0" t="n">
        <f aca="false">IF(L589&gt;0,100*N589/L589,"")</f>
        <v>88.3382873319179</v>
      </c>
      <c r="AE589" s="0" t="n">
        <f aca="false">IF(B589&gt;0,100*F589/B589,"")</f>
        <v>11.475371584572</v>
      </c>
      <c r="AF589" s="0" t="str">
        <f aca="false">RawFinancials!AE589</f>
        <v>原始0：需核实适用/报告口径</v>
      </c>
    </row>
    <row r="590" customFormat="false" ht="15" hidden="false" customHeight="false" outlineLevel="0" collapsed="false">
      <c r="A590" s="0" t="n">
        <f aca="false">IF(ISBLANK(RawFinancials!A590),"",RawFinancials!A590)</f>
        <v>590</v>
      </c>
      <c r="B590" s="0" t="n">
        <f aca="false">IF(ISBLANK(RawFinancials!B590),"",RawFinancials!B590)</f>
        <v>4077997</v>
      </c>
      <c r="C590" s="0" t="n">
        <f aca="false">IF(ISBLANK(RawFinancials!C590),"",RawFinancials!C590)</f>
        <v>11971</v>
      </c>
      <c r="D590" s="0" t="n">
        <f aca="false">IF(ISBLANK(RawFinancials!D590),"",RawFinancials!D590)</f>
        <v>3274818</v>
      </c>
      <c r="E590" s="0" t="n">
        <f aca="false">IF(ISBLANK(RawFinancials!E590),"",RawFinancials!E590)</f>
        <v>0.03</v>
      </c>
      <c r="F590" s="0" t="n">
        <f aca="false">IF(ISBLANK(RawFinancials!F590),"",RawFinancials!F590)</f>
        <v>493072</v>
      </c>
      <c r="G590" s="0" t="n">
        <f aca="false">IF(ISBLANK(RawFinancials!G590),"",RawFinancials!G590)</f>
        <v>12.0910339070872</v>
      </c>
      <c r="H590" s="0" t="str">
        <f aca="false">IF(ISBLANK(RawFinancials!H590),"",RawFinancials!H590)</f>
        <v>11971_20241231</v>
      </c>
      <c r="I590" s="0" t="n">
        <f aca="false">IF(ISBLANK(RawFinancials!I590),"",RawFinancials!I590)</f>
        <v>0.912991387185341</v>
      </c>
      <c r="J590" s="0" t="n">
        <f aca="false">IF(ISBLANK(RawFinancials!J590),"",RawFinancials!J590)</f>
        <v>212814</v>
      </c>
      <c r="K590" s="0" t="n">
        <f aca="false">IF(ISBLANK(RawFinancials!K590),"",RawFinancials!K590)</f>
        <v>8070</v>
      </c>
      <c r="L590" s="0" t="n">
        <f aca="false">IF(ISBLANK(RawFinancials!L590),"",RawFinancials!L590)</f>
        <v>3148332</v>
      </c>
      <c r="M590" s="0" t="n">
        <f aca="false">IF(ISBLANK(RawFinancials!M590),"",RawFinancials!M590)</f>
        <v>3119588</v>
      </c>
      <c r="N590" s="0" t="n">
        <f aca="false">IF(ISBLANK(RawFinancials!N590),"",RawFinancials!N590)</f>
        <v>2776221</v>
      </c>
      <c r="O590" s="0" t="n">
        <f aca="false">IF(ISBLANK(RawFinancials!O590),"",RawFinancials!O590)</f>
        <v>6995</v>
      </c>
      <c r="P590" s="0" t="str">
        <f aca="false">IF(ISBLANK(RawFinancials!P590),"",RawFinancials!P590)</f>
        <v>BAR HARBOR BANK &amp; TRUST</v>
      </c>
      <c r="Q590" s="0" t="n">
        <f aca="false">IF(ISBLANK(RawFinancials!Q590),"",RawFinancials!Q590)</f>
        <v>0.222276430821146</v>
      </c>
      <c r="R590" s="0" t="n">
        <f aca="false">IF(ISBLANK(RawFinancials!R590),"",RawFinancials!R590)</f>
        <v>3.2547781259091</v>
      </c>
      <c r="S590" s="0" t="n">
        <f aca="false">IF(ISBLANK(RawFinancials!S590),"",RawFinancials!S590)</f>
        <v>353</v>
      </c>
      <c r="T590" s="0" t="n">
        <f aca="false">IF(ISBLANK(RawFinancials!T590),"",RawFinancials!T590)</f>
        <v>17336</v>
      </c>
      <c r="U590" s="0" t="n">
        <f aca="false">IF(ISBLANK(RawFinancials!U590),"",RawFinancials!U590)</f>
        <v>3</v>
      </c>
      <c r="V590" s="0" t="n">
        <f aca="false">IF(ISBLANK(RawFinancials!V590),"",RawFinancials!V590)</f>
        <v>13.4411479487113</v>
      </c>
      <c r="W590" s="0" t="n">
        <f aca="false">IF(ISBLANK(RawFinancials!W590),"",RawFinancials!W590)</f>
        <v>20241231</v>
      </c>
      <c r="X590" s="0" t="n">
        <f aca="false">IF(ISBLANK(RawFinancials!X590),"",RawFinancials!X590)</f>
        <v>1.26447906428998</v>
      </c>
      <c r="Y590" s="0" t="n">
        <f aca="false">IF(ISBLANK(RawFinancials!Y590),"",RawFinancials!Y590)</f>
        <v>10.26</v>
      </c>
      <c r="Z590" s="0" t="str">
        <f aca="false">IF(ISBLANK(RawFinancials!Z590),"",RawFinancials!Z590)</f>
        <v>ME</v>
      </c>
      <c r="AA590" s="0" t="n">
        <f aca="false">RawFinancials!AA590</f>
        <v>1</v>
      </c>
      <c r="AB590" s="0" t="n">
        <f aca="false">RawFinancials!AB590</f>
        <v>6998</v>
      </c>
      <c r="AC590" s="0" t="n">
        <f aca="false">RawFinancials!AC590</f>
        <v>0.171603853558499</v>
      </c>
      <c r="AD590" s="0" t="n">
        <f aca="false">IF(L590&gt;0,100*N590/L590,"")</f>
        <v>88.1806937768952</v>
      </c>
      <c r="AE590" s="0" t="n">
        <f aca="false">IF(B590&gt;0,100*F590/B590,"")</f>
        <v>12.0910339070872</v>
      </c>
      <c r="AF590" s="0" t="str">
        <f aca="false">RawFinancials!AE590</f>
        <v/>
      </c>
    </row>
    <row r="591" customFormat="false" ht="15" hidden="false" customHeight="false" outlineLevel="0" collapsed="false">
      <c r="A591" s="0" t="n">
        <f aca="false">IF(ISBLANK(RawFinancials!A591),"",RawFinancials!A591)</f>
        <v>591</v>
      </c>
      <c r="B591" s="0" t="n">
        <f aca="false">IF(ISBLANK(RawFinancials!B591),"",RawFinancials!B591)</f>
        <v>1078599</v>
      </c>
      <c r="C591" s="0" t="n">
        <f aca="false">IF(ISBLANK(RawFinancials!C591),"",RawFinancials!C591)</f>
        <v>12874</v>
      </c>
      <c r="D591" s="0" t="n">
        <f aca="false">IF(ISBLANK(RawFinancials!D591),"",RawFinancials!D591)</f>
        <v>931493</v>
      </c>
      <c r="E591" s="0" t="n">
        <f aca="false">IF(ISBLANK(RawFinancials!E591),"",RawFinancials!E591)</f>
        <v>0.05</v>
      </c>
      <c r="F591" s="0" t="n">
        <f aca="false">IF(ISBLANK(RawFinancials!F591),"",RawFinancials!F591)</f>
        <v>96293</v>
      </c>
      <c r="G591" s="0" t="n">
        <f aca="false">IF(ISBLANK(RawFinancials!G591),"",RawFinancials!G591)</f>
        <v>8.92759959910959</v>
      </c>
      <c r="H591" s="0" t="str">
        <f aca="false">IF(ISBLANK(RawFinancials!H591),"",RawFinancials!H591)</f>
        <v>12874_20241231</v>
      </c>
      <c r="I591" s="0" t="n">
        <f aca="false">IF(ISBLANK(RawFinancials!I591),"",RawFinancials!I591)</f>
        <v>1.00624187634586</v>
      </c>
      <c r="J591" s="0" t="n">
        <f aca="false">IF(ISBLANK(RawFinancials!J591),"",RawFinancials!J591)</f>
        <v>163025</v>
      </c>
      <c r="K591" s="0" t="n">
        <f aca="false">IF(ISBLANK(RawFinancials!K591),"",RawFinancials!K591)</f>
        <v>4566</v>
      </c>
      <c r="L591" s="0" t="n">
        <f aca="false">IF(ISBLANK(RawFinancials!L591),"",RawFinancials!L591)</f>
        <v>824752</v>
      </c>
      <c r="M591" s="0" t="n">
        <f aca="false">IF(ISBLANK(RawFinancials!M591),"",RawFinancials!M591)</f>
        <v>816453</v>
      </c>
      <c r="N591" s="0" t="n">
        <f aca="false">IF(ISBLANK(RawFinancials!N591),"",RawFinancials!N591)</f>
        <v>640478</v>
      </c>
      <c r="O591" s="0" t="n">
        <f aca="false">IF(ISBLANK(RawFinancials!O591),"",RawFinancials!O591)</f>
        <v>1392</v>
      </c>
      <c r="P591" s="0" t="str">
        <f aca="false">IF(ISBLANK(RawFinancials!P591),"",RawFinancials!P591)</f>
        <v>KATAHDIN TRUST COMPANY</v>
      </c>
      <c r="Q591" s="0" t="n">
        <f aca="false">IF(ISBLANK(RawFinancials!Q591),"",RawFinancials!Q591)</f>
        <v>0.168778008419501</v>
      </c>
      <c r="R591" s="0" t="n">
        <f aca="false">IF(ISBLANK(RawFinancials!R591),"",RawFinancials!R591)</f>
        <v>3.69486040719359</v>
      </c>
      <c r="S591" s="0" t="n">
        <f aca="false">IF(ISBLANK(RawFinancials!S591),"",RawFinancials!S591)</f>
        <v>-17</v>
      </c>
      <c r="T591" s="0" t="n">
        <f aca="false">IF(ISBLANK(RawFinancials!T591),"",RawFinancials!T591)</f>
        <v>568</v>
      </c>
      <c r="U591" s="0" t="n">
        <f aca="false">IF(ISBLANK(RawFinancials!U591),"",RawFinancials!U591)</f>
        <v>0</v>
      </c>
      <c r="V591" s="0" t="n">
        <f aca="false">IF(ISBLANK(RawFinancials!V591),"",RawFinancials!V591)</f>
        <v>14.0068083332392</v>
      </c>
      <c r="W591" s="0" t="n">
        <f aca="false">IF(ISBLANK(RawFinancials!W591),"",RawFinancials!W591)</f>
        <v>20241231</v>
      </c>
      <c r="X591" s="0" t="n">
        <f aca="false">IF(ISBLANK(RawFinancials!X591),"",RawFinancials!X591)</f>
        <v>0.860333153789986</v>
      </c>
      <c r="Y591" s="0" t="n">
        <f aca="false">IF(ISBLANK(RawFinancials!Y591),"",RawFinancials!Y591)</f>
        <v>8.44</v>
      </c>
      <c r="Z591" s="0" t="str">
        <f aca="false">IF(ISBLANK(RawFinancials!Z591),"",RawFinancials!Z591)</f>
        <v>ME</v>
      </c>
      <c r="AA591" s="0" t="n">
        <f aca="false">RawFinancials!AA591</f>
        <v>1</v>
      </c>
      <c r="AB591" s="0" t="n">
        <f aca="false">RawFinancials!AB591</f>
        <v>1392</v>
      </c>
      <c r="AC591" s="0" t="n">
        <f aca="false">RawFinancials!AC591</f>
        <v>0.129056303593829</v>
      </c>
      <c r="AD591" s="0" t="n">
        <f aca="false">IF(L591&gt;0,100*N591/L591,"")</f>
        <v>77.6570411469145</v>
      </c>
      <c r="AE591" s="0" t="n">
        <f aca="false">IF(B591&gt;0,100*F591/B591,"")</f>
        <v>8.92759959910959</v>
      </c>
      <c r="AF591" s="0" t="str">
        <f aca="false">RawFinancials!AE591</f>
        <v/>
      </c>
    </row>
    <row r="592" customFormat="false" ht="15" hidden="false" customHeight="false" outlineLevel="0" collapsed="false">
      <c r="A592" s="0" t="n">
        <f aca="false">IF(ISBLANK(RawFinancials!A592),"",RawFinancials!A592)</f>
        <v>592</v>
      </c>
      <c r="B592" s="0" t="n">
        <f aca="false">IF(ISBLANK(RawFinancials!B592),"",RawFinancials!B592)</f>
        <v>1867411</v>
      </c>
      <c r="C592" s="0" t="n">
        <f aca="false">IF(ISBLANK(RawFinancials!C592),"",RawFinancials!C592)</f>
        <v>13063</v>
      </c>
      <c r="D592" s="0" t="n">
        <f aca="false">IF(ISBLANK(RawFinancials!D592),"",RawFinancials!D592)</f>
        <v>1626222</v>
      </c>
      <c r="E592" s="0" t="n">
        <f aca="false">IF(ISBLANK(RawFinancials!E592),"",RawFinancials!E592)</f>
        <v>0</v>
      </c>
      <c r="F592" s="0" t="n">
        <f aca="false">IF(ISBLANK(RawFinancials!F592),"",RawFinancials!F592)</f>
        <v>153090</v>
      </c>
      <c r="G592" s="0" t="n">
        <f aca="false">IF(ISBLANK(RawFinancials!G592),"",RawFinancials!G592)</f>
        <v>8.1979810550543</v>
      </c>
      <c r="H592" s="0" t="str">
        <f aca="false">IF(ISBLANK(RawFinancials!H592),"",RawFinancials!H592)</f>
        <v>13063_20241231</v>
      </c>
      <c r="I592" s="0" t="n">
        <f aca="false">IF(ISBLANK(RawFinancials!I592),"",RawFinancials!I592)</f>
        <v>1.10218094236936</v>
      </c>
      <c r="J592" s="0" t="n">
        <f aca="false">IF(ISBLANK(RawFinancials!J592),"",RawFinancials!J592)</f>
        <v>60157</v>
      </c>
      <c r="K592" s="0" t="n">
        <f aca="false">IF(ISBLANK(RawFinancials!K592),"",RawFinancials!K592)</f>
        <v>794</v>
      </c>
      <c r="L592" s="0" t="n">
        <f aca="false">IF(ISBLANK(RawFinancials!L592),"",RawFinancials!L592)</f>
        <v>1503020</v>
      </c>
      <c r="M592" s="0" t="n">
        <f aca="false">IF(ISBLANK(RawFinancials!M592),"",RawFinancials!M592)</f>
        <v>1486454</v>
      </c>
      <c r="N592" s="0" t="n">
        <f aca="false">IF(ISBLANK(RawFinancials!N592),"",RawFinancials!N592)</f>
        <v>1427918</v>
      </c>
      <c r="O592" s="0" t="n">
        <f aca="false">IF(ISBLANK(RawFinancials!O592),"",RawFinancials!O592)</f>
        <v>471</v>
      </c>
      <c r="P592" s="0" t="str">
        <f aca="false">IF(ISBLANK(RawFinancials!P592),"",RawFinancials!P592)</f>
        <v>KENNEBUNK SAVINGS BANK</v>
      </c>
      <c r="Q592" s="0" t="n">
        <f aca="false">IF(ISBLANK(RawFinancials!Q592),"",RawFinancials!Q592)</f>
        <v>0.0313369083578395</v>
      </c>
      <c r="R592" s="0" t="n">
        <f aca="false">IF(ISBLANK(RawFinancials!R592),"",RawFinancials!R592)</f>
        <v>3.19713072652626</v>
      </c>
      <c r="S592" s="0" t="n">
        <f aca="false">IF(ISBLANK(RawFinancials!S592),"",RawFinancials!S592)</f>
        <v>-27</v>
      </c>
      <c r="T592" s="0" t="n">
        <f aca="false">IF(ISBLANK(RawFinancials!T592),"",RawFinancials!T592)</f>
        <v>4656</v>
      </c>
      <c r="U592" s="0" t="n">
        <f aca="false">IF(ISBLANK(RawFinancials!U592),"",RawFinancials!U592)</f>
        <v>0</v>
      </c>
      <c r="V592" s="0" t="n">
        <f aca="false">IF(ISBLANK(RawFinancials!V592),"",RawFinancials!V592)</f>
        <v>0</v>
      </c>
      <c r="W592" s="0" t="n">
        <f aca="false">IF(ISBLANK(RawFinancials!W592),"",RawFinancials!W592)</f>
        <v>20241231</v>
      </c>
      <c r="X592" s="0" t="n">
        <f aca="false">IF(ISBLANK(RawFinancials!X592),"",RawFinancials!X592)</f>
        <v>0.520034133011195</v>
      </c>
      <c r="Y592" s="0" t="n">
        <f aca="false">IF(ISBLANK(RawFinancials!Y592),"",RawFinancials!Y592)</f>
        <v>6.39</v>
      </c>
      <c r="Z592" s="0" t="str">
        <f aca="false">IF(ISBLANK(RawFinancials!Z592),"",RawFinancials!Z592)</f>
        <v>ME</v>
      </c>
      <c r="AA592" s="0" t="n">
        <f aca="false">RawFinancials!AA592</f>
        <v>1</v>
      </c>
      <c r="AB592" s="0" t="n">
        <f aca="false">RawFinancials!AB592</f>
        <v>471</v>
      </c>
      <c r="AC592" s="0" t="n">
        <f aca="false">RawFinancials!AC592</f>
        <v>0.0252220855505296</v>
      </c>
      <c r="AD592" s="0" t="n">
        <f aca="false">IF(L592&gt;0,100*N592/L592,"")</f>
        <v>95.0032601029927</v>
      </c>
      <c r="AE592" s="0" t="n">
        <f aca="false">IF(B592&gt;0,100*F592/B592,"")</f>
        <v>8.1979810550543</v>
      </c>
      <c r="AF592" s="0" t="str">
        <f aca="false">RawFinancials!AE592</f>
        <v>原始0：需核实适用/报告口径</v>
      </c>
    </row>
    <row r="593" customFormat="false" ht="15" hidden="false" customHeight="false" outlineLevel="0" collapsed="false">
      <c r="A593" s="0" t="n">
        <f aca="false">IF(ISBLANK(RawFinancials!A593),"",RawFinancials!A593)</f>
        <v>593</v>
      </c>
      <c r="B593" s="0" t="n">
        <f aca="false">IF(ISBLANK(RawFinancials!B593),"",RawFinancials!B593)</f>
        <v>894082</v>
      </c>
      <c r="C593" s="0" t="n">
        <f aca="false">IF(ISBLANK(RawFinancials!C593),"",RawFinancials!C593)</f>
        <v>14134</v>
      </c>
      <c r="D593" s="0" t="n">
        <f aca="false">IF(ISBLANK(RawFinancials!D593),"",RawFinancials!D593)</f>
        <v>716959</v>
      </c>
      <c r="E593" s="0" t="n">
        <f aca="false">IF(ISBLANK(RawFinancials!E593),"",RawFinancials!E593)</f>
        <v>0.09</v>
      </c>
      <c r="F593" s="0" t="n">
        <f aca="false">IF(ISBLANK(RawFinancials!F593),"",RawFinancials!F593)</f>
        <v>111729</v>
      </c>
      <c r="G593" s="0" t="n">
        <f aca="false">IF(ISBLANK(RawFinancials!G593),"",RawFinancials!G593)</f>
        <v>12.4965047948622</v>
      </c>
      <c r="H593" s="0" t="str">
        <f aca="false">IF(ISBLANK(RawFinancials!H593),"",RawFinancials!H593)</f>
        <v>14134_20241231</v>
      </c>
      <c r="I593" s="0" t="n">
        <f aca="false">IF(ISBLANK(RawFinancials!I593),"",RawFinancials!I593)</f>
        <v>1.07915625927728</v>
      </c>
      <c r="J593" s="0" t="n">
        <f aca="false">IF(ISBLANK(RawFinancials!J593),"",RawFinancials!J593)</f>
        <v>25357</v>
      </c>
      <c r="K593" s="0" t="n">
        <f aca="false">IF(ISBLANK(RawFinancials!K593),"",RawFinancials!K593)</f>
        <v>19431</v>
      </c>
      <c r="L593" s="0" t="n">
        <f aca="false">IF(ISBLANK(RawFinancials!L593),"",RawFinancials!L593)</f>
        <v>643373</v>
      </c>
      <c r="M593" s="0" t="n">
        <f aca="false">IF(ISBLANK(RawFinancials!M593),"",RawFinancials!M593)</f>
        <v>636430</v>
      </c>
      <c r="N593" s="0" t="n">
        <f aca="false">IF(ISBLANK(RawFinancials!N593),"",RawFinancials!N593)</f>
        <v>570625</v>
      </c>
      <c r="O593" s="0" t="n">
        <f aca="false">IF(ISBLANK(RawFinancials!O593),"",RawFinancials!O593)</f>
        <v>3603</v>
      </c>
      <c r="P593" s="0" t="str">
        <f aca="false">IF(ISBLANK(RawFinancials!P593),"",RawFinancials!P593)</f>
        <v>PASSUMPSIC SAVINGS BANK</v>
      </c>
      <c r="Q593" s="0" t="n">
        <f aca="false">IF(ISBLANK(RawFinancials!Q593),"",RawFinancials!Q593)</f>
        <v>0.560017283908402</v>
      </c>
      <c r="R593" s="0" t="n">
        <f aca="false">IF(ISBLANK(RawFinancials!R593),"",RawFinancials!R593)</f>
        <v>3.02248641444206</v>
      </c>
      <c r="S593" s="0" t="n">
        <f aca="false">IF(ISBLANK(RawFinancials!S593),"",RawFinancials!S593)</f>
        <v>1082</v>
      </c>
      <c r="T593" s="0" t="n">
        <f aca="false">IF(ISBLANK(RawFinancials!T593),"",RawFinancials!T593)</f>
        <v>4356</v>
      </c>
      <c r="U593" s="0" t="n">
        <f aca="false">IF(ISBLANK(RawFinancials!U593),"",RawFinancials!U593)</f>
        <v>0</v>
      </c>
      <c r="V593" s="0" t="n">
        <f aca="false">IF(ISBLANK(RawFinancials!V593),"",RawFinancials!V593)</f>
        <v>20.2931917327933</v>
      </c>
      <c r="W593" s="0" t="n">
        <f aca="false">IF(ISBLANK(RawFinancials!W593),"",RawFinancials!W593)</f>
        <v>20241231</v>
      </c>
      <c r="X593" s="0" t="n">
        <f aca="false">IF(ISBLANK(RawFinancials!X593),"",RawFinancials!X593)</f>
        <v>0.807708956890982</v>
      </c>
      <c r="Y593" s="0" t="n">
        <f aca="false">IF(ISBLANK(RawFinancials!Y593),"",RawFinancials!Y593)</f>
        <v>6.36</v>
      </c>
      <c r="Z593" s="0" t="str">
        <f aca="false">IF(ISBLANK(RawFinancials!Z593),"",RawFinancials!Z593)</f>
        <v>VT</v>
      </c>
      <c r="AA593" s="0" t="n">
        <f aca="false">RawFinancials!AA593</f>
        <v>1</v>
      </c>
      <c r="AB593" s="0" t="n">
        <f aca="false">RawFinancials!AB593</f>
        <v>3603</v>
      </c>
      <c r="AC593" s="0" t="n">
        <f aca="false">RawFinancials!AC593</f>
        <v>0.402983171565919</v>
      </c>
      <c r="AD593" s="0" t="n">
        <f aca="false">IF(L593&gt;0,100*N593/L593,"")</f>
        <v>88.6927179101392</v>
      </c>
      <c r="AE593" s="0" t="n">
        <f aca="false">IF(B593&gt;0,100*F593/B593,"")</f>
        <v>12.4965047948622</v>
      </c>
      <c r="AF593" s="0" t="str">
        <f aca="false">RawFinancials!AE593</f>
        <v/>
      </c>
    </row>
    <row r="594" customFormat="false" ht="15" hidden="false" customHeight="false" outlineLevel="0" collapsed="false">
      <c r="A594" s="0" t="n">
        <f aca="false">IF(ISBLANK(RawFinancials!A594),"",RawFinancials!A594)</f>
        <v>594</v>
      </c>
      <c r="B594" s="0" t="n">
        <f aca="false">IF(ISBLANK(RawFinancials!B594),"",RawFinancials!B594)</f>
        <v>237708</v>
      </c>
      <c r="C594" s="0" t="n">
        <f aca="false">IF(ISBLANK(RawFinancials!C594),"",RawFinancials!C594)</f>
        <v>14136</v>
      </c>
      <c r="D594" s="0" t="n">
        <f aca="false">IF(ISBLANK(RawFinancials!D594),"",RawFinancials!D594)</f>
        <v>204666</v>
      </c>
      <c r="E594" s="0" t="n">
        <f aca="false">IF(ISBLANK(RawFinancials!E594),"",RawFinancials!E594)</f>
        <v>0.01</v>
      </c>
      <c r="F594" s="0" t="n">
        <f aca="false">IF(ISBLANK(RawFinancials!F594),"",RawFinancials!F594)</f>
        <v>18926</v>
      </c>
      <c r="G594" s="0" t="n">
        <f aca="false">IF(ISBLANK(RawFinancials!G594),"",RawFinancials!G594)</f>
        <v>7.96186918404093</v>
      </c>
      <c r="H594" s="0" t="str">
        <f aca="false">IF(ISBLANK(RawFinancials!H594),"",RawFinancials!H594)</f>
        <v>14136_20241231</v>
      </c>
      <c r="I594" s="0" t="n">
        <f aca="false">IF(ISBLANK(RawFinancials!I594),"",RawFinancials!I594)</f>
        <v>1.03549452151154</v>
      </c>
      <c r="J594" s="0" t="n">
        <f aca="false">IF(ISBLANK(RawFinancials!J594),"",RawFinancials!J594)</f>
        <v>16696</v>
      </c>
      <c r="K594" s="0" t="n">
        <f aca="false">IF(ISBLANK(RawFinancials!K594),"",RawFinancials!K594)</f>
        <v>14895</v>
      </c>
      <c r="L594" s="0" t="n">
        <f aca="false">IF(ISBLANK(RawFinancials!L594),"",RawFinancials!L594)</f>
        <v>157799</v>
      </c>
      <c r="M594" s="0" t="n">
        <f aca="false">IF(ISBLANK(RawFinancials!M594),"",RawFinancials!M594)</f>
        <v>156165</v>
      </c>
      <c r="N594" s="0" t="n">
        <f aca="false">IF(ISBLANK(RawFinancials!N594),"",RawFinancials!N594)</f>
        <v>125909</v>
      </c>
      <c r="O594" s="0" t="n">
        <f aca="false">IF(ISBLANK(RawFinancials!O594),"",RawFinancials!O594)</f>
        <v>510</v>
      </c>
      <c r="P594" s="0" t="str">
        <f aca="false">IF(ISBLANK(RawFinancials!P594),"",RawFinancials!P594)</f>
        <v>WELLS RIVER SAVINGS BANK</v>
      </c>
      <c r="Q594" s="0" t="n">
        <f aca="false">IF(ISBLANK(RawFinancials!Q594),"",RawFinancials!Q594)</f>
        <v>0.775670314767521</v>
      </c>
      <c r="R594" s="0" t="n">
        <f aca="false">IF(ISBLANK(RawFinancials!R594),"",RawFinancials!R594)</f>
        <v>3.83592993733623</v>
      </c>
      <c r="S594" s="0" t="n">
        <f aca="false">IF(ISBLANK(RawFinancials!S594),"",RawFinancials!S594)</f>
        <v>271</v>
      </c>
      <c r="T594" s="0" t="n">
        <f aca="false">IF(ISBLANK(RawFinancials!T594),"",RawFinancials!T594)</f>
        <v>1061</v>
      </c>
      <c r="U594" s="0" t="n">
        <f aca="false">IF(ISBLANK(RawFinancials!U594),"",RawFinancials!U594)</f>
        <v>714</v>
      </c>
      <c r="V594" s="0" t="n">
        <f aca="false">IF(ISBLANK(RawFinancials!V594),"",RawFinancials!V594)</f>
        <v>18.3832074375363</v>
      </c>
      <c r="W594" s="0" t="n">
        <f aca="false">IF(ISBLANK(RawFinancials!W594),"",RawFinancials!W594)</f>
        <v>20241231</v>
      </c>
      <c r="X594" s="0" t="n">
        <f aca="false">IF(ISBLANK(RawFinancials!X594),"",RawFinancials!X594)</f>
        <v>0.592215367017237</v>
      </c>
      <c r="Y594" s="0" t="n">
        <f aca="false">IF(ISBLANK(RawFinancials!Y594),"",RawFinancials!Y594)</f>
        <v>7.67</v>
      </c>
      <c r="Z594" s="0" t="str">
        <f aca="false">IF(ISBLANK(RawFinancials!Z594),"",RawFinancials!Z594)</f>
        <v>VT</v>
      </c>
      <c r="AA594" s="0" t="n">
        <f aca="false">RawFinancials!AA594</f>
        <v>1</v>
      </c>
      <c r="AB594" s="0" t="n">
        <f aca="false">RawFinancials!AB594</f>
        <v>1224</v>
      </c>
      <c r="AC594" s="0" t="n">
        <f aca="false">RawFinancials!AC594</f>
        <v>0.514917461759806</v>
      </c>
      <c r="AD594" s="0" t="n">
        <f aca="false">IF(L594&gt;0,100*N594/L594,"")</f>
        <v>79.7907464559345</v>
      </c>
      <c r="AE594" s="0" t="n">
        <f aca="false">IF(B594&gt;0,100*F594/B594,"")</f>
        <v>7.96186918404092</v>
      </c>
      <c r="AF594" s="0" t="str">
        <f aca="false">RawFinancials!AE594</f>
        <v/>
      </c>
    </row>
    <row r="595" customFormat="false" ht="15" hidden="false" customHeight="false" outlineLevel="0" collapsed="false">
      <c r="A595" s="0" t="n">
        <f aca="false">IF(ISBLANK(RawFinancials!A595),"",RawFinancials!A595)</f>
        <v>595</v>
      </c>
      <c r="B595" s="0" t="n">
        <f aca="false">IF(ISBLANK(RawFinancials!B595),"",RawFinancials!B595)</f>
        <v>1558316</v>
      </c>
      <c r="C595" s="0" t="n">
        <f aca="false">IF(ISBLANK(RawFinancials!C595),"",RawFinancials!C595)</f>
        <v>14140</v>
      </c>
      <c r="D595" s="0" t="n">
        <f aca="false">IF(ISBLANK(RawFinancials!D595),"",RawFinancials!D595)</f>
        <v>1234041</v>
      </c>
      <c r="E595" s="0" t="n">
        <f aca="false">IF(ISBLANK(RawFinancials!E595),"",RawFinancials!E595)</f>
        <v>-0.03</v>
      </c>
      <c r="F595" s="0" t="n">
        <f aca="false">IF(ISBLANK(RawFinancials!F595),"",RawFinancials!F595)</f>
        <v>133315</v>
      </c>
      <c r="G595" s="0" t="n">
        <f aca="false">IF(ISBLANK(RawFinancials!G595),"",RawFinancials!G595)</f>
        <v>8.55506842001237</v>
      </c>
      <c r="H595" s="0" t="str">
        <f aca="false">IF(ISBLANK(RawFinancials!H595),"",RawFinancials!H595)</f>
        <v>14140_20241231</v>
      </c>
      <c r="I595" s="0" t="n">
        <f aca="false">IF(ISBLANK(RawFinancials!I595),"",RawFinancials!I595)</f>
        <v>0.783955979254424</v>
      </c>
      <c r="J595" s="0" t="n">
        <f aca="false">IF(ISBLANK(RawFinancials!J595),"",RawFinancials!J595)</f>
        <v>95021</v>
      </c>
      <c r="K595" s="0" t="n">
        <f aca="false">IF(ISBLANK(RawFinancials!K595),"",RawFinancials!K595)</f>
        <v>1556</v>
      </c>
      <c r="L595" s="0" t="n">
        <f aca="false">IF(ISBLANK(RawFinancials!L595),"",RawFinancials!L595)</f>
        <v>1100572</v>
      </c>
      <c r="M595" s="0" t="n">
        <f aca="false">IF(ISBLANK(RawFinancials!M595),"",RawFinancials!M595)</f>
        <v>1091944</v>
      </c>
      <c r="N595" s="0" t="n">
        <f aca="false">IF(ISBLANK(RawFinancials!N595),"",RawFinancials!N595)</f>
        <v>975721</v>
      </c>
      <c r="O595" s="0" t="n">
        <f aca="false">IF(ISBLANK(RawFinancials!O595),"",RawFinancials!O595)</f>
        <v>5344</v>
      </c>
      <c r="P595" s="0" t="str">
        <f aca="false">IF(ISBLANK(RawFinancials!P595),"",RawFinancials!P595)</f>
        <v>NORTHFIELD SAVINGS BANK</v>
      </c>
      <c r="Q595" s="0" t="n">
        <f aca="false">IF(ISBLANK(RawFinancials!Q595),"",RawFinancials!Q595)</f>
        <v>0.485565687660598</v>
      </c>
      <c r="R595" s="0" t="n">
        <f aca="false">IF(ISBLANK(RawFinancials!R595),"",RawFinancials!R595)</f>
        <v>2.41444487121519</v>
      </c>
      <c r="S595" s="0" t="n">
        <f aca="false">IF(ISBLANK(RawFinancials!S595),"",RawFinancials!S595)</f>
        <v>50</v>
      </c>
      <c r="T595" s="0" t="n">
        <f aca="false">IF(ISBLANK(RawFinancials!T595),"",RawFinancials!T595)</f>
        <v>798</v>
      </c>
      <c r="U595" s="0" t="n">
        <f aca="false">IF(ISBLANK(RawFinancials!U595),"",RawFinancials!U595)</f>
        <v>0</v>
      </c>
      <c r="V595" s="0" t="n">
        <f aca="false">IF(ISBLANK(RawFinancials!V595),"",RawFinancials!V595)</f>
        <v>0</v>
      </c>
      <c r="W595" s="0" t="n">
        <f aca="false">IF(ISBLANK(RawFinancials!W595),"",RawFinancials!W595)</f>
        <v>20241231</v>
      </c>
      <c r="X595" s="0" t="n">
        <f aca="false">IF(ISBLANK(RawFinancials!X595),"",RawFinancials!X595)</f>
        <v>0.30821925027166</v>
      </c>
      <c r="Y595" s="0" t="n">
        <f aca="false">IF(ISBLANK(RawFinancials!Y595),"",RawFinancials!Y595)</f>
        <v>3.6</v>
      </c>
      <c r="Z595" s="0" t="str">
        <f aca="false">IF(ISBLANK(RawFinancials!Z595),"",RawFinancials!Z595)</f>
        <v>VT</v>
      </c>
      <c r="AA595" s="0" t="n">
        <f aca="false">RawFinancials!AA595</f>
        <v>1</v>
      </c>
      <c r="AB595" s="0" t="n">
        <f aca="false">RawFinancials!AB595</f>
        <v>5344</v>
      </c>
      <c r="AC595" s="0" t="n">
        <f aca="false">RawFinancials!AC595</f>
        <v>0.34293429573976</v>
      </c>
      <c r="AD595" s="0" t="n">
        <f aca="false">IF(L595&gt;0,100*N595/L595,"")</f>
        <v>88.6558080707123</v>
      </c>
      <c r="AE595" s="0" t="n">
        <f aca="false">IF(B595&gt;0,100*F595/B595,"")</f>
        <v>8.55506842001237</v>
      </c>
      <c r="AF595" s="0" t="str">
        <f aca="false">RawFinancials!AE595</f>
        <v>原始0：需核实适用/报告口径</v>
      </c>
    </row>
    <row r="596" customFormat="false" ht="15" hidden="false" customHeight="false" outlineLevel="0" collapsed="false">
      <c r="A596" s="0" t="n">
        <f aca="false">IF(ISBLANK(RawFinancials!A596),"",RawFinancials!A596)</f>
        <v>596</v>
      </c>
      <c r="B596" s="0" t="n">
        <f aca="false">IF(ISBLANK(RawFinancials!B596),"",RawFinancials!B596)</f>
        <v>1527590</v>
      </c>
      <c r="C596" s="0" t="n">
        <f aca="false">IF(ISBLANK(RawFinancials!C596),"",RawFinancials!C596)</f>
        <v>14158</v>
      </c>
      <c r="D596" s="0" t="n">
        <f aca="false">IF(ISBLANK(RawFinancials!D596),"",RawFinancials!D596)</f>
        <v>1171399</v>
      </c>
      <c r="E596" s="0" t="n">
        <f aca="false">IF(ISBLANK(RawFinancials!E596),"",RawFinancials!E596)</f>
        <v>0.06</v>
      </c>
      <c r="F596" s="0" t="n">
        <f aca="false">IF(ISBLANK(RawFinancials!F596),"",RawFinancials!F596)</f>
        <v>82437</v>
      </c>
      <c r="G596" s="0" t="n">
        <f aca="false">IF(ISBLANK(RawFinancials!G596),"",RawFinancials!G596)</f>
        <v>5.39653964741848</v>
      </c>
      <c r="H596" s="0" t="str">
        <f aca="false">IF(ISBLANK(RawFinancials!H596),"",RawFinancials!H596)</f>
        <v>14158_20241231</v>
      </c>
      <c r="I596" s="0" t="n">
        <f aca="false">IF(ISBLANK(RawFinancials!I596),"",RawFinancials!I596)</f>
        <v>0.660303223620972</v>
      </c>
      <c r="J596" s="0" t="n">
        <f aca="false">IF(ISBLANK(RawFinancials!J596),"",RawFinancials!J596)</f>
        <v>35314</v>
      </c>
      <c r="K596" s="0" t="n">
        <f aca="false">IF(ISBLANK(RawFinancials!K596),"",RawFinancials!K596)</f>
        <v>2423</v>
      </c>
      <c r="L596" s="0" t="n">
        <f aca="false">IF(ISBLANK(RawFinancials!L596),"",RawFinancials!L596)</f>
        <v>1163102</v>
      </c>
      <c r="M596" s="0" t="n">
        <f aca="false">IF(ISBLANK(RawFinancials!M596),"",RawFinancials!M596)</f>
        <v>1155422</v>
      </c>
      <c r="N596" s="0" t="n">
        <f aca="false">IF(ISBLANK(RawFinancials!N596),"",RawFinancials!N596)</f>
        <v>1010360</v>
      </c>
      <c r="O596" s="0" t="n">
        <f aca="false">IF(ISBLANK(RawFinancials!O596),"",RawFinancials!O596)</f>
        <v>1652</v>
      </c>
      <c r="P596" s="0" t="str">
        <f aca="false">IF(ISBLANK(RawFinancials!P596),"",RawFinancials!P596)</f>
        <v>UNION BANK</v>
      </c>
      <c r="Q596" s="0" t="n">
        <f aca="false">IF(ISBLANK(RawFinancials!Q596),"",RawFinancials!Q596)</f>
        <v>0.162754427384701</v>
      </c>
      <c r="R596" s="0" t="n">
        <f aca="false">IF(ISBLANK(RawFinancials!R596),"",RawFinancials!R596)</f>
        <v>2.86003880673193</v>
      </c>
      <c r="S596" s="0" t="n">
        <f aca="false">IF(ISBLANK(RawFinancials!S596),"",RawFinancials!S596)</f>
        <v>-23</v>
      </c>
      <c r="T596" s="0" t="n">
        <f aca="false">IF(ISBLANK(RawFinancials!T596),"",RawFinancials!T596)</f>
        <v>3122</v>
      </c>
      <c r="U596" s="0" t="n">
        <f aca="false">IF(ISBLANK(RawFinancials!U596),"",RawFinancials!U596)</f>
        <v>241</v>
      </c>
      <c r="V596" s="0" t="n">
        <f aca="false">IF(ISBLANK(RawFinancials!V596),"",RawFinancials!V596)</f>
        <v>12.508099717311</v>
      </c>
      <c r="W596" s="0" t="n">
        <f aca="false">IF(ISBLANK(RawFinancials!W596),"",RawFinancials!W596)</f>
        <v>20241231</v>
      </c>
      <c r="X596" s="0" t="n">
        <f aca="false">IF(ISBLANK(RawFinancials!X596),"",RawFinancials!X596)</f>
        <v>0.659307705761988</v>
      </c>
      <c r="Y596" s="0" t="n">
        <f aca="false">IF(ISBLANK(RawFinancials!Y596),"",RawFinancials!Y596)</f>
        <v>11.71</v>
      </c>
      <c r="Z596" s="0" t="str">
        <f aca="false">IF(ISBLANK(RawFinancials!Z596),"",RawFinancials!Z596)</f>
        <v>VT</v>
      </c>
      <c r="AA596" s="0" t="n">
        <f aca="false">RawFinancials!AA596</f>
        <v>1</v>
      </c>
      <c r="AB596" s="0" t="n">
        <f aca="false">RawFinancials!AB596</f>
        <v>1893</v>
      </c>
      <c r="AC596" s="0" t="n">
        <f aca="false">RawFinancials!AC596</f>
        <v>0.123920685524257</v>
      </c>
      <c r="AD596" s="0" t="n">
        <f aca="false">IF(L596&gt;0,100*N596/L596,"")</f>
        <v>86.8677037783445</v>
      </c>
      <c r="AE596" s="0" t="n">
        <f aca="false">IF(B596&gt;0,100*F596/B596,"")</f>
        <v>5.39653964741848</v>
      </c>
      <c r="AF596" s="0" t="str">
        <f aca="false">RawFinancials!AE596</f>
        <v/>
      </c>
    </row>
    <row r="597" customFormat="false" ht="15" hidden="false" customHeight="false" outlineLevel="0" collapsed="false">
      <c r="A597" s="0" t="n">
        <f aca="false">IF(ISBLANK(RawFinancials!A597),"",RawFinancials!A597)</f>
        <v>597</v>
      </c>
      <c r="B597" s="0" t="n">
        <f aca="false">IF(ISBLANK(RawFinancials!B597),"",RawFinancials!B597)</f>
        <v>369405</v>
      </c>
      <c r="C597" s="0" t="n">
        <f aca="false">IF(ISBLANK(RawFinancials!C597),"",RawFinancials!C597)</f>
        <v>14168</v>
      </c>
      <c r="D597" s="0" t="n">
        <f aca="false">IF(ISBLANK(RawFinancials!D597),"",RawFinancials!D597)</f>
        <v>325925</v>
      </c>
      <c r="E597" s="0" t="n">
        <f aca="false">IF(ISBLANK(RawFinancials!E597),"",RawFinancials!E597)</f>
        <v>0.05</v>
      </c>
      <c r="F597" s="0" t="n">
        <f aca="false">IF(ISBLANK(RawFinancials!F597),"",RawFinancials!F597)</f>
        <v>37830</v>
      </c>
      <c r="G597" s="0" t="n">
        <f aca="false">IF(ISBLANK(RawFinancials!G597),"",RawFinancials!G597)</f>
        <v>10.2407926259796</v>
      </c>
      <c r="H597" s="0" t="str">
        <f aca="false">IF(ISBLANK(RawFinancials!H597),"",RawFinancials!H597)</f>
        <v>14168_20241231</v>
      </c>
      <c r="I597" s="0" t="n">
        <f aca="false">IF(ISBLANK(RawFinancials!I597),"",RawFinancials!I597)</f>
        <v>1.36984318805132</v>
      </c>
      <c r="J597" s="0" t="n">
        <f aca="false">IF(ISBLANK(RawFinancials!J597),"",RawFinancials!J597)</f>
        <v>11946</v>
      </c>
      <c r="K597" s="0" t="n">
        <f aca="false">IF(ISBLANK(RawFinancials!K597),"",RawFinancials!K597)</f>
        <v>10751</v>
      </c>
      <c r="L597" s="0" t="n">
        <f aca="false">IF(ISBLANK(RawFinancials!L597),"",RawFinancials!L597)</f>
        <v>276382</v>
      </c>
      <c r="M597" s="0" t="n">
        <f aca="false">IF(ISBLANK(RawFinancials!M597),"",RawFinancials!M597)</f>
        <v>272596</v>
      </c>
      <c r="N597" s="0" t="n">
        <f aca="false">IF(ISBLANK(RawFinancials!N597),"",RawFinancials!N597)</f>
        <v>234027</v>
      </c>
      <c r="O597" s="0" t="n">
        <f aca="false">IF(ISBLANK(RawFinancials!O597),"",RawFinancials!O597)</f>
        <v>910</v>
      </c>
      <c r="P597" s="0" t="str">
        <f aca="false">IF(ISBLANK(RawFinancials!P597),"",RawFinancials!P597)</f>
        <v>PEOPLES TRUST COMPANY OF ST. ALBANS</v>
      </c>
      <c r="Q597" s="0" t="n">
        <f aca="false">IF(ISBLANK(RawFinancials!Q597),"",RawFinancials!Q597)</f>
        <v>0.329254437698548</v>
      </c>
      <c r="R597" s="0" t="n">
        <f aca="false">IF(ISBLANK(RawFinancials!R597),"",RawFinancials!R597)</f>
        <v>4.15092219303544</v>
      </c>
      <c r="S597" s="0" t="n">
        <f aca="false">IF(ISBLANK(RawFinancials!S597),"",RawFinancials!S597)</f>
        <v>85</v>
      </c>
      <c r="T597" s="0" t="n">
        <f aca="false">IF(ISBLANK(RawFinancials!T597),"",RawFinancials!T597)</f>
        <v>404</v>
      </c>
      <c r="U597" s="0" t="n">
        <f aca="false">IF(ISBLANK(RawFinancials!U597),"",RawFinancials!U597)</f>
        <v>0</v>
      </c>
      <c r="V597" s="0" t="n">
        <f aca="false">IF(ISBLANK(RawFinancials!V597),"",RawFinancials!V597)</f>
        <v>16.4194761448442</v>
      </c>
      <c r="W597" s="0" t="n">
        <f aca="false">IF(ISBLANK(RawFinancials!W597),"",RawFinancials!W597)</f>
        <v>20241231</v>
      </c>
      <c r="X597" s="0" t="n">
        <f aca="false">IF(ISBLANK(RawFinancials!X597),"",RawFinancials!X597)</f>
        <v>0.985943826552391</v>
      </c>
      <c r="Y597" s="0" t="n">
        <f aca="false">IF(ISBLANK(RawFinancials!Y597),"",RawFinancials!Y597)</f>
        <v>9.9</v>
      </c>
      <c r="Z597" s="0" t="str">
        <f aca="false">IF(ISBLANK(RawFinancials!Z597),"",RawFinancials!Z597)</f>
        <v>VT</v>
      </c>
      <c r="AA597" s="0" t="n">
        <f aca="false">RawFinancials!AA597</f>
        <v>1</v>
      </c>
      <c r="AB597" s="0" t="n">
        <f aca="false">RawFinancials!AB597</f>
        <v>910</v>
      </c>
      <c r="AC597" s="0" t="n">
        <f aca="false">RawFinancials!AC597</f>
        <v>0.246342090659303</v>
      </c>
      <c r="AD597" s="0" t="n">
        <f aca="false">IF(L597&gt;0,100*N597/L597,"")</f>
        <v>84.6751959244813</v>
      </c>
      <c r="AE597" s="0" t="n">
        <f aca="false">IF(B597&gt;0,100*F597/B597,"")</f>
        <v>10.2407926259796</v>
      </c>
      <c r="AF597" s="0" t="str">
        <f aca="false">RawFinancials!AE597</f>
        <v/>
      </c>
    </row>
    <row r="598" customFormat="false" ht="15" hidden="false" customHeight="false" outlineLevel="0" collapsed="false">
      <c r="A598" s="0" t="n">
        <f aca="false">IF(ISBLANK(RawFinancials!A598),"",RawFinancials!A598)</f>
        <v>598</v>
      </c>
      <c r="B598" s="0" t="n">
        <f aca="false">IF(ISBLANK(RawFinancials!B598),"",RawFinancials!B598)</f>
        <v>1188010</v>
      </c>
      <c r="C598" s="0" t="n">
        <f aca="false">IF(ISBLANK(RawFinancials!C598),"",RawFinancials!C598)</f>
        <v>14240</v>
      </c>
      <c r="D598" s="0" t="n">
        <f aca="false">IF(ISBLANK(RawFinancials!D598),"",RawFinancials!D598)</f>
        <v>977466</v>
      </c>
      <c r="E598" s="0" t="n">
        <f aca="false">IF(ISBLANK(RawFinancials!E598),"",RawFinancials!E598)</f>
        <v>-0.04</v>
      </c>
      <c r="F598" s="0" t="n">
        <f aca="false">IF(ISBLANK(RawFinancials!F598),"",RawFinancials!F598)</f>
        <v>89624</v>
      </c>
      <c r="G598" s="0" t="n">
        <f aca="false">IF(ISBLANK(RawFinancials!G598),"",RawFinancials!G598)</f>
        <v>7.54404424205184</v>
      </c>
      <c r="H598" s="0" t="str">
        <f aca="false">IF(ISBLANK(RawFinancials!H598),"",RawFinancials!H598)</f>
        <v>14240_20241231</v>
      </c>
      <c r="I598" s="0" t="n">
        <f aca="false">IF(ISBLANK(RawFinancials!I598),"",RawFinancials!I598)</f>
        <v>1.16849565614998</v>
      </c>
      <c r="J598" s="0" t="n">
        <f aca="false">IF(ISBLANK(RawFinancials!J598),"",RawFinancials!J598)</f>
        <v>27669</v>
      </c>
      <c r="K598" s="0" t="n">
        <f aca="false">IF(ISBLANK(RawFinancials!K598),"",RawFinancials!K598)</f>
        <v>12372</v>
      </c>
      <c r="L598" s="0" t="n">
        <f aca="false">IF(ISBLANK(RawFinancials!L598),"",RawFinancials!L598)</f>
        <v>874800</v>
      </c>
      <c r="M598" s="0" t="n">
        <f aca="false">IF(ISBLANK(RawFinancials!M598),"",RawFinancials!M598)</f>
        <v>864578</v>
      </c>
      <c r="N598" s="0" t="n">
        <f aca="false">IF(ISBLANK(RawFinancials!N598),"",RawFinancials!N598)</f>
        <v>760710</v>
      </c>
      <c r="O598" s="0" t="n">
        <f aca="false">IF(ISBLANK(RawFinancials!O598),"",RawFinancials!O598)</f>
        <v>2934</v>
      </c>
      <c r="P598" s="0" t="str">
        <f aca="false">IF(ISBLANK(RawFinancials!P598),"",RawFinancials!P598)</f>
        <v>NORTHWAY BANK</v>
      </c>
      <c r="Q598" s="0" t="n">
        <f aca="false">IF(ISBLANK(RawFinancials!Q598),"",RawFinancials!Q598)</f>
        <v>0.335390946502058</v>
      </c>
      <c r="R598" s="0" t="n">
        <f aca="false">IF(ISBLANK(RawFinancials!R598),"",RawFinancials!R598)</f>
        <v>2.74163164808035</v>
      </c>
      <c r="S598" s="0" t="n">
        <f aca="false">IF(ISBLANK(RawFinancials!S598),"",RawFinancials!S598)</f>
        <v>-18</v>
      </c>
      <c r="T598" s="0" t="n">
        <f aca="false">IF(ISBLANK(RawFinancials!T598),"",RawFinancials!T598)</f>
        <v>2297</v>
      </c>
      <c r="U598" s="0" t="n">
        <f aca="false">IF(ISBLANK(RawFinancials!U598),"",RawFinancials!U598)</f>
        <v>0</v>
      </c>
      <c r="V598" s="0" t="n">
        <f aca="false">IF(ISBLANK(RawFinancials!V598),"",RawFinancials!V598)</f>
        <v>17.1493147404287</v>
      </c>
      <c r="W598" s="0" t="n">
        <f aca="false">IF(ISBLANK(RawFinancials!W598),"",RawFinancials!W598)</f>
        <v>20241231</v>
      </c>
      <c r="X598" s="0" t="n">
        <f aca="false">IF(ISBLANK(RawFinancials!X598),"",RawFinancials!X598)</f>
        <v>0.504315605562752</v>
      </c>
      <c r="Y598" s="0" t="n">
        <f aca="false">IF(ISBLANK(RawFinancials!Y598),"",RawFinancials!Y598)</f>
        <v>6.9</v>
      </c>
      <c r="Z598" s="0" t="str">
        <f aca="false">IF(ISBLANK(RawFinancials!Z598),"",RawFinancials!Z598)</f>
        <v>NH</v>
      </c>
      <c r="AA598" s="0" t="n">
        <f aca="false">RawFinancials!AA598</f>
        <v>1</v>
      </c>
      <c r="AB598" s="0" t="n">
        <f aca="false">RawFinancials!AB598</f>
        <v>2934</v>
      </c>
      <c r="AC598" s="0" t="n">
        <f aca="false">RawFinancials!AC598</f>
        <v>0.246967618117693</v>
      </c>
      <c r="AD598" s="0" t="n">
        <f aca="false">IF(L598&gt;0,100*N598/L598,"")</f>
        <v>86.9581618655693</v>
      </c>
      <c r="AE598" s="0" t="n">
        <f aca="false">IF(B598&gt;0,100*F598/B598,"")</f>
        <v>7.54404424205184</v>
      </c>
      <c r="AF598" s="0" t="str">
        <f aca="false">RawFinancials!AE598</f>
        <v/>
      </c>
    </row>
    <row r="599" customFormat="false" ht="15" hidden="false" customHeight="false" outlineLevel="0" collapsed="false">
      <c r="A599" s="0" t="n">
        <f aca="false">IF(ISBLANK(RawFinancials!A599),"",RawFinancials!A599)</f>
        <v>599</v>
      </c>
      <c r="B599" s="0" t="n">
        <f aca="false">IF(ISBLANK(RawFinancials!B599),"",RawFinancials!B599)</f>
        <v>1041970</v>
      </c>
      <c r="C599" s="0" t="n">
        <f aca="false">IF(ISBLANK(RawFinancials!C599),"",RawFinancials!C599)</f>
        <v>17115</v>
      </c>
      <c r="D599" s="0" t="n">
        <f aca="false">IF(ISBLANK(RawFinancials!D599),"",RawFinancials!D599)</f>
        <v>827656</v>
      </c>
      <c r="E599" s="0" t="n">
        <f aca="false">IF(ISBLANK(RawFinancials!E599),"",RawFinancials!E599)</f>
        <v>-0.01</v>
      </c>
      <c r="F599" s="0" t="n">
        <f aca="false">IF(ISBLANK(RawFinancials!F599),"",RawFinancials!F599)</f>
        <v>91891</v>
      </c>
      <c r="G599" s="0" t="n">
        <f aca="false">IF(ISBLANK(RawFinancials!G599),"",RawFinancials!G599)</f>
        <v>8.8189679165427</v>
      </c>
      <c r="H599" s="0" t="str">
        <f aca="false">IF(ISBLANK(RawFinancials!H599),"",RawFinancials!H599)</f>
        <v>17115_20241231</v>
      </c>
      <c r="I599" s="0" t="n">
        <f aca="false">IF(ISBLANK(RawFinancials!I599),"",RawFinancials!I599)</f>
        <v>0.985833655182847</v>
      </c>
      <c r="J599" s="0" t="n">
        <f aca="false">IF(ISBLANK(RawFinancials!J599),"",RawFinancials!J599)</f>
        <v>38988</v>
      </c>
      <c r="K599" s="0" t="n">
        <f aca="false">IF(ISBLANK(RawFinancials!K599),"",RawFinancials!K599)</f>
        <v>6624</v>
      </c>
      <c r="L599" s="0" t="n">
        <f aca="false">IF(ISBLANK(RawFinancials!L599),"",RawFinancials!L599)</f>
        <v>872561</v>
      </c>
      <c r="M599" s="0" t="n">
        <f aca="false">IF(ISBLANK(RawFinancials!M599),"",RawFinancials!M599)</f>
        <v>863959</v>
      </c>
      <c r="N599" s="0" t="n">
        <f aca="false">IF(ISBLANK(RawFinancials!N599),"",RawFinancials!N599)</f>
        <v>826165</v>
      </c>
      <c r="O599" s="0" t="n">
        <f aca="false">IF(ISBLANK(RawFinancials!O599),"",RawFinancials!O599)</f>
        <v>2571</v>
      </c>
      <c r="P599" s="0" t="str">
        <f aca="false">IF(ISBLANK(RawFinancials!P599),"",RawFinancials!P599)</f>
        <v>PARTNERS BANK OF NEW ENGLAND</v>
      </c>
      <c r="Q599" s="0" t="n">
        <f aca="false">IF(ISBLANK(RawFinancials!Q599),"",RawFinancials!Q599)</f>
        <v>0.294649886942002</v>
      </c>
      <c r="R599" s="0" t="n">
        <f aca="false">IF(ISBLANK(RawFinancials!R599),"",RawFinancials!R599)</f>
        <v>2.65781382019634</v>
      </c>
      <c r="S599" s="0" t="n">
        <f aca="false">IF(ISBLANK(RawFinancials!S599),"",RawFinancials!S599)</f>
        <v>128</v>
      </c>
      <c r="T599" s="0" t="n">
        <f aca="false">IF(ISBLANK(RawFinancials!T599),"",RawFinancials!T599)</f>
        <v>2572</v>
      </c>
      <c r="U599" s="0" t="n">
        <f aca="false">IF(ISBLANK(RawFinancials!U599),"",RawFinancials!U599)</f>
        <v>0</v>
      </c>
      <c r="V599" s="0" t="n">
        <f aca="false">IF(ISBLANK(RawFinancials!V599),"",RawFinancials!V599)</f>
        <v>14.8981926999983</v>
      </c>
      <c r="W599" s="0" t="n">
        <f aca="false">IF(ISBLANK(RawFinancials!W599),"",RawFinancials!W599)</f>
        <v>20241231</v>
      </c>
      <c r="X599" s="0" t="n">
        <f aca="false">IF(ISBLANK(RawFinancials!X599),"",RawFinancials!X599)</f>
        <v>0.297310003392755</v>
      </c>
      <c r="Y599" s="0" t="n">
        <f aca="false">IF(ISBLANK(RawFinancials!Y599),"",RawFinancials!Y599)</f>
        <v>3.53</v>
      </c>
      <c r="Z599" s="0" t="str">
        <f aca="false">IF(ISBLANK(RawFinancials!Z599),"",RawFinancials!Z599)</f>
        <v>ME</v>
      </c>
      <c r="AA599" s="0" t="n">
        <f aca="false">RawFinancials!AA599</f>
        <v>1</v>
      </c>
      <c r="AB599" s="0" t="n">
        <f aca="false">RawFinancials!AB599</f>
        <v>2571</v>
      </c>
      <c r="AC599" s="0" t="n">
        <f aca="false">RawFinancials!AC599</f>
        <v>0.246744148104072</v>
      </c>
      <c r="AD599" s="0" t="n">
        <f aca="false">IF(L599&gt;0,100*N599/L599,"")</f>
        <v>94.6827786252193</v>
      </c>
      <c r="AE599" s="0" t="n">
        <f aca="false">IF(B599&gt;0,100*F599/B599,"")</f>
        <v>8.8189679165427</v>
      </c>
      <c r="AF599" s="0" t="str">
        <f aca="false">RawFinancials!AE599</f>
        <v/>
      </c>
    </row>
    <row r="600" customFormat="false" ht="15" hidden="false" customHeight="false" outlineLevel="0" collapsed="false">
      <c r="A600" s="0" t="n">
        <f aca="false">IF(ISBLANK(RawFinancials!A600),"",RawFinancials!A600)</f>
        <v>600</v>
      </c>
      <c r="B600" s="0" t="n">
        <f aca="false">IF(ISBLANK(RawFinancials!B600),"",RawFinancials!B600)</f>
        <v>1600157</v>
      </c>
      <c r="C600" s="0" t="n">
        <f aca="false">IF(ISBLANK(RawFinancials!C600),"",RawFinancials!C600)</f>
        <v>17180</v>
      </c>
      <c r="D600" s="0" t="n">
        <f aca="false">IF(ISBLANK(RawFinancials!D600),"",RawFinancials!D600)</f>
        <v>1219406</v>
      </c>
      <c r="E600" s="0" t="n">
        <f aca="false">IF(ISBLANK(RawFinancials!E600),"",RawFinancials!E600)</f>
        <v>0</v>
      </c>
      <c r="F600" s="0" t="n">
        <f aca="false">IF(ISBLANK(RawFinancials!F600),"",RawFinancials!F600)</f>
        <v>143344</v>
      </c>
      <c r="G600" s="0" t="n">
        <f aca="false">IF(ISBLANK(RawFinancials!G600),"",RawFinancials!G600)</f>
        <v>8.95812098437841</v>
      </c>
      <c r="H600" s="0" t="str">
        <f aca="false">IF(ISBLANK(RawFinancials!H600),"",RawFinancials!H600)</f>
        <v>17180_20241231</v>
      </c>
      <c r="I600" s="0" t="n">
        <f aca="false">IF(ISBLANK(RawFinancials!I600),"",RawFinancials!I600)</f>
        <v>0.980584221015157</v>
      </c>
      <c r="J600" s="0" t="n">
        <f aca="false">IF(ISBLANK(RawFinancials!J600),"",RawFinancials!J600)</f>
        <v>38804</v>
      </c>
      <c r="K600" s="0" t="n">
        <f aca="false">IF(ISBLANK(RawFinancials!K600),"",RawFinancials!K600)</f>
        <v>164696</v>
      </c>
      <c r="L600" s="0" t="n">
        <f aca="false">IF(ISBLANK(RawFinancials!L600),"",RawFinancials!L600)</f>
        <v>1419052</v>
      </c>
      <c r="M600" s="0" t="n">
        <f aca="false">IF(ISBLANK(RawFinancials!M600),"",RawFinancials!M600)</f>
        <v>1405137</v>
      </c>
      <c r="N600" s="0" t="n">
        <f aca="false">IF(ISBLANK(RawFinancials!N600),"",RawFinancials!N600)</f>
        <v>1189538</v>
      </c>
      <c r="O600" s="0" t="n">
        <f aca="false">IF(ISBLANK(RawFinancials!O600),"",RawFinancials!O600)</f>
        <v>6126</v>
      </c>
      <c r="P600" s="0" t="str">
        <f aca="false">IF(ISBLANK(RawFinancials!P600),"",RawFinancials!P600)</f>
        <v>MEREDITH VILLAGE SAVINGS BANK</v>
      </c>
      <c r="Q600" s="0" t="n">
        <f aca="false">IF(ISBLANK(RawFinancials!Q600),"",RawFinancials!Q600)</f>
        <v>0.431696653822411</v>
      </c>
      <c r="R600" s="0" t="n">
        <f aca="false">IF(ISBLANK(RawFinancials!R600),"",RawFinancials!R600)</f>
        <v>2.68012500903709</v>
      </c>
      <c r="S600" s="0" t="n">
        <f aca="false">IF(ISBLANK(RawFinancials!S600),"",RawFinancials!S600)</f>
        <v>157</v>
      </c>
      <c r="T600" s="0" t="n">
        <f aca="false">IF(ISBLANK(RawFinancials!T600),"",RawFinancials!T600)</f>
        <v>4396</v>
      </c>
      <c r="U600" s="0" t="n">
        <f aca="false">IF(ISBLANK(RawFinancials!U600),"",RawFinancials!U600)</f>
        <v>0</v>
      </c>
      <c r="V600" s="0" t="n">
        <f aca="false">IF(ISBLANK(RawFinancials!V600),"",RawFinancials!V600)</f>
        <v>15.5888053222663</v>
      </c>
      <c r="W600" s="0" t="n">
        <f aca="false">IF(ISBLANK(RawFinancials!W600),"",RawFinancials!W600)</f>
        <v>20241231</v>
      </c>
      <c r="X600" s="0" t="n">
        <f aca="false">IF(ISBLANK(RawFinancials!X600),"",RawFinancials!X600)</f>
        <v>0.464179137228711</v>
      </c>
      <c r="Y600" s="0" t="n">
        <f aca="false">IF(ISBLANK(RawFinancials!Y600),"",RawFinancials!Y600)</f>
        <v>5.41</v>
      </c>
      <c r="Z600" s="0" t="str">
        <f aca="false">IF(ISBLANK(RawFinancials!Z600),"",RawFinancials!Z600)</f>
        <v>NH</v>
      </c>
      <c r="AA600" s="0" t="n">
        <f aca="false">RawFinancials!AA600</f>
        <v>1</v>
      </c>
      <c r="AB600" s="0" t="n">
        <f aca="false">RawFinancials!AB600</f>
        <v>6126</v>
      </c>
      <c r="AC600" s="0" t="n">
        <f aca="false">RawFinancials!AC600</f>
        <v>0.382837434076781</v>
      </c>
      <c r="AD600" s="0" t="n">
        <f aca="false">IF(L600&gt;0,100*N600/L600,"")</f>
        <v>83.8262445632718</v>
      </c>
      <c r="AE600" s="0" t="n">
        <f aca="false">IF(B600&gt;0,100*F600/B600,"")</f>
        <v>8.95812098437841</v>
      </c>
      <c r="AF600" s="0" t="str">
        <f aca="false">RawFinancials!AE600</f>
        <v/>
      </c>
    </row>
    <row r="601" customFormat="false" ht="15" hidden="false" customHeight="false" outlineLevel="0" collapsed="false">
      <c r="A601" s="0" t="n">
        <f aca="false">IF(ISBLANK(RawFinancials!A601),"",RawFinancials!A601)</f>
        <v>601</v>
      </c>
      <c r="B601" s="0" t="n">
        <f aca="false">IF(ISBLANK(RawFinancials!B601),"",RawFinancials!B601)</f>
        <v>362004</v>
      </c>
      <c r="C601" s="0" t="n">
        <f aca="false">IF(ISBLANK(RawFinancials!C601),"",RawFinancials!C601)</f>
        <v>17443</v>
      </c>
      <c r="D601" s="0" t="n">
        <f aca="false">IF(ISBLANK(RawFinancials!D601),"",RawFinancials!D601)</f>
        <v>296951</v>
      </c>
      <c r="E601" s="0" t="n">
        <f aca="false">IF(ISBLANK(RawFinancials!E601),"",RawFinancials!E601)</f>
        <v>-0.06</v>
      </c>
      <c r="F601" s="0" t="n">
        <f aca="false">IF(ISBLANK(RawFinancials!F601),"",RawFinancials!F601)</f>
        <v>38929</v>
      </c>
      <c r="G601" s="0" t="n">
        <f aca="false">IF(ISBLANK(RawFinancials!G601),"",RawFinancials!G601)</f>
        <v>10.7537485773638</v>
      </c>
      <c r="H601" s="0" t="str">
        <f aca="false">IF(ISBLANK(RawFinancials!H601),"",RawFinancials!H601)</f>
        <v>17443_20241231</v>
      </c>
      <c r="I601" s="0" t="n">
        <f aca="false">IF(ISBLANK(RawFinancials!I601),"",RawFinancials!I601)</f>
        <v>0.758871582176609</v>
      </c>
      <c r="J601" s="0" t="n">
        <f aca="false">IF(ISBLANK(RawFinancials!J601),"",RawFinancials!J601)</f>
        <v>0</v>
      </c>
      <c r="K601" s="0" t="n">
        <f aca="false">IF(ISBLANK(RawFinancials!K601),"",RawFinancials!K601)</f>
        <v>962</v>
      </c>
      <c r="L601" s="0" t="n">
        <f aca="false">IF(ISBLANK(RawFinancials!L601),"",RawFinancials!L601)</f>
        <v>198189</v>
      </c>
      <c r="M601" s="0" t="n">
        <f aca="false">IF(ISBLANK(RawFinancials!M601),"",RawFinancials!M601)</f>
        <v>196685</v>
      </c>
      <c r="N601" s="0" t="n">
        <f aca="false">IF(ISBLANK(RawFinancials!N601),"",RawFinancials!N601)</f>
        <v>196227</v>
      </c>
      <c r="O601" s="0" t="n">
        <f aca="false">IF(ISBLANK(RawFinancials!O601),"",RawFinancials!O601)</f>
        <v>1097</v>
      </c>
      <c r="P601" s="0" t="str">
        <f aca="false">IF(ISBLANK(RawFinancials!P601),"",RawFinancials!P601)</f>
        <v>PISCATAQUA SAVINGS BANK</v>
      </c>
      <c r="Q601" s="0" t="n">
        <f aca="false">IF(ISBLANK(RawFinancials!Q601),"",RawFinancials!Q601)</f>
        <v>0.553512051627487</v>
      </c>
      <c r="R601" s="0" t="n">
        <f aca="false">IF(ISBLANK(RawFinancials!R601),"",RawFinancials!R601)</f>
        <v>1.17054146452008</v>
      </c>
      <c r="S601" s="0" t="n">
        <f aca="false">IF(ISBLANK(RawFinancials!S601),"",RawFinancials!S601)</f>
        <v>0</v>
      </c>
      <c r="T601" s="0" t="n">
        <f aca="false">IF(ISBLANK(RawFinancials!T601),"",RawFinancials!T601)</f>
        <v>0</v>
      </c>
      <c r="U601" s="0" t="n">
        <f aca="false">IF(ISBLANK(RawFinancials!U601),"",RawFinancials!U601)</f>
        <v>0</v>
      </c>
      <c r="V601" s="0" t="n">
        <f aca="false">IF(ISBLANK(RawFinancials!V601),"",RawFinancials!V601)</f>
        <v>0</v>
      </c>
      <c r="W601" s="0" t="n">
        <f aca="false">IF(ISBLANK(RawFinancials!W601),"",RawFinancials!W601)</f>
        <v>20241231</v>
      </c>
      <c r="X601" s="0" t="n">
        <f aca="false">IF(ISBLANK(RawFinancials!X601),"",RawFinancials!X601)</f>
        <v>-0.226147959468918</v>
      </c>
      <c r="Y601" s="0" t="n">
        <f aca="false">IF(ISBLANK(RawFinancials!Y601),"",RawFinancials!Y601)</f>
        <v>-2.04</v>
      </c>
      <c r="Z601" s="0" t="str">
        <f aca="false">IF(ISBLANK(RawFinancials!Z601),"",RawFinancials!Z601)</f>
        <v>NH</v>
      </c>
      <c r="AA601" s="0" t="n">
        <f aca="false">RawFinancials!AA601</f>
        <v>1</v>
      </c>
      <c r="AB601" s="0" t="n">
        <f aca="false">RawFinancials!AB601</f>
        <v>1097</v>
      </c>
      <c r="AC601" s="0" t="n">
        <f aca="false">RawFinancials!AC601</f>
        <v>0.303035325576513</v>
      </c>
      <c r="AD601" s="0" t="n">
        <f aca="false">IF(L601&gt;0,100*N601/L601,"")</f>
        <v>99.0100358748467</v>
      </c>
      <c r="AE601" s="0" t="n">
        <f aca="false">IF(B601&gt;0,100*F601/B601,"")</f>
        <v>10.7537485773638</v>
      </c>
      <c r="AF601" s="0" t="str">
        <f aca="false">RawFinancials!AE601</f>
        <v>原始0：需核实适用/报告口径</v>
      </c>
    </row>
    <row r="602" customFormat="false" ht="15" hidden="false" customHeight="false" outlineLevel="0" collapsed="false">
      <c r="A602" s="0" t="n">
        <f aca="false">IF(ISBLANK(RawFinancials!A602),"",RawFinancials!A602)</f>
        <v>602</v>
      </c>
      <c r="B602" s="0" t="n">
        <f aca="false">IF(ISBLANK(RawFinancials!B602),"",RawFinancials!B602)</f>
        <v>1989287</v>
      </c>
      <c r="C602" s="0" t="n">
        <f aca="false">IF(ISBLANK(RawFinancials!C602),"",RawFinancials!C602)</f>
        <v>17658</v>
      </c>
      <c r="D602" s="0" t="n">
        <f aca="false">IF(ISBLANK(RawFinancials!D602),"",RawFinancials!D602)</f>
        <v>1532228</v>
      </c>
      <c r="E602" s="0" t="n">
        <f aca="false">IF(ISBLANK(RawFinancials!E602),"",RawFinancials!E602)</f>
        <v>0.04</v>
      </c>
      <c r="F602" s="0" t="n">
        <f aca="false">IF(ISBLANK(RawFinancials!F602),"",RawFinancials!F602)</f>
        <v>221439</v>
      </c>
      <c r="G602" s="0" t="n">
        <f aca="false">IF(ISBLANK(RawFinancials!G602),"",RawFinancials!G602)</f>
        <v>11.1315762883888</v>
      </c>
      <c r="H602" s="0" t="str">
        <f aca="false">IF(ISBLANK(RawFinancials!H602),"",RawFinancials!H602)</f>
        <v>17658_20241231</v>
      </c>
      <c r="I602" s="0" t="n">
        <f aca="false">IF(ISBLANK(RawFinancials!I602),"",RawFinancials!I602)</f>
        <v>0.675398942386656</v>
      </c>
      <c r="J602" s="0" t="n">
        <f aca="false">IF(ISBLANK(RawFinancials!J602),"",RawFinancials!J602)</f>
        <v>113712</v>
      </c>
      <c r="K602" s="0" t="n">
        <f aca="false">IF(ISBLANK(RawFinancials!K602),"",RawFinancials!K602)</f>
        <v>78309</v>
      </c>
      <c r="L602" s="0" t="n">
        <f aca="false">IF(ISBLANK(RawFinancials!L602),"",RawFinancials!L602)</f>
        <v>1433227</v>
      </c>
      <c r="M602" s="0" t="n">
        <f aca="false">IF(ISBLANK(RawFinancials!M602),"",RawFinancials!M602)</f>
        <v>1423547</v>
      </c>
      <c r="N602" s="0" t="n">
        <f aca="false">IF(ISBLANK(RawFinancials!N602),"",RawFinancials!N602)</f>
        <v>1227698</v>
      </c>
      <c r="O602" s="0" t="n">
        <f aca="false">IF(ISBLANK(RawFinancials!O602),"",RawFinancials!O602)</f>
        <v>9730</v>
      </c>
      <c r="P602" s="0" t="str">
        <f aca="false">IF(ISBLANK(RawFinancials!P602),"",RawFinancials!P602)</f>
        <v>NORWAY SAVINGS BANK</v>
      </c>
      <c r="Q602" s="0" t="n">
        <f aca="false">IF(ISBLANK(RawFinancials!Q602),"",RawFinancials!Q602)</f>
        <v>0.678887573287414</v>
      </c>
      <c r="R602" s="0" t="n">
        <f aca="false">IF(ISBLANK(RawFinancials!R602),"",RawFinancials!R602)</f>
        <v>3.11192825873285</v>
      </c>
      <c r="S602" s="0" t="n">
        <f aca="false">IF(ISBLANK(RawFinancials!S602),"",RawFinancials!S602)</f>
        <v>-60</v>
      </c>
      <c r="T602" s="0" t="n">
        <f aca="false">IF(ISBLANK(RawFinancials!T602),"",RawFinancials!T602)</f>
        <v>3180</v>
      </c>
      <c r="U602" s="0" t="n">
        <f aca="false">IF(ISBLANK(RawFinancials!U602),"",RawFinancials!U602)</f>
        <v>0</v>
      </c>
      <c r="V602" s="0" t="n">
        <f aca="false">IF(ISBLANK(RawFinancials!V602),"",RawFinancials!V602)</f>
        <v>0</v>
      </c>
      <c r="W602" s="0" t="n">
        <f aca="false">IF(ISBLANK(RawFinancials!W602),"",RawFinancials!W602)</f>
        <v>20241231</v>
      </c>
      <c r="X602" s="0" t="n">
        <f aca="false">IF(ISBLANK(RawFinancials!X602),"",RawFinancials!X602)</f>
        <v>0.895346445042463</v>
      </c>
      <c r="Y602" s="0" t="n">
        <f aca="false">IF(ISBLANK(RawFinancials!Y602),"",RawFinancials!Y602)</f>
        <v>7.97</v>
      </c>
      <c r="Z602" s="0" t="str">
        <f aca="false">IF(ISBLANK(RawFinancials!Z602),"",RawFinancials!Z602)</f>
        <v>ME</v>
      </c>
      <c r="AA602" s="0" t="n">
        <f aca="false">RawFinancials!AA602</f>
        <v>1</v>
      </c>
      <c r="AB602" s="0" t="n">
        <f aca="false">RawFinancials!AB602</f>
        <v>9730</v>
      </c>
      <c r="AC602" s="0" t="n">
        <f aca="false">RawFinancials!AC602</f>
        <v>0.489119971125333</v>
      </c>
      <c r="AD602" s="0" t="n">
        <f aca="false">IF(L602&gt;0,100*N602/L602,"")</f>
        <v>85.6597035919642</v>
      </c>
      <c r="AE602" s="0" t="n">
        <f aca="false">IF(B602&gt;0,100*F602/B602,"")</f>
        <v>11.1315762883888</v>
      </c>
      <c r="AF602" s="0" t="str">
        <f aca="false">RawFinancials!AE602</f>
        <v>原始0：需核实适用/报告口径</v>
      </c>
    </row>
    <row r="603" customFormat="false" ht="15" hidden="false" customHeight="false" outlineLevel="0" collapsed="false">
      <c r="A603" s="0" t="n">
        <f aca="false">IF(ISBLANK(RawFinancials!A603),"",RawFinancials!A603)</f>
        <v>603</v>
      </c>
      <c r="B603" s="0" t="n">
        <f aca="false">IF(ISBLANK(RawFinancials!B603),"",RawFinancials!B603)</f>
        <v>1167995</v>
      </c>
      <c r="C603" s="0" t="n">
        <f aca="false">IF(ISBLANK(RawFinancials!C603),"",RawFinancials!C603)</f>
        <v>17741</v>
      </c>
      <c r="D603" s="0" t="n">
        <f aca="false">IF(ISBLANK(RawFinancials!D603),"",RawFinancials!D603)</f>
        <v>895674</v>
      </c>
      <c r="E603" s="0" t="n">
        <f aca="false">IF(ISBLANK(RawFinancials!E603),"",RawFinancials!E603)</f>
        <v>0.03</v>
      </c>
      <c r="F603" s="0" t="n">
        <f aca="false">IF(ISBLANK(RawFinancials!F603),"",RawFinancials!F603)</f>
        <v>147350</v>
      </c>
      <c r="G603" s="0" t="n">
        <f aca="false">IF(ISBLANK(RawFinancials!G603),"",RawFinancials!G603)</f>
        <v>12.6156361970728</v>
      </c>
      <c r="H603" s="0" t="str">
        <f aca="false">IF(ISBLANK(RawFinancials!H603),"",RawFinancials!H603)</f>
        <v>17741_20241231</v>
      </c>
      <c r="I603" s="0" t="n">
        <f aca="false">IF(ISBLANK(RawFinancials!I603),"",RawFinancials!I603)</f>
        <v>0.923875442979846</v>
      </c>
      <c r="J603" s="0" t="n">
        <f aca="false">IF(ISBLANK(RawFinancials!J603),"",RawFinancials!J603)</f>
        <v>50628</v>
      </c>
      <c r="K603" s="0" t="n">
        <f aca="false">IF(ISBLANK(RawFinancials!K603),"",RawFinancials!K603)</f>
        <v>3758</v>
      </c>
      <c r="L603" s="0" t="n">
        <f aca="false">IF(ISBLANK(RawFinancials!L603),"",RawFinancials!L603)</f>
        <v>992991</v>
      </c>
      <c r="M603" s="0" t="n">
        <f aca="false">IF(ISBLANK(RawFinancials!M603),"",RawFinancials!M603)</f>
        <v>983817</v>
      </c>
      <c r="N603" s="0" t="n">
        <f aca="false">IF(ISBLANK(RawFinancials!N603),"",RawFinancials!N603)</f>
        <v>934014</v>
      </c>
      <c r="O603" s="0" t="n">
        <f aca="false">IF(ISBLANK(RawFinancials!O603),"",RawFinancials!O603)</f>
        <v>3480</v>
      </c>
      <c r="P603" s="0" t="str">
        <f aca="false">IF(ISBLANK(RawFinancials!P603),"",RawFinancials!P603)</f>
        <v>MAINE COMMUNITY BANK</v>
      </c>
      <c r="Q603" s="0" t="n">
        <f aca="false">IF(ISBLANK(RawFinancials!Q603),"",RawFinancials!Q603)</f>
        <v>0.350456348546966</v>
      </c>
      <c r="R603" s="0" t="n">
        <f aca="false">IF(ISBLANK(RawFinancials!R603),"",RawFinancials!R603)</f>
        <v>3.08264284192033</v>
      </c>
      <c r="S603" s="0" t="n">
        <f aca="false">IF(ISBLANK(RawFinancials!S603),"",RawFinancials!S603)</f>
        <v>57</v>
      </c>
      <c r="T603" s="0" t="n">
        <f aca="false">IF(ISBLANK(RawFinancials!T603),"",RawFinancials!T603)</f>
        <v>2314</v>
      </c>
      <c r="U603" s="0" t="n">
        <f aca="false">IF(ISBLANK(RawFinancials!U603),"",RawFinancials!U603)</f>
        <v>0</v>
      </c>
      <c r="V603" s="0" t="n">
        <f aca="false">IF(ISBLANK(RawFinancials!V603),"",RawFinancials!V603)</f>
        <v>0</v>
      </c>
      <c r="W603" s="0" t="n">
        <f aca="false">IF(ISBLANK(RawFinancials!W603),"",RawFinancials!W603)</f>
        <v>20241231</v>
      </c>
      <c r="X603" s="0" t="n">
        <f aca="false">IF(ISBLANK(RawFinancials!X603),"",RawFinancials!X603)</f>
        <v>0.645702012436472</v>
      </c>
      <c r="Y603" s="0" t="n">
        <f aca="false">IF(ISBLANK(RawFinancials!Y603),"",RawFinancials!Y603)</f>
        <v>5.13</v>
      </c>
      <c r="Z603" s="0" t="str">
        <f aca="false">IF(ISBLANK(RawFinancials!Z603),"",RawFinancials!Z603)</f>
        <v>ME</v>
      </c>
      <c r="AA603" s="0" t="n">
        <f aca="false">RawFinancials!AA603</f>
        <v>1</v>
      </c>
      <c r="AB603" s="0" t="n">
        <f aca="false">RawFinancials!AB603</f>
        <v>3480</v>
      </c>
      <c r="AC603" s="0" t="n">
        <f aca="false">RawFinancials!AC603</f>
        <v>0.297946480935278</v>
      </c>
      <c r="AD603" s="0" t="n">
        <f aca="false">IF(L603&gt;0,100*N603/L603,"")</f>
        <v>94.0606712447545</v>
      </c>
      <c r="AE603" s="0" t="n">
        <f aca="false">IF(B603&gt;0,100*F603/B603,"")</f>
        <v>12.6156361970728</v>
      </c>
      <c r="AF603" s="0" t="str">
        <f aca="false">RawFinancials!AE603</f>
        <v>原始0：需核实适用/报告口径</v>
      </c>
    </row>
    <row r="604" customFormat="false" ht="15" hidden="false" customHeight="false" outlineLevel="0" collapsed="false">
      <c r="A604" s="0" t="n">
        <f aca="false">IF(ISBLANK(RawFinancials!A604),"",RawFinancials!A604)</f>
        <v>604</v>
      </c>
      <c r="B604" s="0" t="n">
        <f aca="false">IF(ISBLANK(RawFinancials!B604),"",RawFinancials!B604)</f>
        <v>1411602</v>
      </c>
      <c r="C604" s="0" t="n">
        <f aca="false">IF(ISBLANK(RawFinancials!C604),"",RawFinancials!C604)</f>
        <v>17743</v>
      </c>
      <c r="D604" s="0" t="n">
        <f aca="false">IF(ISBLANK(RawFinancials!D604),"",RawFinancials!D604)</f>
        <v>1011066</v>
      </c>
      <c r="E604" s="0" t="n">
        <f aca="false">IF(ISBLANK(RawFinancials!E604),"",RawFinancials!E604)</f>
        <v>0</v>
      </c>
      <c r="F604" s="0" t="n">
        <f aca="false">IF(ISBLANK(RawFinancials!F604),"",RawFinancials!F604)</f>
        <v>125438</v>
      </c>
      <c r="G604" s="0" t="n">
        <f aca="false">IF(ISBLANK(RawFinancials!G604),"",RawFinancials!G604)</f>
        <v>8.88621580303797</v>
      </c>
      <c r="H604" s="0" t="str">
        <f aca="false">IF(ISBLANK(RawFinancials!H604),"",RawFinancials!H604)</f>
        <v>17743_20241231</v>
      </c>
      <c r="I604" s="0" t="n">
        <f aca="false">IF(ISBLANK(RawFinancials!I604),"",RawFinancials!I604)</f>
        <v>0.420558238690126</v>
      </c>
      <c r="J604" s="0" t="n">
        <f aca="false">IF(ISBLANK(RawFinancials!J604),"",RawFinancials!J604)</f>
        <v>16652</v>
      </c>
      <c r="K604" s="0" t="n">
        <f aca="false">IF(ISBLANK(RawFinancials!K604),"",RawFinancials!K604)</f>
        <v>10324</v>
      </c>
      <c r="L604" s="0" t="n">
        <f aca="false">IF(ISBLANK(RawFinancials!L604),"",RawFinancials!L604)</f>
        <v>1136109</v>
      </c>
      <c r="M604" s="0" t="n">
        <f aca="false">IF(ISBLANK(RawFinancials!M604),"",RawFinancials!M604)</f>
        <v>1131331</v>
      </c>
      <c r="N604" s="0" t="n">
        <f aca="false">IF(ISBLANK(RawFinancials!N604),"",RawFinancials!N604)</f>
        <v>1098486</v>
      </c>
      <c r="O604" s="0" t="n">
        <f aca="false">IF(ISBLANK(RawFinancials!O604),"",RawFinancials!O604)</f>
        <v>632</v>
      </c>
      <c r="P604" s="0" t="str">
        <f aca="false">IF(ISBLANK(RawFinancials!P604),"",RawFinancials!P604)</f>
        <v>SACO &amp; BIDDEFORD SAVINGS INSTITUTION</v>
      </c>
      <c r="Q604" s="0" t="n">
        <f aca="false">IF(ISBLANK(RawFinancials!Q604),"",RawFinancials!Q604)</f>
        <v>0.0556284652264879</v>
      </c>
      <c r="R604" s="0" t="n">
        <f aca="false">IF(ISBLANK(RawFinancials!R604),"",RawFinancials!R604)</f>
        <v>1.92720178816881</v>
      </c>
      <c r="S604" s="0" t="n">
        <f aca="false">IF(ISBLANK(RawFinancials!S604),"",RawFinancials!S604)</f>
        <v>-25</v>
      </c>
      <c r="T604" s="0" t="n">
        <f aca="false">IF(ISBLANK(RawFinancials!T604),"",RawFinancials!T604)</f>
        <v>5686</v>
      </c>
      <c r="U604" s="0" t="n">
        <f aca="false">IF(ISBLANK(RawFinancials!U604),"",RawFinancials!U604)</f>
        <v>0</v>
      </c>
      <c r="V604" s="0" t="n">
        <f aca="false">IF(ISBLANK(RawFinancials!V604),"",RawFinancials!V604)</f>
        <v>0</v>
      </c>
      <c r="W604" s="0" t="n">
        <f aca="false">IF(ISBLANK(RawFinancials!W604),"",RawFinancials!W604)</f>
        <v>20241231</v>
      </c>
      <c r="X604" s="0" t="n">
        <f aca="false">IF(ISBLANK(RawFinancials!X604),"",RawFinancials!X604)</f>
        <v>0.107798252400096</v>
      </c>
      <c r="Y604" s="0" t="n">
        <f aca="false">IF(ISBLANK(RawFinancials!Y604),"",RawFinancials!Y604)</f>
        <v>1.22</v>
      </c>
      <c r="Z604" s="0" t="str">
        <f aca="false">IF(ISBLANK(RawFinancials!Z604),"",RawFinancials!Z604)</f>
        <v>ME</v>
      </c>
      <c r="AA604" s="0" t="n">
        <f aca="false">RawFinancials!AA604</f>
        <v>1</v>
      </c>
      <c r="AB604" s="0" t="n">
        <f aca="false">RawFinancials!AB604</f>
        <v>632</v>
      </c>
      <c r="AC604" s="0" t="n">
        <f aca="false">RawFinancials!AC604</f>
        <v>0.0447718266196846</v>
      </c>
      <c r="AD604" s="0" t="n">
        <f aca="false">IF(L604&gt;0,100*N604/L604,"")</f>
        <v>96.6884339442782</v>
      </c>
      <c r="AE604" s="0" t="n">
        <f aca="false">IF(B604&gt;0,100*F604/B604,"")</f>
        <v>8.88621580303797</v>
      </c>
      <c r="AF604" s="0" t="str">
        <f aca="false">RawFinancials!AE604</f>
        <v>原始0：需核实适用/报告口径</v>
      </c>
    </row>
    <row r="605" customFormat="false" ht="15" hidden="false" customHeight="false" outlineLevel="0" collapsed="false">
      <c r="A605" s="0" t="n">
        <f aca="false">IF(ISBLANK(RawFinancials!A605),"",RawFinancials!A605)</f>
        <v>605</v>
      </c>
      <c r="B605" s="0" t="n">
        <f aca="false">IF(ISBLANK(RawFinancials!B605),"",RawFinancials!B605)</f>
        <v>1608101</v>
      </c>
      <c r="C605" s="0" t="n">
        <f aca="false">IF(ISBLANK(RawFinancials!C605),"",RawFinancials!C605)</f>
        <v>17748</v>
      </c>
      <c r="D605" s="0" t="n">
        <f aca="false">IF(ISBLANK(RawFinancials!D605),"",RawFinancials!D605)</f>
        <v>1393920</v>
      </c>
      <c r="E605" s="0" t="n">
        <f aca="false">IF(ISBLANK(RawFinancials!E605),"",RawFinancials!E605)</f>
        <v>-0.04</v>
      </c>
      <c r="F605" s="0" t="n">
        <f aca="false">IF(ISBLANK(RawFinancials!F605),"",RawFinancials!F605)</f>
        <v>116220</v>
      </c>
      <c r="G605" s="0" t="n">
        <f aca="false">IF(ISBLANK(RawFinancials!G605),"",RawFinancials!G605)</f>
        <v>7.22715799567316</v>
      </c>
      <c r="H605" s="0" t="str">
        <f aca="false">IF(ISBLANK(RawFinancials!H605),"",RawFinancials!H605)</f>
        <v>17748_20241231</v>
      </c>
      <c r="I605" s="0" t="n">
        <f aca="false">IF(ISBLANK(RawFinancials!I605),"",RawFinancials!I605)</f>
        <v>0.73766092321848</v>
      </c>
      <c r="J605" s="0" t="n">
        <f aca="false">IF(ISBLANK(RawFinancials!J605),"",RawFinancials!J605)</f>
        <v>181997</v>
      </c>
      <c r="K605" s="0" t="n">
        <f aca="false">IF(ISBLANK(RawFinancials!K605),"",RawFinancials!K605)</f>
        <v>3204</v>
      </c>
      <c r="L605" s="0" t="n">
        <f aca="false">IF(ISBLANK(RawFinancials!L605),"",RawFinancials!L605)</f>
        <v>1278094</v>
      </c>
      <c r="M605" s="0" t="n">
        <f aca="false">IF(ISBLANK(RawFinancials!M605),"",RawFinancials!M605)</f>
        <v>1268666</v>
      </c>
      <c r="N605" s="0" t="n">
        <f aca="false">IF(ISBLANK(RawFinancials!N605),"",RawFinancials!N605)</f>
        <v>1056120</v>
      </c>
      <c r="O605" s="0" t="n">
        <f aca="false">IF(ISBLANK(RawFinancials!O605),"",RawFinancials!O605)</f>
        <v>6153</v>
      </c>
      <c r="P605" s="0" t="str">
        <f aca="false">IF(ISBLANK(RawFinancials!P605),"",RawFinancials!P605)</f>
        <v>GORHAM SAVINGS BANK</v>
      </c>
      <c r="Q605" s="0" t="n">
        <f aca="false">IF(ISBLANK(RawFinancials!Q605),"",RawFinancials!Q605)</f>
        <v>0.481419989453045</v>
      </c>
      <c r="R605" s="0" t="n">
        <f aca="false">IF(ISBLANK(RawFinancials!R605),"",RawFinancials!R605)</f>
        <v>2.48246240518063</v>
      </c>
      <c r="S605" s="0" t="n">
        <f aca="false">IF(ISBLANK(RawFinancials!S605),"",RawFinancials!S605)</f>
        <v>-206</v>
      </c>
      <c r="T605" s="0" t="n">
        <f aca="false">IF(ISBLANK(RawFinancials!T605),"",RawFinancials!T605)</f>
        <v>5364</v>
      </c>
      <c r="U605" s="0" t="n">
        <f aca="false">IF(ISBLANK(RawFinancials!U605),"",RawFinancials!U605)</f>
        <v>0</v>
      </c>
      <c r="V605" s="0" t="n">
        <f aca="false">IF(ISBLANK(RawFinancials!V605),"",RawFinancials!V605)</f>
        <v>0</v>
      </c>
      <c r="W605" s="0" t="n">
        <f aca="false">IF(ISBLANK(RawFinancials!W605),"",RawFinancials!W605)</f>
        <v>20241231</v>
      </c>
      <c r="X605" s="0" t="n">
        <f aca="false">IF(ISBLANK(RawFinancials!X605),"",RawFinancials!X605)</f>
        <v>0.329721781163526</v>
      </c>
      <c r="Y605" s="0" t="n">
        <f aca="false">IF(ISBLANK(RawFinancials!Y605),"",RawFinancials!Y605)</f>
        <v>4.67</v>
      </c>
      <c r="Z605" s="0" t="str">
        <f aca="false">IF(ISBLANK(RawFinancials!Z605),"",RawFinancials!Z605)</f>
        <v>ME</v>
      </c>
      <c r="AA605" s="0" t="n">
        <f aca="false">RawFinancials!AA605</f>
        <v>1</v>
      </c>
      <c r="AB605" s="0" t="n">
        <f aca="false">RawFinancials!AB605</f>
        <v>6153</v>
      </c>
      <c r="AC605" s="0" t="n">
        <f aca="false">RawFinancials!AC605</f>
        <v>0.382625220679547</v>
      </c>
      <c r="AD605" s="0" t="n">
        <f aca="false">IF(L605&gt;0,100*N605/L605,"")</f>
        <v>82.6324198376645</v>
      </c>
      <c r="AE605" s="0" t="n">
        <f aca="false">IF(B605&gt;0,100*F605/B605,"")</f>
        <v>7.22715799567316</v>
      </c>
      <c r="AF605" s="0" t="str">
        <f aca="false">RawFinancials!AE605</f>
        <v>原始0：需核实适用/报告口径</v>
      </c>
    </row>
    <row r="606" customFormat="false" ht="15" hidden="false" customHeight="false" outlineLevel="0" collapsed="false">
      <c r="A606" s="0" t="n">
        <f aca="false">IF(ISBLANK(RawFinancials!A606),"",RawFinancials!A606)</f>
        <v>606</v>
      </c>
      <c r="B606" s="0" t="n">
        <f aca="false">IF(ISBLANK(RawFinancials!B606),"",RawFinancials!B606)</f>
        <v>1400586</v>
      </c>
      <c r="C606" s="0" t="n">
        <f aca="false">IF(ISBLANK(RawFinancials!C606),"",RawFinancials!C606)</f>
        <v>17749</v>
      </c>
      <c r="D606" s="0" t="n">
        <f aca="false">IF(ISBLANK(RawFinancials!D606),"",RawFinancials!D606)</f>
        <v>1098984</v>
      </c>
      <c r="E606" s="0" t="n">
        <f aca="false">IF(ISBLANK(RawFinancials!E606),"",RawFinancials!E606)</f>
        <v>0.05</v>
      </c>
      <c r="F606" s="0" t="n">
        <f aca="false">IF(ISBLANK(RawFinancials!F606),"",RawFinancials!F606)</f>
        <v>189574</v>
      </c>
      <c r="G606" s="0" t="n">
        <f aca="false">IF(ISBLANK(RawFinancials!G606),"",RawFinancials!G606)</f>
        <v>13.5353344957039</v>
      </c>
      <c r="H606" s="0" t="str">
        <f aca="false">IF(ISBLANK(RawFinancials!H606),"",RawFinancials!H606)</f>
        <v>17749_20241231</v>
      </c>
      <c r="I606" s="0" t="n">
        <f aca="false">IF(ISBLANK(RawFinancials!I606),"",RawFinancials!I606)</f>
        <v>1.42744468047014</v>
      </c>
      <c r="J606" s="0" t="n">
        <f aca="false">IF(ISBLANK(RawFinancials!J606),"",RawFinancials!J606)</f>
        <v>49964</v>
      </c>
      <c r="K606" s="0" t="n">
        <f aca="false">IF(ISBLANK(RawFinancials!K606),"",RawFinancials!K606)</f>
        <v>11169</v>
      </c>
      <c r="L606" s="0" t="n">
        <f aca="false">IF(ISBLANK(RawFinancials!L606),"",RawFinancials!L606)</f>
        <v>826652</v>
      </c>
      <c r="M606" s="0" t="n">
        <f aca="false">IF(ISBLANK(RawFinancials!M606),"",RawFinancials!M606)</f>
        <v>814852</v>
      </c>
      <c r="N606" s="0" t="n">
        <f aca="false">IF(ISBLANK(RawFinancials!N606),"",RawFinancials!N606)</f>
        <v>755022</v>
      </c>
      <c r="O606" s="0" t="n">
        <f aca="false">IF(ISBLANK(RawFinancials!O606),"",RawFinancials!O606)</f>
        <v>610</v>
      </c>
      <c r="P606" s="0" t="str">
        <f aca="false">IF(ISBLANK(RawFinancials!P606),"",RawFinancials!P606)</f>
        <v>BATH SAVINGS INSTITUTION</v>
      </c>
      <c r="Q606" s="0" t="n">
        <f aca="false">IF(ISBLANK(RawFinancials!Q606),"",RawFinancials!Q606)</f>
        <v>0.0737916317870155</v>
      </c>
      <c r="R606" s="0" t="n">
        <f aca="false">IF(ISBLANK(RawFinancials!R606),"",RawFinancials!R606)</f>
        <v>2.51176582834264</v>
      </c>
      <c r="S606" s="0" t="n">
        <f aca="false">IF(ISBLANK(RawFinancials!S606),"",RawFinancials!S606)</f>
        <v>4</v>
      </c>
      <c r="T606" s="0" t="n">
        <f aca="false">IF(ISBLANK(RawFinancials!T606),"",RawFinancials!T606)</f>
        <v>895</v>
      </c>
      <c r="U606" s="0" t="n">
        <f aca="false">IF(ISBLANK(RawFinancials!U606),"",RawFinancials!U606)</f>
        <v>0</v>
      </c>
      <c r="V606" s="0" t="n">
        <f aca="false">IF(ISBLANK(RawFinancials!V606),"",RawFinancials!V606)</f>
        <v>0</v>
      </c>
      <c r="W606" s="0" t="n">
        <f aca="false">IF(ISBLANK(RawFinancials!W606),"",RawFinancials!W606)</f>
        <v>20241231</v>
      </c>
      <c r="X606" s="0" t="n">
        <f aca="false">IF(ISBLANK(RawFinancials!X606),"",RawFinancials!X606)</f>
        <v>1.14589123831468</v>
      </c>
      <c r="Y606" s="0" t="n">
        <f aca="false">IF(ISBLANK(RawFinancials!Y606),"",RawFinancials!Y606)</f>
        <v>8.72</v>
      </c>
      <c r="Z606" s="0" t="str">
        <f aca="false">IF(ISBLANK(RawFinancials!Z606),"",RawFinancials!Z606)</f>
        <v>ME</v>
      </c>
      <c r="AA606" s="0" t="n">
        <f aca="false">RawFinancials!AA606</f>
        <v>1</v>
      </c>
      <c r="AB606" s="0" t="n">
        <f aca="false">RawFinancials!AB606</f>
        <v>610</v>
      </c>
      <c r="AC606" s="0" t="n">
        <f aca="false">RawFinancials!AC606</f>
        <v>0.0435531984469358</v>
      </c>
      <c r="AD606" s="0" t="n">
        <f aca="false">IF(L606&gt;0,100*N606/L606,"")</f>
        <v>91.3349269099936</v>
      </c>
      <c r="AE606" s="0" t="n">
        <f aca="false">IF(B606&gt;0,100*F606/B606,"")</f>
        <v>13.5353344957039</v>
      </c>
      <c r="AF606" s="0" t="str">
        <f aca="false">RawFinancials!AE606</f>
        <v>原始0：需核实适用/报告口径</v>
      </c>
    </row>
    <row r="607" customFormat="false" ht="15" hidden="false" customHeight="false" outlineLevel="0" collapsed="false">
      <c r="A607" s="0" t="n">
        <f aca="false">IF(ISBLANK(RawFinancials!A607),"",RawFinancials!A607)</f>
        <v>607</v>
      </c>
      <c r="B607" s="0" t="n">
        <f aca="false">IF(ISBLANK(RawFinancials!B607),"",RawFinancials!B607)</f>
        <v>1661812</v>
      </c>
      <c r="C607" s="0" t="n">
        <f aca="false">IF(ISBLANK(RawFinancials!C607),"",RawFinancials!C607)</f>
        <v>17751</v>
      </c>
      <c r="D607" s="0" t="n">
        <f aca="false">IF(ISBLANK(RawFinancials!D607),"",RawFinancials!D607)</f>
        <v>1317297</v>
      </c>
      <c r="E607" s="0" t="n">
        <f aca="false">IF(ISBLANK(RawFinancials!E607),"",RawFinancials!E607)</f>
        <v>0.05</v>
      </c>
      <c r="F607" s="0" t="n">
        <f aca="false">IF(ISBLANK(RawFinancials!F607),"",RawFinancials!F607)</f>
        <v>146032</v>
      </c>
      <c r="G607" s="0" t="n">
        <f aca="false">IF(ISBLANK(RawFinancials!G607),"",RawFinancials!G607)</f>
        <v>8.78751627741285</v>
      </c>
      <c r="H607" s="0" t="str">
        <f aca="false">IF(ISBLANK(RawFinancials!H607),"",RawFinancials!H607)</f>
        <v>17751_20241231</v>
      </c>
      <c r="I607" s="0" t="n">
        <f aca="false">IF(ISBLANK(RawFinancials!I607),"",RawFinancials!I607)</f>
        <v>0.946267178497854</v>
      </c>
      <c r="J607" s="0" t="n">
        <f aca="false">IF(ISBLANK(RawFinancials!J607),"",RawFinancials!J607)</f>
        <v>137238</v>
      </c>
      <c r="K607" s="0" t="n">
        <f aca="false">IF(ISBLANK(RawFinancials!K607),"",RawFinancials!K607)</f>
        <v>4607</v>
      </c>
      <c r="L607" s="0" t="n">
        <f aca="false">IF(ISBLANK(RawFinancials!L607),"",RawFinancials!L607)</f>
        <v>1375193</v>
      </c>
      <c r="M607" s="0" t="n">
        <f aca="false">IF(ISBLANK(RawFinancials!M607),"",RawFinancials!M607)</f>
        <v>1362180</v>
      </c>
      <c r="N607" s="0" t="n">
        <f aca="false">IF(ISBLANK(RawFinancials!N607),"",RawFinancials!N607)</f>
        <v>1175847</v>
      </c>
      <c r="O607" s="0" t="n">
        <f aca="false">IF(ISBLANK(RawFinancials!O607),"",RawFinancials!O607)</f>
        <v>2670</v>
      </c>
      <c r="P607" s="0" t="str">
        <f aca="false">IF(ISBLANK(RawFinancials!P607),"",RawFinancials!P607)</f>
        <v>ANDROSCOGGIN SAVINGS BANK</v>
      </c>
      <c r="Q607" s="0" t="n">
        <f aca="false">IF(ISBLANK(RawFinancials!Q607),"",RawFinancials!Q607)</f>
        <v>0.194154565940926</v>
      </c>
      <c r="R607" s="0" t="n">
        <f aca="false">IF(ISBLANK(RawFinancials!R607),"",RawFinancials!R607)</f>
        <v>2.720130697408</v>
      </c>
      <c r="S607" s="0" t="n">
        <f aca="false">IF(ISBLANK(RawFinancials!S607),"",RawFinancials!S607)</f>
        <v>-229</v>
      </c>
      <c r="T607" s="0" t="n">
        <f aca="false">IF(ISBLANK(RawFinancials!T607),"",RawFinancials!T607)</f>
        <v>7110</v>
      </c>
      <c r="U607" s="0" t="n">
        <f aca="false">IF(ISBLANK(RawFinancials!U607),"",RawFinancials!U607)</f>
        <v>0</v>
      </c>
      <c r="V607" s="0" t="n">
        <f aca="false">IF(ISBLANK(RawFinancials!V607),"",RawFinancials!V607)</f>
        <v>12.6009441821716</v>
      </c>
      <c r="W607" s="0" t="n">
        <f aca="false">IF(ISBLANK(RawFinancials!W607),"",RawFinancials!W607)</f>
        <v>20241231</v>
      </c>
      <c r="X607" s="0" t="n">
        <f aca="false">IF(ISBLANK(RawFinancials!X607),"",RawFinancials!X607)</f>
        <v>0.422514537152252</v>
      </c>
      <c r="Y607" s="0" t="n">
        <f aca="false">IF(ISBLANK(RawFinancials!Y607),"",RawFinancials!Y607)</f>
        <v>4.88</v>
      </c>
      <c r="Z607" s="0" t="str">
        <f aca="false">IF(ISBLANK(RawFinancials!Z607),"",RawFinancials!Z607)</f>
        <v>ME</v>
      </c>
      <c r="AA607" s="0" t="n">
        <f aca="false">RawFinancials!AA607</f>
        <v>1</v>
      </c>
      <c r="AB607" s="0" t="n">
        <f aca="false">RawFinancials!AB607</f>
        <v>2670</v>
      </c>
      <c r="AC607" s="0" t="n">
        <f aca="false">RawFinancials!AC607</f>
        <v>0.160667993732143</v>
      </c>
      <c r="AD607" s="0" t="n">
        <f aca="false">IF(L607&gt;0,100*N607/L607,"")</f>
        <v>85.5041437820001</v>
      </c>
      <c r="AE607" s="0" t="n">
        <f aca="false">IF(B607&gt;0,100*F607/B607,"")</f>
        <v>8.78751627741285</v>
      </c>
      <c r="AF607" s="0" t="str">
        <f aca="false">RawFinancials!AE607</f>
        <v/>
      </c>
    </row>
    <row r="608" customFormat="false" ht="15" hidden="false" customHeight="false" outlineLevel="0" collapsed="false">
      <c r="A608" s="0" t="n">
        <f aca="false">IF(ISBLANK(RawFinancials!A608),"",RawFinancials!A608)</f>
        <v>608</v>
      </c>
      <c r="B608" s="0" t="n">
        <f aca="false">IF(ISBLANK(RawFinancials!B608),"",RawFinancials!B608)</f>
        <v>1764971</v>
      </c>
      <c r="C608" s="0" t="n">
        <f aca="false">IF(ISBLANK(RawFinancials!C608),"",RawFinancials!C608)</f>
        <v>17897</v>
      </c>
      <c r="D608" s="0" t="n">
        <f aca="false">IF(ISBLANK(RawFinancials!D608),"",RawFinancials!D608)</f>
        <v>1348133</v>
      </c>
      <c r="E608" s="0" t="n">
        <f aca="false">IF(ISBLANK(RawFinancials!E608),"",RawFinancials!E608)</f>
        <v>0</v>
      </c>
      <c r="F608" s="0" t="n">
        <f aca="false">IF(ISBLANK(RawFinancials!F608),"",RawFinancials!F608)</f>
        <v>215583</v>
      </c>
      <c r="G608" s="0" t="n">
        <f aca="false">IF(ISBLANK(RawFinancials!G608),"",RawFinancials!G608)</f>
        <v>12.2145349696964</v>
      </c>
      <c r="H608" s="0" t="str">
        <f aca="false">IF(ISBLANK(RawFinancials!H608),"",RawFinancials!H608)</f>
        <v>17897_20241231</v>
      </c>
      <c r="I608" s="0" t="n">
        <f aca="false">IF(ISBLANK(RawFinancials!I608),"",RawFinancials!I608)</f>
        <v>0.610464206022139</v>
      </c>
      <c r="J608" s="0" t="n">
        <f aca="false">IF(ISBLANK(RawFinancials!J608),"",RawFinancials!J608)</f>
        <v>82767</v>
      </c>
      <c r="K608" s="0" t="n">
        <f aca="false">IF(ISBLANK(RawFinancials!K608),"",RawFinancials!K608)</f>
        <v>3225</v>
      </c>
      <c r="L608" s="0" t="n">
        <f aca="false">IF(ISBLANK(RawFinancials!L608),"",RawFinancials!L608)</f>
        <v>1469046</v>
      </c>
      <c r="M608" s="0" t="n">
        <f aca="false">IF(ISBLANK(RawFinancials!M608),"",RawFinancials!M608)</f>
        <v>1460078</v>
      </c>
      <c r="N608" s="0" t="n">
        <f aca="false">IF(ISBLANK(RawFinancials!N608),"",RawFinancials!N608)</f>
        <v>1368497</v>
      </c>
      <c r="O608" s="0" t="n">
        <f aca="false">IF(ISBLANK(RawFinancials!O608),"",RawFinancials!O608)</f>
        <v>4603</v>
      </c>
      <c r="P608" s="0" t="str">
        <f aca="false">IF(ISBLANK(RawFinancials!P608),"",RawFinancials!P608)</f>
        <v>KENNEBEC SAVINGS BANK</v>
      </c>
      <c r="Q608" s="0" t="n">
        <f aca="false">IF(ISBLANK(RawFinancials!Q608),"",RawFinancials!Q608)</f>
        <v>0.313332598162345</v>
      </c>
      <c r="R608" s="0" t="n">
        <f aca="false">IF(ISBLANK(RawFinancials!R608),"",RawFinancials!R608)</f>
        <v>2.4190357229694</v>
      </c>
      <c r="S608" s="0" t="n">
        <f aca="false">IF(ISBLANK(RawFinancials!S608),"",RawFinancials!S608)</f>
        <v>-47</v>
      </c>
      <c r="T608" s="0" t="n">
        <f aca="false">IF(ISBLANK(RawFinancials!T608),"",RawFinancials!T608)</f>
        <v>2581</v>
      </c>
      <c r="U608" s="0" t="n">
        <f aca="false">IF(ISBLANK(RawFinancials!U608),"",RawFinancials!U608)</f>
        <v>0</v>
      </c>
      <c r="V608" s="0" t="n">
        <f aca="false">IF(ISBLANK(RawFinancials!V608),"",RawFinancials!V608)</f>
        <v>17.6014618454454</v>
      </c>
      <c r="W608" s="0" t="n">
        <f aca="false">IF(ISBLANK(RawFinancials!W608),"",RawFinancials!W608)</f>
        <v>20241231</v>
      </c>
      <c r="X608" s="0" t="n">
        <f aca="false">IF(ISBLANK(RawFinancials!X608),"",RawFinancials!X608)</f>
        <v>0.605050213976671</v>
      </c>
      <c r="Y608" s="0" t="n">
        <f aca="false">IF(ISBLANK(RawFinancials!Y608),"",RawFinancials!Y608)</f>
        <v>4.92</v>
      </c>
      <c r="Z608" s="0" t="str">
        <f aca="false">IF(ISBLANK(RawFinancials!Z608),"",RawFinancials!Z608)</f>
        <v>ME</v>
      </c>
      <c r="AA608" s="0" t="n">
        <f aca="false">RawFinancials!AA608</f>
        <v>1</v>
      </c>
      <c r="AB608" s="0" t="n">
        <f aca="false">RawFinancials!AB608</f>
        <v>4603</v>
      </c>
      <c r="AC608" s="0" t="n">
        <f aca="false">RawFinancials!AC608</f>
        <v>0.260797486190991</v>
      </c>
      <c r="AD608" s="0" t="n">
        <f aca="false">IF(L608&gt;0,100*N608/L608,"")</f>
        <v>93.1554900254995</v>
      </c>
      <c r="AE608" s="0" t="n">
        <f aca="false">IF(B608&gt;0,100*F608/B608,"")</f>
        <v>12.2145349696964</v>
      </c>
      <c r="AF608" s="0" t="str">
        <f aca="false">RawFinancials!AE608</f>
        <v/>
      </c>
    </row>
    <row r="609" customFormat="false" ht="15" hidden="false" customHeight="false" outlineLevel="0" collapsed="false">
      <c r="A609" s="0" t="n">
        <f aca="false">IF(ISBLANK(RawFinancials!A609),"",RawFinancials!A609)</f>
        <v>609</v>
      </c>
      <c r="B609" s="0" t="n">
        <f aca="false">IF(ISBLANK(RawFinancials!B609),"",RawFinancials!B609)</f>
        <v>821983</v>
      </c>
      <c r="C609" s="0" t="n">
        <f aca="false">IF(ISBLANK(RawFinancials!C609),"",RawFinancials!C609)</f>
        <v>17951</v>
      </c>
      <c r="D609" s="0" t="n">
        <f aca="false">IF(ISBLANK(RawFinancials!D609),"",RawFinancials!D609)</f>
        <v>701106</v>
      </c>
      <c r="E609" s="0" t="n">
        <f aca="false">IF(ISBLANK(RawFinancials!E609),"",RawFinancials!E609)</f>
        <v>0.05</v>
      </c>
      <c r="F609" s="0" t="n">
        <f aca="false">IF(ISBLANK(RawFinancials!F609),"",RawFinancials!F609)</f>
        <v>65761</v>
      </c>
      <c r="G609" s="0" t="n">
        <f aca="false">IF(ISBLANK(RawFinancials!G609),"",RawFinancials!G609)</f>
        <v>8.00028711056068</v>
      </c>
      <c r="H609" s="0" t="str">
        <f aca="false">IF(ISBLANK(RawFinancials!H609),"",RawFinancials!H609)</f>
        <v>17951_20241231</v>
      </c>
      <c r="I609" s="0" t="n">
        <f aca="false">IF(ISBLANK(RawFinancials!I609),"",RawFinancials!I609)</f>
        <v>0.843453644040226</v>
      </c>
      <c r="J609" s="0" t="n">
        <f aca="false">IF(ISBLANK(RawFinancials!J609),"",RawFinancials!J609)</f>
        <v>30638</v>
      </c>
      <c r="K609" s="0" t="n">
        <f aca="false">IF(ISBLANK(RawFinancials!K609),"",RawFinancials!K609)</f>
        <v>1633</v>
      </c>
      <c r="L609" s="0" t="n">
        <f aca="false">IF(ISBLANK(RawFinancials!L609),"",RawFinancials!L609)</f>
        <v>617817</v>
      </c>
      <c r="M609" s="0" t="n">
        <f aca="false">IF(ISBLANK(RawFinancials!M609),"",RawFinancials!M609)</f>
        <v>612606</v>
      </c>
      <c r="N609" s="0" t="n">
        <f aca="false">IF(ISBLANK(RawFinancials!N609),"",RawFinancials!N609)</f>
        <v>567751</v>
      </c>
      <c r="O609" s="0" t="n">
        <f aca="false">IF(ISBLANK(RawFinancials!O609),"",RawFinancials!O609)</f>
        <v>60</v>
      </c>
      <c r="P609" s="0" t="str">
        <f aca="false">IF(ISBLANK(RawFinancials!P609),"",RawFinancials!P609)</f>
        <v>FRANKLIN SAVINGS BANK</v>
      </c>
      <c r="Q609" s="0" t="n">
        <f aca="false">IF(ISBLANK(RawFinancials!Q609),"",RawFinancials!Q609)</f>
        <v>0.0097116136331632</v>
      </c>
      <c r="R609" s="0" t="n">
        <f aca="false">IF(ISBLANK(RawFinancials!R609),"",RawFinancials!R609)</f>
        <v>2.52070855980255</v>
      </c>
      <c r="S609" s="0" t="n">
        <f aca="false">IF(ISBLANK(RawFinancials!S609),"",RawFinancials!S609)</f>
        <v>-145</v>
      </c>
      <c r="T609" s="0" t="n">
        <f aca="false">IF(ISBLANK(RawFinancials!T609),"",RawFinancials!T609)</f>
        <v>75</v>
      </c>
      <c r="U609" s="0" t="n">
        <f aca="false">IF(ISBLANK(RawFinancials!U609),"",RawFinancials!U609)</f>
        <v>0</v>
      </c>
      <c r="V609" s="0" t="n">
        <f aca="false">IF(ISBLANK(RawFinancials!V609),"",RawFinancials!V609)</f>
        <v>14.1464151450054</v>
      </c>
      <c r="W609" s="0" t="n">
        <f aca="false">IF(ISBLANK(RawFinancials!W609),"",RawFinancials!W609)</f>
        <v>20241231</v>
      </c>
      <c r="X609" s="0" t="n">
        <f aca="false">IF(ISBLANK(RawFinancials!X609),"",RawFinancials!X609)</f>
        <v>0.486473579798404</v>
      </c>
      <c r="Y609" s="0" t="n">
        <f aca="false">IF(ISBLANK(RawFinancials!Y609),"",RawFinancials!Y609)</f>
        <v>6.12</v>
      </c>
      <c r="Z609" s="0" t="str">
        <f aca="false">IF(ISBLANK(RawFinancials!Z609),"",RawFinancials!Z609)</f>
        <v>NH</v>
      </c>
      <c r="AA609" s="0" t="n">
        <f aca="false">RawFinancials!AA609</f>
        <v>1</v>
      </c>
      <c r="AB609" s="0" t="n">
        <f aca="false">RawFinancials!AB609</f>
        <v>60</v>
      </c>
      <c r="AC609" s="0" t="n">
        <f aca="false">RawFinancials!AC609</f>
        <v>0.00729942103425497</v>
      </c>
      <c r="AD609" s="0" t="n">
        <f aca="false">IF(L609&gt;0,100*N609/L609,"")</f>
        <v>91.8963058640342</v>
      </c>
      <c r="AE609" s="0" t="n">
        <f aca="false">IF(B609&gt;0,100*F609/B609,"")</f>
        <v>8.00028711056068</v>
      </c>
      <c r="AF609" s="0" t="str">
        <f aca="false">RawFinancials!AE609</f>
        <v/>
      </c>
    </row>
    <row r="610" customFormat="false" ht="15" hidden="false" customHeight="false" outlineLevel="0" collapsed="false">
      <c r="A610" s="0" t="n">
        <f aca="false">IF(ISBLANK(RawFinancials!A610),"",RawFinancials!A610)</f>
        <v>610</v>
      </c>
      <c r="B610" s="0" t="n">
        <f aca="false">IF(ISBLANK(RawFinancials!B610),"",RawFinancials!B610)</f>
        <v>1353925</v>
      </c>
      <c r="C610" s="0" t="n">
        <f aca="false">IF(ISBLANK(RawFinancials!C610),"",RawFinancials!C610)</f>
        <v>17960</v>
      </c>
      <c r="D610" s="0" t="n">
        <f aca="false">IF(ISBLANK(RawFinancials!D610),"",RawFinancials!D610)</f>
        <v>1120519</v>
      </c>
      <c r="E610" s="0" t="n">
        <f aca="false">IF(ISBLANK(RawFinancials!E610),"",RawFinancials!E610)</f>
        <v>0.31</v>
      </c>
      <c r="F610" s="0" t="n">
        <f aca="false">IF(ISBLANK(RawFinancials!F610),"",RawFinancials!F610)</f>
        <v>115328</v>
      </c>
      <c r="G610" s="0" t="n">
        <f aca="false">IF(ISBLANK(RawFinancials!G610),"",RawFinancials!G610)</f>
        <v>8.51804937496538</v>
      </c>
      <c r="H610" s="0" t="str">
        <f aca="false">IF(ISBLANK(RawFinancials!H610),"",RawFinancials!H610)</f>
        <v>17960_20241231</v>
      </c>
      <c r="I610" s="0" t="n">
        <f aca="false">IF(ISBLANK(RawFinancials!I610),"",RawFinancials!I610)</f>
        <v>1.06783990571441</v>
      </c>
      <c r="J610" s="0" t="n">
        <f aca="false">IF(ISBLANK(RawFinancials!J610),"",RawFinancials!J610)</f>
        <v>100058</v>
      </c>
      <c r="K610" s="0" t="n">
        <f aca="false">IF(ISBLANK(RawFinancials!K610),"",RawFinancials!K610)</f>
        <v>223027</v>
      </c>
      <c r="L610" s="0" t="n">
        <f aca="false">IF(ISBLANK(RawFinancials!L610),"",RawFinancials!L610)</f>
        <v>1150547</v>
      </c>
      <c r="M610" s="0" t="n">
        <f aca="false">IF(ISBLANK(RawFinancials!M610),"",RawFinancials!M610)</f>
        <v>1138261</v>
      </c>
      <c r="N610" s="0" t="n">
        <f aca="false">IF(ISBLANK(RawFinancials!N610),"",RawFinancials!N610)</f>
        <v>823641</v>
      </c>
      <c r="O610" s="0" t="n">
        <f aca="false">IF(ISBLANK(RawFinancials!O610),"",RawFinancials!O610)</f>
        <v>7247</v>
      </c>
      <c r="P610" s="0" t="str">
        <f aca="false">IF(ISBLANK(RawFinancials!P610),"",RawFinancials!P610)</f>
        <v>MERRIMACK COUNTY SAVINGS BANK</v>
      </c>
      <c r="Q610" s="0" t="n">
        <f aca="false">IF(ISBLANK(RawFinancials!Q610),"",RawFinancials!Q610)</f>
        <v>0.629874311957704</v>
      </c>
      <c r="R610" s="0" t="n">
        <f aca="false">IF(ISBLANK(RawFinancials!R610),"",RawFinancials!R610)</f>
        <v>2.75862196308081</v>
      </c>
      <c r="S610" s="0" t="n">
        <f aca="false">IF(ISBLANK(RawFinancials!S610),"",RawFinancials!S610)</f>
        <v>3353</v>
      </c>
      <c r="T610" s="0" t="n">
        <f aca="false">IF(ISBLANK(RawFinancials!T610),"",RawFinancials!T610)</f>
        <v>7584</v>
      </c>
      <c r="U610" s="0" t="n">
        <f aca="false">IF(ISBLANK(RawFinancials!U610),"",RawFinancials!U610)</f>
        <v>0</v>
      </c>
      <c r="V610" s="0" t="n">
        <f aca="false">IF(ISBLANK(RawFinancials!V610),"",RawFinancials!V610)</f>
        <v>13.6907933076507</v>
      </c>
      <c r="W610" s="0" t="n">
        <f aca="false">IF(ISBLANK(RawFinancials!W610),"",RawFinancials!W610)</f>
        <v>20241231</v>
      </c>
      <c r="X610" s="0" t="n">
        <f aca="false">IF(ISBLANK(RawFinancials!X610),"",RawFinancials!X610)</f>
        <v>0.226999833475026</v>
      </c>
      <c r="Y610" s="0" t="n">
        <f aca="false">IF(ISBLANK(RawFinancials!Y610),"",RawFinancials!Y610)</f>
        <v>2.7</v>
      </c>
      <c r="Z610" s="0" t="str">
        <f aca="false">IF(ISBLANK(RawFinancials!Z610),"",RawFinancials!Z610)</f>
        <v>NH</v>
      </c>
      <c r="AA610" s="0" t="n">
        <f aca="false">RawFinancials!AA610</f>
        <v>1</v>
      </c>
      <c r="AB610" s="0" t="n">
        <f aca="false">RawFinancials!AB610</f>
        <v>7247</v>
      </c>
      <c r="AC610" s="0" t="n">
        <f aca="false">RawFinancials!AC610</f>
        <v>0.535258599996307</v>
      </c>
      <c r="AD610" s="0" t="n">
        <f aca="false">IF(L610&gt;0,100*N610/L610,"")</f>
        <v>71.5869060542507</v>
      </c>
      <c r="AE610" s="0" t="n">
        <f aca="false">IF(B610&gt;0,100*F610/B610,"")</f>
        <v>8.51804937496538</v>
      </c>
      <c r="AF610" s="0" t="str">
        <f aca="false">RawFinancials!AE610</f>
        <v/>
      </c>
    </row>
    <row r="611" customFormat="false" ht="15" hidden="false" customHeight="false" outlineLevel="0" collapsed="false">
      <c r="A611" s="0" t="n">
        <f aca="false">IF(ISBLANK(RawFinancials!A611),"",RawFinancials!A611)</f>
        <v>611</v>
      </c>
      <c r="B611" s="0" t="n">
        <f aca="false">IF(ISBLANK(RawFinancials!B611),"",RawFinancials!B611)</f>
        <v>2624175</v>
      </c>
      <c r="C611" s="0" t="n">
        <f aca="false">IF(ISBLANK(RawFinancials!C611),"",RawFinancials!C611)</f>
        <v>18012</v>
      </c>
      <c r="D611" s="0" t="n">
        <f aca="false">IF(ISBLANK(RawFinancials!D611),"",RawFinancials!D611)</f>
        <v>2255597</v>
      </c>
      <c r="E611" s="0" t="n">
        <f aca="false">IF(ISBLANK(RawFinancials!E611),"",RawFinancials!E611)</f>
        <v>0.04</v>
      </c>
      <c r="F611" s="0" t="n">
        <f aca="false">IF(ISBLANK(RawFinancials!F611),"",RawFinancials!F611)</f>
        <v>284572</v>
      </c>
      <c r="G611" s="0" t="n">
        <f aca="false">IF(ISBLANK(RawFinancials!G611),"",RawFinancials!G611)</f>
        <v>10.8442462869283</v>
      </c>
      <c r="H611" s="0" t="str">
        <f aca="false">IF(ISBLANK(RawFinancials!H611),"",RawFinancials!H611)</f>
        <v>18012_20241231</v>
      </c>
      <c r="I611" s="0" t="n">
        <f aca="false">IF(ISBLANK(RawFinancials!I611),"",RawFinancials!I611)</f>
        <v>1.17516586292422</v>
      </c>
      <c r="J611" s="0" t="n">
        <f aca="false">IF(ISBLANK(RawFinancials!J611),"",RawFinancials!J611)</f>
        <v>49333</v>
      </c>
      <c r="K611" s="0" t="n">
        <f aca="false">IF(ISBLANK(RawFinancials!K611),"",RawFinancials!K611)</f>
        <v>27667</v>
      </c>
      <c r="L611" s="0" t="n">
        <f aca="false">IF(ISBLANK(RawFinancials!L611),"",RawFinancials!L611)</f>
        <v>2093747</v>
      </c>
      <c r="M611" s="0" t="n">
        <f aca="false">IF(ISBLANK(RawFinancials!M611),"",RawFinancials!M611)</f>
        <v>2069142</v>
      </c>
      <c r="N611" s="0" t="n">
        <f aca="false">IF(ISBLANK(RawFinancials!N611),"",RawFinancials!N611)</f>
        <v>1993083</v>
      </c>
      <c r="O611" s="0" t="n">
        <f aca="false">IF(ISBLANK(RawFinancials!O611),"",RawFinancials!O611)</f>
        <v>1092</v>
      </c>
      <c r="P611" s="0" t="str">
        <f aca="false">IF(ISBLANK(RawFinancials!P611),"",RawFinancials!P611)</f>
        <v>BANK OF NEW HAMPSHIRE</v>
      </c>
      <c r="Q611" s="0" t="n">
        <f aca="false">IF(ISBLANK(RawFinancials!Q611),"",RawFinancials!Q611)</f>
        <v>0.0521552986105771</v>
      </c>
      <c r="R611" s="0" t="n">
        <f aca="false">IF(ISBLANK(RawFinancials!R611),"",RawFinancials!R611)</f>
        <v>2.72584646895489</v>
      </c>
      <c r="S611" s="0" t="n">
        <f aca="false">IF(ISBLANK(RawFinancials!S611),"",RawFinancials!S611)</f>
        <v>111</v>
      </c>
      <c r="T611" s="0" t="n">
        <f aca="false">IF(ISBLANK(RawFinancials!T611),"",RawFinancials!T611)</f>
        <v>1990</v>
      </c>
      <c r="U611" s="0" t="n">
        <f aca="false">IF(ISBLANK(RawFinancials!U611),"",RawFinancials!U611)</f>
        <v>0</v>
      </c>
      <c r="V611" s="0" t="n">
        <f aca="false">IF(ISBLANK(RawFinancials!V611),"",RawFinancials!V611)</f>
        <v>14.0447992781927</v>
      </c>
      <c r="W611" s="0" t="n">
        <f aca="false">IF(ISBLANK(RawFinancials!W611),"",RawFinancials!W611)</f>
        <v>20241231</v>
      </c>
      <c r="X611" s="0" t="n">
        <f aca="false">IF(ISBLANK(RawFinancials!X611),"",RawFinancials!X611)</f>
        <v>0.664292610658148</v>
      </c>
      <c r="Y611" s="0" t="n">
        <f aca="false">IF(ISBLANK(RawFinancials!Y611),"",RawFinancials!Y611)</f>
        <v>6.1</v>
      </c>
      <c r="Z611" s="0" t="str">
        <f aca="false">IF(ISBLANK(RawFinancials!Z611),"",RawFinancials!Z611)</f>
        <v>NH</v>
      </c>
      <c r="AA611" s="0" t="n">
        <f aca="false">RawFinancials!AA611</f>
        <v>1</v>
      </c>
      <c r="AB611" s="0" t="n">
        <f aca="false">RawFinancials!AB611</f>
        <v>1092</v>
      </c>
      <c r="AC611" s="0" t="n">
        <f aca="false">RawFinancials!AC611</f>
        <v>0.0416130783960673</v>
      </c>
      <c r="AD611" s="0" t="n">
        <f aca="false">IF(L611&gt;0,100*N611/L611,"")</f>
        <v>95.1921602753341</v>
      </c>
      <c r="AE611" s="0" t="n">
        <f aca="false">IF(B611&gt;0,100*F611/B611,"")</f>
        <v>10.8442462869283</v>
      </c>
      <c r="AF611" s="0" t="str">
        <f aca="false">RawFinancials!AE611</f>
        <v/>
      </c>
    </row>
    <row r="612" customFormat="false" ht="15" hidden="false" customHeight="false" outlineLevel="0" collapsed="false">
      <c r="A612" s="0" t="n">
        <f aca="false">IF(ISBLANK(RawFinancials!A612),"",RawFinancials!A612)</f>
        <v>612</v>
      </c>
      <c r="B612" s="0" t="n">
        <f aca="false">IF(ISBLANK(RawFinancials!B612),"",RawFinancials!B612)</f>
        <v>2917813</v>
      </c>
      <c r="C612" s="0" t="n">
        <f aca="false">IF(ISBLANK(RawFinancials!C612),"",RawFinancials!C612)</f>
        <v>18013</v>
      </c>
      <c r="D612" s="0" t="n">
        <f aca="false">IF(ISBLANK(RawFinancials!D612),"",RawFinancials!D612)</f>
        <v>2614357</v>
      </c>
      <c r="E612" s="0" t="n">
        <f aca="false">IF(ISBLANK(RawFinancials!E612),"",RawFinancials!E612)</f>
        <v>0.04</v>
      </c>
      <c r="F612" s="0" t="n">
        <f aca="false">IF(ISBLANK(RawFinancials!F612),"",RawFinancials!F612)</f>
        <v>228244</v>
      </c>
      <c r="G612" s="0" t="n">
        <f aca="false">IF(ISBLANK(RawFinancials!G612),"",RawFinancials!G612)</f>
        <v>7.82243413131685</v>
      </c>
      <c r="H612" s="0" t="str">
        <f aca="false">IF(ISBLANK(RawFinancials!H612),"",RawFinancials!H612)</f>
        <v>18013_20241231</v>
      </c>
      <c r="I612" s="0" t="n">
        <f aca="false">IF(ISBLANK(RawFinancials!I612),"",RawFinancials!I612)</f>
        <v>0.723355329550691</v>
      </c>
      <c r="J612" s="0" t="n">
        <f aca="false">IF(ISBLANK(RawFinancials!J612),"",RawFinancials!J612)</f>
        <v>116248</v>
      </c>
      <c r="K612" s="0" t="n">
        <f aca="false">IF(ISBLANK(RawFinancials!K612),"",RawFinancials!K612)</f>
        <v>23931</v>
      </c>
      <c r="L612" s="0" t="n">
        <f aca="false">IF(ISBLANK(RawFinancials!L612),"",RawFinancials!L612)</f>
        <v>2432691</v>
      </c>
      <c r="M612" s="0" t="n">
        <f aca="false">IF(ISBLANK(RawFinancials!M612),"",RawFinancials!M612)</f>
        <v>2415094</v>
      </c>
      <c r="N612" s="0" t="n">
        <f aca="false">IF(ISBLANK(RawFinancials!N612),"",RawFinancials!N612)</f>
        <v>2216800</v>
      </c>
      <c r="O612" s="0" t="n">
        <f aca="false">IF(ISBLANK(RawFinancials!O612),"",RawFinancials!O612)</f>
        <v>2327</v>
      </c>
      <c r="P612" s="0" t="str">
        <f aca="false">IF(ISBLANK(RawFinancials!P612),"",RawFinancials!P612)</f>
        <v>MASCOMA BANK</v>
      </c>
      <c r="Q612" s="0" t="n">
        <f aca="false">IF(ISBLANK(RawFinancials!Q612),"",RawFinancials!Q612)</f>
        <v>0.100917050295331</v>
      </c>
      <c r="R612" s="0" t="n">
        <f aca="false">IF(ISBLANK(RawFinancials!R612),"",RawFinancials!R612)</f>
        <v>2.50092550283017</v>
      </c>
      <c r="S612" s="0" t="n">
        <f aca="false">IF(ISBLANK(RawFinancials!S612),"",RawFinancials!S612)</f>
        <v>460</v>
      </c>
      <c r="T612" s="0" t="n">
        <f aca="false">IF(ISBLANK(RawFinancials!T612),"",RawFinancials!T612)</f>
        <v>5516</v>
      </c>
      <c r="U612" s="0" t="n">
        <f aca="false">IF(ISBLANK(RawFinancials!U612),"",RawFinancials!U612)</f>
        <v>128</v>
      </c>
      <c r="V612" s="0" t="n">
        <f aca="false">IF(ISBLANK(RawFinancials!V612),"",RawFinancials!V612)</f>
        <v>12.4949322507426</v>
      </c>
      <c r="W612" s="0" t="n">
        <f aca="false">IF(ISBLANK(RawFinancials!W612),"",RawFinancials!W612)</f>
        <v>20241231</v>
      </c>
      <c r="X612" s="0" t="n">
        <f aca="false">IF(ISBLANK(RawFinancials!X612),"",RawFinancials!X612)</f>
        <v>0.223627200302554</v>
      </c>
      <c r="Y612" s="0" t="n">
        <f aca="false">IF(ISBLANK(RawFinancials!Y612),"",RawFinancials!Y612)</f>
        <v>2.9</v>
      </c>
      <c r="Z612" s="0" t="str">
        <f aca="false">IF(ISBLANK(RawFinancials!Z612),"",RawFinancials!Z612)</f>
        <v>NH</v>
      </c>
      <c r="AA612" s="0" t="n">
        <f aca="false">RawFinancials!AA612</f>
        <v>1</v>
      </c>
      <c r="AB612" s="0" t="n">
        <f aca="false">RawFinancials!AB612</f>
        <v>2455</v>
      </c>
      <c r="AC612" s="0" t="n">
        <f aca="false">RawFinancials!AC612</f>
        <v>0.0841383597920771</v>
      </c>
      <c r="AD612" s="0" t="n">
        <f aca="false">IF(L612&gt;0,100*N612/L612,"")</f>
        <v>91.1254244784891</v>
      </c>
      <c r="AE612" s="0" t="n">
        <f aca="false">IF(B612&gt;0,100*F612/B612,"")</f>
        <v>7.82243413131685</v>
      </c>
      <c r="AF612" s="0" t="str">
        <f aca="false">RawFinancials!AE612</f>
        <v/>
      </c>
    </row>
    <row r="613" customFormat="false" ht="15" hidden="false" customHeight="false" outlineLevel="0" collapsed="false">
      <c r="A613" s="0" t="n">
        <f aca="false">IF(ISBLANK(RawFinancials!A613),"",RawFinancials!A613)</f>
        <v>613</v>
      </c>
      <c r="B613" s="0" t="n">
        <f aca="false">IF(ISBLANK(RawFinancials!B613),"",RawFinancials!B613)</f>
        <v>402051</v>
      </c>
      <c r="C613" s="0" t="n">
        <f aca="false">IF(ISBLANK(RawFinancials!C613),"",RawFinancials!C613)</f>
        <v>18028</v>
      </c>
      <c r="D613" s="0" t="n">
        <f aca="false">IF(ISBLANK(RawFinancials!D613),"",RawFinancials!D613)</f>
        <v>341523</v>
      </c>
      <c r="E613" s="0" t="n">
        <f aca="false">IF(ISBLANK(RawFinancials!E613),"",RawFinancials!E613)</f>
        <v>0.1</v>
      </c>
      <c r="F613" s="0" t="n">
        <f aca="false">IF(ISBLANK(RawFinancials!F613),"",RawFinancials!F613)</f>
        <v>42186</v>
      </c>
      <c r="G613" s="0" t="n">
        <f aca="false">IF(ISBLANK(RawFinancials!G613),"",RawFinancials!G613)</f>
        <v>10.4926986874799</v>
      </c>
      <c r="H613" s="0" t="str">
        <f aca="false">IF(ISBLANK(RawFinancials!H613),"",RawFinancials!H613)</f>
        <v>18028_20241231</v>
      </c>
      <c r="I613" s="0" t="n">
        <f aca="false">IF(ISBLANK(RawFinancials!I613),"",RawFinancials!I613)</f>
        <v>0.821394186891336</v>
      </c>
      <c r="J613" s="0" t="n">
        <f aca="false">IF(ISBLANK(RawFinancials!J613),"",RawFinancials!J613)</f>
        <v>13467</v>
      </c>
      <c r="K613" s="0" t="n">
        <f aca="false">IF(ISBLANK(RawFinancials!K613),"",RawFinancials!K613)</f>
        <v>5649</v>
      </c>
      <c r="L613" s="0" t="n">
        <f aca="false">IF(ISBLANK(RawFinancials!L613),"",RawFinancials!L613)</f>
        <v>279403</v>
      </c>
      <c r="M613" s="0" t="n">
        <f aca="false">IF(ISBLANK(RawFinancials!M613),"",RawFinancials!M613)</f>
        <v>277108</v>
      </c>
      <c r="N613" s="0" t="n">
        <f aca="false">IF(ISBLANK(RawFinancials!N613),"",RawFinancials!N613)</f>
        <v>254756</v>
      </c>
      <c r="O613" s="0" t="n">
        <f aca="false">IF(ISBLANK(RawFinancials!O613),"",RawFinancials!O613)</f>
        <v>888</v>
      </c>
      <c r="P613" s="0" t="str">
        <f aca="false">IF(ISBLANK(RawFinancials!P613),"",RawFinancials!P613)</f>
        <v>SUGAR RIVER BANK</v>
      </c>
      <c r="Q613" s="0" t="n">
        <f aca="false">IF(ISBLANK(RawFinancials!Q613),"",RawFinancials!Q613)</f>
        <v>0.383317287215957</v>
      </c>
      <c r="R613" s="0" t="n">
        <f aca="false">IF(ISBLANK(RawFinancials!R613),"",RawFinancials!R613)</f>
        <v>3.28972183764193</v>
      </c>
      <c r="S613" s="0" t="n">
        <f aca="false">IF(ISBLANK(RawFinancials!S613),"",RawFinancials!S613)</f>
        <v>452</v>
      </c>
      <c r="T613" s="0" t="n">
        <f aca="false">IF(ISBLANK(RawFinancials!T613),"",RawFinancials!T613)</f>
        <v>2095</v>
      </c>
      <c r="U613" s="0" t="n">
        <f aca="false">IF(ISBLANK(RawFinancials!U613),"",RawFinancials!U613)</f>
        <v>183</v>
      </c>
      <c r="V613" s="0" t="n">
        <f aca="false">IF(ISBLANK(RawFinancials!V613),"",RawFinancials!V613)</f>
        <v>0</v>
      </c>
      <c r="W613" s="0" t="n">
        <f aca="false">IF(ISBLANK(RawFinancials!W613),"",RawFinancials!W613)</f>
        <v>20241231</v>
      </c>
      <c r="X613" s="0" t="n">
        <f aca="false">IF(ISBLANK(RawFinancials!X613),"",RawFinancials!X613)</f>
        <v>0.42743103911897</v>
      </c>
      <c r="Y613" s="0" t="n">
        <f aca="false">IF(ISBLANK(RawFinancials!Y613),"",RawFinancials!Y613)</f>
        <v>4.1</v>
      </c>
      <c r="Z613" s="0" t="str">
        <f aca="false">IF(ISBLANK(RawFinancials!Z613),"",RawFinancials!Z613)</f>
        <v>NH</v>
      </c>
      <c r="AA613" s="0" t="n">
        <f aca="false">RawFinancials!AA613</f>
        <v>1</v>
      </c>
      <c r="AB613" s="0" t="n">
        <f aca="false">RawFinancials!AB613</f>
        <v>1071</v>
      </c>
      <c r="AC613" s="0" t="n">
        <f aca="false">RawFinancials!AC613</f>
        <v>0.26638411544804</v>
      </c>
      <c r="AD613" s="0" t="n">
        <f aca="false">IF(L613&gt;0,100*N613/L613,"")</f>
        <v>91.17869171054</v>
      </c>
      <c r="AE613" s="0" t="n">
        <f aca="false">IF(B613&gt;0,100*F613/B613,"")</f>
        <v>10.4926986874799</v>
      </c>
      <c r="AF613" s="0" t="str">
        <f aca="false">RawFinancials!AE613</f>
        <v>原始0：需核实适用/报告口径</v>
      </c>
    </row>
    <row r="614" customFormat="false" ht="15" hidden="false" customHeight="false" outlineLevel="0" collapsed="false">
      <c r="A614" s="0" t="n">
        <f aca="false">IF(ISBLANK(RawFinancials!A614),"",RawFinancials!A614)</f>
        <v>614</v>
      </c>
      <c r="B614" s="0" t="n">
        <f aca="false">IF(ISBLANK(RawFinancials!B614),"",RawFinancials!B614)</f>
        <v>777879</v>
      </c>
      <c r="C614" s="0" t="n">
        <f aca="false">IF(ISBLANK(RawFinancials!C614),"",RawFinancials!C614)</f>
        <v>18030</v>
      </c>
      <c r="D614" s="0" t="n">
        <f aca="false">IF(ISBLANK(RawFinancials!D614),"",RawFinancials!D614)</f>
        <v>716969</v>
      </c>
      <c r="E614" s="0" t="n">
        <f aca="false">IF(ISBLANK(RawFinancials!E614),"",RawFinancials!E614)</f>
        <v>0.01</v>
      </c>
      <c r="F614" s="0" t="n">
        <f aca="false">IF(ISBLANK(RawFinancials!F614),"",RawFinancials!F614)</f>
        <v>53665</v>
      </c>
      <c r="G614" s="0" t="n">
        <f aca="false">IF(ISBLANK(RawFinancials!G614),"",RawFinancials!G614)</f>
        <v>6.89888787330677</v>
      </c>
      <c r="H614" s="0" t="str">
        <f aca="false">IF(ISBLANK(RawFinancials!H614),"",RawFinancials!H614)</f>
        <v>18030_20241231</v>
      </c>
      <c r="I614" s="0" t="n">
        <f aca="false">IF(ISBLANK(RawFinancials!I614),"",RawFinancials!I614)</f>
        <v>0.986853239640664</v>
      </c>
      <c r="J614" s="0" t="n">
        <f aca="false">IF(ISBLANK(RawFinancials!J614),"",RawFinancials!J614)</f>
        <v>39526</v>
      </c>
      <c r="K614" s="0" t="n">
        <f aca="false">IF(ISBLANK(RawFinancials!K614),"",RawFinancials!K614)</f>
        <v>96186</v>
      </c>
      <c r="L614" s="0" t="n">
        <f aca="false">IF(ISBLANK(RawFinancials!L614),"",RawFinancials!L614)</f>
        <v>590868</v>
      </c>
      <c r="M614" s="0" t="n">
        <f aca="false">IF(ISBLANK(RawFinancials!M614),"",RawFinancials!M614)</f>
        <v>585037</v>
      </c>
      <c r="N614" s="0" t="n">
        <f aca="false">IF(ISBLANK(RawFinancials!N614),"",RawFinancials!N614)</f>
        <v>455091</v>
      </c>
      <c r="O614" s="0" t="n">
        <f aca="false">IF(ISBLANK(RawFinancials!O614),"",RawFinancials!O614)</f>
        <v>2023</v>
      </c>
      <c r="P614" s="0" t="str">
        <f aca="false">IF(ISBLANK(RawFinancials!P614),"",RawFinancials!P614)</f>
        <v>SAVINGS BANK OF WALPOLE</v>
      </c>
      <c r="Q614" s="0" t="n">
        <f aca="false">IF(ISBLANK(RawFinancials!Q614),"",RawFinancials!Q614)</f>
        <v>0.34237765456921</v>
      </c>
      <c r="R614" s="0" t="n">
        <f aca="false">IF(ISBLANK(RawFinancials!R614),"",RawFinancials!R614)</f>
        <v>3.45390929733845</v>
      </c>
      <c r="S614" s="0" t="n">
        <f aca="false">IF(ISBLANK(RawFinancials!S614),"",RawFinancials!S614)</f>
        <v>140</v>
      </c>
      <c r="T614" s="0" t="n">
        <f aca="false">IF(ISBLANK(RawFinancials!T614),"",RawFinancials!T614)</f>
        <v>1966</v>
      </c>
      <c r="U614" s="0" t="n">
        <f aca="false">IF(ISBLANK(RawFinancials!U614),"",RawFinancials!U614)</f>
        <v>0</v>
      </c>
      <c r="V614" s="0" t="n">
        <f aca="false">IF(ISBLANK(RawFinancials!V614),"",RawFinancials!V614)</f>
        <v>13.9987096172383</v>
      </c>
      <c r="W614" s="0" t="n">
        <f aca="false">IF(ISBLANK(RawFinancials!W614),"",RawFinancials!W614)</f>
        <v>20241231</v>
      </c>
      <c r="X614" s="0" t="n">
        <f aca="false">IF(ISBLANK(RawFinancials!X614),"",RawFinancials!X614)</f>
        <v>0.707871330531473</v>
      </c>
      <c r="Y614" s="0" t="n">
        <f aca="false">IF(ISBLANK(RawFinancials!Y614),"",RawFinancials!Y614)</f>
        <v>10.52</v>
      </c>
      <c r="Z614" s="0" t="str">
        <f aca="false">IF(ISBLANK(RawFinancials!Z614),"",RawFinancials!Z614)</f>
        <v>NH</v>
      </c>
      <c r="AA614" s="0" t="n">
        <f aca="false">RawFinancials!AA614</f>
        <v>1</v>
      </c>
      <c r="AB614" s="0" t="n">
        <f aca="false">RawFinancials!AB614</f>
        <v>2023</v>
      </c>
      <c r="AC614" s="0" t="n">
        <f aca="false">RawFinancials!AC614</f>
        <v>0.26006615424764</v>
      </c>
      <c r="AD614" s="0" t="n">
        <f aca="false">IF(L614&gt;0,100*N614/L614,"")</f>
        <v>77.0207559048722</v>
      </c>
      <c r="AE614" s="0" t="n">
        <f aca="false">IF(B614&gt;0,100*F614/B614,"")</f>
        <v>6.89888787330677</v>
      </c>
      <c r="AF614" s="0" t="str">
        <f aca="false">RawFinancials!AE614</f>
        <v/>
      </c>
    </row>
    <row r="615" customFormat="false" ht="15" hidden="false" customHeight="false" outlineLevel="0" collapsed="false">
      <c r="A615" s="0" t="n">
        <f aca="false">IF(ISBLANK(RawFinancials!A615),"",RawFinancials!A615)</f>
        <v>615</v>
      </c>
      <c r="B615" s="0" t="n">
        <f aca="false">IF(ISBLANK(RawFinancials!B615),"",RawFinancials!B615)</f>
        <v>675378</v>
      </c>
      <c r="C615" s="0" t="n">
        <f aca="false">IF(ISBLANK(RawFinancials!C615),"",RawFinancials!C615)</f>
        <v>18031</v>
      </c>
      <c r="D615" s="0" t="n">
        <f aca="false">IF(ISBLANK(RawFinancials!D615),"",RawFinancials!D615)</f>
        <v>530034</v>
      </c>
      <c r="E615" s="0" t="n">
        <f aca="false">IF(ISBLANK(RawFinancials!E615),"",RawFinancials!E615)</f>
        <v>-0.03</v>
      </c>
      <c r="F615" s="0" t="n">
        <f aca="false">IF(ISBLANK(RawFinancials!F615),"",RawFinancials!F615)</f>
        <v>38022</v>
      </c>
      <c r="G615" s="0" t="n">
        <f aca="false">IF(ISBLANK(RawFinancials!G615),"",RawFinancials!G615)</f>
        <v>5.6297362365964</v>
      </c>
      <c r="H615" s="0" t="str">
        <f aca="false">IF(ISBLANK(RawFinancials!H615),"",RawFinancials!H615)</f>
        <v>18031_20241231</v>
      </c>
      <c r="I615" s="0" t="n">
        <f aca="false">IF(ISBLANK(RawFinancials!I615),"",RawFinancials!I615)</f>
        <v>0.80094023418796</v>
      </c>
      <c r="J615" s="0" t="n">
        <f aca="false">IF(ISBLANK(RawFinancials!J615),"",RawFinancials!J615)</f>
        <v>21100</v>
      </c>
      <c r="K615" s="0" t="n">
        <f aca="false">IF(ISBLANK(RawFinancials!K615),"",RawFinancials!K615)</f>
        <v>8372</v>
      </c>
      <c r="L615" s="0" t="n">
        <f aca="false">IF(ISBLANK(RawFinancials!L615),"",RawFinancials!L615)</f>
        <v>459460</v>
      </c>
      <c r="M615" s="0" t="n">
        <f aca="false">IF(ISBLANK(RawFinancials!M615),"",RawFinancials!M615)</f>
        <v>455780</v>
      </c>
      <c r="N615" s="0" t="n">
        <f aca="false">IF(ISBLANK(RawFinancials!N615),"",RawFinancials!N615)</f>
        <v>420845</v>
      </c>
      <c r="O615" s="0" t="n">
        <f aca="false">IF(ISBLANK(RawFinancials!O615),"",RawFinancials!O615)</f>
        <v>884</v>
      </c>
      <c r="P615" s="0" t="str">
        <f aca="false">IF(ISBLANK(RawFinancials!P615),"",RawFinancials!P615)</f>
        <v>WOODSVILLE GUARANTY SAVINGS BANK</v>
      </c>
      <c r="Q615" s="0" t="n">
        <f aca="false">IF(ISBLANK(RawFinancials!Q615),"",RawFinancials!Q615)</f>
        <v>0.192399773647325</v>
      </c>
      <c r="R615" s="0" t="n">
        <f aca="false">IF(ISBLANK(RawFinancials!R615),"",RawFinancials!R615)</f>
        <v>2.64504242347564</v>
      </c>
      <c r="S615" s="0" t="n">
        <f aca="false">IF(ISBLANK(RawFinancials!S615),"",RawFinancials!S615)</f>
        <v>132</v>
      </c>
      <c r="T615" s="0" t="n">
        <f aca="false">IF(ISBLANK(RawFinancials!T615),"",RawFinancials!T615)</f>
        <v>1775</v>
      </c>
      <c r="U615" s="0" t="n">
        <f aca="false">IF(ISBLANK(RawFinancials!U615),"",RawFinancials!U615)</f>
        <v>0</v>
      </c>
      <c r="V615" s="0" t="n">
        <f aca="false">IF(ISBLANK(RawFinancials!V615),"",RawFinancials!V615)</f>
        <v>17.0941348626103</v>
      </c>
      <c r="W615" s="0" t="n">
        <f aca="false">IF(ISBLANK(RawFinancials!W615),"",RawFinancials!W615)</f>
        <v>20241231</v>
      </c>
      <c r="X615" s="0" t="n">
        <f aca="false">IF(ISBLANK(RawFinancials!X615),"",RawFinancials!X615)</f>
        <v>0.427144160043588</v>
      </c>
      <c r="Y615" s="0" t="n">
        <f aca="false">IF(ISBLANK(RawFinancials!Y615),"",RawFinancials!Y615)</f>
        <v>7.57</v>
      </c>
      <c r="Z615" s="0" t="str">
        <f aca="false">IF(ISBLANK(RawFinancials!Z615),"",RawFinancials!Z615)</f>
        <v>NH</v>
      </c>
      <c r="AA615" s="0" t="n">
        <f aca="false">RawFinancials!AA615</f>
        <v>1</v>
      </c>
      <c r="AB615" s="0" t="n">
        <f aca="false">RawFinancials!AB615</f>
        <v>884</v>
      </c>
      <c r="AC615" s="0" t="n">
        <f aca="false">RawFinancials!AC615</f>
        <v>0.130889664750703</v>
      </c>
      <c r="AD615" s="0" t="n">
        <f aca="false">IF(L615&gt;0,100*N615/L615,"")</f>
        <v>91.5955687110956</v>
      </c>
      <c r="AE615" s="0" t="n">
        <f aca="false">IF(B615&gt;0,100*F615/B615,"")</f>
        <v>5.6297362365964</v>
      </c>
      <c r="AF615" s="0" t="str">
        <f aca="false">RawFinancials!AE615</f>
        <v/>
      </c>
    </row>
    <row r="616" customFormat="false" ht="15" hidden="false" customHeight="false" outlineLevel="0" collapsed="false">
      <c r="A616" s="0" t="n">
        <f aca="false">IF(ISBLANK(RawFinancials!A616),"",RawFinancials!A616)</f>
        <v>616</v>
      </c>
      <c r="B616" s="0" t="n">
        <f aca="false">IF(ISBLANK(RawFinancials!B616),"",RawFinancials!B616)</f>
        <v>559057</v>
      </c>
      <c r="C616" s="0" t="n">
        <f aca="false">IF(ISBLANK(RawFinancials!C616),"",RawFinancials!C616)</f>
        <v>18038</v>
      </c>
      <c r="D616" s="0" t="n">
        <f aca="false">IF(ISBLANK(RawFinancials!D616),"",RawFinancials!D616)</f>
        <v>417615</v>
      </c>
      <c r="E616" s="0" t="n">
        <f aca="false">IF(ISBLANK(RawFinancials!E616),"",RawFinancials!E616)</f>
        <v>0.02</v>
      </c>
      <c r="F616" s="0" t="n">
        <f aca="false">IF(ISBLANK(RawFinancials!F616),"",RawFinancials!F616)</f>
        <v>67734</v>
      </c>
      <c r="G616" s="0" t="n">
        <f aca="false">IF(ISBLANK(RawFinancials!G616),"",RawFinancials!G616)</f>
        <v>12.1157592159655</v>
      </c>
      <c r="H616" s="0" t="str">
        <f aca="false">IF(ISBLANK(RawFinancials!H616),"",RawFinancials!H616)</f>
        <v>18038_20241231</v>
      </c>
      <c r="I616" s="0" t="n">
        <f aca="false">IF(ISBLANK(RawFinancials!I616),"",RawFinancials!I616)</f>
        <v>0.906067262413767</v>
      </c>
      <c r="J616" s="0" t="n">
        <f aca="false">IF(ISBLANK(RawFinancials!J616),"",RawFinancials!J616)</f>
        <v>27975</v>
      </c>
      <c r="K616" s="0" t="n">
        <f aca="false">IF(ISBLANK(RawFinancials!K616),"",RawFinancials!K616)</f>
        <v>4139</v>
      </c>
      <c r="L616" s="0" t="n">
        <f aca="false">IF(ISBLANK(RawFinancials!L616),"",RawFinancials!L616)</f>
        <v>433853</v>
      </c>
      <c r="M616" s="0" t="n">
        <f aca="false">IF(ISBLANK(RawFinancials!M616),"",RawFinancials!M616)</f>
        <v>429922</v>
      </c>
      <c r="N616" s="0" t="n">
        <f aca="false">IF(ISBLANK(RawFinancials!N616),"",RawFinancials!N616)</f>
        <v>399538</v>
      </c>
      <c r="O616" s="0" t="n">
        <f aca="false">IF(ISBLANK(RawFinancials!O616),"",RawFinancials!O616)</f>
        <v>2689</v>
      </c>
      <c r="P616" s="0" t="str">
        <f aca="false">IF(ISBLANK(RawFinancials!P616),"",RawFinancials!P616)</f>
        <v>CLAREMONT SAVINGS BANK</v>
      </c>
      <c r="Q616" s="0" t="n">
        <f aca="false">IF(ISBLANK(RawFinancials!Q616),"",RawFinancials!Q616)</f>
        <v>0.619795184083088</v>
      </c>
      <c r="R616" s="0" t="n">
        <f aca="false">IF(ISBLANK(RawFinancials!R616),"",RawFinancials!R616)</f>
        <v>2.56009626632644</v>
      </c>
      <c r="S616" s="0" t="n">
        <f aca="false">IF(ISBLANK(RawFinancials!S616),"",RawFinancials!S616)</f>
        <v>-13</v>
      </c>
      <c r="T616" s="0" t="n">
        <f aca="false">IF(ISBLANK(RawFinancials!T616),"",RawFinancials!T616)</f>
        <v>2946</v>
      </c>
      <c r="U616" s="0" t="n">
        <f aca="false">IF(ISBLANK(RawFinancials!U616),"",RawFinancials!U616)</f>
        <v>0</v>
      </c>
      <c r="V616" s="0" t="n">
        <f aca="false">IF(ISBLANK(RawFinancials!V616),"",RawFinancials!V616)</f>
        <v>0</v>
      </c>
      <c r="W616" s="0" t="n">
        <f aca="false">IF(ISBLANK(RawFinancials!W616),"",RawFinancials!W616)</f>
        <v>20241231</v>
      </c>
      <c r="X616" s="0" t="n">
        <f aca="false">IF(ISBLANK(RawFinancials!X616),"",RawFinancials!X616)</f>
        <v>0.458106180656936</v>
      </c>
      <c r="Y616" s="0" t="n">
        <f aca="false">IF(ISBLANK(RawFinancials!Y616),"",RawFinancials!Y616)</f>
        <v>3.74</v>
      </c>
      <c r="Z616" s="0" t="str">
        <f aca="false">IF(ISBLANK(RawFinancials!Z616),"",RawFinancials!Z616)</f>
        <v>NH</v>
      </c>
      <c r="AA616" s="0" t="n">
        <f aca="false">RawFinancials!AA616</f>
        <v>1</v>
      </c>
      <c r="AB616" s="0" t="n">
        <f aca="false">RawFinancials!AB616</f>
        <v>2689</v>
      </c>
      <c r="AC616" s="0" t="n">
        <f aca="false">RawFinancials!AC616</f>
        <v>0.480988521742863</v>
      </c>
      <c r="AD616" s="0" t="n">
        <f aca="false">IF(L616&gt;0,100*N616/L616,"")</f>
        <v>92.0906389952357</v>
      </c>
      <c r="AE616" s="0" t="n">
        <f aca="false">IF(B616&gt;0,100*F616/B616,"")</f>
        <v>12.1157592159655</v>
      </c>
      <c r="AF616" s="0" t="str">
        <f aca="false">RawFinancials!AE616</f>
        <v>原始0：需核实适用/报告口径</v>
      </c>
    </row>
    <row r="617" customFormat="false" ht="15" hidden="false" customHeight="false" outlineLevel="0" collapsed="false">
      <c r="A617" s="0" t="n">
        <f aca="false">IF(ISBLANK(RawFinancials!A617),"",RawFinancials!A617)</f>
        <v>617</v>
      </c>
      <c r="B617" s="0" t="n">
        <f aca="false">IF(ISBLANK(RawFinancials!B617),"",RawFinancials!B617)</f>
        <v>7237664</v>
      </c>
      <c r="C617" s="0" t="n">
        <f aca="false">IF(ISBLANK(RawFinancials!C617),"",RawFinancials!C617)</f>
        <v>18408</v>
      </c>
      <c r="D617" s="0" t="n">
        <f aca="false">IF(ISBLANK(RawFinancials!D617),"",RawFinancials!D617)</f>
        <v>5962875</v>
      </c>
      <c r="E617" s="0" t="n">
        <f aca="false">IF(ISBLANK(RawFinancials!E617),"",RawFinancials!E617)</f>
        <v>-0.01</v>
      </c>
      <c r="F617" s="0" t="n">
        <f aca="false">IF(ISBLANK(RawFinancials!F617),"",RawFinancials!F617)</f>
        <v>430159</v>
      </c>
      <c r="G617" s="0" t="n">
        <f aca="false">IF(ISBLANK(RawFinancials!G617),"",RawFinancials!G617)</f>
        <v>5.94334028216839</v>
      </c>
      <c r="H617" s="0" t="str">
        <f aca="false">IF(ISBLANK(RawFinancials!H617),"",RawFinancials!H617)</f>
        <v>18408_20241231</v>
      </c>
      <c r="I617" s="0" t="n">
        <f aca="false">IF(ISBLANK(RawFinancials!I617),"",RawFinancials!I617)</f>
        <v>0.63747058283806</v>
      </c>
      <c r="J617" s="0" t="n">
        <f aca="false">IF(ISBLANK(RawFinancials!J617),"",RawFinancials!J617)</f>
        <v>371808</v>
      </c>
      <c r="K617" s="0" t="n">
        <f aca="false">IF(ISBLANK(RawFinancials!K617),"",RawFinancials!K617)</f>
        <v>61663</v>
      </c>
      <c r="L617" s="0" t="n">
        <f aca="false">IF(ISBLANK(RawFinancials!L617),"",RawFinancials!L617)</f>
        <v>4937169</v>
      </c>
      <c r="M617" s="0" t="n">
        <f aca="false">IF(ISBLANK(RawFinancials!M617),"",RawFinancials!M617)</f>
        <v>4905696</v>
      </c>
      <c r="N617" s="0" t="n">
        <f aca="false">IF(ISBLANK(RawFinancials!N617),"",RawFinancials!N617)</f>
        <v>4424778</v>
      </c>
      <c r="O617" s="0" t="n">
        <f aca="false">IF(ISBLANK(RawFinancials!O617),"",RawFinancials!O617)</f>
        <v>6486</v>
      </c>
      <c r="P617" s="0" t="str">
        <f aca="false">IF(ISBLANK(RawFinancials!P617),"",RawFinancials!P617)</f>
        <v>BANGOR SAVINGS BANK</v>
      </c>
      <c r="Q617" s="0" t="n">
        <f aca="false">IF(ISBLANK(RawFinancials!Q617),"",RawFinancials!Q617)</f>
        <v>0.131370832150976</v>
      </c>
      <c r="R617" s="0" t="n">
        <f aca="false">IF(ISBLANK(RawFinancials!R617),"",RawFinancials!R617)</f>
        <v>2.17113867598282</v>
      </c>
      <c r="S617" s="0" t="n">
        <f aca="false">IF(ISBLANK(RawFinancials!S617),"",RawFinancials!S617)</f>
        <v>-193</v>
      </c>
      <c r="T617" s="0" t="n">
        <f aca="false">IF(ISBLANK(RawFinancials!T617),"",RawFinancials!T617)</f>
        <v>11654</v>
      </c>
      <c r="U617" s="0" t="n">
        <f aca="false">IF(ISBLANK(RawFinancials!U617),"",RawFinancials!U617)</f>
        <v>0</v>
      </c>
      <c r="V617" s="0" t="n">
        <f aca="false">IF(ISBLANK(RawFinancials!V617),"",RawFinancials!V617)</f>
        <v>11.1220330462601</v>
      </c>
      <c r="W617" s="0" t="n">
        <f aca="false">IF(ISBLANK(RawFinancials!W617),"",RawFinancials!W617)</f>
        <v>20241231</v>
      </c>
      <c r="X617" s="0" t="n">
        <f aca="false">IF(ISBLANK(RawFinancials!X617),"",RawFinancials!X617)</f>
        <v>0.170575806214819</v>
      </c>
      <c r="Y617" s="0" t="n">
        <f aca="false">IF(ISBLANK(RawFinancials!Y617),"",RawFinancials!Y617)</f>
        <v>2.93</v>
      </c>
      <c r="Z617" s="0" t="str">
        <f aca="false">IF(ISBLANK(RawFinancials!Z617),"",RawFinancials!Z617)</f>
        <v>ME</v>
      </c>
      <c r="AA617" s="0" t="n">
        <f aca="false">RawFinancials!AA617</f>
        <v>1</v>
      </c>
      <c r="AB617" s="0" t="n">
        <f aca="false">RawFinancials!AB617</f>
        <v>6486</v>
      </c>
      <c r="AC617" s="0" t="n">
        <f aca="false">RawFinancials!AC617</f>
        <v>0.0896145496668538</v>
      </c>
      <c r="AD617" s="0" t="n">
        <f aca="false">IF(L617&gt;0,100*N617/L617,"")</f>
        <v>89.6217650236401</v>
      </c>
      <c r="AE617" s="0" t="n">
        <f aca="false">IF(B617&gt;0,100*F617/B617,"")</f>
        <v>5.94334028216839</v>
      </c>
      <c r="AF617" s="0" t="str">
        <f aca="false">RawFinancials!AE617</f>
        <v/>
      </c>
    </row>
    <row r="618" customFormat="false" ht="15" hidden="false" customHeight="false" outlineLevel="0" collapsed="false">
      <c r="A618" s="0" t="n">
        <f aca="false">IF(ISBLANK(RawFinancials!A618),"",RawFinancials!A618)</f>
        <v>618</v>
      </c>
      <c r="B618" s="0" t="n">
        <f aca="false">IF(ISBLANK(RawFinancials!B618),"",RawFinancials!B618)</f>
        <v>2607826</v>
      </c>
      <c r="C618" s="0" t="n">
        <f aca="false">IF(ISBLANK(RawFinancials!C618),"",RawFinancials!C618)</f>
        <v>19531</v>
      </c>
      <c r="D618" s="0" t="n">
        <f aca="false">IF(ISBLANK(RawFinancials!D618),"",RawFinancials!D618)</f>
        <v>2305045</v>
      </c>
      <c r="E618" s="0" t="n">
        <f aca="false">IF(ISBLANK(RawFinancials!E618),"",RawFinancials!E618)</f>
        <v>-0.04</v>
      </c>
      <c r="F618" s="0" t="n">
        <f aca="false">IF(ISBLANK(RawFinancials!F618),"",RawFinancials!F618)</f>
        <v>258848</v>
      </c>
      <c r="G618" s="0" t="n">
        <f aca="false">IF(ISBLANK(RawFinancials!G618),"",RawFinancials!G618)</f>
        <v>9.9258156027281</v>
      </c>
      <c r="H618" s="0" t="str">
        <f aca="false">IF(ISBLANK(RawFinancials!H618),"",RawFinancials!H618)</f>
        <v>19531_20241231</v>
      </c>
      <c r="I618" s="0" t="n">
        <f aca="false">IF(ISBLANK(RawFinancials!I618),"",RawFinancials!I618)</f>
        <v>0.885741811085966</v>
      </c>
      <c r="J618" s="0" t="n">
        <f aca="false">IF(ISBLANK(RawFinancials!J618),"",RawFinancials!J618)</f>
        <v>255345</v>
      </c>
      <c r="K618" s="0" t="n">
        <f aca="false">IF(ISBLANK(RawFinancials!K618),"",RawFinancials!K618)</f>
        <v>8027</v>
      </c>
      <c r="L618" s="0" t="n">
        <f aca="false">IF(ISBLANK(RawFinancials!L618),"",RawFinancials!L618)</f>
        <v>2155933</v>
      </c>
      <c r="M618" s="0" t="n">
        <f aca="false">IF(ISBLANK(RawFinancials!M618),"",RawFinancials!M618)</f>
        <v>2136837</v>
      </c>
      <c r="N618" s="0" t="n">
        <f aca="false">IF(ISBLANK(RawFinancials!N618),"",RawFinancials!N618)</f>
        <v>1794381</v>
      </c>
      <c r="O618" s="0" t="n">
        <f aca="false">IF(ISBLANK(RawFinancials!O618),"",RawFinancials!O618)</f>
        <v>6433</v>
      </c>
      <c r="P618" s="0" t="str">
        <f aca="false">IF(ISBLANK(RawFinancials!P618),"",RawFinancials!P618)</f>
        <v>MACHIAS SAVINGS BANK</v>
      </c>
      <c r="Q618" s="0" t="n">
        <f aca="false">IF(ISBLANK(RawFinancials!Q618),"",RawFinancials!Q618)</f>
        <v>0.300565926677684</v>
      </c>
      <c r="R618" s="0" t="n">
        <f aca="false">IF(ISBLANK(RawFinancials!R618),"",RawFinancials!R618)</f>
        <v>2.78753272638901</v>
      </c>
      <c r="S618" s="0" t="n">
        <f aca="false">IF(ISBLANK(RawFinancials!S618),"",RawFinancials!S618)</f>
        <v>853</v>
      </c>
      <c r="T618" s="0" t="n">
        <f aca="false">IF(ISBLANK(RawFinancials!T618),"",RawFinancials!T618)</f>
        <v>11164</v>
      </c>
      <c r="U618" s="0" t="n">
        <f aca="false">IF(ISBLANK(RawFinancials!U618),"",RawFinancials!U618)</f>
        <v>47</v>
      </c>
      <c r="V618" s="0" t="n">
        <f aca="false">IF(ISBLANK(RawFinancials!V618),"",RawFinancials!V618)</f>
        <v>14.1069486209343</v>
      </c>
      <c r="W618" s="0" t="n">
        <f aca="false">IF(ISBLANK(RawFinancials!W618),"",RawFinancials!W618)</f>
        <v>20241231</v>
      </c>
      <c r="X618" s="0" t="n">
        <f aca="false">IF(ISBLANK(RawFinancials!X618),"",RawFinancials!X618)</f>
        <v>0.568341059055615</v>
      </c>
      <c r="Y618" s="0" t="n">
        <f aca="false">IF(ISBLANK(RawFinancials!Y618),"",RawFinancials!Y618)</f>
        <v>5.86</v>
      </c>
      <c r="Z618" s="0" t="str">
        <f aca="false">IF(ISBLANK(RawFinancials!Z618),"",RawFinancials!Z618)</f>
        <v>ME</v>
      </c>
      <c r="AA618" s="0" t="n">
        <f aca="false">RawFinancials!AA618</f>
        <v>1</v>
      </c>
      <c r="AB618" s="0" t="n">
        <f aca="false">RawFinancials!AB618</f>
        <v>6480</v>
      </c>
      <c r="AC618" s="0" t="n">
        <f aca="false">RawFinancials!AC618</f>
        <v>0.248482835894726</v>
      </c>
      <c r="AD618" s="0" t="n">
        <f aca="false">IF(L618&gt;0,100*N618/L618,"")</f>
        <v>83.2299055675663</v>
      </c>
      <c r="AE618" s="0" t="n">
        <f aca="false">IF(B618&gt;0,100*F618/B618,"")</f>
        <v>9.9258156027281</v>
      </c>
      <c r="AF618" s="0" t="str">
        <f aca="false">RawFinancials!AE618</f>
        <v/>
      </c>
    </row>
    <row r="619" customFormat="false" ht="15" hidden="false" customHeight="false" outlineLevel="0" collapsed="false">
      <c r="A619" s="0" t="n">
        <f aca="false">IF(ISBLANK(RawFinancials!A619),"",RawFinancials!A619)</f>
        <v>619</v>
      </c>
      <c r="B619" s="0" t="n">
        <f aca="false">IF(ISBLANK(RawFinancials!B619),"",RawFinancials!B619)</f>
        <v>841355</v>
      </c>
      <c r="C619" s="0" t="n">
        <f aca="false">IF(ISBLANK(RawFinancials!C619),"",RawFinancials!C619)</f>
        <v>19532</v>
      </c>
      <c r="D619" s="0" t="n">
        <f aca="false">IF(ISBLANK(RawFinancials!D619),"",RawFinancials!D619)</f>
        <v>726139</v>
      </c>
      <c r="E619" s="0" t="n">
        <f aca="false">IF(ISBLANK(RawFinancials!E619),"",RawFinancials!E619)</f>
        <v>0.04</v>
      </c>
      <c r="F619" s="0" t="n">
        <f aca="false">IF(ISBLANK(RawFinancials!F619),"",RawFinancials!F619)</f>
        <v>102611</v>
      </c>
      <c r="G619" s="0" t="n">
        <f aca="false">IF(ISBLANK(RawFinancials!G619),"",RawFinancials!G619)</f>
        <v>12.1959220543053</v>
      </c>
      <c r="H619" s="0" t="str">
        <f aca="false">IF(ISBLANK(RawFinancials!H619),"",RawFinancials!H619)</f>
        <v>19532_20241231</v>
      </c>
      <c r="I619" s="0" t="n">
        <f aca="false">IF(ISBLANK(RawFinancials!I619),"",RawFinancials!I619)</f>
        <v>0.98818566230057</v>
      </c>
      <c r="J619" s="0" t="n">
        <f aca="false">IF(ISBLANK(RawFinancials!J619),"",RawFinancials!J619)</f>
        <v>51731</v>
      </c>
      <c r="K619" s="0" t="n">
        <f aca="false">IF(ISBLANK(RawFinancials!K619),"",RawFinancials!K619)</f>
        <v>51267</v>
      </c>
      <c r="L619" s="0" t="n">
        <f aca="false">IF(ISBLANK(RawFinancials!L619),"",RawFinancials!L619)</f>
        <v>610614</v>
      </c>
      <c r="M619" s="0" t="n">
        <f aca="false">IF(ISBLANK(RawFinancials!M619),"",RawFinancials!M619)</f>
        <v>604580</v>
      </c>
      <c r="N619" s="0" t="n">
        <f aca="false">IF(ISBLANK(RawFinancials!N619),"",RawFinancials!N619)</f>
        <v>502892</v>
      </c>
      <c r="O619" s="0" t="n">
        <f aca="false">IF(ISBLANK(RawFinancials!O619),"",RawFinancials!O619)</f>
        <v>1747</v>
      </c>
      <c r="P619" s="0" t="str">
        <f aca="false">IF(ISBLANK(RawFinancials!P619),"",RawFinancials!P619)</f>
        <v>SKOWHEGAN SAVINGS BANK</v>
      </c>
      <c r="Q619" s="0" t="n">
        <f aca="false">IF(ISBLANK(RawFinancials!Q619),"",RawFinancials!Q619)</f>
        <v>0.286105461060506</v>
      </c>
      <c r="R619" s="0" t="n">
        <f aca="false">IF(ISBLANK(RawFinancials!R619),"",RawFinancials!R619)</f>
        <v>3.19260167511545</v>
      </c>
      <c r="S619" s="0" t="n">
        <f aca="false">IF(ISBLANK(RawFinancials!S619),"",RawFinancials!S619)</f>
        <v>95</v>
      </c>
      <c r="T619" s="0" t="n">
        <f aca="false">IF(ISBLANK(RawFinancials!T619),"",RawFinancials!T619)</f>
        <v>1403</v>
      </c>
      <c r="U619" s="0" t="n">
        <f aca="false">IF(ISBLANK(RawFinancials!U619),"",RawFinancials!U619)</f>
        <v>0</v>
      </c>
      <c r="V619" s="0" t="n">
        <f aca="false">IF(ISBLANK(RawFinancials!V619),"",RawFinancials!V619)</f>
        <v>21.4383093615106</v>
      </c>
      <c r="W619" s="0" t="n">
        <f aca="false">IF(ISBLANK(RawFinancials!W619),"",RawFinancials!W619)</f>
        <v>20241231</v>
      </c>
      <c r="X619" s="0" t="n">
        <f aca="false">IF(ISBLANK(RawFinancials!X619),"",RawFinancials!X619)</f>
        <v>0.860939251412119</v>
      </c>
      <c r="Y619" s="0" t="n">
        <f aca="false">IF(ISBLANK(RawFinancials!Y619),"",RawFinancials!Y619)</f>
        <v>7.51</v>
      </c>
      <c r="Z619" s="0" t="str">
        <f aca="false">IF(ISBLANK(RawFinancials!Z619),"",RawFinancials!Z619)</f>
        <v>ME</v>
      </c>
      <c r="AA619" s="0" t="n">
        <f aca="false">RawFinancials!AA619</f>
        <v>1</v>
      </c>
      <c r="AB619" s="0" t="n">
        <f aca="false">RawFinancials!AB619</f>
        <v>1747</v>
      </c>
      <c r="AC619" s="0" t="n">
        <f aca="false">RawFinancials!AC619</f>
        <v>0.207641245372049</v>
      </c>
      <c r="AD619" s="0" t="n">
        <f aca="false">IF(L619&gt;0,100*N619/L619,"")</f>
        <v>82.3584130072353</v>
      </c>
      <c r="AE619" s="0" t="n">
        <f aca="false">IF(B619&gt;0,100*F619/B619,"")</f>
        <v>12.1959220543053</v>
      </c>
      <c r="AF619" s="0" t="str">
        <f aca="false">RawFinancials!AE619</f>
        <v/>
      </c>
    </row>
    <row r="620" customFormat="false" ht="15" hidden="false" customHeight="false" outlineLevel="0" collapsed="false">
      <c r="A620" s="0" t="n">
        <f aca="false">IF(ISBLANK(RawFinancials!A620),"",RawFinancials!A620)</f>
        <v>620</v>
      </c>
      <c r="B620" s="0" t="n">
        <f aca="false">IF(ISBLANK(RawFinancials!B620),"",RawFinancials!B620)</f>
        <v>4083054</v>
      </c>
      <c r="C620" s="0" t="n">
        <f aca="false">IF(ISBLANK(RawFinancials!C620),"",RawFinancials!C620)</f>
        <v>19690</v>
      </c>
      <c r="D620" s="0" t="n">
        <f aca="false">IF(ISBLANK(RawFinancials!D620),"",RawFinancials!D620)</f>
        <v>3178140</v>
      </c>
      <c r="E620" s="0" t="n">
        <f aca="false">IF(ISBLANK(RawFinancials!E620),"",RawFinancials!E620)</f>
        <v>0.1</v>
      </c>
      <c r="F620" s="0" t="n">
        <f aca="false">IF(ISBLANK(RawFinancials!F620),"",RawFinancials!F620)</f>
        <v>444101</v>
      </c>
      <c r="G620" s="0" t="n">
        <f aca="false">IF(ISBLANK(RawFinancials!G620),"",RawFinancials!G620)</f>
        <v>10.8766869113169</v>
      </c>
      <c r="H620" s="0" t="str">
        <f aca="false">IF(ISBLANK(RawFinancials!H620),"",RawFinancials!H620)</f>
        <v>19690_20241231</v>
      </c>
      <c r="I620" s="0" t="n">
        <f aca="false">IF(ISBLANK(RawFinancials!I620),"",RawFinancials!I620)</f>
        <v>1.23476980270379</v>
      </c>
      <c r="J620" s="0" t="n">
        <f aca="false">IF(ISBLANK(RawFinancials!J620),"",RawFinancials!J620)</f>
        <v>125867</v>
      </c>
      <c r="K620" s="0" t="n">
        <f aca="false">IF(ISBLANK(RawFinancials!K620),"",RawFinancials!K620)</f>
        <v>200</v>
      </c>
      <c r="L620" s="0" t="n">
        <f aca="false">IF(ISBLANK(RawFinancials!L620),"",RawFinancials!L620)</f>
        <v>3626020</v>
      </c>
      <c r="M620" s="0" t="n">
        <f aca="false">IF(ISBLANK(RawFinancials!M620),"",RawFinancials!M620)</f>
        <v>3581247</v>
      </c>
      <c r="N620" s="0" t="n">
        <f aca="false">IF(ISBLANK(RawFinancials!N620),"",RawFinancials!N620)</f>
        <v>2812366</v>
      </c>
      <c r="O620" s="0" t="n">
        <f aca="false">IF(ISBLANK(RawFinancials!O620),"",RawFinancials!O620)</f>
        <v>30066</v>
      </c>
      <c r="P620" s="0" t="str">
        <f aca="false">IF(ISBLANK(RawFinancials!P620),"",RawFinancials!P620)</f>
        <v>NORTHEAST BANK</v>
      </c>
      <c r="Q620" s="0" t="n">
        <f aca="false">IF(ISBLANK(RawFinancials!Q620),"",RawFinancials!Q620)</f>
        <v>0.829173584260429</v>
      </c>
      <c r="R620" s="0" t="n">
        <f aca="false">IF(ISBLANK(RawFinancials!R620),"",RawFinancials!R620)</f>
        <v>4.88319431994812</v>
      </c>
      <c r="S620" s="0" t="n">
        <f aca="false">IF(ISBLANK(RawFinancials!S620),"",RawFinancials!S620)</f>
        <v>6066</v>
      </c>
      <c r="T620" s="0" t="n">
        <f aca="false">IF(ISBLANK(RawFinancials!T620),"",RawFinancials!T620)</f>
        <v>3018</v>
      </c>
      <c r="U620" s="0" t="n">
        <f aca="false">IF(ISBLANK(RawFinancials!U620),"",RawFinancials!U620)</f>
        <v>0</v>
      </c>
      <c r="V620" s="0" t="n">
        <f aca="false">IF(ISBLANK(RawFinancials!V620),"",RawFinancials!V620)</f>
        <v>13.9124837251983</v>
      </c>
      <c r="W620" s="0" t="n">
        <f aca="false">IF(ISBLANK(RawFinancials!W620),"",RawFinancials!W620)</f>
        <v>20241231</v>
      </c>
      <c r="X620" s="0" t="n">
        <f aca="false">IF(ISBLANK(RawFinancials!X620),"",RawFinancials!X620)</f>
        <v>2.00155957794462</v>
      </c>
      <c r="Y620" s="0" t="n">
        <f aca="false">IF(ISBLANK(RawFinancials!Y620),"",RawFinancials!Y620)</f>
        <v>18.11</v>
      </c>
      <c r="Z620" s="0" t="str">
        <f aca="false">IF(ISBLANK(RawFinancials!Z620),"",RawFinancials!Z620)</f>
        <v>ME</v>
      </c>
      <c r="AA620" s="0" t="n">
        <f aca="false">RawFinancials!AA620</f>
        <v>1</v>
      </c>
      <c r="AB620" s="0" t="n">
        <f aca="false">RawFinancials!AB620</f>
        <v>30066</v>
      </c>
      <c r="AC620" s="0" t="n">
        <f aca="false">RawFinancials!AC620</f>
        <v>0.736360577156217</v>
      </c>
      <c r="AD620" s="0" t="n">
        <f aca="false">IF(L620&gt;0,100*N620/L620,"")</f>
        <v>77.5606863723863</v>
      </c>
      <c r="AE620" s="0" t="n">
        <f aca="false">IF(B620&gt;0,100*F620/B620,"")</f>
        <v>10.8766869113169</v>
      </c>
      <c r="AF620" s="0" t="str">
        <f aca="false">RawFinancials!AE620</f>
        <v/>
      </c>
    </row>
    <row r="621" customFormat="false" ht="15" hidden="false" customHeight="false" outlineLevel="0" collapsed="false">
      <c r="A621" s="0" t="n">
        <f aca="false">IF(ISBLANK(RawFinancials!A621),"",RawFinancials!A621)</f>
        <v>621</v>
      </c>
      <c r="B621" s="0" t="n">
        <f aca="false">IF(ISBLANK(RawFinancials!B621),"",RawFinancials!B621)</f>
        <v>725956</v>
      </c>
      <c r="C621" s="0" t="n">
        <f aca="false">IF(ISBLANK(RawFinancials!C621),"",RawFinancials!C621)</f>
        <v>19836</v>
      </c>
      <c r="D621" s="0" t="n">
        <f aca="false">IF(ISBLANK(RawFinancials!D621),"",RawFinancials!D621)</f>
        <v>546072</v>
      </c>
      <c r="E621" s="0" t="n">
        <f aca="false">IF(ISBLANK(RawFinancials!E621),"",RawFinancials!E621)</f>
        <v>0.06</v>
      </c>
      <c r="F621" s="0" t="n">
        <f aca="false">IF(ISBLANK(RawFinancials!F621),"",RawFinancials!F621)</f>
        <v>126418</v>
      </c>
      <c r="G621" s="0" t="n">
        <f aca="false">IF(ISBLANK(RawFinancials!G621),"",RawFinancials!G621)</f>
        <v>17.4140030525266</v>
      </c>
      <c r="H621" s="0" t="str">
        <f aca="false">IF(ISBLANK(RawFinancials!H621),"",RawFinancials!H621)</f>
        <v>19836_20241231</v>
      </c>
      <c r="I621" s="0" t="n">
        <f aca="false">IF(ISBLANK(RawFinancials!I621),"",RawFinancials!I621)</f>
        <v>0.718361434147519</v>
      </c>
      <c r="J621" s="0" t="n">
        <f aca="false">IF(ISBLANK(RawFinancials!J621),"",RawFinancials!J621)</f>
        <v>41567</v>
      </c>
      <c r="K621" s="0" t="n">
        <f aca="false">IF(ISBLANK(RawFinancials!K621),"",RawFinancials!K621)</f>
        <v>10758</v>
      </c>
      <c r="L621" s="0" t="n">
        <f aca="false">IF(ISBLANK(RawFinancials!L621),"",RawFinancials!L621)</f>
        <v>621275</v>
      </c>
      <c r="M621" s="0" t="n">
        <f aca="false">IF(ISBLANK(RawFinancials!M621),"",RawFinancials!M621)</f>
        <v>616812</v>
      </c>
      <c r="N621" s="0" t="n">
        <f aca="false">IF(ISBLANK(RawFinancials!N621),"",RawFinancials!N621)</f>
        <v>565995</v>
      </c>
      <c r="O621" s="0" t="n">
        <f aca="false">IF(ISBLANK(RawFinancials!O621),"",RawFinancials!O621)</f>
        <v>5575</v>
      </c>
      <c r="P621" s="0" t="str">
        <f aca="false">IF(ISBLANK(RawFinancials!P621),"",RawFinancials!P621)</f>
        <v>FRANKLIN SAVINGS BANK</v>
      </c>
      <c r="Q621" s="0" t="n">
        <f aca="false">IF(ISBLANK(RawFinancials!Q621),"",RawFinancials!Q621)</f>
        <v>0.915858516759889</v>
      </c>
      <c r="R621" s="0" t="n">
        <f aca="false">IF(ISBLANK(RawFinancials!R621),"",RawFinancials!R621)</f>
        <v>3.66814462063966</v>
      </c>
      <c r="S621" s="0" t="n">
        <f aca="false">IF(ISBLANK(RawFinancials!S621),"",RawFinancials!S621)</f>
        <v>393</v>
      </c>
      <c r="T621" s="0" t="n">
        <f aca="false">IF(ISBLANK(RawFinancials!T621),"",RawFinancials!T621)</f>
        <v>5473</v>
      </c>
      <c r="U621" s="0" t="n">
        <f aca="false">IF(ISBLANK(RawFinancials!U621),"",RawFinancials!U621)</f>
        <v>115</v>
      </c>
      <c r="V621" s="0" t="n">
        <f aca="false">IF(ISBLANK(RawFinancials!V621),"",RawFinancials!V621)</f>
        <v>23.4027315459259</v>
      </c>
      <c r="W621" s="0" t="n">
        <f aca="false">IF(ISBLANK(RawFinancials!W621),"",RawFinancials!W621)</f>
        <v>20241231</v>
      </c>
      <c r="X621" s="0" t="n">
        <f aca="false">IF(ISBLANK(RawFinancials!X621),"",RawFinancials!X621)</f>
        <v>0.635783162051918</v>
      </c>
      <c r="Y621" s="0" t="n">
        <f aca="false">IF(ISBLANK(RawFinancials!Y621),"",RawFinancials!Y621)</f>
        <v>3.58</v>
      </c>
      <c r="Z621" s="0" t="str">
        <f aca="false">IF(ISBLANK(RawFinancials!Z621),"",RawFinancials!Z621)</f>
        <v>ME</v>
      </c>
      <c r="AA621" s="0" t="n">
        <f aca="false">RawFinancials!AA621</f>
        <v>1</v>
      </c>
      <c r="AB621" s="0" t="n">
        <f aca="false">RawFinancials!AB621</f>
        <v>5690</v>
      </c>
      <c r="AC621" s="0" t="n">
        <f aca="false">RawFinancials!AC621</f>
        <v>0.78379405914408</v>
      </c>
      <c r="AD621" s="0" t="n">
        <f aca="false">IF(L621&gt;0,100*N621/L621,"")</f>
        <v>91.1021689268038</v>
      </c>
      <c r="AE621" s="0" t="n">
        <f aca="false">IF(B621&gt;0,100*F621/B621,"")</f>
        <v>17.4140030525266</v>
      </c>
      <c r="AF621" s="0" t="str">
        <f aca="false">RawFinancials!AE621</f>
        <v/>
      </c>
    </row>
    <row r="622" customFormat="false" ht="15" hidden="false" customHeight="false" outlineLevel="0" collapsed="false">
      <c r="A622" s="0" t="n">
        <f aca="false">IF(ISBLANK(RawFinancials!A622),"",RawFinancials!A622)</f>
        <v>622</v>
      </c>
      <c r="B622" s="0" t="n">
        <f aca="false">IF(ISBLANK(RawFinancials!B622),"",RawFinancials!B622)</f>
        <v>1527088</v>
      </c>
      <c r="C622" s="0" t="n">
        <f aca="false">IF(ISBLANK(RawFinancials!C622),"",RawFinancials!C622)</f>
        <v>24540</v>
      </c>
      <c r="D622" s="0" t="n">
        <f aca="false">IF(ISBLANK(RawFinancials!D622),"",RawFinancials!D622)</f>
        <v>1227168</v>
      </c>
      <c r="E622" s="0" t="n">
        <f aca="false">IF(ISBLANK(RawFinancials!E622),"",RawFinancials!E622)</f>
        <v>0.08</v>
      </c>
      <c r="F622" s="0" t="n">
        <f aca="false">IF(ISBLANK(RawFinancials!F622),"",RawFinancials!F622)</f>
        <v>276022</v>
      </c>
      <c r="G622" s="0" t="n">
        <f aca="false">IF(ISBLANK(RawFinancials!G622),"",RawFinancials!G622)</f>
        <v>18.0750552685896</v>
      </c>
      <c r="H622" s="0" t="str">
        <f aca="false">IF(ISBLANK(RawFinancials!H622),"",RawFinancials!H622)</f>
        <v>24540_20241231</v>
      </c>
      <c r="I622" s="0" t="n">
        <f aca="false">IF(ISBLANK(RawFinancials!I622),"",RawFinancials!I622)</f>
        <v>0.968015462583363</v>
      </c>
      <c r="J622" s="0" t="n">
        <f aca="false">IF(ISBLANK(RawFinancials!J622),"",RawFinancials!J622)</f>
        <v>43779</v>
      </c>
      <c r="K622" s="0" t="n">
        <f aca="false">IF(ISBLANK(RawFinancials!K622),"",RawFinancials!K622)</f>
        <v>170</v>
      </c>
      <c r="L622" s="0" t="n">
        <f aca="false">IF(ISBLANK(RawFinancials!L622),"",RawFinancials!L622)</f>
        <v>1371569</v>
      </c>
      <c r="M622" s="0" t="n">
        <f aca="false">IF(ISBLANK(RawFinancials!M622),"",RawFinancials!M622)</f>
        <v>1358292</v>
      </c>
      <c r="N622" s="0" t="n">
        <f aca="false">IF(ISBLANK(RawFinancials!N622),"",RawFinancials!N622)</f>
        <v>1331608</v>
      </c>
      <c r="O622" s="0" t="n">
        <f aca="false">IF(ISBLANK(RawFinancials!O622),"",RawFinancials!O622)</f>
        <v>28862</v>
      </c>
      <c r="P622" s="0" t="str">
        <f aca="false">IF(ISBLANK(RawFinancials!P622),"",RawFinancials!P622)</f>
        <v>BANK OF NEW ENGLAND</v>
      </c>
      <c r="Q622" s="0" t="n">
        <f aca="false">IF(ISBLANK(RawFinancials!Q622),"",RawFinancials!Q622)</f>
        <v>2.10430536123228</v>
      </c>
      <c r="R622" s="0" t="n">
        <f aca="false">IF(ISBLANK(RawFinancials!R622),"",RawFinancials!R622)</f>
        <v>4.31804434798762</v>
      </c>
      <c r="S622" s="0" t="n">
        <f aca="false">IF(ISBLANK(RawFinancials!S622),"",RawFinancials!S622)</f>
        <v>5</v>
      </c>
      <c r="T622" s="0" t="n">
        <f aca="false">IF(ISBLANK(RawFinancials!T622),"",RawFinancials!T622)</f>
        <v>0</v>
      </c>
      <c r="U622" s="0" t="n">
        <f aca="false">IF(ISBLANK(RawFinancials!U622),"",RawFinancials!U622)</f>
        <v>0</v>
      </c>
      <c r="V622" s="0" t="n">
        <f aca="false">IF(ISBLANK(RawFinancials!V622),"",RawFinancials!V622)</f>
        <v>18.6892666157372</v>
      </c>
      <c r="W622" s="0" t="n">
        <f aca="false">IF(ISBLANK(RawFinancials!W622),"",RawFinancials!W622)</f>
        <v>20241231</v>
      </c>
      <c r="X622" s="0" t="n">
        <f aca="false">IF(ISBLANK(RawFinancials!X622),"",RawFinancials!X622)</f>
        <v>2.16766070982136</v>
      </c>
      <c r="Y622" s="0" t="n">
        <f aca="false">IF(ISBLANK(RawFinancials!Y622),"",RawFinancials!Y622)</f>
        <v>12.13</v>
      </c>
      <c r="Z622" s="0" t="str">
        <f aca="false">IF(ISBLANK(RawFinancials!Z622),"",RawFinancials!Z622)</f>
        <v>NH</v>
      </c>
      <c r="AA622" s="0" t="n">
        <f aca="false">RawFinancials!AA622</f>
        <v>1</v>
      </c>
      <c r="AB622" s="0" t="n">
        <f aca="false">RawFinancials!AB622</f>
        <v>28862</v>
      </c>
      <c r="AC622" s="0" t="n">
        <f aca="false">RawFinancials!AC622</f>
        <v>1.89000240981528</v>
      </c>
      <c r="AD622" s="0" t="n">
        <f aca="false">IF(L622&gt;0,100*N622/L622,"")</f>
        <v>97.086475416111</v>
      </c>
      <c r="AE622" s="0" t="n">
        <f aca="false">IF(B622&gt;0,100*F622/B622,"")</f>
        <v>18.0750552685896</v>
      </c>
      <c r="AF622" s="0" t="str">
        <f aca="false">RawFinancials!AE622</f>
        <v/>
      </c>
    </row>
    <row r="623" customFormat="false" ht="15" hidden="false" customHeight="false" outlineLevel="0" collapsed="false">
      <c r="A623" s="0" t="n">
        <f aca="false">IF(ISBLANK(RawFinancials!A623),"",RawFinancials!A623)</f>
        <v>623</v>
      </c>
      <c r="B623" s="0" t="n">
        <f aca="false">IF(ISBLANK(RawFinancials!B623),"",RawFinancials!B623)</f>
        <v>567213</v>
      </c>
      <c r="C623" s="0" t="n">
        <f aca="false">IF(ISBLANK(RawFinancials!C623),"",RawFinancials!C623)</f>
        <v>27824</v>
      </c>
      <c r="D623" s="0" t="n">
        <f aca="false">IF(ISBLANK(RawFinancials!D623),"",RawFinancials!D623)</f>
        <v>364594</v>
      </c>
      <c r="E623" s="0" t="n">
        <f aca="false">IF(ISBLANK(RawFinancials!E623),"",RawFinancials!E623)</f>
        <v>0.02</v>
      </c>
      <c r="F623" s="0" t="n">
        <f aca="false">IF(ISBLANK(RawFinancials!F623),"",RawFinancials!F623)</f>
        <v>62425</v>
      </c>
      <c r="G623" s="0" t="n">
        <f aca="false">IF(ISBLANK(RawFinancials!G623),"",RawFinancials!G623)</f>
        <v>11.0055658103746</v>
      </c>
      <c r="H623" s="0" t="str">
        <f aca="false">IF(ISBLANK(RawFinancials!H623),"",RawFinancials!H623)</f>
        <v>27824_20241231</v>
      </c>
      <c r="I623" s="0" t="n">
        <f aca="false">IF(ISBLANK(RawFinancials!I623),"",RawFinancials!I623)</f>
        <v>0.584193663971302</v>
      </c>
      <c r="J623" s="0" t="n">
        <f aca="false">IF(ISBLANK(RawFinancials!J623),"",RawFinancials!J623)</f>
        <v>18705</v>
      </c>
      <c r="K623" s="0" t="n">
        <f aca="false">IF(ISBLANK(RawFinancials!K623),"",RawFinancials!K623)</f>
        <v>39701</v>
      </c>
      <c r="L623" s="0" t="n">
        <f aca="false">IF(ISBLANK(RawFinancials!L623),"",RawFinancials!L623)</f>
        <v>477239</v>
      </c>
      <c r="M623" s="0" t="n">
        <f aca="false">IF(ISBLANK(RawFinancials!M623),"",RawFinancials!M623)</f>
        <v>474451</v>
      </c>
      <c r="N623" s="0" t="n">
        <f aca="false">IF(ISBLANK(RawFinancials!N623),"",RawFinancials!N623)</f>
        <v>418833</v>
      </c>
      <c r="O623" s="0" t="n">
        <f aca="false">IF(ISBLANK(RawFinancials!O623),"",RawFinancials!O623)</f>
        <v>1549</v>
      </c>
      <c r="P623" s="0" t="str">
        <f aca="false">IF(ISBLANK(RawFinancials!P623),"",RawFinancials!P623)</f>
        <v>SALEM CO-OPERATIVE BANK</v>
      </c>
      <c r="Q623" s="0" t="n">
        <f aca="false">IF(ISBLANK(RawFinancials!Q623),"",RawFinancials!Q623)</f>
        <v>0.324575317608159</v>
      </c>
      <c r="R623" s="0" t="n">
        <f aca="false">IF(ISBLANK(RawFinancials!R623),"",RawFinancials!R623)</f>
        <v>1.66620323995382</v>
      </c>
      <c r="S623" s="0" t="n">
        <f aca="false">IF(ISBLANK(RawFinancials!S623),"",RawFinancials!S623)</f>
        <v>239</v>
      </c>
      <c r="T623" s="0" t="n">
        <f aca="false">IF(ISBLANK(RawFinancials!T623),"",RawFinancials!T623)</f>
        <v>1070</v>
      </c>
      <c r="U623" s="0" t="n">
        <f aca="false">IF(ISBLANK(RawFinancials!U623),"",RawFinancials!U623)</f>
        <v>0</v>
      </c>
      <c r="V623" s="0" t="n">
        <f aca="false">IF(ISBLANK(RawFinancials!V623),"",RawFinancials!V623)</f>
        <v>19.034594199942</v>
      </c>
      <c r="W623" s="0" t="n">
        <f aca="false">IF(ISBLANK(RawFinancials!W623),"",RawFinancials!W623)</f>
        <v>20241231</v>
      </c>
      <c r="X623" s="0" t="n">
        <f aca="false">IF(ISBLANK(RawFinancials!X623),"",RawFinancials!X623)</f>
        <v>-0.525560567879556</v>
      </c>
      <c r="Y623" s="0" t="n">
        <f aca="false">IF(ISBLANK(RawFinancials!Y623),"",RawFinancials!Y623)</f>
        <v>-4.55</v>
      </c>
      <c r="Z623" s="0" t="str">
        <f aca="false">IF(ISBLANK(RawFinancials!Z623),"",RawFinancials!Z623)</f>
        <v>NH</v>
      </c>
      <c r="AA623" s="0" t="n">
        <f aca="false">RawFinancials!AA623</f>
        <v>1</v>
      </c>
      <c r="AB623" s="0" t="n">
        <f aca="false">RawFinancials!AB623</f>
        <v>1549</v>
      </c>
      <c r="AC623" s="0" t="n">
        <f aca="false">RawFinancials!AC623</f>
        <v>0.273089650625074</v>
      </c>
      <c r="AD623" s="0" t="n">
        <f aca="false">IF(L623&gt;0,100*N623/L623,"")</f>
        <v>87.7616875402052</v>
      </c>
      <c r="AE623" s="0" t="n">
        <f aca="false">IF(B623&gt;0,100*F623/B623,"")</f>
        <v>11.0055658103746</v>
      </c>
      <c r="AF623" s="0" t="str">
        <f aca="false">RawFinancials!AE623</f>
        <v/>
      </c>
    </row>
    <row r="624" customFormat="false" ht="15" hidden="false" customHeight="false" outlineLevel="0" collapsed="false">
      <c r="A624" s="0" t="n">
        <f aca="false">IF(ISBLANK(RawFinancials!A624),"",RawFinancials!A624)</f>
        <v>624</v>
      </c>
      <c r="B624" s="0" t="n">
        <f aca="false">IF(ISBLANK(RawFinancials!B624),"",RawFinancials!B624)</f>
        <v>295833</v>
      </c>
      <c r="C624" s="0" t="n">
        <f aca="false">IF(ISBLANK(RawFinancials!C624),"",RawFinancials!C624)</f>
        <v>28155</v>
      </c>
      <c r="D624" s="0" t="n">
        <f aca="false">IF(ISBLANK(RawFinancials!D624),"",RawFinancials!D624)</f>
        <v>257082</v>
      </c>
      <c r="E624" s="0" t="n">
        <f aca="false">IF(ISBLANK(RawFinancials!E624),"",RawFinancials!E624)</f>
        <v>-0.01</v>
      </c>
      <c r="F624" s="0" t="n">
        <f aca="false">IF(ISBLANK(RawFinancials!F624),"",RawFinancials!F624)</f>
        <v>27363</v>
      </c>
      <c r="G624" s="0" t="n">
        <f aca="false">IF(ISBLANK(RawFinancials!G624),"",RawFinancials!G624)</f>
        <v>9.24947521067629</v>
      </c>
      <c r="H624" s="0" t="str">
        <f aca="false">IF(ISBLANK(RawFinancials!H624),"",RawFinancials!H624)</f>
        <v>28155_20241231</v>
      </c>
      <c r="I624" s="0" t="n">
        <f aca="false">IF(ISBLANK(RawFinancials!I624),"",RawFinancials!I624)</f>
        <v>0.450821547896929</v>
      </c>
      <c r="J624" s="0" t="n">
        <f aca="false">IF(ISBLANK(RawFinancials!J624),"",RawFinancials!J624)</f>
        <v>9970</v>
      </c>
      <c r="K624" s="0" t="n">
        <f aca="false">IF(ISBLANK(RawFinancials!K624),"",RawFinancials!K624)</f>
        <v>6380</v>
      </c>
      <c r="L624" s="0" t="n">
        <f aca="false">IF(ISBLANK(RawFinancials!L624),"",RawFinancials!L624)</f>
        <v>174792</v>
      </c>
      <c r="M624" s="0" t="n">
        <f aca="false">IF(ISBLANK(RawFinancials!M624),"",RawFinancials!M624)</f>
        <v>174004</v>
      </c>
      <c r="N624" s="0" t="n">
        <f aca="false">IF(ISBLANK(RawFinancials!N624),"",RawFinancials!N624)</f>
        <v>157930</v>
      </c>
      <c r="O624" s="0" t="n">
        <f aca="false">IF(ISBLANK(RawFinancials!O624),"",RawFinancials!O624)</f>
        <v>0</v>
      </c>
      <c r="P624" s="0" t="str">
        <f aca="false">IF(ISBLANK(RawFinancials!P624),"",RawFinancials!P624)</f>
        <v>PROFILE BANK</v>
      </c>
      <c r="Q624" s="0" t="n">
        <f aca="false">IF(ISBLANK(RawFinancials!Q624),"",RawFinancials!Q624)</f>
        <v>0</v>
      </c>
      <c r="R624" s="0" t="n">
        <f aca="false">IF(ISBLANK(RawFinancials!R624),"",RawFinancials!R624)</f>
        <v>2.46130120647392</v>
      </c>
      <c r="S624" s="0" t="n">
        <f aca="false">IF(ISBLANK(RawFinancials!S624),"",RawFinancials!S624)</f>
        <v>1</v>
      </c>
      <c r="T624" s="0" t="n">
        <f aca="false">IF(ISBLANK(RawFinancials!T624),"",RawFinancials!T624)</f>
        <v>1275</v>
      </c>
      <c r="U624" s="0" t="n">
        <f aca="false">IF(ISBLANK(RawFinancials!U624),"",RawFinancials!U624)</f>
        <v>0</v>
      </c>
      <c r="V624" s="0" t="n">
        <f aca="false">IF(ISBLANK(RawFinancials!V624),"",RawFinancials!V624)</f>
        <v>17.6109436246782</v>
      </c>
      <c r="W624" s="0" t="n">
        <f aca="false">IF(ISBLANK(RawFinancials!W624),"",RawFinancials!W624)</f>
        <v>20241231</v>
      </c>
      <c r="X624" s="0" t="n">
        <f aca="false">IF(ISBLANK(RawFinancials!X624),"",RawFinancials!X624)</f>
        <v>-0.0231009511565541</v>
      </c>
      <c r="Y624" s="0" t="n">
        <f aca="false">IF(ISBLANK(RawFinancials!Y624),"",RawFinancials!Y624)</f>
        <v>-0.25</v>
      </c>
      <c r="Z624" s="0" t="str">
        <f aca="false">IF(ISBLANK(RawFinancials!Z624),"",RawFinancials!Z624)</f>
        <v>NH</v>
      </c>
      <c r="AA624" s="0" t="n">
        <f aca="false">RawFinancials!AA624</f>
        <v>1</v>
      </c>
      <c r="AB624" s="0" t="n">
        <f aca="false">RawFinancials!AB624</f>
        <v>0</v>
      </c>
      <c r="AC624" s="0" t="n">
        <f aca="false">RawFinancials!AC624</f>
        <v>0</v>
      </c>
      <c r="AD624" s="0" t="n">
        <f aca="false">IF(L624&gt;0,100*N624/L624,"")</f>
        <v>90.3531054052817</v>
      </c>
      <c r="AE624" s="0" t="n">
        <f aca="false">IF(B624&gt;0,100*F624/B624,"")</f>
        <v>9.24947521067629</v>
      </c>
      <c r="AF624" s="0" t="str">
        <f aca="false">RawFinancials!AE624</f>
        <v/>
      </c>
    </row>
    <row r="625" customFormat="false" ht="15" hidden="false" customHeight="false" outlineLevel="0" collapsed="false">
      <c r="A625" s="0" t="n">
        <f aca="false">IF(ISBLANK(RawFinancials!A625),"",RawFinancials!A625)</f>
        <v>625</v>
      </c>
      <c r="B625" s="0" t="n">
        <f aca="false">IF(ISBLANK(RawFinancials!B625),"",RawFinancials!B625)</f>
        <v>102307</v>
      </c>
      <c r="C625" s="0" t="n">
        <f aca="false">IF(ISBLANK(RawFinancials!C625),"",RawFinancials!C625)</f>
        <v>28288</v>
      </c>
      <c r="D625" s="0" t="n">
        <f aca="false">IF(ISBLANK(RawFinancials!D625),"",RawFinancials!D625)</f>
        <v>74614</v>
      </c>
      <c r="E625" s="0" t="n">
        <f aca="false">IF(ISBLANK(RawFinancials!E625),"",RawFinancials!E625)</f>
        <v>-0.07</v>
      </c>
      <c r="F625" s="0" t="n">
        <f aca="false">IF(ISBLANK(RawFinancials!F625),"",RawFinancials!F625)</f>
        <v>5875</v>
      </c>
      <c r="G625" s="0" t="n">
        <f aca="false">IF(ISBLANK(RawFinancials!G625),"",RawFinancials!G625)</f>
        <v>5.74252006216583</v>
      </c>
      <c r="H625" s="0" t="str">
        <f aca="false">IF(ISBLANK(RawFinancials!H625),"",RawFinancials!H625)</f>
        <v>28288_20241231</v>
      </c>
      <c r="I625" s="0" t="n">
        <f aca="false">IF(ISBLANK(RawFinancials!I625),"",RawFinancials!I625)</f>
        <v>0.968060031747559</v>
      </c>
      <c r="J625" s="0" t="n">
        <f aca="false">IF(ISBLANK(RawFinancials!J625),"",RawFinancials!J625)</f>
        <v>4448</v>
      </c>
      <c r="K625" s="0" t="n">
        <f aca="false">IF(ISBLANK(RawFinancials!K625),"",RawFinancials!K625)</f>
        <v>3568</v>
      </c>
      <c r="L625" s="0" t="n">
        <f aca="false">IF(ISBLANK(RawFinancials!L625),"",RawFinancials!L625)</f>
        <v>83156</v>
      </c>
      <c r="M625" s="0" t="n">
        <f aca="false">IF(ISBLANK(RawFinancials!M625),"",RawFinancials!M625)</f>
        <v>82351</v>
      </c>
      <c r="N625" s="0" t="n">
        <f aca="false">IF(ISBLANK(RawFinancials!N625),"",RawFinancials!N625)</f>
        <v>75140</v>
      </c>
      <c r="O625" s="0" t="n">
        <f aca="false">IF(ISBLANK(RawFinancials!O625),"",RawFinancials!O625)</f>
        <v>137</v>
      </c>
      <c r="P625" s="0" t="str">
        <f aca="false">IF(ISBLANK(RawFinancials!P625),"",RawFinancials!P625)</f>
        <v>AUBURN SAVINGS BANK, FSB</v>
      </c>
      <c r="Q625" s="0" t="n">
        <f aca="false">IF(ISBLANK(RawFinancials!Q625),"",RawFinancials!Q625)</f>
        <v>0.164750589253932</v>
      </c>
      <c r="R625" s="0" t="n">
        <f aca="false">IF(ISBLANK(RawFinancials!R625),"",RawFinancials!R625)</f>
        <v>2.59413030837813</v>
      </c>
      <c r="S625" s="0" t="n">
        <f aca="false">IF(ISBLANK(RawFinancials!S625),"",RawFinancials!S625)</f>
        <v>0</v>
      </c>
      <c r="T625" s="0" t="n">
        <f aca="false">IF(ISBLANK(RawFinancials!T625),"",RawFinancials!T625)</f>
        <v>493</v>
      </c>
      <c r="U625" s="0" t="n">
        <f aca="false">IF(ISBLANK(RawFinancials!U625),"",RawFinancials!U625)</f>
        <v>0</v>
      </c>
      <c r="V625" s="0" t="n">
        <f aca="false">IF(ISBLANK(RawFinancials!V625),"",RawFinancials!V625)</f>
        <v>13.0257542310522</v>
      </c>
      <c r="W625" s="0" t="n">
        <f aca="false">IF(ISBLANK(RawFinancials!W625),"",RawFinancials!W625)</f>
        <v>20241231</v>
      </c>
      <c r="X625" s="0" t="n">
        <f aca="false">IF(ISBLANK(RawFinancials!X625),"",RawFinancials!X625)</f>
        <v>0.0310049879274328</v>
      </c>
      <c r="Y625" s="0" t="n">
        <f aca="false">IF(ISBLANK(RawFinancials!Y625),"",RawFinancials!Y625)</f>
        <v>0.53</v>
      </c>
      <c r="Z625" s="0" t="str">
        <f aca="false">IF(ISBLANK(RawFinancials!Z625),"",RawFinancials!Z625)</f>
        <v>ME</v>
      </c>
      <c r="AA625" s="0" t="n">
        <f aca="false">RawFinancials!AA625</f>
        <v>1</v>
      </c>
      <c r="AB625" s="0" t="n">
        <f aca="false">RawFinancials!AB625</f>
        <v>137</v>
      </c>
      <c r="AC625" s="0" t="n">
        <f aca="false">RawFinancials!AC625</f>
        <v>0.133910680598591</v>
      </c>
      <c r="AD625" s="0" t="n">
        <f aca="false">IF(L625&gt;0,100*N625/L625,"")</f>
        <v>90.3602866900765</v>
      </c>
      <c r="AE625" s="0" t="n">
        <f aca="false">IF(B625&gt;0,100*F625/B625,"")</f>
        <v>5.74252006216583</v>
      </c>
      <c r="AF625" s="0" t="str">
        <f aca="false">RawFinancials!AE625</f>
        <v/>
      </c>
    </row>
    <row r="626" customFormat="false" ht="15" hidden="false" customHeight="false" outlineLevel="0" collapsed="false">
      <c r="A626" s="0" t="n">
        <f aca="false">IF(ISBLANK(RawFinancials!A626),"",RawFinancials!A626)</f>
        <v>626</v>
      </c>
      <c r="B626" s="0" t="n">
        <f aca="false">IF(ISBLANK(RawFinancials!B626),"",RawFinancials!B626)</f>
        <v>93759</v>
      </c>
      <c r="C626" s="0" t="n">
        <f aca="false">IF(ISBLANK(RawFinancials!C626),"",RawFinancials!C626)</f>
        <v>28369</v>
      </c>
      <c r="D626" s="0" t="n">
        <f aca="false">IF(ISBLANK(RawFinancials!D626),"",RawFinancials!D626)</f>
        <v>74708</v>
      </c>
      <c r="E626" s="0" t="n">
        <f aca="false">IF(ISBLANK(RawFinancials!E626),"",RawFinancials!E626)</f>
        <v>0.04</v>
      </c>
      <c r="F626" s="0" t="n">
        <f aca="false">IF(ISBLANK(RawFinancials!F626),"",RawFinancials!F626)</f>
        <v>9043</v>
      </c>
      <c r="G626" s="0" t="n">
        <f aca="false">IF(ISBLANK(RawFinancials!G626),"",RawFinancials!G626)</f>
        <v>9.64494075235444</v>
      </c>
      <c r="H626" s="0" t="str">
        <f aca="false">IF(ISBLANK(RawFinancials!H626),"",RawFinancials!H626)</f>
        <v>28369_20241231</v>
      </c>
      <c r="I626" s="0" t="n">
        <f aca="false">IF(ISBLANK(RawFinancials!I626),"",RawFinancials!I626)</f>
        <v>0.769315849627017</v>
      </c>
      <c r="J626" s="0" t="n">
        <f aca="false">IF(ISBLANK(RawFinancials!J626),"",RawFinancials!J626)</f>
        <v>12423</v>
      </c>
      <c r="K626" s="0" t="n">
        <f aca="false">IF(ISBLANK(RawFinancials!K626),"",RawFinancials!K626)</f>
        <v>628</v>
      </c>
      <c r="L626" s="0" t="n">
        <f aca="false">IF(ISBLANK(RawFinancials!L626),"",RawFinancials!L626)</f>
        <v>81371</v>
      </c>
      <c r="M626" s="0" t="n">
        <f aca="false">IF(ISBLANK(RawFinancials!M626),"",RawFinancials!M626)</f>
        <v>80745</v>
      </c>
      <c r="N626" s="0" t="n">
        <f aca="false">IF(ISBLANK(RawFinancials!N626),"",RawFinancials!N626)</f>
        <v>68320</v>
      </c>
      <c r="O626" s="0" t="n">
        <f aca="false">IF(ISBLANK(RawFinancials!O626),"",RawFinancials!O626)</f>
        <v>208</v>
      </c>
      <c r="P626" s="0" t="str">
        <f aca="false">IF(ISBLANK(RawFinancials!P626),"",RawFinancials!P626)</f>
        <v>ROCKLAND SAVINGS BANK, FSB</v>
      </c>
      <c r="Q626" s="0" t="n">
        <f aca="false">IF(ISBLANK(RawFinancials!Q626),"",RawFinancials!Q626)</f>
        <v>0.255619323837731</v>
      </c>
      <c r="R626" s="0" t="n">
        <f aca="false">IF(ISBLANK(RawFinancials!R626),"",RawFinancials!R626)</f>
        <v>2.91091148746691</v>
      </c>
      <c r="S626" s="0" t="n">
        <f aca="false">IF(ISBLANK(RawFinancials!S626),"",RawFinancials!S626)</f>
        <v>-4</v>
      </c>
      <c r="T626" s="0" t="n">
        <f aca="false">IF(ISBLANK(RawFinancials!T626),"",RawFinancials!T626)</f>
        <v>150</v>
      </c>
      <c r="U626" s="0" t="n">
        <f aca="false">IF(ISBLANK(RawFinancials!U626),"",RawFinancials!U626)</f>
        <v>0</v>
      </c>
      <c r="V626" s="0" t="n">
        <f aca="false">IF(ISBLANK(RawFinancials!V626),"",RawFinancials!V626)</f>
        <v>13.8247801806983</v>
      </c>
      <c r="W626" s="0" t="n">
        <f aca="false">IF(ISBLANK(RawFinancials!W626),"",RawFinancials!W626)</f>
        <v>20241231</v>
      </c>
      <c r="X626" s="0" t="n">
        <f aca="false">IF(ISBLANK(RawFinancials!X626),"",RawFinancials!X626)</f>
        <v>-0.324465319202005</v>
      </c>
      <c r="Y626" s="0" t="n">
        <f aca="false">IF(ISBLANK(RawFinancials!Y626),"",RawFinancials!Y626)</f>
        <v>-3.33</v>
      </c>
      <c r="Z626" s="0" t="str">
        <f aca="false">IF(ISBLANK(RawFinancials!Z626),"",RawFinancials!Z626)</f>
        <v>ME</v>
      </c>
      <c r="AA626" s="0" t="n">
        <f aca="false">RawFinancials!AA626</f>
        <v>1</v>
      </c>
      <c r="AB626" s="0" t="n">
        <f aca="false">RawFinancials!AB626</f>
        <v>208</v>
      </c>
      <c r="AC626" s="0" t="n">
        <f aca="false">RawFinancials!AC626</f>
        <v>0.221845369511194</v>
      </c>
      <c r="AD626" s="0" t="n">
        <f aca="false">IF(L626&gt;0,100*N626/L626,"")</f>
        <v>83.9611163682393</v>
      </c>
      <c r="AE626" s="0" t="n">
        <f aca="false">IF(B626&gt;0,100*F626/B626,"")</f>
        <v>9.64494075235444</v>
      </c>
      <c r="AF626" s="0" t="str">
        <f aca="false">RawFinancials!AE626</f>
        <v/>
      </c>
    </row>
    <row r="627" customFormat="false" ht="15" hidden="false" customHeight="false" outlineLevel="0" collapsed="false">
      <c r="A627" s="0" t="n">
        <f aca="false">IF(ISBLANK(RawFinancials!A627),"",RawFinancials!A627)</f>
        <v>627</v>
      </c>
      <c r="B627" s="0" t="n">
        <f aca="false">IF(ISBLANK(RawFinancials!B627),"",RawFinancials!B627)</f>
        <v>287826</v>
      </c>
      <c r="C627" s="0" t="n">
        <f aca="false">IF(ISBLANK(RawFinancials!C627),"",RawFinancials!C627)</f>
        <v>28837</v>
      </c>
      <c r="D627" s="0" t="n">
        <f aca="false">IF(ISBLANK(RawFinancials!D627),"",RawFinancials!D627)</f>
        <v>255992</v>
      </c>
      <c r="E627" s="0" t="n">
        <f aca="false">IF(ISBLANK(RawFinancials!E627),"",RawFinancials!E627)</f>
        <v>-0.07</v>
      </c>
      <c r="F627" s="0" t="n">
        <f aca="false">IF(ISBLANK(RawFinancials!F627),"",RawFinancials!F627)</f>
        <v>28739</v>
      </c>
      <c r="G627" s="0" t="n">
        <f aca="false">IF(ISBLANK(RawFinancials!G627),"",RawFinancials!G627)</f>
        <v>9.98485195916978</v>
      </c>
      <c r="H627" s="0" t="str">
        <f aca="false">IF(ISBLANK(RawFinancials!H627),"",RawFinancials!H627)</f>
        <v>28837_20241231</v>
      </c>
      <c r="I627" s="0" t="n">
        <f aca="false">IF(ISBLANK(RawFinancials!I627),"",RawFinancials!I627)</f>
        <v>1.08825616548882</v>
      </c>
      <c r="J627" s="0" t="n">
        <f aca="false">IF(ISBLANK(RawFinancials!J627),"",RawFinancials!J627)</f>
        <v>7327</v>
      </c>
      <c r="K627" s="0" t="n">
        <f aca="false">IF(ISBLANK(RawFinancials!K627),"",RawFinancials!K627)</f>
        <v>776</v>
      </c>
      <c r="L627" s="0" t="n">
        <f aca="false">IF(ISBLANK(RawFinancials!L627),"",RawFinancials!L627)</f>
        <v>205742</v>
      </c>
      <c r="M627" s="0" t="n">
        <f aca="false">IF(ISBLANK(RawFinancials!M627),"",RawFinancials!M627)</f>
        <v>203503</v>
      </c>
      <c r="N627" s="0" t="n">
        <f aca="false">IF(ISBLANK(RawFinancials!N627),"",RawFinancials!N627)</f>
        <v>197027</v>
      </c>
      <c r="O627" s="0" t="n">
        <f aca="false">IF(ISBLANK(RawFinancials!O627),"",RawFinancials!O627)</f>
        <v>0</v>
      </c>
      <c r="P627" s="0" t="str">
        <f aca="false">IF(ISBLANK(RawFinancials!P627),"",RawFinancials!P627)</f>
        <v>THE BRATTLEBORO SAVINGS AND LOAN ASSOCIATION</v>
      </c>
      <c r="Q627" s="0" t="n">
        <f aca="false">IF(ISBLANK(RawFinancials!Q627),"",RawFinancials!Q627)</f>
        <v>0</v>
      </c>
      <c r="R627" s="0" t="n">
        <f aca="false">IF(ISBLANK(RawFinancials!R627),"",RawFinancials!R627)</f>
        <v>3.81936249099964</v>
      </c>
      <c r="S627" s="0" t="n">
        <f aca="false">IF(ISBLANK(RawFinancials!S627),"",RawFinancials!S627)</f>
        <v>-56</v>
      </c>
      <c r="T627" s="0" t="n">
        <f aca="false">IF(ISBLANK(RawFinancials!T627),"",RawFinancials!T627)</f>
        <v>688</v>
      </c>
      <c r="U627" s="0" t="n">
        <f aca="false">IF(ISBLANK(RawFinancials!U627),"",RawFinancials!U627)</f>
        <v>0</v>
      </c>
      <c r="V627" s="0" t="n">
        <f aca="false">IF(ISBLANK(RawFinancials!V627),"",RawFinancials!V627)</f>
        <v>17.8530996972904</v>
      </c>
      <c r="W627" s="0" t="n">
        <f aca="false">IF(ISBLANK(RawFinancials!W627),"",RawFinancials!W627)</f>
        <v>20241231</v>
      </c>
      <c r="X627" s="0" t="n">
        <f aca="false">IF(ISBLANK(RawFinancials!X627),"",RawFinancials!X627)</f>
        <v>0.89725198998678</v>
      </c>
      <c r="Y627" s="0" t="n">
        <f aca="false">IF(ISBLANK(RawFinancials!Y627),"",RawFinancials!Y627)</f>
        <v>9.33</v>
      </c>
      <c r="Z627" s="0" t="str">
        <f aca="false">IF(ISBLANK(RawFinancials!Z627),"",RawFinancials!Z627)</f>
        <v>VT</v>
      </c>
      <c r="AA627" s="0" t="n">
        <f aca="false">RawFinancials!AA627</f>
        <v>1</v>
      </c>
      <c r="AB627" s="0" t="n">
        <f aca="false">RawFinancials!AB627</f>
        <v>0</v>
      </c>
      <c r="AC627" s="0" t="n">
        <f aca="false">RawFinancials!AC627</f>
        <v>0</v>
      </c>
      <c r="AD627" s="0" t="n">
        <f aca="false">IF(L627&gt;0,100*N627/L627,"")</f>
        <v>95.764112334866</v>
      </c>
      <c r="AE627" s="0" t="n">
        <f aca="false">IF(B627&gt;0,100*F627/B627,"")</f>
        <v>9.98485195916978</v>
      </c>
      <c r="AF627" s="0" t="str">
        <f aca="false">RawFinancials!AE627</f>
        <v/>
      </c>
    </row>
    <row r="628" customFormat="false" ht="15" hidden="false" customHeight="false" outlineLevel="0" collapsed="false">
      <c r="A628" s="0" t="n">
        <f aca="false">IF(ISBLANK(RawFinancials!A628),"",RawFinancials!A628)</f>
        <v>628</v>
      </c>
      <c r="B628" s="0" t="n">
        <f aca="false">IF(ISBLANK(RawFinancials!B628),"",RawFinancials!B628)</f>
        <v>182860</v>
      </c>
      <c r="C628" s="0" t="n">
        <f aca="false">IF(ISBLANK(RawFinancials!C628),"",RawFinancials!C628)</f>
        <v>29636</v>
      </c>
      <c r="D628" s="0" t="n">
        <f aca="false">IF(ISBLANK(RawFinancials!D628),"",RawFinancials!D628)</f>
        <v>141498</v>
      </c>
      <c r="E628" s="0" t="n">
        <f aca="false">IF(ISBLANK(RawFinancials!E628),"",RawFinancials!E628)</f>
        <v>0.04</v>
      </c>
      <c r="F628" s="0" t="n">
        <f aca="false">IF(ISBLANK(RawFinancials!F628),"",RawFinancials!F628)</f>
        <v>27319</v>
      </c>
      <c r="G628" s="0" t="n">
        <f aca="false">IF(ISBLANK(RawFinancials!G628),"",RawFinancials!G628)</f>
        <v>14.9398446899267</v>
      </c>
      <c r="H628" s="0" t="str">
        <f aca="false">IF(ISBLANK(RawFinancials!H628),"",RawFinancials!H628)</f>
        <v>29636_20241231</v>
      </c>
      <c r="I628" s="0" t="n">
        <f aca="false">IF(ISBLANK(RawFinancials!I628),"",RawFinancials!I628)</f>
        <v>1.37296897564515</v>
      </c>
      <c r="J628" s="0" t="n">
        <f aca="false">IF(ISBLANK(RawFinancials!J628),"",RawFinancials!J628)</f>
        <v>1557</v>
      </c>
      <c r="K628" s="0" t="n">
        <f aca="false">IF(ISBLANK(RawFinancials!K628),"",RawFinancials!K628)</f>
        <v>1947</v>
      </c>
      <c r="L628" s="0" t="n">
        <f aca="false">IF(ISBLANK(RawFinancials!L628),"",RawFinancials!L628)</f>
        <v>143339</v>
      </c>
      <c r="M628" s="0" t="n">
        <f aca="false">IF(ISBLANK(RawFinancials!M628),"",RawFinancials!M628)</f>
        <v>141371</v>
      </c>
      <c r="N628" s="0" t="n">
        <f aca="false">IF(ISBLANK(RawFinancials!N628),"",RawFinancials!N628)</f>
        <v>139835</v>
      </c>
      <c r="O628" s="0" t="n">
        <f aca="false">IF(ISBLANK(RawFinancials!O628),"",RawFinancials!O628)</f>
        <v>2868</v>
      </c>
      <c r="P628" s="0" t="str">
        <f aca="false">IF(ISBLANK(RawFinancials!P628),"",RawFinancials!P628)</f>
        <v>FIRST FEDERAL SAVINGS AND LOAN ASSOCIATION OF BATH</v>
      </c>
      <c r="Q628" s="0" t="n">
        <f aca="false">IF(ISBLANK(RawFinancials!Q628),"",RawFinancials!Q628)</f>
        <v>2.00085112914141</v>
      </c>
      <c r="R628" s="0" t="n">
        <f aca="false">IF(ISBLANK(RawFinancials!R628),"",RawFinancials!R628)</f>
        <v>3.5143306118266</v>
      </c>
      <c r="S628" s="0" t="n">
        <f aca="false">IF(ISBLANK(RawFinancials!S628),"",RawFinancials!S628)</f>
        <v>1</v>
      </c>
      <c r="T628" s="0" t="n">
        <f aca="false">IF(ISBLANK(RawFinancials!T628),"",RawFinancials!T628)</f>
        <v>4173</v>
      </c>
      <c r="U628" s="0" t="n">
        <f aca="false">IF(ISBLANK(RawFinancials!U628),"",RawFinancials!U628)</f>
        <v>0</v>
      </c>
      <c r="V628" s="0" t="n">
        <f aca="false">IF(ISBLANK(RawFinancials!V628),"",RawFinancials!V628)</f>
        <v>26.7512284310365</v>
      </c>
      <c r="W628" s="0" t="n">
        <f aca="false">IF(ISBLANK(RawFinancials!W628),"",RawFinancials!W628)</f>
        <v>20241231</v>
      </c>
      <c r="X628" s="0" t="n">
        <f aca="false">IF(ISBLANK(RawFinancials!X628),"",RawFinancials!X628)</f>
        <v>0.375798155374246</v>
      </c>
      <c r="Y628" s="0" t="n">
        <f aca="false">IF(ISBLANK(RawFinancials!Y628),"",RawFinancials!Y628)</f>
        <v>2.57</v>
      </c>
      <c r="Z628" s="0" t="str">
        <f aca="false">IF(ISBLANK(RawFinancials!Z628),"",RawFinancials!Z628)</f>
        <v>ME</v>
      </c>
      <c r="AA628" s="0" t="n">
        <f aca="false">RawFinancials!AA628</f>
        <v>1</v>
      </c>
      <c r="AB628" s="0" t="n">
        <f aca="false">RawFinancials!AB628</f>
        <v>2868</v>
      </c>
      <c r="AC628" s="0" t="n">
        <f aca="false">RawFinancials!AC628</f>
        <v>1.56841299354698</v>
      </c>
      <c r="AD628" s="0" t="n">
        <f aca="false">IF(L628&gt;0,100*N628/L628,"")</f>
        <v>97.5554454823879</v>
      </c>
      <c r="AE628" s="0" t="n">
        <f aca="false">IF(B628&gt;0,100*F628/B628,"")</f>
        <v>14.9398446899267</v>
      </c>
      <c r="AF628" s="0" t="str">
        <f aca="false">RawFinancials!AE628</f>
        <v/>
      </c>
    </row>
    <row r="629" customFormat="false" ht="15" hidden="false" customHeight="false" outlineLevel="0" collapsed="false">
      <c r="A629" s="0" t="n">
        <f aca="false">IF(ISBLANK(RawFinancials!A629),"",RawFinancials!A629)</f>
        <v>629</v>
      </c>
      <c r="B629" s="0" t="n">
        <f aca="false">IF(ISBLANK(RawFinancials!B629),"",RawFinancials!B629)</f>
        <v>202964</v>
      </c>
      <c r="C629" s="0" t="n">
        <f aca="false">IF(ISBLANK(RawFinancials!C629),"",RawFinancials!C629)</f>
        <v>29743</v>
      </c>
      <c r="D629" s="0" t="n">
        <f aca="false">IF(ISBLANK(RawFinancials!D629),"",RawFinancials!D629)</f>
        <v>178152</v>
      </c>
      <c r="E629" s="0" t="n">
        <f aca="false">IF(ISBLANK(RawFinancials!E629),"",RawFinancials!E629)</f>
        <v>-0.02</v>
      </c>
      <c r="F629" s="0" t="n">
        <f aca="false">IF(ISBLANK(RawFinancials!F629),"",RawFinancials!F629)</f>
        <v>18066</v>
      </c>
      <c r="G629" s="0" t="n">
        <f aca="false">IF(ISBLANK(RawFinancials!G629),"",RawFinancials!G629)</f>
        <v>8.90108590686033</v>
      </c>
      <c r="H629" s="0" t="str">
        <f aca="false">IF(ISBLANK(RawFinancials!H629),"",RawFinancials!H629)</f>
        <v>29743_20241231</v>
      </c>
      <c r="I629" s="0" t="n">
        <f aca="false">IF(ISBLANK(RawFinancials!I629),"",RawFinancials!I629)</f>
        <v>0.639881503425292</v>
      </c>
      <c r="J629" s="0" t="n">
        <f aca="false">IF(ISBLANK(RawFinancials!J629),"",RawFinancials!J629)</f>
        <v>25569</v>
      </c>
      <c r="K629" s="0" t="n">
        <f aca="false">IF(ISBLANK(RawFinancials!K629),"",RawFinancials!K629)</f>
        <v>21278</v>
      </c>
      <c r="L629" s="0" t="n">
        <f aca="false">IF(ISBLANK(RawFinancials!L629),"",RawFinancials!L629)</f>
        <v>135025</v>
      </c>
      <c r="M629" s="0" t="n">
        <f aca="false">IF(ISBLANK(RawFinancials!M629),"",RawFinancials!M629)</f>
        <v>134161</v>
      </c>
      <c r="N629" s="0" t="n">
        <f aca="false">IF(ISBLANK(RawFinancials!N629),"",RawFinancials!N629)</f>
        <v>88138</v>
      </c>
      <c r="O629" s="0" t="n">
        <f aca="false">IF(ISBLANK(RawFinancials!O629),"",RawFinancials!O629)</f>
        <v>647</v>
      </c>
      <c r="P629" s="0" t="str">
        <f aca="false">IF(ISBLANK(RawFinancials!P629),"",RawFinancials!P629)</f>
        <v>AROOSTOOK COUNTY FEDERAL SAVINGS AND LOAN ASSOCIATION</v>
      </c>
      <c r="Q629" s="0" t="n">
        <f aca="false">IF(ISBLANK(RawFinancials!Q629),"",RawFinancials!Q629)</f>
        <v>0.479170523977041</v>
      </c>
      <c r="R629" s="0" t="n">
        <f aca="false">IF(ISBLANK(RawFinancials!R629),"",RawFinancials!R629)</f>
        <v>2.2949156982309</v>
      </c>
      <c r="S629" s="0" t="n">
        <f aca="false">IF(ISBLANK(RawFinancials!S629),"",RawFinancials!S629)</f>
        <v>-7</v>
      </c>
      <c r="T629" s="0" t="n">
        <f aca="false">IF(ISBLANK(RawFinancials!T629),"",RawFinancials!T629)</f>
        <v>1156</v>
      </c>
      <c r="U629" s="0" t="n">
        <f aca="false">IF(ISBLANK(RawFinancials!U629),"",RawFinancials!U629)</f>
        <v>0</v>
      </c>
      <c r="V629" s="0" t="n">
        <f aca="false">IF(ISBLANK(RawFinancials!V629),"",RawFinancials!V629)</f>
        <v>18.4150066221586</v>
      </c>
      <c r="W629" s="0" t="n">
        <f aca="false">IF(ISBLANK(RawFinancials!W629),"",RawFinancials!W629)</f>
        <v>20241231</v>
      </c>
      <c r="X629" s="0" t="n">
        <f aca="false">IF(ISBLANK(RawFinancials!X629),"",RawFinancials!X629)</f>
        <v>0.362792198666465</v>
      </c>
      <c r="Y629" s="0" t="n">
        <f aca="false">IF(ISBLANK(RawFinancials!Y629),"",RawFinancials!Y629)</f>
        <v>4</v>
      </c>
      <c r="Z629" s="0" t="str">
        <f aca="false">IF(ISBLANK(RawFinancials!Z629),"",RawFinancials!Z629)</f>
        <v>ME</v>
      </c>
      <c r="AA629" s="0" t="n">
        <f aca="false">RawFinancials!AA629</f>
        <v>1</v>
      </c>
      <c r="AB629" s="0" t="n">
        <f aca="false">RawFinancials!AB629</f>
        <v>647</v>
      </c>
      <c r="AC629" s="0" t="n">
        <f aca="false">RawFinancials!AC629</f>
        <v>0.318775743481603</v>
      </c>
      <c r="AD629" s="0" t="n">
        <f aca="false">IF(L629&gt;0,100*N629/L629,"")</f>
        <v>65.275319385299</v>
      </c>
      <c r="AE629" s="0" t="n">
        <f aca="false">IF(B629&gt;0,100*F629/B629,"")</f>
        <v>8.90108590686033</v>
      </c>
      <c r="AF629" s="0" t="str">
        <f aca="false">RawFinancials!AE629</f>
        <v/>
      </c>
    </row>
    <row r="630" customFormat="false" ht="15" hidden="false" customHeight="false" outlineLevel="0" collapsed="false">
      <c r="A630" s="0" t="n">
        <f aca="false">IF(ISBLANK(RawFinancials!A630),"",RawFinancials!A630)</f>
        <v>630</v>
      </c>
      <c r="B630" s="0" t="n">
        <f aca="false">IF(ISBLANK(RawFinancials!B630),"",RawFinancials!B630)</f>
        <v>581057</v>
      </c>
      <c r="C630" s="0" t="n">
        <f aca="false">IF(ISBLANK(RawFinancials!C630),"",RawFinancials!C630)</f>
        <v>29744</v>
      </c>
      <c r="D630" s="0" t="n">
        <f aca="false">IF(ISBLANK(RawFinancials!D630),"",RawFinancials!D630)</f>
        <v>472402</v>
      </c>
      <c r="E630" s="0" t="n">
        <f aca="false">IF(ISBLANK(RawFinancials!E630),"",RawFinancials!E630)</f>
        <v>-0.01</v>
      </c>
      <c r="F630" s="0" t="n">
        <f aca="false">IF(ISBLANK(RawFinancials!F630),"",RawFinancials!F630)</f>
        <v>44991</v>
      </c>
      <c r="G630" s="0" t="n">
        <f aca="false">IF(ISBLANK(RawFinancials!G630),"",RawFinancials!G630)</f>
        <v>7.74295809189116</v>
      </c>
      <c r="H630" s="0" t="str">
        <f aca="false">IF(ISBLANK(RawFinancials!H630),"",RawFinancials!H630)</f>
        <v>29744_20241231</v>
      </c>
      <c r="I630" s="0" t="n">
        <f aca="false">IF(ISBLANK(RawFinancials!I630),"",RawFinancials!I630)</f>
        <v>0.796474128299507</v>
      </c>
      <c r="J630" s="0" t="n">
        <f aca="false">IF(ISBLANK(RawFinancials!J630),"",RawFinancials!J630)</f>
        <v>23711</v>
      </c>
      <c r="K630" s="0" t="n">
        <f aca="false">IF(ISBLANK(RawFinancials!K630),"",RawFinancials!K630)</f>
        <v>12409</v>
      </c>
      <c r="L630" s="0" t="n">
        <f aca="false">IF(ISBLANK(RawFinancials!L630),"",RawFinancials!L630)</f>
        <v>437679</v>
      </c>
      <c r="M630" s="0" t="n">
        <f aca="false">IF(ISBLANK(RawFinancials!M630),"",RawFinancials!M630)</f>
        <v>434193</v>
      </c>
      <c r="N630" s="0" t="n">
        <f aca="false">IF(ISBLANK(RawFinancials!N630),"",RawFinancials!N630)</f>
        <v>401559</v>
      </c>
      <c r="O630" s="0" t="n">
        <f aca="false">IF(ISBLANK(RawFinancials!O630),"",RawFinancials!O630)</f>
        <v>0</v>
      </c>
      <c r="P630" s="0" t="str">
        <f aca="false">IF(ISBLANK(RawFinancials!P630),"",RawFinancials!P630)</f>
        <v>FIRST SEACOAST BANK</v>
      </c>
      <c r="Q630" s="0" t="n">
        <f aca="false">IF(ISBLANK(RawFinancials!Q630),"",RawFinancials!Q630)</f>
        <v>0</v>
      </c>
      <c r="R630" s="0" t="n">
        <f aca="false">IF(ISBLANK(RawFinancials!R630),"",RawFinancials!R630)</f>
        <v>2.10953348286959</v>
      </c>
      <c r="S630" s="0" t="n">
        <f aca="false">IF(ISBLANK(RawFinancials!S630),"",RawFinancials!S630)</f>
        <v>24</v>
      </c>
      <c r="T630" s="0" t="n">
        <f aca="false">IF(ISBLANK(RawFinancials!T630),"",RawFinancials!T630)</f>
        <v>0</v>
      </c>
      <c r="U630" s="0" t="n">
        <f aca="false">IF(ISBLANK(RawFinancials!U630),"",RawFinancials!U630)</f>
        <v>0</v>
      </c>
      <c r="V630" s="0" t="n">
        <f aca="false">IF(ISBLANK(RawFinancials!V630),"",RawFinancials!V630)</f>
        <v>15.5504255593346</v>
      </c>
      <c r="W630" s="0" t="n">
        <f aca="false">IF(ISBLANK(RawFinancials!W630),"",RawFinancials!W630)</f>
        <v>20241231</v>
      </c>
      <c r="X630" s="0" t="n">
        <f aca="false">IF(ISBLANK(RawFinancials!X630),"",RawFinancials!X630)</f>
        <v>-0.0833620014517603</v>
      </c>
      <c r="Y630" s="0" t="n">
        <f aca="false">IF(ISBLANK(RawFinancials!Y630),"",RawFinancials!Y630)</f>
        <v>-1.06</v>
      </c>
      <c r="Z630" s="0" t="str">
        <f aca="false">IF(ISBLANK(RawFinancials!Z630),"",RawFinancials!Z630)</f>
        <v>NH</v>
      </c>
      <c r="AA630" s="0" t="n">
        <f aca="false">RawFinancials!AA630</f>
        <v>1</v>
      </c>
      <c r="AB630" s="0" t="n">
        <f aca="false">RawFinancials!AB630</f>
        <v>0</v>
      </c>
      <c r="AC630" s="0" t="n">
        <f aca="false">RawFinancials!AC630</f>
        <v>0</v>
      </c>
      <c r="AD630" s="0" t="n">
        <f aca="false">IF(L630&gt;0,100*N630/L630,"")</f>
        <v>91.7473765019569</v>
      </c>
      <c r="AE630" s="0" t="n">
        <f aca="false">IF(B630&gt;0,100*F630/B630,"")</f>
        <v>7.74295809189116</v>
      </c>
      <c r="AF630" s="0" t="str">
        <f aca="false">RawFinancials!AE630</f>
        <v/>
      </c>
    </row>
    <row r="631" customFormat="false" ht="15" hidden="false" customHeight="false" outlineLevel="0" collapsed="false">
      <c r="A631" s="0" t="n">
        <f aca="false">IF(ISBLANK(RawFinancials!A631),"",RawFinancials!A631)</f>
        <v>631</v>
      </c>
      <c r="B631" s="0" t="n">
        <f aca="false">IF(ISBLANK(RawFinancials!B631),"",RawFinancials!B631)</f>
        <v>593799</v>
      </c>
      <c r="C631" s="0" t="n">
        <f aca="false">IF(ISBLANK(RawFinancials!C631),"",RawFinancials!C631)</f>
        <v>30350</v>
      </c>
      <c r="D631" s="0" t="n">
        <f aca="false">IF(ISBLANK(RawFinancials!D631),"",RawFinancials!D631)</f>
        <v>466175</v>
      </c>
      <c r="E631" s="0" t="n">
        <f aca="false">IF(ISBLANK(RawFinancials!E631),"",RawFinancials!E631)</f>
        <v>0</v>
      </c>
      <c r="F631" s="0" t="n">
        <f aca="false">IF(ISBLANK(RawFinancials!F631),"",RawFinancials!F631)</f>
        <v>60826</v>
      </c>
      <c r="G631" s="0" t="n">
        <f aca="false">IF(ISBLANK(RawFinancials!G631),"",RawFinancials!G631)</f>
        <v>10.2435335862809</v>
      </c>
      <c r="H631" s="0" t="str">
        <f aca="false">IF(ISBLANK(RawFinancials!H631),"",RawFinancials!H631)</f>
        <v>30350_20241231</v>
      </c>
      <c r="I631" s="0" t="n">
        <f aca="false">IF(ISBLANK(RawFinancials!I631),"",RawFinancials!I631)</f>
        <v>1.16042376502295</v>
      </c>
      <c r="J631" s="0" t="n">
        <f aca="false">IF(ISBLANK(RawFinancials!J631),"",RawFinancials!J631)</f>
        <v>15211</v>
      </c>
      <c r="K631" s="0" t="n">
        <f aca="false">IF(ISBLANK(RawFinancials!K631),"",RawFinancials!K631)</f>
        <v>1706</v>
      </c>
      <c r="L631" s="0" t="n">
        <f aca="false">IF(ISBLANK(RawFinancials!L631),"",RawFinancials!L631)</f>
        <v>456385</v>
      </c>
      <c r="M631" s="0" t="n">
        <f aca="false">IF(ISBLANK(RawFinancials!M631),"",RawFinancials!M631)</f>
        <v>451089</v>
      </c>
      <c r="N631" s="0" t="n">
        <f aca="false">IF(ISBLANK(RawFinancials!N631),"",RawFinancials!N631)</f>
        <v>438311</v>
      </c>
      <c r="O631" s="0" t="n">
        <f aca="false">IF(ISBLANK(RawFinancials!O631),"",RawFinancials!O631)</f>
        <v>1585</v>
      </c>
      <c r="P631" s="0" t="str">
        <f aca="false">IF(ISBLANK(RawFinancials!P631),"",RawFinancials!P631)</f>
        <v>THE BANK OF BENNINGTON</v>
      </c>
      <c r="Q631" s="0" t="n">
        <f aca="false">IF(ISBLANK(RawFinancials!Q631),"",RawFinancials!Q631)</f>
        <v>0.347294499161892</v>
      </c>
      <c r="R631" s="0" t="n">
        <f aca="false">IF(ISBLANK(RawFinancials!R631),"",RawFinancials!R631)</f>
        <v>2.64702965497799</v>
      </c>
      <c r="S631" s="0" t="n">
        <f aca="false">IF(ISBLANK(RawFinancials!S631),"",RawFinancials!S631)</f>
        <v>-208</v>
      </c>
      <c r="T631" s="0" t="n">
        <f aca="false">IF(ISBLANK(RawFinancials!T631),"",RawFinancials!T631)</f>
        <v>5535</v>
      </c>
      <c r="U631" s="0" t="n">
        <f aca="false">IF(ISBLANK(RawFinancials!U631),"",RawFinancials!U631)</f>
        <v>0</v>
      </c>
      <c r="V631" s="0" t="n">
        <f aca="false">IF(ISBLANK(RawFinancials!V631),"",RawFinancials!V631)</f>
        <v>20.2115949468161</v>
      </c>
      <c r="W631" s="0" t="n">
        <f aca="false">IF(ISBLANK(RawFinancials!W631),"",RawFinancials!W631)</f>
        <v>20241231</v>
      </c>
      <c r="X631" s="0" t="n">
        <f aca="false">IF(ISBLANK(RawFinancials!X631),"",RawFinancials!X631)</f>
        <v>0.659977862877419</v>
      </c>
      <c r="Y631" s="0" t="n">
        <f aca="false">IF(ISBLANK(RawFinancials!Y631),"",RawFinancials!Y631)</f>
        <v>6.44</v>
      </c>
      <c r="Z631" s="0" t="str">
        <f aca="false">IF(ISBLANK(RawFinancials!Z631),"",RawFinancials!Z631)</f>
        <v>VT</v>
      </c>
      <c r="AA631" s="0" t="n">
        <f aca="false">RawFinancials!AA631</f>
        <v>1</v>
      </c>
      <c r="AB631" s="0" t="n">
        <f aca="false">RawFinancials!AB631</f>
        <v>1585</v>
      </c>
      <c r="AC631" s="0" t="n">
        <f aca="false">RawFinancials!AC631</f>
        <v>0.266925340056147</v>
      </c>
      <c r="AD631" s="0" t="n">
        <f aca="false">IF(L631&gt;0,100*N631/L631,"")</f>
        <v>96.039747143311</v>
      </c>
      <c r="AE631" s="0" t="n">
        <f aca="false">IF(B631&gt;0,100*F631/B631,"")</f>
        <v>10.2435335862809</v>
      </c>
      <c r="AF631" s="0" t="str">
        <f aca="false">RawFinancials!AE631</f>
        <v/>
      </c>
    </row>
    <row r="632" customFormat="false" ht="15" hidden="false" customHeight="false" outlineLevel="0" collapsed="false">
      <c r="A632" s="0" t="n">
        <f aca="false">IF(ISBLANK(RawFinancials!A632),"",RawFinancials!A632)</f>
        <v>632</v>
      </c>
      <c r="B632" s="0" t="n">
        <f aca="false">IF(ISBLANK(RawFinancials!B632),"",RawFinancials!B632)</f>
        <v>99802</v>
      </c>
      <c r="C632" s="0" t="n">
        <f aca="false">IF(ISBLANK(RawFinancials!C632),"",RawFinancials!C632)</f>
        <v>30878</v>
      </c>
      <c r="D632" s="0" t="n">
        <f aca="false">IF(ISBLANK(RawFinancials!D632),"",RawFinancials!D632)</f>
        <v>75762</v>
      </c>
      <c r="E632" s="0" t="n">
        <f aca="false">IF(ISBLANK(RawFinancials!E632),"",RawFinancials!E632)</f>
        <v>0</v>
      </c>
      <c r="F632" s="0" t="n">
        <f aca="false">IF(ISBLANK(RawFinancials!F632),"",RawFinancials!F632)</f>
        <v>11821</v>
      </c>
      <c r="G632" s="0" t="n">
        <f aca="false">IF(ISBLANK(RawFinancials!G632),"",RawFinancials!G632)</f>
        <v>11.8444520149897</v>
      </c>
      <c r="H632" s="0" t="str">
        <f aca="false">IF(ISBLANK(RawFinancials!H632),"",RawFinancials!H632)</f>
        <v>30878_20241231</v>
      </c>
      <c r="I632" s="0" t="n">
        <f aca="false">IF(ISBLANK(RawFinancials!I632),"",RawFinancials!I632)</f>
        <v>0.822815703228506</v>
      </c>
      <c r="J632" s="0" t="n">
        <f aca="false">IF(ISBLANK(RawFinancials!J632),"",RawFinancials!J632)</f>
        <v>0</v>
      </c>
      <c r="K632" s="0" t="n">
        <f aca="false">IF(ISBLANK(RawFinancials!K632),"",RawFinancials!K632)</f>
        <v>168</v>
      </c>
      <c r="L632" s="0" t="n">
        <f aca="false">IF(ISBLANK(RawFinancials!L632),"",RawFinancials!L632)</f>
        <v>86046</v>
      </c>
      <c r="M632" s="0" t="n">
        <f aca="false">IF(ISBLANK(RawFinancials!M632),"",RawFinancials!M632)</f>
        <v>85338</v>
      </c>
      <c r="N632" s="0" t="n">
        <f aca="false">IF(ISBLANK(RawFinancials!N632),"",RawFinancials!N632)</f>
        <v>85877</v>
      </c>
      <c r="O632" s="0" t="n">
        <f aca="false">IF(ISBLANK(RawFinancials!O632),"",RawFinancials!O632)</f>
        <v>1428</v>
      </c>
      <c r="P632" s="0" t="str">
        <f aca="false">IF(ISBLANK(RawFinancials!P632),"",RawFinancials!P632)</f>
        <v>BAR HARBOR SAVINGS AND LOAN ASSOCIATION</v>
      </c>
      <c r="Q632" s="0" t="n">
        <f aca="false">IF(ISBLANK(RawFinancials!Q632),"",RawFinancials!Q632)</f>
        <v>1.65957743532529</v>
      </c>
      <c r="R632" s="0" t="n">
        <f aca="false">IF(ISBLANK(RawFinancials!R632),"",RawFinancials!R632)</f>
        <v>1.05272775262421</v>
      </c>
      <c r="S632" s="0" t="n">
        <f aca="false">IF(ISBLANK(RawFinancials!S632),"",RawFinancials!S632)</f>
        <v>0</v>
      </c>
      <c r="T632" s="0" t="n">
        <f aca="false">IF(ISBLANK(RawFinancials!T632),"",RawFinancials!T632)</f>
        <v>720</v>
      </c>
      <c r="U632" s="0" t="n">
        <f aca="false">IF(ISBLANK(RawFinancials!U632),"",RawFinancials!U632)</f>
        <v>0</v>
      </c>
      <c r="V632" s="0" t="n">
        <f aca="false">IF(ISBLANK(RawFinancials!V632),"",RawFinancials!V632)</f>
        <v>0</v>
      </c>
      <c r="W632" s="0" t="n">
        <f aca="false">IF(ISBLANK(RawFinancials!W632),"",RawFinancials!W632)</f>
        <v>20241231</v>
      </c>
      <c r="X632" s="0" t="n">
        <f aca="false">IF(ISBLANK(RawFinancials!X632),"",RawFinancials!X632)</f>
        <v>-0.519758644406928</v>
      </c>
      <c r="Y632" s="0" t="n">
        <f aca="false">IF(ISBLANK(RawFinancials!Y632),"",RawFinancials!Y632)</f>
        <v>-4.39</v>
      </c>
      <c r="Z632" s="0" t="str">
        <f aca="false">IF(ISBLANK(RawFinancials!Z632),"",RawFinancials!Z632)</f>
        <v>ME</v>
      </c>
      <c r="AA632" s="0" t="n">
        <f aca="false">RawFinancials!AA632</f>
        <v>1</v>
      </c>
      <c r="AB632" s="0" t="n">
        <f aca="false">RawFinancials!AB632</f>
        <v>1428</v>
      </c>
      <c r="AC632" s="0" t="n">
        <f aca="false">RawFinancials!AC632</f>
        <v>1.43083304943789</v>
      </c>
      <c r="AD632" s="0" t="n">
        <f aca="false">IF(L632&gt;0,100*N632/L632,"")</f>
        <v>99.8035934267717</v>
      </c>
      <c r="AE632" s="0" t="n">
        <f aca="false">IF(B632&gt;0,100*F632/B632,"")</f>
        <v>11.8444520149897</v>
      </c>
      <c r="AF632" s="0" t="str">
        <f aca="false">RawFinancials!AE632</f>
        <v>原始0：需核实适用/报告口径</v>
      </c>
    </row>
    <row r="633" customFormat="false" ht="15" hidden="false" customHeight="false" outlineLevel="0" collapsed="false">
      <c r="A633" s="0" t="n">
        <f aca="false">IF(ISBLANK(RawFinancials!A633),"",RawFinancials!A633)</f>
        <v>633</v>
      </c>
      <c r="B633" s="0" t="n">
        <f aca="false">IF(ISBLANK(RawFinancials!B633),"",RawFinancials!B633)</f>
        <v>950082</v>
      </c>
      <c r="C633" s="0" t="n">
        <f aca="false">IF(ISBLANK(RawFinancials!C633),"",RawFinancials!C633)</f>
        <v>33418</v>
      </c>
      <c r="D633" s="0" t="n">
        <f aca="false">IF(ISBLANK(RawFinancials!D633),"",RawFinancials!D633)</f>
        <v>811387</v>
      </c>
      <c r="E633" s="0" t="n">
        <f aca="false">IF(ISBLANK(RawFinancials!E633),"",RawFinancials!E633)</f>
        <v>0.07</v>
      </c>
      <c r="F633" s="0" t="n">
        <f aca="false">IF(ISBLANK(RawFinancials!F633),"",RawFinancials!F633)</f>
        <v>69717</v>
      </c>
      <c r="G633" s="0" t="n">
        <f aca="false">IF(ISBLANK(RawFinancials!G633),"",RawFinancials!G633)</f>
        <v>7.33799819384011</v>
      </c>
      <c r="H633" s="0" t="str">
        <f aca="false">IF(ISBLANK(RawFinancials!H633),"",RawFinancials!H633)</f>
        <v>33418_20241231</v>
      </c>
      <c r="I633" s="0" t="n">
        <f aca="false">IF(ISBLANK(RawFinancials!I633),"",RawFinancials!I633)</f>
        <v>0.648410884471085</v>
      </c>
      <c r="J633" s="0" t="n">
        <f aca="false">IF(ISBLANK(RawFinancials!J633),"",RawFinancials!J633)</f>
        <v>72559</v>
      </c>
      <c r="K633" s="0" t="n">
        <f aca="false">IF(ISBLANK(RawFinancials!K633),"",RawFinancials!K633)</f>
        <v>17090</v>
      </c>
      <c r="L633" s="0" t="n">
        <f aca="false">IF(ISBLANK(RawFinancials!L633),"",RawFinancials!L633)</f>
        <v>579725</v>
      </c>
      <c r="M633" s="0" t="n">
        <f aca="false">IF(ISBLANK(RawFinancials!M633),"",RawFinancials!M633)</f>
        <v>575966</v>
      </c>
      <c r="N633" s="0" t="n">
        <f aca="false">IF(ISBLANK(RawFinancials!N633),"",RawFinancials!N633)</f>
        <v>490295</v>
      </c>
      <c r="O633" s="0" t="n">
        <f aca="false">IF(ISBLANK(RawFinancials!O633),"",RawFinancials!O633)</f>
        <v>1277</v>
      </c>
      <c r="P633" s="0" t="str">
        <f aca="false">IF(ISBLANK(RawFinancials!P633),"",RawFinancials!P633)</f>
        <v>LEDYARD NATIONAL BANK</v>
      </c>
      <c r="Q633" s="0" t="n">
        <f aca="false">IF(ISBLANK(RawFinancials!Q633),"",RawFinancials!Q633)</f>
        <v>0.22027685540558</v>
      </c>
      <c r="R633" s="0" t="n">
        <f aca="false">IF(ISBLANK(RawFinancials!R633),"",RawFinancials!R633)</f>
        <v>2.29282626037658</v>
      </c>
      <c r="S633" s="0" t="n">
        <f aca="false">IF(ISBLANK(RawFinancials!S633),"",RawFinancials!S633)</f>
        <v>-53</v>
      </c>
      <c r="T633" s="0" t="n">
        <f aca="false">IF(ISBLANK(RawFinancials!T633),"",RawFinancials!T633)</f>
        <v>451</v>
      </c>
      <c r="U633" s="0" t="n">
        <f aca="false">IF(ISBLANK(RawFinancials!U633),"",RawFinancials!U633)</f>
        <v>0</v>
      </c>
      <c r="V633" s="0" t="n">
        <f aca="false">IF(ISBLANK(RawFinancials!V633),"",RawFinancials!V633)</f>
        <v>12.7244669976746</v>
      </c>
      <c r="W633" s="0" t="n">
        <f aca="false">IF(ISBLANK(RawFinancials!W633),"",RawFinancials!W633)</f>
        <v>20241231</v>
      </c>
      <c r="X633" s="0" t="n">
        <f aca="false">IF(ISBLANK(RawFinancials!X633),"",RawFinancials!X633)</f>
        <v>0.466342669650027</v>
      </c>
      <c r="Y633" s="0" t="n">
        <f aca="false">IF(ISBLANK(RawFinancials!Y633),"",RawFinancials!Y633)</f>
        <v>6.14</v>
      </c>
      <c r="Z633" s="0" t="str">
        <f aca="false">IF(ISBLANK(RawFinancials!Z633),"",RawFinancials!Z633)</f>
        <v>VT</v>
      </c>
      <c r="AA633" s="0" t="n">
        <f aca="false">RawFinancials!AA633</f>
        <v>1</v>
      </c>
      <c r="AB633" s="0" t="n">
        <f aca="false">RawFinancials!AB633</f>
        <v>1277</v>
      </c>
      <c r="AC633" s="0" t="n">
        <f aca="false">RawFinancials!AC633</f>
        <v>0.134409450973705</v>
      </c>
      <c r="AD633" s="0" t="n">
        <f aca="false">IF(L633&gt;0,100*N633/L633,"")</f>
        <v>84.5737202984174</v>
      </c>
      <c r="AE633" s="0" t="n">
        <f aca="false">IF(B633&gt;0,100*F633/B633,"")</f>
        <v>7.33799819384011</v>
      </c>
      <c r="AF633" s="0" t="str">
        <f aca="false">RawFinancials!AE633</f>
        <v/>
      </c>
    </row>
    <row r="634" customFormat="false" ht="15" hidden="false" customHeight="false" outlineLevel="0" collapsed="false">
      <c r="A634" s="0" t="n">
        <f aca="false">IF(ISBLANK(RawFinancials!A634),"",RawFinancials!A634)</f>
        <v>634</v>
      </c>
      <c r="B634" s="0" t="n">
        <f aca="false">IF(ISBLANK(RawFinancials!B634),"",RawFinancials!B634)</f>
        <v>63348</v>
      </c>
      <c r="C634" s="0" t="n">
        <f aca="false">IF(ISBLANK(RawFinancials!C634),"",RawFinancials!C634)</f>
        <v>35206</v>
      </c>
      <c r="D634" s="0" t="n">
        <f aca="false">IF(ISBLANK(RawFinancials!D634),"",RawFinancials!D634)</f>
        <v>500</v>
      </c>
      <c r="E634" s="0" t="n">
        <f aca="false">IF(ISBLANK(RawFinancials!E634),"",RawFinancials!E634)</f>
        <v>0</v>
      </c>
      <c r="F634" s="0" t="n">
        <f aca="false">IF(ISBLANK(RawFinancials!F634),"",RawFinancials!F634)</f>
        <v>60476</v>
      </c>
      <c r="G634" s="0" t="n">
        <f aca="false">IF(ISBLANK(RawFinancials!G634),"",RawFinancials!G634)</f>
        <v>95.466313064343</v>
      </c>
      <c r="H634" s="0" t="str">
        <f aca="false">IF(ISBLANK(RawFinancials!H634),"",RawFinancials!H634)</f>
        <v>35206_20241231</v>
      </c>
      <c r="I634" s="0" t="n">
        <f aca="false">IF(ISBLANK(RawFinancials!I634),"",RawFinancials!I634)</f>
        <v>0</v>
      </c>
      <c r="J634" s="0" t="n">
        <f aca="false">IF(ISBLANK(RawFinancials!J634),"",RawFinancials!J634)</f>
        <v>0</v>
      </c>
      <c r="K634" s="0" t="n">
        <f aca="false">IF(ISBLANK(RawFinancials!K634),"",RawFinancials!K634)</f>
        <v>0</v>
      </c>
      <c r="L634" s="0" t="n">
        <f aca="false">IF(ISBLANK(RawFinancials!L634),"",RawFinancials!L634)</f>
        <v>0</v>
      </c>
      <c r="M634" s="0" t="n">
        <f aca="false">IF(ISBLANK(RawFinancials!M634),"",RawFinancials!M634)</f>
        <v>0</v>
      </c>
      <c r="N634" s="0" t="n">
        <f aca="false">IF(ISBLANK(RawFinancials!N634),"",RawFinancials!N634)</f>
        <v>0</v>
      </c>
      <c r="O634" s="0" t="n">
        <f aca="false">IF(ISBLANK(RawFinancials!O634),"",RawFinancials!O634)</f>
        <v>0</v>
      </c>
      <c r="P634" s="0" t="str">
        <f aca="false">IF(ISBLANK(RawFinancials!P634),"",RawFinancials!P634)</f>
        <v>FIDELITY PERSONAL TRUST COMPANY, FSB</v>
      </c>
      <c r="Q634" s="0" t="n">
        <f aca="false">IF(ISBLANK(RawFinancials!Q634),"",RawFinancials!Q634)</f>
        <v>0</v>
      </c>
      <c r="R634" s="0" t="n">
        <f aca="false">IF(ISBLANK(RawFinancials!R634),"",RawFinancials!R634)</f>
        <v>5.07496249787789</v>
      </c>
      <c r="S634" s="0" t="n">
        <f aca="false">IF(ISBLANK(RawFinancials!S634),"",RawFinancials!S634)</f>
        <v>0</v>
      </c>
      <c r="T634" s="0" t="n">
        <f aca="false">IF(ISBLANK(RawFinancials!T634),"",RawFinancials!T634)</f>
        <v>0</v>
      </c>
      <c r="U634" s="0" t="n">
        <f aca="false">IF(ISBLANK(RawFinancials!U634),"",RawFinancials!U634)</f>
        <v>0</v>
      </c>
      <c r="V634" s="0" t="n">
        <f aca="false">IF(ISBLANK(RawFinancials!V634),"",RawFinancials!V634)</f>
        <v>0</v>
      </c>
      <c r="W634" s="0" t="n">
        <f aca="false">IF(ISBLANK(RawFinancials!W634),"",RawFinancials!W634)</f>
        <v>20241231</v>
      </c>
      <c r="X634" s="0" t="n">
        <f aca="false">IF(ISBLANK(RawFinancials!X634),"",RawFinancials!X634)</f>
        <v>20.2893757542401</v>
      </c>
      <c r="Y634" s="0" t="n">
        <f aca="false">IF(ISBLANK(RawFinancials!Y634),"",RawFinancials!Y634)</f>
        <v>21.03</v>
      </c>
      <c r="Z634" s="0" t="str">
        <f aca="false">IF(ISBLANK(RawFinancials!Z634),"",RawFinancials!Z634)</f>
        <v>NH</v>
      </c>
      <c r="AA634" s="0" t="n">
        <f aca="false">RawFinancials!AA634</f>
        <v>1</v>
      </c>
      <c r="AB634" s="0" t="n">
        <f aca="false">RawFinancials!AB634</f>
        <v>0</v>
      </c>
      <c r="AC634" s="0" t="n">
        <f aca="false">RawFinancials!AC634</f>
        <v>0</v>
      </c>
      <c r="AD634" s="0" t="str">
        <f aca="false">IF(L634&gt;0,100*N634/L634,"")</f>
        <v/>
      </c>
      <c r="AE634" s="0" t="n">
        <f aca="false">IF(B634&gt;0,100*F634/B634,"")</f>
        <v>95.466313064343</v>
      </c>
      <c r="AF634" s="0" t="str">
        <f aca="false">RawFinancials!AE634</f>
        <v>原始0：需核实适用/报告口径</v>
      </c>
    </row>
    <row r="635" customFormat="false" ht="15" hidden="false" customHeight="false" outlineLevel="0" collapsed="false">
      <c r="A635" s="0" t="n">
        <f aca="false">IF(ISBLANK(RawFinancials!A635),"",RawFinancials!A635)</f>
        <v>635</v>
      </c>
      <c r="B635" s="0" t="n">
        <f aca="false">IF(ISBLANK(RawFinancials!B635),"",RawFinancials!B635)</f>
        <v>5790238</v>
      </c>
      <c r="C635" s="0" t="n">
        <f aca="false">IF(ISBLANK(RawFinancials!C635),"",RawFinancials!C635)</f>
        <v>4255</v>
      </c>
      <c r="D635" s="0" t="n">
        <f aca="false">IF(ISBLANK(RawFinancials!D635),"",RawFinancials!D635)</f>
        <v>4671726</v>
      </c>
      <c r="E635" s="0" t="n">
        <f aca="false">IF(ISBLANK(RawFinancials!E635),"",RawFinancials!E635)</f>
        <v>0.01</v>
      </c>
      <c r="F635" s="0" t="n">
        <f aca="false">IF(ISBLANK(RawFinancials!F635),"",RawFinancials!F635)</f>
        <v>539279</v>
      </c>
      <c r="G635" s="0" t="n">
        <f aca="false">IF(ISBLANK(RawFinancials!G635),"",RawFinancials!G635)</f>
        <v>9.31358952775344</v>
      </c>
      <c r="H635" s="0" t="str">
        <f aca="false">IF(ISBLANK(RawFinancials!H635),"",RawFinancials!H635)</f>
        <v>4255_20241231</v>
      </c>
      <c r="I635" s="0" t="n">
        <f aca="false">IF(ISBLANK(RawFinancials!I635),"",RawFinancials!I635)</f>
        <v>0.865858777386467</v>
      </c>
      <c r="J635" s="0" t="n">
        <f aca="false">IF(ISBLANK(RawFinancials!J635),"",RawFinancials!J635)</f>
        <v>317650</v>
      </c>
      <c r="K635" s="0" t="n">
        <f aca="false">IF(ISBLANK(RawFinancials!K635),"",RawFinancials!K635)</f>
        <v>15066</v>
      </c>
      <c r="L635" s="0" t="n">
        <f aca="false">IF(ISBLANK(RawFinancials!L635),"",RawFinancials!L635)</f>
        <v>4126308</v>
      </c>
      <c r="M635" s="0" t="n">
        <f aca="false">IF(ISBLANK(RawFinancials!M635),"",RawFinancials!M635)</f>
        <v>4090580</v>
      </c>
      <c r="N635" s="0" t="n">
        <f aca="false">IF(ISBLANK(RawFinancials!N635),"",RawFinancials!N635)</f>
        <v>3755741</v>
      </c>
      <c r="O635" s="0" t="n">
        <f aca="false">IF(ISBLANK(RawFinancials!O635),"",RawFinancials!O635)</f>
        <v>4829</v>
      </c>
      <c r="P635" s="0" t="str">
        <f aca="false">IF(ISBLANK(RawFinancials!P635),"",RawFinancials!P635)</f>
        <v>THE CAMDEN NATIONAL BANK</v>
      </c>
      <c r="Q635" s="0" t="n">
        <f aca="false">IF(ISBLANK(RawFinancials!Q635),"",RawFinancials!Q635)</f>
        <v>0.117029557657838</v>
      </c>
      <c r="R635" s="0" t="n">
        <f aca="false">IF(ISBLANK(RawFinancials!R635),"",RawFinancials!R635)</f>
        <v>2.55088080553464</v>
      </c>
      <c r="S635" s="0" t="n">
        <f aca="false">IF(ISBLANK(RawFinancials!S635),"",RawFinancials!S635)</f>
        <v>1260</v>
      </c>
      <c r="T635" s="0" t="n">
        <f aca="false">IF(ISBLANK(RawFinancials!T635),"",RawFinancials!T635)</f>
        <v>2261</v>
      </c>
      <c r="U635" s="0" t="n">
        <f aca="false">IF(ISBLANK(RawFinancials!U635),"",RawFinancials!U635)</f>
        <v>0</v>
      </c>
      <c r="V635" s="0" t="n">
        <f aca="false">IF(ISBLANK(RawFinancials!V635),"",RawFinancials!V635)</f>
        <v>14.3631579775332</v>
      </c>
      <c r="W635" s="0" t="n">
        <f aca="false">IF(ISBLANK(RawFinancials!W635),"",RawFinancials!W635)</f>
        <v>20241231</v>
      </c>
      <c r="X635" s="0" t="n">
        <f aca="false">IF(ISBLANK(RawFinancials!X635),"",RawFinancials!X635)</f>
        <v>0.966146562932645</v>
      </c>
      <c r="Y635" s="0" t="n">
        <f aca="false">IF(ISBLANK(RawFinancials!Y635),"",RawFinancials!Y635)</f>
        <v>10.56</v>
      </c>
      <c r="Z635" s="0" t="str">
        <f aca="false">IF(ISBLANK(RawFinancials!Z635),"",RawFinancials!Z635)</f>
        <v>ME</v>
      </c>
      <c r="AA635" s="0" t="n">
        <f aca="false">RawFinancials!AA635</f>
        <v>1</v>
      </c>
      <c r="AB635" s="0" t="n">
        <f aca="false">RawFinancials!AB635</f>
        <v>4829</v>
      </c>
      <c r="AC635" s="0" t="n">
        <f aca="false">RawFinancials!AC635</f>
        <v>0.0833989898169989</v>
      </c>
      <c r="AD635" s="0" t="n">
        <f aca="false">IF(L635&gt;0,100*N635/L635,"")</f>
        <v>91.019405240714</v>
      </c>
      <c r="AE635" s="0" t="n">
        <f aca="false">IF(B635&gt;0,100*F635/B635,"")</f>
        <v>9.31358952775344</v>
      </c>
      <c r="AF635" s="0" t="str">
        <f aca="false">RawFinancials!AE635</f>
        <v/>
      </c>
    </row>
    <row r="636" customFormat="false" ht="15" hidden="false" customHeight="false" outlineLevel="0" collapsed="false">
      <c r="A636" s="0" t="n">
        <f aca="false">IF(ISBLANK(RawFinancials!A636),"",RawFinancials!A636)</f>
        <v>636</v>
      </c>
      <c r="B636" s="0" t="n">
        <f aca="false">IF(ISBLANK(RawFinancials!B636),"",RawFinancials!B636)</f>
        <v>3121442</v>
      </c>
      <c r="C636" s="0" t="n">
        <f aca="false">IF(ISBLANK(RawFinancials!C636),"",RawFinancials!C636)</f>
        <v>4256</v>
      </c>
      <c r="D636" s="0" t="n">
        <f aca="false">IF(ISBLANK(RawFinancials!D636),"",RawFinancials!D636)</f>
        <v>2726323</v>
      </c>
      <c r="E636" s="0" t="n">
        <f aca="false">IF(ISBLANK(RawFinancials!E636),"",RawFinancials!E636)</f>
        <v>0.02</v>
      </c>
      <c r="F636" s="0" t="n">
        <f aca="false">IF(ISBLANK(RawFinancials!F636),"",RawFinancials!F636)</f>
        <v>223532</v>
      </c>
      <c r="G636" s="0" t="n">
        <f aca="false">IF(ISBLANK(RawFinancials!G636),"",RawFinancials!G636)</f>
        <v>7.1611774301749</v>
      </c>
      <c r="H636" s="0" t="str">
        <f aca="false">IF(ISBLANK(RawFinancials!H636),"",RawFinancials!H636)</f>
        <v>4256_20241231</v>
      </c>
      <c r="I636" s="0" t="n">
        <f aca="false">IF(ISBLANK(RawFinancials!I636),"",RawFinancials!I636)</f>
        <v>1.06243645714969</v>
      </c>
      <c r="J636" s="0" t="n">
        <f aca="false">IF(ISBLANK(RawFinancials!J636),"",RawFinancials!J636)</f>
        <v>364018</v>
      </c>
      <c r="K636" s="0" t="n">
        <f aca="false">IF(ISBLANK(RawFinancials!K636),"",RawFinancials!K636)</f>
        <v>20790</v>
      </c>
      <c r="L636" s="0" t="n">
        <f aca="false">IF(ISBLANK(RawFinancials!L636),"",RawFinancials!L636)</f>
        <v>2340940</v>
      </c>
      <c r="M636" s="0" t="n">
        <f aca="false">IF(ISBLANK(RawFinancials!M636),"",RawFinancials!M636)</f>
        <v>2316069</v>
      </c>
      <c r="N636" s="0" t="n">
        <f aca="false">IF(ISBLANK(RawFinancials!N636),"",RawFinancials!N636)</f>
        <v>1846128</v>
      </c>
      <c r="O636" s="0" t="n">
        <f aca="false">IF(ISBLANK(RawFinancials!O636),"",RawFinancials!O636)</f>
        <v>4248</v>
      </c>
      <c r="P636" s="0" t="str">
        <f aca="false">IF(ISBLANK(RawFinancials!P636),"",RawFinancials!P636)</f>
        <v>FIRST NATIONAL BANK</v>
      </c>
      <c r="Q636" s="0" t="n">
        <f aca="false">IF(ISBLANK(RawFinancials!Q636),"",RawFinancials!Q636)</f>
        <v>0.225037805326065</v>
      </c>
      <c r="R636" s="0" t="n">
        <f aca="false">IF(ISBLANK(RawFinancials!R636),"",RawFinancials!R636)</f>
        <v>2.24895844222402</v>
      </c>
      <c r="S636" s="0" t="n">
        <f aca="false">IF(ISBLANK(RawFinancials!S636),"",RawFinancials!S636)</f>
        <v>463</v>
      </c>
      <c r="T636" s="0" t="n">
        <f aca="false">IF(ISBLANK(RawFinancials!T636),"",RawFinancials!T636)</f>
        <v>6975</v>
      </c>
      <c r="U636" s="0" t="n">
        <f aca="false">IF(ISBLANK(RawFinancials!U636),"",RawFinancials!U636)</f>
        <v>1020</v>
      </c>
      <c r="V636" s="0" t="n">
        <f aca="false">IF(ISBLANK(RawFinancials!V636),"",RawFinancials!V636)</f>
        <v>13.1573411623733</v>
      </c>
      <c r="W636" s="0" t="n">
        <f aca="false">IF(ISBLANK(RawFinancials!W636),"",RawFinancials!W636)</f>
        <v>20241231</v>
      </c>
      <c r="X636" s="0" t="n">
        <f aca="false">IF(ISBLANK(RawFinancials!X636),"",RawFinancials!X636)</f>
        <v>0.926763449403844</v>
      </c>
      <c r="Y636" s="0" t="n">
        <f aca="false">IF(ISBLANK(RawFinancials!Y636),"",RawFinancials!Y636)</f>
        <v>12.79</v>
      </c>
      <c r="Z636" s="0" t="str">
        <f aca="false">IF(ISBLANK(RawFinancials!Z636),"",RawFinancials!Z636)</f>
        <v>ME</v>
      </c>
      <c r="AA636" s="0" t="n">
        <f aca="false">RawFinancials!AA636</f>
        <v>1</v>
      </c>
      <c r="AB636" s="0" t="n">
        <f aca="false">RawFinancials!AB636</f>
        <v>5268</v>
      </c>
      <c r="AC636" s="0" t="n">
        <f aca="false">RawFinancials!AC636</f>
        <v>0.168768152667902</v>
      </c>
      <c r="AD636" s="0" t="n">
        <f aca="false">IF(L636&gt;0,100*N636/L636,"")</f>
        <v>78.8626790947226</v>
      </c>
      <c r="AE636" s="0" t="n">
        <f aca="false">IF(B636&gt;0,100*F636/B636,"")</f>
        <v>7.1611774301749</v>
      </c>
      <c r="AF636" s="0" t="str">
        <f aca="false">RawFinancials!AE636</f>
        <v/>
      </c>
    </row>
    <row r="637" customFormat="false" ht="15" hidden="false" customHeight="false" outlineLevel="0" collapsed="false">
      <c r="A637" s="0" t="n">
        <f aca="false">IF(ISBLANK(RawFinancials!A637),"",RawFinancials!A637)</f>
        <v>637</v>
      </c>
      <c r="B637" s="0" t="n">
        <f aca="false">IF(ISBLANK(RawFinancials!B637),"",RawFinancials!B637)</f>
        <v>708844</v>
      </c>
      <c r="C637" s="0" t="n">
        <f aca="false">IF(ISBLANK(RawFinancials!C637),"",RawFinancials!C637)</f>
        <v>59086</v>
      </c>
      <c r="D637" s="0" t="n">
        <f aca="false">IF(ISBLANK(RawFinancials!D637),"",RawFinancials!D637)</f>
        <v>603651</v>
      </c>
      <c r="E637" s="0" t="n">
        <f aca="false">IF(ISBLANK(RawFinancials!E637),"",RawFinancials!E637)</f>
        <v>0.09</v>
      </c>
      <c r="F637" s="0" t="n">
        <f aca="false">IF(ISBLANK(RawFinancials!F637),"",RawFinancials!F637)</f>
        <v>99876</v>
      </c>
      <c r="G637" s="0" t="n">
        <f aca="false">IF(ISBLANK(RawFinancials!G637),"",RawFinancials!G637)</f>
        <v>14.0899831274582</v>
      </c>
      <c r="H637" s="0" t="str">
        <f aca="false">IF(ISBLANK(RawFinancials!H637),"",RawFinancials!H637)</f>
        <v>59086_20241231</v>
      </c>
      <c r="I637" s="0" t="n">
        <f aca="false">IF(ISBLANK(RawFinancials!I637),"",RawFinancials!I637)</f>
        <v>0.978515067496173</v>
      </c>
      <c r="J637" s="0" t="n">
        <f aca="false">IF(ISBLANK(RawFinancials!J637),"",RawFinancials!J637)</f>
        <v>122091</v>
      </c>
      <c r="K637" s="0" t="n">
        <f aca="false">IF(ISBLANK(RawFinancials!K637),"",RawFinancials!K637)</f>
        <v>0</v>
      </c>
      <c r="L637" s="0" t="n">
        <f aca="false">IF(ISBLANK(RawFinancials!L637),"",RawFinancials!L637)</f>
        <v>599071</v>
      </c>
      <c r="M637" s="0" t="n">
        <f aca="false">IF(ISBLANK(RawFinancials!M637),"",RawFinancials!M637)</f>
        <v>593209</v>
      </c>
      <c r="N637" s="0" t="n">
        <f aca="false">IF(ISBLANK(RawFinancials!N637),"",RawFinancials!N637)</f>
        <v>477361</v>
      </c>
      <c r="O637" s="0" t="n">
        <f aca="false">IF(ISBLANK(RawFinancials!O637),"",RawFinancials!O637)</f>
        <v>4078</v>
      </c>
      <c r="P637" s="0" t="str">
        <f aca="false">IF(ISBLANK(RawFinancials!P637),"",RawFinancials!P637)</f>
        <v>PRIMARY BANK</v>
      </c>
      <c r="Q637" s="0" t="n">
        <f aca="false">IF(ISBLANK(RawFinancials!Q637),"",RawFinancials!Q637)</f>
        <v>0.540670471446623</v>
      </c>
      <c r="R637" s="0" t="n">
        <f aca="false">IF(ISBLANK(RawFinancials!R637),"",RawFinancials!R637)</f>
        <v>3.84189620368562</v>
      </c>
      <c r="S637" s="0" t="n">
        <f aca="false">IF(ISBLANK(RawFinancials!S637),"",RawFinancials!S637)</f>
        <v>405</v>
      </c>
      <c r="T637" s="0" t="n">
        <f aca="false">IF(ISBLANK(RawFinancials!T637),"",RawFinancials!T637)</f>
        <v>513</v>
      </c>
      <c r="U637" s="0" t="n">
        <f aca="false">IF(ISBLANK(RawFinancials!U637),"",RawFinancials!U637)</f>
        <v>486</v>
      </c>
      <c r="V637" s="0" t="n">
        <f aca="false">IF(ISBLANK(RawFinancials!V637),"",RawFinancials!V637)</f>
        <v>16.4547485172918</v>
      </c>
      <c r="W637" s="0" t="n">
        <f aca="false">IF(ISBLANK(RawFinancials!W637),"",RawFinancials!W637)</f>
        <v>20241231</v>
      </c>
      <c r="X637" s="0" t="n">
        <f aca="false">IF(ISBLANK(RawFinancials!X637),"",RawFinancials!X637)</f>
        <v>1.51475323091527</v>
      </c>
      <c r="Y637" s="0" t="n">
        <f aca="false">IF(ISBLANK(RawFinancials!Y637),"",RawFinancials!Y637)</f>
        <v>11.38</v>
      </c>
      <c r="Z637" s="0" t="str">
        <f aca="false">IF(ISBLANK(RawFinancials!Z637),"",RawFinancials!Z637)</f>
        <v>NH</v>
      </c>
      <c r="AA637" s="0" t="n">
        <f aca="false">RawFinancials!AA637</f>
        <v>1</v>
      </c>
      <c r="AB637" s="0" t="n">
        <f aca="false">RawFinancials!AB637</f>
        <v>4564</v>
      </c>
      <c r="AC637" s="0" t="n">
        <f aca="false">RawFinancials!AC637</f>
        <v>0.643865222813482</v>
      </c>
      <c r="AD637" s="0" t="n">
        <f aca="false">IF(L637&gt;0,100*N637/L637,"")</f>
        <v>79.6835433529582</v>
      </c>
      <c r="AE637" s="0" t="n">
        <f aca="false">IF(B637&gt;0,100*F637/B637,"")</f>
        <v>14.0899831274582</v>
      </c>
      <c r="AF637" s="0" t="str">
        <f aca="false">RawFinancials!AE637</f>
        <v/>
      </c>
    </row>
    <row r="638" customFormat="false" ht="15" hidden="false" customHeight="false" outlineLevel="0" collapsed="false">
      <c r="A638" s="0" t="n">
        <f aca="false">IF(ISBLANK(RawFinancials!A638),"",RawFinancials!A638)</f>
        <v>638</v>
      </c>
      <c r="B638" s="0" t="n">
        <f aca="false">IF(ISBLANK(RawFinancials!B638),"",RawFinancials!B638)</f>
        <v>237381</v>
      </c>
      <c r="C638" s="0" t="n">
        <f aca="false">IF(ISBLANK(RawFinancials!C638),"",RawFinancials!C638)</f>
        <v>59176</v>
      </c>
      <c r="D638" s="0" t="n">
        <f aca="false">IF(ISBLANK(RawFinancials!D638),"",RawFinancials!D638)</f>
        <v>196927</v>
      </c>
      <c r="E638" s="0" t="n">
        <f aca="false">IF(ISBLANK(RawFinancials!E638),"",RawFinancials!E638)</f>
        <v>0.09</v>
      </c>
      <c r="F638" s="0" t="n">
        <f aca="false">IF(ISBLANK(RawFinancials!F638),"",RawFinancials!F638)</f>
        <v>27230</v>
      </c>
      <c r="G638" s="0" t="n">
        <f aca="false">IF(ISBLANK(RawFinancials!G638),"",RawFinancials!G638)</f>
        <v>11.4710107380119</v>
      </c>
      <c r="H638" s="0" t="str">
        <f aca="false">IF(ISBLANK(RawFinancials!H638),"",RawFinancials!H638)</f>
        <v>59176_20241231</v>
      </c>
      <c r="I638" s="0" t="n">
        <f aca="false">IF(ISBLANK(RawFinancials!I638),"",RawFinancials!I638)</f>
        <v>0.938302204124989</v>
      </c>
      <c r="J638" s="0" t="n">
        <f aca="false">IF(ISBLANK(RawFinancials!J638),"",RawFinancials!J638)</f>
        <v>24140</v>
      </c>
      <c r="K638" s="0" t="n">
        <f aca="false">IF(ISBLANK(RawFinancials!K638),"",RawFinancials!K638)</f>
        <v>0</v>
      </c>
      <c r="L638" s="0" t="n">
        <f aca="false">IF(ISBLANK(RawFinancials!L638),"",RawFinancials!L638)</f>
        <v>180752</v>
      </c>
      <c r="M638" s="0" t="n">
        <f aca="false">IF(ISBLANK(RawFinancials!M638),"",RawFinancials!M638)</f>
        <v>179056</v>
      </c>
      <c r="N638" s="0" t="n">
        <f aca="false">IF(ISBLANK(RawFinancials!N638),"",RawFinancials!N638)</f>
        <v>156611</v>
      </c>
      <c r="O638" s="0" t="n">
        <f aca="false">IF(ISBLANK(RawFinancials!O638),"",RawFinancials!O638)</f>
        <v>0</v>
      </c>
      <c r="P638" s="0" t="str">
        <f aca="false">IF(ISBLANK(RawFinancials!P638),"",RawFinancials!P638)</f>
        <v>THE MILLYARD BANK</v>
      </c>
      <c r="Q638" s="0" t="n">
        <f aca="false">IF(ISBLANK(RawFinancials!Q638),"",RawFinancials!Q638)</f>
        <v>0</v>
      </c>
      <c r="R638" s="0" t="n">
        <f aca="false">IF(ISBLANK(RawFinancials!R638),"",RawFinancials!R638)</f>
        <v>2.52736720420682</v>
      </c>
      <c r="S638" s="0" t="n">
        <f aca="false">IF(ISBLANK(RawFinancials!S638),"",RawFinancials!S638)</f>
        <v>-32</v>
      </c>
      <c r="T638" s="0" t="n">
        <f aca="false">IF(ISBLANK(RawFinancials!T638),"",RawFinancials!T638)</f>
        <v>0</v>
      </c>
      <c r="U638" s="0" t="n">
        <f aca="false">IF(ISBLANK(RawFinancials!U638),"",RawFinancials!U638)</f>
        <v>0</v>
      </c>
      <c r="V638" s="0" t="n">
        <f aca="false">IF(ISBLANK(RawFinancials!V638),"",RawFinancials!V638)</f>
        <v>0</v>
      </c>
      <c r="W638" s="0" t="n">
        <f aca="false">IF(ISBLANK(RawFinancials!W638),"",RawFinancials!W638)</f>
        <v>20241231</v>
      </c>
      <c r="X638" s="0" t="n">
        <f aca="false">IF(ISBLANK(RawFinancials!X638),"",RawFinancials!X638)</f>
        <v>0.113409014371779</v>
      </c>
      <c r="Y638" s="0" t="n">
        <f aca="false">IF(ISBLANK(RawFinancials!Y638),"",RawFinancials!Y638)</f>
        <v>1</v>
      </c>
      <c r="Z638" s="0" t="str">
        <f aca="false">IF(ISBLANK(RawFinancials!Z638),"",RawFinancials!Z638)</f>
        <v>NH</v>
      </c>
      <c r="AA638" s="0" t="n">
        <f aca="false">RawFinancials!AA638</f>
        <v>1</v>
      </c>
      <c r="AB638" s="0" t="n">
        <f aca="false">RawFinancials!AB638</f>
        <v>0</v>
      </c>
      <c r="AC638" s="0" t="n">
        <f aca="false">RawFinancials!AC638</f>
        <v>0</v>
      </c>
      <c r="AD638" s="0" t="n">
        <f aca="false">IF(L638&gt;0,100*N638/L638,"")</f>
        <v>86.6441311852704</v>
      </c>
      <c r="AE638" s="0" t="n">
        <f aca="false">IF(B638&gt;0,100*F638/B638,"")</f>
        <v>11.4710107380119</v>
      </c>
      <c r="AF638" s="0" t="str">
        <f aca="false">RawFinancials!AE638</f>
        <v>原始0：需核实适用/报告口径</v>
      </c>
    </row>
    <row r="639" customFormat="false" ht="15" hidden="false" customHeight="false" outlineLevel="0" collapsed="false">
      <c r="A639" s="0" t="n">
        <f aca="false">IF(ISBLANK(RawFinancials!A639),"",RawFinancials!A639)</f>
        <v>639</v>
      </c>
      <c r="B639" s="0" t="n">
        <f aca="false">IF(ISBLANK(RawFinancials!B639),"",RawFinancials!B639)</f>
        <v>123766</v>
      </c>
      <c r="C639" s="0" t="n">
        <f aca="false">IF(ISBLANK(RawFinancials!C639),"",RawFinancials!C639)</f>
        <v>59289</v>
      </c>
      <c r="D639" s="0" t="n">
        <f aca="false">IF(ISBLANK(RawFinancials!D639),"",RawFinancials!D639)</f>
        <v>107030</v>
      </c>
      <c r="E639" s="0" t="n">
        <f aca="false">IF(ISBLANK(RawFinancials!E639),"",RawFinancials!E639)</f>
        <v>2.56</v>
      </c>
      <c r="F639" s="0" t="n">
        <f aca="false">IF(ISBLANK(RawFinancials!F639),"",RawFinancials!F639)</f>
        <v>15858</v>
      </c>
      <c r="G639" s="0" t="n">
        <f aca="false">IF(ISBLANK(RawFinancials!G639),"",RawFinancials!G639)</f>
        <v>12.8128888386148</v>
      </c>
      <c r="H639" s="0" t="str">
        <f aca="false">IF(ISBLANK(RawFinancials!H639),"",RawFinancials!H639)</f>
        <v>59289_20241231</v>
      </c>
      <c r="I639" s="0" t="n">
        <f aca="false">IF(ISBLANK(RawFinancials!I639),"",RawFinancials!I639)</f>
        <v>0.666906366346165</v>
      </c>
      <c r="J639" s="0" t="n">
        <f aca="false">IF(ISBLANK(RawFinancials!J639),"",RawFinancials!J639)</f>
        <v>38749</v>
      </c>
      <c r="K639" s="0" t="n">
        <f aca="false">IF(ISBLANK(RawFinancials!K639),"",RawFinancials!K639)</f>
        <v>0</v>
      </c>
      <c r="L639" s="0" t="n">
        <f aca="false">IF(ISBLANK(RawFinancials!L639),"",RawFinancials!L639)</f>
        <v>86219</v>
      </c>
      <c r="M639" s="0" t="n">
        <f aca="false">IF(ISBLANK(RawFinancials!M639),"",RawFinancials!M639)</f>
        <v>85644</v>
      </c>
      <c r="N639" s="0" t="n">
        <f aca="false">IF(ISBLANK(RawFinancials!N639),"",RawFinancials!N639)</f>
        <v>35426</v>
      </c>
      <c r="O639" s="0" t="n">
        <f aca="false">IF(ISBLANK(RawFinancials!O639),"",RawFinancials!O639)</f>
        <v>2234</v>
      </c>
      <c r="P639" s="0" t="str">
        <f aca="false">IF(ISBLANK(RawFinancials!P639),"",RawFinancials!P639)</f>
        <v>WALDEN MUTUAL BANK</v>
      </c>
      <c r="Q639" s="0" t="n">
        <f aca="false">IF(ISBLANK(RawFinancials!Q639),"",RawFinancials!Q639)</f>
        <v>2.59107621289971</v>
      </c>
      <c r="R639" s="0" t="n">
        <f aca="false">IF(ISBLANK(RawFinancials!R639),"",RawFinancials!R639)</f>
        <v>3.81997554271963</v>
      </c>
      <c r="S639" s="0" t="n">
        <f aca="false">IF(ISBLANK(RawFinancials!S639),"",RawFinancials!S639)</f>
        <v>2553</v>
      </c>
      <c r="T639" s="0" t="n">
        <f aca="false">IF(ISBLANK(RawFinancials!T639),"",RawFinancials!T639)</f>
        <v>2590</v>
      </c>
      <c r="U639" s="0" t="n">
        <f aca="false">IF(ISBLANK(RawFinancials!U639),"",RawFinancials!U639)</f>
        <v>0</v>
      </c>
      <c r="V639" s="0" t="n">
        <f aca="false">IF(ISBLANK(RawFinancials!V639),"",RawFinancials!V639)</f>
        <v>0</v>
      </c>
      <c r="W639" s="0" t="n">
        <f aca="false">IF(ISBLANK(RawFinancials!W639),"",RawFinancials!W639)</f>
        <v>20241231</v>
      </c>
      <c r="X639" s="0" t="n">
        <f aca="false">IF(ISBLANK(RawFinancials!X639),"",RawFinancials!X639)</f>
        <v>-3.22755669629028</v>
      </c>
      <c r="Y639" s="0" t="n">
        <f aca="false">IF(ISBLANK(RawFinancials!Y639),"",RawFinancials!Y639)</f>
        <v>-18.8</v>
      </c>
      <c r="Z639" s="0" t="str">
        <f aca="false">IF(ISBLANK(RawFinancials!Z639),"",RawFinancials!Z639)</f>
        <v>NH</v>
      </c>
      <c r="AA639" s="0" t="n">
        <f aca="false">RawFinancials!AA639</f>
        <v>1</v>
      </c>
      <c r="AB639" s="0" t="n">
        <f aca="false">RawFinancials!AB639</f>
        <v>2234</v>
      </c>
      <c r="AC639" s="0" t="n">
        <f aca="false">RawFinancials!AC639</f>
        <v>1.80501914903932</v>
      </c>
      <c r="AD639" s="0" t="n">
        <f aca="false">IF(L639&gt;0,100*N639/L639,"")</f>
        <v>41.0883911898769</v>
      </c>
      <c r="AE639" s="0" t="n">
        <f aca="false">IF(B639&gt;0,100*F639/B639,"")</f>
        <v>12.8128888386148</v>
      </c>
      <c r="AF639" s="0" t="str">
        <f aca="false">RawFinancials!AE639</f>
        <v>原始0：需核实适用/报告口径</v>
      </c>
    </row>
    <row r="640" customFormat="false" ht="15" hidden="false" customHeight="false" outlineLevel="0" collapsed="false">
      <c r="A640" s="0" t="n">
        <f aca="false">IF(ISBLANK(RawFinancials!A640),"",RawFinancials!A640)</f>
        <v>640</v>
      </c>
      <c r="B640" s="0" t="n">
        <f aca="false">IF(ISBLANK(RawFinancials!B640),"",RawFinancials!B640)</f>
        <v>261157</v>
      </c>
      <c r="C640" s="0" t="n">
        <f aca="false">IF(ISBLANK(RawFinancials!C640),"",RawFinancials!C640)</f>
        <v>59298</v>
      </c>
      <c r="D640" s="0" t="n">
        <f aca="false">IF(ISBLANK(RawFinancials!D640),"",RawFinancials!D640)</f>
        <v>236473</v>
      </c>
      <c r="E640" s="0" t="n">
        <f aca="false">IF(ISBLANK(RawFinancials!E640),"",RawFinancials!E640)</f>
        <v>0.27</v>
      </c>
      <c r="F640" s="0" t="n">
        <f aca="false">IF(ISBLANK(RawFinancials!F640),"",RawFinancials!F640)</f>
        <v>23720</v>
      </c>
      <c r="G640" s="0" t="n">
        <f aca="false">IF(ISBLANK(RawFinancials!G640),"",RawFinancials!G640)</f>
        <v>9.08265909012586</v>
      </c>
      <c r="H640" s="0" t="str">
        <f aca="false">IF(ISBLANK(RawFinancials!H640),"",RawFinancials!H640)</f>
        <v>59298_20241231</v>
      </c>
      <c r="I640" s="0" t="n">
        <f aca="false">IF(ISBLANK(RawFinancials!I640),"",RawFinancials!I640)</f>
        <v>0.800296567665402</v>
      </c>
      <c r="J640" s="0" t="n">
        <f aca="false">IF(ISBLANK(RawFinancials!J640),"",RawFinancials!J640)</f>
        <v>31832</v>
      </c>
      <c r="K640" s="0" t="n">
        <f aca="false">IF(ISBLANK(RawFinancials!K640),"",RawFinancials!K640)</f>
        <v>0</v>
      </c>
      <c r="L640" s="0" t="n">
        <f aca="false">IF(ISBLANK(RawFinancials!L640),"",RawFinancials!L640)</f>
        <v>137574</v>
      </c>
      <c r="M640" s="0" t="n">
        <f aca="false">IF(ISBLANK(RawFinancials!M640),"",RawFinancials!M640)</f>
        <v>136473</v>
      </c>
      <c r="N640" s="0" t="n">
        <f aca="false">IF(ISBLANK(RawFinancials!N640),"",RawFinancials!N640)</f>
        <v>105764</v>
      </c>
      <c r="O640" s="0" t="n">
        <f aca="false">IF(ISBLANK(RawFinancials!O640),"",RawFinancials!O640)</f>
        <v>0</v>
      </c>
      <c r="P640" s="0" t="str">
        <f aca="false">IF(ISBLANK(RawFinancials!P640),"",RawFinancials!P640)</f>
        <v>BANK OF BURLINGTON</v>
      </c>
      <c r="Q640" s="0" t="n">
        <f aca="false">IF(ISBLANK(RawFinancials!Q640),"",RawFinancials!Q640)</f>
        <v>0</v>
      </c>
      <c r="R640" s="0" t="n">
        <f aca="false">IF(ISBLANK(RawFinancials!R640),"",RawFinancials!R640)</f>
        <v>2.05742766499991</v>
      </c>
      <c r="S640" s="0" t="n">
        <f aca="false">IF(ISBLANK(RawFinancials!S640),"",RawFinancials!S640)</f>
        <v>0</v>
      </c>
      <c r="T640" s="0" t="n">
        <f aca="false">IF(ISBLANK(RawFinancials!T640),"",RawFinancials!T640)</f>
        <v>0</v>
      </c>
      <c r="U640" s="0" t="n">
        <f aca="false">IF(ISBLANK(RawFinancials!U640),"",RawFinancials!U640)</f>
        <v>0</v>
      </c>
      <c r="V640" s="0" t="n">
        <f aca="false">IF(ISBLANK(RawFinancials!V640),"",RawFinancials!V640)</f>
        <v>17.5772477993456</v>
      </c>
      <c r="W640" s="0" t="n">
        <f aca="false">IF(ISBLANK(RawFinancials!W640),"",RawFinancials!W640)</f>
        <v>20241231</v>
      </c>
      <c r="X640" s="0" t="n">
        <f aca="false">IF(ISBLANK(RawFinancials!X640),"",RawFinancials!X640)</f>
        <v>-0.940503539781518</v>
      </c>
      <c r="Y640" s="0" t="n">
        <f aca="false">IF(ISBLANK(RawFinancials!Y640),"",RawFinancials!Y640)</f>
        <v>-7.72</v>
      </c>
      <c r="Z640" s="0" t="str">
        <f aca="false">IF(ISBLANK(RawFinancials!Z640),"",RawFinancials!Z640)</f>
        <v>VT</v>
      </c>
      <c r="AA640" s="0" t="n">
        <f aca="false">RawFinancials!AA640</f>
        <v>1</v>
      </c>
      <c r="AB640" s="0" t="n">
        <f aca="false">RawFinancials!AB640</f>
        <v>0</v>
      </c>
      <c r="AC640" s="0" t="n">
        <f aca="false">RawFinancials!AC640</f>
        <v>0</v>
      </c>
      <c r="AD640" s="0" t="n">
        <f aca="false">IF(L640&gt;0,100*N640/L640,"")</f>
        <v>76.8778984401122</v>
      </c>
      <c r="AE640" s="0" t="n">
        <f aca="false">IF(B640&gt;0,100*F640/B640,"")</f>
        <v>9.08265909012586</v>
      </c>
      <c r="AF640" s="0" t="str">
        <f aca="false">RawFinancials!AE640</f>
        <v/>
      </c>
    </row>
    <row r="641" customFormat="false" ht="15" hidden="false" customHeight="false" outlineLevel="0" collapsed="false">
      <c r="A641" s="0" t="n">
        <f aca="false">IF(ISBLANK(RawFinancials!A641),"",RawFinancials!A641)</f>
        <v>641</v>
      </c>
      <c r="B641" s="0" t="n">
        <f aca="false">IF(ISBLANK(RawFinancials!B641),"",RawFinancials!B641)</f>
        <v>1248213</v>
      </c>
      <c r="C641" s="0" t="n">
        <f aca="false">IF(ISBLANK(RawFinancials!C641),"",RawFinancials!C641)</f>
        <v>6271</v>
      </c>
      <c r="D641" s="0" t="n">
        <f aca="false">IF(ISBLANK(RawFinancials!D641),"",RawFinancials!D641)</f>
        <v>1002714</v>
      </c>
      <c r="E641" s="0" t="n">
        <f aca="false">IF(ISBLANK(RawFinancials!E641),"",RawFinancials!E641)</f>
        <v>0.1</v>
      </c>
      <c r="F641" s="0" t="n">
        <f aca="false">IF(ISBLANK(RawFinancials!F641),"",RawFinancials!F641)</f>
        <v>110120</v>
      </c>
      <c r="G641" s="0" t="n">
        <f aca="false">IF(ISBLANK(RawFinancials!G641),"",RawFinancials!G641)</f>
        <v>8.8222122346106</v>
      </c>
      <c r="H641" s="0" t="str">
        <f aca="false">IF(ISBLANK(RawFinancials!H641),"",RawFinancials!H641)</f>
        <v>6271_20241231</v>
      </c>
      <c r="I641" s="0" t="n">
        <f aca="false">IF(ISBLANK(RawFinancials!I641),"",RawFinancials!I641)</f>
        <v>1.05644154733687</v>
      </c>
      <c r="J641" s="0" t="n">
        <f aca="false">IF(ISBLANK(RawFinancials!J641),"",RawFinancials!J641)</f>
        <v>124383</v>
      </c>
      <c r="K641" s="0" t="n">
        <f aca="false">IF(ISBLANK(RawFinancials!K641),"",RawFinancials!K641)</f>
        <v>6728</v>
      </c>
      <c r="L641" s="0" t="n">
        <f aca="false">IF(ISBLANK(RawFinancials!L641),"",RawFinancials!L641)</f>
        <v>928589</v>
      </c>
      <c r="M641" s="0" t="n">
        <f aca="false">IF(ISBLANK(RawFinancials!M641),"",RawFinancials!M641)</f>
        <v>918779</v>
      </c>
      <c r="N641" s="0" t="n">
        <f aca="false">IF(ISBLANK(RawFinancials!N641),"",RawFinancials!N641)</f>
        <v>726591</v>
      </c>
      <c r="O641" s="0" t="n">
        <f aca="false">IF(ISBLANK(RawFinancials!O641),"",RawFinancials!O641)</f>
        <v>8338</v>
      </c>
      <c r="P641" s="0" t="str">
        <f aca="false">IF(ISBLANK(RawFinancials!P641),"",RawFinancials!P641)</f>
        <v>COMMUNITY NATIONAL BANK</v>
      </c>
      <c r="Q641" s="0" t="n">
        <f aca="false">IF(ISBLANK(RawFinancials!Q641),"",RawFinancials!Q641)</f>
        <v>0.984719827609416</v>
      </c>
      <c r="R641" s="0" t="n">
        <f aca="false">IF(ISBLANK(RawFinancials!R641),"",RawFinancials!R641)</f>
        <v>3.30963366885195</v>
      </c>
      <c r="S641" s="0" t="n">
        <f aca="false">IF(ISBLANK(RawFinancials!S641),"",RawFinancials!S641)</f>
        <v>1268</v>
      </c>
      <c r="T641" s="0" t="n">
        <f aca="false">IF(ISBLANK(RawFinancials!T641),"",RawFinancials!T641)</f>
        <v>3522</v>
      </c>
      <c r="U641" s="0" t="n">
        <f aca="false">IF(ISBLANK(RawFinancials!U641),"",RawFinancials!U641)</f>
        <v>806</v>
      </c>
      <c r="V641" s="0" t="n">
        <f aca="false">IF(ISBLANK(RawFinancials!V641),"",RawFinancials!V641)</f>
        <v>14.7627252333487</v>
      </c>
      <c r="W641" s="0" t="n">
        <f aca="false">IF(ISBLANK(RawFinancials!W641),"",RawFinancials!W641)</f>
        <v>20241231</v>
      </c>
      <c r="X641" s="0" t="n">
        <f aca="false">IF(ISBLANK(RawFinancials!X641),"",RawFinancials!X641)</f>
        <v>1.22232640966748</v>
      </c>
      <c r="Y641" s="0" t="n">
        <f aca="false">IF(ISBLANK(RawFinancials!Y641),"",RawFinancials!Y641)</f>
        <v>13.31</v>
      </c>
      <c r="Z641" s="0" t="str">
        <f aca="false">IF(ISBLANK(RawFinancials!Z641),"",RawFinancials!Z641)</f>
        <v>VT</v>
      </c>
      <c r="AA641" s="0" t="n">
        <f aca="false">RawFinancials!AA641</f>
        <v>1</v>
      </c>
      <c r="AB641" s="0" t="n">
        <f aca="false">RawFinancials!AB641</f>
        <v>9144</v>
      </c>
      <c r="AC641" s="0" t="n">
        <f aca="false">RawFinancials!AC641</f>
        <v>0.732567278180887</v>
      </c>
      <c r="AD641" s="0" t="n">
        <f aca="false">IF(L641&gt;0,100*N641/L641,"")</f>
        <v>78.2467808686082</v>
      </c>
      <c r="AE641" s="0" t="n">
        <f aca="false">IF(B641&gt;0,100*F641/B641,"")</f>
        <v>8.8222122346106</v>
      </c>
      <c r="AF641" s="0" t="str">
        <f aca="false">RawFinancials!AE641</f>
        <v/>
      </c>
    </row>
    <row r="642" customFormat="false" ht="15" hidden="false" customHeight="false" outlineLevel="0" collapsed="false">
      <c r="A642" s="0" t="n">
        <f aca="false">IF(ISBLANK(RawFinancials!A642),"",RawFinancials!A642)</f>
        <v>642</v>
      </c>
      <c r="B642" s="0" t="n">
        <f aca="false">IF(ISBLANK(RawFinancials!B642),"",RawFinancials!B642)</f>
        <v>547799</v>
      </c>
      <c r="C642" s="0" t="n">
        <f aca="false">IF(ISBLANK(RawFinancials!C642),"",RawFinancials!C642)</f>
        <v>6275</v>
      </c>
      <c r="D642" s="0" t="n">
        <f aca="false">IF(ISBLANK(RawFinancials!D642),"",RawFinancials!D642)</f>
        <v>491990</v>
      </c>
      <c r="E642" s="0" t="n">
        <f aca="false">IF(ISBLANK(RawFinancials!E642),"",RawFinancials!E642)</f>
        <v>-0.01</v>
      </c>
      <c r="F642" s="0" t="n">
        <f aca="false">IF(ISBLANK(RawFinancials!F642),"",RawFinancials!F642)</f>
        <v>33538</v>
      </c>
      <c r="G642" s="0" t="n">
        <f aca="false">IF(ISBLANK(RawFinancials!G642),"",RawFinancials!G642)</f>
        <v>6.12231858765715</v>
      </c>
      <c r="H642" s="0" t="str">
        <f aca="false">IF(ISBLANK(RawFinancials!H642),"",RawFinancials!H642)</f>
        <v>6275_20241231</v>
      </c>
      <c r="I642" s="0" t="n">
        <f aca="false">IF(ISBLANK(RawFinancials!I642),"",RawFinancials!I642)</f>
        <v>0.387001341604651</v>
      </c>
      <c r="J642" s="0" t="n">
        <f aca="false">IF(ISBLANK(RawFinancials!J642),"",RawFinancials!J642)</f>
        <v>34535</v>
      </c>
      <c r="K642" s="0" t="n">
        <f aca="false">IF(ISBLANK(RawFinancials!K642),"",RawFinancials!K642)</f>
        <v>8857</v>
      </c>
      <c r="L642" s="0" t="n">
        <f aca="false">IF(ISBLANK(RawFinancials!L642),"",RawFinancials!L642)</f>
        <v>348836</v>
      </c>
      <c r="M642" s="0" t="n">
        <f aca="false">IF(ISBLANK(RawFinancials!M642),"",RawFinancials!M642)</f>
        <v>347486</v>
      </c>
      <c r="N642" s="0" t="n">
        <f aca="false">IF(ISBLANK(RawFinancials!N642),"",RawFinancials!N642)</f>
        <v>295604</v>
      </c>
      <c r="O642" s="0" t="n">
        <f aca="false">IF(ISBLANK(RawFinancials!O642),"",RawFinancials!O642)</f>
        <v>694</v>
      </c>
      <c r="P642" s="0" t="str">
        <f aca="false">IF(ISBLANK(RawFinancials!P642),"",RawFinancials!P642)</f>
        <v>THE NATIONAL BANK OF MIDDLEBURY</v>
      </c>
      <c r="Q642" s="0" t="n">
        <f aca="false">IF(ISBLANK(RawFinancials!Q642),"",RawFinancials!Q642)</f>
        <v>0.2376474905113</v>
      </c>
      <c r="R642" s="0" t="n">
        <f aca="false">IF(ISBLANK(RawFinancials!R642),"",RawFinancials!R642)</f>
        <v>2.93570449521976</v>
      </c>
      <c r="S642" s="0" t="n">
        <f aca="false">IF(ISBLANK(RawFinancials!S642),"",RawFinancials!S642)</f>
        <v>-22</v>
      </c>
      <c r="T642" s="0" t="n">
        <f aca="false">IF(ISBLANK(RawFinancials!T642),"",RawFinancials!T642)</f>
        <v>113</v>
      </c>
      <c r="U642" s="0" t="n">
        <f aca="false">IF(ISBLANK(RawFinancials!U642),"",RawFinancials!U642)</f>
        <v>135</v>
      </c>
      <c r="V642" s="0" t="n">
        <f aca="false">IF(ISBLANK(RawFinancials!V642),"",RawFinancials!V642)</f>
        <v>15.4276600675766</v>
      </c>
      <c r="W642" s="0" t="n">
        <f aca="false">IF(ISBLANK(RawFinancials!W642),"",RawFinancials!W642)</f>
        <v>20241231</v>
      </c>
      <c r="X642" s="0" t="n">
        <f aca="false">IF(ISBLANK(RawFinancials!X642),"",RawFinancials!X642)</f>
        <v>0.621758716658391</v>
      </c>
      <c r="Y642" s="0" t="n">
        <f aca="false">IF(ISBLANK(RawFinancials!Y642),"",RawFinancials!Y642)</f>
        <v>10.72</v>
      </c>
      <c r="Z642" s="0" t="str">
        <f aca="false">IF(ISBLANK(RawFinancials!Z642),"",RawFinancials!Z642)</f>
        <v>VT</v>
      </c>
      <c r="AA642" s="0" t="n">
        <f aca="false">RawFinancials!AA642</f>
        <v>1</v>
      </c>
      <c r="AB642" s="0" t="n">
        <f aca="false">RawFinancials!AB642</f>
        <v>829</v>
      </c>
      <c r="AC642" s="0" t="n">
        <f aca="false">RawFinancials!AC642</f>
        <v>0.151332879395545</v>
      </c>
      <c r="AD642" s="0" t="n">
        <f aca="false">IF(L642&gt;0,100*N642/L642,"")</f>
        <v>84.7401070990379</v>
      </c>
      <c r="AE642" s="0" t="n">
        <f aca="false">IF(B642&gt;0,100*F642/B642,"")</f>
        <v>6.12231858765715</v>
      </c>
      <c r="AF642" s="0" t="str">
        <f aca="false">RawFinancials!AE642</f>
        <v/>
      </c>
    </row>
    <row r="643" customFormat="false" ht="15" hidden="false" customHeight="false" outlineLevel="0" collapsed="false">
      <c r="A643" s="0" t="n">
        <f aca="false">IF(ISBLANK(RawFinancials!A643),"",RawFinancials!A643)</f>
        <v>643</v>
      </c>
      <c r="B643" s="0" t="n">
        <f aca="false">IF(ISBLANK(RawFinancials!B643),"",RawFinancials!B643)</f>
        <v>87669</v>
      </c>
      <c r="C643" s="0" t="n">
        <f aca="false">IF(ISBLANK(RawFinancials!C643),"",RawFinancials!C643)</f>
        <v>6280</v>
      </c>
      <c r="D643" s="0" t="n">
        <f aca="false">IF(ISBLANK(RawFinancials!D643),"",RawFinancials!D643)</f>
        <v>77381</v>
      </c>
      <c r="E643" s="0" t="n">
        <f aca="false">IF(ISBLANK(RawFinancials!E643),"",RawFinancials!E643)</f>
        <v>0.08</v>
      </c>
      <c r="F643" s="0" t="n">
        <f aca="false">IF(ISBLANK(RawFinancials!F643),"",RawFinancials!F643)</f>
        <v>9723</v>
      </c>
      <c r="G643" s="0" t="n">
        <f aca="false">IF(ISBLANK(RawFinancials!G643),"",RawFinancials!G643)</f>
        <v>11.0905793381925</v>
      </c>
      <c r="H643" s="0" t="str">
        <f aca="false">IF(ISBLANK(RawFinancials!H643),"",RawFinancials!H643)</f>
        <v>6280_20241231</v>
      </c>
      <c r="I643" s="0" t="n">
        <f aca="false">IF(ISBLANK(RawFinancials!I643),"",RawFinancials!I643)</f>
        <v>1.28697222849402</v>
      </c>
      <c r="J643" s="0" t="n">
        <f aca="false">IF(ISBLANK(RawFinancials!J643),"",RawFinancials!J643)</f>
        <v>3883</v>
      </c>
      <c r="K643" s="0" t="n">
        <f aca="false">IF(ISBLANK(RawFinancials!K643),"",RawFinancials!K643)</f>
        <v>1432</v>
      </c>
      <c r="L643" s="0" t="n">
        <f aca="false">IF(ISBLANK(RawFinancials!L643),"",RawFinancials!L643)</f>
        <v>70864</v>
      </c>
      <c r="M643" s="0" t="n">
        <f aca="false">IF(ISBLANK(RawFinancials!M643),"",RawFinancials!M643)</f>
        <v>69952</v>
      </c>
      <c r="N643" s="0" t="n">
        <f aca="false">IF(ISBLANK(RawFinancials!N643),"",RawFinancials!N643)</f>
        <v>63247</v>
      </c>
      <c r="O643" s="0" t="n">
        <f aca="false">IF(ISBLANK(RawFinancials!O643),"",RawFinancials!O643)</f>
        <v>1616</v>
      </c>
      <c r="P643" s="0" t="str">
        <f aca="false">IF(ISBLANK(RawFinancials!P643),"",RawFinancials!P643)</f>
        <v>THE FIRST NATIONAL BANK OF ORWELL</v>
      </c>
      <c r="Q643" s="0" t="n">
        <f aca="false">IF(ISBLANK(RawFinancials!Q643),"",RawFinancials!Q643)</f>
        <v>2.2804244750508</v>
      </c>
      <c r="R643" s="0" t="n">
        <f aca="false">IF(ISBLANK(RawFinancials!R643),"",RawFinancials!R643)</f>
        <v>4.60084938757925</v>
      </c>
      <c r="S643" s="0" t="n">
        <f aca="false">IF(ISBLANK(RawFinancials!S643),"",RawFinancials!S643)</f>
        <v>48</v>
      </c>
      <c r="T643" s="0" t="n">
        <f aca="false">IF(ISBLANK(RawFinancials!T643),"",RawFinancials!T643)</f>
        <v>911</v>
      </c>
      <c r="U643" s="0" t="n">
        <f aca="false">IF(ISBLANK(RawFinancials!U643),"",RawFinancials!U643)</f>
        <v>0</v>
      </c>
      <c r="V643" s="0" t="n">
        <f aca="false">IF(ISBLANK(RawFinancials!V643),"",RawFinancials!V643)</f>
        <v>0</v>
      </c>
      <c r="W643" s="0" t="n">
        <f aca="false">IF(ISBLANK(RawFinancials!W643),"",RawFinancials!W643)</f>
        <v>20241231</v>
      </c>
      <c r="X643" s="0" t="n">
        <f aca="false">IF(ISBLANK(RawFinancials!X643),"",RawFinancials!X643)</f>
        <v>1.33537142523864</v>
      </c>
      <c r="Y643" s="0" t="n">
        <f aca="false">IF(ISBLANK(RawFinancials!Y643),"",RawFinancials!Y643)</f>
        <v>11.41</v>
      </c>
      <c r="Z643" s="0" t="str">
        <f aca="false">IF(ISBLANK(RawFinancials!Z643),"",RawFinancials!Z643)</f>
        <v>VT</v>
      </c>
      <c r="AA643" s="0" t="n">
        <f aca="false">RawFinancials!AA643</f>
        <v>1</v>
      </c>
      <c r="AB643" s="0" t="n">
        <f aca="false">RawFinancials!AB643</f>
        <v>1616</v>
      </c>
      <c r="AC643" s="0" t="n">
        <f aca="false">RawFinancials!AC643</f>
        <v>1.84329694646911</v>
      </c>
      <c r="AD643" s="0" t="n">
        <f aca="false">IF(L643&gt;0,100*N643/L643,"")</f>
        <v>89.2512418153082</v>
      </c>
      <c r="AE643" s="0" t="n">
        <f aca="false">IF(B643&gt;0,100*F643/B643,"")</f>
        <v>11.0905793381925</v>
      </c>
      <c r="AF643" s="0" t="str">
        <f aca="false">RawFinancials!AE643</f>
        <v>原始0：需核实适用/报告口径</v>
      </c>
    </row>
    <row r="644" customFormat="false" ht="15" hidden="false" customHeight="false" outlineLevel="0" collapsed="false">
      <c r="A644" s="0" t="n">
        <f aca="false">IF(ISBLANK(RawFinancials!A644),"",RawFinancials!A644)</f>
        <v>644</v>
      </c>
      <c r="B644" s="0" t="n">
        <f aca="false">IF(ISBLANK(RawFinancials!B644),"",RawFinancials!B644)</f>
        <v>4058800</v>
      </c>
      <c r="C644" s="0" t="n">
        <f aca="false">IF(ISBLANK(RawFinancials!C644),"",RawFinancials!C644)</f>
        <v>11971</v>
      </c>
      <c r="D644" s="0" t="n">
        <f aca="false">IF(ISBLANK(RawFinancials!D644),"",RawFinancials!D644)</f>
        <v>3305747</v>
      </c>
      <c r="E644" s="0" t="n">
        <f aca="false">IF(ISBLANK(RawFinancials!E644),"",RawFinancials!E644)</f>
        <v>0.06</v>
      </c>
      <c r="F644" s="0" t="n">
        <f aca="false">IF(ISBLANK(RawFinancials!F644),"",RawFinancials!F644)</f>
        <v>500720</v>
      </c>
      <c r="G644" s="0" t="n">
        <f aca="false">IF(ISBLANK(RawFinancials!G644),"",RawFinancials!G644)</f>
        <v>12.3366512269636</v>
      </c>
      <c r="H644" s="0" t="str">
        <f aca="false">IF(ISBLANK(RawFinancials!H644),"",RawFinancials!H644)</f>
        <v>11971_20250331</v>
      </c>
      <c r="I644" s="0" t="n">
        <f aca="false">IF(ISBLANK(RawFinancials!I644),"",RawFinancials!I644)</f>
        <v>0.915427125743101</v>
      </c>
      <c r="J644" s="0" t="n">
        <f aca="false">IF(ISBLANK(RawFinancials!J644),"",RawFinancials!J644)</f>
        <v>208556</v>
      </c>
      <c r="K644" s="0" t="n">
        <f aca="false">IF(ISBLANK(RawFinancials!K644),"",RawFinancials!K644)</f>
        <v>7696</v>
      </c>
      <c r="L644" s="0" t="n">
        <f aca="false">IF(ISBLANK(RawFinancials!L644),"",RawFinancials!L644)</f>
        <v>3125754</v>
      </c>
      <c r="M644" s="0" t="n">
        <f aca="false">IF(ISBLANK(RawFinancials!M644),"",RawFinancials!M644)</f>
        <v>3097140</v>
      </c>
      <c r="N644" s="0" t="n">
        <f aca="false">IF(ISBLANK(RawFinancials!N644),"",RawFinancials!N644)</f>
        <v>2780638</v>
      </c>
      <c r="O644" s="0" t="n">
        <f aca="false">IF(ISBLANK(RawFinancials!O644),"",RawFinancials!O644)</f>
        <v>8085</v>
      </c>
      <c r="P644" s="0" t="str">
        <f aca="false">IF(ISBLANK(RawFinancials!P644),"",RawFinancials!P644)</f>
        <v>BAR HARBOR BANK &amp; TRUST</v>
      </c>
      <c r="Q644" s="0" t="n">
        <f aca="false">IF(ISBLANK(RawFinancials!Q644),"",RawFinancials!Q644)</f>
        <v>0.258721575658225</v>
      </c>
      <c r="R644" s="0" t="n">
        <f aca="false">IF(ISBLANK(RawFinancials!R644),"",RawFinancials!R644)</f>
        <v>3.24242457260534</v>
      </c>
      <c r="S644" s="0" t="n">
        <f aca="false">IF(ISBLANK(RawFinancials!S644),"",RawFinancials!S644)</f>
        <v>74</v>
      </c>
      <c r="T644" s="0" t="n">
        <f aca="false">IF(ISBLANK(RawFinancials!T644),"",RawFinancials!T644)</f>
        <v>12615</v>
      </c>
      <c r="U644" s="0" t="n">
        <f aca="false">IF(ISBLANK(RawFinancials!U644),"",RawFinancials!U644)</f>
        <v>2</v>
      </c>
      <c r="V644" s="0" t="n">
        <f aca="false">IF(ISBLANK(RawFinancials!V644),"",RawFinancials!V644)</f>
        <v>13.6146361419019</v>
      </c>
      <c r="W644" s="0" t="n">
        <f aca="false">IF(ISBLANK(RawFinancials!W644),"",RawFinancials!W644)</f>
        <v>20250331</v>
      </c>
      <c r="X644" s="0" t="n">
        <f aca="false">IF(ISBLANK(RawFinancials!X644),"",RawFinancials!X644)</f>
        <v>1.15455749971395</v>
      </c>
      <c r="Y644" s="0" t="n">
        <f aca="false">IF(ISBLANK(RawFinancials!Y644),"",RawFinancials!Y644)</f>
        <v>9.45</v>
      </c>
      <c r="Z644" s="0" t="str">
        <f aca="false">IF(ISBLANK(RawFinancials!Z644),"",RawFinancials!Z644)</f>
        <v>ME</v>
      </c>
      <c r="AA644" s="0" t="n">
        <f aca="false">RawFinancials!AA644</f>
        <v>1</v>
      </c>
      <c r="AB644" s="0" t="n">
        <f aca="false">RawFinancials!AB644</f>
        <v>8087</v>
      </c>
      <c r="AC644" s="0" t="n">
        <f aca="false">RawFinancials!AC644</f>
        <v>0.199246082585986</v>
      </c>
      <c r="AD644" s="0" t="n">
        <f aca="false">IF(L644&gt;0,100*N644/L644,"")</f>
        <v>88.9589519840653</v>
      </c>
      <c r="AE644" s="0" t="n">
        <f aca="false">IF(B644&gt;0,100*F644/B644,"")</f>
        <v>12.3366512269636</v>
      </c>
      <c r="AF644" s="0" t="str">
        <f aca="false">RawFinancials!AE644</f>
        <v/>
      </c>
    </row>
    <row r="645" customFormat="false" ht="15" hidden="false" customHeight="false" outlineLevel="0" collapsed="false">
      <c r="A645" s="0" t="n">
        <f aca="false">IF(ISBLANK(RawFinancials!A645),"",RawFinancials!A645)</f>
        <v>645</v>
      </c>
      <c r="B645" s="0" t="n">
        <f aca="false">IF(ISBLANK(RawFinancials!B645),"",RawFinancials!B645)</f>
        <v>1079094</v>
      </c>
      <c r="C645" s="0" t="n">
        <f aca="false">IF(ISBLANK(RawFinancials!C645),"",RawFinancials!C645)</f>
        <v>12874</v>
      </c>
      <c r="D645" s="0" t="n">
        <f aca="false">IF(ISBLANK(RawFinancials!D645),"",RawFinancials!D645)</f>
        <v>929947</v>
      </c>
      <c r="E645" s="0" t="n">
        <f aca="false">IF(ISBLANK(RawFinancials!E645),"",RawFinancials!E645)</f>
        <v>-0.01</v>
      </c>
      <c r="F645" s="0" t="n">
        <f aca="false">IF(ISBLANK(RawFinancials!F645),"",RawFinancials!F645)</f>
        <v>99521</v>
      </c>
      <c r="G645" s="0" t="n">
        <f aca="false">IF(ISBLANK(RawFinancials!G645),"",RawFinancials!G645)</f>
        <v>9.22264418113714</v>
      </c>
      <c r="H645" s="0" t="str">
        <f aca="false">IF(ISBLANK(RawFinancials!H645),"",RawFinancials!H645)</f>
        <v>12874_20250331</v>
      </c>
      <c r="I645" s="0" t="n">
        <f aca="false">IF(ISBLANK(RawFinancials!I645),"",RawFinancials!I645)</f>
        <v>0.998844467154037</v>
      </c>
      <c r="J645" s="0" t="n">
        <f aca="false">IF(ISBLANK(RawFinancials!J645),"",RawFinancials!J645)</f>
        <v>165192</v>
      </c>
      <c r="K645" s="0" t="n">
        <f aca="false">IF(ISBLANK(RawFinancials!K645),"",RawFinancials!K645)</f>
        <v>4366</v>
      </c>
      <c r="L645" s="0" t="n">
        <f aca="false">IF(ISBLANK(RawFinancials!L645),"",RawFinancials!L645)</f>
        <v>853286</v>
      </c>
      <c r="M645" s="0" t="n">
        <f aca="false">IF(ISBLANK(RawFinancials!M645),"",RawFinancials!M645)</f>
        <v>844763</v>
      </c>
      <c r="N645" s="0" t="n">
        <f aca="false">IF(ISBLANK(RawFinancials!N645),"",RawFinancials!N645)</f>
        <v>668513</v>
      </c>
      <c r="O645" s="0" t="n">
        <f aca="false">IF(ISBLANK(RawFinancials!O645),"",RawFinancials!O645)</f>
        <v>1396</v>
      </c>
      <c r="P645" s="0" t="str">
        <f aca="false">IF(ISBLANK(RawFinancials!P645),"",RawFinancials!P645)</f>
        <v>KATAHDIN TRUST COMPANY</v>
      </c>
      <c r="Q645" s="0" t="n">
        <f aca="false">IF(ISBLANK(RawFinancials!Q645),"",RawFinancials!Q645)</f>
        <v>0.164891958850843</v>
      </c>
      <c r="R645" s="0" t="n">
        <f aca="false">IF(ISBLANK(RawFinancials!R645),"",RawFinancials!R645)</f>
        <v>3.76276007753566</v>
      </c>
      <c r="S645" s="0" t="n">
        <f aca="false">IF(ISBLANK(RawFinancials!S645),"",RawFinancials!S645)</f>
        <v>-2</v>
      </c>
      <c r="T645" s="0" t="n">
        <f aca="false">IF(ISBLANK(RawFinancials!T645),"",RawFinancials!T645)</f>
        <v>6414</v>
      </c>
      <c r="U645" s="0" t="n">
        <f aca="false">IF(ISBLANK(RawFinancials!U645),"",RawFinancials!U645)</f>
        <v>11</v>
      </c>
      <c r="V645" s="0" t="n">
        <f aca="false">IF(ISBLANK(RawFinancials!V645),"",RawFinancials!V645)</f>
        <v>15.5622111834708</v>
      </c>
      <c r="W645" s="0" t="n">
        <f aca="false">IF(ISBLANK(RawFinancials!W645),"",RawFinancials!W645)</f>
        <v>20250331</v>
      </c>
      <c r="X645" s="0" t="n">
        <f aca="false">IF(ISBLANK(RawFinancials!X645),"",RawFinancials!X645)</f>
        <v>0.913939100696902</v>
      </c>
      <c r="Y645" s="0" t="n">
        <f aca="false">IF(ISBLANK(RawFinancials!Y645),"",RawFinancials!Y645)</f>
        <v>10.07</v>
      </c>
      <c r="Z645" s="0" t="str">
        <f aca="false">IF(ISBLANK(RawFinancials!Z645),"",RawFinancials!Z645)</f>
        <v>ME</v>
      </c>
      <c r="AA645" s="0" t="n">
        <f aca="false">RawFinancials!AA645</f>
        <v>1</v>
      </c>
      <c r="AB645" s="0" t="n">
        <f aca="false">RawFinancials!AB645</f>
        <v>1407</v>
      </c>
      <c r="AC645" s="0" t="n">
        <f aca="false">RawFinancials!AC645</f>
        <v>0.130387158115975</v>
      </c>
      <c r="AD645" s="0" t="n">
        <f aca="false">IF(L645&gt;0,100*N645/L645,"")</f>
        <v>78.3457129262639</v>
      </c>
      <c r="AE645" s="0" t="n">
        <f aca="false">IF(B645&gt;0,100*F645/B645,"")</f>
        <v>9.22264418113714</v>
      </c>
      <c r="AF645" s="0" t="str">
        <f aca="false">RawFinancials!AE645</f>
        <v/>
      </c>
    </row>
    <row r="646" customFormat="false" ht="15" hidden="false" customHeight="false" outlineLevel="0" collapsed="false">
      <c r="A646" s="0" t="n">
        <f aca="false">IF(ISBLANK(RawFinancials!A646),"",RawFinancials!A646)</f>
        <v>646</v>
      </c>
      <c r="B646" s="0" t="n">
        <f aca="false">IF(ISBLANK(RawFinancials!B646),"",RawFinancials!B646)</f>
        <v>1900245</v>
      </c>
      <c r="C646" s="0" t="n">
        <f aca="false">IF(ISBLANK(RawFinancials!C646),"",RawFinancials!C646)</f>
        <v>13063</v>
      </c>
      <c r="D646" s="0" t="n">
        <f aca="false">IF(ISBLANK(RawFinancials!D646),"",RawFinancials!D646)</f>
        <v>1610029</v>
      </c>
      <c r="E646" s="0" t="n">
        <f aca="false">IF(ISBLANK(RawFinancials!E646),"",RawFinancials!E646)</f>
        <v>0.06</v>
      </c>
      <c r="F646" s="0" t="n">
        <f aca="false">IF(ISBLANK(RawFinancials!F646),"",RawFinancials!F646)</f>
        <v>160439</v>
      </c>
      <c r="G646" s="0" t="n">
        <f aca="false">IF(ISBLANK(RawFinancials!G646),"",RawFinancials!G646)</f>
        <v>8.44306918318427</v>
      </c>
      <c r="H646" s="0" t="str">
        <f aca="false">IF(ISBLANK(RawFinancials!H646),"",RawFinancials!H646)</f>
        <v>13063_20250331</v>
      </c>
      <c r="I646" s="0" t="n">
        <f aca="false">IF(ISBLANK(RawFinancials!I646),"",RawFinancials!I646)</f>
        <v>1.09940535759926</v>
      </c>
      <c r="J646" s="0" t="n">
        <f aca="false">IF(ISBLANK(RawFinancials!J646),"",RawFinancials!J646)</f>
        <v>66985</v>
      </c>
      <c r="K646" s="0" t="n">
        <f aca="false">IF(ISBLANK(RawFinancials!K646),"",RawFinancials!K646)</f>
        <v>833</v>
      </c>
      <c r="L646" s="0" t="n">
        <f aca="false">IF(ISBLANK(RawFinancials!L646),"",RawFinancials!L646)</f>
        <v>1529827</v>
      </c>
      <c r="M646" s="0" t="n">
        <f aca="false">IF(ISBLANK(RawFinancials!M646),"",RawFinancials!M646)</f>
        <v>1513008</v>
      </c>
      <c r="N646" s="0" t="n">
        <f aca="false">IF(ISBLANK(RawFinancials!N646),"",RawFinancials!N646)</f>
        <v>1448578</v>
      </c>
      <c r="O646" s="0" t="n">
        <f aca="false">IF(ISBLANK(RawFinancials!O646),"",RawFinancials!O646)</f>
        <v>1033</v>
      </c>
      <c r="P646" s="0" t="str">
        <f aca="false">IF(ISBLANK(RawFinancials!P646),"",RawFinancials!P646)</f>
        <v>KENNEBUNK SAVINGS BANK</v>
      </c>
      <c r="Q646" s="0" t="n">
        <f aca="false">IF(ISBLANK(RawFinancials!Q646),"",RawFinancials!Q646)</f>
        <v>0.0675239749331133</v>
      </c>
      <c r="R646" s="0" t="n">
        <f aca="false">IF(ISBLANK(RawFinancials!R646),"",RawFinancials!R646)</f>
        <v>3.3623212139201</v>
      </c>
      <c r="S646" s="0" t="n">
        <f aca="false">IF(ISBLANK(RawFinancials!S646),"",RawFinancials!S646)</f>
        <v>46</v>
      </c>
      <c r="T646" s="0" t="n">
        <f aca="false">IF(ISBLANK(RawFinancials!T646),"",RawFinancials!T646)</f>
        <v>6776</v>
      </c>
      <c r="U646" s="0" t="n">
        <f aca="false">IF(ISBLANK(RawFinancials!U646),"",RawFinancials!U646)</f>
        <v>0</v>
      </c>
      <c r="V646" s="0" t="n">
        <f aca="false">IF(ISBLANK(RawFinancials!V646),"",RawFinancials!V646)</f>
        <v>0</v>
      </c>
      <c r="W646" s="0" t="n">
        <f aca="false">IF(ISBLANK(RawFinancials!W646),"",RawFinancials!W646)</f>
        <v>20250331</v>
      </c>
      <c r="X646" s="0" t="n">
        <f aca="false">IF(ISBLANK(RawFinancials!X646),"",RawFinancials!X646)</f>
        <v>0.573300747201974</v>
      </c>
      <c r="Y646" s="0" t="n">
        <f aca="false">IF(ISBLANK(RawFinancials!Y646),"",RawFinancials!Y646)</f>
        <v>6.89</v>
      </c>
      <c r="Z646" s="0" t="str">
        <f aca="false">IF(ISBLANK(RawFinancials!Z646),"",RawFinancials!Z646)</f>
        <v>ME</v>
      </c>
      <c r="AA646" s="0" t="n">
        <f aca="false">RawFinancials!AA646</f>
        <v>1</v>
      </c>
      <c r="AB646" s="0" t="n">
        <f aca="false">RawFinancials!AB646</f>
        <v>1033</v>
      </c>
      <c r="AC646" s="0" t="n">
        <f aca="false">RawFinancials!AC646</f>
        <v>0.0543614112917019</v>
      </c>
      <c r="AD646" s="0" t="n">
        <f aca="false">IF(L646&gt;0,100*N646/L646,"")</f>
        <v>94.6890073191282</v>
      </c>
      <c r="AE646" s="0" t="n">
        <f aca="false">IF(B646&gt;0,100*F646/B646,"")</f>
        <v>8.44306918318427</v>
      </c>
      <c r="AF646" s="0" t="str">
        <f aca="false">RawFinancials!AE646</f>
        <v>原始0：需核实适用/报告口径</v>
      </c>
    </row>
    <row r="647" customFormat="false" ht="15" hidden="false" customHeight="false" outlineLevel="0" collapsed="false">
      <c r="A647" s="0" t="n">
        <f aca="false">IF(ISBLANK(RawFinancials!A647),"",RawFinancials!A647)</f>
        <v>647</v>
      </c>
      <c r="B647" s="0" t="n">
        <f aca="false">IF(ISBLANK(RawFinancials!B647),"",RawFinancials!B647)</f>
        <v>879312</v>
      </c>
      <c r="C647" s="0" t="n">
        <f aca="false">IF(ISBLANK(RawFinancials!C647),"",RawFinancials!C647)</f>
        <v>14134</v>
      </c>
      <c r="D647" s="0" t="n">
        <f aca="false">IF(ISBLANK(RawFinancials!D647),"",RawFinancials!D647)</f>
        <v>701672</v>
      </c>
      <c r="E647" s="0" t="n">
        <f aca="false">IF(ISBLANK(RawFinancials!E647),"",RawFinancials!E647)</f>
        <v>0.08</v>
      </c>
      <c r="F647" s="0" t="n">
        <f aca="false">IF(ISBLANK(RawFinancials!F647),"",RawFinancials!F647)</f>
        <v>113111</v>
      </c>
      <c r="G647" s="0" t="n">
        <f aca="false">IF(ISBLANK(RawFinancials!G647),"",RawFinancials!G647)</f>
        <v>12.8635797077715</v>
      </c>
      <c r="H647" s="0" t="str">
        <f aca="false">IF(ISBLANK(RawFinancials!H647),"",RawFinancials!H647)</f>
        <v>14134_20250331</v>
      </c>
      <c r="I647" s="0" t="n">
        <f aca="false">IF(ISBLANK(RawFinancials!I647),"",RawFinancials!I647)</f>
        <v>1.11974522292994</v>
      </c>
      <c r="J647" s="0" t="n">
        <f aca="false">IF(ISBLANK(RawFinancials!J647),"",RawFinancials!J647)</f>
        <v>25662</v>
      </c>
      <c r="K647" s="0" t="n">
        <f aca="false">IF(ISBLANK(RawFinancials!K647),"",RawFinancials!K647)</f>
        <v>17648</v>
      </c>
      <c r="L647" s="0" t="n">
        <f aca="false">IF(ISBLANK(RawFinancials!L647),"",RawFinancials!L647)</f>
        <v>628000</v>
      </c>
      <c r="M647" s="0" t="n">
        <f aca="false">IF(ISBLANK(RawFinancials!M647),"",RawFinancials!M647)</f>
        <v>620968</v>
      </c>
      <c r="N647" s="0" t="n">
        <f aca="false">IF(ISBLANK(RawFinancials!N647),"",RawFinancials!N647)</f>
        <v>556523</v>
      </c>
      <c r="O647" s="0" t="n">
        <f aca="false">IF(ISBLANK(RawFinancials!O647),"",RawFinancials!O647)</f>
        <v>2972</v>
      </c>
      <c r="P647" s="0" t="str">
        <f aca="false">IF(ISBLANK(RawFinancials!P647),"",RawFinancials!P647)</f>
        <v>PASSUMPSIC SAVINGS BANK</v>
      </c>
      <c r="Q647" s="0" t="n">
        <f aca="false">IF(ISBLANK(RawFinancials!Q647),"",RawFinancials!Q647)</f>
        <v>0.473248407643312</v>
      </c>
      <c r="R647" s="0" t="n">
        <f aca="false">IF(ISBLANK(RawFinancials!R647),"",RawFinancials!R647)</f>
        <v>3.08550914447303</v>
      </c>
      <c r="S647" s="0" t="n">
        <f aca="false">IF(ISBLANK(RawFinancials!S647),"",RawFinancials!S647)</f>
        <v>99</v>
      </c>
      <c r="T647" s="0" t="n">
        <f aca="false">IF(ISBLANK(RawFinancials!T647),"",RawFinancials!T647)</f>
        <v>4065</v>
      </c>
      <c r="U647" s="0" t="n">
        <f aca="false">IF(ISBLANK(RawFinancials!U647),"",RawFinancials!U647)</f>
        <v>0</v>
      </c>
      <c r="V647" s="0" t="n">
        <f aca="false">IF(ISBLANK(RawFinancials!V647),"",RawFinancials!V647)</f>
        <v>20.4880433281027</v>
      </c>
      <c r="W647" s="0" t="n">
        <f aca="false">IF(ISBLANK(RawFinancials!W647),"",RawFinancials!W647)</f>
        <v>20250331</v>
      </c>
      <c r="X647" s="0" t="n">
        <f aca="false">IF(ISBLANK(RawFinancials!X647),"",RawFinancials!X647)</f>
        <v>0.0433067891286425</v>
      </c>
      <c r="Y647" s="0" t="n">
        <f aca="false">IF(ISBLANK(RawFinancials!Y647),"",RawFinancials!Y647)</f>
        <v>0.34</v>
      </c>
      <c r="Z647" s="0" t="str">
        <f aca="false">IF(ISBLANK(RawFinancials!Z647),"",RawFinancials!Z647)</f>
        <v>VT</v>
      </c>
      <c r="AA647" s="0" t="n">
        <f aca="false">RawFinancials!AA647</f>
        <v>1</v>
      </c>
      <c r="AB647" s="0" t="n">
        <f aca="false">RawFinancials!AB647</f>
        <v>2972</v>
      </c>
      <c r="AC647" s="0" t="n">
        <f aca="false">RawFinancials!AC647</f>
        <v>0.337991520643412</v>
      </c>
      <c r="AD647" s="0" t="n">
        <f aca="false">IF(L647&gt;0,100*N647/L647,"")</f>
        <v>88.6183121019108</v>
      </c>
      <c r="AE647" s="0" t="n">
        <f aca="false">IF(B647&gt;0,100*F647/B647,"")</f>
        <v>12.8635797077715</v>
      </c>
      <c r="AF647" s="0" t="str">
        <f aca="false">RawFinancials!AE647</f>
        <v/>
      </c>
    </row>
    <row r="648" customFormat="false" ht="15" hidden="false" customHeight="false" outlineLevel="0" collapsed="false">
      <c r="A648" s="0" t="n">
        <f aca="false">IF(ISBLANK(RawFinancials!A648),"",RawFinancials!A648)</f>
        <v>648</v>
      </c>
      <c r="B648" s="0" t="n">
        <f aca="false">IF(ISBLANK(RawFinancials!B648),"",RawFinancials!B648)</f>
        <v>238304</v>
      </c>
      <c r="C648" s="0" t="n">
        <f aca="false">IF(ISBLANK(RawFinancials!C648),"",RawFinancials!C648)</f>
        <v>14136</v>
      </c>
      <c r="D648" s="0" t="n">
        <f aca="false">IF(ISBLANK(RawFinancials!D648),"",RawFinancials!D648)</f>
        <v>203853</v>
      </c>
      <c r="E648" s="0" t="n">
        <f aca="false">IF(ISBLANK(RawFinancials!E648),"",RawFinancials!E648)</f>
        <v>0.01</v>
      </c>
      <c r="F648" s="0" t="n">
        <f aca="false">IF(ISBLANK(RawFinancials!F648),"",RawFinancials!F648)</f>
        <v>20010</v>
      </c>
      <c r="G648" s="0" t="n">
        <f aca="false">IF(ISBLANK(RawFinancials!G648),"",RawFinancials!G648)</f>
        <v>8.39683765274607</v>
      </c>
      <c r="H648" s="0" t="str">
        <f aca="false">IF(ISBLANK(RawFinancials!H648),"",RawFinancials!H648)</f>
        <v>14136_20250331</v>
      </c>
      <c r="I648" s="0" t="n">
        <f aca="false">IF(ISBLANK(RawFinancials!I648),"",RawFinancials!I648)</f>
        <v>1.01580700919362</v>
      </c>
      <c r="J648" s="0" t="n">
        <f aca="false">IF(ISBLANK(RawFinancials!J648),"",RawFinancials!J648)</f>
        <v>15533</v>
      </c>
      <c r="K648" s="0" t="n">
        <f aca="false">IF(ISBLANK(RawFinancials!K648),"",RawFinancials!K648)</f>
        <v>14735</v>
      </c>
      <c r="L648" s="0" t="n">
        <f aca="false">IF(ISBLANK(RawFinancials!L648),"",RawFinancials!L648)</f>
        <v>159676</v>
      </c>
      <c r="M648" s="0" t="n">
        <f aca="false">IF(ISBLANK(RawFinancials!M648),"",RawFinancials!M648)</f>
        <v>158054</v>
      </c>
      <c r="N648" s="0" t="n">
        <f aca="false">IF(ISBLANK(RawFinancials!N648),"",RawFinancials!N648)</f>
        <v>129094</v>
      </c>
      <c r="O648" s="0" t="n">
        <f aca="false">IF(ISBLANK(RawFinancials!O648),"",RawFinancials!O648)</f>
        <v>519</v>
      </c>
      <c r="P648" s="0" t="str">
        <f aca="false">IF(ISBLANK(RawFinancials!P648),"",RawFinancials!P648)</f>
        <v>WELLS RIVER SAVINGS BANK</v>
      </c>
      <c r="Q648" s="0" t="n">
        <f aca="false">IF(ISBLANK(RawFinancials!Q648),"",RawFinancials!Q648)</f>
        <v>0.611237756456825</v>
      </c>
      <c r="R648" s="0" t="n">
        <f aca="false">IF(ISBLANK(RawFinancials!R648),"",RawFinancials!R648)</f>
        <v>4.02615024053287</v>
      </c>
      <c r="S648" s="0" t="n">
        <f aca="false">IF(ISBLANK(RawFinancials!S648),"",RawFinancials!S648)</f>
        <v>19</v>
      </c>
      <c r="T648" s="0" t="n">
        <f aca="false">IF(ISBLANK(RawFinancials!T648),"",RawFinancials!T648)</f>
        <v>923</v>
      </c>
      <c r="U648" s="0" t="n">
        <f aca="false">IF(ISBLANK(RawFinancials!U648),"",RawFinancials!U648)</f>
        <v>457</v>
      </c>
      <c r="V648" s="0" t="n">
        <f aca="false">IF(ISBLANK(RawFinancials!V648),"",RawFinancials!V648)</f>
        <v>18.5712691001976</v>
      </c>
      <c r="W648" s="0" t="n">
        <f aca="false">IF(ISBLANK(RawFinancials!W648),"",RawFinancials!W648)</f>
        <v>20250331</v>
      </c>
      <c r="X648" s="0" t="n">
        <f aca="false">IF(ISBLANK(RawFinancials!X648),"",RawFinancials!X648)</f>
        <v>0.650403771333496</v>
      </c>
      <c r="Y648" s="0" t="n">
        <f aca="false">IF(ISBLANK(RawFinancials!Y648),"",RawFinancials!Y648)</f>
        <v>7.95</v>
      </c>
      <c r="Z648" s="0" t="str">
        <f aca="false">IF(ISBLANK(RawFinancials!Z648),"",RawFinancials!Z648)</f>
        <v>VT</v>
      </c>
      <c r="AA648" s="0" t="n">
        <f aca="false">RawFinancials!AA648</f>
        <v>1</v>
      </c>
      <c r="AB648" s="0" t="n">
        <f aca="false">RawFinancials!AB648</f>
        <v>976</v>
      </c>
      <c r="AC648" s="0" t="n">
        <f aca="false">RawFinancials!AC648</f>
        <v>0.409560897005506</v>
      </c>
      <c r="AD648" s="0" t="n">
        <f aca="false">IF(L648&gt;0,100*N648/L648,"")</f>
        <v>80.8474661188908</v>
      </c>
      <c r="AE648" s="0" t="n">
        <f aca="false">IF(B648&gt;0,100*F648/B648,"")</f>
        <v>8.39683765274607</v>
      </c>
      <c r="AF648" s="0" t="str">
        <f aca="false">RawFinancials!AE648</f>
        <v/>
      </c>
    </row>
    <row r="649" customFormat="false" ht="15" hidden="false" customHeight="false" outlineLevel="0" collapsed="false">
      <c r="A649" s="0" t="n">
        <f aca="false">IF(ISBLANK(RawFinancials!A649),"",RawFinancials!A649)</f>
        <v>649</v>
      </c>
      <c r="B649" s="0" t="n">
        <f aca="false">IF(ISBLANK(RawFinancials!B649),"",RawFinancials!B649)</f>
        <v>1555515</v>
      </c>
      <c r="C649" s="0" t="n">
        <f aca="false">IF(ISBLANK(RawFinancials!C649),"",RawFinancials!C649)</f>
        <v>14140</v>
      </c>
      <c r="D649" s="0" t="n">
        <f aca="false">IF(ISBLANK(RawFinancials!D649),"",RawFinancials!D649)</f>
        <v>1282177</v>
      </c>
      <c r="E649" s="0" t="n">
        <f aca="false">IF(ISBLANK(RawFinancials!E649),"",RawFinancials!E649)</f>
        <v>0.06</v>
      </c>
      <c r="F649" s="0" t="n">
        <f aca="false">IF(ISBLANK(RawFinancials!F649),"",RawFinancials!F649)</f>
        <v>138738</v>
      </c>
      <c r="G649" s="0" t="n">
        <f aca="false">IF(ISBLANK(RawFinancials!G649),"",RawFinancials!G649)</f>
        <v>8.9191039623533</v>
      </c>
      <c r="H649" s="0" t="str">
        <f aca="false">IF(ISBLANK(RawFinancials!H649),"",RawFinancials!H649)</f>
        <v>14140_20250331</v>
      </c>
      <c r="I649" s="0" t="n">
        <f aca="false">IF(ISBLANK(RawFinancials!I649),"",RawFinancials!I649)</f>
        <v>0.802824689432648</v>
      </c>
      <c r="J649" s="0" t="n">
        <f aca="false">IF(ISBLANK(RawFinancials!J649),"",RawFinancials!J649)</f>
        <v>92164</v>
      </c>
      <c r="K649" s="0" t="n">
        <f aca="false">IF(ISBLANK(RawFinancials!K649),"",RawFinancials!K649)</f>
        <v>1649</v>
      </c>
      <c r="L649" s="0" t="n">
        <f aca="false">IF(ISBLANK(RawFinancials!L649),"",RawFinancials!L649)</f>
        <v>1097749</v>
      </c>
      <c r="M649" s="0" t="n">
        <f aca="false">IF(ISBLANK(RawFinancials!M649),"",RawFinancials!M649)</f>
        <v>1088936</v>
      </c>
      <c r="N649" s="0" t="n">
        <f aca="false">IF(ISBLANK(RawFinancials!N649),"",RawFinancials!N649)</f>
        <v>973336</v>
      </c>
      <c r="O649" s="0" t="n">
        <f aca="false">IF(ISBLANK(RawFinancials!O649),"",RawFinancials!O649)</f>
        <v>6970</v>
      </c>
      <c r="P649" s="0" t="str">
        <f aca="false">IF(ISBLANK(RawFinancials!P649),"",RawFinancials!P649)</f>
        <v>NORTHFIELD SAVINGS BANK</v>
      </c>
      <c r="Q649" s="0" t="n">
        <f aca="false">IF(ISBLANK(RawFinancials!Q649),"",RawFinancials!Q649)</f>
        <v>0.634935672908834</v>
      </c>
      <c r="R649" s="0" t="n">
        <f aca="false">IF(ISBLANK(RawFinancials!R649),"",RawFinancials!R649)</f>
        <v>2.54652856281624</v>
      </c>
      <c r="S649" s="0" t="n">
        <f aca="false">IF(ISBLANK(RawFinancials!S649),"",RawFinancials!S649)</f>
        <v>5</v>
      </c>
      <c r="T649" s="0" t="n">
        <f aca="false">IF(ISBLANK(RawFinancials!T649),"",RawFinancials!T649)</f>
        <v>643</v>
      </c>
      <c r="U649" s="0" t="n">
        <f aca="false">IF(ISBLANK(RawFinancials!U649),"",RawFinancials!U649)</f>
        <v>0</v>
      </c>
      <c r="V649" s="0" t="n">
        <f aca="false">IF(ISBLANK(RawFinancials!V649),"",RawFinancials!V649)</f>
        <v>0</v>
      </c>
      <c r="W649" s="0" t="n">
        <f aca="false">IF(ISBLANK(RawFinancials!W649),"",RawFinancials!W649)</f>
        <v>20250331</v>
      </c>
      <c r="X649" s="0" t="n">
        <f aca="false">IF(ISBLANK(RawFinancials!X649),"",RawFinancials!X649)</f>
        <v>0.225060383816591</v>
      </c>
      <c r="Y649" s="0" t="n">
        <f aca="false">IF(ISBLANK(RawFinancials!Y649),"",RawFinancials!Y649)</f>
        <v>2.58</v>
      </c>
      <c r="Z649" s="0" t="str">
        <f aca="false">IF(ISBLANK(RawFinancials!Z649),"",RawFinancials!Z649)</f>
        <v>VT</v>
      </c>
      <c r="AA649" s="0" t="n">
        <f aca="false">RawFinancials!AA649</f>
        <v>1</v>
      </c>
      <c r="AB649" s="0" t="n">
        <f aca="false">RawFinancials!AB649</f>
        <v>6970</v>
      </c>
      <c r="AC649" s="0" t="n">
        <f aca="false">RawFinancials!AC649</f>
        <v>0.448083110738244</v>
      </c>
      <c r="AD649" s="0" t="n">
        <f aca="false">IF(L649&gt;0,100*N649/L649,"")</f>
        <v>88.6665348818355</v>
      </c>
      <c r="AE649" s="0" t="n">
        <f aca="false">IF(B649&gt;0,100*F649/B649,"")</f>
        <v>8.9191039623533</v>
      </c>
      <c r="AF649" s="0" t="str">
        <f aca="false">RawFinancials!AE649</f>
        <v>原始0：需核实适用/报告口径</v>
      </c>
    </row>
    <row r="650" customFormat="false" ht="15" hidden="false" customHeight="false" outlineLevel="0" collapsed="false">
      <c r="A650" s="0" t="n">
        <f aca="false">IF(ISBLANK(RawFinancials!A650),"",RawFinancials!A650)</f>
        <v>650</v>
      </c>
      <c r="B650" s="0" t="n">
        <f aca="false">IF(ISBLANK(RawFinancials!B650),"",RawFinancials!B650)</f>
        <v>1524011</v>
      </c>
      <c r="C650" s="0" t="n">
        <f aca="false">IF(ISBLANK(RawFinancials!C650),"",RawFinancials!C650)</f>
        <v>14158</v>
      </c>
      <c r="D650" s="0" t="n">
        <f aca="false">IF(ISBLANK(RawFinancials!D650),"",RawFinancials!D650)</f>
        <v>1185295</v>
      </c>
      <c r="E650" s="0" t="n">
        <f aca="false">IF(ISBLANK(RawFinancials!E650),"",RawFinancials!E650)</f>
        <v>0.06</v>
      </c>
      <c r="F650" s="0" t="n">
        <f aca="false">IF(ISBLANK(RawFinancials!F650),"",RawFinancials!F650)</f>
        <v>85660</v>
      </c>
      <c r="G650" s="0" t="n">
        <f aca="false">IF(ISBLANK(RawFinancials!G650),"",RawFinancials!G650)</f>
        <v>5.62069433882039</v>
      </c>
      <c r="H650" s="0" t="str">
        <f aca="false">IF(ISBLANK(RawFinancials!H650),"",RawFinancials!H650)</f>
        <v>14158_20250331</v>
      </c>
      <c r="I650" s="0" t="n">
        <f aca="false">IF(ISBLANK(RawFinancials!I650),"",RawFinancials!I650)</f>
        <v>0.694720467098861</v>
      </c>
      <c r="J650" s="0" t="n">
        <f aca="false">IF(ISBLANK(RawFinancials!J650),"",RawFinancials!J650)</f>
        <v>34450</v>
      </c>
      <c r="K650" s="0" t="n">
        <f aca="false">IF(ISBLANK(RawFinancials!K650),"",RawFinancials!K650)</f>
        <v>2738</v>
      </c>
      <c r="L650" s="0" t="n">
        <f aca="false">IF(ISBLANK(RawFinancials!L650),"",RawFinancials!L650)</f>
        <v>1167376</v>
      </c>
      <c r="M650" s="0" t="n">
        <f aca="false">IF(ISBLANK(RawFinancials!M650),"",RawFinancials!M650)</f>
        <v>1159266</v>
      </c>
      <c r="N650" s="0" t="n">
        <f aca="false">IF(ISBLANK(RawFinancials!N650),"",RawFinancials!N650)</f>
        <v>1013094</v>
      </c>
      <c r="O650" s="0" t="n">
        <f aca="false">IF(ISBLANK(RawFinancials!O650),"",RawFinancials!O650)</f>
        <v>14964</v>
      </c>
      <c r="P650" s="0" t="str">
        <f aca="false">IF(ISBLANK(RawFinancials!P650),"",RawFinancials!P650)</f>
        <v>UNION BANK</v>
      </c>
      <c r="Q650" s="0" t="n">
        <f aca="false">IF(ISBLANK(RawFinancials!Q650),"",RawFinancials!Q650)</f>
        <v>1.28399076218802</v>
      </c>
      <c r="R650" s="0" t="n">
        <f aca="false">IF(ISBLANK(RawFinancials!R650),"",RawFinancials!R650)</f>
        <v>2.93127630720553</v>
      </c>
      <c r="S650" s="0" t="n">
        <f aca="false">IF(ISBLANK(RawFinancials!S650),"",RawFinancials!S650)</f>
        <v>-1</v>
      </c>
      <c r="T650" s="0" t="n">
        <f aca="false">IF(ISBLANK(RawFinancials!T650),"",RawFinancials!T650)</f>
        <v>2204</v>
      </c>
      <c r="U650" s="0" t="n">
        <f aca="false">IF(ISBLANK(RawFinancials!U650),"",RawFinancials!U650)</f>
        <v>25</v>
      </c>
      <c r="V650" s="0" t="n">
        <f aca="false">IF(ISBLANK(RawFinancials!V650),"",RawFinancials!V650)</f>
        <v>12.5706891302142</v>
      </c>
      <c r="W650" s="0" t="n">
        <f aca="false">IF(ISBLANK(RawFinancials!W650),"",RawFinancials!W650)</f>
        <v>20250331</v>
      </c>
      <c r="X650" s="0" t="n">
        <f aca="false">IF(ISBLANK(RawFinancials!X650),"",RawFinancials!X650)</f>
        <v>0.711495375706064</v>
      </c>
      <c r="Y650" s="0" t="n">
        <f aca="false">IF(ISBLANK(RawFinancials!Y650),"",RawFinancials!Y650)</f>
        <v>12.92</v>
      </c>
      <c r="Z650" s="0" t="str">
        <f aca="false">IF(ISBLANK(RawFinancials!Z650),"",RawFinancials!Z650)</f>
        <v>VT</v>
      </c>
      <c r="AA650" s="0" t="n">
        <f aca="false">RawFinancials!AA650</f>
        <v>1</v>
      </c>
      <c r="AB650" s="0" t="n">
        <f aca="false">RawFinancials!AB650</f>
        <v>14989</v>
      </c>
      <c r="AC650" s="0" t="n">
        <f aca="false">RawFinancials!AC650</f>
        <v>0.983523084807131</v>
      </c>
      <c r="AD650" s="0" t="n">
        <f aca="false">IF(L650&gt;0,100*N650/L650,"")</f>
        <v>86.7838639821274</v>
      </c>
      <c r="AE650" s="0" t="n">
        <f aca="false">IF(B650&gt;0,100*F650/B650,"")</f>
        <v>5.62069433882039</v>
      </c>
      <c r="AF650" s="0" t="str">
        <f aca="false">RawFinancials!AE650</f>
        <v/>
      </c>
    </row>
    <row r="651" customFormat="false" ht="15" hidden="false" customHeight="false" outlineLevel="0" collapsed="false">
      <c r="A651" s="0" t="n">
        <f aca="false">IF(ISBLANK(RawFinancials!A651),"",RawFinancials!A651)</f>
        <v>651</v>
      </c>
      <c r="B651" s="0" t="n">
        <f aca="false">IF(ISBLANK(RawFinancials!B651),"",RawFinancials!B651)</f>
        <v>374654</v>
      </c>
      <c r="C651" s="0" t="n">
        <f aca="false">IF(ISBLANK(RawFinancials!C651),"",RawFinancials!C651)</f>
        <v>14168</v>
      </c>
      <c r="D651" s="0" t="n">
        <f aca="false">IF(ISBLANK(RawFinancials!D651),"",RawFinancials!D651)</f>
        <v>330872</v>
      </c>
      <c r="E651" s="0" t="n">
        <f aca="false">IF(ISBLANK(RawFinancials!E651),"",RawFinancials!E651)</f>
        <v>0.09</v>
      </c>
      <c r="F651" s="0" t="n">
        <f aca="false">IF(ISBLANK(RawFinancials!F651),"",RawFinancials!F651)</f>
        <v>38318</v>
      </c>
      <c r="G651" s="0" t="n">
        <f aca="false">IF(ISBLANK(RawFinancials!G651),"",RawFinancials!G651)</f>
        <v>10.2275699712268</v>
      </c>
      <c r="H651" s="0" t="str">
        <f aca="false">IF(ISBLANK(RawFinancials!H651),"",RawFinancials!H651)</f>
        <v>14168_20250331</v>
      </c>
      <c r="I651" s="0" t="n">
        <f aca="false">IF(ISBLANK(RawFinancials!I651),"",RawFinancials!I651)</f>
        <v>1.32641925395326</v>
      </c>
      <c r="J651" s="0" t="n">
        <f aca="false">IF(ISBLANK(RawFinancials!J651),"",RawFinancials!J651)</f>
        <v>12139</v>
      </c>
      <c r="K651" s="0" t="n">
        <f aca="false">IF(ISBLANK(RawFinancials!K651),"",RawFinancials!K651)</f>
        <v>10316</v>
      </c>
      <c r="L651" s="0" t="n">
        <f aca="false">IF(ISBLANK(RawFinancials!L651),"",RawFinancials!L651)</f>
        <v>273066</v>
      </c>
      <c r="M651" s="0" t="n">
        <f aca="false">IF(ISBLANK(RawFinancials!M651),"",RawFinancials!M651)</f>
        <v>269444</v>
      </c>
      <c r="N651" s="0" t="n">
        <f aca="false">IF(ISBLANK(RawFinancials!N651),"",RawFinancials!N651)</f>
        <v>233845</v>
      </c>
      <c r="O651" s="0" t="n">
        <f aca="false">IF(ISBLANK(RawFinancials!O651),"",RawFinancials!O651)</f>
        <v>890</v>
      </c>
      <c r="P651" s="0" t="str">
        <f aca="false">IF(ISBLANK(RawFinancials!P651),"",RawFinancials!P651)</f>
        <v>PEOPLES TRUST COMPANY OF ST. ALBANS</v>
      </c>
      <c r="Q651" s="0" t="n">
        <f aca="false">IF(ISBLANK(RawFinancials!Q651),"",RawFinancials!Q651)</f>
        <v>0.32592853009895</v>
      </c>
      <c r="R651" s="0" t="n">
        <f aca="false">IF(ISBLANK(RawFinancials!R651),"",RawFinancials!R651)</f>
        <v>4.15331323479868</v>
      </c>
      <c r="S651" s="0" t="n">
        <f aca="false">IF(ISBLANK(RawFinancials!S651),"",RawFinancials!S651)</f>
        <v>9</v>
      </c>
      <c r="T651" s="0" t="n">
        <f aca="false">IF(ISBLANK(RawFinancials!T651),"",RawFinancials!T651)</f>
        <v>367</v>
      </c>
      <c r="U651" s="0" t="n">
        <f aca="false">IF(ISBLANK(RawFinancials!U651),"",RawFinancials!U651)</f>
        <v>0</v>
      </c>
      <c r="V651" s="0" t="n">
        <f aca="false">IF(ISBLANK(RawFinancials!V651),"",RawFinancials!V651)</f>
        <v>16.7121276852126</v>
      </c>
      <c r="W651" s="0" t="n">
        <f aca="false">IF(ISBLANK(RawFinancials!W651),"",RawFinancials!W651)</f>
        <v>20250331</v>
      </c>
      <c r="X651" s="0" t="n">
        <f aca="false">IF(ISBLANK(RawFinancials!X651),"",RawFinancials!X651)</f>
        <v>0.938635242635329</v>
      </c>
      <c r="Y651" s="0" t="n">
        <f aca="false">IF(ISBLANK(RawFinancials!Y651),"",RawFinancials!Y651)</f>
        <v>9.17</v>
      </c>
      <c r="Z651" s="0" t="str">
        <f aca="false">IF(ISBLANK(RawFinancials!Z651),"",RawFinancials!Z651)</f>
        <v>VT</v>
      </c>
      <c r="AA651" s="0" t="n">
        <f aca="false">RawFinancials!AA651</f>
        <v>1</v>
      </c>
      <c r="AB651" s="0" t="n">
        <f aca="false">RawFinancials!AB651</f>
        <v>890</v>
      </c>
      <c r="AC651" s="0" t="n">
        <f aca="false">RawFinancials!AC651</f>
        <v>0.237552515120618</v>
      </c>
      <c r="AD651" s="0" t="n">
        <f aca="false">IF(L651&gt;0,100*N651/L651,"")</f>
        <v>85.6368057539203</v>
      </c>
      <c r="AE651" s="0" t="n">
        <f aca="false">IF(B651&gt;0,100*F651/B651,"")</f>
        <v>10.2275699712268</v>
      </c>
      <c r="AF651" s="0" t="str">
        <f aca="false">RawFinancials!AE651</f>
        <v/>
      </c>
    </row>
    <row r="652" customFormat="false" ht="15" hidden="false" customHeight="false" outlineLevel="0" collapsed="false">
      <c r="A652" s="0" t="n">
        <f aca="false">IF(ISBLANK(RawFinancials!A652),"",RawFinancials!A652)</f>
        <v>652</v>
      </c>
      <c r="B652" s="0" t="n">
        <f aca="false">IF(ISBLANK(RawFinancials!B652),"",RawFinancials!B652)</f>
        <v>1063675</v>
      </c>
      <c r="C652" s="0" t="n">
        <f aca="false">IF(ISBLANK(RawFinancials!C652),"",RawFinancials!C652)</f>
        <v>17115</v>
      </c>
      <c r="D652" s="0" t="n">
        <f aca="false">IF(ISBLANK(RawFinancials!D652),"",RawFinancials!D652)</f>
        <v>802777</v>
      </c>
      <c r="E652" s="0" t="n">
        <f aca="false">IF(ISBLANK(RawFinancials!E652),"",RawFinancials!E652)</f>
        <v>0.05</v>
      </c>
      <c r="F652" s="0" t="n">
        <f aca="false">IF(ISBLANK(RawFinancials!F652),"",RawFinancials!F652)</f>
        <v>95052</v>
      </c>
      <c r="G652" s="0" t="n">
        <f aca="false">IF(ISBLANK(RawFinancials!G652),"",RawFinancials!G652)</f>
        <v>8.93618821538534</v>
      </c>
      <c r="H652" s="0" t="str">
        <f aca="false">IF(ISBLANK(RawFinancials!H652),"",RawFinancials!H652)</f>
        <v>17115_20250331</v>
      </c>
      <c r="I652" s="0" t="n">
        <f aca="false">IF(ISBLANK(RawFinancials!I652),"",RawFinancials!I652)</f>
        <v>0.940314386332216</v>
      </c>
      <c r="J652" s="0" t="n">
        <f aca="false">IF(ISBLANK(RawFinancials!J652),"",RawFinancials!J652)</f>
        <v>38646</v>
      </c>
      <c r="K652" s="0" t="n">
        <f aca="false">IF(ISBLANK(RawFinancials!K652),"",RawFinancials!K652)</f>
        <v>6322</v>
      </c>
      <c r="L652" s="0" t="n">
        <f aca="false">IF(ISBLANK(RawFinancials!L652),"",RawFinancials!L652)</f>
        <v>878855</v>
      </c>
      <c r="M652" s="0" t="n">
        <f aca="false">IF(ISBLANK(RawFinancials!M652),"",RawFinancials!M652)</f>
        <v>870591</v>
      </c>
      <c r="N652" s="0" t="n">
        <f aca="false">IF(ISBLANK(RawFinancials!N652),"",RawFinancials!N652)</f>
        <v>833023</v>
      </c>
      <c r="O652" s="0" t="n">
        <f aca="false">IF(ISBLANK(RawFinancials!O652),"",RawFinancials!O652)</f>
        <v>2554</v>
      </c>
      <c r="P652" s="0" t="str">
        <f aca="false">IF(ISBLANK(RawFinancials!P652),"",RawFinancials!P652)</f>
        <v>PARTNERS BANK OF NEW ENGLAND</v>
      </c>
      <c r="Q652" s="0" t="n">
        <f aca="false">IF(ISBLANK(RawFinancials!Q652),"",RawFinancials!Q652)</f>
        <v>0.290605389967628</v>
      </c>
      <c r="R652" s="0" t="n">
        <f aca="false">IF(ISBLANK(RawFinancials!R652),"",RawFinancials!R652)</f>
        <v>2.91572855437526</v>
      </c>
      <c r="S652" s="0" t="n">
        <f aca="false">IF(ISBLANK(RawFinancials!S652),"",RawFinancials!S652)</f>
        <v>413</v>
      </c>
      <c r="T652" s="0" t="n">
        <f aca="false">IF(ISBLANK(RawFinancials!T652),"",RawFinancials!T652)</f>
        <v>381</v>
      </c>
      <c r="U652" s="0" t="n">
        <f aca="false">IF(ISBLANK(RawFinancials!U652),"",RawFinancials!U652)</f>
        <v>0</v>
      </c>
      <c r="V652" s="0" t="n">
        <f aca="false">IF(ISBLANK(RawFinancials!V652),"",RawFinancials!V652)</f>
        <v>14.7757448270835</v>
      </c>
      <c r="W652" s="0" t="n">
        <f aca="false">IF(ISBLANK(RawFinancials!W652),"",RawFinancials!W652)</f>
        <v>20250331</v>
      </c>
      <c r="X652" s="0" t="n">
        <f aca="false">IF(ISBLANK(RawFinancials!X652),"",RawFinancials!X652)</f>
        <v>0.546340907417917</v>
      </c>
      <c r="Y652" s="0" t="n">
        <f aca="false">IF(ISBLANK(RawFinancials!Y652),"",RawFinancials!Y652)</f>
        <v>6.15</v>
      </c>
      <c r="Z652" s="0" t="str">
        <f aca="false">IF(ISBLANK(RawFinancials!Z652),"",RawFinancials!Z652)</f>
        <v>ME</v>
      </c>
      <c r="AA652" s="0" t="n">
        <f aca="false">RawFinancials!AA652</f>
        <v>1</v>
      </c>
      <c r="AB652" s="0" t="n">
        <f aca="false">RawFinancials!AB652</f>
        <v>2554</v>
      </c>
      <c r="AC652" s="0" t="n">
        <f aca="false">RawFinancials!AC652</f>
        <v>0.240110936141208</v>
      </c>
      <c r="AD652" s="0" t="n">
        <f aca="false">IF(L652&gt;0,100*N652/L652,"")</f>
        <v>94.785032798357</v>
      </c>
      <c r="AE652" s="0" t="n">
        <f aca="false">IF(B652&gt;0,100*F652/B652,"")</f>
        <v>8.93618821538534</v>
      </c>
      <c r="AF652" s="0" t="str">
        <f aca="false">RawFinancials!AE652</f>
        <v/>
      </c>
    </row>
    <row r="653" customFormat="false" ht="15" hidden="false" customHeight="false" outlineLevel="0" collapsed="false">
      <c r="A653" s="0" t="n">
        <f aca="false">IF(ISBLANK(RawFinancials!A653),"",RawFinancials!A653)</f>
        <v>653</v>
      </c>
      <c r="B653" s="0" t="n">
        <f aca="false">IF(ISBLANK(RawFinancials!B653),"",RawFinancials!B653)</f>
        <v>1590319</v>
      </c>
      <c r="C653" s="0" t="n">
        <f aca="false">IF(ISBLANK(RawFinancials!C653),"",RawFinancials!C653)</f>
        <v>17180</v>
      </c>
      <c r="D653" s="0" t="n">
        <f aca="false">IF(ISBLANK(RawFinancials!D653),"",RawFinancials!D653)</f>
        <v>1298331</v>
      </c>
      <c r="E653" s="0" t="n">
        <f aca="false">IF(ISBLANK(RawFinancials!E653),"",RawFinancials!E653)</f>
        <v>0.01</v>
      </c>
      <c r="F653" s="0" t="n">
        <f aca="false">IF(ISBLANK(RawFinancials!F653),"",RawFinancials!F653)</f>
        <v>145819</v>
      </c>
      <c r="G653" s="0" t="n">
        <f aca="false">IF(ISBLANK(RawFinancials!G653),"",RawFinancials!G653)</f>
        <v>9.16916668919883</v>
      </c>
      <c r="H653" s="0" t="str">
        <f aca="false">IF(ISBLANK(RawFinancials!H653),"",RawFinancials!H653)</f>
        <v>17180_20250331</v>
      </c>
      <c r="I653" s="0" t="n">
        <f aca="false">IF(ISBLANK(RawFinancials!I653),"",RawFinancials!I653)</f>
        <v>0.991709630969796</v>
      </c>
      <c r="J653" s="0" t="n">
        <f aca="false">IF(ISBLANK(RawFinancials!J653),"",RawFinancials!J653)</f>
        <v>39933</v>
      </c>
      <c r="K653" s="0" t="n">
        <f aca="false">IF(ISBLANK(RawFinancials!K653),"",RawFinancials!K653)</f>
        <v>158298</v>
      </c>
      <c r="L653" s="0" t="n">
        <f aca="false">IF(ISBLANK(RawFinancials!L653),"",RawFinancials!L653)</f>
        <v>1397284</v>
      </c>
      <c r="M653" s="0" t="n">
        <f aca="false">IF(ISBLANK(RawFinancials!M653),"",RawFinancials!M653)</f>
        <v>1383427</v>
      </c>
      <c r="N653" s="0" t="n">
        <f aca="false">IF(ISBLANK(RawFinancials!N653),"",RawFinancials!N653)</f>
        <v>1173253</v>
      </c>
      <c r="O653" s="0" t="n">
        <f aca="false">IF(ISBLANK(RawFinancials!O653),"",RawFinancials!O653)</f>
        <v>5853</v>
      </c>
      <c r="P653" s="0" t="str">
        <f aca="false">IF(ISBLANK(RawFinancials!P653),"",RawFinancials!P653)</f>
        <v>MEREDITH VILLAGE SAVINGS BANK</v>
      </c>
      <c r="Q653" s="0" t="n">
        <f aca="false">IF(ISBLANK(RawFinancials!Q653),"",RawFinancials!Q653)</f>
        <v>0.420315411899084</v>
      </c>
      <c r="R653" s="0" t="n">
        <f aca="false">IF(ISBLANK(RawFinancials!R653),"",RawFinancials!R653)</f>
        <v>2.76765129492949</v>
      </c>
      <c r="S653" s="0" t="n">
        <f aca="false">IF(ISBLANK(RawFinancials!S653),"",RawFinancials!S653)</f>
        <v>66</v>
      </c>
      <c r="T653" s="0" t="n">
        <f aca="false">IF(ISBLANK(RawFinancials!T653),"",RawFinancials!T653)</f>
        <v>9150</v>
      </c>
      <c r="U653" s="0" t="n">
        <f aca="false">IF(ISBLANK(RawFinancials!U653),"",RawFinancials!U653)</f>
        <v>20</v>
      </c>
      <c r="V653" s="0" t="n">
        <f aca="false">IF(ISBLANK(RawFinancials!V653),"",RawFinancials!V653)</f>
        <v>15.9873302996545</v>
      </c>
      <c r="W653" s="0" t="n">
        <f aca="false">IF(ISBLANK(RawFinancials!W653),"",RawFinancials!W653)</f>
        <v>20250331</v>
      </c>
      <c r="X653" s="0" t="n">
        <f aca="false">IF(ISBLANK(RawFinancials!X653),"",RawFinancials!X653)</f>
        <v>0.303152256904612</v>
      </c>
      <c r="Y653" s="0" t="n">
        <f aca="false">IF(ISBLANK(RawFinancials!Y653),"",RawFinancials!Y653)</f>
        <v>3.34</v>
      </c>
      <c r="Z653" s="0" t="str">
        <f aca="false">IF(ISBLANK(RawFinancials!Z653),"",RawFinancials!Z653)</f>
        <v>NH</v>
      </c>
      <c r="AA653" s="0" t="n">
        <f aca="false">RawFinancials!AA653</f>
        <v>1</v>
      </c>
      <c r="AB653" s="0" t="n">
        <f aca="false">RawFinancials!AB653</f>
        <v>5873</v>
      </c>
      <c r="AC653" s="0" t="n">
        <f aca="false">RawFinancials!AC653</f>
        <v>0.369296977524635</v>
      </c>
      <c r="AD653" s="0" t="n">
        <f aca="false">IF(L653&gt;0,100*N653/L653,"")</f>
        <v>83.9666810755723</v>
      </c>
      <c r="AE653" s="0" t="n">
        <f aca="false">IF(B653&gt;0,100*F653/B653,"")</f>
        <v>9.16916668919883</v>
      </c>
      <c r="AF653" s="0" t="str">
        <f aca="false">RawFinancials!AE653</f>
        <v/>
      </c>
    </row>
    <row r="654" customFormat="false" ht="15" hidden="false" customHeight="false" outlineLevel="0" collapsed="false">
      <c r="A654" s="0" t="n">
        <f aca="false">IF(ISBLANK(RawFinancials!A654),"",RawFinancials!A654)</f>
        <v>654</v>
      </c>
      <c r="B654" s="0" t="n">
        <f aca="false">IF(ISBLANK(RawFinancials!B654),"",RawFinancials!B654)</f>
        <v>363289</v>
      </c>
      <c r="C654" s="0" t="n">
        <f aca="false">IF(ISBLANK(RawFinancials!C654),"",RawFinancials!C654)</f>
        <v>17443</v>
      </c>
      <c r="D654" s="0" t="n">
        <f aca="false">IF(ISBLANK(RawFinancials!D654),"",RawFinancials!D654)</f>
        <v>297631</v>
      </c>
      <c r="E654" s="0" t="n">
        <f aca="false">IF(ISBLANK(RawFinancials!E654),"",RawFinancials!E654)</f>
        <v>0.07</v>
      </c>
      <c r="F654" s="0" t="n">
        <f aca="false">IF(ISBLANK(RawFinancials!F654),"",RawFinancials!F654)</f>
        <v>39494</v>
      </c>
      <c r="G654" s="0" t="n">
        <f aca="false">IF(ISBLANK(RawFinancials!G654),"",RawFinancials!G654)</f>
        <v>10.8712347469921</v>
      </c>
      <c r="H654" s="0" t="str">
        <f aca="false">IF(ISBLANK(RawFinancials!H654),"",RawFinancials!H654)</f>
        <v>17443_20250331</v>
      </c>
      <c r="I654" s="0" t="n">
        <f aca="false">IF(ISBLANK(RawFinancials!I654),"",RawFinancials!I654)</f>
        <v>0.792927130298985</v>
      </c>
      <c r="J654" s="0" t="n">
        <f aca="false">IF(ISBLANK(RawFinancials!J654),"",RawFinancials!J654)</f>
        <v>0</v>
      </c>
      <c r="K654" s="0" t="n">
        <f aca="false">IF(ISBLANK(RawFinancials!K654),"",RawFinancials!K654)</f>
        <v>871</v>
      </c>
      <c r="L654" s="0" t="n">
        <f aca="false">IF(ISBLANK(RawFinancials!L654),"",RawFinancials!L654)</f>
        <v>198505</v>
      </c>
      <c r="M654" s="0" t="n">
        <f aca="false">IF(ISBLANK(RawFinancials!M654),"",RawFinancials!M654)</f>
        <v>196931</v>
      </c>
      <c r="N654" s="0" t="n">
        <f aca="false">IF(ISBLANK(RawFinancials!N654),"",RawFinancials!N654)</f>
        <v>196634</v>
      </c>
      <c r="O654" s="0" t="n">
        <f aca="false">IF(ISBLANK(RawFinancials!O654),"",RawFinancials!O654)</f>
        <v>931</v>
      </c>
      <c r="P654" s="0" t="str">
        <f aca="false">IF(ISBLANK(RawFinancials!P654),"",RawFinancials!P654)</f>
        <v>PISCATAQUA SAVINGS BANK</v>
      </c>
      <c r="Q654" s="0" t="n">
        <f aca="false">IF(ISBLANK(RawFinancials!Q654),"",RawFinancials!Q654)</f>
        <v>0.469005818493237</v>
      </c>
      <c r="R654" s="0" t="n">
        <f aca="false">IF(ISBLANK(RawFinancials!R654),"",RawFinancials!R654)</f>
        <v>1.22253760700585</v>
      </c>
      <c r="S654" s="0" t="n">
        <f aca="false">IF(ISBLANK(RawFinancials!S654),"",RawFinancials!S654)</f>
        <v>0</v>
      </c>
      <c r="T654" s="0" t="n">
        <f aca="false">IF(ISBLANK(RawFinancials!T654),"",RawFinancials!T654)</f>
        <v>1910</v>
      </c>
      <c r="U654" s="0" t="n">
        <f aca="false">IF(ISBLANK(RawFinancials!U654),"",RawFinancials!U654)</f>
        <v>0</v>
      </c>
      <c r="V654" s="0" t="n">
        <f aca="false">IF(ISBLANK(RawFinancials!V654),"",RawFinancials!V654)</f>
        <v>0</v>
      </c>
      <c r="W654" s="0" t="n">
        <f aca="false">IF(ISBLANK(RawFinancials!W654),"",RawFinancials!W654)</f>
        <v>20250331</v>
      </c>
      <c r="X654" s="0" t="n">
        <f aca="false">IF(ISBLANK(RawFinancials!X654),"",RawFinancials!X654)</f>
        <v>-0.539368227736928</v>
      </c>
      <c r="Y654" s="0" t="n">
        <f aca="false">IF(ISBLANK(RawFinancials!Y654),"",RawFinancials!Y654)</f>
        <v>-4.99</v>
      </c>
      <c r="Z654" s="0" t="str">
        <f aca="false">IF(ISBLANK(RawFinancials!Z654),"",RawFinancials!Z654)</f>
        <v>NH</v>
      </c>
      <c r="AA654" s="0" t="n">
        <f aca="false">RawFinancials!AA654</f>
        <v>1</v>
      </c>
      <c r="AB654" s="0" t="n">
        <f aca="false">RawFinancials!AB654</f>
        <v>931</v>
      </c>
      <c r="AC654" s="0" t="n">
        <f aca="false">RawFinancials!AC654</f>
        <v>0.256269801728101</v>
      </c>
      <c r="AD654" s="0" t="n">
        <f aca="false">IF(L654&gt;0,100*N654/L654,"")</f>
        <v>99.0574544721796</v>
      </c>
      <c r="AE654" s="0" t="n">
        <f aca="false">IF(B654&gt;0,100*F654/B654,"")</f>
        <v>10.8712347469921</v>
      </c>
      <c r="AF654" s="0" t="str">
        <f aca="false">RawFinancials!AE654</f>
        <v>原始0：需核实适用/报告口径</v>
      </c>
    </row>
    <row r="655" customFormat="false" ht="15" hidden="false" customHeight="false" outlineLevel="0" collapsed="false">
      <c r="A655" s="0" t="n">
        <f aca="false">IF(ISBLANK(RawFinancials!A655),"",RawFinancials!A655)</f>
        <v>655</v>
      </c>
      <c r="B655" s="0" t="n">
        <f aca="false">IF(ISBLANK(RawFinancials!B655),"",RawFinancials!B655)</f>
        <v>2028519</v>
      </c>
      <c r="C655" s="0" t="n">
        <f aca="false">IF(ISBLANK(RawFinancials!C655),"",RawFinancials!C655)</f>
        <v>17658</v>
      </c>
      <c r="D655" s="0" t="n">
        <f aca="false">IF(ISBLANK(RawFinancials!D655),"",RawFinancials!D655)</f>
        <v>1589312</v>
      </c>
      <c r="E655" s="0" t="n">
        <f aca="false">IF(ISBLANK(RawFinancials!E655),"",RawFinancials!E655)</f>
        <v>0.12</v>
      </c>
      <c r="F655" s="0" t="n">
        <f aca="false">IF(ISBLANK(RawFinancials!F655),"",RawFinancials!F655)</f>
        <v>229958</v>
      </c>
      <c r="G655" s="0" t="n">
        <f aca="false">IF(ISBLANK(RawFinancials!G655),"",RawFinancials!G655)</f>
        <v>11.3362507326774</v>
      </c>
      <c r="H655" s="0" t="str">
        <f aca="false">IF(ISBLANK(RawFinancials!H655),"",RawFinancials!H655)</f>
        <v>17658_20250331</v>
      </c>
      <c r="I655" s="0" t="n">
        <f aca="false">IF(ISBLANK(RawFinancials!I655),"",RawFinancials!I655)</f>
        <v>0.69409197735874</v>
      </c>
      <c r="J655" s="0" t="n">
        <f aca="false">IF(ISBLANK(RawFinancials!J655),"",RawFinancials!J655)</f>
        <v>107150</v>
      </c>
      <c r="K655" s="0" t="n">
        <f aca="false">IF(ISBLANK(RawFinancials!K655),"",RawFinancials!K655)</f>
        <v>79935</v>
      </c>
      <c r="L655" s="0" t="n">
        <f aca="false">IF(ISBLANK(RawFinancials!L655),"",RawFinancials!L655)</f>
        <v>1450096</v>
      </c>
      <c r="M655" s="0" t="n">
        <f aca="false">IF(ISBLANK(RawFinancials!M655),"",RawFinancials!M655)</f>
        <v>1440031</v>
      </c>
      <c r="N655" s="0" t="n">
        <f aca="false">IF(ISBLANK(RawFinancials!N655),"",RawFinancials!N655)</f>
        <v>1246975</v>
      </c>
      <c r="O655" s="0" t="n">
        <f aca="false">IF(ISBLANK(RawFinancials!O655),"",RawFinancials!O655)</f>
        <v>10604</v>
      </c>
      <c r="P655" s="0" t="str">
        <f aca="false">IF(ISBLANK(RawFinancials!P655),"",RawFinancials!P655)</f>
        <v>NORWAY SAVINGS BANK</v>
      </c>
      <c r="Q655" s="0" t="n">
        <f aca="false">IF(ISBLANK(RawFinancials!Q655),"",RawFinancials!Q655)</f>
        <v>0.734227251161302</v>
      </c>
      <c r="R655" s="0" t="n">
        <f aca="false">IF(ISBLANK(RawFinancials!R655),"",RawFinancials!R655)</f>
        <v>3.17195294561779</v>
      </c>
      <c r="S655" s="0" t="n">
        <f aca="false">IF(ISBLANK(RawFinancials!S655),"",RawFinancials!S655)</f>
        <v>102</v>
      </c>
      <c r="T655" s="0" t="n">
        <f aca="false">IF(ISBLANK(RawFinancials!T655),"",RawFinancials!T655)</f>
        <v>8257</v>
      </c>
      <c r="U655" s="0" t="n">
        <f aca="false">IF(ISBLANK(RawFinancials!U655),"",RawFinancials!U655)</f>
        <v>43</v>
      </c>
      <c r="V655" s="0" t="n">
        <f aca="false">IF(ISBLANK(RawFinancials!V655),"",RawFinancials!V655)</f>
        <v>0</v>
      </c>
      <c r="W655" s="0" t="n">
        <f aca="false">IF(ISBLANK(RawFinancials!W655),"",RawFinancials!W655)</f>
        <v>20250331</v>
      </c>
      <c r="X655" s="0" t="n">
        <f aca="false">IF(ISBLANK(RawFinancials!X655),"",RawFinancials!X655)</f>
        <v>0.336900288366337</v>
      </c>
      <c r="Y655" s="0" t="n">
        <f aca="false">IF(ISBLANK(RawFinancials!Y655),"",RawFinancials!Y655)</f>
        <v>3</v>
      </c>
      <c r="Z655" s="0" t="str">
        <f aca="false">IF(ISBLANK(RawFinancials!Z655),"",RawFinancials!Z655)</f>
        <v>ME</v>
      </c>
      <c r="AA655" s="0" t="n">
        <f aca="false">RawFinancials!AA655</f>
        <v>1</v>
      </c>
      <c r="AB655" s="0" t="n">
        <f aca="false">RawFinancials!AB655</f>
        <v>10647</v>
      </c>
      <c r="AC655" s="0" t="n">
        <f aca="false">RawFinancials!AC655</f>
        <v>0.524865677866463</v>
      </c>
      <c r="AD655" s="0" t="n">
        <f aca="false">IF(L655&gt;0,100*N655/L655,"")</f>
        <v>85.9925825600512</v>
      </c>
      <c r="AE655" s="0" t="n">
        <f aca="false">IF(B655&gt;0,100*F655/B655,"")</f>
        <v>11.3362507326774</v>
      </c>
      <c r="AF655" s="0" t="str">
        <f aca="false">RawFinancials!AE655</f>
        <v>原始0：需核实适用/报告口径</v>
      </c>
    </row>
    <row r="656" customFormat="false" ht="15" hidden="false" customHeight="false" outlineLevel="0" collapsed="false">
      <c r="A656" s="0" t="n">
        <f aca="false">IF(ISBLANK(RawFinancials!A656),"",RawFinancials!A656)</f>
        <v>656</v>
      </c>
      <c r="B656" s="0" t="n">
        <f aca="false">IF(ISBLANK(RawFinancials!B656),"",RawFinancials!B656)</f>
        <v>2702374</v>
      </c>
      <c r="C656" s="0" t="n">
        <f aca="false">IF(ISBLANK(RawFinancials!C656),"",RawFinancials!C656)</f>
        <v>17741</v>
      </c>
      <c r="D656" s="0" t="n">
        <f aca="false">IF(ISBLANK(RawFinancials!D656),"",RawFinancials!D656)</f>
        <v>2270619</v>
      </c>
      <c r="E656" s="0" t="n">
        <f aca="false">IF(ISBLANK(RawFinancials!E656),"",RawFinancials!E656)</f>
        <v>-0.16</v>
      </c>
      <c r="F656" s="0" t="n">
        <f aca="false">IF(ISBLANK(RawFinancials!F656),"",RawFinancials!F656)</f>
        <v>244064</v>
      </c>
      <c r="G656" s="0" t="n">
        <f aca="false">IF(ISBLANK(RawFinancials!G656),"",RawFinancials!G656)</f>
        <v>9.03146640694441</v>
      </c>
      <c r="H656" s="0" t="str">
        <f aca="false">IF(ISBLANK(RawFinancials!H656),"",RawFinancials!H656)</f>
        <v>17741_20250331</v>
      </c>
      <c r="I656" s="0" t="n">
        <f aca="false">IF(ISBLANK(RawFinancials!I656),"",RawFinancials!I656)</f>
        <v>0.716526325737971</v>
      </c>
      <c r="J656" s="0" t="n">
        <f aca="false">IF(ISBLANK(RawFinancials!J656),"",RawFinancials!J656)</f>
        <v>226181</v>
      </c>
      <c r="K656" s="0" t="n">
        <f aca="false">IF(ISBLANK(RawFinancials!K656),"",RawFinancials!K656)</f>
        <v>6255</v>
      </c>
      <c r="L656" s="0" t="n">
        <f aca="false">IF(ISBLANK(RawFinancials!L656),"",RawFinancials!L656)</f>
        <v>2221970</v>
      </c>
      <c r="M656" s="0" t="n">
        <f aca="false">IF(ISBLANK(RawFinancials!M656),"",RawFinancials!M656)</f>
        <v>2206049</v>
      </c>
      <c r="N656" s="0" t="n">
        <f aca="false">IF(ISBLANK(RawFinancials!N656),"",RawFinancials!N656)</f>
        <v>1950768</v>
      </c>
      <c r="O656" s="0" t="n">
        <f aca="false">IF(ISBLANK(RawFinancials!O656),"",RawFinancials!O656)</f>
        <v>9808</v>
      </c>
      <c r="P656" s="0" t="str">
        <f aca="false">IF(ISBLANK(RawFinancials!P656),"",RawFinancials!P656)</f>
        <v>MAINE COMMUNITY BANK</v>
      </c>
      <c r="Q656" s="0" t="n">
        <f aca="false">IF(ISBLANK(RawFinancials!Q656),"",RawFinancials!Q656)</f>
        <v>0.441410100046355</v>
      </c>
      <c r="R656" s="0" t="n">
        <f aca="false">IF(ISBLANK(RawFinancials!R656),"",RawFinancials!R656)</f>
        <v>4.89910008789424</v>
      </c>
      <c r="S656" s="0" t="n">
        <f aca="false">IF(ISBLANK(RawFinancials!S656),"",RawFinancials!S656)</f>
        <v>32</v>
      </c>
      <c r="T656" s="0" t="n">
        <f aca="false">IF(ISBLANK(RawFinancials!T656),"",RawFinancials!T656)</f>
        <v>5724</v>
      </c>
      <c r="U656" s="0" t="n">
        <f aca="false">IF(ISBLANK(RawFinancials!U656),"",RawFinancials!U656)</f>
        <v>0</v>
      </c>
      <c r="V656" s="0" t="n">
        <f aca="false">IF(ISBLANK(RawFinancials!V656),"",RawFinancials!V656)</f>
        <v>0</v>
      </c>
      <c r="W656" s="0" t="n">
        <f aca="false">IF(ISBLANK(RawFinancials!W656),"",RawFinancials!W656)</f>
        <v>20250331</v>
      </c>
      <c r="X656" s="0" t="n">
        <f aca="false">IF(ISBLANK(RawFinancials!X656),"",RawFinancials!X656)</f>
        <v>0.637665297546565</v>
      </c>
      <c r="Y656" s="0" t="n">
        <f aca="false">IF(ISBLANK(RawFinancials!Y656),"",RawFinancials!Y656)</f>
        <v>6.31</v>
      </c>
      <c r="Z656" s="0" t="str">
        <f aca="false">IF(ISBLANK(RawFinancials!Z656),"",RawFinancials!Z656)</f>
        <v>ME</v>
      </c>
      <c r="AA656" s="0" t="n">
        <f aca="false">RawFinancials!AA656</f>
        <v>1</v>
      </c>
      <c r="AB656" s="0" t="n">
        <f aca="false">RawFinancials!AB656</f>
        <v>9808</v>
      </c>
      <c r="AC656" s="0" t="n">
        <f aca="false">RawFinancials!AC656</f>
        <v>0.362940140779922</v>
      </c>
      <c r="AD656" s="0" t="n">
        <f aca="false">IF(L656&gt;0,100*N656/L656,"")</f>
        <v>87.794524678551</v>
      </c>
      <c r="AE656" s="0" t="n">
        <f aca="false">IF(B656&gt;0,100*F656/B656,"")</f>
        <v>9.03146640694441</v>
      </c>
      <c r="AF656" s="0" t="str">
        <f aca="false">RawFinancials!AE656</f>
        <v>原始0：需核实适用/报告口径</v>
      </c>
    </row>
    <row r="657" customFormat="false" ht="15" hidden="false" customHeight="false" outlineLevel="0" collapsed="false">
      <c r="A657" s="0" t="n">
        <f aca="false">IF(ISBLANK(RawFinancials!A657),"",RawFinancials!A657)</f>
        <v>657</v>
      </c>
      <c r="B657" s="0" t="n">
        <f aca="false">IF(ISBLANK(RawFinancials!B657),"",RawFinancials!B657)</f>
        <v>1421036</v>
      </c>
      <c r="C657" s="0" t="n">
        <f aca="false">IF(ISBLANK(RawFinancials!C657),"",RawFinancials!C657)</f>
        <v>17743</v>
      </c>
      <c r="D657" s="0" t="n">
        <f aca="false">IF(ISBLANK(RawFinancials!D657),"",RawFinancials!D657)</f>
        <v>1011028</v>
      </c>
      <c r="E657" s="0" t="n">
        <f aca="false">IF(ISBLANK(RawFinancials!E657),"",RawFinancials!E657)</f>
        <v>0</v>
      </c>
      <c r="F657" s="0" t="n">
        <f aca="false">IF(ISBLANK(RawFinancials!F657),"",RawFinancials!F657)</f>
        <v>126472</v>
      </c>
      <c r="G657" s="0" t="n">
        <f aca="false">IF(ISBLANK(RawFinancials!G657),"",RawFinancials!G657)</f>
        <v>8.89998564427643</v>
      </c>
      <c r="H657" s="0" t="str">
        <f aca="false">IF(ISBLANK(RawFinancials!H657),"",RawFinancials!H657)</f>
        <v>17743_20250331</v>
      </c>
      <c r="I657" s="0" t="n">
        <f aca="false">IF(ISBLANK(RawFinancials!I657),"",RawFinancials!I657)</f>
        <v>0.421513602591541</v>
      </c>
      <c r="J657" s="0" t="n">
        <f aca="false">IF(ISBLANK(RawFinancials!J657),"",RawFinancials!J657)</f>
        <v>16286</v>
      </c>
      <c r="K657" s="0" t="n">
        <f aca="false">IF(ISBLANK(RawFinancials!K657),"",RawFinancials!K657)</f>
        <v>10447</v>
      </c>
      <c r="L657" s="0" t="n">
        <f aca="false">IF(ISBLANK(RawFinancials!L657),"",RawFinancials!L657)</f>
        <v>1133534</v>
      </c>
      <c r="M657" s="0" t="n">
        <f aca="false">IF(ISBLANK(RawFinancials!M657),"",RawFinancials!M657)</f>
        <v>1128756</v>
      </c>
      <c r="N657" s="0" t="n">
        <f aca="false">IF(ISBLANK(RawFinancials!N657),"",RawFinancials!N657)</f>
        <v>1096181</v>
      </c>
      <c r="O657" s="0" t="n">
        <f aca="false">IF(ISBLANK(RawFinancials!O657),"",RawFinancials!O657)</f>
        <v>757</v>
      </c>
      <c r="P657" s="0" t="str">
        <f aca="false">IF(ISBLANK(RawFinancials!P657),"",RawFinancials!P657)</f>
        <v>SACO &amp; BIDDEFORD SAVINGS INSTITUTION</v>
      </c>
      <c r="Q657" s="0" t="n">
        <f aca="false">IF(ISBLANK(RawFinancials!Q657),"",RawFinancials!Q657)</f>
        <v>0.0667822932527829</v>
      </c>
      <c r="R657" s="0" t="n">
        <f aca="false">IF(ISBLANK(RawFinancials!R657),"",RawFinancials!R657)</f>
        <v>2.04173672753816</v>
      </c>
      <c r="S657" s="0" t="n">
        <f aca="false">IF(ISBLANK(RawFinancials!S657),"",RawFinancials!S657)</f>
        <v>0</v>
      </c>
      <c r="T657" s="0" t="n">
        <f aca="false">IF(ISBLANK(RawFinancials!T657),"",RawFinancials!T657)</f>
        <v>6382</v>
      </c>
      <c r="U657" s="0" t="n">
        <f aca="false">IF(ISBLANK(RawFinancials!U657),"",RawFinancials!U657)</f>
        <v>0</v>
      </c>
      <c r="V657" s="0" t="n">
        <f aca="false">IF(ISBLANK(RawFinancials!V657),"",RawFinancials!V657)</f>
        <v>0</v>
      </c>
      <c r="W657" s="0" t="n">
        <f aca="false">IF(ISBLANK(RawFinancials!W657),"",RawFinancials!W657)</f>
        <v>20250331</v>
      </c>
      <c r="X657" s="0" t="n">
        <f aca="false">IF(ISBLANK(RawFinancials!X657),"",RawFinancials!X657)</f>
        <v>-0.0132738457932146</v>
      </c>
      <c r="Y657" s="0" t="n">
        <f aca="false">IF(ISBLANK(RawFinancials!Y657),"",RawFinancials!Y657)</f>
        <v>-0.15</v>
      </c>
      <c r="Z657" s="0" t="str">
        <f aca="false">IF(ISBLANK(RawFinancials!Z657),"",RawFinancials!Z657)</f>
        <v>ME</v>
      </c>
      <c r="AA657" s="0" t="n">
        <f aca="false">RawFinancials!AA657</f>
        <v>1</v>
      </c>
      <c r="AB657" s="0" t="n">
        <f aca="false">RawFinancials!AB657</f>
        <v>757</v>
      </c>
      <c r="AC657" s="0" t="n">
        <f aca="false">RawFinancials!AC657</f>
        <v>0.0532709938382983</v>
      </c>
      <c r="AD657" s="0" t="n">
        <f aca="false">IF(L657&gt;0,100*N657/L657,"")</f>
        <v>96.7047305153617</v>
      </c>
      <c r="AE657" s="0" t="n">
        <f aca="false">IF(B657&gt;0,100*F657/B657,"")</f>
        <v>8.89998564427643</v>
      </c>
      <c r="AF657" s="0" t="str">
        <f aca="false">RawFinancials!AE657</f>
        <v>原始0：需核实适用/报告口径</v>
      </c>
    </row>
    <row r="658" customFormat="false" ht="15" hidden="false" customHeight="false" outlineLevel="0" collapsed="false">
      <c r="A658" s="0" t="n">
        <f aca="false">IF(ISBLANK(RawFinancials!A658),"",RawFinancials!A658)</f>
        <v>658</v>
      </c>
      <c r="B658" s="0" t="n">
        <f aca="false">IF(ISBLANK(RawFinancials!B658),"",RawFinancials!B658)</f>
        <v>1415126</v>
      </c>
      <c r="C658" s="0" t="n">
        <f aca="false">IF(ISBLANK(RawFinancials!C658),"",RawFinancials!C658)</f>
        <v>17749</v>
      </c>
      <c r="D658" s="0" t="n">
        <f aca="false">IF(ISBLANK(RawFinancials!D658),"",RawFinancials!D658)</f>
        <v>1106043</v>
      </c>
      <c r="E658" s="0" t="n">
        <f aca="false">IF(ISBLANK(RawFinancials!E658),"",RawFinancials!E658)</f>
        <v>0.07</v>
      </c>
      <c r="F658" s="0" t="n">
        <f aca="false">IF(ISBLANK(RawFinancials!F658),"",RawFinancials!F658)</f>
        <v>197514</v>
      </c>
      <c r="G658" s="0" t="n">
        <f aca="false">IF(ISBLANK(RawFinancials!G658),"",RawFinancials!G658)</f>
        <v>13.9573437276963</v>
      </c>
      <c r="H658" s="0" t="str">
        <f aca="false">IF(ISBLANK(RawFinancials!H658),"",RawFinancials!H658)</f>
        <v>17749_20250331</v>
      </c>
      <c r="I658" s="0" t="n">
        <f aca="false">IF(ISBLANK(RawFinancials!I658),"",RawFinancials!I658)</f>
        <v>1.43729503426445</v>
      </c>
      <c r="J658" s="0" t="n">
        <f aca="false">IF(ISBLANK(RawFinancials!J658),"",RawFinancials!J658)</f>
        <v>55321</v>
      </c>
      <c r="K658" s="0" t="n">
        <f aca="false">IF(ISBLANK(RawFinancials!K658),"",RawFinancials!K658)</f>
        <v>11040</v>
      </c>
      <c r="L658" s="0" t="n">
        <f aca="false">IF(ISBLANK(RawFinancials!L658),"",RawFinancials!L658)</f>
        <v>833371</v>
      </c>
      <c r="M658" s="0" t="n">
        <f aca="false">IF(ISBLANK(RawFinancials!M658),"",RawFinancials!M658)</f>
        <v>821393</v>
      </c>
      <c r="N658" s="0" t="n">
        <f aca="false">IF(ISBLANK(RawFinancials!N658),"",RawFinancials!N658)</f>
        <v>756331</v>
      </c>
      <c r="O658" s="0" t="n">
        <f aca="false">IF(ISBLANK(RawFinancials!O658),"",RawFinancials!O658)</f>
        <v>953</v>
      </c>
      <c r="P658" s="0" t="str">
        <f aca="false">IF(ISBLANK(RawFinancials!P658),"",RawFinancials!P658)</f>
        <v>BATH SAVINGS INSTITUTION</v>
      </c>
      <c r="Q658" s="0" t="n">
        <f aca="false">IF(ISBLANK(RawFinancials!Q658),"",RawFinancials!Q658)</f>
        <v>0.125154343023695</v>
      </c>
      <c r="R658" s="0" t="n">
        <f aca="false">IF(ISBLANK(RawFinancials!R658),"",RawFinancials!R658)</f>
        <v>2.66400103962503</v>
      </c>
      <c r="S658" s="0" t="n">
        <f aca="false">IF(ISBLANK(RawFinancials!S658),"",RawFinancials!S658)</f>
        <v>1</v>
      </c>
      <c r="T658" s="0" t="n">
        <f aca="false">IF(ISBLANK(RawFinancials!T658),"",RawFinancials!T658)</f>
        <v>750</v>
      </c>
      <c r="U658" s="0" t="n">
        <f aca="false">IF(ISBLANK(RawFinancials!U658),"",RawFinancials!U658)</f>
        <v>90</v>
      </c>
      <c r="V658" s="0" t="n">
        <f aca="false">IF(ISBLANK(RawFinancials!V658),"",RawFinancials!V658)</f>
        <v>0</v>
      </c>
      <c r="W658" s="0" t="n">
        <f aca="false">IF(ISBLANK(RawFinancials!W658),"",RawFinancials!W658)</f>
        <v>20250331</v>
      </c>
      <c r="X658" s="0" t="n">
        <f aca="false">IF(ISBLANK(RawFinancials!X658),"",RawFinancials!X658)</f>
        <v>0.443227148231069</v>
      </c>
      <c r="Y658" s="0" t="n">
        <f aca="false">IF(ISBLANK(RawFinancials!Y658),"",RawFinancials!Y658)</f>
        <v>3.22</v>
      </c>
      <c r="Z658" s="0" t="str">
        <f aca="false">IF(ISBLANK(RawFinancials!Z658),"",RawFinancials!Z658)</f>
        <v>ME</v>
      </c>
      <c r="AA658" s="0" t="n">
        <f aca="false">RawFinancials!AA658</f>
        <v>1</v>
      </c>
      <c r="AB658" s="0" t="n">
        <f aca="false">RawFinancials!AB658</f>
        <v>1043</v>
      </c>
      <c r="AC658" s="0" t="n">
        <f aca="false">RawFinancials!AC658</f>
        <v>0.0737036843362358</v>
      </c>
      <c r="AD658" s="0" t="n">
        <f aca="false">IF(L658&gt;0,100*N658/L658,"")</f>
        <v>90.7556178460734</v>
      </c>
      <c r="AE658" s="0" t="n">
        <f aca="false">IF(B658&gt;0,100*F658/B658,"")</f>
        <v>13.9573437276963</v>
      </c>
      <c r="AF658" s="0" t="str">
        <f aca="false">RawFinancials!AE658</f>
        <v>原始0：需核实适用/报告口径</v>
      </c>
    </row>
    <row r="659" customFormat="false" ht="15" hidden="false" customHeight="false" outlineLevel="0" collapsed="false">
      <c r="A659" s="0" t="n">
        <f aca="false">IF(ISBLANK(RawFinancials!A659),"",RawFinancials!A659)</f>
        <v>659</v>
      </c>
      <c r="B659" s="0" t="n">
        <f aca="false">IF(ISBLANK(RawFinancials!B659),"",RawFinancials!B659)</f>
        <v>1694530</v>
      </c>
      <c r="C659" s="0" t="n">
        <f aca="false">IF(ISBLANK(RawFinancials!C659),"",RawFinancials!C659)</f>
        <v>17751</v>
      </c>
      <c r="D659" s="0" t="n">
        <f aca="false">IF(ISBLANK(RawFinancials!D659),"",RawFinancials!D659)</f>
        <v>1333884</v>
      </c>
      <c r="E659" s="0" t="n">
        <f aca="false">IF(ISBLANK(RawFinancials!E659),"",RawFinancials!E659)</f>
        <v>0.05</v>
      </c>
      <c r="F659" s="0" t="n">
        <f aca="false">IF(ISBLANK(RawFinancials!F659),"",RawFinancials!F659)</f>
        <v>150042</v>
      </c>
      <c r="G659" s="0" t="n">
        <f aca="false">IF(ISBLANK(RawFinancials!G659),"",RawFinancials!G659)</f>
        <v>8.85449062571923</v>
      </c>
      <c r="H659" s="0" t="str">
        <f aca="false">IF(ISBLANK(RawFinancials!H659),"",RawFinancials!H659)</f>
        <v>17751_20250331</v>
      </c>
      <c r="I659" s="0" t="n">
        <f aca="false">IF(ISBLANK(RawFinancials!I659),"",RawFinancials!I659)</f>
        <v>0.938322884290286</v>
      </c>
      <c r="J659" s="0" t="n">
        <f aca="false">IF(ISBLANK(RawFinancials!J659),"",RawFinancials!J659)</f>
        <v>138929</v>
      </c>
      <c r="K659" s="0" t="n">
        <f aca="false">IF(ISBLANK(RawFinancials!K659),"",RawFinancials!K659)</f>
        <v>2198</v>
      </c>
      <c r="L659" s="0" t="n">
        <f aca="false">IF(ISBLANK(RawFinancials!L659),"",RawFinancials!L659)</f>
        <v>1410815</v>
      </c>
      <c r="M659" s="0" t="n">
        <f aca="false">IF(ISBLANK(RawFinancials!M659),"",RawFinancials!M659)</f>
        <v>1397577</v>
      </c>
      <c r="N659" s="0" t="n">
        <f aca="false">IF(ISBLANK(RawFinancials!N659),"",RawFinancials!N659)</f>
        <v>1197971</v>
      </c>
      <c r="O659" s="0" t="n">
        <f aca="false">IF(ISBLANK(RawFinancials!O659),"",RawFinancials!O659)</f>
        <v>2675</v>
      </c>
      <c r="P659" s="0" t="str">
        <f aca="false">IF(ISBLANK(RawFinancials!P659),"",RawFinancials!P659)</f>
        <v>ANDROSCOGGIN SAVINGS BANK</v>
      </c>
      <c r="Q659" s="0" t="n">
        <f aca="false">IF(ISBLANK(RawFinancials!Q659),"",RawFinancials!Q659)</f>
        <v>0.189606716685037</v>
      </c>
      <c r="R659" s="0" t="n">
        <f aca="false">IF(ISBLANK(RawFinancials!R659),"",RawFinancials!R659)</f>
        <v>2.79025458624727</v>
      </c>
      <c r="S659" s="0" t="n">
        <f aca="false">IF(ISBLANK(RawFinancials!S659),"",RawFinancials!S659)</f>
        <v>-25</v>
      </c>
      <c r="T659" s="0" t="n">
        <f aca="false">IF(ISBLANK(RawFinancials!T659),"",RawFinancials!T659)</f>
        <v>7685</v>
      </c>
      <c r="U659" s="0" t="n">
        <f aca="false">IF(ISBLANK(RawFinancials!U659),"",RawFinancials!U659)</f>
        <v>0</v>
      </c>
      <c r="V659" s="0" t="n">
        <f aca="false">IF(ISBLANK(RawFinancials!V659),"",RawFinancials!V659)</f>
        <v>12.3894136970979</v>
      </c>
      <c r="W659" s="0" t="n">
        <f aca="false">IF(ISBLANK(RawFinancials!W659),"",RawFinancials!W659)</f>
        <v>20250331</v>
      </c>
      <c r="X659" s="0" t="n">
        <f aca="false">IF(ISBLANK(RawFinancials!X659),"",RawFinancials!X659)</f>
        <v>0.361584129388483</v>
      </c>
      <c r="Y659" s="0" t="n">
        <f aca="false">IF(ISBLANK(RawFinancials!Y659),"",RawFinancials!Y659)</f>
        <v>4.1</v>
      </c>
      <c r="Z659" s="0" t="str">
        <f aca="false">IF(ISBLANK(RawFinancials!Z659),"",RawFinancials!Z659)</f>
        <v>ME</v>
      </c>
      <c r="AA659" s="0" t="n">
        <f aca="false">RawFinancials!AA659</f>
        <v>1</v>
      </c>
      <c r="AB659" s="0" t="n">
        <f aca="false">RawFinancials!AB659</f>
        <v>2675</v>
      </c>
      <c r="AC659" s="0" t="n">
        <f aca="false">RawFinancials!AC659</f>
        <v>0.157860881778428</v>
      </c>
      <c r="AD659" s="0" t="n">
        <f aca="false">IF(L659&gt;0,100*N659/L659,"")</f>
        <v>84.9134011192112</v>
      </c>
      <c r="AE659" s="0" t="n">
        <f aca="false">IF(B659&gt;0,100*F659/B659,"")</f>
        <v>8.85449062571923</v>
      </c>
      <c r="AF659" s="0" t="str">
        <f aca="false">RawFinancials!AE659</f>
        <v/>
      </c>
    </row>
    <row r="660" customFormat="false" ht="15" hidden="false" customHeight="false" outlineLevel="0" collapsed="false">
      <c r="A660" s="0" t="n">
        <f aca="false">IF(ISBLANK(RawFinancials!A660),"",RawFinancials!A660)</f>
        <v>660</v>
      </c>
      <c r="B660" s="0" t="n">
        <f aca="false">IF(ISBLANK(RawFinancials!B660),"",RawFinancials!B660)</f>
        <v>1759715</v>
      </c>
      <c r="C660" s="0" t="n">
        <f aca="false">IF(ISBLANK(RawFinancials!C660),"",RawFinancials!C660)</f>
        <v>17897</v>
      </c>
      <c r="D660" s="0" t="n">
        <f aca="false">IF(ISBLANK(RawFinancials!D660),"",RawFinancials!D660)</f>
        <v>1345096</v>
      </c>
      <c r="E660" s="0" t="n">
        <f aca="false">IF(ISBLANK(RawFinancials!E660),"",RawFinancials!E660)</f>
        <v>0.04</v>
      </c>
      <c r="F660" s="0" t="n">
        <f aca="false">IF(ISBLANK(RawFinancials!F660),"",RawFinancials!F660)</f>
        <v>219109</v>
      </c>
      <c r="G660" s="0" t="n">
        <f aca="false">IF(ISBLANK(RawFinancials!G660),"",RawFinancials!G660)</f>
        <v>12.4513912764283</v>
      </c>
      <c r="H660" s="0" t="str">
        <f aca="false">IF(ISBLANK(RawFinancials!H660),"",RawFinancials!H660)</f>
        <v>17897_20250331</v>
      </c>
      <c r="I660" s="0" t="n">
        <f aca="false">IF(ISBLANK(RawFinancials!I660),"",RawFinancials!I660)</f>
        <v>0.616327371558233</v>
      </c>
      <c r="J660" s="0" t="n">
        <f aca="false">IF(ISBLANK(RawFinancials!J660),"",RawFinancials!J660)</f>
        <v>82917</v>
      </c>
      <c r="K660" s="0" t="n">
        <f aca="false">IF(ISBLANK(RawFinancials!K660),"",RawFinancials!K660)</f>
        <v>3414</v>
      </c>
      <c r="L660" s="0" t="n">
        <f aca="false">IF(ISBLANK(RawFinancials!L660),"",RawFinancials!L660)</f>
        <v>1470647</v>
      </c>
      <c r="M660" s="0" t="n">
        <f aca="false">IF(ISBLANK(RawFinancials!M660),"",RawFinancials!M660)</f>
        <v>1461583</v>
      </c>
      <c r="N660" s="0" t="n">
        <f aca="false">IF(ISBLANK(RawFinancials!N660),"",RawFinancials!N660)</f>
        <v>1370211</v>
      </c>
      <c r="O660" s="0" t="n">
        <f aca="false">IF(ISBLANK(RawFinancials!O660),"",RawFinancials!O660)</f>
        <v>4816</v>
      </c>
      <c r="P660" s="0" t="str">
        <f aca="false">IF(ISBLANK(RawFinancials!P660),"",RawFinancials!P660)</f>
        <v>KENNEBEC SAVINGS BANK</v>
      </c>
      <c r="Q660" s="0" t="n">
        <f aca="false">IF(ISBLANK(RawFinancials!Q660),"",RawFinancials!Q660)</f>
        <v>0.328834859759004</v>
      </c>
      <c r="R660" s="0" t="n">
        <f aca="false">IF(ISBLANK(RawFinancials!R660),"",RawFinancials!R660)</f>
        <v>2.67229101981083</v>
      </c>
      <c r="S660" s="0" t="n">
        <f aca="false">IF(ISBLANK(RawFinancials!S660),"",RawFinancials!S660)</f>
        <v>43</v>
      </c>
      <c r="T660" s="0" t="n">
        <f aca="false">IF(ISBLANK(RawFinancials!T660),"",RawFinancials!T660)</f>
        <v>8545</v>
      </c>
      <c r="U660" s="0" t="n">
        <f aca="false">IF(ISBLANK(RawFinancials!U660),"",RawFinancials!U660)</f>
        <v>20</v>
      </c>
      <c r="V660" s="0" t="n">
        <f aca="false">IF(ISBLANK(RawFinancials!V660),"",RawFinancials!V660)</f>
        <v>17.5946551181685</v>
      </c>
      <c r="W660" s="0" t="n">
        <f aca="false">IF(ISBLANK(RawFinancials!W660),"",RawFinancials!W660)</f>
        <v>20250331</v>
      </c>
      <c r="X660" s="0" t="n">
        <f aca="false">IF(ISBLANK(RawFinancials!X660),"",RawFinancials!X660)</f>
        <v>0.437372293588705</v>
      </c>
      <c r="Y660" s="0" t="n">
        <f aca="false">IF(ISBLANK(RawFinancials!Y660),"",RawFinancials!Y660)</f>
        <v>3.55</v>
      </c>
      <c r="Z660" s="0" t="str">
        <f aca="false">IF(ISBLANK(RawFinancials!Z660),"",RawFinancials!Z660)</f>
        <v>ME</v>
      </c>
      <c r="AA660" s="0" t="n">
        <f aca="false">RawFinancials!AA660</f>
        <v>1</v>
      </c>
      <c r="AB660" s="0" t="n">
        <f aca="false">RawFinancials!AB660</f>
        <v>4836</v>
      </c>
      <c r="AC660" s="0" t="n">
        <f aca="false">RawFinancials!AC660</f>
        <v>0.274817228926275</v>
      </c>
      <c r="AD660" s="0" t="n">
        <f aca="false">IF(L660&gt;0,100*N660/L660,"")</f>
        <v>93.1706249018289</v>
      </c>
      <c r="AE660" s="0" t="n">
        <f aca="false">IF(B660&gt;0,100*F660/B660,"")</f>
        <v>12.4513912764283</v>
      </c>
      <c r="AF660" s="0" t="str">
        <f aca="false">RawFinancials!AE660</f>
        <v/>
      </c>
    </row>
    <row r="661" customFormat="false" ht="15" hidden="false" customHeight="false" outlineLevel="0" collapsed="false">
      <c r="A661" s="0" t="n">
        <f aca="false">IF(ISBLANK(RawFinancials!A661),"",RawFinancials!A661)</f>
        <v>661</v>
      </c>
      <c r="B661" s="0" t="n">
        <f aca="false">IF(ISBLANK(RawFinancials!B661),"",RawFinancials!B661)</f>
        <v>856737</v>
      </c>
      <c r="C661" s="0" t="n">
        <f aca="false">IF(ISBLANK(RawFinancials!C661),"",RawFinancials!C661)</f>
        <v>17951</v>
      </c>
      <c r="D661" s="0" t="n">
        <f aca="false">IF(ISBLANK(RawFinancials!D661),"",RawFinancials!D661)</f>
        <v>714191</v>
      </c>
      <c r="E661" s="0" t="n">
        <f aca="false">IF(ISBLANK(RawFinancials!E661),"",RawFinancials!E661)</f>
        <v>0.09</v>
      </c>
      <c r="F661" s="0" t="n">
        <f aca="false">IF(ISBLANK(RawFinancials!F661),"",RawFinancials!F661)</f>
        <v>68926</v>
      </c>
      <c r="G661" s="0" t="n">
        <f aca="false">IF(ISBLANK(RawFinancials!G661),"",RawFinancials!G661)</f>
        <v>8.04517605752991</v>
      </c>
      <c r="H661" s="0" t="str">
        <f aca="false">IF(ISBLANK(RawFinancials!H661),"",RawFinancials!H661)</f>
        <v>17951_20250331</v>
      </c>
      <c r="I661" s="0" t="n">
        <f aca="false">IF(ISBLANK(RawFinancials!I661),"",RawFinancials!I661)</f>
        <v>0.834978241485219</v>
      </c>
      <c r="J661" s="0" t="n">
        <f aca="false">IF(ISBLANK(RawFinancials!J661),"",RawFinancials!J661)</f>
        <v>35790</v>
      </c>
      <c r="K661" s="0" t="n">
        <f aca="false">IF(ISBLANK(RawFinancials!K661),"",RawFinancials!K661)</f>
        <v>1548</v>
      </c>
      <c r="L661" s="0" t="n">
        <f aca="false">IF(ISBLANK(RawFinancials!L661),"",RawFinancials!L661)</f>
        <v>656065</v>
      </c>
      <c r="M661" s="0" t="n">
        <f aca="false">IF(ISBLANK(RawFinancials!M661),"",RawFinancials!M661)</f>
        <v>650587</v>
      </c>
      <c r="N661" s="0" t="n">
        <f aca="false">IF(ISBLANK(RawFinancials!N661),"",RawFinancials!N661)</f>
        <v>602633</v>
      </c>
      <c r="O661" s="0" t="n">
        <f aca="false">IF(ISBLANK(RawFinancials!O661),"",RawFinancials!O661)</f>
        <v>152</v>
      </c>
      <c r="P661" s="0" t="str">
        <f aca="false">IF(ISBLANK(RawFinancials!P661),"",RawFinancials!P661)</f>
        <v>FRANKLIN SAVINGS BANK</v>
      </c>
      <c r="Q661" s="0" t="n">
        <f aca="false">IF(ISBLANK(RawFinancials!Q661),"",RawFinancials!Q661)</f>
        <v>0.0231684360543543</v>
      </c>
      <c r="R661" s="0" t="n">
        <f aca="false">IF(ISBLANK(RawFinancials!R661),"",RawFinancials!R661)</f>
        <v>2.69304314129075</v>
      </c>
      <c r="S661" s="0" t="n">
        <f aca="false">IF(ISBLANK(RawFinancials!S661),"",RawFinancials!S661)</f>
        <v>2</v>
      </c>
      <c r="T661" s="0" t="n">
        <f aca="false">IF(ISBLANK(RawFinancials!T661),"",RawFinancials!T661)</f>
        <v>25</v>
      </c>
      <c r="U661" s="0" t="n">
        <f aca="false">IF(ISBLANK(RawFinancials!U661),"",RawFinancials!U661)</f>
        <v>0</v>
      </c>
      <c r="V661" s="0" t="n">
        <f aca="false">IF(ISBLANK(RawFinancials!V661),"",RawFinancials!V661)</f>
        <v>13.5230158316307</v>
      </c>
      <c r="W661" s="0" t="n">
        <f aca="false">IF(ISBLANK(RawFinancials!W661),"",RawFinancials!W661)</f>
        <v>20250331</v>
      </c>
      <c r="X661" s="0" t="n">
        <f aca="false">IF(ISBLANK(RawFinancials!X661),"",RawFinancials!X661)</f>
        <v>0.569958063286313</v>
      </c>
      <c r="Y661" s="0" t="n">
        <f aca="false">IF(ISBLANK(RawFinancials!Y661),"",RawFinancials!Y661)</f>
        <v>7.1</v>
      </c>
      <c r="Z661" s="0" t="str">
        <f aca="false">IF(ISBLANK(RawFinancials!Z661),"",RawFinancials!Z661)</f>
        <v>NH</v>
      </c>
      <c r="AA661" s="0" t="n">
        <f aca="false">RawFinancials!AA661</f>
        <v>1</v>
      </c>
      <c r="AB661" s="0" t="n">
        <f aca="false">RawFinancials!AB661</f>
        <v>152</v>
      </c>
      <c r="AC661" s="0" t="n">
        <f aca="false">RawFinancials!AC661</f>
        <v>0.0177417340444034</v>
      </c>
      <c r="AD661" s="0" t="n">
        <f aca="false">IF(L661&gt;0,100*N661/L661,"")</f>
        <v>91.8556850312088</v>
      </c>
      <c r="AE661" s="0" t="n">
        <f aca="false">IF(B661&gt;0,100*F661/B661,"")</f>
        <v>8.04517605752991</v>
      </c>
      <c r="AF661" s="0" t="str">
        <f aca="false">RawFinancials!AE661</f>
        <v/>
      </c>
    </row>
    <row r="662" customFormat="false" ht="15" hidden="false" customHeight="false" outlineLevel="0" collapsed="false">
      <c r="A662" s="0" t="n">
        <f aca="false">IF(ISBLANK(RawFinancials!A662),"",RawFinancials!A662)</f>
        <v>662</v>
      </c>
      <c r="B662" s="0" t="n">
        <f aca="false">IF(ISBLANK(RawFinancials!B662),"",RawFinancials!B662)</f>
        <v>1354203</v>
      </c>
      <c r="C662" s="0" t="n">
        <f aca="false">IF(ISBLANK(RawFinancials!C662),"",RawFinancials!C662)</f>
        <v>17960</v>
      </c>
      <c r="D662" s="0" t="n">
        <f aca="false">IF(ISBLANK(RawFinancials!D662),"",RawFinancials!D662)</f>
        <v>1112041</v>
      </c>
      <c r="E662" s="0" t="n">
        <f aca="false">IF(ISBLANK(RawFinancials!E662),"",RawFinancials!E662)</f>
        <v>0.19</v>
      </c>
      <c r="F662" s="0" t="n">
        <f aca="false">IF(ISBLANK(RawFinancials!F662),"",RawFinancials!F662)</f>
        <v>118120</v>
      </c>
      <c r="G662" s="0" t="n">
        <f aca="false">IF(ISBLANK(RawFinancials!G662),"",RawFinancials!G662)</f>
        <v>8.72247366162975</v>
      </c>
      <c r="H662" s="0" t="str">
        <f aca="false">IF(ISBLANK(RawFinancials!H662),"",RawFinancials!H662)</f>
        <v>17960_20250331</v>
      </c>
      <c r="I662" s="0" t="n">
        <f aca="false">IF(ISBLANK(RawFinancials!I662),"",RawFinancials!I662)</f>
        <v>1.09436816889407</v>
      </c>
      <c r="J662" s="0" t="n">
        <f aca="false">IF(ISBLANK(RawFinancials!J662),"",RawFinancials!J662)</f>
        <v>115321</v>
      </c>
      <c r="K662" s="0" t="n">
        <f aca="false">IF(ISBLANK(RawFinancials!K662),"",RawFinancials!K662)</f>
        <v>219320</v>
      </c>
      <c r="L662" s="0" t="n">
        <f aca="false">IF(ISBLANK(RawFinancials!L662),"",RawFinancials!L662)</f>
        <v>1150070</v>
      </c>
      <c r="M662" s="0" t="n">
        <f aca="false">IF(ISBLANK(RawFinancials!M662),"",RawFinancials!M662)</f>
        <v>1137484</v>
      </c>
      <c r="N662" s="0" t="n">
        <f aca="false">IF(ISBLANK(RawFinancials!N662),"",RawFinancials!N662)</f>
        <v>811642</v>
      </c>
      <c r="O662" s="0" t="n">
        <f aca="false">IF(ISBLANK(RawFinancials!O662),"",RawFinancials!O662)</f>
        <v>7626</v>
      </c>
      <c r="P662" s="0" t="str">
        <f aca="false">IF(ISBLANK(RawFinancials!P662),"",RawFinancials!P662)</f>
        <v>MERRIMACK COUNTY SAVINGS BANK</v>
      </c>
      <c r="Q662" s="0" t="n">
        <f aca="false">IF(ISBLANK(RawFinancials!Q662),"",RawFinancials!Q662)</f>
        <v>0.663090072778179</v>
      </c>
      <c r="R662" s="0" t="n">
        <f aca="false">IF(ISBLANK(RawFinancials!R662),"",RawFinancials!R662)</f>
        <v>2.93424816317374</v>
      </c>
      <c r="S662" s="0" t="n">
        <f aca="false">IF(ISBLANK(RawFinancials!S662),"",RawFinancials!S662)</f>
        <v>202</v>
      </c>
      <c r="T662" s="0" t="n">
        <f aca="false">IF(ISBLANK(RawFinancials!T662),"",RawFinancials!T662)</f>
        <v>4491</v>
      </c>
      <c r="U662" s="0" t="n">
        <f aca="false">IF(ISBLANK(RawFinancials!U662),"",RawFinancials!U662)</f>
        <v>0</v>
      </c>
      <c r="V662" s="0" t="n">
        <f aca="false">IF(ISBLANK(RawFinancials!V662),"",RawFinancials!V662)</f>
        <v>13.7521204502019</v>
      </c>
      <c r="W662" s="0" t="n">
        <f aca="false">IF(ISBLANK(RawFinancials!W662),"",RawFinancials!W662)</f>
        <v>20250331</v>
      </c>
      <c r="X662" s="0" t="n">
        <f aca="false">IF(ISBLANK(RawFinancials!X662),"",RawFinancials!X662)</f>
        <v>0.293339162698366</v>
      </c>
      <c r="Y662" s="0" t="n">
        <f aca="false">IF(ISBLANK(RawFinancials!Y662),"",RawFinancials!Y662)</f>
        <v>3.4</v>
      </c>
      <c r="Z662" s="0" t="str">
        <f aca="false">IF(ISBLANK(RawFinancials!Z662),"",RawFinancials!Z662)</f>
        <v>NH</v>
      </c>
      <c r="AA662" s="0" t="n">
        <f aca="false">RawFinancials!AA662</f>
        <v>1</v>
      </c>
      <c r="AB662" s="0" t="n">
        <f aca="false">RawFinancials!AB662</f>
        <v>7626</v>
      </c>
      <c r="AC662" s="0" t="n">
        <f aca="false">RawFinancials!AC662</f>
        <v>0.563135659867834</v>
      </c>
      <c r="AD662" s="0" t="n">
        <f aca="false">IF(L662&gt;0,100*N662/L662,"")</f>
        <v>70.5732694531637</v>
      </c>
      <c r="AE662" s="0" t="n">
        <f aca="false">IF(B662&gt;0,100*F662/B662,"")</f>
        <v>8.72247366162976</v>
      </c>
      <c r="AF662" s="0" t="str">
        <f aca="false">RawFinancials!AE662</f>
        <v/>
      </c>
    </row>
    <row r="663" customFormat="false" ht="15" hidden="false" customHeight="false" outlineLevel="0" collapsed="false">
      <c r="A663" s="0" t="n">
        <f aca="false">IF(ISBLANK(RawFinancials!A663),"",RawFinancials!A663)</f>
        <v>663</v>
      </c>
      <c r="B663" s="0" t="n">
        <f aca="false">IF(ISBLANK(RawFinancials!B663),"",RawFinancials!B663)</f>
        <v>2654603</v>
      </c>
      <c r="C663" s="0" t="n">
        <f aca="false">IF(ISBLANK(RawFinancials!C663),"",RawFinancials!C663)</f>
        <v>18012</v>
      </c>
      <c r="D663" s="0" t="n">
        <f aca="false">IF(ISBLANK(RawFinancials!D663),"",RawFinancials!D663)</f>
        <v>2299127</v>
      </c>
      <c r="E663" s="0" t="n">
        <f aca="false">IF(ISBLANK(RawFinancials!E663),"",RawFinancials!E663)</f>
        <v>0.04</v>
      </c>
      <c r="F663" s="0" t="n">
        <f aca="false">IF(ISBLANK(RawFinancials!F663),"",RawFinancials!F663)</f>
        <v>293951</v>
      </c>
      <c r="G663" s="0" t="n">
        <f aca="false">IF(ISBLANK(RawFinancials!G663),"",RawFinancials!G663)</f>
        <v>11.0732565283773</v>
      </c>
      <c r="H663" s="0" t="str">
        <f aca="false">IF(ISBLANK(RawFinancials!H663),"",RawFinancials!H663)</f>
        <v>18012_20250331</v>
      </c>
      <c r="I663" s="0" t="n">
        <f aca="false">IF(ISBLANK(RawFinancials!I663),"",RawFinancials!I663)</f>
        <v>1.1708873142952</v>
      </c>
      <c r="J663" s="0" t="n">
        <f aca="false">IF(ISBLANK(RawFinancials!J663),"",RawFinancials!J663)</f>
        <v>49493</v>
      </c>
      <c r="K663" s="0" t="n">
        <f aca="false">IF(ISBLANK(RawFinancials!K663),"",RawFinancials!K663)</f>
        <v>26074</v>
      </c>
      <c r="L663" s="0" t="n">
        <f aca="false">IF(ISBLANK(RawFinancials!L663),"",RawFinancials!L663)</f>
        <v>2121041</v>
      </c>
      <c r="M663" s="0" t="n">
        <f aca="false">IF(ISBLANK(RawFinancials!M663),"",RawFinancials!M663)</f>
        <v>2096206</v>
      </c>
      <c r="N663" s="0" t="n">
        <f aca="false">IF(ISBLANK(RawFinancials!N663),"",RawFinancials!N663)</f>
        <v>2023412</v>
      </c>
      <c r="O663" s="0" t="n">
        <f aca="false">IF(ISBLANK(RawFinancials!O663),"",RawFinancials!O663)</f>
        <v>1089</v>
      </c>
      <c r="P663" s="0" t="str">
        <f aca="false">IF(ISBLANK(RawFinancials!P663),"",RawFinancials!P663)</f>
        <v>BANK OF NEW HAMPSHIRE</v>
      </c>
      <c r="Q663" s="0" t="n">
        <f aca="false">IF(ISBLANK(RawFinancials!Q663),"",RawFinancials!Q663)</f>
        <v>0.0513427133186015</v>
      </c>
      <c r="R663" s="0" t="n">
        <f aca="false">IF(ISBLANK(RawFinancials!R663),"",RawFinancials!R663)</f>
        <v>2.79975953134989</v>
      </c>
      <c r="S663" s="0" t="n">
        <f aca="false">IF(ISBLANK(RawFinancials!S663),"",RawFinancials!S663)</f>
        <v>19</v>
      </c>
      <c r="T663" s="0" t="n">
        <f aca="false">IF(ISBLANK(RawFinancials!T663),"",RawFinancials!T663)</f>
        <v>3239</v>
      </c>
      <c r="U663" s="0" t="n">
        <f aca="false">IF(ISBLANK(RawFinancials!U663),"",RawFinancials!U663)</f>
        <v>0</v>
      </c>
      <c r="V663" s="0" t="n">
        <f aca="false">IF(ISBLANK(RawFinancials!V663),"",RawFinancials!V663)</f>
        <v>14.0643760616757</v>
      </c>
      <c r="W663" s="0" t="n">
        <f aca="false">IF(ISBLANK(RawFinancials!W663),"",RawFinancials!W663)</f>
        <v>20250331</v>
      </c>
      <c r="X663" s="0" t="n">
        <f aca="false">IF(ISBLANK(RawFinancials!X663),"",RawFinancials!X663)</f>
        <v>0.745930213394085</v>
      </c>
      <c r="Y663" s="0" t="n">
        <f aca="false">IF(ISBLANK(RawFinancials!Y663),"",RawFinancials!Y663)</f>
        <v>6.81</v>
      </c>
      <c r="Z663" s="0" t="str">
        <f aca="false">IF(ISBLANK(RawFinancials!Z663),"",RawFinancials!Z663)</f>
        <v>NH</v>
      </c>
      <c r="AA663" s="0" t="n">
        <f aca="false">RawFinancials!AA663</f>
        <v>1</v>
      </c>
      <c r="AB663" s="0" t="n">
        <f aca="false">RawFinancials!AB663</f>
        <v>1089</v>
      </c>
      <c r="AC663" s="0" t="n">
        <f aca="false">RawFinancials!AC663</f>
        <v>0.0410230833009682</v>
      </c>
      <c r="AD663" s="0" t="n">
        <f aca="false">IF(L663&gt;0,100*N663/L663,"")</f>
        <v>95.3971186789883</v>
      </c>
      <c r="AE663" s="0" t="n">
        <f aca="false">IF(B663&gt;0,100*F663/B663,"")</f>
        <v>11.0732565283773</v>
      </c>
      <c r="AF663" s="0" t="str">
        <f aca="false">RawFinancials!AE663</f>
        <v/>
      </c>
    </row>
    <row r="664" customFormat="false" ht="15" hidden="false" customHeight="false" outlineLevel="0" collapsed="false">
      <c r="A664" s="0" t="n">
        <f aca="false">IF(ISBLANK(RawFinancials!A664),"",RawFinancials!A664)</f>
        <v>664</v>
      </c>
      <c r="B664" s="0" t="n">
        <f aca="false">IF(ISBLANK(RawFinancials!B664),"",RawFinancials!B664)</f>
        <v>2886966</v>
      </c>
      <c r="C664" s="0" t="n">
        <f aca="false">IF(ISBLANK(RawFinancials!C664),"",RawFinancials!C664)</f>
        <v>18013</v>
      </c>
      <c r="D664" s="0" t="n">
        <f aca="false">IF(ISBLANK(RawFinancials!D664),"",RawFinancials!D664)</f>
        <v>2567945</v>
      </c>
      <c r="E664" s="0" t="n">
        <f aca="false">IF(ISBLANK(RawFinancials!E664),"",RawFinancials!E664)</f>
        <v>0.06</v>
      </c>
      <c r="F664" s="0" t="n">
        <f aca="false">IF(ISBLANK(RawFinancials!F664),"",RawFinancials!F664)</f>
        <v>233883</v>
      </c>
      <c r="G664" s="0" t="n">
        <f aca="false">IF(ISBLANK(RawFinancials!G664),"",RawFinancials!G664)</f>
        <v>8.10134237812292</v>
      </c>
      <c r="H664" s="0" t="str">
        <f aca="false">IF(ISBLANK(RawFinancials!H664),"",RawFinancials!H664)</f>
        <v>18013_20250331</v>
      </c>
      <c r="I664" s="0" t="n">
        <f aca="false">IF(ISBLANK(RawFinancials!I664),"",RawFinancials!I664)</f>
        <v>0.747940799834841</v>
      </c>
      <c r="J664" s="0" t="n">
        <f aca="false">IF(ISBLANK(RawFinancials!J664),"",RawFinancials!J664)</f>
        <v>115671</v>
      </c>
      <c r="K664" s="0" t="n">
        <f aca="false">IF(ISBLANK(RawFinancials!K664),"",RawFinancials!K664)</f>
        <v>21720</v>
      </c>
      <c r="L664" s="0" t="n">
        <f aca="false">IF(ISBLANK(RawFinancials!L664),"",RawFinancials!L664)</f>
        <v>2412223</v>
      </c>
      <c r="M664" s="0" t="n">
        <f aca="false">IF(ISBLANK(RawFinancials!M664),"",RawFinancials!M664)</f>
        <v>2394181</v>
      </c>
      <c r="N664" s="0" t="n">
        <f aca="false">IF(ISBLANK(RawFinancials!N664),"",RawFinancials!N664)</f>
        <v>2202612</v>
      </c>
      <c r="O664" s="0" t="n">
        <f aca="false">IF(ISBLANK(RawFinancials!O664),"",RawFinancials!O664)</f>
        <v>2219</v>
      </c>
      <c r="P664" s="0" t="str">
        <f aca="false">IF(ISBLANK(RawFinancials!P664),"",RawFinancials!P664)</f>
        <v>MASCOMA BANK</v>
      </c>
      <c r="Q664" s="0" t="n">
        <f aca="false">IF(ISBLANK(RawFinancials!Q664),"",RawFinancials!Q664)</f>
        <v>0.0941455246882232</v>
      </c>
      <c r="R664" s="0" t="n">
        <f aca="false">IF(ISBLANK(RawFinancials!R664),"",RawFinancials!R664)</f>
        <v>2.79406900216728</v>
      </c>
      <c r="S664" s="0" t="n">
        <f aca="false">IF(ISBLANK(RawFinancials!S664),"",RawFinancials!S664)</f>
        <v>-199</v>
      </c>
      <c r="T664" s="0" t="n">
        <f aca="false">IF(ISBLANK(RawFinancials!T664),"",RawFinancials!T664)</f>
        <v>5622</v>
      </c>
      <c r="U664" s="0" t="n">
        <f aca="false">IF(ISBLANK(RawFinancials!U664),"",RawFinancials!U664)</f>
        <v>52</v>
      </c>
      <c r="V664" s="0" t="n">
        <f aca="false">IF(ISBLANK(RawFinancials!V664),"",RawFinancials!V664)</f>
        <v>12.6945670847727</v>
      </c>
      <c r="W664" s="0" t="n">
        <f aca="false">IF(ISBLANK(RawFinancials!W664),"",RawFinancials!W664)</f>
        <v>20250331</v>
      </c>
      <c r="X664" s="0" t="n">
        <f aca="false">IF(ISBLANK(RawFinancials!X664),"",RawFinancials!X664)</f>
        <v>0.352950560219433</v>
      </c>
      <c r="Y664" s="0" t="n">
        <f aca="false">IF(ISBLANK(RawFinancials!Y664),"",RawFinancials!Y664)</f>
        <v>4.43</v>
      </c>
      <c r="Z664" s="0" t="str">
        <f aca="false">IF(ISBLANK(RawFinancials!Z664),"",RawFinancials!Z664)</f>
        <v>NH</v>
      </c>
      <c r="AA664" s="0" t="n">
        <f aca="false">RawFinancials!AA664</f>
        <v>1</v>
      </c>
      <c r="AB664" s="0" t="n">
        <f aca="false">RawFinancials!AB664</f>
        <v>2271</v>
      </c>
      <c r="AC664" s="0" t="n">
        <f aca="false">RawFinancials!AC664</f>
        <v>0.0786638983625024</v>
      </c>
      <c r="AD664" s="0" t="n">
        <f aca="false">IF(L664&gt;0,100*N664/L664,"")</f>
        <v>91.3104634190123</v>
      </c>
      <c r="AE664" s="0" t="n">
        <f aca="false">IF(B664&gt;0,100*F664/B664,"")</f>
        <v>8.10134237812292</v>
      </c>
      <c r="AF664" s="0" t="str">
        <f aca="false">RawFinancials!AE664</f>
        <v/>
      </c>
    </row>
    <row r="665" customFormat="false" ht="15" hidden="false" customHeight="false" outlineLevel="0" collapsed="false">
      <c r="A665" s="0" t="n">
        <f aca="false">IF(ISBLANK(RawFinancials!A665),"",RawFinancials!A665)</f>
        <v>665</v>
      </c>
      <c r="B665" s="0" t="n">
        <f aca="false">IF(ISBLANK(RawFinancials!B665),"",RawFinancials!B665)</f>
        <v>400477</v>
      </c>
      <c r="C665" s="0" t="n">
        <f aca="false">IF(ISBLANK(RawFinancials!C665),"",RawFinancials!C665)</f>
        <v>18028</v>
      </c>
      <c r="D665" s="0" t="n">
        <f aca="false">IF(ISBLANK(RawFinancials!D665),"",RawFinancials!D665)</f>
        <v>340672</v>
      </c>
      <c r="E665" s="0" t="n">
        <f aca="false">IF(ISBLANK(RawFinancials!E665),"",RawFinancials!E665)</f>
        <v>0.09</v>
      </c>
      <c r="F665" s="0" t="n">
        <f aca="false">IF(ISBLANK(RawFinancials!F665),"",RawFinancials!F665)</f>
        <v>43552</v>
      </c>
      <c r="G665" s="0" t="n">
        <f aca="false">IF(ISBLANK(RawFinancials!G665),"",RawFinancials!G665)</f>
        <v>10.8750315249066</v>
      </c>
      <c r="H665" s="0" t="str">
        <f aca="false">IF(ISBLANK(RawFinancials!H665),"",RawFinancials!H665)</f>
        <v>18028_20250331</v>
      </c>
      <c r="I665" s="0" t="n">
        <f aca="false">IF(ISBLANK(RawFinancials!I665),"",RawFinancials!I665)</f>
        <v>0.836251540415813</v>
      </c>
      <c r="J665" s="0" t="n">
        <f aca="false">IF(ISBLANK(RawFinancials!J665),"",RawFinancials!J665)</f>
        <v>12296</v>
      </c>
      <c r="K665" s="0" t="n">
        <f aca="false">IF(ISBLANK(RawFinancials!K665),"",RawFinancials!K665)</f>
        <v>5085</v>
      </c>
      <c r="L665" s="0" t="n">
        <f aca="false">IF(ISBLANK(RawFinancials!L665),"",RawFinancials!L665)</f>
        <v>276711</v>
      </c>
      <c r="M665" s="0" t="n">
        <f aca="false">IF(ISBLANK(RawFinancials!M665),"",RawFinancials!M665)</f>
        <v>274397</v>
      </c>
      <c r="N665" s="0" t="n">
        <f aca="false">IF(ISBLANK(RawFinancials!N665),"",RawFinancials!N665)</f>
        <v>254230</v>
      </c>
      <c r="O665" s="0" t="n">
        <f aca="false">IF(ISBLANK(RawFinancials!O665),"",RawFinancials!O665)</f>
        <v>1021</v>
      </c>
      <c r="P665" s="0" t="str">
        <f aca="false">IF(ISBLANK(RawFinancials!P665),"",RawFinancials!P665)</f>
        <v>SUGAR RIVER BANK</v>
      </c>
      <c r="Q665" s="0" t="n">
        <f aca="false">IF(ISBLANK(RawFinancials!Q665),"",RawFinancials!Q665)</f>
        <v>0.391383067532552</v>
      </c>
      <c r="R665" s="0" t="n">
        <f aca="false">IF(ISBLANK(RawFinancials!R665),"",RawFinancials!R665)</f>
        <v>3.46717489851514</v>
      </c>
      <c r="S665" s="0" t="n">
        <f aca="false">IF(ISBLANK(RawFinancials!S665),"",RawFinancials!S665)</f>
        <v>70</v>
      </c>
      <c r="T665" s="0" t="n">
        <f aca="false">IF(ISBLANK(RawFinancials!T665),"",RawFinancials!T665)</f>
        <v>1383</v>
      </c>
      <c r="U665" s="0" t="n">
        <f aca="false">IF(ISBLANK(RawFinancials!U665),"",RawFinancials!U665)</f>
        <v>62</v>
      </c>
      <c r="V665" s="0" t="n">
        <f aca="false">IF(ISBLANK(RawFinancials!V665),"",RawFinancials!V665)</f>
        <v>0</v>
      </c>
      <c r="W665" s="0" t="n">
        <f aca="false">IF(ISBLANK(RawFinancials!W665),"",RawFinancials!W665)</f>
        <v>20250331</v>
      </c>
      <c r="X665" s="0" t="n">
        <f aca="false">IF(ISBLANK(RawFinancials!X665),"",RawFinancials!X665)</f>
        <v>0.536305275329957</v>
      </c>
      <c r="Y665" s="0" t="n">
        <f aca="false">IF(ISBLANK(RawFinancials!Y665),"",RawFinancials!Y665)</f>
        <v>5.02</v>
      </c>
      <c r="Z665" s="0" t="str">
        <f aca="false">IF(ISBLANK(RawFinancials!Z665),"",RawFinancials!Z665)</f>
        <v>NH</v>
      </c>
      <c r="AA665" s="0" t="n">
        <f aca="false">RawFinancials!AA665</f>
        <v>1</v>
      </c>
      <c r="AB665" s="0" t="n">
        <f aca="false">RawFinancials!AB665</f>
        <v>1083</v>
      </c>
      <c r="AC665" s="0" t="n">
        <f aca="false">RawFinancials!AC665</f>
        <v>0.270427515188138</v>
      </c>
      <c r="AD665" s="0" t="n">
        <f aca="false">IF(L665&gt;0,100*N665/L665,"")</f>
        <v>91.8756392048021</v>
      </c>
      <c r="AE665" s="0" t="n">
        <f aca="false">IF(B665&gt;0,100*F665/B665,"")</f>
        <v>10.8750315249065</v>
      </c>
      <c r="AF665" s="0" t="str">
        <f aca="false">RawFinancials!AE665</f>
        <v>原始0：需核实适用/报告口径</v>
      </c>
    </row>
    <row r="666" customFormat="false" ht="15" hidden="false" customHeight="false" outlineLevel="0" collapsed="false">
      <c r="A666" s="0" t="n">
        <f aca="false">IF(ISBLANK(RawFinancials!A666),"",RawFinancials!A666)</f>
        <v>666</v>
      </c>
      <c r="B666" s="0" t="n">
        <f aca="false">IF(ISBLANK(RawFinancials!B666),"",RawFinancials!B666)</f>
        <v>800795</v>
      </c>
      <c r="C666" s="0" t="n">
        <f aca="false">IF(ISBLANK(RawFinancials!C666),"",RawFinancials!C666)</f>
        <v>18030</v>
      </c>
      <c r="D666" s="0" t="n">
        <f aca="false">IF(ISBLANK(RawFinancials!D666),"",RawFinancials!D666)</f>
        <v>736585</v>
      </c>
      <c r="E666" s="0" t="n">
        <f aca="false">IF(ISBLANK(RawFinancials!E666),"",RawFinancials!E666)</f>
        <v>0.08</v>
      </c>
      <c r="F666" s="0" t="n">
        <f aca="false">IF(ISBLANK(RawFinancials!F666),"",RawFinancials!F666)</f>
        <v>56520</v>
      </c>
      <c r="G666" s="0" t="n">
        <f aca="false">IF(ISBLANK(RawFinancials!G666),"",RawFinancials!G666)</f>
        <v>7.057986126287</v>
      </c>
      <c r="H666" s="0" t="str">
        <f aca="false">IF(ISBLANK(RawFinancials!H666),"",RawFinancials!H666)</f>
        <v>18030_20250331</v>
      </c>
      <c r="I666" s="0" t="n">
        <f aca="false">IF(ISBLANK(RawFinancials!I666),"",RawFinancials!I666)</f>
        <v>0.997540703133033</v>
      </c>
      <c r="J666" s="0" t="n">
        <f aca="false">IF(ISBLANK(RawFinancials!J666),"",RawFinancials!J666)</f>
        <v>40723</v>
      </c>
      <c r="K666" s="0" t="n">
        <f aca="false">IF(ISBLANK(RawFinancials!K666),"",RawFinancials!K666)</f>
        <v>95064</v>
      </c>
      <c r="L666" s="0" t="n">
        <f aca="false">IF(ISBLANK(RawFinancials!L666),"",RawFinancials!L666)</f>
        <v>593259</v>
      </c>
      <c r="M666" s="0" t="n">
        <f aca="false">IF(ISBLANK(RawFinancials!M666),"",RawFinancials!M666)</f>
        <v>587341</v>
      </c>
      <c r="N666" s="0" t="n">
        <f aca="false">IF(ISBLANK(RawFinancials!N666),"",RawFinancials!N666)</f>
        <v>457374</v>
      </c>
      <c r="O666" s="0" t="n">
        <f aca="false">IF(ISBLANK(RawFinancials!O666),"",RawFinancials!O666)</f>
        <v>1821</v>
      </c>
      <c r="P666" s="0" t="str">
        <f aca="false">IF(ISBLANK(RawFinancials!P666),"",RawFinancials!P666)</f>
        <v>SAVINGS BANK OF WALPOLE</v>
      </c>
      <c r="Q666" s="0" t="n">
        <f aca="false">IF(ISBLANK(RawFinancials!Q666),"",RawFinancials!Q666)</f>
        <v>0.306948567151952</v>
      </c>
      <c r="R666" s="0" t="n">
        <f aca="false">IF(ISBLANK(RawFinancials!R666),"",RawFinancials!R666)</f>
        <v>3.62784293997723</v>
      </c>
      <c r="S666" s="0" t="n">
        <f aca="false">IF(ISBLANK(RawFinancials!S666),"",RawFinancials!S666)</f>
        <v>78</v>
      </c>
      <c r="T666" s="0" t="n">
        <f aca="false">IF(ISBLANK(RawFinancials!T666),"",RawFinancials!T666)</f>
        <v>2217</v>
      </c>
      <c r="U666" s="0" t="n">
        <f aca="false">IF(ISBLANK(RawFinancials!U666),"",RawFinancials!U666)</f>
        <v>0</v>
      </c>
      <c r="V666" s="0" t="n">
        <f aca="false">IF(ISBLANK(RawFinancials!V666),"",RawFinancials!V666)</f>
        <v>14.1683492306621</v>
      </c>
      <c r="W666" s="0" t="n">
        <f aca="false">IF(ISBLANK(RawFinancials!W666),"",RawFinancials!W666)</f>
        <v>20250331</v>
      </c>
      <c r="X666" s="0" t="n">
        <f aca="false">IF(ISBLANK(RawFinancials!X666),"",RawFinancials!X666)</f>
        <v>0.646111863500634</v>
      </c>
      <c r="Y666" s="0" t="n">
        <f aca="false">IF(ISBLANK(RawFinancials!Y666),"",RawFinancials!Y666)</f>
        <v>9.26</v>
      </c>
      <c r="Z666" s="0" t="str">
        <f aca="false">IF(ISBLANK(RawFinancials!Z666),"",RawFinancials!Z666)</f>
        <v>NH</v>
      </c>
      <c r="AA666" s="0" t="n">
        <f aca="false">RawFinancials!AA666</f>
        <v>1</v>
      </c>
      <c r="AB666" s="0" t="n">
        <f aca="false">RawFinancials!AB666</f>
        <v>1821</v>
      </c>
      <c r="AC666" s="0" t="n">
        <f aca="false">RawFinancials!AC666</f>
        <v>0.227399022221667</v>
      </c>
      <c r="AD666" s="0" t="n">
        <f aca="false">IF(L666&gt;0,100*N666/L666,"")</f>
        <v>77.0951641694437</v>
      </c>
      <c r="AE666" s="0" t="n">
        <f aca="false">IF(B666&gt;0,100*F666/B666,"")</f>
        <v>7.057986126287</v>
      </c>
      <c r="AF666" s="0" t="str">
        <f aca="false">RawFinancials!AE666</f>
        <v/>
      </c>
    </row>
    <row r="667" customFormat="false" ht="15" hidden="false" customHeight="false" outlineLevel="0" collapsed="false">
      <c r="A667" s="0" t="n">
        <f aca="false">IF(ISBLANK(RawFinancials!A667),"",RawFinancials!A667)</f>
        <v>667</v>
      </c>
      <c r="B667" s="0" t="n">
        <f aca="false">IF(ISBLANK(RawFinancials!B667),"",RawFinancials!B667)</f>
        <v>669787</v>
      </c>
      <c r="C667" s="0" t="n">
        <f aca="false">IF(ISBLANK(RawFinancials!C667),"",RawFinancials!C667)</f>
        <v>18031</v>
      </c>
      <c r="D667" s="0" t="n">
        <f aca="false">IF(ISBLANK(RawFinancials!D667),"",RawFinancials!D667)</f>
        <v>527059</v>
      </c>
      <c r="E667" s="0" t="n">
        <f aca="false">IF(ISBLANK(RawFinancials!E667),"",RawFinancials!E667)</f>
        <v>0.03</v>
      </c>
      <c r="F667" s="0" t="n">
        <f aca="false">IF(ISBLANK(RawFinancials!F667),"",RawFinancials!F667)</f>
        <v>40246</v>
      </c>
      <c r="G667" s="0" t="n">
        <f aca="false">IF(ISBLANK(RawFinancials!G667),"",RawFinancials!G667)</f>
        <v>6.00877592428638</v>
      </c>
      <c r="H667" s="0" t="str">
        <f aca="false">IF(ISBLANK(RawFinancials!H667),"",RawFinancials!H667)</f>
        <v>18031_20250331</v>
      </c>
      <c r="I667" s="0" t="n">
        <f aca="false">IF(ISBLANK(RawFinancials!I667),"",RawFinancials!I667)</f>
        <v>0.823234239090649</v>
      </c>
      <c r="J667" s="0" t="n">
        <f aca="false">IF(ISBLANK(RawFinancials!J667),"",RawFinancials!J667)</f>
        <v>22344</v>
      </c>
      <c r="K667" s="0" t="n">
        <f aca="false">IF(ISBLANK(RawFinancials!K667),"",RawFinancials!K667)</f>
        <v>7590</v>
      </c>
      <c r="L667" s="0" t="n">
        <f aca="false">IF(ISBLANK(RawFinancials!L667),"",RawFinancials!L667)</f>
        <v>450783</v>
      </c>
      <c r="M667" s="0" t="n">
        <f aca="false">IF(ISBLANK(RawFinancials!M667),"",RawFinancials!M667)</f>
        <v>447072</v>
      </c>
      <c r="N667" s="0" t="n">
        <f aca="false">IF(ISBLANK(RawFinancials!N667),"",RawFinancials!N667)</f>
        <v>414125</v>
      </c>
      <c r="O667" s="0" t="n">
        <f aca="false">IF(ISBLANK(RawFinancials!O667),"",RawFinancials!O667)</f>
        <v>848</v>
      </c>
      <c r="P667" s="0" t="str">
        <f aca="false">IF(ISBLANK(RawFinancials!P667),"",RawFinancials!P667)</f>
        <v>WOODSVILLE GUARANTY SAVINGS BANK</v>
      </c>
      <c r="Q667" s="0" t="n">
        <f aca="false">IF(ISBLANK(RawFinancials!Q667),"",RawFinancials!Q667)</f>
        <v>0.188117120654506</v>
      </c>
      <c r="R667" s="0" t="n">
        <f aca="false">IF(ISBLANK(RawFinancials!R667),"",RawFinancials!R667)</f>
        <v>2.71912769520121</v>
      </c>
      <c r="S667" s="0" t="n">
        <f aca="false">IF(ISBLANK(RawFinancials!S667),"",RawFinancials!S667)</f>
        <v>10</v>
      </c>
      <c r="T667" s="0" t="n">
        <f aca="false">IF(ISBLANK(RawFinancials!T667),"",RawFinancials!T667)</f>
        <v>1454</v>
      </c>
      <c r="U667" s="0" t="n">
        <f aca="false">IF(ISBLANK(RawFinancials!U667),"",RawFinancials!U667)</f>
        <v>0</v>
      </c>
      <c r="V667" s="0" t="n">
        <f aca="false">IF(ISBLANK(RawFinancials!V667),"",RawFinancials!V667)</f>
        <v>17.3844145899069</v>
      </c>
      <c r="W667" s="0" t="n">
        <f aca="false">IF(ISBLANK(RawFinancials!W667),"",RawFinancials!W667)</f>
        <v>20250331</v>
      </c>
      <c r="X667" s="0" t="n">
        <f aca="false">IF(ISBLANK(RawFinancials!X667),"",RawFinancials!X667)</f>
        <v>0.300334903153145</v>
      </c>
      <c r="Y667" s="0" t="n">
        <f aca="false">IF(ISBLANK(RawFinancials!Y667),"",RawFinancials!Y667)</f>
        <v>5.16</v>
      </c>
      <c r="Z667" s="0" t="str">
        <f aca="false">IF(ISBLANK(RawFinancials!Z667),"",RawFinancials!Z667)</f>
        <v>NH</v>
      </c>
      <c r="AA667" s="0" t="n">
        <f aca="false">RawFinancials!AA667</f>
        <v>1</v>
      </c>
      <c r="AB667" s="0" t="n">
        <f aca="false">RawFinancials!AB667</f>
        <v>848</v>
      </c>
      <c r="AC667" s="0" t="n">
        <f aca="false">RawFinancials!AC667</f>
        <v>0.126607413998779</v>
      </c>
      <c r="AD667" s="0" t="n">
        <f aca="false">IF(L667&gt;0,100*N667/L667,"")</f>
        <v>91.867927583782</v>
      </c>
      <c r="AE667" s="0" t="n">
        <f aca="false">IF(B667&gt;0,100*F667/B667,"")</f>
        <v>6.00877592428638</v>
      </c>
      <c r="AF667" s="0" t="str">
        <f aca="false">RawFinancials!AE667</f>
        <v/>
      </c>
    </row>
    <row r="668" customFormat="false" ht="15" hidden="false" customHeight="false" outlineLevel="0" collapsed="false">
      <c r="A668" s="0" t="n">
        <f aca="false">IF(ISBLANK(RawFinancials!A668),"",RawFinancials!A668)</f>
        <v>668</v>
      </c>
      <c r="B668" s="0" t="n">
        <f aca="false">IF(ISBLANK(RawFinancials!B668),"",RawFinancials!B668)</f>
        <v>575681</v>
      </c>
      <c r="C668" s="0" t="n">
        <f aca="false">IF(ISBLANK(RawFinancials!C668),"",RawFinancials!C668)</f>
        <v>18038</v>
      </c>
      <c r="D668" s="0" t="n">
        <f aca="false">IF(ISBLANK(RawFinancials!D668),"",RawFinancials!D668)</f>
        <v>443411</v>
      </c>
      <c r="E668" s="0" t="n">
        <f aca="false">IF(ISBLANK(RawFinancials!E668),"",RawFinancials!E668)</f>
        <v>0</v>
      </c>
      <c r="F668" s="0" t="n">
        <f aca="false">IF(ISBLANK(RawFinancials!F668),"",RawFinancials!F668)</f>
        <v>68850</v>
      </c>
      <c r="G668" s="0" t="n">
        <f aca="false">IF(ISBLANK(RawFinancials!G668),"",RawFinancials!G668)</f>
        <v>11.9597485412928</v>
      </c>
      <c r="H668" s="0" t="str">
        <f aca="false">IF(ISBLANK(RawFinancials!H668),"",RawFinancials!H668)</f>
        <v>18038_20250331</v>
      </c>
      <c r="I668" s="0" t="n">
        <f aca="false">IF(ISBLANK(RawFinancials!I668),"",RawFinancials!I668)</f>
        <v>0.893071166402403</v>
      </c>
      <c r="J668" s="0" t="n">
        <f aca="false">IF(ISBLANK(RawFinancials!J668),"",RawFinancials!J668)</f>
        <v>31307</v>
      </c>
      <c r="K668" s="0" t="n">
        <f aca="false">IF(ISBLANK(RawFinancials!K668),"",RawFinancials!K668)</f>
        <v>4078</v>
      </c>
      <c r="L668" s="0" t="n">
        <f aca="false">IF(ISBLANK(RawFinancials!L668),"",RawFinancials!L668)</f>
        <v>454723</v>
      </c>
      <c r="M668" s="0" t="n">
        <f aca="false">IF(ISBLANK(RawFinancials!M668),"",RawFinancials!M668)</f>
        <v>450662</v>
      </c>
      <c r="N668" s="0" t="n">
        <f aca="false">IF(ISBLANK(RawFinancials!N668),"",RawFinancials!N668)</f>
        <v>417170</v>
      </c>
      <c r="O668" s="0" t="n">
        <f aca="false">IF(ISBLANK(RawFinancials!O668),"",RawFinancials!O668)</f>
        <v>2863</v>
      </c>
      <c r="P668" s="0" t="str">
        <f aca="false">IF(ISBLANK(RawFinancials!P668),"",RawFinancials!P668)</f>
        <v>CLAREMONT SAVINGS BANK</v>
      </c>
      <c r="Q668" s="0" t="n">
        <f aca="false">IF(ISBLANK(RawFinancials!Q668),"",RawFinancials!Q668)</f>
        <v>0.629614072743186</v>
      </c>
      <c r="R668" s="0" t="n">
        <f aca="false">IF(ISBLANK(RawFinancials!R668),"",RawFinancials!R668)</f>
        <v>2.82748541050406</v>
      </c>
      <c r="S668" s="0" t="n">
        <f aca="false">IF(ISBLANK(RawFinancials!S668),"",RawFinancials!S668)</f>
        <v>-51</v>
      </c>
      <c r="T668" s="0" t="n">
        <f aca="false">IF(ISBLANK(RawFinancials!T668),"",RawFinancials!T668)</f>
        <v>2982</v>
      </c>
      <c r="U668" s="0" t="n">
        <f aca="false">IF(ISBLANK(RawFinancials!U668),"",RawFinancials!U668)</f>
        <v>0</v>
      </c>
      <c r="V668" s="0" t="n">
        <f aca="false">IF(ISBLANK(RawFinancials!V668),"",RawFinancials!V668)</f>
        <v>0</v>
      </c>
      <c r="W668" s="0" t="n">
        <f aca="false">IF(ISBLANK(RawFinancials!W668),"",RawFinancials!W668)</f>
        <v>20250331</v>
      </c>
      <c r="X668" s="0" t="n">
        <f aca="false">IF(ISBLANK(RawFinancials!X668),"",RawFinancials!X668)</f>
        <v>0.242522943622228</v>
      </c>
      <c r="Y668" s="0" t="n">
        <f aca="false">IF(ISBLANK(RawFinancials!Y668),"",RawFinancials!Y668)</f>
        <v>2.01</v>
      </c>
      <c r="Z668" s="0" t="str">
        <f aca="false">IF(ISBLANK(RawFinancials!Z668),"",RawFinancials!Z668)</f>
        <v>NH</v>
      </c>
      <c r="AA668" s="0" t="n">
        <f aca="false">RawFinancials!AA668</f>
        <v>1</v>
      </c>
      <c r="AB668" s="0" t="n">
        <f aca="false">RawFinancials!AB668</f>
        <v>2863</v>
      </c>
      <c r="AC668" s="0" t="n">
        <f aca="false">RawFinancials!AC668</f>
        <v>0.497324038834007</v>
      </c>
      <c r="AD668" s="0" t="n">
        <f aca="false">IF(L668&gt;0,100*N668/L668,"")</f>
        <v>91.7415657444202</v>
      </c>
      <c r="AE668" s="0" t="n">
        <f aca="false">IF(B668&gt;0,100*F668/B668,"")</f>
        <v>11.9597485412928</v>
      </c>
      <c r="AF668" s="0" t="str">
        <f aca="false">RawFinancials!AE668</f>
        <v>原始0：需核实适用/报告口径</v>
      </c>
    </row>
    <row r="669" customFormat="false" ht="15" hidden="false" customHeight="false" outlineLevel="0" collapsed="false">
      <c r="A669" s="0" t="n">
        <f aca="false">IF(ISBLANK(RawFinancials!A669),"",RawFinancials!A669)</f>
        <v>669</v>
      </c>
      <c r="B669" s="0" t="n">
        <f aca="false">IF(ISBLANK(RawFinancials!B669),"",RawFinancials!B669)</f>
        <v>7235355</v>
      </c>
      <c r="C669" s="0" t="n">
        <f aca="false">IF(ISBLANK(RawFinancials!C669),"",RawFinancials!C669)</f>
        <v>18408</v>
      </c>
      <c r="D669" s="0" t="n">
        <f aca="false">IF(ISBLANK(RawFinancials!D669),"",RawFinancials!D669)</f>
        <v>6181793</v>
      </c>
      <c r="E669" s="0" t="n">
        <f aca="false">IF(ISBLANK(RawFinancials!E669),"",RawFinancials!E669)</f>
        <v>0.1</v>
      </c>
      <c r="F669" s="0" t="n">
        <f aca="false">IF(ISBLANK(RawFinancials!F669),"",RawFinancials!F669)</f>
        <v>455151</v>
      </c>
      <c r="G669" s="0" t="n">
        <f aca="false">IF(ISBLANK(RawFinancials!G669),"",RawFinancials!G669)</f>
        <v>6.29065194451413</v>
      </c>
      <c r="H669" s="0" t="str">
        <f aca="false">IF(ISBLANK(RawFinancials!H669),"",RawFinancials!H669)</f>
        <v>18408_20250331</v>
      </c>
      <c r="I669" s="0" t="n">
        <f aca="false">IF(ISBLANK(RawFinancials!I669),"",RawFinancials!I669)</f>
        <v>0.663960992969789</v>
      </c>
      <c r="J669" s="0" t="n">
        <f aca="false">IF(ISBLANK(RawFinancials!J669),"",RawFinancials!J669)</f>
        <v>395278</v>
      </c>
      <c r="K669" s="0" t="n">
        <f aca="false">IF(ISBLANK(RawFinancials!K669),"",RawFinancials!K669)</f>
        <v>58940</v>
      </c>
      <c r="L669" s="0" t="n">
        <f aca="false">IF(ISBLANK(RawFinancials!L669),"",RawFinancials!L669)</f>
        <v>4976949</v>
      </c>
      <c r="M669" s="0" t="n">
        <f aca="false">IF(ISBLANK(RawFinancials!M669),"",RawFinancials!M669)</f>
        <v>4943904</v>
      </c>
      <c r="N669" s="0" t="n">
        <f aca="false">IF(ISBLANK(RawFinancials!N669),"",RawFinancials!N669)</f>
        <v>4459056</v>
      </c>
      <c r="O669" s="0" t="n">
        <f aca="false">IF(ISBLANK(RawFinancials!O669),"",RawFinancials!O669)</f>
        <v>8109</v>
      </c>
      <c r="P669" s="0" t="str">
        <f aca="false">IF(ISBLANK(RawFinancials!P669),"",RawFinancials!P669)</f>
        <v>BANGOR SAVINGS BANK</v>
      </c>
      <c r="Q669" s="0" t="n">
        <f aca="false">IF(ISBLANK(RawFinancials!Q669),"",RawFinancials!Q669)</f>
        <v>0.162931145165442</v>
      </c>
      <c r="R669" s="0" t="n">
        <f aca="false">IF(ISBLANK(RawFinancials!R669),"",RawFinancials!R669)</f>
        <v>2.37111335634403</v>
      </c>
      <c r="S669" s="0" t="n">
        <f aca="false">IF(ISBLANK(RawFinancials!S669),"",RawFinancials!S669)</f>
        <v>158</v>
      </c>
      <c r="T669" s="0" t="n">
        <f aca="false">IF(ISBLANK(RawFinancials!T669),"",RawFinancials!T669)</f>
        <v>10783</v>
      </c>
      <c r="U669" s="0" t="n">
        <f aca="false">IF(ISBLANK(RawFinancials!U669),"",RawFinancials!U669)</f>
        <v>0</v>
      </c>
      <c r="V669" s="0" t="n">
        <f aca="false">IF(ISBLANK(RawFinancials!V669),"",RawFinancials!V669)</f>
        <v>11.3560231469601</v>
      </c>
      <c r="W669" s="0" t="n">
        <f aca="false">IF(ISBLANK(RawFinancials!W669),"",RawFinancials!W669)</f>
        <v>20250331</v>
      </c>
      <c r="X669" s="0" t="n">
        <f aca="false">IF(ISBLANK(RawFinancials!X669),"",RawFinancials!X669)</f>
        <v>0.125198481394932</v>
      </c>
      <c r="Y669" s="0" t="n">
        <f aca="false">IF(ISBLANK(RawFinancials!Y669),"",RawFinancials!Y669)</f>
        <v>2.05</v>
      </c>
      <c r="Z669" s="0" t="str">
        <f aca="false">IF(ISBLANK(RawFinancials!Z669),"",RawFinancials!Z669)</f>
        <v>ME</v>
      </c>
      <c r="AA669" s="0" t="n">
        <f aca="false">RawFinancials!AA669</f>
        <v>1</v>
      </c>
      <c r="AB669" s="0" t="n">
        <f aca="false">RawFinancials!AB669</f>
        <v>8109</v>
      </c>
      <c r="AC669" s="0" t="n">
        <f aca="false">RawFinancials!AC669</f>
        <v>0.11207466668878</v>
      </c>
      <c r="AD669" s="0" t="n">
        <f aca="false">IF(L669&gt;0,100*N669/L669,"")</f>
        <v>89.5941670288363</v>
      </c>
      <c r="AE669" s="0" t="n">
        <f aca="false">IF(B669&gt;0,100*F669/B669,"")</f>
        <v>6.29065194451413</v>
      </c>
      <c r="AF669" s="0" t="str">
        <f aca="false">RawFinancials!AE669</f>
        <v/>
      </c>
    </row>
    <row r="670" customFormat="false" ht="15" hidden="false" customHeight="false" outlineLevel="0" collapsed="false">
      <c r="A670" s="0" t="n">
        <f aca="false">IF(ISBLANK(RawFinancials!A670),"",RawFinancials!A670)</f>
        <v>670</v>
      </c>
      <c r="B670" s="0" t="n">
        <f aca="false">IF(ISBLANK(RawFinancials!B670),"",RawFinancials!B670)</f>
        <v>2567242</v>
      </c>
      <c r="C670" s="0" t="n">
        <f aca="false">IF(ISBLANK(RawFinancials!C670),"",RawFinancials!C670)</f>
        <v>19531</v>
      </c>
      <c r="D670" s="0" t="n">
        <f aca="false">IF(ISBLANK(RawFinancials!D670),"",RawFinancials!D670)</f>
        <v>2162803</v>
      </c>
      <c r="E670" s="0" t="n">
        <f aca="false">IF(ISBLANK(RawFinancials!E670),"",RawFinancials!E670)</f>
        <v>0</v>
      </c>
      <c r="F670" s="0" t="n">
        <f aca="false">IF(ISBLANK(RawFinancials!F670),"",RawFinancials!F670)</f>
        <v>266786</v>
      </c>
      <c r="G670" s="0" t="n">
        <f aca="false">IF(ISBLANK(RawFinancials!G670),"",RawFinancials!G670)</f>
        <v>10.3919303283446</v>
      </c>
      <c r="H670" s="0" t="str">
        <f aca="false">IF(ISBLANK(RawFinancials!H670),"",RawFinancials!H670)</f>
        <v>19531_20250331</v>
      </c>
      <c r="I670" s="0" t="n">
        <f aca="false">IF(ISBLANK(RawFinancials!I670),"",RawFinancials!I670)</f>
        <v>0.886728489537274</v>
      </c>
      <c r="J670" s="0" t="n">
        <f aca="false">IF(ISBLANK(RawFinancials!J670),"",RawFinancials!J670)</f>
        <v>257734</v>
      </c>
      <c r="K670" s="0" t="n">
        <f aca="false">IF(ISBLANK(RawFinancials!K670),"",RawFinancials!K670)</f>
        <v>6994</v>
      </c>
      <c r="L670" s="0" t="n">
        <f aca="false">IF(ISBLANK(RawFinancials!L670),"",RawFinancials!L670)</f>
        <v>2179021</v>
      </c>
      <c r="M670" s="0" t="n">
        <f aca="false">IF(ISBLANK(RawFinancials!M670),"",RawFinancials!M670)</f>
        <v>2159699</v>
      </c>
      <c r="N670" s="0" t="n">
        <f aca="false">IF(ISBLANK(RawFinancials!N670),"",RawFinancials!N670)</f>
        <v>1814549</v>
      </c>
      <c r="O670" s="0" t="n">
        <f aca="false">IF(ISBLANK(RawFinancials!O670),"",RawFinancials!O670)</f>
        <v>7253</v>
      </c>
      <c r="P670" s="0" t="str">
        <f aca="false">IF(ISBLANK(RawFinancials!P670),"",RawFinancials!P670)</f>
        <v>MACHIAS SAVINGS BANK</v>
      </c>
      <c r="Q670" s="0" t="n">
        <f aca="false">IF(ISBLANK(RawFinancials!Q670),"",RawFinancials!Q670)</f>
        <v>0.334966941576056</v>
      </c>
      <c r="R670" s="0" t="n">
        <f aca="false">IF(ISBLANK(RawFinancials!R670),"",RawFinancials!R670)</f>
        <v>3.12555213929317</v>
      </c>
      <c r="S670" s="0" t="n">
        <f aca="false">IF(ISBLANK(RawFinancials!S670),"",RawFinancials!S670)</f>
        <v>-334</v>
      </c>
      <c r="T670" s="0" t="n">
        <f aca="false">IF(ISBLANK(RawFinancials!T670),"",RawFinancials!T670)</f>
        <v>22725</v>
      </c>
      <c r="U670" s="0" t="n">
        <f aca="false">IF(ISBLANK(RawFinancials!U670),"",RawFinancials!U670)</f>
        <v>46</v>
      </c>
      <c r="V670" s="0" t="n">
        <f aca="false">IF(ISBLANK(RawFinancials!V670),"",RawFinancials!V670)</f>
        <v>14.927898270842</v>
      </c>
      <c r="W670" s="0" t="n">
        <f aca="false">IF(ISBLANK(RawFinancials!W670),"",RawFinancials!W670)</f>
        <v>20250331</v>
      </c>
      <c r="X670" s="0" t="n">
        <f aca="false">IF(ISBLANK(RawFinancials!X670),"",RawFinancials!X670)</f>
        <v>0.636590668953529</v>
      </c>
      <c r="Y670" s="0" t="n">
        <f aca="false">IF(ISBLANK(RawFinancials!Y670),"",RawFinancials!Y670)</f>
        <v>6.27</v>
      </c>
      <c r="Z670" s="0" t="str">
        <f aca="false">IF(ISBLANK(RawFinancials!Z670),"",RawFinancials!Z670)</f>
        <v>ME</v>
      </c>
      <c r="AA670" s="0" t="n">
        <f aca="false">RawFinancials!AA670</f>
        <v>1</v>
      </c>
      <c r="AB670" s="0" t="n">
        <f aca="false">RawFinancials!AB670</f>
        <v>7299</v>
      </c>
      <c r="AC670" s="0" t="n">
        <f aca="false">RawFinancials!AC670</f>
        <v>0.284312892980093</v>
      </c>
      <c r="AD670" s="0" t="n">
        <f aca="false">IF(L670&gt;0,100*N670/L670,"")</f>
        <v>83.2735893779821</v>
      </c>
      <c r="AE670" s="0" t="n">
        <f aca="false">IF(B670&gt;0,100*F670/B670,"")</f>
        <v>10.3919303283446</v>
      </c>
      <c r="AF670" s="0" t="str">
        <f aca="false">RawFinancials!AE670</f>
        <v/>
      </c>
    </row>
    <row r="671" customFormat="false" ht="15" hidden="false" customHeight="false" outlineLevel="0" collapsed="false">
      <c r="A671" s="0" t="n">
        <f aca="false">IF(ISBLANK(RawFinancials!A671),"",RawFinancials!A671)</f>
        <v>671</v>
      </c>
      <c r="B671" s="0" t="n">
        <f aca="false">IF(ISBLANK(RawFinancials!B671),"",RawFinancials!B671)</f>
        <v>842808</v>
      </c>
      <c r="C671" s="0" t="n">
        <f aca="false">IF(ISBLANK(RawFinancials!C671),"",RawFinancials!C671)</f>
        <v>19532</v>
      </c>
      <c r="D671" s="0" t="n">
        <f aca="false">IF(ISBLANK(RawFinancials!D671),"",RawFinancials!D671)</f>
        <v>725198</v>
      </c>
      <c r="E671" s="0" t="n">
        <f aca="false">IF(ISBLANK(RawFinancials!E671),"",RawFinancials!E671)</f>
        <v>0.08</v>
      </c>
      <c r="F671" s="0" t="n">
        <f aca="false">IF(ISBLANK(RawFinancials!F671),"",RawFinancials!F671)</f>
        <v>106845</v>
      </c>
      <c r="G671" s="0" t="n">
        <f aca="false">IF(ISBLANK(RawFinancials!G671),"",RawFinancials!G671)</f>
        <v>12.6772645727141</v>
      </c>
      <c r="H671" s="0" t="str">
        <f aca="false">IF(ISBLANK(RawFinancials!H671),"",RawFinancials!H671)</f>
        <v>19532_20250331</v>
      </c>
      <c r="I671" s="0" t="n">
        <f aca="false">IF(ISBLANK(RawFinancials!I671),"",RawFinancials!I671)</f>
        <v>0.987447833323952</v>
      </c>
      <c r="J671" s="0" t="n">
        <f aca="false">IF(ISBLANK(RawFinancials!J671),"",RawFinancials!J671)</f>
        <v>52325</v>
      </c>
      <c r="K671" s="0" t="n">
        <f aca="false">IF(ISBLANK(RawFinancials!K671),"",RawFinancials!K671)</f>
        <v>50922</v>
      </c>
      <c r="L671" s="0" t="n">
        <f aca="false">IF(ISBLANK(RawFinancials!L671),"",RawFinancials!L671)</f>
        <v>621805</v>
      </c>
      <c r="M671" s="0" t="n">
        <f aca="false">IF(ISBLANK(RawFinancials!M671),"",RawFinancials!M671)</f>
        <v>615665</v>
      </c>
      <c r="N671" s="0" t="n">
        <f aca="false">IF(ISBLANK(RawFinancials!N671),"",RawFinancials!N671)</f>
        <v>513632</v>
      </c>
      <c r="O671" s="0" t="n">
        <f aca="false">IF(ISBLANK(RawFinancials!O671),"",RawFinancials!O671)</f>
        <v>1797</v>
      </c>
      <c r="P671" s="0" t="str">
        <f aca="false">IF(ISBLANK(RawFinancials!P671),"",RawFinancials!P671)</f>
        <v>SKOWHEGAN SAVINGS BANK</v>
      </c>
      <c r="Q671" s="0" t="n">
        <f aca="false">IF(ISBLANK(RawFinancials!Q671),"",RawFinancials!Q671)</f>
        <v>0.288997354476082</v>
      </c>
      <c r="R671" s="0" t="n">
        <f aca="false">IF(ISBLANK(RawFinancials!R671),"",RawFinancials!R671)</f>
        <v>3.55241458743948</v>
      </c>
      <c r="S671" s="0" t="n">
        <f aca="false">IF(ISBLANK(RawFinancials!S671),"",RawFinancials!S671)</f>
        <v>17</v>
      </c>
      <c r="T671" s="0" t="n">
        <f aca="false">IF(ISBLANK(RawFinancials!T671),"",RawFinancials!T671)</f>
        <v>1058</v>
      </c>
      <c r="U671" s="0" t="n">
        <f aca="false">IF(ISBLANK(RawFinancials!U671),"",RawFinancials!U671)</f>
        <v>0</v>
      </c>
      <c r="V671" s="0" t="n">
        <f aca="false">IF(ISBLANK(RawFinancials!V671),"",RawFinancials!V671)</f>
        <v>21.4450676887142</v>
      </c>
      <c r="W671" s="0" t="n">
        <f aca="false">IF(ISBLANK(RawFinancials!W671),"",RawFinancials!W671)</f>
        <v>20250331</v>
      </c>
      <c r="X671" s="0" t="n">
        <f aca="false">IF(ISBLANK(RawFinancials!X671),"",RawFinancials!X671)</f>
        <v>0.760021446855203</v>
      </c>
      <c r="Y671" s="0" t="n">
        <f aca="false">IF(ISBLANK(RawFinancials!Y671),"",RawFinancials!Y671)</f>
        <v>6.11</v>
      </c>
      <c r="Z671" s="0" t="str">
        <f aca="false">IF(ISBLANK(RawFinancials!Z671),"",RawFinancials!Z671)</f>
        <v>ME</v>
      </c>
      <c r="AA671" s="0" t="n">
        <f aca="false">RawFinancials!AA671</f>
        <v>1</v>
      </c>
      <c r="AB671" s="0" t="n">
        <f aca="false">RawFinancials!AB671</f>
        <v>1797</v>
      </c>
      <c r="AC671" s="0" t="n">
        <f aca="false">RawFinancials!AC671</f>
        <v>0.213215821397044</v>
      </c>
      <c r="AD671" s="0" t="n">
        <f aca="false">IF(L671&gt;0,100*N671/L671,"")</f>
        <v>82.6033885221251</v>
      </c>
      <c r="AE671" s="0" t="n">
        <f aca="false">IF(B671&gt;0,100*F671/B671,"")</f>
        <v>12.6772645727141</v>
      </c>
      <c r="AF671" s="0" t="str">
        <f aca="false">RawFinancials!AE671</f>
        <v/>
      </c>
    </row>
    <row r="672" customFormat="false" ht="15" hidden="false" customHeight="false" outlineLevel="0" collapsed="false">
      <c r="A672" s="0" t="n">
        <f aca="false">IF(ISBLANK(RawFinancials!A672),"",RawFinancials!A672)</f>
        <v>672</v>
      </c>
      <c r="B672" s="0" t="n">
        <f aca="false">IF(ISBLANK(RawFinancials!B672),"",RawFinancials!B672)</f>
        <v>4228502</v>
      </c>
      <c r="C672" s="0" t="n">
        <f aca="false">IF(ISBLANK(RawFinancials!C672),"",RawFinancials!C672)</f>
        <v>19690</v>
      </c>
      <c r="D672" s="0" t="n">
        <f aca="false">IF(ISBLANK(RawFinancials!D672),"",RawFinancials!D672)</f>
        <v>3328164</v>
      </c>
      <c r="E672" s="0" t="n">
        <f aca="false">IF(ISBLANK(RawFinancials!E672),"",RawFinancials!E672)</f>
        <v>0.29</v>
      </c>
      <c r="F672" s="0" t="n">
        <f aca="false">IF(ISBLANK(RawFinancials!F672),"",RawFinancials!F672)</f>
        <v>467516</v>
      </c>
      <c r="G672" s="0" t="n">
        <f aca="false">IF(ISBLANK(RawFinancials!G672),"",RawFinancials!G672)</f>
        <v>11.0563031541667</v>
      </c>
      <c r="H672" s="0" t="str">
        <f aca="false">IF(ISBLANK(RawFinancials!H672),"",RawFinancials!H672)</f>
        <v>19690_20250331</v>
      </c>
      <c r="I672" s="0" t="n">
        <f aca="false">IF(ISBLANK(RawFinancials!I672),"",RawFinancials!I672)</f>
        <v>1.21090647231404</v>
      </c>
      <c r="J672" s="0" t="n">
        <f aca="false">IF(ISBLANK(RawFinancials!J672),"",RawFinancials!J672)</f>
        <v>172540</v>
      </c>
      <c r="K672" s="0" t="n">
        <f aca="false">IF(ISBLANK(RawFinancials!K672),"",RawFinancials!K672)</f>
        <v>172</v>
      </c>
      <c r="L672" s="0" t="n">
        <f aca="false">IF(ISBLANK(RawFinancials!L672),"",RawFinancials!L672)</f>
        <v>3800789</v>
      </c>
      <c r="M672" s="0" t="n">
        <f aca="false">IF(ISBLANK(RawFinancials!M672),"",RawFinancials!M672)</f>
        <v>3754765</v>
      </c>
      <c r="N672" s="0" t="n">
        <f aca="false">IF(ISBLANK(RawFinancials!N672),"",RawFinancials!N672)</f>
        <v>2887276</v>
      </c>
      <c r="O672" s="0" t="n">
        <f aca="false">IF(ISBLANK(RawFinancials!O672),"",RawFinancials!O672)</f>
        <v>32232</v>
      </c>
      <c r="P672" s="0" t="str">
        <f aca="false">IF(ISBLANK(RawFinancials!P672),"",RawFinancials!P672)</f>
        <v>NORTHEAST BANK</v>
      </c>
      <c r="Q672" s="0" t="n">
        <f aca="false">IF(ISBLANK(RawFinancials!Q672),"",RawFinancials!Q672)</f>
        <v>0.848034447584436</v>
      </c>
      <c r="R672" s="0" t="n">
        <f aca="false">IF(ISBLANK(RawFinancials!R672),"",RawFinancials!R672)</f>
        <v>4.54258494208518</v>
      </c>
      <c r="S672" s="0" t="n">
        <f aca="false">IF(ISBLANK(RawFinancials!S672),"",RawFinancials!S672)</f>
        <v>2081</v>
      </c>
      <c r="T672" s="0" t="n">
        <f aca="false">IF(ISBLANK(RawFinancials!T672),"",RawFinancials!T672)</f>
        <v>4376</v>
      </c>
      <c r="U672" s="0" t="n">
        <f aca="false">IF(ISBLANK(RawFinancials!U672),"",RawFinancials!U672)</f>
        <v>0</v>
      </c>
      <c r="V672" s="0" t="n">
        <f aca="false">IF(ISBLANK(RawFinancials!V672),"",RawFinancials!V672)</f>
        <v>13.9816970798047</v>
      </c>
      <c r="W672" s="0" t="n">
        <f aca="false">IF(ISBLANK(RawFinancials!W672),"",RawFinancials!W672)</f>
        <v>20250331</v>
      </c>
      <c r="X672" s="0" t="n">
        <f aca="false">IF(ISBLANK(RawFinancials!X672),"",RawFinancials!X672)</f>
        <v>1.79807487310439</v>
      </c>
      <c r="Y672" s="0" t="n">
        <f aca="false">IF(ISBLANK(RawFinancials!Y672),"",RawFinancials!Y672)</f>
        <v>16.39</v>
      </c>
      <c r="Z672" s="0" t="str">
        <f aca="false">IF(ISBLANK(RawFinancials!Z672),"",RawFinancials!Z672)</f>
        <v>ME</v>
      </c>
      <c r="AA672" s="0" t="n">
        <f aca="false">RawFinancials!AA672</f>
        <v>1</v>
      </c>
      <c r="AB672" s="0" t="n">
        <f aca="false">RawFinancials!AB672</f>
        <v>32232</v>
      </c>
      <c r="AC672" s="0" t="n">
        <f aca="false">RawFinancials!AC672</f>
        <v>0.76225575865874</v>
      </c>
      <c r="AD672" s="0" t="n">
        <f aca="false">IF(L672&gt;0,100*N672/L672,"")</f>
        <v>75.965174599274</v>
      </c>
      <c r="AE672" s="0" t="n">
        <f aca="false">IF(B672&gt;0,100*F672/B672,"")</f>
        <v>11.0563031541667</v>
      </c>
      <c r="AF672" s="0" t="str">
        <f aca="false">RawFinancials!AE672</f>
        <v/>
      </c>
    </row>
    <row r="673" customFormat="false" ht="15" hidden="false" customHeight="false" outlineLevel="0" collapsed="false">
      <c r="A673" s="0" t="n">
        <f aca="false">IF(ISBLANK(RawFinancials!A673),"",RawFinancials!A673)</f>
        <v>673</v>
      </c>
      <c r="B673" s="0" t="n">
        <f aca="false">IF(ISBLANK(RawFinancials!B673),"",RawFinancials!B673)</f>
        <v>733639</v>
      </c>
      <c r="C673" s="0" t="n">
        <f aca="false">IF(ISBLANK(RawFinancials!C673),"",RawFinancials!C673)</f>
        <v>19836</v>
      </c>
      <c r="D673" s="0" t="n">
        <f aca="false">IF(ISBLANK(RawFinancials!D673),"",RawFinancials!D673)</f>
        <v>586835</v>
      </c>
      <c r="E673" s="0" t="n">
        <f aca="false">IF(ISBLANK(RawFinancials!E673),"",RawFinancials!E673)</f>
        <v>0.02</v>
      </c>
      <c r="F673" s="0" t="n">
        <f aca="false">IF(ISBLANK(RawFinancials!F673),"",RawFinancials!F673)</f>
        <v>128641</v>
      </c>
      <c r="G673" s="0" t="n">
        <f aca="false">IF(ISBLANK(RawFinancials!G673),"",RawFinancials!G673)</f>
        <v>17.5346457862791</v>
      </c>
      <c r="H673" s="0" t="str">
        <f aca="false">IF(ISBLANK(RawFinancials!H673),"",RawFinancials!H673)</f>
        <v>19836_20250331</v>
      </c>
      <c r="I673" s="0" t="n">
        <f aca="false">IF(ISBLANK(RawFinancials!I673),"",RawFinancials!I673)</f>
        <v>0.711385839548462</v>
      </c>
      <c r="J673" s="0" t="n">
        <f aca="false">IF(ISBLANK(RawFinancials!J673),"",RawFinancials!J673)</f>
        <v>42016</v>
      </c>
      <c r="K673" s="0" t="n">
        <f aca="false">IF(ISBLANK(RawFinancials!K673),"",RawFinancials!K673)</f>
        <v>10284</v>
      </c>
      <c r="L673" s="0" t="n">
        <f aca="false">IF(ISBLANK(RawFinancials!L673),"",RawFinancials!L673)</f>
        <v>627367</v>
      </c>
      <c r="M673" s="0" t="n">
        <f aca="false">IF(ISBLANK(RawFinancials!M673),"",RawFinancials!M673)</f>
        <v>622904</v>
      </c>
      <c r="N673" s="0" t="n">
        <f aca="false">IF(ISBLANK(RawFinancials!N673),"",RawFinancials!N673)</f>
        <v>573366</v>
      </c>
      <c r="O673" s="0" t="n">
        <f aca="false">IF(ISBLANK(RawFinancials!O673),"",RawFinancials!O673)</f>
        <v>6387</v>
      </c>
      <c r="P673" s="0" t="str">
        <f aca="false">IF(ISBLANK(RawFinancials!P673),"",RawFinancials!P673)</f>
        <v>FRANKLIN SAVINGS BANK</v>
      </c>
      <c r="Q673" s="0" t="n">
        <f aca="false">IF(ISBLANK(RawFinancials!Q673),"",RawFinancials!Q673)</f>
        <v>1.04898727539064</v>
      </c>
      <c r="R673" s="0" t="n">
        <f aca="false">IF(ISBLANK(RawFinancials!R673),"",RawFinancials!R673)</f>
        <v>3.88739749739618</v>
      </c>
      <c r="S673" s="0" t="n">
        <f aca="false">IF(ISBLANK(RawFinancials!S673),"",RawFinancials!S673)</f>
        <v>34</v>
      </c>
      <c r="T673" s="0" t="n">
        <f aca="false">IF(ISBLANK(RawFinancials!T673),"",RawFinancials!T673)</f>
        <v>7070</v>
      </c>
      <c r="U673" s="0" t="n">
        <f aca="false">IF(ISBLANK(RawFinancials!U673),"",RawFinancials!U673)</f>
        <v>194</v>
      </c>
      <c r="V673" s="0" t="n">
        <f aca="false">IF(ISBLANK(RawFinancials!V673),"",RawFinancials!V673)</f>
        <v>23.6061274143527</v>
      </c>
      <c r="W673" s="0" t="n">
        <f aca="false">IF(ISBLANK(RawFinancials!W673),"",RawFinancials!W673)</f>
        <v>20250331</v>
      </c>
      <c r="X673" s="0" t="n">
        <f aca="false">IF(ISBLANK(RawFinancials!X673),"",RawFinancials!X673)</f>
        <v>0.75637419969238</v>
      </c>
      <c r="Y673" s="0" t="n">
        <f aca="false">IF(ISBLANK(RawFinancials!Y673),"",RawFinancials!Y673)</f>
        <v>4.33</v>
      </c>
      <c r="Z673" s="0" t="str">
        <f aca="false">IF(ISBLANK(RawFinancials!Z673),"",RawFinancials!Z673)</f>
        <v>ME</v>
      </c>
      <c r="AA673" s="0" t="n">
        <f aca="false">RawFinancials!AA673</f>
        <v>1</v>
      </c>
      <c r="AB673" s="0" t="n">
        <f aca="false">RawFinancials!AB673</f>
        <v>6581</v>
      </c>
      <c r="AC673" s="0" t="n">
        <f aca="false">RawFinancials!AC673</f>
        <v>0.89703519033203</v>
      </c>
      <c r="AD673" s="0" t="n">
        <f aca="false">IF(L673&gt;0,100*N673/L673,"")</f>
        <v>91.3924385566981</v>
      </c>
      <c r="AE673" s="0" t="n">
        <f aca="false">IF(B673&gt;0,100*F673/B673,"")</f>
        <v>17.5346457862791</v>
      </c>
      <c r="AF673" s="0" t="str">
        <f aca="false">RawFinancials!AE673</f>
        <v/>
      </c>
    </row>
    <row r="674" customFormat="false" ht="15" hidden="false" customHeight="false" outlineLevel="0" collapsed="false">
      <c r="A674" s="0" t="n">
        <f aca="false">IF(ISBLANK(RawFinancials!A674),"",RawFinancials!A674)</f>
        <v>674</v>
      </c>
      <c r="B674" s="0" t="n">
        <f aca="false">IF(ISBLANK(RawFinancials!B674),"",RawFinancials!B674)</f>
        <v>1688107</v>
      </c>
      <c r="C674" s="0" t="n">
        <f aca="false">IF(ISBLANK(RawFinancials!C674),"",RawFinancials!C674)</f>
        <v>24540</v>
      </c>
      <c r="D674" s="0" t="n">
        <f aca="false">IF(ISBLANK(RawFinancials!D674),"",RawFinancials!D674)</f>
        <v>1385459</v>
      </c>
      <c r="E674" s="0" t="n">
        <f aca="false">IF(ISBLANK(RawFinancials!E674),"",RawFinancials!E674)</f>
        <v>0.15</v>
      </c>
      <c r="F674" s="0" t="n">
        <f aca="false">IF(ISBLANK(RawFinancials!F674),"",RawFinancials!F674)</f>
        <v>273377</v>
      </c>
      <c r="G674" s="0" t="n">
        <f aca="false">IF(ISBLANK(RawFinancials!G674),"",RawFinancials!G674)</f>
        <v>16.194293371214</v>
      </c>
      <c r="H674" s="0" t="str">
        <f aca="false">IF(ISBLANK(RawFinancials!H674),"",RawFinancials!H674)</f>
        <v>24540_20250331</v>
      </c>
      <c r="I674" s="0" t="n">
        <f aca="false">IF(ISBLANK(RawFinancials!I674),"",RawFinancials!I674)</f>
        <v>0.995144118535278</v>
      </c>
      <c r="J674" s="0" t="n">
        <f aca="false">IF(ISBLANK(RawFinancials!J674),"",RawFinancials!J674)</f>
        <v>42943</v>
      </c>
      <c r="K674" s="0" t="n">
        <f aca="false">IF(ISBLANK(RawFinancials!K674),"",RawFinancials!K674)</f>
        <v>38</v>
      </c>
      <c r="L674" s="0" t="n">
        <f aca="false">IF(ISBLANK(RawFinancials!L674),"",RawFinancials!L674)</f>
        <v>1460291</v>
      </c>
      <c r="M674" s="0" t="n">
        <f aca="false">IF(ISBLANK(RawFinancials!M674),"",RawFinancials!M674)</f>
        <v>1445759</v>
      </c>
      <c r="N674" s="0" t="n">
        <f aca="false">IF(ISBLANK(RawFinancials!N674),"",RawFinancials!N674)</f>
        <v>1421528</v>
      </c>
      <c r="O674" s="0" t="n">
        <f aca="false">IF(ISBLANK(RawFinancials!O674),"",RawFinancials!O674)</f>
        <v>11794</v>
      </c>
      <c r="P674" s="0" t="str">
        <f aca="false">IF(ISBLANK(RawFinancials!P674),"",RawFinancials!P674)</f>
        <v>BANK OF NEW ENGLAND</v>
      </c>
      <c r="Q674" s="0" t="n">
        <f aca="false">IF(ISBLANK(RawFinancials!Q674),"",RawFinancials!Q674)</f>
        <v>0.807647242912543</v>
      </c>
      <c r="R674" s="0" t="n">
        <f aca="false">IF(ISBLANK(RawFinancials!R674),"",RawFinancials!R674)</f>
        <v>4.21829211286827</v>
      </c>
      <c r="S674" s="0" t="n">
        <f aca="false">IF(ISBLANK(RawFinancials!S674),"",RawFinancials!S674)</f>
        <v>0</v>
      </c>
      <c r="T674" s="0" t="n">
        <f aca="false">IF(ISBLANK(RawFinancials!T674),"",RawFinancials!T674)</f>
        <v>0</v>
      </c>
      <c r="U674" s="0" t="n">
        <f aca="false">IF(ISBLANK(RawFinancials!U674),"",RawFinancials!U674)</f>
        <v>0</v>
      </c>
      <c r="V674" s="0" t="n">
        <f aca="false">IF(ISBLANK(RawFinancials!V674),"",RawFinancials!V674)</f>
        <v>0</v>
      </c>
      <c r="W674" s="0" t="n">
        <f aca="false">IF(ISBLANK(RawFinancials!W674),"",RawFinancials!W674)</f>
        <v>20250331</v>
      </c>
      <c r="X674" s="0" t="n">
        <f aca="false">IF(ISBLANK(RawFinancials!X674),"",RawFinancials!X674)</f>
        <v>1.94700476953964</v>
      </c>
      <c r="Y674" s="0" t="n">
        <f aca="false">IF(ISBLANK(RawFinancials!Y674),"",RawFinancials!Y674)</f>
        <v>11.39</v>
      </c>
      <c r="Z674" s="0" t="str">
        <f aca="false">IF(ISBLANK(RawFinancials!Z674),"",RawFinancials!Z674)</f>
        <v>NH</v>
      </c>
      <c r="AA674" s="0" t="n">
        <f aca="false">RawFinancials!AA674</f>
        <v>1</v>
      </c>
      <c r="AB674" s="0" t="n">
        <f aca="false">RawFinancials!AB674</f>
        <v>11794</v>
      </c>
      <c r="AC674" s="0" t="n">
        <f aca="false">RawFinancials!AC674</f>
        <v>0.698652395849315</v>
      </c>
      <c r="AD674" s="0" t="n">
        <f aca="false">IF(L674&gt;0,100*N674/L674,"")</f>
        <v>97.345529076054</v>
      </c>
      <c r="AE674" s="0" t="n">
        <f aca="false">IF(B674&gt;0,100*F674/B674,"")</f>
        <v>16.194293371214</v>
      </c>
      <c r="AF674" s="0" t="str">
        <f aca="false">RawFinancials!AE674</f>
        <v>原始0：需核实适用/报告口径</v>
      </c>
    </row>
    <row r="675" customFormat="false" ht="15" hidden="false" customHeight="false" outlineLevel="0" collapsed="false">
      <c r="A675" s="0" t="n">
        <f aca="false">IF(ISBLANK(RawFinancials!A675),"",RawFinancials!A675)</f>
        <v>675</v>
      </c>
      <c r="B675" s="0" t="n">
        <f aca="false">IF(ISBLANK(RawFinancials!B675),"",RawFinancials!B675)</f>
        <v>575397</v>
      </c>
      <c r="C675" s="0" t="n">
        <f aca="false">IF(ISBLANK(RawFinancials!C675),"",RawFinancials!C675)</f>
        <v>27824</v>
      </c>
      <c r="D675" s="0" t="n">
        <f aca="false">IF(ISBLANK(RawFinancials!D675),"",RawFinancials!D675)</f>
        <v>382749</v>
      </c>
      <c r="E675" s="0" t="n">
        <f aca="false">IF(ISBLANK(RawFinancials!E675),"",RawFinancials!E675)</f>
        <v>0.09</v>
      </c>
      <c r="F675" s="0" t="n">
        <f aca="false">IF(ISBLANK(RawFinancials!F675),"",RawFinancials!F675)</f>
        <v>62093</v>
      </c>
      <c r="G675" s="0" t="n">
        <f aca="false">IF(ISBLANK(RawFinancials!G675),"",RawFinancials!G675)</f>
        <v>10.7913318978027</v>
      </c>
      <c r="H675" s="0" t="str">
        <f aca="false">IF(ISBLANK(RawFinancials!H675),"",RawFinancials!H675)</f>
        <v>27824_20250331</v>
      </c>
      <c r="I675" s="0" t="n">
        <f aca="false">IF(ISBLANK(RawFinancials!I675),"",RawFinancials!I675)</f>
        <v>0.611981395427468</v>
      </c>
      <c r="J675" s="0" t="n">
        <f aca="false">IF(ISBLANK(RawFinancials!J675),"",RawFinancials!J675)</f>
        <v>17729</v>
      </c>
      <c r="K675" s="0" t="n">
        <f aca="false">IF(ISBLANK(RawFinancials!K675),"",RawFinancials!K675)</f>
        <v>35270</v>
      </c>
      <c r="L675" s="0" t="n">
        <f aca="false">IF(ISBLANK(RawFinancials!L675),"",RawFinancials!L675)</f>
        <v>473217</v>
      </c>
      <c r="M675" s="0" t="n">
        <f aca="false">IF(ISBLANK(RawFinancials!M675),"",RawFinancials!M675)</f>
        <v>470321</v>
      </c>
      <c r="N675" s="0" t="n">
        <f aca="false">IF(ISBLANK(RawFinancials!N675),"",RawFinancials!N675)</f>
        <v>420218</v>
      </c>
      <c r="O675" s="0" t="n">
        <f aca="false">IF(ISBLANK(RawFinancials!O675),"",RawFinancials!O675)</f>
        <v>2067</v>
      </c>
      <c r="P675" s="0" t="str">
        <f aca="false">IF(ISBLANK(RawFinancials!P675),"",RawFinancials!P675)</f>
        <v>SALEM CO-OPERATIVE BANK</v>
      </c>
      <c r="Q675" s="0" t="n">
        <f aca="false">IF(ISBLANK(RawFinancials!Q675),"",RawFinancials!Q675)</f>
        <v>0.436797494595503</v>
      </c>
      <c r="R675" s="0" t="n">
        <f aca="false">IF(ISBLANK(RawFinancials!R675),"",RawFinancials!R675)</f>
        <v>1.82604182072874</v>
      </c>
      <c r="S675" s="0" t="n">
        <f aca="false">IF(ISBLANK(RawFinancials!S675),"",RawFinancials!S675)</f>
        <v>44</v>
      </c>
      <c r="T675" s="0" t="n">
        <f aca="false">IF(ISBLANK(RawFinancials!T675),"",RawFinancials!T675)</f>
        <v>844</v>
      </c>
      <c r="U675" s="0" t="n">
        <f aca="false">IF(ISBLANK(RawFinancials!U675),"",RawFinancials!U675)</f>
        <v>0</v>
      </c>
      <c r="V675" s="0" t="n">
        <f aca="false">IF(ISBLANK(RawFinancials!V675),"",RawFinancials!V675)</f>
        <v>18.7325769420946</v>
      </c>
      <c r="W675" s="0" t="n">
        <f aca="false">IF(ISBLANK(RawFinancials!W675),"",RawFinancials!W675)</f>
        <v>20250331</v>
      </c>
      <c r="X675" s="0" t="n">
        <f aca="false">IF(ISBLANK(RawFinancials!X675),"",RawFinancials!X675)</f>
        <v>-0.633637024006441</v>
      </c>
      <c r="Y675" s="0" t="n">
        <f aca="false">IF(ISBLANK(RawFinancials!Y675),"",RawFinancials!Y675)</f>
        <v>-5.81</v>
      </c>
      <c r="Z675" s="0" t="str">
        <f aca="false">IF(ISBLANK(RawFinancials!Z675),"",RawFinancials!Z675)</f>
        <v>NH</v>
      </c>
      <c r="AA675" s="0" t="n">
        <f aca="false">RawFinancials!AA675</f>
        <v>1</v>
      </c>
      <c r="AB675" s="0" t="n">
        <f aca="false">RawFinancials!AB675</f>
        <v>2067</v>
      </c>
      <c r="AC675" s="0" t="n">
        <f aca="false">RawFinancials!AC675</f>
        <v>0.359230235819791</v>
      </c>
      <c r="AD675" s="0" t="n">
        <f aca="false">IF(L675&gt;0,100*N675/L675,"")</f>
        <v>88.8002755606836</v>
      </c>
      <c r="AE675" s="0" t="n">
        <f aca="false">IF(B675&gt;0,100*F675/B675,"")</f>
        <v>10.7913318978027</v>
      </c>
      <c r="AF675" s="0" t="str">
        <f aca="false">RawFinancials!AE675</f>
        <v/>
      </c>
    </row>
    <row r="676" customFormat="false" ht="15" hidden="false" customHeight="false" outlineLevel="0" collapsed="false">
      <c r="A676" s="0" t="n">
        <f aca="false">IF(ISBLANK(RawFinancials!A676),"",RawFinancials!A676)</f>
        <v>676</v>
      </c>
      <c r="B676" s="0" t="n">
        <f aca="false">IF(ISBLANK(RawFinancials!B676),"",RawFinancials!B676)</f>
        <v>299190</v>
      </c>
      <c r="C676" s="0" t="n">
        <f aca="false">IF(ISBLANK(RawFinancials!C676),"",RawFinancials!C676)</f>
        <v>28155</v>
      </c>
      <c r="D676" s="0" t="n">
        <f aca="false">IF(ISBLANK(RawFinancials!D676),"",RawFinancials!D676)</f>
        <v>270079</v>
      </c>
      <c r="E676" s="0" t="n">
        <f aca="false">IF(ISBLANK(RawFinancials!E676),"",RawFinancials!E676)</f>
        <v>0</v>
      </c>
      <c r="F676" s="0" t="n">
        <f aca="false">IF(ISBLANK(RawFinancials!F676),"",RawFinancials!F676)</f>
        <v>27411</v>
      </c>
      <c r="G676" s="0" t="n">
        <f aca="false">IF(ISBLANK(RawFinancials!G676),"",RawFinancials!G676)</f>
        <v>9.16173668906046</v>
      </c>
      <c r="H676" s="0" t="str">
        <f aca="false">IF(ISBLANK(RawFinancials!H676),"",RawFinancials!H676)</f>
        <v>28155_20250331</v>
      </c>
      <c r="I676" s="0" t="n">
        <f aca="false">IF(ISBLANK(RawFinancials!I676),"",RawFinancials!I676)</f>
        <v>0.447460321967008</v>
      </c>
      <c r="J676" s="0" t="n">
        <f aca="false">IF(ISBLANK(RawFinancials!J676),"",RawFinancials!J676)</f>
        <v>9840</v>
      </c>
      <c r="K676" s="0" t="n">
        <f aca="false">IF(ISBLANK(RawFinancials!K676),"",RawFinancials!K676)</f>
        <v>6251</v>
      </c>
      <c r="L676" s="0" t="n">
        <f aca="false">IF(ISBLANK(RawFinancials!L676),"",RawFinancials!L676)</f>
        <v>176105</v>
      </c>
      <c r="M676" s="0" t="n">
        <f aca="false">IF(ISBLANK(RawFinancials!M676),"",RawFinancials!M676)</f>
        <v>175317</v>
      </c>
      <c r="N676" s="0" t="n">
        <f aca="false">IF(ISBLANK(RawFinancials!N676),"",RawFinancials!N676)</f>
        <v>159503</v>
      </c>
      <c r="O676" s="0" t="n">
        <f aca="false">IF(ISBLANK(RawFinancials!O676),"",RawFinancials!O676)</f>
        <v>304</v>
      </c>
      <c r="P676" s="0" t="str">
        <f aca="false">IF(ISBLANK(RawFinancials!P676),"",RawFinancials!P676)</f>
        <v>PROFILE BANK</v>
      </c>
      <c r="Q676" s="0" t="n">
        <f aca="false">IF(ISBLANK(RawFinancials!Q676),"",RawFinancials!Q676)</f>
        <v>0.172624286647171</v>
      </c>
      <c r="R676" s="0" t="n">
        <f aca="false">IF(ISBLANK(RawFinancials!R676),"",RawFinancials!R676)</f>
        <v>2.61875903430567</v>
      </c>
      <c r="S676" s="0" t="n">
        <f aca="false">IF(ISBLANK(RawFinancials!S676),"",RawFinancials!S676)</f>
        <v>0</v>
      </c>
      <c r="T676" s="0" t="n">
        <f aca="false">IF(ISBLANK(RawFinancials!T676),"",RawFinancials!T676)</f>
        <v>1504</v>
      </c>
      <c r="U676" s="0" t="n">
        <f aca="false">IF(ISBLANK(RawFinancials!U676),"",RawFinancials!U676)</f>
        <v>0</v>
      </c>
      <c r="V676" s="0" t="n">
        <f aca="false">IF(ISBLANK(RawFinancials!V676),"",RawFinancials!V676)</f>
        <v>17.476407488759</v>
      </c>
      <c r="W676" s="0" t="n">
        <f aca="false">IF(ISBLANK(RawFinancials!W676),"",RawFinancials!W676)</f>
        <v>20250331</v>
      </c>
      <c r="X676" s="0" t="n">
        <f aca="false">IF(ISBLANK(RawFinancials!X676),"",RawFinancials!X676)</f>
        <v>-0.103525409942137</v>
      </c>
      <c r="Y676" s="0" t="n">
        <f aca="false">IF(ISBLANK(RawFinancials!Y676),"",RawFinancials!Y676)</f>
        <v>-1.12</v>
      </c>
      <c r="Z676" s="0" t="str">
        <f aca="false">IF(ISBLANK(RawFinancials!Z676),"",RawFinancials!Z676)</f>
        <v>NH</v>
      </c>
      <c r="AA676" s="0" t="n">
        <f aca="false">RawFinancials!AA676</f>
        <v>1</v>
      </c>
      <c r="AB676" s="0" t="n">
        <f aca="false">RawFinancials!AB676</f>
        <v>304</v>
      </c>
      <c r="AC676" s="0" t="n">
        <f aca="false">RawFinancials!AC676</f>
        <v>0.101607674053277</v>
      </c>
      <c r="AD676" s="0" t="n">
        <f aca="false">IF(L676&gt;0,100*N676/L676,"")</f>
        <v>90.572669714091</v>
      </c>
      <c r="AE676" s="0" t="n">
        <f aca="false">IF(B676&gt;0,100*F676/B676,"")</f>
        <v>9.16173668906046</v>
      </c>
      <c r="AF676" s="0" t="str">
        <f aca="false">RawFinancials!AE676</f>
        <v/>
      </c>
    </row>
    <row r="677" customFormat="false" ht="15" hidden="false" customHeight="false" outlineLevel="0" collapsed="false">
      <c r="A677" s="0" t="n">
        <f aca="false">IF(ISBLANK(RawFinancials!A677),"",RawFinancials!A677)</f>
        <v>677</v>
      </c>
      <c r="B677" s="0" t="n">
        <f aca="false">IF(ISBLANK(RawFinancials!B677),"",RawFinancials!B677)</f>
        <v>101149</v>
      </c>
      <c r="C677" s="0" t="n">
        <f aca="false">IF(ISBLANK(RawFinancials!C677),"",RawFinancials!C677)</f>
        <v>28288</v>
      </c>
      <c r="D677" s="0" t="n">
        <f aca="false">IF(ISBLANK(RawFinancials!D677),"",RawFinancials!D677)</f>
        <v>72293</v>
      </c>
      <c r="E677" s="0" t="n">
        <f aca="false">IF(ISBLANK(RawFinancials!E677),"",RawFinancials!E677)</f>
        <v>0</v>
      </c>
      <c r="F677" s="0" t="n">
        <f aca="false">IF(ISBLANK(RawFinancials!F677),"",RawFinancials!F677)</f>
        <v>6164</v>
      </c>
      <c r="G677" s="0" t="n">
        <f aca="false">IF(ISBLANK(RawFinancials!G677),"",RawFinancials!G677)</f>
        <v>6.09398016787116</v>
      </c>
      <c r="H677" s="0" t="str">
        <f aca="false">IF(ISBLANK(RawFinancials!H677),"",RawFinancials!H677)</f>
        <v>28288_20250331</v>
      </c>
      <c r="I677" s="0" t="n">
        <f aca="false">IF(ISBLANK(RawFinancials!I677),"",RawFinancials!I677)</f>
        <v>0.985046866204939</v>
      </c>
      <c r="J677" s="0" t="n">
        <f aca="false">IF(ISBLANK(RawFinancials!J677),"",RawFinancials!J677)</f>
        <v>4355</v>
      </c>
      <c r="K677" s="0" t="n">
        <f aca="false">IF(ISBLANK(RawFinancials!K677),"",RawFinancials!K677)</f>
        <v>3475</v>
      </c>
      <c r="L677" s="0" t="n">
        <f aca="false">IF(ISBLANK(RawFinancials!L677),"",RawFinancials!L677)</f>
        <v>81722</v>
      </c>
      <c r="M677" s="0" t="n">
        <f aca="false">IF(ISBLANK(RawFinancials!M677),"",RawFinancials!M677)</f>
        <v>80917</v>
      </c>
      <c r="N677" s="0" t="n">
        <f aca="false">IF(ISBLANK(RawFinancials!N677),"",RawFinancials!N677)</f>
        <v>73892</v>
      </c>
      <c r="O677" s="0" t="n">
        <f aca="false">IF(ISBLANK(RawFinancials!O677),"",RawFinancials!O677)</f>
        <v>1</v>
      </c>
      <c r="P677" s="0" t="str">
        <f aca="false">IF(ISBLANK(RawFinancials!P677),"",RawFinancials!P677)</f>
        <v>AUBURN SAVINGS BANK, FSB</v>
      </c>
      <c r="Q677" s="0" t="n">
        <f aca="false">IF(ISBLANK(RawFinancials!Q677),"",RawFinancials!Q677)</f>
        <v>0.0012236607033601</v>
      </c>
      <c r="R677" s="0" t="n">
        <f aca="false">IF(ISBLANK(RawFinancials!R677),"",RawFinancials!R677)</f>
        <v>2.70885511462336</v>
      </c>
      <c r="S677" s="0" t="n">
        <f aca="false">IF(ISBLANK(RawFinancials!S677),"",RawFinancials!S677)</f>
        <v>0</v>
      </c>
      <c r="T677" s="0" t="n">
        <f aca="false">IF(ISBLANK(RawFinancials!T677),"",RawFinancials!T677)</f>
        <v>668</v>
      </c>
      <c r="U677" s="0" t="n">
        <f aca="false">IF(ISBLANK(RawFinancials!U677),"",RawFinancials!U677)</f>
        <v>0</v>
      </c>
      <c r="V677" s="0" t="n">
        <f aca="false">IF(ISBLANK(RawFinancials!V677),"",RawFinancials!V677)</f>
        <v>13.3963087197846</v>
      </c>
      <c r="W677" s="0" t="n">
        <f aca="false">IF(ISBLANK(RawFinancials!W677),"",RawFinancials!W677)</f>
        <v>20250331</v>
      </c>
      <c r="X677" s="0" t="n">
        <f aca="false">IF(ISBLANK(RawFinancials!X677),"",RawFinancials!X677)</f>
        <v>0.216262975778547</v>
      </c>
      <c r="Y677" s="0" t="n">
        <f aca="false">IF(ISBLANK(RawFinancials!Y677),"",RawFinancials!Y677)</f>
        <v>3.65</v>
      </c>
      <c r="Z677" s="0" t="str">
        <f aca="false">IF(ISBLANK(RawFinancials!Z677),"",RawFinancials!Z677)</f>
        <v>ME</v>
      </c>
      <c r="AA677" s="0" t="n">
        <f aca="false">RawFinancials!AA677</f>
        <v>1</v>
      </c>
      <c r="AB677" s="0" t="n">
        <f aca="false">RawFinancials!AB677</f>
        <v>1</v>
      </c>
      <c r="AC677" s="0" t="n">
        <f aca="false">RawFinancials!AC677</f>
        <v>0.00098864052042037</v>
      </c>
      <c r="AD677" s="0" t="n">
        <f aca="false">IF(L677&gt;0,100*N677/L677,"")</f>
        <v>90.4187366926898</v>
      </c>
      <c r="AE677" s="0" t="n">
        <f aca="false">IF(B677&gt;0,100*F677/B677,"")</f>
        <v>6.09398016787116</v>
      </c>
      <c r="AF677" s="0" t="str">
        <f aca="false">RawFinancials!AE677</f>
        <v/>
      </c>
    </row>
    <row r="678" customFormat="false" ht="15" hidden="false" customHeight="false" outlineLevel="0" collapsed="false">
      <c r="A678" s="0" t="n">
        <f aca="false">IF(ISBLANK(RawFinancials!A678),"",RawFinancials!A678)</f>
        <v>678</v>
      </c>
      <c r="B678" s="0" t="n">
        <f aca="false">IF(ISBLANK(RawFinancials!B678),"",RawFinancials!B678)</f>
        <v>93473</v>
      </c>
      <c r="C678" s="0" t="n">
        <f aca="false">IF(ISBLANK(RawFinancials!C678),"",RawFinancials!C678)</f>
        <v>28369</v>
      </c>
      <c r="D678" s="0" t="n">
        <f aca="false">IF(ISBLANK(RawFinancials!D678),"",RawFinancials!D678)</f>
        <v>72638</v>
      </c>
      <c r="E678" s="0" t="n">
        <f aca="false">IF(ISBLANK(RawFinancials!E678),"",RawFinancials!E678)</f>
        <v>0.01</v>
      </c>
      <c r="F678" s="0" t="n">
        <f aca="false">IF(ISBLANK(RawFinancials!F678),"",RawFinancials!F678)</f>
        <v>9063</v>
      </c>
      <c r="G678" s="0" t="n">
        <f aca="false">IF(ISBLANK(RawFinancials!G678),"",RawFinancials!G678)</f>
        <v>9.69584799888738</v>
      </c>
      <c r="H678" s="0" t="str">
        <f aca="false">IF(ISBLANK(RawFinancials!H678),"",RawFinancials!H678)</f>
        <v>28369_20250331</v>
      </c>
      <c r="I678" s="0" t="n">
        <f aca="false">IF(ISBLANK(RawFinancials!I678),"",RawFinancials!I678)</f>
        <v>0.778960643940799</v>
      </c>
      <c r="J678" s="0" t="n">
        <f aca="false">IF(ISBLANK(RawFinancials!J678),"",RawFinancials!J678)</f>
        <v>13089</v>
      </c>
      <c r="K678" s="0" t="n">
        <f aca="false">IF(ISBLANK(RawFinancials!K678),"",RawFinancials!K678)</f>
        <v>657</v>
      </c>
      <c r="L678" s="0" t="n">
        <f aca="false">IF(ISBLANK(RawFinancials!L678),"",RawFinancials!L678)</f>
        <v>80877</v>
      </c>
      <c r="M678" s="0" t="n">
        <f aca="false">IF(ISBLANK(RawFinancials!M678),"",RawFinancials!M678)</f>
        <v>80247</v>
      </c>
      <c r="N678" s="0" t="n">
        <f aca="false">IF(ISBLANK(RawFinancials!N678),"",RawFinancials!N678)</f>
        <v>67131</v>
      </c>
      <c r="O678" s="0" t="n">
        <f aca="false">IF(ISBLANK(RawFinancials!O678),"",RawFinancials!O678)</f>
        <v>88</v>
      </c>
      <c r="P678" s="0" t="str">
        <f aca="false">IF(ISBLANK(RawFinancials!P678),"",RawFinancials!P678)</f>
        <v>ROCKLAND SAVINGS BANK, FSB</v>
      </c>
      <c r="Q678" s="0" t="n">
        <f aca="false">IF(ISBLANK(RawFinancials!Q678),"",RawFinancials!Q678)</f>
        <v>0.108807201058397</v>
      </c>
      <c r="R678" s="0" t="n">
        <f aca="false">IF(ISBLANK(RawFinancials!R678),"",RawFinancials!R678)</f>
        <v>3.50547869888538</v>
      </c>
      <c r="S678" s="0" t="n">
        <f aca="false">IF(ISBLANK(RawFinancials!S678),"",RawFinancials!S678)</f>
        <v>-1</v>
      </c>
      <c r="T678" s="0" t="n">
        <f aca="false">IF(ISBLANK(RawFinancials!T678),"",RawFinancials!T678)</f>
        <v>299</v>
      </c>
      <c r="U678" s="0" t="n">
        <f aca="false">IF(ISBLANK(RawFinancials!U678),"",RawFinancials!U678)</f>
        <v>0</v>
      </c>
      <c r="V678" s="0" t="n">
        <f aca="false">IF(ISBLANK(RawFinancials!V678),"",RawFinancials!V678)</f>
        <v>14.0023818248443</v>
      </c>
      <c r="W678" s="0" t="n">
        <f aca="false">IF(ISBLANK(RawFinancials!W678),"",RawFinancials!W678)</f>
        <v>20250331</v>
      </c>
      <c r="X678" s="0" t="n">
        <f aca="false">IF(ISBLANK(RawFinancials!X678),"",RawFinancials!X678)</f>
        <v>0.0854554776961203</v>
      </c>
      <c r="Y678" s="0" t="n">
        <f aca="false">IF(ISBLANK(RawFinancials!Y678),"",RawFinancials!Y678)</f>
        <v>0.88</v>
      </c>
      <c r="Z678" s="0" t="str">
        <f aca="false">IF(ISBLANK(RawFinancials!Z678),"",RawFinancials!Z678)</f>
        <v>ME</v>
      </c>
      <c r="AA678" s="0" t="n">
        <f aca="false">RawFinancials!AA678</f>
        <v>1</v>
      </c>
      <c r="AB678" s="0" t="n">
        <f aca="false">RawFinancials!AB678</f>
        <v>88</v>
      </c>
      <c r="AC678" s="0" t="n">
        <f aca="false">RawFinancials!AC678</f>
        <v>0.0941448332673606</v>
      </c>
      <c r="AD678" s="0" t="n">
        <f aca="false">IF(L678&gt;0,100*N678/L678,"")</f>
        <v>83.0038206164917</v>
      </c>
      <c r="AE678" s="0" t="n">
        <f aca="false">IF(B678&gt;0,100*F678/B678,"")</f>
        <v>9.69584799888738</v>
      </c>
      <c r="AF678" s="0" t="str">
        <f aca="false">RawFinancials!AE678</f>
        <v/>
      </c>
    </row>
    <row r="679" customFormat="false" ht="15" hidden="false" customHeight="false" outlineLevel="0" collapsed="false">
      <c r="A679" s="0" t="n">
        <f aca="false">IF(ISBLANK(RawFinancials!A679),"",RawFinancials!A679)</f>
        <v>679</v>
      </c>
      <c r="B679" s="0" t="n">
        <f aca="false">IF(ISBLANK(RawFinancials!B679),"",RawFinancials!B679)</f>
        <v>289565</v>
      </c>
      <c r="C679" s="0" t="n">
        <f aca="false">IF(ISBLANK(RawFinancials!C679),"",RawFinancials!C679)</f>
        <v>28837</v>
      </c>
      <c r="D679" s="0" t="n">
        <f aca="false">IF(ISBLANK(RawFinancials!D679),"",RawFinancials!D679)</f>
        <v>257144</v>
      </c>
      <c r="E679" s="0" t="n">
        <f aca="false">IF(ISBLANK(RawFinancials!E679),"",RawFinancials!E679)</f>
        <v>0.05</v>
      </c>
      <c r="F679" s="0" t="n">
        <f aca="false">IF(ISBLANK(RawFinancials!F679),"",RawFinancials!F679)</f>
        <v>29273</v>
      </c>
      <c r="G679" s="0" t="n">
        <f aca="false">IF(ISBLANK(RawFinancials!G679),"",RawFinancials!G679)</f>
        <v>10.1093018838603</v>
      </c>
      <c r="H679" s="0" t="str">
        <f aca="false">IF(ISBLANK(RawFinancials!H679),"",RawFinancials!H679)</f>
        <v>28837_20250331</v>
      </c>
      <c r="I679" s="0" t="n">
        <f aca="false">IF(ISBLANK(RawFinancials!I679),"",RawFinancials!I679)</f>
        <v>1.08062035249973</v>
      </c>
      <c r="J679" s="0" t="n">
        <f aca="false">IF(ISBLANK(RawFinancials!J679),"",RawFinancials!J679)</f>
        <v>7281</v>
      </c>
      <c r="K679" s="0" t="n">
        <f aca="false">IF(ISBLANK(RawFinancials!K679),"",RawFinancials!K679)</f>
        <v>1412</v>
      </c>
      <c r="L679" s="0" t="n">
        <f aca="false">IF(ISBLANK(RawFinancials!L679),"",RawFinancials!L679)</f>
        <v>204142</v>
      </c>
      <c r="M679" s="0" t="n">
        <f aca="false">IF(ISBLANK(RawFinancials!M679),"",RawFinancials!M679)</f>
        <v>201936</v>
      </c>
      <c r="N679" s="0" t="n">
        <f aca="false">IF(ISBLANK(RawFinancials!N679),"",RawFinancials!N679)</f>
        <v>195050</v>
      </c>
      <c r="O679" s="0" t="n">
        <f aca="false">IF(ISBLANK(RawFinancials!O679),"",RawFinancials!O679)</f>
        <v>0</v>
      </c>
      <c r="P679" s="0" t="str">
        <f aca="false">IF(ISBLANK(RawFinancials!P679),"",RawFinancials!P679)</f>
        <v>THE BRATTLEBORO SAVINGS AND LOAN ASSOCIATION</v>
      </c>
      <c r="Q679" s="0" t="n">
        <f aca="false">IF(ISBLANK(RawFinancials!Q679),"",RawFinancials!Q679)</f>
        <v>0</v>
      </c>
      <c r="R679" s="0" t="n">
        <f aca="false">IF(ISBLANK(RawFinancials!R679),"",RawFinancials!R679)</f>
        <v>3.95504030292047</v>
      </c>
      <c r="S679" s="0" t="n">
        <f aca="false">IF(ISBLANK(RawFinancials!S679),"",RawFinancials!S679)</f>
        <v>0</v>
      </c>
      <c r="T679" s="0" t="n">
        <f aca="false">IF(ISBLANK(RawFinancials!T679),"",RawFinancials!T679)</f>
        <v>1378</v>
      </c>
      <c r="U679" s="0" t="n">
        <f aca="false">IF(ISBLANK(RawFinancials!U679),"",RawFinancials!U679)</f>
        <v>0</v>
      </c>
      <c r="V679" s="0" t="n">
        <f aca="false">IF(ISBLANK(RawFinancials!V679),"",RawFinancials!V679)</f>
        <v>18.1761660582706</v>
      </c>
      <c r="W679" s="0" t="n">
        <f aca="false">IF(ISBLANK(RawFinancials!W679),"",RawFinancials!W679)</f>
        <v>20250331</v>
      </c>
      <c r="X679" s="0" t="n">
        <f aca="false">IF(ISBLANK(RawFinancials!X679),"",RawFinancials!X679)</f>
        <v>0.698313621099047</v>
      </c>
      <c r="Y679" s="0" t="n">
        <f aca="false">IF(ISBLANK(RawFinancials!Y679),"",RawFinancials!Y679)</f>
        <v>6.95</v>
      </c>
      <c r="Z679" s="0" t="str">
        <f aca="false">IF(ISBLANK(RawFinancials!Z679),"",RawFinancials!Z679)</f>
        <v>VT</v>
      </c>
      <c r="AA679" s="0" t="n">
        <f aca="false">RawFinancials!AA679</f>
        <v>1</v>
      </c>
      <c r="AB679" s="0" t="n">
        <f aca="false">RawFinancials!AB679</f>
        <v>0</v>
      </c>
      <c r="AC679" s="0" t="n">
        <f aca="false">RawFinancials!AC679</f>
        <v>0</v>
      </c>
      <c r="AD679" s="0" t="n">
        <f aca="false">IF(L679&gt;0,100*N679/L679,"")</f>
        <v>95.5462374229703</v>
      </c>
      <c r="AE679" s="0" t="n">
        <f aca="false">IF(B679&gt;0,100*F679/B679,"")</f>
        <v>10.1093018838603</v>
      </c>
      <c r="AF679" s="0" t="str">
        <f aca="false">RawFinancials!AE679</f>
        <v/>
      </c>
    </row>
    <row r="680" customFormat="false" ht="15" hidden="false" customHeight="false" outlineLevel="0" collapsed="false">
      <c r="A680" s="0" t="n">
        <f aca="false">IF(ISBLANK(RawFinancials!A680),"",RawFinancials!A680)</f>
        <v>680</v>
      </c>
      <c r="B680" s="0" t="n">
        <f aca="false">IF(ISBLANK(RawFinancials!B680),"",RawFinancials!B680)</f>
        <v>186509</v>
      </c>
      <c r="C680" s="0" t="n">
        <f aca="false">IF(ISBLANK(RawFinancials!C680),"",RawFinancials!C680)</f>
        <v>29636</v>
      </c>
      <c r="D680" s="0" t="n">
        <f aca="false">IF(ISBLANK(RawFinancials!D680),"",RawFinancials!D680)</f>
        <v>143798</v>
      </c>
      <c r="E680" s="0" t="n">
        <f aca="false">IF(ISBLANK(RawFinancials!E680),"",RawFinancials!E680)</f>
        <v>0</v>
      </c>
      <c r="F680" s="0" t="n">
        <f aca="false">IF(ISBLANK(RawFinancials!F680),"",RawFinancials!F680)</f>
        <v>27465</v>
      </c>
      <c r="G680" s="0" t="n">
        <f aca="false">IF(ISBLANK(RawFinancials!G680),"",RawFinancials!G680)</f>
        <v>14.7258309250492</v>
      </c>
      <c r="H680" s="0" t="str">
        <f aca="false">IF(ISBLANK(RawFinancials!H680),"",RawFinancials!H680)</f>
        <v>29636_20250331</v>
      </c>
      <c r="I680" s="0" t="n">
        <f aca="false">IF(ISBLANK(RawFinancials!I680),"",RawFinancials!I680)</f>
        <v>1.35480926166699</v>
      </c>
      <c r="J680" s="0" t="n">
        <f aca="false">IF(ISBLANK(RawFinancials!J680),"",RawFinancials!J680)</f>
        <v>1641</v>
      </c>
      <c r="K680" s="0" t="n">
        <f aca="false">IF(ISBLANK(RawFinancials!K680),"",RawFinancials!K680)</f>
        <v>1725</v>
      </c>
      <c r="L680" s="0" t="n">
        <f aca="false">IF(ISBLANK(RawFinancials!L680),"",RawFinancials!L680)</f>
        <v>144596</v>
      </c>
      <c r="M680" s="0" t="n">
        <f aca="false">IF(ISBLANK(RawFinancials!M680),"",RawFinancials!M680)</f>
        <v>142637</v>
      </c>
      <c r="N680" s="0" t="n">
        <f aca="false">IF(ISBLANK(RawFinancials!N680),"",RawFinancials!N680)</f>
        <v>141230</v>
      </c>
      <c r="O680" s="0" t="n">
        <f aca="false">IF(ISBLANK(RawFinancials!O680),"",RawFinancials!O680)</f>
        <v>3216</v>
      </c>
      <c r="P680" s="0" t="str">
        <f aca="false">IF(ISBLANK(RawFinancials!P680),"",RawFinancials!P680)</f>
        <v>FIRST FEDERAL SAVINGS AND LOAN ASSOCIATION OF BATH</v>
      </c>
      <c r="Q680" s="0" t="n">
        <f aca="false">IF(ISBLANK(RawFinancials!Q680),"",RawFinancials!Q680)</f>
        <v>2.2241279150184</v>
      </c>
      <c r="R680" s="0" t="n">
        <f aca="false">IF(ISBLANK(RawFinancials!R680),"",RawFinancials!R680)</f>
        <v>3.42549547345241</v>
      </c>
      <c r="S680" s="0" t="n">
        <f aca="false">IF(ISBLANK(RawFinancials!S680),"",RawFinancials!S680)</f>
        <v>10</v>
      </c>
      <c r="T680" s="0" t="n">
        <f aca="false">IF(ISBLANK(RawFinancials!T680),"",RawFinancials!T680)</f>
        <v>3952</v>
      </c>
      <c r="U680" s="0" t="n">
        <f aca="false">IF(ISBLANK(RawFinancials!U680),"",RawFinancials!U680)</f>
        <v>0</v>
      </c>
      <c r="V680" s="0" t="n">
        <f aca="false">IF(ISBLANK(RawFinancials!V680),"",RawFinancials!V680)</f>
        <v>27.1409419276435</v>
      </c>
      <c r="W680" s="0" t="n">
        <f aca="false">IF(ISBLANK(RawFinancials!W680),"",RawFinancials!W680)</f>
        <v>20250331</v>
      </c>
      <c r="X680" s="0" t="n">
        <f aca="false">IF(ISBLANK(RawFinancials!X680),"",RawFinancials!X680)</f>
        <v>0.138614772761114</v>
      </c>
      <c r="Y680" s="0" t="n">
        <f aca="false">IF(ISBLANK(RawFinancials!Y680),"",RawFinancials!Y680)</f>
        <v>0.93</v>
      </c>
      <c r="Z680" s="0" t="str">
        <f aca="false">IF(ISBLANK(RawFinancials!Z680),"",RawFinancials!Z680)</f>
        <v>ME</v>
      </c>
      <c r="AA680" s="0" t="n">
        <f aca="false">RawFinancials!AA680</f>
        <v>1</v>
      </c>
      <c r="AB680" s="0" t="n">
        <f aca="false">RawFinancials!AB680</f>
        <v>3216</v>
      </c>
      <c r="AC680" s="0" t="n">
        <f aca="false">RawFinancials!AC680</f>
        <v>1.72431357199921</v>
      </c>
      <c r="AD680" s="0" t="n">
        <f aca="false">IF(L680&gt;0,100*N680/L680,"")</f>
        <v>97.6721347755125</v>
      </c>
      <c r="AE680" s="0" t="n">
        <f aca="false">IF(B680&gt;0,100*F680/B680,"")</f>
        <v>14.7258309250492</v>
      </c>
      <c r="AF680" s="0" t="str">
        <f aca="false">RawFinancials!AE680</f>
        <v/>
      </c>
    </row>
    <row r="681" customFormat="false" ht="15" hidden="false" customHeight="false" outlineLevel="0" collapsed="false">
      <c r="A681" s="0" t="n">
        <f aca="false">IF(ISBLANK(RawFinancials!A681),"",RawFinancials!A681)</f>
        <v>681</v>
      </c>
      <c r="B681" s="0" t="n">
        <f aca="false">IF(ISBLANK(RawFinancials!B681),"",RawFinancials!B681)</f>
        <v>199014</v>
      </c>
      <c r="C681" s="0" t="n">
        <f aca="false">IF(ISBLANK(RawFinancials!C681),"",RawFinancials!C681)</f>
        <v>29743</v>
      </c>
      <c r="D681" s="0" t="n">
        <f aca="false">IF(ISBLANK(RawFinancials!D681),"",RawFinancials!D681)</f>
        <v>176536</v>
      </c>
      <c r="E681" s="0" t="n">
        <f aca="false">IF(ISBLANK(RawFinancials!E681),"",RawFinancials!E681)</f>
        <v>0</v>
      </c>
      <c r="F681" s="0" t="n">
        <f aca="false">IF(ISBLANK(RawFinancials!F681),"",RawFinancials!F681)</f>
        <v>18836</v>
      </c>
      <c r="G681" s="0" t="n">
        <f aca="false">IF(ISBLANK(RawFinancials!G681),"",RawFinancials!G681)</f>
        <v>9.46466077763374</v>
      </c>
      <c r="H681" s="0" t="str">
        <f aca="false">IF(ISBLANK(RawFinancials!H681),"",RawFinancials!H681)</f>
        <v>29743_20250331</v>
      </c>
      <c r="I681" s="0" t="n">
        <f aca="false">IF(ISBLANK(RawFinancials!I681),"",RawFinancials!I681)</f>
        <v>0.60737654411549</v>
      </c>
      <c r="J681" s="0" t="n">
        <f aca="false">IF(ISBLANK(RawFinancials!J681),"",RawFinancials!J681)</f>
        <v>26500</v>
      </c>
      <c r="K681" s="0" t="n">
        <f aca="false">IF(ISBLANK(RawFinancials!K681),"",RawFinancials!K681)</f>
        <v>21890</v>
      </c>
      <c r="L681" s="0" t="n">
        <f aca="false">IF(ISBLANK(RawFinancials!L681),"",RawFinancials!L681)</f>
        <v>136324</v>
      </c>
      <c r="M681" s="0" t="n">
        <f aca="false">IF(ISBLANK(RawFinancials!M681),"",RawFinancials!M681)</f>
        <v>135496</v>
      </c>
      <c r="N681" s="0" t="n">
        <f aca="false">IF(ISBLANK(RawFinancials!N681),"",RawFinancials!N681)</f>
        <v>87895</v>
      </c>
      <c r="O681" s="0" t="n">
        <f aca="false">IF(ISBLANK(RawFinancials!O681),"",RawFinancials!O681)</f>
        <v>448</v>
      </c>
      <c r="P681" s="0" t="str">
        <f aca="false">IF(ISBLANK(RawFinancials!P681),"",RawFinancials!P681)</f>
        <v>AROOSTOOK COUNTY FEDERAL SAVINGS AND LOAN ASSOCIATION</v>
      </c>
      <c r="Q681" s="0" t="n">
        <f aca="false">IF(ISBLANK(RawFinancials!Q681),"",RawFinancials!Q681)</f>
        <v>0.328628854787125</v>
      </c>
      <c r="R681" s="0" t="n">
        <f aca="false">IF(ISBLANK(RawFinancials!R681),"",RawFinancials!R681)</f>
        <v>2.66721502501885</v>
      </c>
      <c r="S681" s="0" t="n">
        <f aca="false">IF(ISBLANK(RawFinancials!S681),"",RawFinancials!S681)</f>
        <v>36</v>
      </c>
      <c r="T681" s="0" t="n">
        <f aca="false">IF(ISBLANK(RawFinancials!T681),"",RawFinancials!T681)</f>
        <v>816</v>
      </c>
      <c r="U681" s="0" t="n">
        <f aca="false">IF(ISBLANK(RawFinancials!U681),"",RawFinancials!U681)</f>
        <v>0</v>
      </c>
      <c r="V681" s="0" t="n">
        <f aca="false">IF(ISBLANK(RawFinancials!V681),"",RawFinancials!V681)</f>
        <v>18.4080928760645</v>
      </c>
      <c r="W681" s="0" t="n">
        <f aca="false">IF(ISBLANK(RawFinancials!W681),"",RawFinancials!W681)</f>
        <v>20250331</v>
      </c>
      <c r="X681" s="0" t="n">
        <f aca="false">IF(ISBLANK(RawFinancials!X681),"",RawFinancials!X681)</f>
        <v>0.608988551612277</v>
      </c>
      <c r="Y681" s="0" t="n">
        <f aca="false">IF(ISBLANK(RawFinancials!Y681),"",RawFinancials!Y681)</f>
        <v>6.63</v>
      </c>
      <c r="Z681" s="0" t="str">
        <f aca="false">IF(ISBLANK(RawFinancials!Z681),"",RawFinancials!Z681)</f>
        <v>ME</v>
      </c>
      <c r="AA681" s="0" t="n">
        <f aca="false">RawFinancials!AA681</f>
        <v>1</v>
      </c>
      <c r="AB681" s="0" t="n">
        <f aca="false">RawFinancials!AB681</f>
        <v>448</v>
      </c>
      <c r="AC681" s="0" t="n">
        <f aca="false">RawFinancials!AC681</f>
        <v>0.225109791270966</v>
      </c>
      <c r="AD681" s="0" t="n">
        <f aca="false">IF(L681&gt;0,100*N681/L681,"")</f>
        <v>64.4750740882016</v>
      </c>
      <c r="AE681" s="0" t="n">
        <f aca="false">IF(B681&gt;0,100*F681/B681,"")</f>
        <v>9.46466077763373</v>
      </c>
      <c r="AF681" s="0" t="str">
        <f aca="false">RawFinancials!AE681</f>
        <v/>
      </c>
    </row>
    <row r="682" customFormat="false" ht="15" hidden="false" customHeight="false" outlineLevel="0" collapsed="false">
      <c r="A682" s="0" t="n">
        <f aca="false">IF(ISBLANK(RawFinancials!A682),"",RawFinancials!A682)</f>
        <v>682</v>
      </c>
      <c r="B682" s="0" t="n">
        <f aca="false">IF(ISBLANK(RawFinancials!B682),"",RawFinancials!B682)</f>
        <v>592720</v>
      </c>
      <c r="C682" s="0" t="n">
        <f aca="false">IF(ISBLANK(RawFinancials!C682),"",RawFinancials!C682)</f>
        <v>29744</v>
      </c>
      <c r="D682" s="0" t="n">
        <f aca="false">IF(ISBLANK(RawFinancials!D682),"",RawFinancials!D682)</f>
        <v>473305</v>
      </c>
      <c r="E682" s="0" t="n">
        <f aca="false">IF(ISBLANK(RawFinancials!E682),"",RawFinancials!E682)</f>
        <v>0</v>
      </c>
      <c r="F682" s="0" t="n">
        <f aca="false">IF(ISBLANK(RawFinancials!F682),"",RawFinancials!F682)</f>
        <v>44713</v>
      </c>
      <c r="G682" s="0" t="n">
        <f aca="false">IF(ISBLANK(RawFinancials!G682),"",RawFinancials!G682)</f>
        <v>7.54369685517614</v>
      </c>
      <c r="H682" s="0" t="str">
        <f aca="false">IF(ISBLANK(RawFinancials!H682),"",RawFinancials!H682)</f>
        <v>29744_20250331</v>
      </c>
      <c r="I682" s="0" t="n">
        <f aca="false">IF(ISBLANK(RawFinancials!I682),"",RawFinancials!I682)</f>
        <v>0.784585800268593</v>
      </c>
      <c r="J682" s="0" t="n">
        <f aca="false">IF(ISBLANK(RawFinancials!J682),"",RawFinancials!J682)</f>
        <v>24565</v>
      </c>
      <c r="K682" s="0" t="n">
        <f aca="false">IF(ISBLANK(RawFinancials!K682),"",RawFinancials!K682)</f>
        <v>12485</v>
      </c>
      <c r="L682" s="0" t="n">
        <f aca="false">IF(ISBLANK(RawFinancials!L682),"",RawFinancials!L682)</f>
        <v>448262</v>
      </c>
      <c r="M682" s="0" t="n">
        <f aca="false">IF(ISBLANK(RawFinancials!M682),"",RawFinancials!M682)</f>
        <v>444745</v>
      </c>
      <c r="N682" s="0" t="n">
        <f aca="false">IF(ISBLANK(RawFinancials!N682),"",RawFinancials!N682)</f>
        <v>411212</v>
      </c>
      <c r="O682" s="0" t="n">
        <f aca="false">IF(ISBLANK(RawFinancials!O682),"",RawFinancials!O682)</f>
        <v>0</v>
      </c>
      <c r="P682" s="0" t="str">
        <f aca="false">IF(ISBLANK(RawFinancials!P682),"",RawFinancials!P682)</f>
        <v>FIRST SEACOAST BANK</v>
      </c>
      <c r="Q682" s="0" t="n">
        <f aca="false">IF(ISBLANK(RawFinancials!Q682),"",RawFinancials!Q682)</f>
        <v>0</v>
      </c>
      <c r="R682" s="0" t="n">
        <f aca="false">IF(ISBLANK(RawFinancials!R682),"",RawFinancials!R682)</f>
        <v>2.2587388531661</v>
      </c>
      <c r="S682" s="0" t="n">
        <f aca="false">IF(ISBLANK(RawFinancials!S682),"",RawFinancials!S682)</f>
        <v>-1</v>
      </c>
      <c r="T682" s="0" t="n">
        <f aca="false">IF(ISBLANK(RawFinancials!T682),"",RawFinancials!T682)</f>
        <v>0</v>
      </c>
      <c r="U682" s="0" t="n">
        <f aca="false">IF(ISBLANK(RawFinancials!U682),"",RawFinancials!U682)</f>
        <v>0</v>
      </c>
      <c r="V682" s="0" t="n">
        <f aca="false">IF(ISBLANK(RawFinancials!V682),"",RawFinancials!V682)</f>
        <v>15.1642690433057</v>
      </c>
      <c r="W682" s="0" t="n">
        <f aca="false">IF(ISBLANK(RawFinancials!W682),"",RawFinancials!W682)</f>
        <v>20250331</v>
      </c>
      <c r="X682" s="0" t="n">
        <f aca="false">IF(ISBLANK(RawFinancials!X682),"",RawFinancials!X682)</f>
        <v>-0.408254719593245</v>
      </c>
      <c r="Y682" s="0" t="n">
        <f aca="false">IF(ISBLANK(RawFinancials!Y682),"",RawFinancials!Y682)</f>
        <v>-5.34</v>
      </c>
      <c r="Z682" s="0" t="str">
        <f aca="false">IF(ISBLANK(RawFinancials!Z682),"",RawFinancials!Z682)</f>
        <v>NH</v>
      </c>
      <c r="AA682" s="0" t="n">
        <f aca="false">RawFinancials!AA682</f>
        <v>1</v>
      </c>
      <c r="AB682" s="0" t="n">
        <f aca="false">RawFinancials!AB682</f>
        <v>0</v>
      </c>
      <c r="AC682" s="0" t="n">
        <f aca="false">RawFinancials!AC682</f>
        <v>0</v>
      </c>
      <c r="AD682" s="0" t="n">
        <f aca="false">IF(L682&gt;0,100*N682/L682,"")</f>
        <v>91.7347444128657</v>
      </c>
      <c r="AE682" s="0" t="n">
        <f aca="false">IF(B682&gt;0,100*F682/B682,"")</f>
        <v>7.54369685517614</v>
      </c>
      <c r="AF682" s="0" t="str">
        <f aca="false">RawFinancials!AE682</f>
        <v/>
      </c>
    </row>
    <row r="683" customFormat="false" ht="15" hidden="false" customHeight="false" outlineLevel="0" collapsed="false">
      <c r="A683" s="0" t="n">
        <f aca="false">IF(ISBLANK(RawFinancials!A683),"",RawFinancials!A683)</f>
        <v>683</v>
      </c>
      <c r="B683" s="0" t="n">
        <f aca="false">IF(ISBLANK(RawFinancials!B683),"",RawFinancials!B683)</f>
        <v>609028</v>
      </c>
      <c r="C683" s="0" t="n">
        <f aca="false">IF(ISBLANK(RawFinancials!C683),"",RawFinancials!C683)</f>
        <v>30350</v>
      </c>
      <c r="D683" s="0" t="n">
        <f aca="false">IF(ISBLANK(RawFinancials!D683),"",RawFinancials!D683)</f>
        <v>474831</v>
      </c>
      <c r="E683" s="0" t="n">
        <f aca="false">IF(ISBLANK(RawFinancials!E683),"",RawFinancials!E683)</f>
        <v>0.03</v>
      </c>
      <c r="F683" s="0" t="n">
        <f aca="false">IF(ISBLANK(RawFinancials!F683),"",RawFinancials!F683)</f>
        <v>62866</v>
      </c>
      <c r="G683" s="0" t="n">
        <f aca="false">IF(ISBLANK(RawFinancials!G683),"",RawFinancials!G683)</f>
        <v>10.3223497113433</v>
      </c>
      <c r="H683" s="0" t="str">
        <f aca="false">IF(ISBLANK(RawFinancials!H683),"",RawFinancials!H683)</f>
        <v>30350_20250331</v>
      </c>
      <c r="I683" s="0" t="n">
        <f aca="false">IF(ISBLANK(RawFinancials!I683),"",RawFinancials!I683)</f>
        <v>1.14220297988449</v>
      </c>
      <c r="J683" s="0" t="n">
        <f aca="false">IF(ISBLANK(RawFinancials!J683),"",RawFinancials!J683)</f>
        <v>15504</v>
      </c>
      <c r="K683" s="0" t="n">
        <f aca="false">IF(ISBLANK(RawFinancials!K683),"",RawFinancials!K683)</f>
        <v>1535</v>
      </c>
      <c r="L683" s="0" t="n">
        <f aca="false">IF(ISBLANK(RawFinancials!L683),"",RawFinancials!L683)</f>
        <v>464716</v>
      </c>
      <c r="M683" s="0" t="n">
        <f aca="false">IF(ISBLANK(RawFinancials!M683),"",RawFinancials!M683)</f>
        <v>459408</v>
      </c>
      <c r="N683" s="0" t="n">
        <f aca="false">IF(ISBLANK(RawFinancials!N683),"",RawFinancials!N683)</f>
        <v>446528</v>
      </c>
      <c r="O683" s="0" t="n">
        <f aca="false">IF(ISBLANK(RawFinancials!O683),"",RawFinancials!O683)</f>
        <v>1587</v>
      </c>
      <c r="P683" s="0" t="str">
        <f aca="false">IF(ISBLANK(RawFinancials!P683),"",RawFinancials!P683)</f>
        <v>THE BANK OF BENNINGTON</v>
      </c>
      <c r="Q683" s="0" t="n">
        <f aca="false">IF(ISBLANK(RawFinancials!Q683),"",RawFinancials!Q683)</f>
        <v>0.341498893948132</v>
      </c>
      <c r="R683" s="0" t="n">
        <f aca="false">IF(ISBLANK(RawFinancials!R683),"",RawFinancials!R683)</f>
        <v>2.7130241139161</v>
      </c>
      <c r="S683" s="0" t="n">
        <f aca="false">IF(ISBLANK(RawFinancials!S683),"",RawFinancials!S683)</f>
        <v>40</v>
      </c>
      <c r="T683" s="0" t="n">
        <f aca="false">IF(ISBLANK(RawFinancials!T683),"",RawFinancials!T683)</f>
        <v>4067</v>
      </c>
      <c r="U683" s="0" t="n">
        <f aca="false">IF(ISBLANK(RawFinancials!U683),"",RawFinancials!U683)</f>
        <v>0</v>
      </c>
      <c r="V683" s="0" t="n">
        <f aca="false">IF(ISBLANK(RawFinancials!V683),"",RawFinancials!V683)</f>
        <v>20.1862311012096</v>
      </c>
      <c r="W683" s="0" t="n">
        <f aca="false">IF(ISBLANK(RawFinancials!W683),"",RawFinancials!W683)</f>
        <v>20250331</v>
      </c>
      <c r="X683" s="0" t="n">
        <f aca="false">IF(ISBLANK(RawFinancials!X683),"",RawFinancials!X683)</f>
        <v>0.776836569182434</v>
      </c>
      <c r="Y683" s="0" t="n">
        <f aca="false">IF(ISBLANK(RawFinancials!Y683),"",RawFinancials!Y683)</f>
        <v>7.55</v>
      </c>
      <c r="Z683" s="0" t="str">
        <f aca="false">IF(ISBLANK(RawFinancials!Z683),"",RawFinancials!Z683)</f>
        <v>VT</v>
      </c>
      <c r="AA683" s="0" t="n">
        <f aca="false">RawFinancials!AA683</f>
        <v>1</v>
      </c>
      <c r="AB683" s="0" t="n">
        <f aca="false">RawFinancials!AB683</f>
        <v>1587</v>
      </c>
      <c r="AC683" s="0" t="n">
        <f aca="false">RawFinancials!AC683</f>
        <v>0.260579152354243</v>
      </c>
      <c r="AD683" s="0" t="n">
        <f aca="false">IF(L683&gt;0,100*N683/L683,"")</f>
        <v>96.0862117938698</v>
      </c>
      <c r="AE683" s="0" t="n">
        <f aca="false">IF(B683&gt;0,100*F683/B683,"")</f>
        <v>10.3223497113433</v>
      </c>
      <c r="AF683" s="0" t="str">
        <f aca="false">RawFinancials!AE683</f>
        <v/>
      </c>
    </row>
    <row r="684" customFormat="false" ht="15" hidden="false" customHeight="false" outlineLevel="0" collapsed="false">
      <c r="A684" s="0" t="n">
        <f aca="false">IF(ISBLANK(RawFinancials!A684),"",RawFinancials!A684)</f>
        <v>684</v>
      </c>
      <c r="B684" s="0" t="n">
        <f aca="false">IF(ISBLANK(RawFinancials!B684),"",RawFinancials!B684)</f>
        <v>98994</v>
      </c>
      <c r="C684" s="0" t="n">
        <f aca="false">IF(ISBLANK(RawFinancials!C684),"",RawFinancials!C684)</f>
        <v>30878</v>
      </c>
      <c r="D684" s="0" t="n">
        <f aca="false">IF(ISBLANK(RawFinancials!D684),"",RawFinancials!D684)</f>
        <v>72918</v>
      </c>
      <c r="E684" s="0" t="n">
        <f aca="false">IF(ISBLANK(RawFinancials!E684),"",RawFinancials!E684)</f>
        <v>-0.09</v>
      </c>
      <c r="F684" s="0" t="n">
        <f aca="false">IF(ISBLANK(RawFinancials!F684),"",RawFinancials!F684)</f>
        <v>11849</v>
      </c>
      <c r="G684" s="0" t="n">
        <f aca="false">IF(ISBLANK(RawFinancials!G684),"",RawFinancials!G684)</f>
        <v>11.9694122876134</v>
      </c>
      <c r="H684" s="0" t="str">
        <f aca="false">IF(ISBLANK(RawFinancials!H684),"",RawFinancials!H684)</f>
        <v>30878_20250331</v>
      </c>
      <c r="I684" s="0" t="n">
        <f aca="false">IF(ISBLANK(RawFinancials!I684),"",RawFinancials!I684)</f>
        <v>0.81486843026921</v>
      </c>
      <c r="J684" s="0" t="n">
        <f aca="false">IF(ISBLANK(RawFinancials!J684),"",RawFinancials!J684)</f>
        <v>0</v>
      </c>
      <c r="K684" s="0" t="n">
        <f aca="false">IF(ISBLANK(RawFinancials!K684),"",RawFinancials!K684)</f>
        <v>153</v>
      </c>
      <c r="L684" s="0" t="n">
        <f aca="false">IF(ISBLANK(RawFinancials!L684),"",RawFinancials!L684)</f>
        <v>85658</v>
      </c>
      <c r="M684" s="0" t="n">
        <f aca="false">IF(ISBLANK(RawFinancials!M684),"",RawFinancials!M684)</f>
        <v>84960</v>
      </c>
      <c r="N684" s="0" t="n">
        <f aca="false">IF(ISBLANK(RawFinancials!N684),"",RawFinancials!N684)</f>
        <v>85506</v>
      </c>
      <c r="O684" s="0" t="n">
        <f aca="false">IF(ISBLANK(RawFinancials!O684),"",RawFinancials!O684)</f>
        <v>1420</v>
      </c>
      <c r="P684" s="0" t="str">
        <f aca="false">IF(ISBLANK(RawFinancials!P684),"",RawFinancials!P684)</f>
        <v>BAR HARBOR SAVINGS AND LOAN ASSOCIATION</v>
      </c>
      <c r="Q684" s="0" t="n">
        <f aca="false">IF(ISBLANK(RawFinancials!Q684),"",RawFinancials!Q684)</f>
        <v>1.65775525928693</v>
      </c>
      <c r="R684" s="0" t="n">
        <f aca="false">IF(ISBLANK(RawFinancials!R684),"",RawFinancials!R684)</f>
        <v>1.43458371454712</v>
      </c>
      <c r="S684" s="0" t="n">
        <f aca="false">IF(ISBLANK(RawFinancials!S684),"",RawFinancials!S684)</f>
        <v>0</v>
      </c>
      <c r="T684" s="0" t="n">
        <f aca="false">IF(ISBLANK(RawFinancials!T684),"",RawFinancials!T684)</f>
        <v>405</v>
      </c>
      <c r="U684" s="0" t="n">
        <f aca="false">IF(ISBLANK(RawFinancials!U684),"",RawFinancials!U684)</f>
        <v>0</v>
      </c>
      <c r="V684" s="0" t="n">
        <f aca="false">IF(ISBLANK(RawFinancials!V684),"",RawFinancials!V684)</f>
        <v>0</v>
      </c>
      <c r="W684" s="0" t="n">
        <f aca="false">IF(ISBLANK(RawFinancials!W684),"",RawFinancials!W684)</f>
        <v>20250331</v>
      </c>
      <c r="X684" s="0" t="n">
        <f aca="false">IF(ISBLANK(RawFinancials!X684),"",RawFinancials!X684)</f>
        <v>-0.0684118392724199</v>
      </c>
      <c r="Y684" s="0" t="n">
        <f aca="false">IF(ISBLANK(RawFinancials!Y684),"",RawFinancials!Y684)</f>
        <v>-0.57</v>
      </c>
      <c r="Z684" s="0" t="str">
        <f aca="false">IF(ISBLANK(RawFinancials!Z684),"",RawFinancials!Z684)</f>
        <v>ME</v>
      </c>
      <c r="AA684" s="0" t="n">
        <f aca="false">RawFinancials!AA684</f>
        <v>1</v>
      </c>
      <c r="AB684" s="0" t="n">
        <f aca="false">RawFinancials!AB684</f>
        <v>1420</v>
      </c>
      <c r="AC684" s="0" t="n">
        <f aca="false">RawFinancials!AC684</f>
        <v>1.43443036951734</v>
      </c>
      <c r="AD684" s="0" t="n">
        <f aca="false">IF(L684&gt;0,100*N684/L684,"")</f>
        <v>99.8225501412594</v>
      </c>
      <c r="AE684" s="0" t="n">
        <f aca="false">IF(B684&gt;0,100*F684/B684,"")</f>
        <v>11.9694122876134</v>
      </c>
      <c r="AF684" s="0" t="str">
        <f aca="false">RawFinancials!AE684</f>
        <v>原始0：需核实适用/报告口径</v>
      </c>
    </row>
    <row r="685" customFormat="false" ht="15" hidden="false" customHeight="false" outlineLevel="0" collapsed="false">
      <c r="A685" s="0" t="n">
        <f aca="false">IF(ISBLANK(RawFinancials!A685),"",RawFinancials!A685)</f>
        <v>685</v>
      </c>
      <c r="B685" s="0" t="n">
        <f aca="false">IF(ISBLANK(RawFinancials!B685),"",RawFinancials!B685)</f>
        <v>974770</v>
      </c>
      <c r="C685" s="0" t="n">
        <f aca="false">IF(ISBLANK(RawFinancials!C685),"",RawFinancials!C685)</f>
        <v>33418</v>
      </c>
      <c r="D685" s="0" t="n">
        <f aca="false">IF(ISBLANK(RawFinancials!D685),"",RawFinancials!D685)</f>
        <v>799352</v>
      </c>
      <c r="E685" s="0" t="n">
        <f aca="false">IF(ISBLANK(RawFinancials!E685),"",RawFinancials!E685)</f>
        <v>0.2</v>
      </c>
      <c r="F685" s="0" t="n">
        <f aca="false">IF(ISBLANK(RawFinancials!F685),"",RawFinancials!F685)</f>
        <v>70425</v>
      </c>
      <c r="G685" s="0" t="n">
        <f aca="false">IF(ISBLANK(RawFinancials!G685),"",RawFinancials!G685)</f>
        <v>7.22478123044411</v>
      </c>
      <c r="H685" s="0" t="str">
        <f aca="false">IF(ISBLANK(RawFinancials!H685),"",RawFinancials!H685)</f>
        <v>33418_20250331</v>
      </c>
      <c r="I685" s="0" t="n">
        <f aca="false">IF(ISBLANK(RawFinancials!I685),"",RawFinancials!I685)</f>
        <v>0.686259368910824</v>
      </c>
      <c r="J685" s="0" t="n">
        <f aca="false">IF(ISBLANK(RawFinancials!J685),"",RawFinancials!J685)</f>
        <v>78920</v>
      </c>
      <c r="K685" s="0" t="n">
        <f aca="false">IF(ISBLANK(RawFinancials!K685),"",RawFinancials!K685)</f>
        <v>18037</v>
      </c>
      <c r="L685" s="0" t="n">
        <f aca="false">IF(ISBLANK(RawFinancials!L685),"",RawFinancials!L685)</f>
        <v>608662</v>
      </c>
      <c r="M685" s="0" t="n">
        <f aca="false">IF(ISBLANK(RawFinancials!M685),"",RawFinancials!M685)</f>
        <v>604485</v>
      </c>
      <c r="N685" s="0" t="n">
        <f aca="false">IF(ISBLANK(RawFinancials!N685),"",RawFinancials!N685)</f>
        <v>511573</v>
      </c>
      <c r="O685" s="0" t="n">
        <f aca="false">IF(ISBLANK(RawFinancials!O685),"",RawFinancials!O685)</f>
        <v>1231</v>
      </c>
      <c r="P685" s="0" t="str">
        <f aca="false">IF(ISBLANK(RawFinancials!P685),"",RawFinancials!P685)</f>
        <v>LEDYARD NATIONAL BANK</v>
      </c>
      <c r="Q685" s="0" t="n">
        <f aca="false">IF(ISBLANK(RawFinancials!Q685),"",RawFinancials!Q685)</f>
        <v>0.202246895649802</v>
      </c>
      <c r="R685" s="0" t="n">
        <f aca="false">IF(ISBLANK(RawFinancials!R685),"",RawFinancials!R685)</f>
        <v>2.57488790792594</v>
      </c>
      <c r="S685" s="0" t="n">
        <f aca="false">IF(ISBLANK(RawFinancials!S685),"",RawFinancials!S685)</f>
        <v>18</v>
      </c>
      <c r="T685" s="0" t="n">
        <f aca="false">IF(ISBLANK(RawFinancials!T685),"",RawFinancials!T685)</f>
        <v>526</v>
      </c>
      <c r="U685" s="0" t="n">
        <f aca="false">IF(ISBLANK(RawFinancials!U685),"",RawFinancials!U685)</f>
        <v>0</v>
      </c>
      <c r="V685" s="0" t="n">
        <f aca="false">IF(ISBLANK(RawFinancials!V685),"",RawFinancials!V685)</f>
        <v>12.4516242523748</v>
      </c>
      <c r="W685" s="0" t="n">
        <f aca="false">IF(ISBLANK(RawFinancials!W685),"",RawFinancials!W685)</f>
        <v>20250331</v>
      </c>
      <c r="X685" s="0" t="n">
        <f aca="false">IF(ISBLANK(RawFinancials!X685),"",RawFinancials!X685)</f>
        <v>0.599734421139911</v>
      </c>
      <c r="Y685" s="0" t="n">
        <f aca="false">IF(ISBLANK(RawFinancials!Y685),"",RawFinancials!Y685)</f>
        <v>8.24</v>
      </c>
      <c r="Z685" s="0" t="str">
        <f aca="false">IF(ISBLANK(RawFinancials!Z685),"",RawFinancials!Z685)</f>
        <v>VT</v>
      </c>
      <c r="AA685" s="0" t="n">
        <f aca="false">RawFinancials!AA685</f>
        <v>1</v>
      </c>
      <c r="AB685" s="0" t="n">
        <f aca="false">RawFinancials!AB685</f>
        <v>1231</v>
      </c>
      <c r="AC685" s="0" t="n">
        <f aca="false">RawFinancials!AC685</f>
        <v>0.126286200847379</v>
      </c>
      <c r="AD685" s="0" t="n">
        <f aca="false">IF(L685&gt;0,100*N685/L685,"")</f>
        <v>84.0487824112562</v>
      </c>
      <c r="AE685" s="0" t="n">
        <f aca="false">IF(B685&gt;0,100*F685/B685,"")</f>
        <v>7.22478123044411</v>
      </c>
      <c r="AF685" s="0" t="str">
        <f aca="false">RawFinancials!AE685</f>
        <v/>
      </c>
    </row>
    <row r="686" customFormat="false" ht="15" hidden="false" customHeight="false" outlineLevel="0" collapsed="false">
      <c r="A686" s="0" t="n">
        <f aca="false">IF(ISBLANK(RawFinancials!A686),"",RawFinancials!A686)</f>
        <v>686</v>
      </c>
      <c r="B686" s="0" t="n">
        <f aca="false">IF(ISBLANK(RawFinancials!B686),"",RawFinancials!B686)</f>
        <v>67144</v>
      </c>
      <c r="C686" s="0" t="n">
        <f aca="false">IF(ISBLANK(RawFinancials!C686),"",RawFinancials!C686)</f>
        <v>35206</v>
      </c>
      <c r="D686" s="0" t="n">
        <f aca="false">IF(ISBLANK(RawFinancials!D686),"",RawFinancials!D686)</f>
        <v>500</v>
      </c>
      <c r="E686" s="0" t="n">
        <f aca="false">IF(ISBLANK(RawFinancials!E686),"",RawFinancials!E686)</f>
        <v>0</v>
      </c>
      <c r="F686" s="0" t="n">
        <f aca="false">IF(ISBLANK(RawFinancials!F686),"",RawFinancials!F686)</f>
        <v>65181</v>
      </c>
      <c r="G686" s="0" t="n">
        <f aca="false">IF(ISBLANK(RawFinancials!G686),"",RawFinancials!G686)</f>
        <v>97.0764327415704</v>
      </c>
      <c r="H686" s="0" t="str">
        <f aca="false">IF(ISBLANK(RawFinancials!H686),"",RawFinancials!H686)</f>
        <v>35206_20250331</v>
      </c>
      <c r="I686" s="0" t="n">
        <f aca="false">IF(ISBLANK(RawFinancials!I686),"",RawFinancials!I686)</f>
        <v>0</v>
      </c>
      <c r="J686" s="0" t="n">
        <f aca="false">IF(ISBLANK(RawFinancials!J686),"",RawFinancials!J686)</f>
        <v>0</v>
      </c>
      <c r="K686" s="0" t="n">
        <f aca="false">IF(ISBLANK(RawFinancials!K686),"",RawFinancials!K686)</f>
        <v>0</v>
      </c>
      <c r="L686" s="0" t="n">
        <f aca="false">IF(ISBLANK(RawFinancials!L686),"",RawFinancials!L686)</f>
        <v>0</v>
      </c>
      <c r="M686" s="0" t="n">
        <f aca="false">IF(ISBLANK(RawFinancials!M686),"",RawFinancials!M686)</f>
        <v>0</v>
      </c>
      <c r="N686" s="0" t="n">
        <f aca="false">IF(ISBLANK(RawFinancials!N686),"",RawFinancials!N686)</f>
        <v>0</v>
      </c>
      <c r="O686" s="0" t="n">
        <f aca="false">IF(ISBLANK(RawFinancials!O686),"",RawFinancials!O686)</f>
        <v>0</v>
      </c>
      <c r="P686" s="0" t="str">
        <f aca="false">IF(ISBLANK(RawFinancials!P686),"",RawFinancials!P686)</f>
        <v>FIDELITY PERSONAL TRUST COMPANY, FSB</v>
      </c>
      <c r="Q686" s="0" t="n">
        <f aca="false">IF(ISBLANK(RawFinancials!Q686),"",RawFinancials!Q686)</f>
        <v>0</v>
      </c>
      <c r="R686" s="0" t="n">
        <f aca="false">IF(ISBLANK(RawFinancials!R686),"",RawFinancials!R686)</f>
        <v>4.23196683239003</v>
      </c>
      <c r="S686" s="0" t="n">
        <f aca="false">IF(ISBLANK(RawFinancials!S686),"",RawFinancials!S686)</f>
        <v>0</v>
      </c>
      <c r="T686" s="0" t="n">
        <f aca="false">IF(ISBLANK(RawFinancials!T686),"",RawFinancials!T686)</f>
        <v>0</v>
      </c>
      <c r="U686" s="0" t="n">
        <f aca="false">IF(ISBLANK(RawFinancials!U686),"",RawFinancials!U686)</f>
        <v>0</v>
      </c>
      <c r="V686" s="0" t="n">
        <f aca="false">IF(ISBLANK(RawFinancials!V686),"",RawFinancials!V686)</f>
        <v>0</v>
      </c>
      <c r="W686" s="0" t="n">
        <f aca="false">IF(ISBLANK(RawFinancials!W686),"",RawFinancials!W686)</f>
        <v>20250331</v>
      </c>
      <c r="X686" s="0" t="n">
        <f aca="false">IF(ISBLANK(RawFinancials!X686),"",RawFinancials!X686)</f>
        <v>28.844680133648</v>
      </c>
      <c r="Y686" s="0" t="n">
        <f aca="false">IF(ISBLANK(RawFinancials!Y686),"",RawFinancials!Y686)</f>
        <v>29.95</v>
      </c>
      <c r="Z686" s="0" t="str">
        <f aca="false">IF(ISBLANK(RawFinancials!Z686),"",RawFinancials!Z686)</f>
        <v>NH</v>
      </c>
      <c r="AA686" s="0" t="n">
        <f aca="false">RawFinancials!AA686</f>
        <v>1</v>
      </c>
      <c r="AB686" s="0" t="n">
        <f aca="false">RawFinancials!AB686</f>
        <v>0</v>
      </c>
      <c r="AC686" s="0" t="n">
        <f aca="false">RawFinancials!AC686</f>
        <v>0</v>
      </c>
      <c r="AD686" s="0" t="str">
        <f aca="false">IF(L686&gt;0,100*N686/L686,"")</f>
        <v/>
      </c>
      <c r="AE686" s="0" t="n">
        <f aca="false">IF(B686&gt;0,100*F686/B686,"")</f>
        <v>97.0764327415704</v>
      </c>
      <c r="AF686" s="0" t="str">
        <f aca="false">RawFinancials!AE686</f>
        <v>原始0：需核实适用/报告口径</v>
      </c>
    </row>
    <row r="687" customFormat="false" ht="15" hidden="false" customHeight="false" outlineLevel="0" collapsed="false">
      <c r="A687" s="0" t="n">
        <f aca="false">IF(ISBLANK(RawFinancials!A687),"",RawFinancials!A687)</f>
        <v>687</v>
      </c>
      <c r="B687" s="0" t="n">
        <f aca="false">IF(ISBLANK(RawFinancials!B687),"",RawFinancials!B687)</f>
        <v>6948167</v>
      </c>
      <c r="C687" s="0" t="n">
        <f aca="false">IF(ISBLANK(RawFinancials!C687),"",RawFinancials!C687)</f>
        <v>4255</v>
      </c>
      <c r="D687" s="0" t="n">
        <f aca="false">IF(ISBLANK(RawFinancials!D687),"",RawFinancials!D687)</f>
        <v>5632856</v>
      </c>
      <c r="E687" s="0" t="n">
        <f aca="false">IF(ISBLANK(RawFinancials!E687),"",RawFinancials!E687)</f>
        <v>0.59</v>
      </c>
      <c r="F687" s="0" t="n">
        <f aca="false">IF(ISBLANK(RawFinancials!F687),"",RawFinancials!F687)</f>
        <v>671520</v>
      </c>
      <c r="G687" s="0" t="n">
        <f aca="false">IF(ISBLANK(RawFinancials!G687),"",RawFinancials!G687)</f>
        <v>9.66470725300644</v>
      </c>
      <c r="H687" s="0" t="str">
        <f aca="false">IF(ISBLANK(RawFinancials!H687),"",RawFinancials!H687)</f>
        <v>4255_20250331</v>
      </c>
      <c r="I687" s="0" t="n">
        <f aca="false">IF(ISBLANK(RawFinancials!I687),"",RawFinancials!I687)</f>
        <v>0.954281378513096</v>
      </c>
      <c r="J687" s="0" t="n">
        <f aca="false">IF(ISBLANK(RawFinancials!J687),"",RawFinancials!J687)</f>
        <v>341292</v>
      </c>
      <c r="K687" s="0" t="n">
        <f aca="false">IF(ISBLANK(RawFinancials!K687),"",RawFinancials!K687)</f>
        <v>24145</v>
      </c>
      <c r="L687" s="0" t="n">
        <f aca="false">IF(ISBLANK(RawFinancials!L687),"",RawFinancials!L687)</f>
        <v>4896145</v>
      </c>
      <c r="M687" s="0" t="n">
        <f aca="false">IF(ISBLANK(RawFinancials!M687),"",RawFinancials!M687)</f>
        <v>4849422</v>
      </c>
      <c r="N687" s="0" t="n">
        <f aca="false">IF(ISBLANK(RawFinancials!N687),"",RawFinancials!N687)</f>
        <v>4419349</v>
      </c>
      <c r="O687" s="0" t="n">
        <f aca="false">IF(ISBLANK(RawFinancials!O687),"",RawFinancials!O687)</f>
        <v>7251</v>
      </c>
      <c r="P687" s="0" t="str">
        <f aca="false">IF(ISBLANK(RawFinancials!P687),"",RawFinancials!P687)</f>
        <v>THE CAMDEN NATIONAL BANK</v>
      </c>
      <c r="Q687" s="0" t="n">
        <f aca="false">IF(ISBLANK(RawFinancials!Q687),"",RawFinancials!Q687)</f>
        <v>0.148096104179921</v>
      </c>
      <c r="R687" s="0" t="n">
        <f aca="false">IF(ISBLANK(RawFinancials!R687),"",RawFinancials!R687)</f>
        <v>3.41551381015868</v>
      </c>
      <c r="S687" s="0" t="n">
        <f aca="false">IF(ISBLANK(RawFinancials!S687),"",RawFinancials!S687)</f>
        <v>949</v>
      </c>
      <c r="T687" s="0" t="n">
        <f aca="false">IF(ISBLANK(RawFinancials!T687),"",RawFinancials!T687)</f>
        <v>3341</v>
      </c>
      <c r="U687" s="0" t="n">
        <f aca="false">IF(ISBLANK(RawFinancials!U687),"",RawFinancials!U687)</f>
        <v>0</v>
      </c>
      <c r="V687" s="0" t="n">
        <f aca="false">IF(ISBLANK(RawFinancials!V687),"",RawFinancials!V687)</f>
        <v>12.5535092500628</v>
      </c>
      <c r="W687" s="0" t="n">
        <f aca="false">IF(ISBLANK(RawFinancials!W687),"",RawFinancials!W687)</f>
        <v>20250331</v>
      </c>
      <c r="X687" s="0" t="n">
        <f aca="false">IF(ISBLANK(RawFinancials!X687),"",RawFinancials!X687)</f>
        <v>0.525277693714401</v>
      </c>
      <c r="Y687" s="0" t="n">
        <f aca="false">IF(ISBLANK(RawFinancials!Y687),"",RawFinancials!Y687)</f>
        <v>5.53</v>
      </c>
      <c r="Z687" s="0" t="str">
        <f aca="false">IF(ISBLANK(RawFinancials!Z687),"",RawFinancials!Z687)</f>
        <v>ME</v>
      </c>
      <c r="AA687" s="0" t="n">
        <f aca="false">RawFinancials!AA687</f>
        <v>1</v>
      </c>
      <c r="AB687" s="0" t="n">
        <f aca="false">RawFinancials!AB687</f>
        <v>7251</v>
      </c>
      <c r="AC687" s="0" t="n">
        <f aca="false">RawFinancials!AC687</f>
        <v>0.104358458856847</v>
      </c>
      <c r="AD687" s="0" t="n">
        <f aca="false">IF(L687&gt;0,100*N687/L687,"")</f>
        <v>90.2618080142643</v>
      </c>
      <c r="AE687" s="0" t="n">
        <f aca="false">IF(B687&gt;0,100*F687/B687,"")</f>
        <v>9.66470725300644</v>
      </c>
      <c r="AF687" s="0" t="str">
        <f aca="false">RawFinancials!AE687</f>
        <v/>
      </c>
    </row>
    <row r="688" customFormat="false" ht="15" hidden="false" customHeight="false" outlineLevel="0" collapsed="false">
      <c r="A688" s="0" t="n">
        <f aca="false">IF(ISBLANK(RawFinancials!A688),"",RawFinancials!A688)</f>
        <v>688</v>
      </c>
      <c r="B688" s="0" t="n">
        <f aca="false">IF(ISBLANK(RawFinancials!B688),"",RawFinancials!B688)</f>
        <v>3151780</v>
      </c>
      <c r="C688" s="0" t="n">
        <f aca="false">IF(ISBLANK(RawFinancials!C688),"",RawFinancials!C688)</f>
        <v>4256</v>
      </c>
      <c r="D688" s="0" t="n">
        <f aca="false">IF(ISBLANK(RawFinancials!D688),"",RawFinancials!D688)</f>
        <v>2712084</v>
      </c>
      <c r="E688" s="0" t="n">
        <f aca="false">IF(ISBLANK(RawFinancials!E688),"",RawFinancials!E688)</f>
        <v>0.05</v>
      </c>
      <c r="F688" s="0" t="n">
        <f aca="false">IF(ISBLANK(RawFinancials!F688),"",RawFinancials!F688)</f>
        <v>230970</v>
      </c>
      <c r="G688" s="0" t="n">
        <f aca="false">IF(ISBLANK(RawFinancials!G688),"",RawFinancials!G688)</f>
        <v>7.32823991522251</v>
      </c>
      <c r="H688" s="0" t="str">
        <f aca="false">IF(ISBLANK(RawFinancials!H688),"",RawFinancials!H688)</f>
        <v>4256_20250331</v>
      </c>
      <c r="I688" s="0" t="n">
        <f aca="false">IF(ISBLANK(RawFinancials!I688),"",RawFinancials!I688)</f>
        <v>1.05381532845184</v>
      </c>
      <c r="J688" s="0" t="n">
        <f aca="false">IF(ISBLANK(RawFinancials!J688),"",RawFinancials!J688)</f>
        <v>377866</v>
      </c>
      <c r="K688" s="0" t="n">
        <f aca="false">IF(ISBLANK(RawFinancials!K688),"",RawFinancials!K688)</f>
        <v>21844</v>
      </c>
      <c r="L688" s="0" t="n">
        <f aca="false">IF(ISBLANK(RawFinancials!L688),"",RawFinancials!L688)</f>
        <v>2383150</v>
      </c>
      <c r="M688" s="0" t="n">
        <f aca="false">IF(ISBLANK(RawFinancials!M688),"",RawFinancials!M688)</f>
        <v>2358036</v>
      </c>
      <c r="N688" s="0" t="n">
        <f aca="false">IF(ISBLANK(RawFinancials!N688),"",RawFinancials!N688)</f>
        <v>1883405</v>
      </c>
      <c r="O688" s="0" t="n">
        <f aca="false">IF(ISBLANK(RawFinancials!O688),"",RawFinancials!O688)</f>
        <v>6053</v>
      </c>
      <c r="P688" s="0" t="str">
        <f aca="false">IF(ISBLANK(RawFinancials!P688),"",RawFinancials!P688)</f>
        <v>FIRST NATIONAL BANK</v>
      </c>
      <c r="Q688" s="0" t="n">
        <f aca="false">IF(ISBLANK(RawFinancials!Q688),"",RawFinancials!Q688)</f>
        <v>0.283154648259656</v>
      </c>
      <c r="R688" s="0" t="n">
        <f aca="false">IF(ISBLANK(RawFinancials!R688),"",RawFinancials!R688)</f>
        <v>2.40579582940435</v>
      </c>
      <c r="S688" s="0" t="n">
        <f aca="false">IF(ISBLANK(RawFinancials!S688),"",RawFinancials!S688)</f>
        <v>153</v>
      </c>
      <c r="T688" s="0" t="n">
        <f aca="false">IF(ISBLANK(RawFinancials!T688),"",RawFinancials!T688)</f>
        <v>2649</v>
      </c>
      <c r="U688" s="0" t="n">
        <f aca="false">IF(ISBLANK(RawFinancials!U688),"",RawFinancials!U688)</f>
        <v>695</v>
      </c>
      <c r="V688" s="0" t="n">
        <f aca="false">IF(ISBLANK(RawFinancials!V688),"",RawFinancials!V688)</f>
        <v>13.0723838563465</v>
      </c>
      <c r="W688" s="0" t="n">
        <f aca="false">IF(ISBLANK(RawFinancials!W688),"",RawFinancials!W688)</f>
        <v>20250331</v>
      </c>
      <c r="X688" s="0" t="n">
        <f aca="false">IF(ISBLANK(RawFinancials!X688),"",RawFinancials!X688)</f>
        <v>0.949049786537126</v>
      </c>
      <c r="Y688" s="0" t="n">
        <f aca="false">IF(ISBLANK(RawFinancials!Y688),"",RawFinancials!Y688)</f>
        <v>13.1</v>
      </c>
      <c r="Z688" s="0" t="str">
        <f aca="false">IF(ISBLANK(RawFinancials!Z688),"",RawFinancials!Z688)</f>
        <v>ME</v>
      </c>
      <c r="AA688" s="0" t="n">
        <f aca="false">RawFinancials!AA688</f>
        <v>1</v>
      </c>
      <c r="AB688" s="0" t="n">
        <f aca="false">RawFinancials!AB688</f>
        <v>6748</v>
      </c>
      <c r="AC688" s="0" t="n">
        <f aca="false">RawFinancials!AC688</f>
        <v>0.214101238030573</v>
      </c>
      <c r="AD688" s="0" t="n">
        <f aca="false">IF(L688&gt;0,100*N688/L688,"")</f>
        <v>79.0300652497745</v>
      </c>
      <c r="AE688" s="0" t="n">
        <f aca="false">IF(B688&gt;0,100*F688/B688,"")</f>
        <v>7.32823991522251</v>
      </c>
      <c r="AF688" s="0" t="str">
        <f aca="false">RawFinancials!AE688</f>
        <v/>
      </c>
    </row>
    <row r="689" customFormat="false" ht="15" hidden="false" customHeight="false" outlineLevel="0" collapsed="false">
      <c r="A689" s="0" t="n">
        <f aca="false">IF(ISBLANK(RawFinancials!A689),"",RawFinancials!A689)</f>
        <v>689</v>
      </c>
      <c r="B689" s="0" t="n">
        <f aca="false">IF(ISBLANK(RawFinancials!B689),"",RawFinancials!B689)</f>
        <v>699078</v>
      </c>
      <c r="C689" s="0" t="n">
        <f aca="false">IF(ISBLANK(RawFinancials!C689),"",RawFinancials!C689)</f>
        <v>59086</v>
      </c>
      <c r="D689" s="0" t="n">
        <f aca="false">IF(ISBLANK(RawFinancials!D689),"",RawFinancials!D689)</f>
        <v>590147</v>
      </c>
      <c r="E689" s="0" t="n">
        <f aca="false">IF(ISBLANK(RawFinancials!E689),"",RawFinancials!E689)</f>
        <v>0.05</v>
      </c>
      <c r="F689" s="0" t="n">
        <f aca="false">IF(ISBLANK(RawFinancials!F689),"",RawFinancials!F689)</f>
        <v>102573</v>
      </c>
      <c r="G689" s="0" t="n">
        <f aca="false">IF(ISBLANK(RawFinancials!G689),"",RawFinancials!G689)</f>
        <v>14.6726116399028</v>
      </c>
      <c r="H689" s="0" t="str">
        <f aca="false">IF(ISBLANK(RawFinancials!H689),"",RawFinancials!H689)</f>
        <v>59086_20250331</v>
      </c>
      <c r="I689" s="0" t="n">
        <f aca="false">IF(ISBLANK(RawFinancials!I689),"",RawFinancials!I689)</f>
        <v>0.972940254224674</v>
      </c>
      <c r="J689" s="0" t="n">
        <f aca="false">IF(ISBLANK(RawFinancials!J689),"",RawFinancials!J689)</f>
        <v>122650</v>
      </c>
      <c r="K689" s="0" t="n">
        <f aca="false">IF(ISBLANK(RawFinancials!K689),"",RawFinancials!K689)</f>
        <v>0</v>
      </c>
      <c r="L689" s="0" t="n">
        <f aca="false">IF(ISBLANK(RawFinancials!L689),"",RawFinancials!L689)</f>
        <v>604662</v>
      </c>
      <c r="M689" s="0" t="n">
        <f aca="false">IF(ISBLANK(RawFinancials!M689),"",RawFinancials!M689)</f>
        <v>598779</v>
      </c>
      <c r="N689" s="0" t="n">
        <f aca="false">IF(ISBLANK(RawFinancials!N689),"",RawFinancials!N689)</f>
        <v>482306</v>
      </c>
      <c r="O689" s="0" t="n">
        <f aca="false">IF(ISBLANK(RawFinancials!O689),"",RawFinancials!O689)</f>
        <v>4011</v>
      </c>
      <c r="P689" s="0" t="str">
        <f aca="false">IF(ISBLANK(RawFinancials!P689),"",RawFinancials!P689)</f>
        <v>PRIMARY BANK</v>
      </c>
      <c r="Q689" s="0" t="n">
        <f aca="false">IF(ISBLANK(RawFinancials!Q689),"",RawFinancials!Q689)</f>
        <v>0.604139171967149</v>
      </c>
      <c r="R689" s="0" t="n">
        <f aca="false">IF(ISBLANK(RawFinancials!R689),"",RawFinancials!R689)</f>
        <v>3.7878842642324</v>
      </c>
      <c r="S689" s="0" t="n">
        <f aca="false">IF(ISBLANK(RawFinancials!S689),"",RawFinancials!S689)</f>
        <v>-1</v>
      </c>
      <c r="T689" s="0" t="n">
        <f aca="false">IF(ISBLANK(RawFinancials!T689),"",RawFinancials!T689)</f>
        <v>5858</v>
      </c>
      <c r="U689" s="0" t="n">
        <f aca="false">IF(ISBLANK(RawFinancials!U689),"",RawFinancials!U689)</f>
        <v>100</v>
      </c>
      <c r="V689" s="0" t="n">
        <f aca="false">IF(ISBLANK(RawFinancials!V689),"",RawFinancials!V689)</f>
        <v>16.87937276982</v>
      </c>
      <c r="W689" s="0" t="n">
        <f aca="false">IF(ISBLANK(RawFinancials!W689),"",RawFinancials!W689)</f>
        <v>20250331</v>
      </c>
      <c r="X689" s="0" t="n">
        <f aca="false">IF(ISBLANK(RawFinancials!X689),"",RawFinancials!X689)</f>
        <v>1.37223510961545</v>
      </c>
      <c r="Y689" s="0" t="n">
        <f aca="false">IF(ISBLANK(RawFinancials!Y689),"",RawFinancials!Y689)</f>
        <v>9.54</v>
      </c>
      <c r="Z689" s="0" t="str">
        <f aca="false">IF(ISBLANK(RawFinancials!Z689),"",RawFinancials!Z689)</f>
        <v>NH</v>
      </c>
      <c r="AA689" s="0" t="n">
        <f aca="false">RawFinancials!AA689</f>
        <v>1</v>
      </c>
      <c r="AB689" s="0" t="n">
        <f aca="false">RawFinancials!AB689</f>
        <v>4111</v>
      </c>
      <c r="AC689" s="0" t="n">
        <f aca="false">RawFinancials!AC689</f>
        <v>0.588060273674754</v>
      </c>
      <c r="AD689" s="0" t="n">
        <f aca="false">IF(L689&gt;0,100*N689/L689,"")</f>
        <v>79.7645626812996</v>
      </c>
      <c r="AE689" s="0" t="n">
        <f aca="false">IF(B689&gt;0,100*F689/B689,"")</f>
        <v>14.6726116399028</v>
      </c>
      <c r="AF689" s="0" t="str">
        <f aca="false">RawFinancials!AE689</f>
        <v/>
      </c>
    </row>
    <row r="690" customFormat="false" ht="15" hidden="false" customHeight="false" outlineLevel="0" collapsed="false">
      <c r="A690" s="0" t="n">
        <f aca="false">IF(ISBLANK(RawFinancials!A690),"",RawFinancials!A690)</f>
        <v>690</v>
      </c>
      <c r="B690" s="0" t="n">
        <f aca="false">IF(ISBLANK(RawFinancials!B690),"",RawFinancials!B690)</f>
        <v>253661</v>
      </c>
      <c r="C690" s="0" t="n">
        <f aca="false">IF(ISBLANK(RawFinancials!C690),"",RawFinancials!C690)</f>
        <v>59176</v>
      </c>
      <c r="D690" s="0" t="n">
        <f aca="false">IF(ISBLANK(RawFinancials!D690),"",RawFinancials!D690)</f>
        <v>203852</v>
      </c>
      <c r="E690" s="0" t="n">
        <f aca="false">IF(ISBLANK(RawFinancials!E690),"",RawFinancials!E690)</f>
        <v>0.16</v>
      </c>
      <c r="F690" s="0" t="n">
        <f aca="false">IF(ISBLANK(RawFinancials!F690),"",RawFinancials!F690)</f>
        <v>27423</v>
      </c>
      <c r="G690" s="0" t="n">
        <f aca="false">IF(ISBLANK(RawFinancials!G690),"",RawFinancials!G690)</f>
        <v>10.8108853942861</v>
      </c>
      <c r="H690" s="0" t="str">
        <f aca="false">IF(ISBLANK(RawFinancials!H690),"",RawFinancials!H690)</f>
        <v>59176_20250331</v>
      </c>
      <c r="I690" s="0" t="n">
        <f aca="false">IF(ISBLANK(RawFinancials!I690),"",RawFinancials!I690)</f>
        <v>0.933574010954625</v>
      </c>
      <c r="J690" s="0" t="n">
        <f aca="false">IF(ISBLANK(RawFinancials!J690),"",RawFinancials!J690)</f>
        <v>25658</v>
      </c>
      <c r="K690" s="0" t="n">
        <f aca="false">IF(ISBLANK(RawFinancials!K690),"",RawFinancials!K690)</f>
        <v>0</v>
      </c>
      <c r="L690" s="0" t="n">
        <f aca="false">IF(ISBLANK(RawFinancials!L690),"",RawFinancials!L690)</f>
        <v>193343</v>
      </c>
      <c r="M690" s="0" t="n">
        <f aca="false">IF(ISBLANK(RawFinancials!M690),"",RawFinancials!M690)</f>
        <v>191538</v>
      </c>
      <c r="N690" s="0" t="n">
        <f aca="false">IF(ISBLANK(RawFinancials!N690),"",RawFinancials!N690)</f>
        <v>166487</v>
      </c>
      <c r="O690" s="0" t="n">
        <f aca="false">IF(ISBLANK(RawFinancials!O690),"",RawFinancials!O690)</f>
        <v>0</v>
      </c>
      <c r="P690" s="0" t="str">
        <f aca="false">IF(ISBLANK(RawFinancials!P690),"",RawFinancials!P690)</f>
        <v>THE MILLYARD BANK</v>
      </c>
      <c r="Q690" s="0" t="n">
        <f aca="false">IF(ISBLANK(RawFinancials!Q690),"",RawFinancials!Q690)</f>
        <v>0</v>
      </c>
      <c r="R690" s="0" t="n">
        <f aca="false">IF(ISBLANK(RawFinancials!R690),"",RawFinancials!R690)</f>
        <v>2.8022107639942</v>
      </c>
      <c r="S690" s="0" t="n">
        <f aca="false">IF(ISBLANK(RawFinancials!S690),"",RawFinancials!S690)</f>
        <v>0</v>
      </c>
      <c r="T690" s="0" t="n">
        <f aca="false">IF(ISBLANK(RawFinancials!T690),"",RawFinancials!T690)</f>
        <v>0</v>
      </c>
      <c r="U690" s="0" t="n">
        <f aca="false">IF(ISBLANK(RawFinancials!U690),"",RawFinancials!U690)</f>
        <v>0</v>
      </c>
      <c r="V690" s="0" t="n">
        <f aca="false">IF(ISBLANK(RawFinancials!V690),"",RawFinancials!V690)</f>
        <v>0</v>
      </c>
      <c r="W690" s="0" t="n">
        <f aca="false">IF(ISBLANK(RawFinancials!W690),"",RawFinancials!W690)</f>
        <v>20250331</v>
      </c>
      <c r="X690" s="0" t="n">
        <f aca="false">IF(ISBLANK(RawFinancials!X690),"",RawFinancials!X690)</f>
        <v>0.197131813571955</v>
      </c>
      <c r="Y690" s="0" t="n">
        <f aca="false">IF(ISBLANK(RawFinancials!Y690),"",RawFinancials!Y690)</f>
        <v>1.77</v>
      </c>
      <c r="Z690" s="0" t="str">
        <f aca="false">IF(ISBLANK(RawFinancials!Z690),"",RawFinancials!Z690)</f>
        <v>NH</v>
      </c>
      <c r="AA690" s="0" t="n">
        <f aca="false">RawFinancials!AA690</f>
        <v>1</v>
      </c>
      <c r="AB690" s="0" t="n">
        <f aca="false">RawFinancials!AB690</f>
        <v>0</v>
      </c>
      <c r="AC690" s="0" t="n">
        <f aca="false">RawFinancials!AC690</f>
        <v>0</v>
      </c>
      <c r="AD690" s="0" t="n">
        <f aca="false">IF(L690&gt;0,100*N690/L690,"")</f>
        <v>86.1096600342397</v>
      </c>
      <c r="AE690" s="0" t="n">
        <f aca="false">IF(B690&gt;0,100*F690/B690,"")</f>
        <v>10.8108853942861</v>
      </c>
      <c r="AF690" s="0" t="str">
        <f aca="false">RawFinancials!AE690</f>
        <v>原始0：需核实适用/报告口径</v>
      </c>
    </row>
    <row r="691" customFormat="false" ht="15" hidden="false" customHeight="false" outlineLevel="0" collapsed="false">
      <c r="A691" s="0" t="n">
        <f aca="false">IF(ISBLANK(RawFinancials!A691),"",RawFinancials!A691)</f>
        <v>691</v>
      </c>
      <c r="B691" s="0" t="n">
        <f aca="false">IF(ISBLANK(RawFinancials!B691),"",RawFinancials!B691)</f>
        <v>130262</v>
      </c>
      <c r="C691" s="0" t="n">
        <f aca="false">IF(ISBLANK(RawFinancials!C691),"",RawFinancials!C691)</f>
        <v>59289</v>
      </c>
      <c r="D691" s="0" t="n">
        <f aca="false">IF(ISBLANK(RawFinancials!D691),"",RawFinancials!D691)</f>
        <v>113554</v>
      </c>
      <c r="E691" s="0" t="n">
        <f aca="false">IF(ISBLANK(RawFinancials!E691),"",RawFinancials!E691)</f>
        <v>0.36</v>
      </c>
      <c r="F691" s="0" t="n">
        <f aca="false">IF(ISBLANK(RawFinancials!F691),"",RawFinancials!F691)</f>
        <v>15654</v>
      </c>
      <c r="G691" s="0" t="n">
        <f aca="false">IF(ISBLANK(RawFinancials!G691),"",RawFinancials!G691)</f>
        <v>12.0173189418249</v>
      </c>
      <c r="H691" s="0" t="str">
        <f aca="false">IF(ISBLANK(RawFinancials!H691),"",RawFinancials!H691)</f>
        <v>59289_20250331</v>
      </c>
      <c r="I691" s="0" t="n">
        <f aca="false">IF(ISBLANK(RawFinancials!I691),"",RawFinancials!I691)</f>
        <v>0.671058428186503</v>
      </c>
      <c r="J691" s="0" t="n">
        <f aca="false">IF(ISBLANK(RawFinancials!J691),"",RawFinancials!J691)</f>
        <v>47651</v>
      </c>
      <c r="K691" s="0" t="n">
        <f aca="false">IF(ISBLANK(RawFinancials!K691),"",RawFinancials!K691)</f>
        <v>0</v>
      </c>
      <c r="L691" s="0" t="n">
        <f aca="false">IF(ISBLANK(RawFinancials!L691),"",RawFinancials!L691)</f>
        <v>97607</v>
      </c>
      <c r="M691" s="0" t="n">
        <f aca="false">IF(ISBLANK(RawFinancials!M691),"",RawFinancials!M691)</f>
        <v>96952</v>
      </c>
      <c r="N691" s="0" t="n">
        <f aca="false">IF(ISBLANK(RawFinancials!N691),"",RawFinancials!N691)</f>
        <v>38027</v>
      </c>
      <c r="O691" s="0" t="n">
        <f aca="false">IF(ISBLANK(RawFinancials!O691),"",RawFinancials!O691)</f>
        <v>4568</v>
      </c>
      <c r="P691" s="0" t="str">
        <f aca="false">IF(ISBLANK(RawFinancials!P691),"",RawFinancials!P691)</f>
        <v>WALDEN MUTUAL BANK</v>
      </c>
      <c r="Q691" s="0" t="n">
        <f aca="false">IF(ISBLANK(RawFinancials!Q691),"",RawFinancials!Q691)</f>
        <v>4.6799922136732</v>
      </c>
      <c r="R691" s="0" t="n">
        <f aca="false">IF(ISBLANK(RawFinancials!R691),"",RawFinancials!R691)</f>
        <v>3.91613321903266</v>
      </c>
      <c r="S691" s="0" t="n">
        <f aca="false">IF(ISBLANK(RawFinancials!S691),"",RawFinancials!S691)</f>
        <v>33</v>
      </c>
      <c r="T691" s="0" t="n">
        <f aca="false">IF(ISBLANK(RawFinancials!T691),"",RawFinancials!T691)</f>
        <v>174</v>
      </c>
      <c r="U691" s="0" t="n">
        <f aca="false">IF(ISBLANK(RawFinancials!U691),"",RawFinancials!U691)</f>
        <v>0</v>
      </c>
      <c r="V691" s="0" t="n">
        <f aca="false">IF(ISBLANK(RawFinancials!V691),"",RawFinancials!V691)</f>
        <v>0</v>
      </c>
      <c r="W691" s="0" t="n">
        <f aca="false">IF(ISBLANK(RawFinancials!W691),"",RawFinancials!W691)</f>
        <v>20250331</v>
      </c>
      <c r="X691" s="0" t="n">
        <f aca="false">IF(ISBLANK(RawFinancials!X691),"",RawFinancials!X691)</f>
        <v>-0.642448863904766</v>
      </c>
      <c r="Y691" s="0" t="n">
        <f aca="false">IF(ISBLANK(RawFinancials!Y691),"",RawFinancials!Y691)</f>
        <v>-5.18</v>
      </c>
      <c r="Z691" s="0" t="str">
        <f aca="false">IF(ISBLANK(RawFinancials!Z691),"",RawFinancials!Z691)</f>
        <v>NH</v>
      </c>
      <c r="AA691" s="0" t="n">
        <f aca="false">RawFinancials!AA691</f>
        <v>1</v>
      </c>
      <c r="AB691" s="0" t="n">
        <f aca="false">RawFinancials!AB691</f>
        <v>4568</v>
      </c>
      <c r="AC691" s="0" t="n">
        <f aca="false">RawFinancials!AC691</f>
        <v>3.50677864611322</v>
      </c>
      <c r="AD691" s="0" t="n">
        <f aca="false">IF(L691&gt;0,100*N691/L691,"")</f>
        <v>38.9592959521346</v>
      </c>
      <c r="AE691" s="0" t="n">
        <f aca="false">IF(B691&gt;0,100*F691/B691,"")</f>
        <v>12.0173189418249</v>
      </c>
      <c r="AF691" s="0" t="str">
        <f aca="false">RawFinancials!AE691</f>
        <v>原始0：需核实适用/报告口径</v>
      </c>
    </row>
    <row r="692" customFormat="false" ht="15" hidden="false" customHeight="false" outlineLevel="0" collapsed="false">
      <c r="A692" s="0" t="n">
        <f aca="false">IF(ISBLANK(RawFinancials!A692),"",RawFinancials!A692)</f>
        <v>692</v>
      </c>
      <c r="B692" s="0" t="n">
        <f aca="false">IF(ISBLANK(RawFinancials!B692),"",RawFinancials!B692)</f>
        <v>273586</v>
      </c>
      <c r="C692" s="0" t="n">
        <f aca="false">IF(ISBLANK(RawFinancials!C692),"",RawFinancials!C692)</f>
        <v>59298</v>
      </c>
      <c r="D692" s="0" t="n">
        <f aca="false">IF(ISBLANK(RawFinancials!D692),"",RawFinancials!D692)</f>
        <v>247768</v>
      </c>
      <c r="E692" s="0" t="n">
        <f aca="false">IF(ISBLANK(RawFinancials!E692),"",RawFinancials!E692)</f>
        <v>0.08</v>
      </c>
      <c r="F692" s="0" t="n">
        <f aca="false">IF(ISBLANK(RawFinancials!F692),"",RawFinancials!F692)</f>
        <v>24927</v>
      </c>
      <c r="G692" s="0" t="n">
        <f aca="false">IF(ISBLANK(RawFinancials!G692),"",RawFinancials!G692)</f>
        <v>9.11121183101475</v>
      </c>
      <c r="H692" s="0" t="str">
        <f aca="false">IF(ISBLANK(RawFinancials!H692),"",RawFinancials!H692)</f>
        <v>59298_20250331</v>
      </c>
      <c r="I692" s="0" t="n">
        <f aca="false">IF(ISBLANK(RawFinancials!I692),"",RawFinancials!I692)</f>
        <v>0.817408285674432</v>
      </c>
      <c r="J692" s="0" t="n">
        <f aca="false">IF(ISBLANK(RawFinancials!J692),"",RawFinancials!J692)</f>
        <v>34338</v>
      </c>
      <c r="K692" s="0" t="n">
        <f aca="false">IF(ISBLANK(RawFinancials!K692),"",RawFinancials!K692)</f>
        <v>0</v>
      </c>
      <c r="L692" s="0" t="n">
        <f aca="false">IF(ISBLANK(RawFinancials!L692),"",RawFinancials!L692)</f>
        <v>143380</v>
      </c>
      <c r="M692" s="0" t="n">
        <f aca="false">IF(ISBLANK(RawFinancials!M692),"",RawFinancials!M692)</f>
        <v>142208</v>
      </c>
      <c r="N692" s="0" t="n">
        <f aca="false">IF(ISBLANK(RawFinancials!N692),"",RawFinancials!N692)</f>
        <v>109081</v>
      </c>
      <c r="O692" s="0" t="n">
        <f aca="false">IF(ISBLANK(RawFinancials!O692),"",RawFinancials!O692)</f>
        <v>0</v>
      </c>
      <c r="P692" s="0" t="str">
        <f aca="false">IF(ISBLANK(RawFinancials!P692),"",RawFinancials!P692)</f>
        <v>BANK OF BURLINGTON</v>
      </c>
      <c r="Q692" s="0" t="n">
        <f aca="false">IF(ISBLANK(RawFinancials!Q692),"",RawFinancials!Q692)</f>
        <v>0</v>
      </c>
      <c r="R692" s="0" t="n">
        <f aca="false">IF(ISBLANK(RawFinancials!R692),"",RawFinancials!R692)</f>
        <v>2.31554886483537</v>
      </c>
      <c r="S692" s="0" t="n">
        <f aca="false">IF(ISBLANK(RawFinancials!S692),"",RawFinancials!S692)</f>
        <v>0</v>
      </c>
      <c r="T692" s="0" t="n">
        <f aca="false">IF(ISBLANK(RawFinancials!T692),"",RawFinancials!T692)</f>
        <v>0</v>
      </c>
      <c r="U692" s="0" t="n">
        <f aca="false">IF(ISBLANK(RawFinancials!U692),"",RawFinancials!U692)</f>
        <v>0</v>
      </c>
      <c r="V692" s="0" t="n">
        <f aca="false">IF(ISBLANK(RawFinancials!V692),"",RawFinancials!V692)</f>
        <v>17.8288066289366</v>
      </c>
      <c r="W692" s="0" t="n">
        <f aca="false">IF(ISBLANK(RawFinancials!W692),"",RawFinancials!W692)</f>
        <v>20250331</v>
      </c>
      <c r="X692" s="0" t="n">
        <f aca="false">IF(ISBLANK(RawFinancials!X692),"",RawFinancials!X692)</f>
        <v>0.0209446406965589</v>
      </c>
      <c r="Y692" s="0" t="n">
        <f aca="false">IF(ISBLANK(RawFinancials!Y692),"",RawFinancials!Y692)</f>
        <v>0.23</v>
      </c>
      <c r="Z692" s="0" t="str">
        <f aca="false">IF(ISBLANK(RawFinancials!Z692),"",RawFinancials!Z692)</f>
        <v>VT</v>
      </c>
      <c r="AA692" s="0" t="n">
        <f aca="false">RawFinancials!AA692</f>
        <v>1</v>
      </c>
      <c r="AB692" s="0" t="n">
        <f aca="false">RawFinancials!AB692</f>
        <v>0</v>
      </c>
      <c r="AC692" s="0" t="n">
        <f aca="false">RawFinancials!AC692</f>
        <v>0</v>
      </c>
      <c r="AD692" s="0" t="n">
        <f aca="false">IF(L692&gt;0,100*N692/L692,"")</f>
        <v>76.0782535918538</v>
      </c>
      <c r="AE692" s="0" t="n">
        <f aca="false">IF(B692&gt;0,100*F692/B692,"")</f>
        <v>9.11121183101474</v>
      </c>
      <c r="AF692" s="0" t="str">
        <f aca="false">RawFinancials!AE692</f>
        <v/>
      </c>
    </row>
    <row r="693" customFormat="false" ht="15" hidden="false" customHeight="false" outlineLevel="0" collapsed="false">
      <c r="A693" s="0" t="n">
        <f aca="false">IF(ISBLANK(RawFinancials!A693),"",RawFinancials!A693)</f>
        <v>693</v>
      </c>
      <c r="B693" s="0" t="n">
        <f aca="false">IF(ISBLANK(RawFinancials!B693),"",RawFinancials!B693)</f>
        <v>1187395</v>
      </c>
      <c r="C693" s="0" t="n">
        <f aca="false">IF(ISBLANK(RawFinancials!C693),"",RawFinancials!C693)</f>
        <v>6271</v>
      </c>
      <c r="D693" s="0" t="n">
        <f aca="false">IF(ISBLANK(RawFinancials!D693),"",RawFinancials!D693)</f>
        <v>980794</v>
      </c>
      <c r="E693" s="0" t="n">
        <f aca="false">IF(ISBLANK(RawFinancials!E693),"",RawFinancials!E693)</f>
        <v>0.11</v>
      </c>
      <c r="F693" s="0" t="n">
        <f aca="false">IF(ISBLANK(RawFinancials!F693),"",RawFinancials!F693)</f>
        <v>115170</v>
      </c>
      <c r="G693" s="0" t="n">
        <f aca="false">IF(ISBLANK(RawFinancials!G693),"",RawFinancials!G693)</f>
        <v>9.69938394552782</v>
      </c>
      <c r="H693" s="0" t="str">
        <f aca="false">IF(ISBLANK(RawFinancials!H693),"",RawFinancials!H693)</f>
        <v>6271_20250331</v>
      </c>
      <c r="I693" s="0" t="n">
        <f aca="false">IF(ISBLANK(RawFinancials!I693),"",RawFinancials!I693)</f>
        <v>1.08067916872467</v>
      </c>
      <c r="J693" s="0" t="n">
        <f aca="false">IF(ISBLANK(RawFinancials!J693),"",RawFinancials!J693)</f>
        <v>120099</v>
      </c>
      <c r="K693" s="0" t="n">
        <f aca="false">IF(ISBLANK(RawFinancials!K693),"",RawFinancials!K693)</f>
        <v>6417</v>
      </c>
      <c r="L693" s="0" t="n">
        <f aca="false">IF(ISBLANK(RawFinancials!L693),"",RawFinancials!L693)</f>
        <v>941445</v>
      </c>
      <c r="M693" s="0" t="n">
        <f aca="false">IF(ISBLANK(RawFinancials!M693),"",RawFinancials!M693)</f>
        <v>931271</v>
      </c>
      <c r="N693" s="0" t="n">
        <f aca="false">IF(ISBLANK(RawFinancials!N693),"",RawFinancials!N693)</f>
        <v>739251</v>
      </c>
      <c r="O693" s="0" t="n">
        <f aca="false">IF(ISBLANK(RawFinancials!O693),"",RawFinancials!O693)</f>
        <v>8907</v>
      </c>
      <c r="P693" s="0" t="str">
        <f aca="false">IF(ISBLANK(RawFinancials!P693),"",RawFinancials!P693)</f>
        <v>COMMUNITY NATIONAL BANK</v>
      </c>
      <c r="Q693" s="0" t="n">
        <f aca="false">IF(ISBLANK(RawFinancials!Q693),"",RawFinancials!Q693)</f>
        <v>0.998571345113098</v>
      </c>
      <c r="R693" s="0" t="n">
        <f aca="false">IF(ISBLANK(RawFinancials!R693),"",RawFinancials!R693)</f>
        <v>3.37324130573203</v>
      </c>
      <c r="S693" s="0" t="n">
        <f aca="false">IF(ISBLANK(RawFinancials!S693),"",RawFinancials!S693)</f>
        <v>56</v>
      </c>
      <c r="T693" s="0" t="n">
        <f aca="false">IF(ISBLANK(RawFinancials!T693),"",RawFinancials!T693)</f>
        <v>2556</v>
      </c>
      <c r="U693" s="0" t="n">
        <f aca="false">IF(ISBLANK(RawFinancials!U693),"",RawFinancials!U693)</f>
        <v>494</v>
      </c>
      <c r="V693" s="0" t="n">
        <f aca="false">IF(ISBLANK(RawFinancials!V693),"",RawFinancials!V693)</f>
        <v>14.9379069100864</v>
      </c>
      <c r="W693" s="0" t="n">
        <f aca="false">IF(ISBLANK(RawFinancials!W693),"",RawFinancials!W693)</f>
        <v>20250331</v>
      </c>
      <c r="X693" s="0" t="n">
        <f aca="false">IF(ISBLANK(RawFinancials!X693),"",RawFinancials!X693)</f>
        <v>1.25143290710164</v>
      </c>
      <c r="Y693" s="0" t="n">
        <f aca="false">IF(ISBLANK(RawFinancials!Y693),"",RawFinancials!Y693)</f>
        <v>13.53</v>
      </c>
      <c r="Z693" s="0" t="str">
        <f aca="false">IF(ISBLANK(RawFinancials!Z693),"",RawFinancials!Z693)</f>
        <v>VT</v>
      </c>
      <c r="AA693" s="0" t="n">
        <f aca="false">RawFinancials!AA693</f>
        <v>1</v>
      </c>
      <c r="AB693" s="0" t="n">
        <f aca="false">RawFinancials!AB693</f>
        <v>9401</v>
      </c>
      <c r="AC693" s="0" t="n">
        <f aca="false">RawFinancials!AC693</f>
        <v>0.791733163774481</v>
      </c>
      <c r="AD693" s="0" t="n">
        <f aca="false">IF(L693&gt;0,100*N693/L693,"")</f>
        <v>78.5230151522394</v>
      </c>
      <c r="AE693" s="0" t="n">
        <f aca="false">IF(B693&gt;0,100*F693/B693,"")</f>
        <v>9.69938394552782</v>
      </c>
      <c r="AF693" s="0" t="str">
        <f aca="false">RawFinancials!AE693</f>
        <v/>
      </c>
    </row>
    <row r="694" customFormat="false" ht="15" hidden="false" customHeight="false" outlineLevel="0" collapsed="false">
      <c r="A694" s="0" t="n">
        <f aca="false">IF(ISBLANK(RawFinancials!A694),"",RawFinancials!A694)</f>
        <v>694</v>
      </c>
      <c r="B694" s="0" t="n">
        <f aca="false">IF(ISBLANK(RawFinancials!B694),"",RawFinancials!B694)</f>
        <v>547001</v>
      </c>
      <c r="C694" s="0" t="n">
        <f aca="false">IF(ISBLANK(RawFinancials!C694),"",RawFinancials!C694)</f>
        <v>6275</v>
      </c>
      <c r="D694" s="0" t="n">
        <f aca="false">IF(ISBLANK(RawFinancials!D694),"",RawFinancials!D694)</f>
        <v>502984</v>
      </c>
      <c r="E694" s="0" t="n">
        <f aca="false">IF(ISBLANK(RawFinancials!E694),"",RawFinancials!E694)</f>
        <v>0</v>
      </c>
      <c r="F694" s="0" t="n">
        <f aca="false">IF(ISBLANK(RawFinancials!F694),"",RawFinancials!F694)</f>
        <v>36237</v>
      </c>
      <c r="G694" s="0" t="n">
        <f aca="false">IF(ISBLANK(RawFinancials!G694),"",RawFinancials!G694)</f>
        <v>6.62466796221579</v>
      </c>
      <c r="H694" s="0" t="str">
        <f aca="false">IF(ISBLANK(RawFinancials!H694),"",RawFinancials!H694)</f>
        <v>6275_20250331</v>
      </c>
      <c r="I694" s="0" t="n">
        <f aca="false">IF(ISBLANK(RawFinancials!I694),"",RawFinancials!I694)</f>
        <v>0.384334083836457</v>
      </c>
      <c r="J694" s="0" t="n">
        <f aca="false">IF(ISBLANK(RawFinancials!J694),"",RawFinancials!J694)</f>
        <v>33302</v>
      </c>
      <c r="K694" s="0" t="n">
        <f aca="false">IF(ISBLANK(RawFinancials!K694),"",RawFinancials!K694)</f>
        <v>7846</v>
      </c>
      <c r="L694" s="0" t="n">
        <f aca="false">IF(ISBLANK(RawFinancials!L694),"",RawFinancials!L694)</f>
        <v>348655</v>
      </c>
      <c r="M694" s="0" t="n">
        <f aca="false">IF(ISBLANK(RawFinancials!M694),"",RawFinancials!M694)</f>
        <v>347315</v>
      </c>
      <c r="N694" s="0" t="n">
        <f aca="false">IF(ISBLANK(RawFinancials!N694),"",RawFinancials!N694)</f>
        <v>298585</v>
      </c>
      <c r="O694" s="0" t="n">
        <f aca="false">IF(ISBLANK(RawFinancials!O694),"",RawFinancials!O694)</f>
        <v>660</v>
      </c>
      <c r="P694" s="0" t="str">
        <f aca="false">IF(ISBLANK(RawFinancials!P694),"",RawFinancials!P694)</f>
        <v>THE NATIONAL BANK OF MIDDLEBURY</v>
      </c>
      <c r="Q694" s="0" t="n">
        <f aca="false">IF(ISBLANK(RawFinancials!Q694),"",RawFinancials!Q694)</f>
        <v>0.286242847514018</v>
      </c>
      <c r="R694" s="0" t="n">
        <f aca="false">IF(ISBLANK(RawFinancials!R694),"",RawFinancials!R694)</f>
        <v>3.20221630836216</v>
      </c>
      <c r="S694" s="0" t="n">
        <f aca="false">IF(ISBLANK(RawFinancials!S694),"",RawFinancials!S694)</f>
        <v>8</v>
      </c>
      <c r="T694" s="0" t="n">
        <f aca="false">IF(ISBLANK(RawFinancials!T694),"",RawFinancials!T694)</f>
        <v>744</v>
      </c>
      <c r="U694" s="0" t="n">
        <f aca="false">IF(ISBLANK(RawFinancials!U694),"",RawFinancials!U694)</f>
        <v>338</v>
      </c>
      <c r="V694" s="0" t="n">
        <f aca="false">IF(ISBLANK(RawFinancials!V694),"",RawFinancials!V694)</f>
        <v>15.7328932381291</v>
      </c>
      <c r="W694" s="0" t="n">
        <f aca="false">IF(ISBLANK(RawFinancials!W694),"",RawFinancials!W694)</f>
        <v>20250331</v>
      </c>
      <c r="X694" s="0" t="n">
        <f aca="false">IF(ISBLANK(RawFinancials!X694),"",RawFinancials!X694)</f>
        <v>0.743149433686518</v>
      </c>
      <c r="Y694" s="0" t="n">
        <f aca="false">IF(ISBLANK(RawFinancials!Y694),"",RawFinancials!Y694)</f>
        <v>11.66</v>
      </c>
      <c r="Z694" s="0" t="str">
        <f aca="false">IF(ISBLANK(RawFinancials!Z694),"",RawFinancials!Z694)</f>
        <v>VT</v>
      </c>
      <c r="AA694" s="0" t="n">
        <f aca="false">RawFinancials!AA694</f>
        <v>1</v>
      </c>
      <c r="AB694" s="0" t="n">
        <f aca="false">RawFinancials!AB694</f>
        <v>998</v>
      </c>
      <c r="AC694" s="0" t="n">
        <f aca="false">RawFinancials!AC694</f>
        <v>0.182449392231458</v>
      </c>
      <c r="AD694" s="0" t="n">
        <f aca="false">IF(L694&gt;0,100*N694/L694,"")</f>
        <v>85.6390988226184</v>
      </c>
      <c r="AE694" s="0" t="n">
        <f aca="false">IF(B694&gt;0,100*F694/B694,"")</f>
        <v>6.62466796221579</v>
      </c>
      <c r="AF694" s="0" t="str">
        <f aca="false">RawFinancials!AE694</f>
        <v/>
      </c>
    </row>
    <row r="695" customFormat="false" ht="15" hidden="false" customHeight="false" outlineLevel="0" collapsed="false">
      <c r="A695" s="0" t="n">
        <f aca="false">IF(ISBLANK(RawFinancials!A695),"",RawFinancials!A695)</f>
        <v>695</v>
      </c>
      <c r="B695" s="0" t="n">
        <f aca="false">IF(ISBLANK(RawFinancials!B695),"",RawFinancials!B695)</f>
        <v>88000</v>
      </c>
      <c r="C695" s="0" t="n">
        <f aca="false">IF(ISBLANK(RawFinancials!C695),"",RawFinancials!C695)</f>
        <v>6280</v>
      </c>
      <c r="D695" s="0" t="n">
        <f aca="false">IF(ISBLANK(RawFinancials!D695),"",RawFinancials!D695)</f>
        <v>77788</v>
      </c>
      <c r="E695" s="0" t="n">
        <f aca="false">IF(ISBLANK(RawFinancials!E695),"",RawFinancials!E695)</f>
        <v>0.06</v>
      </c>
      <c r="F695" s="0" t="n">
        <f aca="false">IF(ISBLANK(RawFinancials!F695),"",RawFinancials!F695)</f>
        <v>10007</v>
      </c>
      <c r="G695" s="0" t="n">
        <f aca="false">IF(ISBLANK(RawFinancials!G695),"",RawFinancials!G695)</f>
        <v>11.3715909090909</v>
      </c>
      <c r="H695" s="0" t="str">
        <f aca="false">IF(ISBLANK(RawFinancials!H695),"",RawFinancials!H695)</f>
        <v>6280_20250331</v>
      </c>
      <c r="I695" s="0" t="n">
        <f aca="false">IF(ISBLANK(RawFinancials!I695),"",RawFinancials!I695)</f>
        <v>1.29125820980854</v>
      </c>
      <c r="J695" s="0" t="n">
        <f aca="false">IF(ISBLANK(RawFinancials!J695),"",RawFinancials!J695)</f>
        <v>3679</v>
      </c>
      <c r="K695" s="0" t="n">
        <f aca="false">IF(ISBLANK(RawFinancials!K695),"",RawFinancials!K695)</f>
        <v>1399</v>
      </c>
      <c r="L695" s="0" t="n">
        <f aca="false">IF(ISBLANK(RawFinancials!L695),"",RawFinancials!L695)</f>
        <v>71713</v>
      </c>
      <c r="M695" s="0" t="n">
        <f aca="false">IF(ISBLANK(RawFinancials!M695),"",RawFinancials!M695)</f>
        <v>70787</v>
      </c>
      <c r="N695" s="0" t="n">
        <f aca="false">IF(ISBLANK(RawFinancials!N695),"",RawFinancials!N695)</f>
        <v>64224</v>
      </c>
      <c r="O695" s="0" t="n">
        <f aca="false">IF(ISBLANK(RawFinancials!O695),"",RawFinancials!O695)</f>
        <v>1420</v>
      </c>
      <c r="P695" s="0" t="str">
        <f aca="false">IF(ISBLANK(RawFinancials!P695),"",RawFinancials!P695)</f>
        <v>THE FIRST NATIONAL BANK OF ORWELL</v>
      </c>
      <c r="Q695" s="0" t="n">
        <f aca="false">IF(ISBLANK(RawFinancials!Q695),"",RawFinancials!Q695)</f>
        <v>1.98011518134787</v>
      </c>
      <c r="R695" s="0" t="n">
        <f aca="false">IF(ISBLANK(RawFinancials!R695),"",RawFinancials!R695)</f>
        <v>4.42972145901846</v>
      </c>
      <c r="S695" s="0" t="n">
        <f aca="false">IF(ISBLANK(RawFinancials!S695),"",RawFinancials!S695)</f>
        <v>-1</v>
      </c>
      <c r="T695" s="0" t="n">
        <f aca="false">IF(ISBLANK(RawFinancials!T695),"",RawFinancials!T695)</f>
        <v>493</v>
      </c>
      <c r="U695" s="0" t="n">
        <f aca="false">IF(ISBLANK(RawFinancials!U695),"",RawFinancials!U695)</f>
        <v>0</v>
      </c>
      <c r="V695" s="0" t="n">
        <f aca="false">IF(ISBLANK(RawFinancials!V695),"",RawFinancials!V695)</f>
        <v>0</v>
      </c>
      <c r="W695" s="0" t="n">
        <f aca="false">IF(ISBLANK(RawFinancials!W695),"",RawFinancials!W695)</f>
        <v>20250331</v>
      </c>
      <c r="X695" s="0" t="n">
        <f aca="false">IF(ISBLANK(RawFinancials!X695),"",RawFinancials!X695)</f>
        <v>1.28878743546101</v>
      </c>
      <c r="Y695" s="0" t="n">
        <f aca="false">IF(ISBLANK(RawFinancials!Y695),"",RawFinancials!Y695)</f>
        <v>11.47</v>
      </c>
      <c r="Z695" s="0" t="str">
        <f aca="false">IF(ISBLANK(RawFinancials!Z695),"",RawFinancials!Z695)</f>
        <v>VT</v>
      </c>
      <c r="AA695" s="0" t="n">
        <f aca="false">RawFinancials!AA695</f>
        <v>1</v>
      </c>
      <c r="AB695" s="0" t="n">
        <f aca="false">RawFinancials!AB695</f>
        <v>1420</v>
      </c>
      <c r="AC695" s="0" t="n">
        <f aca="false">RawFinancials!AC695</f>
        <v>1.61363636363636</v>
      </c>
      <c r="AD695" s="0" t="n">
        <f aca="false">IF(L695&gt;0,100*N695/L695,"")</f>
        <v>89.5569840893562</v>
      </c>
      <c r="AE695" s="0" t="n">
        <f aca="false">IF(B695&gt;0,100*F695/B695,"")</f>
        <v>11.3715909090909</v>
      </c>
      <c r="AF695" s="0" t="str">
        <f aca="false">RawFinancials!AE695</f>
        <v>原始0：需核实适用/报告口径</v>
      </c>
    </row>
    <row r="696" customFormat="false" ht="15" hidden="false" customHeight="false" outlineLevel="0" collapsed="false">
      <c r="A696" s="0" t="n">
        <f aca="false">IF(ISBLANK(RawFinancials!A696),"",RawFinancials!A696)</f>
        <v>696</v>
      </c>
      <c r="B696" s="0" t="n">
        <f aca="false">IF(ISBLANK(RawFinancials!B696),"",RawFinancials!B696)</f>
        <v>4106441</v>
      </c>
      <c r="C696" s="0" t="n">
        <f aca="false">IF(ISBLANK(RawFinancials!C696),"",RawFinancials!C696)</f>
        <v>11971</v>
      </c>
      <c r="D696" s="0" t="n">
        <f aca="false">IF(ISBLANK(RawFinancials!D696),"",RawFinancials!D696)</f>
        <v>3299177</v>
      </c>
      <c r="E696" s="0" t="n">
        <f aca="false">IF(ISBLANK(RawFinancials!E696),"",RawFinancials!E696)</f>
        <v>0.06</v>
      </c>
      <c r="F696" s="0" t="n">
        <f aca="false">IF(ISBLANK(RawFinancials!F696),"",RawFinancials!F696)</f>
        <v>503270</v>
      </c>
      <c r="G696" s="0" t="n">
        <f aca="false">IF(ISBLANK(RawFinancials!G696),"",RawFinancials!G696)</f>
        <v>12.2556247611983</v>
      </c>
      <c r="H696" s="0" t="str">
        <f aca="false">IF(ISBLANK(RawFinancials!H696),"",RawFinancials!H696)</f>
        <v>11971_20250630</v>
      </c>
      <c r="I696" s="0" t="n">
        <f aca="false">IF(ISBLANK(RawFinancials!I696),"",RawFinancials!I696)</f>
        <v>0.915388155000868</v>
      </c>
      <c r="J696" s="0" t="n">
        <f aca="false">IF(ISBLANK(RawFinancials!J696),"",RawFinancials!J696)</f>
        <v>220343</v>
      </c>
      <c r="K696" s="0" t="n">
        <f aca="false">IF(ISBLANK(RawFinancials!K696),"",RawFinancials!K696)</f>
        <v>8096</v>
      </c>
      <c r="L696" s="0" t="n">
        <f aca="false">IF(ISBLANK(RawFinancials!L696),"",RawFinancials!L696)</f>
        <v>3155492</v>
      </c>
      <c r="M696" s="0" t="n">
        <f aca="false">IF(ISBLANK(RawFinancials!M696),"",RawFinancials!M696)</f>
        <v>3126607</v>
      </c>
      <c r="N696" s="0" t="n">
        <f aca="false">IF(ISBLANK(RawFinancials!N696),"",RawFinancials!N696)</f>
        <v>2795776</v>
      </c>
      <c r="O696" s="0" t="n">
        <f aca="false">IF(ISBLANK(RawFinancials!O696),"",RawFinancials!O696)</f>
        <v>9732</v>
      </c>
      <c r="P696" s="0" t="str">
        <f aca="false">IF(ISBLANK(RawFinancials!P696),"",RawFinancials!P696)</f>
        <v>BAR HARBOR BANK &amp; TRUST</v>
      </c>
      <c r="Q696" s="0" t="n">
        <f aca="false">IF(ISBLANK(RawFinancials!Q696),"",RawFinancials!Q696)</f>
        <v>0.322010006680416</v>
      </c>
      <c r="R696" s="0" t="n">
        <f aca="false">IF(ISBLANK(RawFinancials!R696),"",RawFinancials!R696)</f>
        <v>3.28061409824441</v>
      </c>
      <c r="S696" s="0" t="n">
        <f aca="false">IF(ISBLANK(RawFinancials!S696),"",RawFinancials!S696)</f>
        <v>330</v>
      </c>
      <c r="T696" s="0" t="n">
        <f aca="false">IF(ISBLANK(RawFinancials!T696),"",RawFinancials!T696)</f>
        <v>2331</v>
      </c>
      <c r="U696" s="0" t="n">
        <f aca="false">IF(ISBLANK(RawFinancials!U696),"",RawFinancials!U696)</f>
        <v>429</v>
      </c>
      <c r="V696" s="0" t="n">
        <f aca="false">IF(ISBLANK(RawFinancials!V696),"",RawFinancials!V696)</f>
        <v>13.7235807513042</v>
      </c>
      <c r="W696" s="0" t="n">
        <f aca="false">IF(ISBLANK(RawFinancials!W696),"",RawFinancials!W696)</f>
        <v>20250630</v>
      </c>
      <c r="X696" s="0" t="n">
        <f aca="false">IF(ISBLANK(RawFinancials!X696),"",RawFinancials!X696)</f>
        <v>0.959403059876807</v>
      </c>
      <c r="Y696" s="0" t="n">
        <f aca="false">IF(ISBLANK(RawFinancials!Y696),"",RawFinancials!Y696)</f>
        <v>7.85</v>
      </c>
      <c r="Z696" s="0" t="str">
        <f aca="false">IF(ISBLANK(RawFinancials!Z696),"",RawFinancials!Z696)</f>
        <v>ME</v>
      </c>
      <c r="AA696" s="0" t="n">
        <f aca="false">RawFinancials!AA696</f>
        <v>1</v>
      </c>
      <c r="AB696" s="0" t="n">
        <f aca="false">RawFinancials!AB696</f>
        <v>10161</v>
      </c>
      <c r="AC696" s="0" t="n">
        <f aca="false">RawFinancials!AC696</f>
        <v>0.24744054523126</v>
      </c>
      <c r="AD696" s="0" t="n">
        <f aca="false">IF(L696&gt;0,100*N696/L696,"")</f>
        <v>88.6003196965798</v>
      </c>
      <c r="AE696" s="0" t="n">
        <f aca="false">IF(B696&gt;0,100*F696/B696,"")</f>
        <v>12.2556247611983</v>
      </c>
      <c r="AF696" s="0" t="str">
        <f aca="false">RawFinancials!AE696</f>
        <v/>
      </c>
    </row>
    <row r="697" customFormat="false" ht="15" hidden="false" customHeight="false" outlineLevel="0" collapsed="false">
      <c r="A697" s="0" t="n">
        <f aca="false">IF(ISBLANK(RawFinancials!A697),"",RawFinancials!A697)</f>
        <v>697</v>
      </c>
      <c r="B697" s="0" t="n">
        <f aca="false">IF(ISBLANK(RawFinancials!B697),"",RawFinancials!B697)</f>
        <v>1085692</v>
      </c>
      <c r="C697" s="0" t="n">
        <f aca="false">IF(ISBLANK(RawFinancials!C697),"",RawFinancials!C697)</f>
        <v>12874</v>
      </c>
      <c r="D697" s="0" t="n">
        <f aca="false">IF(ISBLANK(RawFinancials!D697),"",RawFinancials!D697)</f>
        <v>934861</v>
      </c>
      <c r="E697" s="0" t="n">
        <f aca="false">IF(ISBLANK(RawFinancials!E697),"",RawFinancials!E697)</f>
        <v>-0.03</v>
      </c>
      <c r="F697" s="0" t="n">
        <f aca="false">IF(ISBLANK(RawFinancials!F697),"",RawFinancials!F697)</f>
        <v>100553</v>
      </c>
      <c r="G697" s="0" t="n">
        <f aca="false">IF(ISBLANK(RawFinancials!G697),"",RawFinancials!G697)</f>
        <v>9.26165063388143</v>
      </c>
      <c r="H697" s="0" t="str">
        <f aca="false">IF(ISBLANK(RawFinancials!H697),"",RawFinancials!H697)</f>
        <v>12874_20250630</v>
      </c>
      <c r="I697" s="0" t="n">
        <f aca="false">IF(ISBLANK(RawFinancials!I697),"",RawFinancials!I697)</f>
        <v>0.981049807144055</v>
      </c>
      <c r="J697" s="0" t="n">
        <f aca="false">IF(ISBLANK(RawFinancials!J697),"",RawFinancials!J697)</f>
        <v>156764</v>
      </c>
      <c r="K697" s="0" t="n">
        <f aca="false">IF(ISBLANK(RawFinancials!K697),"",RawFinancials!K697)</f>
        <v>4179</v>
      </c>
      <c r="L697" s="0" t="n">
        <f aca="false">IF(ISBLANK(RawFinancials!L697),"",RawFinancials!L697)</f>
        <v>846746</v>
      </c>
      <c r="M697" s="0" t="n">
        <f aca="false">IF(ISBLANK(RawFinancials!M697),"",RawFinancials!M697)</f>
        <v>838439</v>
      </c>
      <c r="N697" s="0" t="n">
        <f aca="false">IF(ISBLANK(RawFinancials!N697),"",RawFinancials!N697)</f>
        <v>669261</v>
      </c>
      <c r="O697" s="0" t="n">
        <f aca="false">IF(ISBLANK(RawFinancials!O697),"",RawFinancials!O697)</f>
        <v>1392</v>
      </c>
      <c r="P697" s="0" t="str">
        <f aca="false">IF(ISBLANK(RawFinancials!P697),"",RawFinancials!P697)</f>
        <v>KATAHDIN TRUST COMPANY</v>
      </c>
      <c r="Q697" s="0" t="n">
        <f aca="false">IF(ISBLANK(RawFinancials!Q697),"",RawFinancials!Q697)</f>
        <v>0.16439404496744</v>
      </c>
      <c r="R697" s="0" t="n">
        <f aca="false">IF(ISBLANK(RawFinancials!R697),"",RawFinancials!R697)</f>
        <v>3.8021088052053</v>
      </c>
      <c r="S697" s="0" t="n">
        <f aca="false">IF(ISBLANK(RawFinancials!S697),"",RawFinancials!S697)</f>
        <v>18</v>
      </c>
      <c r="T697" s="0" t="n">
        <f aca="false">IF(ISBLANK(RawFinancials!T697),"",RawFinancials!T697)</f>
        <v>2891</v>
      </c>
      <c r="U697" s="0" t="n">
        <f aca="false">IF(ISBLANK(RawFinancials!U697),"",RawFinancials!U697)</f>
        <v>0</v>
      </c>
      <c r="V697" s="0" t="n">
        <f aca="false">IF(ISBLANK(RawFinancials!V697),"",RawFinancials!V697)</f>
        <v>14.3096445878642</v>
      </c>
      <c r="W697" s="0" t="n">
        <f aca="false">IF(ISBLANK(RawFinancials!W697),"",RawFinancials!W697)</f>
        <v>20250630</v>
      </c>
      <c r="X697" s="0" t="n">
        <f aca="false">IF(ISBLANK(RawFinancials!X697),"",RawFinancials!X697)</f>
        <v>0.938648973217796</v>
      </c>
      <c r="Y697" s="0" t="n">
        <f aca="false">IF(ISBLANK(RawFinancials!Y697),"",RawFinancials!Y697)</f>
        <v>10.27</v>
      </c>
      <c r="Z697" s="0" t="str">
        <f aca="false">IF(ISBLANK(RawFinancials!Z697),"",RawFinancials!Z697)</f>
        <v>ME</v>
      </c>
      <c r="AA697" s="0" t="n">
        <f aca="false">RawFinancials!AA697</f>
        <v>1</v>
      </c>
      <c r="AB697" s="0" t="n">
        <f aca="false">RawFinancials!AB697</f>
        <v>1392</v>
      </c>
      <c r="AC697" s="0" t="n">
        <f aca="false">RawFinancials!AC697</f>
        <v>0.12821315805956</v>
      </c>
      <c r="AD697" s="0" t="n">
        <f aca="false">IF(L697&gt;0,100*N697/L697,"")</f>
        <v>79.0391687708002</v>
      </c>
      <c r="AE697" s="0" t="n">
        <f aca="false">IF(B697&gt;0,100*F697/B697,"")</f>
        <v>9.26165063388143</v>
      </c>
      <c r="AF697" s="0" t="str">
        <f aca="false">RawFinancials!AE697</f>
        <v/>
      </c>
    </row>
    <row r="698" customFormat="false" ht="15" hidden="false" customHeight="false" outlineLevel="0" collapsed="false">
      <c r="A698" s="0" t="n">
        <f aca="false">IF(ISBLANK(RawFinancials!A698),"",RawFinancials!A698)</f>
        <v>698</v>
      </c>
      <c r="B698" s="0" t="n">
        <f aca="false">IF(ISBLANK(RawFinancials!B698),"",RawFinancials!B698)</f>
        <v>1933479</v>
      </c>
      <c r="C698" s="0" t="n">
        <f aca="false">IF(ISBLANK(RawFinancials!C698),"",RawFinancials!C698)</f>
        <v>13063</v>
      </c>
      <c r="D698" s="0" t="n">
        <f aca="false">IF(ISBLANK(RawFinancials!D698),"",RawFinancials!D698)</f>
        <v>1642187</v>
      </c>
      <c r="E698" s="0" t="n">
        <f aca="false">IF(ISBLANK(RawFinancials!E698),"",RawFinancials!E698)</f>
        <v>0.04</v>
      </c>
      <c r="F698" s="0" t="n">
        <f aca="false">IF(ISBLANK(RawFinancials!F698),"",RawFinancials!F698)</f>
        <v>165281</v>
      </c>
      <c r="G698" s="0" t="n">
        <f aca="false">IF(ISBLANK(RawFinancials!G698),"",RawFinancials!G698)</f>
        <v>8.548373165677</v>
      </c>
      <c r="H698" s="0" t="str">
        <f aca="false">IF(ISBLANK(RawFinancials!H698),"",RawFinancials!H698)</f>
        <v>13063_20250630</v>
      </c>
      <c r="I698" s="0" t="n">
        <f aca="false">IF(ISBLANK(RawFinancials!I698),"",RawFinancials!I698)</f>
        <v>1.08356869656229</v>
      </c>
      <c r="J698" s="0" t="n">
        <f aca="false">IF(ISBLANK(RawFinancials!J698),"",RawFinancials!J698)</f>
        <v>74647</v>
      </c>
      <c r="K698" s="0" t="n">
        <f aca="false">IF(ISBLANK(RawFinancials!K698),"",RawFinancials!K698)</f>
        <v>870</v>
      </c>
      <c r="L698" s="0" t="n">
        <f aca="false">IF(ISBLANK(RawFinancials!L698),"",RawFinancials!L698)</f>
        <v>1559292</v>
      </c>
      <c r="M698" s="0" t="n">
        <f aca="false">IF(ISBLANK(RawFinancials!M698),"",RawFinancials!M698)</f>
        <v>1542396</v>
      </c>
      <c r="N698" s="0" t="n">
        <f aca="false">IF(ISBLANK(RawFinancials!N698),"",RawFinancials!N698)</f>
        <v>1474935</v>
      </c>
      <c r="O698" s="0" t="n">
        <f aca="false">IF(ISBLANK(RawFinancials!O698),"",RawFinancials!O698)</f>
        <v>2263</v>
      </c>
      <c r="P698" s="0" t="str">
        <f aca="false">IF(ISBLANK(RawFinancials!P698),"",RawFinancials!P698)</f>
        <v>KENNEBUNK SAVINGS BANK</v>
      </c>
      <c r="Q698" s="0" t="n">
        <f aca="false">IF(ISBLANK(RawFinancials!Q698),"",RawFinancials!Q698)</f>
        <v>0.156866064855075</v>
      </c>
      <c r="R698" s="0" t="n">
        <f aca="false">IF(ISBLANK(RawFinancials!R698),"",RawFinancials!R698)</f>
        <v>3.40567672960564</v>
      </c>
      <c r="S698" s="0" t="n">
        <f aca="false">IF(ISBLANK(RawFinancials!S698),"",RawFinancials!S698)</f>
        <v>45</v>
      </c>
      <c r="T698" s="0" t="n">
        <f aca="false">IF(ISBLANK(RawFinancials!T698),"",RawFinancials!T698)</f>
        <v>10952</v>
      </c>
      <c r="U698" s="0" t="n">
        <f aca="false">IF(ISBLANK(RawFinancials!U698),"",RawFinancials!U698)</f>
        <v>183</v>
      </c>
      <c r="V698" s="0" t="n">
        <f aca="false">IF(ISBLANK(RawFinancials!V698),"",RawFinancials!V698)</f>
        <v>0</v>
      </c>
      <c r="W698" s="0" t="n">
        <f aca="false">IF(ISBLANK(RawFinancials!W698),"",RawFinancials!W698)</f>
        <v>20250630</v>
      </c>
      <c r="X698" s="0" t="n">
        <f aca="false">IF(ISBLANK(RawFinancials!X698),"",RawFinancials!X698)</f>
        <v>0.621034232657182</v>
      </c>
      <c r="Y698" s="0" t="n">
        <f aca="false">IF(ISBLANK(RawFinancials!Y698),"",RawFinancials!Y698)</f>
        <v>7.39</v>
      </c>
      <c r="Z698" s="0" t="str">
        <f aca="false">IF(ISBLANK(RawFinancials!Z698),"",RawFinancials!Z698)</f>
        <v>ME</v>
      </c>
      <c r="AA698" s="0" t="n">
        <f aca="false">RawFinancials!AA698</f>
        <v>1</v>
      </c>
      <c r="AB698" s="0" t="n">
        <f aca="false">RawFinancials!AB698</f>
        <v>2446</v>
      </c>
      <c r="AC698" s="0" t="n">
        <f aca="false">RawFinancials!AC698</f>
        <v>0.126507709677736</v>
      </c>
      <c r="AD698" s="0" t="n">
        <f aca="false">IF(L698&gt;0,100*N698/L698,"")</f>
        <v>94.5900447126003</v>
      </c>
      <c r="AE698" s="0" t="n">
        <f aca="false">IF(B698&gt;0,100*F698/B698,"")</f>
        <v>8.548373165677</v>
      </c>
      <c r="AF698" s="0" t="str">
        <f aca="false">RawFinancials!AE698</f>
        <v>原始0：需核实适用/报告口径</v>
      </c>
    </row>
    <row r="699" customFormat="false" ht="15" hidden="false" customHeight="false" outlineLevel="0" collapsed="false">
      <c r="A699" s="0" t="n">
        <f aca="false">IF(ISBLANK(RawFinancials!A699),"",RawFinancials!A699)</f>
        <v>699</v>
      </c>
      <c r="B699" s="0" t="n">
        <f aca="false">IF(ISBLANK(RawFinancials!B699),"",RawFinancials!B699)</f>
        <v>882477</v>
      </c>
      <c r="C699" s="0" t="n">
        <f aca="false">IF(ISBLANK(RawFinancials!C699),"",RawFinancials!C699)</f>
        <v>14134</v>
      </c>
      <c r="D699" s="0" t="n">
        <f aca="false">IF(ISBLANK(RawFinancials!D699),"",RawFinancials!D699)</f>
        <v>701612</v>
      </c>
      <c r="E699" s="0" t="n">
        <f aca="false">IF(ISBLANK(RawFinancials!E699),"",RawFinancials!E699)</f>
        <v>0.08</v>
      </c>
      <c r="F699" s="0" t="n">
        <f aca="false">IF(ISBLANK(RawFinancials!F699),"",RawFinancials!F699)</f>
        <v>116115</v>
      </c>
      <c r="G699" s="0" t="n">
        <f aca="false">IF(ISBLANK(RawFinancials!G699),"",RawFinancials!G699)</f>
        <v>13.1578500062891</v>
      </c>
      <c r="H699" s="0" t="str">
        <f aca="false">IF(ISBLANK(RawFinancials!H699),"",RawFinancials!H699)</f>
        <v>14134_20250630</v>
      </c>
      <c r="I699" s="0" t="n">
        <f aca="false">IF(ISBLANK(RawFinancials!I699),"",RawFinancials!I699)</f>
        <v>1.12165429046153</v>
      </c>
      <c r="J699" s="0" t="n">
        <f aca="false">IF(ISBLANK(RawFinancials!J699),"",RawFinancials!J699)</f>
        <v>27002</v>
      </c>
      <c r="K699" s="0" t="n">
        <f aca="false">IF(ISBLANK(RawFinancials!K699),"",RawFinancials!K699)</f>
        <v>21129</v>
      </c>
      <c r="L699" s="0" t="n">
        <f aca="false">IF(ISBLANK(RawFinancials!L699),"",RawFinancials!L699)</f>
        <v>634955</v>
      </c>
      <c r="M699" s="0" t="n">
        <f aca="false">IF(ISBLANK(RawFinancials!M699),"",RawFinancials!M699)</f>
        <v>627833</v>
      </c>
      <c r="N699" s="0" t="n">
        <f aca="false">IF(ISBLANK(RawFinancials!N699),"",RawFinancials!N699)</f>
        <v>566443</v>
      </c>
      <c r="O699" s="0" t="n">
        <f aca="false">IF(ISBLANK(RawFinancials!O699),"",RawFinancials!O699)</f>
        <v>2713</v>
      </c>
      <c r="P699" s="0" t="str">
        <f aca="false">IF(ISBLANK(RawFinancials!P699),"",RawFinancials!P699)</f>
        <v>PASSUMPSIC SAVINGS BANK</v>
      </c>
      <c r="Q699" s="0" t="n">
        <f aca="false">IF(ISBLANK(RawFinancials!Q699),"",RawFinancials!Q699)</f>
        <v>0.42727437377452</v>
      </c>
      <c r="R699" s="0" t="n">
        <f aca="false">IF(ISBLANK(RawFinancials!R699),"",RawFinancials!R699)</f>
        <v>3.10929848158763</v>
      </c>
      <c r="S699" s="0" t="n">
        <f aca="false">IF(ISBLANK(RawFinancials!S699),"",RawFinancials!S699)</f>
        <v>196</v>
      </c>
      <c r="T699" s="0" t="n">
        <f aca="false">IF(ISBLANK(RawFinancials!T699),"",RawFinancials!T699)</f>
        <v>5310</v>
      </c>
      <c r="U699" s="0" t="n">
        <f aca="false">IF(ISBLANK(RawFinancials!U699),"",RawFinancials!U699)</f>
        <v>0</v>
      </c>
      <c r="V699" s="0" t="n">
        <f aca="false">IF(ISBLANK(RawFinancials!V699),"",RawFinancials!V699)</f>
        <v>20.6017342528864</v>
      </c>
      <c r="W699" s="0" t="n">
        <f aca="false">IF(ISBLANK(RawFinancials!W699),"",RawFinancials!W699)</f>
        <v>20250630</v>
      </c>
      <c r="X699" s="0" t="n">
        <f aca="false">IF(ISBLANK(RawFinancials!X699),"",RawFinancials!X699)</f>
        <v>0.610195299395189</v>
      </c>
      <c r="Y699" s="0" t="n">
        <f aca="false">IF(ISBLANK(RawFinancials!Y699),"",RawFinancials!Y699)</f>
        <v>4.75</v>
      </c>
      <c r="Z699" s="0" t="str">
        <f aca="false">IF(ISBLANK(RawFinancials!Z699),"",RawFinancials!Z699)</f>
        <v>VT</v>
      </c>
      <c r="AA699" s="0" t="n">
        <f aca="false">RawFinancials!AA699</f>
        <v>1</v>
      </c>
      <c r="AB699" s="0" t="n">
        <f aca="false">RawFinancials!AB699</f>
        <v>2713</v>
      </c>
      <c r="AC699" s="0" t="n">
        <f aca="false">RawFinancials!AC699</f>
        <v>0.307430108660056</v>
      </c>
      <c r="AD699" s="0" t="n">
        <f aca="false">IF(L699&gt;0,100*N699/L699,"")</f>
        <v>89.2099440117804</v>
      </c>
      <c r="AE699" s="0" t="n">
        <f aca="false">IF(B699&gt;0,100*F699/B699,"")</f>
        <v>13.1578500062891</v>
      </c>
      <c r="AF699" s="0" t="str">
        <f aca="false">RawFinancials!AE699</f>
        <v/>
      </c>
    </row>
    <row r="700" customFormat="false" ht="15" hidden="false" customHeight="false" outlineLevel="0" collapsed="false">
      <c r="A700" s="0" t="n">
        <f aca="false">IF(ISBLANK(RawFinancials!A700),"",RawFinancials!A700)</f>
        <v>700</v>
      </c>
      <c r="B700" s="0" t="n">
        <f aca="false">IF(ISBLANK(RawFinancials!B700),"",RawFinancials!B700)</f>
        <v>247991</v>
      </c>
      <c r="C700" s="0" t="n">
        <f aca="false">IF(ISBLANK(RawFinancials!C700),"",RawFinancials!C700)</f>
        <v>14136</v>
      </c>
      <c r="D700" s="0" t="n">
        <f aca="false">IF(ISBLANK(RawFinancials!D700),"",RawFinancials!D700)</f>
        <v>212734</v>
      </c>
      <c r="E700" s="0" t="n">
        <f aca="false">IF(ISBLANK(RawFinancials!E700),"",RawFinancials!E700)</f>
        <v>0.1</v>
      </c>
      <c r="F700" s="0" t="n">
        <f aca="false">IF(ISBLANK(RawFinancials!F700),"",RawFinancials!F700)</f>
        <v>20696</v>
      </c>
      <c r="G700" s="0" t="n">
        <f aca="false">IF(ISBLANK(RawFinancials!G700),"",RawFinancials!G700)</f>
        <v>8.34546414990867</v>
      </c>
      <c r="H700" s="0" t="str">
        <f aca="false">IF(ISBLANK(RawFinancials!H700),"",RawFinancials!H700)</f>
        <v>14136_20250630</v>
      </c>
      <c r="I700" s="0" t="n">
        <f aca="false">IF(ISBLANK(RawFinancials!I700),"",RawFinancials!I700)</f>
        <v>1.03143773976404</v>
      </c>
      <c r="J700" s="0" t="n">
        <f aca="false">IF(ISBLANK(RawFinancials!J700),"",RawFinancials!J700)</f>
        <v>16458</v>
      </c>
      <c r="K700" s="0" t="n">
        <f aca="false">IF(ISBLANK(RawFinancials!K700),"",RawFinancials!K700)</f>
        <v>15166</v>
      </c>
      <c r="L700" s="0" t="n">
        <f aca="false">IF(ISBLANK(RawFinancials!L700),"",RawFinancials!L700)</f>
        <v>165788</v>
      </c>
      <c r="M700" s="0" t="n">
        <f aca="false">IF(ISBLANK(RawFinancials!M700),"",RawFinancials!M700)</f>
        <v>164078</v>
      </c>
      <c r="N700" s="0" t="n">
        <f aca="false">IF(ISBLANK(RawFinancials!N700),"",RawFinancials!N700)</f>
        <v>133756</v>
      </c>
      <c r="O700" s="0" t="n">
        <f aca="false">IF(ISBLANK(RawFinancials!O700),"",RawFinancials!O700)</f>
        <v>543</v>
      </c>
      <c r="P700" s="0" t="str">
        <f aca="false">IF(ISBLANK(RawFinancials!P700),"",RawFinancials!P700)</f>
        <v>WELLS RIVER SAVINGS BANK</v>
      </c>
      <c r="Q700" s="0" t="n">
        <f aca="false">IF(ISBLANK(RawFinancials!Q700),"",RawFinancials!Q700)</f>
        <v>0.64962482206191</v>
      </c>
      <c r="R700" s="0" t="n">
        <f aca="false">IF(ISBLANK(RawFinancials!R700),"",RawFinancials!R700)</f>
        <v>3.86995285179615</v>
      </c>
      <c r="S700" s="0" t="n">
        <f aca="false">IF(ISBLANK(RawFinancials!S700),"",RawFinancials!S700)</f>
        <v>33</v>
      </c>
      <c r="T700" s="0" t="n">
        <f aca="false">IF(ISBLANK(RawFinancials!T700),"",RawFinancials!T700)</f>
        <v>1414</v>
      </c>
      <c r="U700" s="0" t="n">
        <f aca="false">IF(ISBLANK(RawFinancials!U700),"",RawFinancials!U700)</f>
        <v>534</v>
      </c>
      <c r="V700" s="0" t="n">
        <f aca="false">IF(ISBLANK(RawFinancials!V700),"",RawFinancials!V700)</f>
        <v>17.6574017718266</v>
      </c>
      <c r="W700" s="0" t="n">
        <f aca="false">IF(ISBLANK(RawFinancials!W700),"",RawFinancials!W700)</f>
        <v>20250630</v>
      </c>
      <c r="X700" s="0" t="n">
        <f aca="false">IF(ISBLANK(RawFinancials!X700),"",RawFinancials!X700)</f>
        <v>0.601654965518099</v>
      </c>
      <c r="Y700" s="0" t="n">
        <f aca="false">IF(ISBLANK(RawFinancials!Y700),"",RawFinancials!Y700)</f>
        <v>7.3</v>
      </c>
      <c r="Z700" s="0" t="str">
        <f aca="false">IF(ISBLANK(RawFinancials!Z700),"",RawFinancials!Z700)</f>
        <v>VT</v>
      </c>
      <c r="AA700" s="0" t="n">
        <f aca="false">RawFinancials!AA700</f>
        <v>1</v>
      </c>
      <c r="AB700" s="0" t="n">
        <f aca="false">RawFinancials!AB700</f>
        <v>1077</v>
      </c>
      <c r="AC700" s="0" t="n">
        <f aca="false">RawFinancials!AC700</f>
        <v>0.434289954070914</v>
      </c>
      <c r="AD700" s="0" t="n">
        <f aca="false">IF(L700&gt;0,100*N700/L700,"")</f>
        <v>80.67893936835</v>
      </c>
      <c r="AE700" s="0" t="n">
        <f aca="false">IF(B700&gt;0,100*F700/B700,"")</f>
        <v>8.34546414990867</v>
      </c>
      <c r="AF700" s="0" t="str">
        <f aca="false">RawFinancials!AE700</f>
        <v/>
      </c>
    </row>
    <row r="701" customFormat="false" ht="15" hidden="false" customHeight="false" outlineLevel="0" collapsed="false">
      <c r="A701" s="0" t="n">
        <f aca="false">IF(ISBLANK(RawFinancials!A701),"",RawFinancials!A701)</f>
        <v>701</v>
      </c>
      <c r="B701" s="0" t="n">
        <f aca="false">IF(ISBLANK(RawFinancials!B701),"",RawFinancials!B701)</f>
        <v>1560737</v>
      </c>
      <c r="C701" s="0" t="n">
        <f aca="false">IF(ISBLANK(RawFinancials!C701),"",RawFinancials!C701)</f>
        <v>14140</v>
      </c>
      <c r="D701" s="0" t="n">
        <f aca="false">IF(ISBLANK(RawFinancials!D701),"",RawFinancials!D701)</f>
        <v>1280949</v>
      </c>
      <c r="E701" s="0" t="n">
        <f aca="false">IF(ISBLANK(RawFinancials!E701),"",RawFinancials!E701)</f>
        <v>0.06</v>
      </c>
      <c r="F701" s="0" t="n">
        <f aca="false">IF(ISBLANK(RawFinancials!F701),"",RawFinancials!F701)</f>
        <v>142689</v>
      </c>
      <c r="G701" s="0" t="n">
        <f aca="false">IF(ISBLANK(RawFinancials!G701),"",RawFinancials!G701)</f>
        <v>9.14241156581794</v>
      </c>
      <c r="H701" s="0" t="str">
        <f aca="false">IF(ISBLANK(RawFinancials!H701),"",RawFinancials!H701)</f>
        <v>14140_20250630</v>
      </c>
      <c r="I701" s="0" t="n">
        <f aca="false">IF(ISBLANK(RawFinancials!I701),"",RawFinancials!I701)</f>
        <v>0.808035108356332</v>
      </c>
      <c r="J701" s="0" t="n">
        <f aca="false">IF(ISBLANK(RawFinancials!J701),"",RawFinancials!J701)</f>
        <v>95042</v>
      </c>
      <c r="K701" s="0" t="n">
        <f aca="false">IF(ISBLANK(RawFinancials!K701),"",RawFinancials!K701)</f>
        <v>1711</v>
      </c>
      <c r="L701" s="0" t="n">
        <f aca="false">IF(ISBLANK(RawFinancials!L701),"",RawFinancials!L701)</f>
        <v>1105150</v>
      </c>
      <c r="M701" s="0" t="n">
        <f aca="false">IF(ISBLANK(RawFinancials!M701),"",RawFinancials!M701)</f>
        <v>1096220</v>
      </c>
      <c r="N701" s="0" t="n">
        <f aca="false">IF(ISBLANK(RawFinancials!N701),"",RawFinancials!N701)</f>
        <v>976988</v>
      </c>
      <c r="O701" s="0" t="n">
        <f aca="false">IF(ISBLANK(RawFinancials!O701),"",RawFinancials!O701)</f>
        <v>7436</v>
      </c>
      <c r="P701" s="0" t="str">
        <f aca="false">IF(ISBLANK(RawFinancials!P701),"",RawFinancials!P701)</f>
        <v>NORTHFIELD SAVINGS BANK</v>
      </c>
      <c r="Q701" s="0" t="n">
        <f aca="false">IF(ISBLANK(RawFinancials!Q701),"",RawFinancials!Q701)</f>
        <v>0.672849839388318</v>
      </c>
      <c r="R701" s="0" t="n">
        <f aca="false">IF(ISBLANK(RawFinancials!R701),"",RawFinancials!R701)</f>
        <v>2.58054568551282</v>
      </c>
      <c r="S701" s="0" t="n">
        <f aca="false">IF(ISBLANK(RawFinancials!S701),"",RawFinancials!S701)</f>
        <v>28</v>
      </c>
      <c r="T701" s="0" t="n">
        <f aca="false">IF(ISBLANK(RawFinancials!T701),"",RawFinancials!T701)</f>
        <v>4583</v>
      </c>
      <c r="U701" s="0" t="n">
        <f aca="false">IF(ISBLANK(RawFinancials!U701),"",RawFinancials!U701)</f>
        <v>0</v>
      </c>
      <c r="V701" s="0" t="n">
        <f aca="false">IF(ISBLANK(RawFinancials!V701),"",RawFinancials!V701)</f>
        <v>0</v>
      </c>
      <c r="W701" s="0" t="n">
        <f aca="false">IF(ISBLANK(RawFinancials!W701),"",RawFinancials!W701)</f>
        <v>20250630</v>
      </c>
      <c r="X701" s="0" t="n">
        <f aca="false">IF(ISBLANK(RawFinancials!X701),"",RawFinancials!X701)</f>
        <v>0.319216663443552</v>
      </c>
      <c r="Y701" s="0" t="n">
        <f aca="false">IF(ISBLANK(RawFinancials!Y701),"",RawFinancials!Y701)</f>
        <v>3.6</v>
      </c>
      <c r="Z701" s="0" t="str">
        <f aca="false">IF(ISBLANK(RawFinancials!Z701),"",RawFinancials!Z701)</f>
        <v>VT</v>
      </c>
      <c r="AA701" s="0" t="n">
        <f aca="false">RawFinancials!AA701</f>
        <v>1</v>
      </c>
      <c r="AB701" s="0" t="n">
        <f aca="false">RawFinancials!AB701</f>
        <v>7436</v>
      </c>
      <c r="AC701" s="0" t="n">
        <f aca="false">RawFinancials!AC701</f>
        <v>0.476441578561923</v>
      </c>
      <c r="AD701" s="0" t="n">
        <f aca="false">IF(L701&gt;0,100*N701/L701,"")</f>
        <v>88.403203185088</v>
      </c>
      <c r="AE701" s="0" t="n">
        <f aca="false">IF(B701&gt;0,100*F701/B701,"")</f>
        <v>9.14241156581794</v>
      </c>
      <c r="AF701" s="0" t="str">
        <f aca="false">RawFinancials!AE701</f>
        <v>原始0：需核实适用/报告口径</v>
      </c>
    </row>
    <row r="702" customFormat="false" ht="15" hidden="false" customHeight="false" outlineLevel="0" collapsed="false">
      <c r="A702" s="0" t="n">
        <f aca="false">IF(ISBLANK(RawFinancials!A702),"",RawFinancials!A702)</f>
        <v>702</v>
      </c>
      <c r="B702" s="0" t="n">
        <f aca="false">IF(ISBLANK(RawFinancials!B702),"",RawFinancials!B702)</f>
        <v>1479452</v>
      </c>
      <c r="C702" s="0" t="n">
        <f aca="false">IF(ISBLANK(RawFinancials!C702),"",RawFinancials!C702)</f>
        <v>14158</v>
      </c>
      <c r="D702" s="0" t="n">
        <f aca="false">IF(ISBLANK(RawFinancials!D702),"",RawFinancials!D702)</f>
        <v>1107517</v>
      </c>
      <c r="E702" s="0" t="n">
        <f aca="false">IF(ISBLANK(RawFinancials!E702),"",RawFinancials!E702)</f>
        <v>0.06</v>
      </c>
      <c r="F702" s="0" t="n">
        <f aca="false">IF(ISBLANK(RawFinancials!F702),"",RawFinancials!F702)</f>
        <v>86521</v>
      </c>
      <c r="G702" s="0" t="n">
        <f aca="false">IF(ISBLANK(RawFinancials!G702),"",RawFinancials!G702)</f>
        <v>5.84817892030292</v>
      </c>
      <c r="H702" s="0" t="str">
        <f aca="false">IF(ISBLANK(RawFinancials!H702),"",RawFinancials!H702)</f>
        <v>14158_20250630</v>
      </c>
      <c r="I702" s="0" t="n">
        <f aca="false">IF(ISBLANK(RawFinancials!I702),"",RawFinancials!I702)</f>
        <v>0.745748774142349</v>
      </c>
      <c r="J702" s="0" t="n">
        <f aca="false">IF(ISBLANK(RawFinancials!J702),"",RawFinancials!J702)</f>
        <v>34247</v>
      </c>
      <c r="K702" s="0" t="n">
        <f aca="false">IF(ISBLANK(RawFinancials!K702),"",RawFinancials!K702)</f>
        <v>2362</v>
      </c>
      <c r="L702" s="0" t="n">
        <f aca="false">IF(ISBLANK(RawFinancials!L702),"",RawFinancials!L702)</f>
        <v>1113914</v>
      </c>
      <c r="M702" s="0" t="n">
        <f aca="false">IF(ISBLANK(RawFinancials!M702),"",RawFinancials!M702)</f>
        <v>1105607</v>
      </c>
      <c r="N702" s="0" t="n">
        <f aca="false">IF(ISBLANK(RawFinancials!N702),"",RawFinancials!N702)</f>
        <v>1031319</v>
      </c>
      <c r="O702" s="0" t="n">
        <f aca="false">IF(ISBLANK(RawFinancials!O702),"",RawFinancials!O702)</f>
        <v>15189</v>
      </c>
      <c r="P702" s="0" t="str">
        <f aca="false">IF(ISBLANK(RawFinancials!P702),"",RawFinancials!P702)</f>
        <v>UNION BANK</v>
      </c>
      <c r="Q702" s="0" t="n">
        <f aca="false">IF(ISBLANK(RawFinancials!Q702),"",RawFinancials!Q702)</f>
        <v>1.3700339523518</v>
      </c>
      <c r="R702" s="0" t="n">
        <f aca="false">IF(ISBLANK(RawFinancials!R702),"",RawFinancials!R702)</f>
        <v>2.99867350712437</v>
      </c>
      <c r="S702" s="0" t="n">
        <f aca="false">IF(ISBLANK(RawFinancials!S702),"",RawFinancials!S702)</f>
        <v>-6</v>
      </c>
      <c r="T702" s="0" t="n">
        <f aca="false">IF(ISBLANK(RawFinancials!T702),"",RawFinancials!T702)</f>
        <v>1302</v>
      </c>
      <c r="U702" s="0" t="n">
        <f aca="false">IF(ISBLANK(RawFinancials!U702),"",RawFinancials!U702)</f>
        <v>72</v>
      </c>
      <c r="V702" s="0" t="n">
        <f aca="false">IF(ISBLANK(RawFinancials!V702),"",RawFinancials!V702)</f>
        <v>12.6234332403009</v>
      </c>
      <c r="W702" s="0" t="n">
        <f aca="false">IF(ISBLANK(RawFinancials!W702),"",RawFinancials!W702)</f>
        <v>20250630</v>
      </c>
      <c r="X702" s="0" t="n">
        <f aca="false">IF(ISBLANK(RawFinancials!X702),"",RawFinancials!X702)</f>
        <v>0.704869265488618</v>
      </c>
      <c r="Y702" s="0" t="n">
        <f aca="false">IF(ISBLANK(RawFinancials!Y702),"",RawFinancials!Y702)</f>
        <v>12.54</v>
      </c>
      <c r="Z702" s="0" t="str">
        <f aca="false">IF(ISBLANK(RawFinancials!Z702),"",RawFinancials!Z702)</f>
        <v>VT</v>
      </c>
      <c r="AA702" s="0" t="n">
        <f aca="false">RawFinancials!AA702</f>
        <v>1</v>
      </c>
      <c r="AB702" s="0" t="n">
        <f aca="false">RawFinancials!AB702</f>
        <v>15261</v>
      </c>
      <c r="AC702" s="0" t="n">
        <f aca="false">RawFinancials!AC702</f>
        <v>1.03153059376039</v>
      </c>
      <c r="AD702" s="0" t="n">
        <f aca="false">IF(L702&gt;0,100*N702/L702,"")</f>
        <v>92.5851546887821</v>
      </c>
      <c r="AE702" s="0" t="n">
        <f aca="false">IF(B702&gt;0,100*F702/B702,"")</f>
        <v>5.84817892030292</v>
      </c>
      <c r="AF702" s="0" t="str">
        <f aca="false">RawFinancials!AE702</f>
        <v/>
      </c>
    </row>
    <row r="703" customFormat="false" ht="15" hidden="false" customHeight="false" outlineLevel="0" collapsed="false">
      <c r="A703" s="0" t="n">
        <f aca="false">IF(ISBLANK(RawFinancials!A703),"",RawFinancials!A703)</f>
        <v>703</v>
      </c>
      <c r="B703" s="0" t="n">
        <f aca="false">IF(ISBLANK(RawFinancials!B703),"",RawFinancials!B703)</f>
        <v>376849</v>
      </c>
      <c r="C703" s="0" t="n">
        <f aca="false">IF(ISBLANK(RawFinancials!C703),"",RawFinancials!C703)</f>
        <v>14168</v>
      </c>
      <c r="D703" s="0" t="n">
        <f aca="false">IF(ISBLANK(RawFinancials!D703),"",RawFinancials!D703)</f>
        <v>332557</v>
      </c>
      <c r="E703" s="0" t="n">
        <f aca="false">IF(ISBLANK(RawFinancials!E703),"",RawFinancials!E703)</f>
        <v>0.08</v>
      </c>
      <c r="F703" s="0" t="n">
        <f aca="false">IF(ISBLANK(RawFinancials!F703),"",RawFinancials!F703)</f>
        <v>38788</v>
      </c>
      <c r="G703" s="0" t="n">
        <f aca="false">IF(ISBLANK(RawFinancials!G703),"",RawFinancials!G703)</f>
        <v>10.292716711468</v>
      </c>
      <c r="H703" s="0" t="str">
        <f aca="false">IF(ISBLANK(RawFinancials!H703),"",RawFinancials!H703)</f>
        <v>14168_20250630</v>
      </c>
      <c r="I703" s="0" t="n">
        <f aca="false">IF(ISBLANK(RawFinancials!I703),"",RawFinancials!I703)</f>
        <v>1.27299474703176</v>
      </c>
      <c r="J703" s="0" t="n">
        <f aca="false">IF(ISBLANK(RawFinancials!J703),"",RawFinancials!J703)</f>
        <v>11385</v>
      </c>
      <c r="K703" s="0" t="n">
        <f aca="false">IF(ISBLANK(RawFinancials!K703),"",RawFinancials!K703)</f>
        <v>10856</v>
      </c>
      <c r="L703" s="0" t="n">
        <f aca="false">IF(ISBLANK(RawFinancials!L703),"",RawFinancials!L703)</f>
        <v>288218</v>
      </c>
      <c r="M703" s="0" t="n">
        <f aca="false">IF(ISBLANK(RawFinancials!M703),"",RawFinancials!M703)</f>
        <v>284549</v>
      </c>
      <c r="N703" s="0" t="n">
        <f aca="false">IF(ISBLANK(RawFinancials!N703),"",RawFinancials!N703)</f>
        <v>247587</v>
      </c>
      <c r="O703" s="0" t="n">
        <f aca="false">IF(ISBLANK(RawFinancials!O703),"",RawFinancials!O703)</f>
        <v>1012</v>
      </c>
      <c r="P703" s="0" t="str">
        <f aca="false">IF(ISBLANK(RawFinancials!P703),"",RawFinancials!P703)</f>
        <v>PEOPLES TRUST COMPANY OF ST. ALBANS</v>
      </c>
      <c r="Q703" s="0" t="n">
        <f aca="false">IF(ISBLANK(RawFinancials!Q703),"",RawFinancials!Q703)</f>
        <v>0.351123108202819</v>
      </c>
      <c r="R703" s="0" t="n">
        <f aca="false">IF(ISBLANK(RawFinancials!R703),"",RawFinancials!R703)</f>
        <v>4.22224321701265</v>
      </c>
      <c r="S703" s="0" t="n">
        <f aca="false">IF(ISBLANK(RawFinancials!S703),"",RawFinancials!S703)</f>
        <v>32</v>
      </c>
      <c r="T703" s="0" t="n">
        <f aca="false">IF(ISBLANK(RawFinancials!T703),"",RawFinancials!T703)</f>
        <v>93</v>
      </c>
      <c r="U703" s="0" t="n">
        <f aca="false">IF(ISBLANK(RawFinancials!U703),"",RawFinancials!U703)</f>
        <v>0</v>
      </c>
      <c r="V703" s="0" t="n">
        <f aca="false">IF(ISBLANK(RawFinancials!V703),"",RawFinancials!V703)</f>
        <v>16.584016716042</v>
      </c>
      <c r="W703" s="0" t="n">
        <f aca="false">IF(ISBLANK(RawFinancials!W703),"",RawFinancials!W703)</f>
        <v>20250630</v>
      </c>
      <c r="X703" s="0" t="n">
        <f aca="false">IF(ISBLANK(RawFinancials!X703),"",RawFinancials!X703)</f>
        <v>0.966716269310238</v>
      </c>
      <c r="Y703" s="0" t="n">
        <f aca="false">IF(ISBLANK(RawFinancials!Y703),"",RawFinancials!Y703)</f>
        <v>9.43</v>
      </c>
      <c r="Z703" s="0" t="str">
        <f aca="false">IF(ISBLANK(RawFinancials!Z703),"",RawFinancials!Z703)</f>
        <v>VT</v>
      </c>
      <c r="AA703" s="0" t="n">
        <f aca="false">RawFinancials!AA703</f>
        <v>1</v>
      </c>
      <c r="AB703" s="0" t="n">
        <f aca="false">RawFinancials!AB703</f>
        <v>1012</v>
      </c>
      <c r="AC703" s="0" t="n">
        <f aca="false">RawFinancials!AC703</f>
        <v>0.268542572754605</v>
      </c>
      <c r="AD703" s="0" t="n">
        <f aca="false">IF(L703&gt;0,100*N703/L703,"")</f>
        <v>85.9026847733313</v>
      </c>
      <c r="AE703" s="0" t="n">
        <f aca="false">IF(B703&gt;0,100*F703/B703,"")</f>
        <v>10.292716711468</v>
      </c>
      <c r="AF703" s="0" t="str">
        <f aca="false">RawFinancials!AE703</f>
        <v/>
      </c>
    </row>
    <row r="704" customFormat="false" ht="15" hidden="false" customHeight="false" outlineLevel="0" collapsed="false">
      <c r="A704" s="0" t="n">
        <f aca="false">IF(ISBLANK(RawFinancials!A704),"",RawFinancials!A704)</f>
        <v>704</v>
      </c>
      <c r="B704" s="0" t="n">
        <f aca="false">IF(ISBLANK(RawFinancials!B704),"",RawFinancials!B704)</f>
        <v>1078591</v>
      </c>
      <c r="C704" s="0" t="n">
        <f aca="false">IF(ISBLANK(RawFinancials!C704),"",RawFinancials!C704)</f>
        <v>17115</v>
      </c>
      <c r="D704" s="0" t="n">
        <f aca="false">IF(ISBLANK(RawFinancials!D704),"",RawFinancials!D704)</f>
        <v>819065</v>
      </c>
      <c r="E704" s="0" t="n">
        <f aca="false">IF(ISBLANK(RawFinancials!E704),"",RawFinancials!E704)</f>
        <v>0.05</v>
      </c>
      <c r="F704" s="0" t="n">
        <f aca="false">IF(ISBLANK(RawFinancials!F704),"",RawFinancials!F704)</f>
        <v>97021</v>
      </c>
      <c r="G704" s="0" t="n">
        <f aca="false">IF(ISBLANK(RawFinancials!G704),"",RawFinancials!G704)</f>
        <v>8.99516127985492</v>
      </c>
      <c r="H704" s="0" t="str">
        <f aca="false">IF(ISBLANK(RawFinancials!H704),"",RawFinancials!H704)</f>
        <v>17115_20250630</v>
      </c>
      <c r="I704" s="0" t="n">
        <f aca="false">IF(ISBLANK(RawFinancials!I704),"",RawFinancials!I704)</f>
        <v>0.948136739166134</v>
      </c>
      <c r="J704" s="0" t="n">
        <f aca="false">IF(ISBLANK(RawFinancials!J704),"",RawFinancials!J704)</f>
        <v>38793</v>
      </c>
      <c r="K704" s="0" t="n">
        <f aca="false">IF(ISBLANK(RawFinancials!K704),"",RawFinancials!K704)</f>
        <v>6038</v>
      </c>
      <c r="L704" s="0" t="n">
        <f aca="false">IF(ISBLANK(RawFinancials!L704),"",RawFinancials!L704)</f>
        <v>882995</v>
      </c>
      <c r="M704" s="0" t="n">
        <f aca="false">IF(ISBLANK(RawFinancials!M704),"",RawFinancials!M704)</f>
        <v>874623</v>
      </c>
      <c r="N704" s="0" t="n">
        <f aca="false">IF(ISBLANK(RawFinancials!N704),"",RawFinancials!N704)</f>
        <v>837308</v>
      </c>
      <c r="O704" s="0" t="n">
        <f aca="false">IF(ISBLANK(RawFinancials!O704),"",RawFinancials!O704)</f>
        <v>2491</v>
      </c>
      <c r="P704" s="0" t="str">
        <f aca="false">IF(ISBLANK(RawFinancials!P704),"",RawFinancials!P704)</f>
        <v>PARTNERS BANK OF NEW ENGLAND</v>
      </c>
      <c r="Q704" s="0" t="n">
        <f aca="false">IF(ISBLANK(RawFinancials!Q704),"",RawFinancials!Q704)</f>
        <v>0.291507879433066</v>
      </c>
      <c r="R704" s="0" t="n">
        <f aca="false">IF(ISBLANK(RawFinancials!R704),"",RawFinancials!R704)</f>
        <v>2.96659137731555</v>
      </c>
      <c r="S704" s="0" t="n">
        <f aca="false">IF(ISBLANK(RawFinancials!S704),"",RawFinancials!S704)</f>
        <v>438</v>
      </c>
      <c r="T704" s="0" t="n">
        <f aca="false">IF(ISBLANK(RawFinancials!T704),"",RawFinancials!T704)</f>
        <v>1134</v>
      </c>
      <c r="U704" s="0" t="n">
        <f aca="false">IF(ISBLANK(RawFinancials!U704),"",RawFinancials!U704)</f>
        <v>83</v>
      </c>
      <c r="V704" s="0" t="n">
        <f aca="false">IF(ISBLANK(RawFinancials!V704),"",RawFinancials!V704)</f>
        <v>14.8169206277007</v>
      </c>
      <c r="W704" s="0" t="n">
        <f aca="false">IF(ISBLANK(RawFinancials!W704),"",RawFinancials!W704)</f>
        <v>20250630</v>
      </c>
      <c r="X704" s="0" t="n">
        <f aca="false">IF(ISBLANK(RawFinancials!X704),"",RawFinancials!X704)</f>
        <v>0.71338933420764</v>
      </c>
      <c r="Y704" s="0" t="n">
        <f aca="false">IF(ISBLANK(RawFinancials!Y704),"",RawFinancials!Y704)</f>
        <v>8</v>
      </c>
      <c r="Z704" s="0" t="str">
        <f aca="false">IF(ISBLANK(RawFinancials!Z704),"",RawFinancials!Z704)</f>
        <v>ME</v>
      </c>
      <c r="AA704" s="0" t="n">
        <f aca="false">RawFinancials!AA704</f>
        <v>1</v>
      </c>
      <c r="AB704" s="0" t="n">
        <f aca="false">RawFinancials!AB704</f>
        <v>2574</v>
      </c>
      <c r="AC704" s="0" t="n">
        <f aca="false">RawFinancials!AC704</f>
        <v>0.238644676248921</v>
      </c>
      <c r="AD704" s="0" t="n">
        <f aca="false">IF(L704&gt;0,100*N704/L704,"")</f>
        <v>94.8259050164497</v>
      </c>
      <c r="AE704" s="0" t="n">
        <f aca="false">IF(B704&gt;0,100*F704/B704,"")</f>
        <v>8.99516127985492</v>
      </c>
      <c r="AF704" s="0" t="str">
        <f aca="false">RawFinancials!AE704</f>
        <v/>
      </c>
    </row>
    <row r="705" customFormat="false" ht="15" hidden="false" customHeight="false" outlineLevel="0" collapsed="false">
      <c r="A705" s="0" t="n">
        <f aca="false">IF(ISBLANK(RawFinancials!A705),"",RawFinancials!A705)</f>
        <v>705</v>
      </c>
      <c r="B705" s="0" t="n">
        <f aca="false">IF(ISBLANK(RawFinancials!B705),"",RawFinancials!B705)</f>
        <v>1609518</v>
      </c>
      <c r="C705" s="0" t="n">
        <f aca="false">IF(ISBLANK(RawFinancials!C705),"",RawFinancials!C705)</f>
        <v>17180</v>
      </c>
      <c r="D705" s="0" t="n">
        <f aca="false">IF(ISBLANK(RawFinancials!D705),"",RawFinancials!D705)</f>
        <v>1323945</v>
      </c>
      <c r="E705" s="0" t="n">
        <f aca="false">IF(ISBLANK(RawFinancials!E705),"",RawFinancials!E705)</f>
        <v>0</v>
      </c>
      <c r="F705" s="0" t="n">
        <f aca="false">IF(ISBLANK(RawFinancials!F705),"",RawFinancials!F705)</f>
        <v>147515</v>
      </c>
      <c r="G705" s="0" t="n">
        <f aca="false">IF(ISBLANK(RawFinancials!G705),"",RawFinancials!G705)</f>
        <v>9.16516621746386</v>
      </c>
      <c r="H705" s="0" t="str">
        <f aca="false">IF(ISBLANK(RawFinancials!H705),"",RawFinancials!H705)</f>
        <v>17180_20250630</v>
      </c>
      <c r="I705" s="0" t="n">
        <f aca="false">IF(ISBLANK(RawFinancials!I705),"",RawFinancials!I705)</f>
        <v>0.988406664070127</v>
      </c>
      <c r="J705" s="0" t="n">
        <f aca="false">IF(ISBLANK(RawFinancials!J705),"",RawFinancials!J705)</f>
        <v>41482</v>
      </c>
      <c r="K705" s="0" t="n">
        <f aca="false">IF(ISBLANK(RawFinancials!K705),"",RawFinancials!K705)</f>
        <v>155925</v>
      </c>
      <c r="L705" s="0" t="n">
        <f aca="false">IF(ISBLANK(RawFinancials!L705),"",RawFinancials!L705)</f>
        <v>1394163</v>
      </c>
      <c r="M705" s="0" t="n">
        <f aca="false">IF(ISBLANK(RawFinancials!M705),"",RawFinancials!M705)</f>
        <v>1380383</v>
      </c>
      <c r="N705" s="0" t="n">
        <f aca="false">IF(ISBLANK(RawFinancials!N705),"",RawFinancials!N705)</f>
        <v>1170848</v>
      </c>
      <c r="O705" s="0" t="n">
        <f aca="false">IF(ISBLANK(RawFinancials!O705),"",RawFinancials!O705)</f>
        <v>5006</v>
      </c>
      <c r="P705" s="0" t="str">
        <f aca="false">IF(ISBLANK(RawFinancials!P705),"",RawFinancials!P705)</f>
        <v>MEREDITH VILLAGE SAVINGS BANK</v>
      </c>
      <c r="Q705" s="0" t="n">
        <f aca="false">IF(ISBLANK(RawFinancials!Q705),"",RawFinancials!Q705)</f>
        <v>0.359785763931477</v>
      </c>
      <c r="R705" s="0" t="n">
        <f aca="false">IF(ISBLANK(RawFinancials!R705),"",RawFinancials!R705)</f>
        <v>2.82301178340663</v>
      </c>
      <c r="S705" s="0" t="n">
        <f aca="false">IF(ISBLANK(RawFinancials!S705),"",RawFinancials!S705)</f>
        <v>157</v>
      </c>
      <c r="T705" s="0" t="n">
        <f aca="false">IF(ISBLANK(RawFinancials!T705),"",RawFinancials!T705)</f>
        <v>3969</v>
      </c>
      <c r="U705" s="0" t="n">
        <f aca="false">IF(ISBLANK(RawFinancials!U705),"",RawFinancials!U705)</f>
        <v>10</v>
      </c>
      <c r="V705" s="0" t="n">
        <f aca="false">IF(ISBLANK(RawFinancials!V705),"",RawFinancials!V705)</f>
        <v>16.1170926443665</v>
      </c>
      <c r="W705" s="0" t="n">
        <f aca="false">IF(ISBLANK(RawFinancials!W705),"",RawFinancials!W705)</f>
        <v>20250630</v>
      </c>
      <c r="X705" s="0" t="n">
        <f aca="false">IF(ISBLANK(RawFinancials!X705),"",RawFinancials!X705)</f>
        <v>0.322125402656753</v>
      </c>
      <c r="Y705" s="0" t="n">
        <f aca="false">IF(ISBLANK(RawFinancials!Y705),"",RawFinancials!Y705)</f>
        <v>3.54</v>
      </c>
      <c r="Z705" s="0" t="str">
        <f aca="false">IF(ISBLANK(RawFinancials!Z705),"",RawFinancials!Z705)</f>
        <v>NH</v>
      </c>
      <c r="AA705" s="0" t="n">
        <f aca="false">RawFinancials!AA705</f>
        <v>1</v>
      </c>
      <c r="AB705" s="0" t="n">
        <f aca="false">RawFinancials!AB705</f>
        <v>5016</v>
      </c>
      <c r="AC705" s="0" t="n">
        <f aca="false">RawFinancials!AC705</f>
        <v>0.31164609529064</v>
      </c>
      <c r="AD705" s="0" t="n">
        <f aca="false">IF(L705&gt;0,100*N705/L705,"")</f>
        <v>83.9821455597373</v>
      </c>
      <c r="AE705" s="0" t="n">
        <f aca="false">IF(B705&gt;0,100*F705/B705,"")</f>
        <v>9.16516621746386</v>
      </c>
      <c r="AF705" s="0" t="str">
        <f aca="false">RawFinancials!AE705</f>
        <v/>
      </c>
    </row>
    <row r="706" customFormat="false" ht="15" hidden="false" customHeight="false" outlineLevel="0" collapsed="false">
      <c r="A706" s="0" t="n">
        <f aca="false">IF(ISBLANK(RawFinancials!A706),"",RawFinancials!A706)</f>
        <v>706</v>
      </c>
      <c r="B706" s="0" t="n">
        <f aca="false">IF(ISBLANK(RawFinancials!B706),"",RawFinancials!B706)</f>
        <v>366584</v>
      </c>
      <c r="C706" s="0" t="n">
        <f aca="false">IF(ISBLANK(RawFinancials!C706),"",RawFinancials!C706)</f>
        <v>17443</v>
      </c>
      <c r="D706" s="0" t="n">
        <f aca="false">IF(ISBLANK(RawFinancials!D706),"",RawFinancials!D706)</f>
        <v>285374</v>
      </c>
      <c r="E706" s="0" t="n">
        <f aca="false">IF(ISBLANK(RawFinancials!E706),"",RawFinancials!E706)</f>
        <v>-0.03</v>
      </c>
      <c r="F706" s="0" t="n">
        <f aca="false">IF(ISBLANK(RawFinancials!F706),"",RawFinancials!F706)</f>
        <v>40125</v>
      </c>
      <c r="G706" s="0" t="n">
        <f aca="false">IF(ISBLANK(RawFinancials!G706),"",RawFinancials!G706)</f>
        <v>10.9456495646291</v>
      </c>
      <c r="H706" s="0" t="str">
        <f aca="false">IF(ISBLANK(RawFinancials!H706),"",RawFinancials!H706)</f>
        <v>17443_20250630</v>
      </c>
      <c r="I706" s="0" t="n">
        <f aca="false">IF(ISBLANK(RawFinancials!I706),"",RawFinancials!I706)</f>
        <v>0.712995812564275</v>
      </c>
      <c r="J706" s="0" t="n">
        <f aca="false">IF(ISBLANK(RawFinancials!J706),"",RawFinancials!J706)</f>
        <v>0</v>
      </c>
      <c r="K706" s="0" t="n">
        <f aca="false">IF(ISBLANK(RawFinancials!K706),"",RawFinancials!K706)</f>
        <v>799</v>
      </c>
      <c r="L706" s="0" t="n">
        <f aca="false">IF(ISBLANK(RawFinancials!L706),"",RawFinancials!L706)</f>
        <v>203227</v>
      </c>
      <c r="M706" s="0" t="n">
        <f aca="false">IF(ISBLANK(RawFinancials!M706),"",RawFinancials!M706)</f>
        <v>201778</v>
      </c>
      <c r="N706" s="0" t="n">
        <f aca="false">IF(ISBLANK(RawFinancials!N706),"",RawFinancials!N706)</f>
        <v>201428</v>
      </c>
      <c r="O706" s="0" t="n">
        <f aca="false">IF(ISBLANK(RawFinancials!O706),"",RawFinancials!O706)</f>
        <v>22</v>
      </c>
      <c r="P706" s="0" t="str">
        <f aca="false">IF(ISBLANK(RawFinancials!P706),"",RawFinancials!P706)</f>
        <v>PISCATAQUA SAVINGS BANK</v>
      </c>
      <c r="Q706" s="0" t="n">
        <f aca="false">IF(ISBLANK(RawFinancials!Q706),"",RawFinancials!Q706)</f>
        <v>0.0108253332480428</v>
      </c>
      <c r="R706" s="0" t="n">
        <f aca="false">IF(ISBLANK(RawFinancials!R706),"",RawFinancials!R706)</f>
        <v>1.29920976724489</v>
      </c>
      <c r="S706" s="0" t="n">
        <f aca="false">IF(ISBLANK(RawFinancials!S706),"",RawFinancials!S706)</f>
        <v>0</v>
      </c>
      <c r="T706" s="0" t="n">
        <f aca="false">IF(ISBLANK(RawFinancials!T706),"",RawFinancials!T706)</f>
        <v>769</v>
      </c>
      <c r="U706" s="0" t="n">
        <f aca="false">IF(ISBLANK(RawFinancials!U706),"",RawFinancials!U706)</f>
        <v>0</v>
      </c>
      <c r="V706" s="0" t="n">
        <f aca="false">IF(ISBLANK(RawFinancials!V706),"",RawFinancials!V706)</f>
        <v>0</v>
      </c>
      <c r="W706" s="0" t="n">
        <f aca="false">IF(ISBLANK(RawFinancials!W706),"",RawFinancials!W706)</f>
        <v>20250630</v>
      </c>
      <c r="X706" s="0" t="n">
        <f aca="false">IF(ISBLANK(RawFinancials!X706),"",RawFinancials!X706)</f>
        <v>-0.301132819905539</v>
      </c>
      <c r="Y706" s="0" t="n">
        <f aca="false">IF(ISBLANK(RawFinancials!Y706),"",RawFinancials!Y706)</f>
        <v>-2.77</v>
      </c>
      <c r="Z706" s="0" t="str">
        <f aca="false">IF(ISBLANK(RawFinancials!Z706),"",RawFinancials!Z706)</f>
        <v>NH</v>
      </c>
      <c r="AA706" s="0" t="n">
        <f aca="false">RawFinancials!AA706</f>
        <v>1</v>
      </c>
      <c r="AB706" s="0" t="n">
        <f aca="false">RawFinancials!AB706</f>
        <v>22</v>
      </c>
      <c r="AC706" s="0" t="n">
        <f aca="false">RawFinancials!AC706</f>
        <v>0.00600135303232001</v>
      </c>
      <c r="AD706" s="0" t="n">
        <f aca="false">IF(L706&gt;0,100*N706/L706,"")</f>
        <v>99.1147829766714</v>
      </c>
      <c r="AE706" s="0" t="n">
        <f aca="false">IF(B706&gt;0,100*F706/B706,"")</f>
        <v>10.9456495646291</v>
      </c>
      <c r="AF706" s="0" t="str">
        <f aca="false">RawFinancials!AE706</f>
        <v>原始0：需核实适用/报告口径</v>
      </c>
    </row>
    <row r="707" customFormat="false" ht="15" hidden="false" customHeight="false" outlineLevel="0" collapsed="false">
      <c r="A707" s="0" t="n">
        <f aca="false">IF(ISBLANK(RawFinancials!A707),"",RawFinancials!A707)</f>
        <v>707</v>
      </c>
      <c r="B707" s="0" t="n">
        <f aca="false">IF(ISBLANK(RawFinancials!B707),"",RawFinancials!B707)</f>
        <v>2059300</v>
      </c>
      <c r="C707" s="0" t="n">
        <f aca="false">IF(ISBLANK(RawFinancials!C707),"",RawFinancials!C707)</f>
        <v>17658</v>
      </c>
      <c r="D707" s="0" t="n">
        <f aca="false">IF(ISBLANK(RawFinancials!D707),"",RawFinancials!D707)</f>
        <v>1592193</v>
      </c>
      <c r="E707" s="0" t="n">
        <f aca="false">IF(ISBLANK(RawFinancials!E707),"",RawFinancials!E707)</f>
        <v>0.07</v>
      </c>
      <c r="F707" s="0" t="n">
        <f aca="false">IF(ISBLANK(RawFinancials!F707),"",RawFinancials!F707)</f>
        <v>238741</v>
      </c>
      <c r="G707" s="0" t="n">
        <f aca="false">IF(ISBLANK(RawFinancials!G707),"",RawFinancials!G707)</f>
        <v>11.593308405769</v>
      </c>
      <c r="H707" s="0" t="str">
        <f aca="false">IF(ISBLANK(RawFinancials!H707),"",RawFinancials!H707)</f>
        <v>17658_20250630</v>
      </c>
      <c r="I707" s="0" t="n">
        <f aca="false">IF(ISBLANK(RawFinancials!I707),"",RawFinancials!I707)</f>
        <v>0.68458180287466</v>
      </c>
      <c r="J707" s="0" t="n">
        <f aca="false">IF(ISBLANK(RawFinancials!J707),"",RawFinancials!J707)</f>
        <v>107836</v>
      </c>
      <c r="K707" s="0" t="n">
        <f aca="false">IF(ISBLANK(RawFinancials!K707),"",RawFinancials!K707)</f>
        <v>85638</v>
      </c>
      <c r="L707" s="0" t="n">
        <f aca="false">IF(ISBLANK(RawFinancials!L707),"",RawFinancials!L707)</f>
        <v>1472870</v>
      </c>
      <c r="M707" s="0" t="n">
        <f aca="false">IF(ISBLANK(RawFinancials!M707),"",RawFinancials!M707)</f>
        <v>1462787</v>
      </c>
      <c r="N707" s="0" t="n">
        <f aca="false">IF(ISBLANK(RawFinancials!N707),"",RawFinancials!N707)</f>
        <v>1263229</v>
      </c>
      <c r="O707" s="0" t="n">
        <f aca="false">IF(ISBLANK(RawFinancials!O707),"",RawFinancials!O707)</f>
        <v>10168</v>
      </c>
      <c r="P707" s="0" t="str">
        <f aca="false">IF(ISBLANK(RawFinancials!P707),"",RawFinancials!P707)</f>
        <v>NORWAY SAVINGS BANK</v>
      </c>
      <c r="Q707" s="0" t="n">
        <f aca="false">IF(ISBLANK(RawFinancials!Q707),"",RawFinancials!Q707)</f>
        <v>0.690352848520236</v>
      </c>
      <c r="R707" s="0" t="n">
        <f aca="false">IF(ISBLANK(RawFinancials!R707),"",RawFinancials!R707)</f>
        <v>3.24068034825347</v>
      </c>
      <c r="S707" s="0" t="n">
        <f aca="false">IF(ISBLANK(RawFinancials!S707),"",RawFinancials!S707)</f>
        <v>146</v>
      </c>
      <c r="T707" s="0" t="n">
        <f aca="false">IF(ISBLANK(RawFinancials!T707),"",RawFinancials!T707)</f>
        <v>2622</v>
      </c>
      <c r="U707" s="0" t="n">
        <f aca="false">IF(ISBLANK(RawFinancials!U707),"",RawFinancials!U707)</f>
        <v>0</v>
      </c>
      <c r="V707" s="0" t="n">
        <f aca="false">IF(ISBLANK(RawFinancials!V707),"",RawFinancials!V707)</f>
        <v>0</v>
      </c>
      <c r="W707" s="0" t="n">
        <f aca="false">IF(ISBLANK(RawFinancials!W707),"",RawFinancials!W707)</f>
        <v>20250630</v>
      </c>
      <c r="X707" s="0" t="n">
        <f aca="false">IF(ISBLANK(RawFinancials!X707),"",RawFinancials!X707)</f>
        <v>0.859257679559975</v>
      </c>
      <c r="Y707" s="0" t="n">
        <f aca="false">IF(ISBLANK(RawFinancials!Y707),"",RawFinancials!Y707)</f>
        <v>7.57</v>
      </c>
      <c r="Z707" s="0" t="str">
        <f aca="false">IF(ISBLANK(RawFinancials!Z707),"",RawFinancials!Z707)</f>
        <v>ME</v>
      </c>
      <c r="AA707" s="0" t="n">
        <f aca="false">RawFinancials!AA707</f>
        <v>1</v>
      </c>
      <c r="AB707" s="0" t="n">
        <f aca="false">RawFinancials!AB707</f>
        <v>10168</v>
      </c>
      <c r="AC707" s="0" t="n">
        <f aca="false">RawFinancials!AC707</f>
        <v>0.493760015539261</v>
      </c>
      <c r="AD707" s="0" t="n">
        <f aca="false">IF(L707&gt;0,100*N707/L707,"")</f>
        <v>85.7664967037145</v>
      </c>
      <c r="AE707" s="0" t="n">
        <f aca="false">IF(B707&gt;0,100*F707/B707,"")</f>
        <v>11.593308405769</v>
      </c>
      <c r="AF707" s="0" t="str">
        <f aca="false">RawFinancials!AE707</f>
        <v>原始0：需核实适用/报告口径</v>
      </c>
    </row>
    <row r="708" customFormat="false" ht="15" hidden="false" customHeight="false" outlineLevel="0" collapsed="false">
      <c r="A708" s="0" t="n">
        <f aca="false">IF(ISBLANK(RawFinancials!A708),"",RawFinancials!A708)</f>
        <v>708</v>
      </c>
      <c r="B708" s="0" t="n">
        <f aca="false">IF(ISBLANK(RawFinancials!B708),"",RawFinancials!B708)</f>
        <v>2758302</v>
      </c>
      <c r="C708" s="0" t="n">
        <f aca="false">IF(ISBLANK(RawFinancials!C708),"",RawFinancials!C708)</f>
        <v>17741</v>
      </c>
      <c r="D708" s="0" t="n">
        <f aca="false">IF(ISBLANK(RawFinancials!D708),"",RawFinancials!D708)</f>
        <v>2253432</v>
      </c>
      <c r="E708" s="0" t="n">
        <f aca="false">IF(ISBLANK(RawFinancials!E708),"",RawFinancials!E708)</f>
        <v>-0.05</v>
      </c>
      <c r="F708" s="0" t="n">
        <f aca="false">IF(ISBLANK(RawFinancials!F708),"",RawFinancials!F708)</f>
        <v>250972</v>
      </c>
      <c r="G708" s="0" t="n">
        <f aca="false">IF(ISBLANK(RawFinancials!G708),"",RawFinancials!G708)</f>
        <v>9.09878613726851</v>
      </c>
      <c r="H708" s="0" t="str">
        <f aca="false">IF(ISBLANK(RawFinancials!H708),"",RawFinancials!H708)</f>
        <v>17741_20250630</v>
      </c>
      <c r="I708" s="0" t="n">
        <f aca="false">IF(ISBLANK(RawFinancials!I708),"",RawFinancials!I708)</f>
        <v>0.702982604583482</v>
      </c>
      <c r="J708" s="0" t="n">
        <f aca="false">IF(ISBLANK(RawFinancials!J708),"",RawFinancials!J708)</f>
        <v>210200</v>
      </c>
      <c r="K708" s="0" t="n">
        <f aca="false">IF(ISBLANK(RawFinancials!K708),"",RawFinancials!K708)</f>
        <v>6792</v>
      </c>
      <c r="L708" s="0" t="n">
        <f aca="false">IF(ISBLANK(RawFinancials!L708),"",RawFinancials!L708)</f>
        <v>2277439</v>
      </c>
      <c r="M708" s="0" t="n">
        <f aca="false">IF(ISBLANK(RawFinancials!M708),"",RawFinancials!M708)</f>
        <v>2261429</v>
      </c>
      <c r="N708" s="0" t="n">
        <f aca="false">IF(ISBLANK(RawFinancials!N708),"",RawFinancials!N708)</f>
        <v>2016043</v>
      </c>
      <c r="O708" s="0" t="n">
        <f aca="false">IF(ISBLANK(RawFinancials!O708),"",RawFinancials!O708)</f>
        <v>14212</v>
      </c>
      <c r="P708" s="0" t="str">
        <f aca="false">IF(ISBLANK(RawFinancials!P708),"",RawFinancials!P708)</f>
        <v>MAINE COMMUNITY BANK</v>
      </c>
      <c r="Q708" s="0" t="n">
        <f aca="false">IF(ISBLANK(RawFinancials!Q708),"",RawFinancials!Q708)</f>
        <v>0.624034277098091</v>
      </c>
      <c r="R708" s="0" t="n">
        <f aca="false">IF(ISBLANK(RawFinancials!R708),"",RawFinancials!R708)</f>
        <v>4.42459457596169</v>
      </c>
      <c r="S708" s="0" t="n">
        <f aca="false">IF(ISBLANK(RawFinancials!S708),"",RawFinancials!S708)</f>
        <v>-16</v>
      </c>
      <c r="T708" s="0" t="n">
        <f aca="false">IF(ISBLANK(RawFinancials!T708),"",RawFinancials!T708)</f>
        <v>5485</v>
      </c>
      <c r="U708" s="0" t="n">
        <f aca="false">IF(ISBLANK(RawFinancials!U708),"",RawFinancials!U708)</f>
        <v>0</v>
      </c>
      <c r="V708" s="0" t="n">
        <f aca="false">IF(ISBLANK(RawFinancials!V708),"",RawFinancials!V708)</f>
        <v>0</v>
      </c>
      <c r="W708" s="0" t="n">
        <f aca="false">IF(ISBLANK(RawFinancials!W708),"",RawFinancials!W708)</f>
        <v>20250630</v>
      </c>
      <c r="X708" s="0" t="n">
        <f aca="false">IF(ISBLANK(RawFinancials!X708),"",RawFinancials!X708)</f>
        <v>0.805862894688845</v>
      </c>
      <c r="Y708" s="0" t="n">
        <f aca="false">IF(ISBLANK(RawFinancials!Y708),"",RawFinancials!Y708)</f>
        <v>8.32</v>
      </c>
      <c r="Z708" s="0" t="str">
        <f aca="false">IF(ISBLANK(RawFinancials!Z708),"",RawFinancials!Z708)</f>
        <v>ME</v>
      </c>
      <c r="AA708" s="0" t="n">
        <f aca="false">RawFinancials!AA708</f>
        <v>1</v>
      </c>
      <c r="AB708" s="0" t="n">
        <f aca="false">RawFinancials!AB708</f>
        <v>14212</v>
      </c>
      <c r="AC708" s="0" t="n">
        <f aca="false">RawFinancials!AC708</f>
        <v>0.515244523623592</v>
      </c>
      <c r="AD708" s="0" t="n">
        <f aca="false">IF(L708&gt;0,100*N708/L708,"")</f>
        <v>88.5223709614176</v>
      </c>
      <c r="AE708" s="0" t="n">
        <f aca="false">IF(B708&gt;0,100*F708/B708,"")</f>
        <v>9.09878613726851</v>
      </c>
      <c r="AF708" s="0" t="str">
        <f aca="false">RawFinancials!AE708</f>
        <v>原始0：需核实适用/报告口径</v>
      </c>
    </row>
    <row r="709" customFormat="false" ht="15" hidden="false" customHeight="false" outlineLevel="0" collapsed="false">
      <c r="A709" s="0" t="n">
        <f aca="false">IF(ISBLANK(RawFinancials!A709),"",RawFinancials!A709)</f>
        <v>709</v>
      </c>
      <c r="B709" s="0" t="n">
        <f aca="false">IF(ISBLANK(RawFinancials!B709),"",RawFinancials!B709)</f>
        <v>1439697</v>
      </c>
      <c r="C709" s="0" t="n">
        <f aca="false">IF(ISBLANK(RawFinancials!C709),"",RawFinancials!C709)</f>
        <v>17743</v>
      </c>
      <c r="D709" s="0" t="n">
        <f aca="false">IF(ISBLANK(RawFinancials!D709),"",RawFinancials!D709)</f>
        <v>1017963</v>
      </c>
      <c r="E709" s="0" t="n">
        <f aca="false">IF(ISBLANK(RawFinancials!E709),"",RawFinancials!E709)</f>
        <v>0.03</v>
      </c>
      <c r="F709" s="0" t="n">
        <f aca="false">IF(ISBLANK(RawFinancials!F709),"",RawFinancials!F709)</f>
        <v>126615</v>
      </c>
      <c r="G709" s="0" t="n">
        <f aca="false">IF(ISBLANK(RawFinancials!G709),"",RawFinancials!G709)</f>
        <v>8.79455885509243</v>
      </c>
      <c r="H709" s="0" t="str">
        <f aca="false">IF(ISBLANK(RawFinancials!H709),"",RawFinancials!H709)</f>
        <v>17743_20250630</v>
      </c>
      <c r="I709" s="0" t="n">
        <f aca="false">IF(ISBLANK(RawFinancials!I709),"",RawFinancials!I709)</f>
        <v>0.417193864286333</v>
      </c>
      <c r="J709" s="0" t="n">
        <f aca="false">IF(ISBLANK(RawFinancials!J709),"",RawFinancials!J709)</f>
        <v>22427</v>
      </c>
      <c r="K709" s="0" t="n">
        <f aca="false">IF(ISBLANK(RawFinancials!K709),"",RawFinancials!K709)</f>
        <v>10475</v>
      </c>
      <c r="L709" s="0" t="n">
        <f aca="false">IF(ISBLANK(RawFinancials!L709),"",RawFinancials!L709)</f>
        <v>1153900</v>
      </c>
      <c r="M709" s="0" t="n">
        <f aca="false">IF(ISBLANK(RawFinancials!M709),"",RawFinancials!M709)</f>
        <v>1149086</v>
      </c>
      <c r="N709" s="0" t="n">
        <f aca="false">IF(ISBLANK(RawFinancials!N709),"",RawFinancials!N709)</f>
        <v>1110982</v>
      </c>
      <c r="O709" s="0" t="n">
        <f aca="false">IF(ISBLANK(RawFinancials!O709),"",RawFinancials!O709)</f>
        <v>407</v>
      </c>
      <c r="P709" s="0" t="str">
        <f aca="false">IF(ISBLANK(RawFinancials!P709),"",RawFinancials!P709)</f>
        <v>SACO &amp; BIDDEFORD SAVINGS INSTITUTION</v>
      </c>
      <c r="Q709" s="0" t="n">
        <f aca="false">IF(ISBLANK(RawFinancials!Q709),"",RawFinancials!Q709)</f>
        <v>0.0352716873212583</v>
      </c>
      <c r="R709" s="0" t="n">
        <f aca="false">IF(ISBLANK(RawFinancials!R709),"",RawFinancials!R709)</f>
        <v>2.0701108760452</v>
      </c>
      <c r="S709" s="0" t="n">
        <f aca="false">IF(ISBLANK(RawFinancials!S709),"",RawFinancials!S709)</f>
        <v>94</v>
      </c>
      <c r="T709" s="0" t="n">
        <f aca="false">IF(ISBLANK(RawFinancials!T709),"",RawFinancials!T709)</f>
        <v>1517</v>
      </c>
      <c r="U709" s="0" t="n">
        <f aca="false">IF(ISBLANK(RawFinancials!U709),"",RawFinancials!U709)</f>
        <v>0</v>
      </c>
      <c r="V709" s="0" t="n">
        <f aca="false">IF(ISBLANK(RawFinancials!V709),"",RawFinancials!V709)</f>
        <v>0</v>
      </c>
      <c r="W709" s="0" t="n">
        <f aca="false">IF(ISBLANK(RawFinancials!W709),"",RawFinancials!W709)</f>
        <v>20250630</v>
      </c>
      <c r="X709" s="0" t="n">
        <f aca="false">IF(ISBLANK(RawFinancials!X709),"",RawFinancials!X709)</f>
        <v>0.0674104441716298</v>
      </c>
      <c r="Y709" s="0" t="n">
        <f aca="false">IF(ISBLANK(RawFinancials!Y709),"",RawFinancials!Y709)</f>
        <v>0.76</v>
      </c>
      <c r="Z709" s="0" t="str">
        <f aca="false">IF(ISBLANK(RawFinancials!Z709),"",RawFinancials!Z709)</f>
        <v>ME</v>
      </c>
      <c r="AA709" s="0" t="n">
        <f aca="false">RawFinancials!AA709</f>
        <v>1</v>
      </c>
      <c r="AB709" s="0" t="n">
        <f aca="false">RawFinancials!AB709</f>
        <v>407</v>
      </c>
      <c r="AC709" s="0" t="n">
        <f aca="false">RawFinancials!AC709</f>
        <v>0.0282698373338279</v>
      </c>
      <c r="AD709" s="0" t="n">
        <f aca="false">IF(L709&gt;0,100*N709/L709,"")</f>
        <v>96.2806135713667</v>
      </c>
      <c r="AE709" s="0" t="n">
        <f aca="false">IF(B709&gt;0,100*F709/B709,"")</f>
        <v>8.79455885509243</v>
      </c>
      <c r="AF709" s="0" t="str">
        <f aca="false">RawFinancials!AE709</f>
        <v>原始0：需核实适用/报告口径</v>
      </c>
    </row>
    <row r="710" customFormat="false" ht="15" hidden="false" customHeight="false" outlineLevel="0" collapsed="false">
      <c r="A710" s="0" t="n">
        <f aca="false">IF(ISBLANK(RawFinancials!A710),"",RawFinancials!A710)</f>
        <v>710</v>
      </c>
      <c r="B710" s="0" t="n">
        <f aca="false">IF(ISBLANK(RawFinancials!B710),"",RawFinancials!B710)</f>
        <v>1447972</v>
      </c>
      <c r="C710" s="0" t="n">
        <f aca="false">IF(ISBLANK(RawFinancials!C710),"",RawFinancials!C710)</f>
        <v>17749</v>
      </c>
      <c r="D710" s="0" t="n">
        <f aca="false">IF(ISBLANK(RawFinancials!D710),"",RawFinancials!D710)</f>
        <v>1125192</v>
      </c>
      <c r="E710" s="0" t="n">
        <f aca="false">IF(ISBLANK(RawFinancials!E710),"",RawFinancials!E710)</f>
        <v>0.07</v>
      </c>
      <c r="F710" s="0" t="n">
        <f aca="false">IF(ISBLANK(RawFinancials!F710),"",RawFinancials!F710)</f>
        <v>203598</v>
      </c>
      <c r="G710" s="0" t="n">
        <f aca="false">IF(ISBLANK(RawFinancials!G710),"",RawFinancials!G710)</f>
        <v>14.0609072551127</v>
      </c>
      <c r="H710" s="0" t="str">
        <f aca="false">IF(ISBLANK(RawFinancials!H710),"",RawFinancials!H710)</f>
        <v>17749_20250630</v>
      </c>
      <c r="I710" s="0" t="n">
        <f aca="false">IF(ISBLANK(RawFinancials!I710),"",RawFinancials!I710)</f>
        <v>1.4555969476298</v>
      </c>
      <c r="J710" s="0" t="n">
        <f aca="false">IF(ISBLANK(RawFinancials!J710),"",RawFinancials!J710)</f>
        <v>57319</v>
      </c>
      <c r="K710" s="0" t="n">
        <f aca="false">IF(ISBLANK(RawFinancials!K710),"",RawFinancials!K710)</f>
        <v>10778</v>
      </c>
      <c r="L710" s="0" t="n">
        <f aca="false">IF(ISBLANK(RawFinancials!L710),"",RawFinancials!L710)</f>
        <v>837251</v>
      </c>
      <c r="M710" s="0" t="n">
        <f aca="false">IF(ISBLANK(RawFinancials!M710),"",RawFinancials!M710)</f>
        <v>825064</v>
      </c>
      <c r="N710" s="0" t="n">
        <f aca="false">IF(ISBLANK(RawFinancials!N710),"",RawFinancials!N710)</f>
        <v>759223</v>
      </c>
      <c r="O710" s="0" t="n">
        <f aca="false">IF(ISBLANK(RawFinancials!O710),"",RawFinancials!O710)</f>
        <v>1306</v>
      </c>
      <c r="P710" s="0" t="str">
        <f aca="false">IF(ISBLANK(RawFinancials!P710),"",RawFinancials!P710)</f>
        <v>BATH SAVINGS INSTITUTION</v>
      </c>
      <c r="Q710" s="0" t="n">
        <f aca="false">IF(ISBLANK(RawFinancials!Q710),"",RawFinancials!Q710)</f>
        <v>0.163869616160506</v>
      </c>
      <c r="R710" s="0" t="n">
        <f aca="false">IF(ISBLANK(RawFinancials!R710),"",RawFinancials!R710)</f>
        <v>2.6965287741223</v>
      </c>
      <c r="S710" s="0" t="n">
        <f aca="false">IF(ISBLANK(RawFinancials!S710),"",RawFinancials!S710)</f>
        <v>-18</v>
      </c>
      <c r="T710" s="0" t="n">
        <f aca="false">IF(ISBLANK(RawFinancials!T710),"",RawFinancials!T710)</f>
        <v>2108</v>
      </c>
      <c r="U710" s="0" t="n">
        <f aca="false">IF(ISBLANK(RawFinancials!U710),"",RawFinancials!U710)</f>
        <v>66</v>
      </c>
      <c r="V710" s="0" t="n">
        <f aca="false">IF(ISBLANK(RawFinancials!V710),"",RawFinancials!V710)</f>
        <v>0</v>
      </c>
      <c r="W710" s="0" t="n">
        <f aca="false">IF(ISBLANK(RawFinancials!W710),"",RawFinancials!W710)</f>
        <v>20250630</v>
      </c>
      <c r="X710" s="0" t="n">
        <f aca="false">IF(ISBLANK(RawFinancials!X710),"",RawFinancials!X710)</f>
        <v>0.885431471938352</v>
      </c>
      <c r="Y710" s="0" t="n">
        <f aca="false">IF(ISBLANK(RawFinancials!Y710),"",RawFinancials!Y710)</f>
        <v>6.39</v>
      </c>
      <c r="Z710" s="0" t="str">
        <f aca="false">IF(ISBLANK(RawFinancials!Z710),"",RawFinancials!Z710)</f>
        <v>ME</v>
      </c>
      <c r="AA710" s="0" t="n">
        <f aca="false">RawFinancials!AA710</f>
        <v>1</v>
      </c>
      <c r="AB710" s="0" t="n">
        <f aca="false">RawFinancials!AB710</f>
        <v>1372</v>
      </c>
      <c r="AC710" s="0" t="n">
        <f aca="false">RawFinancials!AC710</f>
        <v>0.0947532134599288</v>
      </c>
      <c r="AD710" s="0" t="n">
        <f aca="false">IF(L710&gt;0,100*N710/L710,"")</f>
        <v>90.6804530541021</v>
      </c>
      <c r="AE710" s="0" t="n">
        <f aca="false">IF(B710&gt;0,100*F710/B710,"")</f>
        <v>14.0609072551127</v>
      </c>
      <c r="AF710" s="0" t="str">
        <f aca="false">RawFinancials!AE710</f>
        <v>原始0：需核实适用/报告口径</v>
      </c>
    </row>
    <row r="711" customFormat="false" ht="15" hidden="false" customHeight="false" outlineLevel="0" collapsed="false">
      <c r="A711" s="0" t="n">
        <f aca="false">IF(ISBLANK(RawFinancials!A711),"",RawFinancials!A711)</f>
        <v>711</v>
      </c>
      <c r="B711" s="0" t="n">
        <f aca="false">IF(ISBLANK(RawFinancials!B711),"",RawFinancials!B711)</f>
        <v>1763462</v>
      </c>
      <c r="C711" s="0" t="n">
        <f aca="false">IF(ISBLANK(RawFinancials!C711),"",RawFinancials!C711)</f>
        <v>17751</v>
      </c>
      <c r="D711" s="0" t="n">
        <f aca="false">IF(ISBLANK(RawFinancials!D711),"",RawFinancials!D711)</f>
        <v>1373195</v>
      </c>
      <c r="E711" s="0" t="n">
        <f aca="false">IF(ISBLANK(RawFinancials!E711),"",RawFinancials!E711)</f>
        <v>0.07</v>
      </c>
      <c r="F711" s="0" t="n">
        <f aca="false">IF(ISBLANK(RawFinancials!F711),"",RawFinancials!F711)</f>
        <v>175467</v>
      </c>
      <c r="G711" s="0" t="n">
        <f aca="false">IF(ISBLANK(RawFinancials!G711),"",RawFinancials!G711)</f>
        <v>9.95014352449897</v>
      </c>
      <c r="H711" s="0" t="str">
        <f aca="false">IF(ISBLANK(RawFinancials!H711),"",RawFinancials!H711)</f>
        <v>17751_20250630</v>
      </c>
      <c r="I711" s="0" t="n">
        <f aca="false">IF(ISBLANK(RawFinancials!I711),"",RawFinancials!I711)</f>
        <v>0.936055538700409</v>
      </c>
      <c r="J711" s="0" t="n">
        <f aca="false">IF(ISBLANK(RawFinancials!J711),"",RawFinancials!J711)</f>
        <v>149887</v>
      </c>
      <c r="K711" s="0" t="n">
        <f aca="false">IF(ISBLANK(RawFinancials!K711),"",RawFinancials!K711)</f>
        <v>2254</v>
      </c>
      <c r="L711" s="0" t="n">
        <f aca="false">IF(ISBLANK(RawFinancials!L711),"",RawFinancials!L711)</f>
        <v>1456858</v>
      </c>
      <c r="M711" s="0" t="n">
        <f aca="false">IF(ISBLANK(RawFinancials!M711),"",RawFinancials!M711)</f>
        <v>1443221</v>
      </c>
      <c r="N711" s="0" t="n">
        <f aca="false">IF(ISBLANK(RawFinancials!N711),"",RawFinancials!N711)</f>
        <v>1232944</v>
      </c>
      <c r="O711" s="0" t="n">
        <f aca="false">IF(ISBLANK(RawFinancials!O711),"",RawFinancials!O711)</f>
        <v>2425</v>
      </c>
      <c r="P711" s="0" t="str">
        <f aca="false">IF(ISBLANK(RawFinancials!P711),"",RawFinancials!P711)</f>
        <v>ANDROSCOGGIN SAVINGS BANK</v>
      </c>
      <c r="Q711" s="0" t="n">
        <f aca="false">IF(ISBLANK(RawFinancials!Q711),"",RawFinancials!Q711)</f>
        <v>0.166454108773813</v>
      </c>
      <c r="R711" s="0" t="n">
        <f aca="false">IF(ISBLANK(RawFinancials!R711),"",RawFinancials!R711)</f>
        <v>2.8715752461615</v>
      </c>
      <c r="S711" s="0" t="n">
        <f aca="false">IF(ISBLANK(RawFinancials!S711),"",RawFinancials!S711)</f>
        <v>-45</v>
      </c>
      <c r="T711" s="0" t="n">
        <f aca="false">IF(ISBLANK(RawFinancials!T711),"",RawFinancials!T711)</f>
        <v>6455</v>
      </c>
      <c r="U711" s="0" t="n">
        <f aca="false">IF(ISBLANK(RawFinancials!U711),"",RawFinancials!U711)</f>
        <v>0</v>
      </c>
      <c r="V711" s="0" t="n">
        <f aca="false">IF(ISBLANK(RawFinancials!V711),"",RawFinancials!V711)</f>
        <v>13.9221615094596</v>
      </c>
      <c r="W711" s="0" t="n">
        <f aca="false">IF(ISBLANK(RawFinancials!W711),"",RawFinancials!W711)</f>
        <v>20250630</v>
      </c>
      <c r="X711" s="0" t="n">
        <f aca="false">IF(ISBLANK(RawFinancials!X711),"",RawFinancials!X711)</f>
        <v>0.456345594479789</v>
      </c>
      <c r="Y711" s="0" t="n">
        <f aca="false">IF(ISBLANK(RawFinancials!Y711),"",RawFinancials!Y711)</f>
        <v>4.95</v>
      </c>
      <c r="Z711" s="0" t="str">
        <f aca="false">IF(ISBLANK(RawFinancials!Z711),"",RawFinancials!Z711)</f>
        <v>ME</v>
      </c>
      <c r="AA711" s="0" t="n">
        <f aca="false">RawFinancials!AA711</f>
        <v>1</v>
      </c>
      <c r="AB711" s="0" t="n">
        <f aca="false">RawFinancials!AB711</f>
        <v>2425</v>
      </c>
      <c r="AC711" s="0" t="n">
        <f aca="false">RawFinancials!AC711</f>
        <v>0.137513595416289</v>
      </c>
      <c r="AD711" s="0" t="n">
        <f aca="false">IF(L711&gt;0,100*N711/L711,"")</f>
        <v>84.6303483249569</v>
      </c>
      <c r="AE711" s="0" t="n">
        <f aca="false">IF(B711&gt;0,100*F711/B711,"")</f>
        <v>9.95014352449897</v>
      </c>
      <c r="AF711" s="0" t="str">
        <f aca="false">RawFinancials!AE711</f>
        <v/>
      </c>
    </row>
    <row r="712" customFormat="false" ht="15" hidden="false" customHeight="false" outlineLevel="0" collapsed="false">
      <c r="A712" s="0" t="n">
        <f aca="false">IF(ISBLANK(RawFinancials!A712),"",RawFinancials!A712)</f>
        <v>712</v>
      </c>
      <c r="B712" s="0" t="n">
        <f aca="false">IF(ISBLANK(RawFinancials!B712),"",RawFinancials!B712)</f>
        <v>1790373</v>
      </c>
      <c r="C712" s="0" t="n">
        <f aca="false">IF(ISBLANK(RawFinancials!C712),"",RawFinancials!C712)</f>
        <v>17897</v>
      </c>
      <c r="D712" s="0" t="n">
        <f aca="false">IF(ISBLANK(RawFinancials!D712),"",RawFinancials!D712)</f>
        <v>1352989</v>
      </c>
      <c r="E712" s="0" t="n">
        <f aca="false">IF(ISBLANK(RawFinancials!E712),"",RawFinancials!E712)</f>
        <v>0.03</v>
      </c>
      <c r="F712" s="0" t="n">
        <f aca="false">IF(ISBLANK(RawFinancials!F712),"",RawFinancials!F712)</f>
        <v>226000</v>
      </c>
      <c r="G712" s="0" t="n">
        <f aca="false">IF(ISBLANK(RawFinancials!G712),"",RawFinancials!G712)</f>
        <v>12.6230679305374</v>
      </c>
      <c r="H712" s="0" t="str">
        <f aca="false">IF(ISBLANK(RawFinancials!H712),"",RawFinancials!H712)</f>
        <v>17897_20250630</v>
      </c>
      <c r="I712" s="0" t="n">
        <f aca="false">IF(ISBLANK(RawFinancials!I712),"",RawFinancials!I712)</f>
        <v>0.61435777620828</v>
      </c>
      <c r="J712" s="0" t="n">
        <f aca="false">IF(ISBLANK(RawFinancials!J712),"",RawFinancials!J712)</f>
        <v>82889</v>
      </c>
      <c r="K712" s="0" t="n">
        <f aca="false">IF(ISBLANK(RawFinancials!K712),"",RawFinancials!K712)</f>
        <v>2700</v>
      </c>
      <c r="L712" s="0" t="n">
        <f aca="false">IF(ISBLANK(RawFinancials!L712),"",RawFinancials!L712)</f>
        <v>1493755</v>
      </c>
      <c r="M712" s="0" t="n">
        <f aca="false">IF(ISBLANK(RawFinancials!M712),"",RawFinancials!M712)</f>
        <v>1484578</v>
      </c>
      <c r="N712" s="0" t="n">
        <f aca="false">IF(ISBLANK(RawFinancials!N712),"",RawFinancials!N712)</f>
        <v>1393686</v>
      </c>
      <c r="O712" s="0" t="n">
        <f aca="false">IF(ISBLANK(RawFinancials!O712),"",RawFinancials!O712)</f>
        <v>5391</v>
      </c>
      <c r="P712" s="0" t="str">
        <f aca="false">IF(ISBLANK(RawFinancials!P712),"",RawFinancials!P712)</f>
        <v>KENNEBEC SAVINGS BANK</v>
      </c>
      <c r="Q712" s="0" t="n">
        <f aca="false">IF(ISBLANK(RawFinancials!Q712),"",RawFinancials!Q712)</f>
        <v>0.360902557648343</v>
      </c>
      <c r="R712" s="0" t="n">
        <f aca="false">IF(ISBLANK(RawFinancials!R712),"",RawFinancials!R712)</f>
        <v>2.75154108647398</v>
      </c>
      <c r="S712" s="0" t="n">
        <f aca="false">IF(ISBLANK(RawFinancials!S712),"",RawFinancials!S712)</f>
        <v>6</v>
      </c>
      <c r="T712" s="0" t="n">
        <f aca="false">IF(ISBLANK(RawFinancials!T712),"",RawFinancials!T712)</f>
        <v>8456</v>
      </c>
      <c r="U712" s="0" t="n">
        <f aca="false">IF(ISBLANK(RawFinancials!U712),"",RawFinancials!U712)</f>
        <v>0</v>
      </c>
      <c r="V712" s="0" t="n">
        <f aca="false">IF(ISBLANK(RawFinancials!V712),"",RawFinancials!V712)</f>
        <v>17.6818933802263</v>
      </c>
      <c r="W712" s="0" t="n">
        <f aca="false">IF(ISBLANK(RawFinancials!W712),"",RawFinancials!W712)</f>
        <v>20250630</v>
      </c>
      <c r="X712" s="0" t="n">
        <f aca="false">IF(ISBLANK(RawFinancials!X712),"",RawFinancials!X712)</f>
        <v>0.973987306631968</v>
      </c>
      <c r="Y712" s="0" t="n">
        <f aca="false">IF(ISBLANK(RawFinancials!Y712),"",RawFinancials!Y712)</f>
        <v>7.84</v>
      </c>
      <c r="Z712" s="0" t="str">
        <f aca="false">IF(ISBLANK(RawFinancials!Z712),"",RawFinancials!Z712)</f>
        <v>ME</v>
      </c>
      <c r="AA712" s="0" t="n">
        <f aca="false">RawFinancials!AA712</f>
        <v>1</v>
      </c>
      <c r="AB712" s="0" t="n">
        <f aca="false">RawFinancials!AB712</f>
        <v>5391</v>
      </c>
      <c r="AC712" s="0" t="n">
        <f aca="false">RawFinancials!AC712</f>
        <v>0.301110438997907</v>
      </c>
      <c r="AD712" s="0" t="n">
        <f aca="false">IF(L712&gt;0,100*N712/L712,"")</f>
        <v>93.3008425076401</v>
      </c>
      <c r="AE712" s="0" t="n">
        <f aca="false">IF(B712&gt;0,100*F712/B712,"")</f>
        <v>12.6230679305374</v>
      </c>
      <c r="AF712" s="0" t="str">
        <f aca="false">RawFinancials!AE712</f>
        <v/>
      </c>
    </row>
    <row r="713" customFormat="false" ht="15" hidden="false" customHeight="false" outlineLevel="0" collapsed="false">
      <c r="A713" s="0" t="n">
        <f aca="false">IF(ISBLANK(RawFinancials!A713),"",RawFinancials!A713)</f>
        <v>713</v>
      </c>
      <c r="B713" s="0" t="n">
        <f aca="false">IF(ISBLANK(RawFinancials!B713),"",RawFinancials!B713)</f>
        <v>905293</v>
      </c>
      <c r="C713" s="0" t="n">
        <f aca="false">IF(ISBLANK(RawFinancials!C713),"",RawFinancials!C713)</f>
        <v>17951</v>
      </c>
      <c r="D713" s="0" t="n">
        <f aca="false">IF(ISBLANK(RawFinancials!D713),"",RawFinancials!D713)</f>
        <v>747263</v>
      </c>
      <c r="E713" s="0" t="n">
        <f aca="false">IF(ISBLANK(RawFinancials!E713),"",RawFinancials!E713)</f>
        <v>0.1</v>
      </c>
      <c r="F713" s="0" t="n">
        <f aca="false">IF(ISBLANK(RawFinancials!F713),"",RawFinancials!F713)</f>
        <v>70680</v>
      </c>
      <c r="G713" s="0" t="n">
        <f aca="false">IF(ISBLANK(RawFinancials!G713),"",RawFinancials!G713)</f>
        <v>7.80741704619388</v>
      </c>
      <c r="H713" s="0" t="str">
        <f aca="false">IF(ISBLANK(RawFinancials!H713),"",RawFinancials!H713)</f>
        <v>17951_20250630</v>
      </c>
      <c r="I713" s="0" t="n">
        <f aca="false">IF(ISBLANK(RawFinancials!I713),"",RawFinancials!I713)</f>
        <v>0.828192817914186</v>
      </c>
      <c r="J713" s="0" t="n">
        <f aca="false">IF(ISBLANK(RawFinancials!J713),"",RawFinancials!J713)</f>
        <v>39465</v>
      </c>
      <c r="K713" s="0" t="n">
        <f aca="false">IF(ISBLANK(RawFinancials!K713),"",RawFinancials!K713)</f>
        <v>1480</v>
      </c>
      <c r="L713" s="0" t="n">
        <f aca="false">IF(ISBLANK(RawFinancials!L713),"",RawFinancials!L713)</f>
        <v>694645</v>
      </c>
      <c r="M713" s="0" t="n">
        <f aca="false">IF(ISBLANK(RawFinancials!M713),"",RawFinancials!M713)</f>
        <v>688892</v>
      </c>
      <c r="N713" s="0" t="n">
        <f aca="false">IF(ISBLANK(RawFinancials!N713),"",RawFinancials!N713)</f>
        <v>636895</v>
      </c>
      <c r="O713" s="0" t="n">
        <f aca="false">IF(ISBLANK(RawFinancials!O713),"",RawFinancials!O713)</f>
        <v>150</v>
      </c>
      <c r="P713" s="0" t="str">
        <f aca="false">IF(ISBLANK(RawFinancials!P713),"",RawFinancials!P713)</f>
        <v>FRANKLIN SAVINGS BANK</v>
      </c>
      <c r="Q713" s="0" t="n">
        <f aca="false">IF(ISBLANK(RawFinancials!Q713),"",RawFinancials!Q713)</f>
        <v>0.0215937637210373</v>
      </c>
      <c r="R713" s="0" t="n">
        <f aca="false">IF(ISBLANK(RawFinancials!R713),"",RawFinancials!R713)</f>
        <v>2.79825775230603</v>
      </c>
      <c r="S713" s="0" t="n">
        <f aca="false">IF(ISBLANK(RawFinancials!S713),"",RawFinancials!S713)</f>
        <v>-2</v>
      </c>
      <c r="T713" s="0" t="n">
        <f aca="false">IF(ISBLANK(RawFinancials!T713),"",RawFinancials!T713)</f>
        <v>1481</v>
      </c>
      <c r="U713" s="0" t="n">
        <f aca="false">IF(ISBLANK(RawFinancials!U713),"",RawFinancials!U713)</f>
        <v>0</v>
      </c>
      <c r="V713" s="0" t="n">
        <f aca="false">IF(ISBLANK(RawFinancials!V713),"",RawFinancials!V713)</f>
        <v>13.0942608216289</v>
      </c>
      <c r="W713" s="0" t="n">
        <f aca="false">IF(ISBLANK(RawFinancials!W713),"",RawFinancials!W713)</f>
        <v>20250630</v>
      </c>
      <c r="X713" s="0" t="n">
        <f aca="false">IF(ISBLANK(RawFinancials!X713),"",RawFinancials!X713)</f>
        <v>0.647365164184546</v>
      </c>
      <c r="Y713" s="0" t="n">
        <f aca="false">IF(ISBLANK(RawFinancials!Y713),"",RawFinancials!Y713)</f>
        <v>8.15</v>
      </c>
      <c r="Z713" s="0" t="str">
        <f aca="false">IF(ISBLANK(RawFinancials!Z713),"",RawFinancials!Z713)</f>
        <v>NH</v>
      </c>
      <c r="AA713" s="0" t="n">
        <f aca="false">RawFinancials!AA713</f>
        <v>1</v>
      </c>
      <c r="AB713" s="0" t="n">
        <f aca="false">RawFinancials!AB713</f>
        <v>150</v>
      </c>
      <c r="AC713" s="0" t="n">
        <f aca="false">RawFinancials!AC713</f>
        <v>0.0165692212355558</v>
      </c>
      <c r="AD713" s="0" t="n">
        <f aca="false">IF(L713&gt;0,100*N713/L713,"")</f>
        <v>91.6864009674006</v>
      </c>
      <c r="AE713" s="0" t="n">
        <f aca="false">IF(B713&gt;0,100*F713/B713,"")</f>
        <v>7.80741704619388</v>
      </c>
      <c r="AF713" s="0" t="str">
        <f aca="false">RawFinancials!AE713</f>
        <v/>
      </c>
    </row>
    <row r="714" customFormat="false" ht="15" hidden="false" customHeight="false" outlineLevel="0" collapsed="false">
      <c r="A714" s="0" t="n">
        <f aca="false">IF(ISBLANK(RawFinancials!A714),"",RawFinancials!A714)</f>
        <v>714</v>
      </c>
      <c r="B714" s="0" t="n">
        <f aca="false">IF(ISBLANK(RawFinancials!B714),"",RawFinancials!B714)</f>
        <v>1351508</v>
      </c>
      <c r="C714" s="0" t="n">
        <f aca="false">IF(ISBLANK(RawFinancials!C714),"",RawFinancials!C714)</f>
        <v>17960</v>
      </c>
      <c r="D714" s="0" t="n">
        <f aca="false">IF(ISBLANK(RawFinancials!D714),"",RawFinancials!D714)</f>
        <v>1099933</v>
      </c>
      <c r="E714" s="0" t="n">
        <f aca="false">IF(ISBLANK(RawFinancials!E714),"",RawFinancials!E714)</f>
        <v>0.16</v>
      </c>
      <c r="F714" s="0" t="n">
        <f aca="false">IF(ISBLANK(RawFinancials!F714),"",RawFinancials!F714)</f>
        <v>119316</v>
      </c>
      <c r="G714" s="0" t="n">
        <f aca="false">IF(ISBLANK(RawFinancials!G714),"",RawFinancials!G714)</f>
        <v>8.82836061643734</v>
      </c>
      <c r="H714" s="0" t="str">
        <f aca="false">IF(ISBLANK(RawFinancials!H714),"",RawFinancials!H714)</f>
        <v>17960_20250630</v>
      </c>
      <c r="I714" s="0" t="n">
        <f aca="false">IF(ISBLANK(RawFinancials!I714),"",RawFinancials!I714)</f>
        <v>1.1168697299263</v>
      </c>
      <c r="J714" s="0" t="n">
        <f aca="false">IF(ISBLANK(RawFinancials!J714),"",RawFinancials!J714)</f>
        <v>119286</v>
      </c>
      <c r="K714" s="0" t="n">
        <f aca="false">IF(ISBLANK(RawFinancials!K714),"",RawFinancials!K714)</f>
        <v>216067</v>
      </c>
      <c r="L714" s="0" t="n">
        <f aca="false">IF(ISBLANK(RawFinancials!L714),"",RawFinancials!L714)</f>
        <v>1146687</v>
      </c>
      <c r="M714" s="0" t="n">
        <f aca="false">IF(ISBLANK(RawFinancials!M714),"",RawFinancials!M714)</f>
        <v>1133880</v>
      </c>
      <c r="N714" s="0" t="n">
        <f aca="false">IF(ISBLANK(RawFinancials!N714),"",RawFinancials!N714)</f>
        <v>807602</v>
      </c>
      <c r="O714" s="0" t="n">
        <f aca="false">IF(ISBLANK(RawFinancials!O714),"",RawFinancials!O714)</f>
        <v>7677</v>
      </c>
      <c r="P714" s="0" t="str">
        <f aca="false">IF(ISBLANK(RawFinancials!P714),"",RawFinancials!P714)</f>
        <v>MERRIMACK COUNTY SAVINGS BANK</v>
      </c>
      <c r="Q714" s="0" t="n">
        <f aca="false">IF(ISBLANK(RawFinancials!Q714),"",RawFinancials!Q714)</f>
        <v>0.669493942113236</v>
      </c>
      <c r="R714" s="0" t="n">
        <f aca="false">IF(ISBLANK(RawFinancials!R714),"",RawFinancials!R714)</f>
        <v>2.95418789912176</v>
      </c>
      <c r="S714" s="0" t="n">
        <f aca="false">IF(ISBLANK(RawFinancials!S714),"",RawFinancials!S714)</f>
        <v>430</v>
      </c>
      <c r="T714" s="0" t="n">
        <f aca="false">IF(ISBLANK(RawFinancials!T714),"",RawFinancials!T714)</f>
        <v>5189</v>
      </c>
      <c r="U714" s="0" t="n">
        <f aca="false">IF(ISBLANK(RawFinancials!U714),"",RawFinancials!U714)</f>
        <v>0</v>
      </c>
      <c r="V714" s="0" t="n">
        <f aca="false">IF(ISBLANK(RawFinancials!V714),"",RawFinancials!V714)</f>
        <v>13.7977129571644</v>
      </c>
      <c r="W714" s="0" t="n">
        <f aca="false">IF(ISBLANK(RawFinancials!W714),"",RawFinancials!W714)</f>
        <v>20250630</v>
      </c>
      <c r="X714" s="0" t="n">
        <f aca="false">IF(ISBLANK(RawFinancials!X714),"",RawFinancials!X714)</f>
        <v>0.262782180471353</v>
      </c>
      <c r="Y714" s="0" t="n">
        <f aca="false">IF(ISBLANK(RawFinancials!Y714),"",RawFinancials!Y714)</f>
        <v>3.02</v>
      </c>
      <c r="Z714" s="0" t="str">
        <f aca="false">IF(ISBLANK(RawFinancials!Z714),"",RawFinancials!Z714)</f>
        <v>NH</v>
      </c>
      <c r="AA714" s="0" t="n">
        <f aca="false">RawFinancials!AA714</f>
        <v>1</v>
      </c>
      <c r="AB714" s="0" t="n">
        <f aca="false">RawFinancials!AB714</f>
        <v>7677</v>
      </c>
      <c r="AC714" s="0" t="n">
        <f aca="false">RawFinancials!AC714</f>
        <v>0.568032153712742</v>
      </c>
      <c r="AD714" s="0" t="n">
        <f aca="false">IF(L714&gt;0,100*N714/L714,"")</f>
        <v>70.4291580876037</v>
      </c>
      <c r="AE714" s="0" t="n">
        <f aca="false">IF(B714&gt;0,100*F714/B714,"")</f>
        <v>8.82836061643734</v>
      </c>
      <c r="AF714" s="0" t="str">
        <f aca="false">RawFinancials!AE714</f>
        <v/>
      </c>
    </row>
    <row r="715" customFormat="false" ht="15" hidden="false" customHeight="false" outlineLevel="0" collapsed="false">
      <c r="A715" s="0" t="n">
        <f aca="false">IF(ISBLANK(RawFinancials!A715),"",RawFinancials!A715)</f>
        <v>715</v>
      </c>
      <c r="B715" s="0" t="n">
        <f aca="false">IF(ISBLANK(RawFinancials!B715),"",RawFinancials!B715)</f>
        <v>2642289</v>
      </c>
      <c r="C715" s="0" t="n">
        <f aca="false">IF(ISBLANK(RawFinancials!C715),"",RawFinancials!C715)</f>
        <v>18012</v>
      </c>
      <c r="D715" s="0" t="n">
        <f aca="false">IF(ISBLANK(RawFinancials!D715),"",RawFinancials!D715)</f>
        <v>2262357</v>
      </c>
      <c r="E715" s="0" t="n">
        <f aca="false">IF(ISBLANK(RawFinancials!E715),"",RawFinancials!E715)</f>
        <v>0.05</v>
      </c>
      <c r="F715" s="0" t="n">
        <f aca="false">IF(ISBLANK(RawFinancials!F715),"",RawFinancials!F715)</f>
        <v>301653</v>
      </c>
      <c r="G715" s="0" t="n">
        <f aca="false">IF(ISBLANK(RawFinancials!G715),"",RawFinancials!G715)</f>
        <v>11.4163515043207</v>
      </c>
      <c r="H715" s="0" t="str">
        <f aca="false">IF(ISBLANK(RawFinancials!H715),"",RawFinancials!H715)</f>
        <v>18012_20250630</v>
      </c>
      <c r="I715" s="0" t="n">
        <f aca="false">IF(ISBLANK(RawFinancials!I715),"",RawFinancials!I715)</f>
        <v>1.16762325854947</v>
      </c>
      <c r="J715" s="0" t="n">
        <f aca="false">IF(ISBLANK(RawFinancials!J715),"",RawFinancials!J715)</f>
        <v>52326</v>
      </c>
      <c r="K715" s="0" t="n">
        <f aca="false">IF(ISBLANK(RawFinancials!K715),"",RawFinancials!K715)</f>
        <v>25170</v>
      </c>
      <c r="L715" s="0" t="n">
        <f aca="false">IF(ISBLANK(RawFinancials!L715),"",RawFinancials!L715)</f>
        <v>2150865</v>
      </c>
      <c r="M715" s="0" t="n">
        <f aca="false">IF(ISBLANK(RawFinancials!M715),"",RawFinancials!M715)</f>
        <v>2125751</v>
      </c>
      <c r="N715" s="0" t="n">
        <f aca="false">IF(ISBLANK(RawFinancials!N715),"",RawFinancials!N715)</f>
        <v>2050812</v>
      </c>
      <c r="O715" s="0" t="n">
        <f aca="false">IF(ISBLANK(RawFinancials!O715),"",RawFinancials!O715)</f>
        <v>1020</v>
      </c>
      <c r="P715" s="0" t="str">
        <f aca="false">IF(ISBLANK(RawFinancials!P715),"",RawFinancials!P715)</f>
        <v>BANK OF NEW HAMPSHIRE</v>
      </c>
      <c r="Q715" s="0" t="n">
        <f aca="false">IF(ISBLANK(RawFinancials!Q715),"",RawFinancials!Q715)</f>
        <v>0.047422781067152</v>
      </c>
      <c r="R715" s="0" t="n">
        <f aca="false">IF(ISBLANK(RawFinancials!R715),"",RawFinancials!R715)</f>
        <v>2.89560003912315</v>
      </c>
      <c r="S715" s="0" t="n">
        <f aca="false">IF(ISBLANK(RawFinancials!S715),"",RawFinancials!S715)</f>
        <v>115</v>
      </c>
      <c r="T715" s="0" t="n">
        <f aca="false">IF(ISBLANK(RawFinancials!T715),"",RawFinancials!T715)</f>
        <v>4968</v>
      </c>
      <c r="U715" s="0" t="n">
        <f aca="false">IF(ISBLANK(RawFinancials!U715),"",RawFinancials!U715)</f>
        <v>0</v>
      </c>
      <c r="V715" s="0" t="n">
        <f aca="false">IF(ISBLANK(RawFinancials!V715),"",RawFinancials!V715)</f>
        <v>13.9483203193009</v>
      </c>
      <c r="W715" s="0" t="n">
        <f aca="false">IF(ISBLANK(RawFinancials!W715),"",RawFinancials!W715)</f>
        <v>20250630</v>
      </c>
      <c r="X715" s="0" t="n">
        <f aca="false">IF(ISBLANK(RawFinancials!X715),"",RawFinancials!X715)</f>
        <v>0.790802552231915</v>
      </c>
      <c r="Y715" s="0" t="n">
        <f aca="false">IF(ISBLANK(RawFinancials!Y715),"",RawFinancials!Y715)</f>
        <v>7.12</v>
      </c>
      <c r="Z715" s="0" t="str">
        <f aca="false">IF(ISBLANK(RawFinancials!Z715),"",RawFinancials!Z715)</f>
        <v>NH</v>
      </c>
      <c r="AA715" s="0" t="n">
        <f aca="false">RawFinancials!AA715</f>
        <v>1</v>
      </c>
      <c r="AB715" s="0" t="n">
        <f aca="false">RawFinancials!AB715</f>
        <v>1020</v>
      </c>
      <c r="AC715" s="0" t="n">
        <f aca="false">RawFinancials!AC715</f>
        <v>0.0386028931733054</v>
      </c>
      <c r="AD715" s="0" t="n">
        <f aca="false">IF(L715&gt;0,100*N715/L715,"")</f>
        <v>95.3482436136159</v>
      </c>
      <c r="AE715" s="0" t="n">
        <f aca="false">IF(B715&gt;0,100*F715/B715,"")</f>
        <v>11.4163515043207</v>
      </c>
      <c r="AF715" s="0" t="str">
        <f aca="false">RawFinancials!AE715</f>
        <v/>
      </c>
    </row>
    <row r="716" customFormat="false" ht="15" hidden="false" customHeight="false" outlineLevel="0" collapsed="false">
      <c r="A716" s="0" t="n">
        <f aca="false">IF(ISBLANK(RawFinancials!A716),"",RawFinancials!A716)</f>
        <v>716</v>
      </c>
      <c r="B716" s="0" t="n">
        <f aca="false">IF(ISBLANK(RawFinancials!B716),"",RawFinancials!B716)</f>
        <v>2896306</v>
      </c>
      <c r="C716" s="0" t="n">
        <f aca="false">IF(ISBLANK(RawFinancials!C716),"",RawFinancials!C716)</f>
        <v>18013</v>
      </c>
      <c r="D716" s="0" t="n">
        <f aca="false">IF(ISBLANK(RawFinancials!D716),"",RawFinancials!D716)</f>
        <v>2573471</v>
      </c>
      <c r="E716" s="0" t="n">
        <f aca="false">IF(ISBLANK(RawFinancials!E716),"",RawFinancials!E716)</f>
        <v>0.04</v>
      </c>
      <c r="F716" s="0" t="n">
        <f aca="false">IF(ISBLANK(RawFinancials!F716),"",RawFinancials!F716)</f>
        <v>235044</v>
      </c>
      <c r="G716" s="0" t="n">
        <f aca="false">IF(ISBLANK(RawFinancials!G716),"",RawFinancials!G716)</f>
        <v>8.11530273389621</v>
      </c>
      <c r="H716" s="0" t="str">
        <f aca="false">IF(ISBLANK(RawFinancials!H716),"",RawFinancials!H716)</f>
        <v>18013_20250630</v>
      </c>
      <c r="I716" s="0" t="n">
        <f aca="false">IF(ISBLANK(RawFinancials!I716),"",RawFinancials!I716)</f>
        <v>0.727725328052091</v>
      </c>
      <c r="J716" s="0" t="n">
        <f aca="false">IF(ISBLANK(RawFinancials!J716),"",RawFinancials!J716)</f>
        <v>112059</v>
      </c>
      <c r="K716" s="0" t="n">
        <f aca="false">IF(ISBLANK(RawFinancials!K716),"",RawFinancials!K716)</f>
        <v>20548</v>
      </c>
      <c r="L716" s="0" t="n">
        <f aca="false">IF(ISBLANK(RawFinancials!L716),"",RawFinancials!L716)</f>
        <v>2423167</v>
      </c>
      <c r="M716" s="0" t="n">
        <f aca="false">IF(ISBLANK(RawFinancials!M716),"",RawFinancials!M716)</f>
        <v>2405533</v>
      </c>
      <c r="N716" s="0" t="n">
        <f aca="false">IF(ISBLANK(RawFinancials!N716),"",RawFinancials!N716)</f>
        <v>2224117</v>
      </c>
      <c r="O716" s="0" t="n">
        <f aca="false">IF(ISBLANK(RawFinancials!O716),"",RawFinancials!O716)</f>
        <v>1401</v>
      </c>
      <c r="P716" s="0" t="str">
        <f aca="false">IF(ISBLANK(RawFinancials!P716),"",RawFinancials!P716)</f>
        <v>MASCOMA BANK</v>
      </c>
      <c r="Q716" s="0" t="n">
        <f aca="false">IF(ISBLANK(RawFinancials!Q716),"",RawFinancials!Q716)</f>
        <v>0.0641309492907422</v>
      </c>
      <c r="R716" s="0" t="n">
        <f aca="false">IF(ISBLANK(RawFinancials!R716),"",RawFinancials!R716)</f>
        <v>2.8369626762913</v>
      </c>
      <c r="S716" s="0" t="n">
        <f aca="false">IF(ISBLANK(RawFinancials!S716),"",RawFinancials!S716)</f>
        <v>-48</v>
      </c>
      <c r="T716" s="0" t="n">
        <f aca="false">IF(ISBLANK(RawFinancials!T716),"",RawFinancials!T716)</f>
        <v>4609</v>
      </c>
      <c r="U716" s="0" t="n">
        <f aca="false">IF(ISBLANK(RawFinancials!U716),"",RawFinancials!U716)</f>
        <v>153</v>
      </c>
      <c r="V716" s="0" t="n">
        <f aca="false">IF(ISBLANK(RawFinancials!V716),"",RawFinancials!V716)</f>
        <v>12.6358689440193</v>
      </c>
      <c r="W716" s="0" t="n">
        <f aca="false">IF(ISBLANK(RawFinancials!W716),"",RawFinancials!W716)</f>
        <v>20250630</v>
      </c>
      <c r="X716" s="0" t="n">
        <f aca="false">IF(ISBLANK(RawFinancials!X716),"",RawFinancials!X716)</f>
        <v>0.336164972529288</v>
      </c>
      <c r="Y716" s="0" t="n">
        <f aca="false">IF(ISBLANK(RawFinancials!Y716),"",RawFinancials!Y716)</f>
        <v>4.2</v>
      </c>
      <c r="Z716" s="0" t="str">
        <f aca="false">IF(ISBLANK(RawFinancials!Z716),"",RawFinancials!Z716)</f>
        <v>NH</v>
      </c>
      <c r="AA716" s="0" t="n">
        <f aca="false">RawFinancials!AA716</f>
        <v>1</v>
      </c>
      <c r="AB716" s="0" t="n">
        <f aca="false">RawFinancials!AB716</f>
        <v>1554</v>
      </c>
      <c r="AC716" s="0" t="n">
        <f aca="false">RawFinancials!AC716</f>
        <v>0.0536545516944688</v>
      </c>
      <c r="AD716" s="0" t="n">
        <f aca="false">IF(L716&gt;0,100*N716/L716,"")</f>
        <v>91.7855434644001</v>
      </c>
      <c r="AE716" s="0" t="n">
        <f aca="false">IF(B716&gt;0,100*F716/B716,"")</f>
        <v>8.11530273389621</v>
      </c>
      <c r="AF716" s="0" t="str">
        <f aca="false">RawFinancials!AE716</f>
        <v/>
      </c>
    </row>
    <row r="717" customFormat="false" ht="15" hidden="false" customHeight="false" outlineLevel="0" collapsed="false">
      <c r="A717" s="0" t="n">
        <f aca="false">IF(ISBLANK(RawFinancials!A717),"",RawFinancials!A717)</f>
        <v>717</v>
      </c>
      <c r="B717" s="0" t="n">
        <f aca="false">IF(ISBLANK(RawFinancials!B717),"",RawFinancials!B717)</f>
        <v>404550</v>
      </c>
      <c r="C717" s="0" t="n">
        <f aca="false">IF(ISBLANK(RawFinancials!C717),"",RawFinancials!C717)</f>
        <v>18028</v>
      </c>
      <c r="D717" s="0" t="n">
        <f aca="false">IF(ISBLANK(RawFinancials!D717),"",RawFinancials!D717)</f>
        <v>343782</v>
      </c>
      <c r="E717" s="0" t="n">
        <f aca="false">IF(ISBLANK(RawFinancials!E717),"",RawFinancials!E717)</f>
        <v>0.17</v>
      </c>
      <c r="F717" s="0" t="n">
        <f aca="false">IF(ISBLANK(RawFinancials!F717),"",RawFinancials!F717)</f>
        <v>44056</v>
      </c>
      <c r="G717" s="0" t="n">
        <f aca="false">IF(ISBLANK(RawFinancials!G717),"",RawFinancials!G717)</f>
        <v>10.8901248300581</v>
      </c>
      <c r="H717" s="0" t="str">
        <f aca="false">IF(ISBLANK(RawFinancials!H717),"",RawFinancials!H717)</f>
        <v>18028_20250630</v>
      </c>
      <c r="I717" s="0" t="n">
        <f aca="false">IF(ISBLANK(RawFinancials!I717),"",RawFinancials!I717)</f>
        <v>0.87127378075453</v>
      </c>
      <c r="J717" s="0" t="n">
        <f aca="false">IF(ISBLANK(RawFinancials!J717),"",RawFinancials!J717)</f>
        <v>13239</v>
      </c>
      <c r="K717" s="0" t="n">
        <f aca="false">IF(ISBLANK(RawFinancials!K717),"",RawFinancials!K717)</f>
        <v>4410</v>
      </c>
      <c r="L717" s="0" t="n">
        <f aca="false">IF(ISBLANK(RawFinancials!L717),"",RawFinancials!L717)</f>
        <v>278902</v>
      </c>
      <c r="M717" s="0" t="n">
        <f aca="false">IF(ISBLANK(RawFinancials!M717),"",RawFinancials!M717)</f>
        <v>276472</v>
      </c>
      <c r="N717" s="0" t="n">
        <f aca="false">IF(ISBLANK(RawFinancials!N717),"",RawFinancials!N717)</f>
        <v>256176</v>
      </c>
      <c r="O717" s="0" t="n">
        <f aca="false">IF(ISBLANK(RawFinancials!O717),"",RawFinancials!O717)</f>
        <v>1323</v>
      </c>
      <c r="P717" s="0" t="str">
        <f aca="false">IF(ISBLANK(RawFinancials!P717),"",RawFinancials!P717)</f>
        <v>SUGAR RIVER BANK</v>
      </c>
      <c r="Q717" s="0" t="n">
        <f aca="false">IF(ISBLANK(RawFinancials!Q717),"",RawFinancials!Q717)</f>
        <v>0.497665846784892</v>
      </c>
      <c r="R717" s="0" t="n">
        <f aca="false">IF(ISBLANK(RawFinancials!R717),"",RawFinancials!R717)</f>
        <v>3.48454058231308</v>
      </c>
      <c r="S717" s="0" t="n">
        <f aca="false">IF(ISBLANK(RawFinancials!S717),"",RawFinancials!S717)</f>
        <v>214</v>
      </c>
      <c r="T717" s="0" t="n">
        <f aca="false">IF(ISBLANK(RawFinancials!T717),"",RawFinancials!T717)</f>
        <v>1104</v>
      </c>
      <c r="U717" s="0" t="n">
        <f aca="false">IF(ISBLANK(RawFinancials!U717),"",RawFinancials!U717)</f>
        <v>65</v>
      </c>
      <c r="V717" s="0" t="n">
        <f aca="false">IF(ISBLANK(RawFinancials!V717),"",RawFinancials!V717)</f>
        <v>0</v>
      </c>
      <c r="W717" s="0" t="n">
        <f aca="false">IF(ISBLANK(RawFinancials!W717),"",RawFinancials!W717)</f>
        <v>20250630</v>
      </c>
      <c r="X717" s="0" t="n">
        <f aca="false">IF(ISBLANK(RawFinancials!X717),"",RawFinancials!X717)</f>
        <v>0.514962579054543</v>
      </c>
      <c r="Y717" s="0" t="n">
        <f aca="false">IF(ISBLANK(RawFinancials!Y717),"",RawFinancials!Y717)</f>
        <v>4.79</v>
      </c>
      <c r="Z717" s="0" t="str">
        <f aca="false">IF(ISBLANK(RawFinancials!Z717),"",RawFinancials!Z717)</f>
        <v>NH</v>
      </c>
      <c r="AA717" s="0" t="n">
        <f aca="false">RawFinancials!AA717</f>
        <v>1</v>
      </c>
      <c r="AB717" s="0" t="n">
        <f aca="false">RawFinancials!AB717</f>
        <v>1388</v>
      </c>
      <c r="AC717" s="0" t="n">
        <f aca="false">RawFinancials!AC717</f>
        <v>0.343097268570016</v>
      </c>
      <c r="AD717" s="0" t="n">
        <f aca="false">IF(L717&gt;0,100*N717/L717,"")</f>
        <v>91.8516181310998</v>
      </c>
      <c r="AE717" s="0" t="n">
        <f aca="false">IF(B717&gt;0,100*F717/B717,"")</f>
        <v>10.8901248300581</v>
      </c>
      <c r="AF717" s="0" t="str">
        <f aca="false">RawFinancials!AE717</f>
        <v>原始0：需核实适用/报告口径</v>
      </c>
    </row>
    <row r="718" customFormat="false" ht="15" hidden="false" customHeight="false" outlineLevel="0" collapsed="false">
      <c r="A718" s="0" t="n">
        <f aca="false">IF(ISBLANK(RawFinancials!A718),"",RawFinancials!A718)</f>
        <v>718</v>
      </c>
      <c r="B718" s="0" t="n">
        <f aca="false">IF(ISBLANK(RawFinancials!B718),"",RawFinancials!B718)</f>
        <v>805858</v>
      </c>
      <c r="C718" s="0" t="n">
        <f aca="false">IF(ISBLANK(RawFinancials!C718),"",RawFinancials!C718)</f>
        <v>18030</v>
      </c>
      <c r="D718" s="0" t="n">
        <f aca="false">IF(ISBLANK(RawFinancials!D718),"",RawFinancials!D718)</f>
        <v>738321</v>
      </c>
      <c r="E718" s="0" t="n">
        <f aca="false">IF(ISBLANK(RawFinancials!E718),"",RawFinancials!E718)</f>
        <v>0.07</v>
      </c>
      <c r="F718" s="0" t="n">
        <f aca="false">IF(ISBLANK(RawFinancials!F718),"",RawFinancials!F718)</f>
        <v>58470</v>
      </c>
      <c r="G718" s="0" t="n">
        <f aca="false">IF(ISBLANK(RawFinancials!G718),"",RawFinancials!G718)</f>
        <v>7.25562071729759</v>
      </c>
      <c r="H718" s="0" t="str">
        <f aca="false">IF(ISBLANK(RawFinancials!H718),"",RawFinancials!H718)</f>
        <v>18030_20250630</v>
      </c>
      <c r="I718" s="0" t="n">
        <f aca="false">IF(ISBLANK(RawFinancials!I718),"",RawFinancials!I718)</f>
        <v>0.999144113076789</v>
      </c>
      <c r="J718" s="0" t="n">
        <f aca="false">IF(ISBLANK(RawFinancials!J718),"",RawFinancials!J718)</f>
        <v>41693</v>
      </c>
      <c r="K718" s="0" t="n">
        <f aca="false">IF(ISBLANK(RawFinancials!K718),"",RawFinancials!K718)</f>
        <v>96046</v>
      </c>
      <c r="L718" s="0" t="n">
        <f aca="false">IF(ISBLANK(RawFinancials!L718),"",RawFinancials!L718)</f>
        <v>601715</v>
      </c>
      <c r="M718" s="0" t="n">
        <f aca="false">IF(ISBLANK(RawFinancials!M718),"",RawFinancials!M718)</f>
        <v>595703</v>
      </c>
      <c r="N718" s="0" t="n">
        <f aca="false">IF(ISBLANK(RawFinancials!N718),"",RawFinancials!N718)</f>
        <v>463695</v>
      </c>
      <c r="O718" s="0" t="n">
        <f aca="false">IF(ISBLANK(RawFinancials!O718),"",RawFinancials!O718)</f>
        <v>1404</v>
      </c>
      <c r="P718" s="0" t="str">
        <f aca="false">IF(ISBLANK(RawFinancials!P718),"",RawFinancials!P718)</f>
        <v>SAVINGS BANK OF WALPOLE</v>
      </c>
      <c r="Q718" s="0" t="n">
        <f aca="false">IF(ISBLANK(RawFinancials!Q718),"",RawFinancials!Q718)</f>
        <v>0.233333056347274</v>
      </c>
      <c r="R718" s="0" t="n">
        <f aca="false">IF(ISBLANK(RawFinancials!R718),"",RawFinancials!R718)</f>
        <v>3.70938416602505</v>
      </c>
      <c r="S718" s="0" t="n">
        <f aca="false">IF(ISBLANK(RawFinancials!S718),"",RawFinancials!S718)</f>
        <v>94</v>
      </c>
      <c r="T718" s="0" t="n">
        <f aca="false">IF(ISBLANK(RawFinancials!T718),"",RawFinancials!T718)</f>
        <v>1148</v>
      </c>
      <c r="U718" s="0" t="n">
        <f aca="false">IF(ISBLANK(RawFinancials!U718),"",RawFinancials!U718)</f>
        <v>0</v>
      </c>
      <c r="V718" s="0" t="n">
        <f aca="false">IF(ISBLANK(RawFinancials!V718),"",RawFinancials!V718)</f>
        <v>14.1416681477336</v>
      </c>
      <c r="W718" s="0" t="n">
        <f aca="false">IF(ISBLANK(RawFinancials!W718),"",RawFinancials!W718)</f>
        <v>20250630</v>
      </c>
      <c r="X718" s="0" t="n">
        <f aca="false">IF(ISBLANK(RawFinancials!X718),"",RawFinancials!X718)</f>
        <v>0.71837995883469</v>
      </c>
      <c r="Y718" s="0" t="n">
        <f aca="false">IF(ISBLANK(RawFinancials!Y718),"",RawFinancials!Y718)</f>
        <v>10.16</v>
      </c>
      <c r="Z718" s="0" t="str">
        <f aca="false">IF(ISBLANK(RawFinancials!Z718),"",RawFinancials!Z718)</f>
        <v>NH</v>
      </c>
      <c r="AA718" s="0" t="n">
        <f aca="false">RawFinancials!AA718</f>
        <v>1</v>
      </c>
      <c r="AB718" s="0" t="n">
        <f aca="false">RawFinancials!AB718</f>
        <v>1404</v>
      </c>
      <c r="AC718" s="0" t="n">
        <f aca="false">RawFinancials!AC718</f>
        <v>0.174224242980773</v>
      </c>
      <c r="AD718" s="0" t="n">
        <f aca="false">IF(L718&gt;0,100*N718/L718,"")</f>
        <v>77.0622304579411</v>
      </c>
      <c r="AE718" s="0" t="n">
        <f aca="false">IF(B718&gt;0,100*F718/B718,"")</f>
        <v>7.25562071729759</v>
      </c>
      <c r="AF718" s="0" t="str">
        <f aca="false">RawFinancials!AE718</f>
        <v/>
      </c>
    </row>
    <row r="719" customFormat="false" ht="15" hidden="false" customHeight="false" outlineLevel="0" collapsed="false">
      <c r="A719" s="0" t="n">
        <f aca="false">IF(ISBLANK(RawFinancials!A719),"",RawFinancials!A719)</f>
        <v>719</v>
      </c>
      <c r="B719" s="0" t="n">
        <f aca="false">IF(ISBLANK(RawFinancials!B719),"",RawFinancials!B719)</f>
        <v>669249</v>
      </c>
      <c r="C719" s="0" t="n">
        <f aca="false">IF(ISBLANK(RawFinancials!C719),"",RawFinancials!C719)</f>
        <v>18031</v>
      </c>
      <c r="D719" s="0" t="n">
        <f aca="false">IF(ISBLANK(RawFinancials!D719),"",RawFinancials!D719)</f>
        <v>526372</v>
      </c>
      <c r="E719" s="0" t="n">
        <f aca="false">IF(ISBLANK(RawFinancials!E719),"",RawFinancials!E719)</f>
        <v>0.08</v>
      </c>
      <c r="F719" s="0" t="n">
        <f aca="false">IF(ISBLANK(RawFinancials!F719),"",RawFinancials!F719)</f>
        <v>40753</v>
      </c>
      <c r="G719" s="0" t="n">
        <f aca="false">IF(ISBLANK(RawFinancials!G719),"",RawFinancials!G719)</f>
        <v>6.08936285298895</v>
      </c>
      <c r="H719" s="0" t="str">
        <f aca="false">IF(ISBLANK(RawFinancials!H719),"",RawFinancials!H719)</f>
        <v>18031_20250630</v>
      </c>
      <c r="I719" s="0" t="n">
        <f aca="false">IF(ISBLANK(RawFinancials!I719),"",RawFinancials!I719)</f>
        <v>0.830782491463428</v>
      </c>
      <c r="J719" s="0" t="n">
        <f aca="false">IF(ISBLANK(RawFinancials!J719),"",RawFinancials!J719)</f>
        <v>22546</v>
      </c>
      <c r="K719" s="0" t="n">
        <f aca="false">IF(ISBLANK(RawFinancials!K719),"",RawFinancials!K719)</f>
        <v>7202</v>
      </c>
      <c r="L719" s="0" t="n">
        <f aca="false">IF(ISBLANK(RawFinancials!L719),"",RawFinancials!L719)</f>
        <v>452465</v>
      </c>
      <c r="M719" s="0" t="n">
        <f aca="false">IF(ISBLANK(RawFinancials!M719),"",RawFinancials!M719)</f>
        <v>448706</v>
      </c>
      <c r="N719" s="0" t="n">
        <f aca="false">IF(ISBLANK(RawFinancials!N719),"",RawFinancials!N719)</f>
        <v>416232</v>
      </c>
      <c r="O719" s="0" t="n">
        <f aca="false">IF(ISBLANK(RawFinancials!O719),"",RawFinancials!O719)</f>
        <v>562</v>
      </c>
      <c r="P719" s="0" t="str">
        <f aca="false">IF(ISBLANK(RawFinancials!P719),"",RawFinancials!P719)</f>
        <v>WOODSVILLE GUARANTY SAVINGS BANK</v>
      </c>
      <c r="Q719" s="0" t="n">
        <f aca="false">IF(ISBLANK(RawFinancials!Q719),"",RawFinancials!Q719)</f>
        <v>0.125092548594919</v>
      </c>
      <c r="R719" s="0" t="n">
        <f aca="false">IF(ISBLANK(RawFinancials!R719),"",RawFinancials!R719)</f>
        <v>2.76573202974124</v>
      </c>
      <c r="S719" s="0" t="n">
        <f aca="false">IF(ISBLANK(RawFinancials!S719),"",RawFinancials!S719)</f>
        <v>172</v>
      </c>
      <c r="T719" s="0" t="n">
        <f aca="false">IF(ISBLANK(RawFinancials!T719),"",RawFinancials!T719)</f>
        <v>654</v>
      </c>
      <c r="U719" s="0" t="n">
        <f aca="false">IF(ISBLANK(RawFinancials!U719),"",RawFinancials!U719)</f>
        <v>4</v>
      </c>
      <c r="V719" s="0" t="n">
        <f aca="false">IF(ISBLANK(RawFinancials!V719),"",RawFinancials!V719)</f>
        <v>16.9548375809498</v>
      </c>
      <c r="W719" s="0" t="n">
        <f aca="false">IF(ISBLANK(RawFinancials!W719),"",RawFinancials!W719)</f>
        <v>20250630</v>
      </c>
      <c r="X719" s="0" t="n">
        <f aca="false">IF(ISBLANK(RawFinancials!X719),"",RawFinancials!X719)</f>
        <v>0.193008984250507</v>
      </c>
      <c r="Y719" s="0" t="n">
        <f aca="false">IF(ISBLANK(RawFinancials!Y719),"",RawFinancials!Y719)</f>
        <v>3.27</v>
      </c>
      <c r="Z719" s="0" t="str">
        <f aca="false">IF(ISBLANK(RawFinancials!Z719),"",RawFinancials!Z719)</f>
        <v>NH</v>
      </c>
      <c r="AA719" s="0" t="n">
        <f aca="false">RawFinancials!AA719</f>
        <v>1</v>
      </c>
      <c r="AB719" s="0" t="n">
        <f aca="false">RawFinancials!AB719</f>
        <v>566</v>
      </c>
      <c r="AC719" s="0" t="n">
        <f aca="false">RawFinancials!AC719</f>
        <v>0.0845724087746116</v>
      </c>
      <c r="AD719" s="0" t="n">
        <f aca="false">IF(L719&gt;0,100*N719/L719,"")</f>
        <v>91.9920877857956</v>
      </c>
      <c r="AE719" s="0" t="n">
        <f aca="false">IF(B719&gt;0,100*F719/B719,"")</f>
        <v>6.08936285298895</v>
      </c>
      <c r="AF719" s="0" t="str">
        <f aca="false">RawFinancials!AE719</f>
        <v/>
      </c>
    </row>
    <row r="720" customFormat="false" ht="15" hidden="false" customHeight="false" outlineLevel="0" collapsed="false">
      <c r="A720" s="0" t="n">
        <f aca="false">IF(ISBLANK(RawFinancials!A720),"",RawFinancials!A720)</f>
        <v>720</v>
      </c>
      <c r="B720" s="0" t="n">
        <f aca="false">IF(ISBLANK(RawFinancials!B720),"",RawFinancials!B720)</f>
        <v>597834</v>
      </c>
      <c r="C720" s="0" t="n">
        <f aca="false">IF(ISBLANK(RawFinancials!C720),"",RawFinancials!C720)</f>
        <v>18038</v>
      </c>
      <c r="D720" s="0" t="n">
        <f aca="false">IF(ISBLANK(RawFinancials!D720),"",RawFinancials!D720)</f>
        <v>447963</v>
      </c>
      <c r="E720" s="0" t="n">
        <f aca="false">IF(ISBLANK(RawFinancials!E720),"",RawFinancials!E720)</f>
        <v>0</v>
      </c>
      <c r="F720" s="0" t="n">
        <f aca="false">IF(ISBLANK(RawFinancials!F720),"",RawFinancials!F720)</f>
        <v>69475</v>
      </c>
      <c r="G720" s="0" t="n">
        <f aca="false">IF(ISBLANK(RawFinancials!G720),"",RawFinancials!G720)</f>
        <v>11.621118905917</v>
      </c>
      <c r="H720" s="0" t="str">
        <f aca="false">IF(ISBLANK(RawFinancials!H720),"",RawFinancials!H720)</f>
        <v>18038_20250630</v>
      </c>
      <c r="I720" s="0" t="n">
        <f aca="false">IF(ISBLANK(RawFinancials!I720),"",RawFinancials!I720)</f>
        <v>0.859485747933614</v>
      </c>
      <c r="J720" s="0" t="n">
        <f aca="false">IF(ISBLANK(RawFinancials!J720),"",RawFinancials!J720)</f>
        <v>30598</v>
      </c>
      <c r="K720" s="0" t="n">
        <f aca="false">IF(ISBLANK(RawFinancials!K720),"",RawFinancials!K720)</f>
        <v>4861</v>
      </c>
      <c r="L720" s="0" t="n">
        <f aca="false">IF(ISBLANK(RawFinancials!L720),"",RawFinancials!L720)</f>
        <v>458530</v>
      </c>
      <c r="M720" s="0" t="n">
        <f aca="false">IF(ISBLANK(RawFinancials!M720),"",RawFinancials!M720)</f>
        <v>454589</v>
      </c>
      <c r="N720" s="0" t="n">
        <f aca="false">IF(ISBLANK(RawFinancials!N720),"",RawFinancials!N720)</f>
        <v>420497</v>
      </c>
      <c r="O720" s="0" t="n">
        <f aca="false">IF(ISBLANK(RawFinancials!O720),"",RawFinancials!O720)</f>
        <v>2194</v>
      </c>
      <c r="P720" s="0" t="str">
        <f aca="false">IF(ISBLANK(RawFinancials!P720),"",RawFinancials!P720)</f>
        <v>CLAREMONT SAVINGS BANK</v>
      </c>
      <c r="Q720" s="0" t="n">
        <f aca="false">IF(ISBLANK(RawFinancials!Q720),"",RawFinancials!Q720)</f>
        <v>0.478485595271847</v>
      </c>
      <c r="R720" s="0" t="n">
        <f aca="false">IF(ISBLANK(RawFinancials!R720),"",RawFinancials!R720)</f>
        <v>2.89442109724558</v>
      </c>
      <c r="S720" s="0" t="n">
        <f aca="false">IF(ISBLANK(RawFinancials!S720),"",RawFinancials!S720)</f>
        <v>-54</v>
      </c>
      <c r="T720" s="0" t="n">
        <f aca="false">IF(ISBLANK(RawFinancials!T720),"",RawFinancials!T720)</f>
        <v>950</v>
      </c>
      <c r="U720" s="0" t="n">
        <f aca="false">IF(ISBLANK(RawFinancials!U720),"",RawFinancials!U720)</f>
        <v>0</v>
      </c>
      <c r="V720" s="0" t="n">
        <f aca="false">IF(ISBLANK(RawFinancials!V720),"",RawFinancials!V720)</f>
        <v>0</v>
      </c>
      <c r="W720" s="0" t="n">
        <f aca="false">IF(ISBLANK(RawFinancials!W720),"",RawFinancials!W720)</f>
        <v>20250630</v>
      </c>
      <c r="X720" s="0" t="n">
        <f aca="false">IF(ISBLANK(RawFinancials!X720),"",RawFinancials!X720)</f>
        <v>0.425956323893033</v>
      </c>
      <c r="Y720" s="0" t="n">
        <f aca="false">IF(ISBLANK(RawFinancials!Y720),"",RawFinancials!Y720)</f>
        <v>3.58</v>
      </c>
      <c r="Z720" s="0" t="str">
        <f aca="false">IF(ISBLANK(RawFinancials!Z720),"",RawFinancials!Z720)</f>
        <v>NH</v>
      </c>
      <c r="AA720" s="0" t="n">
        <f aca="false">RawFinancials!AA720</f>
        <v>1</v>
      </c>
      <c r="AB720" s="0" t="n">
        <f aca="false">RawFinancials!AB720</f>
        <v>2194</v>
      </c>
      <c r="AC720" s="0" t="n">
        <f aca="false">RawFinancials!AC720</f>
        <v>0.366991506003339</v>
      </c>
      <c r="AD720" s="0" t="n">
        <f aca="false">IF(L720&gt;0,100*N720/L720,"")</f>
        <v>91.7054500250802</v>
      </c>
      <c r="AE720" s="0" t="n">
        <f aca="false">IF(B720&gt;0,100*F720/B720,"")</f>
        <v>11.621118905917</v>
      </c>
      <c r="AF720" s="0" t="str">
        <f aca="false">RawFinancials!AE720</f>
        <v>原始0：需核实适用/报告口径</v>
      </c>
    </row>
    <row r="721" customFormat="false" ht="15" hidden="false" customHeight="false" outlineLevel="0" collapsed="false">
      <c r="A721" s="0" t="n">
        <f aca="false">IF(ISBLANK(RawFinancials!A721),"",RawFinancials!A721)</f>
        <v>721</v>
      </c>
      <c r="B721" s="0" t="n">
        <f aca="false">IF(ISBLANK(RawFinancials!B721),"",RawFinancials!B721)</f>
        <v>7335916</v>
      </c>
      <c r="C721" s="0" t="n">
        <f aca="false">IF(ISBLANK(RawFinancials!C721),"",RawFinancials!C721)</f>
        <v>18408</v>
      </c>
      <c r="D721" s="0" t="n">
        <f aca="false">IF(ISBLANK(RawFinancials!D721),"",RawFinancials!D721)</f>
        <v>5915806</v>
      </c>
      <c r="E721" s="0" t="n">
        <f aca="false">IF(ISBLANK(RawFinancials!E721),"",RawFinancials!E721)</f>
        <v>0.2</v>
      </c>
      <c r="F721" s="0" t="n">
        <f aca="false">IF(ISBLANK(RawFinancials!F721),"",RawFinancials!F721)</f>
        <v>467639</v>
      </c>
      <c r="G721" s="0" t="n">
        <f aca="false">IF(ISBLANK(RawFinancials!G721),"",RawFinancials!G721)</f>
        <v>6.37465041857077</v>
      </c>
      <c r="H721" s="0" t="str">
        <f aca="false">IF(ISBLANK(RawFinancials!H721),"",RawFinancials!H721)</f>
        <v>18408_20250630</v>
      </c>
      <c r="I721" s="0" t="n">
        <f aca="false">IF(ISBLANK(RawFinancials!I721),"",RawFinancials!I721)</f>
        <v>0.745832720319238</v>
      </c>
      <c r="J721" s="0" t="n">
        <f aca="false">IF(ISBLANK(RawFinancials!J721),"",RawFinancials!J721)</f>
        <v>368953</v>
      </c>
      <c r="K721" s="0" t="n">
        <f aca="false">IF(ISBLANK(RawFinancials!K721),"",RawFinancials!K721)</f>
        <v>57245</v>
      </c>
      <c r="L721" s="0" t="n">
        <f aca="false">IF(ISBLANK(RawFinancials!L721),"",RawFinancials!L721)</f>
        <v>5070574</v>
      </c>
      <c r="M721" s="0" t="n">
        <f aca="false">IF(ISBLANK(RawFinancials!M721),"",RawFinancials!M721)</f>
        <v>5032756</v>
      </c>
      <c r="N721" s="0" t="n">
        <f aca="false">IF(ISBLANK(RawFinancials!N721),"",RawFinancials!N721)</f>
        <v>4566132</v>
      </c>
      <c r="O721" s="0" t="n">
        <f aca="false">IF(ISBLANK(RawFinancials!O721),"",RawFinancials!O721)</f>
        <v>33535</v>
      </c>
      <c r="P721" s="0" t="str">
        <f aca="false">IF(ISBLANK(RawFinancials!P721),"",RawFinancials!P721)</f>
        <v>BANGOR SAVINGS BANK</v>
      </c>
      <c r="Q721" s="0" t="n">
        <f aca="false">IF(ISBLANK(RawFinancials!Q721),"",RawFinancials!Q721)</f>
        <v>0.661364965780994</v>
      </c>
      <c r="R721" s="0" t="n">
        <f aca="false">IF(ISBLANK(RawFinancials!R721),"",RawFinancials!R721)</f>
        <v>2.4185246455811</v>
      </c>
      <c r="S721" s="0" t="n">
        <f aca="false">IF(ISBLANK(RawFinancials!S721),"",RawFinancials!S721)</f>
        <v>458</v>
      </c>
      <c r="T721" s="0" t="n">
        <f aca="false">IF(ISBLANK(RawFinancials!T721),"",RawFinancials!T721)</f>
        <v>11898</v>
      </c>
      <c r="U721" s="0" t="n">
        <f aca="false">IF(ISBLANK(RawFinancials!U721),"",RawFinancials!U721)</f>
        <v>0</v>
      </c>
      <c r="V721" s="0" t="n">
        <f aca="false">IF(ISBLANK(RawFinancials!V721),"",RawFinancials!V721)</f>
        <v>11.148900251832</v>
      </c>
      <c r="W721" s="0" t="n">
        <f aca="false">IF(ISBLANK(RawFinancials!W721),"",RawFinancials!W721)</f>
        <v>20250630</v>
      </c>
      <c r="X721" s="0" t="n">
        <f aca="false">IF(ISBLANK(RawFinancials!X721),"",RawFinancials!X721)</f>
        <v>0.106277541750663</v>
      </c>
      <c r="Y721" s="0" t="n">
        <f aca="false">IF(ISBLANK(RawFinancials!Y721),"",RawFinancials!Y721)</f>
        <v>1.71</v>
      </c>
      <c r="Z721" s="0" t="str">
        <f aca="false">IF(ISBLANK(RawFinancials!Z721),"",RawFinancials!Z721)</f>
        <v>ME</v>
      </c>
      <c r="AA721" s="0" t="n">
        <f aca="false">RawFinancials!AA721</f>
        <v>1</v>
      </c>
      <c r="AB721" s="0" t="n">
        <f aca="false">RawFinancials!AB721</f>
        <v>33535</v>
      </c>
      <c r="AC721" s="0" t="n">
        <f aca="false">RawFinancials!AC721</f>
        <v>0.457134460100143</v>
      </c>
      <c r="AD721" s="0" t="n">
        <f aca="false">IF(L721&gt;0,100*N721/L721,"")</f>
        <v>90.051579959192</v>
      </c>
      <c r="AE721" s="0" t="n">
        <f aca="false">IF(B721&gt;0,100*F721/B721,"")</f>
        <v>6.37465041857077</v>
      </c>
      <c r="AF721" s="0" t="str">
        <f aca="false">RawFinancials!AE721</f>
        <v/>
      </c>
    </row>
    <row r="722" customFormat="false" ht="15" hidden="false" customHeight="false" outlineLevel="0" collapsed="false">
      <c r="A722" s="0" t="n">
        <f aca="false">IF(ISBLANK(RawFinancials!A722),"",RawFinancials!A722)</f>
        <v>722</v>
      </c>
      <c r="B722" s="0" t="n">
        <f aca="false">IF(ISBLANK(RawFinancials!B722),"",RawFinancials!B722)</f>
        <v>2611219</v>
      </c>
      <c r="C722" s="0" t="n">
        <f aca="false">IF(ISBLANK(RawFinancials!C722),"",RawFinancials!C722)</f>
        <v>19531</v>
      </c>
      <c r="D722" s="0" t="n">
        <f aca="false">IF(ISBLANK(RawFinancials!D722),"",RawFinancials!D722)</f>
        <v>2294497</v>
      </c>
      <c r="E722" s="0" t="n">
        <f aca="false">IF(ISBLANK(RawFinancials!E722),"",RawFinancials!E722)</f>
        <v>0</v>
      </c>
      <c r="F722" s="0" t="n">
        <f aca="false">IF(ISBLANK(RawFinancials!F722),"",RawFinancials!F722)</f>
        <v>275708</v>
      </c>
      <c r="G722" s="0" t="n">
        <f aca="false">IF(ISBLANK(RawFinancials!G722),"",RawFinancials!G722)</f>
        <v>10.558593515136</v>
      </c>
      <c r="H722" s="0" t="str">
        <f aca="false">IF(ISBLANK(RawFinancials!H722),"",RawFinancials!H722)</f>
        <v>19531_20250630</v>
      </c>
      <c r="I722" s="0" t="n">
        <f aca="false">IF(ISBLANK(RawFinancials!I722),"",RawFinancials!I722)</f>
        <v>0.875275991991493</v>
      </c>
      <c r="J722" s="0" t="n">
        <f aca="false">IF(ISBLANK(RawFinancials!J722),"",RawFinancials!J722)</f>
        <v>266423</v>
      </c>
      <c r="K722" s="0" t="n">
        <f aca="false">IF(ISBLANK(RawFinancials!K722),"",RawFinancials!K722)</f>
        <v>6284</v>
      </c>
      <c r="L722" s="0" t="n">
        <f aca="false">IF(ISBLANK(RawFinancials!L722),"",RawFinancials!L722)</f>
        <v>2215644</v>
      </c>
      <c r="M722" s="0" t="n">
        <f aca="false">IF(ISBLANK(RawFinancials!M722),"",RawFinancials!M722)</f>
        <v>2196251</v>
      </c>
      <c r="N722" s="0" t="n">
        <f aca="false">IF(ISBLANK(RawFinancials!N722),"",RawFinancials!N722)</f>
        <v>1826881</v>
      </c>
      <c r="O722" s="0" t="n">
        <f aca="false">IF(ISBLANK(RawFinancials!O722),"",RawFinancials!O722)</f>
        <v>9735</v>
      </c>
      <c r="P722" s="0" t="str">
        <f aca="false">IF(ISBLANK(RawFinancials!P722),"",RawFinancials!P722)</f>
        <v>MACHIAS SAVINGS BANK</v>
      </c>
      <c r="Q722" s="0" t="n">
        <f aca="false">IF(ISBLANK(RawFinancials!Q722),"",RawFinancials!Q722)</f>
        <v>0.439601307791324</v>
      </c>
      <c r="R722" s="0" t="n">
        <f aca="false">IF(ISBLANK(RawFinancials!R722),"",RawFinancials!R722)</f>
        <v>3.21090869460597</v>
      </c>
      <c r="S722" s="0" t="n">
        <f aca="false">IF(ISBLANK(RawFinancials!S722),"",RawFinancials!S722)</f>
        <v>-418</v>
      </c>
      <c r="T722" s="0" t="n">
        <f aca="false">IF(ISBLANK(RawFinancials!T722),"",RawFinancials!T722)</f>
        <v>29206</v>
      </c>
      <c r="U722" s="0" t="n">
        <f aca="false">IF(ISBLANK(RawFinancials!U722),"",RawFinancials!U722)</f>
        <v>5</v>
      </c>
      <c r="V722" s="0" t="n">
        <f aca="false">IF(ISBLANK(RawFinancials!V722),"",RawFinancials!V722)</f>
        <v>14.1532975883845</v>
      </c>
      <c r="W722" s="0" t="n">
        <f aca="false">IF(ISBLANK(RawFinancials!W722),"",RawFinancials!W722)</f>
        <v>20250630</v>
      </c>
      <c r="X722" s="0" t="n">
        <f aca="false">IF(ISBLANK(RawFinancials!X722),"",RawFinancials!X722)</f>
        <v>0.844947020319184</v>
      </c>
      <c r="Y722" s="0" t="n">
        <f aca="false">IF(ISBLANK(RawFinancials!Y722),"",RawFinancials!Y722)</f>
        <v>8.21</v>
      </c>
      <c r="Z722" s="0" t="str">
        <f aca="false">IF(ISBLANK(RawFinancials!Z722),"",RawFinancials!Z722)</f>
        <v>ME</v>
      </c>
      <c r="AA722" s="0" t="n">
        <f aca="false">RawFinancials!AA722</f>
        <v>1</v>
      </c>
      <c r="AB722" s="0" t="n">
        <f aca="false">RawFinancials!AB722</f>
        <v>9740</v>
      </c>
      <c r="AC722" s="0" t="n">
        <f aca="false">RawFinancials!AC722</f>
        <v>0.373005864310883</v>
      </c>
      <c r="AD722" s="0" t="n">
        <f aca="false">IF(L722&gt;0,100*N722/L722,"")</f>
        <v>82.4537245153102</v>
      </c>
      <c r="AE722" s="0" t="n">
        <f aca="false">IF(B722&gt;0,100*F722/B722,"")</f>
        <v>10.558593515136</v>
      </c>
      <c r="AF722" s="0" t="str">
        <f aca="false">RawFinancials!AE722</f>
        <v/>
      </c>
    </row>
    <row r="723" customFormat="false" ht="15" hidden="false" customHeight="false" outlineLevel="0" collapsed="false">
      <c r="A723" s="0" t="n">
        <f aca="false">IF(ISBLANK(RawFinancials!A723),"",RawFinancials!A723)</f>
        <v>723</v>
      </c>
      <c r="B723" s="0" t="n">
        <f aca="false">IF(ISBLANK(RawFinancials!B723),"",RawFinancials!B723)</f>
        <v>843145</v>
      </c>
      <c r="C723" s="0" t="n">
        <f aca="false">IF(ISBLANK(RawFinancials!C723),"",RawFinancials!C723)</f>
        <v>19532</v>
      </c>
      <c r="D723" s="0" t="n">
        <f aca="false">IF(ISBLANK(RawFinancials!D723),"",RawFinancials!D723)</f>
        <v>706708</v>
      </c>
      <c r="E723" s="0" t="n">
        <f aca="false">IF(ISBLANK(RawFinancials!E723),"",RawFinancials!E723)</f>
        <v>-0.01</v>
      </c>
      <c r="F723" s="0" t="n">
        <f aca="false">IF(ISBLANK(RawFinancials!F723),"",RawFinancials!F723)</f>
        <v>110106</v>
      </c>
      <c r="G723" s="0" t="n">
        <f aca="false">IF(ISBLANK(RawFinancials!G723),"",RawFinancials!G723)</f>
        <v>13.0589637606817</v>
      </c>
      <c r="H723" s="0" t="str">
        <f aca="false">IF(ISBLANK(RawFinancials!H723),"",RawFinancials!H723)</f>
        <v>19532_20250630</v>
      </c>
      <c r="I723" s="0" t="n">
        <f aca="false">IF(ISBLANK(RawFinancials!I723),"",RawFinancials!I723)</f>
        <v>0.987745863885026</v>
      </c>
      <c r="J723" s="0" t="n">
        <f aca="false">IF(ISBLANK(RawFinancials!J723),"",RawFinancials!J723)</f>
        <v>52195</v>
      </c>
      <c r="K723" s="0" t="n">
        <f aca="false">IF(ISBLANK(RawFinancials!K723),"",RawFinancials!K723)</f>
        <v>49375</v>
      </c>
      <c r="L723" s="0" t="n">
        <f aca="false">IF(ISBLANK(RawFinancials!L723),"",RawFinancials!L723)</f>
        <v>617669</v>
      </c>
      <c r="M723" s="0" t="n">
        <f aca="false">IF(ISBLANK(RawFinancials!M723),"",RawFinancials!M723)</f>
        <v>611568</v>
      </c>
      <c r="N723" s="0" t="n">
        <f aca="false">IF(ISBLANK(RawFinancials!N723),"",RawFinancials!N723)</f>
        <v>511357</v>
      </c>
      <c r="O723" s="0" t="n">
        <f aca="false">IF(ISBLANK(RawFinancials!O723),"",RawFinancials!O723)</f>
        <v>1705</v>
      </c>
      <c r="P723" s="0" t="str">
        <f aca="false">IF(ISBLANK(RawFinancials!P723),"",RawFinancials!P723)</f>
        <v>SKOWHEGAN SAVINGS BANK</v>
      </c>
      <c r="Q723" s="0" t="n">
        <f aca="false">IF(ISBLANK(RawFinancials!Q723),"",RawFinancials!Q723)</f>
        <v>0.306636726142966</v>
      </c>
      <c r="R723" s="0" t="n">
        <f aca="false">IF(ISBLANK(RawFinancials!R723),"",RawFinancials!R723)</f>
        <v>3.61555610853524</v>
      </c>
      <c r="S723" s="0" t="n">
        <f aca="false">IF(ISBLANK(RawFinancials!S723),"",RawFinancials!S723)</f>
        <v>46</v>
      </c>
      <c r="T723" s="0" t="n">
        <f aca="false">IF(ISBLANK(RawFinancials!T723),"",RawFinancials!T723)</f>
        <v>817</v>
      </c>
      <c r="U723" s="0" t="n">
        <f aca="false">IF(ISBLANK(RawFinancials!U723),"",RawFinancials!U723)</f>
        <v>189</v>
      </c>
      <c r="V723" s="0" t="n">
        <f aca="false">IF(ISBLANK(RawFinancials!V723),"",RawFinancials!V723)</f>
        <v>21.8705548239072</v>
      </c>
      <c r="W723" s="0" t="n">
        <f aca="false">IF(ISBLANK(RawFinancials!W723),"",RawFinancials!W723)</f>
        <v>20250630</v>
      </c>
      <c r="X723" s="0" t="n">
        <f aca="false">IF(ISBLANK(RawFinancials!X723),"",RawFinancials!X723)</f>
        <v>0.98381360720577</v>
      </c>
      <c r="Y723" s="0" t="n">
        <f aca="false">IF(ISBLANK(RawFinancials!Y723),"",RawFinancials!Y723)</f>
        <v>7.78</v>
      </c>
      <c r="Z723" s="0" t="str">
        <f aca="false">IF(ISBLANK(RawFinancials!Z723),"",RawFinancials!Z723)</f>
        <v>ME</v>
      </c>
      <c r="AA723" s="0" t="n">
        <f aca="false">RawFinancials!AA723</f>
        <v>1</v>
      </c>
      <c r="AB723" s="0" t="n">
        <f aca="false">RawFinancials!AB723</f>
        <v>1894</v>
      </c>
      <c r="AC723" s="0" t="n">
        <f aca="false">RawFinancials!AC723</f>
        <v>0.224635145793428</v>
      </c>
      <c r="AD723" s="0" t="n">
        <f aca="false">IF(L723&gt;0,100*N723/L723,"")</f>
        <v>82.7881923813564</v>
      </c>
      <c r="AE723" s="0" t="n">
        <f aca="false">IF(B723&gt;0,100*F723/B723,"")</f>
        <v>13.0589637606817</v>
      </c>
      <c r="AF723" s="0" t="str">
        <f aca="false">RawFinancials!AE723</f>
        <v/>
      </c>
    </row>
    <row r="724" customFormat="false" ht="15" hidden="false" customHeight="false" outlineLevel="0" collapsed="false">
      <c r="A724" s="0" t="n">
        <f aca="false">IF(ISBLANK(RawFinancials!A724),"",RawFinancials!A724)</f>
        <v>724</v>
      </c>
      <c r="B724" s="0" t="n">
        <f aca="false">IF(ISBLANK(RawFinancials!B724),"",RawFinancials!B724)</f>
        <v>4279069</v>
      </c>
      <c r="C724" s="0" t="n">
        <f aca="false">IF(ISBLANK(RawFinancials!C724),"",RawFinancials!C724)</f>
        <v>19690</v>
      </c>
      <c r="D724" s="0" t="n">
        <f aca="false">IF(ISBLANK(RawFinancials!D724),"",RawFinancials!D724)</f>
        <v>3405883</v>
      </c>
      <c r="E724" s="0" t="n">
        <f aca="false">IF(ISBLANK(RawFinancials!E724),"",RawFinancials!E724)</f>
        <v>0.3</v>
      </c>
      <c r="F724" s="0" t="n">
        <f aca="false">IF(ISBLANK(RawFinancials!F724),"",RawFinancials!F724)</f>
        <v>494286</v>
      </c>
      <c r="G724" s="0" t="n">
        <f aca="false">IF(ISBLANK(RawFinancials!G724),"",RawFinancials!G724)</f>
        <v>11.5512509847352</v>
      </c>
      <c r="H724" s="0" t="str">
        <f aca="false">IF(ISBLANK(RawFinancials!H724),"",RawFinancials!H724)</f>
        <v>19690_20250630</v>
      </c>
      <c r="I724" s="0" t="n">
        <f aca="false">IF(ISBLANK(RawFinancials!I724),"",RawFinancials!I724)</f>
        <v>1.26459141402322</v>
      </c>
      <c r="J724" s="0" t="n">
        <f aca="false">IF(ISBLANK(RawFinancials!J724),"",RawFinancials!J724)</f>
        <v>157469</v>
      </c>
      <c r="K724" s="0" t="n">
        <f aca="false">IF(ISBLANK(RawFinancials!K724),"",RawFinancials!K724)</f>
        <v>145</v>
      </c>
      <c r="L724" s="0" t="n">
        <f aca="false">IF(ISBLANK(RawFinancials!L724),"",RawFinancials!L724)</f>
        <v>3790157</v>
      </c>
      <c r="M724" s="0" t="n">
        <f aca="false">IF(ISBLANK(RawFinancials!M724),"",RawFinancials!M724)</f>
        <v>3742227</v>
      </c>
      <c r="N724" s="0" t="n">
        <f aca="false">IF(ISBLANK(RawFinancials!N724),"",RawFinancials!N724)</f>
        <v>2852951</v>
      </c>
      <c r="O724" s="0" t="n">
        <f aca="false">IF(ISBLANK(RawFinancials!O724),"",RawFinancials!O724)</f>
        <v>35011</v>
      </c>
      <c r="P724" s="0" t="str">
        <f aca="false">IF(ISBLANK(RawFinancials!P724),"",RawFinancials!P724)</f>
        <v>NORTHEAST BANK</v>
      </c>
      <c r="Q724" s="0" t="n">
        <f aca="false">IF(ISBLANK(RawFinancials!Q724),"",RawFinancials!Q724)</f>
        <v>0.923734821539055</v>
      </c>
      <c r="R724" s="0" t="n">
        <f aca="false">IF(ISBLANK(RawFinancials!R724),"",RawFinancials!R724)</f>
        <v>4.88660948292711</v>
      </c>
      <c r="S724" s="0" t="n">
        <f aca="false">IF(ISBLANK(RawFinancials!S724),"",RawFinancials!S724)</f>
        <v>2575</v>
      </c>
      <c r="T724" s="0" t="n">
        <f aca="false">IF(ISBLANK(RawFinancials!T724),"",RawFinancials!T724)</f>
        <v>1334</v>
      </c>
      <c r="U724" s="0" t="n">
        <f aca="false">IF(ISBLANK(RawFinancials!U724),"",RawFinancials!U724)</f>
        <v>0</v>
      </c>
      <c r="V724" s="0" t="n">
        <f aca="false">IF(ISBLANK(RawFinancials!V724),"",RawFinancials!V724)</f>
        <v>14.6965811023661</v>
      </c>
      <c r="W724" s="0" t="n">
        <f aca="false">IF(ISBLANK(RawFinancials!W724),"",RawFinancials!W724)</f>
        <v>20250630</v>
      </c>
      <c r="X724" s="0" t="n">
        <f aca="false">IF(ISBLANK(RawFinancials!X724),"",RawFinancials!X724)</f>
        <v>2.09184214445272</v>
      </c>
      <c r="Y724" s="0" t="n">
        <f aca="false">IF(ISBLANK(RawFinancials!Y724),"",RawFinancials!Y724)</f>
        <v>18.73</v>
      </c>
      <c r="Z724" s="0" t="str">
        <f aca="false">IF(ISBLANK(RawFinancials!Z724),"",RawFinancials!Z724)</f>
        <v>ME</v>
      </c>
      <c r="AA724" s="0" t="n">
        <f aca="false">RawFinancials!AA724</f>
        <v>1</v>
      </c>
      <c r="AB724" s="0" t="n">
        <f aca="false">RawFinancials!AB724</f>
        <v>35011</v>
      </c>
      <c r="AC724" s="0" t="n">
        <f aca="false">RawFinancials!AC724</f>
        <v>0.818191994567042</v>
      </c>
      <c r="AD724" s="0" t="n">
        <f aca="false">IF(L724&gt;0,100*N724/L724,"")</f>
        <v>75.2726338249313</v>
      </c>
      <c r="AE724" s="0" t="n">
        <f aca="false">IF(B724&gt;0,100*F724/B724,"")</f>
        <v>11.5512509847352</v>
      </c>
      <c r="AF724" s="0" t="str">
        <f aca="false">RawFinancials!AE724</f>
        <v/>
      </c>
    </row>
    <row r="725" customFormat="false" ht="15" hidden="false" customHeight="false" outlineLevel="0" collapsed="false">
      <c r="A725" s="0" t="n">
        <f aca="false">IF(ISBLANK(RawFinancials!A725),"",RawFinancials!A725)</f>
        <v>725</v>
      </c>
      <c r="B725" s="0" t="n">
        <f aca="false">IF(ISBLANK(RawFinancials!B725),"",RawFinancials!B725)</f>
        <v>755186</v>
      </c>
      <c r="C725" s="0" t="n">
        <f aca="false">IF(ISBLANK(RawFinancials!C725),"",RawFinancials!C725)</f>
        <v>19836</v>
      </c>
      <c r="D725" s="0" t="n">
        <f aca="false">IF(ISBLANK(RawFinancials!D725),"",RawFinancials!D725)</f>
        <v>587526</v>
      </c>
      <c r="E725" s="0" t="n">
        <f aca="false">IF(ISBLANK(RawFinancials!E725),"",RawFinancials!E725)</f>
        <v>0.03</v>
      </c>
      <c r="F725" s="0" t="n">
        <f aca="false">IF(ISBLANK(RawFinancials!F725),"",RawFinancials!F725)</f>
        <v>130465</v>
      </c>
      <c r="G725" s="0" t="n">
        <f aca="false">IF(ISBLANK(RawFinancials!G725),"",RawFinancials!G725)</f>
        <v>17.2758764066071</v>
      </c>
      <c r="H725" s="0" t="str">
        <f aca="false">IF(ISBLANK(RawFinancials!H725),"",RawFinancials!H725)</f>
        <v>19836_20250630</v>
      </c>
      <c r="I725" s="0" t="n">
        <f aca="false">IF(ISBLANK(RawFinancials!I725),"",RawFinancials!I725)</f>
        <v>0.705583093370815</v>
      </c>
      <c r="J725" s="0" t="n">
        <f aca="false">IF(ISBLANK(RawFinancials!J725),"",RawFinancials!J725)</f>
        <v>43608</v>
      </c>
      <c r="K725" s="0" t="n">
        <f aca="false">IF(ISBLANK(RawFinancials!K725),"",RawFinancials!K725)</f>
        <v>10432</v>
      </c>
      <c r="L725" s="0" t="n">
        <f aca="false">IF(ISBLANK(RawFinancials!L725),"",RawFinancials!L725)</f>
        <v>643156</v>
      </c>
      <c r="M725" s="0" t="n">
        <f aca="false">IF(ISBLANK(RawFinancials!M725),"",RawFinancials!M725)</f>
        <v>638618</v>
      </c>
      <c r="N725" s="0" t="n">
        <f aca="false">IF(ISBLANK(RawFinancials!N725),"",RawFinancials!N725)</f>
        <v>587491</v>
      </c>
      <c r="O725" s="0" t="n">
        <f aca="false">IF(ISBLANK(RawFinancials!O725),"",RawFinancials!O725)</f>
        <v>8281</v>
      </c>
      <c r="P725" s="0" t="str">
        <f aca="false">IF(ISBLANK(RawFinancials!P725),"",RawFinancials!P725)</f>
        <v>FRANKLIN SAVINGS BANK</v>
      </c>
      <c r="Q725" s="0" t="n">
        <f aca="false">IF(ISBLANK(RawFinancials!Q725),"",RawFinancials!Q725)</f>
        <v>1.30948012612803</v>
      </c>
      <c r="R725" s="0" t="n">
        <f aca="false">IF(ISBLANK(RawFinancials!R725),"",RawFinancials!R725)</f>
        <v>3.96457803239998</v>
      </c>
      <c r="S725" s="0" t="n">
        <f aca="false">IF(ISBLANK(RawFinancials!S725),"",RawFinancials!S725)</f>
        <v>31</v>
      </c>
      <c r="T725" s="0" t="n">
        <f aca="false">IF(ISBLANK(RawFinancials!T725),"",RawFinancials!T725)</f>
        <v>5102</v>
      </c>
      <c r="U725" s="0" t="n">
        <f aca="false">IF(ISBLANK(RawFinancials!U725),"",RawFinancials!U725)</f>
        <v>141</v>
      </c>
      <c r="V725" s="0" t="n">
        <f aca="false">IF(ISBLANK(RawFinancials!V725),"",RawFinancials!V725)</f>
        <v>23.0548516374529</v>
      </c>
      <c r="W725" s="0" t="n">
        <f aca="false">IF(ISBLANK(RawFinancials!W725),"",RawFinancials!W725)</f>
        <v>20250630</v>
      </c>
      <c r="X725" s="0" t="n">
        <f aca="false">IF(ISBLANK(RawFinancials!X725),"",RawFinancials!X725)</f>
        <v>0.839541245838753</v>
      </c>
      <c r="Y725" s="0" t="n">
        <f aca="false">IF(ISBLANK(RawFinancials!Y725),"",RawFinancials!Y725)</f>
        <v>4.82</v>
      </c>
      <c r="Z725" s="0" t="str">
        <f aca="false">IF(ISBLANK(RawFinancials!Z725),"",RawFinancials!Z725)</f>
        <v>ME</v>
      </c>
      <c r="AA725" s="0" t="n">
        <f aca="false">RawFinancials!AA725</f>
        <v>1</v>
      </c>
      <c r="AB725" s="0" t="n">
        <f aca="false">RawFinancials!AB725</f>
        <v>8422</v>
      </c>
      <c r="AC725" s="0" t="n">
        <f aca="false">RawFinancials!AC725</f>
        <v>1.11522194532208</v>
      </c>
      <c r="AD725" s="0" t="n">
        <f aca="false">IF(L725&gt;0,100*N725/L725,"")</f>
        <v>91.3450236023609</v>
      </c>
      <c r="AE725" s="0" t="n">
        <f aca="false">IF(B725&gt;0,100*F725/B725,"")</f>
        <v>17.2758764066071</v>
      </c>
      <c r="AF725" s="0" t="str">
        <f aca="false">RawFinancials!AE725</f>
        <v/>
      </c>
    </row>
    <row r="726" customFormat="false" ht="15" hidden="false" customHeight="false" outlineLevel="0" collapsed="false">
      <c r="A726" s="0" t="n">
        <f aca="false">IF(ISBLANK(RawFinancials!A726),"",RawFinancials!A726)</f>
        <v>726</v>
      </c>
      <c r="B726" s="0" t="n">
        <f aca="false">IF(ISBLANK(RawFinancials!B726),"",RawFinancials!B726)</f>
        <v>1748522</v>
      </c>
      <c r="C726" s="0" t="n">
        <f aca="false">IF(ISBLANK(RawFinancials!C726),"",RawFinancials!C726)</f>
        <v>24540</v>
      </c>
      <c r="D726" s="0" t="n">
        <f aca="false">IF(ISBLANK(RawFinancials!D726),"",RawFinancials!D726)</f>
        <v>1440031</v>
      </c>
      <c r="E726" s="0" t="n">
        <f aca="false">IF(ISBLANK(RawFinancials!E726),"",RawFinancials!E726)</f>
        <v>0.14</v>
      </c>
      <c r="F726" s="0" t="n">
        <f aca="false">IF(ISBLANK(RawFinancials!F726),"",RawFinancials!F726)</f>
        <v>282051</v>
      </c>
      <c r="G726" s="0" t="n">
        <f aca="false">IF(ISBLANK(RawFinancials!G726),"",RawFinancials!G726)</f>
        <v>16.1308236327596</v>
      </c>
      <c r="H726" s="0" t="str">
        <f aca="false">IF(ISBLANK(RawFinancials!H726),"",RawFinancials!H726)</f>
        <v>24540_20250630</v>
      </c>
      <c r="I726" s="0" t="n">
        <f aca="false">IF(ISBLANK(RawFinancials!I726),"",RawFinancials!I726)</f>
        <v>1.00402889341922</v>
      </c>
      <c r="J726" s="0" t="n">
        <f aca="false">IF(ISBLANK(RawFinancials!J726),"",RawFinancials!J726)</f>
        <v>47445</v>
      </c>
      <c r="K726" s="0" t="n">
        <f aca="false">IF(ISBLANK(RawFinancials!K726),"",RawFinancials!K726)</f>
        <v>126</v>
      </c>
      <c r="L726" s="0" t="n">
        <f aca="false">IF(ISBLANK(RawFinancials!L726),"",RawFinancials!L726)</f>
        <v>1549557</v>
      </c>
      <c r="M726" s="0" t="n">
        <f aca="false">IF(ISBLANK(RawFinancials!M726),"",RawFinancials!M726)</f>
        <v>1533999</v>
      </c>
      <c r="N726" s="0" t="n">
        <f aca="false">IF(ISBLANK(RawFinancials!N726),"",RawFinancials!N726)</f>
        <v>1506054</v>
      </c>
      <c r="O726" s="0" t="n">
        <f aca="false">IF(ISBLANK(RawFinancials!O726),"",RawFinancials!O726)</f>
        <v>11424</v>
      </c>
      <c r="P726" s="0" t="str">
        <f aca="false">IF(ISBLANK(RawFinancials!P726),"",RawFinancials!P726)</f>
        <v>BANK OF NEW ENGLAND</v>
      </c>
      <c r="Q726" s="0" t="n">
        <f aca="false">IF(ISBLANK(RawFinancials!Q726),"",RawFinancials!Q726)</f>
        <v>0.737242966860851</v>
      </c>
      <c r="R726" s="0" t="n">
        <f aca="false">IF(ISBLANK(RawFinancials!R726),"",RawFinancials!R726)</f>
        <v>4.28649738721819</v>
      </c>
      <c r="S726" s="0" t="n">
        <f aca="false">IF(ISBLANK(RawFinancials!S726),"",RawFinancials!S726)</f>
        <v>0</v>
      </c>
      <c r="T726" s="0" t="n">
        <f aca="false">IF(ISBLANK(RawFinancials!T726),"",RawFinancials!T726)</f>
        <v>0</v>
      </c>
      <c r="U726" s="0" t="n">
        <f aca="false">IF(ISBLANK(RawFinancials!U726),"",RawFinancials!U726)</f>
        <v>0</v>
      </c>
      <c r="V726" s="0" t="n">
        <f aca="false">IF(ISBLANK(RawFinancials!V726),"",RawFinancials!V726)</f>
        <v>0</v>
      </c>
      <c r="W726" s="0" t="n">
        <f aca="false">IF(ISBLANK(RawFinancials!W726),"",RawFinancials!W726)</f>
        <v>20250630</v>
      </c>
      <c r="X726" s="0" t="n">
        <f aca="false">IF(ISBLANK(RawFinancials!X726),"",RawFinancials!X726)</f>
        <v>2.05176886595267</v>
      </c>
      <c r="Y726" s="0" t="n">
        <f aca="false">IF(ISBLANK(RawFinancials!Y726),"",RawFinancials!Y726)</f>
        <v>12.25</v>
      </c>
      <c r="Z726" s="0" t="str">
        <f aca="false">IF(ISBLANK(RawFinancials!Z726),"",RawFinancials!Z726)</f>
        <v>NH</v>
      </c>
      <c r="AA726" s="0" t="n">
        <f aca="false">RawFinancials!AA726</f>
        <v>1</v>
      </c>
      <c r="AB726" s="0" t="n">
        <f aca="false">RawFinancials!AB726</f>
        <v>11424</v>
      </c>
      <c r="AC726" s="0" t="n">
        <f aca="false">RawFinancials!AC726</f>
        <v>0.653351802264999</v>
      </c>
      <c r="AD726" s="0" t="n">
        <f aca="false">IF(L726&gt;0,100*N726/L726,"")</f>
        <v>97.1925524520879</v>
      </c>
      <c r="AE726" s="0" t="n">
        <f aca="false">IF(B726&gt;0,100*F726/B726,"")</f>
        <v>16.1308236327596</v>
      </c>
      <c r="AF726" s="0" t="str">
        <f aca="false">RawFinancials!AE726</f>
        <v>原始0：需核实适用/报告口径</v>
      </c>
    </row>
    <row r="727" customFormat="false" ht="15" hidden="false" customHeight="false" outlineLevel="0" collapsed="false">
      <c r="A727" s="0" t="n">
        <f aca="false">IF(ISBLANK(RawFinancials!A727),"",RawFinancials!A727)</f>
        <v>727</v>
      </c>
      <c r="B727" s="0" t="n">
        <f aca="false">IF(ISBLANK(RawFinancials!B727),"",RawFinancials!B727)</f>
        <v>571650</v>
      </c>
      <c r="C727" s="0" t="n">
        <f aca="false">IF(ISBLANK(RawFinancials!C727),"",RawFinancials!C727)</f>
        <v>27824</v>
      </c>
      <c r="D727" s="0" t="n">
        <f aca="false">IF(ISBLANK(RawFinancials!D727),"",RawFinancials!D727)</f>
        <v>388196</v>
      </c>
      <c r="E727" s="0" t="n">
        <f aca="false">IF(ISBLANK(RawFinancials!E727),"",RawFinancials!E727)</f>
        <v>0.06</v>
      </c>
      <c r="F727" s="0" t="n">
        <f aca="false">IF(ISBLANK(RawFinancials!F727),"",RawFinancials!F727)</f>
        <v>62136</v>
      </c>
      <c r="G727" s="0" t="n">
        <f aca="false">IF(ISBLANK(RawFinancials!G727),"",RawFinancials!G727)</f>
        <v>10.8695880346366</v>
      </c>
      <c r="H727" s="0" t="str">
        <f aca="false">IF(ISBLANK(RawFinancials!H727),"",RawFinancials!H727)</f>
        <v>27824_20250630</v>
      </c>
      <c r="I727" s="0" t="n">
        <f aca="false">IF(ISBLANK(RawFinancials!I727),"",RawFinancials!I727)</f>
        <v>0.62787688522156</v>
      </c>
      <c r="J727" s="0" t="n">
        <f aca="false">IF(ISBLANK(RawFinancials!J727),"",RawFinancials!J727)</f>
        <v>18433</v>
      </c>
      <c r="K727" s="0" t="n">
        <f aca="false">IF(ISBLANK(RawFinancials!K727),"",RawFinancials!K727)</f>
        <v>31632</v>
      </c>
      <c r="L727" s="0" t="n">
        <f aca="false">IF(ISBLANK(RawFinancials!L727),"",RawFinancials!L727)</f>
        <v>471430</v>
      </c>
      <c r="M727" s="0" t="n">
        <f aca="false">IF(ISBLANK(RawFinancials!M727),"",RawFinancials!M727)</f>
        <v>468470</v>
      </c>
      <c r="N727" s="0" t="n">
        <f aca="false">IF(ISBLANK(RawFinancials!N727),"",RawFinancials!N727)</f>
        <v>421364</v>
      </c>
      <c r="O727" s="0" t="n">
        <f aca="false">IF(ISBLANK(RawFinancials!O727),"",RawFinancials!O727)</f>
        <v>2044</v>
      </c>
      <c r="P727" s="0" t="str">
        <f aca="false">IF(ISBLANK(RawFinancials!P727),"",RawFinancials!P727)</f>
        <v>SALEM CO-OPERATIVE BANK</v>
      </c>
      <c r="Q727" s="0" t="n">
        <f aca="false">IF(ISBLANK(RawFinancials!Q727),"",RawFinancials!Q727)</f>
        <v>0.433574443713807</v>
      </c>
      <c r="R727" s="0" t="n">
        <f aca="false">IF(ISBLANK(RawFinancials!R727),"",RawFinancials!R727)</f>
        <v>1.91505644013124</v>
      </c>
      <c r="S727" s="0" t="n">
        <f aca="false">IF(ISBLANK(RawFinancials!S727),"",RawFinancials!S727)</f>
        <v>42</v>
      </c>
      <c r="T727" s="0" t="n">
        <f aca="false">IF(ISBLANK(RawFinancials!T727),"",RawFinancials!T727)</f>
        <v>1687</v>
      </c>
      <c r="U727" s="0" t="n">
        <f aca="false">IF(ISBLANK(RawFinancials!U727),"",RawFinancials!U727)</f>
        <v>0</v>
      </c>
      <c r="V727" s="0" t="n">
        <f aca="false">IF(ISBLANK(RawFinancials!V727),"",RawFinancials!V727)</f>
        <v>18.9590144003458</v>
      </c>
      <c r="W727" s="0" t="n">
        <f aca="false">IF(ISBLANK(RawFinancials!W727),"",RawFinancials!W727)</f>
        <v>20250630</v>
      </c>
      <c r="X727" s="0" t="n">
        <f aca="false">IF(ISBLANK(RawFinancials!X727),"",RawFinancials!X727)</f>
        <v>-0.305904588568829</v>
      </c>
      <c r="Y727" s="0" t="n">
        <f aca="false">IF(ISBLANK(RawFinancials!Y727),"",RawFinancials!Y727)</f>
        <v>-2.81</v>
      </c>
      <c r="Z727" s="0" t="str">
        <f aca="false">IF(ISBLANK(RawFinancials!Z727),"",RawFinancials!Z727)</f>
        <v>NH</v>
      </c>
      <c r="AA727" s="0" t="n">
        <f aca="false">RawFinancials!AA727</f>
        <v>1</v>
      </c>
      <c r="AB727" s="0" t="n">
        <f aca="false">RawFinancials!AB727</f>
        <v>2044</v>
      </c>
      <c r="AC727" s="0" t="n">
        <f aca="false">RawFinancials!AC727</f>
        <v>0.357561444940086</v>
      </c>
      <c r="AD727" s="0" t="n">
        <f aca="false">IF(L727&gt;0,100*N727/L727,"")</f>
        <v>89.3799715758437</v>
      </c>
      <c r="AE727" s="0" t="n">
        <f aca="false">IF(B727&gt;0,100*F727/B727,"")</f>
        <v>10.8695880346366</v>
      </c>
      <c r="AF727" s="0" t="str">
        <f aca="false">RawFinancials!AE727</f>
        <v/>
      </c>
    </row>
    <row r="728" customFormat="false" ht="15" hidden="false" customHeight="false" outlineLevel="0" collapsed="false">
      <c r="A728" s="0" t="n">
        <f aca="false">IF(ISBLANK(RawFinancials!A728),"",RawFinancials!A728)</f>
        <v>728</v>
      </c>
      <c r="B728" s="0" t="n">
        <f aca="false">IF(ISBLANK(RawFinancials!B728),"",RawFinancials!B728)</f>
        <v>317001</v>
      </c>
      <c r="C728" s="0" t="n">
        <f aca="false">IF(ISBLANK(RawFinancials!C728),"",RawFinancials!C728)</f>
        <v>28155</v>
      </c>
      <c r="D728" s="0" t="n">
        <f aca="false">IF(ISBLANK(RawFinancials!D728),"",RawFinancials!D728)</f>
        <v>287929</v>
      </c>
      <c r="E728" s="0" t="n">
        <f aca="false">IF(ISBLANK(RawFinancials!E728),"",RawFinancials!E728)</f>
        <v>0</v>
      </c>
      <c r="F728" s="0" t="n">
        <f aca="false">IF(ISBLANK(RawFinancials!F728),"",RawFinancials!F728)</f>
        <v>27470</v>
      </c>
      <c r="G728" s="0" t="n">
        <f aca="false">IF(ISBLANK(RawFinancials!G728),"",RawFinancials!G728)</f>
        <v>8.6655878057167</v>
      </c>
      <c r="H728" s="0" t="str">
        <f aca="false">IF(ISBLANK(RawFinancials!H728),"",RawFinancials!H728)</f>
        <v>28155_20250630</v>
      </c>
      <c r="I728" s="0" t="n">
        <f aca="false">IF(ISBLANK(RawFinancials!I728),"",RawFinancials!I728)</f>
        <v>0.423656163754722</v>
      </c>
      <c r="J728" s="0" t="n">
        <f aca="false">IF(ISBLANK(RawFinancials!J728),"",RawFinancials!J728)</f>
        <v>8456</v>
      </c>
      <c r="K728" s="0" t="n">
        <f aca="false">IF(ISBLANK(RawFinancials!K728),"",RawFinancials!K728)</f>
        <v>6285</v>
      </c>
      <c r="L728" s="0" t="n">
        <f aca="false">IF(ISBLANK(RawFinancials!L728),"",RawFinancials!L728)</f>
        <v>180807</v>
      </c>
      <c r="M728" s="0" t="n">
        <f aca="false">IF(ISBLANK(RawFinancials!M728),"",RawFinancials!M728)</f>
        <v>180041</v>
      </c>
      <c r="N728" s="0" t="n">
        <f aca="false">IF(ISBLANK(RawFinancials!N728),"",RawFinancials!N728)</f>
        <v>165552</v>
      </c>
      <c r="O728" s="0" t="n">
        <f aca="false">IF(ISBLANK(RawFinancials!O728),"",RawFinancials!O728)</f>
        <v>0</v>
      </c>
      <c r="P728" s="0" t="str">
        <f aca="false">IF(ISBLANK(RawFinancials!P728),"",RawFinancials!P728)</f>
        <v>PROFILE BANK</v>
      </c>
      <c r="Q728" s="0" t="n">
        <f aca="false">IF(ISBLANK(RawFinancials!Q728),"",RawFinancials!Q728)</f>
        <v>0</v>
      </c>
      <c r="R728" s="0" t="n">
        <f aca="false">IF(ISBLANK(RawFinancials!R728),"",RawFinancials!R728)</f>
        <v>2.66189945807321</v>
      </c>
      <c r="S728" s="0" t="n">
        <f aca="false">IF(ISBLANK(RawFinancials!S728),"",RawFinancials!S728)</f>
        <v>22</v>
      </c>
      <c r="T728" s="0" t="n">
        <f aca="false">IF(ISBLANK(RawFinancials!T728),"",RawFinancials!T728)</f>
        <v>1753</v>
      </c>
      <c r="U728" s="0" t="n">
        <f aca="false">IF(ISBLANK(RawFinancials!U728),"",RawFinancials!U728)</f>
        <v>0</v>
      </c>
      <c r="V728" s="0" t="n">
        <f aca="false">IF(ISBLANK(RawFinancials!V728),"",RawFinancials!V728)</f>
        <v>17.1811647071487</v>
      </c>
      <c r="W728" s="0" t="n">
        <f aca="false">IF(ISBLANK(RawFinancials!W728),"",RawFinancials!W728)</f>
        <v>20250630</v>
      </c>
      <c r="X728" s="0" t="n">
        <f aca="false">IF(ISBLANK(RawFinancials!X728),"",RawFinancials!X728)</f>
        <v>-0.0309202389410805</v>
      </c>
      <c r="Y728" s="0" t="n">
        <f aca="false">IF(ISBLANK(RawFinancials!Y728),"",RawFinancials!Y728)</f>
        <v>-0.34</v>
      </c>
      <c r="Z728" s="0" t="str">
        <f aca="false">IF(ISBLANK(RawFinancials!Z728),"",RawFinancials!Z728)</f>
        <v>NH</v>
      </c>
      <c r="AA728" s="0" t="n">
        <f aca="false">RawFinancials!AA728</f>
        <v>1</v>
      </c>
      <c r="AB728" s="0" t="n">
        <f aca="false">RawFinancials!AB728</f>
        <v>0</v>
      </c>
      <c r="AC728" s="0" t="n">
        <f aca="false">RawFinancials!AC728</f>
        <v>0</v>
      </c>
      <c r="AD728" s="0" t="n">
        <f aca="false">IF(L728&gt;0,100*N728/L728,"")</f>
        <v>91.5628266604722</v>
      </c>
      <c r="AE728" s="0" t="n">
        <f aca="false">IF(B728&gt;0,100*F728/B728,"")</f>
        <v>8.6655878057167</v>
      </c>
      <c r="AF728" s="0" t="str">
        <f aca="false">RawFinancials!AE728</f>
        <v/>
      </c>
    </row>
    <row r="729" customFormat="false" ht="15" hidden="false" customHeight="false" outlineLevel="0" collapsed="false">
      <c r="A729" s="0" t="n">
        <f aca="false">IF(ISBLANK(RawFinancials!A729),"",RawFinancials!A729)</f>
        <v>729</v>
      </c>
      <c r="B729" s="0" t="n">
        <f aca="false">IF(ISBLANK(RawFinancials!B729),"",RawFinancials!B729)</f>
        <v>102731</v>
      </c>
      <c r="C729" s="0" t="n">
        <f aca="false">IF(ISBLANK(RawFinancials!C729),"",RawFinancials!C729)</f>
        <v>28288</v>
      </c>
      <c r="D729" s="0" t="n">
        <f aca="false">IF(ISBLANK(RawFinancials!D729),"",RawFinancials!D729)</f>
        <v>76453</v>
      </c>
      <c r="E729" s="0" t="n">
        <f aca="false">IF(ISBLANK(RawFinancials!E729),"",RawFinancials!E729)</f>
        <v>0</v>
      </c>
      <c r="F729" s="0" t="n">
        <f aca="false">IF(ISBLANK(RawFinancials!F729),"",RawFinancials!F729)</f>
        <v>6269</v>
      </c>
      <c r="G729" s="0" t="n">
        <f aca="false">IF(ISBLANK(RawFinancials!G729),"",RawFinancials!G729)</f>
        <v>6.1023449591652</v>
      </c>
      <c r="H729" s="0" t="str">
        <f aca="false">IF(ISBLANK(RawFinancials!H729),"",RawFinancials!H729)</f>
        <v>28288_20250630</v>
      </c>
      <c r="I729" s="0" t="n">
        <f aca="false">IF(ISBLANK(RawFinancials!I729),"",RawFinancials!I729)</f>
        <v>0.96923674122956</v>
      </c>
      <c r="J729" s="0" t="n">
        <f aca="false">IF(ISBLANK(RawFinancials!J729),"",RawFinancials!J729)</f>
        <v>4189</v>
      </c>
      <c r="K729" s="0" t="n">
        <f aca="false">IF(ISBLANK(RawFinancials!K729),"",RawFinancials!K729)</f>
        <v>3375</v>
      </c>
      <c r="L729" s="0" t="n">
        <f aca="false">IF(ISBLANK(RawFinancials!L729),"",RawFinancials!L729)</f>
        <v>82436</v>
      </c>
      <c r="M729" s="0" t="n">
        <f aca="false">IF(ISBLANK(RawFinancials!M729),"",RawFinancials!M729)</f>
        <v>81637</v>
      </c>
      <c r="N729" s="0" t="n">
        <f aca="false">IF(ISBLANK(RawFinancials!N729),"",RawFinancials!N729)</f>
        <v>74872</v>
      </c>
      <c r="O729" s="0" t="n">
        <f aca="false">IF(ISBLANK(RawFinancials!O729),"",RawFinancials!O729)</f>
        <v>99</v>
      </c>
      <c r="P729" s="0" t="str">
        <f aca="false">IF(ISBLANK(RawFinancials!P729),"",RawFinancials!P729)</f>
        <v>AUBURN SAVINGS BANK, FSB</v>
      </c>
      <c r="Q729" s="0" t="n">
        <f aca="false">IF(ISBLANK(RawFinancials!Q729),"",RawFinancials!Q729)</f>
        <v>0.120093163181134</v>
      </c>
      <c r="R729" s="0" t="n">
        <f aca="false">IF(ISBLANK(RawFinancials!R729),"",RawFinancials!R729)</f>
        <v>2.73418663286535</v>
      </c>
      <c r="S729" s="0" t="n">
        <f aca="false">IF(ISBLANK(RawFinancials!S729),"",RawFinancials!S729)</f>
        <v>1</v>
      </c>
      <c r="T729" s="0" t="n">
        <f aca="false">IF(ISBLANK(RawFinancials!T729),"",RawFinancials!T729)</f>
        <v>160</v>
      </c>
      <c r="U729" s="0" t="n">
        <f aca="false">IF(ISBLANK(RawFinancials!U729),"",RawFinancials!U729)</f>
        <v>0</v>
      </c>
      <c r="V729" s="0" t="n">
        <f aca="false">IF(ISBLANK(RawFinancials!V729),"",RawFinancials!V729)</f>
        <v>13.1832466884013</v>
      </c>
      <c r="W729" s="0" t="n">
        <f aca="false">IF(ISBLANK(RawFinancials!W729),"",RawFinancials!W729)</f>
        <v>20250630</v>
      </c>
      <c r="X729" s="0" t="n">
        <f aca="false">IF(ISBLANK(RawFinancials!X729),"",RawFinancials!X729)</f>
        <v>0.2469079353467</v>
      </c>
      <c r="Y729" s="0" t="n">
        <f aca="false">IF(ISBLANK(RawFinancials!Y729),"",RawFinancials!Y729)</f>
        <v>4.13</v>
      </c>
      <c r="Z729" s="0" t="str">
        <f aca="false">IF(ISBLANK(RawFinancials!Z729),"",RawFinancials!Z729)</f>
        <v>ME</v>
      </c>
      <c r="AA729" s="0" t="n">
        <f aca="false">RawFinancials!AA729</f>
        <v>1</v>
      </c>
      <c r="AB729" s="0" t="n">
        <f aca="false">RawFinancials!AB729</f>
        <v>99</v>
      </c>
      <c r="AC729" s="0" t="n">
        <f aca="false">RawFinancials!AC729</f>
        <v>0.0963681848711684</v>
      </c>
      <c r="AD729" s="0" t="n">
        <f aca="false">IF(L729&gt;0,100*N729/L729,"")</f>
        <v>90.8243971080596</v>
      </c>
      <c r="AE729" s="0" t="n">
        <f aca="false">IF(B729&gt;0,100*F729/B729,"")</f>
        <v>6.1023449591652</v>
      </c>
      <c r="AF729" s="0" t="str">
        <f aca="false">RawFinancials!AE729</f>
        <v/>
      </c>
    </row>
    <row r="730" customFormat="false" ht="15" hidden="false" customHeight="false" outlineLevel="0" collapsed="false">
      <c r="A730" s="0" t="n">
        <f aca="false">IF(ISBLANK(RawFinancials!A730),"",RawFinancials!A730)</f>
        <v>730</v>
      </c>
      <c r="B730" s="0" t="n">
        <f aca="false">IF(ISBLANK(RawFinancials!B730),"",RawFinancials!B730)</f>
        <v>93177</v>
      </c>
      <c r="C730" s="0" t="n">
        <f aca="false">IF(ISBLANK(RawFinancials!C730),"",RawFinancials!C730)</f>
        <v>28369</v>
      </c>
      <c r="D730" s="0" t="n">
        <f aca="false">IF(ISBLANK(RawFinancials!D730),"",RawFinancials!D730)</f>
        <v>73160</v>
      </c>
      <c r="E730" s="0" t="n">
        <f aca="false">IF(ISBLANK(RawFinancials!E730),"",RawFinancials!E730)</f>
        <v>-0.1</v>
      </c>
      <c r="F730" s="0" t="n">
        <f aca="false">IF(ISBLANK(RawFinancials!F730),"",RawFinancials!F730)</f>
        <v>9091</v>
      </c>
      <c r="G730" s="0" t="n">
        <f aca="false">IF(ISBLANK(RawFinancials!G730),"",RawFinancials!G730)</f>
        <v>9.75669961471179</v>
      </c>
      <c r="H730" s="0" t="str">
        <f aca="false">IF(ISBLANK(RawFinancials!H730),"",RawFinancials!H730)</f>
        <v>28369_20250630</v>
      </c>
      <c r="I730" s="0" t="n">
        <f aca="false">IF(ISBLANK(RawFinancials!I730),"",RawFinancials!I730)</f>
        <v>0.788828882888289</v>
      </c>
      <c r="J730" s="0" t="n">
        <f aca="false">IF(ISBLANK(RawFinancials!J730),"",RawFinancials!J730)</f>
        <v>12550</v>
      </c>
      <c r="K730" s="0" t="n">
        <f aca="false">IF(ISBLANK(RawFinancials!K730),"",RawFinancials!K730)</f>
        <v>678</v>
      </c>
      <c r="L730" s="0" t="n">
        <f aca="false">IF(ISBLANK(RawFinancials!L730),"",RawFinancials!L730)</f>
        <v>79992</v>
      </c>
      <c r="M730" s="0" t="n">
        <f aca="false">IF(ISBLANK(RawFinancials!M730),"",RawFinancials!M730)</f>
        <v>79361</v>
      </c>
      <c r="N730" s="0" t="n">
        <f aca="false">IF(ISBLANK(RawFinancials!N730),"",RawFinancials!N730)</f>
        <v>66764</v>
      </c>
      <c r="O730" s="0" t="n">
        <f aca="false">IF(ISBLANK(RawFinancials!O730),"",RawFinancials!O730)</f>
        <v>86</v>
      </c>
      <c r="P730" s="0" t="str">
        <f aca="false">IF(ISBLANK(RawFinancials!P730),"",RawFinancials!P730)</f>
        <v>ROCKLAND SAVINGS BANK, FSB</v>
      </c>
      <c r="Q730" s="0" t="n">
        <f aca="false">IF(ISBLANK(RawFinancials!Q730),"",RawFinancials!Q730)</f>
        <v>0.107510751075108</v>
      </c>
      <c r="R730" s="0" t="n">
        <f aca="false">IF(ISBLANK(RawFinancials!R730),"",RawFinancials!R730)</f>
        <v>3.43158918975128</v>
      </c>
      <c r="S730" s="0" t="n">
        <f aca="false">IF(ISBLANK(RawFinancials!S730),"",RawFinancials!S730)</f>
        <v>-59</v>
      </c>
      <c r="T730" s="0" t="n">
        <f aca="false">IF(ISBLANK(RawFinancials!T730),"",RawFinancials!T730)</f>
        <v>180</v>
      </c>
      <c r="U730" s="0" t="n">
        <f aca="false">IF(ISBLANK(RawFinancials!U730),"",RawFinancials!U730)</f>
        <v>0</v>
      </c>
      <c r="V730" s="0" t="n">
        <f aca="false">IF(ISBLANK(RawFinancials!V730),"",RawFinancials!V730)</f>
        <v>14.1380843593321</v>
      </c>
      <c r="W730" s="0" t="n">
        <f aca="false">IF(ISBLANK(RawFinancials!W730),"",RawFinancials!W730)</f>
        <v>20250630</v>
      </c>
      <c r="X730" s="0" t="n">
        <f aca="false">IF(ISBLANK(RawFinancials!X730),"",RawFinancials!X730)</f>
        <v>0.102707117103945</v>
      </c>
      <c r="Y730" s="0" t="n">
        <f aca="false">IF(ISBLANK(RawFinancials!Y730),"",RawFinancials!Y730)</f>
        <v>1.06</v>
      </c>
      <c r="Z730" s="0" t="str">
        <f aca="false">IF(ISBLANK(RawFinancials!Z730),"",RawFinancials!Z730)</f>
        <v>ME</v>
      </c>
      <c r="AA730" s="0" t="n">
        <f aca="false">RawFinancials!AA730</f>
        <v>1</v>
      </c>
      <c r="AB730" s="0" t="n">
        <f aca="false">RawFinancials!AB730</f>
        <v>86</v>
      </c>
      <c r="AC730" s="0" t="n">
        <f aca="false">RawFinancials!AC730</f>
        <v>0.0922974553806197</v>
      </c>
      <c r="AD730" s="0" t="n">
        <f aca="false">IF(L730&gt;0,100*N730/L730,"")</f>
        <v>83.4633463346335</v>
      </c>
      <c r="AE730" s="0" t="n">
        <f aca="false">IF(B730&gt;0,100*F730/B730,"")</f>
        <v>9.75669961471179</v>
      </c>
      <c r="AF730" s="0" t="str">
        <f aca="false">RawFinancials!AE730</f>
        <v/>
      </c>
    </row>
    <row r="731" customFormat="false" ht="15" hidden="false" customHeight="false" outlineLevel="0" collapsed="false">
      <c r="A731" s="0" t="n">
        <f aca="false">IF(ISBLANK(RawFinancials!A731),"",RawFinancials!A731)</f>
        <v>731</v>
      </c>
      <c r="B731" s="0" t="n">
        <f aca="false">IF(ISBLANK(RawFinancials!B731),"",RawFinancials!B731)</f>
        <v>279103</v>
      </c>
      <c r="C731" s="0" t="n">
        <f aca="false">IF(ISBLANK(RawFinancials!C731),"",RawFinancials!C731)</f>
        <v>28837</v>
      </c>
      <c r="D731" s="0" t="n">
        <f aca="false">IF(ISBLANK(RawFinancials!D731),"",RawFinancials!D731)</f>
        <v>248250</v>
      </c>
      <c r="E731" s="0" t="n">
        <f aca="false">IF(ISBLANK(RawFinancials!E731),"",RawFinancials!E731)</f>
        <v>-0.05</v>
      </c>
      <c r="F731" s="0" t="n">
        <f aca="false">IF(ISBLANK(RawFinancials!F731),"",RawFinancials!F731)</f>
        <v>28295</v>
      </c>
      <c r="G731" s="0" t="n">
        <f aca="false">IF(ISBLANK(RawFinancials!G731),"",RawFinancials!G731)</f>
        <v>10.1378344195512</v>
      </c>
      <c r="H731" s="0" t="str">
        <f aca="false">IF(ISBLANK(RawFinancials!H731),"",RawFinancials!H731)</f>
        <v>28837_20250630</v>
      </c>
      <c r="I731" s="0" t="n">
        <f aca="false">IF(ISBLANK(RawFinancials!I731),"",RawFinancials!I731)</f>
        <v>1.03979663645895</v>
      </c>
      <c r="J731" s="0" t="n">
        <f aca="false">IF(ISBLANK(RawFinancials!J731),"",RawFinancials!J731)</f>
        <v>7567</v>
      </c>
      <c r="K731" s="0" t="n">
        <f aca="false">IF(ISBLANK(RawFinancials!K731),"",RawFinancials!K731)</f>
        <v>1028</v>
      </c>
      <c r="L731" s="0" t="n">
        <f aca="false">IF(ISBLANK(RawFinancials!L731),"",RawFinancials!L731)</f>
        <v>208887</v>
      </c>
      <c r="M731" s="0" t="n">
        <f aca="false">IF(ISBLANK(RawFinancials!M731),"",RawFinancials!M731)</f>
        <v>206715</v>
      </c>
      <c r="N731" s="0" t="n">
        <f aca="false">IF(ISBLANK(RawFinancials!N731),"",RawFinancials!N731)</f>
        <v>199905</v>
      </c>
      <c r="O731" s="0" t="n">
        <f aca="false">IF(ISBLANK(RawFinancials!O731),"",RawFinancials!O731)</f>
        <v>253</v>
      </c>
      <c r="P731" s="0" t="str">
        <f aca="false">IF(ISBLANK(RawFinancials!P731),"",RawFinancials!P731)</f>
        <v>THE BRATTLEBORO SAVINGS AND LOAN ASSOCIATION</v>
      </c>
      <c r="Q731" s="0" t="n">
        <f aca="false">IF(ISBLANK(RawFinancials!Q731),"",RawFinancials!Q731)</f>
        <v>0.155107785549125</v>
      </c>
      <c r="R731" s="0" t="n">
        <f aca="false">IF(ISBLANK(RawFinancials!R731),"",RawFinancials!R731)</f>
        <v>4.00864887356595</v>
      </c>
      <c r="S731" s="0" t="n">
        <f aca="false">IF(ISBLANK(RawFinancials!S731),"",RawFinancials!S731)</f>
        <v>-2</v>
      </c>
      <c r="T731" s="0" t="n">
        <f aca="false">IF(ISBLANK(RawFinancials!T731),"",RawFinancials!T731)</f>
        <v>1246</v>
      </c>
      <c r="U731" s="0" t="n">
        <f aca="false">IF(ISBLANK(RawFinancials!U731),"",RawFinancials!U731)</f>
        <v>71</v>
      </c>
      <c r="V731" s="0" t="n">
        <f aca="false">IF(ISBLANK(RawFinancials!V731),"",RawFinancials!V731)</f>
        <v>17.9895121488231</v>
      </c>
      <c r="W731" s="0" t="n">
        <f aca="false">IF(ISBLANK(RawFinancials!W731),"",RawFinancials!W731)</f>
        <v>20250630</v>
      </c>
      <c r="X731" s="0" t="n">
        <f aca="false">IF(ISBLANK(RawFinancials!X731),"",RawFinancials!X731)</f>
        <v>-0.326447120470196</v>
      </c>
      <c r="Y731" s="0" t="n">
        <f aca="false">IF(ISBLANK(RawFinancials!Y731),"",RawFinancials!Y731)</f>
        <v>-3.24</v>
      </c>
      <c r="Z731" s="0" t="str">
        <f aca="false">IF(ISBLANK(RawFinancials!Z731),"",RawFinancials!Z731)</f>
        <v>VT</v>
      </c>
      <c r="AA731" s="0" t="n">
        <f aca="false">RawFinancials!AA731</f>
        <v>1</v>
      </c>
      <c r="AB731" s="0" t="n">
        <f aca="false">RawFinancials!AB731</f>
        <v>324</v>
      </c>
      <c r="AC731" s="0" t="n">
        <f aca="false">RawFinancials!AC731</f>
        <v>0.1160861760712</v>
      </c>
      <c r="AD731" s="0" t="n">
        <f aca="false">IF(L731&gt;0,100*N731/L731,"")</f>
        <v>95.7000675006104</v>
      </c>
      <c r="AE731" s="0" t="n">
        <f aca="false">IF(B731&gt;0,100*F731/B731,"")</f>
        <v>10.1378344195512</v>
      </c>
      <c r="AF731" s="0" t="str">
        <f aca="false">RawFinancials!AE731</f>
        <v/>
      </c>
    </row>
    <row r="732" customFormat="false" ht="15" hidden="false" customHeight="false" outlineLevel="0" collapsed="false">
      <c r="A732" s="0" t="n">
        <f aca="false">IF(ISBLANK(RawFinancials!A732),"",RawFinancials!A732)</f>
        <v>732</v>
      </c>
      <c r="B732" s="0" t="n">
        <f aca="false">IF(ISBLANK(RawFinancials!B732),"",RawFinancials!B732)</f>
        <v>185573</v>
      </c>
      <c r="C732" s="0" t="n">
        <f aca="false">IF(ISBLANK(RawFinancials!C732),"",RawFinancials!C732)</f>
        <v>29636</v>
      </c>
      <c r="D732" s="0" t="n">
        <f aca="false">IF(ISBLANK(RawFinancials!D732),"",RawFinancials!D732)</f>
        <v>139676</v>
      </c>
      <c r="E732" s="0" t="n">
        <f aca="false">IF(ISBLANK(RawFinancials!E732),"",RawFinancials!E732)</f>
        <v>0</v>
      </c>
      <c r="F732" s="0" t="n">
        <f aca="false">IF(ISBLANK(RawFinancials!F732),"",RawFinancials!F732)</f>
        <v>27646</v>
      </c>
      <c r="G732" s="0" t="n">
        <f aca="false">IF(ISBLANK(RawFinancials!G732),"",RawFinancials!G732)</f>
        <v>14.897641359465</v>
      </c>
      <c r="H732" s="0" t="str">
        <f aca="false">IF(ISBLANK(RawFinancials!H732),"",RawFinancials!H732)</f>
        <v>29636_20250630</v>
      </c>
      <c r="I732" s="0" t="n">
        <f aca="false">IF(ISBLANK(RawFinancials!I732),"",RawFinancials!I732)</f>
        <v>1.32524707996406</v>
      </c>
      <c r="J732" s="0" t="n">
        <f aca="false">IF(ISBLANK(RawFinancials!J732),"",RawFinancials!J732)</f>
        <v>1667</v>
      </c>
      <c r="K732" s="0" t="n">
        <f aca="false">IF(ISBLANK(RawFinancials!K732),"",RawFinancials!K732)</f>
        <v>1619</v>
      </c>
      <c r="L732" s="0" t="n">
        <f aca="false">IF(ISBLANK(RawFinancials!L732),"",RawFinancials!L732)</f>
        <v>146916</v>
      </c>
      <c r="M732" s="0" t="n">
        <f aca="false">IF(ISBLANK(RawFinancials!M732),"",RawFinancials!M732)</f>
        <v>144969</v>
      </c>
      <c r="N732" s="0" t="n">
        <f aca="false">IF(ISBLANK(RawFinancials!N732),"",RawFinancials!N732)</f>
        <v>143630</v>
      </c>
      <c r="O732" s="0" t="n">
        <f aca="false">IF(ISBLANK(RawFinancials!O732),"",RawFinancials!O732)</f>
        <v>3102</v>
      </c>
      <c r="P732" s="0" t="str">
        <f aca="false">IF(ISBLANK(RawFinancials!P732),"",RawFinancials!P732)</f>
        <v>FIRST FEDERAL SAVINGS AND LOAN ASSOCIATION OF BATH</v>
      </c>
      <c r="Q732" s="0" t="n">
        <f aca="false">IF(ISBLANK(RawFinancials!Q732),"",RawFinancials!Q732)</f>
        <v>2.11141060197664</v>
      </c>
      <c r="R732" s="0" t="n">
        <f aca="false">IF(ISBLANK(RawFinancials!R732),"",RawFinancials!R732)</f>
        <v>3.50724516740479</v>
      </c>
      <c r="S732" s="0" t="n">
        <f aca="false">IF(ISBLANK(RawFinancials!S732),"",RawFinancials!S732)</f>
        <v>23</v>
      </c>
      <c r="T732" s="0" t="n">
        <f aca="false">IF(ISBLANK(RawFinancials!T732),"",RawFinancials!T732)</f>
        <v>4225</v>
      </c>
      <c r="U732" s="0" t="n">
        <f aca="false">IF(ISBLANK(RawFinancials!U732),"",RawFinancials!U732)</f>
        <v>0</v>
      </c>
      <c r="V732" s="0" t="n">
        <f aca="false">IF(ISBLANK(RawFinancials!V732),"",RawFinancials!V732)</f>
        <v>27.1672138701688</v>
      </c>
      <c r="W732" s="0" t="n">
        <f aca="false">IF(ISBLANK(RawFinancials!W732),"",RawFinancials!W732)</f>
        <v>20250630</v>
      </c>
      <c r="X732" s="0" t="n">
        <f aca="false">IF(ISBLANK(RawFinancials!X732),"",RawFinancials!X732)</f>
        <v>0.234619113348782</v>
      </c>
      <c r="Y732" s="0" t="n">
        <f aca="false">IF(ISBLANK(RawFinancials!Y732),"",RawFinancials!Y732)</f>
        <v>1.58</v>
      </c>
      <c r="Z732" s="0" t="str">
        <f aca="false">IF(ISBLANK(RawFinancials!Z732),"",RawFinancials!Z732)</f>
        <v>ME</v>
      </c>
      <c r="AA732" s="0" t="n">
        <f aca="false">RawFinancials!AA732</f>
        <v>1</v>
      </c>
      <c r="AB732" s="0" t="n">
        <f aca="false">RawFinancials!AB732</f>
        <v>3102</v>
      </c>
      <c r="AC732" s="0" t="n">
        <f aca="false">RawFinancials!AC732</f>
        <v>1.67157937846562</v>
      </c>
      <c r="AD732" s="0" t="n">
        <f aca="false">IF(L732&gt;0,100*N732/L732,"")</f>
        <v>97.7633477633478</v>
      </c>
      <c r="AE732" s="0" t="n">
        <f aca="false">IF(B732&gt;0,100*F732/B732,"")</f>
        <v>14.897641359465</v>
      </c>
      <c r="AF732" s="0" t="str">
        <f aca="false">RawFinancials!AE732</f>
        <v/>
      </c>
    </row>
    <row r="733" customFormat="false" ht="15" hidden="false" customHeight="false" outlineLevel="0" collapsed="false">
      <c r="A733" s="0" t="n">
        <f aca="false">IF(ISBLANK(RawFinancials!A733),"",RawFinancials!A733)</f>
        <v>733</v>
      </c>
      <c r="B733" s="0" t="n">
        <f aca="false">IF(ISBLANK(RawFinancials!B733),"",RawFinancials!B733)</f>
        <v>200783</v>
      </c>
      <c r="C733" s="0" t="n">
        <f aca="false">IF(ISBLANK(RawFinancials!C733),"",RawFinancials!C733)</f>
        <v>29743</v>
      </c>
      <c r="D733" s="0" t="n">
        <f aca="false">IF(ISBLANK(RawFinancials!D733),"",RawFinancials!D733)</f>
        <v>176912</v>
      </c>
      <c r="E733" s="0" t="n">
        <f aca="false">IF(ISBLANK(RawFinancials!E733),"",RawFinancials!E733)</f>
        <v>0.05</v>
      </c>
      <c r="F733" s="0" t="n">
        <f aca="false">IF(ISBLANK(RawFinancials!F733),"",RawFinancials!F733)</f>
        <v>19214</v>
      </c>
      <c r="G733" s="0" t="n">
        <f aca="false">IF(ISBLANK(RawFinancials!G733),"",RawFinancials!G733)</f>
        <v>9.56953526942022</v>
      </c>
      <c r="H733" s="0" t="str">
        <f aca="false">IF(ISBLANK(RawFinancials!H733),"",RawFinancials!H733)</f>
        <v>29743_20250630</v>
      </c>
      <c r="I733" s="0" t="n">
        <f aca="false">IF(ISBLANK(RawFinancials!I733),"",RawFinancials!I733)</f>
        <v>0.62705753252861</v>
      </c>
      <c r="J733" s="0" t="n">
        <f aca="false">IF(ISBLANK(RawFinancials!J733),"",RawFinancials!J733)</f>
        <v>26522</v>
      </c>
      <c r="K733" s="0" t="n">
        <f aca="false">IF(ISBLANK(RawFinancials!K733),"",RawFinancials!K733)</f>
        <v>23119</v>
      </c>
      <c r="L733" s="0" t="n">
        <f aca="false">IF(ISBLANK(RawFinancials!L733),"",RawFinancials!L733)</f>
        <v>140338</v>
      </c>
      <c r="M733" s="0" t="n">
        <f aca="false">IF(ISBLANK(RawFinancials!M733),"",RawFinancials!M733)</f>
        <v>139458</v>
      </c>
      <c r="N733" s="0" t="n">
        <f aca="false">IF(ISBLANK(RawFinancials!N733),"",RawFinancials!N733)</f>
        <v>89612</v>
      </c>
      <c r="O733" s="0" t="n">
        <f aca="false">IF(ISBLANK(RawFinancials!O733),"",RawFinancials!O733)</f>
        <v>662</v>
      </c>
      <c r="P733" s="0" t="str">
        <f aca="false">IF(ISBLANK(RawFinancials!P733),"",RawFinancials!P733)</f>
        <v>AROOSTOOK COUNTY FEDERAL SAVINGS AND LOAN ASSOCIATION</v>
      </c>
      <c r="Q733" s="0" t="n">
        <f aca="false">IF(ISBLANK(RawFinancials!Q733),"",RawFinancials!Q733)</f>
        <v>0.471718280152204</v>
      </c>
      <c r="R733" s="0" t="n">
        <f aca="false">IF(ISBLANK(RawFinancials!R733),"",RawFinancials!R733)</f>
        <v>2.75663046959155</v>
      </c>
      <c r="S733" s="0" t="n">
        <f aca="false">IF(ISBLANK(RawFinancials!S733),"",RawFinancials!S733)</f>
        <v>36</v>
      </c>
      <c r="T733" s="0" t="n">
        <f aca="false">IF(ISBLANK(RawFinancials!T733),"",RawFinancials!T733)</f>
        <v>763</v>
      </c>
      <c r="U733" s="0" t="n">
        <f aca="false">IF(ISBLANK(RawFinancials!U733),"",RawFinancials!U733)</f>
        <v>0</v>
      </c>
      <c r="V733" s="0" t="n">
        <f aca="false">IF(ISBLANK(RawFinancials!V733),"",RawFinancials!V733)</f>
        <v>18.1286751690254</v>
      </c>
      <c r="W733" s="0" t="n">
        <f aca="false">IF(ISBLANK(RawFinancials!W733),"",RawFinancials!W733)</f>
        <v>20250630</v>
      </c>
      <c r="X733" s="0" t="n">
        <f aca="false">IF(ISBLANK(RawFinancials!X733),"",RawFinancials!X733)</f>
        <v>0.538521901715605</v>
      </c>
      <c r="Y733" s="0" t="n">
        <f aca="false">IF(ISBLANK(RawFinancials!Y733),"",RawFinancials!Y733)</f>
        <v>5.78</v>
      </c>
      <c r="Z733" s="0" t="str">
        <f aca="false">IF(ISBLANK(RawFinancials!Z733),"",RawFinancials!Z733)</f>
        <v>ME</v>
      </c>
      <c r="AA733" s="0" t="n">
        <f aca="false">RawFinancials!AA733</f>
        <v>1</v>
      </c>
      <c r="AB733" s="0" t="n">
        <f aca="false">RawFinancials!AB733</f>
        <v>662</v>
      </c>
      <c r="AC733" s="0" t="n">
        <f aca="false">RawFinancials!AC733</f>
        <v>0.329709188526917</v>
      </c>
      <c r="AD733" s="0" t="n">
        <f aca="false">IF(L733&gt;0,100*N733/L733,"")</f>
        <v>63.8544086419929</v>
      </c>
      <c r="AE733" s="0" t="n">
        <f aca="false">IF(B733&gt;0,100*F733/B733,"")</f>
        <v>9.56953526942022</v>
      </c>
      <c r="AF733" s="0" t="str">
        <f aca="false">RawFinancials!AE733</f>
        <v/>
      </c>
    </row>
    <row r="734" customFormat="false" ht="15" hidden="false" customHeight="false" outlineLevel="0" collapsed="false">
      <c r="A734" s="0" t="n">
        <f aca="false">IF(ISBLANK(RawFinancials!A734),"",RawFinancials!A734)</f>
        <v>734</v>
      </c>
      <c r="B734" s="0" t="n">
        <f aca="false">IF(ISBLANK(RawFinancials!B734),"",RawFinancials!B734)</f>
        <v>605109</v>
      </c>
      <c r="C734" s="0" t="n">
        <f aca="false">IF(ISBLANK(RawFinancials!C734),"",RawFinancials!C734)</f>
        <v>29744</v>
      </c>
      <c r="D734" s="0" t="n">
        <f aca="false">IF(ISBLANK(RawFinancials!D734),"",RawFinancials!D734)</f>
        <v>489906</v>
      </c>
      <c r="E734" s="0" t="n">
        <f aca="false">IF(ISBLANK(RawFinancials!E734),"",RawFinancials!E734)</f>
        <v>0.02</v>
      </c>
      <c r="F734" s="0" t="n">
        <f aca="false">IF(ISBLANK(RawFinancials!F734),"",RawFinancials!F734)</f>
        <v>44554</v>
      </c>
      <c r="G734" s="0" t="n">
        <f aca="false">IF(ISBLANK(RawFinancials!G734),"",RawFinancials!G734)</f>
        <v>7.36297096886677</v>
      </c>
      <c r="H734" s="0" t="str">
        <f aca="false">IF(ISBLANK(RawFinancials!H734),"",RawFinancials!H734)</f>
        <v>29744_20250630</v>
      </c>
      <c r="I734" s="0" t="n">
        <f aca="false">IF(ISBLANK(RawFinancials!I734),"",RawFinancials!I734)</f>
        <v>0.799810792556325</v>
      </c>
      <c r="J734" s="0" t="n">
        <f aca="false">IF(ISBLANK(RawFinancials!J734),"",RawFinancials!J734)</f>
        <v>24902</v>
      </c>
      <c r="K734" s="0" t="n">
        <f aca="false">IF(ISBLANK(RawFinancials!K734),"",RawFinancials!K734)</f>
        <v>12774</v>
      </c>
      <c r="L734" s="0" t="n">
        <f aca="false">IF(ISBLANK(RawFinancials!L734),"",RawFinancials!L734)</f>
        <v>439729</v>
      </c>
      <c r="M734" s="0" t="n">
        <f aca="false">IF(ISBLANK(RawFinancials!M734),"",RawFinancials!M734)</f>
        <v>436212</v>
      </c>
      <c r="N734" s="0" t="n">
        <f aca="false">IF(ISBLANK(RawFinancials!N734),"",RawFinancials!N734)</f>
        <v>402053</v>
      </c>
      <c r="O734" s="0" t="n">
        <f aca="false">IF(ISBLANK(RawFinancials!O734),"",RawFinancials!O734)</f>
        <v>14</v>
      </c>
      <c r="P734" s="0" t="str">
        <f aca="false">IF(ISBLANK(RawFinancials!P734),"",RawFinancials!P734)</f>
        <v>FIRST SEACOAST BANK</v>
      </c>
      <c r="Q734" s="0" t="n">
        <f aca="false">IF(ISBLANK(RawFinancials!Q734),"",RawFinancials!Q734)</f>
        <v>0.0031837791003095</v>
      </c>
      <c r="R734" s="0" t="n">
        <f aca="false">IF(ISBLANK(RawFinancials!R734),"",RawFinancials!R734)</f>
        <v>2.32561114451281</v>
      </c>
      <c r="S734" s="0" t="n">
        <f aca="false">IF(ISBLANK(RawFinancials!S734),"",RawFinancials!S734)</f>
        <v>-1</v>
      </c>
      <c r="T734" s="0" t="n">
        <f aca="false">IF(ISBLANK(RawFinancials!T734),"",RawFinancials!T734)</f>
        <v>200</v>
      </c>
      <c r="U734" s="0" t="n">
        <f aca="false">IF(ISBLANK(RawFinancials!U734),"",RawFinancials!U734)</f>
        <v>0</v>
      </c>
      <c r="V734" s="0" t="n">
        <f aca="false">IF(ISBLANK(RawFinancials!V734),"",RawFinancials!V734)</f>
        <v>15.2305620070175</v>
      </c>
      <c r="W734" s="0" t="n">
        <f aca="false">IF(ISBLANK(RawFinancials!W734),"",RawFinancials!W734)</f>
        <v>20250630</v>
      </c>
      <c r="X734" s="0" t="n">
        <f aca="false">IF(ISBLANK(RawFinancials!X734),"",RawFinancials!X734)</f>
        <v>-0.385522175114088</v>
      </c>
      <c r="Y734" s="0" t="n">
        <f aca="false">IF(ISBLANK(RawFinancials!Y734),"",RawFinancials!Y734)</f>
        <v>-5.11</v>
      </c>
      <c r="Z734" s="0" t="str">
        <f aca="false">IF(ISBLANK(RawFinancials!Z734),"",RawFinancials!Z734)</f>
        <v>NH</v>
      </c>
      <c r="AA734" s="0" t="n">
        <f aca="false">RawFinancials!AA734</f>
        <v>1</v>
      </c>
      <c r="AB734" s="0" t="n">
        <f aca="false">RawFinancials!AB734</f>
        <v>14</v>
      </c>
      <c r="AC734" s="0" t="n">
        <f aca="false">RawFinancials!AC734</f>
        <v>0.00231363275046314</v>
      </c>
      <c r="AD734" s="0" t="n">
        <f aca="false">IF(L734&gt;0,100*N734/L734,"")</f>
        <v>91.4319956154814</v>
      </c>
      <c r="AE734" s="0" t="n">
        <f aca="false">IF(B734&gt;0,100*F734/B734,"")</f>
        <v>7.36297096886677</v>
      </c>
      <c r="AF734" s="0" t="str">
        <f aca="false">RawFinancials!AE734</f>
        <v/>
      </c>
    </row>
    <row r="735" customFormat="false" ht="15" hidden="false" customHeight="false" outlineLevel="0" collapsed="false">
      <c r="A735" s="0" t="n">
        <f aca="false">IF(ISBLANK(RawFinancials!A735),"",RawFinancials!A735)</f>
        <v>735</v>
      </c>
      <c r="B735" s="0" t="n">
        <f aca="false">IF(ISBLANK(RawFinancials!B735),"",RawFinancials!B735)</f>
        <v>621434</v>
      </c>
      <c r="C735" s="0" t="n">
        <f aca="false">IF(ISBLANK(RawFinancials!C735),"",RawFinancials!C735)</f>
        <v>30350</v>
      </c>
      <c r="D735" s="0" t="n">
        <f aca="false">IF(ISBLANK(RawFinancials!D735),"",RawFinancials!D735)</f>
        <v>477487</v>
      </c>
      <c r="E735" s="0" t="n">
        <f aca="false">IF(ISBLANK(RawFinancials!E735),"",RawFinancials!E735)</f>
        <v>0.03</v>
      </c>
      <c r="F735" s="0" t="n">
        <f aca="false">IF(ISBLANK(RawFinancials!F735),"",RawFinancials!F735)</f>
        <v>64425</v>
      </c>
      <c r="G735" s="0" t="n">
        <f aca="false">IF(ISBLANK(RawFinancials!G735),"",RawFinancials!G735)</f>
        <v>10.367150815694</v>
      </c>
      <c r="H735" s="0" t="str">
        <f aca="false">IF(ISBLANK(RawFinancials!H735),"",RawFinancials!H735)</f>
        <v>30350_20250630</v>
      </c>
      <c r="I735" s="0" t="n">
        <f aca="false">IF(ISBLANK(RawFinancials!I735),"",RawFinancials!I735)</f>
        <v>1.10904919853296</v>
      </c>
      <c r="J735" s="0" t="n">
        <f aca="false">IF(ISBLANK(RawFinancials!J735),"",RawFinancials!J735)</f>
        <v>15301</v>
      </c>
      <c r="K735" s="0" t="n">
        <f aca="false">IF(ISBLANK(RawFinancials!K735),"",RawFinancials!K735)</f>
        <v>1564</v>
      </c>
      <c r="L735" s="0" t="n">
        <f aca="false">IF(ISBLANK(RawFinancials!L735),"",RawFinancials!L735)</f>
        <v>479059</v>
      </c>
      <c r="M735" s="0" t="n">
        <f aca="false">IF(ISBLANK(RawFinancials!M735),"",RawFinancials!M735)</f>
        <v>473746</v>
      </c>
      <c r="N735" s="0" t="n">
        <f aca="false">IF(ISBLANK(RawFinancials!N735),"",RawFinancials!N735)</f>
        <v>461052</v>
      </c>
      <c r="O735" s="0" t="n">
        <f aca="false">IF(ISBLANK(RawFinancials!O735),"",RawFinancials!O735)</f>
        <v>1787</v>
      </c>
      <c r="P735" s="0" t="str">
        <f aca="false">IF(ISBLANK(RawFinancials!P735),"",RawFinancials!P735)</f>
        <v>THE BANK OF BENNINGTON</v>
      </c>
      <c r="Q735" s="0" t="n">
        <f aca="false">IF(ISBLANK(RawFinancials!Q735),"",RawFinancials!Q735)</f>
        <v>0.37302294706915</v>
      </c>
      <c r="R735" s="0" t="n">
        <f aca="false">IF(ISBLANK(RawFinancials!R735),"",RawFinancials!R735)</f>
        <v>2.7562664518235</v>
      </c>
      <c r="S735" s="0" t="n">
        <f aca="false">IF(ISBLANK(RawFinancials!S735),"",RawFinancials!S735)</f>
        <v>35</v>
      </c>
      <c r="T735" s="0" t="n">
        <f aca="false">IF(ISBLANK(RawFinancials!T735),"",RawFinancials!T735)</f>
        <v>1554</v>
      </c>
      <c r="U735" s="0" t="n">
        <f aca="false">IF(ISBLANK(RawFinancials!U735),"",RawFinancials!U735)</f>
        <v>0</v>
      </c>
      <c r="V735" s="0" t="n">
        <f aca="false">IF(ISBLANK(RawFinancials!V735),"",RawFinancials!V735)</f>
        <v>20.0140311414907</v>
      </c>
      <c r="W735" s="0" t="n">
        <f aca="false">IF(ISBLANK(RawFinancials!W735),"",RawFinancials!W735)</f>
        <v>20250630</v>
      </c>
      <c r="X735" s="0" t="n">
        <f aca="false">IF(ISBLANK(RawFinancials!X735),"",RawFinancials!X735)</f>
        <v>0.75252389871844</v>
      </c>
      <c r="Y735" s="0" t="n">
        <f aca="false">IF(ISBLANK(RawFinancials!Y735),"",RawFinancials!Y735)</f>
        <v>7.3</v>
      </c>
      <c r="Z735" s="0" t="str">
        <f aca="false">IF(ISBLANK(RawFinancials!Z735),"",RawFinancials!Z735)</f>
        <v>VT</v>
      </c>
      <c r="AA735" s="0" t="n">
        <f aca="false">RawFinancials!AA735</f>
        <v>1</v>
      </c>
      <c r="AB735" s="0" t="n">
        <f aca="false">RawFinancials!AB735</f>
        <v>1787</v>
      </c>
      <c r="AC735" s="0" t="n">
        <f aca="false">RawFinancials!AC735</f>
        <v>0.287560706366243</v>
      </c>
      <c r="AD735" s="0" t="n">
        <f aca="false">IF(L735&gt;0,100*N735/L735,"")</f>
        <v>96.241172799175</v>
      </c>
      <c r="AE735" s="0" t="n">
        <f aca="false">IF(B735&gt;0,100*F735/B735,"")</f>
        <v>10.367150815694</v>
      </c>
      <c r="AF735" s="0" t="str">
        <f aca="false">RawFinancials!AE735</f>
        <v/>
      </c>
    </row>
    <row r="736" customFormat="false" ht="15" hidden="false" customHeight="false" outlineLevel="0" collapsed="false">
      <c r="A736" s="0" t="n">
        <f aca="false">IF(ISBLANK(RawFinancials!A736),"",RawFinancials!A736)</f>
        <v>736</v>
      </c>
      <c r="B736" s="0" t="n">
        <f aca="false">IF(ISBLANK(RawFinancials!B736),"",RawFinancials!B736)</f>
        <v>98909</v>
      </c>
      <c r="C736" s="0" t="n">
        <f aca="false">IF(ISBLANK(RawFinancials!C736),"",RawFinancials!C736)</f>
        <v>30878</v>
      </c>
      <c r="D736" s="0" t="n">
        <f aca="false">IF(ISBLANK(RawFinancials!D736),"",RawFinancials!D736)</f>
        <v>72725</v>
      </c>
      <c r="E736" s="0" t="n">
        <f aca="false">IF(ISBLANK(RawFinancials!E736),"",RawFinancials!E736)</f>
        <v>-0.11</v>
      </c>
      <c r="F736" s="0" t="n">
        <f aca="false">IF(ISBLANK(RawFinancials!F736),"",RawFinancials!F736)</f>
        <v>11891</v>
      </c>
      <c r="G736" s="0" t="n">
        <f aca="false">IF(ISBLANK(RawFinancials!G736),"",RawFinancials!G736)</f>
        <v>12.0221617850752</v>
      </c>
      <c r="H736" s="0" t="str">
        <f aca="false">IF(ISBLANK(RawFinancials!H736),"",RawFinancials!H736)</f>
        <v>30878_20250630</v>
      </c>
      <c r="I736" s="0" t="n">
        <f aca="false">IF(ISBLANK(RawFinancials!I736),"",RawFinancials!I736)</f>
        <v>0.788042214886792</v>
      </c>
      <c r="J736" s="0" t="n">
        <f aca="false">IF(ISBLANK(RawFinancials!J736),"",RawFinancials!J736)</f>
        <v>0</v>
      </c>
      <c r="K736" s="0" t="n">
        <f aca="false">IF(ISBLANK(RawFinancials!K736),"",RawFinancials!K736)</f>
        <v>176</v>
      </c>
      <c r="L736" s="0" t="n">
        <f aca="false">IF(ISBLANK(RawFinancials!L736),"",RawFinancials!L736)</f>
        <v>86036</v>
      </c>
      <c r="M736" s="0" t="n">
        <f aca="false">IF(ISBLANK(RawFinancials!M736),"",RawFinancials!M736)</f>
        <v>85358</v>
      </c>
      <c r="N736" s="0" t="n">
        <f aca="false">IF(ISBLANK(RawFinancials!N736),"",RawFinancials!N736)</f>
        <v>85860</v>
      </c>
      <c r="O736" s="0" t="n">
        <f aca="false">IF(ISBLANK(RawFinancials!O736),"",RawFinancials!O736)</f>
        <v>1353</v>
      </c>
      <c r="P736" s="0" t="str">
        <f aca="false">IF(ISBLANK(RawFinancials!P736),"",RawFinancials!P736)</f>
        <v>BAR HARBOR SAVINGS AND LOAN ASSOCIATION</v>
      </c>
      <c r="Q736" s="0" t="n">
        <f aca="false">IF(ISBLANK(RawFinancials!Q736),"",RawFinancials!Q736)</f>
        <v>1.57259751731833</v>
      </c>
      <c r="R736" s="0" t="n">
        <f aca="false">IF(ISBLANK(RawFinancials!R736),"",RawFinancials!R736)</f>
        <v>1.49226620464168</v>
      </c>
      <c r="S736" s="0" t="n">
        <f aca="false">IF(ISBLANK(RawFinancials!S736),"",RawFinancials!S736)</f>
        <v>0</v>
      </c>
      <c r="T736" s="0" t="n">
        <f aca="false">IF(ISBLANK(RawFinancials!T736),"",RawFinancials!T736)</f>
        <v>771</v>
      </c>
      <c r="U736" s="0" t="n">
        <f aca="false">IF(ISBLANK(RawFinancials!U736),"",RawFinancials!U736)</f>
        <v>0</v>
      </c>
      <c r="V736" s="0" t="n">
        <f aca="false">IF(ISBLANK(RawFinancials!V736),"",RawFinancials!V736)</f>
        <v>0</v>
      </c>
      <c r="W736" s="0" t="n">
        <f aca="false">IF(ISBLANK(RawFinancials!W736),"",RawFinancials!W736)</f>
        <v>20250630</v>
      </c>
      <c r="X736" s="0" t="n">
        <f aca="false">IF(ISBLANK(RawFinancials!X736),"",RawFinancials!X736)</f>
        <v>0.0020154179472968</v>
      </c>
      <c r="Y736" s="0" t="n">
        <f aca="false">IF(ISBLANK(RawFinancials!Y736),"",RawFinancials!Y736)</f>
        <v>0.02</v>
      </c>
      <c r="Z736" s="0" t="str">
        <f aca="false">IF(ISBLANK(RawFinancials!Z736),"",RawFinancials!Z736)</f>
        <v>ME</v>
      </c>
      <c r="AA736" s="0" t="n">
        <f aca="false">RawFinancials!AA736</f>
        <v>1</v>
      </c>
      <c r="AB736" s="0" t="n">
        <f aca="false">RawFinancials!AB736</f>
        <v>1353</v>
      </c>
      <c r="AC736" s="0" t="n">
        <f aca="false">RawFinancials!AC736</f>
        <v>1.36792405140078</v>
      </c>
      <c r="AD736" s="0" t="n">
        <f aca="false">IF(L736&gt;0,100*N736/L736,"")</f>
        <v>99.7954344692919</v>
      </c>
      <c r="AE736" s="0" t="n">
        <f aca="false">IF(B736&gt;0,100*F736/B736,"")</f>
        <v>12.0221617850752</v>
      </c>
      <c r="AF736" s="0" t="str">
        <f aca="false">RawFinancials!AE736</f>
        <v>原始0：需核实适用/报告口径</v>
      </c>
    </row>
    <row r="737" customFormat="false" ht="15" hidden="false" customHeight="false" outlineLevel="0" collapsed="false">
      <c r="A737" s="0" t="n">
        <f aca="false">IF(ISBLANK(RawFinancials!A737),"",RawFinancials!A737)</f>
        <v>737</v>
      </c>
      <c r="B737" s="0" t="n">
        <f aca="false">IF(ISBLANK(RawFinancials!B737),"",RawFinancials!B737)</f>
        <v>993609</v>
      </c>
      <c r="C737" s="0" t="n">
        <f aca="false">IF(ISBLANK(RawFinancials!C737),"",RawFinancials!C737)</f>
        <v>33418</v>
      </c>
      <c r="D737" s="0" t="n">
        <f aca="false">IF(ISBLANK(RawFinancials!D737),"",RawFinancials!D737)</f>
        <v>817518</v>
      </c>
      <c r="E737" s="0" t="n">
        <f aca="false">IF(ISBLANK(RawFinancials!E737),"",RawFinancials!E737)</f>
        <v>0.14</v>
      </c>
      <c r="F737" s="0" t="n">
        <f aca="false">IF(ISBLANK(RawFinancials!F737),"",RawFinancials!F737)</f>
        <v>69945</v>
      </c>
      <c r="G737" s="0" t="n">
        <f aca="false">IF(ISBLANK(RawFinancials!G737),"",RawFinancials!G737)</f>
        <v>7.03948937660589</v>
      </c>
      <c r="H737" s="0" t="str">
        <f aca="false">IF(ISBLANK(RawFinancials!H737),"",RawFinancials!H737)</f>
        <v>33418_20250630</v>
      </c>
      <c r="I737" s="0" t="n">
        <f aca="false">IF(ISBLANK(RawFinancials!I737),"",RawFinancials!I737)</f>
        <v>0.702306329496071</v>
      </c>
      <c r="J737" s="0" t="n">
        <f aca="false">IF(ISBLANK(RawFinancials!J737),"",RawFinancials!J737)</f>
        <v>83984</v>
      </c>
      <c r="K737" s="0" t="n">
        <f aca="false">IF(ISBLANK(RawFinancials!K737),"",RawFinancials!K737)</f>
        <v>17087</v>
      </c>
      <c r="L737" s="0" t="n">
        <f aca="false">IF(ISBLANK(RawFinancials!L737),"",RawFinancials!L737)</f>
        <v>629355</v>
      </c>
      <c r="M737" s="0" t="n">
        <f aca="false">IF(ISBLANK(RawFinancials!M737),"",RawFinancials!M737)</f>
        <v>624935</v>
      </c>
      <c r="N737" s="0" t="n">
        <f aca="false">IF(ISBLANK(RawFinancials!N737),"",RawFinancials!N737)</f>
        <v>528008</v>
      </c>
      <c r="O737" s="0" t="n">
        <f aca="false">IF(ISBLANK(RawFinancials!O737),"",RawFinancials!O737)</f>
        <v>1191</v>
      </c>
      <c r="P737" s="0" t="str">
        <f aca="false">IF(ISBLANK(RawFinancials!P737),"",RawFinancials!P737)</f>
        <v>LEDYARD NATIONAL BANK</v>
      </c>
      <c r="Q737" s="0" t="n">
        <f aca="false">IF(ISBLANK(RawFinancials!Q737),"",RawFinancials!Q737)</f>
        <v>0.189241366160593</v>
      </c>
      <c r="R737" s="0" t="n">
        <f aca="false">IF(ISBLANK(RawFinancials!R737),"",RawFinancials!R737)</f>
        <v>2.58498658033812</v>
      </c>
      <c r="S737" s="0" t="n">
        <f aca="false">IF(ISBLANK(RawFinancials!S737),"",RawFinancials!S737)</f>
        <v>-3</v>
      </c>
      <c r="T737" s="0" t="n">
        <f aca="false">IF(ISBLANK(RawFinancials!T737),"",RawFinancials!T737)</f>
        <v>580</v>
      </c>
      <c r="U737" s="0" t="n">
        <f aca="false">IF(ISBLANK(RawFinancials!U737),"",RawFinancials!U737)</f>
        <v>0</v>
      </c>
      <c r="V737" s="0" t="n">
        <f aca="false">IF(ISBLANK(RawFinancials!V737),"",RawFinancials!V737)</f>
        <v>12.4261039075517</v>
      </c>
      <c r="W737" s="0" t="n">
        <f aca="false">IF(ISBLANK(RawFinancials!W737),"",RawFinancials!W737)</f>
        <v>20250630</v>
      </c>
      <c r="X737" s="0" t="n">
        <f aca="false">IF(ISBLANK(RawFinancials!X737),"",RawFinancials!X737)</f>
        <v>0.618819302365185</v>
      </c>
      <c r="Y737" s="0" t="n">
        <f aca="false">IF(ISBLANK(RawFinancials!Y737),"",RawFinancials!Y737)</f>
        <v>8.6</v>
      </c>
      <c r="Z737" s="0" t="str">
        <f aca="false">IF(ISBLANK(RawFinancials!Z737),"",RawFinancials!Z737)</f>
        <v>VT</v>
      </c>
      <c r="AA737" s="0" t="n">
        <f aca="false">RawFinancials!AA737</f>
        <v>1</v>
      </c>
      <c r="AB737" s="0" t="n">
        <f aca="false">RawFinancials!AB737</f>
        <v>1191</v>
      </c>
      <c r="AC737" s="0" t="n">
        <f aca="false">RawFinancials!AC737</f>
        <v>0.119866064015121</v>
      </c>
      <c r="AD737" s="0" t="n">
        <f aca="false">IF(L737&gt;0,100*N737/L737,"")</f>
        <v>83.8966878788601</v>
      </c>
      <c r="AE737" s="0" t="n">
        <f aca="false">IF(B737&gt;0,100*F737/B737,"")</f>
        <v>7.03948937660589</v>
      </c>
      <c r="AF737" s="0" t="str">
        <f aca="false">RawFinancials!AE737</f>
        <v/>
      </c>
    </row>
    <row r="738" customFormat="false" ht="15" hidden="false" customHeight="false" outlineLevel="0" collapsed="false">
      <c r="A738" s="0" t="n">
        <f aca="false">IF(ISBLANK(RawFinancials!A738),"",RawFinancials!A738)</f>
        <v>738</v>
      </c>
      <c r="B738" s="0" t="n">
        <f aca="false">IF(ISBLANK(RawFinancials!B738),"",RawFinancials!B738)</f>
        <v>72604</v>
      </c>
      <c r="C738" s="0" t="n">
        <f aca="false">IF(ISBLANK(RawFinancials!C738),"",RawFinancials!C738)</f>
        <v>35206</v>
      </c>
      <c r="D738" s="0" t="n">
        <f aca="false">IF(ISBLANK(RawFinancials!D738),"",RawFinancials!D738)</f>
        <v>500</v>
      </c>
      <c r="E738" s="0" t="n">
        <f aca="false">IF(ISBLANK(RawFinancials!E738),"",RawFinancials!E738)</f>
        <v>0</v>
      </c>
      <c r="F738" s="0" t="n">
        <f aca="false">IF(ISBLANK(RawFinancials!F738),"",RawFinancials!F738)</f>
        <v>70119</v>
      </c>
      <c r="G738" s="0" t="n">
        <f aca="false">IF(ISBLANK(RawFinancials!G738),"",RawFinancials!G738)</f>
        <v>96.57732356344</v>
      </c>
      <c r="H738" s="0" t="str">
        <f aca="false">IF(ISBLANK(RawFinancials!H738),"",RawFinancials!H738)</f>
        <v>35206_20250630</v>
      </c>
      <c r="I738" s="0" t="n">
        <f aca="false">IF(ISBLANK(RawFinancials!I738),"",RawFinancials!I738)</f>
        <v>0</v>
      </c>
      <c r="J738" s="0" t="n">
        <f aca="false">IF(ISBLANK(RawFinancials!J738),"",RawFinancials!J738)</f>
        <v>0</v>
      </c>
      <c r="K738" s="0" t="n">
        <f aca="false">IF(ISBLANK(RawFinancials!K738),"",RawFinancials!K738)</f>
        <v>0</v>
      </c>
      <c r="L738" s="0" t="n">
        <f aca="false">IF(ISBLANK(RawFinancials!L738),"",RawFinancials!L738)</f>
        <v>0</v>
      </c>
      <c r="M738" s="0" t="n">
        <f aca="false">IF(ISBLANK(RawFinancials!M738),"",RawFinancials!M738)</f>
        <v>0</v>
      </c>
      <c r="N738" s="0" t="n">
        <f aca="false">IF(ISBLANK(RawFinancials!N738),"",RawFinancials!N738)</f>
        <v>0</v>
      </c>
      <c r="O738" s="0" t="n">
        <f aca="false">IF(ISBLANK(RawFinancials!O738),"",RawFinancials!O738)</f>
        <v>0</v>
      </c>
      <c r="P738" s="0" t="str">
        <f aca="false">IF(ISBLANK(RawFinancials!P738),"",RawFinancials!P738)</f>
        <v>FIDELITY PERSONAL TRUST COMPANY, FSB</v>
      </c>
      <c r="Q738" s="0" t="n">
        <f aca="false">IF(ISBLANK(RawFinancials!Q738),"",RawFinancials!Q738)</f>
        <v>0</v>
      </c>
      <c r="R738" s="0" t="n">
        <f aca="false">IF(ISBLANK(RawFinancials!R738),"",RawFinancials!R738)</f>
        <v>4.14720593593693</v>
      </c>
      <c r="S738" s="0" t="n">
        <f aca="false">IF(ISBLANK(RawFinancials!S738),"",RawFinancials!S738)</f>
        <v>0</v>
      </c>
      <c r="T738" s="0" t="n">
        <f aca="false">IF(ISBLANK(RawFinancials!T738),"",RawFinancials!T738)</f>
        <v>0</v>
      </c>
      <c r="U738" s="0" t="n">
        <f aca="false">IF(ISBLANK(RawFinancials!U738),"",RawFinancials!U738)</f>
        <v>0</v>
      </c>
      <c r="V738" s="0" t="n">
        <f aca="false">IF(ISBLANK(RawFinancials!V738),"",RawFinancials!V738)</f>
        <v>0</v>
      </c>
      <c r="W738" s="0" t="n">
        <f aca="false">IF(ISBLANK(RawFinancials!W738),"",RawFinancials!W738)</f>
        <v>20250630</v>
      </c>
      <c r="X738" s="0" t="n">
        <f aca="false">IF(ISBLANK(RawFinancials!X738),"",RawFinancials!X738)</f>
        <v>28.4880056721944</v>
      </c>
      <c r="Y738" s="0" t="n">
        <f aca="false">IF(ISBLANK(RawFinancials!Y738),"",RawFinancials!Y738)</f>
        <v>29.55</v>
      </c>
      <c r="Z738" s="0" t="str">
        <f aca="false">IF(ISBLANK(RawFinancials!Z738),"",RawFinancials!Z738)</f>
        <v>NH</v>
      </c>
      <c r="AA738" s="0" t="n">
        <f aca="false">RawFinancials!AA738</f>
        <v>1</v>
      </c>
      <c r="AB738" s="0" t="n">
        <f aca="false">RawFinancials!AB738</f>
        <v>0</v>
      </c>
      <c r="AC738" s="0" t="n">
        <f aca="false">RawFinancials!AC738</f>
        <v>0</v>
      </c>
      <c r="AD738" s="0" t="str">
        <f aca="false">IF(L738&gt;0,100*N738/L738,"")</f>
        <v/>
      </c>
      <c r="AE738" s="0" t="n">
        <f aca="false">IF(B738&gt;0,100*F738/B738,"")</f>
        <v>96.57732356344</v>
      </c>
      <c r="AF738" s="0" t="str">
        <f aca="false">RawFinancials!AE738</f>
        <v>原始0：需核实适用/报告口径</v>
      </c>
    </row>
    <row r="739" customFormat="false" ht="15" hidden="false" customHeight="false" outlineLevel="0" collapsed="false">
      <c r="A739" s="0" t="n">
        <f aca="false">IF(ISBLANK(RawFinancials!A739),"",RawFinancials!A739)</f>
        <v>739</v>
      </c>
      <c r="B739" s="0" t="n">
        <f aca="false">IF(ISBLANK(RawFinancials!B739),"",RawFinancials!B739)</f>
        <v>6902692</v>
      </c>
      <c r="C739" s="0" t="n">
        <f aca="false">IF(ISBLANK(RawFinancials!C739),"",RawFinancials!C739)</f>
        <v>4255</v>
      </c>
      <c r="D739" s="0" t="n">
        <f aca="false">IF(ISBLANK(RawFinancials!D739),"",RawFinancials!D739)</f>
        <v>5545916</v>
      </c>
      <c r="E739" s="0" t="n">
        <f aca="false">IF(ISBLANK(RawFinancials!E739),"",RawFinancials!E739)</f>
        <v>0.5</v>
      </c>
      <c r="F739" s="0" t="n">
        <f aca="false">IF(ISBLANK(RawFinancials!F739),"",RawFinancials!F739)</f>
        <v>687541</v>
      </c>
      <c r="G739" s="0" t="n">
        <f aca="false">IF(ISBLANK(RawFinancials!G739),"",RawFinancials!G739)</f>
        <v>9.96047628954037</v>
      </c>
      <c r="H739" s="0" t="str">
        <f aca="false">IF(ISBLANK(RawFinancials!H739),"",RawFinancials!H739)</f>
        <v>4255_20250630</v>
      </c>
      <c r="I739" s="0" t="n">
        <f aca="false">IF(ISBLANK(RawFinancials!I739),"",RawFinancials!I739)</f>
        <v>1.07030046411581</v>
      </c>
      <c r="J739" s="0" t="n">
        <f aca="false">IF(ISBLANK(RawFinancials!J739),"",RawFinancials!J739)</f>
        <v>341829</v>
      </c>
      <c r="K739" s="0" t="n">
        <f aca="false">IF(ISBLANK(RawFinancials!K739),"",RawFinancials!K739)</f>
        <v>23213</v>
      </c>
      <c r="L739" s="0" t="n">
        <f aca="false">IF(ISBLANK(RawFinancials!L739),"",RawFinancials!L739)</f>
        <v>4953936</v>
      </c>
      <c r="M739" s="0" t="n">
        <f aca="false">IF(ISBLANK(RawFinancials!M739),"",RawFinancials!M739)</f>
        <v>4900914</v>
      </c>
      <c r="N739" s="0" t="n">
        <f aca="false">IF(ISBLANK(RawFinancials!N739),"",RawFinancials!N739)</f>
        <v>4456325</v>
      </c>
      <c r="O739" s="0" t="n">
        <f aca="false">IF(ISBLANK(RawFinancials!O739),"",RawFinancials!O739)</f>
        <v>18177</v>
      </c>
      <c r="P739" s="0" t="str">
        <f aca="false">IF(ISBLANK(RawFinancials!P739),"",RawFinancials!P739)</f>
        <v>THE CAMDEN NATIONAL BANK</v>
      </c>
      <c r="Q739" s="0" t="n">
        <f aca="false">IF(ISBLANK(RawFinancials!Q739),"",RawFinancials!Q739)</f>
        <v>0.366920363928803</v>
      </c>
      <c r="R739" s="0" t="n">
        <f aca="false">IF(ISBLANK(RawFinancials!R739),"",RawFinancials!R739)</f>
        <v>3.34318547116714</v>
      </c>
      <c r="S739" s="0" t="n">
        <f aca="false">IF(ISBLANK(RawFinancials!S739),"",RawFinancials!S739)</f>
        <v>1246</v>
      </c>
      <c r="T739" s="0" t="n">
        <f aca="false">IF(ISBLANK(RawFinancials!T739),"",RawFinancials!T739)</f>
        <v>4114</v>
      </c>
      <c r="U739" s="0" t="n">
        <f aca="false">IF(ISBLANK(RawFinancials!U739),"",RawFinancials!U739)</f>
        <v>0</v>
      </c>
      <c r="V739" s="0" t="n">
        <f aca="false">IF(ISBLANK(RawFinancials!V739),"",RawFinancials!V739)</f>
        <v>12.8539272598033</v>
      </c>
      <c r="W739" s="0" t="n">
        <f aca="false">IF(ISBLANK(RawFinancials!W739),"",RawFinancials!W739)</f>
        <v>20250630</v>
      </c>
      <c r="X739" s="0" t="n">
        <f aca="false">IF(ISBLANK(RawFinancials!X739),"",RawFinancials!X739)</f>
        <v>0.719073888795519</v>
      </c>
      <c r="Y739" s="0" t="n">
        <f aca="false">IF(ISBLANK(RawFinancials!Y739),"",RawFinancials!Y739)</f>
        <v>7.44</v>
      </c>
      <c r="Z739" s="0" t="str">
        <f aca="false">IF(ISBLANK(RawFinancials!Z739),"",RawFinancials!Z739)</f>
        <v>ME</v>
      </c>
      <c r="AA739" s="0" t="n">
        <f aca="false">RawFinancials!AA739</f>
        <v>1</v>
      </c>
      <c r="AB739" s="0" t="n">
        <f aca="false">RawFinancials!AB739</f>
        <v>18177</v>
      </c>
      <c r="AC739" s="0" t="n">
        <f aca="false">RawFinancials!AC739</f>
        <v>0.263332044947102</v>
      </c>
      <c r="AD739" s="0" t="n">
        <f aca="false">IF(L739&gt;0,100*N739/L739,"")</f>
        <v>89.9552396316787</v>
      </c>
      <c r="AE739" s="0" t="n">
        <f aca="false">IF(B739&gt;0,100*F739/B739,"")</f>
        <v>9.96047628954037</v>
      </c>
      <c r="AF739" s="0" t="str">
        <f aca="false">RawFinancials!AE739</f>
        <v/>
      </c>
    </row>
    <row r="740" customFormat="false" ht="15" hidden="false" customHeight="false" outlineLevel="0" collapsed="false">
      <c r="A740" s="0" t="n">
        <f aca="false">IF(ISBLANK(RawFinancials!A740),"",RawFinancials!A740)</f>
        <v>740</v>
      </c>
      <c r="B740" s="0" t="n">
        <f aca="false">IF(ISBLANK(RawFinancials!B740),"",RawFinancials!B740)</f>
        <v>3164056</v>
      </c>
      <c r="C740" s="0" t="n">
        <f aca="false">IF(ISBLANK(RawFinancials!C740),"",RawFinancials!C740)</f>
        <v>4256</v>
      </c>
      <c r="D740" s="0" t="n">
        <f aca="false">IF(ISBLANK(RawFinancials!D740),"",RawFinancials!D740)</f>
        <v>2706351</v>
      </c>
      <c r="E740" s="0" t="n">
        <f aca="false">IF(ISBLANK(RawFinancials!E740),"",RawFinancials!E740)</f>
        <v>0.06</v>
      </c>
      <c r="F740" s="0" t="n">
        <f aca="false">IF(ISBLANK(RawFinancials!F740),"",RawFinancials!F740)</f>
        <v>236733</v>
      </c>
      <c r="G740" s="0" t="n">
        <f aca="false">IF(ISBLANK(RawFinancials!G740),"",RawFinancials!G740)</f>
        <v>7.48194722217306</v>
      </c>
      <c r="H740" s="0" t="str">
        <f aca="false">IF(ISBLANK(RawFinancials!H740),"",RawFinancials!H740)</f>
        <v>4256_20250630</v>
      </c>
      <c r="I740" s="0" t="n">
        <f aca="false">IF(ISBLANK(RawFinancials!I740),"",RawFinancials!I740)</f>
        <v>1.03713147037582</v>
      </c>
      <c r="J740" s="0" t="n">
        <f aca="false">IF(ISBLANK(RawFinancials!J740),"",RawFinancials!J740)</f>
        <v>379671</v>
      </c>
      <c r="K740" s="0" t="n">
        <f aca="false">IF(ISBLANK(RawFinancials!K740),"",RawFinancials!K740)</f>
        <v>20559</v>
      </c>
      <c r="L740" s="0" t="n">
        <f aca="false">IF(ISBLANK(RawFinancials!L740),"",RawFinancials!L740)</f>
        <v>2394007</v>
      </c>
      <c r="M740" s="0" t="n">
        <f aca="false">IF(ISBLANK(RawFinancials!M740),"",RawFinancials!M740)</f>
        <v>2369178</v>
      </c>
      <c r="N740" s="0" t="n">
        <f aca="false">IF(ISBLANK(RawFinancials!N740),"",RawFinancials!N740)</f>
        <v>1881786</v>
      </c>
      <c r="O740" s="0" t="n">
        <f aca="false">IF(ISBLANK(RawFinancials!O740),"",RawFinancials!O740)</f>
        <v>6039</v>
      </c>
      <c r="P740" s="0" t="str">
        <f aca="false">IF(ISBLANK(RawFinancials!P740),"",RawFinancials!P740)</f>
        <v>FIRST NATIONAL BANK</v>
      </c>
      <c r="Q740" s="0" t="n">
        <f aca="false">IF(ISBLANK(RawFinancials!Q740),"",RawFinancials!Q740)</f>
        <v>0.271344235835568</v>
      </c>
      <c r="R740" s="0" t="n">
        <f aca="false">IF(ISBLANK(RawFinancials!R740),"",RawFinancials!R740)</f>
        <v>2.44163706624033</v>
      </c>
      <c r="S740" s="0" t="n">
        <f aca="false">IF(ISBLANK(RawFinancials!S740),"",RawFinancials!S740)</f>
        <v>786</v>
      </c>
      <c r="T740" s="0" t="n">
        <f aca="false">IF(ISBLANK(RawFinancials!T740),"",RawFinancials!T740)</f>
        <v>3028</v>
      </c>
      <c r="U740" s="0" t="n">
        <f aca="false">IF(ISBLANK(RawFinancials!U740),"",RawFinancials!U740)</f>
        <v>457</v>
      </c>
      <c r="V740" s="0" t="n">
        <f aca="false">IF(ISBLANK(RawFinancials!V740),"",RawFinancials!V740)</f>
        <v>13.2562418882408</v>
      </c>
      <c r="W740" s="0" t="n">
        <f aca="false">IF(ISBLANK(RawFinancials!W740),"",RawFinancials!W740)</f>
        <v>20250630</v>
      </c>
      <c r="X740" s="0" t="n">
        <f aca="false">IF(ISBLANK(RawFinancials!X740),"",RawFinancials!X740)</f>
        <v>1.00147521350966</v>
      </c>
      <c r="Y740" s="0" t="n">
        <f aca="false">IF(ISBLANK(RawFinancials!Y740),"",RawFinancials!Y740)</f>
        <v>13.67</v>
      </c>
      <c r="Z740" s="0" t="str">
        <f aca="false">IF(ISBLANK(RawFinancials!Z740),"",RawFinancials!Z740)</f>
        <v>ME</v>
      </c>
      <c r="AA740" s="0" t="n">
        <f aca="false">RawFinancials!AA740</f>
        <v>1</v>
      </c>
      <c r="AB740" s="0" t="n">
        <f aca="false">RawFinancials!AB740</f>
        <v>6496</v>
      </c>
      <c r="AC740" s="0" t="n">
        <f aca="false">RawFinancials!AC740</f>
        <v>0.205306100776977</v>
      </c>
      <c r="AD740" s="0" t="n">
        <f aca="false">IF(L740&gt;0,100*N740/L740,"")</f>
        <v>78.6040308152817</v>
      </c>
      <c r="AE740" s="0" t="n">
        <f aca="false">IF(B740&gt;0,100*F740/B740,"")</f>
        <v>7.48194722217306</v>
      </c>
      <c r="AF740" s="0" t="str">
        <f aca="false">RawFinancials!AE740</f>
        <v/>
      </c>
    </row>
    <row r="741" customFormat="false" ht="15" hidden="false" customHeight="false" outlineLevel="0" collapsed="false">
      <c r="A741" s="0" t="n">
        <f aca="false">IF(ISBLANK(RawFinancials!A741),"",RawFinancials!A741)</f>
        <v>741</v>
      </c>
      <c r="B741" s="0" t="n">
        <f aca="false">IF(ISBLANK(RawFinancials!B741),"",RawFinancials!B741)</f>
        <v>724753</v>
      </c>
      <c r="C741" s="0" t="n">
        <f aca="false">IF(ISBLANK(RawFinancials!C741),"",RawFinancials!C741)</f>
        <v>59086</v>
      </c>
      <c r="D741" s="0" t="n">
        <f aca="false">IF(ISBLANK(RawFinancials!D741),"",RawFinancials!D741)</f>
        <v>612986</v>
      </c>
      <c r="E741" s="0" t="n">
        <f aca="false">IF(ISBLANK(RawFinancials!E741),"",RawFinancials!E741)</f>
        <v>0.08</v>
      </c>
      <c r="F741" s="0" t="n">
        <f aca="false">IF(ISBLANK(RawFinancials!F741),"",RawFinancials!F741)</f>
        <v>105815</v>
      </c>
      <c r="G741" s="0" t="n">
        <f aca="false">IF(ISBLANK(RawFinancials!G741),"",RawFinancials!G741)</f>
        <v>14.6001465326808</v>
      </c>
      <c r="H741" s="0" t="str">
        <f aca="false">IF(ISBLANK(RawFinancials!H741),"",RawFinancials!H741)</f>
        <v>59086_20250630</v>
      </c>
      <c r="I741" s="0" t="n">
        <f aca="false">IF(ISBLANK(RawFinancials!I741),"",RawFinancials!I741)</f>
        <v>0.973020644383891</v>
      </c>
      <c r="J741" s="0" t="n">
        <f aca="false">IF(ISBLANK(RawFinancials!J741),"",RawFinancials!J741)</f>
        <v>124137</v>
      </c>
      <c r="K741" s="0" t="n">
        <f aca="false">IF(ISBLANK(RawFinancials!K741),"",RawFinancials!K741)</f>
        <v>0</v>
      </c>
      <c r="L741" s="0" t="n">
        <f aca="false">IF(ISBLANK(RawFinancials!L741),"",RawFinancials!L741)</f>
        <v>619103</v>
      </c>
      <c r="M741" s="0" t="n">
        <f aca="false">IF(ISBLANK(RawFinancials!M741),"",RawFinancials!M741)</f>
        <v>613079</v>
      </c>
      <c r="N741" s="0" t="n">
        <f aca="false">IF(ISBLANK(RawFinancials!N741),"",RawFinancials!N741)</f>
        <v>495338</v>
      </c>
      <c r="O741" s="0" t="n">
        <f aca="false">IF(ISBLANK(RawFinancials!O741),"",RawFinancials!O741)</f>
        <v>5998</v>
      </c>
      <c r="P741" s="0" t="str">
        <f aca="false">IF(ISBLANK(RawFinancials!P741),"",RawFinancials!P741)</f>
        <v>PRIMARY BANK</v>
      </c>
      <c r="Q741" s="0" t="n">
        <f aca="false">IF(ISBLANK(RawFinancials!Q741),"",RawFinancials!Q741)</f>
        <v>2.22903135665632</v>
      </c>
      <c r="R741" s="0" t="n">
        <f aca="false">IF(ISBLANK(RawFinancials!R741),"",RawFinancials!R741)</f>
        <v>3.90746208360731</v>
      </c>
      <c r="S741" s="0" t="n">
        <f aca="false">IF(ISBLANK(RawFinancials!S741),"",RawFinancials!S741)</f>
        <v>-2</v>
      </c>
      <c r="T741" s="0" t="n">
        <f aca="false">IF(ISBLANK(RawFinancials!T741),"",RawFinancials!T741)</f>
        <v>2944</v>
      </c>
      <c r="U741" s="0" t="n">
        <f aca="false">IF(ISBLANK(RawFinancials!U741),"",RawFinancials!U741)</f>
        <v>7830</v>
      </c>
      <c r="V741" s="0" t="n">
        <f aca="false">IF(ISBLANK(RawFinancials!V741),"",RawFinancials!V741)</f>
        <v>16.7805900658004</v>
      </c>
      <c r="W741" s="0" t="n">
        <f aca="false">IF(ISBLANK(RawFinancials!W741),"",RawFinancials!W741)</f>
        <v>20250630</v>
      </c>
      <c r="X741" s="0" t="n">
        <f aca="false">IF(ISBLANK(RawFinancials!X741),"",RawFinancials!X741)</f>
        <v>1.55691795515022</v>
      </c>
      <c r="Y741" s="0" t="n">
        <f aca="false">IF(ISBLANK(RawFinancials!Y741),"",RawFinancials!Y741)</f>
        <v>10.77</v>
      </c>
      <c r="Z741" s="0" t="str">
        <f aca="false">IF(ISBLANK(RawFinancials!Z741),"",RawFinancials!Z741)</f>
        <v>NH</v>
      </c>
      <c r="AA741" s="0" t="n">
        <f aca="false">RawFinancials!AA741</f>
        <v>1</v>
      </c>
      <c r="AB741" s="0" t="n">
        <f aca="false">RawFinancials!AB741</f>
        <v>13828</v>
      </c>
      <c r="AC741" s="0" t="n">
        <f aca="false">RawFinancials!AC741</f>
        <v>1.90796036718717</v>
      </c>
      <c r="AD741" s="0" t="n">
        <f aca="false">IF(L741&gt;0,100*N741/L741,"")</f>
        <v>80.0089807350312</v>
      </c>
      <c r="AE741" s="0" t="n">
        <f aca="false">IF(B741&gt;0,100*F741/B741,"")</f>
        <v>14.6001465326808</v>
      </c>
      <c r="AF741" s="0" t="str">
        <f aca="false">RawFinancials!AE741</f>
        <v/>
      </c>
    </row>
    <row r="742" customFormat="false" ht="15" hidden="false" customHeight="false" outlineLevel="0" collapsed="false">
      <c r="A742" s="0" t="n">
        <f aca="false">IF(ISBLANK(RawFinancials!A742),"",RawFinancials!A742)</f>
        <v>742</v>
      </c>
      <c r="B742" s="0" t="n">
        <f aca="false">IF(ISBLANK(RawFinancials!B742),"",RawFinancials!B742)</f>
        <v>279006</v>
      </c>
      <c r="C742" s="0" t="n">
        <f aca="false">IF(ISBLANK(RawFinancials!C742),"",RawFinancials!C742)</f>
        <v>59176</v>
      </c>
      <c r="D742" s="0" t="n">
        <f aca="false">IF(ISBLANK(RawFinancials!D742),"",RawFinancials!D742)</f>
        <v>229104</v>
      </c>
      <c r="E742" s="0" t="n">
        <f aca="false">IF(ISBLANK(RawFinancials!E742),"",RawFinancials!E742)</f>
        <v>0.27</v>
      </c>
      <c r="F742" s="0" t="n">
        <f aca="false">IF(ISBLANK(RawFinancials!F742),"",RawFinancials!F742)</f>
        <v>28607</v>
      </c>
      <c r="G742" s="0" t="n">
        <f aca="false">IF(ISBLANK(RawFinancials!G742),"",RawFinancials!G742)</f>
        <v>10.2531845193293</v>
      </c>
      <c r="H742" s="0" t="str">
        <f aca="false">IF(ISBLANK(RawFinancials!H742),"",RawFinancials!H742)</f>
        <v>59176_20250630</v>
      </c>
      <c r="I742" s="0" t="n">
        <f aca="false">IF(ISBLANK(RawFinancials!I742),"",RawFinancials!I742)</f>
        <v>0.947267955141971</v>
      </c>
      <c r="J742" s="0" t="n">
        <f aca="false">IF(ISBLANK(RawFinancials!J742),"",RawFinancials!J742)</f>
        <v>28021</v>
      </c>
      <c r="K742" s="0" t="n">
        <f aca="false">IF(ISBLANK(RawFinancials!K742),"",RawFinancials!K742)</f>
        <v>0</v>
      </c>
      <c r="L742" s="0" t="n">
        <f aca="false">IF(ISBLANK(RawFinancials!L742),"",RawFinancials!L742)</f>
        <v>209550</v>
      </c>
      <c r="M742" s="0" t="n">
        <f aca="false">IF(ISBLANK(RawFinancials!M742),"",RawFinancials!M742)</f>
        <v>207565</v>
      </c>
      <c r="N742" s="0" t="n">
        <f aca="false">IF(ISBLANK(RawFinancials!N742),"",RawFinancials!N742)</f>
        <v>180172</v>
      </c>
      <c r="O742" s="0" t="n">
        <f aca="false">IF(ISBLANK(RawFinancials!O742),"",RawFinancials!O742)</f>
        <v>0</v>
      </c>
      <c r="P742" s="0" t="str">
        <f aca="false">IF(ISBLANK(RawFinancials!P742),"",RawFinancials!P742)</f>
        <v>THE MILLYARD BANK</v>
      </c>
      <c r="Q742" s="0" t="n">
        <f aca="false">IF(ISBLANK(RawFinancials!Q742),"",RawFinancials!Q742)</f>
        <v>0</v>
      </c>
      <c r="R742" s="0" t="n">
        <f aca="false">IF(ISBLANK(RawFinancials!R742),"",RawFinancials!R742)</f>
        <v>2.74321019851507</v>
      </c>
      <c r="S742" s="0" t="n">
        <f aca="false">IF(ISBLANK(RawFinancials!S742),"",RawFinancials!S742)</f>
        <v>0</v>
      </c>
      <c r="T742" s="0" t="n">
        <f aca="false">IF(ISBLANK(RawFinancials!T742),"",RawFinancials!T742)</f>
        <v>0</v>
      </c>
      <c r="U742" s="0" t="n">
        <f aca="false">IF(ISBLANK(RawFinancials!U742),"",RawFinancials!U742)</f>
        <v>0</v>
      </c>
      <c r="V742" s="0" t="n">
        <f aca="false">IF(ISBLANK(RawFinancials!V742),"",RawFinancials!V742)</f>
        <v>0</v>
      </c>
      <c r="W742" s="0" t="n">
        <f aca="false">IF(ISBLANK(RawFinancials!W742),"",RawFinancials!W742)</f>
        <v>20250630</v>
      </c>
      <c r="X742" s="0" t="n">
        <f aca="false">IF(ISBLANK(RawFinancials!X742),"",RawFinancials!X742)</f>
        <v>0.168301196808511</v>
      </c>
      <c r="Y742" s="0" t="n">
        <f aca="false">IF(ISBLANK(RawFinancials!Y742),"",RawFinancials!Y742)</f>
        <v>1.56</v>
      </c>
      <c r="Z742" s="0" t="str">
        <f aca="false">IF(ISBLANK(RawFinancials!Z742),"",RawFinancials!Z742)</f>
        <v>NH</v>
      </c>
      <c r="AA742" s="0" t="n">
        <f aca="false">RawFinancials!AA742</f>
        <v>1</v>
      </c>
      <c r="AB742" s="0" t="n">
        <f aca="false">RawFinancials!AB742</f>
        <v>0</v>
      </c>
      <c r="AC742" s="0" t="n">
        <f aca="false">RawFinancials!AC742</f>
        <v>0</v>
      </c>
      <c r="AD742" s="0" t="n">
        <f aca="false">IF(L742&gt;0,100*N742/L742,"")</f>
        <v>85.9804342638988</v>
      </c>
      <c r="AE742" s="0" t="n">
        <f aca="false">IF(B742&gt;0,100*F742/B742,"")</f>
        <v>10.2531845193293</v>
      </c>
      <c r="AF742" s="0" t="str">
        <f aca="false">RawFinancials!AE742</f>
        <v>原始0：需核实适用/报告口径</v>
      </c>
    </row>
    <row r="743" customFormat="false" ht="15" hidden="false" customHeight="false" outlineLevel="0" collapsed="false">
      <c r="A743" s="0" t="n">
        <f aca="false">IF(ISBLANK(RawFinancials!A743),"",RawFinancials!A743)</f>
        <v>743</v>
      </c>
      <c r="B743" s="0" t="n">
        <f aca="false">IF(ISBLANK(RawFinancials!B743),"",RawFinancials!B743)</f>
        <v>145991</v>
      </c>
      <c r="C743" s="0" t="n">
        <f aca="false">IF(ISBLANK(RawFinancials!C743),"",RawFinancials!C743)</f>
        <v>59289</v>
      </c>
      <c r="D743" s="0" t="n">
        <f aca="false">IF(ISBLANK(RawFinancials!D743),"",RawFinancials!D743)</f>
        <v>129078</v>
      </c>
      <c r="E743" s="0" t="n">
        <f aca="false">IF(ISBLANK(RawFinancials!E743),"",RawFinancials!E743)</f>
        <v>0.07</v>
      </c>
      <c r="F743" s="0" t="n">
        <f aca="false">IF(ISBLANK(RawFinancials!F743),"",RawFinancials!F743)</f>
        <v>15698</v>
      </c>
      <c r="G743" s="0" t="n">
        <f aca="false">IF(ISBLANK(RawFinancials!G743),"",RawFinancials!G743)</f>
        <v>10.7527176332788</v>
      </c>
      <c r="H743" s="0" t="str">
        <f aca="false">IF(ISBLANK(RawFinancials!H743),"",RawFinancials!H743)</f>
        <v>59289_20250630</v>
      </c>
      <c r="I743" s="0" t="n">
        <f aca="false">IF(ISBLANK(RawFinancials!I743),"",RawFinancials!I743)</f>
        <v>0.679823735452525</v>
      </c>
      <c r="J743" s="0" t="n">
        <f aca="false">IF(ISBLANK(RawFinancials!J743),"",RawFinancials!J743)</f>
        <v>52242</v>
      </c>
      <c r="K743" s="0" t="n">
        <f aca="false">IF(ISBLANK(RawFinancials!K743),"",RawFinancials!K743)</f>
        <v>0</v>
      </c>
      <c r="L743" s="0" t="n">
        <f aca="false">IF(ISBLANK(RawFinancials!L743),"",RawFinancials!L743)</f>
        <v>106204</v>
      </c>
      <c r="M743" s="0" t="n">
        <f aca="false">IF(ISBLANK(RawFinancials!M743),"",RawFinancials!M743)</f>
        <v>105482</v>
      </c>
      <c r="N743" s="0" t="n">
        <f aca="false">IF(ISBLANK(RawFinancials!N743),"",RawFinancials!N743)</f>
        <v>38420</v>
      </c>
      <c r="O743" s="0" t="n">
        <f aca="false">IF(ISBLANK(RawFinancials!O743),"",RawFinancials!O743)</f>
        <v>2835</v>
      </c>
      <c r="P743" s="0" t="str">
        <f aca="false">IF(ISBLANK(RawFinancials!P743),"",RawFinancials!P743)</f>
        <v>WALDEN MUTUAL BANK</v>
      </c>
      <c r="Q743" s="0" t="n">
        <f aca="false">IF(ISBLANK(RawFinancials!Q743),"",RawFinancials!Q743)</f>
        <v>2.66939098339046</v>
      </c>
      <c r="R743" s="0" t="n">
        <f aca="false">IF(ISBLANK(RawFinancials!R743),"",RawFinancials!R743)</f>
        <v>3.99218654620925</v>
      </c>
      <c r="S743" s="0" t="n">
        <f aca="false">IF(ISBLANK(RawFinancials!S743),"",RawFinancials!S743)</f>
        <v>-98</v>
      </c>
      <c r="T743" s="0" t="n">
        <f aca="false">IF(ISBLANK(RawFinancials!T743),"",RawFinancials!T743)</f>
        <v>3478</v>
      </c>
      <c r="U743" s="0" t="n">
        <f aca="false">IF(ISBLANK(RawFinancials!U743),"",RawFinancials!U743)</f>
        <v>0</v>
      </c>
      <c r="V743" s="0" t="n">
        <f aca="false">IF(ISBLANK(RawFinancials!V743),"",RawFinancials!V743)</f>
        <v>0</v>
      </c>
      <c r="W743" s="0" t="n">
        <f aca="false">IF(ISBLANK(RawFinancials!W743),"",RawFinancials!W743)</f>
        <v>20250630</v>
      </c>
      <c r="X743" s="0" t="n">
        <f aca="false">IF(ISBLANK(RawFinancials!X743),"",RawFinancials!X743)</f>
        <v>-0.239988600541474</v>
      </c>
      <c r="Y743" s="0" t="n">
        <f aca="false">IF(ISBLANK(RawFinancials!Y743),"",RawFinancials!Y743)</f>
        <v>-2.03</v>
      </c>
      <c r="Z743" s="0" t="str">
        <f aca="false">IF(ISBLANK(RawFinancials!Z743),"",RawFinancials!Z743)</f>
        <v>NH</v>
      </c>
      <c r="AA743" s="0" t="n">
        <f aca="false">RawFinancials!AA743</f>
        <v>1</v>
      </c>
      <c r="AB743" s="0" t="n">
        <f aca="false">RawFinancials!AB743</f>
        <v>2835</v>
      </c>
      <c r="AC743" s="0" t="n">
        <f aca="false">RawFinancials!AC743</f>
        <v>1.94190052811475</v>
      </c>
      <c r="AD743" s="0" t="n">
        <f aca="false">IF(L743&gt;0,100*N743/L743,"")</f>
        <v>36.1756619336372</v>
      </c>
      <c r="AE743" s="0" t="n">
        <f aca="false">IF(B743&gt;0,100*F743/B743,"")</f>
        <v>10.7527176332788</v>
      </c>
      <c r="AF743" s="0" t="str">
        <f aca="false">RawFinancials!AE743</f>
        <v>原始0：需核实适用/报告口径</v>
      </c>
    </row>
    <row r="744" customFormat="false" ht="15" hidden="false" customHeight="false" outlineLevel="0" collapsed="false">
      <c r="A744" s="0" t="n">
        <f aca="false">IF(ISBLANK(RawFinancials!A744),"",RawFinancials!A744)</f>
        <v>744</v>
      </c>
      <c r="B744" s="0" t="n">
        <f aca="false">IF(ISBLANK(RawFinancials!B744),"",RawFinancials!B744)</f>
        <v>269483</v>
      </c>
      <c r="C744" s="0" t="n">
        <f aca="false">IF(ISBLANK(RawFinancials!C744),"",RawFinancials!C744)</f>
        <v>59298</v>
      </c>
      <c r="D744" s="0" t="n">
        <f aca="false">IF(ISBLANK(RawFinancials!D744),"",RawFinancials!D744)</f>
        <v>242655</v>
      </c>
      <c r="E744" s="0" t="n">
        <f aca="false">IF(ISBLANK(RawFinancials!E744),"",RawFinancials!E744)</f>
        <v>0.14</v>
      </c>
      <c r="F744" s="0" t="n">
        <f aca="false">IF(ISBLANK(RawFinancials!F744),"",RawFinancials!F744)</f>
        <v>25838</v>
      </c>
      <c r="G744" s="0" t="n">
        <f aca="false">IF(ISBLANK(RawFinancials!G744),"",RawFinancials!G744)</f>
        <v>9.58798885272912</v>
      </c>
      <c r="H744" s="0" t="str">
        <f aca="false">IF(ISBLANK(RawFinancials!H744),"",RawFinancials!H744)</f>
        <v>59298_20250630</v>
      </c>
      <c r="I744" s="0" t="n">
        <f aca="false">IF(ISBLANK(RawFinancials!I744),"",RawFinancials!I744)</f>
        <v>0.855121746710942</v>
      </c>
      <c r="J744" s="0" t="n">
        <f aca="false">IF(ISBLANK(RawFinancials!J744),"",RawFinancials!J744)</f>
        <v>35490</v>
      </c>
      <c r="K744" s="0" t="n">
        <f aca="false">IF(ISBLANK(RawFinancials!K744),"",RawFinancials!K744)</f>
        <v>0</v>
      </c>
      <c r="L744" s="0" t="n">
        <f aca="false">IF(ISBLANK(RawFinancials!L744),"",RawFinancials!L744)</f>
        <v>150271</v>
      </c>
      <c r="M744" s="0" t="n">
        <f aca="false">IF(ISBLANK(RawFinancials!M744),"",RawFinancials!M744)</f>
        <v>148986</v>
      </c>
      <c r="N744" s="0" t="n">
        <f aca="false">IF(ISBLANK(RawFinancials!N744),"",RawFinancials!N744)</f>
        <v>114258</v>
      </c>
      <c r="O744" s="0" t="n">
        <f aca="false">IF(ISBLANK(RawFinancials!O744),"",RawFinancials!O744)</f>
        <v>0</v>
      </c>
      <c r="P744" s="0" t="str">
        <f aca="false">IF(ISBLANK(RawFinancials!P744),"",RawFinancials!P744)</f>
        <v>BANK OF BURLINGTON</v>
      </c>
      <c r="Q744" s="0" t="n">
        <f aca="false">IF(ISBLANK(RawFinancials!Q744),"",RawFinancials!Q744)</f>
        <v>0</v>
      </c>
      <c r="R744" s="0" t="n">
        <f aca="false">IF(ISBLANK(RawFinancials!R744),"",RawFinancials!R744)</f>
        <v>2.35397816467432</v>
      </c>
      <c r="S744" s="0" t="n">
        <f aca="false">IF(ISBLANK(RawFinancials!S744),"",RawFinancials!S744)</f>
        <v>0</v>
      </c>
      <c r="T744" s="0" t="n">
        <f aca="false">IF(ISBLANK(RawFinancials!T744),"",RawFinancials!T744)</f>
        <v>0</v>
      </c>
      <c r="U744" s="0" t="n">
        <f aca="false">IF(ISBLANK(RawFinancials!U744),"",RawFinancials!U744)</f>
        <v>0</v>
      </c>
      <c r="V744" s="0" t="n">
        <f aca="false">IF(ISBLANK(RawFinancials!V744),"",RawFinancials!V744)</f>
        <v>16.8779498144312</v>
      </c>
      <c r="W744" s="0" t="n">
        <f aca="false">IF(ISBLANK(RawFinancials!W744),"",RawFinancials!W744)</f>
        <v>20250630</v>
      </c>
      <c r="X744" s="0" t="n">
        <f aca="false">IF(ISBLANK(RawFinancials!X744),"",RawFinancials!X744)</f>
        <v>0.0611768333776823</v>
      </c>
      <c r="Y744" s="0" t="n">
        <f aca="false">IF(ISBLANK(RawFinancials!Y744),"",RawFinancials!Y744)</f>
        <v>0.66</v>
      </c>
      <c r="Z744" s="0" t="str">
        <f aca="false">IF(ISBLANK(RawFinancials!Z744),"",RawFinancials!Z744)</f>
        <v>VT</v>
      </c>
      <c r="AA744" s="0" t="n">
        <f aca="false">RawFinancials!AA744</f>
        <v>1</v>
      </c>
      <c r="AB744" s="0" t="n">
        <f aca="false">RawFinancials!AB744</f>
        <v>0</v>
      </c>
      <c r="AC744" s="0" t="n">
        <f aca="false">RawFinancials!AC744</f>
        <v>0</v>
      </c>
      <c r="AD744" s="0" t="n">
        <f aca="false">IF(L744&gt;0,100*N744/L744,"")</f>
        <v>76.0346307670808</v>
      </c>
      <c r="AE744" s="0" t="n">
        <f aca="false">IF(B744&gt;0,100*F744/B744,"")</f>
        <v>9.58798885272912</v>
      </c>
      <c r="AF744" s="0" t="str">
        <f aca="false">RawFinancials!AE744</f>
        <v/>
      </c>
    </row>
    <row r="745" customFormat="false" ht="15" hidden="false" customHeight="false" outlineLevel="0" collapsed="false">
      <c r="A745" s="0" t="n">
        <f aca="false">IF(ISBLANK(RawFinancials!A745),"",RawFinancials!A745)</f>
        <v>745</v>
      </c>
      <c r="B745" s="0" t="n">
        <f aca="false">IF(ISBLANK(RawFinancials!B745),"",RawFinancials!B745)</f>
        <v>1166044</v>
      </c>
      <c r="C745" s="0" t="n">
        <f aca="false">IF(ISBLANK(RawFinancials!C745),"",RawFinancials!C745)</f>
        <v>6271</v>
      </c>
      <c r="D745" s="0" t="n">
        <f aca="false">IF(ISBLANK(RawFinancials!D745),"",RawFinancials!D745)</f>
        <v>934460</v>
      </c>
      <c r="E745" s="0" t="n">
        <f aca="false">IF(ISBLANK(RawFinancials!E745),"",RawFinancials!E745)</f>
        <v>0.12</v>
      </c>
      <c r="F745" s="0" t="n">
        <f aca="false">IF(ISBLANK(RawFinancials!F745),"",RawFinancials!F745)</f>
        <v>118181</v>
      </c>
      <c r="G745" s="0" t="n">
        <f aca="false">IF(ISBLANK(RawFinancials!G745),"",RawFinancials!G745)</f>
        <v>10.1352093059953</v>
      </c>
      <c r="H745" s="0" t="str">
        <f aca="false">IF(ISBLANK(RawFinancials!H745),"",RawFinancials!H745)</f>
        <v>6271_20250630</v>
      </c>
      <c r="I745" s="0" t="n">
        <f aca="false">IF(ISBLANK(RawFinancials!I745),"",RawFinancials!I745)</f>
        <v>1.11838088130534</v>
      </c>
      <c r="J745" s="0" t="n">
        <f aca="false">IF(ISBLANK(RawFinancials!J745),"",RawFinancials!J745)</f>
        <v>126312</v>
      </c>
      <c r="K745" s="0" t="n">
        <f aca="false">IF(ISBLANK(RawFinancials!K745),"",RawFinancials!K745)</f>
        <v>10804</v>
      </c>
      <c r="L745" s="0" t="n">
        <f aca="false">IF(ISBLANK(RawFinancials!L745),"",RawFinancials!L745)</f>
        <v>943328</v>
      </c>
      <c r="M745" s="0" t="n">
        <f aca="false">IF(ISBLANK(RawFinancials!M745),"",RawFinancials!M745)</f>
        <v>932778</v>
      </c>
      <c r="N745" s="0" t="n">
        <f aca="false">IF(ISBLANK(RawFinancials!N745),"",RawFinancials!N745)</f>
        <v>758237</v>
      </c>
      <c r="O745" s="0" t="n">
        <f aca="false">IF(ISBLANK(RawFinancials!O745),"",RawFinancials!O745)</f>
        <v>8674</v>
      </c>
      <c r="P745" s="0" t="str">
        <f aca="false">IF(ISBLANK(RawFinancials!P745),"",RawFinancials!P745)</f>
        <v>COMMUNITY NATIONAL BANK</v>
      </c>
      <c r="Q745" s="0" t="n">
        <f aca="false">IF(ISBLANK(RawFinancials!Q745),"",RawFinancials!Q745)</f>
        <v>0.97855676922555</v>
      </c>
      <c r="R745" s="0" t="n">
        <f aca="false">IF(ISBLANK(RawFinancials!R745),"",RawFinancials!R745)</f>
        <v>3.50631044981212</v>
      </c>
      <c r="S745" s="0" t="n">
        <f aca="false">IF(ISBLANK(RawFinancials!S745),"",RawFinancials!S745)</f>
        <v>74</v>
      </c>
      <c r="T745" s="0" t="n">
        <f aca="false">IF(ISBLANK(RawFinancials!T745),"",RawFinancials!T745)</f>
        <v>759</v>
      </c>
      <c r="U745" s="0" t="n">
        <f aca="false">IF(ISBLANK(RawFinancials!U745),"",RawFinancials!U745)</f>
        <v>557</v>
      </c>
      <c r="V745" s="0" t="n">
        <f aca="false">IF(ISBLANK(RawFinancials!V745),"",RawFinancials!V745)</f>
        <v>14.8461580612902</v>
      </c>
      <c r="W745" s="0" t="n">
        <f aca="false">IF(ISBLANK(RawFinancials!W745),"",RawFinancials!W745)</f>
        <v>20250630</v>
      </c>
      <c r="X745" s="0" t="n">
        <f aca="false">IF(ISBLANK(RawFinancials!X745),"",RawFinancials!X745)</f>
        <v>1.3603757386888</v>
      </c>
      <c r="Y745" s="0" t="n">
        <f aca="false">IF(ISBLANK(RawFinancials!Y745),"",RawFinancials!Y745)</f>
        <v>14.26</v>
      </c>
      <c r="Z745" s="0" t="str">
        <f aca="false">IF(ISBLANK(RawFinancials!Z745),"",RawFinancials!Z745)</f>
        <v>VT</v>
      </c>
      <c r="AA745" s="0" t="n">
        <f aca="false">RawFinancials!AA745</f>
        <v>1</v>
      </c>
      <c r="AB745" s="0" t="n">
        <f aca="false">RawFinancials!AB745</f>
        <v>9231</v>
      </c>
      <c r="AC745" s="0" t="n">
        <f aca="false">RawFinancials!AC745</f>
        <v>0.791651086922963</v>
      </c>
      <c r="AD745" s="0" t="n">
        <f aca="false">IF(L745&gt;0,100*N745/L745,"")</f>
        <v>80.3789350045795</v>
      </c>
      <c r="AE745" s="0" t="n">
        <f aca="false">IF(B745&gt;0,100*F745/B745,"")</f>
        <v>10.1352093059953</v>
      </c>
      <c r="AF745" s="0" t="str">
        <f aca="false">RawFinancials!AE745</f>
        <v/>
      </c>
    </row>
    <row r="746" customFormat="false" ht="15" hidden="false" customHeight="false" outlineLevel="0" collapsed="false">
      <c r="A746" s="0" t="n">
        <f aca="false">IF(ISBLANK(RawFinancials!A746),"",RawFinancials!A746)</f>
        <v>746</v>
      </c>
      <c r="B746" s="0" t="n">
        <f aca="false">IF(ISBLANK(RawFinancials!B746),"",RawFinancials!B746)</f>
        <v>552605</v>
      </c>
      <c r="C746" s="0" t="n">
        <f aca="false">IF(ISBLANK(RawFinancials!C746),"",RawFinancials!C746)</f>
        <v>6275</v>
      </c>
      <c r="D746" s="0" t="n">
        <f aca="false">IF(ISBLANK(RawFinancials!D746),"",RawFinancials!D746)</f>
        <v>506456</v>
      </c>
      <c r="E746" s="0" t="n">
        <f aca="false">IF(ISBLANK(RawFinancials!E746),"",RawFinancials!E746)</f>
        <v>-0.01</v>
      </c>
      <c r="F746" s="0" t="n">
        <f aca="false">IF(ISBLANK(RawFinancials!F746),"",RawFinancials!F746)</f>
        <v>38291</v>
      </c>
      <c r="G746" s="0" t="n">
        <f aca="false">IF(ISBLANK(RawFinancials!G746),"",RawFinancials!G746)</f>
        <v>6.92918087965183</v>
      </c>
      <c r="H746" s="0" t="str">
        <f aca="false">IF(ISBLANK(RawFinancials!H746),"",RawFinancials!H746)</f>
        <v>6275_20250630</v>
      </c>
      <c r="I746" s="0" t="n">
        <f aca="false">IF(ISBLANK(RawFinancials!I746),"",RawFinancials!I746)</f>
        <v>0.378470384620886</v>
      </c>
      <c r="J746" s="0" t="n">
        <f aca="false">IF(ISBLANK(RawFinancials!J746),"",RawFinancials!J746)</f>
        <v>32839</v>
      </c>
      <c r="K746" s="0" t="n">
        <f aca="false">IF(ISBLANK(RawFinancials!K746),"",RawFinancials!K746)</f>
        <v>7076</v>
      </c>
      <c r="L746" s="0" t="n">
        <f aca="false">IF(ISBLANK(RawFinancials!L746),"",RawFinancials!L746)</f>
        <v>349565</v>
      </c>
      <c r="M746" s="0" t="n">
        <f aca="false">IF(ISBLANK(RawFinancials!M746),"",RawFinancials!M746)</f>
        <v>348242</v>
      </c>
      <c r="N746" s="0" t="n">
        <f aca="false">IF(ISBLANK(RawFinancials!N746),"",RawFinancials!N746)</f>
        <v>299164</v>
      </c>
      <c r="O746" s="0" t="n">
        <f aca="false">IF(ISBLANK(RawFinancials!O746),"",RawFinancials!O746)</f>
        <v>652</v>
      </c>
      <c r="P746" s="0" t="str">
        <f aca="false">IF(ISBLANK(RawFinancials!P746),"",RawFinancials!P746)</f>
        <v>THE NATIONAL BANK OF MIDDLEBURY</v>
      </c>
      <c r="Q746" s="0" t="n">
        <f aca="false">IF(ISBLANK(RawFinancials!Q746),"",RawFinancials!Q746)</f>
        <v>0.186517528928811</v>
      </c>
      <c r="R746" s="0" t="n">
        <f aca="false">IF(ISBLANK(RawFinancials!R746),"",RawFinancials!R746)</f>
        <v>3.25032492027984</v>
      </c>
      <c r="S746" s="0" t="n">
        <f aca="false">IF(ISBLANK(RawFinancials!S746),"",RawFinancials!S746)</f>
        <v>8</v>
      </c>
      <c r="T746" s="0" t="n">
        <f aca="false">IF(ISBLANK(RawFinancials!T746),"",RawFinancials!T746)</f>
        <v>488</v>
      </c>
      <c r="U746" s="0" t="n">
        <f aca="false">IF(ISBLANK(RawFinancials!U746),"",RawFinancials!U746)</f>
        <v>0</v>
      </c>
      <c r="V746" s="0" t="n">
        <f aca="false">IF(ISBLANK(RawFinancials!V746),"",RawFinancials!V746)</f>
        <v>15.9807175065868</v>
      </c>
      <c r="W746" s="0" t="n">
        <f aca="false">IF(ISBLANK(RawFinancials!W746),"",RawFinancials!W746)</f>
        <v>20250630</v>
      </c>
      <c r="X746" s="0" t="n">
        <f aca="false">IF(ISBLANK(RawFinancials!X746),"",RawFinancials!X746)</f>
        <v>0.80927276534914</v>
      </c>
      <c r="Y746" s="0" t="n">
        <f aca="false">IF(ISBLANK(RawFinancials!Y746),"",RawFinancials!Y746)</f>
        <v>12.34</v>
      </c>
      <c r="Z746" s="0" t="str">
        <f aca="false">IF(ISBLANK(RawFinancials!Z746),"",RawFinancials!Z746)</f>
        <v>VT</v>
      </c>
      <c r="AA746" s="0" t="n">
        <f aca="false">RawFinancials!AA746</f>
        <v>1</v>
      </c>
      <c r="AB746" s="0" t="n">
        <f aca="false">RawFinancials!AB746</f>
        <v>652</v>
      </c>
      <c r="AC746" s="0" t="n">
        <f aca="false">RawFinancials!AC746</f>
        <v>0.117986626975869</v>
      </c>
      <c r="AD746" s="0" t="n">
        <f aca="false">IF(L746&gt;0,100*N746/L746,"")</f>
        <v>85.5817945160414</v>
      </c>
      <c r="AE746" s="0" t="n">
        <f aca="false">IF(B746&gt;0,100*F746/B746,"")</f>
        <v>6.92918087965183</v>
      </c>
      <c r="AF746" s="0" t="str">
        <f aca="false">RawFinancials!AE746</f>
        <v/>
      </c>
    </row>
    <row r="747" customFormat="false" ht="15" hidden="false" customHeight="false" outlineLevel="0" collapsed="false">
      <c r="A747" s="0" t="n">
        <f aca="false">IF(ISBLANK(RawFinancials!A747),"",RawFinancials!A747)</f>
        <v>747</v>
      </c>
      <c r="B747" s="0" t="n">
        <f aca="false">IF(ISBLANK(RawFinancials!B747),"",RawFinancials!B747)</f>
        <v>87770</v>
      </c>
      <c r="C747" s="0" t="n">
        <f aca="false">IF(ISBLANK(RawFinancials!C747),"",RawFinancials!C747)</f>
        <v>6280</v>
      </c>
      <c r="D747" s="0" t="n">
        <f aca="false">IF(ISBLANK(RawFinancials!D747),"",RawFinancials!D747)</f>
        <v>77256</v>
      </c>
      <c r="E747" s="0" t="n">
        <f aca="false">IF(ISBLANK(RawFinancials!E747),"",RawFinancials!E747)</f>
        <v>0.09</v>
      </c>
      <c r="F747" s="0" t="n">
        <f aca="false">IF(ISBLANK(RawFinancials!F747),"",RawFinancials!F747)</f>
        <v>9949</v>
      </c>
      <c r="G747" s="0" t="n">
        <f aca="false">IF(ISBLANK(RawFinancials!G747),"",RawFinancials!G747)</f>
        <v>11.3353081918651</v>
      </c>
      <c r="H747" s="0" t="str">
        <f aca="false">IF(ISBLANK(RawFinancials!H747),"",RawFinancials!H747)</f>
        <v>6280_20250630</v>
      </c>
      <c r="I747" s="0" t="n">
        <f aca="false">IF(ISBLANK(RawFinancials!I747),"",RawFinancials!I747)</f>
        <v>1.29958960328317</v>
      </c>
      <c r="J747" s="0" t="n">
        <f aca="false">IF(ISBLANK(RawFinancials!J747),"",RawFinancials!J747)</f>
        <v>3899</v>
      </c>
      <c r="K747" s="0" t="n">
        <f aca="false">IF(ISBLANK(RawFinancials!K747),"",RawFinancials!K747)</f>
        <v>1311</v>
      </c>
      <c r="L747" s="0" t="n">
        <f aca="false">IF(ISBLANK(RawFinancials!L747),"",RawFinancials!L747)</f>
        <v>73100</v>
      </c>
      <c r="M747" s="0" t="n">
        <f aca="false">IF(ISBLANK(RawFinancials!M747),"",RawFinancials!M747)</f>
        <v>72150</v>
      </c>
      <c r="N747" s="0" t="n">
        <f aca="false">IF(ISBLANK(RawFinancials!N747),"",RawFinancials!N747)</f>
        <v>64947</v>
      </c>
      <c r="O747" s="0" t="n">
        <f aca="false">IF(ISBLANK(RawFinancials!O747),"",RawFinancials!O747)</f>
        <v>1455</v>
      </c>
      <c r="P747" s="0" t="str">
        <f aca="false">IF(ISBLANK(RawFinancials!P747),"",RawFinancials!P747)</f>
        <v>THE FIRST NATIONAL BANK OF ORWELL</v>
      </c>
      <c r="Q747" s="0" t="n">
        <f aca="false">IF(ISBLANK(RawFinancials!Q747),"",RawFinancials!Q747)</f>
        <v>1.99042407660739</v>
      </c>
      <c r="R747" s="0" t="n">
        <f aca="false">IF(ISBLANK(RawFinancials!R747),"",RawFinancials!R747)</f>
        <v>4.53943407585792</v>
      </c>
      <c r="S747" s="0" t="n">
        <f aca="false">IF(ISBLANK(RawFinancials!S747),"",RawFinancials!S747)</f>
        <v>0</v>
      </c>
      <c r="T747" s="0" t="n">
        <f aca="false">IF(ISBLANK(RawFinancials!T747),"",RawFinancials!T747)</f>
        <v>592</v>
      </c>
      <c r="U747" s="0" t="n">
        <f aca="false">IF(ISBLANK(RawFinancials!U747),"",RawFinancials!U747)</f>
        <v>0</v>
      </c>
      <c r="V747" s="0" t="n">
        <f aca="false">IF(ISBLANK(RawFinancials!V747),"",RawFinancials!V747)</f>
        <v>0</v>
      </c>
      <c r="W747" s="0" t="n">
        <f aca="false">IF(ISBLANK(RawFinancials!W747),"",RawFinancials!W747)</f>
        <v>20250630</v>
      </c>
      <c r="X747" s="0" t="n">
        <f aca="false">IF(ISBLANK(RawFinancials!X747),"",RawFinancials!X747)</f>
        <v>1.36654026169246</v>
      </c>
      <c r="Y747" s="0" t="n">
        <f aca="false">IF(ISBLANK(RawFinancials!Y747),"",RawFinancials!Y747)</f>
        <v>12.13</v>
      </c>
      <c r="Z747" s="0" t="str">
        <f aca="false">IF(ISBLANK(RawFinancials!Z747),"",RawFinancials!Z747)</f>
        <v>VT</v>
      </c>
      <c r="AA747" s="0" t="n">
        <f aca="false">RawFinancials!AA747</f>
        <v>1</v>
      </c>
      <c r="AB747" s="0" t="n">
        <f aca="false">RawFinancials!AB747</f>
        <v>1455</v>
      </c>
      <c r="AC747" s="0" t="n">
        <f aca="false">RawFinancials!AC747</f>
        <v>1.65774182522502</v>
      </c>
      <c r="AD747" s="0" t="n">
        <f aca="false">IF(L747&gt;0,100*N747/L747,"")</f>
        <v>88.8467852257182</v>
      </c>
      <c r="AE747" s="0" t="n">
        <f aca="false">IF(B747&gt;0,100*F747/B747,"")</f>
        <v>11.3353081918651</v>
      </c>
      <c r="AF747" s="0" t="str">
        <f aca="false">RawFinancials!AE747</f>
        <v>原始0：需核实适用/报告口径</v>
      </c>
    </row>
  </sheetData>
  <autoFilter ref="A1:AF7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6" min="1" style="0" width="19"/>
  </cols>
  <sheetData>
    <row r="1" customFormat="false" ht="15" hidden="false" customHeight="false" outlineLevel="0" collapsed="false">
      <c r="A1" s="7" t="s">
        <v>26</v>
      </c>
      <c r="B1" s="7" t="s">
        <v>912</v>
      </c>
      <c r="C1" s="7" t="s">
        <v>913</v>
      </c>
      <c r="D1" s="7" t="s">
        <v>914</v>
      </c>
      <c r="E1" s="7" t="s">
        <v>915</v>
      </c>
      <c r="F1" s="7" t="s">
        <v>916</v>
      </c>
      <c r="G1" s="7" t="s">
        <v>917</v>
      </c>
      <c r="H1" s="7" t="s">
        <v>918</v>
      </c>
      <c r="I1" s="7" t="s">
        <v>919</v>
      </c>
      <c r="J1" s="7" t="s">
        <v>920</v>
      </c>
      <c r="K1" s="7" t="s">
        <v>921</v>
      </c>
      <c r="L1" s="7" t="s">
        <v>922</v>
      </c>
      <c r="M1" s="7" t="s">
        <v>923</v>
      </c>
      <c r="N1" s="7" t="s">
        <v>924</v>
      </c>
      <c r="O1" s="7" t="s">
        <v>925</v>
      </c>
      <c r="P1" s="7" t="s">
        <v>926</v>
      </c>
      <c r="Q1" s="7" t="s">
        <v>927</v>
      </c>
      <c r="R1" s="7" t="s">
        <v>928</v>
      </c>
      <c r="S1" s="7" t="s">
        <v>929</v>
      </c>
      <c r="T1" s="7" t="s">
        <v>930</v>
      </c>
      <c r="U1" s="7" t="s">
        <v>931</v>
      </c>
      <c r="V1" s="7" t="s">
        <v>932</v>
      </c>
      <c r="W1" s="7" t="s">
        <v>933</v>
      </c>
      <c r="X1" s="7" t="s">
        <v>934</v>
      </c>
      <c r="Y1" s="7" t="s">
        <v>935</v>
      </c>
      <c r="Z1" s="7" t="s">
        <v>936</v>
      </c>
    </row>
    <row r="2" customFormat="false" ht="15" hidden="false" customHeight="false" outlineLevel="0" collapsed="false">
      <c r="A2" s="0" t="n">
        <v>4255</v>
      </c>
      <c r="B2" s="0" t="n">
        <f aca="false">SUMIFS(RawFinancials!$A$2:$A$747,RawFinancials!$C$2:$C$747,A2,RawFinancials!$W$2:$W$747,WF_START_PERIOD)</f>
        <v>527</v>
      </c>
      <c r="C2" s="0" t="n">
        <f aca="false">SUMIFS(RawFinancials!$A$2:$A$747,RawFinancials!$C$2:$C$747,A2,RawFinancials!$W$2:$W$747,WF_END_PERIOD)</f>
        <v>739</v>
      </c>
      <c r="D2" s="0" t="n">
        <f aca="false">COUNTIFS(RawFinancials!$C$2:$C$747,A2,RawFinancials!$W$2:$W$747,WF_START_PERIOD,RawFinancials!$AA$2:$AA$747,1)</f>
        <v>1</v>
      </c>
      <c r="E2" s="0" t="n">
        <f aca="false">COUNTIFS(RawFinancials!$C$2:$C$747,A2,RawFinancials!$W$2:$W$747,WF_END_PERIOD,RawFinancials!$AA$2:$AA$747,1)</f>
        <v>1</v>
      </c>
      <c r="F2" s="0" t="str">
        <f aca="false">IF(B2&gt;0,INDEX(RawFinancials!$Z:$Z,B2),"")</f>
        <v>ME</v>
      </c>
      <c r="G2" s="0" t="str">
        <f aca="false">IF(C2&gt;0,INDEX(RawFinancials!$Z:$Z,C2),"")</f>
        <v>ME</v>
      </c>
      <c r="H2" s="0" t="n">
        <f aca="false">SUMIFS(RawFinancials!$B$2:$B$747,RawFinancials!$C$2:$C$747,A2,RawFinancials!$W$2:$W$747,WF_START_PERIOD,RawFinancials!$AA$2:$AA$747,1)</f>
        <v>5709625</v>
      </c>
      <c r="I2" s="0" t="n">
        <f aca="false">SUMIFS(RawFinancials!$AB$2:$AB$747,RawFinancials!$C$2:$C$747,A2,RawFinancials!$W$2:$W$747,WF_START_PERIOD,RawFinancials!$AA$2:$AA$747,1)</f>
        <v>7795</v>
      </c>
      <c r="J2" s="0" t="n">
        <f aca="false">IF(D2=1,100*I2/H2,"")</f>
        <v>0.136523852267005</v>
      </c>
      <c r="K2" s="0" t="n">
        <f aca="false">SUMIFS(RawFinancials!$B$2:$B$747,RawFinancials!$C$2:$C$747,A2,RawFinancials!$W$2:$W$747,WF_END_PERIOD,RawFinancials!$AA$2:$AA$747,1)</f>
        <v>6902692</v>
      </c>
      <c r="L2" s="0" t="n">
        <f aca="false">SUMIFS(RawFinancials!$AB$2:$AB$747,RawFinancials!$C$2:$C$747,A2,RawFinancials!$W$2:$W$747,WF_END_PERIOD,RawFinancials!$AA$2:$AA$747,1)</f>
        <v>18177</v>
      </c>
      <c r="M2" s="0" t="n">
        <f aca="false">IF(E2=1,100*L2/K2,"")</f>
        <v>0.263332044947102</v>
      </c>
      <c r="N2" s="0" t="n">
        <f aca="false">D2*E2</f>
        <v>1</v>
      </c>
      <c r="O2" s="0" t="n">
        <f aca="false">IF(N2=1,H2,0)</f>
        <v>5709625</v>
      </c>
      <c r="P2" s="0" t="n">
        <f aca="false">IF(N2=1,H2*J2,0)</f>
        <v>779500</v>
      </c>
      <c r="Q2" s="0" t="n">
        <f aca="false">IF(N2=1,H2*M2,0)</f>
        <v>1503527.2271311</v>
      </c>
      <c r="R2" s="0" t="n">
        <f aca="false">IF(E2=1,1+COUNTIFS($E$2:$E$55,1,$M$2:$M$55,"&gt;"&amp;M2)+COUNTIFS($E$2:$E$55,1,$M$2:$M$55,M2,$A$2:$A$55,"&lt;"&amp;A2),0)</f>
        <v>27</v>
      </c>
      <c r="S2" s="0" t="n">
        <f aca="false">IF(E2=1,IF(COUNTIFS($E$2:$E$55,1,$G$2:$G$55,G2,$M$2:$M$55,"&gt;"&amp;M2)+COUNTIFS($E$2:$E$55,1,$G$2:$G$55,G2,$M$2:$M$55,M2,$A$2:$A$55,"&lt;"&amp;A2)=0,1,0),0)</f>
        <v>0</v>
      </c>
      <c r="T2" s="0" t="n">
        <f aca="false">IF(AND(E2=1,S2=0),1+COUNTIFS($E$2:$E$55,1,$S$2:$S$55,0,$R$2:$R$55,"&lt;"&amp;R2),0)</f>
        <v>24</v>
      </c>
      <c r="U2" s="0" t="n">
        <f aca="false">IF(E2=1,IF(S2=1,IF(G2="VT",1,IF(G2="NH",2,3)),3+T2),0)</f>
        <v>27</v>
      </c>
      <c r="V2" s="0" t="str">
        <f aca="false">IF(C2&gt;0,INDEX(RawFinancials!$P:$P,C2),IF(B2&gt;0,INDEX(RawFinancials!$P:$P,B2),""))</f>
        <v>THE CAMDEN NATIONAL BANK</v>
      </c>
      <c r="W2" s="0" t="n">
        <f aca="false">E2*(1-D2)</f>
        <v>0</v>
      </c>
      <c r="X2" s="0" t="n">
        <f aca="false">D2*(1-E2)</f>
        <v>0</v>
      </c>
      <c r="Y2" s="0" t="n">
        <f aca="false">W2*K2</f>
        <v>0</v>
      </c>
      <c r="Z2" s="0" t="n">
        <f aca="false">X2*H2</f>
        <v>0</v>
      </c>
    </row>
    <row r="3" customFormat="false" ht="15" hidden="false" customHeight="false" outlineLevel="0" collapsed="false">
      <c r="A3" s="0" t="n">
        <v>4256</v>
      </c>
      <c r="B3" s="0" t="n">
        <f aca="false">SUMIFS(RawFinancials!$A$2:$A$747,RawFinancials!$C$2:$C$747,A3,RawFinancials!$W$2:$W$747,WF_START_PERIOD)</f>
        <v>528</v>
      </c>
      <c r="C3" s="0" t="n">
        <f aca="false">SUMIFS(RawFinancials!$A$2:$A$747,RawFinancials!$C$2:$C$747,A3,RawFinancials!$W$2:$W$747,WF_END_PERIOD)</f>
        <v>740</v>
      </c>
      <c r="D3" s="0" t="n">
        <f aca="false">COUNTIFS(RawFinancials!$C$2:$C$747,A3,RawFinancials!$W$2:$W$747,WF_START_PERIOD,RawFinancials!$AA$2:$AA$747,1)</f>
        <v>1</v>
      </c>
      <c r="E3" s="0" t="n">
        <f aca="false">COUNTIFS(RawFinancials!$C$2:$C$747,A3,RawFinancials!$W$2:$W$747,WF_END_PERIOD,RawFinancials!$AA$2:$AA$747,1)</f>
        <v>1</v>
      </c>
      <c r="F3" s="0" t="str">
        <f aca="false">IF(B3&gt;0,INDEX(RawFinancials!$Z:$Z,B3),"")</f>
        <v>ME</v>
      </c>
      <c r="G3" s="0" t="str">
        <f aca="false">IF(C3&gt;0,INDEX(RawFinancials!$Z:$Z,C3),"")</f>
        <v>ME</v>
      </c>
      <c r="H3" s="0" t="n">
        <f aca="false">SUMIFS(RawFinancials!$B$2:$B$747,RawFinancials!$C$2:$C$747,A3,RawFinancials!$W$2:$W$747,WF_START_PERIOD,RawFinancials!$AA$2:$AA$747,1)</f>
        <v>3049270</v>
      </c>
      <c r="I3" s="0" t="n">
        <f aca="false">SUMIFS(RawFinancials!$AB$2:$AB$747,RawFinancials!$C$2:$C$747,A3,RawFinancials!$W$2:$W$747,WF_START_PERIOD,RawFinancials!$AA$2:$AA$747,1)</f>
        <v>2651</v>
      </c>
      <c r="J3" s="0" t="n">
        <f aca="false">IF(D3=1,100*I3/H3,"")</f>
        <v>0.086938841099673</v>
      </c>
      <c r="K3" s="0" t="n">
        <f aca="false">SUMIFS(RawFinancials!$B$2:$B$747,RawFinancials!$C$2:$C$747,A3,RawFinancials!$W$2:$W$747,WF_END_PERIOD,RawFinancials!$AA$2:$AA$747,1)</f>
        <v>3164056</v>
      </c>
      <c r="L3" s="0" t="n">
        <f aca="false">SUMIFS(RawFinancials!$AB$2:$AB$747,RawFinancials!$C$2:$C$747,A3,RawFinancials!$W$2:$W$747,WF_END_PERIOD,RawFinancials!$AA$2:$AA$747,1)</f>
        <v>6496</v>
      </c>
      <c r="M3" s="0" t="n">
        <f aca="false">IF(E3=1,100*L3/K3,"")</f>
        <v>0.205306100776977</v>
      </c>
      <c r="N3" s="0" t="n">
        <f aca="false">D3*E3</f>
        <v>1</v>
      </c>
      <c r="O3" s="0" t="n">
        <f aca="false">IF(N3=1,H3,0)</f>
        <v>3049270</v>
      </c>
      <c r="P3" s="0" t="n">
        <f aca="false">IF(N3=1,H3*J3,0)</f>
        <v>265100</v>
      </c>
      <c r="Q3" s="0" t="n">
        <f aca="false">IF(N3=1,H3*M3,0)</f>
        <v>626033.733916214</v>
      </c>
      <c r="R3" s="0" t="n">
        <f aca="false">IF(E3=1,1+COUNTIFS($E$2:$E$55,1,$M$2:$M$55,"&gt;"&amp;M3)+COUNTIFS($E$2:$E$55,1,$M$2:$M$55,M3,$A$2:$A$55,"&lt;"&amp;A3),0)</f>
        <v>31</v>
      </c>
      <c r="S3" s="0" t="n">
        <f aca="false">IF(E3=1,IF(COUNTIFS($E$2:$E$55,1,$G$2:$G$55,G3,$M$2:$M$55,"&gt;"&amp;M3)+COUNTIFS($E$2:$E$55,1,$G$2:$G$55,G3,$M$2:$M$55,M3,$A$2:$A$55,"&lt;"&amp;A3)=0,1,0),0)</f>
        <v>0</v>
      </c>
      <c r="T3" s="0" t="n">
        <f aca="false">IF(AND(E3=1,S3=0),1+COUNTIFS($E$2:$E$55,1,$S$2:$S$55,0,$R$2:$R$55,"&lt;"&amp;R3),0)</f>
        <v>28</v>
      </c>
      <c r="U3" s="0" t="n">
        <f aca="false">IF(E3=1,IF(S3=1,IF(G3="VT",1,IF(G3="NH",2,3)),3+T3),0)</f>
        <v>31</v>
      </c>
      <c r="V3" s="0" t="str">
        <f aca="false">IF(C3&gt;0,INDEX(RawFinancials!$P:$P,C3),IF(B3&gt;0,INDEX(RawFinancials!$P:$P,B3),""))</f>
        <v>FIRST NATIONAL BANK</v>
      </c>
      <c r="W3" s="0" t="n">
        <f aca="false">E3*(1-D3)</f>
        <v>0</v>
      </c>
      <c r="X3" s="0" t="n">
        <f aca="false">D3*(1-E3)</f>
        <v>0</v>
      </c>
      <c r="Y3" s="0" t="n">
        <f aca="false">W3*K3</f>
        <v>0</v>
      </c>
      <c r="Z3" s="0" t="n">
        <f aca="false">X3*H3</f>
        <v>0</v>
      </c>
    </row>
    <row r="4" customFormat="false" ht="15" hidden="false" customHeight="false" outlineLevel="0" collapsed="false">
      <c r="A4" s="0" t="n">
        <v>6271</v>
      </c>
      <c r="B4" s="0" t="n">
        <f aca="false">SUMIFS(RawFinancials!$A$2:$A$747,RawFinancials!$C$2:$C$747,A4,RawFinancials!$W$2:$W$747,WF_START_PERIOD)</f>
        <v>533</v>
      </c>
      <c r="C4" s="0" t="n">
        <f aca="false">SUMIFS(RawFinancials!$A$2:$A$747,RawFinancials!$C$2:$C$747,A4,RawFinancials!$W$2:$W$747,WF_END_PERIOD)</f>
        <v>745</v>
      </c>
      <c r="D4" s="0" t="n">
        <f aca="false">COUNTIFS(RawFinancials!$C$2:$C$747,A4,RawFinancials!$W$2:$W$747,WF_START_PERIOD,RawFinancials!$AA$2:$AA$747,1)</f>
        <v>1</v>
      </c>
      <c r="E4" s="0" t="n">
        <f aca="false">COUNTIFS(RawFinancials!$C$2:$C$747,A4,RawFinancials!$W$2:$W$747,WF_END_PERIOD,RawFinancials!$AA$2:$AA$747,1)</f>
        <v>1</v>
      </c>
      <c r="F4" s="0" t="str">
        <f aca="false">IF(B4&gt;0,INDEX(RawFinancials!$Z:$Z,B4),"")</f>
        <v>VT</v>
      </c>
      <c r="G4" s="0" t="str">
        <f aca="false">IF(C4&gt;0,INDEX(RawFinancials!$Z:$Z,C4),"")</f>
        <v>VT</v>
      </c>
      <c r="H4" s="0" t="n">
        <f aca="false">SUMIFS(RawFinancials!$B$2:$B$747,RawFinancials!$C$2:$C$747,A4,RawFinancials!$W$2:$W$747,WF_START_PERIOD,RawFinancials!$AA$2:$AA$747,1)</f>
        <v>1099892</v>
      </c>
      <c r="I4" s="0" t="n">
        <f aca="false">SUMIFS(RawFinancials!$AB$2:$AB$747,RawFinancials!$C$2:$C$747,A4,RawFinancials!$W$2:$W$747,WF_START_PERIOD,RawFinancials!$AA$2:$AA$747,1)</f>
        <v>6486</v>
      </c>
      <c r="J4" s="0" t="n">
        <f aca="false">IF(D4=1,100*I4/H4,"")</f>
        <v>0.589694260891069</v>
      </c>
      <c r="K4" s="0" t="n">
        <f aca="false">SUMIFS(RawFinancials!$B$2:$B$747,RawFinancials!$C$2:$C$747,A4,RawFinancials!$W$2:$W$747,WF_END_PERIOD,RawFinancials!$AA$2:$AA$747,1)</f>
        <v>1166044</v>
      </c>
      <c r="L4" s="0" t="n">
        <f aca="false">SUMIFS(RawFinancials!$AB$2:$AB$747,RawFinancials!$C$2:$C$747,A4,RawFinancials!$W$2:$W$747,WF_END_PERIOD,RawFinancials!$AA$2:$AA$747,1)</f>
        <v>9231</v>
      </c>
      <c r="M4" s="0" t="n">
        <f aca="false">IF(E4=1,100*L4/K4,"")</f>
        <v>0.791651086922963</v>
      </c>
      <c r="N4" s="0" t="n">
        <f aca="false">D4*E4</f>
        <v>1</v>
      </c>
      <c r="O4" s="0" t="n">
        <f aca="false">IF(N4=1,H4,0)</f>
        <v>1099892</v>
      </c>
      <c r="P4" s="0" t="n">
        <f aca="false">IF(N4=1,H4*J4,0)</f>
        <v>648600</v>
      </c>
      <c r="Q4" s="0" t="n">
        <f aca="false">IF(N4=1,H4*M4,0)</f>
        <v>870730.697297872</v>
      </c>
      <c r="R4" s="0" t="n">
        <f aca="false">IF(E4=1,1+COUNTIFS($E$2:$E$55,1,$M$2:$M$55,"&gt;"&amp;M4)+COUNTIFS($E$2:$E$55,1,$M$2:$M$55,M4,$A$2:$A$55,"&lt;"&amp;A4),0)</f>
        <v>9</v>
      </c>
      <c r="S4" s="0" t="n">
        <f aca="false">IF(E4=1,IF(COUNTIFS($E$2:$E$55,1,$G$2:$G$55,G4,$M$2:$M$55,"&gt;"&amp;M4)+COUNTIFS($E$2:$E$55,1,$G$2:$G$55,G4,$M$2:$M$55,M4,$A$2:$A$55,"&lt;"&amp;A4)=0,1,0),0)</f>
        <v>0</v>
      </c>
      <c r="T4" s="0" t="n">
        <f aca="false">IF(AND(E4=1,S4=0),1+COUNTIFS($E$2:$E$55,1,$S$2:$S$55,0,$R$2:$R$55,"&lt;"&amp;R4),0)</f>
        <v>6</v>
      </c>
      <c r="U4" s="0" t="n">
        <f aca="false">IF(E4=1,IF(S4=1,IF(G4="VT",1,IF(G4="NH",2,3)),3+T4),0)</f>
        <v>9</v>
      </c>
      <c r="V4" s="0" t="str">
        <f aca="false">IF(C4&gt;0,INDEX(RawFinancials!$P:$P,C4),IF(B4&gt;0,INDEX(RawFinancials!$P:$P,B4),""))</f>
        <v>COMMUNITY NATIONAL BANK</v>
      </c>
      <c r="W4" s="0" t="n">
        <f aca="false">E4*(1-D4)</f>
        <v>0</v>
      </c>
      <c r="X4" s="0" t="n">
        <f aca="false">D4*(1-E4)</f>
        <v>0</v>
      </c>
      <c r="Y4" s="0" t="n">
        <f aca="false">W4*K4</f>
        <v>0</v>
      </c>
      <c r="Z4" s="0" t="n">
        <f aca="false">X4*H4</f>
        <v>0</v>
      </c>
    </row>
    <row r="5" customFormat="false" ht="15" hidden="false" customHeight="false" outlineLevel="0" collapsed="false">
      <c r="A5" s="0" t="n">
        <v>6275</v>
      </c>
      <c r="B5" s="0" t="n">
        <f aca="false">SUMIFS(RawFinancials!$A$2:$A$747,RawFinancials!$C$2:$C$747,A5,RawFinancials!$W$2:$W$747,WF_START_PERIOD)</f>
        <v>534</v>
      </c>
      <c r="C5" s="0" t="n">
        <f aca="false">SUMIFS(RawFinancials!$A$2:$A$747,RawFinancials!$C$2:$C$747,A5,RawFinancials!$W$2:$W$747,WF_END_PERIOD)</f>
        <v>746</v>
      </c>
      <c r="D5" s="0" t="n">
        <f aca="false">COUNTIFS(RawFinancials!$C$2:$C$747,A5,RawFinancials!$W$2:$W$747,WF_START_PERIOD,RawFinancials!$AA$2:$AA$747,1)</f>
        <v>1</v>
      </c>
      <c r="E5" s="0" t="n">
        <f aca="false">COUNTIFS(RawFinancials!$C$2:$C$747,A5,RawFinancials!$W$2:$W$747,WF_END_PERIOD,RawFinancials!$AA$2:$AA$747,1)</f>
        <v>1</v>
      </c>
      <c r="F5" s="0" t="str">
        <f aca="false">IF(B5&gt;0,INDEX(RawFinancials!$Z:$Z,B5),"")</f>
        <v>VT</v>
      </c>
      <c r="G5" s="0" t="str">
        <f aca="false">IF(C5&gt;0,INDEX(RawFinancials!$Z:$Z,C5),"")</f>
        <v>VT</v>
      </c>
      <c r="H5" s="0" t="n">
        <f aca="false">SUMIFS(RawFinancials!$B$2:$B$747,RawFinancials!$C$2:$C$747,A5,RawFinancials!$W$2:$W$747,WF_START_PERIOD,RawFinancials!$AA$2:$AA$747,1)</f>
        <v>555322</v>
      </c>
      <c r="I5" s="0" t="n">
        <f aca="false">SUMIFS(RawFinancials!$AB$2:$AB$747,RawFinancials!$C$2:$C$747,A5,RawFinancials!$W$2:$W$747,WF_START_PERIOD,RawFinancials!$AA$2:$AA$747,1)</f>
        <v>1132</v>
      </c>
      <c r="J5" s="0" t="n">
        <f aca="false">IF(D5=1,100*I5/H5,"")</f>
        <v>0.203845696730906</v>
      </c>
      <c r="K5" s="0" t="n">
        <f aca="false">SUMIFS(RawFinancials!$B$2:$B$747,RawFinancials!$C$2:$C$747,A5,RawFinancials!$W$2:$W$747,WF_END_PERIOD,RawFinancials!$AA$2:$AA$747,1)</f>
        <v>552605</v>
      </c>
      <c r="L5" s="0" t="n">
        <f aca="false">SUMIFS(RawFinancials!$AB$2:$AB$747,RawFinancials!$C$2:$C$747,A5,RawFinancials!$W$2:$W$747,WF_END_PERIOD,RawFinancials!$AA$2:$AA$747,1)</f>
        <v>652</v>
      </c>
      <c r="M5" s="0" t="n">
        <f aca="false">IF(E5=1,100*L5/K5,"")</f>
        <v>0.117986626975869</v>
      </c>
      <c r="N5" s="0" t="n">
        <f aca="false">D5*E5</f>
        <v>1</v>
      </c>
      <c r="O5" s="0" t="n">
        <f aca="false">IF(N5=1,H5,0)</f>
        <v>555322</v>
      </c>
      <c r="P5" s="0" t="n">
        <f aca="false">IF(N5=1,H5*J5,0)</f>
        <v>113200</v>
      </c>
      <c r="Q5" s="0" t="n">
        <f aca="false">IF(N5=1,H5*M5,0)</f>
        <v>65520.5696654934</v>
      </c>
      <c r="R5" s="0" t="n">
        <f aca="false">IF(E5=1,1+COUNTIFS($E$2:$E$55,1,$M$2:$M$55,"&gt;"&amp;M5)+COUNTIFS($E$2:$E$55,1,$M$2:$M$55,M5,$A$2:$A$55,"&lt;"&amp;A5),0)</f>
        <v>37</v>
      </c>
      <c r="S5" s="0" t="n">
        <f aca="false">IF(E5=1,IF(COUNTIFS($E$2:$E$55,1,$G$2:$G$55,G5,$M$2:$M$55,"&gt;"&amp;M5)+COUNTIFS($E$2:$E$55,1,$G$2:$G$55,G5,$M$2:$M$55,M5,$A$2:$A$55,"&lt;"&amp;A5)=0,1,0),0)</f>
        <v>0</v>
      </c>
      <c r="T5" s="0" t="n">
        <f aca="false">IF(AND(E5=1,S5=0),1+COUNTIFS($E$2:$E$55,1,$S$2:$S$55,0,$R$2:$R$55,"&lt;"&amp;R5),0)</f>
        <v>34</v>
      </c>
      <c r="U5" s="0" t="n">
        <f aca="false">IF(E5=1,IF(S5=1,IF(G5="VT",1,IF(G5="NH",2,3)),3+T5),0)</f>
        <v>37</v>
      </c>
      <c r="V5" s="0" t="str">
        <f aca="false">IF(C5&gt;0,INDEX(RawFinancials!$P:$P,C5),IF(B5&gt;0,INDEX(RawFinancials!$P:$P,B5),""))</f>
        <v>THE NATIONAL BANK OF MIDDLEBURY</v>
      </c>
      <c r="W5" s="0" t="n">
        <f aca="false">E5*(1-D5)</f>
        <v>0</v>
      </c>
      <c r="X5" s="0" t="n">
        <f aca="false">D5*(1-E5)</f>
        <v>0</v>
      </c>
      <c r="Y5" s="0" t="n">
        <f aca="false">W5*K5</f>
        <v>0</v>
      </c>
      <c r="Z5" s="0" t="n">
        <f aca="false">X5*H5</f>
        <v>0</v>
      </c>
    </row>
    <row r="6" customFormat="false" ht="15" hidden="false" customHeight="false" outlineLevel="0" collapsed="false">
      <c r="A6" s="0" t="n">
        <v>6280</v>
      </c>
      <c r="B6" s="0" t="n">
        <f aca="false">SUMIFS(RawFinancials!$A$2:$A$747,RawFinancials!$C$2:$C$747,A6,RawFinancials!$W$2:$W$747,WF_START_PERIOD)</f>
        <v>535</v>
      </c>
      <c r="C6" s="0" t="n">
        <f aca="false">SUMIFS(RawFinancials!$A$2:$A$747,RawFinancials!$C$2:$C$747,A6,RawFinancials!$W$2:$W$747,WF_END_PERIOD)</f>
        <v>747</v>
      </c>
      <c r="D6" s="0" t="n">
        <f aca="false">COUNTIFS(RawFinancials!$C$2:$C$747,A6,RawFinancials!$W$2:$W$747,WF_START_PERIOD,RawFinancials!$AA$2:$AA$747,1)</f>
        <v>1</v>
      </c>
      <c r="E6" s="0" t="n">
        <f aca="false">COUNTIFS(RawFinancials!$C$2:$C$747,A6,RawFinancials!$W$2:$W$747,WF_END_PERIOD,RawFinancials!$AA$2:$AA$747,1)</f>
        <v>1</v>
      </c>
      <c r="F6" s="0" t="str">
        <f aca="false">IF(B6&gt;0,INDEX(RawFinancials!$Z:$Z,B6),"")</f>
        <v>VT</v>
      </c>
      <c r="G6" s="0" t="str">
        <f aca="false">IF(C6&gt;0,INDEX(RawFinancials!$Z:$Z,C6),"")</f>
        <v>VT</v>
      </c>
      <c r="H6" s="0" t="n">
        <f aca="false">SUMIFS(RawFinancials!$B$2:$B$747,RawFinancials!$C$2:$C$747,A6,RawFinancials!$W$2:$W$747,WF_START_PERIOD,RawFinancials!$AA$2:$AA$747,1)</f>
        <v>81265</v>
      </c>
      <c r="I6" s="0" t="n">
        <f aca="false">SUMIFS(RawFinancials!$AB$2:$AB$747,RawFinancials!$C$2:$C$747,A6,RawFinancials!$W$2:$W$747,WF_START_PERIOD,RawFinancials!$AA$2:$AA$747,1)</f>
        <v>1206</v>
      </c>
      <c r="J6" s="0" t="n">
        <f aca="false">IF(D6=1,100*I6/H6,"")</f>
        <v>1.48403371685227</v>
      </c>
      <c r="K6" s="0" t="n">
        <f aca="false">SUMIFS(RawFinancials!$B$2:$B$747,RawFinancials!$C$2:$C$747,A6,RawFinancials!$W$2:$W$747,WF_END_PERIOD,RawFinancials!$AA$2:$AA$747,1)</f>
        <v>87770</v>
      </c>
      <c r="L6" s="0" t="n">
        <f aca="false">SUMIFS(RawFinancials!$AB$2:$AB$747,RawFinancials!$C$2:$C$747,A6,RawFinancials!$W$2:$W$747,WF_END_PERIOD,RawFinancials!$AA$2:$AA$747,1)</f>
        <v>1455</v>
      </c>
      <c r="M6" s="0" t="n">
        <f aca="false">IF(E6=1,100*L6/K6,"")</f>
        <v>1.65774182522502</v>
      </c>
      <c r="N6" s="0" t="n">
        <f aca="false">D6*E6</f>
        <v>1</v>
      </c>
      <c r="O6" s="0" t="n">
        <f aca="false">IF(N6=1,H6,0)</f>
        <v>81265</v>
      </c>
      <c r="P6" s="0" t="n">
        <f aca="false">IF(N6=1,H6*J6,0)</f>
        <v>120600</v>
      </c>
      <c r="Q6" s="0" t="n">
        <f aca="false">IF(N6=1,H6*M6,0)</f>
        <v>134716.389426911</v>
      </c>
      <c r="R6" s="0" t="n">
        <f aca="false">IF(E6=1,1+COUNTIFS($E$2:$E$55,1,$M$2:$M$55,"&gt;"&amp;M6)+COUNTIFS($E$2:$E$55,1,$M$2:$M$55,M6,$A$2:$A$55,"&lt;"&amp;A6),0)</f>
        <v>4</v>
      </c>
      <c r="S6" s="0" t="n">
        <f aca="false">IF(E6=1,IF(COUNTIFS($E$2:$E$55,1,$G$2:$G$55,G6,$M$2:$M$55,"&gt;"&amp;M6)+COUNTIFS($E$2:$E$55,1,$G$2:$G$55,G6,$M$2:$M$55,M6,$A$2:$A$55,"&lt;"&amp;A6)=0,1,0),0)</f>
        <v>1</v>
      </c>
      <c r="T6" s="0" t="n">
        <f aca="false">IF(AND(E6=1,S6=0),1+COUNTIFS($E$2:$E$55,1,$S$2:$S$55,0,$R$2:$R$55,"&lt;"&amp;R6),0)</f>
        <v>0</v>
      </c>
      <c r="U6" s="0" t="n">
        <f aca="false">IF(E6=1,IF(S6=1,IF(G6="VT",1,IF(G6="NH",2,3)),3+T6),0)</f>
        <v>1</v>
      </c>
      <c r="V6" s="0" t="str">
        <f aca="false">IF(C6&gt;0,INDEX(RawFinancials!$P:$P,C6),IF(B6&gt;0,INDEX(RawFinancials!$P:$P,B6),""))</f>
        <v>THE FIRST NATIONAL BANK OF ORWELL</v>
      </c>
      <c r="W6" s="0" t="n">
        <f aca="false">E6*(1-D6)</f>
        <v>0</v>
      </c>
      <c r="X6" s="0" t="n">
        <f aca="false">D6*(1-E6)</f>
        <v>0</v>
      </c>
      <c r="Y6" s="0" t="n">
        <f aca="false">W6*K6</f>
        <v>0</v>
      </c>
      <c r="Z6" s="0" t="n">
        <f aca="false">X6*H6</f>
        <v>0</v>
      </c>
    </row>
    <row r="7" customFormat="false" ht="15" hidden="false" customHeight="false" outlineLevel="0" collapsed="false">
      <c r="A7" s="0" t="n">
        <v>11971</v>
      </c>
      <c r="B7" s="0" t="n">
        <f aca="false">SUMIFS(RawFinancials!$A$2:$A$747,RawFinancials!$C$2:$C$747,A7,RawFinancials!$W$2:$W$747,WF_START_PERIOD)</f>
        <v>482</v>
      </c>
      <c r="C7" s="0" t="n">
        <f aca="false">SUMIFS(RawFinancials!$A$2:$A$747,RawFinancials!$C$2:$C$747,A7,RawFinancials!$W$2:$W$747,WF_END_PERIOD)</f>
        <v>696</v>
      </c>
      <c r="D7" s="0" t="n">
        <f aca="false">COUNTIFS(RawFinancials!$C$2:$C$747,A7,RawFinancials!$W$2:$W$747,WF_START_PERIOD,RawFinancials!$AA$2:$AA$747,1)</f>
        <v>1</v>
      </c>
      <c r="E7" s="0" t="n">
        <f aca="false">COUNTIFS(RawFinancials!$C$2:$C$747,A7,RawFinancials!$W$2:$W$747,WF_END_PERIOD,RawFinancials!$AA$2:$AA$747,1)</f>
        <v>1</v>
      </c>
      <c r="F7" s="0" t="str">
        <f aca="false">IF(B7&gt;0,INDEX(RawFinancials!$Z:$Z,B7),"")</f>
        <v>ME</v>
      </c>
      <c r="G7" s="0" t="str">
        <f aca="false">IF(C7&gt;0,INDEX(RawFinancials!$Z:$Z,C7),"")</f>
        <v>ME</v>
      </c>
      <c r="H7" s="0" t="n">
        <f aca="false">SUMIFS(RawFinancials!$B$2:$B$747,RawFinancials!$C$2:$C$747,A7,RawFinancials!$W$2:$W$747,WF_START_PERIOD,RawFinancials!$AA$2:$AA$747,1)</f>
        <v>4030143</v>
      </c>
      <c r="I7" s="0" t="n">
        <f aca="false">SUMIFS(RawFinancials!$AB$2:$AB$747,RawFinancials!$C$2:$C$747,A7,RawFinancials!$W$2:$W$747,WF_START_PERIOD,RawFinancials!$AA$2:$AA$747,1)</f>
        <v>6310</v>
      </c>
      <c r="J7" s="0" t="n">
        <f aca="false">IF(D7=1,100*I7/H7,"")</f>
        <v>0.156570126667962</v>
      </c>
      <c r="K7" s="0" t="n">
        <f aca="false">SUMIFS(RawFinancials!$B$2:$B$747,RawFinancials!$C$2:$C$747,A7,RawFinancials!$W$2:$W$747,WF_END_PERIOD,RawFinancials!$AA$2:$AA$747,1)</f>
        <v>4106441</v>
      </c>
      <c r="L7" s="0" t="n">
        <f aca="false">SUMIFS(RawFinancials!$AB$2:$AB$747,RawFinancials!$C$2:$C$747,A7,RawFinancials!$W$2:$W$747,WF_END_PERIOD,RawFinancials!$AA$2:$AA$747,1)</f>
        <v>10161</v>
      </c>
      <c r="M7" s="0" t="n">
        <f aca="false">IF(E7=1,100*L7/K7,"")</f>
        <v>0.24744054523126</v>
      </c>
      <c r="N7" s="0" t="n">
        <f aca="false">D7*E7</f>
        <v>1</v>
      </c>
      <c r="O7" s="0" t="n">
        <f aca="false">IF(N7=1,H7,0)</f>
        <v>4030143</v>
      </c>
      <c r="P7" s="0" t="n">
        <f aca="false">IF(N7=1,H7*J7,0)</f>
        <v>631000</v>
      </c>
      <c r="Q7" s="0" t="n">
        <f aca="false">IF(N7=1,H7*M7,0)</f>
        <v>997220.781279945</v>
      </c>
      <c r="R7" s="0" t="n">
        <f aca="false">IF(E7=1,1+COUNTIFS($E$2:$E$55,1,$M$2:$M$55,"&gt;"&amp;M7)+COUNTIFS($E$2:$E$55,1,$M$2:$M$55,M7,$A$2:$A$55,"&lt;"&amp;A7),0)</f>
        <v>28</v>
      </c>
      <c r="S7" s="0" t="n">
        <f aca="false">IF(E7=1,IF(COUNTIFS($E$2:$E$55,1,$G$2:$G$55,G7,$M$2:$M$55,"&gt;"&amp;M7)+COUNTIFS($E$2:$E$55,1,$G$2:$G$55,G7,$M$2:$M$55,M7,$A$2:$A$55,"&lt;"&amp;A7)=0,1,0),0)</f>
        <v>0</v>
      </c>
      <c r="T7" s="0" t="n">
        <f aca="false">IF(AND(E7=1,S7=0),1+COUNTIFS($E$2:$E$55,1,$S$2:$S$55,0,$R$2:$R$55,"&lt;"&amp;R7),0)</f>
        <v>25</v>
      </c>
      <c r="U7" s="0" t="n">
        <f aca="false">IF(E7=1,IF(S7=1,IF(G7="VT",1,IF(G7="NH",2,3)),3+T7),0)</f>
        <v>28</v>
      </c>
      <c r="V7" s="0" t="str">
        <f aca="false">IF(C7&gt;0,INDEX(RawFinancials!$P:$P,C7),IF(B7&gt;0,INDEX(RawFinancials!$P:$P,B7),""))</f>
        <v>BAR HARBOR BANK &amp; TRUST</v>
      </c>
      <c r="W7" s="0" t="n">
        <f aca="false">E7*(1-D7)</f>
        <v>0</v>
      </c>
      <c r="X7" s="0" t="n">
        <f aca="false">D7*(1-E7)</f>
        <v>0</v>
      </c>
      <c r="Y7" s="0" t="n">
        <f aca="false">W7*K7</f>
        <v>0</v>
      </c>
      <c r="Z7" s="0" t="n">
        <f aca="false">X7*H7</f>
        <v>0</v>
      </c>
    </row>
    <row r="8" customFormat="false" ht="15" hidden="false" customHeight="false" outlineLevel="0" collapsed="false">
      <c r="A8" s="0" t="n">
        <v>12874</v>
      </c>
      <c r="B8" s="0" t="n">
        <f aca="false">SUMIFS(RawFinancials!$A$2:$A$747,RawFinancials!$C$2:$C$747,A8,RawFinancials!$W$2:$W$747,WF_START_PERIOD)</f>
        <v>483</v>
      </c>
      <c r="C8" s="0" t="n">
        <f aca="false">SUMIFS(RawFinancials!$A$2:$A$747,RawFinancials!$C$2:$C$747,A8,RawFinancials!$W$2:$W$747,WF_END_PERIOD)</f>
        <v>697</v>
      </c>
      <c r="D8" s="0" t="n">
        <f aca="false">COUNTIFS(RawFinancials!$C$2:$C$747,A8,RawFinancials!$W$2:$W$747,WF_START_PERIOD,RawFinancials!$AA$2:$AA$747,1)</f>
        <v>1</v>
      </c>
      <c r="E8" s="0" t="n">
        <f aca="false">COUNTIFS(RawFinancials!$C$2:$C$747,A8,RawFinancials!$W$2:$W$747,WF_END_PERIOD,RawFinancials!$AA$2:$AA$747,1)</f>
        <v>1</v>
      </c>
      <c r="F8" s="0" t="str">
        <f aca="false">IF(B8&gt;0,INDEX(RawFinancials!$Z:$Z,B8),"")</f>
        <v>ME</v>
      </c>
      <c r="G8" s="0" t="str">
        <f aca="false">IF(C8&gt;0,INDEX(RawFinancials!$Z:$Z,C8),"")</f>
        <v>ME</v>
      </c>
      <c r="H8" s="0" t="n">
        <f aca="false">SUMIFS(RawFinancials!$B$2:$B$747,RawFinancials!$C$2:$C$747,A8,RawFinancials!$W$2:$W$747,WF_START_PERIOD,RawFinancials!$AA$2:$AA$747,1)</f>
        <v>1036850</v>
      </c>
      <c r="I8" s="0" t="n">
        <f aca="false">SUMIFS(RawFinancials!$AB$2:$AB$747,RawFinancials!$C$2:$C$747,A8,RawFinancials!$W$2:$W$747,WF_START_PERIOD,RawFinancials!$AA$2:$AA$747,1)</f>
        <v>1516</v>
      </c>
      <c r="J8" s="0" t="n">
        <f aca="false">IF(D8=1,100*I8/H8,"")</f>
        <v>0.146212084679558</v>
      </c>
      <c r="K8" s="0" t="n">
        <f aca="false">SUMIFS(RawFinancials!$B$2:$B$747,RawFinancials!$C$2:$C$747,A8,RawFinancials!$W$2:$W$747,WF_END_PERIOD,RawFinancials!$AA$2:$AA$747,1)</f>
        <v>1085692</v>
      </c>
      <c r="L8" s="0" t="n">
        <f aca="false">SUMIFS(RawFinancials!$AB$2:$AB$747,RawFinancials!$C$2:$C$747,A8,RawFinancials!$W$2:$W$747,WF_END_PERIOD,RawFinancials!$AA$2:$AA$747,1)</f>
        <v>1392</v>
      </c>
      <c r="M8" s="0" t="n">
        <f aca="false">IF(E8=1,100*L8/K8,"")</f>
        <v>0.12821315805956</v>
      </c>
      <c r="N8" s="0" t="n">
        <f aca="false">D8*E8</f>
        <v>1</v>
      </c>
      <c r="O8" s="0" t="n">
        <f aca="false">IF(N8=1,H8,0)</f>
        <v>1036850</v>
      </c>
      <c r="P8" s="0" t="n">
        <f aca="false">IF(N8=1,H8*J8,0)</f>
        <v>151600</v>
      </c>
      <c r="Q8" s="0" t="n">
        <f aca="false">IF(N8=1,H8*M8,0)</f>
        <v>132937.812934055</v>
      </c>
      <c r="R8" s="0" t="n">
        <f aca="false">IF(E8=1,1+COUNTIFS($E$2:$E$55,1,$M$2:$M$55,"&gt;"&amp;M8)+COUNTIFS($E$2:$E$55,1,$M$2:$M$55,M8,$A$2:$A$55,"&lt;"&amp;A8),0)</f>
        <v>34</v>
      </c>
      <c r="S8" s="0" t="n">
        <f aca="false">IF(E8=1,IF(COUNTIFS($E$2:$E$55,1,$G$2:$G$55,G8,$M$2:$M$55,"&gt;"&amp;M8)+COUNTIFS($E$2:$E$55,1,$G$2:$G$55,G8,$M$2:$M$55,M8,$A$2:$A$55,"&lt;"&amp;A8)=0,1,0),0)</f>
        <v>0</v>
      </c>
      <c r="T8" s="0" t="n">
        <f aca="false">IF(AND(E8=1,S8=0),1+COUNTIFS($E$2:$E$55,1,$S$2:$S$55,0,$R$2:$R$55,"&lt;"&amp;R8),0)</f>
        <v>31</v>
      </c>
      <c r="U8" s="0" t="n">
        <f aca="false">IF(E8=1,IF(S8=1,IF(G8="VT",1,IF(G8="NH",2,3)),3+T8),0)</f>
        <v>34</v>
      </c>
      <c r="V8" s="0" t="str">
        <f aca="false">IF(C8&gt;0,INDEX(RawFinancials!$P:$P,C8),IF(B8&gt;0,INDEX(RawFinancials!$P:$P,B8),""))</f>
        <v>KATAHDIN TRUST COMPANY</v>
      </c>
      <c r="W8" s="0" t="n">
        <f aca="false">E8*(1-D8)</f>
        <v>0</v>
      </c>
      <c r="X8" s="0" t="n">
        <f aca="false">D8*(1-E8)</f>
        <v>0</v>
      </c>
      <c r="Y8" s="0" t="n">
        <f aca="false">W8*K8</f>
        <v>0</v>
      </c>
      <c r="Z8" s="0" t="n">
        <f aca="false">X8*H8</f>
        <v>0</v>
      </c>
    </row>
    <row r="9" customFormat="false" ht="15" hidden="false" customHeight="false" outlineLevel="0" collapsed="false">
      <c r="A9" s="0" t="n">
        <v>13063</v>
      </c>
      <c r="B9" s="0" t="n">
        <f aca="false">SUMIFS(RawFinancials!$A$2:$A$747,RawFinancials!$C$2:$C$747,A9,RawFinancials!$W$2:$W$747,WF_START_PERIOD)</f>
        <v>484</v>
      </c>
      <c r="C9" s="0" t="n">
        <f aca="false">SUMIFS(RawFinancials!$A$2:$A$747,RawFinancials!$C$2:$C$747,A9,RawFinancials!$W$2:$W$747,WF_END_PERIOD)</f>
        <v>698</v>
      </c>
      <c r="D9" s="0" t="n">
        <f aca="false">COUNTIFS(RawFinancials!$C$2:$C$747,A9,RawFinancials!$W$2:$W$747,WF_START_PERIOD,RawFinancials!$AA$2:$AA$747,1)</f>
        <v>1</v>
      </c>
      <c r="E9" s="0" t="n">
        <f aca="false">COUNTIFS(RawFinancials!$C$2:$C$747,A9,RawFinancials!$W$2:$W$747,WF_END_PERIOD,RawFinancials!$AA$2:$AA$747,1)</f>
        <v>1</v>
      </c>
      <c r="F9" s="0" t="str">
        <f aca="false">IF(B9&gt;0,INDEX(RawFinancials!$Z:$Z,B9),"")</f>
        <v>ME</v>
      </c>
      <c r="G9" s="0" t="str">
        <f aca="false">IF(C9&gt;0,INDEX(RawFinancials!$Z:$Z,C9),"")</f>
        <v>ME</v>
      </c>
      <c r="H9" s="0" t="n">
        <f aca="false">SUMIFS(RawFinancials!$B$2:$B$747,RawFinancials!$C$2:$C$747,A9,RawFinancials!$W$2:$W$747,WF_START_PERIOD,RawFinancials!$AA$2:$AA$747,1)</f>
        <v>1848882</v>
      </c>
      <c r="I9" s="0" t="n">
        <f aca="false">SUMIFS(RawFinancials!$AB$2:$AB$747,RawFinancials!$C$2:$C$747,A9,RawFinancials!$W$2:$W$747,WF_START_PERIOD,RawFinancials!$AA$2:$AA$747,1)</f>
        <v>701</v>
      </c>
      <c r="J9" s="0" t="n">
        <f aca="false">IF(D9=1,100*I9/H9,"")</f>
        <v>0.0379148047306426</v>
      </c>
      <c r="K9" s="0" t="n">
        <f aca="false">SUMIFS(RawFinancials!$B$2:$B$747,RawFinancials!$C$2:$C$747,A9,RawFinancials!$W$2:$W$747,WF_END_PERIOD,RawFinancials!$AA$2:$AA$747,1)</f>
        <v>1933479</v>
      </c>
      <c r="L9" s="0" t="n">
        <f aca="false">SUMIFS(RawFinancials!$AB$2:$AB$747,RawFinancials!$C$2:$C$747,A9,RawFinancials!$W$2:$W$747,WF_END_PERIOD,RawFinancials!$AA$2:$AA$747,1)</f>
        <v>2446</v>
      </c>
      <c r="M9" s="0" t="n">
        <f aca="false">IF(E9=1,100*L9/K9,"")</f>
        <v>0.126507709677736</v>
      </c>
      <c r="N9" s="0" t="n">
        <f aca="false">D9*E9</f>
        <v>1</v>
      </c>
      <c r="O9" s="0" t="n">
        <f aca="false">IF(N9=1,H9,0)</f>
        <v>1848882</v>
      </c>
      <c r="P9" s="0" t="n">
        <f aca="false">IF(N9=1,H9*J9,0)</f>
        <v>70100</v>
      </c>
      <c r="Q9" s="0" t="n">
        <f aca="false">IF(N9=1,H9*M9,0)</f>
        <v>233897.827284393</v>
      </c>
      <c r="R9" s="0" t="n">
        <f aca="false">IF(E9=1,1+COUNTIFS($E$2:$E$55,1,$M$2:$M$55,"&gt;"&amp;M9)+COUNTIFS($E$2:$E$55,1,$M$2:$M$55,M9,$A$2:$A$55,"&lt;"&amp;A9),0)</f>
        <v>35</v>
      </c>
      <c r="S9" s="0" t="n">
        <f aca="false">IF(E9=1,IF(COUNTIFS($E$2:$E$55,1,$G$2:$G$55,G9,$M$2:$M$55,"&gt;"&amp;M9)+COUNTIFS($E$2:$E$55,1,$G$2:$G$55,G9,$M$2:$M$55,M9,$A$2:$A$55,"&lt;"&amp;A9)=0,1,0),0)</f>
        <v>0</v>
      </c>
      <c r="T9" s="0" t="n">
        <f aca="false">IF(AND(E9=1,S9=0),1+COUNTIFS($E$2:$E$55,1,$S$2:$S$55,0,$R$2:$R$55,"&lt;"&amp;R9),0)</f>
        <v>32</v>
      </c>
      <c r="U9" s="0" t="n">
        <f aca="false">IF(E9=1,IF(S9=1,IF(G9="VT",1,IF(G9="NH",2,3)),3+T9),0)</f>
        <v>35</v>
      </c>
      <c r="V9" s="0" t="str">
        <f aca="false">IF(C9&gt;0,INDEX(RawFinancials!$P:$P,C9),IF(B9&gt;0,INDEX(RawFinancials!$P:$P,B9),""))</f>
        <v>KENNEBUNK SAVINGS BANK</v>
      </c>
      <c r="W9" s="0" t="n">
        <f aca="false">E9*(1-D9)</f>
        <v>0</v>
      </c>
      <c r="X9" s="0" t="n">
        <f aca="false">D9*(1-E9)</f>
        <v>0</v>
      </c>
      <c r="Y9" s="0" t="n">
        <f aca="false">W9*K9</f>
        <v>0</v>
      </c>
      <c r="Z9" s="0" t="n">
        <f aca="false">X9*H9</f>
        <v>0</v>
      </c>
    </row>
    <row r="10" customFormat="false" ht="15" hidden="false" customHeight="false" outlineLevel="0" collapsed="false">
      <c r="A10" s="0" t="n">
        <v>14134</v>
      </c>
      <c r="B10" s="0" t="n">
        <f aca="false">SUMIFS(RawFinancials!$A$2:$A$747,RawFinancials!$C$2:$C$747,A10,RawFinancials!$W$2:$W$747,WF_START_PERIOD)</f>
        <v>485</v>
      </c>
      <c r="C10" s="0" t="n">
        <f aca="false">SUMIFS(RawFinancials!$A$2:$A$747,RawFinancials!$C$2:$C$747,A10,RawFinancials!$W$2:$W$747,WF_END_PERIOD)</f>
        <v>699</v>
      </c>
      <c r="D10" s="0" t="n">
        <f aca="false">COUNTIFS(RawFinancials!$C$2:$C$747,A10,RawFinancials!$W$2:$W$747,WF_START_PERIOD,RawFinancials!$AA$2:$AA$747,1)</f>
        <v>1</v>
      </c>
      <c r="E10" s="0" t="n">
        <f aca="false">COUNTIFS(RawFinancials!$C$2:$C$747,A10,RawFinancials!$W$2:$W$747,WF_END_PERIOD,RawFinancials!$AA$2:$AA$747,1)</f>
        <v>1</v>
      </c>
      <c r="F10" s="0" t="str">
        <f aca="false">IF(B10&gt;0,INDEX(RawFinancials!$Z:$Z,B10),"")</f>
        <v>VT</v>
      </c>
      <c r="G10" s="0" t="str">
        <f aca="false">IF(C10&gt;0,INDEX(RawFinancials!$Z:$Z,C10),"")</f>
        <v>VT</v>
      </c>
      <c r="H10" s="0" t="n">
        <f aca="false">SUMIFS(RawFinancials!$B$2:$B$747,RawFinancials!$C$2:$C$747,A10,RawFinancials!$W$2:$W$747,WF_START_PERIOD,RawFinancials!$AA$2:$AA$747,1)</f>
        <v>842999</v>
      </c>
      <c r="I10" s="0" t="n">
        <f aca="false">SUMIFS(RawFinancials!$AB$2:$AB$747,RawFinancials!$C$2:$C$747,A10,RawFinancials!$W$2:$W$747,WF_START_PERIOD,RawFinancials!$AA$2:$AA$747,1)</f>
        <v>9888</v>
      </c>
      <c r="J10" s="0" t="n">
        <f aca="false">IF(D10=1,100*I10/H10,"")</f>
        <v>1.17295512806065</v>
      </c>
      <c r="K10" s="0" t="n">
        <f aca="false">SUMIFS(RawFinancials!$B$2:$B$747,RawFinancials!$C$2:$C$747,A10,RawFinancials!$W$2:$W$747,WF_END_PERIOD,RawFinancials!$AA$2:$AA$747,1)</f>
        <v>882477</v>
      </c>
      <c r="L10" s="0" t="n">
        <f aca="false">SUMIFS(RawFinancials!$AB$2:$AB$747,RawFinancials!$C$2:$C$747,A10,RawFinancials!$W$2:$W$747,WF_END_PERIOD,RawFinancials!$AA$2:$AA$747,1)</f>
        <v>2713</v>
      </c>
      <c r="M10" s="0" t="n">
        <f aca="false">IF(E10=1,100*L10/K10,"")</f>
        <v>0.307430108660056</v>
      </c>
      <c r="N10" s="0" t="n">
        <f aca="false">D10*E10</f>
        <v>1</v>
      </c>
      <c r="O10" s="0" t="n">
        <f aca="false">IF(N10=1,H10,0)</f>
        <v>842999</v>
      </c>
      <c r="P10" s="0" t="n">
        <f aca="false">IF(N10=1,H10*J10,0)</f>
        <v>988800</v>
      </c>
      <c r="Q10" s="0" t="n">
        <f aca="false">IF(N10=1,H10*M10,0)</f>
        <v>259163.274170318</v>
      </c>
      <c r="R10" s="0" t="n">
        <f aca="false">IF(E10=1,1+COUNTIFS($E$2:$E$55,1,$M$2:$M$55,"&gt;"&amp;M10)+COUNTIFS($E$2:$E$55,1,$M$2:$M$55,M10,$A$2:$A$55,"&lt;"&amp;A10),0)</f>
        <v>23</v>
      </c>
      <c r="S10" s="0" t="n">
        <f aca="false">IF(E10=1,IF(COUNTIFS($E$2:$E$55,1,$G$2:$G$55,G10,$M$2:$M$55,"&gt;"&amp;M10)+COUNTIFS($E$2:$E$55,1,$G$2:$G$55,G10,$M$2:$M$55,M10,$A$2:$A$55,"&lt;"&amp;A10)=0,1,0),0)</f>
        <v>0</v>
      </c>
      <c r="T10" s="0" t="n">
        <f aca="false">IF(AND(E10=1,S10=0),1+COUNTIFS($E$2:$E$55,1,$S$2:$S$55,0,$R$2:$R$55,"&lt;"&amp;R10),0)</f>
        <v>20</v>
      </c>
      <c r="U10" s="0" t="n">
        <f aca="false">IF(E10=1,IF(S10=1,IF(G10="VT",1,IF(G10="NH",2,3)),3+T10),0)</f>
        <v>23</v>
      </c>
      <c r="V10" s="0" t="str">
        <f aca="false">IF(C10&gt;0,INDEX(RawFinancials!$P:$P,C10),IF(B10&gt;0,INDEX(RawFinancials!$P:$P,B10),""))</f>
        <v>PASSUMPSIC SAVINGS BANK</v>
      </c>
      <c r="W10" s="0" t="n">
        <f aca="false">E10*(1-D10)</f>
        <v>0</v>
      </c>
      <c r="X10" s="0" t="n">
        <f aca="false">D10*(1-E10)</f>
        <v>0</v>
      </c>
      <c r="Y10" s="0" t="n">
        <f aca="false">W10*K10</f>
        <v>0</v>
      </c>
      <c r="Z10" s="0" t="n">
        <f aca="false">X10*H10</f>
        <v>0</v>
      </c>
    </row>
    <row r="11" customFormat="false" ht="15" hidden="false" customHeight="false" outlineLevel="0" collapsed="false">
      <c r="A11" s="0" t="n">
        <v>14136</v>
      </c>
      <c r="B11" s="0" t="n">
        <f aca="false">SUMIFS(RawFinancials!$A$2:$A$747,RawFinancials!$C$2:$C$747,A11,RawFinancials!$W$2:$W$747,WF_START_PERIOD)</f>
        <v>486</v>
      </c>
      <c r="C11" s="0" t="n">
        <f aca="false">SUMIFS(RawFinancials!$A$2:$A$747,RawFinancials!$C$2:$C$747,A11,RawFinancials!$W$2:$W$747,WF_END_PERIOD)</f>
        <v>700</v>
      </c>
      <c r="D11" s="0" t="n">
        <f aca="false">COUNTIFS(RawFinancials!$C$2:$C$747,A11,RawFinancials!$W$2:$W$747,WF_START_PERIOD,RawFinancials!$AA$2:$AA$747,1)</f>
        <v>1</v>
      </c>
      <c r="E11" s="0" t="n">
        <f aca="false">COUNTIFS(RawFinancials!$C$2:$C$747,A11,RawFinancials!$W$2:$W$747,WF_END_PERIOD,RawFinancials!$AA$2:$AA$747,1)</f>
        <v>1</v>
      </c>
      <c r="F11" s="0" t="str">
        <f aca="false">IF(B11&gt;0,INDEX(RawFinancials!$Z:$Z,B11),"")</f>
        <v>VT</v>
      </c>
      <c r="G11" s="0" t="str">
        <f aca="false">IF(C11&gt;0,INDEX(RawFinancials!$Z:$Z,C11),"")</f>
        <v>VT</v>
      </c>
      <c r="H11" s="0" t="n">
        <f aca="false">SUMIFS(RawFinancials!$B$2:$B$747,RawFinancials!$C$2:$C$747,A11,RawFinancials!$W$2:$W$747,WF_START_PERIOD,RawFinancials!$AA$2:$AA$747,1)</f>
        <v>234689</v>
      </c>
      <c r="I11" s="0" t="n">
        <f aca="false">SUMIFS(RawFinancials!$AB$2:$AB$747,RawFinancials!$C$2:$C$747,A11,RawFinancials!$W$2:$W$747,WF_START_PERIOD,RawFinancials!$AA$2:$AA$747,1)</f>
        <v>754</v>
      </c>
      <c r="J11" s="0" t="n">
        <f aca="false">IF(D11=1,100*I11/H11,"")</f>
        <v>0.321276242175816</v>
      </c>
      <c r="K11" s="0" t="n">
        <f aca="false">SUMIFS(RawFinancials!$B$2:$B$747,RawFinancials!$C$2:$C$747,A11,RawFinancials!$W$2:$W$747,WF_END_PERIOD,RawFinancials!$AA$2:$AA$747,1)</f>
        <v>247991</v>
      </c>
      <c r="L11" s="0" t="n">
        <f aca="false">SUMIFS(RawFinancials!$AB$2:$AB$747,RawFinancials!$C$2:$C$747,A11,RawFinancials!$W$2:$W$747,WF_END_PERIOD,RawFinancials!$AA$2:$AA$747,1)</f>
        <v>1077</v>
      </c>
      <c r="M11" s="0" t="n">
        <f aca="false">IF(E11=1,100*L11/K11,"")</f>
        <v>0.434289954070914</v>
      </c>
      <c r="N11" s="0" t="n">
        <f aca="false">D11*E11</f>
        <v>1</v>
      </c>
      <c r="O11" s="0" t="n">
        <f aca="false">IF(N11=1,H11,0)</f>
        <v>234689</v>
      </c>
      <c r="P11" s="0" t="n">
        <f aca="false">IF(N11=1,H11*J11,0)</f>
        <v>75400</v>
      </c>
      <c r="Q11" s="0" t="n">
        <f aca="false">IF(N11=1,H11*M11,0)</f>
        <v>101923.075030949</v>
      </c>
      <c r="R11" s="0" t="n">
        <f aca="false">IF(E11=1,1+COUNTIFS($E$2:$E$55,1,$M$2:$M$55,"&gt;"&amp;M11)+COUNTIFS($E$2:$E$55,1,$M$2:$M$55,M11,$A$2:$A$55,"&lt;"&amp;A11),0)</f>
        <v>16</v>
      </c>
      <c r="S11" s="0" t="n">
        <f aca="false">IF(E11=1,IF(COUNTIFS($E$2:$E$55,1,$G$2:$G$55,G11,$M$2:$M$55,"&gt;"&amp;M11)+COUNTIFS($E$2:$E$55,1,$G$2:$G$55,G11,$M$2:$M$55,M11,$A$2:$A$55,"&lt;"&amp;A11)=0,1,0),0)</f>
        <v>0</v>
      </c>
      <c r="T11" s="0" t="n">
        <f aca="false">IF(AND(E11=1,S11=0),1+COUNTIFS($E$2:$E$55,1,$S$2:$S$55,0,$R$2:$R$55,"&lt;"&amp;R11),0)</f>
        <v>13</v>
      </c>
      <c r="U11" s="0" t="n">
        <f aca="false">IF(E11=1,IF(S11=1,IF(G11="VT",1,IF(G11="NH",2,3)),3+T11),0)</f>
        <v>16</v>
      </c>
      <c r="V11" s="0" t="str">
        <f aca="false">IF(C11&gt;0,INDEX(RawFinancials!$P:$P,C11),IF(B11&gt;0,INDEX(RawFinancials!$P:$P,B11),""))</f>
        <v>WELLS RIVER SAVINGS BANK</v>
      </c>
      <c r="W11" s="0" t="n">
        <f aca="false">E11*(1-D11)</f>
        <v>0</v>
      </c>
      <c r="X11" s="0" t="n">
        <f aca="false">D11*(1-E11)</f>
        <v>0</v>
      </c>
      <c r="Y11" s="0" t="n">
        <f aca="false">W11*K11</f>
        <v>0</v>
      </c>
      <c r="Z11" s="0" t="n">
        <f aca="false">X11*H11</f>
        <v>0</v>
      </c>
    </row>
    <row r="12" customFormat="false" ht="15" hidden="false" customHeight="false" outlineLevel="0" collapsed="false">
      <c r="A12" s="0" t="n">
        <v>14140</v>
      </c>
      <c r="B12" s="0" t="n">
        <f aca="false">SUMIFS(RawFinancials!$A$2:$A$747,RawFinancials!$C$2:$C$747,A12,RawFinancials!$W$2:$W$747,WF_START_PERIOD)</f>
        <v>487</v>
      </c>
      <c r="C12" s="0" t="n">
        <f aca="false">SUMIFS(RawFinancials!$A$2:$A$747,RawFinancials!$C$2:$C$747,A12,RawFinancials!$W$2:$W$747,WF_END_PERIOD)</f>
        <v>701</v>
      </c>
      <c r="D12" s="0" t="n">
        <f aca="false">COUNTIFS(RawFinancials!$C$2:$C$747,A12,RawFinancials!$W$2:$W$747,WF_START_PERIOD,RawFinancials!$AA$2:$AA$747,1)</f>
        <v>1</v>
      </c>
      <c r="E12" s="0" t="n">
        <f aca="false">COUNTIFS(RawFinancials!$C$2:$C$747,A12,RawFinancials!$W$2:$W$747,WF_END_PERIOD,RawFinancials!$AA$2:$AA$747,1)</f>
        <v>1</v>
      </c>
      <c r="F12" s="0" t="str">
        <f aca="false">IF(B12&gt;0,INDEX(RawFinancials!$Z:$Z,B12),"")</f>
        <v>VT</v>
      </c>
      <c r="G12" s="0" t="str">
        <f aca="false">IF(C12&gt;0,INDEX(RawFinancials!$Z:$Z,C12),"")</f>
        <v>VT</v>
      </c>
      <c r="H12" s="0" t="n">
        <f aca="false">SUMIFS(RawFinancials!$B$2:$B$747,RawFinancials!$C$2:$C$747,A12,RawFinancials!$W$2:$W$747,WF_START_PERIOD,RawFinancials!$AA$2:$AA$747,1)</f>
        <v>1498757</v>
      </c>
      <c r="I12" s="0" t="n">
        <f aca="false">SUMIFS(RawFinancials!$AB$2:$AB$747,RawFinancials!$C$2:$C$747,A12,RawFinancials!$W$2:$W$747,WF_START_PERIOD,RawFinancials!$AA$2:$AA$747,1)</f>
        <v>2046</v>
      </c>
      <c r="J12" s="0" t="n">
        <f aca="false">IF(D12=1,100*I12/H12,"")</f>
        <v>0.136513123875318</v>
      </c>
      <c r="K12" s="0" t="n">
        <f aca="false">SUMIFS(RawFinancials!$B$2:$B$747,RawFinancials!$C$2:$C$747,A12,RawFinancials!$W$2:$W$747,WF_END_PERIOD,RawFinancials!$AA$2:$AA$747,1)</f>
        <v>1560737</v>
      </c>
      <c r="L12" s="0" t="n">
        <f aca="false">SUMIFS(RawFinancials!$AB$2:$AB$747,RawFinancials!$C$2:$C$747,A12,RawFinancials!$W$2:$W$747,WF_END_PERIOD,RawFinancials!$AA$2:$AA$747,1)</f>
        <v>7436</v>
      </c>
      <c r="M12" s="0" t="n">
        <f aca="false">IF(E12=1,100*L12/K12,"")</f>
        <v>0.476441578561923</v>
      </c>
      <c r="N12" s="0" t="n">
        <f aca="false">D12*E12</f>
        <v>1</v>
      </c>
      <c r="O12" s="0" t="n">
        <f aca="false">IF(N12=1,H12,0)</f>
        <v>1498757</v>
      </c>
      <c r="P12" s="0" t="n">
        <f aca="false">IF(N12=1,H12*J12,0)</f>
        <v>204600</v>
      </c>
      <c r="Q12" s="0" t="n">
        <f aca="false">IF(N12=1,H12*M12,0)</f>
        <v>714070.150960732</v>
      </c>
      <c r="R12" s="0" t="n">
        <f aca="false">IF(E12=1,1+COUNTIFS($E$2:$E$55,1,$M$2:$M$55,"&gt;"&amp;M12)+COUNTIFS($E$2:$E$55,1,$M$2:$M$55,M12,$A$2:$A$55,"&lt;"&amp;A12),0)</f>
        <v>14</v>
      </c>
      <c r="S12" s="0" t="n">
        <f aca="false">IF(E12=1,IF(COUNTIFS($E$2:$E$55,1,$G$2:$G$55,G12,$M$2:$M$55,"&gt;"&amp;M12)+COUNTIFS($E$2:$E$55,1,$G$2:$G$55,G12,$M$2:$M$55,M12,$A$2:$A$55,"&lt;"&amp;A12)=0,1,0),0)</f>
        <v>0</v>
      </c>
      <c r="T12" s="0" t="n">
        <f aca="false">IF(AND(E12=1,S12=0),1+COUNTIFS($E$2:$E$55,1,$S$2:$S$55,0,$R$2:$R$55,"&lt;"&amp;R12),0)</f>
        <v>11</v>
      </c>
      <c r="U12" s="0" t="n">
        <f aca="false">IF(E12=1,IF(S12=1,IF(G12="VT",1,IF(G12="NH",2,3)),3+T12),0)</f>
        <v>14</v>
      </c>
      <c r="V12" s="0" t="str">
        <f aca="false">IF(C12&gt;0,INDEX(RawFinancials!$P:$P,C12),IF(B12&gt;0,INDEX(RawFinancials!$P:$P,B12),""))</f>
        <v>NORTHFIELD SAVINGS BANK</v>
      </c>
      <c r="W12" s="0" t="n">
        <f aca="false">E12*(1-D12)</f>
        <v>0</v>
      </c>
      <c r="X12" s="0" t="n">
        <f aca="false">D12*(1-E12)</f>
        <v>0</v>
      </c>
      <c r="Y12" s="0" t="n">
        <f aca="false">W12*K12</f>
        <v>0</v>
      </c>
      <c r="Z12" s="0" t="n">
        <f aca="false">X12*H12</f>
        <v>0</v>
      </c>
    </row>
    <row r="13" customFormat="false" ht="15" hidden="false" customHeight="false" outlineLevel="0" collapsed="false">
      <c r="A13" s="0" t="n">
        <v>14158</v>
      </c>
      <c r="B13" s="0" t="n">
        <f aca="false">SUMIFS(RawFinancials!$A$2:$A$747,RawFinancials!$C$2:$C$747,A13,RawFinancials!$W$2:$W$747,WF_START_PERIOD)</f>
        <v>488</v>
      </c>
      <c r="C13" s="0" t="n">
        <f aca="false">SUMIFS(RawFinancials!$A$2:$A$747,RawFinancials!$C$2:$C$747,A13,RawFinancials!$W$2:$W$747,WF_END_PERIOD)</f>
        <v>702</v>
      </c>
      <c r="D13" s="0" t="n">
        <f aca="false">COUNTIFS(RawFinancials!$C$2:$C$747,A13,RawFinancials!$W$2:$W$747,WF_START_PERIOD,RawFinancials!$AA$2:$AA$747,1)</f>
        <v>1</v>
      </c>
      <c r="E13" s="0" t="n">
        <f aca="false">COUNTIFS(RawFinancials!$C$2:$C$747,A13,RawFinancials!$W$2:$W$747,WF_END_PERIOD,RawFinancials!$AA$2:$AA$747,1)</f>
        <v>1</v>
      </c>
      <c r="F13" s="0" t="str">
        <f aca="false">IF(B13&gt;0,INDEX(RawFinancials!$Z:$Z,B13),"")</f>
        <v>VT</v>
      </c>
      <c r="G13" s="0" t="str">
        <f aca="false">IF(C13&gt;0,INDEX(RawFinancials!$Z:$Z,C13),"")</f>
        <v>VT</v>
      </c>
      <c r="H13" s="0" t="n">
        <f aca="false">SUMIFS(RawFinancials!$B$2:$B$747,RawFinancials!$C$2:$C$747,A13,RawFinancials!$W$2:$W$747,WF_START_PERIOD,RawFinancials!$AA$2:$AA$747,1)</f>
        <v>1397831</v>
      </c>
      <c r="I13" s="0" t="n">
        <f aca="false">SUMIFS(RawFinancials!$AB$2:$AB$747,RawFinancials!$C$2:$C$747,A13,RawFinancials!$W$2:$W$747,WF_START_PERIOD,RawFinancials!$AA$2:$AA$747,1)</f>
        <v>1928</v>
      </c>
      <c r="J13" s="0" t="n">
        <f aca="false">IF(D13=1,100*I13/H13,"")</f>
        <v>0.137927975556416</v>
      </c>
      <c r="K13" s="0" t="n">
        <f aca="false">SUMIFS(RawFinancials!$B$2:$B$747,RawFinancials!$C$2:$C$747,A13,RawFinancials!$W$2:$W$747,WF_END_PERIOD,RawFinancials!$AA$2:$AA$747,1)</f>
        <v>1479452</v>
      </c>
      <c r="L13" s="0" t="n">
        <f aca="false">SUMIFS(RawFinancials!$AB$2:$AB$747,RawFinancials!$C$2:$C$747,A13,RawFinancials!$W$2:$W$747,WF_END_PERIOD,RawFinancials!$AA$2:$AA$747,1)</f>
        <v>15261</v>
      </c>
      <c r="M13" s="0" t="n">
        <f aca="false">IF(E13=1,100*L13/K13,"")</f>
        <v>1.03153059376039</v>
      </c>
      <c r="N13" s="0" t="n">
        <f aca="false">D13*E13</f>
        <v>1</v>
      </c>
      <c r="O13" s="0" t="n">
        <f aca="false">IF(N13=1,H13,0)</f>
        <v>1397831</v>
      </c>
      <c r="P13" s="0" t="n">
        <f aca="false">IF(N13=1,H13*J13,0)</f>
        <v>192800</v>
      </c>
      <c r="Q13" s="0" t="n">
        <f aca="false">IF(N13=1,H13*M13,0)</f>
        <v>1441905.44140668</v>
      </c>
      <c r="R13" s="0" t="n">
        <f aca="false">IF(E13=1,1+COUNTIFS($E$2:$E$55,1,$M$2:$M$55,"&gt;"&amp;M13)+COUNTIFS($E$2:$E$55,1,$M$2:$M$55,M13,$A$2:$A$55,"&lt;"&amp;A13),0)</f>
        <v>7</v>
      </c>
      <c r="S13" s="0" t="n">
        <f aca="false">IF(E13=1,IF(COUNTIFS($E$2:$E$55,1,$G$2:$G$55,G13,$M$2:$M$55,"&gt;"&amp;M13)+COUNTIFS($E$2:$E$55,1,$G$2:$G$55,G13,$M$2:$M$55,M13,$A$2:$A$55,"&lt;"&amp;A13)=0,1,0),0)</f>
        <v>0</v>
      </c>
      <c r="T13" s="0" t="n">
        <f aca="false">IF(AND(E13=1,S13=0),1+COUNTIFS($E$2:$E$55,1,$S$2:$S$55,0,$R$2:$R$55,"&lt;"&amp;R13),0)</f>
        <v>4</v>
      </c>
      <c r="U13" s="0" t="n">
        <f aca="false">IF(E13=1,IF(S13=1,IF(G13="VT",1,IF(G13="NH",2,3)),3+T13),0)</f>
        <v>7</v>
      </c>
      <c r="V13" s="0" t="str">
        <f aca="false">IF(C13&gt;0,INDEX(RawFinancials!$P:$P,C13),IF(B13&gt;0,INDEX(RawFinancials!$P:$P,B13),""))</f>
        <v>UNION BANK</v>
      </c>
      <c r="W13" s="0" t="n">
        <f aca="false">E13*(1-D13)</f>
        <v>0</v>
      </c>
      <c r="X13" s="0" t="n">
        <f aca="false">D13*(1-E13)</f>
        <v>0</v>
      </c>
      <c r="Y13" s="0" t="n">
        <f aca="false">W13*K13</f>
        <v>0</v>
      </c>
      <c r="Z13" s="0" t="n">
        <f aca="false">X13*H13</f>
        <v>0</v>
      </c>
    </row>
    <row r="14" customFormat="false" ht="15" hidden="false" customHeight="false" outlineLevel="0" collapsed="false">
      <c r="A14" s="0" t="n">
        <v>14168</v>
      </c>
      <c r="B14" s="0" t="n">
        <f aca="false">SUMIFS(RawFinancials!$A$2:$A$747,RawFinancials!$C$2:$C$747,A14,RawFinancials!$W$2:$W$747,WF_START_PERIOD)</f>
        <v>489</v>
      </c>
      <c r="C14" s="0" t="n">
        <f aca="false">SUMIFS(RawFinancials!$A$2:$A$747,RawFinancials!$C$2:$C$747,A14,RawFinancials!$W$2:$W$747,WF_END_PERIOD)</f>
        <v>703</v>
      </c>
      <c r="D14" s="0" t="n">
        <f aca="false">COUNTIFS(RawFinancials!$C$2:$C$747,A14,RawFinancials!$W$2:$W$747,WF_START_PERIOD,RawFinancials!$AA$2:$AA$747,1)</f>
        <v>1</v>
      </c>
      <c r="E14" s="0" t="n">
        <f aca="false">COUNTIFS(RawFinancials!$C$2:$C$747,A14,RawFinancials!$W$2:$W$747,WF_END_PERIOD,RawFinancials!$AA$2:$AA$747,1)</f>
        <v>1</v>
      </c>
      <c r="F14" s="0" t="str">
        <f aca="false">IF(B14&gt;0,INDEX(RawFinancials!$Z:$Z,B14),"")</f>
        <v>VT</v>
      </c>
      <c r="G14" s="0" t="str">
        <f aca="false">IF(C14&gt;0,INDEX(RawFinancials!$Z:$Z,C14),"")</f>
        <v>VT</v>
      </c>
      <c r="H14" s="0" t="n">
        <f aca="false">SUMIFS(RawFinancials!$B$2:$B$747,RawFinancials!$C$2:$C$747,A14,RawFinancials!$W$2:$W$747,WF_START_PERIOD,RawFinancials!$AA$2:$AA$747,1)</f>
        <v>371774</v>
      </c>
      <c r="I14" s="0" t="n">
        <f aca="false">SUMIFS(RawFinancials!$AB$2:$AB$747,RawFinancials!$C$2:$C$747,A14,RawFinancials!$W$2:$W$747,WF_START_PERIOD,RawFinancials!$AA$2:$AA$747,1)</f>
        <v>1043</v>
      </c>
      <c r="J14" s="0" t="n">
        <f aca="false">IF(D14=1,100*I14/H14,"")</f>
        <v>0.280546783798759</v>
      </c>
      <c r="K14" s="0" t="n">
        <f aca="false">SUMIFS(RawFinancials!$B$2:$B$747,RawFinancials!$C$2:$C$747,A14,RawFinancials!$W$2:$W$747,WF_END_PERIOD,RawFinancials!$AA$2:$AA$747,1)</f>
        <v>376849</v>
      </c>
      <c r="L14" s="0" t="n">
        <f aca="false">SUMIFS(RawFinancials!$AB$2:$AB$747,RawFinancials!$C$2:$C$747,A14,RawFinancials!$W$2:$W$747,WF_END_PERIOD,RawFinancials!$AA$2:$AA$747,1)</f>
        <v>1012</v>
      </c>
      <c r="M14" s="0" t="n">
        <f aca="false">IF(E14=1,100*L14/K14,"")</f>
        <v>0.268542572754605</v>
      </c>
      <c r="N14" s="0" t="n">
        <f aca="false">D14*E14</f>
        <v>1</v>
      </c>
      <c r="O14" s="0" t="n">
        <f aca="false">IF(N14=1,H14,0)</f>
        <v>371774</v>
      </c>
      <c r="P14" s="0" t="n">
        <f aca="false">IF(N14=1,H14*J14,0)</f>
        <v>104300</v>
      </c>
      <c r="Q14" s="0" t="n">
        <f aca="false">IF(N14=1,H14*M14,0)</f>
        <v>99837.1464432704</v>
      </c>
      <c r="R14" s="0" t="n">
        <f aca="false">IF(E14=1,1+COUNTIFS($E$2:$E$55,1,$M$2:$M$55,"&gt;"&amp;M14)+COUNTIFS($E$2:$E$55,1,$M$2:$M$55,M14,$A$2:$A$55,"&lt;"&amp;A14),0)</f>
        <v>26</v>
      </c>
      <c r="S14" s="0" t="n">
        <f aca="false">IF(E14=1,IF(COUNTIFS($E$2:$E$55,1,$G$2:$G$55,G14,$M$2:$M$55,"&gt;"&amp;M14)+COUNTIFS($E$2:$E$55,1,$G$2:$G$55,G14,$M$2:$M$55,M14,$A$2:$A$55,"&lt;"&amp;A14)=0,1,0),0)</f>
        <v>0</v>
      </c>
      <c r="T14" s="0" t="n">
        <f aca="false">IF(AND(E14=1,S14=0),1+COUNTIFS($E$2:$E$55,1,$S$2:$S$55,0,$R$2:$R$55,"&lt;"&amp;R14),0)</f>
        <v>23</v>
      </c>
      <c r="U14" s="0" t="n">
        <f aca="false">IF(E14=1,IF(S14=1,IF(G14="VT",1,IF(G14="NH",2,3)),3+T14),0)</f>
        <v>26</v>
      </c>
      <c r="V14" s="0" t="str">
        <f aca="false">IF(C14&gt;0,INDEX(RawFinancials!$P:$P,C14),IF(B14&gt;0,INDEX(RawFinancials!$P:$P,B14),""))</f>
        <v>PEOPLES TRUST COMPANY OF ST. ALBANS</v>
      </c>
      <c r="W14" s="0" t="n">
        <f aca="false">E14*(1-D14)</f>
        <v>0</v>
      </c>
      <c r="X14" s="0" t="n">
        <f aca="false">D14*(1-E14)</f>
        <v>0</v>
      </c>
      <c r="Y14" s="0" t="n">
        <f aca="false">W14*K14</f>
        <v>0</v>
      </c>
      <c r="Z14" s="0" t="n">
        <f aca="false">X14*H14</f>
        <v>0</v>
      </c>
    </row>
    <row r="15" customFormat="false" ht="15" hidden="false" customHeight="false" outlineLevel="0" collapsed="false">
      <c r="A15" s="0" t="n">
        <v>14240</v>
      </c>
      <c r="B15" s="0" t="n">
        <f aca="false">SUMIFS(RawFinancials!$A$2:$A$747,RawFinancials!$C$2:$C$747,A15,RawFinancials!$W$2:$W$747,WF_START_PERIOD)</f>
        <v>490</v>
      </c>
      <c r="C15" s="0" t="n">
        <f aca="false">SUMIFS(RawFinancials!$A$2:$A$747,RawFinancials!$C$2:$C$747,A15,RawFinancials!$W$2:$W$747,WF_END_PERIOD)</f>
        <v>0</v>
      </c>
      <c r="D15" s="0" t="n">
        <f aca="false">COUNTIFS(RawFinancials!$C$2:$C$747,A15,RawFinancials!$W$2:$W$747,WF_START_PERIOD,RawFinancials!$AA$2:$AA$747,1)</f>
        <v>1</v>
      </c>
      <c r="E15" s="0" t="n">
        <f aca="false">COUNTIFS(RawFinancials!$C$2:$C$747,A15,RawFinancials!$W$2:$W$747,WF_END_PERIOD,RawFinancials!$AA$2:$AA$747,1)</f>
        <v>0</v>
      </c>
      <c r="F15" s="0" t="str">
        <f aca="false">IF(B15&gt;0,INDEX(RawFinancials!$Z:$Z,B15),"")</f>
        <v>NH</v>
      </c>
      <c r="G15" s="0" t="str">
        <f aca="false">IF(C15&gt;0,INDEX(RawFinancials!$Z:$Z,C15),"")</f>
        <v/>
      </c>
      <c r="H15" s="0" t="n">
        <f aca="false">SUMIFS(RawFinancials!$B$2:$B$747,RawFinancials!$C$2:$C$747,A15,RawFinancials!$W$2:$W$747,WF_START_PERIOD,RawFinancials!$AA$2:$AA$747,1)</f>
        <v>1270696</v>
      </c>
      <c r="I15" s="0" t="n">
        <f aca="false">SUMIFS(RawFinancials!$AB$2:$AB$747,RawFinancials!$C$2:$C$747,A15,RawFinancials!$W$2:$W$747,WF_START_PERIOD,RawFinancials!$AA$2:$AA$747,1)</f>
        <v>3555</v>
      </c>
      <c r="J15" s="0" t="n">
        <f aca="false">IF(D15=1,100*I15/H15,"")</f>
        <v>0.279767938200797</v>
      </c>
      <c r="K15" s="0" t="n">
        <f aca="false">SUMIFS(RawFinancials!$B$2:$B$747,RawFinancials!$C$2:$C$747,A15,RawFinancials!$W$2:$W$747,WF_END_PERIOD,RawFinancials!$AA$2:$AA$747,1)</f>
        <v>0</v>
      </c>
      <c r="L15" s="0" t="n">
        <f aca="false">SUMIFS(RawFinancials!$AB$2:$AB$747,RawFinancials!$C$2:$C$747,A15,RawFinancials!$W$2:$W$747,WF_END_PERIOD,RawFinancials!$AA$2:$AA$747,1)</f>
        <v>0</v>
      </c>
      <c r="M15" s="0" t="str">
        <f aca="false">IF(E15=1,100*L15/K15,"")</f>
        <v/>
      </c>
      <c r="N15" s="0" t="n">
        <f aca="false">D15*E15</f>
        <v>0</v>
      </c>
      <c r="O15" s="0" t="n">
        <f aca="false">IF(N15=1,H15,0)</f>
        <v>0</v>
      </c>
      <c r="P15" s="0" t="n">
        <f aca="false">IF(N15=1,H15*J15,0)</f>
        <v>0</v>
      </c>
      <c r="Q15" s="0" t="n">
        <f aca="false">IF(N15=1,H15*M15,0)</f>
        <v>0</v>
      </c>
      <c r="R15" s="0" t="n">
        <f aca="false">IF(E15=1,1+COUNTIFS($E$2:$E$55,1,$M$2:$M$55,"&gt;"&amp;M15)+COUNTIFS($E$2:$E$55,1,$M$2:$M$55,M15,$A$2:$A$55,"&lt;"&amp;A15),0)</f>
        <v>0</v>
      </c>
      <c r="S15" s="0" t="n">
        <f aca="false">IF(E15=1,IF(COUNTIFS($E$2:$E$55,1,$G$2:$G$55,G15,$M$2:$M$55,"&gt;"&amp;M15)+COUNTIFS($E$2:$E$55,1,$G$2:$G$55,G15,$M$2:$M$55,M15,$A$2:$A$55,"&lt;"&amp;A15)=0,1,0),0)</f>
        <v>0</v>
      </c>
      <c r="T15" s="0" t="n">
        <f aca="false">IF(AND(E15=1,S15=0),1+COUNTIFS($E$2:$E$55,1,$S$2:$S$55,0,$R$2:$R$55,"&lt;"&amp;R15),0)</f>
        <v>0</v>
      </c>
      <c r="U15" s="0" t="n">
        <f aca="false">IF(E15=1,IF(S15=1,IF(G15="VT",1,IF(G15="NH",2,3)),3+T15),0)</f>
        <v>0</v>
      </c>
      <c r="V15" s="0" t="str">
        <f aca="false">IF(C15&gt;0,INDEX(RawFinancials!$P:$P,C15),IF(B15&gt;0,INDEX(RawFinancials!$P:$P,B15),""))</f>
        <v>NORTHWAY BANK</v>
      </c>
      <c r="W15" s="0" t="n">
        <f aca="false">E15*(1-D15)</f>
        <v>0</v>
      </c>
      <c r="X15" s="0" t="n">
        <f aca="false">D15*(1-E15)</f>
        <v>1</v>
      </c>
      <c r="Y15" s="0" t="n">
        <f aca="false">W15*K15</f>
        <v>0</v>
      </c>
      <c r="Z15" s="0" t="n">
        <f aca="false">X15*H15</f>
        <v>1270696</v>
      </c>
    </row>
    <row r="16" customFormat="false" ht="15" hidden="false" customHeight="false" outlineLevel="0" collapsed="false">
      <c r="A16" s="0" t="n">
        <v>17115</v>
      </c>
      <c r="B16" s="0" t="n">
        <f aca="false">SUMIFS(RawFinancials!$A$2:$A$747,RawFinancials!$C$2:$C$747,A16,RawFinancials!$W$2:$W$747,WF_START_PERIOD)</f>
        <v>491</v>
      </c>
      <c r="C16" s="0" t="n">
        <f aca="false">SUMIFS(RawFinancials!$A$2:$A$747,RawFinancials!$C$2:$C$747,A16,RawFinancials!$W$2:$W$747,WF_END_PERIOD)</f>
        <v>704</v>
      </c>
      <c r="D16" s="0" t="n">
        <f aca="false">COUNTIFS(RawFinancials!$C$2:$C$747,A16,RawFinancials!$W$2:$W$747,WF_START_PERIOD,RawFinancials!$AA$2:$AA$747,1)</f>
        <v>1</v>
      </c>
      <c r="E16" s="0" t="n">
        <f aca="false">COUNTIFS(RawFinancials!$C$2:$C$747,A16,RawFinancials!$W$2:$W$747,WF_END_PERIOD,RawFinancials!$AA$2:$AA$747,1)</f>
        <v>1</v>
      </c>
      <c r="F16" s="0" t="str">
        <f aca="false">IF(B16&gt;0,INDEX(RawFinancials!$Z:$Z,B16),"")</f>
        <v>ME</v>
      </c>
      <c r="G16" s="0" t="str">
        <f aca="false">IF(C16&gt;0,INDEX(RawFinancials!$Z:$Z,C16),"")</f>
        <v>ME</v>
      </c>
      <c r="H16" s="0" t="n">
        <f aca="false">SUMIFS(RawFinancials!$B$2:$B$747,RawFinancials!$C$2:$C$747,A16,RawFinancials!$W$2:$W$747,WF_START_PERIOD,RawFinancials!$AA$2:$AA$747,1)</f>
        <v>1071403</v>
      </c>
      <c r="I16" s="0" t="n">
        <f aca="false">SUMIFS(RawFinancials!$AB$2:$AB$747,RawFinancials!$C$2:$C$747,A16,RawFinancials!$W$2:$W$747,WF_START_PERIOD,RawFinancials!$AA$2:$AA$747,1)</f>
        <v>2433</v>
      </c>
      <c r="J16" s="0" t="n">
        <f aca="false">IF(D16=1,100*I16/H16,"")</f>
        <v>0.227085419772019</v>
      </c>
      <c r="K16" s="0" t="n">
        <f aca="false">SUMIFS(RawFinancials!$B$2:$B$747,RawFinancials!$C$2:$C$747,A16,RawFinancials!$W$2:$W$747,WF_END_PERIOD,RawFinancials!$AA$2:$AA$747,1)</f>
        <v>1078591</v>
      </c>
      <c r="L16" s="0" t="n">
        <f aca="false">SUMIFS(RawFinancials!$AB$2:$AB$747,RawFinancials!$C$2:$C$747,A16,RawFinancials!$W$2:$W$747,WF_END_PERIOD,RawFinancials!$AA$2:$AA$747,1)</f>
        <v>2574</v>
      </c>
      <c r="M16" s="0" t="n">
        <f aca="false">IF(E16=1,100*L16/K16,"")</f>
        <v>0.238644676248921</v>
      </c>
      <c r="N16" s="0" t="n">
        <f aca="false">D16*E16</f>
        <v>1</v>
      </c>
      <c r="O16" s="0" t="n">
        <f aca="false">IF(N16=1,H16,0)</f>
        <v>1071403</v>
      </c>
      <c r="P16" s="0" t="n">
        <f aca="false">IF(N16=1,H16*J16,0)</f>
        <v>243300</v>
      </c>
      <c r="Q16" s="0" t="n">
        <f aca="false">IF(N16=1,H16*M16,0)</f>
        <v>255684.622067123</v>
      </c>
      <c r="R16" s="0" t="n">
        <f aca="false">IF(E16=1,1+COUNTIFS($E$2:$E$55,1,$M$2:$M$55,"&gt;"&amp;M16)+COUNTIFS($E$2:$E$55,1,$M$2:$M$55,M16,$A$2:$A$55,"&lt;"&amp;A16),0)</f>
        <v>29</v>
      </c>
      <c r="S16" s="0" t="n">
        <f aca="false">IF(E16=1,IF(COUNTIFS($E$2:$E$55,1,$G$2:$G$55,G16,$M$2:$M$55,"&gt;"&amp;M16)+COUNTIFS($E$2:$E$55,1,$G$2:$G$55,G16,$M$2:$M$55,M16,$A$2:$A$55,"&lt;"&amp;A16)=0,1,0),0)</f>
        <v>0</v>
      </c>
      <c r="T16" s="0" t="n">
        <f aca="false">IF(AND(E16=1,S16=0),1+COUNTIFS($E$2:$E$55,1,$S$2:$S$55,0,$R$2:$R$55,"&lt;"&amp;R16),0)</f>
        <v>26</v>
      </c>
      <c r="U16" s="0" t="n">
        <f aca="false">IF(E16=1,IF(S16=1,IF(G16="VT",1,IF(G16="NH",2,3)),3+T16),0)</f>
        <v>29</v>
      </c>
      <c r="V16" s="0" t="str">
        <f aca="false">IF(C16&gt;0,INDEX(RawFinancials!$P:$P,C16),IF(B16&gt;0,INDEX(RawFinancials!$P:$P,B16),""))</f>
        <v>PARTNERS BANK OF NEW ENGLAND</v>
      </c>
      <c r="W16" s="0" t="n">
        <f aca="false">E16*(1-D16)</f>
        <v>0</v>
      </c>
      <c r="X16" s="0" t="n">
        <f aca="false">D16*(1-E16)</f>
        <v>0</v>
      </c>
      <c r="Y16" s="0" t="n">
        <f aca="false">W16*K16</f>
        <v>0</v>
      </c>
      <c r="Z16" s="0" t="n">
        <f aca="false">X16*H16</f>
        <v>0</v>
      </c>
    </row>
    <row r="17" customFormat="false" ht="15" hidden="false" customHeight="false" outlineLevel="0" collapsed="false">
      <c r="A17" s="0" t="n">
        <v>17180</v>
      </c>
      <c r="B17" s="0" t="n">
        <f aca="false">SUMIFS(RawFinancials!$A$2:$A$747,RawFinancials!$C$2:$C$747,A17,RawFinancials!$W$2:$W$747,WF_START_PERIOD)</f>
        <v>492</v>
      </c>
      <c r="C17" s="0" t="n">
        <f aca="false">SUMIFS(RawFinancials!$A$2:$A$747,RawFinancials!$C$2:$C$747,A17,RawFinancials!$W$2:$W$747,WF_END_PERIOD)</f>
        <v>705</v>
      </c>
      <c r="D17" s="0" t="n">
        <f aca="false">COUNTIFS(RawFinancials!$C$2:$C$747,A17,RawFinancials!$W$2:$W$747,WF_START_PERIOD,RawFinancials!$AA$2:$AA$747,1)</f>
        <v>1</v>
      </c>
      <c r="E17" s="0" t="n">
        <f aca="false">COUNTIFS(RawFinancials!$C$2:$C$747,A17,RawFinancials!$W$2:$W$747,WF_END_PERIOD,RawFinancials!$AA$2:$AA$747,1)</f>
        <v>1</v>
      </c>
      <c r="F17" s="0" t="str">
        <f aca="false">IF(B17&gt;0,INDEX(RawFinancials!$Z:$Z,B17),"")</f>
        <v>NH</v>
      </c>
      <c r="G17" s="0" t="str">
        <f aca="false">IF(C17&gt;0,INDEX(RawFinancials!$Z:$Z,C17),"")</f>
        <v>NH</v>
      </c>
      <c r="H17" s="0" t="n">
        <f aca="false">SUMIFS(RawFinancials!$B$2:$B$747,RawFinancials!$C$2:$C$747,A17,RawFinancials!$W$2:$W$747,WF_START_PERIOD,RawFinancials!$AA$2:$AA$747,1)</f>
        <v>1640511</v>
      </c>
      <c r="I17" s="0" t="n">
        <f aca="false">SUMIFS(RawFinancials!$AB$2:$AB$747,RawFinancials!$C$2:$C$747,A17,RawFinancials!$W$2:$W$747,WF_START_PERIOD,RawFinancials!$AA$2:$AA$747,1)</f>
        <v>5092</v>
      </c>
      <c r="J17" s="0" t="n">
        <f aca="false">IF(D17=1,100*I17/H17,"")</f>
        <v>0.310391091556228</v>
      </c>
      <c r="K17" s="0" t="n">
        <f aca="false">SUMIFS(RawFinancials!$B$2:$B$747,RawFinancials!$C$2:$C$747,A17,RawFinancials!$W$2:$W$747,WF_END_PERIOD,RawFinancials!$AA$2:$AA$747,1)</f>
        <v>1609518</v>
      </c>
      <c r="L17" s="0" t="n">
        <f aca="false">SUMIFS(RawFinancials!$AB$2:$AB$747,RawFinancials!$C$2:$C$747,A17,RawFinancials!$W$2:$W$747,WF_END_PERIOD,RawFinancials!$AA$2:$AA$747,1)</f>
        <v>5016</v>
      </c>
      <c r="M17" s="0" t="n">
        <f aca="false">IF(E17=1,100*L17/K17,"")</f>
        <v>0.31164609529064</v>
      </c>
      <c r="N17" s="0" t="n">
        <f aca="false">D17*E17</f>
        <v>1</v>
      </c>
      <c r="O17" s="0" t="n">
        <f aca="false">IF(N17=1,H17,0)</f>
        <v>1640511</v>
      </c>
      <c r="P17" s="0" t="n">
        <f aca="false">IF(N17=1,H17*J17,0)</f>
        <v>509200</v>
      </c>
      <c r="Q17" s="0" t="n">
        <f aca="false">IF(N17=1,H17*M17,0)</f>
        <v>511258.847431343</v>
      </c>
      <c r="R17" s="0" t="n">
        <f aca="false">IF(E17=1,1+COUNTIFS($E$2:$E$55,1,$M$2:$M$55,"&gt;"&amp;M17)+COUNTIFS($E$2:$E$55,1,$M$2:$M$55,M17,$A$2:$A$55,"&lt;"&amp;A17),0)</f>
        <v>22</v>
      </c>
      <c r="S17" s="0" t="n">
        <f aca="false">IF(E17=1,IF(COUNTIFS($E$2:$E$55,1,$G$2:$G$55,G17,$M$2:$M$55,"&gt;"&amp;M17)+COUNTIFS($E$2:$E$55,1,$G$2:$G$55,G17,$M$2:$M$55,M17,$A$2:$A$55,"&lt;"&amp;A17)=0,1,0),0)</f>
        <v>0</v>
      </c>
      <c r="T17" s="0" t="n">
        <f aca="false">IF(AND(E17=1,S17=0),1+COUNTIFS($E$2:$E$55,1,$S$2:$S$55,0,$R$2:$R$55,"&lt;"&amp;R17),0)</f>
        <v>19</v>
      </c>
      <c r="U17" s="0" t="n">
        <f aca="false">IF(E17=1,IF(S17=1,IF(G17="VT",1,IF(G17="NH",2,3)),3+T17),0)</f>
        <v>22</v>
      </c>
      <c r="V17" s="0" t="str">
        <f aca="false">IF(C17&gt;0,INDEX(RawFinancials!$P:$P,C17),IF(B17&gt;0,INDEX(RawFinancials!$P:$P,B17),""))</f>
        <v>MEREDITH VILLAGE SAVINGS BANK</v>
      </c>
      <c r="W17" s="0" t="n">
        <f aca="false">E17*(1-D17)</f>
        <v>0</v>
      </c>
      <c r="X17" s="0" t="n">
        <f aca="false">D17*(1-E17)</f>
        <v>0</v>
      </c>
      <c r="Y17" s="0" t="n">
        <f aca="false">W17*K17</f>
        <v>0</v>
      </c>
      <c r="Z17" s="0" t="n">
        <f aca="false">X17*H17</f>
        <v>0</v>
      </c>
    </row>
    <row r="18" customFormat="false" ht="15" hidden="false" customHeight="false" outlineLevel="0" collapsed="false">
      <c r="A18" s="0" t="n">
        <v>17443</v>
      </c>
      <c r="B18" s="0" t="n">
        <f aca="false">SUMIFS(RawFinancials!$A$2:$A$747,RawFinancials!$C$2:$C$747,A18,RawFinancials!$W$2:$W$747,WF_START_PERIOD)</f>
        <v>493</v>
      </c>
      <c r="C18" s="0" t="n">
        <f aca="false">SUMIFS(RawFinancials!$A$2:$A$747,RawFinancials!$C$2:$C$747,A18,RawFinancials!$W$2:$W$747,WF_END_PERIOD)</f>
        <v>706</v>
      </c>
      <c r="D18" s="0" t="n">
        <f aca="false">COUNTIFS(RawFinancials!$C$2:$C$747,A18,RawFinancials!$W$2:$W$747,WF_START_PERIOD,RawFinancials!$AA$2:$AA$747,1)</f>
        <v>1</v>
      </c>
      <c r="E18" s="0" t="n">
        <f aca="false">COUNTIFS(RawFinancials!$C$2:$C$747,A18,RawFinancials!$W$2:$W$747,WF_END_PERIOD,RawFinancials!$AA$2:$AA$747,1)</f>
        <v>1</v>
      </c>
      <c r="F18" s="0" t="str">
        <f aca="false">IF(B18&gt;0,INDEX(RawFinancials!$Z:$Z,B18),"")</f>
        <v>NH</v>
      </c>
      <c r="G18" s="0" t="str">
        <f aca="false">IF(C18&gt;0,INDEX(RawFinancials!$Z:$Z,C18),"")</f>
        <v>NH</v>
      </c>
      <c r="H18" s="0" t="n">
        <f aca="false">SUMIFS(RawFinancials!$B$2:$B$747,RawFinancials!$C$2:$C$747,A18,RawFinancials!$W$2:$W$747,WF_START_PERIOD,RawFinancials!$AA$2:$AA$747,1)</f>
        <v>365097</v>
      </c>
      <c r="I18" s="0" t="n">
        <f aca="false">SUMIFS(RawFinancials!$AB$2:$AB$747,RawFinancials!$C$2:$C$747,A18,RawFinancials!$W$2:$W$747,WF_START_PERIOD,RawFinancials!$AA$2:$AA$747,1)</f>
        <v>1042</v>
      </c>
      <c r="J18" s="0" t="n">
        <f aca="false">IF(D18=1,100*I18/H18,"")</f>
        <v>0.285403605069338</v>
      </c>
      <c r="K18" s="0" t="n">
        <f aca="false">SUMIFS(RawFinancials!$B$2:$B$747,RawFinancials!$C$2:$C$747,A18,RawFinancials!$W$2:$W$747,WF_END_PERIOD,RawFinancials!$AA$2:$AA$747,1)</f>
        <v>366584</v>
      </c>
      <c r="L18" s="0" t="n">
        <f aca="false">SUMIFS(RawFinancials!$AB$2:$AB$747,RawFinancials!$C$2:$C$747,A18,RawFinancials!$W$2:$W$747,WF_END_PERIOD,RawFinancials!$AA$2:$AA$747,1)</f>
        <v>22</v>
      </c>
      <c r="M18" s="0" t="n">
        <f aca="false">IF(E18=1,100*L18/K18,"")</f>
        <v>0.00600135303232001</v>
      </c>
      <c r="N18" s="0" t="n">
        <f aca="false">D18*E18</f>
        <v>1</v>
      </c>
      <c r="O18" s="0" t="n">
        <f aca="false">IF(N18=1,H18,0)</f>
        <v>365097</v>
      </c>
      <c r="P18" s="0" t="n">
        <f aca="false">IF(N18=1,H18*J18,0)</f>
        <v>104200</v>
      </c>
      <c r="Q18" s="0" t="n">
        <f aca="false">IF(N18=1,H18*M18,0)</f>
        <v>2191.07598804094</v>
      </c>
      <c r="R18" s="0" t="n">
        <f aca="false">IF(E18=1,1+COUNTIFS($E$2:$E$55,1,$M$2:$M$55,"&gt;"&amp;M18)+COUNTIFS($E$2:$E$55,1,$M$2:$M$55,M18,$A$2:$A$55,"&lt;"&amp;A18),0)</f>
        <v>47</v>
      </c>
      <c r="S18" s="0" t="n">
        <f aca="false">IF(E18=1,IF(COUNTIFS($E$2:$E$55,1,$G$2:$G$55,G18,$M$2:$M$55,"&gt;"&amp;M18)+COUNTIFS($E$2:$E$55,1,$G$2:$G$55,G18,$M$2:$M$55,M18,$A$2:$A$55,"&lt;"&amp;A18)=0,1,0),0)</f>
        <v>0</v>
      </c>
      <c r="T18" s="0" t="n">
        <f aca="false">IF(AND(E18=1,S18=0),1+COUNTIFS($E$2:$E$55,1,$S$2:$S$55,0,$R$2:$R$55,"&lt;"&amp;R18),0)</f>
        <v>44</v>
      </c>
      <c r="U18" s="0" t="n">
        <f aca="false">IF(E18=1,IF(S18=1,IF(G18="VT",1,IF(G18="NH",2,3)),3+T18),0)</f>
        <v>47</v>
      </c>
      <c r="V18" s="0" t="str">
        <f aca="false">IF(C18&gt;0,INDEX(RawFinancials!$P:$P,C18),IF(B18&gt;0,INDEX(RawFinancials!$P:$P,B18),""))</f>
        <v>PISCATAQUA SAVINGS BANK</v>
      </c>
      <c r="W18" s="0" t="n">
        <f aca="false">E18*(1-D18)</f>
        <v>0</v>
      </c>
      <c r="X18" s="0" t="n">
        <f aca="false">D18*(1-E18)</f>
        <v>0</v>
      </c>
      <c r="Y18" s="0" t="n">
        <f aca="false">W18*K18</f>
        <v>0</v>
      </c>
      <c r="Z18" s="0" t="n">
        <f aca="false">X18*H18</f>
        <v>0</v>
      </c>
    </row>
    <row r="19" customFormat="false" ht="15" hidden="false" customHeight="false" outlineLevel="0" collapsed="false">
      <c r="A19" s="0" t="n">
        <v>17658</v>
      </c>
      <c r="B19" s="0" t="n">
        <f aca="false">SUMIFS(RawFinancials!$A$2:$A$747,RawFinancials!$C$2:$C$747,A19,RawFinancials!$W$2:$W$747,WF_START_PERIOD)</f>
        <v>494</v>
      </c>
      <c r="C19" s="0" t="n">
        <f aca="false">SUMIFS(RawFinancials!$A$2:$A$747,RawFinancials!$C$2:$C$747,A19,RawFinancials!$W$2:$W$747,WF_END_PERIOD)</f>
        <v>707</v>
      </c>
      <c r="D19" s="0" t="n">
        <f aca="false">COUNTIFS(RawFinancials!$C$2:$C$747,A19,RawFinancials!$W$2:$W$747,WF_START_PERIOD,RawFinancials!$AA$2:$AA$747,1)</f>
        <v>1</v>
      </c>
      <c r="E19" s="0" t="n">
        <f aca="false">COUNTIFS(RawFinancials!$C$2:$C$747,A19,RawFinancials!$W$2:$W$747,WF_END_PERIOD,RawFinancials!$AA$2:$AA$747,1)</f>
        <v>1</v>
      </c>
      <c r="F19" s="0" t="str">
        <f aca="false">IF(B19&gt;0,INDEX(RawFinancials!$Z:$Z,B19),"")</f>
        <v>ME</v>
      </c>
      <c r="G19" s="0" t="str">
        <f aca="false">IF(C19&gt;0,INDEX(RawFinancials!$Z:$Z,C19),"")</f>
        <v>ME</v>
      </c>
      <c r="H19" s="0" t="n">
        <f aca="false">SUMIFS(RawFinancials!$B$2:$B$747,RawFinancials!$C$2:$C$747,A19,RawFinancials!$W$2:$W$747,WF_START_PERIOD,RawFinancials!$AA$2:$AA$747,1)</f>
        <v>1912692</v>
      </c>
      <c r="I19" s="0" t="n">
        <f aca="false">SUMIFS(RawFinancials!$AB$2:$AB$747,RawFinancials!$C$2:$C$747,A19,RawFinancials!$W$2:$W$747,WF_START_PERIOD,RawFinancials!$AA$2:$AA$747,1)</f>
        <v>10821</v>
      </c>
      <c r="J19" s="0" t="n">
        <f aca="false">IF(D19=1,100*I19/H19,"")</f>
        <v>0.56574712499451</v>
      </c>
      <c r="K19" s="0" t="n">
        <f aca="false">SUMIFS(RawFinancials!$B$2:$B$747,RawFinancials!$C$2:$C$747,A19,RawFinancials!$W$2:$W$747,WF_END_PERIOD,RawFinancials!$AA$2:$AA$747,1)</f>
        <v>2059300</v>
      </c>
      <c r="L19" s="0" t="n">
        <f aca="false">SUMIFS(RawFinancials!$AB$2:$AB$747,RawFinancials!$C$2:$C$747,A19,RawFinancials!$W$2:$W$747,WF_END_PERIOD,RawFinancials!$AA$2:$AA$747,1)</f>
        <v>10168</v>
      </c>
      <c r="M19" s="0" t="n">
        <f aca="false">IF(E19=1,100*L19/K19,"")</f>
        <v>0.493760015539261</v>
      </c>
      <c r="N19" s="0" t="n">
        <f aca="false">D19*E19</f>
        <v>1</v>
      </c>
      <c r="O19" s="0" t="n">
        <f aca="false">IF(N19=1,H19,0)</f>
        <v>1912692</v>
      </c>
      <c r="P19" s="0" t="n">
        <f aca="false">IF(N19=1,H19*J19,0)</f>
        <v>1082100</v>
      </c>
      <c r="Q19" s="0" t="n">
        <f aca="false">IF(N19=1,H19*M19,0)</f>
        <v>944410.83164182</v>
      </c>
      <c r="R19" s="0" t="n">
        <f aca="false">IF(E19=1,1+COUNTIFS($E$2:$E$55,1,$M$2:$M$55,"&gt;"&amp;M19)+COUNTIFS($E$2:$E$55,1,$M$2:$M$55,M19,$A$2:$A$55,"&lt;"&amp;A19),0)</f>
        <v>13</v>
      </c>
      <c r="S19" s="0" t="n">
        <f aca="false">IF(E19=1,IF(COUNTIFS($E$2:$E$55,1,$G$2:$G$55,G19,$M$2:$M$55,"&gt;"&amp;M19)+COUNTIFS($E$2:$E$55,1,$G$2:$G$55,G19,$M$2:$M$55,M19,$A$2:$A$55,"&lt;"&amp;A19)=0,1,0),0)</f>
        <v>0</v>
      </c>
      <c r="T19" s="0" t="n">
        <f aca="false">IF(AND(E19=1,S19=0),1+COUNTIFS($E$2:$E$55,1,$S$2:$S$55,0,$R$2:$R$55,"&lt;"&amp;R19),0)</f>
        <v>10</v>
      </c>
      <c r="U19" s="0" t="n">
        <f aca="false">IF(E19=1,IF(S19=1,IF(G19="VT",1,IF(G19="NH",2,3)),3+T19),0)</f>
        <v>13</v>
      </c>
      <c r="V19" s="0" t="str">
        <f aca="false">IF(C19&gt;0,INDEX(RawFinancials!$P:$P,C19),IF(B19&gt;0,INDEX(RawFinancials!$P:$P,B19),""))</f>
        <v>NORWAY SAVINGS BANK</v>
      </c>
      <c r="W19" s="0" t="n">
        <f aca="false">E19*(1-D19)</f>
        <v>0</v>
      </c>
      <c r="X19" s="0" t="n">
        <f aca="false">D19*(1-E19)</f>
        <v>0</v>
      </c>
      <c r="Y19" s="0" t="n">
        <f aca="false">W19*K19</f>
        <v>0</v>
      </c>
      <c r="Z19" s="0" t="n">
        <f aca="false">X19*H19</f>
        <v>0</v>
      </c>
    </row>
    <row r="20" customFormat="false" ht="15" hidden="false" customHeight="false" outlineLevel="0" collapsed="false">
      <c r="A20" s="0" t="n">
        <v>17741</v>
      </c>
      <c r="B20" s="0" t="n">
        <f aca="false">SUMIFS(RawFinancials!$A$2:$A$747,RawFinancials!$C$2:$C$747,A20,RawFinancials!$W$2:$W$747,WF_START_PERIOD)</f>
        <v>495</v>
      </c>
      <c r="C20" s="0" t="n">
        <f aca="false">SUMIFS(RawFinancials!$A$2:$A$747,RawFinancials!$C$2:$C$747,A20,RawFinancials!$W$2:$W$747,WF_END_PERIOD)</f>
        <v>708</v>
      </c>
      <c r="D20" s="0" t="n">
        <f aca="false">COUNTIFS(RawFinancials!$C$2:$C$747,A20,RawFinancials!$W$2:$W$747,WF_START_PERIOD,RawFinancials!$AA$2:$AA$747,1)</f>
        <v>1</v>
      </c>
      <c r="E20" s="0" t="n">
        <f aca="false">COUNTIFS(RawFinancials!$C$2:$C$747,A20,RawFinancials!$W$2:$W$747,WF_END_PERIOD,RawFinancials!$AA$2:$AA$747,1)</f>
        <v>1</v>
      </c>
      <c r="F20" s="0" t="str">
        <f aca="false">IF(B20&gt;0,INDEX(RawFinancials!$Z:$Z,B20),"")</f>
        <v>ME</v>
      </c>
      <c r="G20" s="0" t="str">
        <f aca="false">IF(C20&gt;0,INDEX(RawFinancials!$Z:$Z,C20),"")</f>
        <v>ME</v>
      </c>
      <c r="H20" s="0" t="n">
        <f aca="false">SUMIFS(RawFinancials!$B$2:$B$747,RawFinancials!$C$2:$C$747,A20,RawFinancials!$W$2:$W$747,WF_START_PERIOD,RawFinancials!$AA$2:$AA$747,1)</f>
        <v>1160635</v>
      </c>
      <c r="I20" s="0" t="n">
        <f aca="false">SUMIFS(RawFinancials!$AB$2:$AB$747,RawFinancials!$C$2:$C$747,A20,RawFinancials!$W$2:$W$747,WF_START_PERIOD,RawFinancials!$AA$2:$AA$747,1)</f>
        <v>7132</v>
      </c>
      <c r="J20" s="0" t="n">
        <f aca="false">IF(D20=1,100*I20/H20,"")</f>
        <v>0.614491205245404</v>
      </c>
      <c r="K20" s="0" t="n">
        <f aca="false">SUMIFS(RawFinancials!$B$2:$B$747,RawFinancials!$C$2:$C$747,A20,RawFinancials!$W$2:$W$747,WF_END_PERIOD,RawFinancials!$AA$2:$AA$747,1)</f>
        <v>2758302</v>
      </c>
      <c r="L20" s="0" t="n">
        <f aca="false">SUMIFS(RawFinancials!$AB$2:$AB$747,RawFinancials!$C$2:$C$747,A20,RawFinancials!$W$2:$W$747,WF_END_PERIOD,RawFinancials!$AA$2:$AA$747,1)</f>
        <v>14212</v>
      </c>
      <c r="M20" s="0" t="n">
        <f aca="false">IF(E20=1,100*L20/K20,"")</f>
        <v>0.515244523623592</v>
      </c>
      <c r="N20" s="0" t="n">
        <f aca="false">D20*E20</f>
        <v>1</v>
      </c>
      <c r="O20" s="0" t="n">
        <f aca="false">IF(N20=1,H20,0)</f>
        <v>1160635</v>
      </c>
      <c r="P20" s="0" t="n">
        <f aca="false">IF(N20=1,H20*J20,0)</f>
        <v>713200</v>
      </c>
      <c r="Q20" s="0" t="n">
        <f aca="false">IF(N20=1,H20*M20,0)</f>
        <v>598010.827675867</v>
      </c>
      <c r="R20" s="0" t="n">
        <f aca="false">IF(E20=1,1+COUNTIFS($E$2:$E$55,1,$M$2:$M$55,"&gt;"&amp;M20)+COUNTIFS($E$2:$E$55,1,$M$2:$M$55,M20,$A$2:$A$55,"&lt;"&amp;A20),0)</f>
        <v>12</v>
      </c>
      <c r="S20" s="0" t="n">
        <f aca="false">IF(E20=1,IF(COUNTIFS($E$2:$E$55,1,$G$2:$G$55,G20,$M$2:$M$55,"&gt;"&amp;M20)+COUNTIFS($E$2:$E$55,1,$G$2:$G$55,G20,$M$2:$M$55,M20,$A$2:$A$55,"&lt;"&amp;A20)=0,1,0),0)</f>
        <v>0</v>
      </c>
      <c r="T20" s="0" t="n">
        <f aca="false">IF(AND(E20=1,S20=0),1+COUNTIFS($E$2:$E$55,1,$S$2:$S$55,0,$R$2:$R$55,"&lt;"&amp;R20),0)</f>
        <v>9</v>
      </c>
      <c r="U20" s="0" t="n">
        <f aca="false">IF(E20=1,IF(S20=1,IF(G20="VT",1,IF(G20="NH",2,3)),3+T20),0)</f>
        <v>12</v>
      </c>
      <c r="V20" s="0" t="str">
        <f aca="false">IF(C20&gt;0,INDEX(RawFinancials!$P:$P,C20),IF(B20&gt;0,INDEX(RawFinancials!$P:$P,B20),""))</f>
        <v>MAINE COMMUNITY BANK</v>
      </c>
      <c r="W20" s="0" t="n">
        <f aca="false">E20*(1-D20)</f>
        <v>0</v>
      </c>
      <c r="X20" s="0" t="n">
        <f aca="false">D20*(1-E20)</f>
        <v>0</v>
      </c>
      <c r="Y20" s="0" t="n">
        <f aca="false">W20*K20</f>
        <v>0</v>
      </c>
      <c r="Z20" s="0" t="n">
        <f aca="false">X20*H20</f>
        <v>0</v>
      </c>
    </row>
    <row r="21" customFormat="false" ht="15" hidden="false" customHeight="false" outlineLevel="0" collapsed="false">
      <c r="A21" s="0" t="n">
        <v>17743</v>
      </c>
      <c r="B21" s="0" t="n">
        <f aca="false">SUMIFS(RawFinancials!$A$2:$A$747,RawFinancials!$C$2:$C$747,A21,RawFinancials!$W$2:$W$747,WF_START_PERIOD)</f>
        <v>496</v>
      </c>
      <c r="C21" s="0" t="n">
        <f aca="false">SUMIFS(RawFinancials!$A$2:$A$747,RawFinancials!$C$2:$C$747,A21,RawFinancials!$W$2:$W$747,WF_END_PERIOD)</f>
        <v>709</v>
      </c>
      <c r="D21" s="0" t="n">
        <f aca="false">COUNTIFS(RawFinancials!$C$2:$C$747,A21,RawFinancials!$W$2:$W$747,WF_START_PERIOD,RawFinancials!$AA$2:$AA$747,1)</f>
        <v>1</v>
      </c>
      <c r="E21" s="0" t="n">
        <f aca="false">COUNTIFS(RawFinancials!$C$2:$C$747,A21,RawFinancials!$W$2:$W$747,WF_END_PERIOD,RawFinancials!$AA$2:$AA$747,1)</f>
        <v>1</v>
      </c>
      <c r="F21" s="0" t="str">
        <f aca="false">IF(B21&gt;0,INDEX(RawFinancials!$Z:$Z,B21),"")</f>
        <v>ME</v>
      </c>
      <c r="G21" s="0" t="str">
        <f aca="false">IF(C21&gt;0,INDEX(RawFinancials!$Z:$Z,C21),"")</f>
        <v>ME</v>
      </c>
      <c r="H21" s="0" t="n">
        <f aca="false">SUMIFS(RawFinancials!$B$2:$B$747,RawFinancials!$C$2:$C$747,A21,RawFinancials!$W$2:$W$747,WF_START_PERIOD,RawFinancials!$AA$2:$AA$747,1)</f>
        <v>1404406</v>
      </c>
      <c r="I21" s="0" t="n">
        <f aca="false">SUMIFS(RawFinancials!$AB$2:$AB$747,RawFinancials!$C$2:$C$747,A21,RawFinancials!$W$2:$W$747,WF_START_PERIOD,RawFinancials!$AA$2:$AA$747,1)</f>
        <v>3998</v>
      </c>
      <c r="J21" s="0" t="n">
        <f aca="false">IF(D21=1,100*I21/H21,"")</f>
        <v>0.284675514060749</v>
      </c>
      <c r="K21" s="0" t="n">
        <f aca="false">SUMIFS(RawFinancials!$B$2:$B$747,RawFinancials!$C$2:$C$747,A21,RawFinancials!$W$2:$W$747,WF_END_PERIOD,RawFinancials!$AA$2:$AA$747,1)</f>
        <v>1439697</v>
      </c>
      <c r="L21" s="0" t="n">
        <f aca="false">SUMIFS(RawFinancials!$AB$2:$AB$747,RawFinancials!$C$2:$C$747,A21,RawFinancials!$W$2:$W$747,WF_END_PERIOD,RawFinancials!$AA$2:$AA$747,1)</f>
        <v>407</v>
      </c>
      <c r="M21" s="0" t="n">
        <f aca="false">IF(E21=1,100*L21/K21,"")</f>
        <v>0.0282698373338279</v>
      </c>
      <c r="N21" s="0" t="n">
        <f aca="false">D21*E21</f>
        <v>1</v>
      </c>
      <c r="O21" s="0" t="n">
        <f aca="false">IF(N21=1,H21,0)</f>
        <v>1404406</v>
      </c>
      <c r="P21" s="0" t="n">
        <f aca="false">IF(N21=1,H21*J21,0)</f>
        <v>399800</v>
      </c>
      <c r="Q21" s="0" t="n">
        <f aca="false">IF(N21=1,H21*M21,0)</f>
        <v>39702.3291706519</v>
      </c>
      <c r="R21" s="0" t="n">
        <f aca="false">IF(E21=1,1+COUNTIFS($E$2:$E$55,1,$M$2:$M$55,"&gt;"&amp;M21)+COUNTIFS($E$2:$E$55,1,$M$2:$M$55,M21,$A$2:$A$55,"&lt;"&amp;A21),0)</f>
        <v>45</v>
      </c>
      <c r="S21" s="0" t="n">
        <f aca="false">IF(E21=1,IF(COUNTIFS($E$2:$E$55,1,$G$2:$G$55,G21,$M$2:$M$55,"&gt;"&amp;M21)+COUNTIFS($E$2:$E$55,1,$G$2:$G$55,G21,$M$2:$M$55,M21,$A$2:$A$55,"&lt;"&amp;A21)=0,1,0),0)</f>
        <v>0</v>
      </c>
      <c r="T21" s="0" t="n">
        <f aca="false">IF(AND(E21=1,S21=0),1+COUNTIFS($E$2:$E$55,1,$S$2:$S$55,0,$R$2:$R$55,"&lt;"&amp;R21),0)</f>
        <v>42</v>
      </c>
      <c r="U21" s="0" t="n">
        <f aca="false">IF(E21=1,IF(S21=1,IF(G21="VT",1,IF(G21="NH",2,3)),3+T21),0)</f>
        <v>45</v>
      </c>
      <c r="V21" s="0" t="str">
        <f aca="false">IF(C21&gt;0,INDEX(RawFinancials!$P:$P,C21),IF(B21&gt;0,INDEX(RawFinancials!$P:$P,B21),""))</f>
        <v>SACO &amp; BIDDEFORD SAVINGS INSTITUTION</v>
      </c>
      <c r="W21" s="0" t="n">
        <f aca="false">E21*(1-D21)</f>
        <v>0</v>
      </c>
      <c r="X21" s="0" t="n">
        <f aca="false">D21*(1-E21)</f>
        <v>0</v>
      </c>
      <c r="Y21" s="0" t="n">
        <f aca="false">W21*K21</f>
        <v>0</v>
      </c>
      <c r="Z21" s="0" t="n">
        <f aca="false">X21*H21</f>
        <v>0</v>
      </c>
    </row>
    <row r="22" customFormat="false" ht="15" hidden="false" customHeight="false" outlineLevel="0" collapsed="false">
      <c r="A22" s="0" t="n">
        <v>17748</v>
      </c>
      <c r="B22" s="0" t="n">
        <f aca="false">SUMIFS(RawFinancials!$A$2:$A$747,RawFinancials!$C$2:$C$747,A22,RawFinancials!$W$2:$W$747,WF_START_PERIOD)</f>
        <v>497</v>
      </c>
      <c r="C22" s="0" t="n">
        <f aca="false">SUMIFS(RawFinancials!$A$2:$A$747,RawFinancials!$C$2:$C$747,A22,RawFinancials!$W$2:$W$747,WF_END_PERIOD)</f>
        <v>0</v>
      </c>
      <c r="D22" s="0" t="n">
        <f aca="false">COUNTIFS(RawFinancials!$C$2:$C$747,A22,RawFinancials!$W$2:$W$747,WF_START_PERIOD,RawFinancials!$AA$2:$AA$747,1)</f>
        <v>1</v>
      </c>
      <c r="E22" s="0" t="n">
        <f aca="false">COUNTIFS(RawFinancials!$C$2:$C$747,A22,RawFinancials!$W$2:$W$747,WF_END_PERIOD,RawFinancials!$AA$2:$AA$747,1)</f>
        <v>0</v>
      </c>
      <c r="F22" s="0" t="str">
        <f aca="false">IF(B22&gt;0,INDEX(RawFinancials!$Z:$Z,B22),"")</f>
        <v>ME</v>
      </c>
      <c r="G22" s="0" t="str">
        <f aca="false">IF(C22&gt;0,INDEX(RawFinancials!$Z:$Z,C22),"")</f>
        <v/>
      </c>
      <c r="H22" s="0" t="n">
        <f aca="false">SUMIFS(RawFinancials!$B$2:$B$747,RawFinancials!$C$2:$C$747,A22,RawFinancials!$W$2:$W$747,WF_START_PERIOD,RawFinancials!$AA$2:$AA$747,1)</f>
        <v>1653584</v>
      </c>
      <c r="I22" s="0" t="n">
        <f aca="false">SUMIFS(RawFinancials!$AB$2:$AB$747,RawFinancials!$C$2:$C$747,A22,RawFinancials!$W$2:$W$747,WF_START_PERIOD,RawFinancials!$AA$2:$AA$747,1)</f>
        <v>7932</v>
      </c>
      <c r="J22" s="0" t="n">
        <f aca="false">IF(D22=1,100*I22/H22,"")</f>
        <v>0.479685338029396</v>
      </c>
      <c r="K22" s="0" t="n">
        <f aca="false">SUMIFS(RawFinancials!$B$2:$B$747,RawFinancials!$C$2:$C$747,A22,RawFinancials!$W$2:$W$747,WF_END_PERIOD,RawFinancials!$AA$2:$AA$747,1)</f>
        <v>0</v>
      </c>
      <c r="L22" s="0" t="n">
        <f aca="false">SUMIFS(RawFinancials!$AB$2:$AB$747,RawFinancials!$C$2:$C$747,A22,RawFinancials!$W$2:$W$747,WF_END_PERIOD,RawFinancials!$AA$2:$AA$747,1)</f>
        <v>0</v>
      </c>
      <c r="M22" s="0" t="str">
        <f aca="false">IF(E22=1,100*L22/K22,"")</f>
        <v/>
      </c>
      <c r="N22" s="0" t="n">
        <f aca="false">D22*E22</f>
        <v>0</v>
      </c>
      <c r="O22" s="0" t="n">
        <f aca="false">IF(N22=1,H22,0)</f>
        <v>0</v>
      </c>
      <c r="P22" s="0" t="n">
        <f aca="false">IF(N22=1,H22*J22,0)</f>
        <v>0</v>
      </c>
      <c r="Q22" s="0" t="n">
        <f aca="false">IF(N22=1,H22*M22,0)</f>
        <v>0</v>
      </c>
      <c r="R22" s="0" t="n">
        <f aca="false">IF(E22=1,1+COUNTIFS($E$2:$E$55,1,$M$2:$M$55,"&gt;"&amp;M22)+COUNTIFS($E$2:$E$55,1,$M$2:$M$55,M22,$A$2:$A$55,"&lt;"&amp;A22),0)</f>
        <v>0</v>
      </c>
      <c r="S22" s="0" t="n">
        <f aca="false">IF(E22=1,IF(COUNTIFS($E$2:$E$55,1,$G$2:$G$55,G22,$M$2:$M$55,"&gt;"&amp;M22)+COUNTIFS($E$2:$E$55,1,$G$2:$G$55,G22,$M$2:$M$55,M22,$A$2:$A$55,"&lt;"&amp;A22)=0,1,0),0)</f>
        <v>0</v>
      </c>
      <c r="T22" s="0" t="n">
        <f aca="false">IF(AND(E22=1,S22=0),1+COUNTIFS($E$2:$E$55,1,$S$2:$S$55,0,$R$2:$R$55,"&lt;"&amp;R22),0)</f>
        <v>0</v>
      </c>
      <c r="U22" s="0" t="n">
        <f aca="false">IF(E22=1,IF(S22=1,IF(G22="VT",1,IF(G22="NH",2,3)),3+T22),0)</f>
        <v>0</v>
      </c>
      <c r="V22" s="0" t="str">
        <f aca="false">IF(C22&gt;0,INDEX(RawFinancials!$P:$P,C22),IF(B22&gt;0,INDEX(RawFinancials!$P:$P,B22),""))</f>
        <v>GORHAM SAVINGS BANK</v>
      </c>
      <c r="W22" s="0" t="n">
        <f aca="false">E22*(1-D22)</f>
        <v>0</v>
      </c>
      <c r="X22" s="0" t="n">
        <f aca="false">D22*(1-E22)</f>
        <v>1</v>
      </c>
      <c r="Y22" s="0" t="n">
        <f aca="false">W22*K22</f>
        <v>0</v>
      </c>
      <c r="Z22" s="0" t="n">
        <f aca="false">X22*H22</f>
        <v>1653584</v>
      </c>
    </row>
    <row r="23" customFormat="false" ht="15" hidden="false" customHeight="false" outlineLevel="0" collapsed="false">
      <c r="A23" s="0" t="n">
        <v>17749</v>
      </c>
      <c r="B23" s="0" t="n">
        <f aca="false">SUMIFS(RawFinancials!$A$2:$A$747,RawFinancials!$C$2:$C$747,A23,RawFinancials!$W$2:$W$747,WF_START_PERIOD)</f>
        <v>498</v>
      </c>
      <c r="C23" s="0" t="n">
        <f aca="false">SUMIFS(RawFinancials!$A$2:$A$747,RawFinancials!$C$2:$C$747,A23,RawFinancials!$W$2:$W$747,WF_END_PERIOD)</f>
        <v>710</v>
      </c>
      <c r="D23" s="0" t="n">
        <f aca="false">COUNTIFS(RawFinancials!$C$2:$C$747,A23,RawFinancials!$W$2:$W$747,WF_START_PERIOD,RawFinancials!$AA$2:$AA$747,1)</f>
        <v>1</v>
      </c>
      <c r="E23" s="0" t="n">
        <f aca="false">COUNTIFS(RawFinancials!$C$2:$C$747,A23,RawFinancials!$W$2:$W$747,WF_END_PERIOD,RawFinancials!$AA$2:$AA$747,1)</f>
        <v>1</v>
      </c>
      <c r="F23" s="0" t="str">
        <f aca="false">IF(B23&gt;0,INDEX(RawFinancials!$Z:$Z,B23),"")</f>
        <v>ME</v>
      </c>
      <c r="G23" s="0" t="str">
        <f aca="false">IF(C23&gt;0,INDEX(RawFinancials!$Z:$Z,C23),"")</f>
        <v>ME</v>
      </c>
      <c r="H23" s="0" t="n">
        <f aca="false">SUMIFS(RawFinancials!$B$2:$B$747,RawFinancials!$C$2:$C$747,A23,RawFinancials!$W$2:$W$747,WF_START_PERIOD,RawFinancials!$AA$2:$AA$747,1)</f>
        <v>1395226</v>
      </c>
      <c r="I23" s="0" t="n">
        <f aca="false">SUMIFS(RawFinancials!$AB$2:$AB$747,RawFinancials!$C$2:$C$747,A23,RawFinancials!$W$2:$W$747,WF_START_PERIOD,RawFinancials!$AA$2:$AA$747,1)</f>
        <v>243</v>
      </c>
      <c r="J23" s="0" t="n">
        <f aca="false">IF(D23=1,100*I23/H23,"")</f>
        <v>0.0174165332354758</v>
      </c>
      <c r="K23" s="0" t="n">
        <f aca="false">SUMIFS(RawFinancials!$B$2:$B$747,RawFinancials!$C$2:$C$747,A23,RawFinancials!$W$2:$W$747,WF_END_PERIOD,RawFinancials!$AA$2:$AA$747,1)</f>
        <v>1447972</v>
      </c>
      <c r="L23" s="0" t="n">
        <f aca="false">SUMIFS(RawFinancials!$AB$2:$AB$747,RawFinancials!$C$2:$C$747,A23,RawFinancials!$W$2:$W$747,WF_END_PERIOD,RawFinancials!$AA$2:$AA$747,1)</f>
        <v>1372</v>
      </c>
      <c r="M23" s="0" t="n">
        <f aca="false">IF(E23=1,100*L23/K23,"")</f>
        <v>0.0947532134599288</v>
      </c>
      <c r="N23" s="0" t="n">
        <f aca="false">D23*E23</f>
        <v>1</v>
      </c>
      <c r="O23" s="0" t="n">
        <f aca="false">IF(N23=1,H23,0)</f>
        <v>1395226</v>
      </c>
      <c r="P23" s="0" t="n">
        <f aca="false">IF(N23=1,H23*J23,0)</f>
        <v>24300</v>
      </c>
      <c r="Q23" s="0" t="n">
        <f aca="false">IF(N23=1,H23*M23,0)</f>
        <v>132202.147002843</v>
      </c>
      <c r="R23" s="0" t="n">
        <f aca="false">IF(E23=1,1+COUNTIFS($E$2:$E$55,1,$M$2:$M$55,"&gt;"&amp;M23)+COUNTIFS($E$2:$E$55,1,$M$2:$M$55,M23,$A$2:$A$55,"&lt;"&amp;A23),0)</f>
        <v>40</v>
      </c>
      <c r="S23" s="0" t="n">
        <f aca="false">IF(E23=1,IF(COUNTIFS($E$2:$E$55,1,$G$2:$G$55,G23,$M$2:$M$55,"&gt;"&amp;M23)+COUNTIFS($E$2:$E$55,1,$G$2:$G$55,G23,$M$2:$M$55,M23,$A$2:$A$55,"&lt;"&amp;A23)=0,1,0),0)</f>
        <v>0</v>
      </c>
      <c r="T23" s="0" t="n">
        <f aca="false">IF(AND(E23=1,S23=0),1+COUNTIFS($E$2:$E$55,1,$S$2:$S$55,0,$R$2:$R$55,"&lt;"&amp;R23),0)</f>
        <v>37</v>
      </c>
      <c r="U23" s="0" t="n">
        <f aca="false">IF(E23=1,IF(S23=1,IF(G23="VT",1,IF(G23="NH",2,3)),3+T23),0)</f>
        <v>40</v>
      </c>
      <c r="V23" s="0" t="str">
        <f aca="false">IF(C23&gt;0,INDEX(RawFinancials!$P:$P,C23),IF(B23&gt;0,INDEX(RawFinancials!$P:$P,B23),""))</f>
        <v>BATH SAVINGS INSTITUTION</v>
      </c>
      <c r="W23" s="0" t="n">
        <f aca="false">E23*(1-D23)</f>
        <v>0</v>
      </c>
      <c r="X23" s="0" t="n">
        <f aca="false">D23*(1-E23)</f>
        <v>0</v>
      </c>
      <c r="Y23" s="0" t="n">
        <f aca="false">W23*K23</f>
        <v>0</v>
      </c>
      <c r="Z23" s="0" t="n">
        <f aca="false">X23*H23</f>
        <v>0</v>
      </c>
    </row>
    <row r="24" customFormat="false" ht="15" hidden="false" customHeight="false" outlineLevel="0" collapsed="false">
      <c r="A24" s="0" t="n">
        <v>17751</v>
      </c>
      <c r="B24" s="0" t="n">
        <f aca="false">SUMIFS(RawFinancials!$A$2:$A$747,RawFinancials!$C$2:$C$747,A24,RawFinancials!$W$2:$W$747,WF_START_PERIOD)</f>
        <v>499</v>
      </c>
      <c r="C24" s="0" t="n">
        <f aca="false">SUMIFS(RawFinancials!$A$2:$A$747,RawFinancials!$C$2:$C$747,A24,RawFinancials!$W$2:$W$747,WF_END_PERIOD)</f>
        <v>711</v>
      </c>
      <c r="D24" s="0" t="n">
        <f aca="false">COUNTIFS(RawFinancials!$C$2:$C$747,A24,RawFinancials!$W$2:$W$747,WF_START_PERIOD,RawFinancials!$AA$2:$AA$747,1)</f>
        <v>1</v>
      </c>
      <c r="E24" s="0" t="n">
        <f aca="false">COUNTIFS(RawFinancials!$C$2:$C$747,A24,RawFinancials!$W$2:$W$747,WF_END_PERIOD,RawFinancials!$AA$2:$AA$747,1)</f>
        <v>1</v>
      </c>
      <c r="F24" s="0" t="str">
        <f aca="false">IF(B24&gt;0,INDEX(RawFinancials!$Z:$Z,B24),"")</f>
        <v>ME</v>
      </c>
      <c r="G24" s="0" t="str">
        <f aca="false">IF(C24&gt;0,INDEX(RawFinancials!$Z:$Z,C24),"")</f>
        <v>ME</v>
      </c>
      <c r="H24" s="0" t="n">
        <f aca="false">SUMIFS(RawFinancials!$B$2:$B$747,RawFinancials!$C$2:$C$747,A24,RawFinancials!$W$2:$W$747,WF_START_PERIOD,RawFinancials!$AA$2:$AA$747,1)</f>
        <v>1628666</v>
      </c>
      <c r="I24" s="0" t="n">
        <f aca="false">SUMIFS(RawFinancials!$AB$2:$AB$747,RawFinancials!$C$2:$C$747,A24,RawFinancials!$W$2:$W$747,WF_START_PERIOD,RawFinancials!$AA$2:$AA$747,1)</f>
        <v>4863</v>
      </c>
      <c r="J24" s="0" t="n">
        <f aca="false">IF(D24=1,100*I24/H24,"")</f>
        <v>0.298587924104758</v>
      </c>
      <c r="K24" s="0" t="n">
        <f aca="false">SUMIFS(RawFinancials!$B$2:$B$747,RawFinancials!$C$2:$C$747,A24,RawFinancials!$W$2:$W$747,WF_END_PERIOD,RawFinancials!$AA$2:$AA$747,1)</f>
        <v>1763462</v>
      </c>
      <c r="L24" s="0" t="n">
        <f aca="false">SUMIFS(RawFinancials!$AB$2:$AB$747,RawFinancials!$C$2:$C$747,A24,RawFinancials!$W$2:$W$747,WF_END_PERIOD,RawFinancials!$AA$2:$AA$747,1)</f>
        <v>2425</v>
      </c>
      <c r="M24" s="0" t="n">
        <f aca="false">IF(E24=1,100*L24/K24,"")</f>
        <v>0.137513595416289</v>
      </c>
      <c r="N24" s="0" t="n">
        <f aca="false">D24*E24</f>
        <v>1</v>
      </c>
      <c r="O24" s="0" t="n">
        <f aca="false">IF(N24=1,H24,0)</f>
        <v>1628666</v>
      </c>
      <c r="P24" s="0" t="n">
        <f aca="false">IF(N24=1,H24*J24,0)</f>
        <v>486300</v>
      </c>
      <c r="Q24" s="0" t="n">
        <f aca="false">IF(N24=1,H24*M24,0)</f>
        <v>223963.717392266</v>
      </c>
      <c r="R24" s="0" t="n">
        <f aca="false">IF(E24=1,1+COUNTIFS($E$2:$E$55,1,$M$2:$M$55,"&gt;"&amp;M24)+COUNTIFS($E$2:$E$55,1,$M$2:$M$55,M24,$A$2:$A$55,"&lt;"&amp;A24),0)</f>
        <v>33</v>
      </c>
      <c r="S24" s="0" t="n">
        <f aca="false">IF(E24=1,IF(COUNTIFS($E$2:$E$55,1,$G$2:$G$55,G24,$M$2:$M$55,"&gt;"&amp;M24)+COUNTIFS($E$2:$E$55,1,$G$2:$G$55,G24,$M$2:$M$55,M24,$A$2:$A$55,"&lt;"&amp;A24)=0,1,0),0)</f>
        <v>0</v>
      </c>
      <c r="T24" s="0" t="n">
        <f aca="false">IF(AND(E24=1,S24=0),1+COUNTIFS($E$2:$E$55,1,$S$2:$S$55,0,$R$2:$R$55,"&lt;"&amp;R24),0)</f>
        <v>30</v>
      </c>
      <c r="U24" s="0" t="n">
        <f aca="false">IF(E24=1,IF(S24=1,IF(G24="VT",1,IF(G24="NH",2,3)),3+T24),0)</f>
        <v>33</v>
      </c>
      <c r="V24" s="0" t="str">
        <f aca="false">IF(C24&gt;0,INDEX(RawFinancials!$P:$P,C24),IF(B24&gt;0,INDEX(RawFinancials!$P:$P,B24),""))</f>
        <v>ANDROSCOGGIN SAVINGS BANK</v>
      </c>
      <c r="W24" s="0" t="n">
        <f aca="false">E24*(1-D24)</f>
        <v>0</v>
      </c>
      <c r="X24" s="0" t="n">
        <f aca="false">D24*(1-E24)</f>
        <v>0</v>
      </c>
      <c r="Y24" s="0" t="n">
        <f aca="false">W24*K24</f>
        <v>0</v>
      </c>
      <c r="Z24" s="0" t="n">
        <f aca="false">X24*H24</f>
        <v>0</v>
      </c>
    </row>
    <row r="25" customFormat="false" ht="15" hidden="false" customHeight="false" outlineLevel="0" collapsed="false">
      <c r="A25" s="0" t="n">
        <v>17897</v>
      </c>
      <c r="B25" s="0" t="n">
        <f aca="false">SUMIFS(RawFinancials!$A$2:$A$747,RawFinancials!$C$2:$C$747,A25,RawFinancials!$W$2:$W$747,WF_START_PERIOD)</f>
        <v>500</v>
      </c>
      <c r="C25" s="0" t="n">
        <f aca="false">SUMIFS(RawFinancials!$A$2:$A$747,RawFinancials!$C$2:$C$747,A25,RawFinancials!$W$2:$W$747,WF_END_PERIOD)</f>
        <v>712</v>
      </c>
      <c r="D25" s="0" t="n">
        <f aca="false">COUNTIFS(RawFinancials!$C$2:$C$747,A25,RawFinancials!$W$2:$W$747,WF_START_PERIOD,RawFinancials!$AA$2:$AA$747,1)</f>
        <v>1</v>
      </c>
      <c r="E25" s="0" t="n">
        <f aca="false">COUNTIFS(RawFinancials!$C$2:$C$747,A25,RawFinancials!$W$2:$W$747,WF_END_PERIOD,RawFinancials!$AA$2:$AA$747,1)</f>
        <v>1</v>
      </c>
      <c r="F25" s="0" t="str">
        <f aca="false">IF(B25&gt;0,INDEX(RawFinancials!$Z:$Z,B25),"")</f>
        <v>ME</v>
      </c>
      <c r="G25" s="0" t="str">
        <f aca="false">IF(C25&gt;0,INDEX(RawFinancials!$Z:$Z,C25),"")</f>
        <v>ME</v>
      </c>
      <c r="H25" s="0" t="n">
        <f aca="false">SUMIFS(RawFinancials!$B$2:$B$747,RawFinancials!$C$2:$C$747,A25,RawFinancials!$W$2:$W$747,WF_START_PERIOD,RawFinancials!$AA$2:$AA$747,1)</f>
        <v>1732333</v>
      </c>
      <c r="I25" s="0" t="n">
        <f aca="false">SUMIFS(RawFinancials!$AB$2:$AB$747,RawFinancials!$C$2:$C$747,A25,RawFinancials!$W$2:$W$747,WF_START_PERIOD,RawFinancials!$AA$2:$AA$747,1)</f>
        <v>4016</v>
      </c>
      <c r="J25" s="0" t="n">
        <f aca="false">IF(D25=1,100*I25/H25,"")</f>
        <v>0.231826098100077</v>
      </c>
      <c r="K25" s="0" t="n">
        <f aca="false">SUMIFS(RawFinancials!$B$2:$B$747,RawFinancials!$C$2:$C$747,A25,RawFinancials!$W$2:$W$747,WF_END_PERIOD,RawFinancials!$AA$2:$AA$747,1)</f>
        <v>1790373</v>
      </c>
      <c r="L25" s="0" t="n">
        <f aca="false">SUMIFS(RawFinancials!$AB$2:$AB$747,RawFinancials!$C$2:$C$747,A25,RawFinancials!$W$2:$W$747,WF_END_PERIOD,RawFinancials!$AA$2:$AA$747,1)</f>
        <v>5391</v>
      </c>
      <c r="M25" s="0" t="n">
        <f aca="false">IF(E25=1,100*L25/K25,"")</f>
        <v>0.301110438997907</v>
      </c>
      <c r="N25" s="0" t="n">
        <f aca="false">D25*E25</f>
        <v>1</v>
      </c>
      <c r="O25" s="0" t="n">
        <f aca="false">IF(N25=1,H25,0)</f>
        <v>1732333</v>
      </c>
      <c r="P25" s="0" t="n">
        <f aca="false">IF(N25=1,H25*J25,0)</f>
        <v>401600</v>
      </c>
      <c r="Q25" s="0" t="n">
        <f aca="false">IF(N25=1,H25*M25,0)</f>
        <v>521623.550120561</v>
      </c>
      <c r="R25" s="0" t="n">
        <f aca="false">IF(E25=1,1+COUNTIFS($E$2:$E$55,1,$M$2:$M$55,"&gt;"&amp;M25)+COUNTIFS($E$2:$E$55,1,$M$2:$M$55,M25,$A$2:$A$55,"&lt;"&amp;A25),0)</f>
        <v>24</v>
      </c>
      <c r="S25" s="0" t="n">
        <f aca="false">IF(E25=1,IF(COUNTIFS($E$2:$E$55,1,$G$2:$G$55,G25,$M$2:$M$55,"&gt;"&amp;M25)+COUNTIFS($E$2:$E$55,1,$G$2:$G$55,G25,$M$2:$M$55,M25,$A$2:$A$55,"&lt;"&amp;A25)=0,1,0),0)</f>
        <v>0</v>
      </c>
      <c r="T25" s="0" t="n">
        <f aca="false">IF(AND(E25=1,S25=0),1+COUNTIFS($E$2:$E$55,1,$S$2:$S$55,0,$R$2:$R$55,"&lt;"&amp;R25),0)</f>
        <v>21</v>
      </c>
      <c r="U25" s="0" t="n">
        <f aca="false">IF(E25=1,IF(S25=1,IF(G25="VT",1,IF(G25="NH",2,3)),3+T25),0)</f>
        <v>24</v>
      </c>
      <c r="V25" s="0" t="str">
        <f aca="false">IF(C25&gt;0,INDEX(RawFinancials!$P:$P,C25),IF(B25&gt;0,INDEX(RawFinancials!$P:$P,B25),""))</f>
        <v>KENNEBEC SAVINGS BANK</v>
      </c>
      <c r="W25" s="0" t="n">
        <f aca="false">E25*(1-D25)</f>
        <v>0</v>
      </c>
      <c r="X25" s="0" t="n">
        <f aca="false">D25*(1-E25)</f>
        <v>0</v>
      </c>
      <c r="Y25" s="0" t="n">
        <f aca="false">W25*K25</f>
        <v>0</v>
      </c>
      <c r="Z25" s="0" t="n">
        <f aca="false">X25*H25</f>
        <v>0</v>
      </c>
    </row>
    <row r="26" customFormat="false" ht="15" hidden="false" customHeight="false" outlineLevel="0" collapsed="false">
      <c r="A26" s="0" t="n">
        <v>17951</v>
      </c>
      <c r="B26" s="0" t="n">
        <f aca="false">SUMIFS(RawFinancials!$A$2:$A$747,RawFinancials!$C$2:$C$747,A26,RawFinancials!$W$2:$W$747,WF_START_PERIOD)</f>
        <v>501</v>
      </c>
      <c r="C26" s="0" t="n">
        <f aca="false">SUMIFS(RawFinancials!$A$2:$A$747,RawFinancials!$C$2:$C$747,A26,RawFinancials!$W$2:$W$747,WF_END_PERIOD)</f>
        <v>713</v>
      </c>
      <c r="D26" s="0" t="n">
        <f aca="false">COUNTIFS(RawFinancials!$C$2:$C$747,A26,RawFinancials!$W$2:$W$747,WF_START_PERIOD,RawFinancials!$AA$2:$AA$747,1)</f>
        <v>1</v>
      </c>
      <c r="E26" s="0" t="n">
        <f aca="false">COUNTIFS(RawFinancials!$C$2:$C$747,A26,RawFinancials!$W$2:$W$747,WF_END_PERIOD,RawFinancials!$AA$2:$AA$747,1)</f>
        <v>1</v>
      </c>
      <c r="F26" s="0" t="str">
        <f aca="false">IF(B26&gt;0,INDEX(RawFinancials!$Z:$Z,B26),"")</f>
        <v>NH</v>
      </c>
      <c r="G26" s="0" t="str">
        <f aca="false">IF(C26&gt;0,INDEX(RawFinancials!$Z:$Z,C26),"")</f>
        <v>NH</v>
      </c>
      <c r="H26" s="0" t="n">
        <f aca="false">SUMIFS(RawFinancials!$B$2:$B$747,RawFinancials!$C$2:$C$747,A26,RawFinancials!$W$2:$W$747,WF_START_PERIOD,RawFinancials!$AA$2:$AA$747,1)</f>
        <v>810464</v>
      </c>
      <c r="I26" s="0" t="n">
        <f aca="false">SUMIFS(RawFinancials!$AB$2:$AB$747,RawFinancials!$C$2:$C$747,A26,RawFinancials!$W$2:$W$747,WF_START_PERIOD,RawFinancials!$AA$2:$AA$747,1)</f>
        <v>62</v>
      </c>
      <c r="J26" s="0" t="n">
        <f aca="false">IF(D26=1,100*I26/H26,"")</f>
        <v>0.0076499388004896</v>
      </c>
      <c r="K26" s="0" t="n">
        <f aca="false">SUMIFS(RawFinancials!$B$2:$B$747,RawFinancials!$C$2:$C$747,A26,RawFinancials!$W$2:$W$747,WF_END_PERIOD,RawFinancials!$AA$2:$AA$747,1)</f>
        <v>905293</v>
      </c>
      <c r="L26" s="0" t="n">
        <f aca="false">SUMIFS(RawFinancials!$AB$2:$AB$747,RawFinancials!$C$2:$C$747,A26,RawFinancials!$W$2:$W$747,WF_END_PERIOD,RawFinancials!$AA$2:$AA$747,1)</f>
        <v>150</v>
      </c>
      <c r="M26" s="0" t="n">
        <f aca="false">IF(E26=1,100*L26/K26,"")</f>
        <v>0.0165692212355558</v>
      </c>
      <c r="N26" s="0" t="n">
        <f aca="false">D26*E26</f>
        <v>1</v>
      </c>
      <c r="O26" s="0" t="n">
        <f aca="false">IF(N26=1,H26,0)</f>
        <v>810464</v>
      </c>
      <c r="P26" s="0" t="n">
        <f aca="false">IF(N26=1,H26*J26,0)</f>
        <v>6200</v>
      </c>
      <c r="Q26" s="0" t="n">
        <f aca="false">IF(N26=1,H26*M26,0)</f>
        <v>13428.7573194535</v>
      </c>
      <c r="R26" s="0" t="n">
        <f aca="false">IF(E26=1,1+COUNTIFS($E$2:$E$55,1,$M$2:$M$55,"&gt;"&amp;M26)+COUNTIFS($E$2:$E$55,1,$M$2:$M$55,M26,$A$2:$A$55,"&lt;"&amp;A26),0)</f>
        <v>46</v>
      </c>
      <c r="S26" s="0" t="n">
        <f aca="false">IF(E26=1,IF(COUNTIFS($E$2:$E$55,1,$G$2:$G$55,G26,$M$2:$M$55,"&gt;"&amp;M26)+COUNTIFS($E$2:$E$55,1,$G$2:$G$55,G26,$M$2:$M$55,M26,$A$2:$A$55,"&lt;"&amp;A26)=0,1,0),0)</f>
        <v>0</v>
      </c>
      <c r="T26" s="0" t="n">
        <f aca="false">IF(AND(E26=1,S26=0),1+COUNTIFS($E$2:$E$55,1,$S$2:$S$55,0,$R$2:$R$55,"&lt;"&amp;R26),0)</f>
        <v>43</v>
      </c>
      <c r="U26" s="0" t="n">
        <f aca="false">IF(E26=1,IF(S26=1,IF(G26="VT",1,IF(G26="NH",2,3)),3+T26),0)</f>
        <v>46</v>
      </c>
      <c r="V26" s="0" t="str">
        <f aca="false">IF(C26&gt;0,INDEX(RawFinancials!$P:$P,C26),IF(B26&gt;0,INDEX(RawFinancials!$P:$P,B26),""))</f>
        <v>FRANKLIN SAVINGS BANK</v>
      </c>
      <c r="W26" s="0" t="n">
        <f aca="false">E26*(1-D26)</f>
        <v>0</v>
      </c>
      <c r="X26" s="0" t="n">
        <f aca="false">D26*(1-E26)</f>
        <v>0</v>
      </c>
      <c r="Y26" s="0" t="n">
        <f aca="false">W26*K26</f>
        <v>0</v>
      </c>
      <c r="Z26" s="0" t="n">
        <f aca="false">X26*H26</f>
        <v>0</v>
      </c>
    </row>
    <row r="27" customFormat="false" ht="15" hidden="false" customHeight="false" outlineLevel="0" collapsed="false">
      <c r="A27" s="0" t="n">
        <v>17960</v>
      </c>
      <c r="B27" s="0" t="n">
        <f aca="false">SUMIFS(RawFinancials!$A$2:$A$747,RawFinancials!$C$2:$C$747,A27,RawFinancials!$W$2:$W$747,WF_START_PERIOD)</f>
        <v>502</v>
      </c>
      <c r="C27" s="0" t="n">
        <f aca="false">SUMIFS(RawFinancials!$A$2:$A$747,RawFinancials!$C$2:$C$747,A27,RawFinancials!$W$2:$W$747,WF_END_PERIOD)</f>
        <v>714</v>
      </c>
      <c r="D27" s="0" t="n">
        <f aca="false">COUNTIFS(RawFinancials!$C$2:$C$747,A27,RawFinancials!$W$2:$W$747,WF_START_PERIOD,RawFinancials!$AA$2:$AA$747,1)</f>
        <v>1</v>
      </c>
      <c r="E27" s="0" t="n">
        <f aca="false">COUNTIFS(RawFinancials!$C$2:$C$747,A27,RawFinancials!$W$2:$W$747,WF_END_PERIOD,RawFinancials!$AA$2:$AA$747,1)</f>
        <v>1</v>
      </c>
      <c r="F27" s="0" t="str">
        <f aca="false">IF(B27&gt;0,INDEX(RawFinancials!$Z:$Z,B27),"")</f>
        <v>NH</v>
      </c>
      <c r="G27" s="0" t="str">
        <f aca="false">IF(C27&gt;0,INDEX(RawFinancials!$Z:$Z,C27),"")</f>
        <v>NH</v>
      </c>
      <c r="H27" s="0" t="n">
        <f aca="false">SUMIFS(RawFinancials!$B$2:$B$747,RawFinancials!$C$2:$C$747,A27,RawFinancials!$W$2:$W$747,WF_START_PERIOD,RawFinancials!$AA$2:$AA$747,1)</f>
        <v>1384318</v>
      </c>
      <c r="I27" s="0" t="n">
        <f aca="false">SUMIFS(RawFinancials!$AB$2:$AB$747,RawFinancials!$C$2:$C$747,A27,RawFinancials!$W$2:$W$747,WF_START_PERIOD,RawFinancials!$AA$2:$AA$747,1)</f>
        <v>9254</v>
      </c>
      <c r="J27" s="0" t="n">
        <f aca="false">IF(D27=1,100*I27/H27,"")</f>
        <v>0.668488020816026</v>
      </c>
      <c r="K27" s="0" t="n">
        <f aca="false">SUMIFS(RawFinancials!$B$2:$B$747,RawFinancials!$C$2:$C$747,A27,RawFinancials!$W$2:$W$747,WF_END_PERIOD,RawFinancials!$AA$2:$AA$747,1)</f>
        <v>1351508</v>
      </c>
      <c r="L27" s="0" t="n">
        <f aca="false">SUMIFS(RawFinancials!$AB$2:$AB$747,RawFinancials!$C$2:$C$747,A27,RawFinancials!$W$2:$W$747,WF_END_PERIOD,RawFinancials!$AA$2:$AA$747,1)</f>
        <v>7677</v>
      </c>
      <c r="M27" s="0" t="n">
        <f aca="false">IF(E27=1,100*L27/K27,"")</f>
        <v>0.568032153712742</v>
      </c>
      <c r="N27" s="0" t="n">
        <f aca="false">D27*E27</f>
        <v>1</v>
      </c>
      <c r="O27" s="0" t="n">
        <f aca="false">IF(N27=1,H27,0)</f>
        <v>1384318</v>
      </c>
      <c r="P27" s="0" t="n">
        <f aca="false">IF(N27=1,H27*J27,0)</f>
        <v>925400</v>
      </c>
      <c r="Q27" s="0" t="n">
        <f aca="false">IF(N27=1,H27*M27,0)</f>
        <v>786337.134963315</v>
      </c>
      <c r="R27" s="0" t="n">
        <f aca="false">IF(E27=1,1+COUNTIFS($E$2:$E$55,1,$M$2:$M$55,"&gt;"&amp;M27)+COUNTIFS($E$2:$E$55,1,$M$2:$M$55,M27,$A$2:$A$55,"&lt;"&amp;A27),0)</f>
        <v>11</v>
      </c>
      <c r="S27" s="0" t="n">
        <f aca="false">IF(E27=1,IF(COUNTIFS($E$2:$E$55,1,$G$2:$G$55,G27,$M$2:$M$55,"&gt;"&amp;M27)+COUNTIFS($E$2:$E$55,1,$G$2:$G$55,G27,$M$2:$M$55,M27,$A$2:$A$55,"&lt;"&amp;A27)=0,1,0),0)</f>
        <v>0</v>
      </c>
      <c r="T27" s="0" t="n">
        <f aca="false">IF(AND(E27=1,S27=0),1+COUNTIFS($E$2:$E$55,1,$S$2:$S$55,0,$R$2:$R$55,"&lt;"&amp;R27),0)</f>
        <v>8</v>
      </c>
      <c r="U27" s="0" t="n">
        <f aca="false">IF(E27=1,IF(S27=1,IF(G27="VT",1,IF(G27="NH",2,3)),3+T27),0)</f>
        <v>11</v>
      </c>
      <c r="V27" s="0" t="str">
        <f aca="false">IF(C27&gt;0,INDEX(RawFinancials!$P:$P,C27),IF(B27&gt;0,INDEX(RawFinancials!$P:$P,B27),""))</f>
        <v>MERRIMACK COUNTY SAVINGS BANK</v>
      </c>
      <c r="W27" s="0" t="n">
        <f aca="false">E27*(1-D27)</f>
        <v>0</v>
      </c>
      <c r="X27" s="0" t="n">
        <f aca="false">D27*(1-E27)</f>
        <v>0</v>
      </c>
      <c r="Y27" s="0" t="n">
        <f aca="false">W27*K27</f>
        <v>0</v>
      </c>
      <c r="Z27" s="0" t="n">
        <f aca="false">X27*H27</f>
        <v>0</v>
      </c>
    </row>
    <row r="28" customFormat="false" ht="15" hidden="false" customHeight="false" outlineLevel="0" collapsed="false">
      <c r="A28" s="0" t="n">
        <v>18012</v>
      </c>
      <c r="B28" s="0" t="n">
        <f aca="false">SUMIFS(RawFinancials!$A$2:$A$747,RawFinancials!$C$2:$C$747,A28,RawFinancials!$W$2:$W$747,WF_START_PERIOD)</f>
        <v>503</v>
      </c>
      <c r="C28" s="0" t="n">
        <f aca="false">SUMIFS(RawFinancials!$A$2:$A$747,RawFinancials!$C$2:$C$747,A28,RawFinancials!$W$2:$W$747,WF_END_PERIOD)</f>
        <v>715</v>
      </c>
      <c r="D28" s="0" t="n">
        <f aca="false">COUNTIFS(RawFinancials!$C$2:$C$747,A28,RawFinancials!$W$2:$W$747,WF_START_PERIOD,RawFinancials!$AA$2:$AA$747,1)</f>
        <v>1</v>
      </c>
      <c r="E28" s="0" t="n">
        <f aca="false">COUNTIFS(RawFinancials!$C$2:$C$747,A28,RawFinancials!$W$2:$W$747,WF_END_PERIOD,RawFinancials!$AA$2:$AA$747,1)</f>
        <v>1</v>
      </c>
      <c r="F28" s="0" t="str">
        <f aca="false">IF(B28&gt;0,INDEX(RawFinancials!$Z:$Z,B28),"")</f>
        <v>NH</v>
      </c>
      <c r="G28" s="0" t="str">
        <f aca="false">IF(C28&gt;0,INDEX(RawFinancials!$Z:$Z,C28),"")</f>
        <v>NH</v>
      </c>
      <c r="H28" s="0" t="n">
        <f aca="false">SUMIFS(RawFinancials!$B$2:$B$747,RawFinancials!$C$2:$C$747,A28,RawFinancials!$W$2:$W$747,WF_START_PERIOD,RawFinancials!$AA$2:$AA$747,1)</f>
        <v>2499818</v>
      </c>
      <c r="I28" s="0" t="n">
        <f aca="false">SUMIFS(RawFinancials!$AB$2:$AB$747,RawFinancials!$C$2:$C$747,A28,RawFinancials!$W$2:$W$747,WF_START_PERIOD,RawFinancials!$AA$2:$AA$747,1)</f>
        <v>990</v>
      </c>
      <c r="J28" s="0" t="n">
        <f aca="false">IF(D28=1,100*I28/H28,"")</f>
        <v>0.0396028830898889</v>
      </c>
      <c r="K28" s="0" t="n">
        <f aca="false">SUMIFS(RawFinancials!$B$2:$B$747,RawFinancials!$C$2:$C$747,A28,RawFinancials!$W$2:$W$747,WF_END_PERIOD,RawFinancials!$AA$2:$AA$747,1)</f>
        <v>2642289</v>
      </c>
      <c r="L28" s="0" t="n">
        <f aca="false">SUMIFS(RawFinancials!$AB$2:$AB$747,RawFinancials!$C$2:$C$747,A28,RawFinancials!$W$2:$W$747,WF_END_PERIOD,RawFinancials!$AA$2:$AA$747,1)</f>
        <v>1020</v>
      </c>
      <c r="M28" s="0" t="n">
        <f aca="false">IF(E28=1,100*L28/K28,"")</f>
        <v>0.0386028931733054</v>
      </c>
      <c r="N28" s="0" t="n">
        <f aca="false">D28*E28</f>
        <v>1</v>
      </c>
      <c r="O28" s="0" t="n">
        <f aca="false">IF(N28=1,H28,0)</f>
        <v>2499818</v>
      </c>
      <c r="P28" s="0" t="n">
        <f aca="false">IF(N28=1,H28*J28,0)</f>
        <v>99000</v>
      </c>
      <c r="Q28" s="0" t="n">
        <f aca="false">IF(N28=1,H28*M28,0)</f>
        <v>96500.207206706</v>
      </c>
      <c r="R28" s="0" t="n">
        <f aca="false">IF(E28=1,1+COUNTIFS($E$2:$E$55,1,$M$2:$M$55,"&gt;"&amp;M28)+COUNTIFS($E$2:$E$55,1,$M$2:$M$55,M28,$A$2:$A$55,"&lt;"&amp;A28),0)</f>
        <v>44</v>
      </c>
      <c r="S28" s="0" t="n">
        <f aca="false">IF(E28=1,IF(COUNTIFS($E$2:$E$55,1,$G$2:$G$55,G28,$M$2:$M$55,"&gt;"&amp;M28)+COUNTIFS($E$2:$E$55,1,$G$2:$G$55,G28,$M$2:$M$55,M28,$A$2:$A$55,"&lt;"&amp;A28)=0,1,0),0)</f>
        <v>0</v>
      </c>
      <c r="T28" s="0" t="n">
        <f aca="false">IF(AND(E28=1,S28=0),1+COUNTIFS($E$2:$E$55,1,$S$2:$S$55,0,$R$2:$R$55,"&lt;"&amp;R28),0)</f>
        <v>41</v>
      </c>
      <c r="U28" s="0" t="n">
        <f aca="false">IF(E28=1,IF(S28=1,IF(G28="VT",1,IF(G28="NH",2,3)),3+T28),0)</f>
        <v>44</v>
      </c>
      <c r="V28" s="0" t="str">
        <f aca="false">IF(C28&gt;0,INDEX(RawFinancials!$P:$P,C28),IF(B28&gt;0,INDEX(RawFinancials!$P:$P,B28),""))</f>
        <v>BANK OF NEW HAMPSHIRE</v>
      </c>
      <c r="W28" s="0" t="n">
        <f aca="false">E28*(1-D28)</f>
        <v>0</v>
      </c>
      <c r="X28" s="0" t="n">
        <f aca="false">D28*(1-E28)</f>
        <v>0</v>
      </c>
      <c r="Y28" s="0" t="n">
        <f aca="false">W28*K28</f>
        <v>0</v>
      </c>
      <c r="Z28" s="0" t="n">
        <f aca="false">X28*H28</f>
        <v>0</v>
      </c>
    </row>
    <row r="29" customFormat="false" ht="15" hidden="false" customHeight="false" outlineLevel="0" collapsed="false">
      <c r="A29" s="0" t="n">
        <v>18013</v>
      </c>
      <c r="B29" s="0" t="n">
        <f aca="false">SUMIFS(RawFinancials!$A$2:$A$747,RawFinancials!$C$2:$C$747,A29,RawFinancials!$W$2:$W$747,WF_START_PERIOD)</f>
        <v>504</v>
      </c>
      <c r="C29" s="0" t="n">
        <f aca="false">SUMIFS(RawFinancials!$A$2:$A$747,RawFinancials!$C$2:$C$747,A29,RawFinancials!$W$2:$W$747,WF_END_PERIOD)</f>
        <v>716</v>
      </c>
      <c r="D29" s="0" t="n">
        <f aca="false">COUNTIFS(RawFinancials!$C$2:$C$747,A29,RawFinancials!$W$2:$W$747,WF_START_PERIOD,RawFinancials!$AA$2:$AA$747,1)</f>
        <v>1</v>
      </c>
      <c r="E29" s="0" t="n">
        <f aca="false">COUNTIFS(RawFinancials!$C$2:$C$747,A29,RawFinancials!$W$2:$W$747,WF_END_PERIOD,RawFinancials!$AA$2:$AA$747,1)</f>
        <v>1</v>
      </c>
      <c r="F29" s="0" t="str">
        <f aca="false">IF(B29&gt;0,INDEX(RawFinancials!$Z:$Z,B29),"")</f>
        <v>NH</v>
      </c>
      <c r="G29" s="0" t="str">
        <f aca="false">IF(C29&gt;0,INDEX(RawFinancials!$Z:$Z,C29),"")</f>
        <v>NH</v>
      </c>
      <c r="H29" s="0" t="n">
        <f aca="false">SUMIFS(RawFinancials!$B$2:$B$747,RawFinancials!$C$2:$C$747,A29,RawFinancials!$W$2:$W$747,WF_START_PERIOD,RawFinancials!$AA$2:$AA$747,1)</f>
        <v>2913389</v>
      </c>
      <c r="I29" s="0" t="n">
        <f aca="false">SUMIFS(RawFinancials!$AB$2:$AB$747,RawFinancials!$C$2:$C$747,A29,RawFinancials!$W$2:$W$747,WF_START_PERIOD,RawFinancials!$AA$2:$AA$747,1)</f>
        <v>1308</v>
      </c>
      <c r="J29" s="0" t="n">
        <f aca="false">IF(D29=1,100*I29/H29,"")</f>
        <v>0.0448961673157961</v>
      </c>
      <c r="K29" s="0" t="n">
        <f aca="false">SUMIFS(RawFinancials!$B$2:$B$747,RawFinancials!$C$2:$C$747,A29,RawFinancials!$W$2:$W$747,WF_END_PERIOD,RawFinancials!$AA$2:$AA$747,1)</f>
        <v>2896306</v>
      </c>
      <c r="L29" s="0" t="n">
        <f aca="false">SUMIFS(RawFinancials!$AB$2:$AB$747,RawFinancials!$C$2:$C$747,A29,RawFinancials!$W$2:$W$747,WF_END_PERIOD,RawFinancials!$AA$2:$AA$747,1)</f>
        <v>1554</v>
      </c>
      <c r="M29" s="0" t="n">
        <f aca="false">IF(E29=1,100*L29/K29,"")</f>
        <v>0.0536545516944688</v>
      </c>
      <c r="N29" s="0" t="n">
        <f aca="false">D29*E29</f>
        <v>1</v>
      </c>
      <c r="O29" s="0" t="n">
        <f aca="false">IF(N29=1,H29,0)</f>
        <v>2913389</v>
      </c>
      <c r="P29" s="0" t="n">
        <f aca="false">IF(N29=1,H29*J29,0)</f>
        <v>130800</v>
      </c>
      <c r="Q29" s="0" t="n">
        <f aca="false">IF(N29=1,H29*M29,0)</f>
        <v>156316.580706597</v>
      </c>
      <c r="R29" s="0" t="n">
        <f aca="false">IF(E29=1,1+COUNTIFS($E$2:$E$55,1,$M$2:$M$55,"&gt;"&amp;M29)+COUNTIFS($E$2:$E$55,1,$M$2:$M$55,M29,$A$2:$A$55,"&lt;"&amp;A29),0)</f>
        <v>43</v>
      </c>
      <c r="S29" s="0" t="n">
        <f aca="false">IF(E29=1,IF(COUNTIFS($E$2:$E$55,1,$G$2:$G$55,G29,$M$2:$M$55,"&gt;"&amp;M29)+COUNTIFS($E$2:$E$55,1,$G$2:$G$55,G29,$M$2:$M$55,M29,$A$2:$A$55,"&lt;"&amp;A29)=0,1,0),0)</f>
        <v>0</v>
      </c>
      <c r="T29" s="0" t="n">
        <f aca="false">IF(AND(E29=1,S29=0),1+COUNTIFS($E$2:$E$55,1,$S$2:$S$55,0,$R$2:$R$55,"&lt;"&amp;R29),0)</f>
        <v>40</v>
      </c>
      <c r="U29" s="0" t="n">
        <f aca="false">IF(E29=1,IF(S29=1,IF(G29="VT",1,IF(G29="NH",2,3)),3+T29),0)</f>
        <v>43</v>
      </c>
      <c r="V29" s="0" t="str">
        <f aca="false">IF(C29&gt;0,INDEX(RawFinancials!$P:$P,C29),IF(B29&gt;0,INDEX(RawFinancials!$P:$P,B29),""))</f>
        <v>MASCOMA BANK</v>
      </c>
      <c r="W29" s="0" t="n">
        <f aca="false">E29*(1-D29)</f>
        <v>0</v>
      </c>
      <c r="X29" s="0" t="n">
        <f aca="false">D29*(1-E29)</f>
        <v>0</v>
      </c>
      <c r="Y29" s="0" t="n">
        <f aca="false">W29*K29</f>
        <v>0</v>
      </c>
      <c r="Z29" s="0" t="n">
        <f aca="false">X29*H29</f>
        <v>0</v>
      </c>
    </row>
    <row r="30" customFormat="false" ht="15" hidden="false" customHeight="false" outlineLevel="0" collapsed="false">
      <c r="A30" s="0" t="n">
        <v>18028</v>
      </c>
      <c r="B30" s="0" t="n">
        <f aca="false">SUMIFS(RawFinancials!$A$2:$A$747,RawFinancials!$C$2:$C$747,A30,RawFinancials!$W$2:$W$747,WF_START_PERIOD)</f>
        <v>505</v>
      </c>
      <c r="C30" s="0" t="n">
        <f aca="false">SUMIFS(RawFinancials!$A$2:$A$747,RawFinancials!$C$2:$C$747,A30,RawFinancials!$W$2:$W$747,WF_END_PERIOD)</f>
        <v>717</v>
      </c>
      <c r="D30" s="0" t="n">
        <f aca="false">COUNTIFS(RawFinancials!$C$2:$C$747,A30,RawFinancials!$W$2:$W$747,WF_START_PERIOD,RawFinancials!$AA$2:$AA$747,1)</f>
        <v>1</v>
      </c>
      <c r="E30" s="0" t="n">
        <f aca="false">COUNTIFS(RawFinancials!$C$2:$C$747,A30,RawFinancials!$W$2:$W$747,WF_END_PERIOD,RawFinancials!$AA$2:$AA$747,1)</f>
        <v>1</v>
      </c>
      <c r="F30" s="0" t="str">
        <f aca="false">IF(B30&gt;0,INDEX(RawFinancials!$Z:$Z,B30),"")</f>
        <v>NH</v>
      </c>
      <c r="G30" s="0" t="str">
        <f aca="false">IF(C30&gt;0,INDEX(RawFinancials!$Z:$Z,C30),"")</f>
        <v>NH</v>
      </c>
      <c r="H30" s="0" t="n">
        <f aca="false">SUMIFS(RawFinancials!$B$2:$B$747,RawFinancials!$C$2:$C$747,A30,RawFinancials!$W$2:$W$747,WF_START_PERIOD,RawFinancials!$AA$2:$AA$747,1)</f>
        <v>393662</v>
      </c>
      <c r="I30" s="0" t="n">
        <f aca="false">SUMIFS(RawFinancials!$AB$2:$AB$747,RawFinancials!$C$2:$C$747,A30,RawFinancials!$W$2:$W$747,WF_START_PERIOD,RawFinancials!$AA$2:$AA$747,1)</f>
        <v>616</v>
      </c>
      <c r="J30" s="0" t="n">
        <f aca="false">IF(D30=1,100*I30/H30,"")</f>
        <v>0.156479416352099</v>
      </c>
      <c r="K30" s="0" t="n">
        <f aca="false">SUMIFS(RawFinancials!$B$2:$B$747,RawFinancials!$C$2:$C$747,A30,RawFinancials!$W$2:$W$747,WF_END_PERIOD,RawFinancials!$AA$2:$AA$747,1)</f>
        <v>404550</v>
      </c>
      <c r="L30" s="0" t="n">
        <f aca="false">SUMIFS(RawFinancials!$AB$2:$AB$747,RawFinancials!$C$2:$C$747,A30,RawFinancials!$W$2:$W$747,WF_END_PERIOD,RawFinancials!$AA$2:$AA$747,1)</f>
        <v>1388</v>
      </c>
      <c r="M30" s="0" t="n">
        <f aca="false">IF(E30=1,100*L30/K30,"")</f>
        <v>0.343097268570016</v>
      </c>
      <c r="N30" s="0" t="n">
        <f aca="false">D30*E30</f>
        <v>1</v>
      </c>
      <c r="O30" s="0" t="n">
        <f aca="false">IF(N30=1,H30,0)</f>
        <v>393662</v>
      </c>
      <c r="P30" s="0" t="n">
        <f aca="false">IF(N30=1,H30*J30,0)</f>
        <v>61600</v>
      </c>
      <c r="Q30" s="0" t="n">
        <f aca="false">IF(N30=1,H30*M30,0)</f>
        <v>135064.35693981</v>
      </c>
      <c r="R30" s="0" t="n">
        <f aca="false">IF(E30=1,1+COUNTIFS($E$2:$E$55,1,$M$2:$M$55,"&gt;"&amp;M30)+COUNTIFS($E$2:$E$55,1,$M$2:$M$55,M30,$A$2:$A$55,"&lt;"&amp;A30),0)</f>
        <v>20</v>
      </c>
      <c r="S30" s="0" t="n">
        <f aca="false">IF(E30=1,IF(COUNTIFS($E$2:$E$55,1,$G$2:$G$55,G30,$M$2:$M$55,"&gt;"&amp;M30)+COUNTIFS($E$2:$E$55,1,$G$2:$G$55,G30,$M$2:$M$55,M30,$A$2:$A$55,"&lt;"&amp;A30)=0,1,0),0)</f>
        <v>0</v>
      </c>
      <c r="T30" s="0" t="n">
        <f aca="false">IF(AND(E30=1,S30=0),1+COUNTIFS($E$2:$E$55,1,$S$2:$S$55,0,$R$2:$R$55,"&lt;"&amp;R30),0)</f>
        <v>17</v>
      </c>
      <c r="U30" s="0" t="n">
        <f aca="false">IF(E30=1,IF(S30=1,IF(G30="VT",1,IF(G30="NH",2,3)),3+T30),0)</f>
        <v>20</v>
      </c>
      <c r="V30" s="0" t="str">
        <f aca="false">IF(C30&gt;0,INDEX(RawFinancials!$P:$P,C30),IF(B30&gt;0,INDEX(RawFinancials!$P:$P,B30),""))</f>
        <v>SUGAR RIVER BANK</v>
      </c>
      <c r="W30" s="0" t="n">
        <f aca="false">E30*(1-D30)</f>
        <v>0</v>
      </c>
      <c r="X30" s="0" t="n">
        <f aca="false">D30*(1-E30)</f>
        <v>0</v>
      </c>
      <c r="Y30" s="0" t="n">
        <f aca="false">W30*K30</f>
        <v>0</v>
      </c>
      <c r="Z30" s="0" t="n">
        <f aca="false">X30*H30</f>
        <v>0</v>
      </c>
    </row>
    <row r="31" customFormat="false" ht="15" hidden="false" customHeight="false" outlineLevel="0" collapsed="false">
      <c r="A31" s="0" t="n">
        <v>18030</v>
      </c>
      <c r="B31" s="0" t="n">
        <f aca="false">SUMIFS(RawFinancials!$A$2:$A$747,RawFinancials!$C$2:$C$747,A31,RawFinancials!$W$2:$W$747,WF_START_PERIOD)</f>
        <v>506</v>
      </c>
      <c r="C31" s="0" t="n">
        <f aca="false">SUMIFS(RawFinancials!$A$2:$A$747,RawFinancials!$C$2:$C$747,A31,RawFinancials!$W$2:$W$747,WF_END_PERIOD)</f>
        <v>718</v>
      </c>
      <c r="D31" s="0" t="n">
        <f aca="false">COUNTIFS(RawFinancials!$C$2:$C$747,A31,RawFinancials!$W$2:$W$747,WF_START_PERIOD,RawFinancials!$AA$2:$AA$747,1)</f>
        <v>1</v>
      </c>
      <c r="E31" s="0" t="n">
        <f aca="false">COUNTIFS(RawFinancials!$C$2:$C$747,A31,RawFinancials!$W$2:$W$747,WF_END_PERIOD,RawFinancials!$AA$2:$AA$747,1)</f>
        <v>1</v>
      </c>
      <c r="F31" s="0" t="str">
        <f aca="false">IF(B31&gt;0,INDEX(RawFinancials!$Z:$Z,B31),"")</f>
        <v>NH</v>
      </c>
      <c r="G31" s="0" t="str">
        <f aca="false">IF(C31&gt;0,INDEX(RawFinancials!$Z:$Z,C31),"")</f>
        <v>NH</v>
      </c>
      <c r="H31" s="0" t="n">
        <f aca="false">SUMIFS(RawFinancials!$B$2:$B$747,RawFinancials!$C$2:$C$747,A31,RawFinancials!$W$2:$W$747,WF_START_PERIOD,RawFinancials!$AA$2:$AA$747,1)</f>
        <v>764903</v>
      </c>
      <c r="I31" s="0" t="n">
        <f aca="false">SUMIFS(RawFinancials!$AB$2:$AB$747,RawFinancials!$C$2:$C$747,A31,RawFinancials!$W$2:$W$747,WF_START_PERIOD,RawFinancials!$AA$2:$AA$747,1)</f>
        <v>1934</v>
      </c>
      <c r="J31" s="0" t="n">
        <f aca="false">IF(D31=1,100*I31/H31,"")</f>
        <v>0.252842517286506</v>
      </c>
      <c r="K31" s="0" t="n">
        <f aca="false">SUMIFS(RawFinancials!$B$2:$B$747,RawFinancials!$C$2:$C$747,A31,RawFinancials!$W$2:$W$747,WF_END_PERIOD,RawFinancials!$AA$2:$AA$747,1)</f>
        <v>805858</v>
      </c>
      <c r="L31" s="0" t="n">
        <f aca="false">SUMIFS(RawFinancials!$AB$2:$AB$747,RawFinancials!$C$2:$C$747,A31,RawFinancials!$W$2:$W$747,WF_END_PERIOD,RawFinancials!$AA$2:$AA$747,1)</f>
        <v>1404</v>
      </c>
      <c r="M31" s="0" t="n">
        <f aca="false">IF(E31=1,100*L31/K31,"")</f>
        <v>0.174224242980773</v>
      </c>
      <c r="N31" s="0" t="n">
        <f aca="false">D31*E31</f>
        <v>1</v>
      </c>
      <c r="O31" s="0" t="n">
        <f aca="false">IF(N31=1,H31,0)</f>
        <v>764903</v>
      </c>
      <c r="P31" s="0" t="n">
        <f aca="false">IF(N31=1,H31*J31,0)</f>
        <v>193400</v>
      </c>
      <c r="Q31" s="0" t="n">
        <f aca="false">IF(N31=1,H31*M31,0)</f>
        <v>133264.646128722</v>
      </c>
      <c r="R31" s="0" t="n">
        <f aca="false">IF(E31=1,1+COUNTIFS($E$2:$E$55,1,$M$2:$M$55,"&gt;"&amp;M31)+COUNTIFS($E$2:$E$55,1,$M$2:$M$55,M31,$A$2:$A$55,"&lt;"&amp;A31),0)</f>
        <v>32</v>
      </c>
      <c r="S31" s="0" t="n">
        <f aca="false">IF(E31=1,IF(COUNTIFS($E$2:$E$55,1,$G$2:$G$55,G31,$M$2:$M$55,"&gt;"&amp;M31)+COUNTIFS($E$2:$E$55,1,$G$2:$G$55,G31,$M$2:$M$55,M31,$A$2:$A$55,"&lt;"&amp;A31)=0,1,0),0)</f>
        <v>0</v>
      </c>
      <c r="T31" s="0" t="n">
        <f aca="false">IF(AND(E31=1,S31=0),1+COUNTIFS($E$2:$E$55,1,$S$2:$S$55,0,$R$2:$R$55,"&lt;"&amp;R31),0)</f>
        <v>29</v>
      </c>
      <c r="U31" s="0" t="n">
        <f aca="false">IF(E31=1,IF(S31=1,IF(G31="VT",1,IF(G31="NH",2,3)),3+T31),0)</f>
        <v>32</v>
      </c>
      <c r="V31" s="0" t="str">
        <f aca="false">IF(C31&gt;0,INDEX(RawFinancials!$P:$P,C31),IF(B31&gt;0,INDEX(RawFinancials!$P:$P,B31),""))</f>
        <v>SAVINGS BANK OF WALPOLE</v>
      </c>
      <c r="W31" s="0" t="n">
        <f aca="false">E31*(1-D31)</f>
        <v>0</v>
      </c>
      <c r="X31" s="0" t="n">
        <f aca="false">D31*(1-E31)</f>
        <v>0</v>
      </c>
      <c r="Y31" s="0" t="n">
        <f aca="false">W31*K31</f>
        <v>0</v>
      </c>
      <c r="Z31" s="0" t="n">
        <f aca="false">X31*H31</f>
        <v>0</v>
      </c>
    </row>
    <row r="32" customFormat="false" ht="15" hidden="false" customHeight="false" outlineLevel="0" collapsed="false">
      <c r="A32" s="0" t="n">
        <v>18031</v>
      </c>
      <c r="B32" s="0" t="n">
        <f aca="false">SUMIFS(RawFinancials!$A$2:$A$747,RawFinancials!$C$2:$C$747,A32,RawFinancials!$W$2:$W$747,WF_START_PERIOD)</f>
        <v>507</v>
      </c>
      <c r="C32" s="0" t="n">
        <f aca="false">SUMIFS(RawFinancials!$A$2:$A$747,RawFinancials!$C$2:$C$747,A32,RawFinancials!$W$2:$W$747,WF_END_PERIOD)</f>
        <v>719</v>
      </c>
      <c r="D32" s="0" t="n">
        <f aca="false">COUNTIFS(RawFinancials!$C$2:$C$747,A32,RawFinancials!$W$2:$W$747,WF_START_PERIOD,RawFinancials!$AA$2:$AA$747,1)</f>
        <v>1</v>
      </c>
      <c r="E32" s="0" t="n">
        <f aca="false">COUNTIFS(RawFinancials!$C$2:$C$747,A32,RawFinancials!$W$2:$W$747,WF_END_PERIOD,RawFinancials!$AA$2:$AA$747,1)</f>
        <v>1</v>
      </c>
      <c r="F32" s="0" t="str">
        <f aca="false">IF(B32&gt;0,INDEX(RawFinancials!$Z:$Z,B32),"")</f>
        <v>NH</v>
      </c>
      <c r="G32" s="0" t="str">
        <f aca="false">IF(C32&gt;0,INDEX(RawFinancials!$Z:$Z,C32),"")</f>
        <v>NH</v>
      </c>
      <c r="H32" s="0" t="n">
        <f aca="false">SUMIFS(RawFinancials!$B$2:$B$747,RawFinancials!$C$2:$C$747,A32,RawFinancials!$W$2:$W$747,WF_START_PERIOD,RawFinancials!$AA$2:$AA$747,1)</f>
        <v>669965</v>
      </c>
      <c r="I32" s="0" t="n">
        <f aca="false">SUMIFS(RawFinancials!$AB$2:$AB$747,RawFinancials!$C$2:$C$747,A32,RawFinancials!$W$2:$W$747,WF_START_PERIOD,RawFinancials!$AA$2:$AA$747,1)</f>
        <v>927</v>
      </c>
      <c r="J32" s="0" t="n">
        <f aca="false">IF(D32=1,100*I32/H32,"")</f>
        <v>0.13836543700044</v>
      </c>
      <c r="K32" s="0" t="n">
        <f aca="false">SUMIFS(RawFinancials!$B$2:$B$747,RawFinancials!$C$2:$C$747,A32,RawFinancials!$W$2:$W$747,WF_END_PERIOD,RawFinancials!$AA$2:$AA$747,1)</f>
        <v>669249</v>
      </c>
      <c r="L32" s="0" t="n">
        <f aca="false">SUMIFS(RawFinancials!$AB$2:$AB$747,RawFinancials!$C$2:$C$747,A32,RawFinancials!$W$2:$W$747,WF_END_PERIOD,RawFinancials!$AA$2:$AA$747,1)</f>
        <v>566</v>
      </c>
      <c r="M32" s="0" t="n">
        <f aca="false">IF(E32=1,100*L32/K32,"")</f>
        <v>0.0845724087746116</v>
      </c>
      <c r="N32" s="0" t="n">
        <f aca="false">D32*E32</f>
        <v>1</v>
      </c>
      <c r="O32" s="0" t="n">
        <f aca="false">IF(N32=1,H32,0)</f>
        <v>669965</v>
      </c>
      <c r="P32" s="0" t="n">
        <f aca="false">IF(N32=1,H32*J32,0)</f>
        <v>92700</v>
      </c>
      <c r="Q32" s="0" t="n">
        <f aca="false">IF(N32=1,H32*M32,0)</f>
        <v>56660.5538446826</v>
      </c>
      <c r="R32" s="0" t="n">
        <f aca="false">IF(E32=1,1+COUNTIFS($E$2:$E$55,1,$M$2:$M$55,"&gt;"&amp;M32)+COUNTIFS($E$2:$E$55,1,$M$2:$M$55,M32,$A$2:$A$55,"&lt;"&amp;A32),0)</f>
        <v>42</v>
      </c>
      <c r="S32" s="0" t="n">
        <f aca="false">IF(E32=1,IF(COUNTIFS($E$2:$E$55,1,$G$2:$G$55,G32,$M$2:$M$55,"&gt;"&amp;M32)+COUNTIFS($E$2:$E$55,1,$G$2:$G$55,G32,$M$2:$M$55,M32,$A$2:$A$55,"&lt;"&amp;A32)=0,1,0),0)</f>
        <v>0</v>
      </c>
      <c r="T32" s="0" t="n">
        <f aca="false">IF(AND(E32=1,S32=0),1+COUNTIFS($E$2:$E$55,1,$S$2:$S$55,0,$R$2:$R$55,"&lt;"&amp;R32),0)</f>
        <v>39</v>
      </c>
      <c r="U32" s="0" t="n">
        <f aca="false">IF(E32=1,IF(S32=1,IF(G32="VT",1,IF(G32="NH",2,3)),3+T32),0)</f>
        <v>42</v>
      </c>
      <c r="V32" s="0" t="str">
        <f aca="false">IF(C32&gt;0,INDEX(RawFinancials!$P:$P,C32),IF(B32&gt;0,INDEX(RawFinancials!$P:$P,B32),""))</f>
        <v>WOODSVILLE GUARANTY SAVINGS BANK</v>
      </c>
      <c r="W32" s="0" t="n">
        <f aca="false">E32*(1-D32)</f>
        <v>0</v>
      </c>
      <c r="X32" s="0" t="n">
        <f aca="false">D32*(1-E32)</f>
        <v>0</v>
      </c>
      <c r="Y32" s="0" t="n">
        <f aca="false">W32*K32</f>
        <v>0</v>
      </c>
      <c r="Z32" s="0" t="n">
        <f aca="false">X32*H32</f>
        <v>0</v>
      </c>
    </row>
    <row r="33" customFormat="false" ht="15" hidden="false" customHeight="false" outlineLevel="0" collapsed="false">
      <c r="A33" s="0" t="n">
        <v>18038</v>
      </c>
      <c r="B33" s="0" t="n">
        <f aca="false">SUMIFS(RawFinancials!$A$2:$A$747,RawFinancials!$C$2:$C$747,A33,RawFinancials!$W$2:$W$747,WF_START_PERIOD)</f>
        <v>508</v>
      </c>
      <c r="C33" s="0" t="n">
        <f aca="false">SUMIFS(RawFinancials!$A$2:$A$747,RawFinancials!$C$2:$C$747,A33,RawFinancials!$W$2:$W$747,WF_END_PERIOD)</f>
        <v>720</v>
      </c>
      <c r="D33" s="0" t="n">
        <f aca="false">COUNTIFS(RawFinancials!$C$2:$C$747,A33,RawFinancials!$W$2:$W$747,WF_START_PERIOD,RawFinancials!$AA$2:$AA$747,1)</f>
        <v>1</v>
      </c>
      <c r="E33" s="0" t="n">
        <f aca="false">COUNTIFS(RawFinancials!$C$2:$C$747,A33,RawFinancials!$W$2:$W$747,WF_END_PERIOD,RawFinancials!$AA$2:$AA$747,1)</f>
        <v>1</v>
      </c>
      <c r="F33" s="0" t="str">
        <f aca="false">IF(B33&gt;0,INDEX(RawFinancials!$Z:$Z,B33),"")</f>
        <v>NH</v>
      </c>
      <c r="G33" s="0" t="str">
        <f aca="false">IF(C33&gt;0,INDEX(RawFinancials!$Z:$Z,C33),"")</f>
        <v>NH</v>
      </c>
      <c r="H33" s="0" t="n">
        <f aca="false">SUMIFS(RawFinancials!$B$2:$B$747,RawFinancials!$C$2:$C$747,A33,RawFinancials!$W$2:$W$747,WF_START_PERIOD,RawFinancials!$AA$2:$AA$747,1)</f>
        <v>528195</v>
      </c>
      <c r="I33" s="0" t="n">
        <f aca="false">SUMIFS(RawFinancials!$AB$2:$AB$747,RawFinancials!$C$2:$C$747,A33,RawFinancials!$W$2:$W$747,WF_START_PERIOD,RawFinancials!$AA$2:$AA$747,1)</f>
        <v>2632</v>
      </c>
      <c r="J33" s="0" t="n">
        <f aca="false">IF(D33=1,100*I33/H33,"")</f>
        <v>0.49830081693314</v>
      </c>
      <c r="K33" s="0" t="n">
        <f aca="false">SUMIFS(RawFinancials!$B$2:$B$747,RawFinancials!$C$2:$C$747,A33,RawFinancials!$W$2:$W$747,WF_END_PERIOD,RawFinancials!$AA$2:$AA$747,1)</f>
        <v>597834</v>
      </c>
      <c r="L33" s="0" t="n">
        <f aca="false">SUMIFS(RawFinancials!$AB$2:$AB$747,RawFinancials!$C$2:$C$747,A33,RawFinancials!$W$2:$W$747,WF_END_PERIOD,RawFinancials!$AA$2:$AA$747,1)</f>
        <v>2194</v>
      </c>
      <c r="M33" s="0" t="n">
        <f aca="false">IF(E33=1,100*L33/K33,"")</f>
        <v>0.366991506003339</v>
      </c>
      <c r="N33" s="0" t="n">
        <f aca="false">D33*E33</f>
        <v>1</v>
      </c>
      <c r="O33" s="0" t="n">
        <f aca="false">IF(N33=1,H33,0)</f>
        <v>528195</v>
      </c>
      <c r="P33" s="0" t="n">
        <f aca="false">IF(N33=1,H33*J33,0)</f>
        <v>263200</v>
      </c>
      <c r="Q33" s="0" t="n">
        <f aca="false">IF(N33=1,H33*M33,0)</f>
        <v>193843.078513434</v>
      </c>
      <c r="R33" s="0" t="n">
        <f aca="false">IF(E33=1,1+COUNTIFS($E$2:$E$55,1,$M$2:$M$55,"&gt;"&amp;M33)+COUNTIFS($E$2:$E$55,1,$M$2:$M$55,M33,$A$2:$A$55,"&lt;"&amp;A33),0)</f>
        <v>18</v>
      </c>
      <c r="S33" s="0" t="n">
        <f aca="false">IF(E33=1,IF(COUNTIFS($E$2:$E$55,1,$G$2:$G$55,G33,$M$2:$M$55,"&gt;"&amp;M33)+COUNTIFS($E$2:$E$55,1,$G$2:$G$55,G33,$M$2:$M$55,M33,$A$2:$A$55,"&lt;"&amp;A33)=0,1,0),0)</f>
        <v>0</v>
      </c>
      <c r="T33" s="0" t="n">
        <f aca="false">IF(AND(E33=1,S33=0),1+COUNTIFS($E$2:$E$55,1,$S$2:$S$55,0,$R$2:$R$55,"&lt;"&amp;R33),0)</f>
        <v>15</v>
      </c>
      <c r="U33" s="0" t="n">
        <f aca="false">IF(E33=1,IF(S33=1,IF(G33="VT",1,IF(G33="NH",2,3)),3+T33),0)</f>
        <v>18</v>
      </c>
      <c r="V33" s="0" t="str">
        <f aca="false">IF(C33&gt;0,INDEX(RawFinancials!$P:$P,C33),IF(B33&gt;0,INDEX(RawFinancials!$P:$P,B33),""))</f>
        <v>CLAREMONT SAVINGS BANK</v>
      </c>
      <c r="W33" s="0" t="n">
        <f aca="false">E33*(1-D33)</f>
        <v>0</v>
      </c>
      <c r="X33" s="0" t="n">
        <f aca="false">D33*(1-E33)</f>
        <v>0</v>
      </c>
      <c r="Y33" s="0" t="n">
        <f aca="false">W33*K33</f>
        <v>0</v>
      </c>
      <c r="Z33" s="0" t="n">
        <f aca="false">X33*H33</f>
        <v>0</v>
      </c>
    </row>
    <row r="34" customFormat="false" ht="15" hidden="false" customHeight="false" outlineLevel="0" collapsed="false">
      <c r="A34" s="0" t="n">
        <v>18408</v>
      </c>
      <c r="B34" s="0" t="n">
        <f aca="false">SUMIFS(RawFinancials!$A$2:$A$747,RawFinancials!$C$2:$C$747,A34,RawFinancials!$W$2:$W$747,WF_START_PERIOD)</f>
        <v>509</v>
      </c>
      <c r="C34" s="0" t="n">
        <f aca="false">SUMIFS(RawFinancials!$A$2:$A$747,RawFinancials!$C$2:$C$747,A34,RawFinancials!$W$2:$W$747,WF_END_PERIOD)</f>
        <v>721</v>
      </c>
      <c r="D34" s="0" t="n">
        <f aca="false">COUNTIFS(RawFinancials!$C$2:$C$747,A34,RawFinancials!$W$2:$W$747,WF_START_PERIOD,RawFinancials!$AA$2:$AA$747,1)</f>
        <v>1</v>
      </c>
      <c r="E34" s="0" t="n">
        <f aca="false">COUNTIFS(RawFinancials!$C$2:$C$747,A34,RawFinancials!$W$2:$W$747,WF_END_PERIOD,RawFinancials!$AA$2:$AA$747,1)</f>
        <v>1</v>
      </c>
      <c r="F34" s="0" t="str">
        <f aca="false">IF(B34&gt;0,INDEX(RawFinancials!$Z:$Z,B34),"")</f>
        <v>ME</v>
      </c>
      <c r="G34" s="0" t="str">
        <f aca="false">IF(C34&gt;0,INDEX(RawFinancials!$Z:$Z,C34),"")</f>
        <v>ME</v>
      </c>
      <c r="H34" s="0" t="n">
        <f aca="false">SUMIFS(RawFinancials!$B$2:$B$747,RawFinancials!$C$2:$C$747,A34,RawFinancials!$W$2:$W$747,WF_START_PERIOD,RawFinancials!$AA$2:$AA$747,1)</f>
        <v>7222033</v>
      </c>
      <c r="I34" s="0" t="n">
        <f aca="false">SUMIFS(RawFinancials!$AB$2:$AB$747,RawFinancials!$C$2:$C$747,A34,RawFinancials!$W$2:$W$747,WF_START_PERIOD,RawFinancials!$AA$2:$AA$747,1)</f>
        <v>4032</v>
      </c>
      <c r="J34" s="0" t="n">
        <f aca="false">IF(D34=1,100*I34/H34,"")</f>
        <v>0.0558291550315541</v>
      </c>
      <c r="K34" s="0" t="n">
        <f aca="false">SUMIFS(RawFinancials!$B$2:$B$747,RawFinancials!$C$2:$C$747,A34,RawFinancials!$W$2:$W$747,WF_END_PERIOD,RawFinancials!$AA$2:$AA$747,1)</f>
        <v>7335916</v>
      </c>
      <c r="L34" s="0" t="n">
        <f aca="false">SUMIFS(RawFinancials!$AB$2:$AB$747,RawFinancials!$C$2:$C$747,A34,RawFinancials!$W$2:$W$747,WF_END_PERIOD,RawFinancials!$AA$2:$AA$747,1)</f>
        <v>33535</v>
      </c>
      <c r="M34" s="0" t="n">
        <f aca="false">IF(E34=1,100*L34/K34,"")</f>
        <v>0.457134460100143</v>
      </c>
      <c r="N34" s="0" t="n">
        <f aca="false">D34*E34</f>
        <v>1</v>
      </c>
      <c r="O34" s="0" t="n">
        <f aca="false">IF(N34=1,H34,0)</f>
        <v>7222033</v>
      </c>
      <c r="P34" s="0" t="n">
        <f aca="false">IF(N34=1,H34*J34,0)</f>
        <v>403200</v>
      </c>
      <c r="Q34" s="0" t="n">
        <f aca="false">IF(N34=1,H34*M34,0)</f>
        <v>3301440.15628042</v>
      </c>
      <c r="R34" s="0" t="n">
        <f aca="false">IF(E34=1,1+COUNTIFS($E$2:$E$55,1,$M$2:$M$55,"&gt;"&amp;M34)+COUNTIFS($E$2:$E$55,1,$M$2:$M$55,M34,$A$2:$A$55,"&lt;"&amp;A34),0)</f>
        <v>15</v>
      </c>
      <c r="S34" s="0" t="n">
        <f aca="false">IF(E34=1,IF(COUNTIFS($E$2:$E$55,1,$G$2:$G$55,G34,$M$2:$M$55,"&gt;"&amp;M34)+COUNTIFS($E$2:$E$55,1,$G$2:$G$55,G34,$M$2:$M$55,M34,$A$2:$A$55,"&lt;"&amp;A34)=0,1,0),0)</f>
        <v>0</v>
      </c>
      <c r="T34" s="0" t="n">
        <f aca="false">IF(AND(E34=1,S34=0),1+COUNTIFS($E$2:$E$55,1,$S$2:$S$55,0,$R$2:$R$55,"&lt;"&amp;R34),0)</f>
        <v>12</v>
      </c>
      <c r="U34" s="0" t="n">
        <f aca="false">IF(E34=1,IF(S34=1,IF(G34="VT",1,IF(G34="NH",2,3)),3+T34),0)</f>
        <v>15</v>
      </c>
      <c r="V34" s="0" t="str">
        <f aca="false">IF(C34&gt;0,INDEX(RawFinancials!$P:$P,C34),IF(B34&gt;0,INDEX(RawFinancials!$P:$P,B34),""))</f>
        <v>BANGOR SAVINGS BANK</v>
      </c>
      <c r="W34" s="0" t="n">
        <f aca="false">E34*(1-D34)</f>
        <v>0</v>
      </c>
      <c r="X34" s="0" t="n">
        <f aca="false">D34*(1-E34)</f>
        <v>0</v>
      </c>
      <c r="Y34" s="0" t="n">
        <f aca="false">W34*K34</f>
        <v>0</v>
      </c>
      <c r="Z34" s="0" t="n">
        <f aca="false">X34*H34</f>
        <v>0</v>
      </c>
    </row>
    <row r="35" customFormat="false" ht="15" hidden="false" customHeight="false" outlineLevel="0" collapsed="false">
      <c r="A35" s="0" t="n">
        <v>19531</v>
      </c>
      <c r="B35" s="0" t="n">
        <f aca="false">SUMIFS(RawFinancials!$A$2:$A$747,RawFinancials!$C$2:$C$747,A35,RawFinancials!$W$2:$W$747,WF_START_PERIOD)</f>
        <v>510</v>
      </c>
      <c r="C35" s="0" t="n">
        <f aca="false">SUMIFS(RawFinancials!$A$2:$A$747,RawFinancials!$C$2:$C$747,A35,RawFinancials!$W$2:$W$747,WF_END_PERIOD)</f>
        <v>722</v>
      </c>
      <c r="D35" s="0" t="n">
        <f aca="false">COUNTIFS(RawFinancials!$C$2:$C$747,A35,RawFinancials!$W$2:$W$747,WF_START_PERIOD,RawFinancials!$AA$2:$AA$747,1)</f>
        <v>1</v>
      </c>
      <c r="E35" s="0" t="n">
        <f aca="false">COUNTIFS(RawFinancials!$C$2:$C$747,A35,RawFinancials!$W$2:$W$747,WF_END_PERIOD,RawFinancials!$AA$2:$AA$747,1)</f>
        <v>1</v>
      </c>
      <c r="F35" s="0" t="str">
        <f aca="false">IF(B35&gt;0,INDEX(RawFinancials!$Z:$Z,B35),"")</f>
        <v>ME</v>
      </c>
      <c r="G35" s="0" t="str">
        <f aca="false">IF(C35&gt;0,INDEX(RawFinancials!$Z:$Z,C35),"")</f>
        <v>ME</v>
      </c>
      <c r="H35" s="0" t="n">
        <f aca="false">SUMIFS(RawFinancials!$B$2:$B$747,RawFinancials!$C$2:$C$747,A35,RawFinancials!$W$2:$W$747,WF_START_PERIOD,RawFinancials!$AA$2:$AA$747,1)</f>
        <v>2602801</v>
      </c>
      <c r="I35" s="0" t="n">
        <f aca="false">SUMIFS(RawFinancials!$AB$2:$AB$747,RawFinancials!$C$2:$C$747,A35,RawFinancials!$W$2:$W$747,WF_START_PERIOD,RawFinancials!$AA$2:$AA$747,1)</f>
        <v>8088</v>
      </c>
      <c r="J35" s="0" t="n">
        <f aca="false">IF(D35=1,100*I35/H35,"")</f>
        <v>0.310742158159613</v>
      </c>
      <c r="K35" s="0" t="n">
        <f aca="false">SUMIFS(RawFinancials!$B$2:$B$747,RawFinancials!$C$2:$C$747,A35,RawFinancials!$W$2:$W$747,WF_END_PERIOD,RawFinancials!$AA$2:$AA$747,1)</f>
        <v>2611219</v>
      </c>
      <c r="L35" s="0" t="n">
        <f aca="false">SUMIFS(RawFinancials!$AB$2:$AB$747,RawFinancials!$C$2:$C$747,A35,RawFinancials!$W$2:$W$747,WF_END_PERIOD,RawFinancials!$AA$2:$AA$747,1)</f>
        <v>9740</v>
      </c>
      <c r="M35" s="0" t="n">
        <f aca="false">IF(E35=1,100*L35/K35,"")</f>
        <v>0.373005864310883</v>
      </c>
      <c r="N35" s="0" t="n">
        <f aca="false">D35*E35</f>
        <v>1</v>
      </c>
      <c r="O35" s="0" t="n">
        <f aca="false">IF(N35=1,H35,0)</f>
        <v>2602801</v>
      </c>
      <c r="P35" s="0" t="n">
        <f aca="false">IF(N35=1,H35*J35,0)</f>
        <v>808800</v>
      </c>
      <c r="Q35" s="0" t="n">
        <f aca="false">IF(N35=1,H35*M35,0)</f>
        <v>970860.036634231</v>
      </c>
      <c r="R35" s="0" t="n">
        <f aca="false">IF(E35=1,1+COUNTIFS($E$2:$E$55,1,$M$2:$M$55,"&gt;"&amp;M35)+COUNTIFS($E$2:$E$55,1,$M$2:$M$55,M35,$A$2:$A$55,"&lt;"&amp;A35),0)</f>
        <v>17</v>
      </c>
      <c r="S35" s="0" t="n">
        <f aca="false">IF(E35=1,IF(COUNTIFS($E$2:$E$55,1,$G$2:$G$55,G35,$M$2:$M$55,"&gt;"&amp;M35)+COUNTIFS($E$2:$E$55,1,$G$2:$G$55,G35,$M$2:$M$55,M35,$A$2:$A$55,"&lt;"&amp;A35)=0,1,0),0)</f>
        <v>0</v>
      </c>
      <c r="T35" s="0" t="n">
        <f aca="false">IF(AND(E35=1,S35=0),1+COUNTIFS($E$2:$E$55,1,$S$2:$S$55,0,$R$2:$R$55,"&lt;"&amp;R35),0)</f>
        <v>14</v>
      </c>
      <c r="U35" s="0" t="n">
        <f aca="false">IF(E35=1,IF(S35=1,IF(G35="VT",1,IF(G35="NH",2,3)),3+T35),0)</f>
        <v>17</v>
      </c>
      <c r="V35" s="0" t="str">
        <f aca="false">IF(C35&gt;0,INDEX(RawFinancials!$P:$P,C35),IF(B35&gt;0,INDEX(RawFinancials!$P:$P,B35),""))</f>
        <v>MACHIAS SAVINGS BANK</v>
      </c>
      <c r="W35" s="0" t="n">
        <f aca="false">E35*(1-D35)</f>
        <v>0</v>
      </c>
      <c r="X35" s="0" t="n">
        <f aca="false">D35*(1-E35)</f>
        <v>0</v>
      </c>
      <c r="Y35" s="0" t="n">
        <f aca="false">W35*K35</f>
        <v>0</v>
      </c>
      <c r="Z35" s="0" t="n">
        <f aca="false">X35*H35</f>
        <v>0</v>
      </c>
    </row>
    <row r="36" customFormat="false" ht="15" hidden="false" customHeight="false" outlineLevel="0" collapsed="false">
      <c r="A36" s="0" t="n">
        <v>19532</v>
      </c>
      <c r="B36" s="0" t="n">
        <f aca="false">SUMIFS(RawFinancials!$A$2:$A$747,RawFinancials!$C$2:$C$747,A36,RawFinancials!$W$2:$W$747,WF_START_PERIOD)</f>
        <v>511</v>
      </c>
      <c r="C36" s="0" t="n">
        <f aca="false">SUMIFS(RawFinancials!$A$2:$A$747,RawFinancials!$C$2:$C$747,A36,RawFinancials!$W$2:$W$747,WF_END_PERIOD)</f>
        <v>723</v>
      </c>
      <c r="D36" s="0" t="n">
        <f aca="false">COUNTIFS(RawFinancials!$C$2:$C$747,A36,RawFinancials!$W$2:$W$747,WF_START_PERIOD,RawFinancials!$AA$2:$AA$747,1)</f>
        <v>1</v>
      </c>
      <c r="E36" s="0" t="n">
        <f aca="false">COUNTIFS(RawFinancials!$C$2:$C$747,A36,RawFinancials!$W$2:$W$747,WF_END_PERIOD,RawFinancials!$AA$2:$AA$747,1)</f>
        <v>1</v>
      </c>
      <c r="F36" s="0" t="str">
        <f aca="false">IF(B36&gt;0,INDEX(RawFinancials!$Z:$Z,B36),"")</f>
        <v>ME</v>
      </c>
      <c r="G36" s="0" t="str">
        <f aca="false">IF(C36&gt;0,INDEX(RawFinancials!$Z:$Z,C36),"")</f>
        <v>ME</v>
      </c>
      <c r="H36" s="0" t="n">
        <f aca="false">SUMIFS(RawFinancials!$B$2:$B$747,RawFinancials!$C$2:$C$747,A36,RawFinancials!$W$2:$W$747,WF_START_PERIOD,RawFinancials!$AA$2:$AA$747,1)</f>
        <v>880879</v>
      </c>
      <c r="I36" s="0" t="n">
        <f aca="false">SUMIFS(RawFinancials!$AB$2:$AB$747,RawFinancials!$C$2:$C$747,A36,RawFinancials!$W$2:$W$747,WF_START_PERIOD,RawFinancials!$AA$2:$AA$747,1)</f>
        <v>1611</v>
      </c>
      <c r="J36" s="0" t="n">
        <f aca="false">IF(D36=1,100*I36/H36,"")</f>
        <v>0.18288550413848</v>
      </c>
      <c r="K36" s="0" t="n">
        <f aca="false">SUMIFS(RawFinancials!$B$2:$B$747,RawFinancials!$C$2:$C$747,A36,RawFinancials!$W$2:$W$747,WF_END_PERIOD,RawFinancials!$AA$2:$AA$747,1)</f>
        <v>843145</v>
      </c>
      <c r="L36" s="0" t="n">
        <f aca="false">SUMIFS(RawFinancials!$AB$2:$AB$747,RawFinancials!$C$2:$C$747,A36,RawFinancials!$W$2:$W$747,WF_END_PERIOD,RawFinancials!$AA$2:$AA$747,1)</f>
        <v>1894</v>
      </c>
      <c r="M36" s="0" t="n">
        <f aca="false">IF(E36=1,100*L36/K36,"")</f>
        <v>0.224635145793428</v>
      </c>
      <c r="N36" s="0" t="n">
        <f aca="false">D36*E36</f>
        <v>1</v>
      </c>
      <c r="O36" s="0" t="n">
        <f aca="false">IF(N36=1,H36,0)</f>
        <v>880879</v>
      </c>
      <c r="P36" s="0" t="n">
        <f aca="false">IF(N36=1,H36*J36,0)</f>
        <v>161100</v>
      </c>
      <c r="Q36" s="0" t="n">
        <f aca="false">IF(N36=1,H36*M36,0)</f>
        <v>197876.382591369</v>
      </c>
      <c r="R36" s="0" t="n">
        <f aca="false">IF(E36=1,1+COUNTIFS($E$2:$E$55,1,$M$2:$M$55,"&gt;"&amp;M36)+COUNTIFS($E$2:$E$55,1,$M$2:$M$55,M36,$A$2:$A$55,"&lt;"&amp;A36),0)</f>
        <v>30</v>
      </c>
      <c r="S36" s="0" t="n">
        <f aca="false">IF(E36=1,IF(COUNTIFS($E$2:$E$55,1,$G$2:$G$55,G36,$M$2:$M$55,"&gt;"&amp;M36)+COUNTIFS($E$2:$E$55,1,$G$2:$G$55,G36,$M$2:$M$55,M36,$A$2:$A$55,"&lt;"&amp;A36)=0,1,0),0)</f>
        <v>0</v>
      </c>
      <c r="T36" s="0" t="n">
        <f aca="false">IF(AND(E36=1,S36=0),1+COUNTIFS($E$2:$E$55,1,$S$2:$S$55,0,$R$2:$R$55,"&lt;"&amp;R36),0)</f>
        <v>27</v>
      </c>
      <c r="U36" s="0" t="n">
        <f aca="false">IF(E36=1,IF(S36=1,IF(G36="VT",1,IF(G36="NH",2,3)),3+T36),0)</f>
        <v>30</v>
      </c>
      <c r="V36" s="0" t="str">
        <f aca="false">IF(C36&gt;0,INDEX(RawFinancials!$P:$P,C36),IF(B36&gt;0,INDEX(RawFinancials!$P:$P,B36),""))</f>
        <v>SKOWHEGAN SAVINGS BANK</v>
      </c>
      <c r="W36" s="0" t="n">
        <f aca="false">E36*(1-D36)</f>
        <v>0</v>
      </c>
      <c r="X36" s="0" t="n">
        <f aca="false">D36*(1-E36)</f>
        <v>0</v>
      </c>
      <c r="Y36" s="0" t="n">
        <f aca="false">W36*K36</f>
        <v>0</v>
      </c>
      <c r="Z36" s="0" t="n">
        <f aca="false">X36*H36</f>
        <v>0</v>
      </c>
    </row>
    <row r="37" customFormat="false" ht="15" hidden="false" customHeight="false" outlineLevel="0" collapsed="false">
      <c r="A37" s="0" t="n">
        <v>19690</v>
      </c>
      <c r="B37" s="0" t="n">
        <f aca="false">SUMIFS(RawFinancials!$A$2:$A$747,RawFinancials!$C$2:$C$747,A37,RawFinancials!$W$2:$W$747,WF_START_PERIOD)</f>
        <v>512</v>
      </c>
      <c r="C37" s="0" t="n">
        <f aca="false">SUMIFS(RawFinancials!$A$2:$A$747,RawFinancials!$C$2:$C$747,A37,RawFinancials!$W$2:$W$747,WF_END_PERIOD)</f>
        <v>724</v>
      </c>
      <c r="D37" s="0" t="n">
        <f aca="false">COUNTIFS(RawFinancials!$C$2:$C$747,A37,RawFinancials!$W$2:$W$747,WF_START_PERIOD,RawFinancials!$AA$2:$AA$747,1)</f>
        <v>1</v>
      </c>
      <c r="E37" s="0" t="n">
        <f aca="false">COUNTIFS(RawFinancials!$C$2:$C$747,A37,RawFinancials!$W$2:$W$747,WF_END_PERIOD,RawFinancials!$AA$2:$AA$747,1)</f>
        <v>1</v>
      </c>
      <c r="F37" s="0" t="str">
        <f aca="false">IF(B37&gt;0,INDEX(RawFinancials!$Z:$Z,B37),"")</f>
        <v>ME</v>
      </c>
      <c r="G37" s="0" t="str">
        <f aca="false">IF(C37&gt;0,INDEX(RawFinancials!$Z:$Z,C37),"")</f>
        <v>ME</v>
      </c>
      <c r="H37" s="0" t="n">
        <f aca="false">SUMIFS(RawFinancials!$B$2:$B$747,RawFinancials!$C$2:$C$747,A37,RawFinancials!$W$2:$W$747,WF_START_PERIOD,RawFinancials!$AA$2:$AA$747,1)</f>
        <v>3132203</v>
      </c>
      <c r="I37" s="0" t="n">
        <f aca="false">SUMIFS(RawFinancials!$AB$2:$AB$747,RawFinancials!$C$2:$C$747,A37,RawFinancials!$W$2:$W$747,WF_START_PERIOD,RawFinancials!$AA$2:$AA$747,1)</f>
        <v>28260</v>
      </c>
      <c r="J37" s="0" t="n">
        <f aca="false">IF(D37=1,100*I37/H37,"")</f>
        <v>0.902240372032081</v>
      </c>
      <c r="K37" s="0" t="n">
        <f aca="false">SUMIFS(RawFinancials!$B$2:$B$747,RawFinancials!$C$2:$C$747,A37,RawFinancials!$W$2:$W$747,WF_END_PERIOD,RawFinancials!$AA$2:$AA$747,1)</f>
        <v>4279069</v>
      </c>
      <c r="L37" s="0" t="n">
        <f aca="false">SUMIFS(RawFinancials!$AB$2:$AB$747,RawFinancials!$C$2:$C$747,A37,RawFinancials!$W$2:$W$747,WF_END_PERIOD,RawFinancials!$AA$2:$AA$747,1)</f>
        <v>35011</v>
      </c>
      <c r="M37" s="0" t="n">
        <f aca="false">IF(E37=1,100*L37/K37,"")</f>
        <v>0.818191994567042</v>
      </c>
      <c r="N37" s="0" t="n">
        <f aca="false">D37*E37</f>
        <v>1</v>
      </c>
      <c r="O37" s="0" t="n">
        <f aca="false">IF(N37=1,H37,0)</f>
        <v>3132203</v>
      </c>
      <c r="P37" s="0" t="n">
        <f aca="false">IF(N37=1,H37*J37,0)</f>
        <v>2826000</v>
      </c>
      <c r="Q37" s="0" t="n">
        <f aca="false">IF(N37=1,H37*M37,0)</f>
        <v>2562743.41995887</v>
      </c>
      <c r="R37" s="0" t="n">
        <f aca="false">IF(E37=1,1+COUNTIFS($E$2:$E$55,1,$M$2:$M$55,"&gt;"&amp;M37)+COUNTIFS($E$2:$E$55,1,$M$2:$M$55,M37,$A$2:$A$55,"&lt;"&amp;A37),0)</f>
        <v>8</v>
      </c>
      <c r="S37" s="0" t="n">
        <f aca="false">IF(E37=1,IF(COUNTIFS($E$2:$E$55,1,$G$2:$G$55,G37,$M$2:$M$55,"&gt;"&amp;M37)+COUNTIFS($E$2:$E$55,1,$G$2:$G$55,G37,$M$2:$M$55,M37,$A$2:$A$55,"&lt;"&amp;A37)=0,1,0),0)</f>
        <v>0</v>
      </c>
      <c r="T37" s="0" t="n">
        <f aca="false">IF(AND(E37=1,S37=0),1+COUNTIFS($E$2:$E$55,1,$S$2:$S$55,0,$R$2:$R$55,"&lt;"&amp;R37),0)</f>
        <v>5</v>
      </c>
      <c r="U37" s="0" t="n">
        <f aca="false">IF(E37=1,IF(S37=1,IF(G37="VT",1,IF(G37="NH",2,3)),3+T37),0)</f>
        <v>8</v>
      </c>
      <c r="V37" s="0" t="str">
        <f aca="false">IF(C37&gt;0,INDEX(RawFinancials!$P:$P,C37),IF(B37&gt;0,INDEX(RawFinancials!$P:$P,B37),""))</f>
        <v>NORTHEAST BANK</v>
      </c>
      <c r="W37" s="0" t="n">
        <f aca="false">E37*(1-D37)</f>
        <v>0</v>
      </c>
      <c r="X37" s="0" t="n">
        <f aca="false">D37*(1-E37)</f>
        <v>0</v>
      </c>
      <c r="Y37" s="0" t="n">
        <f aca="false">W37*K37</f>
        <v>0</v>
      </c>
      <c r="Z37" s="0" t="n">
        <f aca="false">X37*H37</f>
        <v>0</v>
      </c>
    </row>
    <row r="38" customFormat="false" ht="15" hidden="false" customHeight="false" outlineLevel="0" collapsed="false">
      <c r="A38" s="0" t="n">
        <v>19836</v>
      </c>
      <c r="B38" s="0" t="n">
        <f aca="false">SUMIFS(RawFinancials!$A$2:$A$747,RawFinancials!$C$2:$C$747,A38,RawFinancials!$W$2:$W$747,WF_START_PERIOD)</f>
        <v>513</v>
      </c>
      <c r="C38" s="0" t="n">
        <f aca="false">SUMIFS(RawFinancials!$A$2:$A$747,RawFinancials!$C$2:$C$747,A38,RawFinancials!$W$2:$W$747,WF_END_PERIOD)</f>
        <v>725</v>
      </c>
      <c r="D38" s="0" t="n">
        <f aca="false">COUNTIFS(RawFinancials!$C$2:$C$747,A38,RawFinancials!$W$2:$W$747,WF_START_PERIOD,RawFinancials!$AA$2:$AA$747,1)</f>
        <v>1</v>
      </c>
      <c r="E38" s="0" t="n">
        <f aca="false">COUNTIFS(RawFinancials!$C$2:$C$747,A38,RawFinancials!$W$2:$W$747,WF_END_PERIOD,RawFinancials!$AA$2:$AA$747,1)</f>
        <v>1</v>
      </c>
      <c r="F38" s="0" t="str">
        <f aca="false">IF(B38&gt;0,INDEX(RawFinancials!$Z:$Z,B38),"")</f>
        <v>ME</v>
      </c>
      <c r="G38" s="0" t="str">
        <f aca="false">IF(C38&gt;0,INDEX(RawFinancials!$Z:$Z,C38),"")</f>
        <v>ME</v>
      </c>
      <c r="H38" s="0" t="n">
        <f aca="false">SUMIFS(RawFinancials!$B$2:$B$747,RawFinancials!$C$2:$C$747,A38,RawFinancials!$W$2:$W$747,WF_START_PERIOD,RawFinancials!$AA$2:$AA$747,1)</f>
        <v>693631</v>
      </c>
      <c r="I38" s="0" t="n">
        <f aca="false">SUMIFS(RawFinancials!$AB$2:$AB$747,RawFinancials!$C$2:$C$747,A38,RawFinancials!$W$2:$W$747,WF_START_PERIOD,RawFinancials!$AA$2:$AA$747,1)</f>
        <v>5653</v>
      </c>
      <c r="J38" s="0" t="n">
        <f aca="false">IF(D38=1,100*I38/H38,"")</f>
        <v>0.814986642753856</v>
      </c>
      <c r="K38" s="0" t="n">
        <f aca="false">SUMIFS(RawFinancials!$B$2:$B$747,RawFinancials!$C$2:$C$747,A38,RawFinancials!$W$2:$W$747,WF_END_PERIOD,RawFinancials!$AA$2:$AA$747,1)</f>
        <v>755186</v>
      </c>
      <c r="L38" s="0" t="n">
        <f aca="false">SUMIFS(RawFinancials!$AB$2:$AB$747,RawFinancials!$C$2:$C$747,A38,RawFinancials!$W$2:$W$747,WF_END_PERIOD,RawFinancials!$AA$2:$AA$747,1)</f>
        <v>8422</v>
      </c>
      <c r="M38" s="0" t="n">
        <f aca="false">IF(E38=1,100*L38/K38,"")</f>
        <v>1.11522194532208</v>
      </c>
      <c r="N38" s="0" t="n">
        <f aca="false">D38*E38</f>
        <v>1</v>
      </c>
      <c r="O38" s="0" t="n">
        <f aca="false">IF(N38=1,H38,0)</f>
        <v>693631</v>
      </c>
      <c r="P38" s="0" t="n">
        <f aca="false">IF(N38=1,H38*J38,0)</f>
        <v>565300</v>
      </c>
      <c r="Q38" s="0" t="n">
        <f aca="false">IF(N38=1,H38*M38,0)</f>
        <v>773552.513155699</v>
      </c>
      <c r="R38" s="0" t="n">
        <f aca="false">IF(E38=1,1+COUNTIFS($E$2:$E$55,1,$M$2:$M$55,"&gt;"&amp;M38)+COUNTIFS($E$2:$E$55,1,$M$2:$M$55,M38,$A$2:$A$55,"&lt;"&amp;A38),0)</f>
        <v>6</v>
      </c>
      <c r="S38" s="0" t="n">
        <f aca="false">IF(E38=1,IF(COUNTIFS($E$2:$E$55,1,$G$2:$G$55,G38,$M$2:$M$55,"&gt;"&amp;M38)+COUNTIFS($E$2:$E$55,1,$G$2:$G$55,G38,$M$2:$M$55,M38,$A$2:$A$55,"&lt;"&amp;A38)=0,1,0),0)</f>
        <v>0</v>
      </c>
      <c r="T38" s="0" t="n">
        <f aca="false">IF(AND(E38=1,S38=0),1+COUNTIFS($E$2:$E$55,1,$S$2:$S$55,0,$R$2:$R$55,"&lt;"&amp;R38),0)</f>
        <v>3</v>
      </c>
      <c r="U38" s="0" t="n">
        <f aca="false">IF(E38=1,IF(S38=1,IF(G38="VT",1,IF(G38="NH",2,3)),3+T38),0)</f>
        <v>6</v>
      </c>
      <c r="V38" s="0" t="str">
        <f aca="false">IF(C38&gt;0,INDEX(RawFinancials!$P:$P,C38),IF(B38&gt;0,INDEX(RawFinancials!$P:$P,B38),""))</f>
        <v>FRANKLIN SAVINGS BANK</v>
      </c>
      <c r="W38" s="0" t="n">
        <f aca="false">E38*(1-D38)</f>
        <v>0</v>
      </c>
      <c r="X38" s="0" t="n">
        <f aca="false">D38*(1-E38)</f>
        <v>0</v>
      </c>
      <c r="Y38" s="0" t="n">
        <f aca="false">W38*K38</f>
        <v>0</v>
      </c>
      <c r="Z38" s="0" t="n">
        <f aca="false">X38*H38</f>
        <v>0</v>
      </c>
    </row>
    <row r="39" customFormat="false" ht="15" hidden="false" customHeight="false" outlineLevel="0" collapsed="false">
      <c r="A39" s="0" t="n">
        <v>24540</v>
      </c>
      <c r="B39" s="0" t="n">
        <f aca="false">SUMIFS(RawFinancials!$A$2:$A$747,RawFinancials!$C$2:$C$747,A39,RawFinancials!$W$2:$W$747,WF_START_PERIOD)</f>
        <v>514</v>
      </c>
      <c r="C39" s="0" t="n">
        <f aca="false">SUMIFS(RawFinancials!$A$2:$A$747,RawFinancials!$C$2:$C$747,A39,RawFinancials!$W$2:$W$747,WF_END_PERIOD)</f>
        <v>726</v>
      </c>
      <c r="D39" s="0" t="n">
        <f aca="false">COUNTIFS(RawFinancials!$C$2:$C$747,A39,RawFinancials!$W$2:$W$747,WF_START_PERIOD,RawFinancials!$AA$2:$AA$747,1)</f>
        <v>1</v>
      </c>
      <c r="E39" s="0" t="n">
        <f aca="false">COUNTIFS(RawFinancials!$C$2:$C$747,A39,RawFinancials!$W$2:$W$747,WF_END_PERIOD,RawFinancials!$AA$2:$AA$747,1)</f>
        <v>1</v>
      </c>
      <c r="F39" s="0" t="str">
        <f aca="false">IF(B39&gt;0,INDEX(RawFinancials!$Z:$Z,B39),"")</f>
        <v>NH</v>
      </c>
      <c r="G39" s="0" t="str">
        <f aca="false">IF(C39&gt;0,INDEX(RawFinancials!$Z:$Z,C39),"")</f>
        <v>NH</v>
      </c>
      <c r="H39" s="0" t="n">
        <f aca="false">SUMIFS(RawFinancials!$B$2:$B$747,RawFinancials!$C$2:$C$747,A39,RawFinancials!$W$2:$W$747,WF_START_PERIOD,RawFinancials!$AA$2:$AA$747,1)</f>
        <v>1450962</v>
      </c>
      <c r="I39" s="0" t="n">
        <f aca="false">SUMIFS(RawFinancials!$AB$2:$AB$747,RawFinancials!$C$2:$C$747,A39,RawFinancials!$W$2:$W$747,WF_START_PERIOD,RawFinancials!$AA$2:$AA$747,1)</f>
        <v>30086</v>
      </c>
      <c r="J39" s="0" t="n">
        <f aca="false">IF(D39=1,100*I39/H39,"")</f>
        <v>2.07352087787275</v>
      </c>
      <c r="K39" s="0" t="n">
        <f aca="false">SUMIFS(RawFinancials!$B$2:$B$747,RawFinancials!$C$2:$C$747,A39,RawFinancials!$W$2:$W$747,WF_END_PERIOD,RawFinancials!$AA$2:$AA$747,1)</f>
        <v>1748522</v>
      </c>
      <c r="L39" s="0" t="n">
        <f aca="false">SUMIFS(RawFinancials!$AB$2:$AB$747,RawFinancials!$C$2:$C$747,A39,RawFinancials!$W$2:$W$747,WF_END_PERIOD,RawFinancials!$AA$2:$AA$747,1)</f>
        <v>11424</v>
      </c>
      <c r="M39" s="0" t="n">
        <f aca="false">IF(E39=1,100*L39/K39,"")</f>
        <v>0.653351802264999</v>
      </c>
      <c r="N39" s="0" t="n">
        <f aca="false">D39*E39</f>
        <v>1</v>
      </c>
      <c r="O39" s="0" t="n">
        <f aca="false">IF(N39=1,H39,0)</f>
        <v>1450962</v>
      </c>
      <c r="P39" s="0" t="n">
        <f aca="false">IF(N39=1,H39*J39,0)</f>
        <v>3008600</v>
      </c>
      <c r="Q39" s="0" t="n">
        <f aca="false">IF(N39=1,H39*M39,0)</f>
        <v>947988.637718027</v>
      </c>
      <c r="R39" s="0" t="n">
        <f aca="false">IF(E39=1,1+COUNTIFS($E$2:$E$55,1,$M$2:$M$55,"&gt;"&amp;M39)+COUNTIFS($E$2:$E$55,1,$M$2:$M$55,M39,$A$2:$A$55,"&lt;"&amp;A39),0)</f>
        <v>10</v>
      </c>
      <c r="S39" s="0" t="n">
        <f aca="false">IF(E39=1,IF(COUNTIFS($E$2:$E$55,1,$G$2:$G$55,G39,$M$2:$M$55,"&gt;"&amp;M39)+COUNTIFS($E$2:$E$55,1,$G$2:$G$55,G39,$M$2:$M$55,M39,$A$2:$A$55,"&lt;"&amp;A39)=0,1,0),0)</f>
        <v>0</v>
      </c>
      <c r="T39" s="0" t="n">
        <f aca="false">IF(AND(E39=1,S39=0),1+COUNTIFS($E$2:$E$55,1,$S$2:$S$55,0,$R$2:$R$55,"&lt;"&amp;R39),0)</f>
        <v>7</v>
      </c>
      <c r="U39" s="0" t="n">
        <f aca="false">IF(E39=1,IF(S39=1,IF(G39="VT",1,IF(G39="NH",2,3)),3+T39),0)</f>
        <v>10</v>
      </c>
      <c r="V39" s="0" t="str">
        <f aca="false">IF(C39&gt;0,INDEX(RawFinancials!$P:$P,C39),IF(B39&gt;0,INDEX(RawFinancials!$P:$P,B39),""))</f>
        <v>BANK OF NEW ENGLAND</v>
      </c>
      <c r="W39" s="0" t="n">
        <f aca="false">E39*(1-D39)</f>
        <v>0</v>
      </c>
      <c r="X39" s="0" t="n">
        <f aca="false">D39*(1-E39)</f>
        <v>0</v>
      </c>
      <c r="Y39" s="0" t="n">
        <f aca="false">W39*K39</f>
        <v>0</v>
      </c>
      <c r="Z39" s="0" t="n">
        <f aca="false">X39*H39</f>
        <v>0</v>
      </c>
    </row>
    <row r="40" customFormat="false" ht="15" hidden="false" customHeight="false" outlineLevel="0" collapsed="false">
      <c r="A40" s="0" t="n">
        <v>27824</v>
      </c>
      <c r="B40" s="0" t="n">
        <f aca="false">SUMIFS(RawFinancials!$A$2:$A$747,RawFinancials!$C$2:$C$747,A40,RawFinancials!$W$2:$W$747,WF_START_PERIOD)</f>
        <v>515</v>
      </c>
      <c r="C40" s="0" t="n">
        <f aca="false">SUMIFS(RawFinancials!$A$2:$A$747,RawFinancials!$C$2:$C$747,A40,RawFinancials!$W$2:$W$747,WF_END_PERIOD)</f>
        <v>727</v>
      </c>
      <c r="D40" s="0" t="n">
        <f aca="false">COUNTIFS(RawFinancials!$C$2:$C$747,A40,RawFinancials!$W$2:$W$747,WF_START_PERIOD,RawFinancials!$AA$2:$AA$747,1)</f>
        <v>1</v>
      </c>
      <c r="E40" s="0" t="n">
        <f aca="false">COUNTIFS(RawFinancials!$C$2:$C$747,A40,RawFinancials!$W$2:$W$747,WF_END_PERIOD,RawFinancials!$AA$2:$AA$747,1)</f>
        <v>1</v>
      </c>
      <c r="F40" s="0" t="str">
        <f aca="false">IF(B40&gt;0,INDEX(RawFinancials!$Z:$Z,B40),"")</f>
        <v>NH</v>
      </c>
      <c r="G40" s="0" t="str">
        <f aca="false">IF(C40&gt;0,INDEX(RawFinancials!$Z:$Z,C40),"")</f>
        <v>NH</v>
      </c>
      <c r="H40" s="0" t="n">
        <f aca="false">SUMIFS(RawFinancials!$B$2:$B$747,RawFinancials!$C$2:$C$747,A40,RawFinancials!$W$2:$W$747,WF_START_PERIOD,RawFinancials!$AA$2:$AA$747,1)</f>
        <v>557168</v>
      </c>
      <c r="I40" s="0" t="n">
        <f aca="false">SUMIFS(RawFinancials!$AB$2:$AB$747,RawFinancials!$C$2:$C$747,A40,RawFinancials!$W$2:$W$747,WF_START_PERIOD,RawFinancials!$AA$2:$AA$747,1)</f>
        <v>1077</v>
      </c>
      <c r="J40" s="0" t="n">
        <f aca="false">IF(D40=1,100*I40/H40,"")</f>
        <v>0.193298969072165</v>
      </c>
      <c r="K40" s="0" t="n">
        <f aca="false">SUMIFS(RawFinancials!$B$2:$B$747,RawFinancials!$C$2:$C$747,A40,RawFinancials!$W$2:$W$747,WF_END_PERIOD,RawFinancials!$AA$2:$AA$747,1)</f>
        <v>571650</v>
      </c>
      <c r="L40" s="0" t="n">
        <f aca="false">SUMIFS(RawFinancials!$AB$2:$AB$747,RawFinancials!$C$2:$C$747,A40,RawFinancials!$W$2:$W$747,WF_END_PERIOD,RawFinancials!$AA$2:$AA$747,1)</f>
        <v>2044</v>
      </c>
      <c r="M40" s="0" t="n">
        <f aca="false">IF(E40=1,100*L40/K40,"")</f>
        <v>0.357561444940086</v>
      </c>
      <c r="N40" s="0" t="n">
        <f aca="false">D40*E40</f>
        <v>1</v>
      </c>
      <c r="O40" s="0" t="n">
        <f aca="false">IF(N40=1,H40,0)</f>
        <v>557168</v>
      </c>
      <c r="P40" s="0" t="n">
        <f aca="false">IF(N40=1,H40*J40,0)</f>
        <v>107700</v>
      </c>
      <c r="Q40" s="0" t="n">
        <f aca="false">IF(N40=1,H40*M40,0)</f>
        <v>199221.795154378</v>
      </c>
      <c r="R40" s="0" t="n">
        <f aca="false">IF(E40=1,1+COUNTIFS($E$2:$E$55,1,$M$2:$M$55,"&gt;"&amp;M40)+COUNTIFS($E$2:$E$55,1,$M$2:$M$55,M40,$A$2:$A$55,"&lt;"&amp;A40),0)</f>
        <v>19</v>
      </c>
      <c r="S40" s="0" t="n">
        <f aca="false">IF(E40=1,IF(COUNTIFS($E$2:$E$55,1,$G$2:$G$55,G40,$M$2:$M$55,"&gt;"&amp;M40)+COUNTIFS($E$2:$E$55,1,$G$2:$G$55,G40,$M$2:$M$55,M40,$A$2:$A$55,"&lt;"&amp;A40)=0,1,0),0)</f>
        <v>0</v>
      </c>
      <c r="T40" s="0" t="n">
        <f aca="false">IF(AND(E40=1,S40=0),1+COUNTIFS($E$2:$E$55,1,$S$2:$S$55,0,$R$2:$R$55,"&lt;"&amp;R40),0)</f>
        <v>16</v>
      </c>
      <c r="U40" s="0" t="n">
        <f aca="false">IF(E40=1,IF(S40=1,IF(G40="VT",1,IF(G40="NH",2,3)),3+T40),0)</f>
        <v>19</v>
      </c>
      <c r="V40" s="0" t="str">
        <f aca="false">IF(C40&gt;0,INDEX(RawFinancials!$P:$P,C40),IF(B40&gt;0,INDEX(RawFinancials!$P:$P,B40),""))</f>
        <v>SALEM CO-OPERATIVE BANK</v>
      </c>
      <c r="W40" s="0" t="n">
        <f aca="false">E40*(1-D40)</f>
        <v>0</v>
      </c>
      <c r="X40" s="0" t="n">
        <f aca="false">D40*(1-E40)</f>
        <v>0</v>
      </c>
      <c r="Y40" s="0" t="n">
        <f aca="false">W40*K40</f>
        <v>0</v>
      </c>
      <c r="Z40" s="0" t="n">
        <f aca="false">X40*H40</f>
        <v>0</v>
      </c>
    </row>
    <row r="41" customFormat="false" ht="15" hidden="false" customHeight="false" outlineLevel="0" collapsed="false">
      <c r="A41" s="0" t="n">
        <v>28155</v>
      </c>
      <c r="B41" s="0" t="n">
        <f aca="false">SUMIFS(RawFinancials!$A$2:$A$747,RawFinancials!$C$2:$C$747,A41,RawFinancials!$W$2:$W$747,WF_START_PERIOD)</f>
        <v>516</v>
      </c>
      <c r="C41" s="0" t="n">
        <f aca="false">SUMIFS(RawFinancials!$A$2:$A$747,RawFinancials!$C$2:$C$747,A41,RawFinancials!$W$2:$W$747,WF_END_PERIOD)</f>
        <v>728</v>
      </c>
      <c r="D41" s="0" t="n">
        <f aca="false">COUNTIFS(RawFinancials!$C$2:$C$747,A41,RawFinancials!$W$2:$W$747,WF_START_PERIOD,RawFinancials!$AA$2:$AA$747,1)</f>
        <v>1</v>
      </c>
      <c r="E41" s="0" t="n">
        <f aca="false">COUNTIFS(RawFinancials!$C$2:$C$747,A41,RawFinancials!$W$2:$W$747,WF_END_PERIOD,RawFinancials!$AA$2:$AA$747,1)</f>
        <v>1</v>
      </c>
      <c r="F41" s="0" t="str">
        <f aca="false">IF(B41&gt;0,INDEX(RawFinancials!$Z:$Z,B41),"")</f>
        <v>NH</v>
      </c>
      <c r="G41" s="0" t="str">
        <f aca="false">IF(C41&gt;0,INDEX(RawFinancials!$Z:$Z,C41),"")</f>
        <v>NH</v>
      </c>
      <c r="H41" s="0" t="n">
        <f aca="false">SUMIFS(RawFinancials!$B$2:$B$747,RawFinancials!$C$2:$C$747,A41,RawFinancials!$W$2:$W$747,WF_START_PERIOD,RawFinancials!$AA$2:$AA$747,1)</f>
        <v>302055</v>
      </c>
      <c r="I41" s="0" t="n">
        <f aca="false">SUMIFS(RawFinancials!$AB$2:$AB$747,RawFinancials!$C$2:$C$747,A41,RawFinancials!$W$2:$W$747,WF_START_PERIOD,RawFinancials!$AA$2:$AA$747,1)</f>
        <v>0</v>
      </c>
      <c r="J41" s="0" t="n">
        <f aca="false">IF(D41=1,100*I41/H41,"")</f>
        <v>0</v>
      </c>
      <c r="K41" s="0" t="n">
        <f aca="false">SUMIFS(RawFinancials!$B$2:$B$747,RawFinancials!$C$2:$C$747,A41,RawFinancials!$W$2:$W$747,WF_END_PERIOD,RawFinancials!$AA$2:$AA$747,1)</f>
        <v>317001</v>
      </c>
      <c r="L41" s="0" t="n">
        <f aca="false">SUMIFS(RawFinancials!$AB$2:$AB$747,RawFinancials!$C$2:$C$747,A41,RawFinancials!$W$2:$W$747,WF_END_PERIOD,RawFinancials!$AA$2:$AA$747,1)</f>
        <v>0</v>
      </c>
      <c r="M41" s="0" t="n">
        <f aca="false">IF(E41=1,100*L41/K41,"")</f>
        <v>0</v>
      </c>
      <c r="N41" s="0" t="n">
        <f aca="false">D41*E41</f>
        <v>1</v>
      </c>
      <c r="O41" s="0" t="n">
        <f aca="false">IF(N41=1,H41,0)</f>
        <v>302055</v>
      </c>
      <c r="P41" s="0" t="n">
        <f aca="false">IF(N41=1,H41*J41,0)</f>
        <v>0</v>
      </c>
      <c r="Q41" s="0" t="n">
        <f aca="false">IF(N41=1,H41*M41,0)</f>
        <v>0</v>
      </c>
      <c r="R41" s="0" t="n">
        <f aca="false">IF(E41=1,1+COUNTIFS($E$2:$E$55,1,$M$2:$M$55,"&gt;"&amp;M41)+COUNTIFS($E$2:$E$55,1,$M$2:$M$55,M41,$A$2:$A$55,"&lt;"&amp;A41),0)</f>
        <v>49</v>
      </c>
      <c r="S41" s="0" t="n">
        <f aca="false">IF(E41=1,IF(COUNTIFS($E$2:$E$55,1,$G$2:$G$55,G41,$M$2:$M$55,"&gt;"&amp;M41)+COUNTIFS($E$2:$E$55,1,$G$2:$G$55,G41,$M$2:$M$55,M41,$A$2:$A$55,"&lt;"&amp;A41)=0,1,0),0)</f>
        <v>0</v>
      </c>
      <c r="T41" s="0" t="n">
        <f aca="false">IF(AND(E41=1,S41=0),1+COUNTIFS($E$2:$E$55,1,$S$2:$S$55,0,$R$2:$R$55,"&lt;"&amp;R41),0)</f>
        <v>46</v>
      </c>
      <c r="U41" s="0" t="n">
        <f aca="false">IF(E41=1,IF(S41=1,IF(G41="VT",1,IF(G41="NH",2,3)),3+T41),0)</f>
        <v>49</v>
      </c>
      <c r="V41" s="0" t="str">
        <f aca="false">IF(C41&gt;0,INDEX(RawFinancials!$P:$P,C41),IF(B41&gt;0,INDEX(RawFinancials!$P:$P,B41),""))</f>
        <v>PROFILE BANK</v>
      </c>
      <c r="W41" s="0" t="n">
        <f aca="false">E41*(1-D41)</f>
        <v>0</v>
      </c>
      <c r="X41" s="0" t="n">
        <f aca="false">D41*(1-E41)</f>
        <v>0</v>
      </c>
      <c r="Y41" s="0" t="n">
        <f aca="false">W41*K41</f>
        <v>0</v>
      </c>
      <c r="Z41" s="0" t="n">
        <f aca="false">X41*H41</f>
        <v>0</v>
      </c>
    </row>
    <row r="42" customFormat="false" ht="15" hidden="false" customHeight="false" outlineLevel="0" collapsed="false">
      <c r="A42" s="0" t="n">
        <v>28288</v>
      </c>
      <c r="B42" s="0" t="n">
        <f aca="false">SUMIFS(RawFinancials!$A$2:$A$747,RawFinancials!$C$2:$C$747,A42,RawFinancials!$W$2:$W$747,WF_START_PERIOD)</f>
        <v>517</v>
      </c>
      <c r="C42" s="0" t="n">
        <f aca="false">SUMIFS(RawFinancials!$A$2:$A$747,RawFinancials!$C$2:$C$747,A42,RawFinancials!$W$2:$W$747,WF_END_PERIOD)</f>
        <v>729</v>
      </c>
      <c r="D42" s="0" t="n">
        <f aca="false">COUNTIFS(RawFinancials!$C$2:$C$747,A42,RawFinancials!$W$2:$W$747,WF_START_PERIOD,RawFinancials!$AA$2:$AA$747,1)</f>
        <v>1</v>
      </c>
      <c r="E42" s="0" t="n">
        <f aca="false">COUNTIFS(RawFinancials!$C$2:$C$747,A42,RawFinancials!$W$2:$W$747,WF_END_PERIOD,RawFinancials!$AA$2:$AA$747,1)</f>
        <v>1</v>
      </c>
      <c r="F42" s="0" t="str">
        <f aca="false">IF(B42&gt;0,INDEX(RawFinancials!$Z:$Z,B42),"")</f>
        <v>ME</v>
      </c>
      <c r="G42" s="0" t="str">
        <f aca="false">IF(C42&gt;0,INDEX(RawFinancials!$Z:$Z,C42),"")</f>
        <v>ME</v>
      </c>
      <c r="H42" s="0" t="n">
        <f aca="false">SUMIFS(RawFinancials!$B$2:$B$747,RawFinancials!$C$2:$C$747,A42,RawFinancials!$W$2:$W$747,WF_START_PERIOD,RawFinancials!$AA$2:$AA$747,1)</f>
        <v>102466</v>
      </c>
      <c r="I42" s="0" t="n">
        <f aca="false">SUMIFS(RawFinancials!$AB$2:$AB$747,RawFinancials!$C$2:$C$747,A42,RawFinancials!$W$2:$W$747,WF_START_PERIOD,RawFinancials!$AA$2:$AA$747,1)</f>
        <v>251</v>
      </c>
      <c r="J42" s="0" t="n">
        <f aca="false">IF(D42=1,100*I42/H42,"")</f>
        <v>0.244959303573868</v>
      </c>
      <c r="K42" s="0" t="n">
        <f aca="false">SUMIFS(RawFinancials!$B$2:$B$747,RawFinancials!$C$2:$C$747,A42,RawFinancials!$W$2:$W$747,WF_END_PERIOD,RawFinancials!$AA$2:$AA$747,1)</f>
        <v>102731</v>
      </c>
      <c r="L42" s="0" t="n">
        <f aca="false">SUMIFS(RawFinancials!$AB$2:$AB$747,RawFinancials!$C$2:$C$747,A42,RawFinancials!$W$2:$W$747,WF_END_PERIOD,RawFinancials!$AA$2:$AA$747,1)</f>
        <v>99</v>
      </c>
      <c r="M42" s="0" t="n">
        <f aca="false">IF(E42=1,100*L42/K42,"")</f>
        <v>0.0963681848711684</v>
      </c>
      <c r="N42" s="0" t="n">
        <f aca="false">D42*E42</f>
        <v>1</v>
      </c>
      <c r="O42" s="0" t="n">
        <f aca="false">IF(N42=1,H42,0)</f>
        <v>102466</v>
      </c>
      <c r="P42" s="0" t="n">
        <f aca="false">IF(N42=1,H42*J42,0)</f>
        <v>25100</v>
      </c>
      <c r="Q42" s="0" t="n">
        <f aca="false">IF(N42=1,H42*M42,0)</f>
        <v>9874.46243100914</v>
      </c>
      <c r="R42" s="0" t="n">
        <f aca="false">IF(E42=1,1+COUNTIFS($E$2:$E$55,1,$M$2:$M$55,"&gt;"&amp;M42)+COUNTIFS($E$2:$E$55,1,$M$2:$M$55,M42,$A$2:$A$55,"&lt;"&amp;A42),0)</f>
        <v>39</v>
      </c>
      <c r="S42" s="0" t="n">
        <f aca="false">IF(E42=1,IF(COUNTIFS($E$2:$E$55,1,$G$2:$G$55,G42,$M$2:$M$55,"&gt;"&amp;M42)+COUNTIFS($E$2:$E$55,1,$G$2:$G$55,G42,$M$2:$M$55,M42,$A$2:$A$55,"&lt;"&amp;A42)=0,1,0),0)</f>
        <v>0</v>
      </c>
      <c r="T42" s="0" t="n">
        <f aca="false">IF(AND(E42=1,S42=0),1+COUNTIFS($E$2:$E$55,1,$S$2:$S$55,0,$R$2:$R$55,"&lt;"&amp;R42),0)</f>
        <v>36</v>
      </c>
      <c r="U42" s="0" t="n">
        <f aca="false">IF(E42=1,IF(S42=1,IF(G42="VT",1,IF(G42="NH",2,3)),3+T42),0)</f>
        <v>39</v>
      </c>
      <c r="V42" s="0" t="str">
        <f aca="false">IF(C42&gt;0,INDEX(RawFinancials!$P:$P,C42),IF(B42&gt;0,INDEX(RawFinancials!$P:$P,B42),""))</f>
        <v>AUBURN SAVINGS BANK, FSB</v>
      </c>
      <c r="W42" s="0" t="n">
        <f aca="false">E42*(1-D42)</f>
        <v>0</v>
      </c>
      <c r="X42" s="0" t="n">
        <f aca="false">D42*(1-E42)</f>
        <v>0</v>
      </c>
      <c r="Y42" s="0" t="n">
        <f aca="false">W42*K42</f>
        <v>0</v>
      </c>
      <c r="Z42" s="0" t="n">
        <f aca="false">X42*H42</f>
        <v>0</v>
      </c>
    </row>
    <row r="43" customFormat="false" ht="15" hidden="false" customHeight="false" outlineLevel="0" collapsed="false">
      <c r="A43" s="0" t="n">
        <v>28369</v>
      </c>
      <c r="B43" s="0" t="n">
        <f aca="false">SUMIFS(RawFinancials!$A$2:$A$747,RawFinancials!$C$2:$C$747,A43,RawFinancials!$W$2:$W$747,WF_START_PERIOD)</f>
        <v>518</v>
      </c>
      <c r="C43" s="0" t="n">
        <f aca="false">SUMIFS(RawFinancials!$A$2:$A$747,RawFinancials!$C$2:$C$747,A43,RawFinancials!$W$2:$W$747,WF_END_PERIOD)</f>
        <v>730</v>
      </c>
      <c r="D43" s="0" t="n">
        <f aca="false">COUNTIFS(RawFinancials!$C$2:$C$747,A43,RawFinancials!$W$2:$W$747,WF_START_PERIOD,RawFinancials!$AA$2:$AA$747,1)</f>
        <v>1</v>
      </c>
      <c r="E43" s="0" t="n">
        <f aca="false">COUNTIFS(RawFinancials!$C$2:$C$747,A43,RawFinancials!$W$2:$W$747,WF_END_PERIOD,RawFinancials!$AA$2:$AA$747,1)</f>
        <v>1</v>
      </c>
      <c r="F43" s="0" t="str">
        <f aca="false">IF(B43&gt;0,INDEX(RawFinancials!$Z:$Z,B43),"")</f>
        <v>ME</v>
      </c>
      <c r="G43" s="0" t="str">
        <f aca="false">IF(C43&gt;0,INDEX(RawFinancials!$Z:$Z,C43),"")</f>
        <v>ME</v>
      </c>
      <c r="H43" s="0" t="n">
        <f aca="false">SUMIFS(RawFinancials!$B$2:$B$747,RawFinancials!$C$2:$C$747,A43,RawFinancials!$W$2:$W$747,WF_START_PERIOD,RawFinancials!$AA$2:$AA$747,1)</f>
        <v>95722</v>
      </c>
      <c r="I43" s="0" t="n">
        <f aca="false">SUMIFS(RawFinancials!$AB$2:$AB$747,RawFinancials!$C$2:$C$747,A43,RawFinancials!$W$2:$W$747,WF_START_PERIOD,RawFinancials!$AA$2:$AA$747,1)</f>
        <v>141</v>
      </c>
      <c r="J43" s="0" t="n">
        <f aca="false">IF(D43=1,100*I43/H43,"")</f>
        <v>0.147301560769729</v>
      </c>
      <c r="K43" s="0" t="n">
        <f aca="false">SUMIFS(RawFinancials!$B$2:$B$747,RawFinancials!$C$2:$C$747,A43,RawFinancials!$W$2:$W$747,WF_END_PERIOD,RawFinancials!$AA$2:$AA$747,1)</f>
        <v>93177</v>
      </c>
      <c r="L43" s="0" t="n">
        <f aca="false">SUMIFS(RawFinancials!$AB$2:$AB$747,RawFinancials!$C$2:$C$747,A43,RawFinancials!$W$2:$W$747,WF_END_PERIOD,RawFinancials!$AA$2:$AA$747,1)</f>
        <v>86</v>
      </c>
      <c r="M43" s="0" t="n">
        <f aca="false">IF(E43=1,100*L43/K43,"")</f>
        <v>0.0922974553806197</v>
      </c>
      <c r="N43" s="0" t="n">
        <f aca="false">D43*E43</f>
        <v>1</v>
      </c>
      <c r="O43" s="0" t="n">
        <f aca="false">IF(N43=1,H43,0)</f>
        <v>95722</v>
      </c>
      <c r="P43" s="0" t="n">
        <f aca="false">IF(N43=1,H43*J43,0)</f>
        <v>14100</v>
      </c>
      <c r="Q43" s="0" t="n">
        <f aca="false">IF(N43=1,H43*M43,0)</f>
        <v>8834.89702394368</v>
      </c>
      <c r="R43" s="0" t="n">
        <f aca="false">IF(E43=1,1+COUNTIFS($E$2:$E$55,1,$M$2:$M$55,"&gt;"&amp;M43)+COUNTIFS($E$2:$E$55,1,$M$2:$M$55,M43,$A$2:$A$55,"&lt;"&amp;A43),0)</f>
        <v>41</v>
      </c>
      <c r="S43" s="0" t="n">
        <f aca="false">IF(E43=1,IF(COUNTIFS($E$2:$E$55,1,$G$2:$G$55,G43,$M$2:$M$55,"&gt;"&amp;M43)+COUNTIFS($E$2:$E$55,1,$G$2:$G$55,G43,$M$2:$M$55,M43,$A$2:$A$55,"&lt;"&amp;A43)=0,1,0),0)</f>
        <v>0</v>
      </c>
      <c r="T43" s="0" t="n">
        <f aca="false">IF(AND(E43=1,S43=0),1+COUNTIFS($E$2:$E$55,1,$S$2:$S$55,0,$R$2:$R$55,"&lt;"&amp;R43),0)</f>
        <v>38</v>
      </c>
      <c r="U43" s="0" t="n">
        <f aca="false">IF(E43=1,IF(S43=1,IF(G43="VT",1,IF(G43="NH",2,3)),3+T43),0)</f>
        <v>41</v>
      </c>
      <c r="V43" s="0" t="str">
        <f aca="false">IF(C43&gt;0,INDEX(RawFinancials!$P:$P,C43),IF(B43&gt;0,INDEX(RawFinancials!$P:$P,B43),""))</f>
        <v>ROCKLAND SAVINGS BANK, FSB</v>
      </c>
      <c r="W43" s="0" t="n">
        <f aca="false">E43*(1-D43)</f>
        <v>0</v>
      </c>
      <c r="X43" s="0" t="n">
        <f aca="false">D43*(1-E43)</f>
        <v>0</v>
      </c>
      <c r="Y43" s="0" t="n">
        <f aca="false">W43*K43</f>
        <v>0</v>
      </c>
      <c r="Z43" s="0" t="n">
        <f aca="false">X43*H43</f>
        <v>0</v>
      </c>
    </row>
    <row r="44" customFormat="false" ht="15" hidden="false" customHeight="false" outlineLevel="0" collapsed="false">
      <c r="A44" s="0" t="n">
        <v>28837</v>
      </c>
      <c r="B44" s="0" t="n">
        <f aca="false">SUMIFS(RawFinancials!$A$2:$A$747,RawFinancials!$C$2:$C$747,A44,RawFinancials!$W$2:$W$747,WF_START_PERIOD)</f>
        <v>519</v>
      </c>
      <c r="C44" s="0" t="n">
        <f aca="false">SUMIFS(RawFinancials!$A$2:$A$747,RawFinancials!$C$2:$C$747,A44,RawFinancials!$W$2:$W$747,WF_END_PERIOD)</f>
        <v>731</v>
      </c>
      <c r="D44" s="0" t="n">
        <f aca="false">COUNTIFS(RawFinancials!$C$2:$C$747,A44,RawFinancials!$W$2:$W$747,WF_START_PERIOD,RawFinancials!$AA$2:$AA$747,1)</f>
        <v>1</v>
      </c>
      <c r="E44" s="0" t="n">
        <f aca="false">COUNTIFS(RawFinancials!$C$2:$C$747,A44,RawFinancials!$W$2:$W$747,WF_END_PERIOD,RawFinancials!$AA$2:$AA$747,1)</f>
        <v>1</v>
      </c>
      <c r="F44" s="0" t="str">
        <f aca="false">IF(B44&gt;0,INDEX(RawFinancials!$Z:$Z,B44),"")</f>
        <v>VT</v>
      </c>
      <c r="G44" s="0" t="str">
        <f aca="false">IF(C44&gt;0,INDEX(RawFinancials!$Z:$Z,C44),"")</f>
        <v>VT</v>
      </c>
      <c r="H44" s="0" t="n">
        <f aca="false">SUMIFS(RawFinancials!$B$2:$B$747,RawFinancials!$C$2:$C$747,A44,RawFinancials!$W$2:$W$747,WF_START_PERIOD,RawFinancials!$AA$2:$AA$747,1)</f>
        <v>285118</v>
      </c>
      <c r="I44" s="0" t="n">
        <f aca="false">SUMIFS(RawFinancials!$AB$2:$AB$747,RawFinancials!$C$2:$C$747,A44,RawFinancials!$W$2:$W$747,WF_START_PERIOD,RawFinancials!$AA$2:$AA$747,1)</f>
        <v>155</v>
      </c>
      <c r="J44" s="0" t="n">
        <f aca="false">IF(D44=1,100*I44/H44,"")</f>
        <v>0.054363456533786</v>
      </c>
      <c r="K44" s="0" t="n">
        <f aca="false">SUMIFS(RawFinancials!$B$2:$B$747,RawFinancials!$C$2:$C$747,A44,RawFinancials!$W$2:$W$747,WF_END_PERIOD,RawFinancials!$AA$2:$AA$747,1)</f>
        <v>279103</v>
      </c>
      <c r="L44" s="0" t="n">
        <f aca="false">SUMIFS(RawFinancials!$AB$2:$AB$747,RawFinancials!$C$2:$C$747,A44,RawFinancials!$W$2:$W$747,WF_END_PERIOD,RawFinancials!$AA$2:$AA$747,1)</f>
        <v>324</v>
      </c>
      <c r="M44" s="0" t="n">
        <f aca="false">IF(E44=1,100*L44/K44,"")</f>
        <v>0.1160861760712</v>
      </c>
      <c r="N44" s="0" t="n">
        <f aca="false">D44*E44</f>
        <v>1</v>
      </c>
      <c r="O44" s="0" t="n">
        <f aca="false">IF(N44=1,H44,0)</f>
        <v>285118</v>
      </c>
      <c r="P44" s="0" t="n">
        <f aca="false">IF(N44=1,H44*J44,0)</f>
        <v>15500</v>
      </c>
      <c r="Q44" s="0" t="n">
        <f aca="false">IF(N44=1,H44*M44,0)</f>
        <v>33098.2583490683</v>
      </c>
      <c r="R44" s="0" t="n">
        <f aca="false">IF(E44=1,1+COUNTIFS($E$2:$E$55,1,$M$2:$M$55,"&gt;"&amp;M44)+COUNTIFS($E$2:$E$55,1,$M$2:$M$55,M44,$A$2:$A$55,"&lt;"&amp;A44),0)</f>
        <v>38</v>
      </c>
      <c r="S44" s="0" t="n">
        <f aca="false">IF(E44=1,IF(COUNTIFS($E$2:$E$55,1,$G$2:$G$55,G44,$M$2:$M$55,"&gt;"&amp;M44)+COUNTIFS($E$2:$E$55,1,$G$2:$G$55,G44,$M$2:$M$55,M44,$A$2:$A$55,"&lt;"&amp;A44)=0,1,0),0)</f>
        <v>0</v>
      </c>
      <c r="T44" s="0" t="n">
        <f aca="false">IF(AND(E44=1,S44=0),1+COUNTIFS($E$2:$E$55,1,$S$2:$S$55,0,$R$2:$R$55,"&lt;"&amp;R44),0)</f>
        <v>35</v>
      </c>
      <c r="U44" s="0" t="n">
        <f aca="false">IF(E44=1,IF(S44=1,IF(G44="VT",1,IF(G44="NH",2,3)),3+T44),0)</f>
        <v>38</v>
      </c>
      <c r="V44" s="0" t="str">
        <f aca="false">IF(C44&gt;0,INDEX(RawFinancials!$P:$P,C44),IF(B44&gt;0,INDEX(RawFinancials!$P:$P,B44),""))</f>
        <v>THE BRATTLEBORO SAVINGS AND LOAN ASSOCIATION</v>
      </c>
      <c r="W44" s="0" t="n">
        <f aca="false">E44*(1-D44)</f>
        <v>0</v>
      </c>
      <c r="X44" s="0" t="n">
        <f aca="false">D44*(1-E44)</f>
        <v>0</v>
      </c>
      <c r="Y44" s="0" t="n">
        <f aca="false">W44*K44</f>
        <v>0</v>
      </c>
      <c r="Z44" s="0" t="n">
        <f aca="false">X44*H44</f>
        <v>0</v>
      </c>
    </row>
    <row r="45" customFormat="false" ht="15" hidden="false" customHeight="false" outlineLevel="0" collapsed="false">
      <c r="A45" s="0" t="n">
        <v>29636</v>
      </c>
      <c r="B45" s="0" t="n">
        <f aca="false">SUMIFS(RawFinancials!$A$2:$A$747,RawFinancials!$C$2:$C$747,A45,RawFinancials!$W$2:$W$747,WF_START_PERIOD)</f>
        <v>520</v>
      </c>
      <c r="C45" s="0" t="n">
        <f aca="false">SUMIFS(RawFinancials!$A$2:$A$747,RawFinancials!$C$2:$C$747,A45,RawFinancials!$W$2:$W$747,WF_END_PERIOD)</f>
        <v>732</v>
      </c>
      <c r="D45" s="0" t="n">
        <f aca="false">COUNTIFS(RawFinancials!$C$2:$C$747,A45,RawFinancials!$W$2:$W$747,WF_START_PERIOD,RawFinancials!$AA$2:$AA$747,1)</f>
        <v>1</v>
      </c>
      <c r="E45" s="0" t="n">
        <f aca="false">COUNTIFS(RawFinancials!$C$2:$C$747,A45,RawFinancials!$W$2:$W$747,WF_END_PERIOD,RawFinancials!$AA$2:$AA$747,1)</f>
        <v>1</v>
      </c>
      <c r="F45" s="0" t="str">
        <f aca="false">IF(B45&gt;0,INDEX(RawFinancials!$Z:$Z,B45),"")</f>
        <v>ME</v>
      </c>
      <c r="G45" s="0" t="str">
        <f aca="false">IF(C45&gt;0,INDEX(RawFinancials!$Z:$Z,C45),"")</f>
        <v>ME</v>
      </c>
      <c r="H45" s="0" t="n">
        <f aca="false">SUMIFS(RawFinancials!$B$2:$B$747,RawFinancials!$C$2:$C$747,A45,RawFinancials!$W$2:$W$747,WF_START_PERIOD,RawFinancials!$AA$2:$AA$747,1)</f>
        <v>180255</v>
      </c>
      <c r="I45" s="0" t="n">
        <f aca="false">SUMIFS(RawFinancials!$AB$2:$AB$747,RawFinancials!$C$2:$C$747,A45,RawFinancials!$W$2:$W$747,WF_START_PERIOD,RawFinancials!$AA$2:$AA$747,1)</f>
        <v>2731</v>
      </c>
      <c r="J45" s="0" t="n">
        <f aca="false">IF(D45=1,100*I45/H45,"")</f>
        <v>1.51507586474716</v>
      </c>
      <c r="K45" s="0" t="n">
        <f aca="false">SUMIFS(RawFinancials!$B$2:$B$747,RawFinancials!$C$2:$C$747,A45,RawFinancials!$W$2:$W$747,WF_END_PERIOD,RawFinancials!$AA$2:$AA$747,1)</f>
        <v>185573</v>
      </c>
      <c r="L45" s="0" t="n">
        <f aca="false">SUMIFS(RawFinancials!$AB$2:$AB$747,RawFinancials!$C$2:$C$747,A45,RawFinancials!$W$2:$W$747,WF_END_PERIOD,RawFinancials!$AA$2:$AA$747,1)</f>
        <v>3102</v>
      </c>
      <c r="M45" s="0" t="n">
        <f aca="false">IF(E45=1,100*L45/K45,"")</f>
        <v>1.67157937846562</v>
      </c>
      <c r="N45" s="0" t="n">
        <f aca="false">D45*E45</f>
        <v>1</v>
      </c>
      <c r="O45" s="0" t="n">
        <f aca="false">IF(N45=1,H45,0)</f>
        <v>180255</v>
      </c>
      <c r="P45" s="0" t="n">
        <f aca="false">IF(N45=1,H45*J45,0)</f>
        <v>273100</v>
      </c>
      <c r="Q45" s="0" t="n">
        <f aca="false">IF(N45=1,H45*M45,0)</f>
        <v>301310.54086532</v>
      </c>
      <c r="R45" s="0" t="n">
        <f aca="false">IF(E45=1,1+COUNTIFS($E$2:$E$55,1,$M$2:$M$55,"&gt;"&amp;M45)+COUNTIFS($E$2:$E$55,1,$M$2:$M$55,M45,$A$2:$A$55,"&lt;"&amp;A45),0)</f>
        <v>3</v>
      </c>
      <c r="S45" s="0" t="n">
        <f aca="false">IF(E45=1,IF(COUNTIFS($E$2:$E$55,1,$G$2:$G$55,G45,$M$2:$M$55,"&gt;"&amp;M45)+COUNTIFS($E$2:$E$55,1,$G$2:$G$55,G45,$M$2:$M$55,M45,$A$2:$A$55,"&lt;"&amp;A45)=0,1,0),0)</f>
        <v>1</v>
      </c>
      <c r="T45" s="0" t="n">
        <f aca="false">IF(AND(E45=1,S45=0),1+COUNTIFS($E$2:$E$55,1,$S$2:$S$55,0,$R$2:$R$55,"&lt;"&amp;R45),0)</f>
        <v>0</v>
      </c>
      <c r="U45" s="0" t="n">
        <f aca="false">IF(E45=1,IF(S45=1,IF(G45="VT",1,IF(G45="NH",2,3)),3+T45),0)</f>
        <v>3</v>
      </c>
      <c r="V45" s="0" t="str">
        <f aca="false">IF(C45&gt;0,INDEX(RawFinancials!$P:$P,C45),IF(B45&gt;0,INDEX(RawFinancials!$P:$P,B45),""))</f>
        <v>FIRST FEDERAL SAVINGS AND LOAN ASSOCIATION OF BATH</v>
      </c>
      <c r="W45" s="0" t="n">
        <f aca="false">E45*(1-D45)</f>
        <v>0</v>
      </c>
      <c r="X45" s="0" t="n">
        <f aca="false">D45*(1-E45)</f>
        <v>0</v>
      </c>
      <c r="Y45" s="0" t="n">
        <f aca="false">W45*K45</f>
        <v>0</v>
      </c>
      <c r="Z45" s="0" t="n">
        <f aca="false">X45*H45</f>
        <v>0</v>
      </c>
    </row>
    <row r="46" customFormat="false" ht="15" hidden="false" customHeight="false" outlineLevel="0" collapsed="false">
      <c r="A46" s="0" t="n">
        <v>29743</v>
      </c>
      <c r="B46" s="0" t="n">
        <f aca="false">SUMIFS(RawFinancials!$A$2:$A$747,RawFinancials!$C$2:$C$747,A46,RawFinancials!$W$2:$W$747,WF_START_PERIOD)</f>
        <v>521</v>
      </c>
      <c r="C46" s="0" t="n">
        <f aca="false">SUMIFS(RawFinancials!$A$2:$A$747,RawFinancials!$C$2:$C$747,A46,RawFinancials!$W$2:$W$747,WF_END_PERIOD)</f>
        <v>733</v>
      </c>
      <c r="D46" s="0" t="n">
        <f aca="false">COUNTIFS(RawFinancials!$C$2:$C$747,A46,RawFinancials!$W$2:$W$747,WF_START_PERIOD,RawFinancials!$AA$2:$AA$747,1)</f>
        <v>1</v>
      </c>
      <c r="E46" s="0" t="n">
        <f aca="false">COUNTIFS(RawFinancials!$C$2:$C$747,A46,RawFinancials!$W$2:$W$747,WF_END_PERIOD,RawFinancials!$AA$2:$AA$747,1)</f>
        <v>1</v>
      </c>
      <c r="F46" s="0" t="str">
        <f aca="false">IF(B46&gt;0,INDEX(RawFinancials!$Z:$Z,B46),"")</f>
        <v>ME</v>
      </c>
      <c r="G46" s="0" t="str">
        <f aca="false">IF(C46&gt;0,INDEX(RawFinancials!$Z:$Z,C46),"")</f>
        <v>ME</v>
      </c>
      <c r="H46" s="0" t="n">
        <f aca="false">SUMIFS(RawFinancials!$B$2:$B$747,RawFinancials!$C$2:$C$747,A46,RawFinancials!$W$2:$W$747,WF_START_PERIOD,RawFinancials!$AA$2:$AA$747,1)</f>
        <v>189887</v>
      </c>
      <c r="I46" s="0" t="n">
        <f aca="false">SUMIFS(RawFinancials!$AB$2:$AB$747,RawFinancials!$C$2:$C$747,A46,RawFinancials!$W$2:$W$747,WF_START_PERIOD,RawFinancials!$AA$2:$AA$747,1)</f>
        <v>167</v>
      </c>
      <c r="J46" s="0" t="n">
        <f aca="false">IF(D46=1,100*I46/H46,"")</f>
        <v>0.0879470421882488</v>
      </c>
      <c r="K46" s="0" t="n">
        <f aca="false">SUMIFS(RawFinancials!$B$2:$B$747,RawFinancials!$C$2:$C$747,A46,RawFinancials!$W$2:$W$747,WF_END_PERIOD,RawFinancials!$AA$2:$AA$747,1)</f>
        <v>200783</v>
      </c>
      <c r="L46" s="0" t="n">
        <f aca="false">SUMIFS(RawFinancials!$AB$2:$AB$747,RawFinancials!$C$2:$C$747,A46,RawFinancials!$W$2:$W$747,WF_END_PERIOD,RawFinancials!$AA$2:$AA$747,1)</f>
        <v>662</v>
      </c>
      <c r="M46" s="0" t="n">
        <f aca="false">IF(E46=1,100*L46/K46,"")</f>
        <v>0.329709188526917</v>
      </c>
      <c r="N46" s="0" t="n">
        <f aca="false">D46*E46</f>
        <v>1</v>
      </c>
      <c r="O46" s="0" t="n">
        <f aca="false">IF(N46=1,H46,0)</f>
        <v>189887</v>
      </c>
      <c r="P46" s="0" t="n">
        <f aca="false">IF(N46=1,H46*J46,0)</f>
        <v>16700</v>
      </c>
      <c r="Q46" s="0" t="n">
        <f aca="false">IF(N46=1,H46*M46,0)</f>
        <v>62607.4886818107</v>
      </c>
      <c r="R46" s="0" t="n">
        <f aca="false">IF(E46=1,1+COUNTIFS($E$2:$E$55,1,$M$2:$M$55,"&gt;"&amp;M46)+COUNTIFS($E$2:$E$55,1,$M$2:$M$55,M46,$A$2:$A$55,"&lt;"&amp;A46),0)</f>
        <v>21</v>
      </c>
      <c r="S46" s="0" t="n">
        <f aca="false">IF(E46=1,IF(COUNTIFS($E$2:$E$55,1,$G$2:$G$55,G46,$M$2:$M$55,"&gt;"&amp;M46)+COUNTIFS($E$2:$E$55,1,$G$2:$G$55,G46,$M$2:$M$55,M46,$A$2:$A$55,"&lt;"&amp;A46)=0,1,0),0)</f>
        <v>0</v>
      </c>
      <c r="T46" s="0" t="n">
        <f aca="false">IF(AND(E46=1,S46=0),1+COUNTIFS($E$2:$E$55,1,$S$2:$S$55,0,$R$2:$R$55,"&lt;"&amp;R46),0)</f>
        <v>18</v>
      </c>
      <c r="U46" s="0" t="n">
        <f aca="false">IF(E46=1,IF(S46=1,IF(G46="VT",1,IF(G46="NH",2,3)),3+T46),0)</f>
        <v>21</v>
      </c>
      <c r="V46" s="0" t="str">
        <f aca="false">IF(C46&gt;0,INDEX(RawFinancials!$P:$P,C46),IF(B46&gt;0,INDEX(RawFinancials!$P:$P,B46),""))</f>
        <v>AROOSTOOK COUNTY FEDERAL SAVINGS AND LOAN ASSOCIATION</v>
      </c>
      <c r="W46" s="0" t="n">
        <f aca="false">E46*(1-D46)</f>
        <v>0</v>
      </c>
      <c r="X46" s="0" t="n">
        <f aca="false">D46*(1-E46)</f>
        <v>0</v>
      </c>
      <c r="Y46" s="0" t="n">
        <f aca="false">W46*K46</f>
        <v>0</v>
      </c>
      <c r="Z46" s="0" t="n">
        <f aca="false">X46*H46</f>
        <v>0</v>
      </c>
    </row>
    <row r="47" customFormat="false" ht="15" hidden="false" customHeight="false" outlineLevel="0" collapsed="false">
      <c r="A47" s="0" t="n">
        <v>29744</v>
      </c>
      <c r="B47" s="0" t="n">
        <f aca="false">SUMIFS(RawFinancials!$A$2:$A$747,RawFinancials!$C$2:$C$747,A47,RawFinancials!$W$2:$W$747,WF_START_PERIOD)</f>
        <v>522</v>
      </c>
      <c r="C47" s="0" t="n">
        <f aca="false">SUMIFS(RawFinancials!$A$2:$A$747,RawFinancials!$C$2:$C$747,A47,RawFinancials!$W$2:$W$747,WF_END_PERIOD)</f>
        <v>734</v>
      </c>
      <c r="D47" s="0" t="n">
        <f aca="false">COUNTIFS(RawFinancials!$C$2:$C$747,A47,RawFinancials!$W$2:$W$747,WF_START_PERIOD,RawFinancials!$AA$2:$AA$747,1)</f>
        <v>1</v>
      </c>
      <c r="E47" s="0" t="n">
        <f aca="false">COUNTIFS(RawFinancials!$C$2:$C$747,A47,RawFinancials!$W$2:$W$747,WF_END_PERIOD,RawFinancials!$AA$2:$AA$747,1)</f>
        <v>1</v>
      </c>
      <c r="F47" s="0" t="str">
        <f aca="false">IF(B47&gt;0,INDEX(RawFinancials!$Z:$Z,B47),"")</f>
        <v>NH</v>
      </c>
      <c r="G47" s="0" t="str">
        <f aca="false">IF(C47&gt;0,INDEX(RawFinancials!$Z:$Z,C47),"")</f>
        <v>NH</v>
      </c>
      <c r="H47" s="0" t="n">
        <f aca="false">SUMIFS(RawFinancials!$B$2:$B$747,RawFinancials!$C$2:$C$747,A47,RawFinancials!$W$2:$W$747,WF_START_PERIOD,RawFinancials!$AA$2:$AA$747,1)</f>
        <v>602018</v>
      </c>
      <c r="I47" s="0" t="n">
        <f aca="false">SUMIFS(RawFinancials!$AB$2:$AB$747,RawFinancials!$C$2:$C$747,A47,RawFinancials!$W$2:$W$747,WF_START_PERIOD,RawFinancials!$AA$2:$AA$747,1)</f>
        <v>141</v>
      </c>
      <c r="J47" s="0" t="n">
        <f aca="false">IF(D47=1,100*I47/H47,"")</f>
        <v>0.0234212266078423</v>
      </c>
      <c r="K47" s="0" t="n">
        <f aca="false">SUMIFS(RawFinancials!$B$2:$B$747,RawFinancials!$C$2:$C$747,A47,RawFinancials!$W$2:$W$747,WF_END_PERIOD,RawFinancials!$AA$2:$AA$747,1)</f>
        <v>605109</v>
      </c>
      <c r="L47" s="0" t="n">
        <f aca="false">SUMIFS(RawFinancials!$AB$2:$AB$747,RawFinancials!$C$2:$C$747,A47,RawFinancials!$W$2:$W$747,WF_END_PERIOD,RawFinancials!$AA$2:$AA$747,1)</f>
        <v>14</v>
      </c>
      <c r="M47" s="0" t="n">
        <f aca="false">IF(E47=1,100*L47/K47,"")</f>
        <v>0.00231363275046314</v>
      </c>
      <c r="N47" s="0" t="n">
        <f aca="false">D47*E47</f>
        <v>1</v>
      </c>
      <c r="O47" s="0" t="n">
        <f aca="false">IF(N47=1,H47,0)</f>
        <v>602018</v>
      </c>
      <c r="P47" s="0" t="n">
        <f aca="false">IF(N47=1,H47*J47,0)</f>
        <v>14100</v>
      </c>
      <c r="Q47" s="0" t="n">
        <f aca="false">IF(N47=1,H47*M47,0)</f>
        <v>1392.84856116832</v>
      </c>
      <c r="R47" s="0" t="n">
        <f aca="false">IF(E47=1,1+COUNTIFS($E$2:$E$55,1,$M$2:$M$55,"&gt;"&amp;M47)+COUNTIFS($E$2:$E$55,1,$M$2:$M$55,M47,$A$2:$A$55,"&lt;"&amp;A47),0)</f>
        <v>48</v>
      </c>
      <c r="S47" s="0" t="n">
        <f aca="false">IF(E47=1,IF(COUNTIFS($E$2:$E$55,1,$G$2:$G$55,G47,$M$2:$M$55,"&gt;"&amp;M47)+COUNTIFS($E$2:$E$55,1,$G$2:$G$55,G47,$M$2:$M$55,M47,$A$2:$A$55,"&lt;"&amp;A47)=0,1,0),0)</f>
        <v>0</v>
      </c>
      <c r="T47" s="0" t="n">
        <f aca="false">IF(AND(E47=1,S47=0),1+COUNTIFS($E$2:$E$55,1,$S$2:$S$55,0,$R$2:$R$55,"&lt;"&amp;R47),0)</f>
        <v>45</v>
      </c>
      <c r="U47" s="0" t="n">
        <f aca="false">IF(E47=1,IF(S47=1,IF(G47="VT",1,IF(G47="NH",2,3)),3+T47),0)</f>
        <v>48</v>
      </c>
      <c r="V47" s="0" t="str">
        <f aca="false">IF(C47&gt;0,INDEX(RawFinancials!$P:$P,C47),IF(B47&gt;0,INDEX(RawFinancials!$P:$P,B47),""))</f>
        <v>FIRST SEACOAST BANK</v>
      </c>
      <c r="W47" s="0" t="n">
        <f aca="false">E47*(1-D47)</f>
        <v>0</v>
      </c>
      <c r="X47" s="0" t="n">
        <f aca="false">D47*(1-E47)</f>
        <v>0</v>
      </c>
      <c r="Y47" s="0" t="n">
        <f aca="false">W47*K47</f>
        <v>0</v>
      </c>
      <c r="Z47" s="0" t="n">
        <f aca="false">X47*H47</f>
        <v>0</v>
      </c>
    </row>
    <row r="48" customFormat="false" ht="15" hidden="false" customHeight="false" outlineLevel="0" collapsed="false">
      <c r="A48" s="0" t="n">
        <v>30350</v>
      </c>
      <c r="B48" s="0" t="n">
        <f aca="false">SUMIFS(RawFinancials!$A$2:$A$747,RawFinancials!$C$2:$C$747,A48,RawFinancials!$W$2:$W$747,WF_START_PERIOD)</f>
        <v>523</v>
      </c>
      <c r="C48" s="0" t="n">
        <f aca="false">SUMIFS(RawFinancials!$A$2:$A$747,RawFinancials!$C$2:$C$747,A48,RawFinancials!$W$2:$W$747,WF_END_PERIOD)</f>
        <v>735</v>
      </c>
      <c r="D48" s="0" t="n">
        <f aca="false">COUNTIFS(RawFinancials!$C$2:$C$747,A48,RawFinancials!$W$2:$W$747,WF_START_PERIOD,RawFinancials!$AA$2:$AA$747,1)</f>
        <v>1</v>
      </c>
      <c r="E48" s="0" t="n">
        <f aca="false">COUNTIFS(RawFinancials!$C$2:$C$747,A48,RawFinancials!$W$2:$W$747,WF_END_PERIOD,RawFinancials!$AA$2:$AA$747,1)</f>
        <v>1</v>
      </c>
      <c r="F48" s="0" t="str">
        <f aca="false">IF(B48&gt;0,INDEX(RawFinancials!$Z:$Z,B48),"")</f>
        <v>VT</v>
      </c>
      <c r="G48" s="0" t="str">
        <f aca="false">IF(C48&gt;0,INDEX(RawFinancials!$Z:$Z,C48),"")</f>
        <v>VT</v>
      </c>
      <c r="H48" s="0" t="n">
        <f aca="false">SUMIFS(RawFinancials!$B$2:$B$747,RawFinancials!$C$2:$C$747,A48,RawFinancials!$W$2:$W$747,WF_START_PERIOD,RawFinancials!$AA$2:$AA$747,1)</f>
        <v>564787</v>
      </c>
      <c r="I48" s="0" t="n">
        <f aca="false">SUMIFS(RawFinancials!$AB$2:$AB$747,RawFinancials!$C$2:$C$747,A48,RawFinancials!$W$2:$W$747,WF_START_PERIOD,RawFinancials!$AA$2:$AA$747,1)</f>
        <v>1683</v>
      </c>
      <c r="J48" s="0" t="n">
        <f aca="false">IF(D48=1,100*I48/H48,"")</f>
        <v>0.297988445201465</v>
      </c>
      <c r="K48" s="0" t="n">
        <f aca="false">SUMIFS(RawFinancials!$B$2:$B$747,RawFinancials!$C$2:$C$747,A48,RawFinancials!$W$2:$W$747,WF_END_PERIOD,RawFinancials!$AA$2:$AA$747,1)</f>
        <v>621434</v>
      </c>
      <c r="L48" s="0" t="n">
        <f aca="false">SUMIFS(RawFinancials!$AB$2:$AB$747,RawFinancials!$C$2:$C$747,A48,RawFinancials!$W$2:$W$747,WF_END_PERIOD,RawFinancials!$AA$2:$AA$747,1)</f>
        <v>1787</v>
      </c>
      <c r="M48" s="0" t="n">
        <f aca="false">IF(E48=1,100*L48/K48,"")</f>
        <v>0.287560706366243</v>
      </c>
      <c r="N48" s="0" t="n">
        <f aca="false">D48*E48</f>
        <v>1</v>
      </c>
      <c r="O48" s="0" t="n">
        <f aca="false">IF(N48=1,H48,0)</f>
        <v>564787</v>
      </c>
      <c r="P48" s="0" t="n">
        <f aca="false">IF(N48=1,H48*J48,0)</f>
        <v>168300</v>
      </c>
      <c r="Q48" s="0" t="n">
        <f aca="false">IF(N48=1,H48*M48,0)</f>
        <v>162410.548666471</v>
      </c>
      <c r="R48" s="0" t="n">
        <f aca="false">IF(E48=1,1+COUNTIFS($E$2:$E$55,1,$M$2:$M$55,"&gt;"&amp;M48)+COUNTIFS($E$2:$E$55,1,$M$2:$M$55,M48,$A$2:$A$55,"&lt;"&amp;A48),0)</f>
        <v>25</v>
      </c>
      <c r="S48" s="0" t="n">
        <f aca="false">IF(E48=1,IF(COUNTIFS($E$2:$E$55,1,$G$2:$G$55,G48,$M$2:$M$55,"&gt;"&amp;M48)+COUNTIFS($E$2:$E$55,1,$G$2:$G$55,G48,$M$2:$M$55,M48,$A$2:$A$55,"&lt;"&amp;A48)=0,1,0),0)</f>
        <v>0</v>
      </c>
      <c r="T48" s="0" t="n">
        <f aca="false">IF(AND(E48=1,S48=0),1+COUNTIFS($E$2:$E$55,1,$S$2:$S$55,0,$R$2:$R$55,"&lt;"&amp;R48),0)</f>
        <v>22</v>
      </c>
      <c r="U48" s="0" t="n">
        <f aca="false">IF(E48=1,IF(S48=1,IF(G48="VT",1,IF(G48="NH",2,3)),3+T48),0)</f>
        <v>25</v>
      </c>
      <c r="V48" s="0" t="str">
        <f aca="false">IF(C48&gt;0,INDEX(RawFinancials!$P:$P,C48),IF(B48&gt;0,INDEX(RawFinancials!$P:$P,B48),""))</f>
        <v>THE BANK OF BENNINGTON</v>
      </c>
      <c r="W48" s="0" t="n">
        <f aca="false">E48*(1-D48)</f>
        <v>0</v>
      </c>
      <c r="X48" s="0" t="n">
        <f aca="false">D48*(1-E48)</f>
        <v>0</v>
      </c>
      <c r="Y48" s="0" t="n">
        <f aca="false">W48*K48</f>
        <v>0</v>
      </c>
      <c r="Z48" s="0" t="n">
        <f aca="false">X48*H48</f>
        <v>0</v>
      </c>
    </row>
    <row r="49" customFormat="false" ht="15" hidden="false" customHeight="false" outlineLevel="0" collapsed="false">
      <c r="A49" s="0" t="n">
        <v>30878</v>
      </c>
      <c r="B49" s="0" t="n">
        <f aca="false">SUMIFS(RawFinancials!$A$2:$A$747,RawFinancials!$C$2:$C$747,A49,RawFinancials!$W$2:$W$747,WF_START_PERIOD)</f>
        <v>524</v>
      </c>
      <c r="C49" s="0" t="n">
        <f aca="false">SUMIFS(RawFinancials!$A$2:$A$747,RawFinancials!$C$2:$C$747,A49,RawFinancials!$W$2:$W$747,WF_END_PERIOD)</f>
        <v>736</v>
      </c>
      <c r="D49" s="0" t="n">
        <f aca="false">COUNTIFS(RawFinancials!$C$2:$C$747,A49,RawFinancials!$W$2:$W$747,WF_START_PERIOD,RawFinancials!$AA$2:$AA$747,1)</f>
        <v>1</v>
      </c>
      <c r="E49" s="0" t="n">
        <f aca="false">COUNTIFS(RawFinancials!$C$2:$C$747,A49,RawFinancials!$W$2:$W$747,WF_END_PERIOD,RawFinancials!$AA$2:$AA$747,1)</f>
        <v>1</v>
      </c>
      <c r="F49" s="0" t="str">
        <f aca="false">IF(B49&gt;0,INDEX(RawFinancials!$Z:$Z,B49),"")</f>
        <v>ME</v>
      </c>
      <c r="G49" s="0" t="str">
        <f aca="false">IF(C49&gt;0,INDEX(RawFinancials!$Z:$Z,C49),"")</f>
        <v>ME</v>
      </c>
      <c r="H49" s="0" t="n">
        <f aca="false">SUMIFS(RawFinancials!$B$2:$B$747,RawFinancials!$C$2:$C$747,A49,RawFinancials!$W$2:$W$747,WF_START_PERIOD,RawFinancials!$AA$2:$AA$747,1)</f>
        <v>102920</v>
      </c>
      <c r="I49" s="0" t="n">
        <f aca="false">SUMIFS(RawFinancials!$AB$2:$AB$747,RawFinancials!$C$2:$C$747,A49,RawFinancials!$W$2:$W$747,WF_START_PERIOD,RawFinancials!$AA$2:$AA$747,1)</f>
        <v>1829</v>
      </c>
      <c r="J49" s="0" t="n">
        <f aca="false">IF(D49=1,100*I49/H49,"")</f>
        <v>1.77710843373494</v>
      </c>
      <c r="K49" s="0" t="n">
        <f aca="false">SUMIFS(RawFinancials!$B$2:$B$747,RawFinancials!$C$2:$C$747,A49,RawFinancials!$W$2:$W$747,WF_END_PERIOD,RawFinancials!$AA$2:$AA$747,1)</f>
        <v>98909</v>
      </c>
      <c r="L49" s="0" t="n">
        <f aca="false">SUMIFS(RawFinancials!$AB$2:$AB$747,RawFinancials!$C$2:$C$747,A49,RawFinancials!$W$2:$W$747,WF_END_PERIOD,RawFinancials!$AA$2:$AA$747,1)</f>
        <v>1353</v>
      </c>
      <c r="M49" s="0" t="n">
        <f aca="false">IF(E49=1,100*L49/K49,"")</f>
        <v>1.36792405140078</v>
      </c>
      <c r="N49" s="0" t="n">
        <f aca="false">D49*E49</f>
        <v>1</v>
      </c>
      <c r="O49" s="0" t="n">
        <f aca="false">IF(N49=1,H49,0)</f>
        <v>102920</v>
      </c>
      <c r="P49" s="0" t="n">
        <f aca="false">IF(N49=1,H49*J49,0)</f>
        <v>182900</v>
      </c>
      <c r="Q49" s="0" t="n">
        <f aca="false">IF(N49=1,H49*M49,0)</f>
        <v>140786.743370169</v>
      </c>
      <c r="R49" s="0" t="n">
        <f aca="false">IF(E49=1,1+COUNTIFS($E$2:$E$55,1,$M$2:$M$55,"&gt;"&amp;M49)+COUNTIFS($E$2:$E$55,1,$M$2:$M$55,M49,$A$2:$A$55,"&lt;"&amp;A49),0)</f>
        <v>5</v>
      </c>
      <c r="S49" s="0" t="n">
        <f aca="false">IF(E49=1,IF(COUNTIFS($E$2:$E$55,1,$G$2:$G$55,G49,$M$2:$M$55,"&gt;"&amp;M49)+COUNTIFS($E$2:$E$55,1,$G$2:$G$55,G49,$M$2:$M$55,M49,$A$2:$A$55,"&lt;"&amp;A49)=0,1,0),0)</f>
        <v>0</v>
      </c>
      <c r="T49" s="0" t="n">
        <f aca="false">IF(AND(E49=1,S49=0),1+COUNTIFS($E$2:$E$55,1,$S$2:$S$55,0,$R$2:$R$55,"&lt;"&amp;R49),0)</f>
        <v>2</v>
      </c>
      <c r="U49" s="0" t="n">
        <f aca="false">IF(E49=1,IF(S49=1,IF(G49="VT",1,IF(G49="NH",2,3)),3+T49),0)</f>
        <v>5</v>
      </c>
      <c r="V49" s="0" t="str">
        <f aca="false">IF(C49&gt;0,INDEX(RawFinancials!$P:$P,C49),IF(B49&gt;0,INDEX(RawFinancials!$P:$P,B49),""))</f>
        <v>BAR HARBOR SAVINGS AND LOAN ASSOCIATION</v>
      </c>
      <c r="W49" s="0" t="n">
        <f aca="false">E49*(1-D49)</f>
        <v>0</v>
      </c>
      <c r="X49" s="0" t="n">
        <f aca="false">D49*(1-E49)</f>
        <v>0</v>
      </c>
      <c r="Y49" s="0" t="n">
        <f aca="false">W49*K49</f>
        <v>0</v>
      </c>
      <c r="Z49" s="0" t="n">
        <f aca="false">X49*H49</f>
        <v>0</v>
      </c>
    </row>
    <row r="50" customFormat="false" ht="15" hidden="false" customHeight="false" outlineLevel="0" collapsed="false">
      <c r="A50" s="0" t="n">
        <v>33418</v>
      </c>
      <c r="B50" s="0" t="n">
        <f aca="false">SUMIFS(RawFinancials!$A$2:$A$747,RawFinancials!$C$2:$C$747,A50,RawFinancials!$W$2:$W$747,WF_START_PERIOD)</f>
        <v>525</v>
      </c>
      <c r="C50" s="0" t="n">
        <f aca="false">SUMIFS(RawFinancials!$A$2:$A$747,RawFinancials!$C$2:$C$747,A50,RawFinancials!$W$2:$W$747,WF_END_PERIOD)</f>
        <v>737</v>
      </c>
      <c r="D50" s="0" t="n">
        <f aca="false">COUNTIFS(RawFinancials!$C$2:$C$747,A50,RawFinancials!$W$2:$W$747,WF_START_PERIOD,RawFinancials!$AA$2:$AA$747,1)</f>
        <v>1</v>
      </c>
      <c r="E50" s="0" t="n">
        <f aca="false">COUNTIFS(RawFinancials!$C$2:$C$747,A50,RawFinancials!$W$2:$W$747,WF_END_PERIOD,RawFinancials!$AA$2:$AA$747,1)</f>
        <v>1</v>
      </c>
      <c r="F50" s="0" t="str">
        <f aca="false">IF(B50&gt;0,INDEX(RawFinancials!$Z:$Z,B50),"")</f>
        <v>VT</v>
      </c>
      <c r="G50" s="0" t="str">
        <f aca="false">IF(C50&gt;0,INDEX(RawFinancials!$Z:$Z,C50),"")</f>
        <v>VT</v>
      </c>
      <c r="H50" s="0" t="n">
        <f aca="false">SUMIFS(RawFinancials!$B$2:$B$747,RawFinancials!$C$2:$C$747,A50,RawFinancials!$W$2:$W$747,WF_START_PERIOD,RawFinancials!$AA$2:$AA$747,1)</f>
        <v>907185</v>
      </c>
      <c r="I50" s="0" t="n">
        <f aca="false">SUMIFS(RawFinancials!$AB$2:$AB$747,RawFinancials!$C$2:$C$747,A50,RawFinancials!$W$2:$W$747,WF_START_PERIOD,RawFinancials!$AA$2:$AA$747,1)</f>
        <v>964</v>
      </c>
      <c r="J50" s="0" t="n">
        <f aca="false">IF(D50=1,100*I50/H50,"")</f>
        <v>0.106262779918098</v>
      </c>
      <c r="K50" s="0" t="n">
        <f aca="false">SUMIFS(RawFinancials!$B$2:$B$747,RawFinancials!$C$2:$C$747,A50,RawFinancials!$W$2:$W$747,WF_END_PERIOD,RawFinancials!$AA$2:$AA$747,1)</f>
        <v>993609</v>
      </c>
      <c r="L50" s="0" t="n">
        <f aca="false">SUMIFS(RawFinancials!$AB$2:$AB$747,RawFinancials!$C$2:$C$747,A50,RawFinancials!$W$2:$W$747,WF_END_PERIOD,RawFinancials!$AA$2:$AA$747,1)</f>
        <v>1191</v>
      </c>
      <c r="M50" s="0" t="n">
        <f aca="false">IF(E50=1,100*L50/K50,"")</f>
        <v>0.119866064015121</v>
      </c>
      <c r="N50" s="0" t="n">
        <f aca="false">D50*E50</f>
        <v>1</v>
      </c>
      <c r="O50" s="0" t="n">
        <f aca="false">IF(N50=1,H50,0)</f>
        <v>907185</v>
      </c>
      <c r="P50" s="0" t="n">
        <f aca="false">IF(N50=1,H50*J50,0)</f>
        <v>96400</v>
      </c>
      <c r="Q50" s="0" t="n">
        <f aca="false">IF(N50=1,H50*M50,0)</f>
        <v>108740.695283557</v>
      </c>
      <c r="R50" s="0" t="n">
        <f aca="false">IF(E50=1,1+COUNTIFS($E$2:$E$55,1,$M$2:$M$55,"&gt;"&amp;M50)+COUNTIFS($E$2:$E$55,1,$M$2:$M$55,M50,$A$2:$A$55,"&lt;"&amp;A50),0)</f>
        <v>36</v>
      </c>
      <c r="S50" s="0" t="n">
        <f aca="false">IF(E50=1,IF(COUNTIFS($E$2:$E$55,1,$G$2:$G$55,G50,$M$2:$M$55,"&gt;"&amp;M50)+COUNTIFS($E$2:$E$55,1,$G$2:$G$55,G50,$M$2:$M$55,M50,$A$2:$A$55,"&lt;"&amp;A50)=0,1,0),0)</f>
        <v>0</v>
      </c>
      <c r="T50" s="0" t="n">
        <f aca="false">IF(AND(E50=1,S50=0),1+COUNTIFS($E$2:$E$55,1,$S$2:$S$55,0,$R$2:$R$55,"&lt;"&amp;R50),0)</f>
        <v>33</v>
      </c>
      <c r="U50" s="0" t="n">
        <f aca="false">IF(E50=1,IF(S50=1,IF(G50="VT",1,IF(G50="NH",2,3)),3+T50),0)</f>
        <v>36</v>
      </c>
      <c r="V50" s="0" t="str">
        <f aca="false">IF(C50&gt;0,INDEX(RawFinancials!$P:$P,C50),IF(B50&gt;0,INDEX(RawFinancials!$P:$P,B50),""))</f>
        <v>LEDYARD NATIONAL BANK</v>
      </c>
      <c r="W50" s="0" t="n">
        <f aca="false">E50*(1-D50)</f>
        <v>0</v>
      </c>
      <c r="X50" s="0" t="n">
        <f aca="false">D50*(1-E50)</f>
        <v>0</v>
      </c>
      <c r="Y50" s="0" t="n">
        <f aca="false">W50*K50</f>
        <v>0</v>
      </c>
      <c r="Z50" s="0" t="n">
        <f aca="false">X50*H50</f>
        <v>0</v>
      </c>
    </row>
    <row r="51" customFormat="false" ht="15" hidden="false" customHeight="false" outlineLevel="0" collapsed="false">
      <c r="A51" s="0" t="n">
        <v>35206</v>
      </c>
      <c r="B51" s="0" t="n">
        <f aca="false">SUMIFS(RawFinancials!$A$2:$A$747,RawFinancials!$C$2:$C$747,A51,RawFinancials!$W$2:$W$747,WF_START_PERIOD)</f>
        <v>526</v>
      </c>
      <c r="C51" s="0" t="n">
        <f aca="false">SUMIFS(RawFinancials!$A$2:$A$747,RawFinancials!$C$2:$C$747,A51,RawFinancials!$W$2:$W$747,WF_END_PERIOD)</f>
        <v>738</v>
      </c>
      <c r="D51" s="0" t="n">
        <f aca="false">COUNTIFS(RawFinancials!$C$2:$C$747,A51,RawFinancials!$W$2:$W$747,WF_START_PERIOD,RawFinancials!$AA$2:$AA$747,1)</f>
        <v>1</v>
      </c>
      <c r="E51" s="0" t="n">
        <f aca="false">COUNTIFS(RawFinancials!$C$2:$C$747,A51,RawFinancials!$W$2:$W$747,WF_END_PERIOD,RawFinancials!$AA$2:$AA$747,1)</f>
        <v>1</v>
      </c>
      <c r="F51" s="0" t="str">
        <f aca="false">IF(B51&gt;0,INDEX(RawFinancials!$Z:$Z,B51),"")</f>
        <v>NH</v>
      </c>
      <c r="G51" s="0" t="str">
        <f aca="false">IF(C51&gt;0,INDEX(RawFinancials!$Z:$Z,C51),"")</f>
        <v>NH</v>
      </c>
      <c r="H51" s="0" t="n">
        <f aca="false">SUMIFS(RawFinancials!$B$2:$B$747,RawFinancials!$C$2:$C$747,A51,RawFinancials!$W$2:$W$747,WF_START_PERIOD,RawFinancials!$AA$2:$AA$747,1)</f>
        <v>84424</v>
      </c>
      <c r="I51" s="0" t="n">
        <f aca="false">SUMIFS(RawFinancials!$AB$2:$AB$747,RawFinancials!$C$2:$C$747,A51,RawFinancials!$W$2:$W$747,WF_START_PERIOD,RawFinancials!$AA$2:$AA$747,1)</f>
        <v>0</v>
      </c>
      <c r="J51" s="0" t="n">
        <f aca="false">IF(D51=1,100*I51/H51,"")</f>
        <v>0</v>
      </c>
      <c r="K51" s="0" t="n">
        <f aca="false">SUMIFS(RawFinancials!$B$2:$B$747,RawFinancials!$C$2:$C$747,A51,RawFinancials!$W$2:$W$747,WF_END_PERIOD,RawFinancials!$AA$2:$AA$747,1)</f>
        <v>72604</v>
      </c>
      <c r="L51" s="0" t="n">
        <f aca="false">SUMIFS(RawFinancials!$AB$2:$AB$747,RawFinancials!$C$2:$C$747,A51,RawFinancials!$W$2:$W$747,WF_END_PERIOD,RawFinancials!$AA$2:$AA$747,1)</f>
        <v>0</v>
      </c>
      <c r="M51" s="0" t="n">
        <f aca="false">IF(E51=1,100*L51/K51,"")</f>
        <v>0</v>
      </c>
      <c r="N51" s="0" t="n">
        <f aca="false">D51*E51</f>
        <v>1</v>
      </c>
      <c r="O51" s="0" t="n">
        <f aca="false">IF(N51=1,H51,0)</f>
        <v>84424</v>
      </c>
      <c r="P51" s="0" t="n">
        <f aca="false">IF(N51=1,H51*J51,0)</f>
        <v>0</v>
      </c>
      <c r="Q51" s="0" t="n">
        <f aca="false">IF(N51=1,H51*M51,0)</f>
        <v>0</v>
      </c>
      <c r="R51" s="0" t="n">
        <f aca="false">IF(E51=1,1+COUNTIFS($E$2:$E$55,1,$M$2:$M$55,"&gt;"&amp;M51)+COUNTIFS($E$2:$E$55,1,$M$2:$M$55,M51,$A$2:$A$55,"&lt;"&amp;A51),0)</f>
        <v>50</v>
      </c>
      <c r="S51" s="0" t="n">
        <f aca="false">IF(E51=1,IF(COUNTIFS($E$2:$E$55,1,$G$2:$G$55,G51,$M$2:$M$55,"&gt;"&amp;M51)+COUNTIFS($E$2:$E$55,1,$G$2:$G$55,G51,$M$2:$M$55,M51,$A$2:$A$55,"&lt;"&amp;A51)=0,1,0),0)</f>
        <v>0</v>
      </c>
      <c r="T51" s="0" t="n">
        <f aca="false">IF(AND(E51=1,S51=0),1+COUNTIFS($E$2:$E$55,1,$S$2:$S$55,0,$R$2:$R$55,"&lt;"&amp;R51),0)</f>
        <v>47</v>
      </c>
      <c r="U51" s="0" t="n">
        <f aca="false">IF(E51=1,IF(S51=1,IF(G51="VT",1,IF(G51="NH",2,3)),3+T51),0)</f>
        <v>50</v>
      </c>
      <c r="V51" s="0" t="str">
        <f aca="false">IF(C51&gt;0,INDEX(RawFinancials!$P:$P,C51),IF(B51&gt;0,INDEX(RawFinancials!$P:$P,B51),""))</f>
        <v>FIDELITY PERSONAL TRUST COMPANY, FSB</v>
      </c>
      <c r="W51" s="0" t="n">
        <f aca="false">E51*(1-D51)</f>
        <v>0</v>
      </c>
      <c r="X51" s="0" t="n">
        <f aca="false">D51*(1-E51)</f>
        <v>0</v>
      </c>
      <c r="Y51" s="0" t="n">
        <f aca="false">W51*K51</f>
        <v>0</v>
      </c>
      <c r="Z51" s="0" t="n">
        <f aca="false">X51*H51</f>
        <v>0</v>
      </c>
    </row>
    <row r="52" customFormat="false" ht="15" hidden="false" customHeight="false" outlineLevel="0" collapsed="false">
      <c r="A52" s="0" t="n">
        <v>59086</v>
      </c>
      <c r="B52" s="0" t="n">
        <f aca="false">SUMIFS(RawFinancials!$A$2:$A$747,RawFinancials!$C$2:$C$747,A52,RawFinancials!$W$2:$W$747,WF_START_PERIOD)</f>
        <v>529</v>
      </c>
      <c r="C52" s="0" t="n">
        <f aca="false">SUMIFS(RawFinancials!$A$2:$A$747,RawFinancials!$C$2:$C$747,A52,RawFinancials!$W$2:$W$747,WF_END_PERIOD)</f>
        <v>741</v>
      </c>
      <c r="D52" s="0" t="n">
        <f aca="false">COUNTIFS(RawFinancials!$C$2:$C$747,A52,RawFinancials!$W$2:$W$747,WF_START_PERIOD,RawFinancials!$AA$2:$AA$747,1)</f>
        <v>1</v>
      </c>
      <c r="E52" s="0" t="n">
        <f aca="false">COUNTIFS(RawFinancials!$C$2:$C$747,A52,RawFinancials!$W$2:$W$747,WF_END_PERIOD,RawFinancials!$AA$2:$AA$747,1)</f>
        <v>1</v>
      </c>
      <c r="F52" s="0" t="str">
        <f aca="false">IF(B52&gt;0,INDEX(RawFinancials!$Z:$Z,B52),"")</f>
        <v>NH</v>
      </c>
      <c r="G52" s="0" t="str">
        <f aca="false">IF(C52&gt;0,INDEX(RawFinancials!$Z:$Z,C52),"")</f>
        <v>NH</v>
      </c>
      <c r="H52" s="0" t="n">
        <f aca="false">SUMIFS(RawFinancials!$B$2:$B$747,RawFinancials!$C$2:$C$747,A52,RawFinancials!$W$2:$W$747,WF_START_PERIOD,RawFinancials!$AA$2:$AA$747,1)</f>
        <v>706680</v>
      </c>
      <c r="I52" s="0" t="n">
        <f aca="false">SUMIFS(RawFinancials!$AB$2:$AB$747,RawFinancials!$C$2:$C$747,A52,RawFinancials!$W$2:$W$747,WF_START_PERIOD,RawFinancials!$AA$2:$AA$747,1)</f>
        <v>4045</v>
      </c>
      <c r="J52" s="0" t="n">
        <f aca="false">IF(D52=1,100*I52/H52,"")</f>
        <v>0.572394860474331</v>
      </c>
      <c r="K52" s="0" t="n">
        <f aca="false">SUMIFS(RawFinancials!$B$2:$B$747,RawFinancials!$C$2:$C$747,A52,RawFinancials!$W$2:$W$747,WF_END_PERIOD,RawFinancials!$AA$2:$AA$747,1)</f>
        <v>724753</v>
      </c>
      <c r="L52" s="0" t="n">
        <f aca="false">SUMIFS(RawFinancials!$AB$2:$AB$747,RawFinancials!$C$2:$C$747,A52,RawFinancials!$W$2:$W$747,WF_END_PERIOD,RawFinancials!$AA$2:$AA$747,1)</f>
        <v>13828</v>
      </c>
      <c r="M52" s="0" t="n">
        <f aca="false">IF(E52=1,100*L52/K52,"")</f>
        <v>1.90796036718717</v>
      </c>
      <c r="N52" s="0" t="n">
        <f aca="false">D52*E52</f>
        <v>1</v>
      </c>
      <c r="O52" s="0" t="n">
        <f aca="false">IF(N52=1,H52,0)</f>
        <v>706680</v>
      </c>
      <c r="P52" s="0" t="n">
        <f aca="false">IF(N52=1,H52*J52,0)</f>
        <v>404500</v>
      </c>
      <c r="Q52" s="0" t="n">
        <f aca="false">IF(N52=1,H52*M52,0)</f>
        <v>1348317.43228383</v>
      </c>
      <c r="R52" s="0" t="n">
        <f aca="false">IF(E52=1,1+COUNTIFS($E$2:$E$55,1,$M$2:$M$55,"&gt;"&amp;M52)+COUNTIFS($E$2:$E$55,1,$M$2:$M$55,M52,$A$2:$A$55,"&lt;"&amp;A52),0)</f>
        <v>2</v>
      </c>
      <c r="S52" s="0" t="n">
        <f aca="false">IF(E52=1,IF(COUNTIFS($E$2:$E$55,1,$G$2:$G$55,G52,$M$2:$M$55,"&gt;"&amp;M52)+COUNTIFS($E$2:$E$55,1,$G$2:$G$55,G52,$M$2:$M$55,M52,$A$2:$A$55,"&lt;"&amp;A52)=0,1,0),0)</f>
        <v>0</v>
      </c>
      <c r="T52" s="0" t="n">
        <f aca="false">IF(AND(E52=1,S52=0),1+COUNTIFS($E$2:$E$55,1,$S$2:$S$55,0,$R$2:$R$55,"&lt;"&amp;R52),0)</f>
        <v>1</v>
      </c>
      <c r="U52" s="0" t="n">
        <f aca="false">IF(E52=1,IF(S52=1,IF(G52="VT",1,IF(G52="NH",2,3)),3+T52),0)</f>
        <v>4</v>
      </c>
      <c r="V52" s="0" t="str">
        <f aca="false">IF(C52&gt;0,INDEX(RawFinancials!$P:$P,C52),IF(B52&gt;0,INDEX(RawFinancials!$P:$P,B52),""))</f>
        <v>PRIMARY BANK</v>
      </c>
      <c r="W52" s="0" t="n">
        <f aca="false">E52*(1-D52)</f>
        <v>0</v>
      </c>
      <c r="X52" s="0" t="n">
        <f aca="false">D52*(1-E52)</f>
        <v>0</v>
      </c>
      <c r="Y52" s="0" t="n">
        <f aca="false">W52*K52</f>
        <v>0</v>
      </c>
      <c r="Z52" s="0" t="n">
        <f aca="false">X52*H52</f>
        <v>0</v>
      </c>
    </row>
    <row r="53" customFormat="false" ht="15" hidden="false" customHeight="false" outlineLevel="0" collapsed="false">
      <c r="A53" s="0" t="n">
        <v>59176</v>
      </c>
      <c r="B53" s="0" t="n">
        <f aca="false">SUMIFS(RawFinancials!$A$2:$A$747,RawFinancials!$C$2:$C$747,A53,RawFinancials!$W$2:$W$747,WF_START_PERIOD)</f>
        <v>530</v>
      </c>
      <c r="C53" s="0" t="n">
        <f aca="false">SUMIFS(RawFinancials!$A$2:$A$747,RawFinancials!$C$2:$C$747,A53,RawFinancials!$W$2:$W$747,WF_END_PERIOD)</f>
        <v>742</v>
      </c>
      <c r="D53" s="0" t="n">
        <f aca="false">COUNTIFS(RawFinancials!$C$2:$C$747,A53,RawFinancials!$W$2:$W$747,WF_START_PERIOD,RawFinancials!$AA$2:$AA$747,1)</f>
        <v>1</v>
      </c>
      <c r="E53" s="0" t="n">
        <f aca="false">COUNTIFS(RawFinancials!$C$2:$C$747,A53,RawFinancials!$W$2:$W$747,WF_END_PERIOD,RawFinancials!$AA$2:$AA$747,1)</f>
        <v>1</v>
      </c>
      <c r="F53" s="0" t="str">
        <f aca="false">IF(B53&gt;0,INDEX(RawFinancials!$Z:$Z,B53),"")</f>
        <v>NH</v>
      </c>
      <c r="G53" s="0" t="str">
        <f aca="false">IF(C53&gt;0,INDEX(RawFinancials!$Z:$Z,C53),"")</f>
        <v>NH</v>
      </c>
      <c r="H53" s="0" t="n">
        <f aca="false">SUMIFS(RawFinancials!$B$2:$B$747,RawFinancials!$C$2:$C$747,A53,RawFinancials!$W$2:$W$747,WF_START_PERIOD,RawFinancials!$AA$2:$AA$747,1)</f>
        <v>229589</v>
      </c>
      <c r="I53" s="0" t="n">
        <f aca="false">SUMIFS(RawFinancials!$AB$2:$AB$747,RawFinancials!$C$2:$C$747,A53,RawFinancials!$W$2:$W$747,WF_START_PERIOD,RawFinancials!$AA$2:$AA$747,1)</f>
        <v>0</v>
      </c>
      <c r="J53" s="0" t="n">
        <f aca="false">IF(D53=1,100*I53/H53,"")</f>
        <v>0</v>
      </c>
      <c r="K53" s="0" t="n">
        <f aca="false">SUMIFS(RawFinancials!$B$2:$B$747,RawFinancials!$C$2:$C$747,A53,RawFinancials!$W$2:$W$747,WF_END_PERIOD,RawFinancials!$AA$2:$AA$747,1)</f>
        <v>279006</v>
      </c>
      <c r="L53" s="0" t="n">
        <f aca="false">SUMIFS(RawFinancials!$AB$2:$AB$747,RawFinancials!$C$2:$C$747,A53,RawFinancials!$W$2:$W$747,WF_END_PERIOD,RawFinancials!$AA$2:$AA$747,1)</f>
        <v>0</v>
      </c>
      <c r="M53" s="0" t="n">
        <f aca="false">IF(E53=1,100*L53/K53,"")</f>
        <v>0</v>
      </c>
      <c r="N53" s="0" t="n">
        <f aca="false">D53*E53</f>
        <v>1</v>
      </c>
      <c r="O53" s="0" t="n">
        <f aca="false">IF(N53=1,H53,0)</f>
        <v>229589</v>
      </c>
      <c r="P53" s="0" t="n">
        <f aca="false">IF(N53=1,H53*J53,0)</f>
        <v>0</v>
      </c>
      <c r="Q53" s="0" t="n">
        <f aca="false">IF(N53=1,H53*M53,0)</f>
        <v>0</v>
      </c>
      <c r="R53" s="0" t="n">
        <f aca="false">IF(E53=1,1+COUNTIFS($E$2:$E$55,1,$M$2:$M$55,"&gt;"&amp;M53)+COUNTIFS($E$2:$E$55,1,$M$2:$M$55,M53,$A$2:$A$55,"&lt;"&amp;A53),0)</f>
        <v>51</v>
      </c>
      <c r="S53" s="0" t="n">
        <f aca="false">IF(E53=1,IF(COUNTIFS($E$2:$E$55,1,$G$2:$G$55,G53,$M$2:$M$55,"&gt;"&amp;M53)+COUNTIFS($E$2:$E$55,1,$G$2:$G$55,G53,$M$2:$M$55,M53,$A$2:$A$55,"&lt;"&amp;A53)=0,1,0),0)</f>
        <v>0</v>
      </c>
      <c r="T53" s="0" t="n">
        <f aca="false">IF(AND(E53=1,S53=0),1+COUNTIFS($E$2:$E$55,1,$S$2:$S$55,0,$R$2:$R$55,"&lt;"&amp;R53),0)</f>
        <v>48</v>
      </c>
      <c r="U53" s="0" t="n">
        <f aca="false">IF(E53=1,IF(S53=1,IF(G53="VT",1,IF(G53="NH",2,3)),3+T53),0)</f>
        <v>51</v>
      </c>
      <c r="V53" s="0" t="str">
        <f aca="false">IF(C53&gt;0,INDEX(RawFinancials!$P:$P,C53),IF(B53&gt;0,INDEX(RawFinancials!$P:$P,B53),""))</f>
        <v>THE MILLYARD BANK</v>
      </c>
      <c r="W53" s="0" t="n">
        <f aca="false">E53*(1-D53)</f>
        <v>0</v>
      </c>
      <c r="X53" s="0" t="n">
        <f aca="false">D53*(1-E53)</f>
        <v>0</v>
      </c>
      <c r="Y53" s="0" t="n">
        <f aca="false">W53*K53</f>
        <v>0</v>
      </c>
      <c r="Z53" s="0" t="n">
        <f aca="false">X53*H53</f>
        <v>0</v>
      </c>
    </row>
    <row r="54" customFormat="false" ht="15" hidden="false" customHeight="false" outlineLevel="0" collapsed="false">
      <c r="A54" s="0" t="n">
        <v>59289</v>
      </c>
      <c r="B54" s="0" t="n">
        <f aca="false">SUMIFS(RawFinancials!$A$2:$A$747,RawFinancials!$C$2:$C$747,A54,RawFinancials!$W$2:$W$747,WF_START_PERIOD)</f>
        <v>531</v>
      </c>
      <c r="C54" s="0" t="n">
        <f aca="false">SUMIFS(RawFinancials!$A$2:$A$747,RawFinancials!$C$2:$C$747,A54,RawFinancials!$W$2:$W$747,WF_END_PERIOD)</f>
        <v>743</v>
      </c>
      <c r="D54" s="0" t="n">
        <f aca="false">COUNTIFS(RawFinancials!$C$2:$C$747,A54,RawFinancials!$W$2:$W$747,WF_START_PERIOD,RawFinancials!$AA$2:$AA$747,1)</f>
        <v>1</v>
      </c>
      <c r="E54" s="0" t="n">
        <f aca="false">COUNTIFS(RawFinancials!$C$2:$C$747,A54,RawFinancials!$W$2:$W$747,WF_END_PERIOD,RawFinancials!$AA$2:$AA$747,1)</f>
        <v>1</v>
      </c>
      <c r="F54" s="0" t="str">
        <f aca="false">IF(B54&gt;0,INDEX(RawFinancials!$Z:$Z,B54),"")</f>
        <v>NH</v>
      </c>
      <c r="G54" s="0" t="str">
        <f aca="false">IF(C54&gt;0,INDEX(RawFinancials!$Z:$Z,C54),"")</f>
        <v>NH</v>
      </c>
      <c r="H54" s="0" t="n">
        <f aca="false">SUMIFS(RawFinancials!$B$2:$B$747,RawFinancials!$C$2:$C$747,A54,RawFinancials!$W$2:$W$747,WF_START_PERIOD,RawFinancials!$AA$2:$AA$747,1)</f>
        <v>105919</v>
      </c>
      <c r="I54" s="0" t="n">
        <f aca="false">SUMIFS(RawFinancials!$AB$2:$AB$747,RawFinancials!$C$2:$C$747,A54,RawFinancials!$W$2:$W$747,WF_START_PERIOD,RawFinancials!$AA$2:$AA$747,1)</f>
        <v>326</v>
      </c>
      <c r="J54" s="0" t="n">
        <f aca="false">IF(D54=1,100*I54/H54,"")</f>
        <v>0.307782361993599</v>
      </c>
      <c r="K54" s="0" t="n">
        <f aca="false">SUMIFS(RawFinancials!$B$2:$B$747,RawFinancials!$C$2:$C$747,A54,RawFinancials!$W$2:$W$747,WF_END_PERIOD,RawFinancials!$AA$2:$AA$747,1)</f>
        <v>145991</v>
      </c>
      <c r="L54" s="0" t="n">
        <f aca="false">SUMIFS(RawFinancials!$AB$2:$AB$747,RawFinancials!$C$2:$C$747,A54,RawFinancials!$W$2:$W$747,WF_END_PERIOD,RawFinancials!$AA$2:$AA$747,1)</f>
        <v>2835</v>
      </c>
      <c r="M54" s="0" t="n">
        <f aca="false">IF(E54=1,100*L54/K54,"")</f>
        <v>1.94190052811475</v>
      </c>
      <c r="N54" s="0" t="n">
        <f aca="false">D54*E54</f>
        <v>1</v>
      </c>
      <c r="O54" s="0" t="n">
        <f aca="false">IF(N54=1,H54,0)</f>
        <v>105919</v>
      </c>
      <c r="P54" s="0" t="n">
        <f aca="false">IF(N54=1,H54*J54,0)</f>
        <v>32600</v>
      </c>
      <c r="Q54" s="0" t="n">
        <f aca="false">IF(N54=1,H54*M54,0)</f>
        <v>205684.162037386</v>
      </c>
      <c r="R54" s="0" t="n">
        <f aca="false">IF(E54=1,1+COUNTIFS($E$2:$E$55,1,$M$2:$M$55,"&gt;"&amp;M54)+COUNTIFS($E$2:$E$55,1,$M$2:$M$55,M54,$A$2:$A$55,"&lt;"&amp;A54),0)</f>
        <v>1</v>
      </c>
      <c r="S54" s="0" t="n">
        <f aca="false">IF(E54=1,IF(COUNTIFS($E$2:$E$55,1,$G$2:$G$55,G54,$M$2:$M$55,"&gt;"&amp;M54)+COUNTIFS($E$2:$E$55,1,$G$2:$G$55,G54,$M$2:$M$55,M54,$A$2:$A$55,"&lt;"&amp;A54)=0,1,0),0)</f>
        <v>1</v>
      </c>
      <c r="T54" s="0" t="n">
        <f aca="false">IF(AND(E54=1,S54=0),1+COUNTIFS($E$2:$E$55,1,$S$2:$S$55,0,$R$2:$R$55,"&lt;"&amp;R54),0)</f>
        <v>0</v>
      </c>
      <c r="U54" s="0" t="n">
        <f aca="false">IF(E54=1,IF(S54=1,IF(G54="VT",1,IF(G54="NH",2,3)),3+T54),0)</f>
        <v>2</v>
      </c>
      <c r="V54" s="0" t="str">
        <f aca="false">IF(C54&gt;0,INDEX(RawFinancials!$P:$P,C54),IF(B54&gt;0,INDEX(RawFinancials!$P:$P,B54),""))</f>
        <v>WALDEN MUTUAL BANK</v>
      </c>
      <c r="W54" s="0" t="n">
        <f aca="false">E54*(1-D54)</f>
        <v>0</v>
      </c>
      <c r="X54" s="0" t="n">
        <f aca="false">D54*(1-E54)</f>
        <v>0</v>
      </c>
      <c r="Y54" s="0" t="n">
        <f aca="false">W54*K54</f>
        <v>0</v>
      </c>
      <c r="Z54" s="0" t="n">
        <f aca="false">X54*H54</f>
        <v>0</v>
      </c>
    </row>
    <row r="55" customFormat="false" ht="15" hidden="false" customHeight="false" outlineLevel="0" collapsed="false">
      <c r="A55" s="0" t="n">
        <v>59298</v>
      </c>
      <c r="B55" s="0" t="n">
        <f aca="false">SUMIFS(RawFinancials!$A$2:$A$747,RawFinancials!$C$2:$C$747,A55,RawFinancials!$W$2:$W$747,WF_START_PERIOD)</f>
        <v>532</v>
      </c>
      <c r="C55" s="0" t="n">
        <f aca="false">SUMIFS(RawFinancials!$A$2:$A$747,RawFinancials!$C$2:$C$747,A55,RawFinancials!$W$2:$W$747,WF_END_PERIOD)</f>
        <v>744</v>
      </c>
      <c r="D55" s="0" t="n">
        <f aca="false">COUNTIFS(RawFinancials!$C$2:$C$747,A55,RawFinancials!$W$2:$W$747,WF_START_PERIOD,RawFinancials!$AA$2:$AA$747,1)</f>
        <v>1</v>
      </c>
      <c r="E55" s="0" t="n">
        <f aca="false">COUNTIFS(RawFinancials!$C$2:$C$747,A55,RawFinancials!$W$2:$W$747,WF_END_PERIOD,RawFinancials!$AA$2:$AA$747,1)</f>
        <v>1</v>
      </c>
      <c r="F55" s="0" t="str">
        <f aca="false">IF(B55&gt;0,INDEX(RawFinancials!$Z:$Z,B55),"")</f>
        <v>VT</v>
      </c>
      <c r="G55" s="0" t="str">
        <f aca="false">IF(C55&gt;0,INDEX(RawFinancials!$Z:$Z,C55),"")</f>
        <v>VT</v>
      </c>
      <c r="H55" s="0" t="n">
        <f aca="false">SUMIFS(RawFinancials!$B$2:$B$747,RawFinancials!$C$2:$C$747,A55,RawFinancials!$W$2:$W$747,WF_START_PERIOD,RawFinancials!$AA$2:$AA$747,1)</f>
        <v>218470</v>
      </c>
      <c r="I55" s="0" t="n">
        <f aca="false">SUMIFS(RawFinancials!$AB$2:$AB$747,RawFinancials!$C$2:$C$747,A55,RawFinancials!$W$2:$W$747,WF_START_PERIOD,RawFinancials!$AA$2:$AA$747,1)</f>
        <v>0</v>
      </c>
      <c r="J55" s="0" t="n">
        <f aca="false">IF(D55=1,100*I55/H55,"")</f>
        <v>0</v>
      </c>
      <c r="K55" s="0" t="n">
        <f aca="false">SUMIFS(RawFinancials!$B$2:$B$747,RawFinancials!$C$2:$C$747,A55,RawFinancials!$W$2:$W$747,WF_END_PERIOD,RawFinancials!$AA$2:$AA$747,1)</f>
        <v>269483</v>
      </c>
      <c r="L55" s="0" t="n">
        <f aca="false">SUMIFS(RawFinancials!$AB$2:$AB$747,RawFinancials!$C$2:$C$747,A55,RawFinancials!$W$2:$W$747,WF_END_PERIOD,RawFinancials!$AA$2:$AA$747,1)</f>
        <v>0</v>
      </c>
      <c r="M55" s="0" t="n">
        <f aca="false">IF(E55=1,100*L55/K55,"")</f>
        <v>0</v>
      </c>
      <c r="N55" s="0" t="n">
        <f aca="false">D55*E55</f>
        <v>1</v>
      </c>
      <c r="O55" s="0" t="n">
        <f aca="false">IF(N55=1,H55,0)</f>
        <v>218470</v>
      </c>
      <c r="P55" s="0" t="n">
        <f aca="false">IF(N55=1,H55*J55,0)</f>
        <v>0</v>
      </c>
      <c r="Q55" s="0" t="n">
        <f aca="false">IF(N55=1,H55*M55,0)</f>
        <v>0</v>
      </c>
      <c r="R55" s="0" t="n">
        <f aca="false">IF(E55=1,1+COUNTIFS($E$2:$E$55,1,$M$2:$M$55,"&gt;"&amp;M55)+COUNTIFS($E$2:$E$55,1,$M$2:$M$55,M55,$A$2:$A$55,"&lt;"&amp;A55),0)</f>
        <v>52</v>
      </c>
      <c r="S55" s="0" t="n">
        <f aca="false">IF(E55=1,IF(COUNTIFS($E$2:$E$55,1,$G$2:$G$55,G55,$M$2:$M$55,"&gt;"&amp;M55)+COUNTIFS($E$2:$E$55,1,$G$2:$G$55,G55,$M$2:$M$55,M55,$A$2:$A$55,"&lt;"&amp;A55)=0,1,0),0)</f>
        <v>0</v>
      </c>
      <c r="T55" s="0" t="n">
        <f aca="false">IF(AND(E55=1,S55=0),1+COUNTIFS($E$2:$E$55,1,$S$2:$S$55,0,$R$2:$R$55,"&lt;"&amp;R55),0)</f>
        <v>49</v>
      </c>
      <c r="U55" s="0" t="n">
        <f aca="false">IF(E55=1,IF(S55=1,IF(G55="VT",1,IF(G55="NH",2,3)),3+T55),0)</f>
        <v>52</v>
      </c>
      <c r="V55" s="0" t="str">
        <f aca="false">IF(C55&gt;0,INDEX(RawFinancials!$P:$P,C55),IF(B55&gt;0,INDEX(RawFinancials!$P:$P,B55),""))</f>
        <v>BANK OF BURLINGTON</v>
      </c>
      <c r="W55" s="0" t="n">
        <f aca="false">E55*(1-D55)</f>
        <v>0</v>
      </c>
      <c r="X55" s="0" t="n">
        <f aca="false">D55*(1-E55)</f>
        <v>0</v>
      </c>
      <c r="Y55" s="0" t="n">
        <f aca="false">W55*K55</f>
        <v>0</v>
      </c>
      <c r="Z55" s="0" t="n">
        <f aca="false">X55*H55</f>
        <v>0</v>
      </c>
    </row>
  </sheetData>
  <autoFilter ref="A1:Z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7" min="1" style="0" width="19"/>
  </cols>
  <sheetData>
    <row r="1" customFormat="false" ht="15" hidden="false" customHeight="false" outlineLevel="0" collapsed="false">
      <c r="A1" s="7" t="s">
        <v>937</v>
      </c>
      <c r="B1" s="7" t="s">
        <v>938</v>
      </c>
      <c r="C1" s="7" t="s">
        <v>939</v>
      </c>
      <c r="D1" s="7" t="s">
        <v>940</v>
      </c>
      <c r="E1" s="7" t="s">
        <v>941</v>
      </c>
      <c r="F1" s="7" t="s">
        <v>942</v>
      </c>
      <c r="G1" s="7" t="s">
        <v>943</v>
      </c>
      <c r="H1" s="7" t="s">
        <v>944</v>
      </c>
      <c r="I1" s="7" t="s">
        <v>945</v>
      </c>
      <c r="J1" s="7" t="s">
        <v>946</v>
      </c>
      <c r="K1" s="7" t="s">
        <v>947</v>
      </c>
      <c r="L1" s="7" t="s">
        <v>948</v>
      </c>
      <c r="M1" s="7" t="s">
        <v>949</v>
      </c>
      <c r="N1" s="7" t="s">
        <v>950</v>
      </c>
      <c r="O1" s="7" t="s">
        <v>951</v>
      </c>
      <c r="P1" s="7" t="s">
        <v>952</v>
      </c>
      <c r="Q1" s="7" t="s">
        <v>953</v>
      </c>
    </row>
    <row r="2" customFormat="false" ht="15" hidden="false" customHeight="false" outlineLevel="0" collapsed="false">
      <c r="A2" s="0" t="s">
        <v>954</v>
      </c>
      <c r="B2" s="0" t="n">
        <f aca="false">IF(WF_MODEL_VALID,SUM(BankCalc!$D$2:$D$55),"")</f>
        <v>54</v>
      </c>
      <c r="C2" s="0" t="n">
        <f aca="false">IF(WF_MODEL_VALID,SUM(BankCalc!$E$2:$E$55),"")</f>
        <v>52</v>
      </c>
      <c r="D2" s="0" t="n">
        <f aca="false">IF(WF_MODEL_VALID,SUM(BankCalc!$N$2:$N$55),"")</f>
        <v>52</v>
      </c>
      <c r="E2" s="0" t="n">
        <f aca="false">IF(WF_MODEL_VALID,IFERROR(100*SUMIFS(RawFinancials!$AB$2:$AB$747,RawFinancials!$W$2:$W$747,WF_START_PERIOD,RawFinancials!$AA$2:$AA$747,1)/SUMIFS(RawFinancials!$B$2:$B$747,RawFinancials!$W$2:$W$747,WF_START_PERIOD,RawFinancials!$AA$2:$AA$747,1),""),"")</f>
        <v>0.298566468479958</v>
      </c>
      <c r="F2" s="0" t="n">
        <f aca="false">IF(WF_MODEL_VALID,IFERROR(100*SUMIFS(RawFinancials!$AB$2:$AB$747,RawFinancials!$W$2:$W$747,WF_END_PERIOD,RawFinancials!$AA$2:$AA$747,1)/SUMIFS(RawFinancials!$B$2:$B$747,RawFinancials!$W$2:$W$747,WF_END_PERIOD,RawFinancials!$AA$2:$AA$747,1),""),"")</f>
        <v>0.368193141549608</v>
      </c>
      <c r="G2" s="0" t="n">
        <f aca="false">IF(WF_MODEL_VALID,F2-E2,"")</f>
        <v>0.0696266730696499</v>
      </c>
      <c r="H2" s="0" t="n">
        <f aca="false">IF(WF_MODEL_VALID,IFERROR(SUM(BankCalc!$P$2:$P$55)/SUM(BankCalc!$O$2:$O$55),""),"")</f>
        <v>0.29434260032551</v>
      </c>
      <c r="I2" s="0" t="n">
        <f aca="false">IF(WF_MODEL_VALID,IFERROR(SUM(BankCalc!$Q$2:$Q$55)/SUM(BankCalc!$O$2:$O$55),""),"")</f>
        <v>0.357373691564129</v>
      </c>
      <c r="J2" s="0" t="n">
        <f aca="false">IF(WF_MODEL_VALID,I2-H2,"")</f>
        <v>0.0630310912386183</v>
      </c>
      <c r="K2" s="0" t="n">
        <f aca="false">IF(WF_MODEL_VALID,G2-J2,"")</f>
        <v>0.00659558183103159</v>
      </c>
      <c r="L2" s="0" t="n">
        <f aca="false">IF(WF_MODEL_VALID,SUM(BankCalc!$W$2:$W$55),"")</f>
        <v>0</v>
      </c>
      <c r="M2" s="0" t="n">
        <f aca="false">IF(WF_MODEL_VALID,SUM(BankCalc!$X$2:$X$55),"")</f>
        <v>2</v>
      </c>
      <c r="N2" s="0" t="n">
        <f aca="false">IF(WF_MODEL_VALID,SUM(BankCalc!$Y$2:$Y$55),"")</f>
        <v>0</v>
      </c>
      <c r="O2" s="0" t="n">
        <f aca="false">IF(WF_MODEL_VALID,SUM(BankCalc!$Z$2:$Z$55),"")</f>
        <v>2924280</v>
      </c>
      <c r="P2" s="0" t="str">
        <f aca="false">IF(WF_MODEL_VALID,IF(AND(BankCalc!W2=1),BankCalc!A2&amp;",","")&amp;IF(AND(BankCalc!W3=1),BankCalc!A3&amp;",","")&amp;IF(AND(BankCalc!W4=1),BankCalc!A4&amp;",","")&amp;IF(AND(BankCalc!W5=1),BankCalc!A5&amp;",","")&amp;IF(AND(BankCalc!W6=1),BankCalc!A6&amp;",","")&amp;IF(AND(BankCalc!W7=1),BankCalc!A7&amp;",","")&amp;IF(AND(BankCalc!W8=1),BankCalc!A8&amp;",","")&amp;IF(AND(BankCalc!W9=1),BankCalc!A9&amp;",","")&amp;IF(AND(BankCalc!W10=1),BankCalc!A10&amp;",","")&amp;IF(AND(BankCalc!W11=1),BankCalc!A11&amp;",","")&amp;IF(AND(BankCalc!W12=1),BankCalc!A12&amp;",","")&amp;IF(AND(BankCalc!W13=1),BankCalc!A13&amp;",","")&amp;IF(AND(BankCalc!W14=1),BankCalc!A14&amp;",","")&amp;IF(AND(BankCalc!W15=1),BankCalc!A15&amp;",","")&amp;IF(AND(BankCalc!W16=1),BankCalc!A16&amp;",","")&amp;IF(AND(BankCalc!W17=1),BankCalc!A17&amp;",","")&amp;IF(AND(BankCalc!W18=1),BankCalc!A18&amp;",","")&amp;IF(AND(BankCalc!W19=1),BankCalc!A19&amp;",","")&amp;IF(AND(BankCalc!W20=1),BankCalc!A20&amp;",","")&amp;IF(AND(BankCalc!W21=1),BankCalc!A21&amp;",","")&amp;IF(AND(BankCalc!W22=1),BankCalc!A22&amp;",","")&amp;IF(AND(BankCalc!W23=1),BankCalc!A23&amp;",","")&amp;IF(AND(BankCalc!W24=1),BankCalc!A24&amp;",","")&amp;IF(AND(BankCalc!W25=1),BankCalc!A25&amp;",","")&amp;IF(AND(BankCalc!W26=1),BankCalc!A26&amp;",","")&amp;IF(AND(BankCalc!W27=1),BankCalc!A27&amp;",","")&amp;IF(AND(BankCalc!W28=1),BankCalc!A28&amp;",","")&amp;IF(AND(BankCalc!W29=1),BankCalc!A29&amp;",","")&amp;IF(AND(BankCalc!W30=1),BankCalc!A30&amp;",","")&amp;IF(AND(BankCalc!W31=1),BankCalc!A31&amp;",","")&amp;IF(AND(BankCalc!W32=1),BankCalc!A32&amp;",","")&amp;IF(AND(BankCalc!W33=1),BankCalc!A33&amp;",","")&amp;IF(AND(BankCalc!W34=1),BankCalc!A34&amp;",","")&amp;IF(AND(BankCalc!W35=1),BankCalc!A35&amp;",","")&amp;IF(AND(BankCalc!W36=1),BankCalc!A36&amp;",","")&amp;IF(AND(BankCalc!W37=1),BankCalc!A37&amp;",","")&amp;IF(AND(BankCalc!W38=1),BankCalc!A38&amp;",","")&amp;IF(AND(BankCalc!W39=1),BankCalc!A39&amp;",","")&amp;IF(AND(BankCalc!W40=1),BankCalc!A40&amp;",","")&amp;IF(AND(BankCalc!W41=1),BankCalc!A41&amp;",","")&amp;IF(AND(BankCalc!W42=1),BankCalc!A42&amp;",","")&amp;IF(AND(BankCalc!W43=1),BankCalc!A43&amp;",","")&amp;IF(AND(BankCalc!W44=1),BankCalc!A44&amp;",","")&amp;IF(AND(BankCalc!W45=1),BankCalc!A45&amp;",","")&amp;IF(AND(BankCalc!W46=1),BankCalc!A46&amp;",","")&amp;IF(AND(BankCalc!W47=1),BankCalc!A47&amp;",","")&amp;IF(AND(BankCalc!W48=1),BankCalc!A48&amp;",","")&amp;IF(AND(BankCalc!W49=1),BankCalc!A49&amp;",","")&amp;IF(AND(BankCalc!W50=1),BankCalc!A50&amp;",","")&amp;IF(AND(BankCalc!W51=1),BankCalc!A51&amp;",","")&amp;IF(AND(BankCalc!W52=1),BankCalc!A52&amp;",","")&amp;IF(AND(BankCalc!W53=1),BankCalc!A53&amp;",","")&amp;IF(AND(BankCalc!W54=1),BankCalc!A54&amp;",","")&amp;IF(AND(BankCalc!W55=1),BankCalc!A55&amp;",",""),"")</f>
        <v/>
      </c>
      <c r="Q2" s="0" t="str">
        <f aca="false">IF(WF_MODEL_VALID,IF(AND(BankCalc!X2=1),BankCalc!A2&amp;",","")&amp;IF(AND(BankCalc!X3=1),BankCalc!A3&amp;",","")&amp;IF(AND(BankCalc!X4=1),BankCalc!A4&amp;",","")&amp;IF(AND(BankCalc!X5=1),BankCalc!A5&amp;",","")&amp;IF(AND(BankCalc!X6=1),BankCalc!A6&amp;",","")&amp;IF(AND(BankCalc!X7=1),BankCalc!A7&amp;",","")&amp;IF(AND(BankCalc!X8=1),BankCalc!A8&amp;",","")&amp;IF(AND(BankCalc!X9=1),BankCalc!A9&amp;",","")&amp;IF(AND(BankCalc!X10=1),BankCalc!A10&amp;",","")&amp;IF(AND(BankCalc!X11=1),BankCalc!A11&amp;",","")&amp;IF(AND(BankCalc!X12=1),BankCalc!A12&amp;",","")&amp;IF(AND(BankCalc!X13=1),BankCalc!A13&amp;",","")&amp;IF(AND(BankCalc!X14=1),BankCalc!A14&amp;",","")&amp;IF(AND(BankCalc!X15=1),BankCalc!A15&amp;",","")&amp;IF(AND(BankCalc!X16=1),BankCalc!A16&amp;",","")&amp;IF(AND(BankCalc!X17=1),BankCalc!A17&amp;",","")&amp;IF(AND(BankCalc!X18=1),BankCalc!A18&amp;",","")&amp;IF(AND(BankCalc!X19=1),BankCalc!A19&amp;",","")&amp;IF(AND(BankCalc!X20=1),BankCalc!A20&amp;",","")&amp;IF(AND(BankCalc!X21=1),BankCalc!A21&amp;",","")&amp;IF(AND(BankCalc!X22=1),BankCalc!A22&amp;",","")&amp;IF(AND(BankCalc!X23=1),BankCalc!A23&amp;",","")&amp;IF(AND(BankCalc!X24=1),BankCalc!A24&amp;",","")&amp;IF(AND(BankCalc!X25=1),BankCalc!A25&amp;",","")&amp;IF(AND(BankCalc!X26=1),BankCalc!A26&amp;",","")&amp;IF(AND(BankCalc!X27=1),BankCalc!A27&amp;",","")&amp;IF(AND(BankCalc!X28=1),BankCalc!A28&amp;",","")&amp;IF(AND(BankCalc!X29=1),BankCalc!A29&amp;",","")&amp;IF(AND(BankCalc!X30=1),BankCalc!A30&amp;",","")&amp;IF(AND(BankCalc!X31=1),BankCalc!A31&amp;",","")&amp;IF(AND(BankCalc!X32=1),BankCalc!A32&amp;",","")&amp;IF(AND(BankCalc!X33=1),BankCalc!A33&amp;",","")&amp;IF(AND(BankCalc!X34=1),BankCalc!A34&amp;",","")&amp;IF(AND(BankCalc!X35=1),BankCalc!A35&amp;",","")&amp;IF(AND(BankCalc!X36=1),BankCalc!A36&amp;",","")&amp;IF(AND(BankCalc!X37=1),BankCalc!A37&amp;",","")&amp;IF(AND(BankCalc!X38=1),BankCalc!A38&amp;",","")&amp;IF(AND(BankCalc!X39=1),BankCalc!A39&amp;",","")&amp;IF(AND(BankCalc!X40=1),BankCalc!A40&amp;",","")&amp;IF(AND(BankCalc!X41=1),BankCalc!A41&amp;",","")&amp;IF(AND(BankCalc!X42=1),BankCalc!A42&amp;",","")&amp;IF(AND(BankCalc!X43=1),BankCalc!A43&amp;",","")&amp;IF(AND(BankCalc!X44=1),BankCalc!A44&amp;",","")&amp;IF(AND(BankCalc!X45=1),BankCalc!A45&amp;",","")&amp;IF(AND(BankCalc!X46=1),BankCalc!A46&amp;",","")&amp;IF(AND(BankCalc!X47=1),BankCalc!A47&amp;",","")&amp;IF(AND(BankCalc!X48=1),BankCalc!A48&amp;",","")&amp;IF(AND(BankCalc!X49=1),BankCalc!A49&amp;",","")&amp;IF(AND(BankCalc!X50=1),BankCalc!A50&amp;",","")&amp;IF(AND(BankCalc!X51=1),BankCalc!A51&amp;",","")&amp;IF(AND(BankCalc!X52=1),BankCalc!A52&amp;",","")&amp;IF(AND(BankCalc!X53=1),BankCalc!A53&amp;",","")&amp;IF(AND(BankCalc!X54=1),BankCalc!A54&amp;",","")&amp;IF(AND(BankCalc!X55=1),BankCalc!A55&amp;",",""),"")</f>
        <v>14240,17748,</v>
      </c>
    </row>
    <row r="3" customFormat="false" ht="15" hidden="false" customHeight="false" outlineLevel="0" collapsed="false">
      <c r="A3" s="0" t="s">
        <v>105</v>
      </c>
      <c r="B3" s="0" t="n">
        <f aca="false">IF(WF_MODEL_VALID,SUMIF(BankCalc!$F$2:$F$55,"ME",BankCalc!$D$2:$D$55),"")</f>
        <v>23</v>
      </c>
      <c r="C3" s="0" t="n">
        <f aca="false">IF(WF_MODEL_VALID,SUMIF(BankCalc!$G$2:$G$55,"ME",BankCalc!$E$2:$E$55),"")</f>
        <v>22</v>
      </c>
      <c r="D3" s="0" t="n">
        <f aca="false">IF(WF_MODEL_VALID,SUMIF(BankCalc!$G$2:$G$55,"ME",BankCalc!$N$2:$N$55),"")</f>
        <v>22</v>
      </c>
      <c r="E3" s="0" t="n">
        <f aca="false">IF(WF_MODEL_VALID,IFERROR(100*SUMIFS(RawFinancials!$AB$2:$AB$747,RawFinancials!$W$2:$W$747,WF_START_PERIOD,RawFinancials!$AA$2:$AA$747,1,RawFinancials!$Z$2:$Z$747,"ME")/SUMIFS(RawFinancials!$B$2:$B$747,RawFinancials!$W$2:$W$747,WF_START_PERIOD,RawFinancials!$AA$2:$AA$747,1,RawFinancials!$Z$2:$Z$747,"ME"),""),"")</f>
        <v>0.264199848951287</v>
      </c>
      <c r="F3" s="0" t="n">
        <f aca="false">IF(WF_MODEL_VALID,IFERROR(100*SUMIFS(RawFinancials!$AB$2:$AB$747,RawFinancials!$W$2:$W$747,WF_END_PERIOD,RawFinancials!$AA$2:$AA$747,1,RawFinancials!$Z$2:$Z$747,"ME")/SUMIFS(RawFinancials!$B$2:$B$747,RawFinancials!$W$2:$W$747,WF_END_PERIOD,RawFinancials!$AA$2:$AA$747,1,RawFinancials!$Z$2:$Z$747,"ME"),""),"")</f>
        <v>0.367377407543895</v>
      </c>
      <c r="G3" s="0" t="n">
        <f aca="false">IF(WF_MODEL_VALID,F3-E3,"")</f>
        <v>0.103177558592608</v>
      </c>
      <c r="H3" s="0" t="n">
        <f aca="false">IF(WF_MODEL_VALID,IFERROR(SUMIF(BankCalc!$G$2:$G$55,"ME",BankCalc!$P$2:$P$55)/SUMIF(BankCalc!$G$2:$G$55,"ME",BankCalc!$O$2:$O$55),""),"")</f>
        <v>0.255547638574897</v>
      </c>
      <c r="I3" s="0" t="n">
        <f aca="false">IF(WF_MODEL_VALID,IFERROR(SUMIF(BankCalc!$G$2:$G$55,"ME",BankCalc!$Q$2:$Q$55)/SUMIF(BankCalc!$G$2:$G$55,"ME",BankCalc!$O$2:$O$55),""),"")</f>
        <v>0.353037114034477</v>
      </c>
      <c r="J3" s="0" t="n">
        <f aca="false">IF(WF_MODEL_VALID,I3-H3,"")</f>
        <v>0.0974894754595806</v>
      </c>
      <c r="K3" s="0" t="n">
        <f aca="false">IF(WF_MODEL_VALID,G3-J3,"")</f>
        <v>0.00568808313302771</v>
      </c>
      <c r="L3" s="0" t="n">
        <f aca="false">IF(WF_MODEL_VALID,SUMIF(BankCalc!$G$2:$G$55,"ME",BankCalc!$W$2:$W$55),"")</f>
        <v>0</v>
      </c>
      <c r="M3" s="0" t="n">
        <f aca="false">IF(WF_MODEL_VALID,SUMIF(BankCalc!$F$2:$F$55,"ME",BankCalc!$X$2:$X$55),"")</f>
        <v>1</v>
      </c>
      <c r="N3" s="0" t="n">
        <f aca="false">IF(WF_MODEL_VALID,SUMIF(BankCalc!$G$2:$G$55,"ME",BankCalc!$Y$2:$Y$55),"")</f>
        <v>0</v>
      </c>
      <c r="O3" s="0" t="n">
        <f aca="false">IF(WF_MODEL_VALID,SUMIF(BankCalc!$F$2:$F$55,"ME",BankCalc!$Z$2:$Z$55),"")</f>
        <v>1653584</v>
      </c>
      <c r="P3" s="0" t="str">
        <f aca="false">IF(WF_MODEL_VALID,IF(AND(BankCalc!W2=1,BankCalc!G2="ME"),BankCalc!A2&amp;",","")&amp;IF(AND(BankCalc!W3=1,BankCalc!G3="ME"),BankCalc!A3&amp;",","")&amp;IF(AND(BankCalc!W4=1,BankCalc!G4="ME"),BankCalc!A4&amp;",","")&amp;IF(AND(BankCalc!W5=1,BankCalc!G5="ME"),BankCalc!A5&amp;",","")&amp;IF(AND(BankCalc!W6=1,BankCalc!G6="ME"),BankCalc!A6&amp;",","")&amp;IF(AND(BankCalc!W7=1,BankCalc!G7="ME"),BankCalc!A7&amp;",","")&amp;IF(AND(BankCalc!W8=1,BankCalc!G8="ME"),BankCalc!A8&amp;",","")&amp;IF(AND(BankCalc!W9=1,BankCalc!G9="ME"),BankCalc!A9&amp;",","")&amp;IF(AND(BankCalc!W10=1,BankCalc!G10="ME"),BankCalc!A10&amp;",","")&amp;IF(AND(BankCalc!W11=1,BankCalc!G11="ME"),BankCalc!A11&amp;",","")&amp;IF(AND(BankCalc!W12=1,BankCalc!G12="ME"),BankCalc!A12&amp;",","")&amp;IF(AND(BankCalc!W13=1,BankCalc!G13="ME"),BankCalc!A13&amp;",","")&amp;IF(AND(BankCalc!W14=1,BankCalc!G14="ME"),BankCalc!A14&amp;",","")&amp;IF(AND(BankCalc!W15=1,BankCalc!G15="ME"),BankCalc!A15&amp;",","")&amp;IF(AND(BankCalc!W16=1,BankCalc!G16="ME"),BankCalc!A16&amp;",","")&amp;IF(AND(BankCalc!W17=1,BankCalc!G17="ME"),BankCalc!A17&amp;",","")&amp;IF(AND(BankCalc!W18=1,BankCalc!G18="ME"),BankCalc!A18&amp;",","")&amp;IF(AND(BankCalc!W19=1,BankCalc!G19="ME"),BankCalc!A19&amp;",","")&amp;IF(AND(BankCalc!W20=1,BankCalc!G20="ME"),BankCalc!A20&amp;",","")&amp;IF(AND(BankCalc!W21=1,BankCalc!G21="ME"),BankCalc!A21&amp;",","")&amp;IF(AND(BankCalc!W22=1,BankCalc!G22="ME"),BankCalc!A22&amp;",","")&amp;IF(AND(BankCalc!W23=1,BankCalc!G23="ME"),BankCalc!A23&amp;",","")&amp;IF(AND(BankCalc!W24=1,BankCalc!G24="ME"),BankCalc!A24&amp;",","")&amp;IF(AND(BankCalc!W25=1,BankCalc!G25="ME"),BankCalc!A25&amp;",","")&amp;IF(AND(BankCalc!W26=1,BankCalc!G26="ME"),BankCalc!A26&amp;",","")&amp;IF(AND(BankCalc!W27=1,BankCalc!G27="ME"),BankCalc!A27&amp;",","")&amp;IF(AND(BankCalc!W28=1,BankCalc!G28="ME"),BankCalc!A28&amp;",","")&amp;IF(AND(BankCalc!W29=1,BankCalc!G29="ME"),BankCalc!A29&amp;",","")&amp;IF(AND(BankCalc!W30=1,BankCalc!G30="ME"),BankCalc!A30&amp;",","")&amp;IF(AND(BankCalc!W31=1,BankCalc!G31="ME"),BankCalc!A31&amp;",","")&amp;IF(AND(BankCalc!W32=1,BankCalc!G32="ME"),BankCalc!A32&amp;",","")&amp;IF(AND(BankCalc!W33=1,BankCalc!G33="ME"),BankCalc!A33&amp;",","")&amp;IF(AND(BankCalc!W34=1,BankCalc!G34="ME"),BankCalc!A34&amp;",","")&amp;IF(AND(BankCalc!W35=1,BankCalc!G35="ME"),BankCalc!A35&amp;",","")&amp;IF(AND(BankCalc!W36=1,BankCalc!G36="ME"),BankCalc!A36&amp;",","")&amp;IF(AND(BankCalc!W37=1,BankCalc!G37="ME"),BankCalc!A37&amp;",","")&amp;IF(AND(BankCalc!W38=1,BankCalc!G38="ME"),BankCalc!A38&amp;",","")&amp;IF(AND(BankCalc!W39=1,BankCalc!G39="ME"),BankCalc!A39&amp;",","")&amp;IF(AND(BankCalc!W40=1,BankCalc!G40="ME"),BankCalc!A40&amp;",","")&amp;IF(AND(BankCalc!W41=1,BankCalc!G41="ME"),BankCalc!A41&amp;",","")&amp;IF(AND(BankCalc!W42=1,BankCalc!G42="ME"),BankCalc!A42&amp;",","")&amp;IF(AND(BankCalc!W43=1,BankCalc!G43="ME"),BankCalc!A43&amp;",","")&amp;IF(AND(BankCalc!W44=1,BankCalc!G44="ME"),BankCalc!A44&amp;",","")&amp;IF(AND(BankCalc!W45=1,BankCalc!G45="ME"),BankCalc!A45&amp;",","")&amp;IF(AND(BankCalc!W46=1,BankCalc!G46="ME"),BankCalc!A46&amp;",","")&amp;IF(AND(BankCalc!W47=1,BankCalc!G47="ME"),BankCalc!A47&amp;",","")&amp;IF(AND(BankCalc!W48=1,BankCalc!G48="ME"),BankCalc!A48&amp;",","")&amp;IF(AND(BankCalc!W49=1,BankCalc!G49="ME"),BankCalc!A49&amp;",","")&amp;IF(AND(BankCalc!W50=1,BankCalc!G50="ME"),BankCalc!A50&amp;",","")&amp;IF(AND(BankCalc!W51=1,BankCalc!G51="ME"),BankCalc!A51&amp;",","")&amp;IF(AND(BankCalc!W52=1,BankCalc!G52="ME"),BankCalc!A52&amp;",","")&amp;IF(AND(BankCalc!W53=1,BankCalc!G53="ME"),BankCalc!A53&amp;",","")&amp;IF(AND(BankCalc!W54=1,BankCalc!G54="ME"),BankCalc!A54&amp;",","")&amp;IF(AND(BankCalc!W55=1,BankCalc!G55="ME"),BankCalc!A55&amp;",",""),"")</f>
        <v/>
      </c>
      <c r="Q3" s="0" t="str">
        <f aca="false">IF(WF_MODEL_VALID,IF(AND(BankCalc!X2=1,BankCalc!F2="ME"),BankCalc!A2&amp;",","")&amp;IF(AND(BankCalc!X3=1,BankCalc!F3="ME"),BankCalc!A3&amp;",","")&amp;IF(AND(BankCalc!X4=1,BankCalc!F4="ME"),BankCalc!A4&amp;",","")&amp;IF(AND(BankCalc!X5=1,BankCalc!F5="ME"),BankCalc!A5&amp;",","")&amp;IF(AND(BankCalc!X6=1,BankCalc!F6="ME"),BankCalc!A6&amp;",","")&amp;IF(AND(BankCalc!X7=1,BankCalc!F7="ME"),BankCalc!A7&amp;",","")&amp;IF(AND(BankCalc!X8=1,BankCalc!F8="ME"),BankCalc!A8&amp;",","")&amp;IF(AND(BankCalc!X9=1,BankCalc!F9="ME"),BankCalc!A9&amp;",","")&amp;IF(AND(BankCalc!X10=1,BankCalc!F10="ME"),BankCalc!A10&amp;",","")&amp;IF(AND(BankCalc!X11=1,BankCalc!F11="ME"),BankCalc!A11&amp;",","")&amp;IF(AND(BankCalc!X12=1,BankCalc!F12="ME"),BankCalc!A12&amp;",","")&amp;IF(AND(BankCalc!X13=1,BankCalc!F13="ME"),BankCalc!A13&amp;",","")&amp;IF(AND(BankCalc!X14=1,BankCalc!F14="ME"),BankCalc!A14&amp;",","")&amp;IF(AND(BankCalc!X15=1,BankCalc!F15="ME"),BankCalc!A15&amp;",","")&amp;IF(AND(BankCalc!X16=1,BankCalc!F16="ME"),BankCalc!A16&amp;",","")&amp;IF(AND(BankCalc!X17=1,BankCalc!F17="ME"),BankCalc!A17&amp;",","")&amp;IF(AND(BankCalc!X18=1,BankCalc!F18="ME"),BankCalc!A18&amp;",","")&amp;IF(AND(BankCalc!X19=1,BankCalc!F19="ME"),BankCalc!A19&amp;",","")&amp;IF(AND(BankCalc!X20=1,BankCalc!F20="ME"),BankCalc!A20&amp;",","")&amp;IF(AND(BankCalc!X21=1,BankCalc!F21="ME"),BankCalc!A21&amp;",","")&amp;IF(AND(BankCalc!X22=1,BankCalc!F22="ME"),BankCalc!A22&amp;",","")&amp;IF(AND(BankCalc!X23=1,BankCalc!F23="ME"),BankCalc!A23&amp;",","")&amp;IF(AND(BankCalc!X24=1,BankCalc!F24="ME"),BankCalc!A24&amp;",","")&amp;IF(AND(BankCalc!X25=1,BankCalc!F25="ME"),BankCalc!A25&amp;",","")&amp;IF(AND(BankCalc!X26=1,BankCalc!F26="ME"),BankCalc!A26&amp;",","")&amp;IF(AND(BankCalc!X27=1,BankCalc!F27="ME"),BankCalc!A27&amp;",","")&amp;IF(AND(BankCalc!X28=1,BankCalc!F28="ME"),BankCalc!A28&amp;",","")&amp;IF(AND(BankCalc!X29=1,BankCalc!F29="ME"),BankCalc!A29&amp;",","")&amp;IF(AND(BankCalc!X30=1,BankCalc!F30="ME"),BankCalc!A30&amp;",","")&amp;IF(AND(BankCalc!X31=1,BankCalc!F31="ME"),BankCalc!A31&amp;",","")&amp;IF(AND(BankCalc!X32=1,BankCalc!F32="ME"),BankCalc!A32&amp;",","")&amp;IF(AND(BankCalc!X33=1,BankCalc!F33="ME"),BankCalc!A33&amp;",","")&amp;IF(AND(BankCalc!X34=1,BankCalc!F34="ME"),BankCalc!A34&amp;",","")&amp;IF(AND(BankCalc!X35=1,BankCalc!F35="ME"),BankCalc!A35&amp;",","")&amp;IF(AND(BankCalc!X36=1,BankCalc!F36="ME"),BankCalc!A36&amp;",","")&amp;IF(AND(BankCalc!X37=1,BankCalc!F37="ME"),BankCalc!A37&amp;",","")&amp;IF(AND(BankCalc!X38=1,BankCalc!F38="ME"),BankCalc!A38&amp;",","")&amp;IF(AND(BankCalc!X39=1,BankCalc!F39="ME"),BankCalc!A39&amp;",","")&amp;IF(AND(BankCalc!X40=1,BankCalc!F40="ME"),BankCalc!A40&amp;",","")&amp;IF(AND(BankCalc!X41=1,BankCalc!F41="ME"),BankCalc!A41&amp;",","")&amp;IF(AND(BankCalc!X42=1,BankCalc!F42="ME"),BankCalc!A42&amp;",","")&amp;IF(AND(BankCalc!X43=1,BankCalc!F43="ME"),BankCalc!A43&amp;",","")&amp;IF(AND(BankCalc!X44=1,BankCalc!F44="ME"),BankCalc!A44&amp;",","")&amp;IF(AND(BankCalc!X45=1,BankCalc!F45="ME"),BankCalc!A45&amp;",","")&amp;IF(AND(BankCalc!X46=1,BankCalc!F46="ME"),BankCalc!A46&amp;",","")&amp;IF(AND(BankCalc!X47=1,BankCalc!F47="ME"),BankCalc!A47&amp;",","")&amp;IF(AND(BankCalc!X48=1,BankCalc!F48="ME"),BankCalc!A48&amp;",","")&amp;IF(AND(BankCalc!X49=1,BankCalc!F49="ME"),BankCalc!A49&amp;",","")&amp;IF(AND(BankCalc!X50=1,BankCalc!F50="ME"),BankCalc!A50&amp;",","")&amp;IF(AND(BankCalc!X51=1,BankCalc!F51="ME"),BankCalc!A51&amp;",","")&amp;IF(AND(BankCalc!X52=1,BankCalc!F52="ME"),BankCalc!A52&amp;",","")&amp;IF(AND(BankCalc!X53=1,BankCalc!F53="ME"),BankCalc!A53&amp;",","")&amp;IF(AND(BankCalc!X54=1,BankCalc!F54="ME"),BankCalc!A54&amp;",","")&amp;IF(AND(BankCalc!X55=1,BankCalc!F55="ME"),BankCalc!A55&amp;",",""),"")</f>
        <v>17748,</v>
      </c>
    </row>
    <row r="4" customFormat="false" ht="15" hidden="false" customHeight="false" outlineLevel="0" collapsed="false">
      <c r="A4" s="0" t="s">
        <v>123</v>
      </c>
      <c r="B4" s="0" t="n">
        <f aca="false">IF(WF_MODEL_VALID,SUMIF(BankCalc!$F$2:$F$55,"NH",BankCalc!$D$2:$D$55),"")</f>
        <v>19</v>
      </c>
      <c r="C4" s="0" t="n">
        <f aca="false">IF(WF_MODEL_VALID,SUMIF(BankCalc!$G$2:$G$55,"NH",BankCalc!$E$2:$E$55),"")</f>
        <v>18</v>
      </c>
      <c r="D4" s="0" t="n">
        <f aca="false">IF(WF_MODEL_VALID,SUMIF(BankCalc!$G$2:$G$55,"NH",BankCalc!$N$2:$N$55),"")</f>
        <v>18</v>
      </c>
      <c r="E4" s="0" t="n">
        <f aca="false">IF(WF_MODEL_VALID,IFERROR(100*SUMIFS(RawFinancials!$AB$2:$AB$747,RawFinancials!$W$2:$W$747,WF_START_PERIOD,RawFinancials!$AA$2:$AA$747,1,RawFinancials!$Z$2:$Z$747,"NH")/SUMIFS(RawFinancials!$B$2:$B$747,RawFinancials!$W$2:$W$747,WF_START_PERIOD,RawFinancials!$AA$2:$AA$747,1,RawFinancials!$Z$2:$Z$747,"NH"),""),"")</f>
        <v>0.365090333917</v>
      </c>
      <c r="F4" s="0" t="n">
        <f aca="false">IF(WF_MODEL_VALID,IFERROR(100*SUMIFS(RawFinancials!$AB$2:$AB$747,RawFinancials!$W$2:$W$747,WF_END_PERIOD,RawFinancials!$AA$2:$AA$747,1,RawFinancials!$Z$2:$Z$747,"NH")/SUMIFS(RawFinancials!$B$2:$B$747,RawFinancials!$W$2:$W$747,WF_END_PERIOD,RawFinancials!$AA$2:$AA$747,1,RawFinancials!$Z$2:$Z$747,"NH"),""),"")</f>
        <v>0.305953974676349</v>
      </c>
      <c r="G4" s="0" t="n">
        <f aca="false">IF(WF_MODEL_VALID,F4-E4,"")</f>
        <v>-0.0591363592406509</v>
      </c>
      <c r="H4" s="0" t="n">
        <f aca="false">IF(WF_MODEL_VALID,IFERROR(SUMIF(BankCalc!$G$2:$G$55,"NH",BankCalc!$P$2:$P$55)/SUMIF(BankCalc!$G$2:$G$55,"NH",BankCalc!$O$2:$O$55),""),"")</f>
        <v>0.371862643189324</v>
      </c>
      <c r="I4" s="0" t="n">
        <f aca="false">IF(WF_MODEL_VALID,IFERROR(SUMIF(BankCalc!$G$2:$G$55,"NH",BankCalc!$Q$2:$Q$55)/SUMIF(BankCalc!$G$2:$G$55,"NH",BankCalc!$O$2:$O$55),""),"")</f>
        <v>0.299046108156666</v>
      </c>
      <c r="J4" s="0" t="n">
        <f aca="false">IF(WF_MODEL_VALID,I4-H4,"")</f>
        <v>-0.0728165350326575</v>
      </c>
      <c r="K4" s="0" t="n">
        <f aca="false">IF(WF_MODEL_VALID,G4-J4,"")</f>
        <v>0.0136801757920066</v>
      </c>
      <c r="L4" s="0" t="n">
        <f aca="false">IF(WF_MODEL_VALID,SUMIF(BankCalc!$G$2:$G$55,"NH",BankCalc!$W$2:$W$55),"")</f>
        <v>0</v>
      </c>
      <c r="M4" s="0" t="n">
        <f aca="false">IF(WF_MODEL_VALID,SUMIF(BankCalc!$F$2:$F$55,"NH",BankCalc!$X$2:$X$55),"")</f>
        <v>1</v>
      </c>
      <c r="N4" s="0" t="n">
        <f aca="false">IF(WF_MODEL_VALID,SUMIF(BankCalc!$G$2:$G$55,"NH",BankCalc!$Y$2:$Y$55),"")</f>
        <v>0</v>
      </c>
      <c r="O4" s="0" t="n">
        <f aca="false">IF(WF_MODEL_VALID,SUMIF(BankCalc!$F$2:$F$55,"NH",BankCalc!$Z$2:$Z$55),"")</f>
        <v>1270696</v>
      </c>
      <c r="P4" s="0" t="str">
        <f aca="false">IF(WF_MODEL_VALID,IF(AND(BankCalc!W2=1,BankCalc!G2="NH"),BankCalc!A2&amp;",","")&amp;IF(AND(BankCalc!W3=1,BankCalc!G3="NH"),BankCalc!A3&amp;",","")&amp;IF(AND(BankCalc!W4=1,BankCalc!G4="NH"),BankCalc!A4&amp;",","")&amp;IF(AND(BankCalc!W5=1,BankCalc!G5="NH"),BankCalc!A5&amp;",","")&amp;IF(AND(BankCalc!W6=1,BankCalc!G6="NH"),BankCalc!A6&amp;",","")&amp;IF(AND(BankCalc!W7=1,BankCalc!G7="NH"),BankCalc!A7&amp;",","")&amp;IF(AND(BankCalc!W8=1,BankCalc!G8="NH"),BankCalc!A8&amp;",","")&amp;IF(AND(BankCalc!W9=1,BankCalc!G9="NH"),BankCalc!A9&amp;",","")&amp;IF(AND(BankCalc!W10=1,BankCalc!G10="NH"),BankCalc!A10&amp;",","")&amp;IF(AND(BankCalc!W11=1,BankCalc!G11="NH"),BankCalc!A11&amp;",","")&amp;IF(AND(BankCalc!W12=1,BankCalc!G12="NH"),BankCalc!A12&amp;",","")&amp;IF(AND(BankCalc!W13=1,BankCalc!G13="NH"),BankCalc!A13&amp;",","")&amp;IF(AND(BankCalc!W14=1,BankCalc!G14="NH"),BankCalc!A14&amp;",","")&amp;IF(AND(BankCalc!W15=1,BankCalc!G15="NH"),BankCalc!A15&amp;",","")&amp;IF(AND(BankCalc!W16=1,BankCalc!G16="NH"),BankCalc!A16&amp;",","")&amp;IF(AND(BankCalc!W17=1,BankCalc!G17="NH"),BankCalc!A17&amp;",","")&amp;IF(AND(BankCalc!W18=1,BankCalc!G18="NH"),BankCalc!A18&amp;",","")&amp;IF(AND(BankCalc!W19=1,BankCalc!G19="NH"),BankCalc!A19&amp;",","")&amp;IF(AND(BankCalc!W20=1,BankCalc!G20="NH"),BankCalc!A20&amp;",","")&amp;IF(AND(BankCalc!W21=1,BankCalc!G21="NH"),BankCalc!A21&amp;",","")&amp;IF(AND(BankCalc!W22=1,BankCalc!G22="NH"),BankCalc!A22&amp;",","")&amp;IF(AND(BankCalc!W23=1,BankCalc!G23="NH"),BankCalc!A23&amp;",","")&amp;IF(AND(BankCalc!W24=1,BankCalc!G24="NH"),BankCalc!A24&amp;",","")&amp;IF(AND(BankCalc!W25=1,BankCalc!G25="NH"),BankCalc!A25&amp;",","")&amp;IF(AND(BankCalc!W26=1,BankCalc!G26="NH"),BankCalc!A26&amp;",","")&amp;IF(AND(BankCalc!W27=1,BankCalc!G27="NH"),BankCalc!A27&amp;",","")&amp;IF(AND(BankCalc!W28=1,BankCalc!G28="NH"),BankCalc!A28&amp;",","")&amp;IF(AND(BankCalc!W29=1,BankCalc!G29="NH"),BankCalc!A29&amp;",","")&amp;IF(AND(BankCalc!W30=1,BankCalc!G30="NH"),BankCalc!A30&amp;",","")&amp;IF(AND(BankCalc!W31=1,BankCalc!G31="NH"),BankCalc!A31&amp;",","")&amp;IF(AND(BankCalc!W32=1,BankCalc!G32="NH"),BankCalc!A32&amp;",","")&amp;IF(AND(BankCalc!W33=1,BankCalc!G33="NH"),BankCalc!A33&amp;",","")&amp;IF(AND(BankCalc!W34=1,BankCalc!G34="NH"),BankCalc!A34&amp;",","")&amp;IF(AND(BankCalc!W35=1,BankCalc!G35="NH"),BankCalc!A35&amp;",","")&amp;IF(AND(BankCalc!W36=1,BankCalc!G36="NH"),BankCalc!A36&amp;",","")&amp;IF(AND(BankCalc!W37=1,BankCalc!G37="NH"),BankCalc!A37&amp;",","")&amp;IF(AND(BankCalc!W38=1,BankCalc!G38="NH"),BankCalc!A38&amp;",","")&amp;IF(AND(BankCalc!W39=1,BankCalc!G39="NH"),BankCalc!A39&amp;",","")&amp;IF(AND(BankCalc!W40=1,BankCalc!G40="NH"),BankCalc!A40&amp;",","")&amp;IF(AND(BankCalc!W41=1,BankCalc!G41="NH"),BankCalc!A41&amp;",","")&amp;IF(AND(BankCalc!W42=1,BankCalc!G42="NH"),BankCalc!A42&amp;",","")&amp;IF(AND(BankCalc!W43=1,BankCalc!G43="NH"),BankCalc!A43&amp;",","")&amp;IF(AND(BankCalc!W44=1,BankCalc!G44="NH"),BankCalc!A44&amp;",","")&amp;IF(AND(BankCalc!W45=1,BankCalc!G45="NH"),BankCalc!A45&amp;",","")&amp;IF(AND(BankCalc!W46=1,BankCalc!G46="NH"),BankCalc!A46&amp;",","")&amp;IF(AND(BankCalc!W47=1,BankCalc!G47="NH"),BankCalc!A47&amp;",","")&amp;IF(AND(BankCalc!W48=1,BankCalc!G48="NH"),BankCalc!A48&amp;",","")&amp;IF(AND(BankCalc!W49=1,BankCalc!G49="NH"),BankCalc!A49&amp;",","")&amp;IF(AND(BankCalc!W50=1,BankCalc!G50="NH"),BankCalc!A50&amp;",","")&amp;IF(AND(BankCalc!W51=1,BankCalc!G51="NH"),BankCalc!A51&amp;",","")&amp;IF(AND(BankCalc!W52=1,BankCalc!G52="NH"),BankCalc!A52&amp;",","")&amp;IF(AND(BankCalc!W53=1,BankCalc!G53="NH"),BankCalc!A53&amp;",","")&amp;IF(AND(BankCalc!W54=1,BankCalc!G54="NH"),BankCalc!A54&amp;",","")&amp;IF(AND(BankCalc!W55=1,BankCalc!G55="NH"),BankCalc!A55&amp;",",""),"")</f>
        <v/>
      </c>
      <c r="Q4" s="0" t="str">
        <f aca="false">IF(WF_MODEL_VALID,IF(AND(BankCalc!X2=1,BankCalc!F2="NH"),BankCalc!A2&amp;",","")&amp;IF(AND(BankCalc!X3=1,BankCalc!F3="NH"),BankCalc!A3&amp;",","")&amp;IF(AND(BankCalc!X4=1,BankCalc!F4="NH"),BankCalc!A4&amp;",","")&amp;IF(AND(BankCalc!X5=1,BankCalc!F5="NH"),BankCalc!A5&amp;",","")&amp;IF(AND(BankCalc!X6=1,BankCalc!F6="NH"),BankCalc!A6&amp;",","")&amp;IF(AND(BankCalc!X7=1,BankCalc!F7="NH"),BankCalc!A7&amp;",","")&amp;IF(AND(BankCalc!X8=1,BankCalc!F8="NH"),BankCalc!A8&amp;",","")&amp;IF(AND(BankCalc!X9=1,BankCalc!F9="NH"),BankCalc!A9&amp;",","")&amp;IF(AND(BankCalc!X10=1,BankCalc!F10="NH"),BankCalc!A10&amp;",","")&amp;IF(AND(BankCalc!X11=1,BankCalc!F11="NH"),BankCalc!A11&amp;",","")&amp;IF(AND(BankCalc!X12=1,BankCalc!F12="NH"),BankCalc!A12&amp;",","")&amp;IF(AND(BankCalc!X13=1,BankCalc!F13="NH"),BankCalc!A13&amp;",","")&amp;IF(AND(BankCalc!X14=1,BankCalc!F14="NH"),BankCalc!A14&amp;",","")&amp;IF(AND(BankCalc!X15=1,BankCalc!F15="NH"),BankCalc!A15&amp;",","")&amp;IF(AND(BankCalc!X16=1,BankCalc!F16="NH"),BankCalc!A16&amp;",","")&amp;IF(AND(BankCalc!X17=1,BankCalc!F17="NH"),BankCalc!A17&amp;",","")&amp;IF(AND(BankCalc!X18=1,BankCalc!F18="NH"),BankCalc!A18&amp;",","")&amp;IF(AND(BankCalc!X19=1,BankCalc!F19="NH"),BankCalc!A19&amp;",","")&amp;IF(AND(BankCalc!X20=1,BankCalc!F20="NH"),BankCalc!A20&amp;",","")&amp;IF(AND(BankCalc!X21=1,BankCalc!F21="NH"),BankCalc!A21&amp;",","")&amp;IF(AND(BankCalc!X22=1,BankCalc!F22="NH"),BankCalc!A22&amp;",","")&amp;IF(AND(BankCalc!X23=1,BankCalc!F23="NH"),BankCalc!A23&amp;",","")&amp;IF(AND(BankCalc!X24=1,BankCalc!F24="NH"),BankCalc!A24&amp;",","")&amp;IF(AND(BankCalc!X25=1,BankCalc!F25="NH"),BankCalc!A25&amp;",","")&amp;IF(AND(BankCalc!X26=1,BankCalc!F26="NH"),BankCalc!A26&amp;",","")&amp;IF(AND(BankCalc!X27=1,BankCalc!F27="NH"),BankCalc!A27&amp;",","")&amp;IF(AND(BankCalc!X28=1,BankCalc!F28="NH"),BankCalc!A28&amp;",","")&amp;IF(AND(BankCalc!X29=1,BankCalc!F29="NH"),BankCalc!A29&amp;",","")&amp;IF(AND(BankCalc!X30=1,BankCalc!F30="NH"),BankCalc!A30&amp;",","")&amp;IF(AND(BankCalc!X31=1,BankCalc!F31="NH"),BankCalc!A31&amp;",","")&amp;IF(AND(BankCalc!X32=1,BankCalc!F32="NH"),BankCalc!A32&amp;",","")&amp;IF(AND(BankCalc!X33=1,BankCalc!F33="NH"),BankCalc!A33&amp;",","")&amp;IF(AND(BankCalc!X34=1,BankCalc!F34="NH"),BankCalc!A34&amp;",","")&amp;IF(AND(BankCalc!X35=1,BankCalc!F35="NH"),BankCalc!A35&amp;",","")&amp;IF(AND(BankCalc!X36=1,BankCalc!F36="NH"),BankCalc!A36&amp;",","")&amp;IF(AND(BankCalc!X37=1,BankCalc!F37="NH"),BankCalc!A37&amp;",","")&amp;IF(AND(BankCalc!X38=1,BankCalc!F38="NH"),BankCalc!A38&amp;",","")&amp;IF(AND(BankCalc!X39=1,BankCalc!F39="NH"),BankCalc!A39&amp;",","")&amp;IF(AND(BankCalc!X40=1,BankCalc!F40="NH"),BankCalc!A40&amp;",","")&amp;IF(AND(BankCalc!X41=1,BankCalc!F41="NH"),BankCalc!A41&amp;",","")&amp;IF(AND(BankCalc!X42=1,BankCalc!F42="NH"),BankCalc!A42&amp;",","")&amp;IF(AND(BankCalc!X43=1,BankCalc!F43="NH"),BankCalc!A43&amp;",","")&amp;IF(AND(BankCalc!X44=1,BankCalc!F44="NH"),BankCalc!A44&amp;",","")&amp;IF(AND(BankCalc!X45=1,BankCalc!F45="NH"),BankCalc!A45&amp;",","")&amp;IF(AND(BankCalc!X46=1,BankCalc!F46="NH"),BankCalc!A46&amp;",","")&amp;IF(AND(BankCalc!X47=1,BankCalc!F47="NH"),BankCalc!A47&amp;",","")&amp;IF(AND(BankCalc!X48=1,BankCalc!F48="NH"),BankCalc!A48&amp;",","")&amp;IF(AND(BankCalc!X49=1,BankCalc!F49="NH"),BankCalc!A49&amp;",","")&amp;IF(AND(BankCalc!X50=1,BankCalc!F50="NH"),BankCalc!A50&amp;",","")&amp;IF(AND(BankCalc!X51=1,BankCalc!F51="NH"),BankCalc!A51&amp;",","")&amp;IF(AND(BankCalc!X52=1,BankCalc!F52="NH"),BankCalc!A52&amp;",","")&amp;IF(AND(BankCalc!X53=1,BankCalc!F53="NH"),BankCalc!A53&amp;",","")&amp;IF(AND(BankCalc!X54=1,BankCalc!F54="NH"),BankCalc!A54&amp;",","")&amp;IF(AND(BankCalc!X55=1,BankCalc!F55="NH"),BankCalc!A55&amp;",",""),"")</f>
        <v>14240,</v>
      </c>
    </row>
    <row r="5" customFormat="false" ht="15" hidden="false" customHeight="false" outlineLevel="0" collapsed="false">
      <c r="A5" s="0" t="s">
        <v>112</v>
      </c>
      <c r="B5" s="0" t="n">
        <f aca="false">IF(WF_MODEL_VALID,SUMIF(BankCalc!$F$2:$F$55,"VT",BankCalc!$D$2:$D$55),"")</f>
        <v>12</v>
      </c>
      <c r="C5" s="0" t="n">
        <f aca="false">IF(WF_MODEL_VALID,SUMIF(BankCalc!$G$2:$G$55,"VT",BankCalc!$E$2:$E$55),"")</f>
        <v>12</v>
      </c>
      <c r="D5" s="0" t="n">
        <f aca="false">IF(WF_MODEL_VALID,SUMIF(BankCalc!$G$2:$G$55,"VT",BankCalc!$N$2:$N$55),"")</f>
        <v>12</v>
      </c>
      <c r="E5" s="0" t="n">
        <f aca="false">IF(WF_MODEL_VALID,IFERROR(100*SUMIFS(RawFinancials!$AB$2:$AB$747,RawFinancials!$W$2:$W$747,WF_START_PERIOD,RawFinancials!$AA$2:$AA$747,1,RawFinancials!$Z$2:$Z$747,"VT")/SUMIFS(RawFinancials!$B$2:$B$747,RawFinancials!$W$2:$W$747,WF_START_PERIOD,RawFinancials!$AA$2:$AA$747,1,RawFinancials!$Z$2:$Z$747,"VT"),""),"")</f>
        <v>0.338603855082762</v>
      </c>
      <c r="F5" s="0" t="n">
        <f aca="false">IF(WF_MODEL_VALID,IFERROR(100*SUMIFS(RawFinancials!$AB$2:$AB$747,RawFinancials!$W$2:$W$747,WF_END_PERIOD,RawFinancials!$AA$2:$AA$747,1,RawFinancials!$Z$2:$Z$747,"VT")/SUMIFS(RawFinancials!$B$2:$B$747,RawFinancials!$W$2:$W$747,WF_END_PERIOD,RawFinancials!$AA$2:$AA$747,1,RawFinancials!$Z$2:$Z$747,"VT"),""),"")</f>
        <v>0.494731233873011</v>
      </c>
      <c r="G5" s="0" t="n">
        <f aca="false">IF(WF_MODEL_VALID,F5-E5,"")</f>
        <v>0.156127378790249</v>
      </c>
      <c r="H5" s="0" t="n">
        <f aca="false">IF(WF_MODEL_VALID,IFERROR(SUMIF(BankCalc!$G$2:$G$55,"VT",BankCalc!$P$2:$P$55)/SUMIF(BankCalc!$G$2:$G$55,"VT",BankCalc!$O$2:$O$55),""),"")</f>
        <v>0.338603855082762</v>
      </c>
      <c r="I5" s="0" t="n">
        <f aca="false">IF(WF_MODEL_VALID,IFERROR(SUMIF(BankCalc!$G$2:$G$55,"VT",BankCalc!$Q$2:$Q$55)/SUMIF(BankCalc!$G$2:$G$55,"VT",BankCalc!$O$2:$O$55),""),"")</f>
        <v>0.495417244299651</v>
      </c>
      <c r="J5" s="0" t="n">
        <f aca="false">IF(WF_MODEL_VALID,I5-H5,"")</f>
        <v>0.156813389216888</v>
      </c>
      <c r="K5" s="0" t="n">
        <f aca="false">IF(WF_MODEL_VALID,G5-J5,"")</f>
        <v>-0.000686010426639572</v>
      </c>
      <c r="L5" s="0" t="n">
        <f aca="false">IF(WF_MODEL_VALID,SUMIF(BankCalc!$G$2:$G$55,"VT",BankCalc!$W$2:$W$55),"")</f>
        <v>0</v>
      </c>
      <c r="M5" s="0" t="n">
        <f aca="false">IF(WF_MODEL_VALID,SUMIF(BankCalc!$F$2:$F$55,"VT",BankCalc!$X$2:$X$55),"")</f>
        <v>0</v>
      </c>
      <c r="N5" s="0" t="n">
        <f aca="false">IF(WF_MODEL_VALID,SUMIF(BankCalc!$G$2:$G$55,"VT",BankCalc!$Y$2:$Y$55),"")</f>
        <v>0</v>
      </c>
      <c r="O5" s="0" t="n">
        <f aca="false">IF(WF_MODEL_VALID,SUMIF(BankCalc!$F$2:$F$55,"VT",BankCalc!$Z$2:$Z$55),"")</f>
        <v>0</v>
      </c>
      <c r="P5" s="0" t="str">
        <f aca="false">IF(WF_MODEL_VALID,IF(AND(BankCalc!W2=1,BankCalc!G2="VT"),BankCalc!A2&amp;",","")&amp;IF(AND(BankCalc!W3=1,BankCalc!G3="VT"),BankCalc!A3&amp;",","")&amp;IF(AND(BankCalc!W4=1,BankCalc!G4="VT"),BankCalc!A4&amp;",","")&amp;IF(AND(BankCalc!W5=1,BankCalc!G5="VT"),BankCalc!A5&amp;",","")&amp;IF(AND(BankCalc!W6=1,BankCalc!G6="VT"),BankCalc!A6&amp;",","")&amp;IF(AND(BankCalc!W7=1,BankCalc!G7="VT"),BankCalc!A7&amp;",","")&amp;IF(AND(BankCalc!W8=1,BankCalc!G8="VT"),BankCalc!A8&amp;",","")&amp;IF(AND(BankCalc!W9=1,BankCalc!G9="VT"),BankCalc!A9&amp;",","")&amp;IF(AND(BankCalc!W10=1,BankCalc!G10="VT"),BankCalc!A10&amp;",","")&amp;IF(AND(BankCalc!W11=1,BankCalc!G11="VT"),BankCalc!A11&amp;",","")&amp;IF(AND(BankCalc!W12=1,BankCalc!G12="VT"),BankCalc!A12&amp;",","")&amp;IF(AND(BankCalc!W13=1,BankCalc!G13="VT"),BankCalc!A13&amp;",","")&amp;IF(AND(BankCalc!W14=1,BankCalc!G14="VT"),BankCalc!A14&amp;",","")&amp;IF(AND(BankCalc!W15=1,BankCalc!G15="VT"),BankCalc!A15&amp;",","")&amp;IF(AND(BankCalc!W16=1,BankCalc!G16="VT"),BankCalc!A16&amp;",","")&amp;IF(AND(BankCalc!W17=1,BankCalc!G17="VT"),BankCalc!A17&amp;",","")&amp;IF(AND(BankCalc!W18=1,BankCalc!G18="VT"),BankCalc!A18&amp;",","")&amp;IF(AND(BankCalc!W19=1,BankCalc!G19="VT"),BankCalc!A19&amp;",","")&amp;IF(AND(BankCalc!W20=1,BankCalc!G20="VT"),BankCalc!A20&amp;",","")&amp;IF(AND(BankCalc!W21=1,BankCalc!G21="VT"),BankCalc!A21&amp;",","")&amp;IF(AND(BankCalc!W22=1,BankCalc!G22="VT"),BankCalc!A22&amp;",","")&amp;IF(AND(BankCalc!W23=1,BankCalc!G23="VT"),BankCalc!A23&amp;",","")&amp;IF(AND(BankCalc!W24=1,BankCalc!G24="VT"),BankCalc!A24&amp;",","")&amp;IF(AND(BankCalc!W25=1,BankCalc!G25="VT"),BankCalc!A25&amp;",","")&amp;IF(AND(BankCalc!W26=1,BankCalc!G26="VT"),BankCalc!A26&amp;",","")&amp;IF(AND(BankCalc!W27=1,BankCalc!G27="VT"),BankCalc!A27&amp;",","")&amp;IF(AND(BankCalc!W28=1,BankCalc!G28="VT"),BankCalc!A28&amp;",","")&amp;IF(AND(BankCalc!W29=1,BankCalc!G29="VT"),BankCalc!A29&amp;",","")&amp;IF(AND(BankCalc!W30=1,BankCalc!G30="VT"),BankCalc!A30&amp;",","")&amp;IF(AND(BankCalc!W31=1,BankCalc!G31="VT"),BankCalc!A31&amp;",","")&amp;IF(AND(BankCalc!W32=1,BankCalc!G32="VT"),BankCalc!A32&amp;",","")&amp;IF(AND(BankCalc!W33=1,BankCalc!G33="VT"),BankCalc!A33&amp;",","")&amp;IF(AND(BankCalc!W34=1,BankCalc!G34="VT"),BankCalc!A34&amp;",","")&amp;IF(AND(BankCalc!W35=1,BankCalc!G35="VT"),BankCalc!A35&amp;",","")&amp;IF(AND(BankCalc!W36=1,BankCalc!G36="VT"),BankCalc!A36&amp;",","")&amp;IF(AND(BankCalc!W37=1,BankCalc!G37="VT"),BankCalc!A37&amp;",","")&amp;IF(AND(BankCalc!W38=1,BankCalc!G38="VT"),BankCalc!A38&amp;",","")&amp;IF(AND(BankCalc!W39=1,BankCalc!G39="VT"),BankCalc!A39&amp;",","")&amp;IF(AND(BankCalc!W40=1,BankCalc!G40="VT"),BankCalc!A40&amp;",","")&amp;IF(AND(BankCalc!W41=1,BankCalc!G41="VT"),BankCalc!A41&amp;",","")&amp;IF(AND(BankCalc!W42=1,BankCalc!G42="VT"),BankCalc!A42&amp;",","")&amp;IF(AND(BankCalc!W43=1,BankCalc!G43="VT"),BankCalc!A43&amp;",","")&amp;IF(AND(BankCalc!W44=1,BankCalc!G44="VT"),BankCalc!A44&amp;",","")&amp;IF(AND(BankCalc!W45=1,BankCalc!G45="VT"),BankCalc!A45&amp;",","")&amp;IF(AND(BankCalc!W46=1,BankCalc!G46="VT"),BankCalc!A46&amp;",","")&amp;IF(AND(BankCalc!W47=1,BankCalc!G47="VT"),BankCalc!A47&amp;",","")&amp;IF(AND(BankCalc!W48=1,BankCalc!G48="VT"),BankCalc!A48&amp;",","")&amp;IF(AND(BankCalc!W49=1,BankCalc!G49="VT"),BankCalc!A49&amp;",","")&amp;IF(AND(BankCalc!W50=1,BankCalc!G50="VT"),BankCalc!A50&amp;",","")&amp;IF(AND(BankCalc!W51=1,BankCalc!G51="VT"),BankCalc!A51&amp;",","")&amp;IF(AND(BankCalc!W52=1,BankCalc!G52="VT"),BankCalc!A52&amp;",","")&amp;IF(AND(BankCalc!W53=1,BankCalc!G53="VT"),BankCalc!A53&amp;",","")&amp;IF(AND(BankCalc!W54=1,BankCalc!G54="VT"),BankCalc!A54&amp;",","")&amp;IF(AND(BankCalc!W55=1,BankCalc!G55="VT"),BankCalc!A55&amp;",",""),"")</f>
        <v/>
      </c>
      <c r="Q5" s="0" t="str">
        <f aca="false">IF(WF_MODEL_VALID,IF(AND(BankCalc!X2=1,BankCalc!F2="VT"),BankCalc!A2&amp;",","")&amp;IF(AND(BankCalc!X3=1,BankCalc!F3="VT"),BankCalc!A3&amp;",","")&amp;IF(AND(BankCalc!X4=1,BankCalc!F4="VT"),BankCalc!A4&amp;",","")&amp;IF(AND(BankCalc!X5=1,BankCalc!F5="VT"),BankCalc!A5&amp;",","")&amp;IF(AND(BankCalc!X6=1,BankCalc!F6="VT"),BankCalc!A6&amp;",","")&amp;IF(AND(BankCalc!X7=1,BankCalc!F7="VT"),BankCalc!A7&amp;",","")&amp;IF(AND(BankCalc!X8=1,BankCalc!F8="VT"),BankCalc!A8&amp;",","")&amp;IF(AND(BankCalc!X9=1,BankCalc!F9="VT"),BankCalc!A9&amp;",","")&amp;IF(AND(BankCalc!X10=1,BankCalc!F10="VT"),BankCalc!A10&amp;",","")&amp;IF(AND(BankCalc!X11=1,BankCalc!F11="VT"),BankCalc!A11&amp;",","")&amp;IF(AND(BankCalc!X12=1,BankCalc!F12="VT"),BankCalc!A12&amp;",","")&amp;IF(AND(BankCalc!X13=1,BankCalc!F13="VT"),BankCalc!A13&amp;",","")&amp;IF(AND(BankCalc!X14=1,BankCalc!F14="VT"),BankCalc!A14&amp;",","")&amp;IF(AND(BankCalc!X15=1,BankCalc!F15="VT"),BankCalc!A15&amp;",","")&amp;IF(AND(BankCalc!X16=1,BankCalc!F16="VT"),BankCalc!A16&amp;",","")&amp;IF(AND(BankCalc!X17=1,BankCalc!F17="VT"),BankCalc!A17&amp;",","")&amp;IF(AND(BankCalc!X18=1,BankCalc!F18="VT"),BankCalc!A18&amp;",","")&amp;IF(AND(BankCalc!X19=1,BankCalc!F19="VT"),BankCalc!A19&amp;",","")&amp;IF(AND(BankCalc!X20=1,BankCalc!F20="VT"),BankCalc!A20&amp;",","")&amp;IF(AND(BankCalc!X21=1,BankCalc!F21="VT"),BankCalc!A21&amp;",","")&amp;IF(AND(BankCalc!X22=1,BankCalc!F22="VT"),BankCalc!A22&amp;",","")&amp;IF(AND(BankCalc!X23=1,BankCalc!F23="VT"),BankCalc!A23&amp;",","")&amp;IF(AND(BankCalc!X24=1,BankCalc!F24="VT"),BankCalc!A24&amp;",","")&amp;IF(AND(BankCalc!X25=1,BankCalc!F25="VT"),BankCalc!A25&amp;",","")&amp;IF(AND(BankCalc!X26=1,BankCalc!F26="VT"),BankCalc!A26&amp;",","")&amp;IF(AND(BankCalc!X27=1,BankCalc!F27="VT"),BankCalc!A27&amp;",","")&amp;IF(AND(BankCalc!X28=1,BankCalc!F28="VT"),BankCalc!A28&amp;",","")&amp;IF(AND(BankCalc!X29=1,BankCalc!F29="VT"),BankCalc!A29&amp;",","")&amp;IF(AND(BankCalc!X30=1,BankCalc!F30="VT"),BankCalc!A30&amp;",","")&amp;IF(AND(BankCalc!X31=1,BankCalc!F31="VT"),BankCalc!A31&amp;",","")&amp;IF(AND(BankCalc!X32=1,BankCalc!F32="VT"),BankCalc!A32&amp;",","")&amp;IF(AND(BankCalc!X33=1,BankCalc!F33="VT"),BankCalc!A33&amp;",","")&amp;IF(AND(BankCalc!X34=1,BankCalc!F34="VT"),BankCalc!A34&amp;",","")&amp;IF(AND(BankCalc!X35=1,BankCalc!F35="VT"),BankCalc!A35&amp;",","")&amp;IF(AND(BankCalc!X36=1,BankCalc!F36="VT"),BankCalc!A36&amp;",","")&amp;IF(AND(BankCalc!X37=1,BankCalc!F37="VT"),BankCalc!A37&amp;",","")&amp;IF(AND(BankCalc!X38=1,BankCalc!F38="VT"),BankCalc!A38&amp;",","")&amp;IF(AND(BankCalc!X39=1,BankCalc!F39="VT"),BankCalc!A39&amp;",","")&amp;IF(AND(BankCalc!X40=1,BankCalc!F40="VT"),BankCalc!A40&amp;",","")&amp;IF(AND(BankCalc!X41=1,BankCalc!F41="VT"),BankCalc!A41&amp;",","")&amp;IF(AND(BankCalc!X42=1,BankCalc!F42="VT"),BankCalc!A42&amp;",","")&amp;IF(AND(BankCalc!X43=1,BankCalc!F43="VT"),BankCalc!A43&amp;",","")&amp;IF(AND(BankCalc!X44=1,BankCalc!F44="VT"),BankCalc!A44&amp;",","")&amp;IF(AND(BankCalc!X45=1,BankCalc!F45="VT"),BankCalc!A45&amp;",","")&amp;IF(AND(BankCalc!X46=1,BankCalc!F46="VT"),BankCalc!A46&amp;",","")&amp;IF(AND(BankCalc!X47=1,BankCalc!F47="VT"),BankCalc!A47&amp;",","")&amp;IF(AND(BankCalc!X48=1,BankCalc!F48="VT"),BankCalc!A48&amp;",","")&amp;IF(AND(BankCalc!X49=1,BankCalc!F49="VT"),BankCalc!A49&amp;",","")&amp;IF(AND(BankCalc!X50=1,BankCalc!F50="VT"),BankCalc!A50&amp;",","")&amp;IF(AND(BankCalc!X51=1,BankCalc!F51="VT"),BankCalc!A51&amp;",","")&amp;IF(AND(BankCalc!X52=1,BankCalc!F52="VT"),BankCalc!A52&amp;",","")&amp;IF(AND(BankCalc!X53=1,BankCalc!F53="VT"),BankCalc!A53&amp;",","")&amp;IF(AND(BankCalc!X54=1,BankCalc!F54="VT"),BankCalc!A54&amp;",","")&amp;IF(AND(BankCalc!X55=1,BankCalc!F55="VT"),BankCalc!A55&amp;",",""),"")</f>
        <v/>
      </c>
    </row>
  </sheetData>
  <autoFilter ref="A1:Q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1" style="0" width="19"/>
  </cols>
  <sheetData>
    <row r="1" customFormat="false" ht="15" hidden="false" customHeight="false" outlineLevel="0" collapsed="false">
      <c r="A1" s="7" t="s">
        <v>78</v>
      </c>
      <c r="B1" s="7" t="s">
        <v>937</v>
      </c>
      <c r="C1" s="7" t="s">
        <v>955</v>
      </c>
      <c r="D1" s="7" t="s">
        <v>956</v>
      </c>
      <c r="E1" s="7" t="s">
        <v>957</v>
      </c>
      <c r="F1" s="7" t="s">
        <v>907</v>
      </c>
    </row>
    <row r="2" customFormat="false" ht="15" hidden="false" customHeight="false" outlineLevel="0" collapsed="false">
      <c r="A2" s="0" t="n">
        <v>20220331</v>
      </c>
      <c r="B2" s="0" t="s">
        <v>954</v>
      </c>
      <c r="C2" s="0" t="n">
        <f aca="false">COUNTIFS(RawFinancials!$W$2:$W$747,A2,RawFinancials!$AA$2:$AA$747,1)</f>
        <v>51</v>
      </c>
      <c r="D2" s="0" t="n">
        <f aca="false">SUMIFS(RawFinancials!$B$2:$B$747,RawFinancials!$W$2:$W$747,A2,RawFinancials!$AA$2:$AA$747,1)</f>
        <v>59852474</v>
      </c>
      <c r="E2" s="0" t="n">
        <f aca="false">SUMIFS(RawFinancials!$AB$2:$AB$747,RawFinancials!$W$2:$W$747,A2,RawFinancials!$AA$2:$AA$747,1)</f>
        <v>136841</v>
      </c>
      <c r="F2" s="0" t="n">
        <f aca="false">IF(D2&gt;0,100*E2/D2,"")</f>
        <v>0.228630482342301</v>
      </c>
    </row>
    <row r="3" customFormat="false" ht="15" hidden="false" customHeight="false" outlineLevel="0" collapsed="false">
      <c r="A3" s="0" t="n">
        <v>20220331</v>
      </c>
      <c r="B3" s="0" t="s">
        <v>105</v>
      </c>
      <c r="C3" s="0" t="n">
        <f aca="false">COUNTIFS(RawFinancials!$W$2:$W$747,A3,RawFinancials!$AA$2:$AA$747,1,RawFinancials!$Z$2:$Z$747,B3)</f>
        <v>23</v>
      </c>
      <c r="D3" s="0" t="n">
        <f aca="false">SUMIFS(RawFinancials!$B$2:$B$747,RawFinancials!$W$2:$W$747,A3,RawFinancials!$AA$2:$AA$747,1,RawFinancials!$Z$2:$Z$747,B3)</f>
        <v>37324757</v>
      </c>
      <c r="E3" s="0" t="n">
        <f aca="false">SUMIFS(RawFinancials!$AB$2:$AB$747,RawFinancials!$W$2:$W$747,A3,RawFinancials!$AA$2:$AA$747,1,RawFinancials!$Z$2:$Z$747,B3)</f>
        <v>79744</v>
      </c>
      <c r="F3" s="0" t="n">
        <f aca="false">IF(D3&gt;0,100*E3/D3,"")</f>
        <v>0.213649080153422</v>
      </c>
    </row>
    <row r="4" customFormat="false" ht="15" hidden="false" customHeight="false" outlineLevel="0" collapsed="false">
      <c r="A4" s="0" t="n">
        <v>20220331</v>
      </c>
      <c r="B4" s="0" t="s">
        <v>123</v>
      </c>
      <c r="C4" s="0" t="n">
        <f aca="false">COUNTIFS(RawFinancials!$W$2:$W$747,A4,RawFinancials!$AA$2:$AA$747,1,RawFinancials!$Z$2:$Z$747,B4)</f>
        <v>17</v>
      </c>
      <c r="D4" s="0" t="n">
        <f aca="false">SUMIFS(RawFinancials!$B$2:$B$747,RawFinancials!$W$2:$W$747,A4,RawFinancials!$AA$2:$AA$747,1,RawFinancials!$Z$2:$Z$747,B4)</f>
        <v>15167858</v>
      </c>
      <c r="E4" s="0" t="n">
        <f aca="false">SUMIFS(RawFinancials!$AB$2:$AB$747,RawFinancials!$W$2:$W$747,A4,RawFinancials!$AA$2:$AA$747,1,RawFinancials!$Z$2:$Z$747,B4)</f>
        <v>23673</v>
      </c>
      <c r="F4" s="0" t="n">
        <f aca="false">IF(D4&gt;0,100*E4/D4,"")</f>
        <v>0.156073454801594</v>
      </c>
    </row>
    <row r="5" customFormat="false" ht="15" hidden="false" customHeight="false" outlineLevel="0" collapsed="false">
      <c r="A5" s="0" t="n">
        <v>20220331</v>
      </c>
      <c r="B5" s="0" t="s">
        <v>112</v>
      </c>
      <c r="C5" s="0" t="n">
        <f aca="false">COUNTIFS(RawFinancials!$W$2:$W$747,A5,RawFinancials!$AA$2:$AA$747,1,RawFinancials!$Z$2:$Z$747,B5)</f>
        <v>11</v>
      </c>
      <c r="D5" s="0" t="n">
        <f aca="false">SUMIFS(RawFinancials!$B$2:$B$747,RawFinancials!$W$2:$W$747,A5,RawFinancials!$AA$2:$AA$747,1,RawFinancials!$Z$2:$Z$747,B5)</f>
        <v>7359859</v>
      </c>
      <c r="E5" s="0" t="n">
        <f aca="false">SUMIFS(RawFinancials!$AB$2:$AB$747,RawFinancials!$W$2:$W$747,A5,RawFinancials!$AA$2:$AA$747,1,RawFinancials!$Z$2:$Z$747,B5)</f>
        <v>33424</v>
      </c>
      <c r="F5" s="0" t="n">
        <f aca="false">IF(D5&gt;0,100*E5/D5,"")</f>
        <v>0.45413913500245</v>
      </c>
    </row>
    <row r="6" customFormat="false" ht="15" hidden="false" customHeight="false" outlineLevel="0" collapsed="false">
      <c r="A6" s="0" t="n">
        <v>20220630</v>
      </c>
      <c r="B6" s="0" t="s">
        <v>954</v>
      </c>
      <c r="C6" s="0" t="n">
        <f aca="false">COUNTIFS(RawFinancials!$W$2:$W$747,A6,RawFinancials!$AA$2:$AA$747,1)</f>
        <v>52</v>
      </c>
      <c r="D6" s="0" t="n">
        <f aca="false">SUMIFS(RawFinancials!$B$2:$B$747,RawFinancials!$W$2:$W$747,A6,RawFinancials!$AA$2:$AA$747,1)</f>
        <v>60747875</v>
      </c>
      <c r="E6" s="0" t="n">
        <f aca="false">SUMIFS(RawFinancials!$AB$2:$AB$747,RawFinancials!$W$2:$W$747,A6,RawFinancials!$AA$2:$AA$747,1)</f>
        <v>116533</v>
      </c>
      <c r="F6" s="0" t="n">
        <f aca="false">IF(D6&gt;0,100*E6/D6,"")</f>
        <v>0.191830578435871</v>
      </c>
    </row>
    <row r="7" customFormat="false" ht="15" hidden="false" customHeight="false" outlineLevel="0" collapsed="false">
      <c r="A7" s="0" t="n">
        <v>20220630</v>
      </c>
      <c r="B7" s="0" t="s">
        <v>105</v>
      </c>
      <c r="C7" s="0" t="n">
        <f aca="false">COUNTIFS(RawFinancials!$W$2:$W$747,A7,RawFinancials!$AA$2:$AA$747,1,RawFinancials!$Z$2:$Z$747,B7)</f>
        <v>23</v>
      </c>
      <c r="D7" s="0" t="n">
        <f aca="false">SUMIFS(RawFinancials!$B$2:$B$747,RawFinancials!$W$2:$W$747,A7,RawFinancials!$AA$2:$AA$747,1,RawFinancials!$Z$2:$Z$747,B7)</f>
        <v>38015500</v>
      </c>
      <c r="E7" s="0" t="n">
        <f aca="false">SUMIFS(RawFinancials!$AB$2:$AB$747,RawFinancials!$W$2:$W$747,A7,RawFinancials!$AA$2:$AA$747,1,RawFinancials!$Z$2:$Z$747,B7)</f>
        <v>66628</v>
      </c>
      <c r="F7" s="0" t="n">
        <f aca="false">IF(D7&gt;0,100*E7/D7,"")</f>
        <v>0.175265352290513</v>
      </c>
    </row>
    <row r="8" customFormat="false" ht="15" hidden="false" customHeight="false" outlineLevel="0" collapsed="false">
      <c r="A8" s="0" t="n">
        <v>20220630</v>
      </c>
      <c r="B8" s="0" t="s">
        <v>123</v>
      </c>
      <c r="C8" s="0" t="n">
        <f aca="false">COUNTIFS(RawFinancials!$W$2:$W$747,A8,RawFinancials!$AA$2:$AA$747,1,RawFinancials!$Z$2:$Z$747,B8)</f>
        <v>18</v>
      </c>
      <c r="D8" s="0" t="n">
        <f aca="false">SUMIFS(RawFinancials!$B$2:$B$747,RawFinancials!$W$2:$W$747,A8,RawFinancials!$AA$2:$AA$747,1,RawFinancials!$Z$2:$Z$747,B8)</f>
        <v>15488639</v>
      </c>
      <c r="E8" s="0" t="n">
        <f aca="false">SUMIFS(RawFinancials!$AB$2:$AB$747,RawFinancials!$W$2:$W$747,A8,RawFinancials!$AA$2:$AA$747,1,RawFinancials!$Z$2:$Z$747,B8)</f>
        <v>22048</v>
      </c>
      <c r="F8" s="0" t="n">
        <f aca="false">IF(D8&gt;0,100*E8/D8,"")</f>
        <v>0.142349498881083</v>
      </c>
    </row>
    <row r="9" customFormat="false" ht="15" hidden="false" customHeight="false" outlineLevel="0" collapsed="false">
      <c r="A9" s="0" t="n">
        <v>20220630</v>
      </c>
      <c r="B9" s="0" t="s">
        <v>112</v>
      </c>
      <c r="C9" s="0" t="n">
        <f aca="false">COUNTIFS(RawFinancials!$W$2:$W$747,A9,RawFinancials!$AA$2:$AA$747,1,RawFinancials!$Z$2:$Z$747,B9)</f>
        <v>11</v>
      </c>
      <c r="D9" s="0" t="n">
        <f aca="false">SUMIFS(RawFinancials!$B$2:$B$747,RawFinancials!$W$2:$W$747,A9,RawFinancials!$AA$2:$AA$747,1,RawFinancials!$Z$2:$Z$747,B9)</f>
        <v>7243736</v>
      </c>
      <c r="E9" s="0" t="n">
        <f aca="false">SUMIFS(RawFinancials!$AB$2:$AB$747,RawFinancials!$W$2:$W$747,A9,RawFinancials!$AA$2:$AA$747,1,RawFinancials!$Z$2:$Z$747,B9)</f>
        <v>27857</v>
      </c>
      <c r="F9" s="0" t="n">
        <f aca="false">IF(D9&gt;0,100*E9/D9,"")</f>
        <v>0.384566748429264</v>
      </c>
    </row>
    <row r="10" customFormat="false" ht="15" hidden="false" customHeight="false" outlineLevel="0" collapsed="false">
      <c r="A10" s="0" t="n">
        <v>20220930</v>
      </c>
      <c r="B10" s="0" t="s">
        <v>954</v>
      </c>
      <c r="C10" s="0" t="n">
        <f aca="false">COUNTIFS(RawFinancials!$W$2:$W$747,A10,RawFinancials!$AA$2:$AA$747,1)</f>
        <v>53</v>
      </c>
      <c r="D10" s="0" t="n">
        <f aca="false">SUMIFS(RawFinancials!$B$2:$B$747,RawFinancials!$W$2:$W$747,A10,RawFinancials!$AA$2:$AA$747,1)</f>
        <v>62354271</v>
      </c>
      <c r="E10" s="0" t="n">
        <f aca="false">SUMIFS(RawFinancials!$AB$2:$AB$747,RawFinancials!$W$2:$W$747,A10,RawFinancials!$AA$2:$AA$747,1)</f>
        <v>109246</v>
      </c>
      <c r="F10" s="0" t="n">
        <f aca="false">IF(D10&gt;0,100*E10/D10,"")</f>
        <v>0.175202112458343</v>
      </c>
    </row>
    <row r="11" customFormat="false" ht="15" hidden="false" customHeight="false" outlineLevel="0" collapsed="false">
      <c r="A11" s="0" t="n">
        <v>20220930</v>
      </c>
      <c r="B11" s="0" t="s">
        <v>105</v>
      </c>
      <c r="C11" s="0" t="n">
        <f aca="false">COUNTIFS(RawFinancials!$W$2:$W$747,A11,RawFinancials!$AA$2:$AA$747,1,RawFinancials!$Z$2:$Z$747,B11)</f>
        <v>23</v>
      </c>
      <c r="D11" s="0" t="n">
        <f aca="false">SUMIFS(RawFinancials!$B$2:$B$747,RawFinancials!$W$2:$W$747,A11,RawFinancials!$AA$2:$AA$747,1,RawFinancials!$Z$2:$Z$747,B11)</f>
        <v>38997566</v>
      </c>
      <c r="E11" s="0" t="n">
        <f aca="false">SUMIFS(RawFinancials!$AB$2:$AB$747,RawFinancials!$W$2:$W$747,A11,RawFinancials!$AA$2:$AA$747,1,RawFinancials!$Z$2:$Z$747,B11)</f>
        <v>58678</v>
      </c>
      <c r="F11" s="0" t="n">
        <f aca="false">IF(D11&gt;0,100*E11/D11,"")</f>
        <v>0.150465800865623</v>
      </c>
    </row>
    <row r="12" customFormat="false" ht="15" hidden="false" customHeight="false" outlineLevel="0" collapsed="false">
      <c r="A12" s="0" t="n">
        <v>20220930</v>
      </c>
      <c r="B12" s="0" t="s">
        <v>123</v>
      </c>
      <c r="C12" s="0" t="n">
        <f aca="false">COUNTIFS(RawFinancials!$W$2:$W$747,A12,RawFinancials!$AA$2:$AA$747,1,RawFinancials!$Z$2:$Z$747,B12)</f>
        <v>18</v>
      </c>
      <c r="D12" s="0" t="n">
        <f aca="false">SUMIFS(RawFinancials!$B$2:$B$747,RawFinancials!$W$2:$W$747,A12,RawFinancials!$AA$2:$AA$747,1,RawFinancials!$Z$2:$Z$747,B12)</f>
        <v>15915289</v>
      </c>
      <c r="E12" s="0" t="n">
        <f aca="false">SUMIFS(RawFinancials!$AB$2:$AB$747,RawFinancials!$W$2:$W$747,A12,RawFinancials!$AA$2:$AA$747,1,RawFinancials!$Z$2:$Z$747,B12)</f>
        <v>21146</v>
      </c>
      <c r="F12" s="0" t="n">
        <f aca="false">IF(D12&gt;0,100*E12/D12,"")</f>
        <v>0.132865950470645</v>
      </c>
    </row>
    <row r="13" customFormat="false" ht="15" hidden="false" customHeight="false" outlineLevel="0" collapsed="false">
      <c r="A13" s="0" t="n">
        <v>20220930</v>
      </c>
      <c r="B13" s="0" t="s">
        <v>112</v>
      </c>
      <c r="C13" s="0" t="n">
        <f aca="false">COUNTIFS(RawFinancials!$W$2:$W$747,A13,RawFinancials!$AA$2:$AA$747,1,RawFinancials!$Z$2:$Z$747,B13)</f>
        <v>12</v>
      </c>
      <c r="D13" s="0" t="n">
        <f aca="false">SUMIFS(RawFinancials!$B$2:$B$747,RawFinancials!$W$2:$W$747,A13,RawFinancials!$AA$2:$AA$747,1,RawFinancials!$Z$2:$Z$747,B13)</f>
        <v>7441416</v>
      </c>
      <c r="E13" s="0" t="n">
        <f aca="false">SUMIFS(RawFinancials!$AB$2:$AB$747,RawFinancials!$W$2:$W$747,A13,RawFinancials!$AA$2:$AA$747,1,RawFinancials!$Z$2:$Z$747,B13)</f>
        <v>29422</v>
      </c>
      <c r="F13" s="0" t="n">
        <f aca="false">IF(D13&gt;0,100*E13/D13,"")</f>
        <v>0.395381739174372</v>
      </c>
    </row>
    <row r="14" customFormat="false" ht="15" hidden="false" customHeight="false" outlineLevel="0" collapsed="false">
      <c r="A14" s="0" t="n">
        <v>20221231</v>
      </c>
      <c r="B14" s="0" t="s">
        <v>954</v>
      </c>
      <c r="C14" s="0" t="n">
        <f aca="false">COUNTIFS(RawFinancials!$W$2:$W$747,A14,RawFinancials!$AA$2:$AA$747,1)</f>
        <v>54</v>
      </c>
      <c r="D14" s="0" t="n">
        <f aca="false">SUMIFS(RawFinancials!$B$2:$B$747,RawFinancials!$W$2:$W$747,A14,RawFinancials!$AA$2:$AA$747,1)</f>
        <v>64502953</v>
      </c>
      <c r="E14" s="0" t="n">
        <f aca="false">SUMIFS(RawFinancials!$AB$2:$AB$747,RawFinancials!$W$2:$W$747,A14,RawFinancials!$AA$2:$AA$747,1)</f>
        <v>123030</v>
      </c>
      <c r="F14" s="0" t="n">
        <f aca="false">IF(D14&gt;0,100*E14/D14,"")</f>
        <v>0.190735453615589</v>
      </c>
    </row>
    <row r="15" customFormat="false" ht="15" hidden="false" customHeight="false" outlineLevel="0" collapsed="false">
      <c r="A15" s="0" t="n">
        <v>20221231</v>
      </c>
      <c r="B15" s="0" t="s">
        <v>105</v>
      </c>
      <c r="C15" s="0" t="n">
        <f aca="false">COUNTIFS(RawFinancials!$W$2:$W$747,A15,RawFinancials!$AA$2:$AA$747,1,RawFinancials!$Z$2:$Z$747,B15)</f>
        <v>23</v>
      </c>
      <c r="D15" s="0" t="n">
        <f aca="false">SUMIFS(RawFinancials!$B$2:$B$747,RawFinancials!$W$2:$W$747,A15,RawFinancials!$AA$2:$AA$747,1,RawFinancials!$Z$2:$Z$747,B15)</f>
        <v>40711151</v>
      </c>
      <c r="E15" s="0" t="n">
        <f aca="false">SUMIFS(RawFinancials!$AB$2:$AB$747,RawFinancials!$W$2:$W$747,A15,RawFinancials!$AA$2:$AA$747,1,RawFinancials!$Z$2:$Z$747,B15)</f>
        <v>69279</v>
      </c>
      <c r="F15" s="0" t="n">
        <f aca="false">IF(D15&gt;0,100*E15/D15,"")</f>
        <v>0.170172049422037</v>
      </c>
    </row>
    <row r="16" customFormat="false" ht="15" hidden="false" customHeight="false" outlineLevel="0" collapsed="false">
      <c r="A16" s="0" t="n">
        <v>20221231</v>
      </c>
      <c r="B16" s="0" t="s">
        <v>123</v>
      </c>
      <c r="C16" s="0" t="n">
        <f aca="false">COUNTIFS(RawFinancials!$W$2:$W$747,A16,RawFinancials!$AA$2:$AA$747,1,RawFinancials!$Z$2:$Z$747,B16)</f>
        <v>19</v>
      </c>
      <c r="D16" s="0" t="n">
        <f aca="false">SUMIFS(RawFinancials!$B$2:$B$747,RawFinancials!$W$2:$W$747,A16,RawFinancials!$AA$2:$AA$747,1,RawFinancials!$Z$2:$Z$747,B16)</f>
        <v>16241743</v>
      </c>
      <c r="E16" s="0" t="n">
        <f aca="false">SUMIFS(RawFinancials!$AB$2:$AB$747,RawFinancials!$W$2:$W$747,A16,RawFinancials!$AA$2:$AA$747,1,RawFinancials!$Z$2:$Z$747,B16)</f>
        <v>20482</v>
      </c>
      <c r="F16" s="0" t="n">
        <f aca="false">IF(D16&gt;0,100*E16/D16,"")</f>
        <v>0.126107154878636</v>
      </c>
    </row>
    <row r="17" customFormat="false" ht="15" hidden="false" customHeight="false" outlineLevel="0" collapsed="false">
      <c r="A17" s="0" t="n">
        <v>20221231</v>
      </c>
      <c r="B17" s="0" t="s">
        <v>112</v>
      </c>
      <c r="C17" s="0" t="n">
        <f aca="false">COUNTIFS(RawFinancials!$W$2:$W$747,A17,RawFinancials!$AA$2:$AA$747,1,RawFinancials!$Z$2:$Z$747,B17)</f>
        <v>12</v>
      </c>
      <c r="D17" s="0" t="n">
        <f aca="false">SUMIFS(RawFinancials!$B$2:$B$747,RawFinancials!$W$2:$W$747,A17,RawFinancials!$AA$2:$AA$747,1,RawFinancials!$Z$2:$Z$747,B17)</f>
        <v>7550059</v>
      </c>
      <c r="E17" s="0" t="n">
        <f aca="false">SUMIFS(RawFinancials!$AB$2:$AB$747,RawFinancials!$W$2:$W$747,A17,RawFinancials!$AA$2:$AA$747,1,RawFinancials!$Z$2:$Z$747,B17)</f>
        <v>33269</v>
      </c>
      <c r="F17" s="0" t="n">
        <f aca="false">IF(D17&gt;0,100*E17/D17,"")</f>
        <v>0.440645563167122</v>
      </c>
    </row>
    <row r="18" customFormat="false" ht="15" hidden="false" customHeight="false" outlineLevel="0" collapsed="false">
      <c r="A18" s="0" t="n">
        <v>20230331</v>
      </c>
      <c r="B18" s="0" t="s">
        <v>954</v>
      </c>
      <c r="C18" s="0" t="n">
        <f aca="false">COUNTIFS(RawFinancials!$W$2:$W$747,A18,RawFinancials!$AA$2:$AA$747,1)</f>
        <v>54</v>
      </c>
      <c r="D18" s="0" t="n">
        <f aca="false">SUMIFS(RawFinancials!$B$2:$B$747,RawFinancials!$W$2:$W$747,A18,RawFinancials!$AA$2:$AA$747,1)</f>
        <v>65286835</v>
      </c>
      <c r="E18" s="0" t="n">
        <f aca="false">SUMIFS(RawFinancials!$AB$2:$AB$747,RawFinancials!$W$2:$W$747,A18,RawFinancials!$AA$2:$AA$747,1)</f>
        <v>126451</v>
      </c>
      <c r="F18" s="0" t="n">
        <f aca="false">IF(D18&gt;0,100*E18/D18,"")</f>
        <v>0.193685296583913</v>
      </c>
    </row>
    <row r="19" customFormat="false" ht="15" hidden="false" customHeight="false" outlineLevel="0" collapsed="false">
      <c r="A19" s="0" t="n">
        <v>20230331</v>
      </c>
      <c r="B19" s="0" t="s">
        <v>105</v>
      </c>
      <c r="C19" s="0" t="n">
        <f aca="false">COUNTIFS(RawFinancials!$W$2:$W$747,A19,RawFinancials!$AA$2:$AA$747,1,RawFinancials!$Z$2:$Z$747,B19)</f>
        <v>23</v>
      </c>
      <c r="D19" s="0" t="n">
        <f aca="false">SUMIFS(RawFinancials!$B$2:$B$747,RawFinancials!$W$2:$W$747,A19,RawFinancials!$AA$2:$AA$747,1,RawFinancials!$Z$2:$Z$747,B19)</f>
        <v>41248817</v>
      </c>
      <c r="E19" s="0" t="n">
        <f aca="false">SUMIFS(RawFinancials!$AB$2:$AB$747,RawFinancials!$W$2:$W$747,A19,RawFinancials!$AA$2:$AA$747,1,RawFinancials!$Z$2:$Z$747,B19)</f>
        <v>72471</v>
      </c>
      <c r="F19" s="0" t="n">
        <f aca="false">IF(D19&gt;0,100*E19/D19,"")</f>
        <v>0.175692311369802</v>
      </c>
    </row>
    <row r="20" customFormat="false" ht="15" hidden="false" customHeight="false" outlineLevel="0" collapsed="false">
      <c r="A20" s="0" t="n">
        <v>20230331</v>
      </c>
      <c r="B20" s="0" t="s">
        <v>123</v>
      </c>
      <c r="C20" s="0" t="n">
        <f aca="false">COUNTIFS(RawFinancials!$W$2:$W$747,A20,RawFinancials!$AA$2:$AA$747,1,RawFinancials!$Z$2:$Z$747,B20)</f>
        <v>19</v>
      </c>
      <c r="D20" s="0" t="n">
        <f aca="false">SUMIFS(RawFinancials!$B$2:$B$747,RawFinancials!$W$2:$W$747,A20,RawFinancials!$AA$2:$AA$747,1,RawFinancials!$Z$2:$Z$747,B20)</f>
        <v>16492351</v>
      </c>
      <c r="E20" s="0" t="n">
        <f aca="false">SUMIFS(RawFinancials!$AB$2:$AB$747,RawFinancials!$W$2:$W$747,A20,RawFinancials!$AA$2:$AA$747,1,RawFinancials!$Z$2:$Z$747,B20)</f>
        <v>21816</v>
      </c>
      <c r="F20" s="0" t="n">
        <f aca="false">IF(D20&gt;0,100*E20/D20,"")</f>
        <v>0.132279503389177</v>
      </c>
    </row>
    <row r="21" customFormat="false" ht="15" hidden="false" customHeight="false" outlineLevel="0" collapsed="false">
      <c r="A21" s="0" t="n">
        <v>20230331</v>
      </c>
      <c r="B21" s="0" t="s">
        <v>112</v>
      </c>
      <c r="C21" s="0" t="n">
        <f aca="false">COUNTIFS(RawFinancials!$W$2:$W$747,A21,RawFinancials!$AA$2:$AA$747,1,RawFinancials!$Z$2:$Z$747,B21)</f>
        <v>12</v>
      </c>
      <c r="D21" s="0" t="n">
        <f aca="false">SUMIFS(RawFinancials!$B$2:$B$747,RawFinancials!$W$2:$W$747,A21,RawFinancials!$AA$2:$AA$747,1,RawFinancials!$Z$2:$Z$747,B21)</f>
        <v>7545667</v>
      </c>
      <c r="E21" s="0" t="n">
        <f aca="false">SUMIFS(RawFinancials!$AB$2:$AB$747,RawFinancials!$W$2:$W$747,A21,RawFinancials!$AA$2:$AA$747,1,RawFinancials!$Z$2:$Z$747,B21)</f>
        <v>32164</v>
      </c>
      <c r="F21" s="0" t="n">
        <f aca="false">IF(D21&gt;0,100*E21/D21,"")</f>
        <v>0.426257877534219</v>
      </c>
    </row>
    <row r="22" customFormat="false" ht="15" hidden="false" customHeight="false" outlineLevel="0" collapsed="false">
      <c r="A22" s="0" t="n">
        <v>20230630</v>
      </c>
      <c r="B22" s="0" t="s">
        <v>954</v>
      </c>
      <c r="C22" s="0" t="n">
        <f aca="false">COUNTIFS(RawFinancials!$W$2:$W$747,A22,RawFinancials!$AA$2:$AA$747,1)</f>
        <v>54</v>
      </c>
      <c r="D22" s="0" t="n">
        <f aca="false">SUMIFS(RawFinancials!$B$2:$B$747,RawFinancials!$W$2:$W$747,A22,RawFinancials!$AA$2:$AA$747,1)</f>
        <v>66103367</v>
      </c>
      <c r="E22" s="0" t="n">
        <f aca="false">SUMIFS(RawFinancials!$AB$2:$AB$747,RawFinancials!$W$2:$W$747,A22,RawFinancials!$AA$2:$AA$747,1)</f>
        <v>138756</v>
      </c>
      <c r="F22" s="0" t="n">
        <f aca="false">IF(D22&gt;0,100*E22/D22,"")</f>
        <v>0.209907613329288</v>
      </c>
    </row>
    <row r="23" customFormat="false" ht="15" hidden="false" customHeight="false" outlineLevel="0" collapsed="false">
      <c r="A23" s="0" t="n">
        <v>20230630</v>
      </c>
      <c r="B23" s="0" t="s">
        <v>105</v>
      </c>
      <c r="C23" s="0" t="n">
        <f aca="false">COUNTIFS(RawFinancials!$W$2:$W$747,A23,RawFinancials!$AA$2:$AA$747,1,RawFinancials!$Z$2:$Z$747,B23)</f>
        <v>23</v>
      </c>
      <c r="D23" s="0" t="n">
        <f aca="false">SUMIFS(RawFinancials!$B$2:$B$747,RawFinancials!$W$2:$W$747,A23,RawFinancials!$AA$2:$AA$747,1,RawFinancials!$Z$2:$Z$747,B23)</f>
        <v>41636903</v>
      </c>
      <c r="E23" s="0" t="n">
        <f aca="false">SUMIFS(RawFinancials!$AB$2:$AB$747,RawFinancials!$W$2:$W$747,A23,RawFinancials!$AA$2:$AA$747,1,RawFinancials!$Z$2:$Z$747,B23)</f>
        <v>74941</v>
      </c>
      <c r="F23" s="0" t="n">
        <f aca="false">IF(D23&gt;0,100*E23/D23,"")</f>
        <v>0.179986969732115</v>
      </c>
    </row>
    <row r="24" customFormat="false" ht="15" hidden="false" customHeight="false" outlineLevel="0" collapsed="false">
      <c r="A24" s="0" t="n">
        <v>20230630</v>
      </c>
      <c r="B24" s="0" t="s">
        <v>123</v>
      </c>
      <c r="C24" s="0" t="n">
        <f aca="false">COUNTIFS(RawFinancials!$W$2:$W$747,A24,RawFinancials!$AA$2:$AA$747,1,RawFinancials!$Z$2:$Z$747,B24)</f>
        <v>19</v>
      </c>
      <c r="D24" s="0" t="n">
        <f aca="false">SUMIFS(RawFinancials!$B$2:$B$747,RawFinancials!$W$2:$W$747,A24,RawFinancials!$AA$2:$AA$747,1,RawFinancials!$Z$2:$Z$747,B24)</f>
        <v>16868331</v>
      </c>
      <c r="E24" s="0" t="n">
        <f aca="false">SUMIFS(RawFinancials!$AB$2:$AB$747,RawFinancials!$W$2:$W$747,A24,RawFinancials!$AA$2:$AA$747,1,RawFinancials!$Z$2:$Z$747,B24)</f>
        <v>30872</v>
      </c>
      <c r="F24" s="0" t="n">
        <f aca="false">IF(D24&gt;0,100*E24/D24,"")</f>
        <v>0.183017513706602</v>
      </c>
    </row>
    <row r="25" customFormat="false" ht="15" hidden="false" customHeight="false" outlineLevel="0" collapsed="false">
      <c r="A25" s="0" t="n">
        <v>20230630</v>
      </c>
      <c r="B25" s="0" t="s">
        <v>112</v>
      </c>
      <c r="C25" s="0" t="n">
        <f aca="false">COUNTIFS(RawFinancials!$W$2:$W$747,A25,RawFinancials!$AA$2:$AA$747,1,RawFinancials!$Z$2:$Z$747,B25)</f>
        <v>12</v>
      </c>
      <c r="D25" s="0" t="n">
        <f aca="false">SUMIFS(RawFinancials!$B$2:$B$747,RawFinancials!$W$2:$W$747,A25,RawFinancials!$AA$2:$AA$747,1,RawFinancials!$Z$2:$Z$747,B25)</f>
        <v>7598133</v>
      </c>
      <c r="E25" s="0" t="n">
        <f aca="false">SUMIFS(RawFinancials!$AB$2:$AB$747,RawFinancials!$W$2:$W$747,A25,RawFinancials!$AA$2:$AA$747,1,RawFinancials!$Z$2:$Z$747,B25)</f>
        <v>32943</v>
      </c>
      <c r="F25" s="0" t="n">
        <f aca="false">IF(D25&gt;0,100*E25/D25,"")</f>
        <v>0.433567035480953</v>
      </c>
    </row>
    <row r="26" customFormat="false" ht="15" hidden="false" customHeight="false" outlineLevel="0" collapsed="false">
      <c r="A26" s="0" t="n">
        <v>20230930</v>
      </c>
      <c r="B26" s="0" t="s">
        <v>954</v>
      </c>
      <c r="C26" s="0" t="n">
        <f aca="false">COUNTIFS(RawFinancials!$W$2:$W$747,A26,RawFinancials!$AA$2:$AA$747,1)</f>
        <v>54</v>
      </c>
      <c r="D26" s="0" t="n">
        <f aca="false">SUMIFS(RawFinancials!$B$2:$B$747,RawFinancials!$W$2:$W$747,A26,RawFinancials!$AA$2:$AA$747,1)</f>
        <v>66427421</v>
      </c>
      <c r="E26" s="0" t="n">
        <f aca="false">SUMIFS(RawFinancials!$AB$2:$AB$747,RawFinancials!$W$2:$W$747,A26,RawFinancials!$AA$2:$AA$747,1)</f>
        <v>143883</v>
      </c>
      <c r="F26" s="0" t="n">
        <f aca="false">IF(D26&gt;0,100*E26/D26,"")</f>
        <v>0.216601815686928</v>
      </c>
    </row>
    <row r="27" customFormat="false" ht="15" hidden="false" customHeight="false" outlineLevel="0" collapsed="false">
      <c r="A27" s="0" t="n">
        <v>20230930</v>
      </c>
      <c r="B27" s="0" t="s">
        <v>105</v>
      </c>
      <c r="C27" s="0" t="n">
        <f aca="false">COUNTIFS(RawFinancials!$W$2:$W$747,A27,RawFinancials!$AA$2:$AA$747,1,RawFinancials!$Z$2:$Z$747,B27)</f>
        <v>23</v>
      </c>
      <c r="D27" s="0" t="n">
        <f aca="false">SUMIFS(RawFinancials!$B$2:$B$747,RawFinancials!$W$2:$W$747,A27,RawFinancials!$AA$2:$AA$747,1,RawFinancials!$Z$2:$Z$747,B27)</f>
        <v>41707922</v>
      </c>
      <c r="E27" s="0" t="n">
        <f aca="false">SUMIFS(RawFinancials!$AB$2:$AB$747,RawFinancials!$W$2:$W$747,A27,RawFinancials!$AA$2:$AA$747,1,RawFinancials!$Z$2:$Z$747,B27)</f>
        <v>76406</v>
      </c>
      <c r="F27" s="0" t="n">
        <f aca="false">IF(D27&gt;0,100*E27/D27,"")</f>
        <v>0.183193015465983</v>
      </c>
    </row>
    <row r="28" customFormat="false" ht="15" hidden="false" customHeight="false" outlineLevel="0" collapsed="false">
      <c r="A28" s="0" t="n">
        <v>20230930</v>
      </c>
      <c r="B28" s="0" t="s">
        <v>123</v>
      </c>
      <c r="C28" s="0" t="n">
        <f aca="false">COUNTIFS(RawFinancials!$W$2:$W$747,A28,RawFinancials!$AA$2:$AA$747,1,RawFinancials!$Z$2:$Z$747,B28)</f>
        <v>19</v>
      </c>
      <c r="D28" s="0" t="n">
        <f aca="false">SUMIFS(RawFinancials!$B$2:$B$747,RawFinancials!$W$2:$W$747,A28,RawFinancials!$AA$2:$AA$747,1,RawFinancials!$Z$2:$Z$747,B28)</f>
        <v>16937411</v>
      </c>
      <c r="E28" s="0" t="n">
        <f aca="false">SUMIFS(RawFinancials!$AB$2:$AB$747,RawFinancials!$W$2:$W$747,A28,RawFinancials!$AA$2:$AA$747,1,RawFinancials!$Z$2:$Z$747,B28)</f>
        <v>33535</v>
      </c>
      <c r="F28" s="0" t="n">
        <f aca="false">IF(D28&gt;0,100*E28/D28,"")</f>
        <v>0.197993660306171</v>
      </c>
    </row>
    <row r="29" customFormat="false" ht="15" hidden="false" customHeight="false" outlineLevel="0" collapsed="false">
      <c r="A29" s="0" t="n">
        <v>20230930</v>
      </c>
      <c r="B29" s="0" t="s">
        <v>112</v>
      </c>
      <c r="C29" s="0" t="n">
        <f aca="false">COUNTIFS(RawFinancials!$W$2:$W$747,A29,RawFinancials!$AA$2:$AA$747,1,RawFinancials!$Z$2:$Z$747,B29)</f>
        <v>12</v>
      </c>
      <c r="D29" s="0" t="n">
        <f aca="false">SUMIFS(RawFinancials!$B$2:$B$747,RawFinancials!$W$2:$W$747,A29,RawFinancials!$AA$2:$AA$747,1,RawFinancials!$Z$2:$Z$747,B29)</f>
        <v>7782088</v>
      </c>
      <c r="E29" s="0" t="n">
        <f aca="false">SUMIFS(RawFinancials!$AB$2:$AB$747,RawFinancials!$W$2:$W$747,A29,RawFinancials!$AA$2:$AA$747,1,RawFinancials!$Z$2:$Z$747,B29)</f>
        <v>33942</v>
      </c>
      <c r="F29" s="0" t="n">
        <f aca="false">IF(D29&gt;0,100*E29/D29,"")</f>
        <v>0.436155437975001</v>
      </c>
    </row>
    <row r="30" customFormat="false" ht="15" hidden="false" customHeight="false" outlineLevel="0" collapsed="false">
      <c r="A30" s="0" t="n">
        <v>20231231</v>
      </c>
      <c r="B30" s="0" t="s">
        <v>954</v>
      </c>
      <c r="C30" s="0" t="n">
        <f aca="false">COUNTIFS(RawFinancials!$W$2:$W$747,A30,RawFinancials!$AA$2:$AA$747,1)</f>
        <v>54</v>
      </c>
      <c r="D30" s="0" t="n">
        <f aca="false">SUMIFS(RawFinancials!$B$2:$B$747,RawFinancials!$W$2:$W$747,A30,RawFinancials!$AA$2:$AA$747,1)</f>
        <v>67228962</v>
      </c>
      <c r="E30" s="0" t="n">
        <f aca="false">SUMIFS(RawFinancials!$AB$2:$AB$747,RawFinancials!$W$2:$W$747,A30,RawFinancials!$AA$2:$AA$747,1)</f>
        <v>158668</v>
      </c>
      <c r="F30" s="0" t="n">
        <f aca="false">IF(D30&gt;0,100*E30/D30,"")</f>
        <v>0.23601137854843</v>
      </c>
    </row>
    <row r="31" customFormat="false" ht="15" hidden="false" customHeight="false" outlineLevel="0" collapsed="false">
      <c r="A31" s="0" t="n">
        <v>20231231</v>
      </c>
      <c r="B31" s="0" t="s">
        <v>105</v>
      </c>
      <c r="C31" s="0" t="n">
        <f aca="false">COUNTIFS(RawFinancials!$W$2:$W$747,A31,RawFinancials!$AA$2:$AA$747,1,RawFinancials!$Z$2:$Z$747,B31)</f>
        <v>23</v>
      </c>
      <c r="D31" s="0" t="n">
        <f aca="false">SUMIFS(RawFinancials!$B$2:$B$747,RawFinancials!$W$2:$W$747,A31,RawFinancials!$AA$2:$AA$747,1,RawFinancials!$Z$2:$Z$747,B31)</f>
        <v>42110091</v>
      </c>
      <c r="E31" s="0" t="n">
        <f aca="false">SUMIFS(RawFinancials!$AB$2:$AB$747,RawFinancials!$W$2:$W$747,A31,RawFinancials!$AA$2:$AA$747,1,RawFinancials!$Z$2:$Z$747,B31)</f>
        <v>96144</v>
      </c>
      <c r="F31" s="0" t="n">
        <f aca="false">IF(D31&gt;0,100*E31/D31,"")</f>
        <v>0.228315821022567</v>
      </c>
    </row>
    <row r="32" customFormat="false" ht="15" hidden="false" customHeight="false" outlineLevel="0" collapsed="false">
      <c r="A32" s="0" t="n">
        <v>20231231</v>
      </c>
      <c r="B32" s="0" t="s">
        <v>123</v>
      </c>
      <c r="C32" s="0" t="n">
        <f aca="false">COUNTIFS(RawFinancials!$W$2:$W$747,A32,RawFinancials!$AA$2:$AA$747,1,RawFinancials!$Z$2:$Z$747,B32)</f>
        <v>19</v>
      </c>
      <c r="D32" s="0" t="n">
        <f aca="false">SUMIFS(RawFinancials!$B$2:$B$747,RawFinancials!$W$2:$W$747,A32,RawFinancials!$AA$2:$AA$747,1,RawFinancials!$Z$2:$Z$747,B32)</f>
        <v>17110799</v>
      </c>
      <c r="E32" s="0" t="n">
        <f aca="false">SUMIFS(RawFinancials!$AB$2:$AB$747,RawFinancials!$W$2:$W$747,A32,RawFinancials!$AA$2:$AA$747,1,RawFinancials!$Z$2:$Z$747,B32)</f>
        <v>30295</v>
      </c>
      <c r="F32" s="0" t="n">
        <f aca="false">IF(D32&gt;0,100*E32/D32,"")</f>
        <v>0.177051930771906</v>
      </c>
    </row>
    <row r="33" customFormat="false" ht="15" hidden="false" customHeight="false" outlineLevel="0" collapsed="false">
      <c r="A33" s="0" t="n">
        <v>20231231</v>
      </c>
      <c r="B33" s="0" t="s">
        <v>112</v>
      </c>
      <c r="C33" s="0" t="n">
        <f aca="false">COUNTIFS(RawFinancials!$W$2:$W$747,A33,RawFinancials!$AA$2:$AA$747,1,RawFinancials!$Z$2:$Z$747,B33)</f>
        <v>12</v>
      </c>
      <c r="D33" s="0" t="n">
        <f aca="false">SUMIFS(RawFinancials!$B$2:$B$747,RawFinancials!$W$2:$W$747,A33,RawFinancials!$AA$2:$AA$747,1,RawFinancials!$Z$2:$Z$747,B33)</f>
        <v>8008072</v>
      </c>
      <c r="E33" s="0" t="n">
        <f aca="false">SUMIFS(RawFinancials!$AB$2:$AB$747,RawFinancials!$W$2:$W$747,A33,RawFinancials!$AA$2:$AA$747,1,RawFinancials!$Z$2:$Z$747,B33)</f>
        <v>32229</v>
      </c>
      <c r="F33" s="0" t="n">
        <f aca="false">IF(D33&gt;0,100*E33/D33,"")</f>
        <v>0.402456421470736</v>
      </c>
    </row>
    <row r="34" customFormat="false" ht="15" hidden="false" customHeight="false" outlineLevel="0" collapsed="false">
      <c r="A34" s="0" t="n">
        <v>20240331</v>
      </c>
      <c r="B34" s="0" t="s">
        <v>954</v>
      </c>
      <c r="C34" s="0" t="n">
        <f aca="false">COUNTIFS(RawFinancials!$W$2:$W$747,A34,RawFinancials!$AA$2:$AA$747,1)</f>
        <v>54</v>
      </c>
      <c r="D34" s="0" t="n">
        <f aca="false">SUMIFS(RawFinancials!$B$2:$B$747,RawFinancials!$W$2:$W$747,A34,RawFinancials!$AA$2:$AA$747,1)</f>
        <v>67408258</v>
      </c>
      <c r="E34" s="0" t="n">
        <f aca="false">SUMIFS(RawFinancials!$AB$2:$AB$747,RawFinancials!$W$2:$W$747,A34,RawFinancials!$AA$2:$AA$747,1)</f>
        <v>199761</v>
      </c>
      <c r="F34" s="0" t="n">
        <f aca="false">IF(D34&gt;0,100*E34/D34,"")</f>
        <v>0.296344996780661</v>
      </c>
    </row>
    <row r="35" customFormat="false" ht="15" hidden="false" customHeight="false" outlineLevel="0" collapsed="false">
      <c r="A35" s="0" t="n">
        <v>20240331</v>
      </c>
      <c r="B35" s="0" t="s">
        <v>105</v>
      </c>
      <c r="C35" s="0" t="n">
        <f aca="false">COUNTIFS(RawFinancials!$W$2:$W$747,A35,RawFinancials!$AA$2:$AA$747,1,RawFinancials!$Z$2:$Z$747,B35)</f>
        <v>23</v>
      </c>
      <c r="D35" s="0" t="n">
        <f aca="false">SUMIFS(RawFinancials!$B$2:$B$747,RawFinancials!$W$2:$W$747,A35,RawFinancials!$AA$2:$AA$747,1,RawFinancials!$Z$2:$Z$747,B35)</f>
        <v>42291921</v>
      </c>
      <c r="E35" s="0" t="n">
        <f aca="false">SUMIFS(RawFinancials!$AB$2:$AB$747,RawFinancials!$W$2:$W$747,A35,RawFinancials!$AA$2:$AA$747,1,RawFinancials!$Z$2:$Z$747,B35)</f>
        <v>103921</v>
      </c>
      <c r="F35" s="0" t="n">
        <f aca="false">IF(D35&gt;0,100*E35/D35,"")</f>
        <v>0.245723054292095</v>
      </c>
    </row>
    <row r="36" customFormat="false" ht="15" hidden="false" customHeight="false" outlineLevel="0" collapsed="false">
      <c r="A36" s="0" t="n">
        <v>20240331</v>
      </c>
      <c r="B36" s="0" t="s">
        <v>123</v>
      </c>
      <c r="C36" s="0" t="n">
        <f aca="false">COUNTIFS(RawFinancials!$W$2:$W$747,A36,RawFinancials!$AA$2:$AA$747,1,RawFinancials!$Z$2:$Z$747,B36)</f>
        <v>19</v>
      </c>
      <c r="D36" s="0" t="n">
        <f aca="false">SUMIFS(RawFinancials!$B$2:$B$747,RawFinancials!$W$2:$W$747,A36,RawFinancials!$AA$2:$AA$747,1,RawFinancials!$Z$2:$Z$747,B36)</f>
        <v>17104248</v>
      </c>
      <c r="E36" s="0" t="n">
        <f aca="false">SUMIFS(RawFinancials!$AB$2:$AB$747,RawFinancials!$W$2:$W$747,A36,RawFinancials!$AA$2:$AA$747,1,RawFinancials!$Z$2:$Z$747,B36)</f>
        <v>62757</v>
      </c>
      <c r="F36" s="0" t="n">
        <f aca="false">IF(D36&gt;0,100*E36/D36,"")</f>
        <v>0.366908852116737</v>
      </c>
    </row>
    <row r="37" customFormat="false" ht="15" hidden="false" customHeight="false" outlineLevel="0" collapsed="false">
      <c r="A37" s="0" t="n">
        <v>20240331</v>
      </c>
      <c r="B37" s="0" t="s">
        <v>112</v>
      </c>
      <c r="C37" s="0" t="n">
        <f aca="false">COUNTIFS(RawFinancials!$W$2:$W$747,A37,RawFinancials!$AA$2:$AA$747,1,RawFinancials!$Z$2:$Z$747,B37)</f>
        <v>12</v>
      </c>
      <c r="D37" s="0" t="n">
        <f aca="false">SUMIFS(RawFinancials!$B$2:$B$747,RawFinancials!$W$2:$W$747,A37,RawFinancials!$AA$2:$AA$747,1,RawFinancials!$Z$2:$Z$747,B37)</f>
        <v>8012089</v>
      </c>
      <c r="E37" s="0" t="n">
        <f aca="false">SUMIFS(RawFinancials!$AB$2:$AB$747,RawFinancials!$W$2:$W$747,A37,RawFinancials!$AA$2:$AA$747,1,RawFinancials!$Z$2:$Z$747,B37)</f>
        <v>33083</v>
      </c>
      <c r="F37" s="0" t="n">
        <f aca="false">IF(D37&gt;0,100*E37/D37,"")</f>
        <v>0.412913536032862</v>
      </c>
    </row>
    <row r="38" customFormat="false" ht="15" hidden="false" customHeight="false" outlineLevel="0" collapsed="false">
      <c r="A38" s="0" t="n">
        <v>20240630</v>
      </c>
      <c r="B38" s="0" t="s">
        <v>954</v>
      </c>
      <c r="C38" s="0" t="n">
        <f aca="false">COUNTIFS(RawFinancials!$W$2:$W$747,A38,RawFinancials!$AA$2:$AA$747,1)</f>
        <v>54</v>
      </c>
      <c r="D38" s="0" t="n">
        <f aca="false">SUMIFS(RawFinancials!$B$2:$B$747,RawFinancials!$W$2:$W$747,A38,RawFinancials!$AA$2:$AA$747,1)</f>
        <v>68174434</v>
      </c>
      <c r="E38" s="0" t="n">
        <f aca="false">SUMIFS(RawFinancials!$AB$2:$AB$747,RawFinancials!$W$2:$W$747,A38,RawFinancials!$AA$2:$AA$747,1)</f>
        <v>203546</v>
      </c>
      <c r="F38" s="0" t="n">
        <f aca="false">IF(D38&gt;0,100*E38/D38,"")</f>
        <v>0.298566468479958</v>
      </c>
    </row>
    <row r="39" customFormat="false" ht="15" hidden="false" customHeight="false" outlineLevel="0" collapsed="false">
      <c r="A39" s="0" t="n">
        <v>20240630</v>
      </c>
      <c r="B39" s="0" t="s">
        <v>105</v>
      </c>
      <c r="C39" s="0" t="n">
        <f aca="false">COUNTIFS(RawFinancials!$W$2:$W$747,A39,RawFinancials!$AA$2:$AA$747,1,RawFinancials!$Z$2:$Z$747,B39)</f>
        <v>23</v>
      </c>
      <c r="D39" s="0" t="n">
        <f aca="false">SUMIFS(RawFinancials!$B$2:$B$747,RawFinancials!$W$2:$W$747,A39,RawFinancials!$AA$2:$AA$747,1,RawFinancials!$Z$2:$Z$747,B39)</f>
        <v>42836512</v>
      </c>
      <c r="E39" s="0" t="n">
        <f aca="false">SUMIFS(RawFinancials!$AB$2:$AB$747,RawFinancials!$W$2:$W$747,A39,RawFinancials!$AA$2:$AA$747,1,RawFinancials!$Z$2:$Z$747,B39)</f>
        <v>113174</v>
      </c>
      <c r="F39" s="0" t="n">
        <f aca="false">IF(D39&gt;0,100*E39/D39,"")</f>
        <v>0.264199848951287</v>
      </c>
    </row>
    <row r="40" customFormat="false" ht="15" hidden="false" customHeight="false" outlineLevel="0" collapsed="false">
      <c r="A40" s="0" t="n">
        <v>20240630</v>
      </c>
      <c r="B40" s="0" t="s">
        <v>123</v>
      </c>
      <c r="C40" s="0" t="n">
        <f aca="false">COUNTIFS(RawFinancials!$W$2:$W$747,A40,RawFinancials!$AA$2:$AA$747,1,RawFinancials!$Z$2:$Z$747,B40)</f>
        <v>19</v>
      </c>
      <c r="D40" s="0" t="n">
        <f aca="false">SUMIFS(RawFinancials!$B$2:$B$747,RawFinancials!$W$2:$W$747,A40,RawFinancials!$AA$2:$AA$747,1,RawFinancials!$Z$2:$Z$747,B40)</f>
        <v>17279833</v>
      </c>
      <c r="E40" s="0" t="n">
        <f aca="false">SUMIFS(RawFinancials!$AB$2:$AB$747,RawFinancials!$W$2:$W$747,A40,RawFinancials!$AA$2:$AA$747,1,RawFinancials!$Z$2:$Z$747,B40)</f>
        <v>63087</v>
      </c>
      <c r="F40" s="0" t="n">
        <f aca="false">IF(D40&gt;0,100*E40/D40,"")</f>
        <v>0.365090333917</v>
      </c>
    </row>
    <row r="41" customFormat="false" ht="15" hidden="false" customHeight="false" outlineLevel="0" collapsed="false">
      <c r="A41" s="0" t="n">
        <v>20240630</v>
      </c>
      <c r="B41" s="0" t="s">
        <v>112</v>
      </c>
      <c r="C41" s="0" t="n">
        <f aca="false">COUNTIFS(RawFinancials!$W$2:$W$747,A41,RawFinancials!$AA$2:$AA$747,1,RawFinancials!$Z$2:$Z$747,B41)</f>
        <v>12</v>
      </c>
      <c r="D41" s="0" t="n">
        <f aca="false">SUMIFS(RawFinancials!$B$2:$B$747,RawFinancials!$W$2:$W$747,A41,RawFinancials!$AA$2:$AA$747,1,RawFinancials!$Z$2:$Z$747,B41)</f>
        <v>8058089</v>
      </c>
      <c r="E41" s="0" t="n">
        <f aca="false">SUMIFS(RawFinancials!$AB$2:$AB$747,RawFinancials!$W$2:$W$747,A41,RawFinancials!$AA$2:$AA$747,1,RawFinancials!$Z$2:$Z$747,B41)</f>
        <v>27285</v>
      </c>
      <c r="F41" s="0" t="n">
        <f aca="false">IF(D41&gt;0,100*E41/D41,"")</f>
        <v>0.338603855082762</v>
      </c>
    </row>
    <row r="42" customFormat="false" ht="15" hidden="false" customHeight="false" outlineLevel="0" collapsed="false">
      <c r="A42" s="0" t="n">
        <v>20240930</v>
      </c>
      <c r="B42" s="0" t="s">
        <v>954</v>
      </c>
      <c r="C42" s="0" t="n">
        <f aca="false">COUNTIFS(RawFinancials!$W$2:$W$747,A42,RawFinancials!$AA$2:$AA$747,1)</f>
        <v>54</v>
      </c>
      <c r="D42" s="0" t="n">
        <f aca="false">SUMIFS(RawFinancials!$B$2:$B$747,RawFinancials!$W$2:$W$747,A42,RawFinancials!$AA$2:$AA$747,1)</f>
        <v>69727725</v>
      </c>
      <c r="E42" s="0" t="n">
        <f aca="false">SUMIFS(RawFinancials!$AB$2:$AB$747,RawFinancials!$W$2:$W$747,A42,RawFinancials!$AA$2:$AA$747,1)</f>
        <v>202918</v>
      </c>
      <c r="F42" s="0" t="n">
        <f aca="false">IF(D42&gt;0,100*E42/D42,"")</f>
        <v>0.29101480078405</v>
      </c>
    </row>
    <row r="43" customFormat="false" ht="15" hidden="false" customHeight="false" outlineLevel="0" collapsed="false">
      <c r="A43" s="0" t="n">
        <v>20240930</v>
      </c>
      <c r="B43" s="0" t="s">
        <v>105</v>
      </c>
      <c r="C43" s="0" t="n">
        <f aca="false">COUNTIFS(RawFinancials!$W$2:$W$747,A43,RawFinancials!$AA$2:$AA$747,1,RawFinancials!$Z$2:$Z$747,B43)</f>
        <v>23</v>
      </c>
      <c r="D43" s="0" t="n">
        <f aca="false">SUMIFS(RawFinancials!$B$2:$B$747,RawFinancials!$W$2:$W$747,A43,RawFinancials!$AA$2:$AA$747,1,RawFinancials!$Z$2:$Z$747,B43)</f>
        <v>43857564</v>
      </c>
      <c r="E43" s="0" t="n">
        <f aca="false">SUMIFS(RawFinancials!$AB$2:$AB$747,RawFinancials!$W$2:$W$747,A43,RawFinancials!$AA$2:$AA$747,1,RawFinancials!$Z$2:$Z$747,B43)</f>
        <v>111386</v>
      </c>
      <c r="F43" s="0" t="n">
        <f aca="false">IF(D43&gt;0,100*E43/D43,"")</f>
        <v>0.253972154039381</v>
      </c>
    </row>
    <row r="44" customFormat="false" ht="15" hidden="false" customHeight="false" outlineLevel="0" collapsed="false">
      <c r="A44" s="0" t="n">
        <v>20240930</v>
      </c>
      <c r="B44" s="0" t="s">
        <v>123</v>
      </c>
      <c r="C44" s="0" t="n">
        <f aca="false">COUNTIFS(RawFinancials!$W$2:$W$747,A44,RawFinancials!$AA$2:$AA$747,1,RawFinancials!$Z$2:$Z$747,B44)</f>
        <v>19</v>
      </c>
      <c r="D44" s="0" t="n">
        <f aca="false">SUMIFS(RawFinancials!$B$2:$B$747,RawFinancials!$W$2:$W$747,A44,RawFinancials!$AA$2:$AA$747,1,RawFinancials!$Z$2:$Z$747,B44)</f>
        <v>17448405</v>
      </c>
      <c r="E44" s="0" t="n">
        <f aca="false">SUMIFS(RawFinancials!$AB$2:$AB$747,RawFinancials!$W$2:$W$747,A44,RawFinancials!$AA$2:$AA$747,1,RawFinancials!$Z$2:$Z$747,B44)</f>
        <v>66699</v>
      </c>
      <c r="F44" s="0" t="n">
        <f aca="false">IF(D44&gt;0,100*E44/D44,"")</f>
        <v>0.382264166839319</v>
      </c>
    </row>
    <row r="45" customFormat="false" ht="15" hidden="false" customHeight="false" outlineLevel="0" collapsed="false">
      <c r="A45" s="0" t="n">
        <v>20240930</v>
      </c>
      <c r="B45" s="0" t="s">
        <v>112</v>
      </c>
      <c r="C45" s="0" t="n">
        <f aca="false">COUNTIFS(RawFinancials!$W$2:$W$747,A45,RawFinancials!$AA$2:$AA$747,1,RawFinancials!$Z$2:$Z$747,B45)</f>
        <v>12</v>
      </c>
      <c r="D45" s="0" t="n">
        <f aca="false">SUMIFS(RawFinancials!$B$2:$B$747,RawFinancials!$W$2:$W$747,A45,RawFinancials!$AA$2:$AA$747,1,RawFinancials!$Z$2:$Z$747,B45)</f>
        <v>8421756</v>
      </c>
      <c r="E45" s="0" t="n">
        <f aca="false">SUMIFS(RawFinancials!$AB$2:$AB$747,RawFinancials!$W$2:$W$747,A45,RawFinancials!$AA$2:$AA$747,1,RawFinancials!$Z$2:$Z$747,B45)</f>
        <v>24833</v>
      </c>
      <c r="F45" s="0" t="n">
        <f aca="false">IF(D45&gt;0,100*E45/D45,"")</f>
        <v>0.29486724621326</v>
      </c>
    </row>
    <row r="46" customFormat="false" ht="15" hidden="false" customHeight="false" outlineLevel="0" collapsed="false">
      <c r="A46" s="0" t="n">
        <v>20241231</v>
      </c>
      <c r="B46" s="0" t="s">
        <v>954</v>
      </c>
      <c r="C46" s="0" t="n">
        <f aca="false">COUNTIFS(RawFinancials!$W$2:$W$747,A46,RawFinancials!$AA$2:$AA$747,1)</f>
        <v>54</v>
      </c>
      <c r="D46" s="0" t="n">
        <f aca="false">SUMIFS(RawFinancials!$B$2:$B$747,RawFinancials!$W$2:$W$747,A46,RawFinancials!$AA$2:$AA$747,1)</f>
        <v>70110166</v>
      </c>
      <c r="E46" s="0" t="n">
        <f aca="false">SUMIFS(RawFinancials!$AB$2:$AB$747,RawFinancials!$W$2:$W$747,A46,RawFinancials!$AA$2:$AA$747,1)</f>
        <v>197476</v>
      </c>
      <c r="F46" s="0" t="n">
        <f aca="false">IF(D46&gt;0,100*E46/D46,"")</f>
        <v>0.281665286600519</v>
      </c>
    </row>
    <row r="47" customFormat="false" ht="15" hidden="false" customHeight="false" outlineLevel="0" collapsed="false">
      <c r="A47" s="0" t="n">
        <v>20241231</v>
      </c>
      <c r="B47" s="0" t="s">
        <v>105</v>
      </c>
      <c r="C47" s="0" t="n">
        <f aca="false">COUNTIFS(RawFinancials!$W$2:$W$747,A47,RawFinancials!$AA$2:$AA$747,1,RawFinancials!$Z$2:$Z$747,B47)</f>
        <v>23</v>
      </c>
      <c r="D47" s="0" t="n">
        <f aca="false">SUMIFS(RawFinancials!$B$2:$B$747,RawFinancials!$W$2:$W$747,A47,RawFinancials!$AA$2:$AA$747,1,RawFinancials!$Z$2:$Z$747,B47)</f>
        <v>44159558</v>
      </c>
      <c r="E47" s="0" t="n">
        <f aca="false">SUMIFS(RawFinancials!$AB$2:$AB$747,RawFinancials!$W$2:$W$747,A47,RawFinancials!$AA$2:$AA$747,1,RawFinancials!$Z$2:$Z$747,B47)</f>
        <v>105164</v>
      </c>
      <c r="F47" s="0" t="n">
        <f aca="false">IF(D47&gt;0,100*E47/D47,"")</f>
        <v>0.23814549955414</v>
      </c>
    </row>
    <row r="48" customFormat="false" ht="15" hidden="false" customHeight="false" outlineLevel="0" collapsed="false">
      <c r="A48" s="0" t="n">
        <v>20241231</v>
      </c>
      <c r="B48" s="0" t="s">
        <v>123</v>
      </c>
      <c r="C48" s="0" t="n">
        <f aca="false">COUNTIFS(RawFinancials!$W$2:$W$747,A48,RawFinancials!$AA$2:$AA$747,1,RawFinancials!$Z$2:$Z$747,B48)</f>
        <v>19</v>
      </c>
      <c r="D48" s="0" t="n">
        <f aca="false">SUMIFS(RawFinancials!$B$2:$B$747,RawFinancials!$W$2:$W$747,A48,RawFinancials!$AA$2:$AA$747,1,RawFinancials!$Z$2:$Z$747,B48)</f>
        <v>17386962</v>
      </c>
      <c r="E48" s="0" t="n">
        <f aca="false">SUMIFS(RawFinancials!$AB$2:$AB$747,RawFinancials!$W$2:$W$747,A48,RawFinancials!$AA$2:$AA$747,1,RawFinancials!$Z$2:$Z$747,B48)</f>
        <v>64887</v>
      </c>
      <c r="F48" s="0" t="n">
        <f aca="false">IF(D48&gt;0,100*E48/D48,"")</f>
        <v>0.37319343080177</v>
      </c>
    </row>
    <row r="49" customFormat="false" ht="15" hidden="false" customHeight="false" outlineLevel="0" collapsed="false">
      <c r="A49" s="0" t="n">
        <v>20241231</v>
      </c>
      <c r="B49" s="0" t="s">
        <v>112</v>
      </c>
      <c r="C49" s="0" t="n">
        <f aca="false">COUNTIFS(RawFinancials!$W$2:$W$747,A49,RawFinancials!$AA$2:$AA$747,1,RawFinancials!$Z$2:$Z$747,B49)</f>
        <v>12</v>
      </c>
      <c r="D49" s="0" t="n">
        <f aca="false">SUMIFS(RawFinancials!$B$2:$B$747,RawFinancials!$W$2:$W$747,A49,RawFinancials!$AA$2:$AA$747,1,RawFinancials!$Z$2:$Z$747,B49)</f>
        <v>8563646</v>
      </c>
      <c r="E49" s="0" t="n">
        <f aca="false">SUMIFS(RawFinancials!$AB$2:$AB$747,RawFinancials!$W$2:$W$747,A49,RawFinancials!$AA$2:$AA$747,1,RawFinancials!$Z$2:$Z$747,B49)</f>
        <v>27425</v>
      </c>
      <c r="F49" s="0" t="n">
        <f aca="false">IF(D49&gt;0,100*E49/D49,"")</f>
        <v>0.320249108849198</v>
      </c>
    </row>
    <row r="50" customFormat="false" ht="15" hidden="false" customHeight="false" outlineLevel="0" collapsed="false">
      <c r="A50" s="0" t="n">
        <v>20250331</v>
      </c>
      <c r="B50" s="0" t="s">
        <v>954</v>
      </c>
      <c r="C50" s="0" t="n">
        <f aca="false">COUNTIFS(RawFinancials!$W$2:$W$747,A50,RawFinancials!$AA$2:$AA$747,1)</f>
        <v>52</v>
      </c>
      <c r="D50" s="0" t="n">
        <f aca="false">SUMIFS(RawFinancials!$B$2:$B$747,RawFinancials!$W$2:$W$747,A50,RawFinancials!$AA$2:$AA$747,1)</f>
        <v>70509303</v>
      </c>
      <c r="E50" s="0" t="n">
        <f aca="false">SUMIFS(RawFinancials!$AB$2:$AB$747,RawFinancials!$W$2:$W$747,A50,RawFinancials!$AA$2:$AA$747,1)</f>
        <v>206872</v>
      </c>
      <c r="F50" s="0" t="n">
        <f aca="false">IF(D50&gt;0,100*E50/D50,"")</f>
        <v>0.293396745107521</v>
      </c>
    </row>
    <row r="51" customFormat="false" ht="15" hidden="false" customHeight="false" outlineLevel="0" collapsed="false">
      <c r="A51" s="0" t="n">
        <v>20250331</v>
      </c>
      <c r="B51" s="0" t="s">
        <v>105</v>
      </c>
      <c r="C51" s="0" t="n">
        <f aca="false">COUNTIFS(RawFinancials!$W$2:$W$747,A51,RawFinancials!$AA$2:$AA$747,1,RawFinancials!$Z$2:$Z$747,B51)</f>
        <v>22</v>
      </c>
      <c r="D51" s="0" t="n">
        <f aca="false">SUMIFS(RawFinancials!$B$2:$B$747,RawFinancials!$W$2:$W$747,A51,RawFinancials!$AA$2:$AA$747,1,RawFinancials!$Z$2:$Z$747,B51)</f>
        <v>45509746</v>
      </c>
      <c r="E51" s="0" t="n">
        <f aca="false">SUMIFS(RawFinancials!$AB$2:$AB$747,RawFinancials!$W$2:$W$747,A51,RawFinancials!$AA$2:$AA$747,1,RawFinancials!$Z$2:$Z$747,B51)</f>
        <v>118037</v>
      </c>
      <c r="F51" s="0" t="n">
        <f aca="false">IF(D51&gt;0,100*E51/D51,"")</f>
        <v>0.259366422304356</v>
      </c>
    </row>
    <row r="52" customFormat="false" ht="15" hidden="false" customHeight="false" outlineLevel="0" collapsed="false">
      <c r="A52" s="0" t="n">
        <v>20250331</v>
      </c>
      <c r="B52" s="0" t="s">
        <v>123</v>
      </c>
      <c r="C52" s="0" t="n">
        <f aca="false">COUNTIFS(RawFinancials!$W$2:$W$747,A52,RawFinancials!$AA$2:$AA$747,1,RawFinancials!$Z$2:$Z$747,B52)</f>
        <v>18</v>
      </c>
      <c r="D52" s="0" t="n">
        <f aca="false">SUMIFS(RawFinancials!$B$2:$B$747,RawFinancials!$W$2:$W$747,A52,RawFinancials!$AA$2:$AA$747,1,RawFinancials!$Z$2:$Z$747,B52)</f>
        <v>16458416</v>
      </c>
      <c r="E52" s="0" t="n">
        <f aca="false">SUMIFS(RawFinancials!$AB$2:$AB$747,RawFinancials!$W$2:$W$747,A52,RawFinancials!$AA$2:$AA$747,1,RawFinancials!$Z$2:$Z$747,B52)</f>
        <v>47401</v>
      </c>
      <c r="F52" s="0" t="n">
        <f aca="false">IF(D52&gt;0,100*E52/D52,"")</f>
        <v>0.288004629364089</v>
      </c>
    </row>
    <row r="53" customFormat="false" ht="15" hidden="false" customHeight="false" outlineLevel="0" collapsed="false">
      <c r="A53" s="0" t="n">
        <v>20250331</v>
      </c>
      <c r="B53" s="0" t="s">
        <v>112</v>
      </c>
      <c r="C53" s="0" t="n">
        <f aca="false">COUNTIFS(RawFinancials!$W$2:$W$747,A53,RawFinancials!$AA$2:$AA$747,1,RawFinancials!$Z$2:$Z$747,B53)</f>
        <v>12</v>
      </c>
      <c r="D53" s="0" t="n">
        <f aca="false">SUMIFS(RawFinancials!$B$2:$B$747,RawFinancials!$W$2:$W$747,A53,RawFinancials!$AA$2:$AA$747,1,RawFinancials!$Z$2:$Z$747,B53)</f>
        <v>8541141</v>
      </c>
      <c r="E53" s="0" t="n">
        <f aca="false">SUMIFS(RawFinancials!$AB$2:$AB$747,RawFinancials!$W$2:$W$747,A53,RawFinancials!$AA$2:$AA$747,1,RawFinancials!$Z$2:$Z$747,B53)</f>
        <v>41434</v>
      </c>
      <c r="F53" s="0" t="n">
        <f aca="false">IF(D53&gt;0,100*E53/D53,"")</f>
        <v>0.485110830040155</v>
      </c>
    </row>
    <row r="54" customFormat="false" ht="15" hidden="false" customHeight="false" outlineLevel="0" collapsed="false">
      <c r="A54" s="0" t="n">
        <v>20250630</v>
      </c>
      <c r="B54" s="0" t="s">
        <v>954</v>
      </c>
      <c r="C54" s="0" t="n">
        <f aca="false">COUNTIFS(RawFinancials!$W$2:$W$747,A54,RawFinancials!$AA$2:$AA$747,1)</f>
        <v>52</v>
      </c>
      <c r="D54" s="0" t="n">
        <f aca="false">SUMIFS(RawFinancials!$B$2:$B$747,RawFinancials!$W$2:$W$747,A54,RawFinancials!$AA$2:$AA$747,1)</f>
        <v>71266944</v>
      </c>
      <c r="E54" s="0" t="n">
        <f aca="false">SUMIFS(RawFinancials!$AB$2:$AB$747,RawFinancials!$W$2:$W$747,A54,RawFinancials!$AA$2:$AA$747,1)</f>
        <v>262400</v>
      </c>
      <c r="F54" s="0" t="n">
        <f aca="false">IF(D54&gt;0,100*E54/D54,"")</f>
        <v>0.368193141549608</v>
      </c>
    </row>
    <row r="55" customFormat="false" ht="15" hidden="false" customHeight="false" outlineLevel="0" collapsed="false">
      <c r="A55" s="0" t="n">
        <v>20250630</v>
      </c>
      <c r="B55" s="0" t="s">
        <v>105</v>
      </c>
      <c r="C55" s="0" t="n">
        <f aca="false">COUNTIFS(RawFinancials!$W$2:$W$747,A55,RawFinancials!$AA$2:$AA$747,1,RawFinancials!$Z$2:$Z$747,B55)</f>
        <v>22</v>
      </c>
      <c r="D55" s="0" t="n">
        <f aca="false">SUMIFS(RawFinancials!$B$2:$B$747,RawFinancials!$W$2:$W$747,A55,RawFinancials!$AA$2:$AA$747,1,RawFinancials!$Z$2:$Z$747,B55)</f>
        <v>46035765</v>
      </c>
      <c r="E55" s="0" t="n">
        <f aca="false">SUMIFS(RawFinancials!$AB$2:$AB$747,RawFinancials!$W$2:$W$747,A55,RawFinancials!$AA$2:$AA$747,1,RawFinancials!$Z$2:$Z$747,B55)</f>
        <v>169125</v>
      </c>
      <c r="F55" s="0" t="n">
        <f aca="false">IF(D55&gt;0,100*E55/D55,"")</f>
        <v>0.367377407543895</v>
      </c>
    </row>
    <row r="56" customFormat="false" ht="15" hidden="false" customHeight="false" outlineLevel="0" collapsed="false">
      <c r="A56" s="0" t="n">
        <v>20250630</v>
      </c>
      <c r="B56" s="0" t="s">
        <v>123</v>
      </c>
      <c r="C56" s="0" t="n">
        <f aca="false">COUNTIFS(RawFinancials!$W$2:$W$747,A56,RawFinancials!$AA$2:$AA$747,1,RawFinancials!$Z$2:$Z$747,B56)</f>
        <v>18</v>
      </c>
      <c r="D56" s="0" t="n">
        <f aca="false">SUMIFS(RawFinancials!$B$2:$B$747,RawFinancials!$W$2:$W$747,A56,RawFinancials!$AA$2:$AA$747,1,RawFinancials!$Z$2:$Z$747,B56)</f>
        <v>16713625</v>
      </c>
      <c r="E56" s="0" t="n">
        <f aca="false">SUMIFS(RawFinancials!$AB$2:$AB$747,RawFinancials!$W$2:$W$747,A56,RawFinancials!$AA$2:$AA$747,1,RawFinancials!$Z$2:$Z$747,B56)</f>
        <v>51136</v>
      </c>
      <c r="F56" s="0" t="n">
        <f aca="false">IF(D56&gt;0,100*E56/D56,"")</f>
        <v>0.305953974676349</v>
      </c>
    </row>
    <row r="57" customFormat="false" ht="15" hidden="false" customHeight="false" outlineLevel="0" collapsed="false">
      <c r="A57" s="0" t="n">
        <v>20250630</v>
      </c>
      <c r="B57" s="0" t="s">
        <v>112</v>
      </c>
      <c r="C57" s="0" t="n">
        <f aca="false">COUNTIFS(RawFinancials!$W$2:$W$747,A57,RawFinancials!$AA$2:$AA$747,1,RawFinancials!$Z$2:$Z$747,B57)</f>
        <v>12</v>
      </c>
      <c r="D57" s="0" t="n">
        <f aca="false">SUMIFS(RawFinancials!$B$2:$B$747,RawFinancials!$W$2:$W$747,A57,RawFinancials!$AA$2:$AA$747,1,RawFinancials!$Z$2:$Z$747,B57)</f>
        <v>8517554</v>
      </c>
      <c r="E57" s="0" t="n">
        <f aca="false">SUMIFS(RawFinancials!$AB$2:$AB$747,RawFinancials!$W$2:$W$747,A57,RawFinancials!$AA$2:$AA$747,1,RawFinancials!$Z$2:$Z$747,B57)</f>
        <v>42139</v>
      </c>
      <c r="F57" s="0" t="n">
        <f aca="false">IF(D57&gt;0,100*E57/D57,"")</f>
        <v>0.494731233873011</v>
      </c>
    </row>
  </sheetData>
  <autoFilter ref="A1:F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8" min="1" style="0" width="19"/>
    <col collapsed="false" customWidth="true" hidden="true" outlineLevel="0" max="19" min="19" style="0" width="19"/>
  </cols>
  <sheetData>
    <row r="1" customFormat="false" ht="15" hidden="false" customHeight="false" outlineLevel="0" collapsed="false">
      <c r="A1" s="7" t="s">
        <v>958</v>
      </c>
      <c r="B1" s="7" t="s">
        <v>26</v>
      </c>
      <c r="C1" s="7" t="s">
        <v>937</v>
      </c>
      <c r="D1" s="7" t="s">
        <v>932</v>
      </c>
      <c r="E1" s="7" t="s">
        <v>907</v>
      </c>
      <c r="F1" s="7" t="s">
        <v>959</v>
      </c>
      <c r="G1" s="7" t="s">
        <v>960</v>
      </c>
      <c r="H1" s="7" t="s">
        <v>910</v>
      </c>
      <c r="I1" s="7" t="s">
        <v>911</v>
      </c>
      <c r="J1" s="7" t="s">
        <v>961</v>
      </c>
      <c r="K1" s="7" t="s">
        <v>962</v>
      </c>
      <c r="L1" s="7" t="s">
        <v>79</v>
      </c>
      <c r="M1" s="7" t="s">
        <v>963</v>
      </c>
      <c r="N1" s="7" t="s">
        <v>964</v>
      </c>
      <c r="O1" s="7" t="s">
        <v>965</v>
      </c>
      <c r="P1" s="7" t="s">
        <v>966</v>
      </c>
      <c r="Q1" s="7" t="s">
        <v>967</v>
      </c>
      <c r="R1" s="7" t="s">
        <v>968</v>
      </c>
      <c r="S1" s="7" t="s">
        <v>969</v>
      </c>
    </row>
    <row r="2" customFormat="false" ht="15" hidden="false" customHeight="false" outlineLevel="0" collapsed="false">
      <c r="A2" s="0" t="n">
        <v>1</v>
      </c>
      <c r="B2" s="0" t="n">
        <f aca="false">IF($S2&gt;0,INDEX(BankCalc!$A:$A,$S2),"")</f>
        <v>6280</v>
      </c>
      <c r="C2" s="0" t="str">
        <f aca="false">IF($S2&gt;0,INDEX(BankCalc!$G:$G,$S2),"")</f>
        <v>VT</v>
      </c>
      <c r="D2" s="0" t="str">
        <f aca="false">IF($S2&gt;0,INDEX(BankCalc!$V:$V,$S2),"")</f>
        <v>THE FIRST NATIONAL BANK OF ORWELL</v>
      </c>
      <c r="E2" s="0" t="n">
        <f aca="false">IF($S2&gt;0,INDEX(BankCalc!$M:$M,$S2),"")</f>
        <v>1.65774182522502</v>
      </c>
      <c r="F2" s="0" t="n">
        <f aca="false">IF($S2&gt;0,INDEX(BankCalc!$J:$J,$S2),"")</f>
        <v>1.48403371685227</v>
      </c>
      <c r="G2" s="0" t="n">
        <f aca="false">IF(AND(ISNUMBER(E2),ISNUMBER(F2)),E2-F2,"")</f>
        <v>0.173708108372747</v>
      </c>
      <c r="H2" s="0" t="n">
        <f aca="false">IF($S2&gt;0,IF(INDEX(RawFinancials!$L:$L,L2)&gt;0,100*INDEX(RawFinancials!$N:$N,L2)/INDEX(RawFinancials!$L:$L,L2),""),"")</f>
        <v>88.8467852257182</v>
      </c>
      <c r="I2" s="0" t="n">
        <f aca="false">IF($S2&gt;0,100*INDEX(RawFinancials!$F:$F,L2)/INDEX(RawFinancials!$B:$B,L2),"")</f>
        <v>11.3353081918651</v>
      </c>
      <c r="J2" s="0" t="n">
        <f aca="false">IF($S2&gt;0,INDEX(RawFinancials!$X:$X,L2),"")</f>
        <v>1.36654026169246</v>
      </c>
      <c r="K2" s="0" t="n">
        <f aca="false">IF($S2&gt;0,INDEX(RawFinancials!$V:$V,L2),"")</f>
        <v>0</v>
      </c>
      <c r="L2" s="0" t="n">
        <f aca="false">IF($S2&gt;0,INDEX(BankCalc!$C:$C,$S2),"")</f>
        <v>747</v>
      </c>
      <c r="M2" s="0" t="n">
        <f aca="false">IF($S2&gt;0,INDEX(BankCalc!$B:$B,$S2),"")</f>
        <v>535</v>
      </c>
      <c r="N2" s="0" t="str">
        <f aca="false">IF($S2&gt;0,"当前有效资产代理率、州覆盖与容量排序；原因待查","")</f>
        <v>当前有效资产代理率、州覆盖与容量排序；原因待查</v>
      </c>
      <c r="O2" s="0" t="str">
        <f aca="false">IF($S2&gt;0,"提供逾期/非应计台账、还款与分类、房地产集中度及估值；解释盈利和资本变化","")</f>
        <v>提供逾期/非应计台账、还款与分类、房地产集中度及估值；解释盈利和资本变化</v>
      </c>
      <c r="P2" s="0" t="str">
        <f aca="false">IF($S2&gt;0,"信用复核负责人","")</f>
        <v>信用复核负责人</v>
      </c>
      <c r="Q2" s="0" t="str">
        <f aca="false">IF($S2&gt;0,"委员会后5个工作日内提交初核包","")</f>
        <v>委员会后5个工作日内提交初核包</v>
      </c>
      <c r="R2" s="0" t="str">
        <f aca="false">IF($S2&gt;0,IF(K2=0,"原始0：需核实适用/报告口径",""),"")</f>
        <v>原始0：需核实适用/报告口径</v>
      </c>
      <c r="S2" s="0" t="n">
        <f aca="false">IF(AND(WF_MODEL_VALID,A2&lt;=WF_REVIEW_SLOTS),MATCH(A2,BankCalc!$U$2:$U$55,0)+1,0)</f>
        <v>6</v>
      </c>
    </row>
    <row r="3" customFormat="false" ht="15" hidden="false" customHeight="false" outlineLevel="0" collapsed="false">
      <c r="A3" s="0" t="n">
        <v>2</v>
      </c>
      <c r="B3" s="0" t="n">
        <f aca="false">IF($S3&gt;0,INDEX(BankCalc!$A:$A,$S3),"")</f>
        <v>59289</v>
      </c>
      <c r="C3" s="0" t="str">
        <f aca="false">IF($S3&gt;0,INDEX(BankCalc!$G:$G,$S3),"")</f>
        <v>NH</v>
      </c>
      <c r="D3" s="0" t="str">
        <f aca="false">IF($S3&gt;0,INDEX(BankCalc!$V:$V,$S3),"")</f>
        <v>WALDEN MUTUAL BANK</v>
      </c>
      <c r="E3" s="0" t="n">
        <f aca="false">IF($S3&gt;0,INDEX(BankCalc!$M:$M,$S3),"")</f>
        <v>1.94190052811475</v>
      </c>
      <c r="F3" s="0" t="n">
        <f aca="false">IF($S3&gt;0,INDEX(BankCalc!$J:$J,$S3),"")</f>
        <v>0.307782361993599</v>
      </c>
      <c r="G3" s="0" t="n">
        <f aca="false">IF(AND(ISNUMBER(E3),ISNUMBER(F3)),E3-F3,"")</f>
        <v>1.63411816612115</v>
      </c>
      <c r="H3" s="0" t="n">
        <f aca="false">IF($S3&gt;0,IF(INDEX(RawFinancials!$L:$L,L3)&gt;0,100*INDEX(RawFinancials!$N:$N,L3)/INDEX(RawFinancials!$L:$L,L3),""),"")</f>
        <v>36.1756619336372</v>
      </c>
      <c r="I3" s="0" t="n">
        <f aca="false">IF($S3&gt;0,100*INDEX(RawFinancials!$F:$F,L3)/INDEX(RawFinancials!$B:$B,L3),"")</f>
        <v>10.7527176332788</v>
      </c>
      <c r="J3" s="0" t="n">
        <f aca="false">IF($S3&gt;0,INDEX(RawFinancials!$X:$X,L3),"")</f>
        <v>-0.239988600541474</v>
      </c>
      <c r="K3" s="0" t="n">
        <f aca="false">IF($S3&gt;0,INDEX(RawFinancials!$V:$V,L3),"")</f>
        <v>0</v>
      </c>
      <c r="L3" s="0" t="n">
        <f aca="false">IF($S3&gt;0,INDEX(BankCalc!$C:$C,$S3),"")</f>
        <v>743</v>
      </c>
      <c r="M3" s="0" t="n">
        <f aca="false">IF($S3&gt;0,INDEX(BankCalc!$B:$B,$S3),"")</f>
        <v>531</v>
      </c>
      <c r="N3" s="0" t="str">
        <f aca="false">IF($S3&gt;0,"当前有效资产代理率、州覆盖与容量排序；原因待查","")</f>
        <v>当前有效资产代理率、州覆盖与容量排序；原因待查</v>
      </c>
      <c r="O3" s="0" t="str">
        <f aca="false">IF($S3&gt;0,"提供逾期/非应计台账、还款与分类、房地产集中度及估值；解释盈利和资本变化","")</f>
        <v>提供逾期/非应计台账、还款与分类、房地产集中度及估值；解释盈利和资本变化</v>
      </c>
      <c r="P3" s="0" t="str">
        <f aca="false">IF($S3&gt;0,"信用复核负责人","")</f>
        <v>信用复核负责人</v>
      </c>
      <c r="Q3" s="0" t="str">
        <f aca="false">IF($S3&gt;0,"委员会后5个工作日内提交初核包","")</f>
        <v>委员会后5个工作日内提交初核包</v>
      </c>
      <c r="R3" s="0" t="str">
        <f aca="false">IF($S3&gt;0,IF(K3=0,"原始0：需核实适用/报告口径",""),"")</f>
        <v>原始0：需核实适用/报告口径</v>
      </c>
      <c r="S3" s="0" t="n">
        <f aca="false">IF(AND(WF_MODEL_VALID,A3&lt;=WF_REVIEW_SLOTS),MATCH(A3,BankCalc!$U$2:$U$55,0)+1,0)</f>
        <v>54</v>
      </c>
    </row>
    <row r="4" customFormat="false" ht="15" hidden="false" customHeight="false" outlineLevel="0" collapsed="false">
      <c r="A4" s="0" t="n">
        <v>3</v>
      </c>
      <c r="B4" s="0" t="n">
        <f aca="false">IF($S4&gt;0,INDEX(BankCalc!$A:$A,$S4),"")</f>
        <v>29636</v>
      </c>
      <c r="C4" s="0" t="str">
        <f aca="false">IF($S4&gt;0,INDEX(BankCalc!$G:$G,$S4),"")</f>
        <v>ME</v>
      </c>
      <c r="D4" s="0" t="str">
        <f aca="false">IF($S4&gt;0,INDEX(BankCalc!$V:$V,$S4),"")</f>
        <v>FIRST FEDERAL SAVINGS AND LOAN ASSOCIATION OF BATH</v>
      </c>
      <c r="E4" s="0" t="n">
        <f aca="false">IF($S4&gt;0,INDEX(BankCalc!$M:$M,$S4),"")</f>
        <v>1.67157937846562</v>
      </c>
      <c r="F4" s="0" t="n">
        <f aca="false">IF($S4&gt;0,INDEX(BankCalc!$J:$J,$S4),"")</f>
        <v>1.51507586474716</v>
      </c>
      <c r="G4" s="0" t="n">
        <f aca="false">IF(AND(ISNUMBER(E4),ISNUMBER(F4)),E4-F4,"")</f>
        <v>0.156503513718453</v>
      </c>
      <c r="H4" s="0" t="n">
        <f aca="false">IF($S4&gt;0,IF(INDEX(RawFinancials!$L:$L,L4)&gt;0,100*INDEX(RawFinancials!$N:$N,L4)/INDEX(RawFinancials!$L:$L,L4),""),"")</f>
        <v>97.7633477633478</v>
      </c>
      <c r="I4" s="0" t="n">
        <f aca="false">IF($S4&gt;0,100*INDEX(RawFinancials!$F:$F,L4)/INDEX(RawFinancials!$B:$B,L4),"")</f>
        <v>14.897641359465</v>
      </c>
      <c r="J4" s="0" t="n">
        <f aca="false">IF($S4&gt;0,INDEX(RawFinancials!$X:$X,L4),"")</f>
        <v>0.234619113348782</v>
      </c>
      <c r="K4" s="0" t="n">
        <f aca="false">IF($S4&gt;0,INDEX(RawFinancials!$V:$V,L4),"")</f>
        <v>27.1672138701688</v>
      </c>
      <c r="L4" s="0" t="n">
        <f aca="false">IF($S4&gt;0,INDEX(BankCalc!$C:$C,$S4),"")</f>
        <v>732</v>
      </c>
      <c r="M4" s="0" t="n">
        <f aca="false">IF($S4&gt;0,INDEX(BankCalc!$B:$B,$S4),"")</f>
        <v>520</v>
      </c>
      <c r="N4" s="0" t="str">
        <f aca="false">IF($S4&gt;0,"当前有效资产代理率、州覆盖与容量排序；原因待查","")</f>
        <v>当前有效资产代理率、州覆盖与容量排序；原因待查</v>
      </c>
      <c r="O4" s="0" t="str">
        <f aca="false">IF($S4&gt;0,"提供逾期/非应计台账、还款与分类、房地产集中度及估值；解释盈利和资本变化","")</f>
        <v>提供逾期/非应计台账、还款与分类、房地产集中度及估值；解释盈利和资本变化</v>
      </c>
      <c r="P4" s="0" t="str">
        <f aca="false">IF($S4&gt;0,"信用复核负责人","")</f>
        <v>信用复核负责人</v>
      </c>
      <c r="Q4" s="0" t="str">
        <f aca="false">IF($S4&gt;0,"委员会后5个工作日内提交初核包","")</f>
        <v>委员会后5个工作日内提交初核包</v>
      </c>
      <c r="R4" s="0" t="str">
        <f aca="false">IF($S4&gt;0,IF(K4=0,"原始0：需核实适用/报告口径",""),"")</f>
        <v/>
      </c>
      <c r="S4" s="0" t="n">
        <f aca="false">IF(AND(WF_MODEL_VALID,A4&lt;=WF_REVIEW_SLOTS),MATCH(A4,BankCalc!$U$2:$U$55,0)+1,0)</f>
        <v>45</v>
      </c>
    </row>
    <row r="5" customFormat="false" ht="15" hidden="false" customHeight="false" outlineLevel="0" collapsed="false">
      <c r="A5" s="0" t="n">
        <v>4</v>
      </c>
      <c r="B5" s="0" t="n">
        <f aca="false">IF($S5&gt;0,INDEX(BankCalc!$A:$A,$S5),"")</f>
        <v>59086</v>
      </c>
      <c r="C5" s="0" t="str">
        <f aca="false">IF($S5&gt;0,INDEX(BankCalc!$G:$G,$S5),"")</f>
        <v>NH</v>
      </c>
      <c r="D5" s="0" t="str">
        <f aca="false">IF($S5&gt;0,INDEX(BankCalc!$V:$V,$S5),"")</f>
        <v>PRIMARY BANK</v>
      </c>
      <c r="E5" s="0" t="n">
        <f aca="false">IF($S5&gt;0,INDEX(BankCalc!$M:$M,$S5),"")</f>
        <v>1.90796036718717</v>
      </c>
      <c r="F5" s="0" t="n">
        <f aca="false">IF($S5&gt;0,INDEX(BankCalc!$J:$J,$S5),"")</f>
        <v>0.572394860474331</v>
      </c>
      <c r="G5" s="0" t="n">
        <f aca="false">IF(AND(ISNUMBER(E5),ISNUMBER(F5)),E5-F5,"")</f>
        <v>1.33556550671284</v>
      </c>
      <c r="H5" s="0" t="n">
        <f aca="false">IF($S5&gt;0,IF(INDEX(RawFinancials!$L:$L,L5)&gt;0,100*INDEX(RawFinancials!$N:$N,L5)/INDEX(RawFinancials!$L:$L,L5),""),"")</f>
        <v>80.0089807350312</v>
      </c>
      <c r="I5" s="0" t="n">
        <f aca="false">IF($S5&gt;0,100*INDEX(RawFinancials!$F:$F,L5)/INDEX(RawFinancials!$B:$B,L5),"")</f>
        <v>14.6001465326808</v>
      </c>
      <c r="J5" s="0" t="n">
        <f aca="false">IF($S5&gt;0,INDEX(RawFinancials!$X:$X,L5),"")</f>
        <v>1.55691795515022</v>
      </c>
      <c r="K5" s="0" t="n">
        <f aca="false">IF($S5&gt;0,INDEX(RawFinancials!$V:$V,L5),"")</f>
        <v>16.7805900658004</v>
      </c>
      <c r="L5" s="0" t="n">
        <f aca="false">IF($S5&gt;0,INDEX(BankCalc!$C:$C,$S5),"")</f>
        <v>741</v>
      </c>
      <c r="M5" s="0" t="n">
        <f aca="false">IF($S5&gt;0,INDEX(BankCalc!$B:$B,$S5),"")</f>
        <v>529</v>
      </c>
      <c r="N5" s="0" t="str">
        <f aca="false">IF($S5&gt;0,"当前有效资产代理率、州覆盖与容量排序；原因待查","")</f>
        <v>当前有效资产代理率、州覆盖与容量排序；原因待查</v>
      </c>
      <c r="O5" s="0" t="str">
        <f aca="false">IF($S5&gt;0,"提供逾期/非应计台账、还款与分类、房地产集中度及估值；解释盈利和资本变化","")</f>
        <v>提供逾期/非应计台账、还款与分类、房地产集中度及估值；解释盈利和资本变化</v>
      </c>
      <c r="P5" s="0" t="str">
        <f aca="false">IF($S5&gt;0,"信用复核负责人","")</f>
        <v>信用复核负责人</v>
      </c>
      <c r="Q5" s="0" t="str">
        <f aca="false">IF($S5&gt;0,"委员会后5个工作日内提交初核包","")</f>
        <v>委员会后5个工作日内提交初核包</v>
      </c>
      <c r="R5" s="0" t="str">
        <f aca="false">IF($S5&gt;0,IF(K5=0,"原始0：需核实适用/报告口径",""),"")</f>
        <v/>
      </c>
      <c r="S5" s="0" t="n">
        <f aca="false">IF(AND(WF_MODEL_VALID,A5&lt;=WF_REVIEW_SLOTS),MATCH(A5,BankCalc!$U$2:$U$55,0)+1,0)</f>
        <v>52</v>
      </c>
    </row>
    <row r="6" customFormat="false" ht="15" hidden="false" customHeight="false" outlineLevel="0" collapsed="false">
      <c r="A6" s="0" t="n">
        <v>5</v>
      </c>
      <c r="B6" s="0" t="n">
        <f aca="false">IF($S6&gt;0,INDEX(BankCalc!$A:$A,$S6),"")</f>
        <v>30878</v>
      </c>
      <c r="C6" s="0" t="str">
        <f aca="false">IF($S6&gt;0,INDEX(BankCalc!$G:$G,$S6),"")</f>
        <v>ME</v>
      </c>
      <c r="D6" s="0" t="str">
        <f aca="false">IF($S6&gt;0,INDEX(BankCalc!$V:$V,$S6),"")</f>
        <v>BAR HARBOR SAVINGS AND LOAN ASSOCIATION</v>
      </c>
      <c r="E6" s="0" t="n">
        <f aca="false">IF($S6&gt;0,INDEX(BankCalc!$M:$M,$S6),"")</f>
        <v>1.36792405140078</v>
      </c>
      <c r="F6" s="0" t="n">
        <f aca="false">IF($S6&gt;0,INDEX(BankCalc!$J:$J,$S6),"")</f>
        <v>1.77710843373494</v>
      </c>
      <c r="G6" s="0" t="n">
        <f aca="false">IF(AND(ISNUMBER(E6),ISNUMBER(F6)),E6-F6,"")</f>
        <v>-0.409184382334157</v>
      </c>
      <c r="H6" s="0" t="n">
        <f aca="false">IF($S6&gt;0,IF(INDEX(RawFinancials!$L:$L,L6)&gt;0,100*INDEX(RawFinancials!$N:$N,L6)/INDEX(RawFinancials!$L:$L,L6),""),"")</f>
        <v>99.7954344692919</v>
      </c>
      <c r="I6" s="0" t="n">
        <f aca="false">IF($S6&gt;0,100*INDEX(RawFinancials!$F:$F,L6)/INDEX(RawFinancials!$B:$B,L6),"")</f>
        <v>12.0221617850752</v>
      </c>
      <c r="J6" s="0" t="n">
        <f aca="false">IF($S6&gt;0,INDEX(RawFinancials!$X:$X,L6),"")</f>
        <v>0.0020154179472968</v>
      </c>
      <c r="K6" s="0" t="n">
        <f aca="false">IF($S6&gt;0,INDEX(RawFinancials!$V:$V,L6),"")</f>
        <v>0</v>
      </c>
      <c r="L6" s="0" t="n">
        <f aca="false">IF($S6&gt;0,INDEX(BankCalc!$C:$C,$S6),"")</f>
        <v>736</v>
      </c>
      <c r="M6" s="0" t="n">
        <f aca="false">IF($S6&gt;0,INDEX(BankCalc!$B:$B,$S6),"")</f>
        <v>524</v>
      </c>
      <c r="N6" s="0" t="str">
        <f aca="false">IF($S6&gt;0,"当前有效资产代理率、州覆盖与容量排序；原因待查","")</f>
        <v>当前有效资产代理率、州覆盖与容量排序；原因待查</v>
      </c>
      <c r="O6" s="0" t="str">
        <f aca="false">IF($S6&gt;0,"提供逾期/非应计台账、还款与分类、房地产集中度及估值；解释盈利和资本变化","")</f>
        <v>提供逾期/非应计台账、还款与分类、房地产集中度及估值；解释盈利和资本变化</v>
      </c>
      <c r="P6" s="0" t="str">
        <f aca="false">IF($S6&gt;0,"信用复核负责人","")</f>
        <v>信用复核负责人</v>
      </c>
      <c r="Q6" s="0" t="str">
        <f aca="false">IF($S6&gt;0,"委员会后5个工作日内提交初核包","")</f>
        <v>委员会后5个工作日内提交初核包</v>
      </c>
      <c r="R6" s="0" t="str">
        <f aca="false">IF($S6&gt;0,IF(K6=0,"原始0：需核实适用/报告口径",""),"")</f>
        <v>原始0：需核实适用/报告口径</v>
      </c>
      <c r="S6" s="0" t="n">
        <f aca="false">IF(AND(WF_MODEL_VALID,A6&lt;=WF_REVIEW_SLOTS),MATCH(A6,BankCalc!$U$2:$U$55,0)+1,0)</f>
        <v>49</v>
      </c>
    </row>
    <row r="7" customFormat="false" ht="15" hidden="false" customHeight="false" outlineLevel="0" collapsed="false">
      <c r="A7" s="0" t="n">
        <v>6</v>
      </c>
      <c r="B7" s="0" t="n">
        <f aca="false">IF($S7&gt;0,INDEX(BankCalc!$A:$A,$S7),"")</f>
        <v>19836</v>
      </c>
      <c r="C7" s="0" t="str">
        <f aca="false">IF($S7&gt;0,INDEX(BankCalc!$G:$G,$S7),"")</f>
        <v>ME</v>
      </c>
      <c r="D7" s="0" t="str">
        <f aca="false">IF($S7&gt;0,INDEX(BankCalc!$V:$V,$S7),"")</f>
        <v>FRANKLIN SAVINGS BANK</v>
      </c>
      <c r="E7" s="0" t="n">
        <f aca="false">IF($S7&gt;0,INDEX(BankCalc!$M:$M,$S7),"")</f>
        <v>1.11522194532208</v>
      </c>
      <c r="F7" s="0" t="n">
        <f aca="false">IF($S7&gt;0,INDEX(BankCalc!$J:$J,$S7),"")</f>
        <v>0.814986642753856</v>
      </c>
      <c r="G7" s="0" t="n">
        <f aca="false">IF(AND(ISNUMBER(E7),ISNUMBER(F7)),E7-F7,"")</f>
        <v>0.300235302568223</v>
      </c>
      <c r="H7" s="0" t="n">
        <f aca="false">IF($S7&gt;0,IF(INDEX(RawFinancials!$L:$L,L7)&gt;0,100*INDEX(RawFinancials!$N:$N,L7)/INDEX(RawFinancials!$L:$L,L7),""),"")</f>
        <v>91.3450236023609</v>
      </c>
      <c r="I7" s="0" t="n">
        <f aca="false">IF($S7&gt;0,100*INDEX(RawFinancials!$F:$F,L7)/INDEX(RawFinancials!$B:$B,L7),"")</f>
        <v>17.2758764066071</v>
      </c>
      <c r="J7" s="0" t="n">
        <f aca="false">IF($S7&gt;0,INDEX(RawFinancials!$X:$X,L7),"")</f>
        <v>0.839541245838753</v>
      </c>
      <c r="K7" s="0" t="n">
        <f aca="false">IF($S7&gt;0,INDEX(RawFinancials!$V:$V,L7),"")</f>
        <v>23.0548516374529</v>
      </c>
      <c r="L7" s="0" t="n">
        <f aca="false">IF($S7&gt;0,INDEX(BankCalc!$C:$C,$S7),"")</f>
        <v>725</v>
      </c>
      <c r="M7" s="0" t="n">
        <f aca="false">IF($S7&gt;0,INDEX(BankCalc!$B:$B,$S7),"")</f>
        <v>513</v>
      </c>
      <c r="N7" s="0" t="str">
        <f aca="false">IF($S7&gt;0,"当前有效资产代理率、州覆盖与容量排序；原因待查","")</f>
        <v>当前有效资产代理率、州覆盖与容量排序；原因待查</v>
      </c>
      <c r="O7" s="0" t="str">
        <f aca="false">IF($S7&gt;0,"提供逾期/非应计台账、还款与分类、房地产集中度及估值；解释盈利和资本变化","")</f>
        <v>提供逾期/非应计台账、还款与分类、房地产集中度及估值；解释盈利和资本变化</v>
      </c>
      <c r="P7" s="0" t="str">
        <f aca="false">IF($S7&gt;0,"信用复核负责人","")</f>
        <v>信用复核负责人</v>
      </c>
      <c r="Q7" s="0" t="str">
        <f aca="false">IF($S7&gt;0,"委员会后5个工作日内提交初核包","")</f>
        <v>委员会后5个工作日内提交初核包</v>
      </c>
      <c r="R7" s="0" t="str">
        <f aca="false">IF($S7&gt;0,IF(K7=0,"原始0：需核实适用/报告口径",""),"")</f>
        <v/>
      </c>
      <c r="S7" s="0" t="n">
        <f aca="false">IF(AND(WF_MODEL_VALID,A7&lt;=WF_REVIEW_SLOTS),MATCH(A7,BankCalc!$U$2:$U$55,0)+1,0)</f>
        <v>38</v>
      </c>
    </row>
    <row r="8" customFormat="false" ht="15" hidden="false" customHeight="false" outlineLevel="0" collapsed="false">
      <c r="A8" s="0" t="n">
        <v>7</v>
      </c>
      <c r="B8" s="0" t="n">
        <f aca="false">IF($S8&gt;0,INDEX(BankCalc!$A:$A,$S8),"")</f>
        <v>14158</v>
      </c>
      <c r="C8" s="0" t="str">
        <f aca="false">IF($S8&gt;0,INDEX(BankCalc!$G:$G,$S8),"")</f>
        <v>VT</v>
      </c>
      <c r="D8" s="0" t="str">
        <f aca="false">IF($S8&gt;0,INDEX(BankCalc!$V:$V,$S8),"")</f>
        <v>UNION BANK</v>
      </c>
      <c r="E8" s="0" t="n">
        <f aca="false">IF($S8&gt;0,INDEX(BankCalc!$M:$M,$S8),"")</f>
        <v>1.03153059376039</v>
      </c>
      <c r="F8" s="0" t="n">
        <f aca="false">IF($S8&gt;0,INDEX(BankCalc!$J:$J,$S8),"")</f>
        <v>0.137927975556416</v>
      </c>
      <c r="G8" s="0" t="n">
        <f aca="false">IF(AND(ISNUMBER(E8),ISNUMBER(F8)),E8-F8,"")</f>
        <v>0.893602618203977</v>
      </c>
      <c r="H8" s="0" t="n">
        <f aca="false">IF($S8&gt;0,IF(INDEX(RawFinancials!$L:$L,L8)&gt;0,100*INDEX(RawFinancials!$N:$N,L8)/INDEX(RawFinancials!$L:$L,L8),""),"")</f>
        <v>92.5851546887821</v>
      </c>
      <c r="I8" s="0" t="n">
        <f aca="false">IF($S8&gt;0,100*INDEX(RawFinancials!$F:$F,L8)/INDEX(RawFinancials!$B:$B,L8),"")</f>
        <v>5.84817892030292</v>
      </c>
      <c r="J8" s="0" t="n">
        <f aca="false">IF($S8&gt;0,INDEX(RawFinancials!$X:$X,L8),"")</f>
        <v>0.704869265488618</v>
      </c>
      <c r="K8" s="0" t="n">
        <f aca="false">IF($S8&gt;0,INDEX(RawFinancials!$V:$V,L8),"")</f>
        <v>12.6234332403009</v>
      </c>
      <c r="L8" s="0" t="n">
        <f aca="false">IF($S8&gt;0,INDEX(BankCalc!$C:$C,$S8),"")</f>
        <v>702</v>
      </c>
      <c r="M8" s="0" t="n">
        <f aca="false">IF($S8&gt;0,INDEX(BankCalc!$B:$B,$S8),"")</f>
        <v>488</v>
      </c>
      <c r="N8" s="0" t="str">
        <f aca="false">IF($S8&gt;0,"当前有效资产代理率、州覆盖与容量排序；原因待查","")</f>
        <v>当前有效资产代理率、州覆盖与容量排序；原因待查</v>
      </c>
      <c r="O8" s="0" t="str">
        <f aca="false">IF($S8&gt;0,"提供逾期/非应计台账、还款与分类、房地产集中度及估值；解释盈利和资本变化","")</f>
        <v>提供逾期/非应计台账、还款与分类、房地产集中度及估值；解释盈利和资本变化</v>
      </c>
      <c r="P8" s="0" t="str">
        <f aca="false">IF($S8&gt;0,"信用复核负责人","")</f>
        <v>信用复核负责人</v>
      </c>
      <c r="Q8" s="0" t="str">
        <f aca="false">IF($S8&gt;0,"委员会后5个工作日内提交初核包","")</f>
        <v>委员会后5个工作日内提交初核包</v>
      </c>
      <c r="R8" s="0" t="str">
        <f aca="false">IF($S8&gt;0,IF(K8=0,"原始0：需核实适用/报告口径",""),"")</f>
        <v/>
      </c>
      <c r="S8" s="0" t="n">
        <f aca="false">IF(AND(WF_MODEL_VALID,A8&lt;=WF_REVIEW_SLOTS),MATCH(A8,BankCalc!$U$2:$U$55,0)+1,0)</f>
        <v>13</v>
      </c>
    </row>
    <row r="9" customFormat="false" ht="15" hidden="false" customHeight="false" outlineLevel="0" collapsed="false">
      <c r="A9" s="0" t="n">
        <v>8</v>
      </c>
      <c r="B9" s="0" t="n">
        <f aca="false">IF($S9&gt;0,INDEX(BankCalc!$A:$A,$S9),"")</f>
        <v>19690</v>
      </c>
      <c r="C9" s="0" t="str">
        <f aca="false">IF($S9&gt;0,INDEX(BankCalc!$G:$G,$S9),"")</f>
        <v>ME</v>
      </c>
      <c r="D9" s="0" t="str">
        <f aca="false">IF($S9&gt;0,INDEX(BankCalc!$V:$V,$S9),"")</f>
        <v>NORTHEAST BANK</v>
      </c>
      <c r="E9" s="0" t="n">
        <f aca="false">IF($S9&gt;0,INDEX(BankCalc!$M:$M,$S9),"")</f>
        <v>0.818191994567042</v>
      </c>
      <c r="F9" s="0" t="n">
        <f aca="false">IF($S9&gt;0,INDEX(BankCalc!$J:$J,$S9),"")</f>
        <v>0.902240372032081</v>
      </c>
      <c r="G9" s="0" t="n">
        <f aca="false">IF(AND(ISNUMBER(E9),ISNUMBER(F9)),E9-F9,"")</f>
        <v>-0.0840483774650385</v>
      </c>
      <c r="H9" s="0" t="n">
        <f aca="false">IF($S9&gt;0,IF(INDEX(RawFinancials!$L:$L,L9)&gt;0,100*INDEX(RawFinancials!$N:$N,L9)/INDEX(RawFinancials!$L:$L,L9),""),"")</f>
        <v>75.2726338249313</v>
      </c>
      <c r="I9" s="0" t="n">
        <f aca="false">IF($S9&gt;0,100*INDEX(RawFinancials!$F:$F,L9)/INDEX(RawFinancials!$B:$B,L9),"")</f>
        <v>11.5512509847352</v>
      </c>
      <c r="J9" s="0" t="n">
        <f aca="false">IF($S9&gt;0,INDEX(RawFinancials!$X:$X,L9),"")</f>
        <v>2.09184214445272</v>
      </c>
      <c r="K9" s="0" t="n">
        <f aca="false">IF($S9&gt;0,INDEX(RawFinancials!$V:$V,L9),"")</f>
        <v>14.6965811023661</v>
      </c>
      <c r="L9" s="0" t="n">
        <f aca="false">IF($S9&gt;0,INDEX(BankCalc!$C:$C,$S9),"")</f>
        <v>724</v>
      </c>
      <c r="M9" s="0" t="n">
        <f aca="false">IF($S9&gt;0,INDEX(BankCalc!$B:$B,$S9),"")</f>
        <v>512</v>
      </c>
      <c r="N9" s="0" t="str">
        <f aca="false">IF($S9&gt;0,"当前有效资产代理率、州覆盖与容量排序；原因待查","")</f>
        <v>当前有效资产代理率、州覆盖与容量排序；原因待查</v>
      </c>
      <c r="O9" s="0" t="str">
        <f aca="false">IF($S9&gt;0,"提供逾期/非应计台账、还款与分类、房地产集中度及估值；解释盈利和资本变化","")</f>
        <v>提供逾期/非应计台账、还款与分类、房地产集中度及估值；解释盈利和资本变化</v>
      </c>
      <c r="P9" s="0" t="str">
        <f aca="false">IF($S9&gt;0,"信用复核负责人","")</f>
        <v>信用复核负责人</v>
      </c>
      <c r="Q9" s="0" t="str">
        <f aca="false">IF($S9&gt;0,"委员会后5个工作日内提交初核包","")</f>
        <v>委员会后5个工作日内提交初核包</v>
      </c>
      <c r="R9" s="0" t="str">
        <f aca="false">IF($S9&gt;0,IF(K9=0,"原始0：需核实适用/报告口径",""),"")</f>
        <v/>
      </c>
      <c r="S9" s="0" t="n">
        <f aca="false">IF(AND(WF_MODEL_VALID,A9&lt;=WF_REVIEW_SLOTS),MATCH(A9,BankCalc!$U$2:$U$55,0)+1,0)</f>
        <v>37</v>
      </c>
    </row>
    <row r="10" customFormat="false" ht="15" hidden="false" customHeight="false" outlineLevel="0" collapsed="false">
      <c r="A10" s="0" t="n">
        <v>9</v>
      </c>
      <c r="B10" s="0" t="str">
        <f aca="false">IF($S10&gt;0,INDEX(BankCalc!$A:$A,$S10),"")</f>
        <v/>
      </c>
      <c r="C10" s="0" t="str">
        <f aca="false">IF($S10&gt;0,INDEX(BankCalc!$G:$G,$S10),"")</f>
        <v/>
      </c>
      <c r="D10" s="0" t="str">
        <f aca="false">IF($S10&gt;0,INDEX(BankCalc!$V:$V,$S10),"")</f>
        <v/>
      </c>
      <c r="E10" s="0" t="str">
        <f aca="false">IF($S10&gt;0,INDEX(BankCalc!$M:$M,$S10),"")</f>
        <v/>
      </c>
      <c r="F10" s="0" t="str">
        <f aca="false">IF($S10&gt;0,INDEX(BankCalc!$J:$J,$S10),"")</f>
        <v/>
      </c>
      <c r="G10" s="0" t="str">
        <f aca="false">IF(AND(ISNUMBER(E10),ISNUMBER(F10)),E10-F10,"")</f>
        <v/>
      </c>
      <c r="H10" s="0" t="str">
        <f aca="false">IF($S10&gt;0,IF(INDEX(RawFinancials!$L:$L,L10)&gt;0,100*INDEX(RawFinancials!$N:$N,L10)/INDEX(RawFinancials!$L:$L,L10),""),"")</f>
        <v/>
      </c>
      <c r="I10" s="0" t="str">
        <f aca="false">IF($S10&gt;0,100*INDEX(RawFinancials!$F:$F,L10)/INDEX(RawFinancials!$B:$B,L10),"")</f>
        <v/>
      </c>
      <c r="J10" s="0" t="str">
        <f aca="false">IF($S10&gt;0,INDEX(RawFinancials!$X:$X,L10),"")</f>
        <v/>
      </c>
      <c r="K10" s="0" t="str">
        <f aca="false">IF($S10&gt;0,INDEX(RawFinancials!$V:$V,L10),"")</f>
        <v/>
      </c>
      <c r="L10" s="0" t="str">
        <f aca="false">IF($S10&gt;0,INDEX(BankCalc!$C:$C,$S10),"")</f>
        <v/>
      </c>
      <c r="M10" s="0" t="str">
        <f aca="false">IF($S10&gt;0,INDEX(BankCalc!$B:$B,$S10),"")</f>
        <v/>
      </c>
      <c r="N10" s="0" t="str">
        <f aca="false">IF($S10&gt;0,"当前有效资产代理率、州覆盖与容量排序；原因待查","")</f>
        <v/>
      </c>
      <c r="O10" s="0" t="str">
        <f aca="false">IF($S10&gt;0,"提供逾期/非应计台账、还款与分类、房地产集中度及估值；解释盈利和资本变化","")</f>
        <v/>
      </c>
      <c r="P10" s="0" t="str">
        <f aca="false">IF($S10&gt;0,"信用复核负责人","")</f>
        <v/>
      </c>
      <c r="Q10" s="0" t="str">
        <f aca="false">IF($S10&gt;0,"委员会后5个工作日内提交初核包","")</f>
        <v/>
      </c>
      <c r="R10" s="0" t="str">
        <f aca="false">IF($S10&gt;0,IF(K10=0,"原始0：需核实适用/报告口径",""),"")</f>
        <v/>
      </c>
      <c r="S10" s="0" t="n">
        <f aca="false">IF(AND(WF_MODEL_VALID,A10&lt;=WF_REVIEW_SLOTS),MATCH(A10,BankCalc!$U$2:$U$55,0)+1,0)</f>
        <v>0</v>
      </c>
    </row>
    <row r="11" customFormat="false" ht="15" hidden="false" customHeight="false" outlineLevel="0" collapsed="false">
      <c r="A11" s="0" t="n">
        <v>10</v>
      </c>
      <c r="B11" s="0" t="str">
        <f aca="false">IF($S11&gt;0,INDEX(BankCalc!$A:$A,$S11),"")</f>
        <v/>
      </c>
      <c r="C11" s="0" t="str">
        <f aca="false">IF($S11&gt;0,INDEX(BankCalc!$G:$G,$S11),"")</f>
        <v/>
      </c>
      <c r="D11" s="0" t="str">
        <f aca="false">IF($S11&gt;0,INDEX(BankCalc!$V:$V,$S11),"")</f>
        <v/>
      </c>
      <c r="E11" s="0" t="str">
        <f aca="false">IF($S11&gt;0,INDEX(BankCalc!$M:$M,$S11),"")</f>
        <v/>
      </c>
      <c r="F11" s="0" t="str">
        <f aca="false">IF($S11&gt;0,INDEX(BankCalc!$J:$J,$S11),"")</f>
        <v/>
      </c>
      <c r="G11" s="0" t="str">
        <f aca="false">IF(AND(ISNUMBER(E11),ISNUMBER(F11)),E11-F11,"")</f>
        <v/>
      </c>
      <c r="H11" s="0" t="str">
        <f aca="false">IF($S11&gt;0,IF(INDEX(RawFinancials!$L:$L,L11)&gt;0,100*INDEX(RawFinancials!$N:$N,L11)/INDEX(RawFinancials!$L:$L,L11),""),"")</f>
        <v/>
      </c>
      <c r="I11" s="0" t="str">
        <f aca="false">IF($S11&gt;0,100*INDEX(RawFinancials!$F:$F,L11)/INDEX(RawFinancials!$B:$B,L11),"")</f>
        <v/>
      </c>
      <c r="J11" s="0" t="str">
        <f aca="false">IF($S11&gt;0,INDEX(RawFinancials!$X:$X,L11),"")</f>
        <v/>
      </c>
      <c r="K11" s="0" t="str">
        <f aca="false">IF($S11&gt;0,INDEX(RawFinancials!$V:$V,L11),"")</f>
        <v/>
      </c>
      <c r="L11" s="0" t="str">
        <f aca="false">IF($S11&gt;0,INDEX(BankCalc!$C:$C,$S11),"")</f>
        <v/>
      </c>
      <c r="M11" s="0" t="str">
        <f aca="false">IF($S11&gt;0,INDEX(BankCalc!$B:$B,$S11),"")</f>
        <v/>
      </c>
      <c r="N11" s="0" t="str">
        <f aca="false">IF($S11&gt;0,"当前有效资产代理率、州覆盖与容量排序；原因待查","")</f>
        <v/>
      </c>
      <c r="O11" s="0" t="str">
        <f aca="false">IF($S11&gt;0,"提供逾期/非应计台账、还款与分类、房地产集中度及估值；解释盈利和资本变化","")</f>
        <v/>
      </c>
      <c r="P11" s="0" t="str">
        <f aca="false">IF($S11&gt;0,"信用复核负责人","")</f>
        <v/>
      </c>
      <c r="Q11" s="0" t="str">
        <f aca="false">IF($S11&gt;0,"委员会后5个工作日内提交初核包","")</f>
        <v/>
      </c>
      <c r="R11" s="0" t="str">
        <f aca="false">IF($S11&gt;0,IF(K11=0,"原始0：需核实适用/报告口径",""),"")</f>
        <v/>
      </c>
      <c r="S11" s="0" t="n">
        <f aca="false">IF(AND(WF_MODEL_VALID,A11&lt;=WF_REVIEW_SLOTS),MATCH(A11,BankCalc!$U$2:$U$55,0)+1,0)</f>
        <v>0</v>
      </c>
    </row>
    <row r="12" customFormat="false" ht="15" hidden="false" customHeight="false" outlineLevel="0" collapsed="false">
      <c r="A12" s="0" t="n">
        <v>11</v>
      </c>
      <c r="B12" s="0" t="str">
        <f aca="false">IF($S12&gt;0,INDEX(BankCalc!$A:$A,$S12),"")</f>
        <v/>
      </c>
      <c r="C12" s="0" t="str">
        <f aca="false">IF($S12&gt;0,INDEX(BankCalc!$G:$G,$S12),"")</f>
        <v/>
      </c>
      <c r="D12" s="0" t="str">
        <f aca="false">IF($S12&gt;0,INDEX(BankCalc!$V:$V,$S12),"")</f>
        <v/>
      </c>
      <c r="E12" s="0" t="str">
        <f aca="false">IF($S12&gt;0,INDEX(BankCalc!$M:$M,$S12),"")</f>
        <v/>
      </c>
      <c r="F12" s="0" t="str">
        <f aca="false">IF($S12&gt;0,INDEX(BankCalc!$J:$J,$S12),"")</f>
        <v/>
      </c>
      <c r="G12" s="0" t="str">
        <f aca="false">IF(AND(ISNUMBER(E12),ISNUMBER(F12)),E12-F12,"")</f>
        <v/>
      </c>
      <c r="H12" s="0" t="str">
        <f aca="false">IF($S12&gt;0,IF(INDEX(RawFinancials!$L:$L,L12)&gt;0,100*INDEX(RawFinancials!$N:$N,L12)/INDEX(RawFinancials!$L:$L,L12),""),"")</f>
        <v/>
      </c>
      <c r="I12" s="0" t="str">
        <f aca="false">IF($S12&gt;0,100*INDEX(RawFinancials!$F:$F,L12)/INDEX(RawFinancials!$B:$B,L12),"")</f>
        <v/>
      </c>
      <c r="J12" s="0" t="str">
        <f aca="false">IF($S12&gt;0,INDEX(RawFinancials!$X:$X,L12),"")</f>
        <v/>
      </c>
      <c r="K12" s="0" t="str">
        <f aca="false">IF($S12&gt;0,INDEX(RawFinancials!$V:$V,L12),"")</f>
        <v/>
      </c>
      <c r="L12" s="0" t="str">
        <f aca="false">IF($S12&gt;0,INDEX(BankCalc!$C:$C,$S12),"")</f>
        <v/>
      </c>
      <c r="M12" s="0" t="str">
        <f aca="false">IF($S12&gt;0,INDEX(BankCalc!$B:$B,$S12),"")</f>
        <v/>
      </c>
      <c r="N12" s="0" t="str">
        <f aca="false">IF($S12&gt;0,"当前有效资产代理率、州覆盖与容量排序；原因待查","")</f>
        <v/>
      </c>
      <c r="O12" s="0" t="str">
        <f aca="false">IF($S12&gt;0,"提供逾期/非应计台账、还款与分类、房地产集中度及估值；解释盈利和资本变化","")</f>
        <v/>
      </c>
      <c r="P12" s="0" t="str">
        <f aca="false">IF($S12&gt;0,"信用复核负责人","")</f>
        <v/>
      </c>
      <c r="Q12" s="0" t="str">
        <f aca="false">IF($S12&gt;0,"委员会后5个工作日内提交初核包","")</f>
        <v/>
      </c>
      <c r="R12" s="0" t="str">
        <f aca="false">IF($S12&gt;0,IF(K12=0,"原始0：需核实适用/报告口径",""),"")</f>
        <v/>
      </c>
      <c r="S12" s="0" t="n">
        <f aca="false">IF(AND(WF_MODEL_VALID,A12&lt;=WF_REVIEW_SLOTS),MATCH(A12,BankCalc!$U$2:$U$55,0)+1,0)</f>
        <v>0</v>
      </c>
    </row>
    <row r="13" customFormat="false" ht="15" hidden="false" customHeight="false" outlineLevel="0" collapsed="false">
      <c r="A13" s="0" t="n">
        <v>12</v>
      </c>
      <c r="B13" s="0" t="str">
        <f aca="false">IF($S13&gt;0,INDEX(BankCalc!$A:$A,$S13),"")</f>
        <v/>
      </c>
      <c r="C13" s="0" t="str">
        <f aca="false">IF($S13&gt;0,INDEX(BankCalc!$G:$G,$S13),"")</f>
        <v/>
      </c>
      <c r="D13" s="0" t="str">
        <f aca="false">IF($S13&gt;0,INDEX(BankCalc!$V:$V,$S13),"")</f>
        <v/>
      </c>
      <c r="E13" s="0" t="str">
        <f aca="false">IF($S13&gt;0,INDEX(BankCalc!$M:$M,$S13),"")</f>
        <v/>
      </c>
      <c r="F13" s="0" t="str">
        <f aca="false">IF($S13&gt;0,INDEX(BankCalc!$J:$J,$S13),"")</f>
        <v/>
      </c>
      <c r="G13" s="0" t="str">
        <f aca="false">IF(AND(ISNUMBER(E13),ISNUMBER(F13)),E13-F13,"")</f>
        <v/>
      </c>
      <c r="H13" s="0" t="str">
        <f aca="false">IF($S13&gt;0,IF(INDEX(RawFinancials!$L:$L,L13)&gt;0,100*INDEX(RawFinancials!$N:$N,L13)/INDEX(RawFinancials!$L:$L,L13),""),"")</f>
        <v/>
      </c>
      <c r="I13" s="0" t="str">
        <f aca="false">IF($S13&gt;0,100*INDEX(RawFinancials!$F:$F,L13)/INDEX(RawFinancials!$B:$B,L13),"")</f>
        <v/>
      </c>
      <c r="J13" s="0" t="str">
        <f aca="false">IF($S13&gt;0,INDEX(RawFinancials!$X:$X,L13),"")</f>
        <v/>
      </c>
      <c r="K13" s="0" t="str">
        <f aca="false">IF($S13&gt;0,INDEX(RawFinancials!$V:$V,L13),"")</f>
        <v/>
      </c>
      <c r="L13" s="0" t="str">
        <f aca="false">IF($S13&gt;0,INDEX(BankCalc!$C:$C,$S13),"")</f>
        <v/>
      </c>
      <c r="M13" s="0" t="str">
        <f aca="false">IF($S13&gt;0,INDEX(BankCalc!$B:$B,$S13),"")</f>
        <v/>
      </c>
      <c r="N13" s="0" t="str">
        <f aca="false">IF($S13&gt;0,"当前有效资产代理率、州覆盖与容量排序；原因待查","")</f>
        <v/>
      </c>
      <c r="O13" s="0" t="str">
        <f aca="false">IF($S13&gt;0,"提供逾期/非应计台账、还款与分类、房地产集中度及估值；解释盈利和资本变化","")</f>
        <v/>
      </c>
      <c r="P13" s="0" t="str">
        <f aca="false">IF($S13&gt;0,"信用复核负责人","")</f>
        <v/>
      </c>
      <c r="Q13" s="0" t="str">
        <f aca="false">IF($S13&gt;0,"委员会后5个工作日内提交初核包","")</f>
        <v/>
      </c>
      <c r="R13" s="0" t="str">
        <f aca="false">IF($S13&gt;0,IF(K13=0,"原始0：需核实适用/报告口径",""),"")</f>
        <v/>
      </c>
      <c r="S13" s="0" t="n">
        <f aca="false">IF(AND(WF_MODEL_VALID,A13&lt;=WF_REVIEW_SLOTS),MATCH(A13,BankCalc!$U$2:$U$55,0)+1,0)</f>
        <v>0</v>
      </c>
    </row>
  </sheetData>
  <autoFilter ref="A1:S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2026-10-23T08:50:43Z</dcterms:created>
  <dc:creator>openpyxl</dc:creator>
  <dc:description/>
  <dc:language>en-US</dc:language>
  <cp:lastModifiedBy/>
  <dcterms:modified xsi:type="dcterms:W3CDTF">2026-10-23T08:50:44Z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