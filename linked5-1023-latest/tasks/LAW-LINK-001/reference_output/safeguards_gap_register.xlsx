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trolPanel" sheetId="1" state="visible" r:id="rId2"/>
    <sheet name="Obligations" sheetId="2" state="visible" r:id="rId3"/>
    <sheet name="Timeline" sheetId="3" state="visible" r:id="rId4"/>
    <sheet name="Scenarios" sheetId="4" state="visible" r:id="rId5"/>
    <sheet name="Sources" sheetId="5" state="visible" r:id="rId6"/>
    <sheet name="EvidenceBranches" sheetId="6" state="visible" r:id="rId7"/>
  </sheets>
  <definedNames>
    <definedName function="false" hidden="true" localSheetId="1" name="_xlnm._FilterDatabase" vbProcedure="false">Obligations!$A$1:$H$10</definedName>
    <definedName function="false" hidden="true" localSheetId="3" name="_xlnm._FilterDatabase" vbProcedure="false">Scenarios!$A$1:$E$4</definedName>
    <definedName function="false" hidden="true" localSheetId="4" name="_xlnm._FilterDatabase" vbProcedure="false">Sources!$A$1:$D$7</definedName>
    <definedName function="false" hidden="true" localSheetId="2" name="_xlnm._FilterDatabase" vbProcedure="false">Timeline!$A$1:$C$7</definedName>
    <definedName function="false" hidden="false" name="WF_ALEX_DAY" vbProcedure="false">ControlPanel!$B$8</definedName>
    <definedName function="false" hidden="false" name="WF_ALIAS_5" vbProcedure="false">ControlPanel!$B$4</definedName>
    <definedName function="false" hidden="false" name="WF_ALIAS_6" vbProcedure="false">ControlPanel!$B$5</definedName>
    <definedName function="false" hidden="false" name="WF_A_KEY" vbProcedure="false">ControlPanel!$B$3</definedName>
    <definedName function="false" hidden="false" name="WF_DEADLINE_EARLIEST" vbProcedure="false">EvidenceBranches!$B$21</definedName>
    <definedName function="false" hidden="false" name="WF_DEADLINE_LATEST" vbProcedure="false">EvidenceBranches!$B$22</definedName>
    <definedName function="false" hidden="false" name="WF_DISCOVERY_EARLIEST" vbProcedure="false">EvidenceBranches!$B$19</definedName>
    <definedName function="false" hidden="false" name="WF_DISCOVERY_LATEST" vbProcedure="false">EvidenceBranches!$B$20</definedName>
    <definedName function="false" hidden="false" name="WF_DISTINCT_MAX" vbProcedure="false">EvidenceBranches!$B$15</definedName>
    <definedName function="false" hidden="false" name="WF_DISTINCT_MIN" vbProcedure="false">EvidenceBranches!$B$14</definedName>
    <definedName function="false" hidden="false" name="WF_MAINTAINED" vbProcedure="false">ControlPanel!$B$2</definedName>
    <definedName function="false" hidden="false" name="WF_MIRA_AGENCY" vbProcedure="false">ControlPanel!$B$6</definedName>
    <definedName function="false" hidden="false" name="WF_MIRA_DAY" vbProcedure="false">ControlPanel!$B$7</definedName>
    <definedName function="false" hidden="false" name="WF_MODEL_VALID" vbProcedure="false">ControlPanel!$B$9</definedName>
    <definedName function="false" hidden="false" name="WF_NOTICE_STATE" vbProcedure="false">EvidenceBranches!$B$18</definedName>
    <definedName function="false" hidden="false" name="WF_NOTIFICATION_MAX" vbProcedure="false">EvidenceBranches!$B$17</definedName>
    <definedName function="false" hidden="false" name="WF_NOTIFICATION_MIN" vbProcedure="false">EvidenceBranches!$B$16</definedName>
    <definedName function="false" hidden="false" name="WF_SMALL_EXEMPT" vbProcedure="false">EvidenceBranches!$B$23</definedName>
    <definedName function="false" hidden="false" name="WF_SNAPSHOT_CURRENT" vbProcedure="false">ControlPanel!$B$10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<sst xmlns="http://schemas.openxmlformats.org/spreadsheetml/2006/main" count="207" uniqueCount="193">
  <si>
    <r>
      <rPr>
        <b val="true"/>
        <sz val="11"/>
        <color rgb="FFFFFFFF"/>
        <rFont val="Noto Sans SC"/>
        <family val="2"/>
      </rPr>
      <t xml:space="preserve">情景</t>
    </r>
    <r>
      <rPr>
        <b val="true"/>
        <sz val="11"/>
        <color rgb="FFFFFFFF"/>
        <rFont val="Cambria"/>
        <family val="0"/>
        <charset val="1"/>
      </rPr>
      <t xml:space="preserve">E</t>
    </r>
    <r>
      <rPr>
        <b val="true"/>
        <sz val="11"/>
        <color rgb="FFFFFFFF"/>
        <rFont val="Noto Sans SC"/>
        <family val="2"/>
      </rPr>
      <t xml:space="preserve">可变证据</t>
    </r>
  </si>
  <si>
    <r>
      <rPr>
        <b val="true"/>
        <sz val="11"/>
        <color rgb="FFFFFFFF"/>
        <rFont val="Noto Sans SC"/>
        <family val="2"/>
      </rPr>
      <t xml:space="preserve">输入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状态</t>
    </r>
  </si>
  <si>
    <t xml:space="preserve">范围说明</t>
  </si>
  <si>
    <t xml:space="preserve">WF_MAINTAINED</t>
  </si>
  <si>
    <r>
      <rPr>
        <sz val="11"/>
        <color rgb="FF000000"/>
        <rFont val="Noto Sans SC"/>
        <family val="2"/>
      </rPr>
      <t xml:space="preserve">仅情景</t>
    </r>
    <r>
      <rPr>
        <sz val="11"/>
        <color rgb="FF000000"/>
        <rFont val="Calibri"/>
        <family val="2"/>
        <charset val="1"/>
      </rPr>
      <t xml:space="preserve">E</t>
    </r>
    <r>
      <rPr>
        <sz val="11"/>
        <color rgb="FF000000"/>
        <rFont val="Noto Sans SC"/>
        <family val="2"/>
      </rPr>
      <t xml:space="preserve">；不是原</t>
    </r>
    <r>
      <rPr>
        <sz val="11"/>
        <color rgb="FF000000"/>
        <rFont val="Calibri"/>
        <family val="2"/>
        <charset val="1"/>
      </rPr>
      <t xml:space="preserve">550</t>
    </r>
    <r>
      <rPr>
        <sz val="11"/>
        <color rgb="FF000000"/>
        <rFont val="Noto Sans SC"/>
        <family val="2"/>
      </rPr>
      <t xml:space="preserve">案事实</t>
    </r>
  </si>
  <si>
    <t xml:space="preserve">WF_A_KEY</t>
  </si>
  <si>
    <t xml:space="preserve">YES</t>
  </si>
  <si>
    <t xml:space="preserve">WF_ALIAS_5</t>
  </si>
  <si>
    <t xml:space="preserve">UNKNOWN</t>
  </si>
  <si>
    <t xml:space="preserve">WF_ALIAS_6</t>
  </si>
  <si>
    <t xml:space="preserve">WF_MIRA_AGENCY</t>
  </si>
  <si>
    <t xml:space="preserve">WF_MIRA_DAY</t>
  </si>
  <si>
    <t xml:space="preserve">WF_ALEX_DAY</t>
  </si>
  <si>
    <t xml:space="preserve">模型有效</t>
  </si>
  <si>
    <r>
      <rPr>
        <sz val="11"/>
        <color rgb="FF000000"/>
        <rFont val="Calibri"/>
        <family val="2"/>
        <charset val="1"/>
      </rPr>
      <t xml:space="preserve">FALSE</t>
    </r>
    <r>
      <rPr>
        <sz val="11"/>
        <color rgb="FF000000"/>
        <rFont val="Noto Sans SC"/>
        <family val="2"/>
      </rPr>
      <t xml:space="preserve">时清空可执行结论和日期</t>
    </r>
  </si>
  <si>
    <t xml:space="preserve">文档快照适用</t>
  </si>
  <si>
    <r>
      <rPr>
        <sz val="11"/>
        <color rgb="FF000000"/>
        <rFont val="Calibri"/>
        <family val="2"/>
        <charset val="1"/>
      </rPr>
      <t xml:space="preserve">Word/TXT</t>
    </r>
    <r>
      <rPr>
        <sz val="11"/>
        <color rgb="FF000000"/>
        <rFont val="Noto Sans SC"/>
        <family val="2"/>
      </rPr>
      <t xml:space="preserve">为默认快照；改值后重审并导出，原</t>
    </r>
    <r>
      <rPr>
        <sz val="11"/>
        <color rgb="FF000000"/>
        <rFont val="Calibri"/>
        <family val="2"/>
        <charset val="1"/>
      </rPr>
      <t xml:space="preserve">550</t>
    </r>
    <r>
      <rPr>
        <sz val="11"/>
        <color rgb="FF000000"/>
        <rFont val="Noto Sans SC"/>
        <family val="2"/>
      </rPr>
      <t xml:space="preserve">案不自动被</t>
    </r>
    <r>
      <rPr>
        <sz val="11"/>
        <color rgb="FF000000"/>
        <rFont val="Calibri"/>
        <family val="2"/>
        <charset val="1"/>
      </rPr>
      <t xml:space="preserve">E</t>
    </r>
    <r>
      <rPr>
        <sz val="11"/>
        <color rgb="FF000000"/>
        <rFont val="Noto Sans SC"/>
        <family val="2"/>
      </rPr>
      <t xml:space="preserve">替换</t>
    </r>
  </si>
  <si>
    <t xml:space="preserve">行动边界</t>
  </si>
  <si>
    <t xml:space="preserve">未知不是否定</t>
  </si>
  <si>
    <r>
      <rPr>
        <sz val="11"/>
        <color rgb="FF000000"/>
        <rFont val="Noto Sans SC"/>
        <family val="2"/>
      </rPr>
      <t xml:space="preserve">尽快核实别名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密钥及代理归属，按最早可能时钟保全行动；不把日期范围当等待许可</t>
    </r>
  </si>
  <si>
    <t xml:space="preserve">执法请求</t>
  </si>
  <si>
    <t xml:space="preserve">仍仅口头</t>
  </si>
  <si>
    <r>
      <rPr>
        <sz val="11"/>
        <color rgb="FF000000"/>
        <rFont val="Noto Sans SC"/>
        <family val="2"/>
      </rPr>
      <t xml:space="preserve">不改变向</t>
    </r>
    <r>
      <rPr>
        <sz val="11"/>
        <color rgb="FF000000"/>
        <rFont val="Calibri"/>
        <family val="2"/>
        <charset val="1"/>
      </rPr>
      <t xml:space="preserve">FTC</t>
    </r>
    <r>
      <rPr>
        <sz val="11"/>
        <color rgb="FF000000"/>
        <rFont val="Noto Sans SC"/>
        <family val="2"/>
      </rPr>
      <t xml:space="preserve">提交时钟；适格书面公开延期另行判断，未提交通知</t>
    </r>
  </si>
  <si>
    <t xml:space="preserve">原案隔离</t>
  </si>
  <si>
    <r>
      <rPr>
        <sz val="11"/>
        <color rgb="FF000000"/>
        <rFont val="Noto Sans SC"/>
        <family val="2"/>
      </rPr>
      <t xml:space="preserve">原</t>
    </r>
    <r>
      <rPr>
        <sz val="11"/>
        <color rgb="FF000000"/>
        <rFont val="Calibri"/>
        <family val="2"/>
        <charset val="1"/>
      </rPr>
      <t xml:space="preserve">550</t>
    </r>
    <r>
      <rPr>
        <sz val="11"/>
        <color rgb="FF000000"/>
        <rFont val="Noto Sans SC"/>
        <family val="2"/>
      </rPr>
      <t xml:space="preserve">人、</t>
    </r>
    <r>
      <rPr>
        <sz val="11"/>
        <color rgb="FF000000"/>
        <rFont val="Calibri"/>
        <family val="2"/>
        <charset val="1"/>
      </rPr>
      <t xml:space="preserve">03-03</t>
    </r>
    <r>
      <rPr>
        <sz val="11"/>
        <color rgb="FF000000"/>
        <rFont val="Noto Sans SC"/>
        <family val="2"/>
      </rPr>
      <t xml:space="preserve">发现、</t>
    </r>
    <r>
      <rPr>
        <sz val="11"/>
        <color rgb="FF000000"/>
        <rFont val="Calibri"/>
        <family val="2"/>
        <charset val="1"/>
      </rPr>
      <t xml:space="preserve">04-02</t>
    </r>
    <r>
      <rPr>
        <sz val="11"/>
        <color rgb="FF000000"/>
        <rFont val="Noto Sans SC"/>
        <family val="2"/>
      </rPr>
      <t xml:space="preserve">最迟不随</t>
    </r>
    <r>
      <rPr>
        <sz val="11"/>
        <color rgb="FF000000"/>
        <rFont val="Calibri"/>
        <family val="2"/>
        <charset val="1"/>
      </rPr>
      <t xml:space="preserve">E</t>
    </r>
    <r>
      <rPr>
        <sz val="11"/>
        <color rgb="FF000000"/>
        <rFont val="Noto Sans SC"/>
        <family val="2"/>
      </rPr>
      <t xml:space="preserve">控件改变</t>
    </r>
  </si>
  <si>
    <r>
      <rPr>
        <sz val="11"/>
        <color rgb="FF000000"/>
        <rFont val="Calibri"/>
        <family val="2"/>
        <charset val="1"/>
      </rPr>
      <t xml:space="preserve">E</t>
    </r>
    <r>
      <rPr>
        <sz val="11"/>
        <color rgb="FF000000"/>
        <rFont val="Noto Sans SC"/>
        <family val="2"/>
      </rPr>
      <t xml:space="preserve">是明确新增假设分析；输出不是现实法律委托</t>
    </r>
  </si>
  <si>
    <t xml:space="preserve">gap</t>
  </si>
  <si>
    <t xml:space="preserve">status</t>
  </si>
  <si>
    <t xml:space="preserve">citation</t>
  </si>
  <si>
    <t xml:space="preserve">fact</t>
  </si>
  <si>
    <t xml:space="preserve">action</t>
  </si>
  <si>
    <t xml:space="preserve">owner</t>
  </si>
  <si>
    <t xml:space="preserve">internal_due</t>
  </si>
  <si>
    <t xml:space="preserve">completion_evidence</t>
  </si>
  <si>
    <r>
      <rPr>
        <b val="true"/>
        <sz val="11"/>
        <color rgb="FFFFFFFF"/>
        <rFont val="Noto Sans SC"/>
        <family val="2"/>
      </rPr>
      <t xml:space="preserve">情景</t>
    </r>
    <r>
      <rPr>
        <b val="true"/>
        <sz val="11"/>
        <color rgb="FFFFFFFF"/>
        <rFont val="Cambria"/>
        <family val="0"/>
        <charset val="1"/>
      </rPr>
      <t xml:space="preserve">E</t>
    </r>
    <r>
      <rPr>
        <b val="true"/>
        <sz val="11"/>
        <color rgb="FFFFFFFF"/>
        <rFont val="Noto Sans SC"/>
        <family val="2"/>
      </rPr>
      <t xml:space="preserve">当前适用性</t>
    </r>
  </si>
  <si>
    <r>
      <rPr>
        <sz val="11"/>
        <color rgb="FF000000"/>
        <rFont val="Noto Sans SC"/>
        <family val="2"/>
      </rPr>
      <t xml:space="preserve">未指定</t>
    </r>
    <r>
      <rPr>
        <sz val="11"/>
        <color rgb="FF000000"/>
        <rFont val="Calibri"/>
        <family val="2"/>
        <charset val="1"/>
      </rPr>
      <t xml:space="preserve">Qualified Individual</t>
    </r>
  </si>
  <si>
    <t xml:space="preserve">法定义务适用</t>
  </si>
  <si>
    <t xml:space="preserve">314.4(a)</t>
  </si>
  <si>
    <r>
      <rPr>
        <sz val="11"/>
        <color rgb="FF000000"/>
        <rFont val="Calibri"/>
        <family val="2"/>
        <charset val="1"/>
      </rPr>
      <t xml:space="preserve">4800</t>
    </r>
    <r>
      <rPr>
        <sz val="11"/>
        <color rgb="FF000000"/>
        <rFont val="Noto Sans SC"/>
        <family val="2"/>
      </rPr>
      <t xml:space="preserve">人例外未含</t>
    </r>
    <r>
      <rPr>
        <sz val="11"/>
        <color rgb="FF000000"/>
        <rFont val="Calibri"/>
        <family val="2"/>
        <charset val="1"/>
      </rPr>
      <t xml:space="preserve">(a)</t>
    </r>
  </si>
  <si>
    <t xml:space="preserve">指定有能力者并书面明确职责；如外包保留机构责任</t>
  </si>
  <si>
    <t xml:space="preserve">管理层</t>
  </si>
  <si>
    <r>
      <rPr>
        <sz val="11"/>
        <color rgb="FF000000"/>
        <rFont val="Noto Sans SC"/>
        <family val="2"/>
      </rPr>
      <t xml:space="preserve">今天确认负责人、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SC"/>
        <family val="2"/>
      </rPr>
      <t xml:space="preserve">天内落实</t>
    </r>
  </si>
  <si>
    <r>
      <rPr>
        <sz val="11"/>
        <color rgb="FF000000"/>
        <rFont val="Noto Sans SC"/>
        <family val="2"/>
      </rPr>
      <t xml:space="preserve">任命和能力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监督证明</t>
    </r>
  </si>
  <si>
    <t xml:space="preserve">无书面风险评估</t>
  </si>
  <si>
    <t xml:space="preserve">特定书面义务豁免；一般风险评估仍适用</t>
  </si>
  <si>
    <r>
      <rPr>
        <sz val="11"/>
        <color rgb="FF000000"/>
        <rFont val="Calibri"/>
        <family val="2"/>
        <charset val="1"/>
      </rPr>
      <t xml:space="preserve">314.4(b)</t>
    </r>
    <r>
      <rPr>
        <sz val="11"/>
        <color rgb="FF000000"/>
        <rFont val="Noto Sans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(b)(1)</t>
    </r>
    <r>
      <rPr>
        <sz val="11"/>
        <color rgb="FF000000"/>
        <rFont val="Noto Sans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314.6</t>
    </r>
  </si>
  <si>
    <r>
      <rPr>
        <sz val="11"/>
        <color rgb="FF000000"/>
        <rFont val="Calibri"/>
        <family val="2"/>
        <charset val="1"/>
      </rPr>
      <t xml:space="preserve">4800&lt;5000</t>
    </r>
    <r>
      <rPr>
        <sz val="11"/>
        <color rgb="FF000000"/>
        <rFont val="Noto Sans SC"/>
        <family val="2"/>
      </rPr>
      <t xml:space="preserve">，仅</t>
    </r>
    <r>
      <rPr>
        <sz val="11"/>
        <color rgb="FF000000"/>
        <rFont val="Calibri"/>
        <family val="2"/>
        <charset val="1"/>
      </rPr>
      <t xml:space="preserve">(b)(1)</t>
    </r>
    <r>
      <rPr>
        <sz val="11"/>
        <color rgb="FF000000"/>
        <rFont val="Noto Sans SC"/>
        <family val="2"/>
      </rPr>
      <t xml:space="preserve">被豁免</t>
    </r>
  </si>
  <si>
    <t xml:space="preserve">启动基于事件的风险识别；建议书面留痕但不称书面义务法定适用</t>
  </si>
  <si>
    <t xml:space="preserve">Qualified Individual</t>
  </si>
  <si>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SC"/>
        <family val="2"/>
      </rPr>
      <t xml:space="preserve">天初评、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SC"/>
        <family val="2"/>
      </rPr>
      <t xml:space="preserve">天复核</t>
    </r>
  </si>
  <si>
    <t xml:space="preserve">风险判断与控制处置记录</t>
  </si>
  <si>
    <r>
      <rPr>
        <sz val="11"/>
        <color rgb="FF000000"/>
        <rFont val="Noto Sans SC"/>
        <family val="2"/>
      </rPr>
      <t xml:space="preserve">无</t>
    </r>
    <r>
      <rPr>
        <sz val="11"/>
        <color rgb="FF000000"/>
        <rFont val="Calibri"/>
        <family val="2"/>
        <charset val="1"/>
      </rPr>
      <t xml:space="preserve">MFA</t>
    </r>
  </si>
  <si>
    <t xml:space="preserve">法定义务适用，注意规则允许的替代条件</t>
  </si>
  <si>
    <t xml:space="preserve">314.4(c)(5)</t>
  </si>
  <si>
    <t xml:space="preserve">无已给出的合格替代控制事实</t>
  </si>
  <si>
    <r>
      <rPr>
        <sz val="11"/>
        <color rgb="FF000000"/>
        <rFont val="Noto Sans SC"/>
        <family val="2"/>
      </rPr>
      <t xml:space="preserve">对访问客户信息者部署</t>
    </r>
    <r>
      <rPr>
        <sz val="11"/>
        <color rgb="FF000000"/>
        <rFont val="Calibri"/>
        <family val="2"/>
        <charset val="1"/>
      </rPr>
      <t xml:space="preserve">MFA</t>
    </r>
    <r>
      <rPr>
        <sz val="11"/>
        <color rgb="FF000000"/>
        <rFont val="Noto Sans SC"/>
        <family val="2"/>
      </rPr>
      <t xml:space="preserve">；如确实不能用，需</t>
    </r>
    <r>
      <rPr>
        <sz val="11"/>
        <color rgb="FF000000"/>
        <rFont val="Calibri"/>
        <family val="2"/>
        <charset val="1"/>
      </rPr>
      <t xml:space="preserve">QI</t>
    </r>
    <r>
      <rPr>
        <sz val="11"/>
        <color rgb="FF000000"/>
        <rFont val="Noto Sans SC"/>
        <family val="2"/>
      </rPr>
      <t xml:space="preserve">书面批准等效安全措施</t>
    </r>
  </si>
  <si>
    <t xml:space="preserve">信息安全负责人</t>
  </si>
  <si>
    <r>
      <rPr>
        <sz val="11"/>
        <color rgb="FF000000"/>
        <rFont val="Noto Sans SC"/>
        <family val="2"/>
      </rPr>
      <t xml:space="preserve">今天限制暴露，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SC"/>
        <family val="2"/>
      </rPr>
      <t xml:space="preserve">天完成优先账户</t>
    </r>
  </si>
  <si>
    <r>
      <rPr>
        <sz val="11"/>
        <color rgb="FF000000"/>
        <rFont val="Calibri"/>
        <family val="2"/>
        <charset val="1"/>
      </rPr>
      <t xml:space="preserve">MFA</t>
    </r>
    <r>
      <rPr>
        <sz val="11"/>
        <color rgb="FF000000"/>
        <rFont val="Noto Sans SC"/>
        <family val="2"/>
      </rPr>
      <t xml:space="preserve">覆盖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测试；或替代评估与</t>
    </r>
    <r>
      <rPr>
        <sz val="11"/>
        <color rgb="FF000000"/>
        <rFont val="Calibri"/>
        <family val="2"/>
        <charset val="1"/>
      </rPr>
      <t xml:space="preserve">QI</t>
    </r>
    <r>
      <rPr>
        <sz val="11"/>
        <color rgb="FF000000"/>
        <rFont val="Noto Sans SC"/>
        <family val="2"/>
      </rPr>
      <t xml:space="preserve">批准</t>
    </r>
  </si>
  <si>
    <t xml:space="preserve">无持续监控或渗透测试</t>
  </si>
  <si>
    <r>
      <rPr>
        <sz val="11"/>
        <color rgb="FF000000"/>
        <rFont val="Calibri"/>
        <family val="2"/>
        <charset val="1"/>
      </rPr>
      <t xml:space="preserve">(d)(2)</t>
    </r>
    <r>
      <rPr>
        <sz val="11"/>
        <color rgb="FF000000"/>
        <rFont val="Noto Sans SC"/>
        <family val="2"/>
      </rPr>
      <t xml:space="preserve">特定测试豁免；</t>
    </r>
    <r>
      <rPr>
        <sz val="11"/>
        <color rgb="FF000000"/>
        <rFont val="Calibri"/>
        <family val="2"/>
        <charset val="1"/>
      </rPr>
      <t xml:space="preserve">(d)(1)</t>
    </r>
    <r>
      <rPr>
        <sz val="11"/>
        <color rgb="FF000000"/>
        <rFont val="Noto Sans SC"/>
        <family val="2"/>
      </rPr>
      <t xml:space="preserve">一般测试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监测适用</t>
    </r>
  </si>
  <si>
    <r>
      <rPr>
        <sz val="11"/>
        <color rgb="FF000000"/>
        <rFont val="Calibri"/>
        <family val="2"/>
        <charset val="1"/>
      </rPr>
      <t xml:space="preserve">314.4(d)(1)</t>
    </r>
    <r>
      <rPr>
        <sz val="11"/>
        <color rgb="FF000000"/>
        <rFont val="Noto Sans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(d)(2)</t>
    </r>
    <r>
      <rPr>
        <sz val="11"/>
        <color rgb="FF000000"/>
        <rFont val="Noto Sans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314.6</t>
    </r>
  </si>
  <si>
    <t xml:space="preserve">不能由免年度渗透测试推定免所有监测</t>
  </si>
  <si>
    <t xml:space="preserve">立即保留日志、建立监测并验证关键控制；渗透测试可自愿采用</t>
  </si>
  <si>
    <t xml:space="preserve">安全运营</t>
  </si>
  <si>
    <r>
      <rPr>
        <sz val="11"/>
        <color rgb="FF000000"/>
        <rFont val="Noto Sans SC"/>
        <family val="2"/>
      </rPr>
      <t xml:space="preserve">今天保全，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SC"/>
        <family val="2"/>
      </rPr>
      <t xml:space="preserve">天初核</t>
    </r>
  </si>
  <si>
    <r>
      <rPr>
        <sz val="11"/>
        <color rgb="FF000000"/>
        <rFont val="Noto Sans SC"/>
        <family val="2"/>
      </rPr>
      <t xml:space="preserve">日志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告警及控制有效性证据</t>
    </r>
  </si>
  <si>
    <t xml:space="preserve">无书面事件应急计划</t>
  </si>
  <si>
    <r>
      <rPr>
        <sz val="11"/>
        <color rgb="FF000000"/>
        <rFont val="Calibri"/>
        <family val="2"/>
        <charset val="1"/>
      </rPr>
      <t xml:space="preserve">(h)</t>
    </r>
    <r>
      <rPr>
        <sz val="11"/>
        <color rgb="FF000000"/>
        <rFont val="Noto Sans SC"/>
        <family val="2"/>
      </rPr>
      <t xml:space="preserve">法定书面计划豁免；自愿建议制定</t>
    </r>
  </si>
  <si>
    <r>
      <rPr>
        <sz val="11"/>
        <color rgb="FF000000"/>
        <rFont val="Calibri"/>
        <family val="2"/>
        <charset val="1"/>
      </rPr>
      <t xml:space="preserve">314.4(h)</t>
    </r>
    <r>
      <rPr>
        <sz val="11"/>
        <color rgb="FF000000"/>
        <rFont val="Noto Sans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314.6</t>
    </r>
  </si>
  <si>
    <r>
      <rPr>
        <sz val="11"/>
        <color rgb="FF000000"/>
        <rFont val="Calibri"/>
        <family val="2"/>
        <charset val="1"/>
      </rPr>
      <t xml:space="preserve">4800</t>
    </r>
    <r>
      <rPr>
        <sz val="11"/>
        <color rgb="FF000000"/>
        <rFont val="Noto Sans SC"/>
        <family val="2"/>
      </rPr>
      <t xml:space="preserve">人例外含</t>
    </r>
    <r>
      <rPr>
        <sz val="11"/>
        <color rgb="FF000000"/>
        <rFont val="Calibri"/>
        <family val="2"/>
        <charset val="1"/>
      </rPr>
      <t xml:space="preserve">(h)</t>
    </r>
    <r>
      <rPr>
        <sz val="11"/>
        <color rgb="FF000000"/>
        <rFont val="Noto Sans SC"/>
        <family val="2"/>
      </rPr>
      <t xml:space="preserve">，但通报和安全计划仍适用</t>
    </r>
  </si>
  <si>
    <t xml:space="preserve">建议在事件处置中形成书面分工和流程</t>
  </si>
  <si>
    <r>
      <rPr>
        <sz val="11"/>
        <color rgb="FF000000"/>
        <rFont val="Noto Sans SC"/>
        <family val="2"/>
      </rPr>
      <t xml:space="preserve">管理层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安全负责人</t>
    </r>
  </si>
  <si>
    <r>
      <rPr>
        <sz val="11"/>
        <color rgb="FF000000"/>
        <rFont val="Noto Sans SC"/>
        <family val="2"/>
      </rPr>
      <t xml:space="preserve">今天明确分工，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SC"/>
        <family val="2"/>
      </rPr>
      <t xml:space="preserve">天形成演练版</t>
    </r>
  </si>
  <si>
    <t xml:space="preserve">流程、演练与沟通清单</t>
  </si>
  <si>
    <t xml:space="preserve">无年度董事会安全报告</t>
  </si>
  <si>
    <r>
      <rPr>
        <sz val="11"/>
        <color rgb="FF000000"/>
        <rFont val="Calibri"/>
        <family val="2"/>
        <charset val="1"/>
      </rPr>
      <t xml:space="preserve">(i)</t>
    </r>
    <r>
      <rPr>
        <sz val="11"/>
        <color rgb="FF000000"/>
        <rFont val="Noto Sans SC"/>
        <family val="2"/>
      </rPr>
      <t xml:space="preserve">特定义务豁免；自愿治理建议</t>
    </r>
  </si>
  <si>
    <r>
      <rPr>
        <sz val="11"/>
        <color rgb="FF000000"/>
        <rFont val="Calibri"/>
        <family val="2"/>
        <charset val="1"/>
      </rPr>
      <t xml:space="preserve">314.4(i)</t>
    </r>
    <r>
      <rPr>
        <sz val="11"/>
        <color rgb="FF000000"/>
        <rFont val="Noto Sans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314.6</t>
    </r>
  </si>
  <si>
    <r>
      <rPr>
        <sz val="11"/>
        <color rgb="FF000000"/>
        <rFont val="Calibri"/>
        <family val="2"/>
        <charset val="1"/>
      </rPr>
      <t xml:space="preserve">4800</t>
    </r>
    <r>
      <rPr>
        <sz val="11"/>
        <color rgb="FF000000"/>
        <rFont val="Noto Sans SC"/>
        <family val="2"/>
      </rPr>
      <t xml:space="preserve">人例外含</t>
    </r>
    <r>
      <rPr>
        <sz val="11"/>
        <color rgb="FF000000"/>
        <rFont val="Calibri"/>
        <family val="2"/>
        <charset val="1"/>
      </rPr>
      <t xml:space="preserve">(i)</t>
    </r>
  </si>
  <si>
    <t xml:space="preserve">建议向高管报告事件与剩余风险，不声称法定年度报告逾期</t>
  </si>
  <si>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SC"/>
        <family val="2"/>
      </rPr>
      <t xml:space="preserve">天初报、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SC"/>
        <family val="2"/>
      </rPr>
      <t xml:space="preserve">天复核</t>
    </r>
  </si>
  <si>
    <t xml:space="preserve">高管知悉和处置决定</t>
  </si>
  <si>
    <t xml:space="preserve">云服务合同无安全义务</t>
  </si>
  <si>
    <t xml:space="preserve">314.4(f)(1)-(3)</t>
  </si>
  <si>
    <r>
      <rPr>
        <sz val="11"/>
        <color rgb="FF000000"/>
        <rFont val="Noto Sans SC"/>
        <family val="2"/>
      </rPr>
      <t xml:space="preserve">小机构例外不含</t>
    </r>
    <r>
      <rPr>
        <sz val="11"/>
        <color rgb="FF000000"/>
        <rFont val="Calibri"/>
        <family val="2"/>
        <charset val="1"/>
      </rPr>
      <t xml:space="preserve">(f)</t>
    </r>
  </si>
  <si>
    <t xml:space="preserve">核验供应商安全能力、补充合同要求并按风险定期评估</t>
  </si>
  <si>
    <r>
      <rPr>
        <sz val="11"/>
        <color rgb="FF000000"/>
        <rFont val="Noto Sans SC"/>
        <family val="2"/>
      </rPr>
      <t xml:space="preserve">采购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法务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安全负责人</t>
    </r>
  </si>
  <si>
    <r>
      <rPr>
        <sz val="11"/>
        <color rgb="FF000000"/>
        <rFont val="Noto Sans SC"/>
        <family val="2"/>
      </rPr>
      <t xml:space="preserve">今天要求保全日志，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SC"/>
        <family val="2"/>
      </rPr>
      <t xml:space="preserve">天补充条款方案</t>
    </r>
  </si>
  <si>
    <t xml:space="preserve">合同、安全评估、服务商响应证据</t>
  </si>
  <si>
    <t xml:space="preserve">仅通用入职培训，无安全持续更新</t>
  </si>
  <si>
    <t xml:space="preserve">314.4(e)</t>
  </si>
  <si>
    <t xml:space="preserve">不能据已培训推定符合持续安全知识要求</t>
  </si>
  <si>
    <t xml:space="preserve">补充针对安全风险的人员培训、关键人员更新与知识核验</t>
  </si>
  <si>
    <r>
      <rPr>
        <sz val="11"/>
        <color rgb="FF000000"/>
        <rFont val="Noto Sans SC"/>
        <family val="2"/>
      </rPr>
      <t xml:space="preserve">人事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安全负责人</t>
    </r>
  </si>
  <si>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SC"/>
        <family val="2"/>
      </rPr>
      <t xml:space="preserve">天优先培训、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SC"/>
        <family val="2"/>
      </rPr>
      <t xml:space="preserve">天复核</t>
    </r>
  </si>
  <si>
    <t xml:space="preserve">培训内容、参加与验证记录</t>
  </si>
  <si>
    <r>
      <rPr>
        <sz val="11"/>
        <color rgb="FF000000"/>
        <rFont val="Noto Sans SC"/>
        <family val="2"/>
      </rPr>
      <t xml:space="preserve">已发生</t>
    </r>
    <r>
      <rPr>
        <sz val="11"/>
        <color rgb="FF000000"/>
        <rFont val="Calibri"/>
        <family val="2"/>
        <charset val="1"/>
      </rPr>
      <t xml:space="preserve">550</t>
    </r>
    <r>
      <rPr>
        <sz val="11"/>
        <color rgb="FF000000"/>
        <rFont val="Noto Sans SC"/>
        <family val="2"/>
      </rPr>
      <t xml:space="preserve">人通知事件</t>
    </r>
  </si>
  <si>
    <r>
      <rPr>
        <sz val="11"/>
        <color rgb="FF000000"/>
        <rFont val="Calibri"/>
        <family val="2"/>
        <charset val="1"/>
      </rPr>
      <t xml:space="preserve">314.2(m)</t>
    </r>
    <r>
      <rPr>
        <sz val="11"/>
        <color rgb="FF000000"/>
        <rFont val="Noto Sans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314.4(j)</t>
    </r>
    <r>
      <rPr>
        <sz val="11"/>
        <color rgb="FF000000"/>
        <rFont val="Noto Sans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314.5</t>
    </r>
  </si>
  <si>
    <r>
      <rPr>
        <sz val="11"/>
        <color rgb="FF000000"/>
        <rFont val="Noto Sans SC"/>
        <family val="2"/>
      </rPr>
      <t xml:space="preserve">加密密钥失窃，非涉事员工</t>
    </r>
    <r>
      <rPr>
        <sz val="11"/>
        <color rgb="FF000000"/>
        <rFont val="Calibri"/>
        <family val="2"/>
        <charset val="1"/>
      </rPr>
      <t xml:space="preserve">03-03</t>
    </r>
    <r>
      <rPr>
        <sz val="11"/>
        <color rgb="FF000000"/>
        <rFont val="Noto Sans SC"/>
        <family val="2"/>
      </rPr>
      <t xml:space="preserve">已确认</t>
    </r>
  </si>
  <si>
    <r>
      <rPr>
        <sz val="11"/>
        <color rgb="FF000000"/>
        <rFont val="Noto Sans SC"/>
        <family val="2"/>
      </rPr>
      <t xml:space="preserve">尽快准备并电子向</t>
    </r>
    <r>
      <rPr>
        <sz val="11"/>
        <color rgb="FF000000"/>
        <rFont val="Calibri"/>
        <family val="2"/>
        <charset val="1"/>
      </rPr>
      <t xml:space="preserve">FTC</t>
    </r>
    <r>
      <rPr>
        <sz val="11"/>
        <color rgb="FF000000"/>
        <rFont val="Noto Sans SC"/>
        <family val="2"/>
      </rPr>
      <t xml:space="preserve">通报，不等待管理层报告日；仅本题草稿不发送</t>
    </r>
  </si>
  <si>
    <r>
      <rPr>
        <sz val="11"/>
        <color rgb="FF000000"/>
        <rFont val="Noto Sans SC"/>
        <family val="2"/>
      </rPr>
      <t xml:space="preserve">合规负责人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法务</t>
    </r>
  </si>
  <si>
    <r>
      <rPr>
        <sz val="11"/>
        <color rgb="FF000000"/>
        <rFont val="Noto Sans SC"/>
        <family val="2"/>
      </rPr>
      <t xml:space="preserve">尽快；最迟</t>
    </r>
    <r>
      <rPr>
        <sz val="11"/>
        <color rgb="FF000000"/>
        <rFont val="Calibri"/>
        <family val="2"/>
        <charset val="1"/>
      </rPr>
      <t xml:space="preserve">2025-04-02</t>
    </r>
  </si>
  <si>
    <t xml:space="preserve">审核的六类信息、正式提交确认（未来待办）</t>
  </si>
  <si>
    <t xml:space="preserve">date</t>
  </si>
  <si>
    <t xml:space="preserve">event</t>
  </si>
  <si>
    <t xml:space="preserve">effect</t>
  </si>
  <si>
    <t xml:space="preserve">2024-05-13</t>
  </si>
  <si>
    <r>
      <rPr>
        <sz val="11"/>
        <color rgb="FF000000"/>
        <rFont val="Calibri"/>
        <family val="2"/>
        <charset val="1"/>
      </rPr>
      <t xml:space="preserve">314.4(j)</t>
    </r>
    <r>
      <rPr>
        <sz val="11"/>
        <color rgb="FF000000"/>
        <rFont val="Noto Sans SC"/>
        <family val="2"/>
      </rPr>
      <t xml:space="preserve">生效</t>
    </r>
  </si>
  <si>
    <r>
      <rPr>
        <sz val="11"/>
        <color rgb="FF000000"/>
        <rFont val="Noto Sans SC"/>
        <family val="2"/>
      </rPr>
      <t xml:space="preserve">事件发生在生效后；</t>
    </r>
    <r>
      <rPr>
        <sz val="11"/>
        <color rgb="FF000000"/>
        <rFont val="Calibri"/>
        <family val="2"/>
        <charset val="1"/>
      </rPr>
      <t xml:space="preserve">314.5</t>
    </r>
  </si>
  <si>
    <t xml:space="preserve">2025-03-01/2025-03-02</t>
  </si>
  <si>
    <t xml:space="preserve">攻击者访问、下载数据且获密钥</t>
  </si>
  <si>
    <r>
      <rPr>
        <sz val="11"/>
        <color rgb="FF000000"/>
        <rFont val="Calibri"/>
        <family val="2"/>
        <charset val="1"/>
      </rPr>
      <t xml:space="preserve">550</t>
    </r>
    <r>
      <rPr>
        <sz val="11"/>
        <color rgb="FF000000"/>
        <rFont val="Noto Sans SC"/>
        <family val="2"/>
      </rPr>
      <t xml:space="preserve">名消费者的</t>
    </r>
    <r>
      <rPr>
        <sz val="11"/>
        <color rgb="FF000000"/>
        <rFont val="Calibri"/>
        <family val="2"/>
        <charset val="1"/>
      </rPr>
      <t xml:space="preserve">notification event</t>
    </r>
  </si>
  <si>
    <t xml:space="preserve">2025-03-03 09:00</t>
  </si>
  <si>
    <r>
      <rPr>
        <sz val="11"/>
        <color rgb="FF000000"/>
        <rFont val="Noto Sans SC"/>
        <family val="2"/>
      </rPr>
      <t xml:space="preserve">非涉事员工</t>
    </r>
    <r>
      <rPr>
        <sz val="11"/>
        <color rgb="FF000000"/>
        <rFont val="Calibri"/>
        <family val="2"/>
        <charset val="1"/>
      </rPr>
      <t xml:space="preserve">Alex</t>
    </r>
    <r>
      <rPr>
        <sz val="11"/>
        <color rgb="FF000000"/>
        <rFont val="Noto Sans SC"/>
        <family val="2"/>
      </rPr>
      <t xml:space="preserve">确认</t>
    </r>
  </si>
  <si>
    <r>
      <rPr>
        <sz val="11"/>
        <color rgb="FF000000"/>
        <rFont val="Calibri"/>
        <family val="2"/>
        <charset val="1"/>
      </rPr>
      <t xml:space="preserve">314.4(j)(2)</t>
    </r>
    <r>
      <rPr>
        <sz val="11"/>
        <color rgb="FF000000"/>
        <rFont val="Noto Sans SC"/>
        <family val="2"/>
      </rPr>
      <t xml:space="preserve">归属机构知悉，开始发现后日历天计算</t>
    </r>
  </si>
  <si>
    <t xml:space="preserve">2025-03-06</t>
  </si>
  <si>
    <t xml:space="preserve">管理层读报告</t>
  </si>
  <si>
    <t xml:space="preserve">不重启发现时点</t>
  </si>
  <si>
    <t xml:space="preserve">2025-03-07</t>
  </si>
  <si>
    <t xml:space="preserve">警方仅口头请求不公开，顾问调查</t>
  </si>
  <si>
    <r>
      <rPr>
        <sz val="11"/>
        <color rgb="FF000000"/>
        <rFont val="Noto Sans SC"/>
        <family val="2"/>
      </rPr>
      <t xml:space="preserve">没有书面执法决定；不暂停</t>
    </r>
    <r>
      <rPr>
        <sz val="11"/>
        <color rgb="FF000000"/>
        <rFont val="Calibri"/>
        <family val="2"/>
        <charset val="1"/>
      </rPr>
      <t xml:space="preserve">FTC</t>
    </r>
    <r>
      <rPr>
        <sz val="11"/>
        <color rgb="FF000000"/>
        <rFont val="Noto Sans SC"/>
        <family val="2"/>
      </rPr>
      <t xml:space="preserve">报送</t>
    </r>
  </si>
  <si>
    <t xml:space="preserve">2025-04-02</t>
  </si>
  <si>
    <r>
      <rPr>
        <sz val="11"/>
        <color rgb="FF000000"/>
        <rFont val="Noto Sans SC"/>
        <family val="2"/>
      </rPr>
      <t xml:space="preserve">发现后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SC"/>
        <family val="2"/>
      </rPr>
      <t xml:space="preserve">日最迟</t>
    </r>
    <r>
      <rPr>
        <sz val="11"/>
        <color rgb="FF000000"/>
        <rFont val="Calibri"/>
        <family val="2"/>
        <charset val="1"/>
      </rPr>
      <t xml:space="preserve">FTC</t>
    </r>
    <r>
      <rPr>
        <sz val="11"/>
        <color rgb="FF000000"/>
        <rFont val="Noto Sans SC"/>
        <family val="2"/>
      </rPr>
      <t xml:space="preserve">通报</t>
    </r>
  </si>
  <si>
    <t xml:space="preserve">还须尽快，不能有意等至最后一日</t>
  </si>
  <si>
    <r>
      <rPr>
        <sz val="11"/>
        <color rgb="FF000000"/>
        <rFont val="Noto Sans SC"/>
        <family val="2"/>
      </rPr>
      <t xml:space="preserve">情景</t>
    </r>
    <r>
      <rPr>
        <sz val="11"/>
        <color rgb="FF000000"/>
        <rFont val="Calibri"/>
        <family val="2"/>
        <charset val="1"/>
      </rPr>
      <t xml:space="preserve">E</t>
    </r>
    <r>
      <rPr>
        <sz val="11"/>
        <color rgb="FF000000"/>
        <rFont val="Noto Sans SC"/>
        <family val="2"/>
      </rPr>
      <t xml:space="preserve">归属发现日范围（不是原案）</t>
    </r>
  </si>
  <si>
    <r>
      <rPr>
        <sz val="11"/>
        <color rgb="FF000000"/>
        <rFont val="Noto Sans SC"/>
        <family val="2"/>
      </rPr>
      <t xml:space="preserve">排除</t>
    </r>
    <r>
      <rPr>
        <sz val="11"/>
        <color rgb="FF000000"/>
        <rFont val="Calibri"/>
        <family val="2"/>
        <charset val="1"/>
      </rPr>
      <t xml:space="preserve">Owen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Mira</t>
    </r>
    <r>
      <rPr>
        <sz val="11"/>
        <color rgb="FF000000"/>
        <rFont val="Noto Sans SC"/>
        <family val="2"/>
      </rPr>
      <t xml:space="preserve">代理归属未定时保留两个分支，不以高管读报告日替代</t>
    </r>
  </si>
  <si>
    <r>
      <rPr>
        <sz val="11"/>
        <color rgb="FF000000"/>
        <rFont val="Noto Sans SC"/>
        <family val="2"/>
      </rPr>
      <t xml:space="preserve">情景</t>
    </r>
    <r>
      <rPr>
        <sz val="11"/>
        <color rgb="FF000000"/>
        <rFont val="Calibri"/>
        <family val="2"/>
        <charset val="1"/>
      </rPr>
      <t xml:space="preserve">E</t>
    </r>
    <r>
      <rPr>
        <sz val="11"/>
        <color rgb="FF000000"/>
        <rFont val="Noto Sans SC"/>
        <family val="2"/>
      </rPr>
      <t xml:space="preserve">条件性最迟</t>
    </r>
    <r>
      <rPr>
        <sz val="11"/>
        <color rgb="FF000000"/>
        <rFont val="Calibri"/>
        <family val="2"/>
        <charset val="1"/>
      </rPr>
      <t xml:space="preserve">FTC</t>
    </r>
    <r>
      <rPr>
        <sz val="11"/>
        <color rgb="FF000000"/>
        <rFont val="Noto Sans SC"/>
        <family val="2"/>
      </rPr>
      <t xml:space="preserve">报送日</t>
    </r>
  </si>
  <si>
    <r>
      <rPr>
        <sz val="11"/>
        <color rgb="FF000000"/>
        <rFont val="Noto Sans SC"/>
        <family val="2"/>
      </rPr>
      <t xml:space="preserve">仅仍可能达到</t>
    </r>
    <r>
      <rPr>
        <sz val="11"/>
        <color rgb="FF000000"/>
        <rFont val="Calibri"/>
        <family val="2"/>
        <charset val="1"/>
      </rPr>
      <t xml:space="preserve">500</t>
    </r>
    <r>
      <rPr>
        <sz val="11"/>
        <color rgb="FF000000"/>
        <rFont val="Noto Sans SC"/>
        <family val="2"/>
      </rPr>
      <t xml:space="preserve">门槛的分支；保留尽快义务，不受口头警方请求暂停</t>
    </r>
  </si>
  <si>
    <t xml:space="preserve">consumers_maintained</t>
  </si>
  <si>
    <t xml:space="preserve">affected</t>
  </si>
  <si>
    <t xml:space="preserve">exemption</t>
  </si>
  <si>
    <t xml:space="preserve">FTC_notice</t>
  </si>
  <si>
    <t xml:space="preserve">safeguards</t>
  </si>
  <si>
    <t xml:space="preserve">(b)(1),(d)(2),(h),(i)</t>
  </si>
  <si>
    <t xml:space="preserve">是</t>
  </si>
  <si>
    <t xml:space="preserve">其余义务仍适用</t>
  </si>
  <si>
    <r>
      <rPr>
        <sz val="11"/>
        <color rgb="FF000000"/>
        <rFont val="Noto Sans SC"/>
        <family val="2"/>
      </rPr>
      <t xml:space="preserve">不适用</t>
    </r>
    <r>
      <rPr>
        <sz val="11"/>
        <color rgb="FF000000"/>
        <rFont val="Calibri"/>
        <family val="2"/>
        <charset val="1"/>
      </rPr>
      <t xml:space="preserve">fewer than 5000</t>
    </r>
    <r>
      <rPr>
        <sz val="11"/>
        <color rgb="FF000000"/>
        <rFont val="Noto Sans SC"/>
        <family val="2"/>
      </rPr>
      <t xml:space="preserve">例外</t>
    </r>
  </si>
  <si>
    <t xml:space="preserve">题述四项特定义务也不再豁免</t>
  </si>
  <si>
    <r>
      <rPr>
        <sz val="11"/>
        <color rgb="FF000000"/>
        <rFont val="Noto Sans SC"/>
        <family val="2"/>
      </rPr>
      <t xml:space="preserve">本假设不达</t>
    </r>
    <r>
      <rPr>
        <sz val="11"/>
        <color rgb="FF000000"/>
        <rFont val="Calibri"/>
        <family val="2"/>
        <charset val="1"/>
      </rPr>
      <t xml:space="preserve">(j)</t>
    </r>
    <r>
      <rPr>
        <sz val="11"/>
        <color rgb="FF000000"/>
        <rFont val="Noto Sans SC"/>
        <family val="2"/>
      </rPr>
      <t xml:space="preserve">至少</t>
    </r>
    <r>
      <rPr>
        <sz val="11"/>
        <color rgb="FF000000"/>
        <rFont val="Calibri"/>
        <family val="2"/>
        <charset val="1"/>
      </rPr>
      <t xml:space="preserve">500</t>
    </r>
    <r>
      <rPr>
        <sz val="11"/>
        <color rgb="FF000000"/>
        <rFont val="Noto Sans SC"/>
        <family val="2"/>
      </rPr>
      <t xml:space="preserve">门槛</t>
    </r>
  </si>
  <si>
    <t xml:space="preserve">安全计划和其余义务不因此消失；人数需持续核实</t>
  </si>
  <si>
    <r>
      <rPr>
        <sz val="11"/>
        <color rgb="FF000000"/>
        <rFont val="Noto Sans SC"/>
        <family val="2"/>
      </rPr>
      <t xml:space="preserve">情景</t>
    </r>
    <r>
      <rPr>
        <sz val="11"/>
        <color rgb="FF000000"/>
        <rFont val="Calibri"/>
        <family val="2"/>
        <charset val="1"/>
      </rPr>
      <t xml:space="preserve">E</t>
    </r>
    <r>
      <rPr>
        <sz val="11"/>
        <color rgb="FF000000"/>
        <rFont val="Noto Sans SC"/>
        <family val="2"/>
      </rPr>
      <t xml:space="preserve">当前</t>
    </r>
  </si>
  <si>
    <t xml:space="preserve">source</t>
  </si>
  <si>
    <t xml:space="preserve">locator</t>
  </si>
  <si>
    <t xml:space="preserve">reference</t>
  </si>
  <si>
    <t xml:space="preserve">use</t>
  </si>
  <si>
    <t xml:space="preserve">ftc_safeguards_guide.html</t>
  </si>
  <si>
    <t xml:space="preserve">Standards for Safeguarding Customer Information</t>
  </si>
  <si>
    <t xml:space="preserve">https://www.ecfr.gov/current/title-16/chapter-I/subchapter-C/part-314</t>
  </si>
  <si>
    <t xml:space="preserve">网页实际引用；下游材料用于本题同一业务决定。</t>
  </si>
  <si>
    <t xml:space="preserve">eCFR_16_CFR_314_2025-01-01.xml</t>
  </si>
  <si>
    <t xml:space="preserve">314.2(m),314.4(a)-(j),314.5,314.6</t>
  </si>
  <si>
    <t xml:space="preserve">冻结适用版</t>
  </si>
  <si>
    <r>
      <rPr>
        <sz val="11"/>
        <color rgb="FF000000"/>
        <rFont val="Noto Sans SC"/>
        <family val="2"/>
      </rPr>
      <t xml:space="preserve">定义、一般安全义务、通报、</t>
    </r>
    <r>
      <rPr>
        <sz val="11"/>
        <color rgb="FF000000"/>
        <rFont val="Calibri"/>
        <family val="2"/>
        <charset val="1"/>
      </rPr>
      <t xml:space="preserve">2024-05-13</t>
    </r>
    <r>
      <rPr>
        <sz val="11"/>
        <color rgb="FF000000"/>
        <rFont val="Noto Sans SC"/>
        <family val="2"/>
      </rPr>
      <t xml:space="preserve">生效及小机构例外。</t>
    </r>
  </si>
  <si>
    <t xml:space="preserve">eCFR_16_CFR_314_2021-12-01.xml</t>
  </si>
  <si>
    <t xml:space="preserve">314.4</t>
  </si>
  <si>
    <t xml:space="preserve">旧版对照</t>
  </si>
  <si>
    <r>
      <rPr>
        <sz val="11"/>
        <color rgb="FF000000"/>
        <rFont val="Noto Sans SC"/>
        <family val="2"/>
      </rPr>
      <t xml:space="preserve">不含此后新增的详细控制和</t>
    </r>
    <r>
      <rPr>
        <sz val="11"/>
        <color rgb="FF000000"/>
        <rFont val="Calibri"/>
        <family val="2"/>
        <charset val="1"/>
      </rPr>
      <t xml:space="preserve">(j)</t>
    </r>
    <r>
      <rPr>
        <sz val="11"/>
        <color rgb="FF000000"/>
        <rFont val="Noto Sans SC"/>
        <family val="2"/>
      </rPr>
      <t xml:space="preserve">通知制度，不能用于本事件豁免判断。</t>
    </r>
  </si>
  <si>
    <t xml:space="preserve">FR_2021-25736_Safeguards_Rule_Final.pdf</t>
  </si>
  <si>
    <r>
      <rPr>
        <sz val="11"/>
        <color rgb="FF000000"/>
        <rFont val="Noto Sans SC"/>
        <family val="2"/>
      </rPr>
      <t xml:space="preserve">本地</t>
    </r>
    <r>
      <rPr>
        <sz val="11"/>
        <color rgb="FF000000"/>
        <rFont val="Calibri"/>
        <family val="2"/>
        <charset val="1"/>
      </rPr>
      <t xml:space="preserve">PDF</t>
    </r>
    <r>
      <rPr>
        <sz val="11"/>
        <color rgb="FF000000"/>
        <rFont val="Noto Sans SC"/>
        <family val="2"/>
      </rPr>
      <t xml:space="preserve">涉及</t>
    </r>
    <r>
      <rPr>
        <sz val="11"/>
        <color rgb="FF000000"/>
        <rFont val="Calibri"/>
        <family val="2"/>
        <charset val="1"/>
      </rPr>
      <t xml:space="preserve">5000</t>
    </r>
    <r>
      <rPr>
        <sz val="11"/>
        <color rgb="FF000000"/>
        <rFont val="Noto Sans SC"/>
        <family val="2"/>
      </rPr>
      <t xml:space="preserve">消费者页</t>
    </r>
    <r>
      <rPr>
        <sz val="11"/>
        <color rgb="FF000000"/>
        <rFont val="Calibri"/>
        <family val="2"/>
        <charset val="1"/>
      </rPr>
      <t xml:space="preserve">2,8,9,13,14</t>
    </r>
  </si>
  <si>
    <r>
      <rPr>
        <sz val="11"/>
        <color rgb="FF000000"/>
        <rFont val="Calibri"/>
        <family val="2"/>
        <charset val="1"/>
      </rPr>
      <t xml:space="preserve">2021</t>
    </r>
    <r>
      <rPr>
        <sz val="11"/>
        <color rgb="FF000000"/>
        <rFont val="Noto Sans SC"/>
        <family val="2"/>
      </rPr>
      <t xml:space="preserve">最终规则</t>
    </r>
  </si>
  <si>
    <r>
      <rPr>
        <sz val="11"/>
        <color rgb="FF000000"/>
        <rFont val="Calibri"/>
        <family val="2"/>
        <charset val="1"/>
      </rPr>
      <t xml:space="preserve">2021</t>
    </r>
    <r>
      <rPr>
        <sz val="11"/>
        <color rgb="FF000000"/>
        <rFont val="Noto Sans SC"/>
        <family val="2"/>
      </rPr>
      <t xml:space="preserve">细化控制和小机构例外来源。</t>
    </r>
  </si>
  <si>
    <t xml:space="preserve">FR_2023-24412_Safeguards_Breach_Notification.pdf</t>
  </si>
  <si>
    <r>
      <rPr>
        <sz val="11"/>
        <color rgb="FF000000"/>
        <rFont val="Noto Sans SC"/>
        <family val="2"/>
      </rPr>
      <t xml:space="preserve">本地</t>
    </r>
    <r>
      <rPr>
        <sz val="11"/>
        <color rgb="FF000000"/>
        <rFont val="Calibri"/>
        <family val="2"/>
        <charset val="1"/>
      </rPr>
      <t xml:space="preserve">PDF</t>
    </r>
    <r>
      <rPr>
        <sz val="11"/>
        <color rgb="FF000000"/>
        <rFont val="Noto Sans SC"/>
        <family val="2"/>
      </rPr>
      <t xml:space="preserve">生效信息页</t>
    </r>
    <r>
      <rPr>
        <sz val="11"/>
        <color rgb="FF000000"/>
        <rFont val="Calibri"/>
        <family val="2"/>
        <charset val="1"/>
      </rPr>
      <t xml:space="preserve">1,8</t>
    </r>
  </si>
  <si>
    <t xml:space="preserve">2023-24412</t>
  </si>
  <si>
    <r>
      <rPr>
        <sz val="11"/>
        <color rgb="FF000000"/>
        <rFont val="Noto Sans SC"/>
        <family val="2"/>
      </rPr>
      <t xml:space="preserve">新增</t>
    </r>
    <r>
      <rPr>
        <sz val="11"/>
        <color rgb="FF000000"/>
        <rFont val="Calibri"/>
        <family val="2"/>
        <charset val="1"/>
      </rPr>
      <t xml:space="preserve">FTC</t>
    </r>
    <r>
      <rPr>
        <sz val="11"/>
        <color rgb="FF000000"/>
        <rFont val="Noto Sans SC"/>
        <family val="2"/>
      </rPr>
      <t xml:space="preserve">通报；现有</t>
    </r>
    <r>
      <rPr>
        <sz val="11"/>
        <color rgb="FF000000"/>
        <rFont val="Calibri"/>
        <family val="2"/>
        <charset val="1"/>
      </rPr>
      <t xml:space="preserve">314.5</t>
    </r>
    <r>
      <rPr>
        <sz val="11"/>
        <color rgb="FF000000"/>
        <rFont val="Noto Sans SC"/>
        <family val="2"/>
      </rPr>
      <t xml:space="preserve">确认生效日。</t>
    </r>
  </si>
  <si>
    <t xml:space="preserve">instruction.md</t>
  </si>
  <si>
    <r>
      <rPr>
        <sz val="11"/>
        <color rgb="FF000000"/>
        <rFont val="Noto Sans SC"/>
        <family val="2"/>
      </rPr>
      <t xml:space="preserve">全部事件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机构事实</t>
    </r>
  </si>
  <si>
    <t xml:space="preserve">明确假设情景</t>
  </si>
  <si>
    <t xml:space="preserve">并非来源记录或真实法律委托；不外联、不提交。</t>
  </si>
  <si>
    <t xml:space="preserve">key_acquired</t>
  </si>
  <si>
    <t xml:space="preserve">alias5_same</t>
  </si>
  <si>
    <t xml:space="preserve">alias6_same</t>
  </si>
  <si>
    <t xml:space="preserve">currently_possible</t>
  </si>
  <si>
    <t xml:space="preserve">all_unique</t>
  </si>
  <si>
    <t xml:space="preserve">notification_consumers</t>
  </si>
  <si>
    <t xml:space="preserve">meets_500</t>
  </si>
  <si>
    <t xml:space="preserve">notification_min_helper</t>
  </si>
  <si>
    <t xml:space="preserve">notification_max_helper</t>
  </si>
  <si>
    <t xml:space="preserve">distinct_min_helper</t>
  </si>
  <si>
    <t xml:space="preserve">distinct_max_helper</t>
  </si>
  <si>
    <t xml:space="preserve">WF_DISTINCT_MIN</t>
  </si>
  <si>
    <t xml:space="preserve">WF_DISTINCT_MAX</t>
  </si>
  <si>
    <t xml:space="preserve">WF_NOTIFICATION_MIN</t>
  </si>
  <si>
    <t xml:space="preserve">WF_NOTIFICATION_MAX</t>
  </si>
  <si>
    <t xml:space="preserve">WF_NOTICE_STATE</t>
  </si>
  <si>
    <t xml:space="preserve">WF_DISCOVERY_EARLIEST</t>
  </si>
  <si>
    <t xml:space="preserve">WF_DISCOVERY_LATEST</t>
  </si>
  <si>
    <t xml:space="preserve">WF_DEADLINE_EARLIEST</t>
  </si>
  <si>
    <t xml:space="preserve">WF_DEADLINE_LATEST</t>
  </si>
  <si>
    <t xml:space="preserve">WF_SMALL_EXEMPT</t>
  </si>
  <si>
    <t xml:space="preserve">来源与分支口径</t>
  </si>
  <si>
    <r>
      <rPr>
        <sz val="11"/>
        <color rgb="FF000000"/>
        <rFont val="Noto Sans SC"/>
        <family val="2"/>
      </rPr>
      <t xml:space="preserve">题面补充假设</t>
    </r>
    <r>
      <rPr>
        <sz val="11"/>
        <color rgb="FF000000"/>
        <rFont val="Calibri"/>
        <family val="2"/>
        <charset val="1"/>
      </rPr>
      <t xml:space="preserve">E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825</t>
    </r>
    <r>
      <rPr>
        <sz val="11"/>
        <color rgb="FF000000"/>
        <rFont val="Noto Sans SC"/>
        <family val="2"/>
      </rPr>
      <t xml:space="preserve">记录不等于不同消费者。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SC"/>
        <family val="2"/>
      </rPr>
      <t xml:space="preserve">条确认别名</t>
    </r>
    <r>
      <rPr>
        <sz val="11"/>
        <color rgb="FF000000"/>
        <rFont val="Calibri"/>
        <family val="2"/>
        <charset val="1"/>
      </rPr>
      <t xml:space="preserve">+2</t>
    </r>
    <r>
      <rPr>
        <sz val="11"/>
        <color rgb="FF000000"/>
        <rFont val="Noto Sans SC"/>
        <family val="2"/>
      </rPr>
      <t xml:space="preserve">条独立待定，实际涉事</t>
    </r>
    <r>
      <rPr>
        <sz val="11"/>
        <color rgb="FF000000"/>
        <rFont val="Calibri"/>
        <family val="2"/>
        <charset val="1"/>
      </rPr>
      <t xml:space="preserve">Owen</t>
    </r>
    <r>
      <rPr>
        <sz val="11"/>
        <color rgb="FF000000"/>
        <rFont val="Noto Sans SC"/>
        <family val="2"/>
      </rPr>
      <t xml:space="preserve">不触发归属发现。</t>
    </r>
  </si>
  <si>
    <t xml:space="preserve">当前行动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</si>
</sst>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SC"/>
      <family val="2"/>
    </font>
    <font>
      <b val="true"/>
      <sz val="11"/>
      <color rgb="FFFFFFFF"/>
      <name val="Cambria"/>
      <family val="0"/>
      <charset val="1"/>
    </font>
    <font>
      <sz val="11"/>
      <color rgb="FF000000"/>
      <name val="Noto Sans SC"/>
      <family val="2"/>
    </font>
  </fonts>
  <fills count="3">
    <fill>
      <patternFill patternType="none"/>
    </fill>
    <fill>
      <patternFill patternType="gray125"/>
    </fill>
    <fill>
      <patternFill patternType="solid">
        <fgColor rgb="FF4A496B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A496B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A49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48"/>
    <col collapsed="false" customWidth="true" hidden="false" outlineLevel="0" max="3" min="3" style="0" width="9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4800</v>
      </c>
      <c r="C2" s="2" t="s">
        <v>4</v>
      </c>
    </row>
    <row r="3" customFormat="false" ht="15" hidden="false" customHeight="false" outlineLevel="0" collapsed="false">
      <c r="A3" s="0" t="s">
        <v>5</v>
      </c>
      <c r="B3" s="0" t="s">
        <v>6</v>
      </c>
      <c r="C3" s="2" t="s">
        <v>4</v>
      </c>
    </row>
    <row r="4" customFormat="false" ht="15" hidden="false" customHeight="false" outlineLevel="0" collapsed="false">
      <c r="A4" s="0" t="s">
        <v>7</v>
      </c>
      <c r="B4" s="0" t="s">
        <v>8</v>
      </c>
      <c r="C4" s="2" t="s">
        <v>4</v>
      </c>
    </row>
    <row r="5" customFormat="false" ht="15" hidden="false" customHeight="false" outlineLevel="0" collapsed="false">
      <c r="A5" s="0" t="s">
        <v>9</v>
      </c>
      <c r="B5" s="0" t="s">
        <v>8</v>
      </c>
      <c r="C5" s="2" t="s">
        <v>4</v>
      </c>
    </row>
    <row r="6" customFormat="false" ht="15" hidden="false" customHeight="false" outlineLevel="0" collapsed="false">
      <c r="A6" s="0" t="s">
        <v>10</v>
      </c>
      <c r="B6" s="0" t="s">
        <v>6</v>
      </c>
      <c r="C6" s="2" t="s">
        <v>4</v>
      </c>
    </row>
    <row r="7" customFormat="false" ht="15" hidden="false" customHeight="false" outlineLevel="0" collapsed="false">
      <c r="A7" s="0" t="s">
        <v>11</v>
      </c>
      <c r="B7" s="0" t="n">
        <v>2</v>
      </c>
      <c r="C7" s="2" t="s">
        <v>4</v>
      </c>
    </row>
    <row r="8" customFormat="false" ht="15" hidden="false" customHeight="false" outlineLevel="0" collapsed="false">
      <c r="A8" s="0" t="s">
        <v>12</v>
      </c>
      <c r="B8" s="0" t="n">
        <v>3</v>
      </c>
      <c r="C8" s="2" t="s">
        <v>4</v>
      </c>
    </row>
    <row r="9" customFormat="false" ht="15" hidden="false" customHeight="false" outlineLevel="0" collapsed="false">
      <c r="A9" s="2" t="s">
        <v>13</v>
      </c>
      <c r="B9" s="0" t="b">
        <f aca="false">IFERROR(AND(ISNUMBER(WF_MAINTAINED),WF_MAINTAINED=INT(WF_MAINTAINED),WF_MAINTAINED&gt;=600,WF_MAINTAINED&lt;=1000000,OR(WF_A_KEY="YES",WF_A_KEY="NO",WF_A_KEY="UNKNOWN"),OR(WF_ALIAS_5="SAME",WF_ALIAS_5="DIFFERENT",WF_ALIAS_5="UNKNOWN"),OR(WF_ALIAS_6="SAME",WF_ALIAS_6="DIFFERENT",WF_ALIAS_6="UNKNOWN"),OR(WF_MIRA_AGENCY="YES",WF_MIRA_AGENCY="NO",WF_MIRA_AGENCY="UNKNOWN"),ISNUMBER(WF_MIRA_DAY),WF_MIRA_DAY=INT(WF_MIRA_DAY),WF_MIRA_DAY&gt;=1,WF_MIRA_DAY&lt;=7,ISNUMBER(WF_ALEX_DAY),WF_ALEX_DAY=INT(WF_ALEX_DAY),WF_ALEX_DAY&gt;=1,WF_ALEX_DAY&lt;=7),FALSE())</f>
        <v>1</v>
      </c>
      <c r="C9" s="0" t="s">
        <v>14</v>
      </c>
    </row>
    <row r="10" customFormat="false" ht="15" hidden="false" customHeight="false" outlineLevel="0" collapsed="false">
      <c r="A10" s="2" t="s">
        <v>15</v>
      </c>
      <c r="B10" s="0" t="b">
        <f aca="false">IFERROR(AND(WF_MAINTAINED=4800,WF_A_KEY="YES",WF_ALIAS_5="UNKNOWN",WF_ALIAS_6="UNKNOWN",WF_MIRA_AGENCY="YES",WF_MIRA_DAY=2,WF_ALEX_DAY=3),FALSE())</f>
        <v>1</v>
      </c>
      <c r="C10" s="0" t="s">
        <v>16</v>
      </c>
    </row>
    <row r="11" customFormat="false" ht="15" hidden="false" customHeight="false" outlineLevel="0" collapsed="false">
      <c r="A11" s="2" t="s">
        <v>17</v>
      </c>
      <c r="B11" s="2" t="s">
        <v>18</v>
      </c>
      <c r="C11" s="2" t="s">
        <v>19</v>
      </c>
    </row>
    <row r="12" customFormat="false" ht="15" hidden="false" customHeight="false" outlineLevel="0" collapsed="false">
      <c r="A12" s="2" t="s">
        <v>20</v>
      </c>
      <c r="B12" s="2" t="s">
        <v>21</v>
      </c>
      <c r="C12" s="2" t="s">
        <v>22</v>
      </c>
    </row>
    <row r="13" customFormat="false" ht="15" hidden="false" customHeight="false" outlineLevel="0" collapsed="false">
      <c r="A13" s="2" t="s">
        <v>23</v>
      </c>
      <c r="B13" s="2" t="s">
        <v>24</v>
      </c>
      <c r="C13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9" min="1" style="0" width="24"/>
  </cols>
  <sheetData>
    <row r="1" customFormat="false" ht="31.5" hidden="false" customHeight="true" outlineLevel="0" collapsed="false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1" t="s">
        <v>34</v>
      </c>
    </row>
    <row r="2" customFormat="false" ht="15" hidden="false" customHeight="false" outlineLevel="0" collapsed="false">
      <c r="A2" s="4" t="s">
        <v>35</v>
      </c>
      <c r="B2" s="4" t="s">
        <v>36</v>
      </c>
      <c r="C2" s="5" t="s">
        <v>37</v>
      </c>
      <c r="D2" s="5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0" t="str">
        <f aca="false">IF(WF_MODEL_VALID,"其余法定义务适用；小机构例外不扩张","输入无效，需修正")</f>
        <v>其余法定义务适用；小机构例外不扩张</v>
      </c>
    </row>
    <row r="3" customFormat="false" ht="15" hidden="false" customHeight="false" outlineLevel="0" collapsed="false">
      <c r="A3" s="4" t="s">
        <v>43</v>
      </c>
      <c r="B3" s="4" t="s">
        <v>44</v>
      </c>
      <c r="C3" s="5" t="s">
        <v>45</v>
      </c>
      <c r="D3" s="5" t="s">
        <v>46</v>
      </c>
      <c r="E3" s="4" t="s">
        <v>47</v>
      </c>
      <c r="F3" s="5" t="s">
        <v>48</v>
      </c>
      <c r="G3" s="5" t="s">
        <v>49</v>
      </c>
      <c r="H3" s="4" t="s">
        <v>50</v>
      </c>
      <c r="I3" s="0" t="str">
        <f aca="false">IF(WF_MODEL_VALID,IF(WF_SMALL_EXEMPT,"四项特定义务的对应项豁免；一般风险/监测及安全计划仍适用","维护人数至少5000，该项特定义务适用"),"输入无效，需修正")</f>
        <v>四项特定义务的对应项豁免；一般风险/监测及安全计划仍适用</v>
      </c>
    </row>
    <row r="4" customFormat="false" ht="15" hidden="false" customHeight="false" outlineLevel="0" collapsed="false">
      <c r="A4" s="4" t="s">
        <v>51</v>
      </c>
      <c r="B4" s="4" t="s">
        <v>52</v>
      </c>
      <c r="C4" s="5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5" t="s">
        <v>58</v>
      </c>
      <c r="I4" s="0" t="str">
        <f aca="false">IF(WF_MODEL_VALID,"其余法定义务适用；小机构例外不扩张","输入无效，需修正")</f>
        <v>其余法定义务适用；小机构例外不扩张</v>
      </c>
    </row>
    <row r="5" customFormat="false" ht="15" hidden="false" customHeight="false" outlineLevel="0" collapsed="false">
      <c r="A5" s="4" t="s">
        <v>59</v>
      </c>
      <c r="B5" s="5" t="s">
        <v>60</v>
      </c>
      <c r="C5" s="5" t="s">
        <v>61</v>
      </c>
      <c r="D5" s="4" t="s">
        <v>62</v>
      </c>
      <c r="E5" s="4" t="s">
        <v>63</v>
      </c>
      <c r="F5" s="4" t="s">
        <v>64</v>
      </c>
      <c r="G5" s="4" t="s">
        <v>65</v>
      </c>
      <c r="H5" s="4" t="s">
        <v>66</v>
      </c>
      <c r="I5" s="0" t="str">
        <f aca="false">IF(WF_MODEL_VALID,IF(WF_SMALL_EXEMPT,"四项特定义务的对应项豁免；一般风险/监测及安全计划仍适用","维护人数至少5000，该项特定义务适用"),"输入无效，需修正")</f>
        <v>四项特定义务的对应项豁免；一般风险/监测及安全计划仍适用</v>
      </c>
    </row>
    <row r="6" customFormat="false" ht="15" hidden="false" customHeight="false" outlineLevel="0" collapsed="false">
      <c r="A6" s="4" t="s">
        <v>67</v>
      </c>
      <c r="B6" s="5" t="s">
        <v>68</v>
      </c>
      <c r="C6" s="5" t="s">
        <v>69</v>
      </c>
      <c r="D6" s="5" t="s">
        <v>70</v>
      </c>
      <c r="E6" s="4" t="s">
        <v>71</v>
      </c>
      <c r="F6" s="4" t="s">
        <v>72</v>
      </c>
      <c r="G6" s="4" t="s">
        <v>73</v>
      </c>
      <c r="H6" s="4" t="s">
        <v>74</v>
      </c>
      <c r="I6" s="0" t="str">
        <f aca="false">IF(WF_MODEL_VALID,IF(WF_SMALL_EXEMPT,"四项特定义务的对应项豁免；一般风险/监测及安全计划仍适用","维护人数至少5000，该项特定义务适用"),"输入无效，需修正")</f>
        <v>四项特定义务的对应项豁免；一般风险/监测及安全计划仍适用</v>
      </c>
    </row>
    <row r="7" customFormat="false" ht="15" hidden="false" customHeight="false" outlineLevel="0" collapsed="false">
      <c r="A7" s="4" t="s">
        <v>75</v>
      </c>
      <c r="B7" s="5" t="s">
        <v>76</v>
      </c>
      <c r="C7" s="5" t="s">
        <v>77</v>
      </c>
      <c r="D7" s="5" t="s">
        <v>78</v>
      </c>
      <c r="E7" s="4" t="s">
        <v>79</v>
      </c>
      <c r="F7" s="5" t="s">
        <v>48</v>
      </c>
      <c r="G7" s="5" t="s">
        <v>80</v>
      </c>
      <c r="H7" s="4" t="s">
        <v>81</v>
      </c>
      <c r="I7" s="0" t="str">
        <f aca="false">IF(WF_MODEL_VALID,IF(WF_SMALL_EXEMPT,"四项特定义务的对应项豁免；一般风险/监测及安全计划仍适用","维护人数至少5000，该项特定义务适用"),"输入无效，需修正")</f>
        <v>四项特定义务的对应项豁免；一般风险/监测及安全计划仍适用</v>
      </c>
    </row>
    <row r="8" customFormat="false" ht="15" hidden="false" customHeight="false" outlineLevel="0" collapsed="false">
      <c r="A8" s="4" t="s">
        <v>82</v>
      </c>
      <c r="B8" s="4" t="s">
        <v>36</v>
      </c>
      <c r="C8" s="5" t="s">
        <v>83</v>
      </c>
      <c r="D8" s="4" t="s">
        <v>84</v>
      </c>
      <c r="E8" s="4" t="s">
        <v>85</v>
      </c>
      <c r="F8" s="4" t="s">
        <v>86</v>
      </c>
      <c r="G8" s="4" t="s">
        <v>87</v>
      </c>
      <c r="H8" s="4" t="s">
        <v>88</v>
      </c>
      <c r="I8" s="0" t="str">
        <f aca="false">IF(WF_MODEL_VALID,"其余法定义务适用；小机构例外不扩张","输入无效，需修正")</f>
        <v>其余法定义务适用；小机构例外不扩张</v>
      </c>
    </row>
    <row r="9" customFormat="false" ht="15" hidden="false" customHeight="false" outlineLevel="0" collapsed="false">
      <c r="A9" s="4" t="s">
        <v>89</v>
      </c>
      <c r="B9" s="4" t="s">
        <v>36</v>
      </c>
      <c r="C9" s="5" t="s">
        <v>90</v>
      </c>
      <c r="D9" s="4" t="s">
        <v>91</v>
      </c>
      <c r="E9" s="4" t="s">
        <v>92</v>
      </c>
      <c r="F9" s="4" t="s">
        <v>93</v>
      </c>
      <c r="G9" s="5" t="s">
        <v>94</v>
      </c>
      <c r="H9" s="4" t="s">
        <v>95</v>
      </c>
      <c r="I9" s="0" t="str">
        <f aca="false">IF(WF_MODEL_VALID,"其余法定义务适用；小机构例外不扩张","输入无效，需修正")</f>
        <v>其余法定义务适用；小机构例外不扩张</v>
      </c>
    </row>
    <row r="10" customFormat="false" ht="15" hidden="false" customHeight="false" outlineLevel="0" collapsed="false">
      <c r="A10" s="4" t="s">
        <v>96</v>
      </c>
      <c r="B10" s="4" t="s">
        <v>36</v>
      </c>
      <c r="C10" s="5" t="s">
        <v>97</v>
      </c>
      <c r="D10" s="4" t="s">
        <v>98</v>
      </c>
      <c r="E10" s="4" t="s">
        <v>99</v>
      </c>
      <c r="F10" s="4" t="s">
        <v>100</v>
      </c>
      <c r="G10" s="4" t="s">
        <v>101</v>
      </c>
      <c r="H10" s="4" t="s">
        <v>102</v>
      </c>
      <c r="I10" s="0" t="str">
        <f aca="false">IF(WF_MODEL_VALID,"通报独立判断："&amp;WF_NOTICE_STATE&amp;"；小机构例外不豁免通报","输入无效，需修正")</f>
        <v>通报独立判断：CONDITIONAL；小机构例外不豁免通报</v>
      </c>
    </row>
  </sheetData>
  <autoFilter ref="A1:H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4"/>
  </cols>
  <sheetData>
    <row r="1" customFormat="false" ht="31.5" hidden="false" customHeight="true" outlineLevel="0" collapsed="false">
      <c r="A1" s="3" t="s">
        <v>103</v>
      </c>
      <c r="B1" s="3" t="s">
        <v>104</v>
      </c>
      <c r="C1" s="3" t="s">
        <v>105</v>
      </c>
    </row>
    <row r="2" customFormat="false" ht="15" hidden="false" customHeight="false" outlineLevel="0" collapsed="false">
      <c r="A2" s="5" t="s">
        <v>106</v>
      </c>
      <c r="B2" s="5" t="s">
        <v>107</v>
      </c>
      <c r="C2" s="4" t="s">
        <v>108</v>
      </c>
    </row>
    <row r="3" customFormat="false" ht="15" hidden="false" customHeight="false" outlineLevel="0" collapsed="false">
      <c r="A3" s="5" t="s">
        <v>109</v>
      </c>
      <c r="B3" s="4" t="s">
        <v>110</v>
      </c>
      <c r="C3" s="5" t="s">
        <v>111</v>
      </c>
    </row>
    <row r="4" customFormat="false" ht="15" hidden="false" customHeight="false" outlineLevel="0" collapsed="false">
      <c r="A4" s="5" t="s">
        <v>112</v>
      </c>
      <c r="B4" s="4" t="s">
        <v>113</v>
      </c>
      <c r="C4" s="5" t="s">
        <v>114</v>
      </c>
    </row>
    <row r="5" customFormat="false" ht="15" hidden="false" customHeight="false" outlineLevel="0" collapsed="false">
      <c r="A5" s="5" t="s">
        <v>115</v>
      </c>
      <c r="B5" s="4" t="s">
        <v>116</v>
      </c>
      <c r="C5" s="4" t="s">
        <v>117</v>
      </c>
    </row>
    <row r="6" customFormat="false" ht="15" hidden="false" customHeight="false" outlineLevel="0" collapsed="false">
      <c r="A6" s="5" t="s">
        <v>118</v>
      </c>
      <c r="B6" s="4" t="s">
        <v>119</v>
      </c>
      <c r="C6" s="4" t="s">
        <v>120</v>
      </c>
    </row>
    <row r="7" customFormat="false" ht="15" hidden="false" customHeight="false" outlineLevel="0" collapsed="false">
      <c r="A7" s="5" t="s">
        <v>121</v>
      </c>
      <c r="B7" s="4" t="s">
        <v>122</v>
      </c>
      <c r="C7" s="4" t="s">
        <v>123</v>
      </c>
    </row>
    <row r="8" customFormat="false" ht="15" hidden="false" customHeight="false" outlineLevel="0" collapsed="false">
      <c r="A8" s="0" t="str">
        <f aca="false">WF_DISCOVERY_EARLIEST&amp;"–"&amp;WF_DISCOVERY_LATEST</f>
        <v>20250302–20250302</v>
      </c>
      <c r="B8" s="2" t="s">
        <v>124</v>
      </c>
      <c r="C8" s="2" t="s">
        <v>125</v>
      </c>
    </row>
    <row r="9" customFormat="false" ht="15" hidden="false" customHeight="false" outlineLevel="0" collapsed="false">
      <c r="A9" s="0" t="str">
        <f aca="false">WF_DEADLINE_EARLIEST&amp;"–"&amp;WF_DEADLINE_LATEST</f>
        <v>20250401–20250401</v>
      </c>
      <c r="B9" s="2" t="s">
        <v>126</v>
      </c>
      <c r="C9" s="2" t="s">
        <v>127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5" min="1" style="0" width="24"/>
  </cols>
  <sheetData>
    <row r="1" customFormat="false" ht="31.5" hidden="false" customHeight="true" outlineLevel="0" collapsed="false">
      <c r="A1" s="3" t="s">
        <v>128</v>
      </c>
      <c r="B1" s="3" t="s">
        <v>129</v>
      </c>
      <c r="C1" s="3" t="s">
        <v>130</v>
      </c>
      <c r="D1" s="3" t="s">
        <v>131</v>
      </c>
      <c r="E1" s="3" t="s">
        <v>132</v>
      </c>
    </row>
    <row r="2" customFormat="false" ht="15" hidden="false" customHeight="false" outlineLevel="0" collapsed="false">
      <c r="A2" s="5" t="n">
        <v>4800</v>
      </c>
      <c r="B2" s="5" t="n">
        <v>550</v>
      </c>
      <c r="C2" s="5" t="s">
        <v>133</v>
      </c>
      <c r="D2" s="4" t="s">
        <v>134</v>
      </c>
      <c r="E2" s="4" t="s">
        <v>135</v>
      </c>
    </row>
    <row r="3" customFormat="false" ht="15" hidden="false" customHeight="false" outlineLevel="0" collapsed="false">
      <c r="A3" s="5" t="n">
        <v>5000</v>
      </c>
      <c r="B3" s="5" t="n">
        <v>550</v>
      </c>
      <c r="C3" s="4" t="s">
        <v>136</v>
      </c>
      <c r="D3" s="4" t="s">
        <v>134</v>
      </c>
      <c r="E3" s="4" t="s">
        <v>137</v>
      </c>
    </row>
    <row r="4" customFormat="false" ht="15" hidden="false" customHeight="false" outlineLevel="0" collapsed="false">
      <c r="A4" s="5" t="n">
        <v>4800</v>
      </c>
      <c r="B4" s="5" t="n">
        <v>499</v>
      </c>
      <c r="C4" s="5" t="s">
        <v>133</v>
      </c>
      <c r="D4" s="4" t="s">
        <v>138</v>
      </c>
      <c r="E4" s="4" t="s">
        <v>139</v>
      </c>
    </row>
    <row r="5" customFormat="false" ht="15" hidden="false" customHeight="false" outlineLevel="0" collapsed="false">
      <c r="A5" s="2" t="s">
        <v>140</v>
      </c>
      <c r="B5" s="0" t="str">
        <f aca="false">WF_NOTIFICATION_MIN&amp;"–"&amp;WF_NOTIFICATION_MAX</f>
        <v>499–501</v>
      </c>
      <c r="C5" s="0" t="str">
        <f aca="false">IF(WF_MODEL_VALID,IF(WF_SMALL_EXEMPT,"仅四项特定义务豁免","四项特定义务亦适用"),"需修正")</f>
        <v>仅四项特定义务豁免</v>
      </c>
      <c r="D5" s="0" t="str">
        <f aca="false">WF_NOTICE_STATE</f>
        <v>CONDITIONAL</v>
      </c>
      <c r="E5" s="0" t="str">
        <f aca="false">IF(WF_MODEL_VALID,"发现范围"&amp;WF_DISCOVERY_EARLIEST&amp;"–"&amp;WF_DISCOVERY_LATEST&amp;"；条件截止"&amp;WF_DEADLINE_EARLIEST&amp;"–"&amp;WF_DEADLINE_LATEST,"输入无效")</f>
        <v>发现范围20250302–20250302；条件截止20250401–20250401</v>
      </c>
    </row>
  </sheetData>
  <autoFilter ref="A1:E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24"/>
  </cols>
  <sheetData>
    <row r="1" customFormat="false" ht="31.5" hidden="false" customHeight="true" outlineLevel="0" collapsed="false">
      <c r="A1" s="3" t="s">
        <v>141</v>
      </c>
      <c r="B1" s="3" t="s">
        <v>142</v>
      </c>
      <c r="C1" s="3" t="s">
        <v>143</v>
      </c>
      <c r="D1" s="3" t="s">
        <v>144</v>
      </c>
    </row>
    <row r="2" customFormat="false" ht="15" hidden="false" customHeight="false" outlineLevel="0" collapsed="false">
      <c r="A2" s="5" t="s">
        <v>145</v>
      </c>
      <c r="B2" s="5" t="s">
        <v>146</v>
      </c>
      <c r="C2" s="5" t="s">
        <v>147</v>
      </c>
      <c r="D2" s="4" t="s">
        <v>148</v>
      </c>
    </row>
    <row r="3" customFormat="false" ht="15" hidden="false" customHeight="false" outlineLevel="0" collapsed="false">
      <c r="A3" s="5" t="s">
        <v>149</v>
      </c>
      <c r="B3" s="5" t="s">
        <v>150</v>
      </c>
      <c r="C3" s="4" t="s">
        <v>151</v>
      </c>
      <c r="D3" s="4" t="s">
        <v>152</v>
      </c>
    </row>
    <row r="4" customFormat="false" ht="15" hidden="false" customHeight="false" outlineLevel="0" collapsed="false">
      <c r="A4" s="5" t="s">
        <v>153</v>
      </c>
      <c r="B4" s="5" t="s">
        <v>154</v>
      </c>
      <c r="C4" s="4" t="s">
        <v>155</v>
      </c>
      <c r="D4" s="4" t="s">
        <v>156</v>
      </c>
    </row>
    <row r="5" customFormat="false" ht="15" hidden="false" customHeight="false" outlineLevel="0" collapsed="false">
      <c r="A5" s="5" t="s">
        <v>157</v>
      </c>
      <c r="B5" s="4" t="s">
        <v>158</v>
      </c>
      <c r="C5" s="5" t="s">
        <v>159</v>
      </c>
      <c r="D5" s="5" t="s">
        <v>160</v>
      </c>
    </row>
    <row r="6" customFormat="false" ht="15" hidden="false" customHeight="false" outlineLevel="0" collapsed="false">
      <c r="A6" s="5" t="s">
        <v>161</v>
      </c>
      <c r="B6" s="4" t="s">
        <v>162</v>
      </c>
      <c r="C6" s="5" t="s">
        <v>163</v>
      </c>
      <c r="D6" s="4" t="s">
        <v>164</v>
      </c>
    </row>
    <row r="7" customFormat="false" ht="15" hidden="false" customHeight="false" outlineLevel="0" collapsed="false">
      <c r="A7" s="5" t="s">
        <v>165</v>
      </c>
      <c r="B7" s="4" t="s">
        <v>166</v>
      </c>
      <c r="C7" s="4" t="s">
        <v>167</v>
      </c>
      <c r="D7" s="4" t="s">
        <v>168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65"/>
    <col collapsed="false" customWidth="true" hidden="false" outlineLevel="0" max="11" min="3" style="0" width="24"/>
  </cols>
  <sheetData>
    <row r="1" customFormat="false" ht="15" hidden="false" customHeight="false" outlineLevel="0" collapsed="false">
      <c r="A1" s="6" t="s">
        <v>169</v>
      </c>
      <c r="B1" s="6" t="s">
        <v>170</v>
      </c>
      <c r="C1" s="6" t="s">
        <v>171</v>
      </c>
      <c r="D1" s="6" t="s">
        <v>172</v>
      </c>
      <c r="E1" s="6" t="s">
        <v>173</v>
      </c>
      <c r="F1" s="6" t="s">
        <v>174</v>
      </c>
      <c r="G1" s="6" t="s">
        <v>175</v>
      </c>
      <c r="H1" s="6" t="s">
        <v>176</v>
      </c>
      <c r="I1" s="6" t="s">
        <v>177</v>
      </c>
      <c r="J1" s="6" t="s">
        <v>178</v>
      </c>
      <c r="K1" s="6" t="s">
        <v>179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f aca="false">IF(AND(WF_MODEL_VALID,OR(WF_A_KEY="UNKNOWN",AND(WF_A_KEY="YES",A2=1),AND(WF_A_KEY="NO",A2=0)),OR(WF_ALIAS_5="UNKNOWN",AND(WF_ALIAS_5="SAME",B2=1),AND(WF_ALIAS_5="DIFFERENT",B2=0)),OR(WF_ALIAS_6="UNKNOWN",AND(WF_ALIAS_6="SAME",C2=1),AND(WF_ALIAS_6="DIFFERENT",C2=0))),1,0)</f>
        <v>0</v>
      </c>
      <c r="E2" s="0" t="n">
        <f aca="false">600-4-B2-C2</f>
        <v>596</v>
      </c>
      <c r="F2" s="0" t="n">
        <f aca="false">IF(A2=1,505-4-B2-C2,305)</f>
        <v>305</v>
      </c>
      <c r="G2" s="0" t="b">
        <f aca="false">F2&gt;=500</f>
        <v>0</v>
      </c>
      <c r="H2" s="0" t="n">
        <f aca="false">IF(D2=1,F2,1000000)</f>
        <v>1000000</v>
      </c>
      <c r="I2" s="0" t="n">
        <f aca="false">IF(D2=1,F2,0)</f>
        <v>0</v>
      </c>
      <c r="J2" s="0" t="n">
        <f aca="false">IF(D2=1,E2,1000000)</f>
        <v>1000000</v>
      </c>
      <c r="K2" s="0" t="n">
        <f aca="false">IF(D2=1,E2,0)</f>
        <v>0</v>
      </c>
    </row>
    <row r="3" customFormat="false" ht="15" hidden="false" customHeight="false" outlineLevel="0" collapsed="false">
      <c r="A3" s="0" t="n">
        <v>0</v>
      </c>
      <c r="B3" s="0" t="n">
        <v>0</v>
      </c>
      <c r="C3" s="0" t="n">
        <v>1</v>
      </c>
      <c r="D3" s="0" t="n">
        <f aca="false">IF(AND(WF_MODEL_VALID,OR(WF_A_KEY="UNKNOWN",AND(WF_A_KEY="YES",A3=1),AND(WF_A_KEY="NO",A3=0)),OR(WF_ALIAS_5="UNKNOWN",AND(WF_ALIAS_5="SAME",B3=1),AND(WF_ALIAS_5="DIFFERENT",B3=0)),OR(WF_ALIAS_6="UNKNOWN",AND(WF_ALIAS_6="SAME",C3=1),AND(WF_ALIAS_6="DIFFERENT",C3=0))),1,0)</f>
        <v>0</v>
      </c>
      <c r="E3" s="0" t="n">
        <f aca="false">600-4-B3-C3</f>
        <v>595</v>
      </c>
      <c r="F3" s="0" t="n">
        <f aca="false">IF(A3=1,505-4-B3-C3,305)</f>
        <v>305</v>
      </c>
      <c r="G3" s="0" t="b">
        <f aca="false">F3&gt;=500</f>
        <v>0</v>
      </c>
      <c r="H3" s="0" t="n">
        <f aca="false">IF(D3=1,F3,1000000)</f>
        <v>1000000</v>
      </c>
      <c r="I3" s="0" t="n">
        <f aca="false">IF(D3=1,F3,0)</f>
        <v>0</v>
      </c>
      <c r="J3" s="0" t="n">
        <f aca="false">IF(D3=1,E3,1000000)</f>
        <v>1000000</v>
      </c>
      <c r="K3" s="0" t="n">
        <f aca="false">IF(D3=1,E3,0)</f>
        <v>0</v>
      </c>
    </row>
    <row r="4" customFormat="false" ht="15" hidden="false" customHeight="false" outlineLevel="0" collapsed="false">
      <c r="A4" s="0" t="n">
        <v>0</v>
      </c>
      <c r="B4" s="0" t="n">
        <v>1</v>
      </c>
      <c r="C4" s="0" t="n">
        <v>0</v>
      </c>
      <c r="D4" s="0" t="n">
        <f aca="false">IF(AND(WF_MODEL_VALID,OR(WF_A_KEY="UNKNOWN",AND(WF_A_KEY="YES",A4=1),AND(WF_A_KEY="NO",A4=0)),OR(WF_ALIAS_5="UNKNOWN",AND(WF_ALIAS_5="SAME",B4=1),AND(WF_ALIAS_5="DIFFERENT",B4=0)),OR(WF_ALIAS_6="UNKNOWN",AND(WF_ALIAS_6="SAME",C4=1),AND(WF_ALIAS_6="DIFFERENT",C4=0))),1,0)</f>
        <v>0</v>
      </c>
      <c r="E4" s="0" t="n">
        <f aca="false">600-4-B4-C4</f>
        <v>595</v>
      </c>
      <c r="F4" s="0" t="n">
        <f aca="false">IF(A4=1,505-4-B4-C4,305)</f>
        <v>305</v>
      </c>
      <c r="G4" s="0" t="b">
        <f aca="false">F4&gt;=500</f>
        <v>0</v>
      </c>
      <c r="H4" s="0" t="n">
        <f aca="false">IF(D4=1,F4,1000000)</f>
        <v>1000000</v>
      </c>
      <c r="I4" s="0" t="n">
        <f aca="false">IF(D4=1,F4,0)</f>
        <v>0</v>
      </c>
      <c r="J4" s="0" t="n">
        <f aca="false">IF(D4=1,E4,1000000)</f>
        <v>1000000</v>
      </c>
      <c r="K4" s="0" t="n">
        <f aca="false">IF(D4=1,E4,0)</f>
        <v>0</v>
      </c>
    </row>
    <row r="5" customFormat="false" ht="15" hidden="false" customHeight="false" outlineLevel="0" collapsed="false">
      <c r="A5" s="0" t="n">
        <v>0</v>
      </c>
      <c r="B5" s="0" t="n">
        <v>1</v>
      </c>
      <c r="C5" s="0" t="n">
        <v>1</v>
      </c>
      <c r="D5" s="0" t="n">
        <f aca="false">IF(AND(WF_MODEL_VALID,OR(WF_A_KEY="UNKNOWN",AND(WF_A_KEY="YES",A5=1),AND(WF_A_KEY="NO",A5=0)),OR(WF_ALIAS_5="UNKNOWN",AND(WF_ALIAS_5="SAME",B5=1),AND(WF_ALIAS_5="DIFFERENT",B5=0)),OR(WF_ALIAS_6="UNKNOWN",AND(WF_ALIAS_6="SAME",C5=1),AND(WF_ALIAS_6="DIFFERENT",C5=0))),1,0)</f>
        <v>0</v>
      </c>
      <c r="E5" s="0" t="n">
        <f aca="false">600-4-B5-C5</f>
        <v>594</v>
      </c>
      <c r="F5" s="0" t="n">
        <f aca="false">IF(A5=1,505-4-B5-C5,305)</f>
        <v>305</v>
      </c>
      <c r="G5" s="0" t="b">
        <f aca="false">F5&gt;=500</f>
        <v>0</v>
      </c>
      <c r="H5" s="0" t="n">
        <f aca="false">IF(D5=1,F5,1000000)</f>
        <v>1000000</v>
      </c>
      <c r="I5" s="0" t="n">
        <f aca="false">IF(D5=1,F5,0)</f>
        <v>0</v>
      </c>
      <c r="J5" s="0" t="n">
        <f aca="false">IF(D5=1,E5,1000000)</f>
        <v>1000000</v>
      </c>
      <c r="K5" s="0" t="n">
        <f aca="false">IF(D5=1,E5,0)</f>
        <v>0</v>
      </c>
    </row>
    <row r="6" customFormat="false" ht="15" hidden="false" customHeight="false" outlineLevel="0" collapsed="false">
      <c r="A6" s="0" t="n">
        <v>1</v>
      </c>
      <c r="B6" s="0" t="n">
        <v>0</v>
      </c>
      <c r="C6" s="0" t="n">
        <v>0</v>
      </c>
      <c r="D6" s="0" t="n">
        <f aca="false">IF(AND(WF_MODEL_VALID,OR(WF_A_KEY="UNKNOWN",AND(WF_A_KEY="YES",A6=1),AND(WF_A_KEY="NO",A6=0)),OR(WF_ALIAS_5="UNKNOWN",AND(WF_ALIAS_5="SAME",B6=1),AND(WF_ALIAS_5="DIFFERENT",B6=0)),OR(WF_ALIAS_6="UNKNOWN",AND(WF_ALIAS_6="SAME",C6=1),AND(WF_ALIAS_6="DIFFERENT",C6=0))),1,0)</f>
        <v>1</v>
      </c>
      <c r="E6" s="0" t="n">
        <f aca="false">600-4-B6-C6</f>
        <v>596</v>
      </c>
      <c r="F6" s="0" t="n">
        <f aca="false">IF(A6=1,505-4-B6-C6,305)</f>
        <v>501</v>
      </c>
      <c r="G6" s="0" t="b">
        <f aca="false">F6&gt;=500</f>
        <v>1</v>
      </c>
      <c r="H6" s="0" t="n">
        <f aca="false">IF(D6=1,F6,1000000)</f>
        <v>501</v>
      </c>
      <c r="I6" s="0" t="n">
        <f aca="false">IF(D6=1,F6,0)</f>
        <v>501</v>
      </c>
      <c r="J6" s="0" t="n">
        <f aca="false">IF(D6=1,E6,1000000)</f>
        <v>596</v>
      </c>
      <c r="K6" s="0" t="n">
        <f aca="false">IF(D6=1,E6,0)</f>
        <v>596</v>
      </c>
    </row>
    <row r="7" customFormat="false" ht="15" hidden="false" customHeight="false" outlineLevel="0" collapsed="false">
      <c r="A7" s="0" t="n">
        <v>1</v>
      </c>
      <c r="B7" s="0" t="n">
        <v>0</v>
      </c>
      <c r="C7" s="0" t="n">
        <v>1</v>
      </c>
      <c r="D7" s="0" t="n">
        <f aca="false">IF(AND(WF_MODEL_VALID,OR(WF_A_KEY="UNKNOWN",AND(WF_A_KEY="YES",A7=1),AND(WF_A_KEY="NO",A7=0)),OR(WF_ALIAS_5="UNKNOWN",AND(WF_ALIAS_5="SAME",B7=1),AND(WF_ALIAS_5="DIFFERENT",B7=0)),OR(WF_ALIAS_6="UNKNOWN",AND(WF_ALIAS_6="SAME",C7=1),AND(WF_ALIAS_6="DIFFERENT",C7=0))),1,0)</f>
        <v>1</v>
      </c>
      <c r="E7" s="0" t="n">
        <f aca="false">600-4-B7-C7</f>
        <v>595</v>
      </c>
      <c r="F7" s="0" t="n">
        <f aca="false">IF(A7=1,505-4-B7-C7,305)</f>
        <v>500</v>
      </c>
      <c r="G7" s="0" t="b">
        <f aca="false">F7&gt;=500</f>
        <v>1</v>
      </c>
      <c r="H7" s="0" t="n">
        <f aca="false">IF(D7=1,F7,1000000)</f>
        <v>500</v>
      </c>
      <c r="I7" s="0" t="n">
        <f aca="false">IF(D7=1,F7,0)</f>
        <v>500</v>
      </c>
      <c r="J7" s="0" t="n">
        <f aca="false">IF(D7=1,E7,1000000)</f>
        <v>595</v>
      </c>
      <c r="K7" s="0" t="n">
        <f aca="false">IF(D7=1,E7,0)</f>
        <v>595</v>
      </c>
    </row>
    <row r="8" customFormat="false" ht="15" hidden="false" customHeight="false" outlineLevel="0" collapsed="false">
      <c r="A8" s="0" t="n">
        <v>1</v>
      </c>
      <c r="B8" s="0" t="n">
        <v>1</v>
      </c>
      <c r="C8" s="0" t="n">
        <v>0</v>
      </c>
      <c r="D8" s="0" t="n">
        <f aca="false">IF(AND(WF_MODEL_VALID,OR(WF_A_KEY="UNKNOWN",AND(WF_A_KEY="YES",A8=1),AND(WF_A_KEY="NO",A8=0)),OR(WF_ALIAS_5="UNKNOWN",AND(WF_ALIAS_5="SAME",B8=1),AND(WF_ALIAS_5="DIFFERENT",B8=0)),OR(WF_ALIAS_6="UNKNOWN",AND(WF_ALIAS_6="SAME",C8=1),AND(WF_ALIAS_6="DIFFERENT",C8=0))),1,0)</f>
        <v>1</v>
      </c>
      <c r="E8" s="0" t="n">
        <f aca="false">600-4-B8-C8</f>
        <v>595</v>
      </c>
      <c r="F8" s="0" t="n">
        <f aca="false">IF(A8=1,505-4-B8-C8,305)</f>
        <v>500</v>
      </c>
      <c r="G8" s="0" t="b">
        <f aca="false">F8&gt;=500</f>
        <v>1</v>
      </c>
      <c r="H8" s="0" t="n">
        <f aca="false">IF(D8=1,F8,1000000)</f>
        <v>500</v>
      </c>
      <c r="I8" s="0" t="n">
        <f aca="false">IF(D8=1,F8,0)</f>
        <v>500</v>
      </c>
      <c r="J8" s="0" t="n">
        <f aca="false">IF(D8=1,E8,1000000)</f>
        <v>595</v>
      </c>
      <c r="K8" s="0" t="n">
        <f aca="false">IF(D8=1,E8,0)</f>
        <v>595</v>
      </c>
    </row>
    <row r="9" customFormat="false" ht="15" hidden="false" customHeight="false" outlineLevel="0" collapsed="false">
      <c r="A9" s="0" t="n">
        <v>1</v>
      </c>
      <c r="B9" s="0" t="n">
        <v>1</v>
      </c>
      <c r="C9" s="0" t="n">
        <v>1</v>
      </c>
      <c r="D9" s="0" t="n">
        <f aca="false">IF(AND(WF_MODEL_VALID,OR(WF_A_KEY="UNKNOWN",AND(WF_A_KEY="YES",A9=1),AND(WF_A_KEY="NO",A9=0)),OR(WF_ALIAS_5="UNKNOWN",AND(WF_ALIAS_5="SAME",B9=1),AND(WF_ALIAS_5="DIFFERENT",B9=0)),OR(WF_ALIAS_6="UNKNOWN",AND(WF_ALIAS_6="SAME",C9=1),AND(WF_ALIAS_6="DIFFERENT",C9=0))),1,0)</f>
        <v>1</v>
      </c>
      <c r="E9" s="0" t="n">
        <f aca="false">600-4-B9-C9</f>
        <v>594</v>
      </c>
      <c r="F9" s="0" t="n">
        <f aca="false">IF(A9=1,505-4-B9-C9,305)</f>
        <v>499</v>
      </c>
      <c r="G9" s="0" t="b">
        <f aca="false">F9&gt;=500</f>
        <v>0</v>
      </c>
      <c r="H9" s="0" t="n">
        <f aca="false">IF(D9=1,F9,1000000)</f>
        <v>499</v>
      </c>
      <c r="I9" s="0" t="n">
        <f aca="false">IF(D9=1,F9,0)</f>
        <v>499</v>
      </c>
      <c r="J9" s="0" t="n">
        <f aca="false">IF(D9=1,E9,1000000)</f>
        <v>594</v>
      </c>
      <c r="K9" s="0" t="n">
        <f aca="false">IF(D9=1,E9,0)</f>
        <v>594</v>
      </c>
    </row>
    <row r="14" customFormat="false" ht="15" hidden="false" customHeight="false" outlineLevel="0" collapsed="false">
      <c r="A14" s="0" t="s">
        <v>180</v>
      </c>
      <c r="B14" s="0" t="n">
        <f aca="false">IF(WF_MODEL_VALID,MIN(J2:J9),"")</f>
        <v>594</v>
      </c>
    </row>
    <row r="15" customFormat="false" ht="15" hidden="false" customHeight="false" outlineLevel="0" collapsed="false">
      <c r="A15" s="0" t="s">
        <v>181</v>
      </c>
      <c r="B15" s="0" t="n">
        <f aca="false">IF(WF_MODEL_VALID,MAX(K2:K9),"")</f>
        <v>596</v>
      </c>
    </row>
    <row r="16" customFormat="false" ht="15" hidden="false" customHeight="false" outlineLevel="0" collapsed="false">
      <c r="A16" s="0" t="s">
        <v>182</v>
      </c>
      <c r="B16" s="0" t="n">
        <f aca="false">IF(WF_MODEL_VALID,MIN(H2:H9),"")</f>
        <v>499</v>
      </c>
    </row>
    <row r="17" customFormat="false" ht="15" hidden="false" customHeight="false" outlineLevel="0" collapsed="false">
      <c r="A17" s="0" t="s">
        <v>183</v>
      </c>
      <c r="B17" s="0" t="n">
        <f aca="false">IF(WF_MODEL_VALID,MAX(I2:I9),"")</f>
        <v>501</v>
      </c>
    </row>
    <row r="18" customFormat="false" ht="15" hidden="false" customHeight="false" outlineLevel="0" collapsed="false">
      <c r="A18" s="0" t="s">
        <v>184</v>
      </c>
      <c r="B18" s="0" t="str">
        <f aca="false">IF(WF_MODEL_VALID,IF(WF_NOTIFICATION_MIN&gt;=500,"REQUIRED",IF(WF_NOTIFICATION_MAX&lt;500,"NOT_REQUIRED","CONDITIONAL")),"")</f>
        <v>CONDITIONAL</v>
      </c>
    </row>
    <row r="19" customFormat="false" ht="15" hidden="false" customHeight="false" outlineLevel="0" collapsed="false">
      <c r="A19" s="0" t="s">
        <v>185</v>
      </c>
      <c r="B19" s="0" t="n">
        <f aca="false">IF(WF_MODEL_VALID,20250300+MIN(IF(WF_MIRA_AGENCY&lt;&gt;"NO",WF_MIRA_DAY,99),WF_ALEX_DAY,6,7),"")</f>
        <v>20250302</v>
      </c>
    </row>
    <row r="20" customFormat="false" ht="15" hidden="false" customHeight="false" outlineLevel="0" collapsed="false">
      <c r="A20" s="0" t="s">
        <v>186</v>
      </c>
      <c r="B20" s="0" t="n">
        <f aca="false">IF(WF_MODEL_VALID,20250300+MIN(IF(WF_MIRA_AGENCY="YES",WF_MIRA_DAY,99),WF_ALEX_DAY,6,7),"")</f>
        <v>20250302</v>
      </c>
    </row>
    <row r="21" customFormat="false" ht="15" hidden="false" customHeight="false" outlineLevel="0" collapsed="false">
      <c r="A21" s="0" t="s">
        <v>187</v>
      </c>
      <c r="B21" s="0" t="n">
        <f aca="false">IF(AND(WF_MODEL_VALID,WF_NOTIFICATION_MAX&gt;=500),VALUE(TEXT(DATE(2025,3,MOD(WF_DISCOVERY_EARLIEST,100))+30,"yyyymmdd")),"")</f>
        <v>20250401</v>
      </c>
    </row>
    <row r="22" customFormat="false" ht="15" hidden="false" customHeight="false" outlineLevel="0" collapsed="false">
      <c r="A22" s="0" t="s">
        <v>188</v>
      </c>
      <c r="B22" s="0" t="n">
        <f aca="false">IF(AND(WF_MODEL_VALID,WF_NOTIFICATION_MAX&gt;=500),VALUE(TEXT(DATE(2025,3,MOD(WF_DISCOVERY_LATEST,100))+30,"yyyymmdd")),"")</f>
        <v>20250401</v>
      </c>
    </row>
    <row r="23" customFormat="false" ht="15" hidden="false" customHeight="false" outlineLevel="0" collapsed="false">
      <c r="A23" s="0" t="s">
        <v>189</v>
      </c>
      <c r="B23" s="0" t="b">
        <f aca="false">IF(WF_MODEL_VALID,WF_MAINTAINED&lt;5000,"")</f>
        <v>1</v>
      </c>
    </row>
    <row r="25" customFormat="false" ht="15" hidden="false" customHeight="false" outlineLevel="0" collapsed="false">
      <c r="A25" s="2" t="s">
        <v>190</v>
      </c>
      <c r="B25" s="2" t="s">
        <v>191</v>
      </c>
    </row>
    <row r="26" customFormat="false" ht="15" hidden="false" customHeight="false" outlineLevel="0" collapsed="false">
      <c r="A26" s="2" t="s">
        <v>192</v>
      </c>
      <c r="B26" s="0" t="str">
        <f aca="false">IF(WF_MODEL_VALID,IF(WF_NOTICE_STATE="CONDITIONAL","立即核实别名及密钥、准备条件性通报，保全最早可能时钟；不是确定免通报",IF(WF_NOTICE_STATE="REQUIRED","尽快核实六类信息并准备FTC电子通报；未提交","本假设当前不达500门槛，持续核实影响；安全计划义务仍在")),"输入无效；需修正，不得沿用旧结论")</f>
        <v>立即核实别名及密钥、准备条件性通报，保全最早可能时钟；不是确定免通报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2026-10-23T09:06:00Z</dcterms:created>
  <dc:creator>openpyxl</dc:creator>
  <dc:description/>
  <dc:language>en-US</dc:language>
  <cp:lastModifiedBy/>
  <dcterms:modified xsi:type="dcterms:W3CDTF">2026-10-23T09:06:00Z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