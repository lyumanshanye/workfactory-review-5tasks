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trolPanel" sheetId="1" state="visible" r:id="rId2"/>
    <sheet name="Dashboard" sheetId="2" state="visible" r:id="rId3"/>
    <sheet name="Daily" sheetId="3" state="visible" r:id="rId4"/>
    <sheet name="Options" sheetId="4" state="visible" r:id="rId5"/>
    <sheet name="Sources" sheetId="5" state="visible" r:id="rId6"/>
    <sheet name="MealBreakdown" sheetId="6" state="visible" r:id="rId7"/>
  </sheets>
  <definedNames>
    <definedName function="false" hidden="true" localSheetId="2" name="_xlnm._FilterDatabase" vbProcedure="false">Daily!$A$1:$R$16</definedName>
    <definedName function="false" hidden="true" localSheetId="3" name="_xlnm._FilterDatabase" vbProcedure="false">Options!$A$1:$S$7</definedName>
    <definedName function="false" hidden="true" localSheetId="4" name="_xlnm._FilterDatabase" vbProcedure="false">Sources!$A$1:$D$11</definedName>
    <definedName function="false" hidden="false" name="WF_AIR_MULTIPLIER" vbProcedure="false">ControlPanel!$B$3</definedName>
    <definedName function="false" hidden="false" name="WF_ARRIVAL" vbProcedure="false">ControlPanel!$B$6</definedName>
    <definedName function="false" hidden="false" name="WF_BUDGET" vbProcedure="false">ControlPanel!$B$2</definedName>
    <definedName function="false" hidden="false" name="WF_GOV_BREAKFAST_0929" vbProcedure="false">ControlPanel!$B$5</definedName>
    <definedName function="false" hidden="false" name="WF_MIE_CHICAGO_0929" vbProcedure="false">Daily!$O$3</definedName>
    <definedName function="false" hidden="false" name="WF_MIE_DENVER_0929" vbProcedure="false">Daily!$O$8</definedName>
    <definedName function="false" hidden="false" name="WF_MIE_PHOENIX_0929" vbProcedure="false">Daily!$O$13</definedName>
    <definedName function="false" hidden="false" name="WF_RESERVE_RATE" vbProcedure="false">ControlPanel!$B$4</definedName>
    <definedName function="false" hidden="false" name="WF_SELECTED_CITY" vbProcedure="false">Dashboard!$B$2</definedName>
    <definedName function="false" hidden="false" name="WF_SELECTED_N" vbProcedure="false">Dashboard!$B$3</definedName>
    <definedName function="false" hidden="false" name="WF_SNAPSHOT_CURRENT" vbProcedure="false">Dashboard!$B$4</definedName>
    <definedName function="false" hidden="false" name="WF_STRESS_CHICAGO_18" vbProcedure="false">Options!$R$2</definedName>
    <definedName function="false" hidden="false" name="WF_STRESS_CHICAGO_24" vbProcedure="false">Options!$R$3</definedName>
    <definedName function="false" hidden="false" name="WF_STRESS_DENVER_18" vbProcedure="false">Options!$R$4</definedName>
    <definedName function="false" hidden="false" name="WF_STRESS_DENVER_24" vbProcedure="false">Options!$R$5</definedName>
    <definedName function="false" hidden="false" name="WF_STRESS_PHOENIX_18" vbProcedure="false">Options!$R$6</definedName>
    <definedName function="false" hidden="false" name="WF_STRESS_PHOENIX_24" vbProcedure="false">Options!$R$7</definedName>
    <definedName function="false" hidden="false" name="WF_TOTAL_CHICAGO_18" vbProcedure="false">Options!$M$2</definedName>
    <definedName function="false" hidden="false" name="WF_TOTAL_CHICAGO_24" vbProcedure="false">Options!$M$3</definedName>
    <definedName function="false" hidden="false" name="WF_TOTAL_DENVER_18" vbProcedure="false">Options!$M$4</definedName>
    <definedName function="false" hidden="false" name="WF_TOTAL_DENVER_24" vbProcedure="false">Options!$M$5</definedName>
    <definedName function="false" hidden="false" name="WF_TOTAL_PHOENIX_18" vbProcedure="false">Options!$M$6</definedName>
    <definedName function="false" hidden="false" name="WF_TOTAL_PHOENIX_24" vbProcedure="false">Options!$M$7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<sst xmlns="http://schemas.openxmlformats.org/spreadsheetml/2006/main" count="196" uniqueCount="111">
  <si>
    <t xml:space="preserve">命名输入</t>
  </si>
  <si>
    <t xml:space="preserve">可编辑值</t>
  </si>
  <si>
    <t xml:space="preserve">说明</t>
  </si>
  <si>
    <t xml:space="preserve">WF_BUDGET</t>
  </si>
  <si>
    <t xml:space="preserve">批准总额上限（含储备）</t>
  </si>
  <si>
    <t xml:space="preserve">WF_AIR_MULTIPLIER</t>
  </si>
  <si>
    <r>
      <rPr>
        <sz val="11"/>
        <color rgb="FF000000"/>
        <rFont val="Noto Sans SC"/>
        <family val="2"/>
      </rPr>
      <t xml:space="preserve">题设票价的当前倍率，压力在此基础上再涨</t>
    </r>
    <r>
      <rPr>
        <sz val="11"/>
        <color rgb="FF000000"/>
        <rFont val="Calibri"/>
        <family val="2"/>
        <charset val="1"/>
      </rPr>
      <t xml:space="preserve">20%</t>
    </r>
  </si>
  <si>
    <t xml:space="preserve">WF_RESERVE_RATE</t>
  </si>
  <si>
    <t xml:space="preserve">应急储备率</t>
  </si>
  <si>
    <t xml:space="preserve">WF_GOV_BREAKFAST_0929</t>
  </si>
  <si>
    <r>
      <rPr>
        <sz val="11"/>
        <color rgb="FF000000"/>
        <rFont val="Calibri"/>
        <family val="2"/>
        <charset val="1"/>
      </rPr>
      <t xml:space="preserve">09-29</t>
    </r>
    <r>
      <rPr>
        <sz val="11"/>
        <color rgb="FF000000"/>
        <rFont val="Noto Sans SC"/>
        <family val="2"/>
      </rPr>
      <t xml:space="preserve">政府另供早餐：</t>
    </r>
    <r>
      <rPr>
        <sz val="11"/>
        <color rgb="FF000000"/>
        <rFont val="Calibri"/>
        <family val="2"/>
        <charset val="1"/>
      </rPr>
      <t xml:space="preserve">0</t>
    </r>
    <r>
      <rPr>
        <sz val="11"/>
        <color rgb="FF000000"/>
        <rFont val="Noto Sans SC"/>
        <family val="2"/>
      </rPr>
      <t xml:space="preserve">否</t>
    </r>
    <r>
      <rPr>
        <sz val="11"/>
        <color rgb="FF000000"/>
        <rFont val="Calibri"/>
        <family val="2"/>
        <charset val="1"/>
      </rPr>
      <t xml:space="preserve">/1</t>
    </r>
    <r>
      <rPr>
        <sz val="11"/>
        <color rgb="FF000000"/>
        <rFont val="Noto Sans SC"/>
        <family val="2"/>
      </rPr>
      <t xml:space="preserve">是；酒店免费早餐不受此开关影响</t>
    </r>
  </si>
  <si>
    <t xml:space="preserve">WF_ARRIVAL</t>
  </si>
  <si>
    <r>
      <rPr>
        <sz val="11"/>
        <color rgb="FF000000"/>
        <rFont val="Noto Sans SC"/>
        <family val="2"/>
      </rPr>
      <t xml:space="preserve">到达日</t>
    </r>
    <r>
      <rPr>
        <sz val="11"/>
        <color rgb="FF000000"/>
        <rFont val="Calibri"/>
        <family val="2"/>
        <charset val="1"/>
      </rPr>
      <t xml:space="preserve">YYYYMMDD</t>
    </r>
    <r>
      <rPr>
        <sz val="11"/>
        <color rgb="FF000000"/>
        <rFont val="Noto Sans SC"/>
        <family val="2"/>
      </rPr>
      <t xml:space="preserve">：</t>
    </r>
    <r>
      <rPr>
        <sz val="11"/>
        <color rgb="FF000000"/>
        <rFont val="Calibri"/>
        <family val="2"/>
        <charset val="1"/>
      </rPr>
      <t xml:space="preserve">20250927/28/29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10-02</t>
    </r>
    <r>
      <rPr>
        <sz val="11"/>
        <color rgb="FF000000"/>
        <rFont val="Noto Sans SC"/>
        <family val="2"/>
      </rPr>
      <t xml:space="preserve">返回及原供餐日历不变</t>
    </r>
  </si>
  <si>
    <t xml:space="preserve">命名输出</t>
  </si>
  <si>
    <t xml:space="preserve">当前结果</t>
  </si>
  <si>
    <t xml:space="preserve">WF_SELECTED_CITY</t>
  </si>
  <si>
    <t xml:space="preserve">按人数、费用、城市名优先</t>
  </si>
  <si>
    <t xml:space="preserve">WF_SELECTED_N</t>
  </si>
  <si>
    <r>
      <rPr>
        <sz val="11"/>
        <color rgb="FF000000"/>
        <rFont val="Noto Sans SC"/>
        <family val="2"/>
      </rPr>
      <t xml:space="preserve">无可行方案为</t>
    </r>
    <r>
      <rPr>
        <sz val="11"/>
        <color rgb="FF000000"/>
        <rFont val="Calibri"/>
        <family val="2"/>
        <charset val="1"/>
      </rPr>
      <t xml:space="preserve">0</t>
    </r>
  </si>
  <si>
    <t xml:space="preserve">WF_SNAPSHOT_CURRENT</t>
  </si>
  <si>
    <r>
      <rPr>
        <sz val="11"/>
        <color rgb="FF000000"/>
        <rFont val="Noto Sans SC"/>
        <family val="2"/>
      </rPr>
      <t xml:space="preserve">五项输入均为默认值才与</t>
    </r>
    <r>
      <rPr>
        <sz val="11"/>
        <color rgb="FF000000"/>
        <rFont val="Calibri"/>
        <family val="2"/>
        <charset val="1"/>
      </rPr>
      <t xml:space="preserve">Word/CSV</t>
    </r>
    <r>
      <rPr>
        <sz val="11"/>
        <color rgb="FF000000"/>
        <rFont val="Noto Sans SC"/>
        <family val="2"/>
      </rPr>
      <t xml:space="preserve">快照一致</t>
    </r>
  </si>
  <si>
    <t xml:space="preserve">文档版次状态</t>
  </si>
  <si>
    <t xml:space="preserve">未声称静态文档自动更新</t>
  </si>
  <si>
    <t xml:space="preserve">压力下可行城市</t>
  </si>
  <si>
    <r>
      <rPr>
        <sz val="11"/>
        <color rgb="FF000000"/>
        <rFont val="Noto Sans SC"/>
        <family val="2"/>
      </rPr>
      <t xml:space="preserve">当前票价基础上再涨</t>
    </r>
    <r>
      <rPr>
        <sz val="11"/>
        <color rgb="FF000000"/>
        <rFont val="Calibri"/>
        <family val="2"/>
        <charset val="1"/>
      </rPr>
      <t xml:space="preserve">20%</t>
    </r>
    <r>
      <rPr>
        <sz val="11"/>
        <color rgb="FF000000"/>
        <rFont val="Noto Sans SC"/>
        <family val="2"/>
      </rPr>
      <t xml:space="preserve">，按同一人数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费用目标排序</t>
    </r>
  </si>
  <si>
    <t xml:space="preserve">压力下可行人数</t>
  </si>
  <si>
    <r>
      <rPr>
        <sz val="11"/>
        <color rgb="FF000000"/>
        <rFont val="Calibri"/>
        <family val="2"/>
        <charset val="1"/>
      </rPr>
      <t xml:space="preserve">0</t>
    </r>
    <r>
      <rPr>
        <sz val="11"/>
        <color rgb="FF000000"/>
        <rFont val="Noto Sans SC"/>
        <family val="2"/>
      </rPr>
      <t xml:space="preserve">表示需追加资金或另行调整</t>
    </r>
  </si>
  <si>
    <t xml:space="preserve">city</t>
  </si>
  <si>
    <t xml:space="preserve">date</t>
  </si>
  <si>
    <t xml:space="preserve">fiscal_year</t>
  </si>
  <si>
    <t xml:space="preserve">source</t>
  </si>
  <si>
    <t xml:space="preserve">excel_row</t>
  </si>
  <si>
    <t xml:space="preserve">lodging_cap</t>
  </si>
  <si>
    <t xml:space="preserve">lodging_quote</t>
  </si>
  <si>
    <t xml:space="preserve">paid_lodging</t>
  </si>
  <si>
    <t xml:space="preserve">lodging_tax</t>
  </si>
  <si>
    <t xml:space="preserve">MIE_full</t>
  </si>
  <si>
    <t xml:space="preserve">travel_factor</t>
  </si>
  <si>
    <t xml:space="preserve">government_meals</t>
  </si>
  <si>
    <t xml:space="preserve">meal_deduction</t>
  </si>
  <si>
    <t xml:space="preserve">incidental_floor</t>
  </si>
  <si>
    <t xml:space="preserve">MIE_payable</t>
  </si>
  <si>
    <t xml:space="preserve">hotel_breakfast_deduction</t>
  </si>
  <si>
    <t xml:space="preserve">refreshment_deduction</t>
  </si>
  <si>
    <t xml:space="preserve">lodging_compliant</t>
  </si>
  <si>
    <t xml:space="preserve">baseline_meal_deduction</t>
  </si>
  <si>
    <t xml:space="preserve">baseline_government_meals</t>
  </si>
  <si>
    <t xml:space="preserve">date_code</t>
  </si>
  <si>
    <t xml:space="preserve">travel_active</t>
  </si>
  <si>
    <t xml:space="preserve">Chicago</t>
  </si>
  <si>
    <t xml:space="preserve">2025-09-28</t>
  </si>
  <si>
    <t xml:space="preserve">FY2025_PerDiemMasterRatesFile.xlsx</t>
  </si>
  <si>
    <t xml:space="preserve">dinner</t>
  </si>
  <si>
    <t xml:space="preserve">2025-09-29</t>
  </si>
  <si>
    <t xml:space="preserve">lunch</t>
  </si>
  <si>
    <t xml:space="preserve">2025-09-30</t>
  </si>
  <si>
    <t xml:space="preserve">2025-10-01</t>
  </si>
  <si>
    <t xml:space="preserve">FY2026_PerDiemMasterRatesFile.xlsx</t>
  </si>
  <si>
    <t xml:space="preserve">lunch,dinner</t>
  </si>
  <si>
    <t xml:space="preserve">2025-10-02</t>
  </si>
  <si>
    <t xml:space="preserve">Denver</t>
  </si>
  <si>
    <t xml:space="preserve">Phoenix</t>
  </si>
  <si>
    <t xml:space="preserve">2025-09-27</t>
  </si>
  <si>
    <t xml:space="preserve">attendees</t>
  </si>
  <si>
    <t xml:space="preserve">air_per_person</t>
  </si>
  <si>
    <t xml:space="preserve">local_per_person</t>
  </si>
  <si>
    <t xml:space="preserve">registration_per_person</t>
  </si>
  <si>
    <t xml:space="preserve">per_person</t>
  </si>
  <si>
    <t xml:space="preserve">venue</t>
  </si>
  <si>
    <t xml:space="preserve">base</t>
  </si>
  <si>
    <t xml:space="preserve">reserve</t>
  </si>
  <si>
    <t xml:space="preserve">total</t>
  </si>
  <si>
    <t xml:space="preserve">headroom</t>
  </si>
  <si>
    <t xml:space="preserve">compliant</t>
  </si>
  <si>
    <t xml:space="preserve">eligible</t>
  </si>
  <si>
    <t xml:space="preserve">stress_base</t>
  </si>
  <si>
    <t xml:space="preserve">stress_total</t>
  </si>
  <si>
    <t xml:space="preserve">stress_headroom</t>
  </si>
  <si>
    <t xml:space="preserve">selection_rank</t>
  </si>
  <si>
    <t xml:space="preserve">stress_eligible</t>
  </si>
  <si>
    <t xml:space="preserve">stress_selection_rank</t>
  </si>
  <si>
    <t xml:space="preserve">locator</t>
  </si>
  <si>
    <t xml:space="preserve">reference</t>
  </si>
  <si>
    <t xml:space="preserve">use</t>
  </si>
  <si>
    <t xml:space="preserve">gsa_per_diem_files.html</t>
  </si>
  <si>
    <t xml:space="preserve">FY 26 Per Diem Rates [XLSX - 41 KB]</t>
  </si>
  <si>
    <t xml:space="preserve">https://www.gsa.gov/system/files/FY2026_PerDiemMasterRatesFile.xlsx</t>
  </si>
  <si>
    <t xml:space="preserve">网页实际引用；下游材料用于本题同一业务决定。</t>
  </si>
  <si>
    <t xml:space="preserve">258,258,258</t>
  </si>
  <si>
    <t xml:space="preserve">按旅行日财政年度和季节匹配；报价计费，上限仅用于合规比较。</t>
  </si>
  <si>
    <t xml:space="preserve">254,254</t>
  </si>
  <si>
    <t xml:space="preserve">109,109,109</t>
  </si>
  <si>
    <t xml:space="preserve">107,107</t>
  </si>
  <si>
    <t xml:space="preserve">22,22,22</t>
  </si>
  <si>
    <t xml:space="preserve">18,18</t>
  </si>
  <si>
    <t xml:space="preserve">eCFR_41_CFR_301-11.xml</t>
  </si>
  <si>
    <t xml:space="preserve">301-11.17/.18/.27/.101</t>
  </si>
  <si>
    <r>
      <rPr>
        <sz val="11"/>
        <color rgb="FF000000"/>
        <rFont val="Calibri"/>
        <family val="2"/>
        <charset val="1"/>
      </rPr>
      <t xml:space="preserve">2025-01-01</t>
    </r>
    <r>
      <rPr>
        <sz val="11"/>
        <color rgb="FF000000"/>
        <rFont val="Noto Sans SC"/>
        <family val="2"/>
      </rPr>
      <t xml:space="preserve">冻结版</t>
    </r>
  </si>
  <si>
    <r>
      <rPr>
        <sz val="11"/>
        <color rgb="FF000000"/>
        <rFont val="Noto Sans SC"/>
        <family val="2"/>
      </rPr>
      <t xml:space="preserve">免费早餐不扣；政府供餐从首末日</t>
    </r>
    <r>
      <rPr>
        <sz val="11"/>
        <color rgb="FF000000"/>
        <rFont val="Calibri"/>
        <family val="2"/>
        <charset val="1"/>
      </rPr>
      <t xml:space="preserve">75%</t>
    </r>
    <r>
      <rPr>
        <sz val="11"/>
        <color rgb="FF000000"/>
        <rFont val="Noto Sans SC"/>
        <family val="2"/>
      </rPr>
      <t xml:space="preserve">额扣整餐；最低杂费保护；税另计。</t>
    </r>
  </si>
  <si>
    <t xml:space="preserve">eCFR_41_CFR_301-74.xml</t>
  </si>
  <si>
    <t xml:space="preserve">301-74.7/.9/.21</t>
  </si>
  <si>
    <r>
      <rPr>
        <sz val="11"/>
        <color rgb="FF000000"/>
        <rFont val="Noto Sans SC"/>
        <family val="2"/>
      </rPr>
      <t xml:space="preserve">茶歇与住宿安全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会议审批边界。</t>
    </r>
  </si>
  <si>
    <t xml:space="preserve">instruction.md</t>
  </si>
  <si>
    <t xml:space="preserve">场景假设表及预算条件</t>
  </si>
  <si>
    <t xml:space="preserve">非真实报价、税率或已审批采购</t>
  </si>
  <si>
    <r>
      <rPr>
        <sz val="11"/>
        <color rgb="FF000000"/>
        <rFont val="Calibri"/>
        <family val="2"/>
        <charset val="1"/>
      </rPr>
      <t xml:space="preserve">12%</t>
    </r>
    <r>
      <rPr>
        <sz val="11"/>
        <color rgb="FF000000"/>
        <rFont val="Noto Sans SC"/>
        <family val="2"/>
      </rPr>
      <t xml:space="preserve">税、</t>
    </r>
    <r>
      <rPr>
        <sz val="11"/>
        <color rgb="FF000000"/>
        <rFont val="Calibri"/>
        <family val="2"/>
        <charset val="1"/>
      </rPr>
      <t xml:space="preserve">5%</t>
    </r>
    <r>
      <rPr>
        <sz val="11"/>
        <color rgb="FF000000"/>
        <rFont val="Noto Sans SC"/>
        <family val="2"/>
      </rPr>
      <t xml:space="preserve">储备、</t>
    </r>
    <r>
      <rPr>
        <sz val="11"/>
        <color rgb="FF000000"/>
        <rFont val="Calibri"/>
        <family val="2"/>
        <charset val="1"/>
      </rPr>
      <t xml:space="preserve">53000</t>
    </r>
    <r>
      <rPr>
        <sz val="11"/>
        <color rgb="FF000000"/>
        <rFont val="Noto Sans SC"/>
        <family val="2"/>
      </rPr>
      <t xml:space="preserve">上限、人数与机票等。</t>
    </r>
  </si>
  <si>
    <t xml:space="preserve">MIE</t>
  </si>
  <si>
    <t xml:space="preserve">Breakfast</t>
  </si>
  <si>
    <t xml:space="preserve">Lunch</t>
  </si>
  <si>
    <t xml:space="preserve">Dinner</t>
  </si>
  <si>
    <t xml:space="preserve">Incidentals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</si>
</sst>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0;[RED]\(#,##0.0000\);0.0000"/>
    <numFmt numFmtId="166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SC"/>
      <family val="2"/>
    </font>
    <font>
      <b val="true"/>
      <sz val="11"/>
      <color rgb="FF1955A6"/>
      <name val="Cambria"/>
      <family val="0"/>
      <charset val="1"/>
    </font>
    <font>
      <sz val="11"/>
      <color rgb="FF000000"/>
      <name val="Noto Sans SC"/>
      <family val="2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44B60"/>
        <bgColor rgb="FF16324F"/>
      </patternFill>
    </fill>
    <fill>
      <patternFill patternType="solid">
        <fgColor rgb="FFEDF4FF"/>
        <bgColor rgb="FFFFFFFF"/>
      </patternFill>
    </fill>
    <fill>
      <patternFill patternType="solid">
        <fgColor rgb="FF16324F"/>
        <bgColor rgb="FF244B6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6324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DF4FF"/>
      <rgbColor rgb="FF660066"/>
      <rgbColor rgb="FFFF8080"/>
      <rgbColor rgb="FF1955A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244B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n">
        <v>53000</v>
      </c>
      <c r="C2" s="3" t="s">
        <v>4</v>
      </c>
    </row>
    <row r="3" customFormat="false" ht="15" hidden="false" customHeight="false" outlineLevel="0" collapsed="false">
      <c r="A3" s="0" t="s">
        <v>5</v>
      </c>
      <c r="B3" s="2" t="n">
        <v>1</v>
      </c>
      <c r="C3" s="3" t="s">
        <v>6</v>
      </c>
    </row>
    <row r="4" customFormat="false" ht="15" hidden="false" customHeight="false" outlineLevel="0" collapsed="false">
      <c r="A4" s="0" t="s">
        <v>7</v>
      </c>
      <c r="B4" s="2" t="n">
        <v>0.05</v>
      </c>
      <c r="C4" s="3" t="s">
        <v>8</v>
      </c>
    </row>
    <row r="5" customFormat="false" ht="15" hidden="false" customHeight="false" outlineLevel="0" collapsed="false">
      <c r="A5" s="0" t="s">
        <v>9</v>
      </c>
      <c r="B5" s="2" t="n">
        <v>0</v>
      </c>
      <c r="C5" s="0" t="s">
        <v>10</v>
      </c>
    </row>
    <row r="6" customFormat="false" ht="15" hidden="false" customHeight="false" outlineLevel="0" collapsed="false">
      <c r="A6" s="0" t="s">
        <v>11</v>
      </c>
      <c r="B6" s="2" t="n">
        <v>20250928</v>
      </c>
      <c r="C6" s="3" t="s">
        <v>12</v>
      </c>
    </row>
  </sheetData>
  <dataValidations count="5">
    <dataValidation allowBlank="false" error="请使用ControlPanel说明的参数范围。" errorStyle="stop" errorTitle="参数超出本题允许范围" operator="between" showDropDown="false" showErrorMessage="true" showInputMessage="false" sqref="B2" type="decimal">
      <formula1>0</formula1>
      <formula2>100000</formula2>
    </dataValidation>
    <dataValidation allowBlank="false" error="请使用ControlPanel说明的参数范围。" errorStyle="stop" errorTitle="参数超出本题允许范围" operator="between" showDropDown="false" showErrorMessage="true" showInputMessage="false" sqref="B3" type="decimal">
      <formula1>0.5</formula1>
      <formula2>2</formula2>
    </dataValidation>
    <dataValidation allowBlank="false" error="请使用ControlPanel说明的参数范围。" errorStyle="stop" errorTitle="参数超出本题允许范围" operator="between" showDropDown="false" showErrorMessage="true" showInputMessage="false" sqref="B4" type="decimal">
      <formula1>0</formula1>
      <formula2>0.2</formula2>
    </dataValidation>
    <dataValidation allowBlank="false" error="请使用ControlPanel说明的参数范围。" errorStyle="stop" errorTitle="参数超出本题允许范围" operator="between" showDropDown="false" showErrorMessage="true" showInputMessage="false" sqref="B5" type="whole">
      <formula1>0</formula1>
      <formula2>1</formula2>
    </dataValidation>
    <dataValidation allowBlank="false" errorStyle="stop" operator="between" showDropDown="false" showErrorMessage="true" showInputMessage="false" sqref="B6" type="list">
      <formula1>"20250927,20250928,20250929"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2</v>
      </c>
    </row>
    <row r="2" customFormat="false" ht="15" hidden="false" customHeight="false" outlineLevel="0" collapsed="false">
      <c r="A2" s="0" t="s">
        <v>15</v>
      </c>
      <c r="B2" s="0" t="str">
        <f aca="false">IFERROR(INDEX(Options!$A$2:$A$7,MATCH(1,Options!$T$2:$T$7,0)),"NONE")</f>
        <v>Phoenix</v>
      </c>
      <c r="C2" s="3" t="s">
        <v>16</v>
      </c>
    </row>
    <row r="3" customFormat="false" ht="15" hidden="false" customHeight="false" outlineLevel="0" collapsed="false">
      <c r="A3" s="0" t="s">
        <v>17</v>
      </c>
      <c r="B3" s="0" t="n">
        <f aca="false">IFERROR(INDEX(Options!$B$2:$B$7,MATCH(1,Options!$T$2:$T$7,0)),0)</f>
        <v>24</v>
      </c>
      <c r="C3" s="3" t="s">
        <v>18</v>
      </c>
    </row>
    <row r="4" customFormat="false" ht="15" hidden="false" customHeight="false" outlineLevel="0" collapsed="false">
      <c r="A4" s="0" t="s">
        <v>19</v>
      </c>
      <c r="B4" s="0" t="b">
        <f aca="false">AND(WF_BUDGET=53000,WF_AIR_MULTIPLIER=1,WF_RESERVE_RATE=0.05,WF_GOV_BREAKFAST_0929=0,WF_ARRIVAL=20250928)</f>
        <v>1</v>
      </c>
      <c r="C4" s="3" t="s">
        <v>20</v>
      </c>
    </row>
    <row r="5" customFormat="false" ht="15" hidden="false" customHeight="false" outlineLevel="0" collapsed="false">
      <c r="A5" s="3" t="s">
        <v>21</v>
      </c>
      <c r="B5" s="0" t="str">
        <f aca="false">IF(WF_SNAPSHOT_CURRENT,"Word/CSV与默认参数一致","参数已改：Word/CSV是默认快照，需重新导出")</f>
        <v>Word/CSV与默认参数一致</v>
      </c>
      <c r="C5" s="3" t="s">
        <v>22</v>
      </c>
    </row>
    <row r="6" customFormat="false" ht="15" hidden="false" customHeight="false" outlineLevel="0" collapsed="false">
      <c r="A6" s="3" t="s">
        <v>23</v>
      </c>
      <c r="B6" s="0" t="str">
        <f aca="false">IFERROR(INDEX(Options!$A$2:$A$7,MATCH(1,Options!$V$2:$V$7,0)),"NONE")</f>
        <v>Phoenix</v>
      </c>
      <c r="C6" s="3" t="s">
        <v>24</v>
      </c>
    </row>
    <row r="7" customFormat="false" ht="15" hidden="false" customHeight="false" outlineLevel="0" collapsed="false">
      <c r="A7" s="3" t="s">
        <v>25</v>
      </c>
      <c r="B7" s="0" t="n">
        <f aca="false">IFERROR(INDEX(Options!$B$2:$B$7,MATCH(1,Options!$V$2:$V$7,0)),0)</f>
        <v>18</v>
      </c>
      <c r="C7" s="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36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10" min="8" style="0" width="14"/>
    <col collapsed="false" customWidth="true" hidden="false" outlineLevel="0" max="11" min="11" style="0" width="15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8"/>
    <col collapsed="false" customWidth="true" hidden="false" outlineLevel="0" max="15" min="15" style="0" width="14"/>
    <col collapsed="false" customWidth="true" hidden="false" outlineLevel="0" max="16" min="16" style="0" width="27"/>
    <col collapsed="false" customWidth="true" hidden="false" outlineLevel="0" max="17" min="17" style="0" width="23"/>
    <col collapsed="false" customWidth="true" hidden="false" outlineLevel="0" max="18" min="18" style="0" width="19"/>
  </cols>
  <sheetData>
    <row r="1" customFormat="false" ht="31.5" hidden="false" customHeight="true" outlineLevel="0" collapsed="false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  <c r="N1" s="4" t="s">
        <v>40</v>
      </c>
      <c r="O1" s="4" t="s">
        <v>41</v>
      </c>
      <c r="P1" s="4" t="s">
        <v>42</v>
      </c>
      <c r="Q1" s="4" t="s">
        <v>43</v>
      </c>
      <c r="R1" s="4" t="s">
        <v>44</v>
      </c>
      <c r="S1" s="0" t="s">
        <v>45</v>
      </c>
      <c r="T1" s="0" t="s">
        <v>46</v>
      </c>
      <c r="U1" s="0" t="s">
        <v>47</v>
      </c>
      <c r="V1" s="0" t="s">
        <v>48</v>
      </c>
    </row>
    <row r="2" customFormat="false" ht="15" hidden="false" customHeight="false" outlineLevel="0" collapsed="false">
      <c r="A2" s="5" t="s">
        <v>49</v>
      </c>
      <c r="B2" s="5" t="s">
        <v>50</v>
      </c>
      <c r="C2" s="5" t="n">
        <v>2025</v>
      </c>
      <c r="D2" s="5" t="s">
        <v>51</v>
      </c>
      <c r="E2" s="5" t="n">
        <v>258</v>
      </c>
      <c r="F2" s="5" t="n">
        <v>223</v>
      </c>
      <c r="G2" s="5" t="n">
        <v>218</v>
      </c>
      <c r="H2" s="5" t="n">
        <f aca="false">IF(AND(V2,U2&lt;20251002),G2,0)</f>
        <v>218</v>
      </c>
      <c r="I2" s="6" t="n">
        <f aca="false">H2*0.12</f>
        <v>26.16</v>
      </c>
      <c r="J2" s="5" t="n">
        <v>92</v>
      </c>
      <c r="K2" s="6" t="n">
        <f aca="false">IF(V2,IF(OR(U2=WF_ARRIVAL,U2=20251002),0.75,1),0)</f>
        <v>0.75</v>
      </c>
      <c r="L2" s="5" t="str">
        <f aca="false">IF(V2,T2&amp;IF(AND(B2="2025-09-29",WF_GOV_BREAKFAST_0929=1),",breakfast",""),"未旅行")</f>
        <v>dinner</v>
      </c>
      <c r="M2" s="5" t="n">
        <f aca="false">IF(V2,S2+IF(B2="2025-09-29",WF_GOV_BREAKFAST_0929*VLOOKUP(J2,MealBreakdown!$A$2:$E$6,2,0),0),0)</f>
        <v>38</v>
      </c>
      <c r="N2" s="5" t="n">
        <v>5</v>
      </c>
      <c r="O2" s="5" t="n">
        <f aca="false">IF(V2,MAX(N2,J2*K2-M2),0)</f>
        <v>31</v>
      </c>
      <c r="P2" s="5" t="n">
        <v>0</v>
      </c>
      <c r="Q2" s="5" t="n">
        <v>0</v>
      </c>
      <c r="R2" s="7" t="b">
        <f aca="false">TRUE()</f>
        <v>1</v>
      </c>
      <c r="S2" s="0" t="n">
        <v>38</v>
      </c>
      <c r="T2" s="0" t="s">
        <v>52</v>
      </c>
      <c r="U2" s="0" t="n">
        <v>20250928</v>
      </c>
      <c r="V2" s="8" t="b">
        <f aca="false">AND(U2&gt;=WF_ARRIVAL,U2&lt;=20251002)</f>
        <v>1</v>
      </c>
    </row>
    <row r="3" customFormat="false" ht="15" hidden="false" customHeight="false" outlineLevel="0" collapsed="false">
      <c r="A3" s="5" t="s">
        <v>49</v>
      </c>
      <c r="B3" s="5" t="s">
        <v>53</v>
      </c>
      <c r="C3" s="5" t="n">
        <v>2025</v>
      </c>
      <c r="D3" s="5" t="s">
        <v>51</v>
      </c>
      <c r="E3" s="5" t="n">
        <v>258</v>
      </c>
      <c r="F3" s="5" t="n">
        <v>223</v>
      </c>
      <c r="G3" s="5" t="n">
        <v>218</v>
      </c>
      <c r="H3" s="5" t="n">
        <f aca="false">IF(AND(V3,U3&lt;20251002),G3,0)</f>
        <v>218</v>
      </c>
      <c r="I3" s="6" t="n">
        <f aca="false">H3*0.12</f>
        <v>26.16</v>
      </c>
      <c r="J3" s="5" t="n">
        <v>92</v>
      </c>
      <c r="K3" s="5" t="n">
        <f aca="false">IF(V3,IF(OR(U3=WF_ARRIVAL,U3=20251002),0.75,1),0)</f>
        <v>1</v>
      </c>
      <c r="L3" s="5" t="str">
        <f aca="false">IF(V3,T3&amp;IF(AND(B3="2025-09-29",WF_GOV_BREAKFAST_0929=1),",breakfast",""),"未旅行")</f>
        <v>lunch</v>
      </c>
      <c r="M3" s="5" t="n">
        <f aca="false">IF(V3,S3+IF(B3="2025-09-29",WF_GOV_BREAKFAST_0929*VLOOKUP(J3,MealBreakdown!$A$2:$E$6,2,0),0),0)</f>
        <v>26</v>
      </c>
      <c r="N3" s="5" t="n">
        <v>5</v>
      </c>
      <c r="O3" s="5" t="n">
        <f aca="false">IF(V3,MAX(N3,J3*K3-M3),0)</f>
        <v>66</v>
      </c>
      <c r="P3" s="5" t="n">
        <v>0</v>
      </c>
      <c r="Q3" s="5" t="n">
        <v>0</v>
      </c>
      <c r="R3" s="7" t="b">
        <f aca="false">TRUE()</f>
        <v>1</v>
      </c>
      <c r="S3" s="0" t="n">
        <v>26</v>
      </c>
      <c r="T3" s="0" t="s">
        <v>54</v>
      </c>
      <c r="U3" s="0" t="n">
        <v>20250929</v>
      </c>
      <c r="V3" s="8" t="b">
        <f aca="false">AND(U3&gt;=WF_ARRIVAL,U3&lt;=20251002)</f>
        <v>1</v>
      </c>
    </row>
    <row r="4" customFormat="false" ht="15" hidden="false" customHeight="false" outlineLevel="0" collapsed="false">
      <c r="A4" s="5" t="s">
        <v>49</v>
      </c>
      <c r="B4" s="5" t="s">
        <v>55</v>
      </c>
      <c r="C4" s="5" t="n">
        <v>2025</v>
      </c>
      <c r="D4" s="5" t="s">
        <v>51</v>
      </c>
      <c r="E4" s="5" t="n">
        <v>258</v>
      </c>
      <c r="F4" s="5" t="n">
        <v>223</v>
      </c>
      <c r="G4" s="5" t="n">
        <v>218</v>
      </c>
      <c r="H4" s="5" t="n">
        <f aca="false">IF(AND(V4,U4&lt;20251002),G4,0)</f>
        <v>218</v>
      </c>
      <c r="I4" s="6" t="n">
        <f aca="false">H4*0.12</f>
        <v>26.16</v>
      </c>
      <c r="J4" s="5" t="n">
        <v>92</v>
      </c>
      <c r="K4" s="5" t="n">
        <f aca="false">IF(V4,IF(OR(U4=WF_ARRIVAL,U4=20251002),0.75,1),0)</f>
        <v>1</v>
      </c>
      <c r="L4" s="5" t="str">
        <f aca="false">IF(V4,T4&amp;IF(AND(B4="2025-09-29",WF_GOV_BREAKFAST_0929=1),",breakfast",""),"未旅行")</f>
        <v>lunch</v>
      </c>
      <c r="M4" s="5" t="n">
        <f aca="false">IF(V4,S4+IF(B4="2025-09-29",WF_GOV_BREAKFAST_0929*VLOOKUP(J4,MealBreakdown!$A$2:$E$6,2,0),0),0)</f>
        <v>26</v>
      </c>
      <c r="N4" s="5" t="n">
        <v>5</v>
      </c>
      <c r="O4" s="5" t="n">
        <f aca="false">IF(V4,MAX(N4,J4*K4-M4),0)</f>
        <v>66</v>
      </c>
      <c r="P4" s="5" t="n">
        <v>0</v>
      </c>
      <c r="Q4" s="5" t="n">
        <v>0</v>
      </c>
      <c r="R4" s="7" t="b">
        <f aca="false">TRUE()</f>
        <v>1</v>
      </c>
      <c r="S4" s="0" t="n">
        <v>26</v>
      </c>
      <c r="T4" s="0" t="s">
        <v>54</v>
      </c>
      <c r="U4" s="0" t="n">
        <v>20250930</v>
      </c>
      <c r="V4" s="8" t="b">
        <f aca="false">AND(U4&gt;=WF_ARRIVAL,U4&lt;=20251002)</f>
        <v>1</v>
      </c>
    </row>
    <row r="5" customFormat="false" ht="15" hidden="false" customHeight="false" outlineLevel="0" collapsed="false">
      <c r="A5" s="5" t="s">
        <v>49</v>
      </c>
      <c r="B5" s="5" t="s">
        <v>56</v>
      </c>
      <c r="C5" s="5" t="n">
        <v>2026</v>
      </c>
      <c r="D5" s="5" t="s">
        <v>57</v>
      </c>
      <c r="E5" s="5" t="n">
        <v>254</v>
      </c>
      <c r="F5" s="5" t="n">
        <v>223</v>
      </c>
      <c r="G5" s="5" t="n">
        <v>218</v>
      </c>
      <c r="H5" s="5" t="n">
        <f aca="false">IF(AND(V5,U5&lt;20251002),G5,0)</f>
        <v>218</v>
      </c>
      <c r="I5" s="6" t="n">
        <f aca="false">H5*0.12</f>
        <v>26.16</v>
      </c>
      <c r="J5" s="5" t="n">
        <v>92</v>
      </c>
      <c r="K5" s="5" t="n">
        <f aca="false">IF(V5,IF(OR(U5=WF_ARRIVAL,U5=20251002),0.75,1),0)</f>
        <v>1</v>
      </c>
      <c r="L5" s="5" t="str">
        <f aca="false">IF(V5,T5&amp;IF(AND(B5="2025-09-29",WF_GOV_BREAKFAST_0929=1),",breakfast",""),"未旅行")</f>
        <v>lunch,dinner</v>
      </c>
      <c r="M5" s="5" t="n">
        <f aca="false">IF(V5,S5+IF(B5="2025-09-29",WF_GOV_BREAKFAST_0929*VLOOKUP(J5,MealBreakdown!$A$2:$E$6,2,0),0),0)</f>
        <v>64</v>
      </c>
      <c r="N5" s="5" t="n">
        <v>5</v>
      </c>
      <c r="O5" s="5" t="n">
        <f aca="false">IF(V5,MAX(N5,J5*K5-M5),0)</f>
        <v>28</v>
      </c>
      <c r="P5" s="5" t="n">
        <v>0</v>
      </c>
      <c r="Q5" s="5" t="n">
        <v>0</v>
      </c>
      <c r="R5" s="7" t="b">
        <f aca="false">TRUE()</f>
        <v>1</v>
      </c>
      <c r="S5" s="0" t="n">
        <v>64</v>
      </c>
      <c r="T5" s="0" t="s">
        <v>58</v>
      </c>
      <c r="U5" s="0" t="n">
        <v>20251001</v>
      </c>
      <c r="V5" s="8" t="b">
        <f aca="false">AND(U5&gt;=WF_ARRIVAL,U5&lt;=20251002)</f>
        <v>1</v>
      </c>
    </row>
    <row r="6" customFormat="false" ht="15" hidden="false" customHeight="false" outlineLevel="0" collapsed="false">
      <c r="A6" s="5" t="s">
        <v>49</v>
      </c>
      <c r="B6" s="5" t="s">
        <v>59</v>
      </c>
      <c r="C6" s="5" t="n">
        <v>2026</v>
      </c>
      <c r="D6" s="5" t="s">
        <v>57</v>
      </c>
      <c r="E6" s="5" t="n">
        <v>254</v>
      </c>
      <c r="F6" s="5" t="n">
        <v>223</v>
      </c>
      <c r="G6" s="5" t="n">
        <v>218</v>
      </c>
      <c r="H6" s="5" t="n">
        <f aca="false">IF(AND(V6,U6&lt;20251002),G6,0)</f>
        <v>0</v>
      </c>
      <c r="I6" s="5" t="n">
        <f aca="false">H6*0.12</f>
        <v>0</v>
      </c>
      <c r="J6" s="5" t="n">
        <v>92</v>
      </c>
      <c r="K6" s="6" t="n">
        <f aca="false">IF(V6,IF(OR(U6=WF_ARRIVAL,U6=20251002),0.75,1),0)</f>
        <v>0.75</v>
      </c>
      <c r="L6" s="5" t="str">
        <f aca="false">IF(V6,T6&amp;IF(AND(B6="2025-09-29",WF_GOV_BREAKFAST_0929=1),",breakfast",""),"未旅行")</f>
        <v>lunch</v>
      </c>
      <c r="M6" s="5" t="n">
        <f aca="false">IF(V6,S6+IF(B6="2025-09-29",WF_GOV_BREAKFAST_0929*VLOOKUP(J6,MealBreakdown!$A$2:$E$6,2,0),0),0)</f>
        <v>26</v>
      </c>
      <c r="N6" s="5" t="n">
        <v>5</v>
      </c>
      <c r="O6" s="5" t="n">
        <f aca="false">IF(V6,MAX(N6,J6*K6-M6),0)</f>
        <v>43</v>
      </c>
      <c r="P6" s="5" t="n">
        <v>0</v>
      </c>
      <c r="Q6" s="5" t="n">
        <v>0</v>
      </c>
      <c r="R6" s="7" t="b">
        <f aca="false">TRUE()</f>
        <v>1</v>
      </c>
      <c r="S6" s="0" t="n">
        <v>26</v>
      </c>
      <c r="T6" s="0" t="s">
        <v>54</v>
      </c>
      <c r="U6" s="0" t="n">
        <v>20251002</v>
      </c>
      <c r="V6" s="8" t="b">
        <f aca="false">AND(U6&gt;=WF_ARRIVAL,U6&lt;=20251002)</f>
        <v>1</v>
      </c>
    </row>
    <row r="7" customFormat="false" ht="15" hidden="false" customHeight="false" outlineLevel="0" collapsed="false">
      <c r="A7" s="5" t="s">
        <v>60</v>
      </c>
      <c r="B7" s="5" t="s">
        <v>50</v>
      </c>
      <c r="C7" s="5" t="n">
        <v>2025</v>
      </c>
      <c r="D7" s="5" t="s">
        <v>51</v>
      </c>
      <c r="E7" s="5" t="n">
        <v>109</v>
      </c>
      <c r="F7" s="5" t="n">
        <v>215</v>
      </c>
      <c r="G7" s="5" t="n">
        <v>209</v>
      </c>
      <c r="H7" s="5" t="n">
        <f aca="false">IF(AND(V7,U7&lt;20251002),G7,0)</f>
        <v>209</v>
      </c>
      <c r="I7" s="6" t="n">
        <f aca="false">H7*0.12</f>
        <v>25.08</v>
      </c>
      <c r="J7" s="5" t="n">
        <v>92</v>
      </c>
      <c r="K7" s="6" t="n">
        <f aca="false">IF(V7,IF(OR(U7=WF_ARRIVAL,U7=20251002),0.75,1),0)</f>
        <v>0.75</v>
      </c>
      <c r="L7" s="5" t="str">
        <f aca="false">IF(V7,T7&amp;IF(AND(B7="2025-09-29",WF_GOV_BREAKFAST_0929=1),",breakfast",""),"未旅行")</f>
        <v>dinner</v>
      </c>
      <c r="M7" s="5" t="n">
        <f aca="false">IF(V7,S7+IF(B7="2025-09-29",WF_GOV_BREAKFAST_0929*VLOOKUP(J7,MealBreakdown!$A$2:$E$6,2,0),0),0)</f>
        <v>38</v>
      </c>
      <c r="N7" s="5" t="n">
        <v>5</v>
      </c>
      <c r="O7" s="5" t="n">
        <f aca="false">IF(V7,MAX(N7,J7*K7-M7),0)</f>
        <v>31</v>
      </c>
      <c r="P7" s="5" t="n">
        <v>0</v>
      </c>
      <c r="Q7" s="5" t="n">
        <v>0</v>
      </c>
      <c r="R7" s="7" t="b">
        <f aca="false">TRUE()</f>
        <v>1</v>
      </c>
      <c r="S7" s="0" t="n">
        <v>38</v>
      </c>
      <c r="T7" s="0" t="s">
        <v>52</v>
      </c>
      <c r="U7" s="0" t="n">
        <v>20250928</v>
      </c>
      <c r="V7" s="8" t="b">
        <f aca="false">AND(U7&gt;=WF_ARRIVAL,U7&lt;=20251002)</f>
        <v>1</v>
      </c>
    </row>
    <row r="8" customFormat="false" ht="15" hidden="false" customHeight="false" outlineLevel="0" collapsed="false">
      <c r="A8" s="5" t="s">
        <v>60</v>
      </c>
      <c r="B8" s="5" t="s">
        <v>53</v>
      </c>
      <c r="C8" s="5" t="n">
        <v>2025</v>
      </c>
      <c r="D8" s="5" t="s">
        <v>51</v>
      </c>
      <c r="E8" s="5" t="n">
        <v>109</v>
      </c>
      <c r="F8" s="5" t="n">
        <v>215</v>
      </c>
      <c r="G8" s="5" t="n">
        <v>209</v>
      </c>
      <c r="H8" s="5" t="n">
        <f aca="false">IF(AND(V8,U8&lt;20251002),G8,0)</f>
        <v>209</v>
      </c>
      <c r="I8" s="6" t="n">
        <f aca="false">H8*0.12</f>
        <v>25.08</v>
      </c>
      <c r="J8" s="5" t="n">
        <v>92</v>
      </c>
      <c r="K8" s="5" t="n">
        <f aca="false">IF(V8,IF(OR(U8=WF_ARRIVAL,U8=20251002),0.75,1),0)</f>
        <v>1</v>
      </c>
      <c r="L8" s="5" t="str">
        <f aca="false">IF(V8,T8&amp;IF(AND(B8="2025-09-29",WF_GOV_BREAKFAST_0929=1),",breakfast",""),"未旅行")</f>
        <v>lunch</v>
      </c>
      <c r="M8" s="5" t="n">
        <f aca="false">IF(V8,S8+IF(B8="2025-09-29",WF_GOV_BREAKFAST_0929*VLOOKUP(J8,MealBreakdown!$A$2:$E$6,2,0),0),0)</f>
        <v>26</v>
      </c>
      <c r="N8" s="5" t="n">
        <v>5</v>
      </c>
      <c r="O8" s="5" t="n">
        <f aca="false">IF(V8,MAX(N8,J8*K8-M8),0)</f>
        <v>66</v>
      </c>
      <c r="P8" s="5" t="n">
        <v>0</v>
      </c>
      <c r="Q8" s="5" t="n">
        <v>0</v>
      </c>
      <c r="R8" s="7" t="b">
        <f aca="false">TRUE()</f>
        <v>1</v>
      </c>
      <c r="S8" s="0" t="n">
        <v>26</v>
      </c>
      <c r="T8" s="0" t="s">
        <v>54</v>
      </c>
      <c r="U8" s="0" t="n">
        <v>20250929</v>
      </c>
      <c r="V8" s="8" t="b">
        <f aca="false">AND(U8&gt;=WF_ARRIVAL,U8&lt;=20251002)</f>
        <v>1</v>
      </c>
    </row>
    <row r="9" customFormat="false" ht="15" hidden="false" customHeight="false" outlineLevel="0" collapsed="false">
      <c r="A9" s="5" t="s">
        <v>60</v>
      </c>
      <c r="B9" s="5" t="s">
        <v>55</v>
      </c>
      <c r="C9" s="5" t="n">
        <v>2025</v>
      </c>
      <c r="D9" s="5" t="s">
        <v>51</v>
      </c>
      <c r="E9" s="5" t="n">
        <v>109</v>
      </c>
      <c r="F9" s="5" t="n">
        <v>215</v>
      </c>
      <c r="G9" s="5" t="n">
        <v>209</v>
      </c>
      <c r="H9" s="5" t="n">
        <f aca="false">IF(AND(V9,U9&lt;20251002),G9,0)</f>
        <v>209</v>
      </c>
      <c r="I9" s="6" t="n">
        <f aca="false">H9*0.12</f>
        <v>25.08</v>
      </c>
      <c r="J9" s="5" t="n">
        <v>92</v>
      </c>
      <c r="K9" s="5" t="n">
        <f aca="false">IF(V9,IF(OR(U9=WF_ARRIVAL,U9=20251002),0.75,1),0)</f>
        <v>1</v>
      </c>
      <c r="L9" s="5" t="str">
        <f aca="false">IF(V9,T9&amp;IF(AND(B9="2025-09-29",WF_GOV_BREAKFAST_0929=1),",breakfast",""),"未旅行")</f>
        <v>lunch</v>
      </c>
      <c r="M9" s="5" t="n">
        <f aca="false">IF(V9,S9+IF(B9="2025-09-29",WF_GOV_BREAKFAST_0929*VLOOKUP(J9,MealBreakdown!$A$2:$E$6,2,0),0),0)</f>
        <v>26</v>
      </c>
      <c r="N9" s="5" t="n">
        <v>5</v>
      </c>
      <c r="O9" s="5" t="n">
        <f aca="false">IF(V9,MAX(N9,J9*K9-M9),0)</f>
        <v>66</v>
      </c>
      <c r="P9" s="5" t="n">
        <v>0</v>
      </c>
      <c r="Q9" s="5" t="n">
        <v>0</v>
      </c>
      <c r="R9" s="7" t="b">
        <f aca="false">TRUE()</f>
        <v>1</v>
      </c>
      <c r="S9" s="0" t="n">
        <v>26</v>
      </c>
      <c r="T9" s="0" t="s">
        <v>54</v>
      </c>
      <c r="U9" s="0" t="n">
        <v>20250930</v>
      </c>
      <c r="V9" s="8" t="b">
        <f aca="false">AND(U9&gt;=WF_ARRIVAL,U9&lt;=20251002)</f>
        <v>1</v>
      </c>
    </row>
    <row r="10" customFormat="false" ht="15" hidden="false" customHeight="false" outlineLevel="0" collapsed="false">
      <c r="A10" s="5" t="s">
        <v>60</v>
      </c>
      <c r="B10" s="5" t="s">
        <v>56</v>
      </c>
      <c r="C10" s="5" t="n">
        <v>2026</v>
      </c>
      <c r="D10" s="5" t="s">
        <v>57</v>
      </c>
      <c r="E10" s="5" t="n">
        <v>107</v>
      </c>
      <c r="F10" s="5" t="n">
        <v>215</v>
      </c>
      <c r="G10" s="5" t="n">
        <v>209</v>
      </c>
      <c r="H10" s="5" t="n">
        <f aca="false">IF(AND(V10,U10&lt;20251002),G10,0)</f>
        <v>209</v>
      </c>
      <c r="I10" s="6" t="n">
        <f aca="false">H10*0.12</f>
        <v>25.08</v>
      </c>
      <c r="J10" s="5" t="n">
        <v>92</v>
      </c>
      <c r="K10" s="5" t="n">
        <f aca="false">IF(V10,IF(OR(U10=WF_ARRIVAL,U10=20251002),0.75,1),0)</f>
        <v>1</v>
      </c>
      <c r="L10" s="5" t="str">
        <f aca="false">IF(V10,T10&amp;IF(AND(B10="2025-09-29",WF_GOV_BREAKFAST_0929=1),",breakfast",""),"未旅行")</f>
        <v>lunch,dinner</v>
      </c>
      <c r="M10" s="5" t="n">
        <f aca="false">IF(V10,S10+IF(B10="2025-09-29",WF_GOV_BREAKFAST_0929*VLOOKUP(J10,MealBreakdown!$A$2:$E$6,2,0),0),0)</f>
        <v>64</v>
      </c>
      <c r="N10" s="5" t="n">
        <v>5</v>
      </c>
      <c r="O10" s="5" t="n">
        <f aca="false">IF(V10,MAX(N10,J10*K10-M10),0)</f>
        <v>28</v>
      </c>
      <c r="P10" s="5" t="n">
        <v>0</v>
      </c>
      <c r="Q10" s="5" t="n">
        <v>0</v>
      </c>
      <c r="R10" s="7" t="b">
        <f aca="false">TRUE()</f>
        <v>1</v>
      </c>
      <c r="S10" s="0" t="n">
        <v>64</v>
      </c>
      <c r="T10" s="0" t="s">
        <v>58</v>
      </c>
      <c r="U10" s="0" t="n">
        <v>20251001</v>
      </c>
      <c r="V10" s="8" t="b">
        <f aca="false">AND(U10&gt;=WF_ARRIVAL,U10&lt;=20251002)</f>
        <v>1</v>
      </c>
    </row>
    <row r="11" customFormat="false" ht="15" hidden="false" customHeight="false" outlineLevel="0" collapsed="false">
      <c r="A11" s="5" t="s">
        <v>60</v>
      </c>
      <c r="B11" s="5" t="s">
        <v>59</v>
      </c>
      <c r="C11" s="5" t="n">
        <v>2026</v>
      </c>
      <c r="D11" s="5" t="s">
        <v>57</v>
      </c>
      <c r="E11" s="5" t="n">
        <v>107</v>
      </c>
      <c r="F11" s="5" t="n">
        <v>215</v>
      </c>
      <c r="G11" s="5" t="n">
        <v>209</v>
      </c>
      <c r="H11" s="5" t="n">
        <f aca="false">IF(AND(V11,U11&lt;20251002),G11,0)</f>
        <v>0</v>
      </c>
      <c r="I11" s="5" t="n">
        <f aca="false">H11*0.12</f>
        <v>0</v>
      </c>
      <c r="J11" s="5" t="n">
        <v>92</v>
      </c>
      <c r="K11" s="6" t="n">
        <f aca="false">IF(V11,IF(OR(U11=WF_ARRIVAL,U11=20251002),0.75,1),0)</f>
        <v>0.75</v>
      </c>
      <c r="L11" s="5" t="str">
        <f aca="false">IF(V11,T11&amp;IF(AND(B11="2025-09-29",WF_GOV_BREAKFAST_0929=1),",breakfast",""),"未旅行")</f>
        <v>lunch</v>
      </c>
      <c r="M11" s="5" t="n">
        <f aca="false">IF(V11,S11+IF(B11="2025-09-29",WF_GOV_BREAKFAST_0929*VLOOKUP(J11,MealBreakdown!$A$2:$E$6,2,0),0),0)</f>
        <v>26</v>
      </c>
      <c r="N11" s="5" t="n">
        <v>5</v>
      </c>
      <c r="O11" s="5" t="n">
        <f aca="false">IF(V11,MAX(N11,J11*K11-M11),0)</f>
        <v>43</v>
      </c>
      <c r="P11" s="5" t="n">
        <v>0</v>
      </c>
      <c r="Q11" s="5" t="n">
        <v>0</v>
      </c>
      <c r="R11" s="7" t="b">
        <f aca="false">TRUE()</f>
        <v>1</v>
      </c>
      <c r="S11" s="0" t="n">
        <v>26</v>
      </c>
      <c r="T11" s="0" t="s">
        <v>54</v>
      </c>
      <c r="U11" s="0" t="n">
        <v>20251002</v>
      </c>
      <c r="V11" s="8" t="b">
        <f aca="false">AND(U11&gt;=WF_ARRIVAL,U11&lt;=20251002)</f>
        <v>1</v>
      </c>
    </row>
    <row r="12" customFormat="false" ht="15" hidden="false" customHeight="false" outlineLevel="0" collapsed="false">
      <c r="A12" s="5" t="s">
        <v>61</v>
      </c>
      <c r="B12" s="5" t="s">
        <v>50</v>
      </c>
      <c r="C12" s="5" t="n">
        <v>2025</v>
      </c>
      <c r="D12" s="5" t="s">
        <v>51</v>
      </c>
      <c r="E12" s="5" t="n">
        <v>22</v>
      </c>
      <c r="F12" s="5" t="n">
        <v>160</v>
      </c>
      <c r="G12" s="5" t="n">
        <v>155</v>
      </c>
      <c r="H12" s="5" t="n">
        <f aca="false">IF(AND(V12,U12&lt;20251002),G12,0)</f>
        <v>155</v>
      </c>
      <c r="I12" s="6" t="n">
        <f aca="false">H12*0.12</f>
        <v>18.6</v>
      </c>
      <c r="J12" s="5" t="n">
        <v>86</v>
      </c>
      <c r="K12" s="6" t="n">
        <f aca="false">IF(V12,IF(OR(U12=WF_ARRIVAL,U12=20251002),0.75,1),0)</f>
        <v>0.75</v>
      </c>
      <c r="L12" s="5" t="str">
        <f aca="false">IF(V12,T12&amp;IF(AND(B12="2025-09-29",WF_GOV_BREAKFAST_0929=1),",breakfast",""),"未旅行")</f>
        <v>dinner</v>
      </c>
      <c r="M12" s="5" t="n">
        <f aca="false">IF(V12,S12+IF(B12="2025-09-29",WF_GOV_BREAKFAST_0929*VLOOKUP(J12,MealBreakdown!$A$2:$E$6,2,0),0),0)</f>
        <v>36</v>
      </c>
      <c r="N12" s="5" t="n">
        <v>5</v>
      </c>
      <c r="O12" s="6" t="n">
        <f aca="false">IF(V12,MAX(N12,J12*K12-M12),0)</f>
        <v>28.5</v>
      </c>
      <c r="P12" s="5" t="n">
        <v>0</v>
      </c>
      <c r="Q12" s="5" t="n">
        <v>0</v>
      </c>
      <c r="R12" s="7" t="b">
        <f aca="false">TRUE()</f>
        <v>1</v>
      </c>
      <c r="S12" s="0" t="n">
        <v>36</v>
      </c>
      <c r="T12" s="0" t="s">
        <v>52</v>
      </c>
      <c r="U12" s="0" t="n">
        <v>20250928</v>
      </c>
      <c r="V12" s="8" t="b">
        <f aca="false">AND(U12&gt;=WF_ARRIVAL,U12&lt;=20251002)</f>
        <v>1</v>
      </c>
    </row>
    <row r="13" customFormat="false" ht="15" hidden="false" customHeight="false" outlineLevel="0" collapsed="false">
      <c r="A13" s="5" t="s">
        <v>61</v>
      </c>
      <c r="B13" s="5" t="s">
        <v>53</v>
      </c>
      <c r="C13" s="5" t="n">
        <v>2025</v>
      </c>
      <c r="D13" s="5" t="s">
        <v>51</v>
      </c>
      <c r="E13" s="5" t="n">
        <v>22</v>
      </c>
      <c r="F13" s="5" t="n">
        <v>160</v>
      </c>
      <c r="G13" s="5" t="n">
        <v>155</v>
      </c>
      <c r="H13" s="5" t="n">
        <f aca="false">IF(AND(V13,U13&lt;20251002),G13,0)</f>
        <v>155</v>
      </c>
      <c r="I13" s="6" t="n">
        <f aca="false">H13*0.12</f>
        <v>18.6</v>
      </c>
      <c r="J13" s="5" t="n">
        <v>86</v>
      </c>
      <c r="K13" s="5" t="n">
        <f aca="false">IF(V13,IF(OR(U13=WF_ARRIVAL,U13=20251002),0.75,1),0)</f>
        <v>1</v>
      </c>
      <c r="L13" s="5" t="str">
        <f aca="false">IF(V13,T13&amp;IF(AND(B13="2025-09-29",WF_GOV_BREAKFAST_0929=1),",breakfast",""),"未旅行")</f>
        <v>lunch</v>
      </c>
      <c r="M13" s="5" t="n">
        <f aca="false">IF(V13,S13+IF(B13="2025-09-29",WF_GOV_BREAKFAST_0929*VLOOKUP(J13,MealBreakdown!$A$2:$E$6,2,0),0),0)</f>
        <v>23</v>
      </c>
      <c r="N13" s="5" t="n">
        <v>5</v>
      </c>
      <c r="O13" s="5" t="n">
        <f aca="false">IF(V13,MAX(N13,J13*K13-M13),0)</f>
        <v>63</v>
      </c>
      <c r="P13" s="5" t="n">
        <v>0</v>
      </c>
      <c r="Q13" s="5" t="n">
        <v>0</v>
      </c>
      <c r="R13" s="7" t="b">
        <f aca="false">TRUE()</f>
        <v>1</v>
      </c>
      <c r="S13" s="0" t="n">
        <v>23</v>
      </c>
      <c r="T13" s="0" t="s">
        <v>54</v>
      </c>
      <c r="U13" s="0" t="n">
        <v>20250929</v>
      </c>
      <c r="V13" s="8" t="b">
        <f aca="false">AND(U13&gt;=WF_ARRIVAL,U13&lt;=20251002)</f>
        <v>1</v>
      </c>
    </row>
    <row r="14" customFormat="false" ht="15" hidden="false" customHeight="false" outlineLevel="0" collapsed="false">
      <c r="A14" s="5" t="s">
        <v>61</v>
      </c>
      <c r="B14" s="5" t="s">
        <v>55</v>
      </c>
      <c r="C14" s="5" t="n">
        <v>2025</v>
      </c>
      <c r="D14" s="5" t="s">
        <v>51</v>
      </c>
      <c r="E14" s="5" t="n">
        <v>22</v>
      </c>
      <c r="F14" s="5" t="n">
        <v>160</v>
      </c>
      <c r="G14" s="5" t="n">
        <v>155</v>
      </c>
      <c r="H14" s="5" t="n">
        <f aca="false">IF(AND(V14,U14&lt;20251002),G14,0)</f>
        <v>155</v>
      </c>
      <c r="I14" s="6" t="n">
        <f aca="false">H14*0.12</f>
        <v>18.6</v>
      </c>
      <c r="J14" s="5" t="n">
        <v>86</v>
      </c>
      <c r="K14" s="5" t="n">
        <f aca="false">IF(V14,IF(OR(U14=WF_ARRIVAL,U14=20251002),0.75,1),0)</f>
        <v>1</v>
      </c>
      <c r="L14" s="5" t="str">
        <f aca="false">IF(V14,T14&amp;IF(AND(B14="2025-09-29",WF_GOV_BREAKFAST_0929=1),",breakfast",""),"未旅行")</f>
        <v>lunch</v>
      </c>
      <c r="M14" s="5" t="n">
        <f aca="false">IF(V14,S14+IF(B14="2025-09-29",WF_GOV_BREAKFAST_0929*VLOOKUP(J14,MealBreakdown!$A$2:$E$6,2,0),0),0)</f>
        <v>23</v>
      </c>
      <c r="N14" s="5" t="n">
        <v>5</v>
      </c>
      <c r="O14" s="5" t="n">
        <f aca="false">IF(V14,MAX(N14,J14*K14-M14),0)</f>
        <v>63</v>
      </c>
      <c r="P14" s="5" t="n">
        <v>0</v>
      </c>
      <c r="Q14" s="5" t="n">
        <v>0</v>
      </c>
      <c r="R14" s="7" t="b">
        <f aca="false">TRUE()</f>
        <v>1</v>
      </c>
      <c r="S14" s="0" t="n">
        <v>23</v>
      </c>
      <c r="T14" s="0" t="s">
        <v>54</v>
      </c>
      <c r="U14" s="0" t="n">
        <v>20250930</v>
      </c>
      <c r="V14" s="8" t="b">
        <f aca="false">AND(U14&gt;=WF_ARRIVAL,U14&lt;=20251002)</f>
        <v>1</v>
      </c>
    </row>
    <row r="15" customFormat="false" ht="15" hidden="false" customHeight="false" outlineLevel="0" collapsed="false">
      <c r="A15" s="5" t="s">
        <v>61</v>
      </c>
      <c r="B15" s="5" t="s">
        <v>56</v>
      </c>
      <c r="C15" s="5" t="n">
        <v>2026</v>
      </c>
      <c r="D15" s="5" t="s">
        <v>57</v>
      </c>
      <c r="E15" s="5" t="n">
        <v>18</v>
      </c>
      <c r="F15" s="5" t="n">
        <v>160</v>
      </c>
      <c r="G15" s="5" t="n">
        <v>155</v>
      </c>
      <c r="H15" s="5" t="n">
        <f aca="false">IF(AND(V15,U15&lt;20251002),G15,0)</f>
        <v>155</v>
      </c>
      <c r="I15" s="6" t="n">
        <f aca="false">H15*0.12</f>
        <v>18.6</v>
      </c>
      <c r="J15" s="5" t="n">
        <v>86</v>
      </c>
      <c r="K15" s="5" t="n">
        <f aca="false">IF(V15,IF(OR(U15=WF_ARRIVAL,U15=20251002),0.75,1),0)</f>
        <v>1</v>
      </c>
      <c r="L15" s="5" t="str">
        <f aca="false">IF(V15,T15&amp;IF(AND(B15="2025-09-29",WF_GOV_BREAKFAST_0929=1),",breakfast",""),"未旅行")</f>
        <v>lunch,dinner</v>
      </c>
      <c r="M15" s="5" t="n">
        <f aca="false">IF(V15,S15+IF(B15="2025-09-29",WF_GOV_BREAKFAST_0929*VLOOKUP(J15,MealBreakdown!$A$2:$E$6,2,0),0),0)</f>
        <v>59</v>
      </c>
      <c r="N15" s="5" t="n">
        <v>5</v>
      </c>
      <c r="O15" s="5" t="n">
        <f aca="false">IF(V15,MAX(N15,J15*K15-M15),0)</f>
        <v>27</v>
      </c>
      <c r="P15" s="5" t="n">
        <v>0</v>
      </c>
      <c r="Q15" s="5" t="n">
        <v>0</v>
      </c>
      <c r="R15" s="7" t="b">
        <f aca="false">TRUE()</f>
        <v>1</v>
      </c>
      <c r="S15" s="0" t="n">
        <v>59</v>
      </c>
      <c r="T15" s="0" t="s">
        <v>58</v>
      </c>
      <c r="U15" s="0" t="n">
        <v>20251001</v>
      </c>
      <c r="V15" s="8" t="b">
        <f aca="false">AND(U15&gt;=WF_ARRIVAL,U15&lt;=20251002)</f>
        <v>1</v>
      </c>
    </row>
    <row r="16" customFormat="false" ht="15" hidden="false" customHeight="false" outlineLevel="0" collapsed="false">
      <c r="A16" s="5" t="s">
        <v>61</v>
      </c>
      <c r="B16" s="5" t="s">
        <v>59</v>
      </c>
      <c r="C16" s="5" t="n">
        <v>2026</v>
      </c>
      <c r="D16" s="5" t="s">
        <v>57</v>
      </c>
      <c r="E16" s="5" t="n">
        <v>18</v>
      </c>
      <c r="F16" s="5" t="n">
        <v>160</v>
      </c>
      <c r="G16" s="5" t="n">
        <v>155</v>
      </c>
      <c r="H16" s="5" t="n">
        <f aca="false">IF(AND(V16,U16&lt;20251002),G16,0)</f>
        <v>0</v>
      </c>
      <c r="I16" s="5" t="n">
        <f aca="false">H16*0.12</f>
        <v>0</v>
      </c>
      <c r="J16" s="5" t="n">
        <v>86</v>
      </c>
      <c r="K16" s="6" t="n">
        <f aca="false">IF(V16,IF(OR(U16=WF_ARRIVAL,U16=20251002),0.75,1),0)</f>
        <v>0.75</v>
      </c>
      <c r="L16" s="5" t="str">
        <f aca="false">IF(V16,T16&amp;IF(AND(B16="2025-09-29",WF_GOV_BREAKFAST_0929=1),",breakfast",""),"未旅行")</f>
        <v>lunch</v>
      </c>
      <c r="M16" s="5" t="n">
        <f aca="false">IF(V16,S16+IF(B16="2025-09-29",WF_GOV_BREAKFAST_0929*VLOOKUP(J16,MealBreakdown!$A$2:$E$6,2,0),0),0)</f>
        <v>23</v>
      </c>
      <c r="N16" s="5" t="n">
        <v>5</v>
      </c>
      <c r="O16" s="6" t="n">
        <f aca="false">IF(V16,MAX(N16,J16*K16-M16),0)</f>
        <v>41.5</v>
      </c>
      <c r="P16" s="5" t="n">
        <v>0</v>
      </c>
      <c r="Q16" s="5" t="n">
        <v>0</v>
      </c>
      <c r="R16" s="7" t="b">
        <f aca="false">TRUE()</f>
        <v>1</v>
      </c>
      <c r="S16" s="0" t="n">
        <v>23</v>
      </c>
      <c r="T16" s="0" t="s">
        <v>54</v>
      </c>
      <c r="U16" s="0" t="n">
        <v>20251002</v>
      </c>
      <c r="V16" s="8" t="b">
        <f aca="false">AND(U16&gt;=WF_ARRIVAL,U16&lt;=20251002)</f>
        <v>1</v>
      </c>
    </row>
    <row r="17" customFormat="false" ht="15" hidden="false" customHeight="false" outlineLevel="0" collapsed="false">
      <c r="A17" s="0" t="s">
        <v>49</v>
      </c>
      <c r="B17" s="0" t="s">
        <v>62</v>
      </c>
      <c r="C17" s="0" t="n">
        <v>2025</v>
      </c>
      <c r="D17" s="0" t="s">
        <v>51</v>
      </c>
      <c r="E17" s="0" t="n">
        <v>258</v>
      </c>
      <c r="F17" s="0" t="n">
        <v>223</v>
      </c>
      <c r="G17" s="0" t="n">
        <v>218</v>
      </c>
      <c r="H17" s="0" t="n">
        <f aca="false">IF(AND(V17,U17&lt;20251002),G17,0)</f>
        <v>0</v>
      </c>
      <c r="I17" s="0" t="n">
        <f aca="false">H17*0.12</f>
        <v>0</v>
      </c>
      <c r="J17" s="0" t="n">
        <v>92</v>
      </c>
      <c r="K17" s="0" t="n">
        <f aca="false">IF(V17,IF(OR(U17=WF_ARRIVAL,U17=20251002),0.75,1),0)</f>
        <v>0</v>
      </c>
      <c r="L17" s="0" t="str">
        <f aca="false">IF(V17,T17&amp;IF(AND(B17="2025-09-29",WF_GOV_BREAKFAST_0929=1),",breakfast",""),"未旅行")</f>
        <v>未旅行</v>
      </c>
      <c r="M17" s="0" t="n">
        <f aca="false">IF(V17,S17+IF(B17="2025-09-29",WF_GOV_BREAKFAST_0929*VLOOKUP(J17,MealBreakdown!$A$2:$E$6,2,0),0),0)</f>
        <v>0</v>
      </c>
      <c r="N17" s="0" t="n">
        <v>5</v>
      </c>
      <c r="O17" s="0" t="n">
        <f aca="false">IF(V17,MAX(N17,J17*K17-M17),0)</f>
        <v>0</v>
      </c>
      <c r="P17" s="0" t="n">
        <v>0</v>
      </c>
      <c r="Q17" s="0" t="n">
        <v>0</v>
      </c>
      <c r="R17" s="0" t="b">
        <f aca="false">TRUE()</f>
        <v>1</v>
      </c>
      <c r="S17" s="0" t="n">
        <v>0</v>
      </c>
      <c r="U17" s="0" t="n">
        <v>20250927</v>
      </c>
      <c r="V17" s="8" t="b">
        <f aca="false">AND(U17&gt;=WF_ARRIVAL,U17&lt;=20251002)</f>
        <v>0</v>
      </c>
    </row>
    <row r="18" customFormat="false" ht="15" hidden="false" customHeight="false" outlineLevel="0" collapsed="false">
      <c r="A18" s="0" t="s">
        <v>60</v>
      </c>
      <c r="B18" s="0" t="s">
        <v>62</v>
      </c>
      <c r="C18" s="0" t="n">
        <v>2025</v>
      </c>
      <c r="D18" s="0" t="s">
        <v>51</v>
      </c>
      <c r="E18" s="0" t="n">
        <v>109</v>
      </c>
      <c r="F18" s="0" t="n">
        <v>215</v>
      </c>
      <c r="G18" s="0" t="n">
        <v>209</v>
      </c>
      <c r="H18" s="0" t="n">
        <f aca="false">IF(AND(V18,U18&lt;20251002),G18,0)</f>
        <v>0</v>
      </c>
      <c r="I18" s="0" t="n">
        <f aca="false">H18*0.12</f>
        <v>0</v>
      </c>
      <c r="J18" s="0" t="n">
        <v>92</v>
      </c>
      <c r="K18" s="0" t="n">
        <f aca="false">IF(V18,IF(OR(U18=WF_ARRIVAL,U18=20251002),0.75,1),0)</f>
        <v>0</v>
      </c>
      <c r="L18" s="0" t="str">
        <f aca="false">IF(V18,T18&amp;IF(AND(B18="2025-09-29",WF_GOV_BREAKFAST_0929=1),",breakfast",""),"未旅行")</f>
        <v>未旅行</v>
      </c>
      <c r="M18" s="0" t="n">
        <f aca="false">IF(V18,S18+IF(B18="2025-09-29",WF_GOV_BREAKFAST_0929*VLOOKUP(J18,MealBreakdown!$A$2:$E$6,2,0),0),0)</f>
        <v>0</v>
      </c>
      <c r="N18" s="0" t="n">
        <v>5</v>
      </c>
      <c r="O18" s="0" t="n">
        <f aca="false">IF(V18,MAX(N18,J18*K18-M18),0)</f>
        <v>0</v>
      </c>
      <c r="P18" s="0" t="n">
        <v>0</v>
      </c>
      <c r="Q18" s="0" t="n">
        <v>0</v>
      </c>
      <c r="R18" s="0" t="b">
        <f aca="false">TRUE()</f>
        <v>1</v>
      </c>
      <c r="S18" s="0" t="n">
        <v>0</v>
      </c>
      <c r="U18" s="0" t="n">
        <v>20250927</v>
      </c>
      <c r="V18" s="8" t="b">
        <f aca="false">AND(U18&gt;=WF_ARRIVAL,U18&lt;=20251002)</f>
        <v>0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0" t="n">
        <v>2025</v>
      </c>
      <c r="D19" s="0" t="s">
        <v>51</v>
      </c>
      <c r="E19" s="0" t="n">
        <v>22</v>
      </c>
      <c r="F19" s="0" t="n">
        <v>160</v>
      </c>
      <c r="G19" s="0" t="n">
        <v>155</v>
      </c>
      <c r="H19" s="0" t="n">
        <f aca="false">IF(AND(V19,U19&lt;20251002),G19,0)</f>
        <v>0</v>
      </c>
      <c r="I19" s="0" t="n">
        <f aca="false">H19*0.12</f>
        <v>0</v>
      </c>
      <c r="J19" s="0" t="n">
        <v>86</v>
      </c>
      <c r="K19" s="0" t="n">
        <f aca="false">IF(V19,IF(OR(U19=WF_ARRIVAL,U19=20251002),0.75,1),0)</f>
        <v>0</v>
      </c>
      <c r="L19" s="0" t="str">
        <f aca="false">IF(V19,T19&amp;IF(AND(B19="2025-09-29",WF_GOV_BREAKFAST_0929=1),",breakfast",""),"未旅行")</f>
        <v>未旅行</v>
      </c>
      <c r="M19" s="0" t="n">
        <f aca="false">IF(V19,S19+IF(B19="2025-09-29",WF_GOV_BREAKFAST_0929*VLOOKUP(J19,MealBreakdown!$A$2:$E$6,2,0),0),0)</f>
        <v>0</v>
      </c>
      <c r="N19" s="0" t="n">
        <v>5</v>
      </c>
      <c r="O19" s="0" t="n">
        <f aca="false">IF(V19,MAX(N19,J19*K19-M19),0)</f>
        <v>0</v>
      </c>
      <c r="P19" s="0" t="n">
        <v>0</v>
      </c>
      <c r="Q19" s="0" t="n">
        <v>0</v>
      </c>
      <c r="R19" s="0" t="b">
        <f aca="false">TRUE()</f>
        <v>1</v>
      </c>
      <c r="S19" s="0" t="n">
        <v>0</v>
      </c>
      <c r="U19" s="0" t="n">
        <v>20250927</v>
      </c>
      <c r="V19" s="8" t="b">
        <f aca="false">AND(U19&gt;=WF_ARRIVAL,U19&lt;=20251002)</f>
        <v>0</v>
      </c>
    </row>
  </sheetData>
  <autoFilter ref="A1:R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9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25"/>
    <col collapsed="false" customWidth="true" hidden="false" outlineLevel="0" max="10" min="9" style="0" width="14"/>
    <col collapsed="false" customWidth="true" hidden="false" outlineLevel="0" max="12" min="11" style="0" width="19"/>
    <col collapsed="false" customWidth="true" hidden="false" outlineLevel="0" max="13" min="13" style="0" width="14"/>
    <col collapsed="false" customWidth="true" hidden="false" outlineLevel="0" max="14" min="14" style="0" width="20"/>
    <col collapsed="false" customWidth="true" hidden="false" outlineLevel="0" max="16" min="15" style="0" width="14"/>
    <col collapsed="false" customWidth="true" hidden="false" outlineLevel="0" max="18" min="17" style="0" width="19"/>
    <col collapsed="false" customWidth="true" hidden="false" outlineLevel="0" max="19" min="19" style="0" width="20"/>
  </cols>
  <sheetData>
    <row r="1" customFormat="false" ht="31.5" hidden="false" customHeight="true" outlineLevel="0" collapsed="false">
      <c r="A1" s="4" t="s">
        <v>27</v>
      </c>
      <c r="B1" s="4" t="s">
        <v>63</v>
      </c>
      <c r="C1" s="4" t="s">
        <v>34</v>
      </c>
      <c r="D1" s="4" t="s">
        <v>35</v>
      </c>
      <c r="E1" s="4" t="s">
        <v>41</v>
      </c>
      <c r="F1" s="4" t="s">
        <v>64</v>
      </c>
      <c r="G1" s="4" t="s">
        <v>65</v>
      </c>
      <c r="H1" s="4" t="s">
        <v>66</v>
      </c>
      <c r="I1" s="4" t="s">
        <v>67</v>
      </c>
      <c r="J1" s="4" t="s">
        <v>68</v>
      </c>
      <c r="K1" s="4" t="s">
        <v>69</v>
      </c>
      <c r="L1" s="4" t="s">
        <v>70</v>
      </c>
      <c r="M1" s="4" t="s">
        <v>71</v>
      </c>
      <c r="N1" s="4" t="s">
        <v>72</v>
      </c>
      <c r="O1" s="4" t="s">
        <v>73</v>
      </c>
      <c r="P1" s="4" t="s">
        <v>74</v>
      </c>
      <c r="Q1" s="4" t="s">
        <v>75</v>
      </c>
      <c r="R1" s="4" t="s">
        <v>76</v>
      </c>
      <c r="S1" s="4" t="s">
        <v>77</v>
      </c>
      <c r="T1" s="0" t="s">
        <v>78</v>
      </c>
      <c r="U1" s="0" t="s">
        <v>79</v>
      </c>
      <c r="V1" s="0" t="s">
        <v>80</v>
      </c>
    </row>
    <row r="2" customFormat="false" ht="15" hidden="false" customHeight="false" outlineLevel="0" collapsed="false">
      <c r="A2" s="5" t="s">
        <v>49</v>
      </c>
      <c r="B2" s="5" t="n">
        <v>18</v>
      </c>
      <c r="C2" s="5" t="n">
        <f aca="false">SUMIF(Daily!$A$2:$A$19,A2,Daily!$H$2:$H$19)</f>
        <v>872</v>
      </c>
      <c r="D2" s="6" t="n">
        <f aca="false">SUMIF(Daily!$A$2:$A$19,A2,Daily!$I$2:$I$19)</f>
        <v>104.64</v>
      </c>
      <c r="E2" s="5" t="n">
        <f aca="false">SUMIF(Daily!$A$2:$A$19,A2,Daily!$O$2:$O$19)</f>
        <v>234</v>
      </c>
      <c r="F2" s="5" t="n">
        <v>410</v>
      </c>
      <c r="G2" s="5" t="n">
        <v>80</v>
      </c>
      <c r="H2" s="5" t="n">
        <v>180</v>
      </c>
      <c r="I2" s="6" t="n">
        <f aca="false">C2+D2+E2+F2*WF_AIR_MULTIPLIER+G2+H2</f>
        <v>1880.64</v>
      </c>
      <c r="J2" s="5" t="n">
        <v>9500</v>
      </c>
      <c r="K2" s="6" t="n">
        <f aca="false">I2*B2+J2</f>
        <v>43351.52</v>
      </c>
      <c r="L2" s="6" t="n">
        <f aca="false">K2*WF_RESERVE_RATE</f>
        <v>2167.576</v>
      </c>
      <c r="M2" s="6" t="n">
        <f aca="false">K2+L2</f>
        <v>45519.096</v>
      </c>
      <c r="N2" s="6" t="n">
        <f aca="false">WF_BUDGET-M2</f>
        <v>7480.904</v>
      </c>
      <c r="O2" s="7" t="b">
        <f aca="false">TRUE()</f>
        <v>1</v>
      </c>
      <c r="P2" s="7" t="b">
        <f aca="false">AND(O2,M2&lt;=WF_BUDGET)</f>
        <v>1</v>
      </c>
      <c r="Q2" s="6" t="n">
        <f aca="false">K2+0.2*F2*WF_AIR_MULTIPLIER*B2</f>
        <v>44827.52</v>
      </c>
      <c r="R2" s="6" t="n">
        <f aca="false">Q2*(1+WF_RESERVE_RATE)</f>
        <v>47068.896</v>
      </c>
      <c r="S2" s="6" t="n">
        <f aca="false">WF_BUDGET-R2</f>
        <v>5931.104</v>
      </c>
      <c r="T2" s="0" t="n">
        <f aca="false">IF(P2,COUNTIFS($P$2:$P$7,TRUE(),$B$2:$B$7,"&gt;"&amp;B2)+COUNTIFS($P$2:$P$7,TRUE(),$B$2:$B$7,B2,$M$2:$M$7,"&lt;"&amp;M2)+COUNTIFS($P$2:$P$7,TRUE(),$B$2:$B$7,B2,$M$2:$M$7,M2,$A$2:$A$7,"&lt;"&amp;A2)+1,999)</f>
        <v>4</v>
      </c>
      <c r="U2" s="0" t="b">
        <f aca="false">AND(O2,R2&lt;=WF_BUDGET)</f>
        <v>1</v>
      </c>
      <c r="V2" s="0" t="n">
        <f aca="false">IF(U2,COUNTIFS($U$2:$U$7,TRUE(),$B$2:$B$7,"&gt;"&amp;B2)+COUNTIFS($U$2:$U$7,TRUE(),$B$2:$B$7,B2,$R$2:$R$7,"&lt;"&amp;R2)+COUNTIFS($U$2:$U$7,TRUE(),$B$2:$B$7,B2,$R$2:$R$7,R2,$A$2:$A$7,"&lt;"&amp;A2)+1,999)</f>
        <v>3</v>
      </c>
    </row>
    <row r="3" customFormat="false" ht="15" hidden="false" customHeight="false" outlineLevel="0" collapsed="false">
      <c r="A3" s="5" t="s">
        <v>49</v>
      </c>
      <c r="B3" s="5" t="n">
        <v>24</v>
      </c>
      <c r="C3" s="5" t="n">
        <f aca="false">SUMIF(Daily!$A$2:$A$19,A3,Daily!$H$2:$H$19)</f>
        <v>872</v>
      </c>
      <c r="D3" s="6" t="n">
        <f aca="false">SUMIF(Daily!$A$2:$A$19,A3,Daily!$I$2:$I$19)</f>
        <v>104.64</v>
      </c>
      <c r="E3" s="5" t="n">
        <f aca="false">SUMIF(Daily!$A$2:$A$19,A3,Daily!$O$2:$O$19)</f>
        <v>234</v>
      </c>
      <c r="F3" s="5" t="n">
        <v>410</v>
      </c>
      <c r="G3" s="5" t="n">
        <v>80</v>
      </c>
      <c r="H3" s="5" t="n">
        <v>180</v>
      </c>
      <c r="I3" s="6" t="n">
        <f aca="false">C3+D3+E3+F3*WF_AIR_MULTIPLIER+G3+H3</f>
        <v>1880.64</v>
      </c>
      <c r="J3" s="5" t="n">
        <v>9500</v>
      </c>
      <c r="K3" s="6" t="n">
        <f aca="false">I3*B3+J3</f>
        <v>54635.36</v>
      </c>
      <c r="L3" s="6" t="n">
        <f aca="false">K3*WF_RESERVE_RATE</f>
        <v>2731.768</v>
      </c>
      <c r="M3" s="6" t="n">
        <f aca="false">K3+L3</f>
        <v>57367.128</v>
      </c>
      <c r="N3" s="6" t="n">
        <f aca="false">WF_BUDGET-M3</f>
        <v>-4367.128</v>
      </c>
      <c r="O3" s="7" t="b">
        <f aca="false">TRUE()</f>
        <v>1</v>
      </c>
      <c r="P3" s="7" t="b">
        <f aca="false">AND(O3,M3&lt;=WF_BUDGET)</f>
        <v>0</v>
      </c>
      <c r="Q3" s="6" t="n">
        <f aca="false">K3+0.2*F3*WF_AIR_MULTIPLIER*B3</f>
        <v>56603.36</v>
      </c>
      <c r="R3" s="6" t="n">
        <f aca="false">Q3*(1+WF_RESERVE_RATE)</f>
        <v>59433.528</v>
      </c>
      <c r="S3" s="6" t="n">
        <f aca="false">WF_BUDGET-R3</f>
        <v>-6433.52800000001</v>
      </c>
      <c r="T3" s="0" t="n">
        <f aca="false">IF(P3,COUNTIFS($P$2:$P$7,TRUE(),$B$2:$B$7,"&gt;"&amp;B3)+COUNTIFS($P$2:$P$7,TRUE(),$B$2:$B$7,B3,$M$2:$M$7,"&lt;"&amp;M3)+COUNTIFS($P$2:$P$7,TRUE(),$B$2:$B$7,B3,$M$2:$M$7,M3,$A$2:$A$7,"&lt;"&amp;A3)+1,999)</f>
        <v>999</v>
      </c>
      <c r="U3" s="0" t="b">
        <f aca="false">AND(O3,R3&lt;=WF_BUDGET)</f>
        <v>0</v>
      </c>
      <c r="V3" s="0" t="n">
        <f aca="false">IF(U3,COUNTIFS($U$2:$U$7,TRUE(),$B$2:$B$7,"&gt;"&amp;B3)+COUNTIFS($U$2:$U$7,TRUE(),$B$2:$B$7,B3,$R$2:$R$7,"&lt;"&amp;R3)+COUNTIFS($U$2:$U$7,TRUE(),$B$2:$B$7,B3,$R$2:$R$7,R3,$A$2:$A$7,"&lt;"&amp;A3)+1,999)</f>
        <v>999</v>
      </c>
    </row>
    <row r="4" customFormat="false" ht="15" hidden="false" customHeight="false" outlineLevel="0" collapsed="false">
      <c r="A4" s="5" t="s">
        <v>60</v>
      </c>
      <c r="B4" s="5" t="n">
        <v>18</v>
      </c>
      <c r="C4" s="5" t="n">
        <f aca="false">SUMIF(Daily!$A$2:$A$19,A4,Daily!$H$2:$H$19)</f>
        <v>836</v>
      </c>
      <c r="D4" s="6" t="n">
        <f aca="false">SUMIF(Daily!$A$2:$A$19,A4,Daily!$I$2:$I$19)</f>
        <v>100.32</v>
      </c>
      <c r="E4" s="5" t="n">
        <f aca="false">SUMIF(Daily!$A$2:$A$19,A4,Daily!$O$2:$O$19)</f>
        <v>234</v>
      </c>
      <c r="F4" s="5" t="n">
        <v>340</v>
      </c>
      <c r="G4" s="5" t="n">
        <v>70</v>
      </c>
      <c r="H4" s="5" t="n">
        <v>180</v>
      </c>
      <c r="I4" s="6" t="n">
        <f aca="false">C4+D4+E4+F4*WF_AIR_MULTIPLIER+G4+H4</f>
        <v>1760.32</v>
      </c>
      <c r="J4" s="5" t="n">
        <v>10500</v>
      </c>
      <c r="K4" s="6" t="n">
        <f aca="false">I4*B4+J4</f>
        <v>42185.76</v>
      </c>
      <c r="L4" s="6" t="n">
        <f aca="false">K4*WF_RESERVE_RATE</f>
        <v>2109.288</v>
      </c>
      <c r="M4" s="6" t="n">
        <f aca="false">K4+L4</f>
        <v>44295.048</v>
      </c>
      <c r="N4" s="6" t="n">
        <f aca="false">WF_BUDGET-M4</f>
        <v>8704.952</v>
      </c>
      <c r="O4" s="7" t="b">
        <f aca="false">TRUE()</f>
        <v>1</v>
      </c>
      <c r="P4" s="7" t="b">
        <f aca="false">AND(O4,M4&lt;=WF_BUDGET)</f>
        <v>1</v>
      </c>
      <c r="Q4" s="6" t="n">
        <f aca="false">K4+0.2*F4*WF_AIR_MULTIPLIER*B4</f>
        <v>43409.76</v>
      </c>
      <c r="R4" s="6" t="n">
        <f aca="false">Q4*(1+WF_RESERVE_RATE)</f>
        <v>45580.248</v>
      </c>
      <c r="S4" s="6" t="n">
        <f aca="false">WF_BUDGET-R4</f>
        <v>7419.752</v>
      </c>
      <c r="T4" s="0" t="n">
        <f aca="false">IF(P4,COUNTIFS($P$2:$P$7,TRUE(),$B$2:$B$7,"&gt;"&amp;B4)+COUNTIFS($P$2:$P$7,TRUE(),$B$2:$B$7,B4,$M$2:$M$7,"&lt;"&amp;M4)+COUNTIFS($P$2:$P$7,TRUE(),$B$2:$B$7,B4,$M$2:$M$7,M4,$A$2:$A$7,"&lt;"&amp;A4)+1,999)</f>
        <v>3</v>
      </c>
      <c r="U4" s="0" t="b">
        <f aca="false">AND(O4,R4&lt;=WF_BUDGET)</f>
        <v>1</v>
      </c>
      <c r="V4" s="0" t="n">
        <f aca="false">IF(U4,COUNTIFS($U$2:$U$7,TRUE(),$B$2:$B$7,"&gt;"&amp;B4)+COUNTIFS($U$2:$U$7,TRUE(),$B$2:$B$7,B4,$R$2:$R$7,"&lt;"&amp;R4)+COUNTIFS($U$2:$U$7,TRUE(),$B$2:$B$7,B4,$R$2:$R$7,R4,$A$2:$A$7,"&lt;"&amp;A4)+1,999)</f>
        <v>2</v>
      </c>
    </row>
    <row r="5" customFormat="false" ht="15" hidden="false" customHeight="false" outlineLevel="0" collapsed="false">
      <c r="A5" s="5" t="s">
        <v>60</v>
      </c>
      <c r="B5" s="5" t="n">
        <v>24</v>
      </c>
      <c r="C5" s="5" t="n">
        <f aca="false">SUMIF(Daily!$A$2:$A$19,A5,Daily!$H$2:$H$19)</f>
        <v>836</v>
      </c>
      <c r="D5" s="6" t="n">
        <f aca="false">SUMIF(Daily!$A$2:$A$19,A5,Daily!$I$2:$I$19)</f>
        <v>100.32</v>
      </c>
      <c r="E5" s="5" t="n">
        <f aca="false">SUMIF(Daily!$A$2:$A$19,A5,Daily!$O$2:$O$19)</f>
        <v>234</v>
      </c>
      <c r="F5" s="5" t="n">
        <v>340</v>
      </c>
      <c r="G5" s="5" t="n">
        <v>70</v>
      </c>
      <c r="H5" s="5" t="n">
        <v>180</v>
      </c>
      <c r="I5" s="6" t="n">
        <f aca="false">C5+D5+E5+F5*WF_AIR_MULTIPLIER+G5+H5</f>
        <v>1760.32</v>
      </c>
      <c r="J5" s="5" t="n">
        <v>10500</v>
      </c>
      <c r="K5" s="6" t="n">
        <f aca="false">I5*B5+J5</f>
        <v>52747.68</v>
      </c>
      <c r="L5" s="6" t="n">
        <f aca="false">K5*WF_RESERVE_RATE</f>
        <v>2637.384</v>
      </c>
      <c r="M5" s="6" t="n">
        <f aca="false">K5+L5</f>
        <v>55385.064</v>
      </c>
      <c r="N5" s="6" t="n">
        <f aca="false">WF_BUDGET-M5</f>
        <v>-2385.064</v>
      </c>
      <c r="O5" s="7" t="b">
        <f aca="false">TRUE()</f>
        <v>1</v>
      </c>
      <c r="P5" s="7" t="b">
        <f aca="false">AND(O5,M5&lt;=WF_BUDGET)</f>
        <v>0</v>
      </c>
      <c r="Q5" s="6" t="n">
        <f aca="false">K5+0.2*F5*WF_AIR_MULTIPLIER*B5</f>
        <v>54379.68</v>
      </c>
      <c r="R5" s="6" t="n">
        <f aca="false">Q5*(1+WF_RESERVE_RATE)</f>
        <v>57098.664</v>
      </c>
      <c r="S5" s="6" t="n">
        <f aca="false">WF_BUDGET-R5</f>
        <v>-4098.66400000001</v>
      </c>
      <c r="T5" s="0" t="n">
        <f aca="false">IF(P5,COUNTIFS($P$2:$P$7,TRUE(),$B$2:$B$7,"&gt;"&amp;B5)+COUNTIFS($P$2:$P$7,TRUE(),$B$2:$B$7,B5,$M$2:$M$7,"&lt;"&amp;M5)+COUNTIFS($P$2:$P$7,TRUE(),$B$2:$B$7,B5,$M$2:$M$7,M5,$A$2:$A$7,"&lt;"&amp;A5)+1,999)</f>
        <v>999</v>
      </c>
      <c r="U5" s="0" t="b">
        <f aca="false">AND(O5,R5&lt;=WF_BUDGET)</f>
        <v>0</v>
      </c>
      <c r="V5" s="0" t="n">
        <f aca="false">IF(U5,COUNTIFS($U$2:$U$7,TRUE(),$B$2:$B$7,"&gt;"&amp;B5)+COUNTIFS($U$2:$U$7,TRUE(),$B$2:$B$7,B5,$R$2:$R$7,"&lt;"&amp;R5)+COUNTIFS($U$2:$U$7,TRUE(),$B$2:$B$7,B5,$R$2:$R$7,R5,$A$2:$A$7,"&lt;"&amp;A5)+1,999)</f>
        <v>999</v>
      </c>
    </row>
    <row r="6" customFormat="false" ht="15" hidden="false" customHeight="false" outlineLevel="0" collapsed="false">
      <c r="A6" s="5" t="s">
        <v>61</v>
      </c>
      <c r="B6" s="5" t="n">
        <v>18</v>
      </c>
      <c r="C6" s="5" t="n">
        <f aca="false">SUMIF(Daily!$A$2:$A$19,A6,Daily!$H$2:$H$19)</f>
        <v>620</v>
      </c>
      <c r="D6" s="6" t="n">
        <f aca="false">SUMIF(Daily!$A$2:$A$19,A6,Daily!$I$2:$I$19)</f>
        <v>74.4</v>
      </c>
      <c r="E6" s="5" t="n">
        <f aca="false">SUMIF(Daily!$A$2:$A$19,A6,Daily!$O$2:$O$19)</f>
        <v>223</v>
      </c>
      <c r="F6" s="5" t="n">
        <v>510</v>
      </c>
      <c r="G6" s="5" t="n">
        <v>90</v>
      </c>
      <c r="H6" s="5" t="n">
        <v>180</v>
      </c>
      <c r="I6" s="6" t="n">
        <f aca="false">C6+D6+E6+F6*WF_AIR_MULTIPLIER+G6+H6</f>
        <v>1697.4</v>
      </c>
      <c r="J6" s="5" t="n">
        <v>8000</v>
      </c>
      <c r="K6" s="6" t="n">
        <f aca="false">I6*B6+J6</f>
        <v>38553.2</v>
      </c>
      <c r="L6" s="6" t="n">
        <f aca="false">K6*WF_RESERVE_RATE</f>
        <v>1927.66</v>
      </c>
      <c r="M6" s="6" t="n">
        <f aca="false">K6+L6</f>
        <v>40480.86</v>
      </c>
      <c r="N6" s="6" t="n">
        <f aca="false">WF_BUDGET-M6</f>
        <v>12519.14</v>
      </c>
      <c r="O6" s="7" t="b">
        <f aca="false">TRUE()</f>
        <v>1</v>
      </c>
      <c r="P6" s="7" t="b">
        <f aca="false">AND(O6,M6&lt;=WF_BUDGET)</f>
        <v>1</v>
      </c>
      <c r="Q6" s="6" t="n">
        <f aca="false">K6+0.2*F6*WF_AIR_MULTIPLIER*B6</f>
        <v>40389.2</v>
      </c>
      <c r="R6" s="6" t="n">
        <f aca="false">Q6*(1+WF_RESERVE_RATE)</f>
        <v>42408.66</v>
      </c>
      <c r="S6" s="6" t="n">
        <f aca="false">WF_BUDGET-R6</f>
        <v>10591.34</v>
      </c>
      <c r="T6" s="0" t="n">
        <f aca="false">IF(P6,COUNTIFS($P$2:$P$7,TRUE(),$B$2:$B$7,"&gt;"&amp;B6)+COUNTIFS($P$2:$P$7,TRUE(),$B$2:$B$7,B6,$M$2:$M$7,"&lt;"&amp;M6)+COUNTIFS($P$2:$P$7,TRUE(),$B$2:$B$7,B6,$M$2:$M$7,M6,$A$2:$A$7,"&lt;"&amp;A6)+1,999)</f>
        <v>2</v>
      </c>
      <c r="U6" s="0" t="b">
        <f aca="false">AND(O6,R6&lt;=WF_BUDGET)</f>
        <v>1</v>
      </c>
      <c r="V6" s="0" t="n">
        <f aca="false">IF(U6,COUNTIFS($U$2:$U$7,TRUE(),$B$2:$B$7,"&gt;"&amp;B6)+COUNTIFS($U$2:$U$7,TRUE(),$B$2:$B$7,B6,$R$2:$R$7,"&lt;"&amp;R6)+COUNTIFS($U$2:$U$7,TRUE(),$B$2:$B$7,B6,$R$2:$R$7,R6,$A$2:$A$7,"&lt;"&amp;A6)+1,999)</f>
        <v>1</v>
      </c>
    </row>
    <row r="7" customFormat="false" ht="15" hidden="false" customHeight="false" outlineLevel="0" collapsed="false">
      <c r="A7" s="5" t="s">
        <v>61</v>
      </c>
      <c r="B7" s="5" t="n">
        <v>24</v>
      </c>
      <c r="C7" s="5" t="n">
        <f aca="false">SUMIF(Daily!$A$2:$A$19,A7,Daily!$H$2:$H$19)</f>
        <v>620</v>
      </c>
      <c r="D7" s="6" t="n">
        <f aca="false">SUMIF(Daily!$A$2:$A$19,A7,Daily!$I$2:$I$19)</f>
        <v>74.4</v>
      </c>
      <c r="E7" s="5" t="n">
        <f aca="false">SUMIF(Daily!$A$2:$A$19,A7,Daily!$O$2:$O$19)</f>
        <v>223</v>
      </c>
      <c r="F7" s="5" t="n">
        <v>510</v>
      </c>
      <c r="G7" s="5" t="n">
        <v>90</v>
      </c>
      <c r="H7" s="5" t="n">
        <v>180</v>
      </c>
      <c r="I7" s="6" t="n">
        <f aca="false">C7+D7+E7+F7*WF_AIR_MULTIPLIER+G7+H7</f>
        <v>1697.4</v>
      </c>
      <c r="J7" s="5" t="n">
        <v>8000</v>
      </c>
      <c r="K7" s="6" t="n">
        <f aca="false">I7*B7+J7</f>
        <v>48737.6</v>
      </c>
      <c r="L7" s="6" t="n">
        <f aca="false">K7*WF_RESERVE_RATE</f>
        <v>2436.88</v>
      </c>
      <c r="M7" s="6" t="n">
        <f aca="false">K7+L7</f>
        <v>51174.48</v>
      </c>
      <c r="N7" s="6" t="n">
        <f aca="false">WF_BUDGET-M7</f>
        <v>1825.52</v>
      </c>
      <c r="O7" s="7" t="b">
        <f aca="false">TRUE()</f>
        <v>1</v>
      </c>
      <c r="P7" s="7" t="b">
        <f aca="false">AND(O7,M7&lt;=WF_BUDGET)</f>
        <v>1</v>
      </c>
      <c r="Q7" s="6" t="n">
        <f aca="false">K7+0.2*F7*WF_AIR_MULTIPLIER*B7</f>
        <v>51185.6</v>
      </c>
      <c r="R7" s="6" t="n">
        <f aca="false">Q7*(1+WF_RESERVE_RATE)</f>
        <v>53744.88</v>
      </c>
      <c r="S7" s="6" t="n">
        <f aca="false">WF_BUDGET-R7</f>
        <v>-744.880000000012</v>
      </c>
      <c r="T7" s="0" t="n">
        <f aca="false">IF(P7,COUNTIFS($P$2:$P$7,TRUE(),$B$2:$B$7,"&gt;"&amp;B7)+COUNTIFS($P$2:$P$7,TRUE(),$B$2:$B$7,B7,$M$2:$M$7,"&lt;"&amp;M7)+COUNTIFS($P$2:$P$7,TRUE(),$B$2:$B$7,B7,$M$2:$M$7,M7,$A$2:$A$7,"&lt;"&amp;A7)+1,999)</f>
        <v>1</v>
      </c>
      <c r="U7" s="0" t="b">
        <f aca="false">AND(O7,R7&lt;=WF_BUDGET)</f>
        <v>0</v>
      </c>
      <c r="V7" s="0" t="n">
        <f aca="false">IF(U7,COUNTIFS($U$2:$U$7,TRUE(),$B$2:$B$7,"&gt;"&amp;B7)+COUNTIFS($U$2:$U$7,TRUE(),$B$2:$B$7,B7,$R$2:$R$7,"&lt;"&amp;R7)+COUNTIFS($U$2:$U$7,TRUE(),$B$2:$B$7,B7,$R$2:$R$7,R7,$A$2:$A$7,"&lt;"&amp;A7)+1,999)</f>
        <v>999</v>
      </c>
    </row>
  </sheetData>
  <autoFilter ref="A1:S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7"/>
    <col collapsed="false" customWidth="true" hidden="false" outlineLevel="0" max="3" min="3" style="0" width="66"/>
    <col collapsed="false" customWidth="true" hidden="false" outlineLevel="0" max="4" min="4" style="0" width="36"/>
  </cols>
  <sheetData>
    <row r="1" customFormat="false" ht="31.5" hidden="false" customHeight="true" outlineLevel="0" collapsed="false">
      <c r="A1" s="4" t="s">
        <v>30</v>
      </c>
      <c r="B1" s="4" t="s">
        <v>81</v>
      </c>
      <c r="C1" s="4" t="s">
        <v>82</v>
      </c>
      <c r="D1" s="4" t="s">
        <v>83</v>
      </c>
    </row>
    <row r="2" customFormat="false" ht="15" hidden="false" customHeight="false" outlineLevel="0" collapsed="false">
      <c r="A2" s="5" t="s">
        <v>84</v>
      </c>
      <c r="B2" s="5" t="s">
        <v>85</v>
      </c>
      <c r="C2" s="5" t="s">
        <v>86</v>
      </c>
      <c r="D2" s="9" t="s">
        <v>87</v>
      </c>
    </row>
    <row r="3" customFormat="false" ht="15" hidden="false" customHeight="false" outlineLevel="0" collapsed="false">
      <c r="A3" s="5" t="s">
        <v>51</v>
      </c>
      <c r="B3" s="5" t="s">
        <v>88</v>
      </c>
      <c r="C3" s="5" t="s">
        <v>49</v>
      </c>
      <c r="D3" s="9" t="s">
        <v>89</v>
      </c>
    </row>
    <row r="4" customFormat="false" ht="15" hidden="false" customHeight="false" outlineLevel="0" collapsed="false">
      <c r="A4" s="5" t="s">
        <v>57</v>
      </c>
      <c r="B4" s="5" t="s">
        <v>90</v>
      </c>
      <c r="C4" s="5" t="s">
        <v>49</v>
      </c>
      <c r="D4" s="9" t="s">
        <v>89</v>
      </c>
    </row>
    <row r="5" customFormat="false" ht="15" hidden="false" customHeight="false" outlineLevel="0" collapsed="false">
      <c r="A5" s="5" t="s">
        <v>51</v>
      </c>
      <c r="B5" s="5" t="s">
        <v>91</v>
      </c>
      <c r="C5" s="5" t="s">
        <v>60</v>
      </c>
      <c r="D5" s="9" t="s">
        <v>89</v>
      </c>
    </row>
    <row r="6" customFormat="false" ht="15" hidden="false" customHeight="false" outlineLevel="0" collapsed="false">
      <c r="A6" s="5" t="s">
        <v>57</v>
      </c>
      <c r="B6" s="5" t="s">
        <v>92</v>
      </c>
      <c r="C6" s="5" t="s">
        <v>60</v>
      </c>
      <c r="D6" s="9" t="s">
        <v>89</v>
      </c>
    </row>
    <row r="7" customFormat="false" ht="15" hidden="false" customHeight="false" outlineLevel="0" collapsed="false">
      <c r="A7" s="5" t="s">
        <v>51</v>
      </c>
      <c r="B7" s="5" t="s">
        <v>93</v>
      </c>
      <c r="C7" s="5" t="s">
        <v>61</v>
      </c>
      <c r="D7" s="9" t="s">
        <v>89</v>
      </c>
    </row>
    <row r="8" customFormat="false" ht="15" hidden="false" customHeight="false" outlineLevel="0" collapsed="false">
      <c r="A8" s="5" t="s">
        <v>57</v>
      </c>
      <c r="B8" s="5" t="s">
        <v>94</v>
      </c>
      <c r="C8" s="5" t="s">
        <v>61</v>
      </c>
      <c r="D8" s="9" t="s">
        <v>89</v>
      </c>
    </row>
    <row r="9" customFormat="false" ht="15" hidden="false" customHeight="false" outlineLevel="0" collapsed="false">
      <c r="A9" s="5" t="s">
        <v>95</v>
      </c>
      <c r="B9" s="5" t="s">
        <v>96</v>
      </c>
      <c r="C9" s="5" t="s">
        <v>97</v>
      </c>
      <c r="D9" s="9" t="s">
        <v>98</v>
      </c>
    </row>
    <row r="10" customFormat="false" ht="15" hidden="false" customHeight="false" outlineLevel="0" collapsed="false">
      <c r="A10" s="5" t="s">
        <v>99</v>
      </c>
      <c r="B10" s="5" t="s">
        <v>100</v>
      </c>
      <c r="C10" s="5" t="s">
        <v>97</v>
      </c>
      <c r="D10" s="9" t="s">
        <v>101</v>
      </c>
    </row>
    <row r="11" customFormat="false" ht="15" hidden="false" customHeight="false" outlineLevel="0" collapsed="false">
      <c r="A11" s="5" t="s">
        <v>102</v>
      </c>
      <c r="B11" s="9" t="s">
        <v>103</v>
      </c>
      <c r="C11" s="9" t="s">
        <v>104</v>
      </c>
      <c r="D11" s="5" t="s">
        <v>105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0" t="s">
        <v>106</v>
      </c>
      <c r="B1" s="10" t="s">
        <v>107</v>
      </c>
      <c r="C1" s="10" t="s">
        <v>108</v>
      </c>
      <c r="D1" s="10" t="s">
        <v>109</v>
      </c>
      <c r="E1" s="10" t="s">
        <v>110</v>
      </c>
    </row>
    <row r="2" customFormat="false" ht="15" hidden="false" customHeight="false" outlineLevel="0" collapsed="false">
      <c r="A2" s="0" t="n">
        <v>68</v>
      </c>
      <c r="B2" s="0" t="n">
        <v>16</v>
      </c>
      <c r="C2" s="0" t="n">
        <v>19</v>
      </c>
      <c r="D2" s="0" t="n">
        <v>28</v>
      </c>
      <c r="E2" s="0" t="n">
        <v>5</v>
      </c>
    </row>
    <row r="3" customFormat="false" ht="15" hidden="false" customHeight="false" outlineLevel="0" collapsed="false">
      <c r="A3" s="0" t="n">
        <v>74</v>
      </c>
      <c r="B3" s="0" t="n">
        <v>18</v>
      </c>
      <c r="C3" s="0" t="n">
        <v>20</v>
      </c>
      <c r="D3" s="0" t="n">
        <v>31</v>
      </c>
      <c r="E3" s="0" t="n">
        <v>5</v>
      </c>
    </row>
    <row r="4" customFormat="false" ht="15" hidden="false" customHeight="false" outlineLevel="0" collapsed="false">
      <c r="A4" s="0" t="n">
        <v>80</v>
      </c>
      <c r="B4" s="0" t="n">
        <v>20</v>
      </c>
      <c r="C4" s="0" t="n">
        <v>22</v>
      </c>
      <c r="D4" s="0" t="n">
        <v>33</v>
      </c>
      <c r="E4" s="0" t="n">
        <v>5</v>
      </c>
    </row>
    <row r="5" customFormat="false" ht="15" hidden="false" customHeight="false" outlineLevel="0" collapsed="false">
      <c r="A5" s="0" t="n">
        <v>86</v>
      </c>
      <c r="B5" s="0" t="n">
        <v>22</v>
      </c>
      <c r="C5" s="0" t="n">
        <v>23</v>
      </c>
      <c r="D5" s="0" t="n">
        <v>36</v>
      </c>
      <c r="E5" s="0" t="n">
        <v>5</v>
      </c>
    </row>
    <row r="6" customFormat="false" ht="15" hidden="false" customHeight="false" outlineLevel="0" collapsed="false">
      <c r="A6" s="0" t="n">
        <v>92</v>
      </c>
      <c r="B6" s="0" t="n">
        <v>23</v>
      </c>
      <c r="C6" s="0" t="n">
        <v>26</v>
      </c>
      <c r="D6" s="0" t="n">
        <v>38</v>
      </c>
      <c r="E6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2026-10-23T08:17:26Z</dcterms:created>
  <dc:creator>openpyxl</dc:creator>
  <dc:description/>
  <dc:language>en-US</dc:language>
  <cp:lastModifiedBy/>
  <dcterms:modified xsi:type="dcterms:W3CDTF">2026-10-23T08:17:26Z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